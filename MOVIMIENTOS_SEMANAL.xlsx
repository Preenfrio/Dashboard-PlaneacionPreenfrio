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hanitosfrutas.sharepoint.com/sites/04.Logstica/Documentos compartidos/General/Pre-enfrío/09. Desarrollos/Planeacion/"/>
    </mc:Choice>
  </mc:AlternateContent>
  <xr:revisionPtr revIDLastSave="2" documentId="8_{E07C3F27-570A-4A22-B861-79B72776A6B0}" xr6:coauthVersionLast="47" xr6:coauthVersionMax="47" xr10:uidLastSave="{E0F0AC64-EB49-4059-B957-BCD2B467C037}"/>
  <bookViews>
    <workbookView xWindow="-28920" yWindow="-15" windowWidth="29040" windowHeight="15720" xr2:uid="{649CE9A2-8F1B-48DB-B7F7-347704D8A359}"/>
  </bookViews>
  <sheets>
    <sheet name="Hoja1" sheetId="1" r:id="rId1"/>
  </sheets>
  <externalReferences>
    <externalReference r:id="rId2"/>
  </externalReferences>
  <definedNames>
    <definedName name="_xlnm._FilterDatabase" localSheetId="0" hidden="1">Hoja1!$A$1:$AE$1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E597" i="1" l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B597" i="1"/>
  <c r="A597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B596" i="1"/>
  <c r="A596" i="1"/>
  <c r="AE595" i="1"/>
  <c r="AD595" i="1"/>
  <c r="AC595" i="1"/>
  <c r="AB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B595" i="1"/>
  <c r="A595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B594" i="1"/>
  <c r="A594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B593" i="1"/>
  <c r="A593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B592" i="1"/>
  <c r="A592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B591" i="1"/>
  <c r="A591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B590" i="1"/>
  <c r="A590" i="1"/>
  <c r="AE589" i="1"/>
  <c r="AD589" i="1"/>
  <c r="AC589" i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B589" i="1"/>
  <c r="A589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B588" i="1"/>
  <c r="A588" i="1"/>
  <c r="AE587" i="1"/>
  <c r="AD587" i="1"/>
  <c r="AC587" i="1"/>
  <c r="AB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B587" i="1"/>
  <c r="A587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B586" i="1"/>
  <c r="A586" i="1"/>
  <c r="AE585" i="1"/>
  <c r="AD585" i="1"/>
  <c r="AC585" i="1"/>
  <c r="AB585" i="1"/>
  <c r="AA585" i="1"/>
  <c r="Z585" i="1"/>
  <c r="Y585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B585" i="1"/>
  <c r="A585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B584" i="1"/>
  <c r="A584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A583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B582" i="1"/>
  <c r="A582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B581" i="1"/>
  <c r="A581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B580" i="1"/>
  <c r="A580" i="1"/>
  <c r="AE579" i="1"/>
  <c r="AD579" i="1"/>
  <c r="AC579" i="1"/>
  <c r="AB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B579" i="1"/>
  <c r="A579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B578" i="1"/>
  <c r="A578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B577" i="1"/>
  <c r="A577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B576" i="1"/>
  <c r="A576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B575" i="1"/>
  <c r="A575" i="1"/>
  <c r="AE574" i="1"/>
  <c r="AD574" i="1"/>
  <c r="AC574" i="1"/>
  <c r="AB574" i="1"/>
  <c r="AA574" i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B574" i="1"/>
  <c r="A574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B573" i="1"/>
  <c r="A573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B572" i="1"/>
  <c r="A572" i="1"/>
  <c r="AE571" i="1"/>
  <c r="AD571" i="1"/>
  <c r="AC571" i="1"/>
  <c r="AB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B571" i="1"/>
  <c r="A571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B570" i="1"/>
  <c r="A570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B569" i="1"/>
  <c r="A569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B568" i="1"/>
  <c r="A568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B567" i="1"/>
  <c r="A567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B566" i="1"/>
  <c r="A566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A565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B564" i="1"/>
  <c r="A564" i="1"/>
  <c r="AE563" i="1"/>
  <c r="AD563" i="1"/>
  <c r="AC563" i="1"/>
  <c r="AB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B563" i="1"/>
  <c r="A563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B562" i="1"/>
  <c r="A562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B561" i="1"/>
  <c r="A561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B560" i="1"/>
  <c r="A560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B559" i="1"/>
  <c r="A559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B558" i="1"/>
  <c r="A558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B557" i="1"/>
  <c r="A557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B556" i="1"/>
  <c r="A556" i="1"/>
  <c r="AE555" i="1"/>
  <c r="AD555" i="1"/>
  <c r="AC555" i="1"/>
  <c r="AB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B555" i="1"/>
  <c r="A555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B554" i="1"/>
  <c r="A554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B553" i="1"/>
  <c r="A553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B552" i="1"/>
  <c r="A552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B551" i="1"/>
  <c r="A551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B550" i="1"/>
  <c r="A550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B549" i="1"/>
  <c r="A549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B548" i="1"/>
  <c r="A548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A547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B546" i="1"/>
  <c r="A546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B545" i="1"/>
  <c r="A545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B544" i="1"/>
  <c r="A544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B543" i="1"/>
  <c r="A543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B542" i="1"/>
  <c r="A542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B541" i="1"/>
  <c r="A541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B540" i="1"/>
  <c r="A540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B539" i="1"/>
  <c r="A539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B538" i="1"/>
  <c r="A538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B537" i="1"/>
  <c r="A537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B536" i="1"/>
  <c r="A536" i="1"/>
  <c r="AE535" i="1"/>
  <c r="AD535" i="1"/>
  <c r="AC535" i="1"/>
  <c r="AB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A535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B534" i="1"/>
  <c r="A534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A533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B532" i="1"/>
  <c r="A532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B531" i="1"/>
  <c r="A531" i="1"/>
  <c r="AE530" i="1"/>
  <c r="AD530" i="1"/>
  <c r="AC530" i="1"/>
  <c r="AB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A530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A529" i="1"/>
  <c r="AE528" i="1"/>
  <c r="AD528" i="1"/>
  <c r="AC528" i="1"/>
  <c r="AB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A528" i="1"/>
  <c r="AE527" i="1"/>
  <c r="AD527" i="1"/>
  <c r="AC527" i="1"/>
  <c r="AB527" i="1"/>
  <c r="AA527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A527" i="1"/>
  <c r="AE526" i="1"/>
  <c r="AD526" i="1"/>
  <c r="AC526" i="1"/>
  <c r="AB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A526" i="1"/>
  <c r="AE525" i="1"/>
  <c r="AD525" i="1"/>
  <c r="AC525" i="1"/>
  <c r="AB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A525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A524" i="1"/>
  <c r="AE523" i="1"/>
  <c r="AD523" i="1"/>
  <c r="AC523" i="1"/>
  <c r="AB523" i="1"/>
  <c r="AA523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A523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A522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A521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A520" i="1"/>
  <c r="AE519" i="1"/>
  <c r="AD519" i="1"/>
  <c r="AC519" i="1"/>
  <c r="AB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A519" i="1"/>
  <c r="AE518" i="1"/>
  <c r="AD518" i="1"/>
  <c r="AC518" i="1"/>
  <c r="AB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A518" i="1"/>
  <c r="AE517" i="1"/>
  <c r="AD517" i="1"/>
  <c r="AC517" i="1"/>
  <c r="AB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A517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A516" i="1"/>
  <c r="AE515" i="1"/>
  <c r="AD515" i="1"/>
  <c r="AC515" i="1"/>
  <c r="AB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A515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A514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A513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A512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A511" i="1"/>
  <c r="AE510" i="1"/>
  <c r="AD510" i="1"/>
  <c r="AC510" i="1"/>
  <c r="AB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A510" i="1"/>
  <c r="AE509" i="1"/>
  <c r="AD509" i="1"/>
  <c r="AC509" i="1"/>
  <c r="AB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A509" i="1"/>
  <c r="AE508" i="1"/>
  <c r="AD508" i="1"/>
  <c r="AC508" i="1"/>
  <c r="AB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A508" i="1"/>
  <c r="AE507" i="1"/>
  <c r="AD507" i="1"/>
  <c r="AC507" i="1"/>
  <c r="AB507" i="1"/>
  <c r="AA507" i="1"/>
  <c r="Z507" i="1"/>
  <c r="Y507" i="1"/>
  <c r="X507" i="1"/>
  <c r="W507" i="1"/>
  <c r="V507" i="1"/>
  <c r="U507" i="1"/>
  <c r="T507" i="1"/>
  <c r="S507" i="1"/>
  <c r="R507" i="1"/>
  <c r="Q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A507" i="1"/>
  <c r="AE506" i="1"/>
  <c r="AD506" i="1"/>
  <c r="AC506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A506" i="1"/>
  <c r="AE505" i="1"/>
  <c r="AD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A505" i="1"/>
  <c r="AE504" i="1"/>
  <c r="AD504" i="1"/>
  <c r="AC504" i="1"/>
  <c r="AB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A504" i="1"/>
  <c r="AE503" i="1"/>
  <c r="AD503" i="1"/>
  <c r="AC503" i="1"/>
  <c r="AB503" i="1"/>
  <c r="AA503" i="1"/>
  <c r="Z503" i="1"/>
  <c r="Y503" i="1"/>
  <c r="X503" i="1"/>
  <c r="W503" i="1"/>
  <c r="V503" i="1"/>
  <c r="U503" i="1"/>
  <c r="T503" i="1"/>
  <c r="S503" i="1"/>
  <c r="R503" i="1"/>
  <c r="Q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A503" i="1"/>
  <c r="AE502" i="1"/>
  <c r="AD502" i="1"/>
  <c r="AC502" i="1"/>
  <c r="AB502" i="1"/>
  <c r="AA502" i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A502" i="1"/>
  <c r="AE501" i="1"/>
  <c r="AD501" i="1"/>
  <c r="AC501" i="1"/>
  <c r="AB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A501" i="1"/>
  <c r="AE500" i="1"/>
  <c r="AD500" i="1"/>
  <c r="AC500" i="1"/>
  <c r="AB500" i="1"/>
  <c r="AA500" i="1"/>
  <c r="Z500" i="1"/>
  <c r="Y500" i="1"/>
  <c r="X500" i="1"/>
  <c r="W500" i="1"/>
  <c r="V500" i="1"/>
  <c r="U500" i="1"/>
  <c r="T500" i="1"/>
  <c r="S500" i="1"/>
  <c r="R500" i="1"/>
  <c r="Q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A500" i="1"/>
  <c r="AE499" i="1"/>
  <c r="AD499" i="1"/>
  <c r="AC499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A499" i="1"/>
  <c r="AE498" i="1"/>
  <c r="AD498" i="1"/>
  <c r="AC498" i="1"/>
  <c r="AB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A498" i="1"/>
  <c r="AE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A497" i="1"/>
  <c r="AE496" i="1"/>
  <c r="AD496" i="1"/>
  <c r="AC496" i="1"/>
  <c r="AB496" i="1"/>
  <c r="AA496" i="1"/>
  <c r="Z496" i="1"/>
  <c r="Y496" i="1"/>
  <c r="X496" i="1"/>
  <c r="W496" i="1"/>
  <c r="V496" i="1"/>
  <c r="U496" i="1"/>
  <c r="T496" i="1"/>
  <c r="S496" i="1"/>
  <c r="R496" i="1"/>
  <c r="Q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A496" i="1"/>
  <c r="AE495" i="1"/>
  <c r="AD495" i="1"/>
  <c r="AC495" i="1"/>
  <c r="AB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A495" i="1"/>
  <c r="AE494" i="1"/>
  <c r="AD494" i="1"/>
  <c r="AC494" i="1"/>
  <c r="AB494" i="1"/>
  <c r="AA494" i="1"/>
  <c r="Z494" i="1"/>
  <c r="Y494" i="1"/>
  <c r="X494" i="1"/>
  <c r="W494" i="1"/>
  <c r="V494" i="1"/>
  <c r="U494" i="1"/>
  <c r="T494" i="1"/>
  <c r="S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A494" i="1"/>
  <c r="AE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A493" i="1"/>
  <c r="AE492" i="1"/>
  <c r="AD492" i="1"/>
  <c r="AC492" i="1"/>
  <c r="AB492" i="1"/>
  <c r="AA492" i="1"/>
  <c r="Z492" i="1"/>
  <c r="Y492" i="1"/>
  <c r="X492" i="1"/>
  <c r="W492" i="1"/>
  <c r="V492" i="1"/>
  <c r="U492" i="1"/>
  <c r="T492" i="1"/>
  <c r="S492" i="1"/>
  <c r="R492" i="1"/>
  <c r="Q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A492" i="1"/>
  <c r="AE491" i="1"/>
  <c r="AD491" i="1"/>
  <c r="AC491" i="1"/>
  <c r="AB491" i="1"/>
  <c r="AA491" i="1"/>
  <c r="Z491" i="1"/>
  <c r="Y491" i="1"/>
  <c r="W491" i="1"/>
  <c r="V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A491" i="1"/>
  <c r="AE490" i="1"/>
  <c r="AD490" i="1"/>
  <c r="AC490" i="1"/>
  <c r="AB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A490" i="1"/>
  <c r="AE489" i="1"/>
  <c r="AD489" i="1"/>
  <c r="AC489" i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A489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R488" i="1"/>
  <c r="Q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A488" i="1"/>
  <c r="AE487" i="1"/>
  <c r="AD487" i="1"/>
  <c r="AC487" i="1"/>
  <c r="AB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A487" i="1"/>
  <c r="AE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A486" i="1"/>
  <c r="AE485" i="1"/>
  <c r="AD485" i="1"/>
  <c r="AC485" i="1"/>
  <c r="AB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A485" i="1"/>
  <c r="AE484" i="1"/>
  <c r="AD484" i="1"/>
  <c r="AC484" i="1"/>
  <c r="AB484" i="1"/>
  <c r="AA484" i="1"/>
  <c r="Z484" i="1"/>
  <c r="Y484" i="1"/>
  <c r="X484" i="1"/>
  <c r="W484" i="1"/>
  <c r="V484" i="1"/>
  <c r="U484" i="1"/>
  <c r="T484" i="1"/>
  <c r="S484" i="1"/>
  <c r="R484" i="1"/>
  <c r="Q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A484" i="1"/>
  <c r="AE483" i="1"/>
  <c r="AD483" i="1"/>
  <c r="AC483" i="1"/>
  <c r="AB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A483" i="1"/>
  <c r="AE482" i="1"/>
  <c r="AD482" i="1"/>
  <c r="AC482" i="1"/>
  <c r="AB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A482" i="1"/>
  <c r="AE481" i="1"/>
  <c r="AD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A481" i="1"/>
  <c r="AE480" i="1"/>
  <c r="AD480" i="1"/>
  <c r="AC480" i="1"/>
  <c r="AB480" i="1"/>
  <c r="AA480" i="1"/>
  <c r="Z480" i="1"/>
  <c r="Y480" i="1"/>
  <c r="X480" i="1"/>
  <c r="W480" i="1"/>
  <c r="V480" i="1"/>
  <c r="U480" i="1"/>
  <c r="T480" i="1"/>
  <c r="S480" i="1"/>
  <c r="R480" i="1"/>
  <c r="Q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A480" i="1"/>
  <c r="AE479" i="1"/>
  <c r="AD479" i="1"/>
  <c r="AC479" i="1"/>
  <c r="AB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A479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A478" i="1"/>
  <c r="AE477" i="1"/>
  <c r="AD477" i="1"/>
  <c r="AC477" i="1"/>
  <c r="AB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A477" i="1"/>
  <c r="AE476" i="1"/>
  <c r="AD476" i="1"/>
  <c r="AC476" i="1"/>
  <c r="AB476" i="1"/>
  <c r="AA476" i="1"/>
  <c r="Z476" i="1"/>
  <c r="Y476" i="1"/>
  <c r="X476" i="1"/>
  <c r="W476" i="1"/>
  <c r="V476" i="1"/>
  <c r="U476" i="1"/>
  <c r="T476" i="1"/>
  <c r="S476" i="1"/>
  <c r="R476" i="1"/>
  <c r="Q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A476" i="1"/>
  <c r="AE475" i="1"/>
  <c r="AD475" i="1"/>
  <c r="AC475" i="1"/>
  <c r="AB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A475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A474" i="1"/>
  <c r="AE473" i="1"/>
  <c r="AD473" i="1"/>
  <c r="AC473" i="1"/>
  <c r="AB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A473" i="1"/>
  <c r="AE472" i="1"/>
  <c r="AD472" i="1"/>
  <c r="AC472" i="1"/>
  <c r="AB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A472" i="1"/>
  <c r="AE471" i="1"/>
  <c r="AD471" i="1"/>
  <c r="AC471" i="1"/>
  <c r="AB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A471" i="1"/>
  <c r="AE470" i="1"/>
  <c r="AD470" i="1"/>
  <c r="AC470" i="1"/>
  <c r="AB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A470" i="1"/>
  <c r="AE469" i="1"/>
  <c r="AD469" i="1"/>
  <c r="AC469" i="1"/>
  <c r="AB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A469" i="1"/>
  <c r="AE468" i="1"/>
  <c r="AD468" i="1"/>
  <c r="AC468" i="1"/>
  <c r="AB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A468" i="1"/>
  <c r="AE467" i="1"/>
  <c r="AD467" i="1"/>
  <c r="AC467" i="1"/>
  <c r="AB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A467" i="1"/>
  <c r="AE466" i="1"/>
  <c r="AD466" i="1"/>
  <c r="AC466" i="1"/>
  <c r="AB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A466" i="1"/>
  <c r="AE465" i="1"/>
  <c r="AD465" i="1"/>
  <c r="AC465" i="1"/>
  <c r="AB465" i="1"/>
  <c r="AA465" i="1"/>
  <c r="Z465" i="1"/>
  <c r="Y465" i="1"/>
  <c r="X465" i="1"/>
  <c r="W465" i="1"/>
  <c r="V465" i="1"/>
  <c r="U465" i="1"/>
  <c r="T465" i="1"/>
  <c r="S465" i="1"/>
  <c r="R465" i="1"/>
  <c r="Q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A465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A464" i="1"/>
  <c r="AE463" i="1"/>
  <c r="AD463" i="1"/>
  <c r="AC463" i="1"/>
  <c r="AB463" i="1"/>
  <c r="AA463" i="1"/>
  <c r="Z463" i="1"/>
  <c r="Y463" i="1"/>
  <c r="X463" i="1"/>
  <c r="W463" i="1"/>
  <c r="V463" i="1"/>
  <c r="U463" i="1"/>
  <c r="T463" i="1"/>
  <c r="S463" i="1"/>
  <c r="R463" i="1"/>
  <c r="Q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A463" i="1"/>
  <c r="AE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A462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Q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A461" i="1"/>
  <c r="AE460" i="1"/>
  <c r="AD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A460" i="1"/>
  <c r="AE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Q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A459" i="1"/>
  <c r="AE458" i="1"/>
  <c r="AD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A458" i="1"/>
  <c r="AE457" i="1"/>
  <c r="AD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A457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A456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A455" i="1"/>
  <c r="AE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A454" i="1"/>
  <c r="AE453" i="1"/>
  <c r="AD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A453" i="1"/>
  <c r="AE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A452" i="1"/>
  <c r="AE451" i="1"/>
  <c r="AD451" i="1"/>
  <c r="AC451" i="1"/>
  <c r="AB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A451" i="1"/>
  <c r="AE450" i="1"/>
  <c r="AD450" i="1"/>
  <c r="AC450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A450" i="1"/>
  <c r="AE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Q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A449" i="1"/>
  <c r="AE448" i="1"/>
  <c r="AD448" i="1"/>
  <c r="AC448" i="1"/>
  <c r="AB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A448" i="1"/>
  <c r="AE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A447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A446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A445" i="1"/>
  <c r="AE444" i="1"/>
  <c r="AD444" i="1"/>
  <c r="AC444" i="1"/>
  <c r="AB444" i="1"/>
  <c r="AA444" i="1"/>
  <c r="Z444" i="1"/>
  <c r="Y444" i="1"/>
  <c r="X444" i="1"/>
  <c r="W444" i="1"/>
  <c r="V444" i="1"/>
  <c r="U444" i="1"/>
  <c r="T444" i="1"/>
  <c r="S444" i="1"/>
  <c r="R444" i="1"/>
  <c r="Q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A444" i="1"/>
  <c r="AE443" i="1"/>
  <c r="AD443" i="1"/>
  <c r="AC443" i="1"/>
  <c r="AB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A443" i="1"/>
  <c r="AE442" i="1"/>
  <c r="AD442" i="1"/>
  <c r="AC442" i="1"/>
  <c r="AB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A442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A441" i="1"/>
  <c r="AE440" i="1"/>
  <c r="AD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A440" i="1"/>
  <c r="AE439" i="1"/>
  <c r="AD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A439" i="1"/>
  <c r="AE438" i="1"/>
  <c r="AD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A438" i="1"/>
  <c r="AE437" i="1"/>
  <c r="AD437" i="1"/>
  <c r="AC437" i="1"/>
  <c r="AB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A437" i="1"/>
  <c r="AE436" i="1"/>
  <c r="AD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A436" i="1"/>
  <c r="AE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A435" i="1"/>
  <c r="AE434" i="1"/>
  <c r="AD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Q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A434" i="1"/>
  <c r="AE433" i="1"/>
  <c r="AD433" i="1"/>
  <c r="AC433" i="1"/>
  <c r="AB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A433" i="1"/>
  <c r="AE432" i="1"/>
  <c r="AD432" i="1"/>
  <c r="AC432" i="1"/>
  <c r="AB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A432" i="1"/>
  <c r="AE431" i="1"/>
  <c r="AD431" i="1"/>
  <c r="AC431" i="1"/>
  <c r="AB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A431" i="1"/>
  <c r="AE430" i="1"/>
  <c r="AD430" i="1"/>
  <c r="AC430" i="1"/>
  <c r="AB430" i="1"/>
  <c r="AA430" i="1"/>
  <c r="Z430" i="1"/>
  <c r="Y430" i="1"/>
  <c r="X430" i="1"/>
  <c r="W430" i="1"/>
  <c r="V430" i="1"/>
  <c r="U430" i="1"/>
  <c r="T430" i="1"/>
  <c r="S430" i="1"/>
  <c r="R430" i="1"/>
  <c r="Q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A430" i="1"/>
  <c r="AE429" i="1"/>
  <c r="AD429" i="1"/>
  <c r="AC429" i="1"/>
  <c r="AB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A429" i="1"/>
  <c r="AE428" i="1"/>
  <c r="AD428" i="1"/>
  <c r="AC428" i="1"/>
  <c r="AB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A428" i="1"/>
  <c r="AE427" i="1"/>
  <c r="AD427" i="1"/>
  <c r="AC427" i="1"/>
  <c r="AB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A427" i="1"/>
  <c r="AE426" i="1"/>
  <c r="AD426" i="1"/>
  <c r="AC426" i="1"/>
  <c r="AB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A426" i="1"/>
  <c r="AE425" i="1"/>
  <c r="AD425" i="1"/>
  <c r="AC425" i="1"/>
  <c r="AB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A425" i="1"/>
  <c r="AE424" i="1"/>
  <c r="AD424" i="1"/>
  <c r="AC424" i="1"/>
  <c r="AB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A424" i="1"/>
  <c r="AE423" i="1"/>
  <c r="AD423" i="1"/>
  <c r="AC423" i="1"/>
  <c r="AB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A423" i="1"/>
  <c r="AE422" i="1"/>
  <c r="AD422" i="1"/>
  <c r="AC422" i="1"/>
  <c r="AB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A422" i="1"/>
  <c r="AE421" i="1"/>
  <c r="AD421" i="1"/>
  <c r="AC421" i="1"/>
  <c r="AB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A421" i="1"/>
  <c r="AE420" i="1"/>
  <c r="AD420" i="1"/>
  <c r="AC420" i="1"/>
  <c r="AB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A420" i="1"/>
  <c r="AE419" i="1"/>
  <c r="AD419" i="1"/>
  <c r="AC419" i="1"/>
  <c r="AB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A419" i="1"/>
  <c r="AE418" i="1"/>
  <c r="AD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A418" i="1"/>
  <c r="AE417" i="1"/>
  <c r="AD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A417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Q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A416" i="1"/>
  <c r="AE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Q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A415" i="1"/>
  <c r="AE414" i="1"/>
  <c r="AD414" i="1"/>
  <c r="AC414" i="1"/>
  <c r="AB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A414" i="1"/>
  <c r="AE413" i="1"/>
  <c r="AD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A413" i="1"/>
  <c r="AE412" i="1"/>
  <c r="AD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A412" i="1"/>
  <c r="AE411" i="1"/>
  <c r="AD411" i="1"/>
  <c r="AC411" i="1"/>
  <c r="AB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A411" i="1"/>
  <c r="AE410" i="1"/>
  <c r="AD410" i="1"/>
  <c r="AC410" i="1"/>
  <c r="AB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410" i="1"/>
  <c r="AE409" i="1"/>
  <c r="AD409" i="1"/>
  <c r="AC409" i="1"/>
  <c r="AB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A409" i="1"/>
  <c r="AE408" i="1"/>
  <c r="AD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A408" i="1"/>
  <c r="AE407" i="1"/>
  <c r="AD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A407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A406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A405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A404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A403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A402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A401" i="1"/>
  <c r="AE400" i="1"/>
  <c r="AD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A400" i="1"/>
  <c r="AE399" i="1"/>
  <c r="AD399" i="1"/>
  <c r="AC399" i="1"/>
  <c r="AB399" i="1"/>
  <c r="AA399" i="1"/>
  <c r="Z399" i="1"/>
  <c r="Y399" i="1"/>
  <c r="X399" i="1"/>
  <c r="W399" i="1"/>
  <c r="V399" i="1"/>
  <c r="U399" i="1"/>
  <c r="T399" i="1"/>
  <c r="S399" i="1"/>
  <c r="R399" i="1"/>
  <c r="Q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A399" i="1"/>
  <c r="AE398" i="1"/>
  <c r="AD398" i="1"/>
  <c r="AC398" i="1"/>
  <c r="AB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A398" i="1"/>
  <c r="AE397" i="1"/>
  <c r="AD397" i="1"/>
  <c r="AC397" i="1"/>
  <c r="AB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A397" i="1"/>
  <c r="AE396" i="1"/>
  <c r="AD396" i="1"/>
  <c r="AC396" i="1"/>
  <c r="AB396" i="1"/>
  <c r="AA396" i="1"/>
  <c r="Z396" i="1"/>
  <c r="Y396" i="1"/>
  <c r="X396" i="1"/>
  <c r="W396" i="1"/>
  <c r="V396" i="1"/>
  <c r="U396" i="1"/>
  <c r="T396" i="1"/>
  <c r="S396" i="1"/>
  <c r="R396" i="1"/>
  <c r="Q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A396" i="1"/>
  <c r="AE395" i="1"/>
  <c r="AD395" i="1"/>
  <c r="AC395" i="1"/>
  <c r="AB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A395" i="1"/>
  <c r="AE394" i="1"/>
  <c r="AD394" i="1"/>
  <c r="AC394" i="1"/>
  <c r="AB394" i="1"/>
  <c r="AA394" i="1"/>
  <c r="Z394" i="1"/>
  <c r="Y394" i="1"/>
  <c r="X394" i="1"/>
  <c r="W394" i="1"/>
  <c r="V394" i="1"/>
  <c r="U394" i="1"/>
  <c r="T394" i="1"/>
  <c r="S394" i="1"/>
  <c r="R394" i="1"/>
  <c r="Q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A394" i="1"/>
  <c r="AE393" i="1"/>
  <c r="AD393" i="1"/>
  <c r="AC393" i="1"/>
  <c r="AB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A393" i="1"/>
  <c r="AE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Q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A392" i="1"/>
  <c r="AE391" i="1"/>
  <c r="AD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A391" i="1"/>
  <c r="AE390" i="1"/>
  <c r="AD390" i="1"/>
  <c r="AC390" i="1"/>
  <c r="AB390" i="1"/>
  <c r="AA390" i="1"/>
  <c r="Z390" i="1"/>
  <c r="Y390" i="1"/>
  <c r="X390" i="1"/>
  <c r="W390" i="1"/>
  <c r="V390" i="1"/>
  <c r="U390" i="1"/>
  <c r="T390" i="1"/>
  <c r="S390" i="1"/>
  <c r="R390" i="1"/>
  <c r="Q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A390" i="1"/>
  <c r="AE389" i="1"/>
  <c r="AD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A389" i="1"/>
  <c r="AE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A388" i="1"/>
  <c r="AE387" i="1"/>
  <c r="AD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A387" i="1"/>
  <c r="AE386" i="1"/>
  <c r="AD386" i="1"/>
  <c r="AC386" i="1"/>
  <c r="AB386" i="1"/>
  <c r="AA386" i="1"/>
  <c r="Z386" i="1"/>
  <c r="Y386" i="1"/>
  <c r="X386" i="1"/>
  <c r="W386" i="1"/>
  <c r="V386" i="1"/>
  <c r="U386" i="1"/>
  <c r="T386" i="1"/>
  <c r="S386" i="1"/>
  <c r="R386" i="1"/>
  <c r="Q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A386" i="1"/>
  <c r="AE385" i="1"/>
  <c r="AD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A385" i="1"/>
  <c r="AE384" i="1"/>
  <c r="AD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Q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A384" i="1"/>
  <c r="AE383" i="1"/>
  <c r="AD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A383" i="1"/>
  <c r="AE382" i="1"/>
  <c r="AD382" i="1"/>
  <c r="AC382" i="1"/>
  <c r="AB382" i="1"/>
  <c r="AA382" i="1"/>
  <c r="Z382" i="1"/>
  <c r="Y382" i="1"/>
  <c r="X382" i="1"/>
  <c r="W382" i="1"/>
  <c r="V382" i="1"/>
  <c r="U382" i="1"/>
  <c r="T382" i="1"/>
  <c r="S382" i="1"/>
  <c r="R382" i="1"/>
  <c r="Q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A382" i="1"/>
  <c r="AE381" i="1"/>
  <c r="AD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A381" i="1"/>
  <c r="AE380" i="1"/>
  <c r="AD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Q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A380" i="1"/>
  <c r="AE379" i="1"/>
  <c r="AD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A379" i="1"/>
  <c r="AE378" i="1"/>
  <c r="AD378" i="1"/>
  <c r="AC378" i="1"/>
  <c r="AB378" i="1"/>
  <c r="AA378" i="1"/>
  <c r="Z378" i="1"/>
  <c r="Y378" i="1"/>
  <c r="X378" i="1"/>
  <c r="W378" i="1"/>
  <c r="V378" i="1"/>
  <c r="U378" i="1"/>
  <c r="T378" i="1"/>
  <c r="S378" i="1"/>
  <c r="R378" i="1"/>
  <c r="Q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A378" i="1"/>
  <c r="AE377" i="1"/>
  <c r="AD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Q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A377" i="1"/>
  <c r="AE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A376" i="1"/>
  <c r="AE375" i="1"/>
  <c r="AD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A375" i="1"/>
  <c r="AE374" i="1"/>
  <c r="AD374" i="1"/>
  <c r="AC374" i="1"/>
  <c r="AB374" i="1"/>
  <c r="AA374" i="1"/>
  <c r="Z374" i="1"/>
  <c r="Y374" i="1"/>
  <c r="X374" i="1"/>
  <c r="W374" i="1"/>
  <c r="V374" i="1"/>
  <c r="U374" i="1"/>
  <c r="T374" i="1"/>
  <c r="S374" i="1"/>
  <c r="R374" i="1"/>
  <c r="Q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A374" i="1"/>
  <c r="AE373" i="1"/>
  <c r="AD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Q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373" i="1"/>
  <c r="AE372" i="1"/>
  <c r="AD372" i="1"/>
  <c r="AC372" i="1"/>
  <c r="AB372" i="1"/>
  <c r="AA372" i="1"/>
  <c r="Z372" i="1"/>
  <c r="Y372" i="1"/>
  <c r="X372" i="1"/>
  <c r="W372" i="1"/>
  <c r="V372" i="1"/>
  <c r="U372" i="1"/>
  <c r="T372" i="1"/>
  <c r="S372" i="1"/>
  <c r="R372" i="1"/>
  <c r="Q372" i="1"/>
  <c r="P372" i="1"/>
  <c r="O372" i="1"/>
  <c r="N372" i="1"/>
  <c r="M372" i="1"/>
  <c r="L372" i="1"/>
  <c r="K372" i="1"/>
  <c r="J372" i="1"/>
  <c r="I372" i="1"/>
  <c r="H372" i="1"/>
  <c r="G372" i="1"/>
  <c r="F372" i="1"/>
  <c r="E372" i="1"/>
  <c r="D372" i="1"/>
  <c r="C372" i="1"/>
  <c r="B372" i="1"/>
  <c r="A372" i="1"/>
  <c r="AE371" i="1"/>
  <c r="AD371" i="1"/>
  <c r="AC371" i="1"/>
  <c r="AB371" i="1"/>
  <c r="AA371" i="1"/>
  <c r="Z371" i="1"/>
  <c r="Y371" i="1"/>
  <c r="X371" i="1"/>
  <c r="W371" i="1"/>
  <c r="V371" i="1"/>
  <c r="U371" i="1"/>
  <c r="T371" i="1"/>
  <c r="S371" i="1"/>
  <c r="R371" i="1"/>
  <c r="Q371" i="1"/>
  <c r="P371" i="1"/>
  <c r="O371" i="1"/>
  <c r="N371" i="1"/>
  <c r="M371" i="1"/>
  <c r="L371" i="1"/>
  <c r="K371" i="1"/>
  <c r="J371" i="1"/>
  <c r="I371" i="1"/>
  <c r="H371" i="1"/>
  <c r="G371" i="1"/>
  <c r="F371" i="1"/>
  <c r="E371" i="1"/>
  <c r="D371" i="1"/>
  <c r="C371" i="1"/>
  <c r="B371" i="1"/>
  <c r="A371" i="1"/>
  <c r="AE370" i="1"/>
  <c r="AD370" i="1"/>
  <c r="AC370" i="1"/>
  <c r="AB370" i="1"/>
  <c r="AA370" i="1"/>
  <c r="Z370" i="1"/>
  <c r="Y370" i="1"/>
  <c r="X370" i="1"/>
  <c r="W370" i="1"/>
  <c r="V370" i="1"/>
  <c r="U370" i="1"/>
  <c r="T370" i="1"/>
  <c r="S370" i="1"/>
  <c r="R370" i="1"/>
  <c r="Q370" i="1"/>
  <c r="P370" i="1"/>
  <c r="O370" i="1"/>
  <c r="N370" i="1"/>
  <c r="M370" i="1"/>
  <c r="L370" i="1"/>
  <c r="K370" i="1"/>
  <c r="J370" i="1"/>
  <c r="I370" i="1"/>
  <c r="H370" i="1"/>
  <c r="G370" i="1"/>
  <c r="F370" i="1"/>
  <c r="E370" i="1"/>
  <c r="D370" i="1"/>
  <c r="C370" i="1"/>
  <c r="B370" i="1"/>
  <c r="A370" i="1"/>
  <c r="AE369" i="1"/>
  <c r="AD369" i="1"/>
  <c r="AC369" i="1"/>
  <c r="AB369" i="1"/>
  <c r="AA369" i="1"/>
  <c r="Z369" i="1"/>
  <c r="Y369" i="1"/>
  <c r="X369" i="1"/>
  <c r="W369" i="1"/>
  <c r="V369" i="1"/>
  <c r="U369" i="1"/>
  <c r="T369" i="1"/>
  <c r="S369" i="1"/>
  <c r="R369" i="1"/>
  <c r="Q369" i="1"/>
  <c r="P369" i="1"/>
  <c r="O369" i="1"/>
  <c r="N369" i="1"/>
  <c r="M369" i="1"/>
  <c r="L369" i="1"/>
  <c r="K369" i="1"/>
  <c r="J369" i="1"/>
  <c r="I369" i="1"/>
  <c r="H369" i="1"/>
  <c r="G369" i="1"/>
  <c r="F369" i="1"/>
  <c r="E369" i="1"/>
  <c r="D369" i="1"/>
  <c r="C369" i="1"/>
  <c r="B369" i="1"/>
  <c r="A369" i="1"/>
  <c r="AE368" i="1"/>
  <c r="AD368" i="1"/>
  <c r="AC368" i="1"/>
  <c r="AB368" i="1"/>
  <c r="AA368" i="1"/>
  <c r="Z368" i="1"/>
  <c r="Y368" i="1"/>
  <c r="X368" i="1"/>
  <c r="W368" i="1"/>
  <c r="V368" i="1"/>
  <c r="U368" i="1"/>
  <c r="T368" i="1"/>
  <c r="S368" i="1"/>
  <c r="R368" i="1"/>
  <c r="Q368" i="1"/>
  <c r="P368" i="1"/>
  <c r="O368" i="1"/>
  <c r="N368" i="1"/>
  <c r="M368" i="1"/>
  <c r="L368" i="1"/>
  <c r="K368" i="1"/>
  <c r="J368" i="1"/>
  <c r="I368" i="1"/>
  <c r="H368" i="1"/>
  <c r="G368" i="1"/>
  <c r="F368" i="1"/>
  <c r="E368" i="1"/>
  <c r="D368" i="1"/>
  <c r="C368" i="1"/>
  <c r="B368" i="1"/>
  <c r="A368" i="1"/>
  <c r="AE367" i="1"/>
  <c r="AD367" i="1"/>
  <c r="AC367" i="1"/>
  <c r="AB367" i="1"/>
  <c r="AA367" i="1"/>
  <c r="Z367" i="1"/>
  <c r="Y367" i="1"/>
  <c r="X367" i="1"/>
  <c r="W367" i="1"/>
  <c r="V367" i="1"/>
  <c r="U367" i="1"/>
  <c r="T367" i="1"/>
  <c r="S367" i="1"/>
  <c r="R367" i="1"/>
  <c r="Q367" i="1"/>
  <c r="P367" i="1"/>
  <c r="O367" i="1"/>
  <c r="N367" i="1"/>
  <c r="M367" i="1"/>
  <c r="L367" i="1"/>
  <c r="K367" i="1"/>
  <c r="J367" i="1"/>
  <c r="I367" i="1"/>
  <c r="H367" i="1"/>
  <c r="G367" i="1"/>
  <c r="F367" i="1"/>
  <c r="E367" i="1"/>
  <c r="D367" i="1"/>
  <c r="C367" i="1"/>
  <c r="B367" i="1"/>
  <c r="A367" i="1"/>
  <c r="AE366" i="1"/>
  <c r="AD366" i="1"/>
  <c r="AC366" i="1"/>
  <c r="AB366" i="1"/>
  <c r="AA366" i="1"/>
  <c r="Z366" i="1"/>
  <c r="Y366" i="1"/>
  <c r="X366" i="1"/>
  <c r="W366" i="1"/>
  <c r="V366" i="1"/>
  <c r="U366" i="1"/>
  <c r="T366" i="1"/>
  <c r="S366" i="1"/>
  <c r="R366" i="1"/>
  <c r="Q366" i="1"/>
  <c r="P366" i="1"/>
  <c r="O366" i="1"/>
  <c r="N366" i="1"/>
  <c r="M366" i="1"/>
  <c r="L366" i="1"/>
  <c r="K366" i="1"/>
  <c r="J366" i="1"/>
  <c r="I366" i="1"/>
  <c r="H366" i="1"/>
  <c r="G366" i="1"/>
  <c r="F366" i="1"/>
  <c r="E366" i="1"/>
  <c r="D366" i="1"/>
  <c r="C366" i="1"/>
  <c r="B366" i="1"/>
  <c r="A366" i="1"/>
  <c r="AE365" i="1"/>
  <c r="AD365" i="1"/>
  <c r="AC365" i="1"/>
  <c r="AB365" i="1"/>
  <c r="AA365" i="1"/>
  <c r="Z365" i="1"/>
  <c r="Y365" i="1"/>
  <c r="X365" i="1"/>
  <c r="W365" i="1"/>
  <c r="V365" i="1"/>
  <c r="U365" i="1"/>
  <c r="T365" i="1"/>
  <c r="S365" i="1"/>
  <c r="R365" i="1"/>
  <c r="Q365" i="1"/>
  <c r="P365" i="1"/>
  <c r="O365" i="1"/>
  <c r="N365" i="1"/>
  <c r="M365" i="1"/>
  <c r="L365" i="1"/>
  <c r="K365" i="1"/>
  <c r="J365" i="1"/>
  <c r="I365" i="1"/>
  <c r="H365" i="1"/>
  <c r="G365" i="1"/>
  <c r="F365" i="1"/>
  <c r="E365" i="1"/>
  <c r="D365" i="1"/>
  <c r="C365" i="1"/>
  <c r="B365" i="1"/>
  <c r="A365" i="1"/>
  <c r="AE364" i="1"/>
  <c r="AD364" i="1"/>
  <c r="AC364" i="1"/>
  <c r="AB364" i="1"/>
  <c r="AA364" i="1"/>
  <c r="Z364" i="1"/>
  <c r="Y364" i="1"/>
  <c r="X364" i="1"/>
  <c r="W364" i="1"/>
  <c r="V364" i="1"/>
  <c r="U364" i="1"/>
  <c r="T364" i="1"/>
  <c r="S364" i="1"/>
  <c r="R364" i="1"/>
  <c r="Q364" i="1"/>
  <c r="P364" i="1"/>
  <c r="O364" i="1"/>
  <c r="N364" i="1"/>
  <c r="M364" i="1"/>
  <c r="L364" i="1"/>
  <c r="K364" i="1"/>
  <c r="J364" i="1"/>
  <c r="I364" i="1"/>
  <c r="H364" i="1"/>
  <c r="G364" i="1"/>
  <c r="F364" i="1"/>
  <c r="E364" i="1"/>
  <c r="D364" i="1"/>
  <c r="C364" i="1"/>
  <c r="B364" i="1"/>
  <c r="A364" i="1"/>
  <c r="AE363" i="1"/>
  <c r="AD363" i="1"/>
  <c r="AC363" i="1"/>
  <c r="AB363" i="1"/>
  <c r="AA363" i="1"/>
  <c r="Z363" i="1"/>
  <c r="Y363" i="1"/>
  <c r="X363" i="1"/>
  <c r="W363" i="1"/>
  <c r="V363" i="1"/>
  <c r="U363" i="1"/>
  <c r="T363" i="1"/>
  <c r="S363" i="1"/>
  <c r="R363" i="1"/>
  <c r="Q363" i="1"/>
  <c r="P363" i="1"/>
  <c r="O363" i="1"/>
  <c r="N363" i="1"/>
  <c r="M363" i="1"/>
  <c r="L363" i="1"/>
  <c r="K363" i="1"/>
  <c r="J363" i="1"/>
  <c r="I363" i="1"/>
  <c r="H363" i="1"/>
  <c r="G363" i="1"/>
  <c r="F363" i="1"/>
  <c r="E363" i="1"/>
  <c r="D363" i="1"/>
  <c r="C363" i="1"/>
  <c r="B363" i="1"/>
  <c r="A363" i="1"/>
  <c r="AE362" i="1"/>
  <c r="AD362" i="1"/>
  <c r="AC362" i="1"/>
  <c r="AB362" i="1"/>
  <c r="AA362" i="1"/>
  <c r="Z362" i="1"/>
  <c r="Y362" i="1"/>
  <c r="X362" i="1"/>
  <c r="W362" i="1"/>
  <c r="V362" i="1"/>
  <c r="U362" i="1"/>
  <c r="T362" i="1"/>
  <c r="S362" i="1"/>
  <c r="R362" i="1"/>
  <c r="Q362" i="1"/>
  <c r="P362" i="1"/>
  <c r="O362" i="1"/>
  <c r="N362" i="1"/>
  <c r="M362" i="1"/>
  <c r="L362" i="1"/>
  <c r="K362" i="1"/>
  <c r="J362" i="1"/>
  <c r="I362" i="1"/>
  <c r="H362" i="1"/>
  <c r="G362" i="1"/>
  <c r="F362" i="1"/>
  <c r="E362" i="1"/>
  <c r="D362" i="1"/>
  <c r="C362" i="1"/>
  <c r="B362" i="1"/>
  <c r="A362" i="1"/>
  <c r="AE361" i="1"/>
  <c r="AD361" i="1"/>
  <c r="AC361" i="1"/>
  <c r="AB361" i="1"/>
  <c r="AA361" i="1"/>
  <c r="Z361" i="1"/>
  <c r="Y361" i="1"/>
  <c r="X361" i="1"/>
  <c r="W361" i="1"/>
  <c r="V361" i="1"/>
  <c r="U361" i="1"/>
  <c r="T361" i="1"/>
  <c r="S361" i="1"/>
  <c r="R361" i="1"/>
  <c r="Q361" i="1"/>
  <c r="P361" i="1"/>
  <c r="O361" i="1"/>
  <c r="N361" i="1"/>
  <c r="M361" i="1"/>
  <c r="L361" i="1"/>
  <c r="K361" i="1"/>
  <c r="J361" i="1"/>
  <c r="I361" i="1"/>
  <c r="H361" i="1"/>
  <c r="G361" i="1"/>
  <c r="F361" i="1"/>
  <c r="E361" i="1"/>
  <c r="D361" i="1"/>
  <c r="C361" i="1"/>
  <c r="B361" i="1"/>
  <c r="A361" i="1"/>
  <c r="AE360" i="1"/>
  <c r="AD360" i="1"/>
  <c r="AC360" i="1"/>
  <c r="AB360" i="1"/>
  <c r="AA360" i="1"/>
  <c r="Z360" i="1"/>
  <c r="Y360" i="1"/>
  <c r="X360" i="1"/>
  <c r="W360" i="1"/>
  <c r="V360" i="1"/>
  <c r="U360" i="1"/>
  <c r="T360" i="1"/>
  <c r="S360" i="1"/>
  <c r="R360" i="1"/>
  <c r="Q360" i="1"/>
  <c r="P360" i="1"/>
  <c r="O360" i="1"/>
  <c r="N360" i="1"/>
  <c r="M360" i="1"/>
  <c r="L360" i="1"/>
  <c r="K360" i="1"/>
  <c r="J360" i="1"/>
  <c r="I360" i="1"/>
  <c r="H360" i="1"/>
  <c r="G360" i="1"/>
  <c r="F360" i="1"/>
  <c r="E360" i="1"/>
  <c r="D360" i="1"/>
  <c r="C360" i="1"/>
  <c r="B360" i="1"/>
  <c r="A360" i="1"/>
  <c r="AE359" i="1"/>
  <c r="AD359" i="1"/>
  <c r="AC359" i="1"/>
  <c r="AB359" i="1"/>
  <c r="AA359" i="1"/>
  <c r="Z359" i="1"/>
  <c r="Y359" i="1"/>
  <c r="X359" i="1"/>
  <c r="W359" i="1"/>
  <c r="V359" i="1"/>
  <c r="U359" i="1"/>
  <c r="T359" i="1"/>
  <c r="S359" i="1"/>
  <c r="R359" i="1"/>
  <c r="Q359" i="1"/>
  <c r="P359" i="1"/>
  <c r="O359" i="1"/>
  <c r="N359" i="1"/>
  <c r="M359" i="1"/>
  <c r="L359" i="1"/>
  <c r="K359" i="1"/>
  <c r="J359" i="1"/>
  <c r="I359" i="1"/>
  <c r="H359" i="1"/>
  <c r="G359" i="1"/>
  <c r="F359" i="1"/>
  <c r="E359" i="1"/>
  <c r="D359" i="1"/>
  <c r="C359" i="1"/>
  <c r="B359" i="1"/>
  <c r="A359" i="1"/>
  <c r="AE358" i="1"/>
  <c r="AD358" i="1"/>
  <c r="AC358" i="1"/>
  <c r="AB358" i="1"/>
  <c r="AA358" i="1"/>
  <c r="Z358" i="1"/>
  <c r="Y358" i="1"/>
  <c r="X358" i="1"/>
  <c r="W358" i="1"/>
  <c r="V358" i="1"/>
  <c r="U358" i="1"/>
  <c r="T358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F358" i="1"/>
  <c r="E358" i="1"/>
  <c r="D358" i="1"/>
  <c r="C358" i="1"/>
  <c r="B358" i="1"/>
  <c r="A358" i="1"/>
  <c r="AE357" i="1"/>
  <c r="AD357" i="1"/>
  <c r="AC357" i="1"/>
  <c r="AB357" i="1"/>
  <c r="AA357" i="1"/>
  <c r="Z357" i="1"/>
  <c r="Y357" i="1"/>
  <c r="X357" i="1"/>
  <c r="W357" i="1"/>
  <c r="V357" i="1"/>
  <c r="U357" i="1"/>
  <c r="T357" i="1"/>
  <c r="S357" i="1"/>
  <c r="R357" i="1"/>
  <c r="Q357" i="1"/>
  <c r="P357" i="1"/>
  <c r="O357" i="1"/>
  <c r="N357" i="1"/>
  <c r="M357" i="1"/>
  <c r="L357" i="1"/>
  <c r="K357" i="1"/>
  <c r="J357" i="1"/>
  <c r="I357" i="1"/>
  <c r="H357" i="1"/>
  <c r="G357" i="1"/>
  <c r="F357" i="1"/>
  <c r="E357" i="1"/>
  <c r="D357" i="1"/>
  <c r="C357" i="1"/>
  <c r="B357" i="1"/>
  <c r="A357" i="1"/>
  <c r="AE356" i="1"/>
  <c r="AD356" i="1"/>
  <c r="AC356" i="1"/>
  <c r="AB356" i="1"/>
  <c r="AA356" i="1"/>
  <c r="Z356" i="1"/>
  <c r="Y356" i="1"/>
  <c r="X356" i="1"/>
  <c r="W356" i="1"/>
  <c r="V356" i="1"/>
  <c r="U356" i="1"/>
  <c r="T356" i="1"/>
  <c r="S356" i="1"/>
  <c r="R356" i="1"/>
  <c r="Q356" i="1"/>
  <c r="P356" i="1"/>
  <c r="O356" i="1"/>
  <c r="N356" i="1"/>
  <c r="M356" i="1"/>
  <c r="L356" i="1"/>
  <c r="K356" i="1"/>
  <c r="J356" i="1"/>
  <c r="I356" i="1"/>
  <c r="H356" i="1"/>
  <c r="G356" i="1"/>
  <c r="F356" i="1"/>
  <c r="E356" i="1"/>
  <c r="D356" i="1"/>
  <c r="C356" i="1"/>
  <c r="B356" i="1"/>
  <c r="A356" i="1"/>
  <c r="AE355" i="1"/>
  <c r="AD355" i="1"/>
  <c r="AC355" i="1"/>
  <c r="AB355" i="1"/>
  <c r="AA355" i="1"/>
  <c r="Z355" i="1"/>
  <c r="Y355" i="1"/>
  <c r="X355" i="1"/>
  <c r="W355" i="1"/>
  <c r="V355" i="1"/>
  <c r="U355" i="1"/>
  <c r="T355" i="1"/>
  <c r="S355" i="1"/>
  <c r="R355" i="1"/>
  <c r="Q355" i="1"/>
  <c r="P355" i="1"/>
  <c r="O355" i="1"/>
  <c r="N355" i="1"/>
  <c r="M355" i="1"/>
  <c r="L355" i="1"/>
  <c r="K355" i="1"/>
  <c r="J355" i="1"/>
  <c r="I355" i="1"/>
  <c r="H355" i="1"/>
  <c r="G355" i="1"/>
  <c r="F355" i="1"/>
  <c r="E355" i="1"/>
  <c r="D355" i="1"/>
  <c r="C355" i="1"/>
  <c r="B355" i="1"/>
  <c r="A355" i="1"/>
  <c r="AE354" i="1"/>
  <c r="AD354" i="1"/>
  <c r="AC354" i="1"/>
  <c r="AB354" i="1"/>
  <c r="AA354" i="1"/>
  <c r="Z354" i="1"/>
  <c r="Y354" i="1"/>
  <c r="X354" i="1"/>
  <c r="W354" i="1"/>
  <c r="V354" i="1"/>
  <c r="U354" i="1"/>
  <c r="T354" i="1"/>
  <c r="S354" i="1"/>
  <c r="R354" i="1"/>
  <c r="Q354" i="1"/>
  <c r="P354" i="1"/>
  <c r="O354" i="1"/>
  <c r="N354" i="1"/>
  <c r="M354" i="1"/>
  <c r="L354" i="1"/>
  <c r="K354" i="1"/>
  <c r="J354" i="1"/>
  <c r="I354" i="1"/>
  <c r="H354" i="1"/>
  <c r="G354" i="1"/>
  <c r="F354" i="1"/>
  <c r="E354" i="1"/>
  <c r="D354" i="1"/>
  <c r="C354" i="1"/>
  <c r="B354" i="1"/>
  <c r="A354" i="1"/>
  <c r="AE353" i="1"/>
  <c r="AD353" i="1"/>
  <c r="AC353" i="1"/>
  <c r="AB353" i="1"/>
  <c r="AA353" i="1"/>
  <c r="Z353" i="1"/>
  <c r="Y353" i="1"/>
  <c r="X353" i="1"/>
  <c r="W353" i="1"/>
  <c r="V353" i="1"/>
  <c r="U353" i="1"/>
  <c r="T353" i="1"/>
  <c r="S353" i="1"/>
  <c r="R353" i="1"/>
  <c r="Q353" i="1"/>
  <c r="P353" i="1"/>
  <c r="O353" i="1"/>
  <c r="N353" i="1"/>
  <c r="M353" i="1"/>
  <c r="L353" i="1"/>
  <c r="K353" i="1"/>
  <c r="J353" i="1"/>
  <c r="I353" i="1"/>
  <c r="H353" i="1"/>
  <c r="G353" i="1"/>
  <c r="F353" i="1"/>
  <c r="E353" i="1"/>
  <c r="D353" i="1"/>
  <c r="C353" i="1"/>
  <c r="B353" i="1"/>
  <c r="A353" i="1"/>
  <c r="AE352" i="1"/>
  <c r="AD352" i="1"/>
  <c r="AC352" i="1"/>
  <c r="AB352" i="1"/>
  <c r="AA352" i="1"/>
  <c r="Z352" i="1"/>
  <c r="Y352" i="1"/>
  <c r="X352" i="1"/>
  <c r="W352" i="1"/>
  <c r="V352" i="1"/>
  <c r="U352" i="1"/>
  <c r="T352" i="1"/>
  <c r="S352" i="1"/>
  <c r="R352" i="1"/>
  <c r="Q352" i="1"/>
  <c r="P352" i="1"/>
  <c r="O352" i="1"/>
  <c r="N352" i="1"/>
  <c r="M352" i="1"/>
  <c r="L352" i="1"/>
  <c r="K352" i="1"/>
  <c r="J352" i="1"/>
  <c r="I352" i="1"/>
  <c r="H352" i="1"/>
  <c r="G352" i="1"/>
  <c r="F352" i="1"/>
  <c r="E352" i="1"/>
  <c r="D352" i="1"/>
  <c r="C352" i="1"/>
  <c r="B352" i="1"/>
  <c r="A352" i="1"/>
  <c r="AE351" i="1"/>
  <c r="AD351" i="1"/>
  <c r="AC351" i="1"/>
  <c r="AB351" i="1"/>
  <c r="AA351" i="1"/>
  <c r="Z351" i="1"/>
  <c r="Y351" i="1"/>
  <c r="X351" i="1"/>
  <c r="W351" i="1"/>
  <c r="V351" i="1"/>
  <c r="U351" i="1"/>
  <c r="T351" i="1"/>
  <c r="S351" i="1"/>
  <c r="R351" i="1"/>
  <c r="Q351" i="1"/>
  <c r="P351" i="1"/>
  <c r="O351" i="1"/>
  <c r="N351" i="1"/>
  <c r="M351" i="1"/>
  <c r="L351" i="1"/>
  <c r="K351" i="1"/>
  <c r="J351" i="1"/>
  <c r="I351" i="1"/>
  <c r="H351" i="1"/>
  <c r="G351" i="1"/>
  <c r="F351" i="1"/>
  <c r="E351" i="1"/>
  <c r="D351" i="1"/>
  <c r="C351" i="1"/>
  <c r="B351" i="1"/>
  <c r="A351" i="1"/>
  <c r="AE350" i="1"/>
  <c r="AD350" i="1"/>
  <c r="AC350" i="1"/>
  <c r="AB350" i="1"/>
  <c r="AA350" i="1"/>
  <c r="Z350" i="1"/>
  <c r="Y350" i="1"/>
  <c r="X350" i="1"/>
  <c r="W350" i="1"/>
  <c r="V350" i="1"/>
  <c r="U350" i="1"/>
  <c r="T350" i="1"/>
  <c r="S350" i="1"/>
  <c r="R350" i="1"/>
  <c r="Q350" i="1"/>
  <c r="P350" i="1"/>
  <c r="O350" i="1"/>
  <c r="N350" i="1"/>
  <c r="M350" i="1"/>
  <c r="L350" i="1"/>
  <c r="K350" i="1"/>
  <c r="J350" i="1"/>
  <c r="I350" i="1"/>
  <c r="H350" i="1"/>
  <c r="G350" i="1"/>
  <c r="F350" i="1"/>
  <c r="E350" i="1"/>
  <c r="D350" i="1"/>
  <c r="C350" i="1"/>
  <c r="B350" i="1"/>
  <c r="A350" i="1"/>
  <c r="AE349" i="1"/>
  <c r="AD349" i="1"/>
  <c r="AC349" i="1"/>
  <c r="AB349" i="1"/>
  <c r="AA349" i="1"/>
  <c r="Z349" i="1"/>
  <c r="Y349" i="1"/>
  <c r="X349" i="1"/>
  <c r="W349" i="1"/>
  <c r="V349" i="1"/>
  <c r="U349" i="1"/>
  <c r="T349" i="1"/>
  <c r="S349" i="1"/>
  <c r="R349" i="1"/>
  <c r="Q349" i="1"/>
  <c r="P349" i="1"/>
  <c r="O349" i="1"/>
  <c r="N349" i="1"/>
  <c r="M349" i="1"/>
  <c r="L349" i="1"/>
  <c r="K349" i="1"/>
  <c r="J349" i="1"/>
  <c r="I349" i="1"/>
  <c r="H349" i="1"/>
  <c r="G349" i="1"/>
  <c r="F349" i="1"/>
  <c r="E349" i="1"/>
  <c r="D349" i="1"/>
  <c r="C349" i="1"/>
  <c r="B349" i="1"/>
  <c r="A349" i="1"/>
  <c r="AE348" i="1"/>
  <c r="AD348" i="1"/>
  <c r="AC348" i="1"/>
  <c r="AB348" i="1"/>
  <c r="AA348" i="1"/>
  <c r="Z348" i="1"/>
  <c r="Y348" i="1"/>
  <c r="X348" i="1"/>
  <c r="W348" i="1"/>
  <c r="V348" i="1"/>
  <c r="U348" i="1"/>
  <c r="T348" i="1"/>
  <c r="S348" i="1"/>
  <c r="R348" i="1"/>
  <c r="Q348" i="1"/>
  <c r="P348" i="1"/>
  <c r="O348" i="1"/>
  <c r="N348" i="1"/>
  <c r="M348" i="1"/>
  <c r="L348" i="1"/>
  <c r="K348" i="1"/>
  <c r="J348" i="1"/>
  <c r="I348" i="1"/>
  <c r="H348" i="1"/>
  <c r="G348" i="1"/>
  <c r="F348" i="1"/>
  <c r="E348" i="1"/>
  <c r="D348" i="1"/>
  <c r="C348" i="1"/>
  <c r="B348" i="1"/>
  <c r="A348" i="1"/>
  <c r="AE347" i="1"/>
  <c r="AD347" i="1"/>
  <c r="AC347" i="1"/>
  <c r="AB347" i="1"/>
  <c r="AA347" i="1"/>
  <c r="Z347" i="1"/>
  <c r="Y347" i="1"/>
  <c r="X347" i="1"/>
  <c r="W347" i="1"/>
  <c r="V347" i="1"/>
  <c r="U347" i="1"/>
  <c r="T347" i="1"/>
  <c r="S347" i="1"/>
  <c r="R347" i="1"/>
  <c r="Q347" i="1"/>
  <c r="P347" i="1"/>
  <c r="O347" i="1"/>
  <c r="N347" i="1"/>
  <c r="M347" i="1"/>
  <c r="L347" i="1"/>
  <c r="K347" i="1"/>
  <c r="J347" i="1"/>
  <c r="I347" i="1"/>
  <c r="H347" i="1"/>
  <c r="G347" i="1"/>
  <c r="F347" i="1"/>
  <c r="E347" i="1"/>
  <c r="D347" i="1"/>
  <c r="C347" i="1"/>
  <c r="B347" i="1"/>
  <c r="A347" i="1"/>
  <c r="AE346" i="1"/>
  <c r="AD346" i="1"/>
  <c r="AC346" i="1"/>
  <c r="AB346" i="1"/>
  <c r="AA346" i="1"/>
  <c r="Z346" i="1"/>
  <c r="Y346" i="1"/>
  <c r="X346" i="1"/>
  <c r="W346" i="1"/>
  <c r="V346" i="1"/>
  <c r="U346" i="1"/>
  <c r="T346" i="1"/>
  <c r="S346" i="1"/>
  <c r="R346" i="1"/>
  <c r="Q346" i="1"/>
  <c r="P346" i="1"/>
  <c r="O346" i="1"/>
  <c r="N346" i="1"/>
  <c r="M346" i="1"/>
  <c r="L346" i="1"/>
  <c r="K346" i="1"/>
  <c r="J346" i="1"/>
  <c r="I346" i="1"/>
  <c r="H346" i="1"/>
  <c r="G346" i="1"/>
  <c r="F346" i="1"/>
  <c r="E346" i="1"/>
  <c r="D346" i="1"/>
  <c r="C346" i="1"/>
  <c r="B346" i="1"/>
  <c r="A346" i="1"/>
  <c r="AE345" i="1"/>
  <c r="AD345" i="1"/>
  <c r="AC345" i="1"/>
  <c r="AB345" i="1"/>
  <c r="AA345" i="1"/>
  <c r="Z345" i="1"/>
  <c r="Y345" i="1"/>
  <c r="X345" i="1"/>
  <c r="W345" i="1"/>
  <c r="V345" i="1"/>
  <c r="U345" i="1"/>
  <c r="T345" i="1"/>
  <c r="S345" i="1"/>
  <c r="R345" i="1"/>
  <c r="Q345" i="1"/>
  <c r="P345" i="1"/>
  <c r="O345" i="1"/>
  <c r="N345" i="1"/>
  <c r="M345" i="1"/>
  <c r="L345" i="1"/>
  <c r="K345" i="1"/>
  <c r="J345" i="1"/>
  <c r="I345" i="1"/>
  <c r="H345" i="1"/>
  <c r="G345" i="1"/>
  <c r="F345" i="1"/>
  <c r="E345" i="1"/>
  <c r="D345" i="1"/>
  <c r="C345" i="1"/>
  <c r="B345" i="1"/>
  <c r="A345" i="1"/>
  <c r="AE344" i="1"/>
  <c r="AD344" i="1"/>
  <c r="AC344" i="1"/>
  <c r="AB344" i="1"/>
  <c r="AA344" i="1"/>
  <c r="Z344" i="1"/>
  <c r="Y344" i="1"/>
  <c r="X344" i="1"/>
  <c r="W344" i="1"/>
  <c r="V344" i="1"/>
  <c r="U344" i="1"/>
  <c r="T344" i="1"/>
  <c r="S344" i="1"/>
  <c r="R344" i="1"/>
  <c r="Q344" i="1"/>
  <c r="P344" i="1"/>
  <c r="O344" i="1"/>
  <c r="N344" i="1"/>
  <c r="M344" i="1"/>
  <c r="L344" i="1"/>
  <c r="K344" i="1"/>
  <c r="J344" i="1"/>
  <c r="I344" i="1"/>
  <c r="H344" i="1"/>
  <c r="G344" i="1"/>
  <c r="F344" i="1"/>
  <c r="E344" i="1"/>
  <c r="D344" i="1"/>
  <c r="C344" i="1"/>
  <c r="B344" i="1"/>
  <c r="A344" i="1"/>
  <c r="AE343" i="1"/>
  <c r="AD343" i="1"/>
  <c r="AC343" i="1"/>
  <c r="AB343" i="1"/>
  <c r="AA343" i="1"/>
  <c r="Z343" i="1"/>
  <c r="Y343" i="1"/>
  <c r="X343" i="1"/>
  <c r="W343" i="1"/>
  <c r="V343" i="1"/>
  <c r="U343" i="1"/>
  <c r="T343" i="1"/>
  <c r="S343" i="1"/>
  <c r="R343" i="1"/>
  <c r="Q343" i="1"/>
  <c r="P343" i="1"/>
  <c r="O343" i="1"/>
  <c r="N343" i="1"/>
  <c r="M343" i="1"/>
  <c r="L343" i="1"/>
  <c r="K343" i="1"/>
  <c r="J343" i="1"/>
  <c r="I343" i="1"/>
  <c r="H343" i="1"/>
  <c r="G343" i="1"/>
  <c r="F343" i="1"/>
  <c r="E343" i="1"/>
  <c r="D343" i="1"/>
  <c r="C343" i="1"/>
  <c r="B343" i="1"/>
  <c r="A343" i="1"/>
  <c r="AE342" i="1"/>
  <c r="AD342" i="1"/>
  <c r="AC342" i="1"/>
  <c r="AB342" i="1"/>
  <c r="AA342" i="1"/>
  <c r="Z342" i="1"/>
  <c r="Y342" i="1"/>
  <c r="X342" i="1"/>
  <c r="W342" i="1"/>
  <c r="V342" i="1"/>
  <c r="U342" i="1"/>
  <c r="T342" i="1"/>
  <c r="S342" i="1"/>
  <c r="R342" i="1"/>
  <c r="Q342" i="1"/>
  <c r="P342" i="1"/>
  <c r="O342" i="1"/>
  <c r="N342" i="1"/>
  <c r="M342" i="1"/>
  <c r="L342" i="1"/>
  <c r="K342" i="1"/>
  <c r="J342" i="1"/>
  <c r="I342" i="1"/>
  <c r="H342" i="1"/>
  <c r="G342" i="1"/>
  <c r="F342" i="1"/>
  <c r="E342" i="1"/>
  <c r="D342" i="1"/>
  <c r="C342" i="1"/>
  <c r="B342" i="1"/>
  <c r="A342" i="1"/>
  <c r="AE341" i="1"/>
  <c r="AD341" i="1"/>
  <c r="AC341" i="1"/>
  <c r="AB341" i="1"/>
  <c r="AA341" i="1"/>
  <c r="Z341" i="1"/>
  <c r="Y341" i="1"/>
  <c r="X341" i="1"/>
  <c r="W341" i="1"/>
  <c r="V341" i="1"/>
  <c r="U341" i="1"/>
  <c r="T341" i="1"/>
  <c r="S341" i="1"/>
  <c r="R341" i="1"/>
  <c r="Q341" i="1"/>
  <c r="P341" i="1"/>
  <c r="O341" i="1"/>
  <c r="N341" i="1"/>
  <c r="M341" i="1"/>
  <c r="L341" i="1"/>
  <c r="K341" i="1"/>
  <c r="J341" i="1"/>
  <c r="I341" i="1"/>
  <c r="H341" i="1"/>
  <c r="G341" i="1"/>
  <c r="F341" i="1"/>
  <c r="E341" i="1"/>
  <c r="D341" i="1"/>
  <c r="C341" i="1"/>
  <c r="B341" i="1"/>
  <c r="A341" i="1"/>
  <c r="AE340" i="1"/>
  <c r="AD340" i="1"/>
  <c r="AC340" i="1"/>
  <c r="AB340" i="1"/>
  <c r="AA340" i="1"/>
  <c r="Z340" i="1"/>
  <c r="Y340" i="1"/>
  <c r="X340" i="1"/>
  <c r="W340" i="1"/>
  <c r="V340" i="1"/>
  <c r="U340" i="1"/>
  <c r="T340" i="1"/>
  <c r="S340" i="1"/>
  <c r="R340" i="1"/>
  <c r="Q340" i="1"/>
  <c r="P340" i="1"/>
  <c r="O340" i="1"/>
  <c r="N340" i="1"/>
  <c r="M340" i="1"/>
  <c r="L340" i="1"/>
  <c r="K340" i="1"/>
  <c r="J340" i="1"/>
  <c r="I340" i="1"/>
  <c r="H340" i="1"/>
  <c r="G340" i="1"/>
  <c r="F340" i="1"/>
  <c r="E340" i="1"/>
  <c r="D340" i="1"/>
  <c r="C340" i="1"/>
  <c r="B340" i="1"/>
  <c r="A340" i="1"/>
  <c r="AE339" i="1"/>
  <c r="AD339" i="1"/>
  <c r="AC339" i="1"/>
  <c r="AB339" i="1"/>
  <c r="AA339" i="1"/>
  <c r="Z339" i="1"/>
  <c r="Y339" i="1"/>
  <c r="X339" i="1"/>
  <c r="W339" i="1"/>
  <c r="V339" i="1"/>
  <c r="U339" i="1"/>
  <c r="T339" i="1"/>
  <c r="S339" i="1"/>
  <c r="R339" i="1"/>
  <c r="Q339" i="1"/>
  <c r="P339" i="1"/>
  <c r="O339" i="1"/>
  <c r="N339" i="1"/>
  <c r="M339" i="1"/>
  <c r="L339" i="1"/>
  <c r="K339" i="1"/>
  <c r="J339" i="1"/>
  <c r="I339" i="1"/>
  <c r="H339" i="1"/>
  <c r="G339" i="1"/>
  <c r="F339" i="1"/>
  <c r="E339" i="1"/>
  <c r="D339" i="1"/>
  <c r="C339" i="1"/>
  <c r="B339" i="1"/>
  <c r="A339" i="1"/>
  <c r="AE338" i="1"/>
  <c r="AD338" i="1"/>
  <c r="AC338" i="1"/>
  <c r="AB338" i="1"/>
  <c r="AA338" i="1"/>
  <c r="Z338" i="1"/>
  <c r="Y338" i="1"/>
  <c r="X338" i="1"/>
  <c r="W338" i="1"/>
  <c r="V338" i="1"/>
  <c r="U338" i="1"/>
  <c r="T338" i="1"/>
  <c r="S338" i="1"/>
  <c r="R338" i="1"/>
  <c r="Q338" i="1"/>
  <c r="P338" i="1"/>
  <c r="O338" i="1"/>
  <c r="N338" i="1"/>
  <c r="M338" i="1"/>
  <c r="L338" i="1"/>
  <c r="K338" i="1"/>
  <c r="J338" i="1"/>
  <c r="I338" i="1"/>
  <c r="H338" i="1"/>
  <c r="G338" i="1"/>
  <c r="F338" i="1"/>
  <c r="E338" i="1"/>
  <c r="D338" i="1"/>
  <c r="C338" i="1"/>
  <c r="B338" i="1"/>
  <c r="A338" i="1"/>
  <c r="AE337" i="1"/>
  <c r="AD337" i="1"/>
  <c r="AC337" i="1"/>
  <c r="AB337" i="1"/>
  <c r="AA337" i="1"/>
  <c r="Z337" i="1"/>
  <c r="Y337" i="1"/>
  <c r="X337" i="1"/>
  <c r="W337" i="1"/>
  <c r="V337" i="1"/>
  <c r="U337" i="1"/>
  <c r="T337" i="1"/>
  <c r="S337" i="1"/>
  <c r="R337" i="1"/>
  <c r="Q337" i="1"/>
  <c r="P337" i="1"/>
  <c r="O337" i="1"/>
  <c r="N337" i="1"/>
  <c r="M337" i="1"/>
  <c r="L337" i="1"/>
  <c r="K337" i="1"/>
  <c r="J337" i="1"/>
  <c r="I337" i="1"/>
  <c r="H337" i="1"/>
  <c r="G337" i="1"/>
  <c r="F337" i="1"/>
  <c r="E337" i="1"/>
  <c r="D337" i="1"/>
  <c r="C337" i="1"/>
  <c r="B337" i="1"/>
  <c r="A337" i="1"/>
  <c r="AE336" i="1"/>
  <c r="AD336" i="1"/>
  <c r="AC336" i="1"/>
  <c r="AB336" i="1"/>
  <c r="AA336" i="1"/>
  <c r="Z336" i="1"/>
  <c r="Y336" i="1"/>
  <c r="X336" i="1"/>
  <c r="W336" i="1"/>
  <c r="V336" i="1"/>
  <c r="U336" i="1"/>
  <c r="T336" i="1"/>
  <c r="S336" i="1"/>
  <c r="R336" i="1"/>
  <c r="Q336" i="1"/>
  <c r="P336" i="1"/>
  <c r="O336" i="1"/>
  <c r="N336" i="1"/>
  <c r="M336" i="1"/>
  <c r="L336" i="1"/>
  <c r="K336" i="1"/>
  <c r="J336" i="1"/>
  <c r="I336" i="1"/>
  <c r="H336" i="1"/>
  <c r="G336" i="1"/>
  <c r="F336" i="1"/>
  <c r="E336" i="1"/>
  <c r="D336" i="1"/>
  <c r="C336" i="1"/>
  <c r="B336" i="1"/>
  <c r="A336" i="1"/>
  <c r="AE335" i="1"/>
  <c r="AD335" i="1"/>
  <c r="AC335" i="1"/>
  <c r="AB335" i="1"/>
  <c r="AA335" i="1"/>
  <c r="Z335" i="1"/>
  <c r="Y335" i="1"/>
  <c r="X335" i="1"/>
  <c r="W335" i="1"/>
  <c r="V335" i="1"/>
  <c r="U335" i="1"/>
  <c r="T335" i="1"/>
  <c r="S335" i="1"/>
  <c r="R335" i="1"/>
  <c r="Q335" i="1"/>
  <c r="P335" i="1"/>
  <c r="O335" i="1"/>
  <c r="N335" i="1"/>
  <c r="M335" i="1"/>
  <c r="L335" i="1"/>
  <c r="K335" i="1"/>
  <c r="J335" i="1"/>
  <c r="I335" i="1"/>
  <c r="H335" i="1"/>
  <c r="G335" i="1"/>
  <c r="F335" i="1"/>
  <c r="E335" i="1"/>
  <c r="D335" i="1"/>
  <c r="C335" i="1"/>
  <c r="B335" i="1"/>
  <c r="A335" i="1"/>
  <c r="AE334" i="1"/>
  <c r="AD334" i="1"/>
  <c r="AC334" i="1"/>
  <c r="AB334" i="1"/>
  <c r="AA334" i="1"/>
  <c r="Z334" i="1"/>
  <c r="Y334" i="1"/>
  <c r="X334" i="1"/>
  <c r="W334" i="1"/>
  <c r="V334" i="1"/>
  <c r="U334" i="1"/>
  <c r="T334" i="1"/>
  <c r="S334" i="1"/>
  <c r="R334" i="1"/>
  <c r="Q334" i="1"/>
  <c r="P334" i="1"/>
  <c r="O334" i="1"/>
  <c r="N334" i="1"/>
  <c r="M334" i="1"/>
  <c r="L334" i="1"/>
  <c r="K334" i="1"/>
  <c r="J334" i="1"/>
  <c r="I334" i="1"/>
  <c r="H334" i="1"/>
  <c r="G334" i="1"/>
  <c r="F334" i="1"/>
  <c r="E334" i="1"/>
  <c r="D334" i="1"/>
  <c r="C334" i="1"/>
  <c r="B334" i="1"/>
  <c r="A334" i="1"/>
  <c r="AE333" i="1"/>
  <c r="AD333" i="1"/>
  <c r="AC333" i="1"/>
  <c r="AB333" i="1"/>
  <c r="AA333" i="1"/>
  <c r="Z333" i="1"/>
  <c r="Y333" i="1"/>
  <c r="X333" i="1"/>
  <c r="W333" i="1"/>
  <c r="V333" i="1"/>
  <c r="U333" i="1"/>
  <c r="T333" i="1"/>
  <c r="S333" i="1"/>
  <c r="R333" i="1"/>
  <c r="Q333" i="1"/>
  <c r="P333" i="1"/>
  <c r="O333" i="1"/>
  <c r="N333" i="1"/>
  <c r="M333" i="1"/>
  <c r="L333" i="1"/>
  <c r="K333" i="1"/>
  <c r="J333" i="1"/>
  <c r="I333" i="1"/>
  <c r="H333" i="1"/>
  <c r="G333" i="1"/>
  <c r="F333" i="1"/>
  <c r="E333" i="1"/>
  <c r="D333" i="1"/>
  <c r="C333" i="1"/>
  <c r="B333" i="1"/>
  <c r="A333" i="1"/>
  <c r="AE332" i="1"/>
  <c r="AD332" i="1"/>
  <c r="AC332" i="1"/>
  <c r="AB332" i="1"/>
  <c r="AA332" i="1"/>
  <c r="Z332" i="1"/>
  <c r="Y332" i="1"/>
  <c r="X332" i="1"/>
  <c r="W332" i="1"/>
  <c r="V332" i="1"/>
  <c r="U332" i="1"/>
  <c r="T332" i="1"/>
  <c r="S332" i="1"/>
  <c r="R332" i="1"/>
  <c r="Q332" i="1"/>
  <c r="P332" i="1"/>
  <c r="O332" i="1"/>
  <c r="N332" i="1"/>
  <c r="M332" i="1"/>
  <c r="L332" i="1"/>
  <c r="K332" i="1"/>
  <c r="J332" i="1"/>
  <c r="I332" i="1"/>
  <c r="H332" i="1"/>
  <c r="G332" i="1"/>
  <c r="F332" i="1"/>
  <c r="E332" i="1"/>
  <c r="D332" i="1"/>
  <c r="C332" i="1"/>
  <c r="B332" i="1"/>
  <c r="A332" i="1"/>
  <c r="AE331" i="1"/>
  <c r="AD331" i="1"/>
  <c r="AC331" i="1"/>
  <c r="AB331" i="1"/>
  <c r="AA331" i="1"/>
  <c r="Z331" i="1"/>
  <c r="Y331" i="1"/>
  <c r="X331" i="1"/>
  <c r="W331" i="1"/>
  <c r="V331" i="1"/>
  <c r="U331" i="1"/>
  <c r="T331" i="1"/>
  <c r="S331" i="1"/>
  <c r="R331" i="1"/>
  <c r="Q331" i="1"/>
  <c r="P331" i="1"/>
  <c r="O331" i="1"/>
  <c r="N331" i="1"/>
  <c r="M331" i="1"/>
  <c r="L331" i="1"/>
  <c r="K331" i="1"/>
  <c r="J331" i="1"/>
  <c r="I331" i="1"/>
  <c r="H331" i="1"/>
  <c r="G331" i="1"/>
  <c r="F331" i="1"/>
  <c r="E331" i="1"/>
  <c r="D331" i="1"/>
  <c r="C331" i="1"/>
  <c r="B331" i="1"/>
  <c r="A331" i="1"/>
  <c r="AE330" i="1"/>
  <c r="AD330" i="1"/>
  <c r="AC330" i="1"/>
  <c r="AB330" i="1"/>
  <c r="AA330" i="1"/>
  <c r="Z330" i="1"/>
  <c r="Y330" i="1"/>
  <c r="X330" i="1"/>
  <c r="W330" i="1"/>
  <c r="V330" i="1"/>
  <c r="U330" i="1"/>
  <c r="T330" i="1"/>
  <c r="S330" i="1"/>
  <c r="R330" i="1"/>
  <c r="Q330" i="1"/>
  <c r="P330" i="1"/>
  <c r="O330" i="1"/>
  <c r="N330" i="1"/>
  <c r="M330" i="1"/>
  <c r="L330" i="1"/>
  <c r="K330" i="1"/>
  <c r="J330" i="1"/>
  <c r="I330" i="1"/>
  <c r="H330" i="1"/>
  <c r="G330" i="1"/>
  <c r="F330" i="1"/>
  <c r="E330" i="1"/>
  <c r="D330" i="1"/>
  <c r="C330" i="1"/>
  <c r="B330" i="1"/>
  <c r="A330" i="1"/>
  <c r="AE329" i="1"/>
  <c r="AD329" i="1"/>
  <c r="AC329" i="1"/>
  <c r="AB329" i="1"/>
  <c r="AA329" i="1"/>
  <c r="Z329" i="1"/>
  <c r="Y329" i="1"/>
  <c r="X329" i="1"/>
  <c r="W329" i="1"/>
  <c r="V329" i="1"/>
  <c r="U329" i="1"/>
  <c r="T329" i="1"/>
  <c r="S329" i="1"/>
  <c r="R329" i="1"/>
  <c r="Q329" i="1"/>
  <c r="P329" i="1"/>
  <c r="O329" i="1"/>
  <c r="N329" i="1"/>
  <c r="M329" i="1"/>
  <c r="L329" i="1"/>
  <c r="K329" i="1"/>
  <c r="J329" i="1"/>
  <c r="I329" i="1"/>
  <c r="H329" i="1"/>
  <c r="G329" i="1"/>
  <c r="F329" i="1"/>
  <c r="E329" i="1"/>
  <c r="D329" i="1"/>
  <c r="C329" i="1"/>
  <c r="B329" i="1"/>
  <c r="A329" i="1"/>
  <c r="AE328" i="1"/>
  <c r="AD328" i="1"/>
  <c r="AC328" i="1"/>
  <c r="AB328" i="1"/>
  <c r="AA328" i="1"/>
  <c r="Z328" i="1"/>
  <c r="Y328" i="1"/>
  <c r="X328" i="1"/>
  <c r="W328" i="1"/>
  <c r="V328" i="1"/>
  <c r="U328" i="1"/>
  <c r="T328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G328" i="1"/>
  <c r="F328" i="1"/>
  <c r="E328" i="1"/>
  <c r="D328" i="1"/>
  <c r="C328" i="1"/>
  <c r="B328" i="1"/>
  <c r="A328" i="1"/>
  <c r="AE327" i="1"/>
  <c r="AD327" i="1"/>
  <c r="AC327" i="1"/>
  <c r="AB327" i="1"/>
  <c r="AA327" i="1"/>
  <c r="Z327" i="1"/>
  <c r="Y327" i="1"/>
  <c r="X327" i="1"/>
  <c r="W327" i="1"/>
  <c r="V327" i="1"/>
  <c r="U327" i="1"/>
  <c r="T327" i="1"/>
  <c r="S327" i="1"/>
  <c r="R327" i="1"/>
  <c r="Q327" i="1"/>
  <c r="P327" i="1"/>
  <c r="O327" i="1"/>
  <c r="N327" i="1"/>
  <c r="M327" i="1"/>
  <c r="L327" i="1"/>
  <c r="K327" i="1"/>
  <c r="J327" i="1"/>
  <c r="I327" i="1"/>
  <c r="H327" i="1"/>
  <c r="G327" i="1"/>
  <c r="F327" i="1"/>
  <c r="E327" i="1"/>
  <c r="D327" i="1"/>
  <c r="C327" i="1"/>
  <c r="B327" i="1"/>
  <c r="A327" i="1"/>
  <c r="AE326" i="1"/>
  <c r="AD326" i="1"/>
  <c r="AC326" i="1"/>
  <c r="AB326" i="1"/>
  <c r="AA326" i="1"/>
  <c r="Z326" i="1"/>
  <c r="Y326" i="1"/>
  <c r="X326" i="1"/>
  <c r="W326" i="1"/>
  <c r="V326" i="1"/>
  <c r="U326" i="1"/>
  <c r="T326" i="1"/>
  <c r="S326" i="1"/>
  <c r="R326" i="1"/>
  <c r="Q326" i="1"/>
  <c r="P326" i="1"/>
  <c r="O326" i="1"/>
  <c r="N326" i="1"/>
  <c r="M326" i="1"/>
  <c r="L326" i="1"/>
  <c r="K326" i="1"/>
  <c r="J326" i="1"/>
  <c r="I326" i="1"/>
  <c r="H326" i="1"/>
  <c r="G326" i="1"/>
  <c r="F326" i="1"/>
  <c r="E326" i="1"/>
  <c r="D326" i="1"/>
  <c r="C326" i="1"/>
  <c r="B326" i="1"/>
  <c r="A326" i="1"/>
  <c r="AE325" i="1"/>
  <c r="AD325" i="1"/>
  <c r="AC325" i="1"/>
  <c r="AB325" i="1"/>
  <c r="AA325" i="1"/>
  <c r="Z325" i="1"/>
  <c r="Y325" i="1"/>
  <c r="X325" i="1"/>
  <c r="W325" i="1"/>
  <c r="V325" i="1"/>
  <c r="U325" i="1"/>
  <c r="T325" i="1"/>
  <c r="S325" i="1"/>
  <c r="R325" i="1"/>
  <c r="Q325" i="1"/>
  <c r="P325" i="1"/>
  <c r="O325" i="1"/>
  <c r="N325" i="1"/>
  <c r="M325" i="1"/>
  <c r="L325" i="1"/>
  <c r="K325" i="1"/>
  <c r="J325" i="1"/>
  <c r="I325" i="1"/>
  <c r="H325" i="1"/>
  <c r="G325" i="1"/>
  <c r="F325" i="1"/>
  <c r="E325" i="1"/>
  <c r="D325" i="1"/>
  <c r="C325" i="1"/>
  <c r="B325" i="1"/>
  <c r="A325" i="1"/>
  <c r="AE324" i="1"/>
  <c r="AD324" i="1"/>
  <c r="AC324" i="1"/>
  <c r="AB324" i="1"/>
  <c r="AA324" i="1"/>
  <c r="Z324" i="1"/>
  <c r="Y324" i="1"/>
  <c r="X324" i="1"/>
  <c r="W324" i="1"/>
  <c r="V324" i="1"/>
  <c r="U324" i="1"/>
  <c r="T324" i="1"/>
  <c r="S324" i="1"/>
  <c r="R324" i="1"/>
  <c r="Q324" i="1"/>
  <c r="P324" i="1"/>
  <c r="O324" i="1"/>
  <c r="N324" i="1"/>
  <c r="M324" i="1"/>
  <c r="L324" i="1"/>
  <c r="K324" i="1"/>
  <c r="J324" i="1"/>
  <c r="I324" i="1"/>
  <c r="H324" i="1"/>
  <c r="G324" i="1"/>
  <c r="F324" i="1"/>
  <c r="E324" i="1"/>
  <c r="D324" i="1"/>
  <c r="C324" i="1"/>
  <c r="B324" i="1"/>
  <c r="A324" i="1"/>
  <c r="AE323" i="1"/>
  <c r="AD323" i="1"/>
  <c r="AC323" i="1"/>
  <c r="AB323" i="1"/>
  <c r="AA323" i="1"/>
  <c r="Z323" i="1"/>
  <c r="Y323" i="1"/>
  <c r="X323" i="1"/>
  <c r="W323" i="1"/>
  <c r="V323" i="1"/>
  <c r="U323" i="1"/>
  <c r="T323" i="1"/>
  <c r="S323" i="1"/>
  <c r="R323" i="1"/>
  <c r="Q323" i="1"/>
  <c r="P323" i="1"/>
  <c r="O323" i="1"/>
  <c r="N323" i="1"/>
  <c r="M323" i="1"/>
  <c r="L323" i="1"/>
  <c r="K323" i="1"/>
  <c r="J323" i="1"/>
  <c r="I323" i="1"/>
  <c r="H323" i="1"/>
  <c r="G323" i="1"/>
  <c r="F323" i="1"/>
  <c r="E323" i="1"/>
  <c r="D323" i="1"/>
  <c r="C323" i="1"/>
  <c r="B323" i="1"/>
  <c r="A323" i="1"/>
  <c r="AE322" i="1"/>
  <c r="AD322" i="1"/>
  <c r="AC322" i="1"/>
  <c r="AB322" i="1"/>
  <c r="AA322" i="1"/>
  <c r="Z322" i="1"/>
  <c r="Y322" i="1"/>
  <c r="X322" i="1"/>
  <c r="W322" i="1"/>
  <c r="V322" i="1"/>
  <c r="U322" i="1"/>
  <c r="T322" i="1"/>
  <c r="S322" i="1"/>
  <c r="R322" i="1"/>
  <c r="Q322" i="1"/>
  <c r="P322" i="1"/>
  <c r="O322" i="1"/>
  <c r="N322" i="1"/>
  <c r="M322" i="1"/>
  <c r="L322" i="1"/>
  <c r="K322" i="1"/>
  <c r="J322" i="1"/>
  <c r="I322" i="1"/>
  <c r="H322" i="1"/>
  <c r="G322" i="1"/>
  <c r="F322" i="1"/>
  <c r="E322" i="1"/>
  <c r="D322" i="1"/>
  <c r="C322" i="1"/>
  <c r="B322" i="1"/>
  <c r="A322" i="1"/>
  <c r="AE321" i="1"/>
  <c r="AD321" i="1"/>
  <c r="AC321" i="1"/>
  <c r="AB321" i="1"/>
  <c r="AA321" i="1"/>
  <c r="Z321" i="1"/>
  <c r="Y321" i="1"/>
  <c r="X321" i="1"/>
  <c r="W321" i="1"/>
  <c r="V321" i="1"/>
  <c r="U321" i="1"/>
  <c r="T321" i="1"/>
  <c r="S321" i="1"/>
  <c r="R321" i="1"/>
  <c r="Q321" i="1"/>
  <c r="P321" i="1"/>
  <c r="O321" i="1"/>
  <c r="N321" i="1"/>
  <c r="M321" i="1"/>
  <c r="L321" i="1"/>
  <c r="K321" i="1"/>
  <c r="J321" i="1"/>
  <c r="I321" i="1"/>
  <c r="H321" i="1"/>
  <c r="G321" i="1"/>
  <c r="F321" i="1"/>
  <c r="E321" i="1"/>
  <c r="D321" i="1"/>
  <c r="C321" i="1"/>
  <c r="B321" i="1"/>
  <c r="A321" i="1"/>
  <c r="AE320" i="1"/>
  <c r="AD320" i="1"/>
  <c r="AC320" i="1"/>
  <c r="AB320" i="1"/>
  <c r="AA320" i="1"/>
  <c r="Z320" i="1"/>
  <c r="Y320" i="1"/>
  <c r="X320" i="1"/>
  <c r="W320" i="1"/>
  <c r="V320" i="1"/>
  <c r="U320" i="1"/>
  <c r="T320" i="1"/>
  <c r="S320" i="1"/>
  <c r="R320" i="1"/>
  <c r="Q320" i="1"/>
  <c r="P320" i="1"/>
  <c r="O320" i="1"/>
  <c r="N320" i="1"/>
  <c r="M320" i="1"/>
  <c r="L320" i="1"/>
  <c r="K320" i="1"/>
  <c r="J320" i="1"/>
  <c r="I320" i="1"/>
  <c r="H320" i="1"/>
  <c r="G320" i="1"/>
  <c r="F320" i="1"/>
  <c r="E320" i="1"/>
  <c r="D320" i="1"/>
  <c r="C320" i="1"/>
  <c r="B320" i="1"/>
  <c r="A320" i="1"/>
  <c r="AE319" i="1"/>
  <c r="AD319" i="1"/>
  <c r="AC319" i="1"/>
  <c r="AB319" i="1"/>
  <c r="AA319" i="1"/>
  <c r="Z319" i="1"/>
  <c r="Y319" i="1"/>
  <c r="X319" i="1"/>
  <c r="W319" i="1"/>
  <c r="V319" i="1"/>
  <c r="U319" i="1"/>
  <c r="T319" i="1"/>
  <c r="S319" i="1"/>
  <c r="R319" i="1"/>
  <c r="Q319" i="1"/>
  <c r="P319" i="1"/>
  <c r="O319" i="1"/>
  <c r="N319" i="1"/>
  <c r="M319" i="1"/>
  <c r="L319" i="1"/>
  <c r="K319" i="1"/>
  <c r="J319" i="1"/>
  <c r="I319" i="1"/>
  <c r="H319" i="1"/>
  <c r="G319" i="1"/>
  <c r="F319" i="1"/>
  <c r="E319" i="1"/>
  <c r="D319" i="1"/>
  <c r="C319" i="1"/>
  <c r="B319" i="1"/>
  <c r="A319" i="1"/>
  <c r="AE318" i="1"/>
  <c r="AD318" i="1"/>
  <c r="AC318" i="1"/>
  <c r="AB318" i="1"/>
  <c r="AA318" i="1"/>
  <c r="Z318" i="1"/>
  <c r="Y318" i="1"/>
  <c r="X318" i="1"/>
  <c r="W318" i="1"/>
  <c r="V318" i="1"/>
  <c r="U318" i="1"/>
  <c r="T318" i="1"/>
  <c r="S318" i="1"/>
  <c r="R318" i="1"/>
  <c r="Q318" i="1"/>
  <c r="P318" i="1"/>
  <c r="O318" i="1"/>
  <c r="N318" i="1"/>
  <c r="M318" i="1"/>
  <c r="L318" i="1"/>
  <c r="K318" i="1"/>
  <c r="J318" i="1"/>
  <c r="I318" i="1"/>
  <c r="H318" i="1"/>
  <c r="G318" i="1"/>
  <c r="F318" i="1"/>
  <c r="E318" i="1"/>
  <c r="D318" i="1"/>
  <c r="C318" i="1"/>
  <c r="B318" i="1"/>
  <c r="A318" i="1"/>
  <c r="AE317" i="1"/>
  <c r="AD317" i="1"/>
  <c r="AC317" i="1"/>
  <c r="AB317" i="1"/>
  <c r="AA317" i="1"/>
  <c r="Z317" i="1"/>
  <c r="Y317" i="1"/>
  <c r="X317" i="1"/>
  <c r="W317" i="1"/>
  <c r="V317" i="1"/>
  <c r="U317" i="1"/>
  <c r="T317" i="1"/>
  <c r="S317" i="1"/>
  <c r="R317" i="1"/>
  <c r="Q317" i="1"/>
  <c r="P317" i="1"/>
  <c r="O317" i="1"/>
  <c r="N317" i="1"/>
  <c r="M317" i="1"/>
  <c r="L317" i="1"/>
  <c r="K317" i="1"/>
  <c r="J317" i="1"/>
  <c r="I317" i="1"/>
  <c r="H317" i="1"/>
  <c r="G317" i="1"/>
  <c r="F317" i="1"/>
  <c r="E317" i="1"/>
  <c r="D317" i="1"/>
  <c r="C317" i="1"/>
  <c r="B317" i="1"/>
  <c r="A317" i="1"/>
  <c r="AE316" i="1"/>
  <c r="AD316" i="1"/>
  <c r="AC316" i="1"/>
  <c r="AB316" i="1"/>
  <c r="AA316" i="1"/>
  <c r="Z316" i="1"/>
  <c r="Y316" i="1"/>
  <c r="X316" i="1"/>
  <c r="W316" i="1"/>
  <c r="V316" i="1"/>
  <c r="U316" i="1"/>
  <c r="T316" i="1"/>
  <c r="S316" i="1"/>
  <c r="R316" i="1"/>
  <c r="Q316" i="1"/>
  <c r="P316" i="1"/>
  <c r="O316" i="1"/>
  <c r="N316" i="1"/>
  <c r="M316" i="1"/>
  <c r="L316" i="1"/>
  <c r="K316" i="1"/>
  <c r="J316" i="1"/>
  <c r="I316" i="1"/>
  <c r="H316" i="1"/>
  <c r="G316" i="1"/>
  <c r="F316" i="1"/>
  <c r="E316" i="1"/>
  <c r="D316" i="1"/>
  <c r="C316" i="1"/>
  <c r="B316" i="1"/>
  <c r="A316" i="1"/>
  <c r="AE315" i="1"/>
  <c r="AD315" i="1"/>
  <c r="AC315" i="1"/>
  <c r="AB315" i="1"/>
  <c r="AA315" i="1"/>
  <c r="Z315" i="1"/>
  <c r="Y315" i="1"/>
  <c r="X315" i="1"/>
  <c r="W315" i="1"/>
  <c r="V315" i="1"/>
  <c r="U315" i="1"/>
  <c r="T315" i="1"/>
  <c r="S315" i="1"/>
  <c r="R315" i="1"/>
  <c r="Q315" i="1"/>
  <c r="P315" i="1"/>
  <c r="O315" i="1"/>
  <c r="N315" i="1"/>
  <c r="M315" i="1"/>
  <c r="L315" i="1"/>
  <c r="K315" i="1"/>
  <c r="J315" i="1"/>
  <c r="I315" i="1"/>
  <c r="H315" i="1"/>
  <c r="G315" i="1"/>
  <c r="F315" i="1"/>
  <c r="E315" i="1"/>
  <c r="D315" i="1"/>
  <c r="C315" i="1"/>
  <c r="B315" i="1"/>
  <c r="A315" i="1"/>
  <c r="AE314" i="1"/>
  <c r="AD314" i="1"/>
  <c r="AC314" i="1"/>
  <c r="AB314" i="1"/>
  <c r="AA314" i="1"/>
  <c r="Z314" i="1"/>
  <c r="Y314" i="1"/>
  <c r="X314" i="1"/>
  <c r="W314" i="1"/>
  <c r="V314" i="1"/>
  <c r="U314" i="1"/>
  <c r="T314" i="1"/>
  <c r="S314" i="1"/>
  <c r="R314" i="1"/>
  <c r="Q314" i="1"/>
  <c r="P314" i="1"/>
  <c r="O314" i="1"/>
  <c r="N314" i="1"/>
  <c r="M314" i="1"/>
  <c r="L314" i="1"/>
  <c r="K314" i="1"/>
  <c r="J314" i="1"/>
  <c r="I314" i="1"/>
  <c r="H314" i="1"/>
  <c r="G314" i="1"/>
  <c r="F314" i="1"/>
  <c r="E314" i="1"/>
  <c r="D314" i="1"/>
  <c r="C314" i="1"/>
  <c r="B314" i="1"/>
  <c r="A314" i="1"/>
  <c r="AE313" i="1"/>
  <c r="AD313" i="1"/>
  <c r="AC313" i="1"/>
  <c r="AB313" i="1"/>
  <c r="AA313" i="1"/>
  <c r="Z313" i="1"/>
  <c r="Y313" i="1"/>
  <c r="X313" i="1"/>
  <c r="W313" i="1"/>
  <c r="V313" i="1"/>
  <c r="U313" i="1"/>
  <c r="T313" i="1"/>
  <c r="S313" i="1"/>
  <c r="R313" i="1"/>
  <c r="Q313" i="1"/>
  <c r="P313" i="1"/>
  <c r="O313" i="1"/>
  <c r="N313" i="1"/>
  <c r="M313" i="1"/>
  <c r="L313" i="1"/>
  <c r="K313" i="1"/>
  <c r="J313" i="1"/>
  <c r="I313" i="1"/>
  <c r="H313" i="1"/>
  <c r="G313" i="1"/>
  <c r="F313" i="1"/>
  <c r="E313" i="1"/>
  <c r="D313" i="1"/>
  <c r="C313" i="1"/>
  <c r="B313" i="1"/>
  <c r="A313" i="1"/>
  <c r="AE312" i="1"/>
  <c r="AD312" i="1"/>
  <c r="AC312" i="1"/>
  <c r="AB312" i="1"/>
  <c r="AA312" i="1"/>
  <c r="Z312" i="1"/>
  <c r="Y312" i="1"/>
  <c r="X312" i="1"/>
  <c r="W312" i="1"/>
  <c r="V312" i="1"/>
  <c r="U312" i="1"/>
  <c r="T312" i="1"/>
  <c r="S312" i="1"/>
  <c r="R312" i="1"/>
  <c r="Q312" i="1"/>
  <c r="P312" i="1"/>
  <c r="O312" i="1"/>
  <c r="N312" i="1"/>
  <c r="M312" i="1"/>
  <c r="L312" i="1"/>
  <c r="K312" i="1"/>
  <c r="J312" i="1"/>
  <c r="I312" i="1"/>
  <c r="H312" i="1"/>
  <c r="G312" i="1"/>
  <c r="F312" i="1"/>
  <c r="E312" i="1"/>
  <c r="D312" i="1"/>
  <c r="C312" i="1"/>
  <c r="B312" i="1"/>
  <c r="A312" i="1"/>
  <c r="AE311" i="1"/>
  <c r="AD311" i="1"/>
  <c r="AC311" i="1"/>
  <c r="AB311" i="1"/>
  <c r="AA311" i="1"/>
  <c r="Z311" i="1"/>
  <c r="Y311" i="1"/>
  <c r="X311" i="1"/>
  <c r="W311" i="1"/>
  <c r="V311" i="1"/>
  <c r="U311" i="1"/>
  <c r="T311" i="1"/>
  <c r="S311" i="1"/>
  <c r="R311" i="1"/>
  <c r="Q311" i="1"/>
  <c r="P311" i="1"/>
  <c r="O311" i="1"/>
  <c r="N311" i="1"/>
  <c r="M311" i="1"/>
  <c r="L311" i="1"/>
  <c r="K311" i="1"/>
  <c r="J311" i="1"/>
  <c r="I311" i="1"/>
  <c r="H311" i="1"/>
  <c r="G311" i="1"/>
  <c r="F311" i="1"/>
  <c r="E311" i="1"/>
  <c r="D311" i="1"/>
  <c r="C311" i="1"/>
  <c r="B311" i="1"/>
  <c r="A311" i="1"/>
  <c r="AE310" i="1"/>
  <c r="AD310" i="1"/>
  <c r="AC310" i="1"/>
  <c r="AB310" i="1"/>
  <c r="AA310" i="1"/>
  <c r="Z310" i="1"/>
  <c r="Y310" i="1"/>
  <c r="X310" i="1"/>
  <c r="W310" i="1"/>
  <c r="V310" i="1"/>
  <c r="U310" i="1"/>
  <c r="T310" i="1"/>
  <c r="S310" i="1"/>
  <c r="R310" i="1"/>
  <c r="Q310" i="1"/>
  <c r="P310" i="1"/>
  <c r="O310" i="1"/>
  <c r="N310" i="1"/>
  <c r="M310" i="1"/>
  <c r="L310" i="1"/>
  <c r="K310" i="1"/>
  <c r="J310" i="1"/>
  <c r="I310" i="1"/>
  <c r="H310" i="1"/>
  <c r="G310" i="1"/>
  <c r="F310" i="1"/>
  <c r="E310" i="1"/>
  <c r="D310" i="1"/>
  <c r="C310" i="1"/>
  <c r="B310" i="1"/>
  <c r="A310" i="1"/>
  <c r="AE309" i="1"/>
  <c r="AD309" i="1"/>
  <c r="AC309" i="1"/>
  <c r="AB309" i="1"/>
  <c r="AA309" i="1"/>
  <c r="Z309" i="1"/>
  <c r="Y309" i="1"/>
  <c r="X309" i="1"/>
  <c r="W309" i="1"/>
  <c r="V309" i="1"/>
  <c r="U309" i="1"/>
  <c r="T309" i="1"/>
  <c r="S309" i="1"/>
  <c r="R309" i="1"/>
  <c r="Q309" i="1"/>
  <c r="P309" i="1"/>
  <c r="O309" i="1"/>
  <c r="N309" i="1"/>
  <c r="M309" i="1"/>
  <c r="L309" i="1"/>
  <c r="K309" i="1"/>
  <c r="J309" i="1"/>
  <c r="I309" i="1"/>
  <c r="H309" i="1"/>
  <c r="G309" i="1"/>
  <c r="F309" i="1"/>
  <c r="E309" i="1"/>
  <c r="D309" i="1"/>
  <c r="C309" i="1"/>
  <c r="B309" i="1"/>
  <c r="A309" i="1"/>
  <c r="AE308" i="1"/>
  <c r="AD308" i="1"/>
  <c r="AC308" i="1"/>
  <c r="AB308" i="1"/>
  <c r="AA308" i="1"/>
  <c r="Z308" i="1"/>
  <c r="Y308" i="1"/>
  <c r="X308" i="1"/>
  <c r="W308" i="1"/>
  <c r="V308" i="1"/>
  <c r="U308" i="1"/>
  <c r="T308" i="1"/>
  <c r="S308" i="1"/>
  <c r="R308" i="1"/>
  <c r="Q308" i="1"/>
  <c r="P308" i="1"/>
  <c r="O308" i="1"/>
  <c r="N308" i="1"/>
  <c r="M308" i="1"/>
  <c r="L308" i="1"/>
  <c r="K308" i="1"/>
  <c r="J308" i="1"/>
  <c r="I308" i="1"/>
  <c r="H308" i="1"/>
  <c r="G308" i="1"/>
  <c r="F308" i="1"/>
  <c r="E308" i="1"/>
  <c r="D308" i="1"/>
  <c r="C308" i="1"/>
  <c r="B308" i="1"/>
  <c r="A308" i="1"/>
  <c r="AE307" i="1"/>
  <c r="AD307" i="1"/>
  <c r="AC307" i="1"/>
  <c r="AB307" i="1"/>
  <c r="AA307" i="1"/>
  <c r="Z307" i="1"/>
  <c r="Y307" i="1"/>
  <c r="X307" i="1"/>
  <c r="W307" i="1"/>
  <c r="V307" i="1"/>
  <c r="U307" i="1"/>
  <c r="T307" i="1"/>
  <c r="S307" i="1"/>
  <c r="R307" i="1"/>
  <c r="Q307" i="1"/>
  <c r="P307" i="1"/>
  <c r="O307" i="1"/>
  <c r="N307" i="1"/>
  <c r="M307" i="1"/>
  <c r="L307" i="1"/>
  <c r="K307" i="1"/>
  <c r="J307" i="1"/>
  <c r="I307" i="1"/>
  <c r="H307" i="1"/>
  <c r="G307" i="1"/>
  <c r="F307" i="1"/>
  <c r="E307" i="1"/>
  <c r="D307" i="1"/>
  <c r="C307" i="1"/>
  <c r="B307" i="1"/>
  <c r="A307" i="1"/>
  <c r="AE306" i="1"/>
  <c r="AD306" i="1"/>
  <c r="AC306" i="1"/>
  <c r="AB306" i="1"/>
  <c r="AA306" i="1"/>
  <c r="Z306" i="1"/>
  <c r="Y306" i="1"/>
  <c r="X306" i="1"/>
  <c r="W306" i="1"/>
  <c r="V306" i="1"/>
  <c r="U306" i="1"/>
  <c r="T306" i="1"/>
  <c r="S306" i="1"/>
  <c r="R306" i="1"/>
  <c r="Q306" i="1"/>
  <c r="P306" i="1"/>
  <c r="O306" i="1"/>
  <c r="N306" i="1"/>
  <c r="M306" i="1"/>
  <c r="L306" i="1"/>
  <c r="K306" i="1"/>
  <c r="J306" i="1"/>
  <c r="I306" i="1"/>
  <c r="H306" i="1"/>
  <c r="G306" i="1"/>
  <c r="F306" i="1"/>
  <c r="E306" i="1"/>
  <c r="D306" i="1"/>
  <c r="C306" i="1"/>
  <c r="B306" i="1"/>
  <c r="A306" i="1"/>
  <c r="AE305" i="1"/>
  <c r="AD305" i="1"/>
  <c r="AC305" i="1"/>
  <c r="AB305" i="1"/>
  <c r="AA305" i="1"/>
  <c r="Z305" i="1"/>
  <c r="Y305" i="1"/>
  <c r="X305" i="1"/>
  <c r="W305" i="1"/>
  <c r="V305" i="1"/>
  <c r="U305" i="1"/>
  <c r="T305" i="1"/>
  <c r="S305" i="1"/>
  <c r="R305" i="1"/>
  <c r="Q305" i="1"/>
  <c r="P305" i="1"/>
  <c r="O305" i="1"/>
  <c r="N305" i="1"/>
  <c r="M305" i="1"/>
  <c r="L305" i="1"/>
  <c r="K305" i="1"/>
  <c r="J305" i="1"/>
  <c r="I305" i="1"/>
  <c r="H305" i="1"/>
  <c r="G305" i="1"/>
  <c r="F305" i="1"/>
  <c r="E305" i="1"/>
  <c r="D305" i="1"/>
  <c r="C305" i="1"/>
  <c r="B305" i="1"/>
  <c r="A305" i="1"/>
  <c r="AE304" i="1"/>
  <c r="AD304" i="1"/>
  <c r="AC304" i="1"/>
  <c r="AB304" i="1"/>
  <c r="AA304" i="1"/>
  <c r="Z304" i="1"/>
  <c r="Y304" i="1"/>
  <c r="X304" i="1"/>
  <c r="W304" i="1"/>
  <c r="V304" i="1"/>
  <c r="U304" i="1"/>
  <c r="T304" i="1"/>
  <c r="S304" i="1"/>
  <c r="R304" i="1"/>
  <c r="Q304" i="1"/>
  <c r="P304" i="1"/>
  <c r="O304" i="1"/>
  <c r="N304" i="1"/>
  <c r="M304" i="1"/>
  <c r="L304" i="1"/>
  <c r="K304" i="1"/>
  <c r="J304" i="1"/>
  <c r="I304" i="1"/>
  <c r="H304" i="1"/>
  <c r="G304" i="1"/>
  <c r="F304" i="1"/>
  <c r="E304" i="1"/>
  <c r="D304" i="1"/>
  <c r="C304" i="1"/>
  <c r="B304" i="1"/>
  <c r="A304" i="1"/>
  <c r="AE303" i="1"/>
  <c r="AD303" i="1"/>
  <c r="AC303" i="1"/>
  <c r="AB303" i="1"/>
  <c r="AA303" i="1"/>
  <c r="Z303" i="1"/>
  <c r="Y303" i="1"/>
  <c r="X303" i="1"/>
  <c r="W303" i="1"/>
  <c r="V303" i="1"/>
  <c r="U303" i="1"/>
  <c r="T303" i="1"/>
  <c r="S303" i="1"/>
  <c r="R303" i="1"/>
  <c r="Q303" i="1"/>
  <c r="P303" i="1"/>
  <c r="O303" i="1"/>
  <c r="N303" i="1"/>
  <c r="M303" i="1"/>
  <c r="L303" i="1"/>
  <c r="K303" i="1"/>
  <c r="J303" i="1"/>
  <c r="I303" i="1"/>
  <c r="H303" i="1"/>
  <c r="G303" i="1"/>
  <c r="F303" i="1"/>
  <c r="E303" i="1"/>
  <c r="D303" i="1"/>
  <c r="C303" i="1"/>
  <c r="B303" i="1"/>
  <c r="A303" i="1"/>
  <c r="AE302" i="1"/>
  <c r="AD302" i="1"/>
  <c r="AC302" i="1"/>
  <c r="AB302" i="1"/>
  <c r="AA302" i="1"/>
  <c r="Z302" i="1"/>
  <c r="Y302" i="1"/>
  <c r="X302" i="1"/>
  <c r="W302" i="1"/>
  <c r="V302" i="1"/>
  <c r="U302" i="1"/>
  <c r="T302" i="1"/>
  <c r="S302" i="1"/>
  <c r="R302" i="1"/>
  <c r="Q302" i="1"/>
  <c r="P302" i="1"/>
  <c r="O302" i="1"/>
  <c r="N302" i="1"/>
  <c r="M302" i="1"/>
  <c r="L302" i="1"/>
  <c r="K302" i="1"/>
  <c r="J302" i="1"/>
  <c r="I302" i="1"/>
  <c r="H302" i="1"/>
  <c r="G302" i="1"/>
  <c r="F302" i="1"/>
  <c r="E302" i="1"/>
  <c r="D302" i="1"/>
  <c r="C302" i="1"/>
  <c r="B302" i="1"/>
  <c r="A302" i="1"/>
  <c r="AE301" i="1"/>
  <c r="AD301" i="1"/>
  <c r="AC301" i="1"/>
  <c r="AB301" i="1"/>
  <c r="AA301" i="1"/>
  <c r="Z301" i="1"/>
  <c r="Y301" i="1"/>
  <c r="X301" i="1"/>
  <c r="W301" i="1"/>
  <c r="V301" i="1"/>
  <c r="U301" i="1"/>
  <c r="T301" i="1"/>
  <c r="S301" i="1"/>
  <c r="R301" i="1"/>
  <c r="Q301" i="1"/>
  <c r="P301" i="1"/>
  <c r="O301" i="1"/>
  <c r="N301" i="1"/>
  <c r="M301" i="1"/>
  <c r="L301" i="1"/>
  <c r="K301" i="1"/>
  <c r="J301" i="1"/>
  <c r="I301" i="1"/>
  <c r="H301" i="1"/>
  <c r="G301" i="1"/>
  <c r="F301" i="1"/>
  <c r="E301" i="1"/>
  <c r="D301" i="1"/>
  <c r="C301" i="1"/>
  <c r="B301" i="1"/>
  <c r="A301" i="1"/>
  <c r="AE300" i="1"/>
  <c r="AD300" i="1"/>
  <c r="AC300" i="1"/>
  <c r="AB300" i="1"/>
  <c r="AA300" i="1"/>
  <c r="Z300" i="1"/>
  <c r="Y300" i="1"/>
  <c r="X300" i="1"/>
  <c r="W300" i="1"/>
  <c r="V300" i="1"/>
  <c r="U300" i="1"/>
  <c r="T300" i="1"/>
  <c r="S300" i="1"/>
  <c r="R300" i="1"/>
  <c r="Q300" i="1"/>
  <c r="P300" i="1"/>
  <c r="O300" i="1"/>
  <c r="N300" i="1"/>
  <c r="M300" i="1"/>
  <c r="L300" i="1"/>
  <c r="K300" i="1"/>
  <c r="J300" i="1"/>
  <c r="I300" i="1"/>
  <c r="H300" i="1"/>
  <c r="G300" i="1"/>
  <c r="F300" i="1"/>
  <c r="E300" i="1"/>
  <c r="D300" i="1"/>
  <c r="C300" i="1"/>
  <c r="B300" i="1"/>
  <c r="A300" i="1"/>
  <c r="AE299" i="1"/>
  <c r="AD299" i="1"/>
  <c r="AC299" i="1"/>
  <c r="AB299" i="1"/>
  <c r="AA299" i="1"/>
  <c r="Z299" i="1"/>
  <c r="Y299" i="1"/>
  <c r="X299" i="1"/>
  <c r="W299" i="1"/>
  <c r="V299" i="1"/>
  <c r="U299" i="1"/>
  <c r="T299" i="1"/>
  <c r="S299" i="1"/>
  <c r="R299" i="1"/>
  <c r="Q299" i="1"/>
  <c r="P299" i="1"/>
  <c r="O299" i="1"/>
  <c r="N299" i="1"/>
  <c r="M299" i="1"/>
  <c r="L299" i="1"/>
  <c r="K299" i="1"/>
  <c r="J299" i="1"/>
  <c r="I299" i="1"/>
  <c r="H299" i="1"/>
  <c r="G299" i="1"/>
  <c r="F299" i="1"/>
  <c r="E299" i="1"/>
  <c r="D299" i="1"/>
  <c r="C299" i="1"/>
  <c r="B299" i="1"/>
  <c r="A299" i="1"/>
  <c r="AE298" i="1"/>
  <c r="AD298" i="1"/>
  <c r="AC298" i="1"/>
  <c r="AB298" i="1"/>
  <c r="AA298" i="1"/>
  <c r="Z298" i="1"/>
  <c r="Y298" i="1"/>
  <c r="X298" i="1"/>
  <c r="W298" i="1"/>
  <c r="V298" i="1"/>
  <c r="U298" i="1"/>
  <c r="T298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F298" i="1"/>
  <c r="E298" i="1"/>
  <c r="D298" i="1"/>
  <c r="C298" i="1"/>
  <c r="B298" i="1"/>
  <c r="A298" i="1"/>
  <c r="AE297" i="1"/>
  <c r="AD297" i="1"/>
  <c r="AC297" i="1"/>
  <c r="AB297" i="1"/>
  <c r="AA297" i="1"/>
  <c r="Z297" i="1"/>
  <c r="Y297" i="1"/>
  <c r="X297" i="1"/>
  <c r="W297" i="1"/>
  <c r="V297" i="1"/>
  <c r="U297" i="1"/>
  <c r="T297" i="1"/>
  <c r="S297" i="1"/>
  <c r="R297" i="1"/>
  <c r="Q297" i="1"/>
  <c r="P297" i="1"/>
  <c r="O297" i="1"/>
  <c r="N297" i="1"/>
  <c r="M297" i="1"/>
  <c r="L297" i="1"/>
  <c r="K297" i="1"/>
  <c r="J297" i="1"/>
  <c r="I297" i="1"/>
  <c r="H297" i="1"/>
  <c r="G297" i="1"/>
  <c r="F297" i="1"/>
  <c r="E297" i="1"/>
  <c r="D297" i="1"/>
  <c r="C297" i="1"/>
  <c r="B297" i="1"/>
  <c r="A297" i="1"/>
  <c r="AE296" i="1"/>
  <c r="AD296" i="1"/>
  <c r="AC296" i="1"/>
  <c r="AB296" i="1"/>
  <c r="AA296" i="1"/>
  <c r="Z296" i="1"/>
  <c r="Y296" i="1"/>
  <c r="X296" i="1"/>
  <c r="W296" i="1"/>
  <c r="V296" i="1"/>
  <c r="U296" i="1"/>
  <c r="T296" i="1"/>
  <c r="S296" i="1"/>
  <c r="R296" i="1"/>
  <c r="Q296" i="1"/>
  <c r="P296" i="1"/>
  <c r="O296" i="1"/>
  <c r="N296" i="1"/>
  <c r="M296" i="1"/>
  <c r="L296" i="1"/>
  <c r="K296" i="1"/>
  <c r="J296" i="1"/>
  <c r="I296" i="1"/>
  <c r="H296" i="1"/>
  <c r="G296" i="1"/>
  <c r="F296" i="1"/>
  <c r="E296" i="1"/>
  <c r="D296" i="1"/>
  <c r="C296" i="1"/>
  <c r="B296" i="1"/>
  <c r="A296" i="1"/>
  <c r="AE295" i="1"/>
  <c r="AD295" i="1"/>
  <c r="AC295" i="1"/>
  <c r="AB295" i="1"/>
  <c r="AA295" i="1"/>
  <c r="Z295" i="1"/>
  <c r="Y295" i="1"/>
  <c r="X295" i="1"/>
  <c r="W295" i="1"/>
  <c r="V295" i="1"/>
  <c r="U295" i="1"/>
  <c r="T295" i="1"/>
  <c r="S295" i="1"/>
  <c r="R295" i="1"/>
  <c r="Q295" i="1"/>
  <c r="P295" i="1"/>
  <c r="O295" i="1"/>
  <c r="N295" i="1"/>
  <c r="M295" i="1"/>
  <c r="L295" i="1"/>
  <c r="K295" i="1"/>
  <c r="J295" i="1"/>
  <c r="I295" i="1"/>
  <c r="H295" i="1"/>
  <c r="G295" i="1"/>
  <c r="F295" i="1"/>
  <c r="E295" i="1"/>
  <c r="D295" i="1"/>
  <c r="C295" i="1"/>
  <c r="B295" i="1"/>
  <c r="A295" i="1"/>
  <c r="AE294" i="1"/>
  <c r="AD294" i="1"/>
  <c r="AC294" i="1"/>
  <c r="AB294" i="1"/>
  <c r="AA294" i="1"/>
  <c r="Z294" i="1"/>
  <c r="Y294" i="1"/>
  <c r="X294" i="1"/>
  <c r="W294" i="1"/>
  <c r="V294" i="1"/>
  <c r="U294" i="1"/>
  <c r="T294" i="1"/>
  <c r="S294" i="1"/>
  <c r="R294" i="1"/>
  <c r="Q294" i="1"/>
  <c r="P294" i="1"/>
  <c r="O294" i="1"/>
  <c r="N294" i="1"/>
  <c r="M294" i="1"/>
  <c r="L294" i="1"/>
  <c r="K294" i="1"/>
  <c r="J294" i="1"/>
  <c r="I294" i="1"/>
  <c r="H294" i="1"/>
  <c r="G294" i="1"/>
  <c r="F294" i="1"/>
  <c r="E294" i="1"/>
  <c r="D294" i="1"/>
  <c r="C294" i="1"/>
  <c r="B294" i="1"/>
  <c r="A294" i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N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A293" i="1"/>
  <c r="AE292" i="1"/>
  <c r="AD292" i="1"/>
  <c r="AC292" i="1"/>
  <c r="AB292" i="1"/>
  <c r="AA292" i="1"/>
  <c r="Z292" i="1"/>
  <c r="Y292" i="1"/>
  <c r="X292" i="1"/>
  <c r="W292" i="1"/>
  <c r="V292" i="1"/>
  <c r="U292" i="1"/>
  <c r="T292" i="1"/>
  <c r="S292" i="1"/>
  <c r="R292" i="1"/>
  <c r="Q292" i="1"/>
  <c r="P292" i="1"/>
  <c r="O292" i="1"/>
  <c r="N292" i="1"/>
  <c r="M292" i="1"/>
  <c r="L292" i="1"/>
  <c r="K292" i="1"/>
  <c r="J292" i="1"/>
  <c r="I292" i="1"/>
  <c r="H292" i="1"/>
  <c r="G292" i="1"/>
  <c r="F292" i="1"/>
  <c r="E292" i="1"/>
  <c r="D292" i="1"/>
  <c r="C292" i="1"/>
  <c r="B292" i="1"/>
  <c r="A292" i="1"/>
  <c r="AE291" i="1"/>
  <c r="AD291" i="1"/>
  <c r="AC291" i="1"/>
  <c r="AB291" i="1"/>
  <c r="AA291" i="1"/>
  <c r="Z291" i="1"/>
  <c r="Y291" i="1"/>
  <c r="X291" i="1"/>
  <c r="W291" i="1"/>
  <c r="V291" i="1"/>
  <c r="U291" i="1"/>
  <c r="T291" i="1"/>
  <c r="S291" i="1"/>
  <c r="R291" i="1"/>
  <c r="Q291" i="1"/>
  <c r="P291" i="1"/>
  <c r="O291" i="1"/>
  <c r="N291" i="1"/>
  <c r="M291" i="1"/>
  <c r="L291" i="1"/>
  <c r="K291" i="1"/>
  <c r="J291" i="1"/>
  <c r="I291" i="1"/>
  <c r="H291" i="1"/>
  <c r="G291" i="1"/>
  <c r="F291" i="1"/>
  <c r="E291" i="1"/>
  <c r="D291" i="1"/>
  <c r="C291" i="1"/>
  <c r="B291" i="1"/>
  <c r="A291" i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N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A290" i="1"/>
  <c r="AE289" i="1"/>
  <c r="AD289" i="1"/>
  <c r="AC289" i="1"/>
  <c r="AB289" i="1"/>
  <c r="AA289" i="1"/>
  <c r="Z289" i="1"/>
  <c r="Y289" i="1"/>
  <c r="X289" i="1"/>
  <c r="W289" i="1"/>
  <c r="V289" i="1"/>
  <c r="U289" i="1"/>
  <c r="T289" i="1"/>
  <c r="S289" i="1"/>
  <c r="R289" i="1"/>
  <c r="Q289" i="1"/>
  <c r="P289" i="1"/>
  <c r="O289" i="1"/>
  <c r="N289" i="1"/>
  <c r="M289" i="1"/>
  <c r="L289" i="1"/>
  <c r="K289" i="1"/>
  <c r="J289" i="1"/>
  <c r="I289" i="1"/>
  <c r="H289" i="1"/>
  <c r="G289" i="1"/>
  <c r="F289" i="1"/>
  <c r="E289" i="1"/>
  <c r="D289" i="1"/>
  <c r="C289" i="1"/>
  <c r="B289" i="1"/>
  <c r="A289" i="1"/>
  <c r="AE288" i="1"/>
  <c r="AD288" i="1"/>
  <c r="AC288" i="1"/>
  <c r="AB288" i="1"/>
  <c r="AA288" i="1"/>
  <c r="Z288" i="1"/>
  <c r="Y288" i="1"/>
  <c r="X288" i="1"/>
  <c r="W288" i="1"/>
  <c r="V288" i="1"/>
  <c r="U288" i="1"/>
  <c r="T288" i="1"/>
  <c r="S288" i="1"/>
  <c r="R288" i="1"/>
  <c r="Q288" i="1"/>
  <c r="P288" i="1"/>
  <c r="O288" i="1"/>
  <c r="N288" i="1"/>
  <c r="M288" i="1"/>
  <c r="L288" i="1"/>
  <c r="K288" i="1"/>
  <c r="J288" i="1"/>
  <c r="I288" i="1"/>
  <c r="H288" i="1"/>
  <c r="G288" i="1"/>
  <c r="F288" i="1"/>
  <c r="E288" i="1"/>
  <c r="D288" i="1"/>
  <c r="C288" i="1"/>
  <c r="B288" i="1"/>
  <c r="A288" i="1"/>
  <c r="AE287" i="1"/>
  <c r="AD287" i="1"/>
  <c r="AC287" i="1"/>
  <c r="AB287" i="1"/>
  <c r="AA287" i="1"/>
  <c r="Z287" i="1"/>
  <c r="Y287" i="1"/>
  <c r="X287" i="1"/>
  <c r="W287" i="1"/>
  <c r="V287" i="1"/>
  <c r="U287" i="1"/>
  <c r="T287" i="1"/>
  <c r="S287" i="1"/>
  <c r="R287" i="1"/>
  <c r="Q287" i="1"/>
  <c r="P287" i="1"/>
  <c r="O287" i="1"/>
  <c r="N287" i="1"/>
  <c r="M287" i="1"/>
  <c r="L287" i="1"/>
  <c r="K287" i="1"/>
  <c r="J287" i="1"/>
  <c r="I287" i="1"/>
  <c r="H287" i="1"/>
  <c r="G287" i="1"/>
  <c r="F287" i="1"/>
  <c r="E287" i="1"/>
  <c r="D287" i="1"/>
  <c r="C287" i="1"/>
  <c r="B287" i="1"/>
  <c r="A287" i="1"/>
  <c r="AE286" i="1"/>
  <c r="AD286" i="1"/>
  <c r="AC286" i="1"/>
  <c r="AB286" i="1"/>
  <c r="AA286" i="1"/>
  <c r="Z286" i="1"/>
  <c r="Y286" i="1"/>
  <c r="X286" i="1"/>
  <c r="W286" i="1"/>
  <c r="V286" i="1"/>
  <c r="U286" i="1"/>
  <c r="T286" i="1"/>
  <c r="S286" i="1"/>
  <c r="R286" i="1"/>
  <c r="Q286" i="1"/>
  <c r="P286" i="1"/>
  <c r="O286" i="1"/>
  <c r="N286" i="1"/>
  <c r="M286" i="1"/>
  <c r="L286" i="1"/>
  <c r="K286" i="1"/>
  <c r="J286" i="1"/>
  <c r="I286" i="1"/>
  <c r="H286" i="1"/>
  <c r="G286" i="1"/>
  <c r="F286" i="1"/>
  <c r="E286" i="1"/>
  <c r="D286" i="1"/>
  <c r="C286" i="1"/>
  <c r="B286" i="1"/>
  <c r="A286" i="1"/>
  <c r="AE285" i="1"/>
  <c r="AD285" i="1"/>
  <c r="AC285" i="1"/>
  <c r="AB285" i="1"/>
  <c r="AA285" i="1"/>
  <c r="Z285" i="1"/>
  <c r="Y285" i="1"/>
  <c r="X285" i="1"/>
  <c r="W285" i="1"/>
  <c r="V285" i="1"/>
  <c r="U285" i="1"/>
  <c r="T285" i="1"/>
  <c r="S285" i="1"/>
  <c r="R285" i="1"/>
  <c r="Q285" i="1"/>
  <c r="P285" i="1"/>
  <c r="O285" i="1"/>
  <c r="N285" i="1"/>
  <c r="M285" i="1"/>
  <c r="L285" i="1"/>
  <c r="K285" i="1"/>
  <c r="J285" i="1"/>
  <c r="I285" i="1"/>
  <c r="H285" i="1"/>
  <c r="G285" i="1"/>
  <c r="F285" i="1"/>
  <c r="E285" i="1"/>
  <c r="D285" i="1"/>
  <c r="C285" i="1"/>
  <c r="B285" i="1"/>
  <c r="A285" i="1"/>
  <c r="AE284" i="1"/>
  <c r="AD284" i="1"/>
  <c r="AC284" i="1"/>
  <c r="AB284" i="1"/>
  <c r="AA284" i="1"/>
  <c r="Z284" i="1"/>
  <c r="Y284" i="1"/>
  <c r="X284" i="1"/>
  <c r="W284" i="1"/>
  <c r="V284" i="1"/>
  <c r="U284" i="1"/>
  <c r="T284" i="1"/>
  <c r="S284" i="1"/>
  <c r="R284" i="1"/>
  <c r="Q284" i="1"/>
  <c r="P284" i="1"/>
  <c r="O284" i="1"/>
  <c r="N284" i="1"/>
  <c r="M284" i="1"/>
  <c r="L284" i="1"/>
  <c r="K284" i="1"/>
  <c r="J284" i="1"/>
  <c r="I284" i="1"/>
  <c r="H284" i="1"/>
  <c r="G284" i="1"/>
  <c r="F284" i="1"/>
  <c r="E284" i="1"/>
  <c r="D284" i="1"/>
  <c r="C284" i="1"/>
  <c r="B284" i="1"/>
  <c r="A284" i="1"/>
  <c r="AE283" i="1"/>
  <c r="AD283" i="1"/>
  <c r="AC283" i="1"/>
  <c r="AB283" i="1"/>
  <c r="AA283" i="1"/>
  <c r="Z283" i="1"/>
  <c r="Y283" i="1"/>
  <c r="X283" i="1"/>
  <c r="W283" i="1"/>
  <c r="V283" i="1"/>
  <c r="U283" i="1"/>
  <c r="T283" i="1"/>
  <c r="S283" i="1"/>
  <c r="R283" i="1"/>
  <c r="Q283" i="1"/>
  <c r="P283" i="1"/>
  <c r="O283" i="1"/>
  <c r="N283" i="1"/>
  <c r="M283" i="1"/>
  <c r="L283" i="1"/>
  <c r="K283" i="1"/>
  <c r="J283" i="1"/>
  <c r="I283" i="1"/>
  <c r="H283" i="1"/>
  <c r="G283" i="1"/>
  <c r="F283" i="1"/>
  <c r="E283" i="1"/>
  <c r="D283" i="1"/>
  <c r="C283" i="1"/>
  <c r="B283" i="1"/>
  <c r="A283" i="1"/>
  <c r="AE282" i="1"/>
  <c r="AD282" i="1"/>
  <c r="AC282" i="1"/>
  <c r="AB282" i="1"/>
  <c r="AA282" i="1"/>
  <c r="Z282" i="1"/>
  <c r="Y282" i="1"/>
  <c r="X282" i="1"/>
  <c r="W282" i="1"/>
  <c r="V282" i="1"/>
  <c r="U282" i="1"/>
  <c r="T282" i="1"/>
  <c r="S282" i="1"/>
  <c r="R282" i="1"/>
  <c r="Q282" i="1"/>
  <c r="P282" i="1"/>
  <c r="O282" i="1"/>
  <c r="N282" i="1"/>
  <c r="M282" i="1"/>
  <c r="L282" i="1"/>
  <c r="K282" i="1"/>
  <c r="J282" i="1"/>
  <c r="I282" i="1"/>
  <c r="H282" i="1"/>
  <c r="G282" i="1"/>
  <c r="F282" i="1"/>
  <c r="E282" i="1"/>
  <c r="D282" i="1"/>
  <c r="C282" i="1"/>
  <c r="B282" i="1"/>
  <c r="A282" i="1"/>
  <c r="AE281" i="1"/>
  <c r="AD281" i="1"/>
  <c r="AC281" i="1"/>
  <c r="AB281" i="1"/>
  <c r="AA281" i="1"/>
  <c r="Z281" i="1"/>
  <c r="Y281" i="1"/>
  <c r="X281" i="1"/>
  <c r="W281" i="1"/>
  <c r="V281" i="1"/>
  <c r="U281" i="1"/>
  <c r="T281" i="1"/>
  <c r="S281" i="1"/>
  <c r="R281" i="1"/>
  <c r="Q281" i="1"/>
  <c r="P281" i="1"/>
  <c r="O281" i="1"/>
  <c r="N281" i="1"/>
  <c r="M281" i="1"/>
  <c r="L281" i="1"/>
  <c r="K281" i="1"/>
  <c r="J281" i="1"/>
  <c r="I281" i="1"/>
  <c r="H281" i="1"/>
  <c r="G281" i="1"/>
  <c r="F281" i="1"/>
  <c r="E281" i="1"/>
  <c r="D281" i="1"/>
  <c r="C281" i="1"/>
  <c r="B281" i="1"/>
  <c r="A281" i="1"/>
  <c r="AE280" i="1"/>
  <c r="AD280" i="1"/>
  <c r="AC280" i="1"/>
  <c r="AB280" i="1"/>
  <c r="AA280" i="1"/>
  <c r="Z280" i="1"/>
  <c r="Y280" i="1"/>
  <c r="X280" i="1"/>
  <c r="W280" i="1"/>
  <c r="V280" i="1"/>
  <c r="U280" i="1"/>
  <c r="T280" i="1"/>
  <c r="S280" i="1"/>
  <c r="R280" i="1"/>
  <c r="Q280" i="1"/>
  <c r="P280" i="1"/>
  <c r="O280" i="1"/>
  <c r="N280" i="1"/>
  <c r="M280" i="1"/>
  <c r="L280" i="1"/>
  <c r="K280" i="1"/>
  <c r="J280" i="1"/>
  <c r="I280" i="1"/>
  <c r="H280" i="1"/>
  <c r="G280" i="1"/>
  <c r="F280" i="1"/>
  <c r="E280" i="1"/>
  <c r="D280" i="1"/>
  <c r="C280" i="1"/>
  <c r="B280" i="1"/>
  <c r="A280" i="1"/>
  <c r="AE279" i="1"/>
  <c r="AD279" i="1"/>
  <c r="AC279" i="1"/>
  <c r="AB279" i="1"/>
  <c r="AA279" i="1"/>
  <c r="Z279" i="1"/>
  <c r="Y279" i="1"/>
  <c r="X279" i="1"/>
  <c r="W279" i="1"/>
  <c r="V279" i="1"/>
  <c r="U279" i="1"/>
  <c r="T279" i="1"/>
  <c r="S279" i="1"/>
  <c r="R279" i="1"/>
  <c r="Q279" i="1"/>
  <c r="P279" i="1"/>
  <c r="O279" i="1"/>
  <c r="N279" i="1"/>
  <c r="M279" i="1"/>
  <c r="L279" i="1"/>
  <c r="K279" i="1"/>
  <c r="J279" i="1"/>
  <c r="I279" i="1"/>
  <c r="H279" i="1"/>
  <c r="G279" i="1"/>
  <c r="F279" i="1"/>
  <c r="E279" i="1"/>
  <c r="D279" i="1"/>
  <c r="C279" i="1"/>
  <c r="B279" i="1"/>
  <c r="A279" i="1"/>
  <c r="AE278" i="1"/>
  <c r="AD278" i="1"/>
  <c r="AC278" i="1"/>
  <c r="AB278" i="1"/>
  <c r="AA278" i="1"/>
  <c r="Z278" i="1"/>
  <c r="Y278" i="1"/>
  <c r="X278" i="1"/>
  <c r="W278" i="1"/>
  <c r="V278" i="1"/>
  <c r="U278" i="1"/>
  <c r="T278" i="1"/>
  <c r="S278" i="1"/>
  <c r="R278" i="1"/>
  <c r="Q278" i="1"/>
  <c r="P278" i="1"/>
  <c r="O278" i="1"/>
  <c r="N278" i="1"/>
  <c r="M278" i="1"/>
  <c r="L278" i="1"/>
  <c r="K278" i="1"/>
  <c r="J278" i="1"/>
  <c r="I278" i="1"/>
  <c r="H278" i="1"/>
  <c r="G278" i="1"/>
  <c r="F278" i="1"/>
  <c r="E278" i="1"/>
  <c r="D278" i="1"/>
  <c r="C278" i="1"/>
  <c r="B278" i="1"/>
  <c r="A278" i="1"/>
  <c r="AE277" i="1"/>
  <c r="AD277" i="1"/>
  <c r="AC277" i="1"/>
  <c r="AB277" i="1"/>
  <c r="AA277" i="1"/>
  <c r="Z277" i="1"/>
  <c r="Y277" i="1"/>
  <c r="X277" i="1"/>
  <c r="W277" i="1"/>
  <c r="V277" i="1"/>
  <c r="U277" i="1"/>
  <c r="T277" i="1"/>
  <c r="S277" i="1"/>
  <c r="R277" i="1"/>
  <c r="Q277" i="1"/>
  <c r="P277" i="1"/>
  <c r="O277" i="1"/>
  <c r="N277" i="1"/>
  <c r="M277" i="1"/>
  <c r="L277" i="1"/>
  <c r="K277" i="1"/>
  <c r="J277" i="1"/>
  <c r="I277" i="1"/>
  <c r="H277" i="1"/>
  <c r="G277" i="1"/>
  <c r="F277" i="1"/>
  <c r="E277" i="1"/>
  <c r="D277" i="1"/>
  <c r="C277" i="1"/>
  <c r="B277" i="1"/>
  <c r="A277" i="1"/>
  <c r="AE276" i="1"/>
  <c r="AD276" i="1"/>
  <c r="AC276" i="1"/>
  <c r="AB276" i="1"/>
  <c r="AA276" i="1"/>
  <c r="Z276" i="1"/>
  <c r="Y276" i="1"/>
  <c r="X276" i="1"/>
  <c r="W276" i="1"/>
  <c r="V276" i="1"/>
  <c r="U276" i="1"/>
  <c r="T276" i="1"/>
  <c r="S276" i="1"/>
  <c r="R276" i="1"/>
  <c r="Q276" i="1"/>
  <c r="P276" i="1"/>
  <c r="O276" i="1"/>
  <c r="N276" i="1"/>
  <c r="M276" i="1"/>
  <c r="L276" i="1"/>
  <c r="K276" i="1"/>
  <c r="J276" i="1"/>
  <c r="I276" i="1"/>
  <c r="H276" i="1"/>
  <c r="G276" i="1"/>
  <c r="F276" i="1"/>
  <c r="E276" i="1"/>
  <c r="D276" i="1"/>
  <c r="C276" i="1"/>
  <c r="B276" i="1"/>
  <c r="A276" i="1"/>
  <c r="AE275" i="1"/>
  <c r="AD275" i="1"/>
  <c r="AC275" i="1"/>
  <c r="AB275" i="1"/>
  <c r="AA275" i="1"/>
  <c r="Z275" i="1"/>
  <c r="Y275" i="1"/>
  <c r="X275" i="1"/>
  <c r="W275" i="1"/>
  <c r="V275" i="1"/>
  <c r="U275" i="1"/>
  <c r="T275" i="1"/>
  <c r="S275" i="1"/>
  <c r="R275" i="1"/>
  <c r="Q275" i="1"/>
  <c r="P275" i="1"/>
  <c r="O275" i="1"/>
  <c r="N275" i="1"/>
  <c r="M275" i="1"/>
  <c r="L275" i="1"/>
  <c r="K275" i="1"/>
  <c r="J275" i="1"/>
  <c r="I275" i="1"/>
  <c r="H275" i="1"/>
  <c r="G275" i="1"/>
  <c r="F275" i="1"/>
  <c r="E275" i="1"/>
  <c r="D275" i="1"/>
  <c r="C275" i="1"/>
  <c r="B275" i="1"/>
  <c r="A275" i="1"/>
  <c r="AE274" i="1"/>
  <c r="AD274" i="1"/>
  <c r="AC274" i="1"/>
  <c r="AB274" i="1"/>
  <c r="AA274" i="1"/>
  <c r="Z274" i="1"/>
  <c r="Y274" i="1"/>
  <c r="X274" i="1"/>
  <c r="W274" i="1"/>
  <c r="V274" i="1"/>
  <c r="U274" i="1"/>
  <c r="T274" i="1"/>
  <c r="S274" i="1"/>
  <c r="R274" i="1"/>
  <c r="Q274" i="1"/>
  <c r="P274" i="1"/>
  <c r="O274" i="1"/>
  <c r="N274" i="1"/>
  <c r="M274" i="1"/>
  <c r="L274" i="1"/>
  <c r="K274" i="1"/>
  <c r="J274" i="1"/>
  <c r="I274" i="1"/>
  <c r="H274" i="1"/>
  <c r="G274" i="1"/>
  <c r="F274" i="1"/>
  <c r="E274" i="1"/>
  <c r="D274" i="1"/>
  <c r="C274" i="1"/>
  <c r="B274" i="1"/>
  <c r="A274" i="1"/>
  <c r="AE273" i="1"/>
  <c r="AD273" i="1"/>
  <c r="AC273" i="1"/>
  <c r="AB273" i="1"/>
  <c r="AA273" i="1"/>
  <c r="Z273" i="1"/>
  <c r="Y273" i="1"/>
  <c r="X273" i="1"/>
  <c r="W273" i="1"/>
  <c r="V273" i="1"/>
  <c r="U273" i="1"/>
  <c r="T273" i="1"/>
  <c r="S273" i="1"/>
  <c r="R273" i="1"/>
  <c r="Q273" i="1"/>
  <c r="P273" i="1"/>
  <c r="O273" i="1"/>
  <c r="N273" i="1"/>
  <c r="M273" i="1"/>
  <c r="L273" i="1"/>
  <c r="K273" i="1"/>
  <c r="J273" i="1"/>
  <c r="I273" i="1"/>
  <c r="H273" i="1"/>
  <c r="G273" i="1"/>
  <c r="F273" i="1"/>
  <c r="E273" i="1"/>
  <c r="D273" i="1"/>
  <c r="C273" i="1"/>
  <c r="B273" i="1"/>
  <c r="A273" i="1"/>
  <c r="AE272" i="1"/>
  <c r="AD272" i="1"/>
  <c r="AC272" i="1"/>
  <c r="AB272" i="1"/>
  <c r="AA272" i="1"/>
  <c r="Z272" i="1"/>
  <c r="Y272" i="1"/>
  <c r="X272" i="1"/>
  <c r="W272" i="1"/>
  <c r="V272" i="1"/>
  <c r="U272" i="1"/>
  <c r="T272" i="1"/>
  <c r="S272" i="1"/>
  <c r="R272" i="1"/>
  <c r="Q272" i="1"/>
  <c r="P272" i="1"/>
  <c r="O272" i="1"/>
  <c r="N272" i="1"/>
  <c r="M272" i="1"/>
  <c r="L272" i="1"/>
  <c r="K272" i="1"/>
  <c r="J272" i="1"/>
  <c r="I272" i="1"/>
  <c r="H272" i="1"/>
  <c r="G272" i="1"/>
  <c r="F272" i="1"/>
  <c r="E272" i="1"/>
  <c r="D272" i="1"/>
  <c r="C272" i="1"/>
  <c r="B272" i="1"/>
  <c r="A272" i="1"/>
  <c r="AE271" i="1"/>
  <c r="AD271" i="1"/>
  <c r="AC271" i="1"/>
  <c r="AB271" i="1"/>
  <c r="AA271" i="1"/>
  <c r="Z271" i="1"/>
  <c r="Y271" i="1"/>
  <c r="X271" i="1"/>
  <c r="W271" i="1"/>
  <c r="V271" i="1"/>
  <c r="U271" i="1"/>
  <c r="T271" i="1"/>
  <c r="S271" i="1"/>
  <c r="R271" i="1"/>
  <c r="Q271" i="1"/>
  <c r="P271" i="1"/>
  <c r="O271" i="1"/>
  <c r="N271" i="1"/>
  <c r="M271" i="1"/>
  <c r="L271" i="1"/>
  <c r="K271" i="1"/>
  <c r="J271" i="1"/>
  <c r="I271" i="1"/>
  <c r="H271" i="1"/>
  <c r="G271" i="1"/>
  <c r="F271" i="1"/>
  <c r="E271" i="1"/>
  <c r="D271" i="1"/>
  <c r="C271" i="1"/>
  <c r="B271" i="1"/>
  <c r="A271" i="1"/>
  <c r="AE270" i="1"/>
  <c r="AD270" i="1"/>
  <c r="AC270" i="1"/>
  <c r="AB270" i="1"/>
  <c r="AA270" i="1"/>
  <c r="Z270" i="1"/>
  <c r="Y270" i="1"/>
  <c r="X270" i="1"/>
  <c r="W270" i="1"/>
  <c r="V270" i="1"/>
  <c r="U270" i="1"/>
  <c r="T270" i="1"/>
  <c r="S270" i="1"/>
  <c r="R270" i="1"/>
  <c r="Q270" i="1"/>
  <c r="P270" i="1"/>
  <c r="O270" i="1"/>
  <c r="N270" i="1"/>
  <c r="M270" i="1"/>
  <c r="L270" i="1"/>
  <c r="K270" i="1"/>
  <c r="J270" i="1"/>
  <c r="I270" i="1"/>
  <c r="H270" i="1"/>
  <c r="G270" i="1"/>
  <c r="F270" i="1"/>
  <c r="E270" i="1"/>
  <c r="D270" i="1"/>
  <c r="C270" i="1"/>
  <c r="B270" i="1"/>
  <c r="A270" i="1"/>
  <c r="AE269" i="1"/>
  <c r="AD269" i="1"/>
  <c r="AC269" i="1"/>
  <c r="AB269" i="1"/>
  <c r="AA269" i="1"/>
  <c r="Z269" i="1"/>
  <c r="Y269" i="1"/>
  <c r="X269" i="1"/>
  <c r="W269" i="1"/>
  <c r="V269" i="1"/>
  <c r="U269" i="1"/>
  <c r="T269" i="1"/>
  <c r="S269" i="1"/>
  <c r="R269" i="1"/>
  <c r="Q269" i="1"/>
  <c r="P269" i="1"/>
  <c r="O269" i="1"/>
  <c r="N269" i="1"/>
  <c r="M269" i="1"/>
  <c r="L269" i="1"/>
  <c r="K269" i="1"/>
  <c r="J269" i="1"/>
  <c r="I269" i="1"/>
  <c r="H269" i="1"/>
  <c r="G269" i="1"/>
  <c r="F269" i="1"/>
  <c r="E269" i="1"/>
  <c r="D269" i="1"/>
  <c r="C269" i="1"/>
  <c r="B269" i="1"/>
  <c r="A269" i="1"/>
  <c r="AE268" i="1"/>
  <c r="AD268" i="1"/>
  <c r="AC268" i="1"/>
  <c r="AB268" i="1"/>
  <c r="AA268" i="1"/>
  <c r="Z268" i="1"/>
  <c r="Y268" i="1"/>
  <c r="X268" i="1"/>
  <c r="W268" i="1"/>
  <c r="V268" i="1"/>
  <c r="U268" i="1"/>
  <c r="T268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F268" i="1"/>
  <c r="E268" i="1"/>
  <c r="D268" i="1"/>
  <c r="C268" i="1"/>
  <c r="B268" i="1"/>
  <c r="A268" i="1"/>
  <c r="AE267" i="1"/>
  <c r="AD267" i="1"/>
  <c r="AC267" i="1"/>
  <c r="AB267" i="1"/>
  <c r="AA267" i="1"/>
  <c r="Z267" i="1"/>
  <c r="Y267" i="1"/>
  <c r="X267" i="1"/>
  <c r="W267" i="1"/>
  <c r="V267" i="1"/>
  <c r="U267" i="1"/>
  <c r="T267" i="1"/>
  <c r="S267" i="1"/>
  <c r="R267" i="1"/>
  <c r="Q267" i="1"/>
  <c r="P267" i="1"/>
  <c r="O267" i="1"/>
  <c r="N267" i="1"/>
  <c r="M267" i="1"/>
  <c r="L267" i="1"/>
  <c r="K267" i="1"/>
  <c r="J267" i="1"/>
  <c r="I267" i="1"/>
  <c r="H267" i="1"/>
  <c r="G267" i="1"/>
  <c r="F267" i="1"/>
  <c r="E267" i="1"/>
  <c r="D267" i="1"/>
  <c r="C267" i="1"/>
  <c r="B267" i="1"/>
  <c r="A267" i="1"/>
  <c r="AE266" i="1"/>
  <c r="AD266" i="1"/>
  <c r="AC266" i="1"/>
  <c r="AB266" i="1"/>
  <c r="AA266" i="1"/>
  <c r="Z266" i="1"/>
  <c r="Y266" i="1"/>
  <c r="X266" i="1"/>
  <c r="W266" i="1"/>
  <c r="V266" i="1"/>
  <c r="U266" i="1"/>
  <c r="T266" i="1"/>
  <c r="S266" i="1"/>
  <c r="R266" i="1"/>
  <c r="Q266" i="1"/>
  <c r="P266" i="1"/>
  <c r="O266" i="1"/>
  <c r="N266" i="1"/>
  <c r="M266" i="1"/>
  <c r="L266" i="1"/>
  <c r="K266" i="1"/>
  <c r="J266" i="1"/>
  <c r="I266" i="1"/>
  <c r="H266" i="1"/>
  <c r="G266" i="1"/>
  <c r="F266" i="1"/>
  <c r="E266" i="1"/>
  <c r="D266" i="1"/>
  <c r="C266" i="1"/>
  <c r="B266" i="1"/>
  <c r="A266" i="1"/>
  <c r="AE265" i="1"/>
  <c r="AD265" i="1"/>
  <c r="AC265" i="1"/>
  <c r="AB265" i="1"/>
  <c r="AA265" i="1"/>
  <c r="Z265" i="1"/>
  <c r="Y265" i="1"/>
  <c r="X265" i="1"/>
  <c r="W265" i="1"/>
  <c r="V265" i="1"/>
  <c r="U265" i="1"/>
  <c r="T265" i="1"/>
  <c r="S265" i="1"/>
  <c r="R265" i="1"/>
  <c r="Q265" i="1"/>
  <c r="P265" i="1"/>
  <c r="O265" i="1"/>
  <c r="N265" i="1"/>
  <c r="M265" i="1"/>
  <c r="L265" i="1"/>
  <c r="K265" i="1"/>
  <c r="J265" i="1"/>
  <c r="I265" i="1"/>
  <c r="H265" i="1"/>
  <c r="G265" i="1"/>
  <c r="F265" i="1"/>
  <c r="E265" i="1"/>
  <c r="D265" i="1"/>
  <c r="C265" i="1"/>
  <c r="B265" i="1"/>
  <c r="A265" i="1"/>
  <c r="AE264" i="1"/>
  <c r="AD264" i="1"/>
  <c r="AC264" i="1"/>
  <c r="AB264" i="1"/>
  <c r="AA264" i="1"/>
  <c r="Z264" i="1"/>
  <c r="Y264" i="1"/>
  <c r="X264" i="1"/>
  <c r="W264" i="1"/>
  <c r="V264" i="1"/>
  <c r="U264" i="1"/>
  <c r="T264" i="1"/>
  <c r="S264" i="1"/>
  <c r="R264" i="1"/>
  <c r="Q264" i="1"/>
  <c r="P264" i="1"/>
  <c r="O264" i="1"/>
  <c r="N264" i="1"/>
  <c r="M264" i="1"/>
  <c r="L264" i="1"/>
  <c r="K264" i="1"/>
  <c r="J264" i="1"/>
  <c r="I264" i="1"/>
  <c r="H264" i="1"/>
  <c r="G264" i="1"/>
  <c r="F264" i="1"/>
  <c r="E264" i="1"/>
  <c r="D264" i="1"/>
  <c r="C264" i="1"/>
  <c r="B264" i="1"/>
  <c r="A264" i="1"/>
  <c r="AE263" i="1"/>
  <c r="AD263" i="1"/>
  <c r="AC263" i="1"/>
  <c r="AB263" i="1"/>
  <c r="AA263" i="1"/>
  <c r="Z263" i="1"/>
  <c r="Y263" i="1"/>
  <c r="X263" i="1"/>
  <c r="W263" i="1"/>
  <c r="V263" i="1"/>
  <c r="U263" i="1"/>
  <c r="T263" i="1"/>
  <c r="S263" i="1"/>
  <c r="R263" i="1"/>
  <c r="Q263" i="1"/>
  <c r="P263" i="1"/>
  <c r="O263" i="1"/>
  <c r="N263" i="1"/>
  <c r="M263" i="1"/>
  <c r="L263" i="1"/>
  <c r="K263" i="1"/>
  <c r="J263" i="1"/>
  <c r="I263" i="1"/>
  <c r="H263" i="1"/>
  <c r="G263" i="1"/>
  <c r="F263" i="1"/>
  <c r="E263" i="1"/>
  <c r="D263" i="1"/>
  <c r="C263" i="1"/>
  <c r="B263" i="1"/>
  <c r="A263" i="1"/>
  <c r="AE262" i="1"/>
  <c r="AD262" i="1"/>
  <c r="AC262" i="1"/>
  <c r="AB262" i="1"/>
  <c r="AA262" i="1"/>
  <c r="Z262" i="1"/>
  <c r="Y262" i="1"/>
  <c r="X262" i="1"/>
  <c r="W262" i="1"/>
  <c r="V262" i="1"/>
  <c r="U262" i="1"/>
  <c r="T262" i="1"/>
  <c r="S262" i="1"/>
  <c r="R262" i="1"/>
  <c r="Q262" i="1"/>
  <c r="P262" i="1"/>
  <c r="O262" i="1"/>
  <c r="N262" i="1"/>
  <c r="M262" i="1"/>
  <c r="L262" i="1"/>
  <c r="K262" i="1"/>
  <c r="J262" i="1"/>
  <c r="I262" i="1"/>
  <c r="H262" i="1"/>
  <c r="G262" i="1"/>
  <c r="F262" i="1"/>
  <c r="E262" i="1"/>
  <c r="D262" i="1"/>
  <c r="C262" i="1"/>
  <c r="B262" i="1"/>
  <c r="A262" i="1"/>
  <c r="AE261" i="1"/>
  <c r="AD261" i="1"/>
  <c r="AC261" i="1"/>
  <c r="AB261" i="1"/>
  <c r="AA261" i="1"/>
  <c r="Z261" i="1"/>
  <c r="Y261" i="1"/>
  <c r="X261" i="1"/>
  <c r="W261" i="1"/>
  <c r="V261" i="1"/>
  <c r="U261" i="1"/>
  <c r="T261" i="1"/>
  <c r="S261" i="1"/>
  <c r="R261" i="1"/>
  <c r="Q261" i="1"/>
  <c r="P261" i="1"/>
  <c r="O261" i="1"/>
  <c r="N261" i="1"/>
  <c r="M261" i="1"/>
  <c r="L261" i="1"/>
  <c r="K261" i="1"/>
  <c r="J261" i="1"/>
  <c r="I261" i="1"/>
  <c r="H261" i="1"/>
  <c r="G261" i="1"/>
  <c r="F261" i="1"/>
  <c r="E261" i="1"/>
  <c r="D261" i="1"/>
  <c r="C261" i="1"/>
  <c r="B261" i="1"/>
  <c r="A261" i="1"/>
  <c r="AE260" i="1"/>
  <c r="AD260" i="1"/>
  <c r="AC260" i="1"/>
  <c r="AB260" i="1"/>
  <c r="AA260" i="1"/>
  <c r="Z260" i="1"/>
  <c r="Y260" i="1"/>
  <c r="X260" i="1"/>
  <c r="W260" i="1"/>
  <c r="V260" i="1"/>
  <c r="U260" i="1"/>
  <c r="T260" i="1"/>
  <c r="S260" i="1"/>
  <c r="R260" i="1"/>
  <c r="Q260" i="1"/>
  <c r="P260" i="1"/>
  <c r="O260" i="1"/>
  <c r="N260" i="1"/>
  <c r="M260" i="1"/>
  <c r="L260" i="1"/>
  <c r="K260" i="1"/>
  <c r="J260" i="1"/>
  <c r="I260" i="1"/>
  <c r="H260" i="1"/>
  <c r="G260" i="1"/>
  <c r="F260" i="1"/>
  <c r="E260" i="1"/>
  <c r="D260" i="1"/>
  <c r="C260" i="1"/>
  <c r="B260" i="1"/>
  <c r="A260" i="1"/>
  <c r="AE259" i="1"/>
  <c r="AD259" i="1"/>
  <c r="AC259" i="1"/>
  <c r="AB259" i="1"/>
  <c r="AA259" i="1"/>
  <c r="Z259" i="1"/>
  <c r="Y259" i="1"/>
  <c r="X259" i="1"/>
  <c r="W259" i="1"/>
  <c r="V259" i="1"/>
  <c r="U259" i="1"/>
  <c r="T259" i="1"/>
  <c r="S259" i="1"/>
  <c r="R259" i="1"/>
  <c r="Q259" i="1"/>
  <c r="P259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C259" i="1"/>
  <c r="B259" i="1"/>
  <c r="A259" i="1"/>
  <c r="AE258" i="1"/>
  <c r="AD258" i="1"/>
  <c r="AC258" i="1"/>
  <c r="AB258" i="1"/>
  <c r="AA258" i="1"/>
  <c r="Z258" i="1"/>
  <c r="Y258" i="1"/>
  <c r="X258" i="1"/>
  <c r="W258" i="1"/>
  <c r="V258" i="1"/>
  <c r="U258" i="1"/>
  <c r="T258" i="1"/>
  <c r="S258" i="1"/>
  <c r="R258" i="1"/>
  <c r="Q258" i="1"/>
  <c r="P258" i="1"/>
  <c r="O258" i="1"/>
  <c r="N258" i="1"/>
  <c r="M258" i="1"/>
  <c r="L258" i="1"/>
  <c r="K258" i="1"/>
  <c r="J258" i="1"/>
  <c r="I258" i="1"/>
  <c r="H258" i="1"/>
  <c r="G258" i="1"/>
  <c r="F258" i="1"/>
  <c r="E258" i="1"/>
  <c r="D258" i="1"/>
  <c r="C258" i="1"/>
  <c r="B258" i="1"/>
  <c r="A258" i="1"/>
  <c r="AE257" i="1"/>
  <c r="AD257" i="1"/>
  <c r="AC257" i="1"/>
  <c r="AB257" i="1"/>
  <c r="AA257" i="1"/>
  <c r="Z257" i="1"/>
  <c r="Y257" i="1"/>
  <c r="X257" i="1"/>
  <c r="W257" i="1"/>
  <c r="V257" i="1"/>
  <c r="U257" i="1"/>
  <c r="T257" i="1"/>
  <c r="S257" i="1"/>
  <c r="R257" i="1"/>
  <c r="Q257" i="1"/>
  <c r="P257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C257" i="1"/>
  <c r="B257" i="1"/>
  <c r="A257" i="1"/>
  <c r="AE256" i="1"/>
  <c r="AD256" i="1"/>
  <c r="AC256" i="1"/>
  <c r="AB256" i="1"/>
  <c r="AA256" i="1"/>
  <c r="Z256" i="1"/>
  <c r="Y256" i="1"/>
  <c r="X256" i="1"/>
  <c r="W256" i="1"/>
  <c r="V256" i="1"/>
  <c r="U256" i="1"/>
  <c r="T256" i="1"/>
  <c r="S256" i="1"/>
  <c r="R256" i="1"/>
  <c r="Q256" i="1"/>
  <c r="P256" i="1"/>
  <c r="O256" i="1"/>
  <c r="N256" i="1"/>
  <c r="M256" i="1"/>
  <c r="L256" i="1"/>
  <c r="K256" i="1"/>
  <c r="J256" i="1"/>
  <c r="I256" i="1"/>
  <c r="H256" i="1"/>
  <c r="G256" i="1"/>
  <c r="F256" i="1"/>
  <c r="E256" i="1"/>
  <c r="D256" i="1"/>
  <c r="C256" i="1"/>
  <c r="B256" i="1"/>
  <c r="A256" i="1"/>
  <c r="AE255" i="1"/>
  <c r="AD255" i="1"/>
  <c r="AC255" i="1"/>
  <c r="AB255" i="1"/>
  <c r="AA255" i="1"/>
  <c r="Z255" i="1"/>
  <c r="Y255" i="1"/>
  <c r="X255" i="1"/>
  <c r="W255" i="1"/>
  <c r="V255" i="1"/>
  <c r="U255" i="1"/>
  <c r="T255" i="1"/>
  <c r="S255" i="1"/>
  <c r="R255" i="1"/>
  <c r="Q255" i="1"/>
  <c r="P255" i="1"/>
  <c r="O255" i="1"/>
  <c r="N255" i="1"/>
  <c r="M255" i="1"/>
  <c r="L255" i="1"/>
  <c r="K255" i="1"/>
  <c r="J255" i="1"/>
  <c r="I255" i="1"/>
  <c r="H255" i="1"/>
  <c r="G255" i="1"/>
  <c r="F255" i="1"/>
  <c r="E255" i="1"/>
  <c r="D255" i="1"/>
  <c r="C255" i="1"/>
  <c r="B255" i="1"/>
  <c r="A255" i="1"/>
  <c r="AE254" i="1"/>
  <c r="AD254" i="1"/>
  <c r="AC254" i="1"/>
  <c r="AB254" i="1"/>
  <c r="AA254" i="1"/>
  <c r="Z254" i="1"/>
  <c r="Y254" i="1"/>
  <c r="X254" i="1"/>
  <c r="W254" i="1"/>
  <c r="V254" i="1"/>
  <c r="U254" i="1"/>
  <c r="T254" i="1"/>
  <c r="S254" i="1"/>
  <c r="R254" i="1"/>
  <c r="Q254" i="1"/>
  <c r="P254" i="1"/>
  <c r="O254" i="1"/>
  <c r="N254" i="1"/>
  <c r="M254" i="1"/>
  <c r="L254" i="1"/>
  <c r="K254" i="1"/>
  <c r="J254" i="1"/>
  <c r="I254" i="1"/>
  <c r="H254" i="1"/>
  <c r="G254" i="1"/>
  <c r="F254" i="1"/>
  <c r="E254" i="1"/>
  <c r="D254" i="1"/>
  <c r="C254" i="1"/>
  <c r="B254" i="1"/>
  <c r="A254" i="1"/>
  <c r="AE253" i="1"/>
  <c r="AD253" i="1"/>
  <c r="AC253" i="1"/>
  <c r="AB253" i="1"/>
  <c r="AA253" i="1"/>
  <c r="Z253" i="1"/>
  <c r="Y253" i="1"/>
  <c r="X253" i="1"/>
  <c r="W253" i="1"/>
  <c r="V253" i="1"/>
  <c r="U253" i="1"/>
  <c r="T253" i="1"/>
  <c r="S253" i="1"/>
  <c r="R253" i="1"/>
  <c r="Q253" i="1"/>
  <c r="P253" i="1"/>
  <c r="O253" i="1"/>
  <c r="N253" i="1"/>
  <c r="M253" i="1"/>
  <c r="L253" i="1"/>
  <c r="K253" i="1"/>
  <c r="J253" i="1"/>
  <c r="I253" i="1"/>
  <c r="H253" i="1"/>
  <c r="G253" i="1"/>
  <c r="F253" i="1"/>
  <c r="E253" i="1"/>
  <c r="D253" i="1"/>
  <c r="C253" i="1"/>
  <c r="B253" i="1"/>
  <c r="A253" i="1"/>
  <c r="AE252" i="1"/>
  <c r="AD252" i="1"/>
  <c r="AC252" i="1"/>
  <c r="AB252" i="1"/>
  <c r="AA252" i="1"/>
  <c r="Z252" i="1"/>
  <c r="Y252" i="1"/>
  <c r="X252" i="1"/>
  <c r="W252" i="1"/>
  <c r="V252" i="1"/>
  <c r="U252" i="1"/>
  <c r="T252" i="1"/>
  <c r="S252" i="1"/>
  <c r="R252" i="1"/>
  <c r="Q252" i="1"/>
  <c r="P252" i="1"/>
  <c r="O252" i="1"/>
  <c r="N252" i="1"/>
  <c r="M252" i="1"/>
  <c r="L252" i="1"/>
  <c r="K252" i="1"/>
  <c r="J252" i="1"/>
  <c r="I252" i="1"/>
  <c r="H252" i="1"/>
  <c r="G252" i="1"/>
  <c r="F252" i="1"/>
  <c r="E252" i="1"/>
  <c r="D252" i="1"/>
  <c r="C252" i="1"/>
  <c r="B252" i="1"/>
  <c r="A252" i="1"/>
  <c r="AE251" i="1"/>
  <c r="AD251" i="1"/>
  <c r="AC251" i="1"/>
  <c r="AB251" i="1"/>
  <c r="AA251" i="1"/>
  <c r="Z251" i="1"/>
  <c r="Y251" i="1"/>
  <c r="X251" i="1"/>
  <c r="W251" i="1"/>
  <c r="V251" i="1"/>
  <c r="U251" i="1"/>
  <c r="T251" i="1"/>
  <c r="S251" i="1"/>
  <c r="R251" i="1"/>
  <c r="Q251" i="1"/>
  <c r="P251" i="1"/>
  <c r="O251" i="1"/>
  <c r="N251" i="1"/>
  <c r="M251" i="1"/>
  <c r="L251" i="1"/>
  <c r="K251" i="1"/>
  <c r="J251" i="1"/>
  <c r="I251" i="1"/>
  <c r="H251" i="1"/>
  <c r="G251" i="1"/>
  <c r="F251" i="1"/>
  <c r="E251" i="1"/>
  <c r="D251" i="1"/>
  <c r="C251" i="1"/>
  <c r="B251" i="1"/>
  <c r="A251" i="1"/>
  <c r="AE250" i="1"/>
  <c r="AD250" i="1"/>
  <c r="AC250" i="1"/>
  <c r="AB250" i="1"/>
  <c r="AA250" i="1"/>
  <c r="Z250" i="1"/>
  <c r="Y250" i="1"/>
  <c r="X250" i="1"/>
  <c r="W250" i="1"/>
  <c r="V250" i="1"/>
  <c r="U250" i="1"/>
  <c r="T250" i="1"/>
  <c r="S250" i="1"/>
  <c r="R250" i="1"/>
  <c r="Q250" i="1"/>
  <c r="P250" i="1"/>
  <c r="O250" i="1"/>
  <c r="N250" i="1"/>
  <c r="M250" i="1"/>
  <c r="L250" i="1"/>
  <c r="K250" i="1"/>
  <c r="J250" i="1"/>
  <c r="I250" i="1"/>
  <c r="H250" i="1"/>
  <c r="G250" i="1"/>
  <c r="F250" i="1"/>
  <c r="E250" i="1"/>
  <c r="D250" i="1"/>
  <c r="C250" i="1"/>
  <c r="B250" i="1"/>
  <c r="A250" i="1"/>
  <c r="AE249" i="1"/>
  <c r="AD249" i="1"/>
  <c r="AC249" i="1"/>
  <c r="AB249" i="1"/>
  <c r="AA249" i="1"/>
  <c r="Z249" i="1"/>
  <c r="Y249" i="1"/>
  <c r="X249" i="1"/>
  <c r="W249" i="1"/>
  <c r="V249" i="1"/>
  <c r="U249" i="1"/>
  <c r="T249" i="1"/>
  <c r="S249" i="1"/>
  <c r="R249" i="1"/>
  <c r="Q249" i="1"/>
  <c r="P249" i="1"/>
  <c r="O249" i="1"/>
  <c r="N249" i="1"/>
  <c r="M249" i="1"/>
  <c r="L249" i="1"/>
  <c r="K249" i="1"/>
  <c r="J249" i="1"/>
  <c r="I249" i="1"/>
  <c r="H249" i="1"/>
  <c r="G249" i="1"/>
  <c r="F249" i="1"/>
  <c r="E249" i="1"/>
  <c r="D249" i="1"/>
  <c r="C249" i="1"/>
  <c r="B249" i="1"/>
  <c r="A249" i="1"/>
  <c r="AE248" i="1"/>
  <c r="AD248" i="1"/>
  <c r="AC248" i="1"/>
  <c r="AB248" i="1"/>
  <c r="AA248" i="1"/>
  <c r="Z248" i="1"/>
  <c r="Y248" i="1"/>
  <c r="X248" i="1"/>
  <c r="W248" i="1"/>
  <c r="V248" i="1"/>
  <c r="U248" i="1"/>
  <c r="T248" i="1"/>
  <c r="S248" i="1"/>
  <c r="R248" i="1"/>
  <c r="Q248" i="1"/>
  <c r="P248" i="1"/>
  <c r="O248" i="1"/>
  <c r="N248" i="1"/>
  <c r="M248" i="1"/>
  <c r="L248" i="1"/>
  <c r="K248" i="1"/>
  <c r="J248" i="1"/>
  <c r="I248" i="1"/>
  <c r="H248" i="1"/>
  <c r="G248" i="1"/>
  <c r="F248" i="1"/>
  <c r="E248" i="1"/>
  <c r="D248" i="1"/>
  <c r="C248" i="1"/>
  <c r="B248" i="1"/>
  <c r="A248" i="1"/>
  <c r="AE247" i="1"/>
  <c r="AD247" i="1"/>
  <c r="AC247" i="1"/>
  <c r="AB247" i="1"/>
  <c r="AA247" i="1"/>
  <c r="Z247" i="1"/>
  <c r="Y247" i="1"/>
  <c r="X247" i="1"/>
  <c r="W247" i="1"/>
  <c r="V247" i="1"/>
  <c r="U247" i="1"/>
  <c r="T247" i="1"/>
  <c r="S247" i="1"/>
  <c r="R247" i="1"/>
  <c r="Q247" i="1"/>
  <c r="P247" i="1"/>
  <c r="O247" i="1"/>
  <c r="N247" i="1"/>
  <c r="M247" i="1"/>
  <c r="L247" i="1"/>
  <c r="K247" i="1"/>
  <c r="J247" i="1"/>
  <c r="I247" i="1"/>
  <c r="H247" i="1"/>
  <c r="G247" i="1"/>
  <c r="F247" i="1"/>
  <c r="E247" i="1"/>
  <c r="D247" i="1"/>
  <c r="C247" i="1"/>
  <c r="B247" i="1"/>
  <c r="A247" i="1"/>
  <c r="AE246" i="1"/>
  <c r="AD246" i="1"/>
  <c r="AC246" i="1"/>
  <c r="AB246" i="1"/>
  <c r="AA246" i="1"/>
  <c r="Z246" i="1"/>
  <c r="Y246" i="1"/>
  <c r="X246" i="1"/>
  <c r="W246" i="1"/>
  <c r="V246" i="1"/>
  <c r="U246" i="1"/>
  <c r="T246" i="1"/>
  <c r="S246" i="1"/>
  <c r="R246" i="1"/>
  <c r="Q246" i="1"/>
  <c r="P246" i="1"/>
  <c r="O246" i="1"/>
  <c r="N246" i="1"/>
  <c r="M246" i="1"/>
  <c r="L246" i="1"/>
  <c r="K246" i="1"/>
  <c r="J246" i="1"/>
  <c r="I246" i="1"/>
  <c r="H246" i="1"/>
  <c r="G246" i="1"/>
  <c r="F246" i="1"/>
  <c r="E246" i="1"/>
  <c r="D246" i="1"/>
  <c r="C246" i="1"/>
  <c r="B246" i="1"/>
  <c r="A246" i="1"/>
  <c r="AE245" i="1"/>
  <c r="AD245" i="1"/>
  <c r="AC245" i="1"/>
  <c r="AB245" i="1"/>
  <c r="AA245" i="1"/>
  <c r="Z245" i="1"/>
  <c r="Y245" i="1"/>
  <c r="X245" i="1"/>
  <c r="W245" i="1"/>
  <c r="V245" i="1"/>
  <c r="U245" i="1"/>
  <c r="T245" i="1"/>
  <c r="S245" i="1"/>
  <c r="R245" i="1"/>
  <c r="Q245" i="1"/>
  <c r="P245" i="1"/>
  <c r="O245" i="1"/>
  <c r="N245" i="1"/>
  <c r="M245" i="1"/>
  <c r="L245" i="1"/>
  <c r="K245" i="1"/>
  <c r="J245" i="1"/>
  <c r="I245" i="1"/>
  <c r="H245" i="1"/>
  <c r="G245" i="1"/>
  <c r="F245" i="1"/>
  <c r="E245" i="1"/>
  <c r="D245" i="1"/>
  <c r="C245" i="1"/>
  <c r="B245" i="1"/>
  <c r="A245" i="1"/>
  <c r="AE244" i="1"/>
  <c r="AD244" i="1"/>
  <c r="AC244" i="1"/>
  <c r="AB244" i="1"/>
  <c r="AA244" i="1"/>
  <c r="Z244" i="1"/>
  <c r="Y244" i="1"/>
  <c r="X244" i="1"/>
  <c r="W244" i="1"/>
  <c r="V244" i="1"/>
  <c r="U244" i="1"/>
  <c r="T244" i="1"/>
  <c r="S244" i="1"/>
  <c r="R244" i="1"/>
  <c r="Q244" i="1"/>
  <c r="P244" i="1"/>
  <c r="O244" i="1"/>
  <c r="N244" i="1"/>
  <c r="M244" i="1"/>
  <c r="L244" i="1"/>
  <c r="K244" i="1"/>
  <c r="J244" i="1"/>
  <c r="I244" i="1"/>
  <c r="H244" i="1"/>
  <c r="G244" i="1"/>
  <c r="F244" i="1"/>
  <c r="E244" i="1"/>
  <c r="D244" i="1"/>
  <c r="C244" i="1"/>
  <c r="B244" i="1"/>
  <c r="A244" i="1"/>
  <c r="AE243" i="1"/>
  <c r="AD243" i="1"/>
  <c r="AC243" i="1"/>
  <c r="AB243" i="1"/>
  <c r="AA243" i="1"/>
  <c r="Z243" i="1"/>
  <c r="Y243" i="1"/>
  <c r="X243" i="1"/>
  <c r="W243" i="1"/>
  <c r="V243" i="1"/>
  <c r="U243" i="1"/>
  <c r="T243" i="1"/>
  <c r="S243" i="1"/>
  <c r="R243" i="1"/>
  <c r="Q243" i="1"/>
  <c r="P243" i="1"/>
  <c r="O243" i="1"/>
  <c r="N243" i="1"/>
  <c r="M243" i="1"/>
  <c r="L243" i="1"/>
  <c r="K243" i="1"/>
  <c r="J243" i="1"/>
  <c r="I243" i="1"/>
  <c r="H243" i="1"/>
  <c r="G243" i="1"/>
  <c r="F243" i="1"/>
  <c r="E243" i="1"/>
  <c r="D243" i="1"/>
  <c r="C243" i="1"/>
  <c r="B243" i="1"/>
  <c r="A243" i="1"/>
  <c r="AE242" i="1"/>
  <c r="AD242" i="1"/>
  <c r="AC242" i="1"/>
  <c r="AB242" i="1"/>
  <c r="AA242" i="1"/>
  <c r="Z242" i="1"/>
  <c r="Y242" i="1"/>
  <c r="X242" i="1"/>
  <c r="W242" i="1"/>
  <c r="V242" i="1"/>
  <c r="U242" i="1"/>
  <c r="T242" i="1"/>
  <c r="S242" i="1"/>
  <c r="R242" i="1"/>
  <c r="Q242" i="1"/>
  <c r="P242" i="1"/>
  <c r="O242" i="1"/>
  <c r="N242" i="1"/>
  <c r="M242" i="1"/>
  <c r="L242" i="1"/>
  <c r="K242" i="1"/>
  <c r="J242" i="1"/>
  <c r="I242" i="1"/>
  <c r="H242" i="1"/>
  <c r="G242" i="1"/>
  <c r="F242" i="1"/>
  <c r="E242" i="1"/>
  <c r="D242" i="1"/>
  <c r="C242" i="1"/>
  <c r="B242" i="1"/>
  <c r="A242" i="1"/>
  <c r="AE241" i="1"/>
  <c r="AD241" i="1"/>
  <c r="AC241" i="1"/>
  <c r="AB241" i="1"/>
  <c r="AA241" i="1"/>
  <c r="Z241" i="1"/>
  <c r="Y241" i="1"/>
  <c r="X241" i="1"/>
  <c r="W241" i="1"/>
  <c r="V241" i="1"/>
  <c r="U241" i="1"/>
  <c r="T241" i="1"/>
  <c r="S241" i="1"/>
  <c r="R241" i="1"/>
  <c r="Q241" i="1"/>
  <c r="P241" i="1"/>
  <c r="O241" i="1"/>
  <c r="N241" i="1"/>
  <c r="M241" i="1"/>
  <c r="L241" i="1"/>
  <c r="K241" i="1"/>
  <c r="J241" i="1"/>
  <c r="I241" i="1"/>
  <c r="H241" i="1"/>
  <c r="G241" i="1"/>
  <c r="F241" i="1"/>
  <c r="E241" i="1"/>
  <c r="D241" i="1"/>
  <c r="C241" i="1"/>
  <c r="B241" i="1"/>
  <c r="A241" i="1"/>
  <c r="AE240" i="1"/>
  <c r="AD240" i="1"/>
  <c r="AC240" i="1"/>
  <c r="AB240" i="1"/>
  <c r="AA240" i="1"/>
  <c r="Z240" i="1"/>
  <c r="Y240" i="1"/>
  <c r="X240" i="1"/>
  <c r="W240" i="1"/>
  <c r="V240" i="1"/>
  <c r="U240" i="1"/>
  <c r="T240" i="1"/>
  <c r="S240" i="1"/>
  <c r="R240" i="1"/>
  <c r="Q240" i="1"/>
  <c r="P240" i="1"/>
  <c r="O240" i="1"/>
  <c r="N240" i="1"/>
  <c r="M240" i="1"/>
  <c r="L240" i="1"/>
  <c r="K240" i="1"/>
  <c r="J240" i="1"/>
  <c r="I240" i="1"/>
  <c r="H240" i="1"/>
  <c r="G240" i="1"/>
  <c r="F240" i="1"/>
  <c r="E240" i="1"/>
  <c r="D240" i="1"/>
  <c r="C240" i="1"/>
  <c r="B240" i="1"/>
  <c r="A240" i="1"/>
  <c r="AE239" i="1"/>
  <c r="AD239" i="1"/>
  <c r="AC239" i="1"/>
  <c r="AB239" i="1"/>
  <c r="AA239" i="1"/>
  <c r="Z239" i="1"/>
  <c r="Y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A239" i="1"/>
  <c r="AE238" i="1"/>
  <c r="AD238" i="1"/>
  <c r="AC238" i="1"/>
  <c r="AB238" i="1"/>
  <c r="AA238" i="1"/>
  <c r="Z238" i="1"/>
  <c r="Y238" i="1"/>
  <c r="X238" i="1"/>
  <c r="W238" i="1"/>
  <c r="V238" i="1"/>
  <c r="U238" i="1"/>
  <c r="T238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F238" i="1"/>
  <c r="E238" i="1"/>
  <c r="D238" i="1"/>
  <c r="C238" i="1"/>
  <c r="B238" i="1"/>
  <c r="A238" i="1"/>
  <c r="AE237" i="1"/>
  <c r="AD237" i="1"/>
  <c r="AC237" i="1"/>
  <c r="AB237" i="1"/>
  <c r="AA237" i="1"/>
  <c r="Z237" i="1"/>
  <c r="Y237" i="1"/>
  <c r="X237" i="1"/>
  <c r="W237" i="1"/>
  <c r="V237" i="1"/>
  <c r="U237" i="1"/>
  <c r="T237" i="1"/>
  <c r="S237" i="1"/>
  <c r="R237" i="1"/>
  <c r="Q237" i="1"/>
  <c r="P237" i="1"/>
  <c r="O237" i="1"/>
  <c r="N237" i="1"/>
  <c r="M237" i="1"/>
  <c r="L237" i="1"/>
  <c r="K237" i="1"/>
  <c r="J237" i="1"/>
  <c r="I237" i="1"/>
  <c r="H237" i="1"/>
  <c r="G237" i="1"/>
  <c r="F237" i="1"/>
  <c r="E237" i="1"/>
  <c r="D237" i="1"/>
  <c r="C237" i="1"/>
  <c r="B237" i="1"/>
  <c r="A237" i="1"/>
  <c r="AE236" i="1"/>
  <c r="AD236" i="1"/>
  <c r="AC236" i="1"/>
  <c r="AB236" i="1"/>
  <c r="AA236" i="1"/>
  <c r="Z236" i="1"/>
  <c r="Y236" i="1"/>
  <c r="X236" i="1"/>
  <c r="W236" i="1"/>
  <c r="V236" i="1"/>
  <c r="U236" i="1"/>
  <c r="T236" i="1"/>
  <c r="S236" i="1"/>
  <c r="R236" i="1"/>
  <c r="Q236" i="1"/>
  <c r="P236" i="1"/>
  <c r="O236" i="1"/>
  <c r="N236" i="1"/>
  <c r="M236" i="1"/>
  <c r="L236" i="1"/>
  <c r="K236" i="1"/>
  <c r="J236" i="1"/>
  <c r="I236" i="1"/>
  <c r="H236" i="1"/>
  <c r="G236" i="1"/>
  <c r="F236" i="1"/>
  <c r="E236" i="1"/>
  <c r="D236" i="1"/>
  <c r="C236" i="1"/>
  <c r="B236" i="1"/>
  <c r="A236" i="1"/>
  <c r="AE235" i="1"/>
  <c r="AD235" i="1"/>
  <c r="AC235" i="1"/>
  <c r="AB235" i="1"/>
  <c r="AA235" i="1"/>
  <c r="Z235" i="1"/>
  <c r="Y235" i="1"/>
  <c r="X235" i="1"/>
  <c r="W235" i="1"/>
  <c r="V235" i="1"/>
  <c r="U235" i="1"/>
  <c r="T235" i="1"/>
  <c r="S235" i="1"/>
  <c r="R235" i="1"/>
  <c r="Q235" i="1"/>
  <c r="P235" i="1"/>
  <c r="O235" i="1"/>
  <c r="N235" i="1"/>
  <c r="M235" i="1"/>
  <c r="L235" i="1"/>
  <c r="K235" i="1"/>
  <c r="J235" i="1"/>
  <c r="I235" i="1"/>
  <c r="H235" i="1"/>
  <c r="G235" i="1"/>
  <c r="F235" i="1"/>
  <c r="E235" i="1"/>
  <c r="D235" i="1"/>
  <c r="C235" i="1"/>
  <c r="B235" i="1"/>
  <c r="A235" i="1"/>
  <c r="AE234" i="1"/>
  <c r="AD234" i="1"/>
  <c r="AC234" i="1"/>
  <c r="AB234" i="1"/>
  <c r="AA234" i="1"/>
  <c r="Z234" i="1"/>
  <c r="Y234" i="1"/>
  <c r="X234" i="1"/>
  <c r="W234" i="1"/>
  <c r="V234" i="1"/>
  <c r="U234" i="1"/>
  <c r="T234" i="1"/>
  <c r="S234" i="1"/>
  <c r="R234" i="1"/>
  <c r="Q234" i="1"/>
  <c r="P234" i="1"/>
  <c r="O234" i="1"/>
  <c r="N234" i="1"/>
  <c r="M234" i="1"/>
  <c r="L234" i="1"/>
  <c r="K234" i="1"/>
  <c r="J234" i="1"/>
  <c r="I234" i="1"/>
  <c r="H234" i="1"/>
  <c r="G234" i="1"/>
  <c r="F234" i="1"/>
  <c r="E234" i="1"/>
  <c r="D234" i="1"/>
  <c r="C234" i="1"/>
  <c r="B234" i="1"/>
  <c r="A234" i="1"/>
  <c r="AE233" i="1"/>
  <c r="AD233" i="1"/>
  <c r="AC233" i="1"/>
  <c r="AB233" i="1"/>
  <c r="AA233" i="1"/>
  <c r="Z233" i="1"/>
  <c r="Y233" i="1"/>
  <c r="X233" i="1"/>
  <c r="W233" i="1"/>
  <c r="V233" i="1"/>
  <c r="U233" i="1"/>
  <c r="T233" i="1"/>
  <c r="S233" i="1"/>
  <c r="R233" i="1"/>
  <c r="Q233" i="1"/>
  <c r="P233" i="1"/>
  <c r="O233" i="1"/>
  <c r="N233" i="1"/>
  <c r="M233" i="1"/>
  <c r="L233" i="1"/>
  <c r="K233" i="1"/>
  <c r="J233" i="1"/>
  <c r="I233" i="1"/>
  <c r="H233" i="1"/>
  <c r="G233" i="1"/>
  <c r="F233" i="1"/>
  <c r="E233" i="1"/>
  <c r="D233" i="1"/>
  <c r="C233" i="1"/>
  <c r="B233" i="1"/>
  <c r="A233" i="1"/>
  <c r="AE232" i="1"/>
  <c r="AD232" i="1"/>
  <c r="AC232" i="1"/>
  <c r="AB232" i="1"/>
  <c r="AA232" i="1"/>
  <c r="Z232" i="1"/>
  <c r="Y232" i="1"/>
  <c r="X232" i="1"/>
  <c r="W232" i="1"/>
  <c r="V232" i="1"/>
  <c r="U232" i="1"/>
  <c r="T232" i="1"/>
  <c r="S232" i="1"/>
  <c r="R232" i="1"/>
  <c r="Q232" i="1"/>
  <c r="P232" i="1"/>
  <c r="O232" i="1"/>
  <c r="N232" i="1"/>
  <c r="M232" i="1"/>
  <c r="L232" i="1"/>
  <c r="K232" i="1"/>
  <c r="J232" i="1"/>
  <c r="I232" i="1"/>
  <c r="H232" i="1"/>
  <c r="G232" i="1"/>
  <c r="F232" i="1"/>
  <c r="E232" i="1"/>
  <c r="D232" i="1"/>
  <c r="C232" i="1"/>
  <c r="B232" i="1"/>
  <c r="A232" i="1"/>
  <c r="AE231" i="1"/>
  <c r="AD231" i="1"/>
  <c r="AC231" i="1"/>
  <c r="AB231" i="1"/>
  <c r="AA231" i="1"/>
  <c r="Z231" i="1"/>
  <c r="Y231" i="1"/>
  <c r="X231" i="1"/>
  <c r="W231" i="1"/>
  <c r="V231" i="1"/>
  <c r="U231" i="1"/>
  <c r="T231" i="1"/>
  <c r="S231" i="1"/>
  <c r="R231" i="1"/>
  <c r="Q231" i="1"/>
  <c r="P231" i="1"/>
  <c r="O231" i="1"/>
  <c r="N231" i="1"/>
  <c r="M231" i="1"/>
  <c r="L231" i="1"/>
  <c r="K231" i="1"/>
  <c r="J231" i="1"/>
  <c r="I231" i="1"/>
  <c r="H231" i="1"/>
  <c r="G231" i="1"/>
  <c r="F231" i="1"/>
  <c r="E231" i="1"/>
  <c r="D231" i="1"/>
  <c r="C231" i="1"/>
  <c r="B231" i="1"/>
  <c r="A231" i="1"/>
  <c r="AE230" i="1"/>
  <c r="AD230" i="1"/>
  <c r="AC230" i="1"/>
  <c r="AB230" i="1"/>
  <c r="AA230" i="1"/>
  <c r="Z230" i="1"/>
  <c r="Y230" i="1"/>
  <c r="X230" i="1"/>
  <c r="W230" i="1"/>
  <c r="V230" i="1"/>
  <c r="U230" i="1"/>
  <c r="T230" i="1"/>
  <c r="S230" i="1"/>
  <c r="R230" i="1"/>
  <c r="Q230" i="1"/>
  <c r="P230" i="1"/>
  <c r="O230" i="1"/>
  <c r="N230" i="1"/>
  <c r="M230" i="1"/>
  <c r="L230" i="1"/>
  <c r="K230" i="1"/>
  <c r="J230" i="1"/>
  <c r="I230" i="1"/>
  <c r="H230" i="1"/>
  <c r="G230" i="1"/>
  <c r="F230" i="1"/>
  <c r="E230" i="1"/>
  <c r="D230" i="1"/>
  <c r="C230" i="1"/>
  <c r="B230" i="1"/>
  <c r="A230" i="1"/>
  <c r="AE229" i="1"/>
  <c r="AD229" i="1"/>
  <c r="AC229" i="1"/>
  <c r="AB229" i="1"/>
  <c r="AA229" i="1"/>
  <c r="Z229" i="1"/>
  <c r="Y229" i="1"/>
  <c r="X229" i="1"/>
  <c r="W229" i="1"/>
  <c r="V229" i="1"/>
  <c r="U229" i="1"/>
  <c r="T229" i="1"/>
  <c r="S229" i="1"/>
  <c r="R229" i="1"/>
  <c r="Q229" i="1"/>
  <c r="P229" i="1"/>
  <c r="O229" i="1"/>
  <c r="N229" i="1"/>
  <c r="M229" i="1"/>
  <c r="L229" i="1"/>
  <c r="K229" i="1"/>
  <c r="J229" i="1"/>
  <c r="I229" i="1"/>
  <c r="H229" i="1"/>
  <c r="G229" i="1"/>
  <c r="F229" i="1"/>
  <c r="E229" i="1"/>
  <c r="D229" i="1"/>
  <c r="C229" i="1"/>
  <c r="B229" i="1"/>
  <c r="A229" i="1"/>
  <c r="AE228" i="1"/>
  <c r="AD228" i="1"/>
  <c r="AC228" i="1"/>
  <c r="AB228" i="1"/>
  <c r="AA228" i="1"/>
  <c r="Z228" i="1"/>
  <c r="Y228" i="1"/>
  <c r="X228" i="1"/>
  <c r="W228" i="1"/>
  <c r="V228" i="1"/>
  <c r="U228" i="1"/>
  <c r="T228" i="1"/>
  <c r="S228" i="1"/>
  <c r="R228" i="1"/>
  <c r="Q228" i="1"/>
  <c r="P228" i="1"/>
  <c r="O228" i="1"/>
  <c r="N228" i="1"/>
  <c r="M228" i="1"/>
  <c r="L228" i="1"/>
  <c r="K228" i="1"/>
  <c r="J228" i="1"/>
  <c r="I228" i="1"/>
  <c r="H228" i="1"/>
  <c r="G228" i="1"/>
  <c r="F228" i="1"/>
  <c r="E228" i="1"/>
  <c r="D228" i="1"/>
  <c r="C228" i="1"/>
  <c r="B228" i="1"/>
  <c r="A228" i="1"/>
  <c r="AE227" i="1"/>
  <c r="AD227" i="1"/>
  <c r="AC227" i="1"/>
  <c r="AB227" i="1"/>
  <c r="AA227" i="1"/>
  <c r="Z227" i="1"/>
  <c r="Y227" i="1"/>
  <c r="X227" i="1"/>
  <c r="W227" i="1"/>
  <c r="V227" i="1"/>
  <c r="U227" i="1"/>
  <c r="T227" i="1"/>
  <c r="S227" i="1"/>
  <c r="R227" i="1"/>
  <c r="Q227" i="1"/>
  <c r="P227" i="1"/>
  <c r="O227" i="1"/>
  <c r="N227" i="1"/>
  <c r="M227" i="1"/>
  <c r="L227" i="1"/>
  <c r="K227" i="1"/>
  <c r="J227" i="1"/>
  <c r="I227" i="1"/>
  <c r="H227" i="1"/>
  <c r="G227" i="1"/>
  <c r="F227" i="1"/>
  <c r="E227" i="1"/>
  <c r="D227" i="1"/>
  <c r="C227" i="1"/>
  <c r="B227" i="1"/>
  <c r="A227" i="1"/>
  <c r="AE226" i="1"/>
  <c r="AD226" i="1"/>
  <c r="AC226" i="1"/>
  <c r="AB226" i="1"/>
  <c r="AA226" i="1"/>
  <c r="Z226" i="1"/>
  <c r="Y226" i="1"/>
  <c r="X226" i="1"/>
  <c r="W226" i="1"/>
  <c r="V226" i="1"/>
  <c r="U226" i="1"/>
  <c r="T226" i="1"/>
  <c r="S226" i="1"/>
  <c r="R226" i="1"/>
  <c r="Q226" i="1"/>
  <c r="P226" i="1"/>
  <c r="O226" i="1"/>
  <c r="N226" i="1"/>
  <c r="M226" i="1"/>
  <c r="L226" i="1"/>
  <c r="K226" i="1"/>
  <c r="J226" i="1"/>
  <c r="I226" i="1"/>
  <c r="H226" i="1"/>
  <c r="G226" i="1"/>
  <c r="F226" i="1"/>
  <c r="E226" i="1"/>
  <c r="D226" i="1"/>
  <c r="C226" i="1"/>
  <c r="B226" i="1"/>
  <c r="A226" i="1"/>
  <c r="AE225" i="1"/>
  <c r="AD225" i="1"/>
  <c r="AC225" i="1"/>
  <c r="AB225" i="1"/>
  <c r="AA225" i="1"/>
  <c r="Z225" i="1"/>
  <c r="Y225" i="1"/>
  <c r="X225" i="1"/>
  <c r="W225" i="1"/>
  <c r="V225" i="1"/>
  <c r="U225" i="1"/>
  <c r="T225" i="1"/>
  <c r="S225" i="1"/>
  <c r="R225" i="1"/>
  <c r="Q225" i="1"/>
  <c r="P225" i="1"/>
  <c r="O225" i="1"/>
  <c r="N225" i="1"/>
  <c r="M225" i="1"/>
  <c r="L225" i="1"/>
  <c r="K225" i="1"/>
  <c r="J225" i="1"/>
  <c r="I225" i="1"/>
  <c r="H225" i="1"/>
  <c r="G225" i="1"/>
  <c r="F225" i="1"/>
  <c r="E225" i="1"/>
  <c r="D225" i="1"/>
  <c r="C225" i="1"/>
  <c r="B225" i="1"/>
  <c r="A225" i="1"/>
  <c r="AE224" i="1"/>
  <c r="AD224" i="1"/>
  <c r="AC224" i="1"/>
  <c r="AB224" i="1"/>
  <c r="AA224" i="1"/>
  <c r="Z224" i="1"/>
  <c r="Y224" i="1"/>
  <c r="X224" i="1"/>
  <c r="W224" i="1"/>
  <c r="V224" i="1"/>
  <c r="U224" i="1"/>
  <c r="T224" i="1"/>
  <c r="S224" i="1"/>
  <c r="R224" i="1"/>
  <c r="Q224" i="1"/>
  <c r="P224" i="1"/>
  <c r="O224" i="1"/>
  <c r="N224" i="1"/>
  <c r="M224" i="1"/>
  <c r="L224" i="1"/>
  <c r="K224" i="1"/>
  <c r="J224" i="1"/>
  <c r="I224" i="1"/>
  <c r="H224" i="1"/>
  <c r="G224" i="1"/>
  <c r="F224" i="1"/>
  <c r="E224" i="1"/>
  <c r="D224" i="1"/>
  <c r="C224" i="1"/>
  <c r="B224" i="1"/>
  <c r="A224" i="1"/>
  <c r="AE223" i="1"/>
  <c r="AD223" i="1"/>
  <c r="AC223" i="1"/>
  <c r="AB223" i="1"/>
  <c r="AA223" i="1"/>
  <c r="Z223" i="1"/>
  <c r="Y223" i="1"/>
  <c r="X223" i="1"/>
  <c r="W223" i="1"/>
  <c r="V223" i="1"/>
  <c r="U223" i="1"/>
  <c r="T223" i="1"/>
  <c r="S223" i="1"/>
  <c r="R223" i="1"/>
  <c r="Q223" i="1"/>
  <c r="P223" i="1"/>
  <c r="O223" i="1"/>
  <c r="N223" i="1"/>
  <c r="M223" i="1"/>
  <c r="L223" i="1"/>
  <c r="K223" i="1"/>
  <c r="J223" i="1"/>
  <c r="I223" i="1"/>
  <c r="H223" i="1"/>
  <c r="G223" i="1"/>
  <c r="F223" i="1"/>
  <c r="E223" i="1"/>
  <c r="D223" i="1"/>
  <c r="C223" i="1"/>
  <c r="B223" i="1"/>
  <c r="A223" i="1"/>
  <c r="AE222" i="1"/>
  <c r="AD222" i="1"/>
  <c r="AC222" i="1"/>
  <c r="AB222" i="1"/>
  <c r="AA222" i="1"/>
  <c r="Z222" i="1"/>
  <c r="Y222" i="1"/>
  <c r="X222" i="1"/>
  <c r="W222" i="1"/>
  <c r="V222" i="1"/>
  <c r="U222" i="1"/>
  <c r="T222" i="1"/>
  <c r="S222" i="1"/>
  <c r="R222" i="1"/>
  <c r="Q222" i="1"/>
  <c r="P222" i="1"/>
  <c r="O222" i="1"/>
  <c r="N222" i="1"/>
  <c r="M222" i="1"/>
  <c r="L222" i="1"/>
  <c r="K222" i="1"/>
  <c r="J222" i="1"/>
  <c r="I222" i="1"/>
  <c r="H222" i="1"/>
  <c r="G222" i="1"/>
  <c r="F222" i="1"/>
  <c r="E222" i="1"/>
  <c r="D222" i="1"/>
  <c r="C222" i="1"/>
  <c r="B222" i="1"/>
  <c r="A222" i="1"/>
  <c r="AE221" i="1"/>
  <c r="AD221" i="1"/>
  <c r="AC221" i="1"/>
  <c r="AB221" i="1"/>
  <c r="AA221" i="1"/>
  <c r="Z221" i="1"/>
  <c r="Y221" i="1"/>
  <c r="X221" i="1"/>
  <c r="W221" i="1"/>
  <c r="V221" i="1"/>
  <c r="U221" i="1"/>
  <c r="T221" i="1"/>
  <c r="S221" i="1"/>
  <c r="R221" i="1"/>
  <c r="Q221" i="1"/>
  <c r="P221" i="1"/>
  <c r="O221" i="1"/>
  <c r="N221" i="1"/>
  <c r="M221" i="1"/>
  <c r="L221" i="1"/>
  <c r="K221" i="1"/>
  <c r="J221" i="1"/>
  <c r="I221" i="1"/>
  <c r="H221" i="1"/>
  <c r="G221" i="1"/>
  <c r="F221" i="1"/>
  <c r="E221" i="1"/>
  <c r="D221" i="1"/>
  <c r="C221" i="1"/>
  <c r="B221" i="1"/>
  <c r="A221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220" i="1"/>
  <c r="A220" i="1"/>
  <c r="AE219" i="1"/>
  <c r="AD219" i="1"/>
  <c r="AC219" i="1"/>
  <c r="AB219" i="1"/>
  <c r="AA219" i="1"/>
  <c r="Z219" i="1"/>
  <c r="Y219" i="1"/>
  <c r="X219" i="1"/>
  <c r="W219" i="1"/>
  <c r="V219" i="1"/>
  <c r="U219" i="1"/>
  <c r="T219" i="1"/>
  <c r="S219" i="1"/>
  <c r="R219" i="1"/>
  <c r="Q219" i="1"/>
  <c r="P219" i="1"/>
  <c r="O219" i="1"/>
  <c r="N219" i="1"/>
  <c r="M219" i="1"/>
  <c r="L219" i="1"/>
  <c r="K219" i="1"/>
  <c r="J219" i="1"/>
  <c r="I219" i="1"/>
  <c r="H219" i="1"/>
  <c r="G219" i="1"/>
  <c r="F219" i="1"/>
  <c r="E219" i="1"/>
  <c r="D219" i="1"/>
  <c r="C219" i="1"/>
  <c r="B219" i="1"/>
  <c r="A219" i="1"/>
  <c r="AE218" i="1"/>
  <c r="AD218" i="1"/>
  <c r="AC218" i="1"/>
  <c r="AB218" i="1"/>
  <c r="AA218" i="1"/>
  <c r="Z218" i="1"/>
  <c r="Y218" i="1"/>
  <c r="X218" i="1"/>
  <c r="W218" i="1"/>
  <c r="V218" i="1"/>
  <c r="U218" i="1"/>
  <c r="T218" i="1"/>
  <c r="S218" i="1"/>
  <c r="R218" i="1"/>
  <c r="Q218" i="1"/>
  <c r="P218" i="1"/>
  <c r="O218" i="1"/>
  <c r="N218" i="1"/>
  <c r="M218" i="1"/>
  <c r="L218" i="1"/>
  <c r="K218" i="1"/>
  <c r="J218" i="1"/>
  <c r="I218" i="1"/>
  <c r="H218" i="1"/>
  <c r="G218" i="1"/>
  <c r="F218" i="1"/>
  <c r="E218" i="1"/>
  <c r="D218" i="1"/>
  <c r="C218" i="1"/>
  <c r="B218" i="1"/>
  <c r="A218" i="1"/>
  <c r="AE217" i="1"/>
  <c r="AD217" i="1"/>
  <c r="AC217" i="1"/>
  <c r="AB217" i="1"/>
  <c r="AA217" i="1"/>
  <c r="Z217" i="1"/>
  <c r="Y217" i="1"/>
  <c r="X217" i="1"/>
  <c r="W217" i="1"/>
  <c r="V217" i="1"/>
  <c r="U217" i="1"/>
  <c r="T217" i="1"/>
  <c r="S217" i="1"/>
  <c r="R217" i="1"/>
  <c r="Q217" i="1"/>
  <c r="P217" i="1"/>
  <c r="O217" i="1"/>
  <c r="N217" i="1"/>
  <c r="M217" i="1"/>
  <c r="L217" i="1"/>
  <c r="K217" i="1"/>
  <c r="J217" i="1"/>
  <c r="I217" i="1"/>
  <c r="H217" i="1"/>
  <c r="G217" i="1"/>
  <c r="F217" i="1"/>
  <c r="E217" i="1"/>
  <c r="D217" i="1"/>
  <c r="C217" i="1"/>
  <c r="B217" i="1"/>
  <c r="A217" i="1"/>
  <c r="AE216" i="1"/>
  <c r="AD216" i="1"/>
  <c r="AC216" i="1"/>
  <c r="AB216" i="1"/>
  <c r="AA216" i="1"/>
  <c r="Z216" i="1"/>
  <c r="Y216" i="1"/>
  <c r="X216" i="1"/>
  <c r="W216" i="1"/>
  <c r="V216" i="1"/>
  <c r="U216" i="1"/>
  <c r="T216" i="1"/>
  <c r="S216" i="1"/>
  <c r="R216" i="1"/>
  <c r="Q216" i="1"/>
  <c r="P216" i="1"/>
  <c r="O216" i="1"/>
  <c r="N216" i="1"/>
  <c r="M216" i="1"/>
  <c r="L216" i="1"/>
  <c r="K216" i="1"/>
  <c r="J216" i="1"/>
  <c r="I216" i="1"/>
  <c r="H216" i="1"/>
  <c r="G216" i="1"/>
  <c r="F216" i="1"/>
  <c r="E216" i="1"/>
  <c r="D216" i="1"/>
  <c r="C216" i="1"/>
  <c r="B216" i="1"/>
  <c r="A216" i="1"/>
  <c r="AE215" i="1"/>
  <c r="AD215" i="1"/>
  <c r="AC215" i="1"/>
  <c r="AB215" i="1"/>
  <c r="AA215" i="1"/>
  <c r="Z215" i="1"/>
  <c r="Y215" i="1"/>
  <c r="X215" i="1"/>
  <c r="W215" i="1"/>
  <c r="V215" i="1"/>
  <c r="U215" i="1"/>
  <c r="T215" i="1"/>
  <c r="S215" i="1"/>
  <c r="R215" i="1"/>
  <c r="Q215" i="1"/>
  <c r="P215" i="1"/>
  <c r="O215" i="1"/>
  <c r="N215" i="1"/>
  <c r="M215" i="1"/>
  <c r="L215" i="1"/>
  <c r="K215" i="1"/>
  <c r="J215" i="1"/>
  <c r="I215" i="1"/>
  <c r="H215" i="1"/>
  <c r="G215" i="1"/>
  <c r="F215" i="1"/>
  <c r="E215" i="1"/>
  <c r="D215" i="1"/>
  <c r="C215" i="1"/>
  <c r="B215" i="1"/>
  <c r="A215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I214" i="1"/>
  <c r="H214" i="1"/>
  <c r="G214" i="1"/>
  <c r="F214" i="1"/>
  <c r="E214" i="1"/>
  <c r="D214" i="1"/>
  <c r="C214" i="1"/>
  <c r="B214" i="1"/>
  <c r="A214" i="1"/>
  <c r="AE213" i="1"/>
  <c r="AD213" i="1"/>
  <c r="AC213" i="1"/>
  <c r="AB213" i="1"/>
  <c r="AA213" i="1"/>
  <c r="Z213" i="1"/>
  <c r="Y213" i="1"/>
  <c r="X213" i="1"/>
  <c r="W213" i="1"/>
  <c r="V213" i="1"/>
  <c r="U213" i="1"/>
  <c r="T213" i="1"/>
  <c r="S213" i="1"/>
  <c r="R213" i="1"/>
  <c r="Q213" i="1"/>
  <c r="P213" i="1"/>
  <c r="O213" i="1"/>
  <c r="N213" i="1"/>
  <c r="M213" i="1"/>
  <c r="L213" i="1"/>
  <c r="K213" i="1"/>
  <c r="J213" i="1"/>
  <c r="I213" i="1"/>
  <c r="H213" i="1"/>
  <c r="G213" i="1"/>
  <c r="F213" i="1"/>
  <c r="E213" i="1"/>
  <c r="D213" i="1"/>
  <c r="C213" i="1"/>
  <c r="B213" i="1"/>
  <c r="A213" i="1"/>
  <c r="AE212" i="1"/>
  <c r="AD212" i="1"/>
  <c r="AC212" i="1"/>
  <c r="AB212" i="1"/>
  <c r="AA212" i="1"/>
  <c r="Z212" i="1"/>
  <c r="Y212" i="1"/>
  <c r="X212" i="1"/>
  <c r="W212" i="1"/>
  <c r="V212" i="1"/>
  <c r="U212" i="1"/>
  <c r="T212" i="1"/>
  <c r="S212" i="1"/>
  <c r="R212" i="1"/>
  <c r="Q212" i="1"/>
  <c r="P212" i="1"/>
  <c r="O212" i="1"/>
  <c r="N212" i="1"/>
  <c r="M212" i="1"/>
  <c r="L212" i="1"/>
  <c r="K212" i="1"/>
  <c r="J212" i="1"/>
  <c r="I212" i="1"/>
  <c r="H212" i="1"/>
  <c r="G212" i="1"/>
  <c r="F212" i="1"/>
  <c r="E212" i="1"/>
  <c r="D212" i="1"/>
  <c r="C212" i="1"/>
  <c r="B212" i="1"/>
  <c r="A212" i="1"/>
  <c r="AE211" i="1"/>
  <c r="AD211" i="1"/>
  <c r="AC211" i="1"/>
  <c r="AB211" i="1"/>
  <c r="AA211" i="1"/>
  <c r="Z211" i="1"/>
  <c r="Y211" i="1"/>
  <c r="X211" i="1"/>
  <c r="W211" i="1"/>
  <c r="V211" i="1"/>
  <c r="U211" i="1"/>
  <c r="T211" i="1"/>
  <c r="S211" i="1"/>
  <c r="R211" i="1"/>
  <c r="Q211" i="1"/>
  <c r="P211" i="1"/>
  <c r="O211" i="1"/>
  <c r="N211" i="1"/>
  <c r="M211" i="1"/>
  <c r="L211" i="1"/>
  <c r="K211" i="1"/>
  <c r="J211" i="1"/>
  <c r="I211" i="1"/>
  <c r="H211" i="1"/>
  <c r="G211" i="1"/>
  <c r="F211" i="1"/>
  <c r="E211" i="1"/>
  <c r="D211" i="1"/>
  <c r="C211" i="1"/>
  <c r="B211" i="1"/>
  <c r="A211" i="1"/>
  <c r="AE210" i="1"/>
  <c r="AD210" i="1"/>
  <c r="AC210" i="1"/>
  <c r="AB210" i="1"/>
  <c r="AA210" i="1"/>
  <c r="Z210" i="1"/>
  <c r="Y210" i="1"/>
  <c r="X210" i="1"/>
  <c r="W210" i="1"/>
  <c r="V210" i="1"/>
  <c r="U210" i="1"/>
  <c r="T210" i="1"/>
  <c r="S210" i="1"/>
  <c r="R210" i="1"/>
  <c r="Q210" i="1"/>
  <c r="P210" i="1"/>
  <c r="O210" i="1"/>
  <c r="N210" i="1"/>
  <c r="M210" i="1"/>
  <c r="L210" i="1"/>
  <c r="K210" i="1"/>
  <c r="J210" i="1"/>
  <c r="I210" i="1"/>
  <c r="H210" i="1"/>
  <c r="G210" i="1"/>
  <c r="F210" i="1"/>
  <c r="E210" i="1"/>
  <c r="D210" i="1"/>
  <c r="C210" i="1"/>
  <c r="B210" i="1"/>
  <c r="A210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I209" i="1"/>
  <c r="H209" i="1"/>
  <c r="G209" i="1"/>
  <c r="F209" i="1"/>
  <c r="E209" i="1"/>
  <c r="D209" i="1"/>
  <c r="C209" i="1"/>
  <c r="B209" i="1"/>
  <c r="A209" i="1"/>
  <c r="AE208" i="1"/>
  <c r="AD208" i="1"/>
  <c r="AC208" i="1"/>
  <c r="AB208" i="1"/>
  <c r="AA208" i="1"/>
  <c r="Z208" i="1"/>
  <c r="Y208" i="1"/>
  <c r="X208" i="1"/>
  <c r="W208" i="1"/>
  <c r="V208" i="1"/>
  <c r="U208" i="1"/>
  <c r="T208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F208" i="1"/>
  <c r="E208" i="1"/>
  <c r="D208" i="1"/>
  <c r="C208" i="1"/>
  <c r="B208" i="1"/>
  <c r="A208" i="1"/>
  <c r="AE207" i="1"/>
  <c r="AD207" i="1"/>
  <c r="AC207" i="1"/>
  <c r="AB207" i="1"/>
  <c r="AA207" i="1"/>
  <c r="Z207" i="1"/>
  <c r="Y207" i="1"/>
  <c r="X207" i="1"/>
  <c r="W207" i="1"/>
  <c r="V207" i="1"/>
  <c r="U207" i="1"/>
  <c r="T207" i="1"/>
  <c r="S207" i="1"/>
  <c r="R207" i="1"/>
  <c r="Q207" i="1"/>
  <c r="P207" i="1"/>
  <c r="O207" i="1"/>
  <c r="N207" i="1"/>
  <c r="M207" i="1"/>
  <c r="L207" i="1"/>
  <c r="K207" i="1"/>
  <c r="J207" i="1"/>
  <c r="I207" i="1"/>
  <c r="H207" i="1"/>
  <c r="G207" i="1"/>
  <c r="F207" i="1"/>
  <c r="E207" i="1"/>
  <c r="D207" i="1"/>
  <c r="C207" i="1"/>
  <c r="B207" i="1"/>
  <c r="A207" i="1"/>
  <c r="AE206" i="1"/>
  <c r="AD206" i="1"/>
  <c r="AC206" i="1"/>
  <c r="AB206" i="1"/>
  <c r="AA206" i="1"/>
  <c r="Z206" i="1"/>
  <c r="Y206" i="1"/>
  <c r="X206" i="1"/>
  <c r="W206" i="1"/>
  <c r="V206" i="1"/>
  <c r="U206" i="1"/>
  <c r="T206" i="1"/>
  <c r="S206" i="1"/>
  <c r="R206" i="1"/>
  <c r="Q206" i="1"/>
  <c r="P206" i="1"/>
  <c r="O206" i="1"/>
  <c r="N206" i="1"/>
  <c r="M206" i="1"/>
  <c r="L206" i="1"/>
  <c r="K206" i="1"/>
  <c r="J206" i="1"/>
  <c r="I206" i="1"/>
  <c r="H206" i="1"/>
  <c r="G206" i="1"/>
  <c r="F206" i="1"/>
  <c r="E206" i="1"/>
  <c r="D206" i="1"/>
  <c r="C206" i="1"/>
  <c r="B206" i="1"/>
  <c r="A206" i="1"/>
  <c r="AE205" i="1"/>
  <c r="AD205" i="1"/>
  <c r="AC205" i="1"/>
  <c r="AB205" i="1"/>
  <c r="AA205" i="1"/>
  <c r="Z205" i="1"/>
  <c r="Y205" i="1"/>
  <c r="X205" i="1"/>
  <c r="W205" i="1"/>
  <c r="V205" i="1"/>
  <c r="U205" i="1"/>
  <c r="T205" i="1"/>
  <c r="S205" i="1"/>
  <c r="R205" i="1"/>
  <c r="Q205" i="1"/>
  <c r="P205" i="1"/>
  <c r="O205" i="1"/>
  <c r="N205" i="1"/>
  <c r="M205" i="1"/>
  <c r="L205" i="1"/>
  <c r="K205" i="1"/>
  <c r="J205" i="1"/>
  <c r="I205" i="1"/>
  <c r="H205" i="1"/>
  <c r="G205" i="1"/>
  <c r="F205" i="1"/>
  <c r="E205" i="1"/>
  <c r="D205" i="1"/>
  <c r="C205" i="1"/>
  <c r="B205" i="1"/>
  <c r="A205" i="1"/>
  <c r="AE204" i="1"/>
  <c r="AD204" i="1"/>
  <c r="AC204" i="1"/>
  <c r="AB204" i="1"/>
  <c r="AA204" i="1"/>
  <c r="Z204" i="1"/>
  <c r="Y204" i="1"/>
  <c r="X204" i="1"/>
  <c r="W204" i="1"/>
  <c r="V204" i="1"/>
  <c r="U204" i="1"/>
  <c r="T204" i="1"/>
  <c r="S204" i="1"/>
  <c r="R204" i="1"/>
  <c r="Q204" i="1"/>
  <c r="P204" i="1"/>
  <c r="O204" i="1"/>
  <c r="N204" i="1"/>
  <c r="M204" i="1"/>
  <c r="L204" i="1"/>
  <c r="K204" i="1"/>
  <c r="J204" i="1"/>
  <c r="I204" i="1"/>
  <c r="H204" i="1"/>
  <c r="G204" i="1"/>
  <c r="F204" i="1"/>
  <c r="E204" i="1"/>
  <c r="D204" i="1"/>
  <c r="C204" i="1"/>
  <c r="B204" i="1"/>
  <c r="A204" i="1"/>
  <c r="AE203" i="1"/>
  <c r="AD203" i="1"/>
  <c r="AC203" i="1"/>
  <c r="AB203" i="1"/>
  <c r="AA203" i="1"/>
  <c r="Z203" i="1"/>
  <c r="Y203" i="1"/>
  <c r="X203" i="1"/>
  <c r="W203" i="1"/>
  <c r="V203" i="1"/>
  <c r="U203" i="1"/>
  <c r="T203" i="1"/>
  <c r="S203" i="1"/>
  <c r="R203" i="1"/>
  <c r="Q203" i="1"/>
  <c r="P203" i="1"/>
  <c r="O203" i="1"/>
  <c r="N203" i="1"/>
  <c r="M203" i="1"/>
  <c r="L203" i="1"/>
  <c r="K203" i="1"/>
  <c r="J203" i="1"/>
  <c r="I203" i="1"/>
  <c r="H203" i="1"/>
  <c r="G203" i="1"/>
  <c r="F203" i="1"/>
  <c r="E203" i="1"/>
  <c r="D203" i="1"/>
  <c r="C203" i="1"/>
  <c r="B203" i="1"/>
  <c r="A203" i="1"/>
  <c r="AE202" i="1"/>
  <c r="AD202" i="1"/>
  <c r="AC202" i="1"/>
  <c r="AB202" i="1"/>
  <c r="AA202" i="1"/>
  <c r="Z202" i="1"/>
  <c r="Y202" i="1"/>
  <c r="X202" i="1"/>
  <c r="W202" i="1"/>
  <c r="V202" i="1"/>
  <c r="U202" i="1"/>
  <c r="T202" i="1"/>
  <c r="S202" i="1"/>
  <c r="R202" i="1"/>
  <c r="Q202" i="1"/>
  <c r="P202" i="1"/>
  <c r="O202" i="1"/>
  <c r="N202" i="1"/>
  <c r="M202" i="1"/>
  <c r="L202" i="1"/>
  <c r="K202" i="1"/>
  <c r="J202" i="1"/>
  <c r="I202" i="1"/>
  <c r="H202" i="1"/>
  <c r="G202" i="1"/>
  <c r="F202" i="1"/>
  <c r="E202" i="1"/>
  <c r="D202" i="1"/>
  <c r="C202" i="1"/>
  <c r="B202" i="1"/>
  <c r="A202" i="1"/>
  <c r="AE201" i="1"/>
  <c r="AD201" i="1"/>
  <c r="AC201" i="1"/>
  <c r="AB201" i="1"/>
  <c r="AA201" i="1"/>
  <c r="Z201" i="1"/>
  <c r="Y201" i="1"/>
  <c r="X201" i="1"/>
  <c r="W201" i="1"/>
  <c r="V201" i="1"/>
  <c r="U201" i="1"/>
  <c r="T201" i="1"/>
  <c r="S201" i="1"/>
  <c r="R201" i="1"/>
  <c r="Q201" i="1"/>
  <c r="P201" i="1"/>
  <c r="O201" i="1"/>
  <c r="N201" i="1"/>
  <c r="M201" i="1"/>
  <c r="L201" i="1"/>
  <c r="K201" i="1"/>
  <c r="J201" i="1"/>
  <c r="I201" i="1"/>
  <c r="H201" i="1"/>
  <c r="G201" i="1"/>
  <c r="F201" i="1"/>
  <c r="E201" i="1"/>
  <c r="D201" i="1"/>
  <c r="C201" i="1"/>
  <c r="B201" i="1"/>
  <c r="A201" i="1"/>
  <c r="AE200" i="1"/>
  <c r="AD200" i="1"/>
  <c r="AC200" i="1"/>
  <c r="AB200" i="1"/>
  <c r="AA200" i="1"/>
  <c r="Z200" i="1"/>
  <c r="Y200" i="1"/>
  <c r="X200" i="1"/>
  <c r="W200" i="1"/>
  <c r="V200" i="1"/>
  <c r="U200" i="1"/>
  <c r="T200" i="1"/>
  <c r="S200" i="1"/>
  <c r="R200" i="1"/>
  <c r="Q200" i="1"/>
  <c r="P200" i="1"/>
  <c r="O200" i="1"/>
  <c r="N200" i="1"/>
  <c r="M200" i="1"/>
  <c r="L200" i="1"/>
  <c r="K200" i="1"/>
  <c r="J200" i="1"/>
  <c r="I200" i="1"/>
  <c r="H200" i="1"/>
  <c r="G200" i="1"/>
  <c r="F200" i="1"/>
  <c r="E200" i="1"/>
  <c r="D200" i="1"/>
  <c r="C200" i="1"/>
  <c r="B200" i="1"/>
  <c r="A200" i="1"/>
  <c r="AE199" i="1"/>
  <c r="AD199" i="1"/>
  <c r="AC199" i="1"/>
  <c r="AB199" i="1"/>
  <c r="AA199" i="1"/>
  <c r="Z199" i="1"/>
  <c r="Y199" i="1"/>
  <c r="X199" i="1"/>
  <c r="W199" i="1"/>
  <c r="V199" i="1"/>
  <c r="U199" i="1"/>
  <c r="T199" i="1"/>
  <c r="S199" i="1"/>
  <c r="R199" i="1"/>
  <c r="Q199" i="1"/>
  <c r="P199" i="1"/>
  <c r="O199" i="1"/>
  <c r="N199" i="1"/>
  <c r="M199" i="1"/>
  <c r="L199" i="1"/>
  <c r="K199" i="1"/>
  <c r="J199" i="1"/>
  <c r="I199" i="1"/>
  <c r="H199" i="1"/>
  <c r="G199" i="1"/>
  <c r="F199" i="1"/>
  <c r="E199" i="1"/>
  <c r="D199" i="1"/>
  <c r="C199" i="1"/>
  <c r="B199" i="1"/>
  <c r="A199" i="1"/>
  <c r="AE198" i="1"/>
  <c r="AD198" i="1"/>
  <c r="AC198" i="1"/>
  <c r="AB198" i="1"/>
  <c r="AA198" i="1"/>
  <c r="Z198" i="1"/>
  <c r="Y198" i="1"/>
  <c r="X198" i="1"/>
  <c r="W198" i="1"/>
  <c r="V198" i="1"/>
  <c r="U198" i="1"/>
  <c r="T198" i="1"/>
  <c r="S198" i="1"/>
  <c r="R198" i="1"/>
  <c r="Q198" i="1"/>
  <c r="P198" i="1"/>
  <c r="O198" i="1"/>
  <c r="N198" i="1"/>
  <c r="M198" i="1"/>
  <c r="L198" i="1"/>
  <c r="K198" i="1"/>
  <c r="J198" i="1"/>
  <c r="I198" i="1"/>
  <c r="H198" i="1"/>
  <c r="G198" i="1"/>
  <c r="F198" i="1"/>
  <c r="E198" i="1"/>
  <c r="D198" i="1"/>
  <c r="C198" i="1"/>
  <c r="B198" i="1"/>
  <c r="A198" i="1"/>
  <c r="AE197" i="1"/>
  <c r="AD197" i="1"/>
  <c r="AC197" i="1"/>
  <c r="AB197" i="1"/>
  <c r="AA197" i="1"/>
  <c r="Z197" i="1"/>
  <c r="Y197" i="1"/>
  <c r="X197" i="1"/>
  <c r="W197" i="1"/>
  <c r="V197" i="1"/>
  <c r="U197" i="1"/>
  <c r="T197" i="1"/>
  <c r="S197" i="1"/>
  <c r="R197" i="1"/>
  <c r="Q197" i="1"/>
  <c r="P197" i="1"/>
  <c r="O197" i="1"/>
  <c r="N197" i="1"/>
  <c r="M197" i="1"/>
  <c r="L197" i="1"/>
  <c r="K197" i="1"/>
  <c r="J197" i="1"/>
  <c r="I197" i="1"/>
  <c r="H197" i="1"/>
  <c r="G197" i="1"/>
  <c r="F197" i="1"/>
  <c r="E197" i="1"/>
  <c r="D197" i="1"/>
  <c r="C197" i="1"/>
  <c r="B197" i="1"/>
  <c r="A197" i="1"/>
  <c r="AE196" i="1"/>
  <c r="AD196" i="1"/>
  <c r="AC196" i="1"/>
  <c r="AB196" i="1"/>
  <c r="AA196" i="1"/>
  <c r="Z196" i="1"/>
  <c r="Y196" i="1"/>
  <c r="X196" i="1"/>
  <c r="W196" i="1"/>
  <c r="V196" i="1"/>
  <c r="U196" i="1"/>
  <c r="T196" i="1"/>
  <c r="S196" i="1"/>
  <c r="R196" i="1"/>
  <c r="Q196" i="1"/>
  <c r="P196" i="1"/>
  <c r="O196" i="1"/>
  <c r="N196" i="1"/>
  <c r="M196" i="1"/>
  <c r="L196" i="1"/>
  <c r="K196" i="1"/>
  <c r="J196" i="1"/>
  <c r="I196" i="1"/>
  <c r="H196" i="1"/>
  <c r="G196" i="1"/>
  <c r="F196" i="1"/>
  <c r="E196" i="1"/>
  <c r="D196" i="1"/>
  <c r="C196" i="1"/>
  <c r="B196" i="1"/>
  <c r="A196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I195" i="1"/>
  <c r="H195" i="1"/>
  <c r="G195" i="1"/>
  <c r="F195" i="1"/>
  <c r="E195" i="1"/>
  <c r="D195" i="1"/>
  <c r="C195" i="1"/>
  <c r="B195" i="1"/>
  <c r="A195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I194" i="1"/>
  <c r="H194" i="1"/>
  <c r="G194" i="1"/>
  <c r="F194" i="1"/>
  <c r="E194" i="1"/>
  <c r="D194" i="1"/>
  <c r="C194" i="1"/>
  <c r="B194" i="1"/>
  <c r="A194" i="1"/>
  <c r="AE193" i="1"/>
  <c r="AD193" i="1"/>
  <c r="AC193" i="1"/>
  <c r="AB193" i="1"/>
  <c r="AA193" i="1"/>
  <c r="Z193" i="1"/>
  <c r="Y193" i="1"/>
  <c r="X193" i="1"/>
  <c r="W193" i="1"/>
  <c r="V193" i="1"/>
  <c r="U193" i="1"/>
  <c r="T193" i="1"/>
  <c r="S193" i="1"/>
  <c r="R193" i="1"/>
  <c r="Q193" i="1"/>
  <c r="P193" i="1"/>
  <c r="O193" i="1"/>
  <c r="N193" i="1"/>
  <c r="M193" i="1"/>
  <c r="L193" i="1"/>
  <c r="K193" i="1"/>
  <c r="J193" i="1"/>
  <c r="I193" i="1"/>
  <c r="H193" i="1"/>
  <c r="G193" i="1"/>
  <c r="F193" i="1"/>
  <c r="E193" i="1"/>
  <c r="D193" i="1"/>
  <c r="C193" i="1"/>
  <c r="B193" i="1"/>
  <c r="A193" i="1"/>
  <c r="AE192" i="1"/>
  <c r="AD192" i="1"/>
  <c r="AC192" i="1"/>
  <c r="AB192" i="1"/>
  <c r="AA192" i="1"/>
  <c r="Z192" i="1"/>
  <c r="Y192" i="1"/>
  <c r="X192" i="1"/>
  <c r="W192" i="1"/>
  <c r="V192" i="1"/>
  <c r="U192" i="1"/>
  <c r="T192" i="1"/>
  <c r="S192" i="1"/>
  <c r="R192" i="1"/>
  <c r="Q192" i="1"/>
  <c r="P192" i="1"/>
  <c r="O192" i="1"/>
  <c r="N192" i="1"/>
  <c r="M192" i="1"/>
  <c r="L192" i="1"/>
  <c r="K192" i="1"/>
  <c r="J192" i="1"/>
  <c r="I192" i="1"/>
  <c r="H192" i="1"/>
  <c r="G192" i="1"/>
  <c r="F192" i="1"/>
  <c r="E192" i="1"/>
  <c r="D192" i="1"/>
  <c r="C192" i="1"/>
  <c r="B192" i="1"/>
  <c r="A192" i="1"/>
  <c r="AE191" i="1"/>
  <c r="AD191" i="1"/>
  <c r="AC191" i="1"/>
  <c r="AB191" i="1"/>
  <c r="AA191" i="1"/>
  <c r="Z191" i="1"/>
  <c r="Y191" i="1"/>
  <c r="X191" i="1"/>
  <c r="W191" i="1"/>
  <c r="V191" i="1"/>
  <c r="U191" i="1"/>
  <c r="T191" i="1"/>
  <c r="S191" i="1"/>
  <c r="R191" i="1"/>
  <c r="Q191" i="1"/>
  <c r="P191" i="1"/>
  <c r="O191" i="1"/>
  <c r="N191" i="1"/>
  <c r="M191" i="1"/>
  <c r="L191" i="1"/>
  <c r="K191" i="1"/>
  <c r="J191" i="1"/>
  <c r="I191" i="1"/>
  <c r="H191" i="1"/>
  <c r="G191" i="1"/>
  <c r="F191" i="1"/>
  <c r="E191" i="1"/>
  <c r="D191" i="1"/>
  <c r="C191" i="1"/>
  <c r="B191" i="1"/>
  <c r="A191" i="1"/>
  <c r="AE190" i="1"/>
  <c r="AD190" i="1"/>
  <c r="AC190" i="1"/>
  <c r="AB190" i="1"/>
  <c r="AA190" i="1"/>
  <c r="Z190" i="1"/>
  <c r="Y190" i="1"/>
  <c r="X190" i="1"/>
  <c r="W190" i="1"/>
  <c r="V190" i="1"/>
  <c r="U190" i="1"/>
  <c r="T190" i="1"/>
  <c r="S190" i="1"/>
  <c r="R190" i="1"/>
  <c r="Q190" i="1"/>
  <c r="P190" i="1"/>
  <c r="O190" i="1"/>
  <c r="N190" i="1"/>
  <c r="M190" i="1"/>
  <c r="L190" i="1"/>
  <c r="K190" i="1"/>
  <c r="J190" i="1"/>
  <c r="I190" i="1"/>
  <c r="H190" i="1"/>
  <c r="G190" i="1"/>
  <c r="F190" i="1"/>
  <c r="E190" i="1"/>
  <c r="D190" i="1"/>
  <c r="C190" i="1"/>
  <c r="B190" i="1"/>
  <c r="A190" i="1"/>
  <c r="AE189" i="1"/>
  <c r="AD189" i="1"/>
  <c r="AC189" i="1"/>
  <c r="AB189" i="1"/>
  <c r="AA189" i="1"/>
  <c r="Z189" i="1"/>
  <c r="Y189" i="1"/>
  <c r="X189" i="1"/>
  <c r="W189" i="1"/>
  <c r="V189" i="1"/>
  <c r="U189" i="1"/>
  <c r="T189" i="1"/>
  <c r="S189" i="1"/>
  <c r="R189" i="1"/>
  <c r="Q189" i="1"/>
  <c r="P189" i="1"/>
  <c r="O189" i="1"/>
  <c r="N189" i="1"/>
  <c r="M189" i="1"/>
  <c r="L189" i="1"/>
  <c r="K189" i="1"/>
  <c r="J189" i="1"/>
  <c r="I189" i="1"/>
  <c r="H189" i="1"/>
  <c r="G189" i="1"/>
  <c r="F189" i="1"/>
  <c r="E189" i="1"/>
  <c r="D189" i="1"/>
  <c r="C189" i="1"/>
  <c r="B189" i="1"/>
  <c r="A189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B188" i="1"/>
  <c r="A188" i="1"/>
  <c r="AE187" i="1"/>
  <c r="AD187" i="1"/>
  <c r="AC187" i="1"/>
  <c r="AB187" i="1"/>
  <c r="AA187" i="1"/>
  <c r="Z187" i="1"/>
  <c r="Y187" i="1"/>
  <c r="X187" i="1"/>
  <c r="W187" i="1"/>
  <c r="V187" i="1"/>
  <c r="U187" i="1"/>
  <c r="T187" i="1"/>
  <c r="S187" i="1"/>
  <c r="R187" i="1"/>
  <c r="Q187" i="1"/>
  <c r="P187" i="1"/>
  <c r="O187" i="1"/>
  <c r="N187" i="1"/>
  <c r="M187" i="1"/>
  <c r="L187" i="1"/>
  <c r="K187" i="1"/>
  <c r="J187" i="1"/>
  <c r="I187" i="1"/>
  <c r="H187" i="1"/>
  <c r="G187" i="1"/>
  <c r="F187" i="1"/>
  <c r="E187" i="1"/>
  <c r="D187" i="1"/>
  <c r="C187" i="1"/>
  <c r="B187" i="1"/>
  <c r="A187" i="1"/>
  <c r="AE186" i="1"/>
  <c r="AD186" i="1"/>
  <c r="AC186" i="1"/>
  <c r="AB186" i="1"/>
  <c r="AA186" i="1"/>
  <c r="Z186" i="1"/>
  <c r="Y186" i="1"/>
  <c r="X186" i="1"/>
  <c r="W186" i="1"/>
  <c r="V186" i="1"/>
  <c r="U186" i="1"/>
  <c r="T186" i="1"/>
  <c r="S186" i="1"/>
  <c r="R186" i="1"/>
  <c r="Q186" i="1"/>
  <c r="P186" i="1"/>
  <c r="O186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B186" i="1"/>
  <c r="A186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B185" i="1"/>
  <c r="A185" i="1"/>
  <c r="AE184" i="1"/>
  <c r="AD184" i="1"/>
  <c r="AC184" i="1"/>
  <c r="AB184" i="1"/>
  <c r="AA184" i="1"/>
  <c r="Z184" i="1"/>
  <c r="Y184" i="1"/>
  <c r="X184" i="1"/>
  <c r="W184" i="1"/>
  <c r="V184" i="1"/>
  <c r="U184" i="1"/>
  <c r="T184" i="1"/>
  <c r="S184" i="1"/>
  <c r="R184" i="1"/>
  <c r="Q184" i="1"/>
  <c r="P184" i="1"/>
  <c r="O184" i="1"/>
  <c r="N184" i="1"/>
  <c r="M184" i="1"/>
  <c r="L184" i="1"/>
  <c r="K184" i="1"/>
  <c r="J184" i="1"/>
  <c r="I184" i="1"/>
  <c r="H184" i="1"/>
  <c r="G184" i="1"/>
  <c r="F184" i="1"/>
  <c r="E184" i="1"/>
  <c r="D184" i="1"/>
  <c r="C184" i="1"/>
  <c r="B184" i="1"/>
  <c r="A184" i="1"/>
  <c r="AE183" i="1"/>
  <c r="AD183" i="1"/>
  <c r="AC183" i="1"/>
  <c r="AB183" i="1"/>
  <c r="AA183" i="1"/>
  <c r="Z183" i="1"/>
  <c r="Y183" i="1"/>
  <c r="X183" i="1"/>
  <c r="W183" i="1"/>
  <c r="V183" i="1"/>
  <c r="U183" i="1"/>
  <c r="T183" i="1"/>
  <c r="S183" i="1"/>
  <c r="R183" i="1"/>
  <c r="Q183" i="1"/>
  <c r="P183" i="1"/>
  <c r="O183" i="1"/>
  <c r="N183" i="1"/>
  <c r="M183" i="1"/>
  <c r="L183" i="1"/>
  <c r="K183" i="1"/>
  <c r="J183" i="1"/>
  <c r="I183" i="1"/>
  <c r="H183" i="1"/>
  <c r="G183" i="1"/>
  <c r="F183" i="1"/>
  <c r="E183" i="1"/>
  <c r="D183" i="1"/>
  <c r="C183" i="1"/>
  <c r="B183" i="1"/>
  <c r="A183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I182" i="1"/>
  <c r="H182" i="1"/>
  <c r="G182" i="1"/>
  <c r="F182" i="1"/>
  <c r="E182" i="1"/>
  <c r="D182" i="1"/>
  <c r="C182" i="1"/>
  <c r="B182" i="1"/>
  <c r="A182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I181" i="1"/>
  <c r="H181" i="1"/>
  <c r="G181" i="1"/>
  <c r="F181" i="1"/>
  <c r="E181" i="1"/>
  <c r="D181" i="1"/>
  <c r="C181" i="1"/>
  <c r="B181" i="1"/>
  <c r="A181" i="1"/>
  <c r="AE180" i="1"/>
  <c r="AD180" i="1"/>
  <c r="AC180" i="1"/>
  <c r="AB180" i="1"/>
  <c r="AA180" i="1"/>
  <c r="Z180" i="1"/>
  <c r="Y180" i="1"/>
  <c r="X180" i="1"/>
  <c r="W180" i="1"/>
  <c r="V180" i="1"/>
  <c r="U180" i="1"/>
  <c r="T180" i="1"/>
  <c r="S180" i="1"/>
  <c r="R180" i="1"/>
  <c r="Q180" i="1"/>
  <c r="P180" i="1"/>
  <c r="O180" i="1"/>
  <c r="N180" i="1"/>
  <c r="M180" i="1"/>
  <c r="L180" i="1"/>
  <c r="K180" i="1"/>
  <c r="J180" i="1"/>
  <c r="I180" i="1"/>
  <c r="H180" i="1"/>
  <c r="G180" i="1"/>
  <c r="F180" i="1"/>
  <c r="E180" i="1"/>
  <c r="D180" i="1"/>
  <c r="C180" i="1"/>
  <c r="B180" i="1"/>
  <c r="A180" i="1"/>
  <c r="AE179" i="1"/>
  <c r="AD179" i="1"/>
  <c r="AC179" i="1"/>
  <c r="AB179" i="1"/>
  <c r="AA179" i="1"/>
  <c r="Z179" i="1"/>
  <c r="Y179" i="1"/>
  <c r="X179" i="1"/>
  <c r="W179" i="1"/>
  <c r="V179" i="1"/>
  <c r="U179" i="1"/>
  <c r="T179" i="1"/>
  <c r="S179" i="1"/>
  <c r="R179" i="1"/>
  <c r="Q179" i="1"/>
  <c r="P179" i="1"/>
  <c r="O179" i="1"/>
  <c r="N179" i="1"/>
  <c r="M179" i="1"/>
  <c r="L179" i="1"/>
  <c r="K179" i="1"/>
  <c r="J179" i="1"/>
  <c r="I179" i="1"/>
  <c r="H179" i="1"/>
  <c r="G179" i="1"/>
  <c r="F179" i="1"/>
  <c r="E179" i="1"/>
  <c r="D179" i="1"/>
  <c r="C179" i="1"/>
  <c r="B179" i="1"/>
  <c r="A179" i="1"/>
  <c r="AE178" i="1"/>
  <c r="AD178" i="1"/>
  <c r="AC178" i="1"/>
  <c r="AB178" i="1"/>
  <c r="AA178" i="1"/>
  <c r="Z178" i="1"/>
  <c r="Y178" i="1"/>
  <c r="X178" i="1"/>
  <c r="W178" i="1"/>
  <c r="V178" i="1"/>
  <c r="U178" i="1"/>
  <c r="T178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G178" i="1"/>
  <c r="F178" i="1"/>
  <c r="E178" i="1"/>
  <c r="D178" i="1"/>
  <c r="C178" i="1"/>
  <c r="B178" i="1"/>
  <c r="A178" i="1"/>
  <c r="AE177" i="1"/>
  <c r="AD177" i="1"/>
  <c r="AC177" i="1"/>
  <c r="AB177" i="1"/>
  <c r="AA177" i="1"/>
  <c r="Z177" i="1"/>
  <c r="Y177" i="1"/>
  <c r="X177" i="1"/>
  <c r="W177" i="1"/>
  <c r="V177" i="1"/>
  <c r="U177" i="1"/>
  <c r="T177" i="1"/>
  <c r="S177" i="1"/>
  <c r="R177" i="1"/>
  <c r="Q177" i="1"/>
  <c r="P177" i="1"/>
  <c r="O177" i="1"/>
  <c r="N177" i="1"/>
  <c r="M177" i="1"/>
  <c r="L177" i="1"/>
  <c r="K177" i="1"/>
  <c r="J177" i="1"/>
  <c r="I177" i="1"/>
  <c r="H177" i="1"/>
  <c r="G177" i="1"/>
  <c r="F177" i="1"/>
  <c r="E177" i="1"/>
  <c r="D177" i="1"/>
  <c r="C177" i="1"/>
  <c r="B177" i="1"/>
  <c r="A177" i="1"/>
  <c r="AE176" i="1"/>
  <c r="AD176" i="1"/>
  <c r="AC176" i="1"/>
  <c r="AB176" i="1"/>
  <c r="AA176" i="1"/>
  <c r="Z176" i="1"/>
  <c r="Y176" i="1"/>
  <c r="X176" i="1"/>
  <c r="W176" i="1"/>
  <c r="V176" i="1"/>
  <c r="U176" i="1"/>
  <c r="T176" i="1"/>
  <c r="S176" i="1"/>
  <c r="R176" i="1"/>
  <c r="Q176" i="1"/>
  <c r="P176" i="1"/>
  <c r="O176" i="1"/>
  <c r="N176" i="1"/>
  <c r="M176" i="1"/>
  <c r="L176" i="1"/>
  <c r="K176" i="1"/>
  <c r="J176" i="1"/>
  <c r="I176" i="1"/>
  <c r="H176" i="1"/>
  <c r="G176" i="1"/>
  <c r="F176" i="1"/>
  <c r="E176" i="1"/>
  <c r="D176" i="1"/>
  <c r="C176" i="1"/>
  <c r="B176" i="1"/>
  <c r="A176" i="1"/>
  <c r="AE175" i="1"/>
  <c r="AD175" i="1"/>
  <c r="AC175" i="1"/>
  <c r="AB175" i="1"/>
  <c r="AA175" i="1"/>
  <c r="Z175" i="1"/>
  <c r="Y175" i="1"/>
  <c r="X175" i="1"/>
  <c r="W175" i="1"/>
  <c r="V175" i="1"/>
  <c r="U175" i="1"/>
  <c r="T175" i="1"/>
  <c r="S175" i="1"/>
  <c r="R175" i="1"/>
  <c r="Q175" i="1"/>
  <c r="P175" i="1"/>
  <c r="O175" i="1"/>
  <c r="N175" i="1"/>
  <c r="M175" i="1"/>
  <c r="L175" i="1"/>
  <c r="K175" i="1"/>
  <c r="J175" i="1"/>
  <c r="I175" i="1"/>
  <c r="H175" i="1"/>
  <c r="G175" i="1"/>
  <c r="F175" i="1"/>
  <c r="E175" i="1"/>
  <c r="D175" i="1"/>
  <c r="C175" i="1"/>
  <c r="B175" i="1"/>
  <c r="A175" i="1"/>
  <c r="AE174" i="1"/>
  <c r="AD174" i="1"/>
  <c r="AC174" i="1"/>
  <c r="AB174" i="1"/>
  <c r="AA174" i="1"/>
  <c r="Z174" i="1"/>
  <c r="Y174" i="1"/>
  <c r="X174" i="1"/>
  <c r="W174" i="1"/>
  <c r="V174" i="1"/>
  <c r="U174" i="1"/>
  <c r="T174" i="1"/>
  <c r="S174" i="1"/>
  <c r="R174" i="1"/>
  <c r="Q174" i="1"/>
  <c r="P174" i="1"/>
  <c r="O174" i="1"/>
  <c r="N174" i="1"/>
  <c r="M174" i="1"/>
  <c r="L174" i="1"/>
  <c r="K174" i="1"/>
  <c r="J174" i="1"/>
  <c r="I174" i="1"/>
  <c r="H174" i="1"/>
  <c r="G174" i="1"/>
  <c r="F174" i="1"/>
  <c r="E174" i="1"/>
  <c r="D174" i="1"/>
  <c r="C174" i="1"/>
  <c r="B174" i="1"/>
  <c r="A174" i="1"/>
  <c r="AE173" i="1"/>
  <c r="AD173" i="1"/>
  <c r="AC173" i="1"/>
  <c r="AB173" i="1"/>
  <c r="AA173" i="1"/>
  <c r="Z173" i="1"/>
  <c r="Y173" i="1"/>
  <c r="X173" i="1"/>
  <c r="W173" i="1"/>
  <c r="V173" i="1"/>
  <c r="U173" i="1"/>
  <c r="T173" i="1"/>
  <c r="S173" i="1"/>
  <c r="R173" i="1"/>
  <c r="Q173" i="1"/>
  <c r="P173" i="1"/>
  <c r="O173" i="1"/>
  <c r="N173" i="1"/>
  <c r="M173" i="1"/>
  <c r="L173" i="1"/>
  <c r="K173" i="1"/>
  <c r="J173" i="1"/>
  <c r="I173" i="1"/>
  <c r="H173" i="1"/>
  <c r="G173" i="1"/>
  <c r="F173" i="1"/>
  <c r="E173" i="1"/>
  <c r="D173" i="1"/>
  <c r="C173" i="1"/>
  <c r="B173" i="1"/>
  <c r="A173" i="1"/>
  <c r="AE172" i="1"/>
  <c r="AD172" i="1"/>
  <c r="AC172" i="1"/>
  <c r="AB172" i="1"/>
  <c r="AA172" i="1"/>
  <c r="Z172" i="1"/>
  <c r="Y172" i="1"/>
  <c r="X172" i="1"/>
  <c r="W172" i="1"/>
  <c r="V172" i="1"/>
  <c r="U172" i="1"/>
  <c r="T172" i="1"/>
  <c r="S172" i="1"/>
  <c r="R172" i="1"/>
  <c r="Q172" i="1"/>
  <c r="P172" i="1"/>
  <c r="O172" i="1"/>
  <c r="N172" i="1"/>
  <c r="M172" i="1"/>
  <c r="L172" i="1"/>
  <c r="K172" i="1"/>
  <c r="J172" i="1"/>
  <c r="I172" i="1"/>
  <c r="H172" i="1"/>
  <c r="G172" i="1"/>
  <c r="F172" i="1"/>
  <c r="E172" i="1"/>
  <c r="D172" i="1"/>
  <c r="C172" i="1"/>
  <c r="B172" i="1"/>
  <c r="A172" i="1"/>
  <c r="AE171" i="1"/>
  <c r="AD171" i="1"/>
  <c r="AC171" i="1"/>
  <c r="AB171" i="1"/>
  <c r="AA171" i="1"/>
  <c r="Z171" i="1"/>
  <c r="Y171" i="1"/>
  <c r="X171" i="1"/>
  <c r="W171" i="1"/>
  <c r="V171" i="1"/>
  <c r="U171" i="1"/>
  <c r="T171" i="1"/>
  <c r="S171" i="1"/>
  <c r="R171" i="1"/>
  <c r="Q171" i="1"/>
  <c r="P171" i="1"/>
  <c r="O171" i="1"/>
  <c r="N171" i="1"/>
  <c r="M171" i="1"/>
  <c r="L171" i="1"/>
  <c r="K171" i="1"/>
  <c r="J171" i="1"/>
  <c r="I171" i="1"/>
  <c r="H171" i="1"/>
  <c r="G171" i="1"/>
  <c r="F171" i="1"/>
  <c r="E171" i="1"/>
  <c r="D171" i="1"/>
  <c r="C171" i="1"/>
  <c r="B171" i="1"/>
  <c r="A171" i="1"/>
  <c r="AE170" i="1"/>
  <c r="AD170" i="1"/>
  <c r="AC170" i="1"/>
  <c r="AB170" i="1"/>
  <c r="AA170" i="1"/>
  <c r="Z170" i="1"/>
  <c r="Y170" i="1"/>
  <c r="X170" i="1"/>
  <c r="W170" i="1"/>
  <c r="V170" i="1"/>
  <c r="U170" i="1"/>
  <c r="T170" i="1"/>
  <c r="S170" i="1"/>
  <c r="R170" i="1"/>
  <c r="Q170" i="1"/>
  <c r="P170" i="1"/>
  <c r="O170" i="1"/>
  <c r="N170" i="1"/>
  <c r="M170" i="1"/>
  <c r="L170" i="1"/>
  <c r="K170" i="1"/>
  <c r="J170" i="1"/>
  <c r="I170" i="1"/>
  <c r="H170" i="1"/>
  <c r="G170" i="1"/>
  <c r="F170" i="1"/>
  <c r="E170" i="1"/>
  <c r="D170" i="1"/>
  <c r="C170" i="1"/>
  <c r="B170" i="1"/>
  <c r="A170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I169" i="1"/>
  <c r="H169" i="1"/>
  <c r="G169" i="1"/>
  <c r="F169" i="1"/>
  <c r="E169" i="1"/>
  <c r="D169" i="1"/>
  <c r="C169" i="1"/>
  <c r="B169" i="1"/>
  <c r="A169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I168" i="1"/>
  <c r="H168" i="1"/>
  <c r="G168" i="1"/>
  <c r="F168" i="1"/>
  <c r="E168" i="1"/>
  <c r="D168" i="1"/>
  <c r="C168" i="1"/>
  <c r="B168" i="1"/>
  <c r="A168" i="1"/>
  <c r="AE167" i="1"/>
  <c r="AD167" i="1"/>
  <c r="AC167" i="1"/>
  <c r="AB167" i="1"/>
  <c r="AA167" i="1"/>
  <c r="Z167" i="1"/>
  <c r="Y167" i="1"/>
  <c r="X167" i="1"/>
  <c r="W167" i="1"/>
  <c r="V167" i="1"/>
  <c r="U167" i="1"/>
  <c r="T167" i="1"/>
  <c r="S167" i="1"/>
  <c r="R167" i="1"/>
  <c r="Q167" i="1"/>
  <c r="P167" i="1"/>
  <c r="O167" i="1"/>
  <c r="N167" i="1"/>
  <c r="M167" i="1"/>
  <c r="L167" i="1"/>
  <c r="K167" i="1"/>
  <c r="J167" i="1"/>
  <c r="I167" i="1"/>
  <c r="H167" i="1"/>
  <c r="G167" i="1"/>
  <c r="F167" i="1"/>
  <c r="E167" i="1"/>
  <c r="D167" i="1"/>
  <c r="C167" i="1"/>
  <c r="B167" i="1"/>
  <c r="A167" i="1"/>
  <c r="AE166" i="1"/>
  <c r="AD166" i="1"/>
  <c r="AC166" i="1"/>
  <c r="AB166" i="1"/>
  <c r="AA166" i="1"/>
  <c r="Z166" i="1"/>
  <c r="Y166" i="1"/>
  <c r="X166" i="1"/>
  <c r="W166" i="1"/>
  <c r="V166" i="1"/>
  <c r="U166" i="1"/>
  <c r="T166" i="1"/>
  <c r="S166" i="1"/>
  <c r="R166" i="1"/>
  <c r="Q166" i="1"/>
  <c r="P166" i="1"/>
  <c r="O166" i="1"/>
  <c r="N166" i="1"/>
  <c r="M166" i="1"/>
  <c r="L166" i="1"/>
  <c r="K166" i="1"/>
  <c r="J166" i="1"/>
  <c r="I166" i="1"/>
  <c r="H166" i="1"/>
  <c r="G166" i="1"/>
  <c r="F166" i="1"/>
  <c r="E166" i="1"/>
  <c r="D166" i="1"/>
  <c r="C166" i="1"/>
  <c r="B166" i="1"/>
  <c r="A166" i="1"/>
  <c r="AE165" i="1"/>
  <c r="AD165" i="1"/>
  <c r="AC165" i="1"/>
  <c r="AB165" i="1"/>
  <c r="AA165" i="1"/>
  <c r="Z165" i="1"/>
  <c r="Y165" i="1"/>
  <c r="X165" i="1"/>
  <c r="W165" i="1"/>
  <c r="V165" i="1"/>
  <c r="U165" i="1"/>
  <c r="T165" i="1"/>
  <c r="S165" i="1"/>
  <c r="R165" i="1"/>
  <c r="Q165" i="1"/>
  <c r="P165" i="1"/>
  <c r="O165" i="1"/>
  <c r="N165" i="1"/>
  <c r="M165" i="1"/>
  <c r="L165" i="1"/>
  <c r="K165" i="1"/>
  <c r="J165" i="1"/>
  <c r="I165" i="1"/>
  <c r="H165" i="1"/>
  <c r="G165" i="1"/>
  <c r="F165" i="1"/>
  <c r="E165" i="1"/>
  <c r="D165" i="1"/>
  <c r="C165" i="1"/>
  <c r="B165" i="1"/>
  <c r="A165" i="1"/>
  <c r="AE164" i="1"/>
  <c r="AD164" i="1"/>
  <c r="AC164" i="1"/>
  <c r="AB164" i="1"/>
  <c r="AA164" i="1"/>
  <c r="Z164" i="1"/>
  <c r="Y164" i="1"/>
  <c r="X164" i="1"/>
  <c r="W164" i="1"/>
  <c r="V164" i="1"/>
  <c r="U164" i="1"/>
  <c r="T164" i="1"/>
  <c r="S164" i="1"/>
  <c r="R164" i="1"/>
  <c r="Q164" i="1"/>
  <c r="P164" i="1"/>
  <c r="O164" i="1"/>
  <c r="N164" i="1"/>
  <c r="M164" i="1"/>
  <c r="L164" i="1"/>
  <c r="K164" i="1"/>
  <c r="J164" i="1"/>
  <c r="I164" i="1"/>
  <c r="H164" i="1"/>
  <c r="G164" i="1"/>
  <c r="F164" i="1"/>
  <c r="E164" i="1"/>
  <c r="D164" i="1"/>
  <c r="C164" i="1"/>
  <c r="B164" i="1"/>
  <c r="A164" i="1"/>
  <c r="AE163" i="1"/>
  <c r="AD163" i="1"/>
  <c r="AC163" i="1"/>
  <c r="AB163" i="1"/>
  <c r="AA163" i="1"/>
  <c r="Z163" i="1"/>
  <c r="Y163" i="1"/>
  <c r="X163" i="1"/>
  <c r="W163" i="1"/>
  <c r="V163" i="1"/>
  <c r="U163" i="1"/>
  <c r="T163" i="1"/>
  <c r="S163" i="1"/>
  <c r="R163" i="1"/>
  <c r="Q163" i="1"/>
  <c r="P163" i="1"/>
  <c r="O163" i="1"/>
  <c r="N163" i="1"/>
  <c r="M163" i="1"/>
  <c r="L163" i="1"/>
  <c r="K163" i="1"/>
  <c r="J163" i="1"/>
  <c r="I163" i="1"/>
  <c r="H163" i="1"/>
  <c r="G163" i="1"/>
  <c r="F163" i="1"/>
  <c r="E163" i="1"/>
  <c r="D163" i="1"/>
  <c r="C163" i="1"/>
  <c r="B163" i="1"/>
  <c r="A163" i="1"/>
  <c r="AE162" i="1"/>
  <c r="AD162" i="1"/>
  <c r="AC162" i="1"/>
  <c r="AB162" i="1"/>
  <c r="AA162" i="1"/>
  <c r="Z162" i="1"/>
  <c r="Y162" i="1"/>
  <c r="X162" i="1"/>
  <c r="W162" i="1"/>
  <c r="V162" i="1"/>
  <c r="U162" i="1"/>
  <c r="T162" i="1"/>
  <c r="S162" i="1"/>
  <c r="R162" i="1"/>
  <c r="Q162" i="1"/>
  <c r="P162" i="1"/>
  <c r="O162" i="1"/>
  <c r="N162" i="1"/>
  <c r="M162" i="1"/>
  <c r="L162" i="1"/>
  <c r="K162" i="1"/>
  <c r="J162" i="1"/>
  <c r="I162" i="1"/>
  <c r="H162" i="1"/>
  <c r="G162" i="1"/>
  <c r="F162" i="1"/>
  <c r="E162" i="1"/>
  <c r="D162" i="1"/>
  <c r="C162" i="1"/>
  <c r="B162" i="1"/>
  <c r="A162" i="1"/>
  <c r="AE161" i="1"/>
  <c r="AD161" i="1"/>
  <c r="AC161" i="1"/>
  <c r="AB161" i="1"/>
  <c r="AA161" i="1"/>
  <c r="Z161" i="1"/>
  <c r="Y161" i="1"/>
  <c r="X161" i="1"/>
  <c r="W161" i="1"/>
  <c r="V161" i="1"/>
  <c r="U161" i="1"/>
  <c r="T161" i="1"/>
  <c r="S161" i="1"/>
  <c r="R161" i="1"/>
  <c r="Q161" i="1"/>
  <c r="P161" i="1"/>
  <c r="O161" i="1"/>
  <c r="N161" i="1"/>
  <c r="M161" i="1"/>
  <c r="L161" i="1"/>
  <c r="K161" i="1"/>
  <c r="J161" i="1"/>
  <c r="I161" i="1"/>
  <c r="H161" i="1"/>
  <c r="G161" i="1"/>
  <c r="F161" i="1"/>
  <c r="E161" i="1"/>
  <c r="D161" i="1"/>
  <c r="C161" i="1"/>
  <c r="B161" i="1"/>
  <c r="A161" i="1"/>
  <c r="AE160" i="1"/>
  <c r="AD160" i="1"/>
  <c r="AC160" i="1"/>
  <c r="AB160" i="1"/>
  <c r="AA160" i="1"/>
  <c r="Z160" i="1"/>
  <c r="Y160" i="1"/>
  <c r="X160" i="1"/>
  <c r="W160" i="1"/>
  <c r="V160" i="1"/>
  <c r="U160" i="1"/>
  <c r="T160" i="1"/>
  <c r="S160" i="1"/>
  <c r="R160" i="1"/>
  <c r="Q160" i="1"/>
  <c r="P160" i="1"/>
  <c r="O160" i="1"/>
  <c r="N160" i="1"/>
  <c r="M160" i="1"/>
  <c r="L160" i="1"/>
  <c r="K160" i="1"/>
  <c r="J160" i="1"/>
  <c r="I160" i="1"/>
  <c r="H160" i="1"/>
  <c r="G160" i="1"/>
  <c r="F160" i="1"/>
  <c r="E160" i="1"/>
  <c r="D160" i="1"/>
  <c r="C160" i="1"/>
  <c r="B160" i="1"/>
  <c r="A160" i="1"/>
  <c r="AE159" i="1"/>
  <c r="AD159" i="1"/>
  <c r="AC159" i="1"/>
  <c r="AB159" i="1"/>
  <c r="AA159" i="1"/>
  <c r="Z159" i="1"/>
  <c r="Y159" i="1"/>
  <c r="X159" i="1"/>
  <c r="W159" i="1"/>
  <c r="V159" i="1"/>
  <c r="U159" i="1"/>
  <c r="T159" i="1"/>
  <c r="S159" i="1"/>
  <c r="R159" i="1"/>
  <c r="Q159" i="1"/>
  <c r="P159" i="1"/>
  <c r="O159" i="1"/>
  <c r="N159" i="1"/>
  <c r="M159" i="1"/>
  <c r="L159" i="1"/>
  <c r="K159" i="1"/>
  <c r="J159" i="1"/>
  <c r="I159" i="1"/>
  <c r="H159" i="1"/>
  <c r="G159" i="1"/>
  <c r="F159" i="1"/>
  <c r="E159" i="1"/>
  <c r="D159" i="1"/>
  <c r="C159" i="1"/>
  <c r="B159" i="1"/>
  <c r="A159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I158" i="1"/>
  <c r="H158" i="1"/>
  <c r="G158" i="1"/>
  <c r="F158" i="1"/>
  <c r="E158" i="1"/>
  <c r="D158" i="1"/>
  <c r="C158" i="1"/>
  <c r="B158" i="1"/>
  <c r="A158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I157" i="1"/>
  <c r="H157" i="1"/>
  <c r="G157" i="1"/>
  <c r="F157" i="1"/>
  <c r="E157" i="1"/>
  <c r="D157" i="1"/>
  <c r="C157" i="1"/>
  <c r="B157" i="1"/>
  <c r="A157" i="1"/>
  <c r="AE156" i="1"/>
  <c r="AD156" i="1"/>
  <c r="AC156" i="1"/>
  <c r="AB156" i="1"/>
  <c r="AA156" i="1"/>
  <c r="Z156" i="1"/>
  <c r="Y156" i="1"/>
  <c r="X156" i="1"/>
  <c r="W156" i="1"/>
  <c r="V156" i="1"/>
  <c r="U156" i="1"/>
  <c r="T156" i="1"/>
  <c r="S156" i="1"/>
  <c r="R156" i="1"/>
  <c r="Q156" i="1"/>
  <c r="P156" i="1"/>
  <c r="O156" i="1"/>
  <c r="N156" i="1"/>
  <c r="M156" i="1"/>
  <c r="L156" i="1"/>
  <c r="K156" i="1"/>
  <c r="J156" i="1"/>
  <c r="I156" i="1"/>
  <c r="H156" i="1"/>
  <c r="G156" i="1"/>
  <c r="F156" i="1"/>
  <c r="E156" i="1"/>
  <c r="D156" i="1"/>
  <c r="C156" i="1"/>
  <c r="B156" i="1"/>
  <c r="A156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I155" i="1"/>
  <c r="H155" i="1"/>
  <c r="G155" i="1"/>
  <c r="F155" i="1"/>
  <c r="E155" i="1"/>
  <c r="D155" i="1"/>
  <c r="C155" i="1"/>
  <c r="B155" i="1"/>
  <c r="A155" i="1"/>
  <c r="AE154" i="1"/>
  <c r="AD154" i="1"/>
  <c r="AC154" i="1"/>
  <c r="AB154" i="1"/>
  <c r="AA154" i="1"/>
  <c r="Z154" i="1"/>
  <c r="Y154" i="1"/>
  <c r="X154" i="1"/>
  <c r="W154" i="1"/>
  <c r="V154" i="1"/>
  <c r="U154" i="1"/>
  <c r="T154" i="1"/>
  <c r="S154" i="1"/>
  <c r="R154" i="1"/>
  <c r="Q154" i="1"/>
  <c r="P154" i="1"/>
  <c r="O154" i="1"/>
  <c r="N154" i="1"/>
  <c r="M154" i="1"/>
  <c r="L154" i="1"/>
  <c r="K154" i="1"/>
  <c r="J154" i="1"/>
  <c r="I154" i="1"/>
  <c r="H154" i="1"/>
  <c r="G154" i="1"/>
  <c r="F154" i="1"/>
  <c r="E154" i="1"/>
  <c r="D154" i="1"/>
  <c r="C154" i="1"/>
  <c r="B154" i="1"/>
  <c r="A154" i="1"/>
  <c r="AE153" i="1"/>
  <c r="AD153" i="1"/>
  <c r="AC153" i="1"/>
  <c r="AB153" i="1"/>
  <c r="AA153" i="1"/>
  <c r="Z153" i="1"/>
  <c r="Y153" i="1"/>
  <c r="X153" i="1"/>
  <c r="W153" i="1"/>
  <c r="V153" i="1"/>
  <c r="U153" i="1"/>
  <c r="T153" i="1"/>
  <c r="S153" i="1"/>
  <c r="R153" i="1"/>
  <c r="Q153" i="1"/>
  <c r="P153" i="1"/>
  <c r="O153" i="1"/>
  <c r="N153" i="1"/>
  <c r="M153" i="1"/>
  <c r="L153" i="1"/>
  <c r="K153" i="1"/>
  <c r="J153" i="1"/>
  <c r="I153" i="1"/>
  <c r="H153" i="1"/>
  <c r="G153" i="1"/>
  <c r="F153" i="1"/>
  <c r="E153" i="1"/>
  <c r="D153" i="1"/>
  <c r="C153" i="1"/>
  <c r="B153" i="1"/>
  <c r="A153" i="1"/>
  <c r="AE152" i="1"/>
  <c r="AD152" i="1"/>
  <c r="AC152" i="1"/>
  <c r="AB152" i="1"/>
  <c r="AA152" i="1"/>
  <c r="Z152" i="1"/>
  <c r="Y152" i="1"/>
  <c r="X152" i="1"/>
  <c r="W152" i="1"/>
  <c r="V152" i="1"/>
  <c r="U152" i="1"/>
  <c r="T152" i="1"/>
  <c r="S152" i="1"/>
  <c r="R152" i="1"/>
  <c r="Q152" i="1"/>
  <c r="P152" i="1"/>
  <c r="O152" i="1"/>
  <c r="N152" i="1"/>
  <c r="M152" i="1"/>
  <c r="L152" i="1"/>
  <c r="K152" i="1"/>
  <c r="J152" i="1"/>
  <c r="I152" i="1"/>
  <c r="H152" i="1"/>
  <c r="G152" i="1"/>
  <c r="F152" i="1"/>
  <c r="E152" i="1"/>
  <c r="D152" i="1"/>
  <c r="C152" i="1"/>
  <c r="B152" i="1"/>
  <c r="A152" i="1"/>
  <c r="AE151" i="1"/>
  <c r="AD151" i="1"/>
  <c r="AC151" i="1"/>
  <c r="AB151" i="1"/>
  <c r="AA151" i="1"/>
  <c r="Z151" i="1"/>
  <c r="Y151" i="1"/>
  <c r="X151" i="1"/>
  <c r="W151" i="1"/>
  <c r="V151" i="1"/>
  <c r="U151" i="1"/>
  <c r="T151" i="1"/>
  <c r="S151" i="1"/>
  <c r="R151" i="1"/>
  <c r="Q151" i="1"/>
  <c r="P151" i="1"/>
  <c r="O151" i="1"/>
  <c r="N151" i="1"/>
  <c r="M151" i="1"/>
  <c r="L151" i="1"/>
  <c r="K151" i="1"/>
  <c r="J151" i="1"/>
  <c r="I151" i="1"/>
  <c r="H151" i="1"/>
  <c r="G151" i="1"/>
  <c r="F151" i="1"/>
  <c r="E151" i="1"/>
  <c r="D151" i="1"/>
  <c r="C151" i="1"/>
  <c r="B151" i="1"/>
  <c r="A151" i="1"/>
  <c r="AE150" i="1"/>
  <c r="AD150" i="1"/>
  <c r="AC150" i="1"/>
  <c r="AB150" i="1"/>
  <c r="AA150" i="1"/>
  <c r="Z150" i="1"/>
  <c r="Y150" i="1"/>
  <c r="X150" i="1"/>
  <c r="W150" i="1"/>
  <c r="V150" i="1"/>
  <c r="U150" i="1"/>
  <c r="T150" i="1"/>
  <c r="S150" i="1"/>
  <c r="R150" i="1"/>
  <c r="Q150" i="1"/>
  <c r="P150" i="1"/>
  <c r="O150" i="1"/>
  <c r="N150" i="1"/>
  <c r="M150" i="1"/>
  <c r="L150" i="1"/>
  <c r="K150" i="1"/>
  <c r="J150" i="1"/>
  <c r="I150" i="1"/>
  <c r="H150" i="1"/>
  <c r="G150" i="1"/>
  <c r="F150" i="1"/>
  <c r="E150" i="1"/>
  <c r="D150" i="1"/>
  <c r="C150" i="1"/>
  <c r="B150" i="1"/>
  <c r="A150" i="1"/>
  <c r="AE149" i="1"/>
  <c r="AD149" i="1"/>
  <c r="AC149" i="1"/>
  <c r="AB149" i="1"/>
  <c r="AA149" i="1"/>
  <c r="Z149" i="1"/>
  <c r="Y149" i="1"/>
  <c r="X149" i="1"/>
  <c r="W149" i="1"/>
  <c r="V149" i="1"/>
  <c r="U149" i="1"/>
  <c r="T149" i="1"/>
  <c r="S149" i="1"/>
  <c r="R149" i="1"/>
  <c r="Q149" i="1"/>
  <c r="P149" i="1"/>
  <c r="O149" i="1"/>
  <c r="N149" i="1"/>
  <c r="M149" i="1"/>
  <c r="L149" i="1"/>
  <c r="K149" i="1"/>
  <c r="J149" i="1"/>
  <c r="I149" i="1"/>
  <c r="H149" i="1"/>
  <c r="G149" i="1"/>
  <c r="F149" i="1"/>
  <c r="E149" i="1"/>
  <c r="D149" i="1"/>
  <c r="C149" i="1"/>
  <c r="B149" i="1"/>
  <c r="A149" i="1"/>
  <c r="AE148" i="1"/>
  <c r="AD148" i="1"/>
  <c r="AC148" i="1"/>
  <c r="AB148" i="1"/>
  <c r="AA148" i="1"/>
  <c r="Z148" i="1"/>
  <c r="Y148" i="1"/>
  <c r="X148" i="1"/>
  <c r="W148" i="1"/>
  <c r="V148" i="1"/>
  <c r="U148" i="1"/>
  <c r="T148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F148" i="1"/>
  <c r="E148" i="1"/>
  <c r="D148" i="1"/>
  <c r="C148" i="1"/>
  <c r="B148" i="1"/>
  <c r="A148" i="1"/>
  <c r="AE147" i="1"/>
  <c r="AD147" i="1"/>
  <c r="AC147" i="1"/>
  <c r="AB147" i="1"/>
  <c r="AA147" i="1"/>
  <c r="Z147" i="1"/>
  <c r="Y147" i="1"/>
  <c r="X147" i="1"/>
  <c r="W147" i="1"/>
  <c r="V147" i="1"/>
  <c r="U147" i="1"/>
  <c r="T147" i="1"/>
  <c r="S147" i="1"/>
  <c r="R147" i="1"/>
  <c r="Q147" i="1"/>
  <c r="P147" i="1"/>
  <c r="O147" i="1"/>
  <c r="N147" i="1"/>
  <c r="M147" i="1"/>
  <c r="L147" i="1"/>
  <c r="K147" i="1"/>
  <c r="J147" i="1"/>
  <c r="I147" i="1"/>
  <c r="H147" i="1"/>
  <c r="G147" i="1"/>
  <c r="F147" i="1"/>
  <c r="E147" i="1"/>
  <c r="D147" i="1"/>
  <c r="C147" i="1"/>
  <c r="B147" i="1"/>
  <c r="A147" i="1"/>
  <c r="AE146" i="1"/>
  <c r="AD146" i="1"/>
  <c r="AC146" i="1"/>
  <c r="AB146" i="1"/>
  <c r="AA146" i="1"/>
  <c r="Z146" i="1"/>
  <c r="Y146" i="1"/>
  <c r="X146" i="1"/>
  <c r="W146" i="1"/>
  <c r="V146" i="1"/>
  <c r="U146" i="1"/>
  <c r="T146" i="1"/>
  <c r="S146" i="1"/>
  <c r="R146" i="1"/>
  <c r="Q146" i="1"/>
  <c r="P146" i="1"/>
  <c r="O146" i="1"/>
  <c r="N146" i="1"/>
  <c r="M146" i="1"/>
  <c r="L146" i="1"/>
  <c r="K146" i="1"/>
  <c r="J146" i="1"/>
  <c r="I146" i="1"/>
  <c r="H146" i="1"/>
  <c r="G146" i="1"/>
  <c r="F146" i="1"/>
  <c r="E146" i="1"/>
  <c r="D146" i="1"/>
  <c r="C146" i="1"/>
  <c r="B146" i="1"/>
  <c r="A146" i="1"/>
  <c r="AE145" i="1"/>
  <c r="AD145" i="1"/>
  <c r="AC145" i="1"/>
  <c r="AB145" i="1"/>
  <c r="AA145" i="1"/>
  <c r="Z145" i="1"/>
  <c r="Y145" i="1"/>
  <c r="X145" i="1"/>
  <c r="W145" i="1"/>
  <c r="V145" i="1"/>
  <c r="U145" i="1"/>
  <c r="T145" i="1"/>
  <c r="S145" i="1"/>
  <c r="R145" i="1"/>
  <c r="Q145" i="1"/>
  <c r="P145" i="1"/>
  <c r="O145" i="1"/>
  <c r="N145" i="1"/>
  <c r="M145" i="1"/>
  <c r="L145" i="1"/>
  <c r="K145" i="1"/>
  <c r="J145" i="1"/>
  <c r="I145" i="1"/>
  <c r="H145" i="1"/>
  <c r="G145" i="1"/>
  <c r="F145" i="1"/>
  <c r="E145" i="1"/>
  <c r="D145" i="1"/>
  <c r="C145" i="1"/>
  <c r="B145" i="1"/>
  <c r="A145" i="1"/>
  <c r="AE144" i="1"/>
  <c r="AD144" i="1"/>
  <c r="AC144" i="1"/>
  <c r="AB144" i="1"/>
  <c r="AA144" i="1"/>
  <c r="Z144" i="1"/>
  <c r="Y144" i="1"/>
  <c r="X144" i="1"/>
  <c r="W144" i="1"/>
  <c r="V144" i="1"/>
  <c r="U144" i="1"/>
  <c r="T144" i="1"/>
  <c r="S144" i="1"/>
  <c r="R144" i="1"/>
  <c r="Q144" i="1"/>
  <c r="P144" i="1"/>
  <c r="O144" i="1"/>
  <c r="N144" i="1"/>
  <c r="M144" i="1"/>
  <c r="L144" i="1"/>
  <c r="K144" i="1"/>
  <c r="J144" i="1"/>
  <c r="I144" i="1"/>
  <c r="H144" i="1"/>
  <c r="G144" i="1"/>
  <c r="F144" i="1"/>
  <c r="E144" i="1"/>
  <c r="D144" i="1"/>
  <c r="C144" i="1"/>
  <c r="B144" i="1"/>
  <c r="A144" i="1"/>
  <c r="AE143" i="1"/>
  <c r="AD143" i="1"/>
  <c r="AC143" i="1"/>
  <c r="AB143" i="1"/>
  <c r="AA143" i="1"/>
  <c r="Z143" i="1"/>
  <c r="Y143" i="1"/>
  <c r="X143" i="1"/>
  <c r="W143" i="1"/>
  <c r="V143" i="1"/>
  <c r="U143" i="1"/>
  <c r="T143" i="1"/>
  <c r="S143" i="1"/>
  <c r="R143" i="1"/>
  <c r="Q143" i="1"/>
  <c r="P143" i="1"/>
  <c r="O143" i="1"/>
  <c r="N143" i="1"/>
  <c r="M143" i="1"/>
  <c r="L143" i="1"/>
  <c r="K143" i="1"/>
  <c r="J143" i="1"/>
  <c r="I143" i="1"/>
  <c r="H143" i="1"/>
  <c r="G143" i="1"/>
  <c r="F143" i="1"/>
  <c r="E143" i="1"/>
  <c r="D143" i="1"/>
  <c r="C143" i="1"/>
  <c r="B143" i="1"/>
  <c r="A143" i="1"/>
  <c r="AE142" i="1"/>
  <c r="AD142" i="1"/>
  <c r="AC142" i="1"/>
  <c r="AB142" i="1"/>
  <c r="AA142" i="1"/>
  <c r="Z142" i="1"/>
  <c r="Y142" i="1"/>
  <c r="X142" i="1"/>
  <c r="W142" i="1"/>
  <c r="V142" i="1"/>
  <c r="U142" i="1"/>
  <c r="T142" i="1"/>
  <c r="S142" i="1"/>
  <c r="R142" i="1"/>
  <c r="Q142" i="1"/>
  <c r="P142" i="1"/>
  <c r="O142" i="1"/>
  <c r="N142" i="1"/>
  <c r="M142" i="1"/>
  <c r="L142" i="1"/>
  <c r="K142" i="1"/>
  <c r="J142" i="1"/>
  <c r="I142" i="1"/>
  <c r="H142" i="1"/>
  <c r="G142" i="1"/>
  <c r="F142" i="1"/>
  <c r="E142" i="1"/>
  <c r="D142" i="1"/>
  <c r="C142" i="1"/>
  <c r="B142" i="1"/>
  <c r="A142" i="1"/>
  <c r="AE141" i="1"/>
  <c r="AD141" i="1"/>
  <c r="AC141" i="1"/>
  <c r="AB141" i="1"/>
  <c r="AA141" i="1"/>
  <c r="Z141" i="1"/>
  <c r="Y141" i="1"/>
  <c r="X141" i="1"/>
  <c r="W141" i="1"/>
  <c r="V141" i="1"/>
  <c r="U141" i="1"/>
  <c r="T141" i="1"/>
  <c r="S141" i="1"/>
  <c r="R141" i="1"/>
  <c r="Q141" i="1"/>
  <c r="P141" i="1"/>
  <c r="O141" i="1"/>
  <c r="N141" i="1"/>
  <c r="M141" i="1"/>
  <c r="L141" i="1"/>
  <c r="K141" i="1"/>
  <c r="J141" i="1"/>
  <c r="I141" i="1"/>
  <c r="H141" i="1"/>
  <c r="G141" i="1"/>
  <c r="F141" i="1"/>
  <c r="E141" i="1"/>
  <c r="D141" i="1"/>
  <c r="C141" i="1"/>
  <c r="B141" i="1"/>
  <c r="A141" i="1"/>
  <c r="AE140" i="1"/>
  <c r="AD140" i="1"/>
  <c r="AC140" i="1"/>
  <c r="AB140" i="1"/>
  <c r="AA140" i="1"/>
  <c r="Z140" i="1"/>
  <c r="Y140" i="1"/>
  <c r="X140" i="1"/>
  <c r="W140" i="1"/>
  <c r="V140" i="1"/>
  <c r="U140" i="1"/>
  <c r="T140" i="1"/>
  <c r="S140" i="1"/>
  <c r="R140" i="1"/>
  <c r="Q140" i="1"/>
  <c r="P140" i="1"/>
  <c r="O140" i="1"/>
  <c r="N140" i="1"/>
  <c r="M140" i="1"/>
  <c r="L140" i="1"/>
  <c r="K140" i="1"/>
  <c r="J140" i="1"/>
  <c r="I140" i="1"/>
  <c r="H140" i="1"/>
  <c r="G140" i="1"/>
  <c r="F140" i="1"/>
  <c r="E140" i="1"/>
  <c r="D140" i="1"/>
  <c r="C140" i="1"/>
  <c r="B140" i="1"/>
  <c r="A140" i="1"/>
  <c r="AE139" i="1"/>
  <c r="AD139" i="1"/>
  <c r="AC139" i="1"/>
  <c r="AB139" i="1"/>
  <c r="AA139" i="1"/>
  <c r="Z139" i="1"/>
  <c r="Y139" i="1"/>
  <c r="X139" i="1"/>
  <c r="W139" i="1"/>
  <c r="V139" i="1"/>
  <c r="U139" i="1"/>
  <c r="T139" i="1"/>
  <c r="S139" i="1"/>
  <c r="R139" i="1"/>
  <c r="Q139" i="1"/>
  <c r="P139" i="1"/>
  <c r="O139" i="1"/>
  <c r="N139" i="1"/>
  <c r="M139" i="1"/>
  <c r="L139" i="1"/>
  <c r="K139" i="1"/>
  <c r="J139" i="1"/>
  <c r="I139" i="1"/>
  <c r="H139" i="1"/>
  <c r="G139" i="1"/>
  <c r="F139" i="1"/>
  <c r="E139" i="1"/>
  <c r="D139" i="1"/>
  <c r="C139" i="1"/>
  <c r="B139" i="1"/>
  <c r="A139" i="1"/>
  <c r="AE138" i="1"/>
  <c r="AD138" i="1"/>
  <c r="AC138" i="1"/>
  <c r="AB138" i="1"/>
  <c r="AA138" i="1"/>
  <c r="Z138" i="1"/>
  <c r="Y138" i="1"/>
  <c r="X138" i="1"/>
  <c r="W138" i="1"/>
  <c r="V138" i="1"/>
  <c r="U138" i="1"/>
  <c r="T138" i="1"/>
  <c r="S138" i="1"/>
  <c r="R138" i="1"/>
  <c r="Q138" i="1"/>
  <c r="P138" i="1"/>
  <c r="O138" i="1"/>
  <c r="N138" i="1"/>
  <c r="M138" i="1"/>
  <c r="L138" i="1"/>
  <c r="K138" i="1"/>
  <c r="J138" i="1"/>
  <c r="I138" i="1"/>
  <c r="H138" i="1"/>
  <c r="G138" i="1"/>
  <c r="F138" i="1"/>
  <c r="E138" i="1"/>
  <c r="D138" i="1"/>
  <c r="C138" i="1"/>
  <c r="B138" i="1"/>
  <c r="A138" i="1"/>
  <c r="AE137" i="1"/>
  <c r="AD137" i="1"/>
  <c r="AC137" i="1"/>
  <c r="AB137" i="1"/>
  <c r="AA137" i="1"/>
  <c r="Z137" i="1"/>
  <c r="Y137" i="1"/>
  <c r="X137" i="1"/>
  <c r="W137" i="1"/>
  <c r="V137" i="1"/>
  <c r="U137" i="1"/>
  <c r="T137" i="1"/>
  <c r="S137" i="1"/>
  <c r="R137" i="1"/>
  <c r="Q137" i="1"/>
  <c r="P137" i="1"/>
  <c r="O137" i="1"/>
  <c r="N137" i="1"/>
  <c r="M137" i="1"/>
  <c r="L137" i="1"/>
  <c r="K137" i="1"/>
  <c r="J137" i="1"/>
  <c r="I137" i="1"/>
  <c r="H137" i="1"/>
  <c r="G137" i="1"/>
  <c r="F137" i="1"/>
  <c r="E137" i="1"/>
  <c r="D137" i="1"/>
  <c r="C137" i="1"/>
  <c r="B137" i="1"/>
  <c r="A137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I136" i="1"/>
  <c r="H136" i="1"/>
  <c r="G136" i="1"/>
  <c r="F136" i="1"/>
  <c r="E136" i="1"/>
  <c r="D136" i="1"/>
  <c r="C136" i="1"/>
  <c r="B136" i="1"/>
  <c r="A136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I135" i="1"/>
  <c r="H135" i="1"/>
  <c r="G135" i="1"/>
  <c r="F135" i="1"/>
  <c r="E135" i="1"/>
  <c r="D135" i="1"/>
  <c r="C135" i="1"/>
  <c r="B135" i="1"/>
  <c r="A135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I134" i="1"/>
  <c r="H134" i="1"/>
  <c r="G134" i="1"/>
  <c r="F134" i="1"/>
  <c r="E134" i="1"/>
  <c r="D134" i="1"/>
  <c r="C134" i="1"/>
  <c r="B134" i="1"/>
  <c r="A134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I133" i="1"/>
  <c r="H133" i="1"/>
  <c r="G133" i="1"/>
  <c r="F133" i="1"/>
  <c r="E133" i="1"/>
  <c r="D133" i="1"/>
  <c r="C133" i="1"/>
  <c r="B133" i="1"/>
  <c r="A133" i="1"/>
  <c r="AE132" i="1"/>
  <c r="AD132" i="1"/>
  <c r="AC132" i="1"/>
  <c r="AB132" i="1"/>
  <c r="AA132" i="1"/>
  <c r="Z132" i="1"/>
  <c r="Y132" i="1"/>
  <c r="X132" i="1"/>
  <c r="W132" i="1"/>
  <c r="V132" i="1"/>
  <c r="U132" i="1"/>
  <c r="T132" i="1"/>
  <c r="S132" i="1"/>
  <c r="R132" i="1"/>
  <c r="Q132" i="1"/>
  <c r="P132" i="1"/>
  <c r="O132" i="1"/>
  <c r="N132" i="1"/>
  <c r="M132" i="1"/>
  <c r="L132" i="1"/>
  <c r="K132" i="1"/>
  <c r="J132" i="1"/>
  <c r="I132" i="1"/>
  <c r="H132" i="1"/>
  <c r="G132" i="1"/>
  <c r="F132" i="1"/>
  <c r="E132" i="1"/>
  <c r="D132" i="1"/>
  <c r="C132" i="1"/>
  <c r="B132" i="1"/>
  <c r="A132" i="1"/>
  <c r="AE131" i="1"/>
  <c r="AD131" i="1"/>
  <c r="AC131" i="1"/>
  <c r="AB131" i="1"/>
  <c r="AA131" i="1"/>
  <c r="Z131" i="1"/>
  <c r="Y131" i="1"/>
  <c r="X131" i="1"/>
  <c r="W131" i="1"/>
  <c r="V131" i="1"/>
  <c r="U131" i="1"/>
  <c r="T131" i="1"/>
  <c r="S131" i="1"/>
  <c r="R131" i="1"/>
  <c r="Q131" i="1"/>
  <c r="P131" i="1"/>
  <c r="O131" i="1"/>
  <c r="N131" i="1"/>
  <c r="M131" i="1"/>
  <c r="L131" i="1"/>
  <c r="K131" i="1"/>
  <c r="J131" i="1"/>
  <c r="I131" i="1"/>
  <c r="H131" i="1"/>
  <c r="G131" i="1"/>
  <c r="F131" i="1"/>
  <c r="E131" i="1"/>
  <c r="D131" i="1"/>
  <c r="C131" i="1"/>
  <c r="B131" i="1"/>
  <c r="A131" i="1"/>
  <c r="AE130" i="1"/>
  <c r="AD130" i="1"/>
  <c r="AC130" i="1"/>
  <c r="AB130" i="1"/>
  <c r="AA130" i="1"/>
  <c r="Z130" i="1"/>
  <c r="Y130" i="1"/>
  <c r="X130" i="1"/>
  <c r="W130" i="1"/>
  <c r="V130" i="1"/>
  <c r="U130" i="1"/>
  <c r="T130" i="1"/>
  <c r="S130" i="1"/>
  <c r="R130" i="1"/>
  <c r="Q130" i="1"/>
  <c r="P130" i="1"/>
  <c r="O130" i="1"/>
  <c r="N130" i="1"/>
  <c r="M130" i="1"/>
  <c r="L130" i="1"/>
  <c r="K130" i="1"/>
  <c r="J130" i="1"/>
  <c r="I130" i="1"/>
  <c r="H130" i="1"/>
  <c r="G130" i="1"/>
  <c r="F130" i="1"/>
  <c r="E130" i="1"/>
  <c r="D130" i="1"/>
  <c r="C130" i="1"/>
  <c r="B130" i="1"/>
  <c r="A130" i="1"/>
  <c r="AE129" i="1"/>
  <c r="AD129" i="1"/>
  <c r="AC129" i="1"/>
  <c r="AB129" i="1"/>
  <c r="AA129" i="1"/>
  <c r="Z129" i="1"/>
  <c r="Y129" i="1"/>
  <c r="X129" i="1"/>
  <c r="W129" i="1"/>
  <c r="V129" i="1"/>
  <c r="U129" i="1"/>
  <c r="T129" i="1"/>
  <c r="S129" i="1"/>
  <c r="R129" i="1"/>
  <c r="Q129" i="1"/>
  <c r="P129" i="1"/>
  <c r="O129" i="1"/>
  <c r="N129" i="1"/>
  <c r="M129" i="1"/>
  <c r="L129" i="1"/>
  <c r="K129" i="1"/>
  <c r="J129" i="1"/>
  <c r="I129" i="1"/>
  <c r="H129" i="1"/>
  <c r="G129" i="1"/>
  <c r="F129" i="1"/>
  <c r="E129" i="1"/>
  <c r="D129" i="1"/>
  <c r="C129" i="1"/>
  <c r="B129" i="1"/>
  <c r="A129" i="1"/>
  <c r="AE128" i="1"/>
  <c r="AD128" i="1"/>
  <c r="AC128" i="1"/>
  <c r="AB128" i="1"/>
  <c r="AA128" i="1"/>
  <c r="Z128" i="1"/>
  <c r="Y128" i="1"/>
  <c r="X128" i="1"/>
  <c r="W128" i="1"/>
  <c r="V128" i="1"/>
  <c r="U128" i="1"/>
  <c r="T128" i="1"/>
  <c r="S128" i="1"/>
  <c r="R128" i="1"/>
  <c r="Q128" i="1"/>
  <c r="P128" i="1"/>
  <c r="O128" i="1"/>
  <c r="N128" i="1"/>
  <c r="M128" i="1"/>
  <c r="L128" i="1"/>
  <c r="K128" i="1"/>
  <c r="J128" i="1"/>
  <c r="I128" i="1"/>
  <c r="H128" i="1"/>
  <c r="G128" i="1"/>
  <c r="F128" i="1"/>
  <c r="E128" i="1"/>
  <c r="D128" i="1"/>
  <c r="C128" i="1"/>
  <c r="B128" i="1"/>
  <c r="A128" i="1"/>
  <c r="AE127" i="1"/>
  <c r="AD127" i="1"/>
  <c r="AC127" i="1"/>
  <c r="AB127" i="1"/>
  <c r="AA127" i="1"/>
  <c r="Z127" i="1"/>
  <c r="Y127" i="1"/>
  <c r="X127" i="1"/>
  <c r="W127" i="1"/>
  <c r="V127" i="1"/>
  <c r="U127" i="1"/>
  <c r="T127" i="1"/>
  <c r="S127" i="1"/>
  <c r="R127" i="1"/>
  <c r="Q127" i="1"/>
  <c r="P127" i="1"/>
  <c r="O127" i="1"/>
  <c r="N127" i="1"/>
  <c r="M127" i="1"/>
  <c r="L127" i="1"/>
  <c r="K127" i="1"/>
  <c r="J127" i="1"/>
  <c r="I127" i="1"/>
  <c r="H127" i="1"/>
  <c r="G127" i="1"/>
  <c r="F127" i="1"/>
  <c r="E127" i="1"/>
  <c r="D127" i="1"/>
  <c r="C127" i="1"/>
  <c r="B127" i="1"/>
  <c r="A127" i="1"/>
  <c r="AE126" i="1"/>
  <c r="AD126" i="1"/>
  <c r="AC126" i="1"/>
  <c r="AB126" i="1"/>
  <c r="AA126" i="1"/>
  <c r="Z126" i="1"/>
  <c r="Y126" i="1"/>
  <c r="X126" i="1"/>
  <c r="W126" i="1"/>
  <c r="V126" i="1"/>
  <c r="U126" i="1"/>
  <c r="T126" i="1"/>
  <c r="S126" i="1"/>
  <c r="R126" i="1"/>
  <c r="Q126" i="1"/>
  <c r="P126" i="1"/>
  <c r="O126" i="1"/>
  <c r="N126" i="1"/>
  <c r="M126" i="1"/>
  <c r="L126" i="1"/>
  <c r="K126" i="1"/>
  <c r="J126" i="1"/>
  <c r="I126" i="1"/>
  <c r="H126" i="1"/>
  <c r="G126" i="1"/>
  <c r="F126" i="1"/>
  <c r="E126" i="1"/>
  <c r="D126" i="1"/>
  <c r="C126" i="1"/>
  <c r="B126" i="1"/>
  <c r="A126" i="1"/>
  <c r="AE125" i="1"/>
  <c r="AD125" i="1"/>
  <c r="AC125" i="1"/>
  <c r="AB125" i="1"/>
  <c r="AA125" i="1"/>
  <c r="Z125" i="1"/>
  <c r="Y125" i="1"/>
  <c r="X125" i="1"/>
  <c r="W125" i="1"/>
  <c r="V125" i="1"/>
  <c r="U125" i="1"/>
  <c r="T125" i="1"/>
  <c r="S125" i="1"/>
  <c r="R125" i="1"/>
  <c r="Q125" i="1"/>
  <c r="P125" i="1"/>
  <c r="O125" i="1"/>
  <c r="N125" i="1"/>
  <c r="M125" i="1"/>
  <c r="L125" i="1"/>
  <c r="K125" i="1"/>
  <c r="J125" i="1"/>
  <c r="I125" i="1"/>
  <c r="H125" i="1"/>
  <c r="G125" i="1"/>
  <c r="F125" i="1"/>
  <c r="E125" i="1"/>
  <c r="D125" i="1"/>
  <c r="C125" i="1"/>
  <c r="B125" i="1"/>
  <c r="A125" i="1"/>
  <c r="AE124" i="1"/>
  <c r="AD124" i="1"/>
  <c r="AC124" i="1"/>
  <c r="AB124" i="1"/>
  <c r="AA124" i="1"/>
  <c r="Z124" i="1"/>
  <c r="Y124" i="1"/>
  <c r="X124" i="1"/>
  <c r="W124" i="1"/>
  <c r="V124" i="1"/>
  <c r="U124" i="1"/>
  <c r="T124" i="1"/>
  <c r="S124" i="1"/>
  <c r="R124" i="1"/>
  <c r="Q124" i="1"/>
  <c r="P124" i="1"/>
  <c r="O124" i="1"/>
  <c r="N124" i="1"/>
  <c r="M124" i="1"/>
  <c r="L124" i="1"/>
  <c r="K124" i="1"/>
  <c r="J124" i="1"/>
  <c r="I124" i="1"/>
  <c r="H124" i="1"/>
  <c r="G124" i="1"/>
  <c r="F124" i="1"/>
  <c r="E124" i="1"/>
  <c r="D124" i="1"/>
  <c r="C124" i="1"/>
  <c r="B124" i="1"/>
  <c r="A124" i="1"/>
  <c r="AE123" i="1"/>
  <c r="AD123" i="1"/>
  <c r="AC123" i="1"/>
  <c r="AB123" i="1"/>
  <c r="AA123" i="1"/>
  <c r="Z123" i="1"/>
  <c r="Y123" i="1"/>
  <c r="X123" i="1"/>
  <c r="W123" i="1"/>
  <c r="V123" i="1"/>
  <c r="U123" i="1"/>
  <c r="T123" i="1"/>
  <c r="S123" i="1"/>
  <c r="R123" i="1"/>
  <c r="Q123" i="1"/>
  <c r="P123" i="1"/>
  <c r="O123" i="1"/>
  <c r="N123" i="1"/>
  <c r="M123" i="1"/>
  <c r="L123" i="1"/>
  <c r="K123" i="1"/>
  <c r="J123" i="1"/>
  <c r="I123" i="1"/>
  <c r="H123" i="1"/>
  <c r="G123" i="1"/>
  <c r="F123" i="1"/>
  <c r="E123" i="1"/>
  <c r="D123" i="1"/>
  <c r="C123" i="1"/>
  <c r="B123" i="1"/>
  <c r="A123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B122" i="1"/>
  <c r="A122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B121" i="1"/>
  <c r="A121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B120" i="1"/>
  <c r="A120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K119" i="1"/>
  <c r="J119" i="1"/>
  <c r="I119" i="1"/>
  <c r="H119" i="1"/>
  <c r="G119" i="1"/>
  <c r="F119" i="1"/>
  <c r="E119" i="1"/>
  <c r="D119" i="1"/>
  <c r="C119" i="1"/>
  <c r="B119" i="1"/>
  <c r="A119" i="1"/>
  <c r="AE118" i="1"/>
  <c r="AD118" i="1"/>
  <c r="AC118" i="1"/>
  <c r="AB118" i="1"/>
  <c r="AA118" i="1"/>
  <c r="Z118" i="1"/>
  <c r="Y118" i="1"/>
  <c r="X118" i="1"/>
  <c r="W118" i="1"/>
  <c r="V118" i="1"/>
  <c r="U118" i="1"/>
  <c r="T118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B118" i="1"/>
  <c r="A118" i="1"/>
  <c r="AE117" i="1"/>
  <c r="AD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N117" i="1"/>
  <c r="M117" i="1"/>
  <c r="L117" i="1"/>
  <c r="K117" i="1"/>
  <c r="J117" i="1"/>
  <c r="I117" i="1"/>
  <c r="H117" i="1"/>
  <c r="G117" i="1"/>
  <c r="F117" i="1"/>
  <c r="E117" i="1"/>
  <c r="D117" i="1"/>
  <c r="C117" i="1"/>
  <c r="B117" i="1"/>
  <c r="A117" i="1"/>
  <c r="AE116" i="1"/>
  <c r="AD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N116" i="1"/>
  <c r="M116" i="1"/>
  <c r="L116" i="1"/>
  <c r="K116" i="1"/>
  <c r="J116" i="1"/>
  <c r="I116" i="1"/>
  <c r="H116" i="1"/>
  <c r="G116" i="1"/>
  <c r="F116" i="1"/>
  <c r="E116" i="1"/>
  <c r="D116" i="1"/>
  <c r="C116" i="1"/>
  <c r="B116" i="1"/>
  <c r="A116" i="1"/>
  <c r="AE115" i="1"/>
  <c r="AD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N115" i="1"/>
  <c r="M115" i="1"/>
  <c r="L115" i="1"/>
  <c r="K115" i="1"/>
  <c r="J115" i="1"/>
  <c r="I115" i="1"/>
  <c r="H115" i="1"/>
  <c r="G115" i="1"/>
  <c r="F115" i="1"/>
  <c r="E115" i="1"/>
  <c r="D115" i="1"/>
  <c r="C115" i="1"/>
  <c r="B115" i="1"/>
  <c r="A115" i="1"/>
  <c r="AE114" i="1"/>
  <c r="AD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N114" i="1"/>
  <c r="M114" i="1"/>
  <c r="L114" i="1"/>
  <c r="K114" i="1"/>
  <c r="J114" i="1"/>
  <c r="I114" i="1"/>
  <c r="H114" i="1"/>
  <c r="G114" i="1"/>
  <c r="F114" i="1"/>
  <c r="E114" i="1"/>
  <c r="D114" i="1"/>
  <c r="C114" i="1"/>
  <c r="B114" i="1"/>
  <c r="A114" i="1"/>
  <c r="AE113" i="1"/>
  <c r="AD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N113" i="1"/>
  <c r="M113" i="1"/>
  <c r="L113" i="1"/>
  <c r="K113" i="1"/>
  <c r="J113" i="1"/>
  <c r="I113" i="1"/>
  <c r="H113" i="1"/>
  <c r="G113" i="1"/>
  <c r="F113" i="1"/>
  <c r="E113" i="1"/>
  <c r="D113" i="1"/>
  <c r="C113" i="1"/>
  <c r="B113" i="1"/>
  <c r="A113" i="1"/>
  <c r="AE112" i="1"/>
  <c r="AD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N112" i="1"/>
  <c r="M112" i="1"/>
  <c r="L112" i="1"/>
  <c r="K112" i="1"/>
  <c r="J112" i="1"/>
  <c r="I112" i="1"/>
  <c r="H112" i="1"/>
  <c r="G112" i="1"/>
  <c r="F112" i="1"/>
  <c r="E112" i="1"/>
  <c r="D112" i="1"/>
  <c r="C112" i="1"/>
  <c r="B112" i="1"/>
  <c r="A112" i="1"/>
  <c r="AE111" i="1"/>
  <c r="AD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N111" i="1"/>
  <c r="M111" i="1"/>
  <c r="L111" i="1"/>
  <c r="K111" i="1"/>
  <c r="J111" i="1"/>
  <c r="I111" i="1"/>
  <c r="H111" i="1"/>
  <c r="G111" i="1"/>
  <c r="F111" i="1"/>
  <c r="E111" i="1"/>
  <c r="D111" i="1"/>
  <c r="C111" i="1"/>
  <c r="B111" i="1"/>
  <c r="A111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I110" i="1"/>
  <c r="H110" i="1"/>
  <c r="G110" i="1"/>
  <c r="F110" i="1"/>
  <c r="E110" i="1"/>
  <c r="D110" i="1"/>
  <c r="C110" i="1"/>
  <c r="B110" i="1"/>
  <c r="A110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J109" i="1"/>
  <c r="I109" i="1"/>
  <c r="H109" i="1"/>
  <c r="G109" i="1"/>
  <c r="F109" i="1"/>
  <c r="E109" i="1"/>
  <c r="D109" i="1"/>
  <c r="C109" i="1"/>
  <c r="B109" i="1"/>
  <c r="A109" i="1"/>
  <c r="AE108" i="1"/>
  <c r="AD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N108" i="1"/>
  <c r="M108" i="1"/>
  <c r="L108" i="1"/>
  <c r="K108" i="1"/>
  <c r="J108" i="1"/>
  <c r="I108" i="1"/>
  <c r="H108" i="1"/>
  <c r="G108" i="1"/>
  <c r="F108" i="1"/>
  <c r="E108" i="1"/>
  <c r="D108" i="1"/>
  <c r="C108" i="1"/>
  <c r="B108" i="1"/>
  <c r="A108" i="1"/>
  <c r="AE107" i="1"/>
  <c r="AD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N107" i="1"/>
  <c r="M107" i="1"/>
  <c r="L107" i="1"/>
  <c r="K107" i="1"/>
  <c r="J107" i="1"/>
  <c r="I107" i="1"/>
  <c r="H107" i="1"/>
  <c r="G107" i="1"/>
  <c r="F107" i="1"/>
  <c r="E107" i="1"/>
  <c r="D107" i="1"/>
  <c r="C107" i="1"/>
  <c r="B107" i="1"/>
  <c r="A107" i="1"/>
  <c r="AE106" i="1"/>
  <c r="AD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N106" i="1"/>
  <c r="M106" i="1"/>
  <c r="L106" i="1"/>
  <c r="K106" i="1"/>
  <c r="J106" i="1"/>
  <c r="I106" i="1"/>
  <c r="H106" i="1"/>
  <c r="G106" i="1"/>
  <c r="F106" i="1"/>
  <c r="E106" i="1"/>
  <c r="D106" i="1"/>
  <c r="C106" i="1"/>
  <c r="B106" i="1"/>
  <c r="A106" i="1"/>
  <c r="AE105" i="1"/>
  <c r="AD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N105" i="1"/>
  <c r="M105" i="1"/>
  <c r="L105" i="1"/>
  <c r="K105" i="1"/>
  <c r="J105" i="1"/>
  <c r="I105" i="1"/>
  <c r="H105" i="1"/>
  <c r="G105" i="1"/>
  <c r="F105" i="1"/>
  <c r="E105" i="1"/>
  <c r="D105" i="1"/>
  <c r="C105" i="1"/>
  <c r="B105" i="1"/>
  <c r="A105" i="1"/>
  <c r="AE104" i="1"/>
  <c r="AD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N104" i="1"/>
  <c r="M104" i="1"/>
  <c r="L104" i="1"/>
  <c r="K104" i="1"/>
  <c r="J104" i="1"/>
  <c r="I104" i="1"/>
  <c r="H104" i="1"/>
  <c r="G104" i="1"/>
  <c r="F104" i="1"/>
  <c r="E104" i="1"/>
  <c r="D104" i="1"/>
  <c r="C104" i="1"/>
  <c r="B104" i="1"/>
  <c r="A104" i="1"/>
  <c r="AE103" i="1"/>
  <c r="AD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N103" i="1"/>
  <c r="M103" i="1"/>
  <c r="L103" i="1"/>
  <c r="K103" i="1"/>
  <c r="J103" i="1"/>
  <c r="I103" i="1"/>
  <c r="H103" i="1"/>
  <c r="G103" i="1"/>
  <c r="F103" i="1"/>
  <c r="E103" i="1"/>
  <c r="D103" i="1"/>
  <c r="C103" i="1"/>
  <c r="B103" i="1"/>
  <c r="A103" i="1"/>
  <c r="AE102" i="1"/>
  <c r="AD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N102" i="1"/>
  <c r="M102" i="1"/>
  <c r="L102" i="1"/>
  <c r="K102" i="1"/>
  <c r="J102" i="1"/>
  <c r="I102" i="1"/>
  <c r="H102" i="1"/>
  <c r="G102" i="1"/>
  <c r="F102" i="1"/>
  <c r="E102" i="1"/>
  <c r="D102" i="1"/>
  <c r="C102" i="1"/>
  <c r="B102" i="1"/>
  <c r="A102" i="1"/>
  <c r="AE101" i="1"/>
  <c r="AD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N101" i="1"/>
  <c r="M101" i="1"/>
  <c r="L101" i="1"/>
  <c r="K101" i="1"/>
  <c r="J101" i="1"/>
  <c r="I101" i="1"/>
  <c r="H101" i="1"/>
  <c r="G101" i="1"/>
  <c r="F101" i="1"/>
  <c r="E101" i="1"/>
  <c r="D101" i="1"/>
  <c r="C101" i="1"/>
  <c r="B101" i="1"/>
  <c r="A101" i="1"/>
  <c r="AE100" i="1"/>
  <c r="AD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N100" i="1"/>
  <c r="M100" i="1"/>
  <c r="L100" i="1"/>
  <c r="K100" i="1"/>
  <c r="J100" i="1"/>
  <c r="I100" i="1"/>
  <c r="H100" i="1"/>
  <c r="G100" i="1"/>
  <c r="F100" i="1"/>
  <c r="E100" i="1"/>
  <c r="D100" i="1"/>
  <c r="C100" i="1"/>
  <c r="B100" i="1"/>
  <c r="A100" i="1"/>
  <c r="AE99" i="1"/>
  <c r="AD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N99" i="1"/>
  <c r="M99" i="1"/>
  <c r="L99" i="1"/>
  <c r="K99" i="1"/>
  <c r="J99" i="1"/>
  <c r="I99" i="1"/>
  <c r="H99" i="1"/>
  <c r="G99" i="1"/>
  <c r="F99" i="1"/>
  <c r="E99" i="1"/>
  <c r="D99" i="1"/>
  <c r="C99" i="1"/>
  <c r="B99" i="1"/>
  <c r="A99" i="1"/>
  <c r="AE98" i="1"/>
  <c r="AD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N98" i="1"/>
  <c r="M98" i="1"/>
  <c r="L98" i="1"/>
  <c r="K98" i="1"/>
  <c r="J98" i="1"/>
  <c r="I98" i="1"/>
  <c r="H98" i="1"/>
  <c r="G98" i="1"/>
  <c r="F98" i="1"/>
  <c r="E98" i="1"/>
  <c r="D98" i="1"/>
  <c r="C98" i="1"/>
  <c r="B98" i="1"/>
  <c r="A98" i="1"/>
  <c r="AE97" i="1"/>
  <c r="AD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N97" i="1"/>
  <c r="M97" i="1"/>
  <c r="L97" i="1"/>
  <c r="K97" i="1"/>
  <c r="J97" i="1"/>
  <c r="I97" i="1"/>
  <c r="H97" i="1"/>
  <c r="G97" i="1"/>
  <c r="F97" i="1"/>
  <c r="E97" i="1"/>
  <c r="D97" i="1"/>
  <c r="C97" i="1"/>
  <c r="B97" i="1"/>
  <c r="A97" i="1"/>
  <c r="AE96" i="1"/>
  <c r="AD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N96" i="1"/>
  <c r="M96" i="1"/>
  <c r="L96" i="1"/>
  <c r="K96" i="1"/>
  <c r="J96" i="1"/>
  <c r="I96" i="1"/>
  <c r="H96" i="1"/>
  <c r="G96" i="1"/>
  <c r="F96" i="1"/>
  <c r="E96" i="1"/>
  <c r="D96" i="1"/>
  <c r="C96" i="1"/>
  <c r="B96" i="1"/>
  <c r="A96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I95" i="1"/>
  <c r="H95" i="1"/>
  <c r="G95" i="1"/>
  <c r="F95" i="1"/>
  <c r="E95" i="1"/>
  <c r="D95" i="1"/>
  <c r="C95" i="1"/>
  <c r="B95" i="1"/>
  <c r="A95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I94" i="1"/>
  <c r="H94" i="1"/>
  <c r="G94" i="1"/>
  <c r="F94" i="1"/>
  <c r="E94" i="1"/>
  <c r="D94" i="1"/>
  <c r="C94" i="1"/>
  <c r="B94" i="1"/>
  <c r="A94" i="1"/>
  <c r="AE93" i="1"/>
  <c r="AD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N93" i="1"/>
  <c r="M93" i="1"/>
  <c r="L93" i="1"/>
  <c r="K93" i="1"/>
  <c r="J93" i="1"/>
  <c r="I93" i="1"/>
  <c r="H93" i="1"/>
  <c r="G93" i="1"/>
  <c r="F93" i="1"/>
  <c r="E93" i="1"/>
  <c r="D93" i="1"/>
  <c r="C93" i="1"/>
  <c r="B93" i="1"/>
  <c r="A93" i="1"/>
  <c r="AE92" i="1"/>
  <c r="AD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N92" i="1"/>
  <c r="M92" i="1"/>
  <c r="L92" i="1"/>
  <c r="K92" i="1"/>
  <c r="J92" i="1"/>
  <c r="I92" i="1"/>
  <c r="H92" i="1"/>
  <c r="G92" i="1"/>
  <c r="F92" i="1"/>
  <c r="E92" i="1"/>
  <c r="D92" i="1"/>
  <c r="C92" i="1"/>
  <c r="B92" i="1"/>
  <c r="A92" i="1"/>
  <c r="AE91" i="1"/>
  <c r="AD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N91" i="1"/>
  <c r="M91" i="1"/>
  <c r="L91" i="1"/>
  <c r="K91" i="1"/>
  <c r="J91" i="1"/>
  <c r="I91" i="1"/>
  <c r="H91" i="1"/>
  <c r="G91" i="1"/>
  <c r="F91" i="1"/>
  <c r="E91" i="1"/>
  <c r="D91" i="1"/>
  <c r="C91" i="1"/>
  <c r="B91" i="1"/>
  <c r="A91" i="1"/>
  <c r="AE90" i="1"/>
  <c r="AD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N90" i="1"/>
  <c r="M90" i="1"/>
  <c r="L90" i="1"/>
  <c r="K90" i="1"/>
  <c r="J90" i="1"/>
  <c r="I90" i="1"/>
  <c r="H90" i="1"/>
  <c r="G90" i="1"/>
  <c r="F90" i="1"/>
  <c r="E90" i="1"/>
  <c r="D90" i="1"/>
  <c r="C90" i="1"/>
  <c r="B90" i="1"/>
  <c r="A90" i="1"/>
  <c r="AE89" i="1"/>
  <c r="AD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N89" i="1"/>
  <c r="M89" i="1"/>
  <c r="L89" i="1"/>
  <c r="K89" i="1"/>
  <c r="J89" i="1"/>
  <c r="I89" i="1"/>
  <c r="H89" i="1"/>
  <c r="G89" i="1"/>
  <c r="F89" i="1"/>
  <c r="E89" i="1"/>
  <c r="D89" i="1"/>
  <c r="C89" i="1"/>
  <c r="B89" i="1"/>
  <c r="A89" i="1"/>
  <c r="AE88" i="1"/>
  <c r="AD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N88" i="1"/>
  <c r="M88" i="1"/>
  <c r="L88" i="1"/>
  <c r="K88" i="1"/>
  <c r="J88" i="1"/>
  <c r="I88" i="1"/>
  <c r="H88" i="1"/>
  <c r="G88" i="1"/>
  <c r="F88" i="1"/>
  <c r="E88" i="1"/>
  <c r="D88" i="1"/>
  <c r="C88" i="1"/>
  <c r="B88" i="1"/>
  <c r="A88" i="1"/>
  <c r="AE87" i="1"/>
  <c r="AD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N87" i="1"/>
  <c r="M87" i="1"/>
  <c r="L87" i="1"/>
  <c r="K87" i="1"/>
  <c r="J87" i="1"/>
  <c r="I87" i="1"/>
  <c r="H87" i="1"/>
  <c r="G87" i="1"/>
  <c r="F87" i="1"/>
  <c r="E87" i="1"/>
  <c r="D87" i="1"/>
  <c r="C87" i="1"/>
  <c r="B87" i="1"/>
  <c r="A87" i="1"/>
  <c r="AE86" i="1"/>
  <c r="AD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N86" i="1"/>
  <c r="M86" i="1"/>
  <c r="L86" i="1"/>
  <c r="K86" i="1"/>
  <c r="J86" i="1"/>
  <c r="I86" i="1"/>
  <c r="H86" i="1"/>
  <c r="G86" i="1"/>
  <c r="F86" i="1"/>
  <c r="E86" i="1"/>
  <c r="D86" i="1"/>
  <c r="C86" i="1"/>
  <c r="B86" i="1"/>
  <c r="A86" i="1"/>
  <c r="AE85" i="1"/>
  <c r="AD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N85" i="1"/>
  <c r="M85" i="1"/>
  <c r="L85" i="1"/>
  <c r="K85" i="1"/>
  <c r="J85" i="1"/>
  <c r="I85" i="1"/>
  <c r="H85" i="1"/>
  <c r="G85" i="1"/>
  <c r="F85" i="1"/>
  <c r="E85" i="1"/>
  <c r="D85" i="1"/>
  <c r="C85" i="1"/>
  <c r="B85" i="1"/>
  <c r="A85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I84" i="1"/>
  <c r="H84" i="1"/>
  <c r="G84" i="1"/>
  <c r="F84" i="1"/>
  <c r="E84" i="1"/>
  <c r="D84" i="1"/>
  <c r="C84" i="1"/>
  <c r="B84" i="1"/>
  <c r="A84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I83" i="1"/>
  <c r="H83" i="1"/>
  <c r="G83" i="1"/>
  <c r="F83" i="1"/>
  <c r="E83" i="1"/>
  <c r="D83" i="1"/>
  <c r="C83" i="1"/>
  <c r="B83" i="1"/>
  <c r="A83" i="1"/>
  <c r="AE82" i="1"/>
  <c r="AD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N82" i="1"/>
  <c r="M82" i="1"/>
  <c r="L82" i="1"/>
  <c r="K82" i="1"/>
  <c r="J82" i="1"/>
  <c r="I82" i="1"/>
  <c r="H82" i="1"/>
  <c r="G82" i="1"/>
  <c r="F82" i="1"/>
  <c r="E82" i="1"/>
  <c r="D82" i="1"/>
  <c r="C82" i="1"/>
  <c r="B82" i="1"/>
  <c r="A82" i="1"/>
  <c r="AE81" i="1"/>
  <c r="AD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N81" i="1"/>
  <c r="M81" i="1"/>
  <c r="L81" i="1"/>
  <c r="K81" i="1"/>
  <c r="J81" i="1"/>
  <c r="I81" i="1"/>
  <c r="H81" i="1"/>
  <c r="G81" i="1"/>
  <c r="F81" i="1"/>
  <c r="E81" i="1"/>
  <c r="D81" i="1"/>
  <c r="C81" i="1"/>
  <c r="B81" i="1"/>
  <c r="A81" i="1"/>
  <c r="AE80" i="1"/>
  <c r="AD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N80" i="1"/>
  <c r="M80" i="1"/>
  <c r="L80" i="1"/>
  <c r="K80" i="1"/>
  <c r="J80" i="1"/>
  <c r="I80" i="1"/>
  <c r="H80" i="1"/>
  <c r="G80" i="1"/>
  <c r="F80" i="1"/>
  <c r="E80" i="1"/>
  <c r="D80" i="1"/>
  <c r="C80" i="1"/>
  <c r="B80" i="1"/>
  <c r="A80" i="1"/>
  <c r="AE79" i="1"/>
  <c r="AD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N79" i="1"/>
  <c r="M79" i="1"/>
  <c r="L79" i="1"/>
  <c r="K79" i="1"/>
  <c r="J79" i="1"/>
  <c r="I79" i="1"/>
  <c r="H79" i="1"/>
  <c r="G79" i="1"/>
  <c r="F79" i="1"/>
  <c r="E79" i="1"/>
  <c r="D79" i="1"/>
  <c r="C79" i="1"/>
  <c r="B79" i="1"/>
  <c r="A79" i="1"/>
  <c r="AE78" i="1"/>
  <c r="AD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N78" i="1"/>
  <c r="M78" i="1"/>
  <c r="L78" i="1"/>
  <c r="K78" i="1"/>
  <c r="J78" i="1"/>
  <c r="I78" i="1"/>
  <c r="H78" i="1"/>
  <c r="G78" i="1"/>
  <c r="F78" i="1"/>
  <c r="E78" i="1"/>
  <c r="D78" i="1"/>
  <c r="C78" i="1"/>
  <c r="B78" i="1"/>
  <c r="A78" i="1"/>
  <c r="AE77" i="1"/>
  <c r="AD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N77" i="1"/>
  <c r="M77" i="1"/>
  <c r="L77" i="1"/>
  <c r="K77" i="1"/>
  <c r="J77" i="1"/>
  <c r="I77" i="1"/>
  <c r="H77" i="1"/>
  <c r="G77" i="1"/>
  <c r="F77" i="1"/>
  <c r="E77" i="1"/>
  <c r="D77" i="1"/>
  <c r="C77" i="1"/>
  <c r="B77" i="1"/>
  <c r="A77" i="1"/>
  <c r="AE76" i="1"/>
  <c r="AD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N76" i="1"/>
  <c r="M76" i="1"/>
  <c r="L76" i="1"/>
  <c r="K76" i="1"/>
  <c r="J76" i="1"/>
  <c r="I76" i="1"/>
  <c r="H76" i="1"/>
  <c r="G76" i="1"/>
  <c r="F76" i="1"/>
  <c r="E76" i="1"/>
  <c r="D76" i="1"/>
  <c r="C76" i="1"/>
  <c r="B76" i="1"/>
  <c r="A76" i="1"/>
  <c r="AE75" i="1"/>
  <c r="AD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N75" i="1"/>
  <c r="M75" i="1"/>
  <c r="L75" i="1"/>
  <c r="K75" i="1"/>
  <c r="J75" i="1"/>
  <c r="I75" i="1"/>
  <c r="H75" i="1"/>
  <c r="G75" i="1"/>
  <c r="F75" i="1"/>
  <c r="E75" i="1"/>
  <c r="D75" i="1"/>
  <c r="C75" i="1"/>
  <c r="B75" i="1"/>
  <c r="A75" i="1"/>
  <c r="AE74" i="1"/>
  <c r="AD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N74" i="1"/>
  <c r="M74" i="1"/>
  <c r="L74" i="1"/>
  <c r="K74" i="1"/>
  <c r="J74" i="1"/>
  <c r="I74" i="1"/>
  <c r="H74" i="1"/>
  <c r="G74" i="1"/>
  <c r="F74" i="1"/>
  <c r="E74" i="1"/>
  <c r="D74" i="1"/>
  <c r="C74" i="1"/>
  <c r="B74" i="1"/>
  <c r="A74" i="1"/>
  <c r="AE73" i="1"/>
  <c r="AD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N73" i="1"/>
  <c r="M73" i="1"/>
  <c r="L73" i="1"/>
  <c r="K73" i="1"/>
  <c r="J73" i="1"/>
  <c r="I73" i="1"/>
  <c r="H73" i="1"/>
  <c r="G73" i="1"/>
  <c r="F73" i="1"/>
  <c r="E73" i="1"/>
  <c r="D73" i="1"/>
  <c r="C73" i="1"/>
  <c r="B73" i="1"/>
  <c r="A73" i="1"/>
  <c r="AE72" i="1"/>
  <c r="AD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N72" i="1"/>
  <c r="M72" i="1"/>
  <c r="L72" i="1"/>
  <c r="K72" i="1"/>
  <c r="J72" i="1"/>
  <c r="I72" i="1"/>
  <c r="H72" i="1"/>
  <c r="G72" i="1"/>
  <c r="F72" i="1"/>
  <c r="E72" i="1"/>
  <c r="D72" i="1"/>
  <c r="C72" i="1"/>
  <c r="B72" i="1"/>
  <c r="A72" i="1"/>
  <c r="AE71" i="1"/>
  <c r="AD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N71" i="1"/>
  <c r="M71" i="1"/>
  <c r="L71" i="1"/>
  <c r="K71" i="1"/>
  <c r="J71" i="1"/>
  <c r="I71" i="1"/>
  <c r="H71" i="1"/>
  <c r="G71" i="1"/>
  <c r="F71" i="1"/>
  <c r="E71" i="1"/>
  <c r="D71" i="1"/>
  <c r="C71" i="1"/>
  <c r="B71" i="1"/>
  <c r="A71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N70" i="1"/>
  <c r="M70" i="1"/>
  <c r="L70" i="1"/>
  <c r="K70" i="1"/>
  <c r="J70" i="1"/>
  <c r="I70" i="1"/>
  <c r="H70" i="1"/>
  <c r="G70" i="1"/>
  <c r="F70" i="1"/>
  <c r="E70" i="1"/>
  <c r="D70" i="1"/>
  <c r="C70" i="1"/>
  <c r="B70" i="1"/>
  <c r="A70" i="1"/>
  <c r="AE69" i="1"/>
  <c r="AD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N69" i="1"/>
  <c r="M69" i="1"/>
  <c r="L69" i="1"/>
  <c r="K69" i="1"/>
  <c r="J69" i="1"/>
  <c r="I69" i="1"/>
  <c r="H69" i="1"/>
  <c r="G69" i="1"/>
  <c r="F69" i="1"/>
  <c r="E69" i="1"/>
  <c r="D69" i="1"/>
  <c r="C69" i="1"/>
  <c r="B69" i="1"/>
  <c r="A69" i="1"/>
  <c r="AE68" i="1"/>
  <c r="AD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N68" i="1"/>
  <c r="M68" i="1"/>
  <c r="L68" i="1"/>
  <c r="K68" i="1"/>
  <c r="J68" i="1"/>
  <c r="I68" i="1"/>
  <c r="H68" i="1"/>
  <c r="G68" i="1"/>
  <c r="F68" i="1"/>
  <c r="E68" i="1"/>
  <c r="D68" i="1"/>
  <c r="C68" i="1"/>
  <c r="B68" i="1"/>
  <c r="A68" i="1"/>
  <c r="AE67" i="1"/>
  <c r="AD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N67" i="1"/>
  <c r="M67" i="1"/>
  <c r="L67" i="1"/>
  <c r="K67" i="1"/>
  <c r="J67" i="1"/>
  <c r="I67" i="1"/>
  <c r="H67" i="1"/>
  <c r="G67" i="1"/>
  <c r="F67" i="1"/>
  <c r="E67" i="1"/>
  <c r="D67" i="1"/>
  <c r="C67" i="1"/>
  <c r="B67" i="1"/>
  <c r="A67" i="1"/>
  <c r="AE66" i="1"/>
  <c r="AD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N66" i="1"/>
  <c r="M66" i="1"/>
  <c r="L66" i="1"/>
  <c r="K66" i="1"/>
  <c r="J66" i="1"/>
  <c r="I66" i="1"/>
  <c r="H66" i="1"/>
  <c r="G66" i="1"/>
  <c r="F66" i="1"/>
  <c r="E66" i="1"/>
  <c r="D66" i="1"/>
  <c r="C66" i="1"/>
  <c r="B66" i="1"/>
  <c r="A66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N65" i="1"/>
  <c r="M65" i="1"/>
  <c r="L65" i="1"/>
  <c r="K65" i="1"/>
  <c r="J65" i="1"/>
  <c r="I65" i="1"/>
  <c r="H65" i="1"/>
  <c r="G65" i="1"/>
  <c r="F65" i="1"/>
  <c r="E65" i="1"/>
  <c r="D65" i="1"/>
  <c r="C65" i="1"/>
  <c r="B65" i="1"/>
  <c r="A65" i="1"/>
  <c r="AE64" i="1"/>
  <c r="AD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D64" i="1"/>
  <c r="C64" i="1"/>
  <c r="B64" i="1"/>
  <c r="A64" i="1"/>
  <c r="AE63" i="1"/>
  <c r="AD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E63" i="1"/>
  <c r="D63" i="1"/>
  <c r="C63" i="1"/>
  <c r="B63" i="1"/>
  <c r="A63" i="1"/>
  <c r="AE62" i="1"/>
  <c r="AD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N62" i="1"/>
  <c r="M62" i="1"/>
  <c r="L62" i="1"/>
  <c r="K62" i="1"/>
  <c r="J62" i="1"/>
  <c r="I62" i="1"/>
  <c r="H62" i="1"/>
  <c r="G62" i="1"/>
  <c r="F62" i="1"/>
  <c r="E62" i="1"/>
  <c r="D62" i="1"/>
  <c r="C62" i="1"/>
  <c r="B62" i="1"/>
  <c r="A62" i="1"/>
  <c r="AE61" i="1"/>
  <c r="AD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N61" i="1"/>
  <c r="M61" i="1"/>
  <c r="L61" i="1"/>
  <c r="K61" i="1"/>
  <c r="J61" i="1"/>
  <c r="I61" i="1"/>
  <c r="H61" i="1"/>
  <c r="G61" i="1"/>
  <c r="F61" i="1"/>
  <c r="E61" i="1"/>
  <c r="D61" i="1"/>
  <c r="C61" i="1"/>
  <c r="B61" i="1"/>
  <c r="A61" i="1"/>
  <c r="AE60" i="1"/>
  <c r="AD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N60" i="1"/>
  <c r="M60" i="1"/>
  <c r="L60" i="1"/>
  <c r="K60" i="1"/>
  <c r="J60" i="1"/>
  <c r="I60" i="1"/>
  <c r="H60" i="1"/>
  <c r="G60" i="1"/>
  <c r="F60" i="1"/>
  <c r="E60" i="1"/>
  <c r="D60" i="1"/>
  <c r="C60" i="1"/>
  <c r="B60" i="1"/>
  <c r="A60" i="1"/>
  <c r="AE59" i="1"/>
  <c r="AD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N59" i="1"/>
  <c r="M59" i="1"/>
  <c r="L59" i="1"/>
  <c r="K59" i="1"/>
  <c r="J59" i="1"/>
  <c r="I59" i="1"/>
  <c r="H59" i="1"/>
  <c r="G59" i="1"/>
  <c r="F59" i="1"/>
  <c r="E59" i="1"/>
  <c r="D59" i="1"/>
  <c r="C59" i="1"/>
  <c r="B59" i="1"/>
  <c r="A59" i="1"/>
  <c r="AE58" i="1"/>
  <c r="AD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F58" i="1"/>
  <c r="E58" i="1"/>
  <c r="D58" i="1"/>
  <c r="C58" i="1"/>
  <c r="B58" i="1"/>
  <c r="A58" i="1"/>
  <c r="AE57" i="1"/>
  <c r="AD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N57" i="1"/>
  <c r="M57" i="1"/>
  <c r="L57" i="1"/>
  <c r="K57" i="1"/>
  <c r="J57" i="1"/>
  <c r="I57" i="1"/>
  <c r="H57" i="1"/>
  <c r="G57" i="1"/>
  <c r="F57" i="1"/>
  <c r="E57" i="1"/>
  <c r="D57" i="1"/>
  <c r="C57" i="1"/>
  <c r="B57" i="1"/>
  <c r="A57" i="1"/>
  <c r="AE56" i="1"/>
  <c r="AD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N56" i="1"/>
  <c r="M56" i="1"/>
  <c r="L56" i="1"/>
  <c r="K56" i="1"/>
  <c r="J56" i="1"/>
  <c r="I56" i="1"/>
  <c r="H56" i="1"/>
  <c r="G56" i="1"/>
  <c r="F56" i="1"/>
  <c r="E56" i="1"/>
  <c r="D56" i="1"/>
  <c r="C56" i="1"/>
  <c r="B56" i="1"/>
  <c r="A56" i="1"/>
  <c r="AE55" i="1"/>
  <c r="AD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N55" i="1"/>
  <c r="M55" i="1"/>
  <c r="L55" i="1"/>
  <c r="K55" i="1"/>
  <c r="J55" i="1"/>
  <c r="I55" i="1"/>
  <c r="H55" i="1"/>
  <c r="G55" i="1"/>
  <c r="F55" i="1"/>
  <c r="E55" i="1"/>
  <c r="D55" i="1"/>
  <c r="C55" i="1"/>
  <c r="B55" i="1"/>
  <c r="A55" i="1"/>
  <c r="AE54" i="1"/>
  <c r="AD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I54" i="1"/>
  <c r="H54" i="1"/>
  <c r="G54" i="1"/>
  <c r="F54" i="1"/>
  <c r="E54" i="1"/>
  <c r="D54" i="1"/>
  <c r="C54" i="1"/>
  <c r="B54" i="1"/>
  <c r="A54" i="1"/>
  <c r="AE53" i="1"/>
  <c r="AD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N53" i="1"/>
  <c r="M53" i="1"/>
  <c r="L53" i="1"/>
  <c r="K53" i="1"/>
  <c r="J53" i="1"/>
  <c r="I53" i="1"/>
  <c r="H53" i="1"/>
  <c r="G53" i="1"/>
  <c r="F53" i="1"/>
  <c r="E53" i="1"/>
  <c r="D53" i="1"/>
  <c r="C53" i="1"/>
  <c r="B53" i="1"/>
  <c r="A53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B52" i="1"/>
  <c r="A52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B51" i="1"/>
  <c r="A51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B50" i="1"/>
  <c r="A50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B49" i="1"/>
  <c r="A49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B48" i="1"/>
  <c r="A48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B47" i="1"/>
  <c r="A47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B46" i="1"/>
  <c r="A46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B45" i="1"/>
  <c r="A45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B44" i="1"/>
  <c r="A44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B43" i="1"/>
  <c r="A43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B42" i="1"/>
  <c r="A42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B41" i="1"/>
  <c r="A41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B40" i="1"/>
  <c r="A40" i="1"/>
  <c r="AE39" i="1"/>
  <c r="AD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D39" i="1"/>
  <c r="C39" i="1"/>
  <c r="B39" i="1"/>
  <c r="A39" i="1"/>
  <c r="AE38" i="1"/>
  <c r="AD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I38" i="1"/>
  <c r="H38" i="1"/>
  <c r="G38" i="1"/>
  <c r="F38" i="1"/>
  <c r="E38" i="1"/>
  <c r="D38" i="1"/>
  <c r="C38" i="1"/>
  <c r="B38" i="1"/>
  <c r="A38" i="1"/>
  <c r="AE37" i="1"/>
  <c r="AD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N37" i="1"/>
  <c r="M37" i="1"/>
  <c r="L37" i="1"/>
  <c r="K37" i="1"/>
  <c r="J37" i="1"/>
  <c r="I37" i="1"/>
  <c r="H37" i="1"/>
  <c r="G37" i="1"/>
  <c r="F37" i="1"/>
  <c r="E37" i="1"/>
  <c r="D37" i="1"/>
  <c r="C37" i="1"/>
  <c r="B37" i="1"/>
  <c r="A37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B36" i="1"/>
  <c r="A36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B35" i="1"/>
  <c r="A35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34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33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32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31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30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B29" i="1"/>
  <c r="A29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B28" i="1"/>
  <c r="A28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B27" i="1"/>
  <c r="A27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B26" i="1"/>
  <c r="A26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B25" i="1"/>
  <c r="A25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B24" i="1"/>
  <c r="A24" i="1"/>
  <c r="AE23" i="1"/>
  <c r="AD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H23" i="1"/>
  <c r="G23" i="1"/>
  <c r="F23" i="1"/>
  <c r="E23" i="1"/>
  <c r="D23" i="1"/>
  <c r="C23" i="1"/>
  <c r="B23" i="1"/>
  <c r="A23" i="1"/>
  <c r="AE22" i="1"/>
  <c r="AD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N22" i="1"/>
  <c r="M22" i="1"/>
  <c r="L22" i="1"/>
  <c r="K22" i="1"/>
  <c r="J22" i="1"/>
  <c r="I22" i="1"/>
  <c r="H22" i="1"/>
  <c r="G22" i="1"/>
  <c r="F22" i="1"/>
  <c r="E22" i="1"/>
  <c r="D22" i="1"/>
  <c r="C22" i="1"/>
  <c r="B22" i="1"/>
  <c r="A22" i="1"/>
  <c r="AE21" i="1"/>
  <c r="AD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H21" i="1"/>
  <c r="G21" i="1"/>
  <c r="F21" i="1"/>
  <c r="E21" i="1"/>
  <c r="D21" i="1"/>
  <c r="C21" i="1"/>
  <c r="B21" i="1"/>
  <c r="A21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B20" i="1"/>
  <c r="A20" i="1"/>
  <c r="AE19" i="1"/>
  <c r="AD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B19" i="1"/>
  <c r="A19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B18" i="1"/>
  <c r="A18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B17" i="1"/>
  <c r="A17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B16" i="1"/>
  <c r="A16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B15" i="1"/>
  <c r="A15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B14" i="1"/>
  <c r="A14" i="1"/>
  <c r="AE13" i="1"/>
  <c r="AD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B13" i="1"/>
  <c r="A13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B12" i="1"/>
  <c r="A12" i="1"/>
  <c r="AE11" i="1"/>
  <c r="AD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B11" i="1"/>
  <c r="A11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10" i="1"/>
  <c r="A10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B9" i="1"/>
  <c r="A9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B8" i="1"/>
  <c r="A8" i="1"/>
  <c r="AE7" i="1"/>
  <c r="AD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N7" i="1"/>
  <c r="M7" i="1"/>
  <c r="L7" i="1"/>
  <c r="K7" i="1"/>
  <c r="J7" i="1"/>
  <c r="I7" i="1"/>
  <c r="H7" i="1"/>
  <c r="G7" i="1"/>
  <c r="F7" i="1"/>
  <c r="E7" i="1"/>
  <c r="D7" i="1"/>
  <c r="C7" i="1"/>
  <c r="B7" i="1"/>
  <c r="A7" i="1"/>
  <c r="AE6" i="1"/>
  <c r="AD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C6" i="1"/>
  <c r="B6" i="1"/>
  <c r="A6" i="1"/>
  <c r="AE5" i="1"/>
  <c r="AD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O5" i="1"/>
  <c r="N5" i="1"/>
  <c r="M5" i="1"/>
  <c r="L5" i="1"/>
  <c r="K5" i="1"/>
  <c r="J5" i="1"/>
  <c r="I5" i="1"/>
  <c r="H5" i="1"/>
  <c r="G5" i="1"/>
  <c r="F5" i="1"/>
  <c r="E5" i="1"/>
  <c r="D5" i="1"/>
  <c r="C5" i="1"/>
  <c r="B5" i="1"/>
  <c r="A5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  <c r="A4" i="1"/>
  <c r="AE3" i="1"/>
  <c r="AD3" i="1"/>
  <c r="AC3" i="1"/>
  <c r="AB3" i="1"/>
  <c r="AA3" i="1"/>
  <c r="Z3" i="1"/>
  <c r="Y3" i="1"/>
  <c r="X3" i="1"/>
  <c r="W3" i="1"/>
  <c r="V3" i="1"/>
  <c r="U3" i="1"/>
  <c r="T3" i="1"/>
  <c r="S3" i="1"/>
  <c r="R3" i="1"/>
  <c r="Q3" i="1"/>
  <c r="P3" i="1"/>
  <c r="O3" i="1"/>
  <c r="N3" i="1"/>
  <c r="M3" i="1"/>
  <c r="L3" i="1"/>
  <c r="K3" i="1"/>
  <c r="J3" i="1"/>
  <c r="I3" i="1"/>
  <c r="H3" i="1"/>
  <c r="G3" i="1"/>
  <c r="F3" i="1"/>
  <c r="E3" i="1"/>
  <c r="D3" i="1"/>
  <c r="C3" i="1"/>
  <c r="B3" i="1"/>
  <c r="A3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J2" i="1"/>
  <c r="I2" i="1"/>
  <c r="H2" i="1"/>
  <c r="G2" i="1"/>
  <c r="F2" i="1"/>
  <c r="E2" i="1"/>
  <c r="D2" i="1"/>
  <c r="C2" i="1"/>
  <c r="B2" i="1"/>
  <c r="A2" i="1"/>
  <c r="U491" i="1" l="1"/>
  <c r="T491" i="1"/>
  <c r="X491" i="1" l="1"/>
</calcChain>
</file>

<file path=xl/sharedStrings.xml><?xml version="1.0" encoding="utf-8"?>
<sst xmlns="http://schemas.openxmlformats.org/spreadsheetml/2006/main" count="31" uniqueCount="31">
  <si>
    <t>Descripción</t>
  </si>
  <si>
    <t xml:space="preserve">SKU </t>
  </si>
  <si>
    <t xml:space="preserve">Lote </t>
  </si>
  <si>
    <t xml:space="preserve">Nombre de Organización </t>
  </si>
  <si>
    <t>Destino</t>
  </si>
  <si>
    <t>Cantidad</t>
  </si>
  <si>
    <t>Pallets</t>
  </si>
  <si>
    <t xml:space="preserve">Fecha de proceso </t>
  </si>
  <si>
    <t>SEMANA</t>
  </si>
  <si>
    <t>FECHA CITA</t>
  </si>
  <si>
    <t>HORA CITA</t>
  </si>
  <si>
    <t>PREENFRIO</t>
  </si>
  <si>
    <t>DIAS TRANSITO</t>
  </si>
  <si>
    <t>HORAS TRANSITO</t>
  </si>
  <si>
    <t>FECHA RECEPCION</t>
  </si>
  <si>
    <t>HORA RECEPCION</t>
  </si>
  <si>
    <t>PRIORIDAD</t>
  </si>
  <si>
    <t>FECHA INGRESO AL PREENFRIO</t>
  </si>
  <si>
    <t>HORA INGRESO AL PREENFRIO</t>
  </si>
  <si>
    <t>HORAS DE CICLO</t>
  </si>
  <si>
    <t>FECHA DE DESPACHO PLAN</t>
  </si>
  <si>
    <t>FECHA DE DESPACHO REAL</t>
  </si>
  <si>
    <t>HORA DE DESPACHO REAL</t>
  </si>
  <si>
    <t>CUMPLIMIENTO PLAN</t>
  </si>
  <si>
    <t>CUMPLIMIENTO</t>
  </si>
  <si>
    <t>MOTIVO</t>
  </si>
  <si>
    <t>OBSERVACIONES</t>
  </si>
  <si>
    <t>LINEA FLETERA</t>
  </si>
  <si>
    <t>OPERADOR</t>
  </si>
  <si>
    <t>FOLIO DE DESPACHO</t>
  </si>
  <si>
    <t>TERMOGRAFO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</si>
</sst>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h:mm;@"/>
    <numFmt numFmtId="166" formatCode="[$-409]d\-m\-yy\ h:mm\ AM/PM;@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Display"/>
      <family val="2"/>
      <scheme val="major"/>
    </font>
    <font>
      <sz val="11"/>
      <name val="Aptos Narrow"/>
      <family val="2"/>
      <scheme val="minor"/>
    </font>
    <font>
      <sz val="16"/>
      <color theme="1"/>
      <name val="Arial Nova Cond Light"/>
      <family val="2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2" fillId="2" borderId="0" xfId="0" applyFont="1" applyFill="1" applyAlignment="1">
      <alignment horizontal="center" vertical="center"/>
    </xf>
    <xf numFmtId="164" fontId="2" fillId="2" borderId="0" xfId="1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 wrapText="1"/>
    </xf>
    <xf numFmtId="14" fontId="2" fillId="3" borderId="0" xfId="0" applyNumberFormat="1" applyFont="1" applyFill="1" applyAlignment="1">
      <alignment horizontal="center" vertical="center" wrapText="1"/>
    </xf>
    <xf numFmtId="164" fontId="2" fillId="4" borderId="0" xfId="1" applyNumberFormat="1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165" fontId="3" fillId="3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2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0" fillId="0" borderId="0" xfId="1" applyNumberFormat="1" applyFont="1" applyAlignment="1">
      <alignment horizontal="center" indent="2"/>
    </xf>
    <xf numFmtId="164" fontId="0" fillId="0" borderId="0" xfId="1" applyNumberFormat="1" applyFont="1" applyAlignment="1">
      <alignment horizontal="center" vertical="center"/>
    </xf>
    <xf numFmtId="14" fontId="0" fillId="0" borderId="0" xfId="0" applyNumberFormat="1"/>
    <xf numFmtId="14" fontId="0" fillId="0" borderId="0" xfId="0" applyNumberFormat="1" applyAlignment="1">
      <alignment horizontal="center"/>
    </xf>
    <xf numFmtId="20" fontId="5" fillId="0" borderId="0" xfId="0" applyNumberFormat="1" applyFont="1" applyAlignment="1">
      <alignment horizontal="center"/>
    </xf>
    <xf numFmtId="166" fontId="0" fillId="0" borderId="0" xfId="0" applyNumberFormat="1"/>
  </cellXfs>
  <cellStyles count="2">
    <cellStyle name="Millares" xfId="1" builtinId="3"/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 patternType="solid"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 patternType="solid"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4" tint="-0.499984740745262"/>
      </font>
      <fill>
        <patternFill patternType="solid"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08.%20Inventarios/Reporte%20de%20tiempo%20de%20preenfrios.xlsx" TargetMode="External"/><Relationship Id="rId2" Type="http://schemas.openxmlformats.org/officeDocument/2006/relationships/externalLinkPath" Target="https://chanitosfrutas.sharepoint.com/sites/04.Logstica/Documentos%20compartidos/General/Pre-enfr&#237;o/08.%20Inventarios/Reporte%20de%20tiempo%20de%20preenfrios.xlsx" TargetMode="External"/><Relationship Id="rId1" Type="http://schemas.openxmlformats.org/officeDocument/2006/relationships/externalLinkPath" Target="/sites/04.Logstica/Documentos%20compartidos/General/Pre-enfr&#237;o/08.%20Inventarios/Reporte%20de%20tiempo%20de%20preenfrio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CATALOGO"/>
      <sheetName val="P-GENERAL"/>
      <sheetName val="DIF"/>
    </sheetNames>
    <sheetDataSet>
      <sheetData sheetId="0" refreshError="1"/>
      <sheetData sheetId="1">
        <row r="2">
          <cell r="A2" t="str">
            <v>Chanitos Premium Tarima Chep</v>
          </cell>
          <cell r="B2" t="str">
            <v>CPR01102</v>
          </cell>
          <cell r="C2" t="str">
            <v>A01003-352508-1</v>
          </cell>
          <cell r="D2" t="str">
            <v>FN_CHI_DONA_NELLY</v>
          </cell>
          <cell r="E2" t="str">
            <v>Chalco</v>
          </cell>
          <cell r="F2">
            <v>606</v>
          </cell>
          <cell r="G2">
            <v>12.5</v>
          </cell>
          <cell r="H2">
            <v>46259</v>
          </cell>
          <cell r="I2">
            <v>35</v>
          </cell>
          <cell r="J2">
            <v>46263</v>
          </cell>
          <cell r="L2" t="str">
            <v>PREENFRIO NELLY</v>
          </cell>
          <cell r="M2">
            <v>1</v>
          </cell>
          <cell r="N2">
            <v>24</v>
          </cell>
          <cell r="O2">
            <v>46259</v>
          </cell>
          <cell r="P2">
            <v>0.74652777777777779</v>
          </cell>
          <cell r="Q2" t="str">
            <v>NORMAL</v>
          </cell>
          <cell r="R2">
            <v>46260</v>
          </cell>
          <cell r="S2">
            <v>0.95833333333333337</v>
          </cell>
          <cell r="T2">
            <v>0.35416666666666669</v>
          </cell>
          <cell r="U2">
            <v>46261.3125</v>
          </cell>
          <cell r="V2">
            <v>46261</v>
          </cell>
          <cell r="W2">
            <v>0.36249999999999999</v>
          </cell>
          <cell r="X2" t="str">
            <v>SI CUMPLE</v>
          </cell>
          <cell r="Y2" t="str">
            <v>SI CUMPLE</v>
          </cell>
          <cell r="AA2" t="str">
            <v>DESPACHADO</v>
          </cell>
          <cell r="AB2" t="str">
            <v>Refrig Carrillo</v>
          </cell>
          <cell r="AC2" t="str">
            <v>Jesus Fuentes Espinoza</v>
          </cell>
          <cell r="AD2">
            <v>81967</v>
          </cell>
        </row>
        <row r="3">
          <cell r="A3" t="str">
            <v>Chanitos Premium Tarima Chep</v>
          </cell>
          <cell r="B3" t="str">
            <v>CPR01102</v>
          </cell>
          <cell r="C3" t="str">
            <v>A01002-352508-1</v>
          </cell>
          <cell r="D3" t="str">
            <v>A01 002 Fortaleza</v>
          </cell>
          <cell r="E3" t="str">
            <v>SMO</v>
          </cell>
          <cell r="F3">
            <v>48</v>
          </cell>
          <cell r="G3">
            <v>1</v>
          </cell>
          <cell r="H3">
            <v>46259</v>
          </cell>
          <cell r="I3">
            <v>35</v>
          </cell>
          <cell r="J3">
            <v>46263</v>
          </cell>
          <cell r="K3">
            <v>0.33333333333333331</v>
          </cell>
          <cell r="L3" t="str">
            <v>PREENFRIO FORTALEZA</v>
          </cell>
          <cell r="M3">
            <v>1.5</v>
          </cell>
          <cell r="N3">
            <v>36</v>
          </cell>
          <cell r="O3">
            <v>46259</v>
          </cell>
          <cell r="P3">
            <v>0.72916666666666663</v>
          </cell>
          <cell r="Q3" t="str">
            <v>NORMAL</v>
          </cell>
          <cell r="R3">
            <v>46260</v>
          </cell>
          <cell r="S3">
            <v>0.93611111111111112</v>
          </cell>
          <cell r="T3">
            <v>0.625</v>
          </cell>
          <cell r="U3">
            <v>46261.561111111114</v>
          </cell>
          <cell r="V3">
            <v>46261</v>
          </cell>
          <cell r="W3">
            <v>0.94791666666666663</v>
          </cell>
          <cell r="X3" t="str">
            <v>SI CUMPLE</v>
          </cell>
          <cell r="Y3" t="str">
            <v>NO CUMPLE</v>
          </cell>
          <cell r="Z3" t="str">
            <v>POSICIONAMIENTO DE TRANSPORTE</v>
          </cell>
          <cell r="AA3" t="str">
            <v xml:space="preserve">Despachado </v>
          </cell>
          <cell r="AB3" t="str">
            <v>TRANSPORTES SANCHEZ</v>
          </cell>
          <cell r="AC3" t="str">
            <v>ABEL HERNANDEZ LOPEZ</v>
          </cell>
          <cell r="AD3">
            <v>42396</v>
          </cell>
          <cell r="AE3" t="str">
            <v>QCH1W03PG0</v>
          </cell>
        </row>
        <row r="4">
          <cell r="A4" t="str">
            <v>Chanitos Premium Tarima Chep</v>
          </cell>
          <cell r="B4" t="str">
            <v>CPR01102</v>
          </cell>
          <cell r="C4" t="str">
            <v>A11045-352508-1</v>
          </cell>
          <cell r="D4" t="str">
            <v>FN_CHI_MAZATAN</v>
          </cell>
          <cell r="E4" t="str">
            <v>Chalco</v>
          </cell>
          <cell r="F4">
            <v>336</v>
          </cell>
          <cell r="G4">
            <v>7</v>
          </cell>
          <cell r="H4">
            <v>46259</v>
          </cell>
          <cell r="I4">
            <v>35</v>
          </cell>
          <cell r="J4">
            <v>46263</v>
          </cell>
          <cell r="L4" t="str">
            <v>PREENFRIO NELLY</v>
          </cell>
          <cell r="M4">
            <v>1</v>
          </cell>
          <cell r="N4">
            <v>24</v>
          </cell>
          <cell r="O4">
            <v>46259</v>
          </cell>
          <cell r="P4">
            <v>0.4597222222222222</v>
          </cell>
          <cell r="Q4" t="str">
            <v>NORMAL</v>
          </cell>
          <cell r="R4">
            <v>46260</v>
          </cell>
          <cell r="S4">
            <v>0.95833333333333337</v>
          </cell>
          <cell r="T4">
            <v>0.35416666666666669</v>
          </cell>
          <cell r="U4">
            <v>46261.3125</v>
          </cell>
          <cell r="V4">
            <v>46261</v>
          </cell>
          <cell r="W4">
            <v>0.36249999999999999</v>
          </cell>
          <cell r="X4" t="str">
            <v>SI CUMPLE</v>
          </cell>
          <cell r="Y4" t="str">
            <v>SI CUMPLE</v>
          </cell>
          <cell r="AA4" t="str">
            <v>DESPACHADO</v>
          </cell>
          <cell r="AB4" t="str">
            <v>Refrig Carrillo</v>
          </cell>
          <cell r="AC4" t="str">
            <v>Jesus Fuentes Espinoza</v>
          </cell>
          <cell r="AD4">
            <v>81967</v>
          </cell>
        </row>
        <row r="5">
          <cell r="A5" t="str">
            <v>Chanitos Premium Tarima Americana</v>
          </cell>
          <cell r="B5" t="str">
            <v>CPR01103</v>
          </cell>
          <cell r="C5" t="str">
            <v>A11045-352508-1</v>
          </cell>
          <cell r="D5" t="str">
            <v>A11 045 Sector Mazatan</v>
          </cell>
          <cell r="E5" t="str">
            <v>Ciudad Juarez</v>
          </cell>
          <cell r="F5">
            <v>960</v>
          </cell>
          <cell r="G5">
            <v>20</v>
          </cell>
          <cell r="H5">
            <v>46259</v>
          </cell>
          <cell r="I5">
            <v>35</v>
          </cell>
          <cell r="J5">
            <v>46266</v>
          </cell>
          <cell r="K5">
            <v>0.25</v>
          </cell>
          <cell r="L5" t="str">
            <v>PREENFRIO NELLY</v>
          </cell>
          <cell r="M5">
            <v>4</v>
          </cell>
          <cell r="N5">
            <v>96</v>
          </cell>
          <cell r="O5">
            <v>46259</v>
          </cell>
          <cell r="P5">
            <v>0.8125</v>
          </cell>
          <cell r="Q5" t="str">
            <v>ALTA</v>
          </cell>
          <cell r="R5">
            <v>46261</v>
          </cell>
          <cell r="S5">
            <v>0.37083333333333335</v>
          </cell>
          <cell r="T5">
            <v>0.4375</v>
          </cell>
          <cell r="U5">
            <v>46261.808333333334</v>
          </cell>
          <cell r="V5">
            <v>46261</v>
          </cell>
          <cell r="W5">
            <v>0.79236111111111107</v>
          </cell>
          <cell r="X5" t="str">
            <v>SI CUMPLE</v>
          </cell>
          <cell r="Y5" t="str">
            <v>SI CUMPLE</v>
          </cell>
          <cell r="AA5" t="str">
            <v>DESPACHADO</v>
          </cell>
          <cell r="AB5" t="str">
            <v>EXPRESS SEGOVIA</v>
          </cell>
          <cell r="AC5" t="str">
            <v>Juan Morales</v>
          </cell>
          <cell r="AD5">
            <v>44046</v>
          </cell>
        </row>
        <row r="6">
          <cell r="A6" t="str">
            <v>Chanitos Premium Tarima Chep</v>
          </cell>
          <cell r="B6" t="str">
            <v>CPR01102</v>
          </cell>
          <cell r="C6" t="str">
            <v>A01002-352608-1</v>
          </cell>
          <cell r="D6" t="str">
            <v>A01 002 Fortaleza</v>
          </cell>
          <cell r="E6" t="str">
            <v>SMO</v>
          </cell>
          <cell r="F6">
            <v>1104</v>
          </cell>
          <cell r="G6">
            <v>23</v>
          </cell>
          <cell r="H6">
            <v>46260</v>
          </cell>
          <cell r="I6">
            <v>35</v>
          </cell>
          <cell r="J6">
            <v>46263</v>
          </cell>
          <cell r="K6">
            <v>0.33333333333333331</v>
          </cell>
          <cell r="L6" t="str">
            <v>PREENFRIO FORTALEZA</v>
          </cell>
          <cell r="M6">
            <v>1.5</v>
          </cell>
          <cell r="N6">
            <v>36</v>
          </cell>
          <cell r="O6">
            <v>46259</v>
          </cell>
          <cell r="P6">
            <v>0.72916666666666663</v>
          </cell>
          <cell r="Q6" t="str">
            <v>NORMAL</v>
          </cell>
          <cell r="R6">
            <v>46260</v>
          </cell>
          <cell r="S6">
            <v>0.93611111111111112</v>
          </cell>
          <cell r="T6">
            <v>0.625</v>
          </cell>
          <cell r="U6">
            <v>46261.561111111114</v>
          </cell>
          <cell r="V6">
            <v>46261</v>
          </cell>
          <cell r="W6">
            <v>0.94791666666666663</v>
          </cell>
          <cell r="X6" t="str">
            <v>SI CUMPLE</v>
          </cell>
          <cell r="Y6" t="str">
            <v>NO CUMPLE</v>
          </cell>
          <cell r="Z6" t="str">
            <v>POSICIONAMIENTO DE TRANSPORTE</v>
          </cell>
          <cell r="AA6" t="str">
            <v xml:space="preserve">Despachado </v>
          </cell>
          <cell r="AB6" t="str">
            <v>TRANSPORTES SANCHEZ</v>
          </cell>
          <cell r="AC6" t="str">
            <v>ABEL HERNANDEZ LOPEZ</v>
          </cell>
          <cell r="AD6">
            <v>42396</v>
          </cell>
          <cell r="AE6" t="str">
            <v>QCH1W03PG0</v>
          </cell>
        </row>
        <row r="7">
          <cell r="A7" t="str">
            <v>Chanitos Organic Banded Market Side Mexico</v>
          </cell>
          <cell r="B7" t="str">
            <v>CRG07128</v>
          </cell>
          <cell r="C7" t="str">
            <v>A01003-352608-1</v>
          </cell>
          <cell r="D7" t="str">
            <v>A01 003 Doña Nelly</v>
          </cell>
          <cell r="E7" t="str">
            <v>VSA</v>
          </cell>
          <cell r="F7">
            <v>240</v>
          </cell>
          <cell r="G7">
            <v>5</v>
          </cell>
          <cell r="H7">
            <v>46260</v>
          </cell>
          <cell r="I7">
            <v>35</v>
          </cell>
          <cell r="J7">
            <v>46263</v>
          </cell>
          <cell r="K7">
            <v>0.25</v>
          </cell>
          <cell r="L7" t="str">
            <v>PREENFRIO NELLY</v>
          </cell>
          <cell r="M7">
            <v>1</v>
          </cell>
          <cell r="N7">
            <v>24</v>
          </cell>
          <cell r="O7">
            <v>46260</v>
          </cell>
          <cell r="P7">
            <v>0.74652777777777779</v>
          </cell>
          <cell r="Q7" t="str">
            <v>ALTA</v>
          </cell>
          <cell r="R7">
            <v>46261</v>
          </cell>
          <cell r="S7">
            <v>0.61388888888888893</v>
          </cell>
          <cell r="T7">
            <v>0.35416666666666669</v>
          </cell>
          <cell r="U7">
            <v>46261.968055555553</v>
          </cell>
          <cell r="V7">
            <v>46262</v>
          </cell>
          <cell r="W7">
            <v>0.1736111111111111</v>
          </cell>
          <cell r="X7" t="str">
            <v>SI CUMPLE</v>
          </cell>
          <cell r="Y7" t="str">
            <v>NO CUMPLE</v>
          </cell>
          <cell r="AA7" t="str">
            <v>DESPACHADO</v>
          </cell>
          <cell r="AB7" t="str">
            <v>3M</v>
          </cell>
          <cell r="AC7" t="str">
            <v>Angel Cordoba Segura</v>
          </cell>
          <cell r="AD7">
            <v>82230</v>
          </cell>
        </row>
        <row r="8">
          <cell r="A8" t="str">
            <v>Chanitos Premium Tarima Chep</v>
          </cell>
          <cell r="B8" t="str">
            <v>CPR01102</v>
          </cell>
          <cell r="C8" t="str">
            <v>A01003-352608-1</v>
          </cell>
          <cell r="D8" t="str">
            <v>A01 003 Doña Nelly</v>
          </cell>
          <cell r="E8" t="str">
            <v>VSA</v>
          </cell>
          <cell r="F8">
            <v>912</v>
          </cell>
          <cell r="G8">
            <v>19</v>
          </cell>
          <cell r="H8">
            <v>46260</v>
          </cell>
          <cell r="I8">
            <v>35</v>
          </cell>
          <cell r="J8">
            <v>46263</v>
          </cell>
          <cell r="K8">
            <v>0.25</v>
          </cell>
          <cell r="L8" t="str">
            <v>PREENFRIO NELLY</v>
          </cell>
          <cell r="M8">
            <v>1</v>
          </cell>
          <cell r="N8">
            <v>24</v>
          </cell>
          <cell r="O8">
            <v>46260</v>
          </cell>
          <cell r="P8">
            <v>0.74652777777777779</v>
          </cell>
          <cell r="Q8" t="str">
            <v>ALTA</v>
          </cell>
          <cell r="R8">
            <v>46261</v>
          </cell>
          <cell r="S8">
            <v>0.80208333333333337</v>
          </cell>
          <cell r="T8">
            <v>0.35416666666666669</v>
          </cell>
          <cell r="U8">
            <v>46262.15625</v>
          </cell>
          <cell r="V8">
            <v>46262</v>
          </cell>
          <cell r="W8">
            <v>0.1736111111111111</v>
          </cell>
          <cell r="X8" t="str">
            <v>SI CUMPLE</v>
          </cell>
          <cell r="Y8" t="str">
            <v>NO CUMPLE</v>
          </cell>
          <cell r="AA8" t="str">
            <v>DESPACHADO</v>
          </cell>
          <cell r="AB8" t="str">
            <v>3M</v>
          </cell>
          <cell r="AC8" t="str">
            <v>Angel Cordoba Segura</v>
          </cell>
          <cell r="AD8">
            <v>82230</v>
          </cell>
        </row>
        <row r="9">
          <cell r="A9" t="str">
            <v>Platano de Chiapas BAE UPC 3237</v>
          </cell>
          <cell r="B9" t="str">
            <v>CPR01114</v>
          </cell>
          <cell r="C9" t="str">
            <v>A01001-352608-1</v>
          </cell>
          <cell r="D9" t="str">
            <v>A01 001 Marbella</v>
          </cell>
          <cell r="E9" t="str">
            <v>MTY</v>
          </cell>
          <cell r="F9">
            <v>5</v>
          </cell>
          <cell r="G9">
            <v>0</v>
          </cell>
          <cell r="H9">
            <v>46260</v>
          </cell>
          <cell r="I9">
            <v>35</v>
          </cell>
          <cell r="J9">
            <v>46264</v>
          </cell>
          <cell r="K9">
            <v>0.41666666666666669</v>
          </cell>
          <cell r="L9" t="str">
            <v>PREENFRIO FORTALEZA</v>
          </cell>
          <cell r="M9">
            <v>2.5</v>
          </cell>
          <cell r="N9">
            <v>60</v>
          </cell>
          <cell r="O9">
            <v>46260</v>
          </cell>
          <cell r="P9">
            <v>0.83333333333333337</v>
          </cell>
          <cell r="Q9" t="str">
            <v>ALTA</v>
          </cell>
          <cell r="R9">
            <v>46261</v>
          </cell>
          <cell r="S9">
            <v>0.57847222222222228</v>
          </cell>
          <cell r="T9">
            <v>0.625</v>
          </cell>
          <cell r="U9">
            <v>46262.203472222223</v>
          </cell>
          <cell r="V9">
            <v>46262</v>
          </cell>
          <cell r="W9">
            <v>0.30902777777777779</v>
          </cell>
          <cell r="X9" t="str">
            <v>NO CUMPLE</v>
          </cell>
          <cell r="Y9" t="str">
            <v>NO CUMPLE</v>
          </cell>
          <cell r="Z9" t="str">
            <v>VOLUMEN / CAPACIDAD INSTALADA</v>
          </cell>
          <cell r="AA9" t="str">
            <v xml:space="preserve">Despachado </v>
          </cell>
          <cell r="AB9" t="str">
            <v>EXPRESS CAVAZOS CANTU</v>
          </cell>
          <cell r="AC9" t="str">
            <v>SANTOS DE LA CRUZ CRUZ</v>
          </cell>
          <cell r="AD9">
            <v>60993</v>
          </cell>
          <cell r="AE9" t="str">
            <v>QCH1W03NR0</v>
          </cell>
        </row>
        <row r="10">
          <cell r="A10" t="str">
            <v>Chanitos Premium Tarima Chep</v>
          </cell>
          <cell r="B10" t="str">
            <v>CPR01102</v>
          </cell>
          <cell r="C10" t="str">
            <v>A01001-352608-1</v>
          </cell>
          <cell r="D10" t="str">
            <v>A01 001 Marbella</v>
          </cell>
          <cell r="E10" t="str">
            <v>MTY</v>
          </cell>
          <cell r="F10">
            <v>1147</v>
          </cell>
          <cell r="G10">
            <v>24</v>
          </cell>
          <cell r="H10">
            <v>46260</v>
          </cell>
          <cell r="I10">
            <v>35</v>
          </cell>
          <cell r="J10">
            <v>46264</v>
          </cell>
          <cell r="K10">
            <v>0.41666666666666669</v>
          </cell>
          <cell r="L10" t="str">
            <v>PREENFRIO FORTALEZA</v>
          </cell>
          <cell r="M10">
            <v>2.5</v>
          </cell>
          <cell r="N10">
            <v>60</v>
          </cell>
          <cell r="O10">
            <v>46260</v>
          </cell>
          <cell r="P10">
            <v>0.83333333333333337</v>
          </cell>
          <cell r="Q10" t="str">
            <v>ALTA</v>
          </cell>
          <cell r="R10">
            <v>46261</v>
          </cell>
          <cell r="S10">
            <v>0.57847222222222228</v>
          </cell>
          <cell r="T10">
            <v>0.625</v>
          </cell>
          <cell r="U10">
            <v>46262.203472222223</v>
          </cell>
          <cell r="V10">
            <v>46262</v>
          </cell>
          <cell r="W10">
            <v>0.30902777777777779</v>
          </cell>
          <cell r="X10" t="str">
            <v>NO CUMPLE</v>
          </cell>
          <cell r="Y10" t="str">
            <v>NO CUMPLE</v>
          </cell>
          <cell r="Z10" t="str">
            <v>VOLUMEN / CAPACIDAD INSTALADA</v>
          </cell>
          <cell r="AA10" t="str">
            <v xml:space="preserve">Despachado </v>
          </cell>
          <cell r="AB10" t="str">
            <v>EXPRESS CAVAZOS CANTU</v>
          </cell>
          <cell r="AC10" t="str">
            <v>SANTOS DE LA CRUZ CRUZ</v>
          </cell>
          <cell r="AD10">
            <v>60993</v>
          </cell>
          <cell r="AE10" t="str">
            <v>QCH1W03NR0</v>
          </cell>
        </row>
        <row r="11">
          <cell r="A11" t="str">
            <v>Chanitos Premium Tarima Chep</v>
          </cell>
          <cell r="B11" t="str">
            <v>CPR01102</v>
          </cell>
          <cell r="C11" t="str">
            <v>A05040-352608-1</v>
          </cell>
          <cell r="D11" t="str">
            <v xml:space="preserve">A05 Plataneros Unidos </v>
          </cell>
          <cell r="E11" t="str">
            <v>SMO</v>
          </cell>
          <cell r="F11">
            <v>1152</v>
          </cell>
          <cell r="G11">
            <v>24</v>
          </cell>
          <cell r="H11">
            <v>46260</v>
          </cell>
          <cell r="I11">
            <v>35</v>
          </cell>
          <cell r="J11">
            <v>46264</v>
          </cell>
          <cell r="K11">
            <v>0.33333333333333331</v>
          </cell>
          <cell r="L11" t="str">
            <v>PREENFRIO NELLY</v>
          </cell>
          <cell r="M11">
            <v>1.5</v>
          </cell>
          <cell r="N11">
            <v>36</v>
          </cell>
          <cell r="O11">
            <v>46260</v>
          </cell>
          <cell r="P11">
            <v>0.91249999999999998</v>
          </cell>
          <cell r="Q11" t="str">
            <v>ALTA</v>
          </cell>
          <cell r="R11">
            <v>46262</v>
          </cell>
          <cell r="S11">
            <v>8.3333333333333329E-2</v>
          </cell>
          <cell r="T11">
            <v>0.35416666666666669</v>
          </cell>
          <cell r="U11">
            <v>46262.4375</v>
          </cell>
          <cell r="V11">
            <v>46262</v>
          </cell>
          <cell r="W11">
            <v>0.5625</v>
          </cell>
          <cell r="X11" t="str">
            <v>SI CUMPLE</v>
          </cell>
          <cell r="Y11" t="str">
            <v>NO CUMPLE</v>
          </cell>
          <cell r="AA11" t="str">
            <v>DESPACHADO</v>
          </cell>
          <cell r="AB11" t="str">
            <v>Transp. Llaneros del sur</v>
          </cell>
          <cell r="AC11" t="str">
            <v>Mauro Rosales Rojas</v>
          </cell>
          <cell r="AD11">
            <v>49718</v>
          </cell>
          <cell r="AE11" t="str">
            <v>QCH1W03N50</v>
          </cell>
        </row>
        <row r="12">
          <cell r="A12" t="str">
            <v>Chanitos Premium Tarima Chep</v>
          </cell>
          <cell r="B12" t="str">
            <v>CPR01102</v>
          </cell>
          <cell r="C12" t="str">
            <v>A01003-352608-1</v>
          </cell>
          <cell r="D12" t="str">
            <v>A01 003 Doña Nelly</v>
          </cell>
          <cell r="E12" t="str">
            <v>Chalco</v>
          </cell>
          <cell r="F12">
            <v>444</v>
          </cell>
          <cell r="G12">
            <v>9.25</v>
          </cell>
          <cell r="H12">
            <v>46260</v>
          </cell>
          <cell r="I12">
            <v>35</v>
          </cell>
          <cell r="J12">
            <v>46265</v>
          </cell>
          <cell r="L12" t="str">
            <v>PREENFRIO NELLY</v>
          </cell>
          <cell r="M12">
            <v>1</v>
          </cell>
          <cell r="N12">
            <v>24</v>
          </cell>
          <cell r="O12">
            <v>46260</v>
          </cell>
          <cell r="P12">
            <v>0.74652777777777779</v>
          </cell>
          <cell r="Q12" t="str">
            <v>ALTA</v>
          </cell>
          <cell r="R12">
            <v>46262</v>
          </cell>
          <cell r="S12">
            <v>0.38541666666666669</v>
          </cell>
          <cell r="T12">
            <v>0.35416666666666669</v>
          </cell>
          <cell r="U12">
            <v>46262.739583333328</v>
          </cell>
          <cell r="V12">
            <v>46263</v>
          </cell>
          <cell r="W12">
            <v>0.90833333333333333</v>
          </cell>
          <cell r="X12" t="str">
            <v>SI CUMPLE</v>
          </cell>
          <cell r="Y12" t="str">
            <v>SI CUMPLE</v>
          </cell>
          <cell r="AA12" t="str">
            <v>DESPACHADO</v>
          </cell>
          <cell r="AB12" t="str">
            <v>GUILLERMO PEREZ PEREZ</v>
          </cell>
          <cell r="AC12" t="str">
            <v>ERICK RUBEN SANCHEZ</v>
          </cell>
          <cell r="AD12">
            <v>21867</v>
          </cell>
        </row>
        <row r="13">
          <cell r="A13" t="str">
            <v>Platano de Chiapas BAE UPC 3237</v>
          </cell>
          <cell r="B13" t="str">
            <v>CPR01114</v>
          </cell>
          <cell r="C13" t="str">
            <v>A01003-352608-1</v>
          </cell>
          <cell r="D13" t="str">
            <v>A01 003 Doña Nelly</v>
          </cell>
          <cell r="E13" t="str">
            <v>Chalco</v>
          </cell>
          <cell r="F13">
            <v>84</v>
          </cell>
          <cell r="G13">
            <v>1.75</v>
          </cell>
          <cell r="H13">
            <v>46260</v>
          </cell>
          <cell r="I13">
            <v>35</v>
          </cell>
          <cell r="J13">
            <v>46265</v>
          </cell>
          <cell r="L13" t="str">
            <v>PREENFRIO NELLY</v>
          </cell>
          <cell r="M13">
            <v>1</v>
          </cell>
          <cell r="N13">
            <v>24</v>
          </cell>
          <cell r="O13">
            <v>46260</v>
          </cell>
          <cell r="P13">
            <v>0.74652777777777779</v>
          </cell>
          <cell r="Q13" t="str">
            <v>ALTA</v>
          </cell>
          <cell r="R13">
            <v>46262</v>
          </cell>
          <cell r="S13">
            <v>0.54166666666666663</v>
          </cell>
          <cell r="T13">
            <v>0.35416666666666669</v>
          </cell>
          <cell r="U13">
            <v>46262.895833333328</v>
          </cell>
          <cell r="V13">
            <v>46263</v>
          </cell>
          <cell r="W13">
            <v>0.90833333333333333</v>
          </cell>
          <cell r="X13" t="str">
            <v>SI CUMPLE</v>
          </cell>
          <cell r="Y13" t="str">
            <v>SI CUMPLE</v>
          </cell>
          <cell r="AA13" t="str">
            <v>DESPACHADO</v>
          </cell>
          <cell r="AB13" t="str">
            <v>GUILLERMO PEREZ PEREZ</v>
          </cell>
          <cell r="AC13" t="str">
            <v>ERICK RUBEN SANCHEZ</v>
          </cell>
          <cell r="AD13">
            <v>21867</v>
          </cell>
        </row>
        <row r="14">
          <cell r="A14" t="str">
            <v>Chanitos Premium EUA Tarima Americana</v>
          </cell>
          <cell r="B14" t="str">
            <v>CPR01104</v>
          </cell>
          <cell r="C14" t="str">
            <v>A04084-352708-1</v>
          </cell>
          <cell r="D14" t="str">
            <v>A04 084 Lisboa</v>
          </cell>
          <cell r="E14" t="str">
            <v>McAllen</v>
          </cell>
          <cell r="F14">
            <v>960</v>
          </cell>
          <cell r="G14">
            <v>20</v>
          </cell>
          <cell r="H14">
            <v>46261</v>
          </cell>
          <cell r="I14">
            <v>35</v>
          </cell>
          <cell r="J14">
            <v>46265</v>
          </cell>
          <cell r="L14" t="str">
            <v>DIRECTO SIN PREENFRIO</v>
          </cell>
          <cell r="M14">
            <v>3</v>
          </cell>
          <cell r="N14">
            <v>72</v>
          </cell>
          <cell r="T14" t="str">
            <v>N/A</v>
          </cell>
          <cell r="U14" t="str">
            <v/>
          </cell>
          <cell r="V14">
            <v>46262</v>
          </cell>
          <cell r="W14">
            <v>0.78472222222222221</v>
          </cell>
          <cell r="X14" t="str">
            <v/>
          </cell>
          <cell r="Y14" t="str">
            <v>NO CUMPLE</v>
          </cell>
          <cell r="AA14" t="str">
            <v>DESPACHADO</v>
          </cell>
          <cell r="AB14" t="str">
            <v>SEGOVIA</v>
          </cell>
          <cell r="AC14" t="str">
            <v>Ignacio Martinez Gonzales</v>
          </cell>
          <cell r="AD14">
            <v>35742</v>
          </cell>
        </row>
        <row r="15">
          <cell r="A15" t="str">
            <v>Chanitos Premium Tarima Chep</v>
          </cell>
          <cell r="B15" t="str">
            <v>CPR01102</v>
          </cell>
          <cell r="C15" t="str">
            <v>A01002-352708-1</v>
          </cell>
          <cell r="D15" t="str">
            <v>A01 002 Fortaleza</v>
          </cell>
          <cell r="E15" t="str">
            <v>Chalco</v>
          </cell>
          <cell r="F15">
            <v>768</v>
          </cell>
          <cell r="G15">
            <v>16</v>
          </cell>
          <cell r="H15">
            <v>46261</v>
          </cell>
          <cell r="I15">
            <v>35</v>
          </cell>
          <cell r="J15">
            <v>46265</v>
          </cell>
          <cell r="K15">
            <v>0.375</v>
          </cell>
          <cell r="L15" t="str">
            <v>PREENFRIO FORTALEZA</v>
          </cell>
          <cell r="M15">
            <v>1</v>
          </cell>
          <cell r="N15">
            <v>24</v>
          </cell>
          <cell r="O15">
            <v>46261</v>
          </cell>
          <cell r="P15">
            <v>0.70833333333333337</v>
          </cell>
          <cell r="Q15" t="str">
            <v>ALTA</v>
          </cell>
          <cell r="R15">
            <v>46263</v>
          </cell>
          <cell r="S15">
            <v>0.18958333333333333</v>
          </cell>
          <cell r="T15">
            <v>0.41666666666666669</v>
          </cell>
          <cell r="U15">
            <v>46263.606249999997</v>
          </cell>
          <cell r="V15">
            <v>46263</v>
          </cell>
          <cell r="W15">
            <v>0.61250000000000004</v>
          </cell>
          <cell r="X15" t="str">
            <v>SI CUMPLE</v>
          </cell>
          <cell r="Y15" t="str">
            <v>SI CUMPLE</v>
          </cell>
          <cell r="AA15" t="str">
            <v>DESPACHADO</v>
          </cell>
          <cell r="AB15" t="str">
            <v>GUILLERMO PEREZ PEREZ</v>
          </cell>
          <cell r="AC15" t="str">
            <v>ERICK RUBEN SANCHEZ</v>
          </cell>
          <cell r="AD15">
            <v>50184</v>
          </cell>
          <cell r="AE15" t="str">
            <v>QCH1W03SY0</v>
          </cell>
        </row>
        <row r="16">
          <cell r="A16" t="str">
            <v>Platano de Chiapas BAE UPC 3237</v>
          </cell>
          <cell r="B16" t="str">
            <v>CPR01114</v>
          </cell>
          <cell r="C16" t="str">
            <v>A01002-352708-1</v>
          </cell>
          <cell r="D16" t="str">
            <v>A01 002 Fortaleza</v>
          </cell>
          <cell r="E16" t="str">
            <v>MTY</v>
          </cell>
          <cell r="F16">
            <v>5</v>
          </cell>
          <cell r="G16">
            <v>0.10416666666666667</v>
          </cell>
          <cell r="H16">
            <v>46261</v>
          </cell>
          <cell r="I16">
            <v>35</v>
          </cell>
          <cell r="J16">
            <v>46265</v>
          </cell>
          <cell r="K16">
            <v>0.41666666666666669</v>
          </cell>
          <cell r="L16" t="str">
            <v>PREENFRIO FORTALEZA</v>
          </cell>
          <cell r="M16">
            <v>2.5</v>
          </cell>
          <cell r="N16">
            <v>60</v>
          </cell>
          <cell r="O16">
            <v>46261</v>
          </cell>
          <cell r="P16">
            <v>0.70833333333333337</v>
          </cell>
          <cell r="Q16" t="str">
            <v>ALTA</v>
          </cell>
          <cell r="R16">
            <v>46262</v>
          </cell>
          <cell r="S16">
            <v>0.25416666666666665</v>
          </cell>
          <cell r="T16">
            <v>0.625</v>
          </cell>
          <cell r="U16">
            <v>46262.879166666666</v>
          </cell>
          <cell r="V16">
            <v>46262</v>
          </cell>
          <cell r="W16">
            <v>0.97916666666666663</v>
          </cell>
          <cell r="X16" t="str">
            <v>SI CUMPLE</v>
          </cell>
          <cell r="Y16" t="str">
            <v>NO CUMPLE</v>
          </cell>
          <cell r="AA16" t="str">
            <v>DESPACHADO</v>
          </cell>
          <cell r="AB16" t="str">
            <v>TRANSPORTE TOMATITOS</v>
          </cell>
          <cell r="AC16" t="str">
            <v>Jose Martin Tamez Abad</v>
          </cell>
          <cell r="AD16">
            <v>11530</v>
          </cell>
          <cell r="AE16" t="str">
            <v>QCH1W032N0</v>
          </cell>
        </row>
        <row r="17">
          <cell r="A17" t="str">
            <v>Chanitos Premium Tarima Chep</v>
          </cell>
          <cell r="B17" t="str">
            <v>CPR01102</v>
          </cell>
          <cell r="C17" t="str">
            <v>A01002-352708-1</v>
          </cell>
          <cell r="D17" t="str">
            <v>A01 002 Fortaleza</v>
          </cell>
          <cell r="E17" t="str">
            <v>MTY</v>
          </cell>
          <cell r="F17">
            <v>91</v>
          </cell>
          <cell r="G17">
            <v>2</v>
          </cell>
          <cell r="H17">
            <v>46261</v>
          </cell>
          <cell r="I17">
            <v>35</v>
          </cell>
          <cell r="J17">
            <v>46265</v>
          </cell>
          <cell r="K17">
            <v>0.41666666666666669</v>
          </cell>
          <cell r="L17" t="str">
            <v>PREENFRIO FORTALEZA</v>
          </cell>
          <cell r="M17">
            <v>2.5</v>
          </cell>
          <cell r="N17">
            <v>60</v>
          </cell>
          <cell r="O17">
            <v>46261</v>
          </cell>
          <cell r="P17">
            <v>0.70833333333333337</v>
          </cell>
          <cell r="Q17" t="str">
            <v>ALTA</v>
          </cell>
          <cell r="R17">
            <v>46262</v>
          </cell>
          <cell r="S17">
            <v>0.25416666666666665</v>
          </cell>
          <cell r="T17">
            <v>0.625</v>
          </cell>
          <cell r="U17">
            <v>46262.879166666666</v>
          </cell>
          <cell r="V17">
            <v>46262</v>
          </cell>
          <cell r="W17">
            <v>0.97916666666666663</v>
          </cell>
          <cell r="X17" t="str">
            <v>SI CUMPLE</v>
          </cell>
          <cell r="Y17" t="str">
            <v>NO CUMPLE</v>
          </cell>
          <cell r="AA17" t="str">
            <v>DESPACHADO</v>
          </cell>
          <cell r="AB17" t="str">
            <v>TRANSPORTE TOMATITOS</v>
          </cell>
          <cell r="AC17" t="str">
            <v>Jose Martin Tamez Abad</v>
          </cell>
          <cell r="AD17">
            <v>11530</v>
          </cell>
          <cell r="AE17" t="str">
            <v>QCH1W032N0</v>
          </cell>
        </row>
        <row r="18">
          <cell r="A18" t="str">
            <v>Chanitos Organic Banded Market Side Mexico</v>
          </cell>
          <cell r="B18" t="str">
            <v>CRG07128</v>
          </cell>
          <cell r="C18" t="str">
            <v>A01002-352708-1</v>
          </cell>
          <cell r="D18" t="str">
            <v>A01 002 Fortaleza</v>
          </cell>
          <cell r="E18" t="str">
            <v>MTY</v>
          </cell>
          <cell r="F18">
            <v>96</v>
          </cell>
          <cell r="G18">
            <v>2</v>
          </cell>
          <cell r="H18">
            <v>46261</v>
          </cell>
          <cell r="I18">
            <v>35</v>
          </cell>
          <cell r="J18">
            <v>46265</v>
          </cell>
          <cell r="K18">
            <v>0.41666666666666669</v>
          </cell>
          <cell r="L18" t="str">
            <v>PREENFRIO FORTALEZA</v>
          </cell>
          <cell r="M18">
            <v>2.5</v>
          </cell>
          <cell r="N18">
            <v>60</v>
          </cell>
          <cell r="O18">
            <v>46261</v>
          </cell>
          <cell r="P18">
            <v>0.70833333333333337</v>
          </cell>
          <cell r="Q18" t="str">
            <v>ALTA</v>
          </cell>
          <cell r="R18">
            <v>46262</v>
          </cell>
          <cell r="S18">
            <v>0.25416666666666665</v>
          </cell>
          <cell r="T18">
            <v>0.625</v>
          </cell>
          <cell r="U18">
            <v>46262.879166666666</v>
          </cell>
          <cell r="V18">
            <v>46262</v>
          </cell>
          <cell r="W18">
            <v>0.97916666666666663</v>
          </cell>
          <cell r="X18" t="str">
            <v>SI CUMPLE</v>
          </cell>
          <cell r="Y18" t="str">
            <v>NO CUMPLE</v>
          </cell>
          <cell r="AA18" t="str">
            <v>DESPACHADO</v>
          </cell>
          <cell r="AB18" t="str">
            <v>TRANSPORTE TOMATITOS</v>
          </cell>
          <cell r="AC18" t="str">
            <v>Jose Martin Tamez Abad</v>
          </cell>
          <cell r="AD18">
            <v>11530</v>
          </cell>
          <cell r="AE18" t="str">
            <v>QCH1W032N0</v>
          </cell>
        </row>
        <row r="19">
          <cell r="A19" t="str">
            <v>Chanitos Premium Tarima Chep</v>
          </cell>
          <cell r="B19" t="str">
            <v>CPR01102</v>
          </cell>
          <cell r="C19" t="str">
            <v>A01001-352708-1</v>
          </cell>
          <cell r="D19" t="str">
            <v>A01 001 Marbella</v>
          </cell>
          <cell r="E19" t="str">
            <v>MTY</v>
          </cell>
          <cell r="F19">
            <v>960</v>
          </cell>
          <cell r="G19">
            <v>20</v>
          </cell>
          <cell r="H19">
            <v>46261</v>
          </cell>
          <cell r="I19">
            <v>35</v>
          </cell>
          <cell r="J19">
            <v>46265</v>
          </cell>
          <cell r="K19">
            <v>0.41666666666666669</v>
          </cell>
          <cell r="L19" t="str">
            <v>PREENFRIO FORTALEZA</v>
          </cell>
          <cell r="M19">
            <v>2.5</v>
          </cell>
          <cell r="N19">
            <v>60</v>
          </cell>
          <cell r="O19">
            <v>46261</v>
          </cell>
          <cell r="P19">
            <v>0.73888888888888893</v>
          </cell>
          <cell r="Q19" t="str">
            <v>ALTA</v>
          </cell>
          <cell r="R19">
            <v>46262</v>
          </cell>
          <cell r="S19">
            <v>0.25416666666666665</v>
          </cell>
          <cell r="T19">
            <v>0.625</v>
          </cell>
          <cell r="U19">
            <v>46262.879166666666</v>
          </cell>
          <cell r="V19">
            <v>46262</v>
          </cell>
          <cell r="W19">
            <v>0.97916666666666663</v>
          </cell>
          <cell r="X19" t="str">
            <v>SI CUMPLE</v>
          </cell>
          <cell r="Y19" t="str">
            <v>NO CUMPLE</v>
          </cell>
          <cell r="AA19" t="str">
            <v>DESPACHADO</v>
          </cell>
          <cell r="AB19" t="str">
            <v>TRANSPORTE TOMATITOS</v>
          </cell>
          <cell r="AC19" t="str">
            <v>Jose Martin Tamez Abad</v>
          </cell>
          <cell r="AD19">
            <v>11530</v>
          </cell>
          <cell r="AE19" t="str">
            <v>QCH1W032N0</v>
          </cell>
        </row>
        <row r="20">
          <cell r="A20" t="str">
            <v>Chanitos Organic Banded Market Side Mexico</v>
          </cell>
          <cell r="B20" t="str">
            <v>CRG07128</v>
          </cell>
          <cell r="C20" t="str">
            <v>A01002-352708-1</v>
          </cell>
          <cell r="D20" t="str">
            <v>A01 002 Fortaleza</v>
          </cell>
          <cell r="E20" t="str">
            <v>QRO</v>
          </cell>
          <cell r="F20">
            <v>96</v>
          </cell>
          <cell r="G20">
            <v>2</v>
          </cell>
          <cell r="H20">
            <v>46261</v>
          </cell>
          <cell r="I20">
            <v>35</v>
          </cell>
          <cell r="J20">
            <v>46265</v>
          </cell>
          <cell r="K20">
            <v>0.58333333333333337</v>
          </cell>
          <cell r="L20" t="str">
            <v>PREENFRIO FORTALEZA</v>
          </cell>
          <cell r="M20">
            <v>1.5</v>
          </cell>
          <cell r="N20">
            <v>36</v>
          </cell>
          <cell r="O20">
            <v>46261</v>
          </cell>
          <cell r="P20">
            <v>0.70833333333333337</v>
          </cell>
          <cell r="Q20" t="str">
            <v>ALTA</v>
          </cell>
          <cell r="R20">
            <v>46262</v>
          </cell>
          <cell r="S20">
            <v>0.95833333333333337</v>
          </cell>
          <cell r="T20">
            <v>0.625</v>
          </cell>
          <cell r="U20">
            <v>46263.583333333336</v>
          </cell>
          <cell r="V20">
            <v>46263</v>
          </cell>
          <cell r="W20">
            <v>0.55555555555555558</v>
          </cell>
          <cell r="X20" t="str">
            <v>SI CUMPLE</v>
          </cell>
          <cell r="Y20" t="str">
            <v>SI CUMPLE</v>
          </cell>
          <cell r="AA20" t="str">
            <v>DESPACHADO</v>
          </cell>
          <cell r="AB20" t="str">
            <v>PERLA DE OCUTLA</v>
          </cell>
          <cell r="AC20" t="str">
            <v>JUAN CASTELLANOS MENDOZA</v>
          </cell>
          <cell r="AD20">
            <v>51073</v>
          </cell>
          <cell r="AE20" t="str">
            <v>QCH1W03NP0</v>
          </cell>
        </row>
        <row r="21">
          <cell r="A21" t="str">
            <v>Chanitos Premium Tarima Chep</v>
          </cell>
          <cell r="B21" t="str">
            <v>CPR01102</v>
          </cell>
          <cell r="C21" t="str">
            <v>A01001-352708-1</v>
          </cell>
          <cell r="D21" t="str">
            <v>A01 001 Marbella</v>
          </cell>
          <cell r="E21" t="str">
            <v>QRO</v>
          </cell>
          <cell r="F21">
            <v>96</v>
          </cell>
          <cell r="G21">
            <v>2</v>
          </cell>
          <cell r="H21">
            <v>46261</v>
          </cell>
          <cell r="I21">
            <v>35</v>
          </cell>
          <cell r="J21">
            <v>46265</v>
          </cell>
          <cell r="K21">
            <v>0.58333333333333337</v>
          </cell>
          <cell r="L21" t="str">
            <v>PREENFRIO FORTALEZA</v>
          </cell>
          <cell r="M21">
            <v>1.5</v>
          </cell>
          <cell r="N21">
            <v>36</v>
          </cell>
          <cell r="O21">
            <v>46261</v>
          </cell>
          <cell r="P21">
            <v>0.73888888888888893</v>
          </cell>
          <cell r="Q21" t="str">
            <v>ALTA</v>
          </cell>
          <cell r="R21">
            <v>46262</v>
          </cell>
          <cell r="S21">
            <v>0.95833333333333337</v>
          </cell>
          <cell r="T21">
            <v>0.625</v>
          </cell>
          <cell r="U21">
            <v>46263.583333333336</v>
          </cell>
          <cell r="V21">
            <v>46263</v>
          </cell>
          <cell r="W21">
            <v>0.55555555555555558</v>
          </cell>
          <cell r="X21" t="str">
            <v>SI CUMPLE</v>
          </cell>
          <cell r="Y21" t="str">
            <v>SI CUMPLE</v>
          </cell>
          <cell r="AA21" t="str">
            <v>DESPACHADO</v>
          </cell>
          <cell r="AB21" t="str">
            <v>PERLA DE OCUTLA</v>
          </cell>
          <cell r="AC21" t="str">
            <v>JUAN CASTELLANOS MENDOZA</v>
          </cell>
          <cell r="AD21">
            <v>51073</v>
          </cell>
          <cell r="AE21" t="str">
            <v>QCH1W03NP0</v>
          </cell>
        </row>
        <row r="22">
          <cell r="A22" t="str">
            <v>Chanitos Premium Tarima Chep</v>
          </cell>
          <cell r="B22" t="str">
            <v>CPR01102</v>
          </cell>
          <cell r="C22" t="str">
            <v>A04038-352708-1</v>
          </cell>
          <cell r="D22" t="str">
            <v>A04 038 El Triunfo Nava</v>
          </cell>
          <cell r="E22" t="str">
            <v>QRO</v>
          </cell>
          <cell r="F22">
            <v>960</v>
          </cell>
          <cell r="G22">
            <v>20</v>
          </cell>
          <cell r="H22">
            <v>46261</v>
          </cell>
          <cell r="I22">
            <v>35</v>
          </cell>
          <cell r="J22">
            <v>46265</v>
          </cell>
          <cell r="K22">
            <v>0.58333333333333337</v>
          </cell>
          <cell r="L22" t="str">
            <v>PREENFRIO FORTALEZA</v>
          </cell>
          <cell r="M22">
            <v>1.5</v>
          </cell>
          <cell r="N22">
            <v>36</v>
          </cell>
          <cell r="O22">
            <v>46262</v>
          </cell>
          <cell r="P22">
            <v>0.3125</v>
          </cell>
          <cell r="Q22" t="str">
            <v>ALTA</v>
          </cell>
          <cell r="R22">
            <v>46262</v>
          </cell>
          <cell r="S22">
            <v>0.95833333333333337</v>
          </cell>
          <cell r="T22">
            <v>0.625</v>
          </cell>
          <cell r="U22">
            <v>46263.583333333336</v>
          </cell>
          <cell r="V22">
            <v>46263</v>
          </cell>
          <cell r="W22">
            <v>0.55555555555555558</v>
          </cell>
          <cell r="X22" t="str">
            <v>SI CUMPLE</v>
          </cell>
          <cell r="Y22" t="str">
            <v>SI CUMPLE</v>
          </cell>
          <cell r="AA22" t="str">
            <v>DESPACHADO</v>
          </cell>
          <cell r="AB22" t="str">
            <v>PERLA DE OCUTLA</v>
          </cell>
          <cell r="AC22" t="str">
            <v>JUAN CASTELLANOS MENDOZA</v>
          </cell>
          <cell r="AD22">
            <v>51073</v>
          </cell>
          <cell r="AE22" t="str">
            <v>QCH1W03NP0</v>
          </cell>
        </row>
        <row r="23">
          <cell r="A23" t="str">
            <v>Chanitos Premium Tarima Americana</v>
          </cell>
          <cell r="B23" t="str">
            <v>CPR01103</v>
          </cell>
          <cell r="C23" t="str">
            <v>A11045-352508-1</v>
          </cell>
          <cell r="D23" t="str">
            <v>A11 045 Sector Mazatan</v>
          </cell>
          <cell r="E23" t="str">
            <v>Ciudad Juarez</v>
          </cell>
          <cell r="F23">
            <v>336</v>
          </cell>
          <cell r="G23">
            <v>7</v>
          </cell>
          <cell r="H23">
            <v>46259</v>
          </cell>
          <cell r="I23">
            <v>35</v>
          </cell>
          <cell r="J23">
            <v>46266</v>
          </cell>
          <cell r="K23">
            <v>0.25</v>
          </cell>
          <cell r="L23" t="str">
            <v>PREENFRIO NELLY</v>
          </cell>
          <cell r="M23">
            <v>4</v>
          </cell>
          <cell r="N23">
            <v>96</v>
          </cell>
          <cell r="O23">
            <v>46260</v>
          </cell>
          <cell r="P23">
            <v>0.45833333333333331</v>
          </cell>
          <cell r="Q23" t="str">
            <v>ALTA</v>
          </cell>
          <cell r="R23">
            <v>46260</v>
          </cell>
          <cell r="S23">
            <v>0.99722222222222223</v>
          </cell>
          <cell r="T23">
            <v>0.4375</v>
          </cell>
          <cell r="U23">
            <v>46261.43472222222</v>
          </cell>
          <cell r="V23">
            <v>46261</v>
          </cell>
          <cell r="W23">
            <v>0.79236111111111107</v>
          </cell>
          <cell r="X23" t="str">
            <v>SI CUMPLE</v>
          </cell>
          <cell r="Y23" t="str">
            <v>SI CUMPLE</v>
          </cell>
          <cell r="AA23" t="str">
            <v>DESPACHADO</v>
          </cell>
          <cell r="AB23" t="str">
            <v>EXPRESS SEGOVIA</v>
          </cell>
          <cell r="AC23" t="str">
            <v>Juan Morales</v>
          </cell>
          <cell r="AD23">
            <v>44046</v>
          </cell>
        </row>
        <row r="24">
          <cell r="A24" t="str">
            <v>Chanitos Plantain 20Kg Tarima Americana</v>
          </cell>
          <cell r="B24" t="str">
            <v>CPL08134</v>
          </cell>
          <cell r="C24" t="str">
            <v>A27073-352508-1</v>
          </cell>
          <cell r="D24" t="str">
            <v>A27 073 Plantacion</v>
          </cell>
          <cell r="E24" t="str">
            <v>Ciudad Juarez</v>
          </cell>
          <cell r="F24">
            <v>144</v>
          </cell>
          <cell r="G24">
            <v>3</v>
          </cell>
          <cell r="H24">
            <v>46259</v>
          </cell>
          <cell r="I24">
            <v>35</v>
          </cell>
          <cell r="J24">
            <v>46266</v>
          </cell>
          <cell r="K24">
            <v>0.25</v>
          </cell>
          <cell r="L24" t="str">
            <v>PREENFRIO NELLY</v>
          </cell>
          <cell r="M24">
            <v>4</v>
          </cell>
          <cell r="N24">
            <v>96</v>
          </cell>
          <cell r="O24">
            <v>46260</v>
          </cell>
          <cell r="P24">
            <v>0.33333333333333331</v>
          </cell>
          <cell r="Q24" t="str">
            <v>ALTA</v>
          </cell>
          <cell r="R24">
            <v>46261</v>
          </cell>
          <cell r="T24">
            <v>0.4375</v>
          </cell>
          <cell r="U24">
            <v>46261.4375</v>
          </cell>
          <cell r="V24">
            <v>46261</v>
          </cell>
          <cell r="W24">
            <v>0.79166666666666663</v>
          </cell>
          <cell r="X24" t="str">
            <v>SI CUMPLE</v>
          </cell>
          <cell r="Y24" t="str">
            <v>SI CUMPLE</v>
          </cell>
          <cell r="AA24" t="str">
            <v>DESPACHADO</v>
          </cell>
          <cell r="AB24" t="str">
            <v>EXPRESS SEGOVIA</v>
          </cell>
          <cell r="AC24" t="str">
            <v>Juan Morales</v>
          </cell>
          <cell r="AD24">
            <v>44046</v>
          </cell>
        </row>
        <row r="25">
          <cell r="A25" t="str">
            <v>Chanitos Premium Tarima Americana</v>
          </cell>
          <cell r="B25" t="str">
            <v>CPR01103</v>
          </cell>
          <cell r="C25" t="str">
            <v>A11056-352508-1</v>
          </cell>
          <cell r="D25" t="str">
            <v>A11 056 San Isidro</v>
          </cell>
          <cell r="E25" t="str">
            <v>Ciudad Juarez</v>
          </cell>
          <cell r="F25">
            <v>480</v>
          </cell>
          <cell r="G25">
            <v>10</v>
          </cell>
          <cell r="H25">
            <v>46259</v>
          </cell>
          <cell r="I25">
            <v>35</v>
          </cell>
          <cell r="J25">
            <v>46266</v>
          </cell>
          <cell r="K25">
            <v>0.25</v>
          </cell>
          <cell r="L25" t="str">
            <v>PREENFRIO NELLY</v>
          </cell>
          <cell r="M25">
            <v>4</v>
          </cell>
          <cell r="N25">
            <v>96</v>
          </cell>
          <cell r="O25">
            <v>46260</v>
          </cell>
          <cell r="P25">
            <v>0.45833333333333331</v>
          </cell>
          <cell r="Q25" t="str">
            <v>ALTA</v>
          </cell>
          <cell r="R25">
            <v>46261</v>
          </cell>
          <cell r="S25">
            <v>0.24652777777777779</v>
          </cell>
          <cell r="T25">
            <v>0.4375</v>
          </cell>
          <cell r="U25">
            <v>46261.684027777781</v>
          </cell>
          <cell r="V25">
            <v>46261</v>
          </cell>
          <cell r="W25">
            <v>0.79236111111111107</v>
          </cell>
          <cell r="X25" t="str">
            <v>SI CUMPLE</v>
          </cell>
          <cell r="Y25" t="str">
            <v>SI CUMPLE</v>
          </cell>
          <cell r="AA25" t="str">
            <v>DESPACHADO</v>
          </cell>
          <cell r="AB25" t="str">
            <v>EXPRESS SEGOVIA</v>
          </cell>
          <cell r="AC25" t="str">
            <v>Juan Morales</v>
          </cell>
          <cell r="AD25">
            <v>44046</v>
          </cell>
        </row>
        <row r="26">
          <cell r="A26" t="str">
            <v>Chanitos Premium Tarima Chep</v>
          </cell>
          <cell r="B26" t="str">
            <v>CPR01102</v>
          </cell>
          <cell r="C26" t="str">
            <v>A01004-352708-1</v>
          </cell>
          <cell r="D26" t="str">
            <v>A01 004 La Ceiba</v>
          </cell>
          <cell r="E26" t="str">
            <v>QRO</v>
          </cell>
          <cell r="F26">
            <v>1056</v>
          </cell>
          <cell r="G26">
            <v>22</v>
          </cell>
          <cell r="H26">
            <v>46261</v>
          </cell>
          <cell r="I26">
            <v>35</v>
          </cell>
          <cell r="J26">
            <v>46267</v>
          </cell>
          <cell r="L26" t="str">
            <v>PREENFRIO NELLY</v>
          </cell>
          <cell r="M26">
            <v>1.5</v>
          </cell>
          <cell r="N26">
            <v>36</v>
          </cell>
          <cell r="O26">
            <v>46261</v>
          </cell>
          <cell r="P26">
            <v>0.96597222222222223</v>
          </cell>
          <cell r="Q26" t="str">
            <v>ALTA</v>
          </cell>
          <cell r="R26">
            <v>46262</v>
          </cell>
          <cell r="S26">
            <v>0.54166666666666663</v>
          </cell>
          <cell r="T26">
            <v>0.35416666666666669</v>
          </cell>
          <cell r="U26">
            <v>46262.895833333328</v>
          </cell>
          <cell r="V26">
            <v>46263</v>
          </cell>
          <cell r="W26">
            <v>0.33333333333333331</v>
          </cell>
          <cell r="X26" t="str">
            <v>SI CUMPLE</v>
          </cell>
          <cell r="Y26" t="str">
            <v>SI CUMPLE</v>
          </cell>
          <cell r="AA26" t="str">
            <v>DESPACHADO</v>
          </cell>
          <cell r="AB26" t="str">
            <v>Refrig Carrillo</v>
          </cell>
          <cell r="AC26" t="str">
            <v>Israel Hernandez Valencia</v>
          </cell>
          <cell r="AD26">
            <v>55558</v>
          </cell>
        </row>
        <row r="27">
          <cell r="A27" t="str">
            <v>Chanitos Premium EUA Tarima Americana</v>
          </cell>
          <cell r="B27" t="str">
            <v>CPR01104</v>
          </cell>
          <cell r="C27" t="str">
            <v>A06043-352708-1</v>
          </cell>
          <cell r="D27" t="str">
            <v>A06 043 Nuestra señora</v>
          </cell>
          <cell r="E27" t="str">
            <v>McAllen</v>
          </cell>
          <cell r="F27">
            <v>576</v>
          </cell>
          <cell r="G27">
            <v>12</v>
          </cell>
          <cell r="H27">
            <v>46261</v>
          </cell>
          <cell r="I27">
            <v>35</v>
          </cell>
          <cell r="J27">
            <v>46266</v>
          </cell>
          <cell r="L27" t="str">
            <v>DIRECTO SIN PREENFRIO</v>
          </cell>
          <cell r="M27">
            <v>3</v>
          </cell>
          <cell r="N27">
            <v>72</v>
          </cell>
          <cell r="T27" t="str">
            <v>N/A</v>
          </cell>
          <cell r="U27" t="str">
            <v/>
          </cell>
          <cell r="V27">
            <v>46263</v>
          </cell>
          <cell r="W27">
            <v>0.9375</v>
          </cell>
          <cell r="X27" t="str">
            <v/>
          </cell>
          <cell r="Y27" t="str">
            <v>NO CUMPLE</v>
          </cell>
          <cell r="AA27" t="str">
            <v>DESPACHADO</v>
          </cell>
          <cell r="AB27" t="str">
            <v>SEGOVIA</v>
          </cell>
          <cell r="AC27" t="str">
            <v>Ignacio Martinez Gonzales</v>
          </cell>
          <cell r="AD27">
            <v>35742</v>
          </cell>
        </row>
        <row r="28">
          <cell r="A28" t="str">
            <v>Chanitos Premium Tarima Chep</v>
          </cell>
          <cell r="B28" t="str">
            <v>CPR01102</v>
          </cell>
          <cell r="C28" t="str">
            <v>A01002-352708-1</v>
          </cell>
          <cell r="D28" t="str">
            <v>A01 002 Fortaleza</v>
          </cell>
          <cell r="E28" t="str">
            <v>Chalco</v>
          </cell>
          <cell r="F28">
            <v>144</v>
          </cell>
          <cell r="G28">
            <v>3</v>
          </cell>
          <cell r="H28">
            <v>46261</v>
          </cell>
          <cell r="I28">
            <v>35</v>
          </cell>
          <cell r="J28">
            <v>46266</v>
          </cell>
          <cell r="K28">
            <v>0.375</v>
          </cell>
          <cell r="L28" t="str">
            <v>PREENFRIO FORTALEZA</v>
          </cell>
          <cell r="M28">
            <v>1</v>
          </cell>
          <cell r="N28">
            <v>24</v>
          </cell>
          <cell r="O28">
            <v>46261</v>
          </cell>
          <cell r="P28">
            <v>0.70833333333333337</v>
          </cell>
          <cell r="Q28" t="str">
            <v>NORMAL</v>
          </cell>
          <cell r="R28">
            <v>46263</v>
          </cell>
          <cell r="S28">
            <v>0.8354166666666667</v>
          </cell>
          <cell r="T28">
            <v>0.41666666666666669</v>
          </cell>
          <cell r="U28">
            <v>46264.252083333333</v>
          </cell>
          <cell r="V28">
            <v>46264</v>
          </cell>
          <cell r="W28">
            <v>0.21111111111111111</v>
          </cell>
          <cell r="X28" t="str">
            <v>SI CUMPLE</v>
          </cell>
          <cell r="Y28" t="str">
            <v>SI CUMPLE</v>
          </cell>
          <cell r="AA28" t="str">
            <v>DESPACHADO</v>
          </cell>
          <cell r="AB28" t="str">
            <v>REFRIGERADOS CARRILLO</v>
          </cell>
          <cell r="AC28" t="str">
            <v>CESAR AUGUSTO LOPEZ CEJA</v>
          </cell>
          <cell r="AD28">
            <v>96947</v>
          </cell>
          <cell r="AE28" t="str">
            <v>QCH1W04MZ0</v>
          </cell>
        </row>
        <row r="29">
          <cell r="A29" t="str">
            <v>Chanitos Plantain 20Kg Tarima Chep</v>
          </cell>
          <cell r="B29" t="str">
            <v>CPL08141</v>
          </cell>
          <cell r="C29" t="str">
            <v>A41088-352808-1</v>
          </cell>
          <cell r="D29" t="str">
            <v>A25 088 Doña Lupe</v>
          </cell>
          <cell r="E29" t="str">
            <v>CEDA</v>
          </cell>
          <cell r="F29">
            <v>480</v>
          </cell>
          <cell r="G29">
            <v>10</v>
          </cell>
          <cell r="H29">
            <v>46262</v>
          </cell>
          <cell r="I29">
            <v>35</v>
          </cell>
          <cell r="J29">
            <v>46266</v>
          </cell>
          <cell r="L29" t="str">
            <v>PREENFRIO FORTALEZA</v>
          </cell>
          <cell r="M29">
            <v>1.5</v>
          </cell>
          <cell r="N29">
            <v>36</v>
          </cell>
          <cell r="O29">
            <v>46262</v>
          </cell>
          <cell r="P29">
            <v>0.83333333333333337</v>
          </cell>
          <cell r="Q29" t="str">
            <v>NORMAL</v>
          </cell>
          <cell r="R29">
            <v>46263</v>
          </cell>
          <cell r="S29">
            <v>0.6069444444444444</v>
          </cell>
          <cell r="T29">
            <v>0.22916666666666666</v>
          </cell>
          <cell r="U29">
            <v>46263.836111111108</v>
          </cell>
          <cell r="V29">
            <v>46264</v>
          </cell>
          <cell r="W29">
            <v>0.52083333333333337</v>
          </cell>
          <cell r="X29" t="str">
            <v>SI CUMPLE</v>
          </cell>
          <cell r="Y29" t="str">
            <v>NO CUMPLE</v>
          </cell>
          <cell r="Z29" t="str">
            <v>POSICIONAMIENTO DE TRANSPORTE</v>
          </cell>
          <cell r="AA29" t="str">
            <v>DESPACHADO</v>
          </cell>
          <cell r="AB29" t="str">
            <v>TRANSPORTES ROSALES</v>
          </cell>
          <cell r="AC29" t="str">
            <v>PABLO ROSALES FLORES</v>
          </cell>
          <cell r="AD29">
            <v>85826</v>
          </cell>
          <cell r="AE29" t="str">
            <v>QCH1W04N50</v>
          </cell>
        </row>
        <row r="30">
          <cell r="A30" t="str">
            <v>Chanitos Premium Tarima Chep</v>
          </cell>
          <cell r="B30" t="str">
            <v>CPR01102</v>
          </cell>
          <cell r="C30" t="str">
            <v>A01001-352808-1</v>
          </cell>
          <cell r="D30" t="str">
            <v>A01 001 Marbella</v>
          </cell>
          <cell r="E30" t="str">
            <v>Chalco</v>
          </cell>
          <cell r="F30">
            <v>864</v>
          </cell>
          <cell r="G30">
            <v>18</v>
          </cell>
          <cell r="H30">
            <v>46262</v>
          </cell>
          <cell r="I30">
            <v>35</v>
          </cell>
          <cell r="J30">
            <v>46266</v>
          </cell>
          <cell r="K30">
            <v>0.375</v>
          </cell>
          <cell r="L30" t="str">
            <v>PREENFRIO FORTALEZA</v>
          </cell>
          <cell r="M30">
            <v>1</v>
          </cell>
          <cell r="N30">
            <v>24</v>
          </cell>
          <cell r="O30">
            <v>46262</v>
          </cell>
          <cell r="P30">
            <v>0.82291666666666663</v>
          </cell>
          <cell r="Q30" t="str">
            <v>ALTA</v>
          </cell>
          <cell r="R30">
            <v>46263</v>
          </cell>
          <cell r="S30">
            <v>0.8354166666666667</v>
          </cell>
          <cell r="T30">
            <v>0.41666666666666669</v>
          </cell>
          <cell r="U30">
            <v>46264.252083333333</v>
          </cell>
          <cell r="V30">
            <v>46264</v>
          </cell>
          <cell r="W30">
            <v>0.21111111111111111</v>
          </cell>
          <cell r="X30" t="str">
            <v>SI CUMPLE</v>
          </cell>
          <cell r="Y30" t="str">
            <v>SI CUMPLE</v>
          </cell>
          <cell r="AA30" t="str">
            <v>DESPACHADO</v>
          </cell>
          <cell r="AB30" t="str">
            <v>REFRIGERADOS CARRILLO</v>
          </cell>
          <cell r="AC30" t="str">
            <v>CESAR AUGUSTO LOPEZ CEJA</v>
          </cell>
          <cell r="AD30">
            <v>96947</v>
          </cell>
          <cell r="AE30" t="str">
            <v>QCH1W04MZ0</v>
          </cell>
        </row>
        <row r="31">
          <cell r="A31" t="str">
            <v>Chanitos Premium Tarima Americana</v>
          </cell>
          <cell r="B31" t="str">
            <v>CPR01103</v>
          </cell>
          <cell r="C31" t="str">
            <v>A12057-352708-1</v>
          </cell>
          <cell r="D31" t="str">
            <v>A12 057 Tiquisate 1</v>
          </cell>
          <cell r="E31" t="str">
            <v>S-MTY</v>
          </cell>
          <cell r="F31">
            <v>960</v>
          </cell>
          <cell r="G31">
            <v>20</v>
          </cell>
          <cell r="H31">
            <v>46261</v>
          </cell>
          <cell r="I31">
            <v>35</v>
          </cell>
          <cell r="J31">
            <v>46267</v>
          </cell>
          <cell r="K31">
            <v>0.25</v>
          </cell>
          <cell r="L31" t="str">
            <v>PREENFRIO NELLY</v>
          </cell>
          <cell r="M31">
            <v>3</v>
          </cell>
          <cell r="N31">
            <v>72</v>
          </cell>
          <cell r="O31">
            <v>46261</v>
          </cell>
          <cell r="P31">
            <v>0.79166666666666663</v>
          </cell>
          <cell r="Q31" t="str">
            <v>ALTA</v>
          </cell>
          <cell r="R31">
            <v>46262</v>
          </cell>
          <cell r="S31">
            <v>0.89930555555555558</v>
          </cell>
          <cell r="T31">
            <v>0.4375</v>
          </cell>
          <cell r="U31">
            <v>46263.336805555555</v>
          </cell>
          <cell r="V31">
            <v>46263</v>
          </cell>
          <cell r="W31">
            <v>0.73263888888888884</v>
          </cell>
          <cell r="X31" t="str">
            <v>SI CUMPLE</v>
          </cell>
          <cell r="Y31" t="str">
            <v>SI CUMPLE</v>
          </cell>
          <cell r="AA31" t="str">
            <v>DESPACHADO</v>
          </cell>
          <cell r="AB31" t="str">
            <v>SEGOVIA</v>
          </cell>
          <cell r="AC31" t="str">
            <v>DANIEL EDUARDO VASQUES HERNANDEZ</v>
          </cell>
          <cell r="AD31">
            <v>13977</v>
          </cell>
          <cell r="AE31" t="str">
            <v>QCH1W03SV0</v>
          </cell>
        </row>
        <row r="32">
          <cell r="A32" t="str">
            <v>Chanitos Premium Tarima Americana</v>
          </cell>
          <cell r="B32" t="str">
            <v>CPR01103</v>
          </cell>
          <cell r="C32" t="str">
            <v>A25022-352708-1</v>
          </cell>
          <cell r="D32" t="str">
            <v>A25 022 Doña Mildred</v>
          </cell>
          <cell r="E32" t="str">
            <v>S-MTY</v>
          </cell>
          <cell r="F32">
            <v>960</v>
          </cell>
          <cell r="G32">
            <v>20</v>
          </cell>
          <cell r="H32">
            <v>46261</v>
          </cell>
          <cell r="I32">
            <v>35</v>
          </cell>
          <cell r="J32">
            <v>46267</v>
          </cell>
          <cell r="K32">
            <v>0.25</v>
          </cell>
          <cell r="L32" t="str">
            <v>PREENFRIO NELLY</v>
          </cell>
          <cell r="M32">
            <v>3</v>
          </cell>
          <cell r="N32">
            <v>72</v>
          </cell>
          <cell r="O32">
            <v>46261</v>
          </cell>
          <cell r="P32">
            <v>0.91666666666666663</v>
          </cell>
          <cell r="Q32" t="str">
            <v>ALTA</v>
          </cell>
          <cell r="R32">
            <v>46263</v>
          </cell>
          <cell r="S32">
            <v>0.3263888888888889</v>
          </cell>
          <cell r="T32">
            <v>0.4375</v>
          </cell>
          <cell r="U32">
            <v>46263.763888888891</v>
          </cell>
          <cell r="V32">
            <v>46263</v>
          </cell>
          <cell r="W32">
            <v>0.73263888888888884</v>
          </cell>
          <cell r="X32" t="str">
            <v>SI CUMPLE</v>
          </cell>
          <cell r="Y32" t="str">
            <v>SI CUMPLE</v>
          </cell>
          <cell r="AA32" t="str">
            <v>DESPACHADO</v>
          </cell>
          <cell r="AB32" t="str">
            <v>SEGOVIA</v>
          </cell>
          <cell r="AC32" t="str">
            <v>DANIEL EDUARDO VASQUES HERNANDEZ</v>
          </cell>
          <cell r="AD32">
            <v>51866</v>
          </cell>
          <cell r="AE32" t="str">
            <v>QCH1W07H70</v>
          </cell>
        </row>
        <row r="33">
          <cell r="A33" t="str">
            <v>Chanitos Plantain 50lb Tarima Americana</v>
          </cell>
          <cell r="B33" t="str">
            <v>CPL08133</v>
          </cell>
          <cell r="C33" t="str">
            <v>A27073-352808-1</v>
          </cell>
          <cell r="D33" t="str">
            <v>A27 073 Plantacion</v>
          </cell>
          <cell r="E33" t="str">
            <v>McAllen</v>
          </cell>
          <cell r="F33">
            <v>1008</v>
          </cell>
          <cell r="G33">
            <v>24</v>
          </cell>
          <cell r="H33">
            <v>46262</v>
          </cell>
          <cell r="I33">
            <v>35</v>
          </cell>
          <cell r="J33">
            <v>46266</v>
          </cell>
          <cell r="L33" t="str">
            <v>PREENFRIO NELLY</v>
          </cell>
          <cell r="M33">
            <v>3</v>
          </cell>
          <cell r="N33">
            <v>72</v>
          </cell>
          <cell r="O33">
            <v>46262</v>
          </cell>
          <cell r="P33">
            <v>0.98819444444444449</v>
          </cell>
          <cell r="Q33" t="str">
            <v>NORMAL</v>
          </cell>
          <cell r="R33">
            <v>46263</v>
          </cell>
          <cell r="S33">
            <v>0.76527777777777772</v>
          </cell>
          <cell r="T33">
            <v>0.35416666666666669</v>
          </cell>
          <cell r="U33">
            <v>46264.119444444441</v>
          </cell>
          <cell r="V33">
            <v>46264</v>
          </cell>
          <cell r="W33">
            <v>0.11597222222222223</v>
          </cell>
          <cell r="X33" t="str">
            <v>NO CUMPLE</v>
          </cell>
          <cell r="Y33" t="str">
            <v>NO CUMPLE</v>
          </cell>
          <cell r="AA33" t="str">
            <v>DESPACHADO</v>
          </cell>
          <cell r="AB33" t="str">
            <v>SEGOVIA</v>
          </cell>
          <cell r="AC33" t="str">
            <v>Cesar Antonio Cardenas</v>
          </cell>
          <cell r="AD33">
            <v>26352</v>
          </cell>
          <cell r="AE33" t="str">
            <v>QCH1W04B40</v>
          </cell>
        </row>
        <row r="34">
          <cell r="A34" t="str">
            <v>Chanitos Premium Tarima Chep</v>
          </cell>
          <cell r="B34" t="str">
            <v>CPR01102</v>
          </cell>
          <cell r="C34" t="str">
            <v>A01003-352808-1</v>
          </cell>
          <cell r="D34" t="str">
            <v>A01 003 Doña Nelly</v>
          </cell>
          <cell r="E34" t="str">
            <v>Chalco</v>
          </cell>
          <cell r="F34">
            <v>1104</v>
          </cell>
          <cell r="G34">
            <v>23</v>
          </cell>
          <cell r="H34">
            <v>46262</v>
          </cell>
          <cell r="I34">
            <v>35</v>
          </cell>
          <cell r="J34">
            <v>46267</v>
          </cell>
          <cell r="L34" t="str">
            <v>PREENFRIO NELLY</v>
          </cell>
          <cell r="M34">
            <v>1</v>
          </cell>
          <cell r="N34">
            <v>24</v>
          </cell>
          <cell r="O34">
            <v>46262</v>
          </cell>
          <cell r="P34">
            <v>0.66527777777777775</v>
          </cell>
          <cell r="Q34" t="str">
            <v>NORMAL</v>
          </cell>
          <cell r="R34">
            <v>46264</v>
          </cell>
          <cell r="S34">
            <v>0.66666666666666663</v>
          </cell>
          <cell r="T34">
            <v>0.35416666666666669</v>
          </cell>
          <cell r="U34">
            <v>46265.020833333328</v>
          </cell>
          <cell r="V34">
            <v>46265</v>
          </cell>
          <cell r="W34">
            <v>0.38194444444444442</v>
          </cell>
          <cell r="X34" t="str">
            <v>SI CUMPLE</v>
          </cell>
          <cell r="Y34" t="str">
            <v>SI CUMPLE</v>
          </cell>
          <cell r="AA34" t="str">
            <v>DESPACHADO</v>
          </cell>
          <cell r="AB34" t="str">
            <v>Transp Perez</v>
          </cell>
          <cell r="AC34" t="str">
            <v>Julio Cesar Alvarado Sosa</v>
          </cell>
          <cell r="AD34">
            <v>93922</v>
          </cell>
          <cell r="AE34" t="str">
            <v>QCH1W04B90</v>
          </cell>
        </row>
        <row r="35">
          <cell r="A35" t="str">
            <v>Chanitos Premium Tarima Chep</v>
          </cell>
          <cell r="B35" t="str">
            <v>CPR01102</v>
          </cell>
          <cell r="C35" t="str">
            <v>A05040-352808-1</v>
          </cell>
          <cell r="D35" t="str">
            <v>A05 040 Plataneros Unidos 1</v>
          </cell>
          <cell r="E35" t="str">
            <v>SMO</v>
          </cell>
          <cell r="F35">
            <v>1152</v>
          </cell>
          <cell r="G35">
            <v>24</v>
          </cell>
          <cell r="H35">
            <v>46262</v>
          </cell>
          <cell r="I35">
            <v>35</v>
          </cell>
          <cell r="J35">
            <v>46267</v>
          </cell>
          <cell r="L35" t="str">
            <v>PREENFRIO FORTALEZA</v>
          </cell>
          <cell r="M35">
            <v>1.5</v>
          </cell>
          <cell r="N35">
            <v>36</v>
          </cell>
          <cell r="O35">
            <v>46263</v>
          </cell>
          <cell r="P35">
            <v>0.72777777777777775</v>
          </cell>
          <cell r="Q35" t="str">
            <v>NORMAL</v>
          </cell>
          <cell r="R35">
            <v>46264</v>
          </cell>
          <cell r="S35">
            <v>0.20972222222222223</v>
          </cell>
          <cell r="T35">
            <v>0.625</v>
          </cell>
          <cell r="U35">
            <v>46264.834722222222</v>
          </cell>
          <cell r="V35">
            <v>46264</v>
          </cell>
          <cell r="W35">
            <v>0.91666666666666663</v>
          </cell>
          <cell r="X35" t="str">
            <v>SI CUMPLE</v>
          </cell>
          <cell r="Y35" t="str">
            <v>SI CUMPLE</v>
          </cell>
          <cell r="AA35" t="str">
            <v>DESPACHADO</v>
          </cell>
          <cell r="AB35" t="str">
            <v>SANCHEZ SANCHEZ</v>
          </cell>
          <cell r="AC35" t="str">
            <v>JACINTO RAMIREZ LOPEZ</v>
          </cell>
          <cell r="AD35">
            <v>72915</v>
          </cell>
          <cell r="AE35" t="str">
            <v>QCH1W04P00</v>
          </cell>
        </row>
        <row r="36">
          <cell r="A36" t="str">
            <v>Platano de Chiapas BAE UPC 3237</v>
          </cell>
          <cell r="B36" t="str">
            <v>CPR01114</v>
          </cell>
          <cell r="C36" t="str">
            <v>A01003-352808-1</v>
          </cell>
          <cell r="D36" t="str">
            <v>A01 003 Doña Nelly</v>
          </cell>
          <cell r="E36" t="str">
            <v>Chalco</v>
          </cell>
          <cell r="F36">
            <v>48</v>
          </cell>
          <cell r="G36">
            <v>1</v>
          </cell>
          <cell r="H36">
            <v>46262</v>
          </cell>
          <cell r="I36">
            <v>35</v>
          </cell>
          <cell r="J36">
            <v>46267</v>
          </cell>
          <cell r="L36" t="str">
            <v>PREENFRIO NELLY</v>
          </cell>
          <cell r="M36">
            <v>1</v>
          </cell>
          <cell r="N36">
            <v>24</v>
          </cell>
          <cell r="O36">
            <v>46262</v>
          </cell>
          <cell r="P36">
            <v>0.66527777777777775</v>
          </cell>
          <cell r="Q36" t="str">
            <v>NORMAL</v>
          </cell>
          <cell r="R36">
            <v>46264</v>
          </cell>
          <cell r="S36">
            <v>0.66666666666666663</v>
          </cell>
          <cell r="T36">
            <v>0.35416666666666669</v>
          </cell>
          <cell r="U36">
            <v>46265.020833333328</v>
          </cell>
          <cell r="V36">
            <v>46265</v>
          </cell>
          <cell r="W36">
            <v>0.38194444444444442</v>
          </cell>
          <cell r="X36" t="str">
            <v>SI CUMPLE</v>
          </cell>
          <cell r="Y36" t="str">
            <v>SI CUMPLE</v>
          </cell>
          <cell r="AA36" t="str">
            <v>DESPACHADO</v>
          </cell>
          <cell r="AB36" t="str">
            <v>Transp Perez</v>
          </cell>
          <cell r="AC36" t="str">
            <v>Julio Cesar Alvarado Sosa</v>
          </cell>
          <cell r="AD36">
            <v>93922</v>
          </cell>
          <cell r="AE36" t="str">
            <v>QCH1W04B90</v>
          </cell>
        </row>
        <row r="37">
          <cell r="A37" t="str">
            <v>Chanitos Organic Banded Market Side Mexico</v>
          </cell>
          <cell r="B37" t="str">
            <v>CRG07128</v>
          </cell>
          <cell r="C37" t="str">
            <v>A01003-352808-1</v>
          </cell>
          <cell r="D37" t="str">
            <v>A01 003 Doña Nelly</v>
          </cell>
          <cell r="E37" t="str">
            <v>QRO</v>
          </cell>
          <cell r="F37">
            <v>96</v>
          </cell>
          <cell r="G37">
            <v>2</v>
          </cell>
          <cell r="H37">
            <v>46262</v>
          </cell>
          <cell r="I37">
            <v>35</v>
          </cell>
          <cell r="J37">
            <v>46267</v>
          </cell>
          <cell r="L37" t="str">
            <v>PREENFRIO NELLY</v>
          </cell>
          <cell r="M37">
            <v>1.5</v>
          </cell>
          <cell r="N37">
            <v>36</v>
          </cell>
          <cell r="O37">
            <v>46262</v>
          </cell>
          <cell r="P37">
            <v>0.66527777777777775</v>
          </cell>
          <cell r="Q37" t="str">
            <v>NORMAL</v>
          </cell>
          <cell r="R37">
            <v>46263</v>
          </cell>
          <cell r="S37">
            <v>8.3333333333333329E-2</v>
          </cell>
          <cell r="T37">
            <v>0.35416666666666669</v>
          </cell>
          <cell r="U37">
            <v>46263.4375</v>
          </cell>
          <cell r="V37">
            <v>46263</v>
          </cell>
          <cell r="W37">
            <v>0.33333333333333331</v>
          </cell>
          <cell r="X37" t="str">
            <v>SI CUMPLE</v>
          </cell>
          <cell r="Y37" t="str">
            <v>SI CUMPLE</v>
          </cell>
          <cell r="AA37" t="str">
            <v>DESPACHADO</v>
          </cell>
          <cell r="AB37" t="str">
            <v>Refrig Carrillo</v>
          </cell>
          <cell r="AC37" t="str">
            <v>Israel Hernandez Valencia</v>
          </cell>
          <cell r="AD37">
            <v>55558</v>
          </cell>
        </row>
        <row r="38">
          <cell r="A38" t="str">
            <v>Chanitos Premium Tarima Americana</v>
          </cell>
          <cell r="B38" t="str">
            <v>CPR01103</v>
          </cell>
          <cell r="C38" t="str">
            <v>A25022-352808-1</v>
          </cell>
          <cell r="D38" t="str">
            <v>A25 022 Doña Mildred</v>
          </cell>
          <cell r="E38" t="str">
            <v>Ciudad Juarez</v>
          </cell>
          <cell r="F38">
            <v>960</v>
          </cell>
          <cell r="G38">
            <v>20</v>
          </cell>
          <cell r="H38">
            <v>46262</v>
          </cell>
          <cell r="I38">
            <v>35</v>
          </cell>
          <cell r="J38">
            <v>46269</v>
          </cell>
          <cell r="K38">
            <v>0.25</v>
          </cell>
          <cell r="L38" t="str">
            <v>PREENFRIO NELLY</v>
          </cell>
          <cell r="M38">
            <v>4</v>
          </cell>
          <cell r="N38">
            <v>96</v>
          </cell>
          <cell r="O38">
            <v>46262</v>
          </cell>
          <cell r="P38">
            <v>0.99305555555555558</v>
          </cell>
          <cell r="Q38" t="str">
            <v>ALTA</v>
          </cell>
          <cell r="R38">
            <v>46264</v>
          </cell>
          <cell r="S38">
            <v>0.5625</v>
          </cell>
          <cell r="T38">
            <v>0.4375</v>
          </cell>
          <cell r="U38">
            <v>46265</v>
          </cell>
          <cell r="V38">
            <v>46265</v>
          </cell>
          <cell r="W38">
            <v>0.27083333333333331</v>
          </cell>
          <cell r="X38" t="str">
            <v>SI CUMPLE</v>
          </cell>
          <cell r="Y38" t="str">
            <v>NO CUMPLE</v>
          </cell>
          <cell r="AA38" t="str">
            <v>DESPACHADO</v>
          </cell>
          <cell r="AB38" t="str">
            <v>SEGOVIA</v>
          </cell>
          <cell r="AC38" t="str">
            <v>Santiago Antonio Herrera</v>
          </cell>
          <cell r="AD38">
            <v>65678</v>
          </cell>
          <cell r="AE38" t="str">
            <v>QCH1W04B60</v>
          </cell>
        </row>
        <row r="39">
          <cell r="A39" t="str">
            <v>Chanitos Premium Tarima Chep</v>
          </cell>
          <cell r="B39" t="str">
            <v>CPR01102</v>
          </cell>
          <cell r="C39" t="str">
            <v>A01001-352808-1</v>
          </cell>
          <cell r="D39" t="str">
            <v>A01 001 Marbella</v>
          </cell>
          <cell r="E39" t="str">
            <v>Chalco</v>
          </cell>
          <cell r="F39">
            <v>144</v>
          </cell>
          <cell r="G39">
            <v>3</v>
          </cell>
          <cell r="H39">
            <v>46262</v>
          </cell>
          <cell r="I39">
            <v>35</v>
          </cell>
          <cell r="J39">
            <v>46268</v>
          </cell>
          <cell r="L39" t="str">
            <v>PREENFRIO FORTALEZA</v>
          </cell>
          <cell r="M39">
            <v>1</v>
          </cell>
          <cell r="N39">
            <v>24</v>
          </cell>
          <cell r="O39">
            <v>46262</v>
          </cell>
          <cell r="P39">
            <v>0.82291666666666663</v>
          </cell>
          <cell r="Q39" t="str">
            <v>NORMAL</v>
          </cell>
          <cell r="R39">
            <v>46265</v>
          </cell>
          <cell r="S39">
            <v>0.27500000000000002</v>
          </cell>
          <cell r="T39">
            <v>0.625</v>
          </cell>
          <cell r="U39">
            <v>46265.9</v>
          </cell>
          <cell r="V39">
            <v>46265</v>
          </cell>
          <cell r="W39">
            <v>0.92708333333333337</v>
          </cell>
          <cell r="X39" t="str">
            <v>SI CUMPLE</v>
          </cell>
          <cell r="Y39" t="str">
            <v>SI CUMPLE</v>
          </cell>
          <cell r="AA39" t="str">
            <v>DESPACHADO</v>
          </cell>
          <cell r="AB39" t="str">
            <v>TRANSPORTES ASE</v>
          </cell>
          <cell r="AC39" t="str">
            <v>EDGAR CRUZ OLVERA</v>
          </cell>
          <cell r="AD39">
            <v>95538</v>
          </cell>
          <cell r="AE39" t="str">
            <v>QCH1W03NK0</v>
          </cell>
        </row>
        <row r="40">
          <cell r="A40" t="str">
            <v>Chanitos Organic Banded Market Side Mexico</v>
          </cell>
          <cell r="B40" t="str">
            <v>CRG07128</v>
          </cell>
          <cell r="C40" t="str">
            <v>A01002-352808-1</v>
          </cell>
          <cell r="D40" t="str">
            <v>A01 002 Fortaleza</v>
          </cell>
          <cell r="E40" t="str">
            <v>VSA</v>
          </cell>
          <cell r="F40">
            <v>288</v>
          </cell>
          <cell r="G40">
            <v>6</v>
          </cell>
          <cell r="H40">
            <v>46262</v>
          </cell>
          <cell r="I40">
            <v>35</v>
          </cell>
          <cell r="J40">
            <v>46268</v>
          </cell>
          <cell r="L40" t="str">
            <v>PREENFRIO FORTALEZA</v>
          </cell>
          <cell r="M40">
            <v>1</v>
          </cell>
          <cell r="N40">
            <v>24</v>
          </cell>
          <cell r="O40">
            <v>46262</v>
          </cell>
          <cell r="P40">
            <v>0.72916666666666663</v>
          </cell>
          <cell r="Q40" t="str">
            <v>NORMAL</v>
          </cell>
          <cell r="R40">
            <v>46264</v>
          </cell>
          <cell r="S40">
            <v>0.90972222222222221</v>
          </cell>
          <cell r="T40">
            <v>0.625</v>
          </cell>
          <cell r="U40">
            <v>46265.534722222219</v>
          </cell>
          <cell r="V40">
            <v>46266</v>
          </cell>
          <cell r="W40">
            <v>0.69791666666666663</v>
          </cell>
          <cell r="X40" t="str">
            <v>SI CUMPLE</v>
          </cell>
          <cell r="Y40" t="str">
            <v>SI CUMPLE</v>
          </cell>
          <cell r="AA40" t="str">
            <v>DESPACHADO</v>
          </cell>
          <cell r="AB40" t="str">
            <v>BACKHAUL</v>
          </cell>
          <cell r="AC40" t="str">
            <v>RAUL MEDINA JAIMES</v>
          </cell>
          <cell r="AD40">
            <v>11306</v>
          </cell>
          <cell r="AE40" t="str">
            <v>QCH1W04HD0</v>
          </cell>
        </row>
        <row r="41">
          <cell r="A41" t="str">
            <v>Chanitos Premium Tarima Chep</v>
          </cell>
          <cell r="B41" t="str">
            <v>CPR01102</v>
          </cell>
          <cell r="C41" t="str">
            <v>A01002-352808-1</v>
          </cell>
          <cell r="D41" t="str">
            <v>A01 002 Fortaleza</v>
          </cell>
          <cell r="E41" t="str">
            <v>VSA</v>
          </cell>
          <cell r="F41">
            <v>864</v>
          </cell>
          <cell r="G41">
            <v>18</v>
          </cell>
          <cell r="H41">
            <v>46262</v>
          </cell>
          <cell r="I41">
            <v>35</v>
          </cell>
          <cell r="J41">
            <v>46268</v>
          </cell>
          <cell r="L41" t="str">
            <v>PREENFRIO FORTALEZA</v>
          </cell>
          <cell r="M41">
            <v>1</v>
          </cell>
          <cell r="N41">
            <v>24</v>
          </cell>
          <cell r="O41">
            <v>46262</v>
          </cell>
          <cell r="P41">
            <v>0.72916666666666663</v>
          </cell>
          <cell r="Q41" t="str">
            <v>NORMAL</v>
          </cell>
          <cell r="R41">
            <v>46264</v>
          </cell>
          <cell r="S41">
            <v>0.90972222222222221</v>
          </cell>
          <cell r="T41">
            <v>0.625</v>
          </cell>
          <cell r="U41">
            <v>46265.534722222219</v>
          </cell>
          <cell r="V41">
            <v>46266</v>
          </cell>
          <cell r="W41">
            <v>0.69791666666666663</v>
          </cell>
          <cell r="X41" t="str">
            <v>SI CUMPLE</v>
          </cell>
          <cell r="Y41" t="str">
            <v>SI CUMPLE</v>
          </cell>
          <cell r="AA41" t="str">
            <v>DESPACHADO</v>
          </cell>
          <cell r="AB41" t="str">
            <v>BACKHAUL</v>
          </cell>
          <cell r="AC41" t="str">
            <v>RAUL MEDINA JAIMES</v>
          </cell>
          <cell r="AD41">
            <v>11306</v>
          </cell>
          <cell r="AE41" t="str">
            <v>QCH1W04HD0</v>
          </cell>
        </row>
        <row r="42">
          <cell r="A42" t="str">
            <v>Chanitos Premium EUA Tarima Americana</v>
          </cell>
          <cell r="B42" t="str">
            <v>CPR01104</v>
          </cell>
          <cell r="C42" t="str">
            <v>A01003-352908-1</v>
          </cell>
          <cell r="D42" t="str">
            <v>A01 003 Doña Nelly</v>
          </cell>
          <cell r="E42" t="str">
            <v>McAllen</v>
          </cell>
          <cell r="F42">
            <v>960</v>
          </cell>
          <cell r="G42">
            <v>20</v>
          </cell>
          <cell r="H42">
            <v>46263</v>
          </cell>
          <cell r="I42">
            <v>35</v>
          </cell>
          <cell r="J42">
            <v>46268</v>
          </cell>
          <cell r="L42" t="str">
            <v>DIRECTO SIN PREENFRIO</v>
          </cell>
          <cell r="M42">
            <v>3</v>
          </cell>
          <cell r="N42">
            <v>72</v>
          </cell>
          <cell r="O42">
            <v>46262</v>
          </cell>
          <cell r="P42">
            <v>0.625</v>
          </cell>
          <cell r="Q42" t="str">
            <v>NORMAL</v>
          </cell>
          <cell r="R42" t="str">
            <v>SIN PRENFRIO</v>
          </cell>
          <cell r="S42" t="str">
            <v>SIN PRENFRIO</v>
          </cell>
          <cell r="T42" t="str">
            <v>N/A</v>
          </cell>
          <cell r="V42">
            <v>46263</v>
          </cell>
          <cell r="W42">
            <v>0.65972222222222221</v>
          </cell>
          <cell r="X42" t="str">
            <v/>
          </cell>
          <cell r="Y42" t="str">
            <v>SI CUMPLE</v>
          </cell>
          <cell r="AA42" t="str">
            <v>DESPACHADO</v>
          </cell>
          <cell r="AB42" t="str">
            <v>TOMATITOS</v>
          </cell>
          <cell r="AC42" t="str">
            <v>Hugo Alejandro Rodriguez Rojas</v>
          </cell>
          <cell r="AE42" t="str">
            <v>QCH1W04AA</v>
          </cell>
        </row>
        <row r="43">
          <cell r="A43" t="str">
            <v>Chanitos Premium Tarima Chep</v>
          </cell>
          <cell r="B43" t="str">
            <v>CPR01102</v>
          </cell>
          <cell r="C43" t="str">
            <v>A01004-352908-1</v>
          </cell>
          <cell r="D43" t="str">
            <v>A01 004 La Ceiba</v>
          </cell>
          <cell r="E43" t="str">
            <v>Chalco</v>
          </cell>
          <cell r="F43">
            <v>954</v>
          </cell>
          <cell r="G43">
            <v>19.875</v>
          </cell>
          <cell r="H43">
            <v>46263</v>
          </cell>
          <cell r="I43">
            <v>35</v>
          </cell>
          <cell r="J43">
            <v>46268</v>
          </cell>
          <cell r="L43" t="str">
            <v>PREENFRIO FORTALEZA</v>
          </cell>
          <cell r="M43">
            <v>1</v>
          </cell>
          <cell r="N43">
            <v>24</v>
          </cell>
          <cell r="O43">
            <v>46263</v>
          </cell>
          <cell r="P43">
            <v>0.77916666666666667</v>
          </cell>
          <cell r="Q43" t="str">
            <v>NORMAL</v>
          </cell>
          <cell r="R43">
            <v>46265</v>
          </cell>
          <cell r="S43">
            <v>0.27500000000000002</v>
          </cell>
          <cell r="T43">
            <v>0.625</v>
          </cell>
          <cell r="U43">
            <v>46265.9</v>
          </cell>
          <cell r="V43">
            <v>46265</v>
          </cell>
          <cell r="W43">
            <v>0.92708333333333337</v>
          </cell>
          <cell r="X43" t="str">
            <v>SI CUMPLE</v>
          </cell>
          <cell r="Y43" t="str">
            <v>SI CUMPLE</v>
          </cell>
          <cell r="AA43" t="str">
            <v>DESPACHADO</v>
          </cell>
          <cell r="AB43" t="str">
            <v>TRANSPORTES ASE</v>
          </cell>
          <cell r="AC43" t="str">
            <v>EDGAR CRUZ OLVERA</v>
          </cell>
          <cell r="AD43">
            <v>95538</v>
          </cell>
          <cell r="AE43" t="str">
            <v>QCH1W03NK0</v>
          </cell>
        </row>
        <row r="44">
          <cell r="A44" t="str">
            <v>Chanitos Premium Tarima Chep</v>
          </cell>
          <cell r="B44" t="str">
            <v>CPR01102</v>
          </cell>
          <cell r="C44" t="str">
            <v>A01004-352908-1</v>
          </cell>
          <cell r="D44" t="str">
            <v>A01 004 La Ceiba</v>
          </cell>
          <cell r="E44" t="str">
            <v>Chalco</v>
          </cell>
          <cell r="F44">
            <v>54</v>
          </cell>
          <cell r="G44">
            <v>1.125</v>
          </cell>
          <cell r="H44">
            <v>46263</v>
          </cell>
          <cell r="I44">
            <v>35</v>
          </cell>
          <cell r="J44">
            <v>46268</v>
          </cell>
          <cell r="L44" t="str">
            <v>PREENFRIO FORTALEZA</v>
          </cell>
          <cell r="M44">
            <v>1</v>
          </cell>
          <cell r="N44">
            <v>24</v>
          </cell>
          <cell r="O44">
            <v>46263</v>
          </cell>
          <cell r="P44">
            <v>0.77916666666666667</v>
          </cell>
          <cell r="Q44" t="str">
            <v>NORMAL</v>
          </cell>
          <cell r="R44">
            <v>46265</v>
          </cell>
          <cell r="S44">
            <v>0.27500000000000002</v>
          </cell>
          <cell r="T44">
            <v>0.625</v>
          </cell>
          <cell r="U44">
            <v>46265.9</v>
          </cell>
          <cell r="V44">
            <v>46265</v>
          </cell>
          <cell r="W44">
            <v>0.92708333333333337</v>
          </cell>
          <cell r="X44" t="str">
            <v>SI CUMPLE</v>
          </cell>
          <cell r="Y44" t="str">
            <v>SI CUMPLE</v>
          </cell>
          <cell r="AA44" t="str">
            <v>DESPACHADO</v>
          </cell>
          <cell r="AB44" t="str">
            <v>TRANSPORTES ASE</v>
          </cell>
          <cell r="AC44" t="str">
            <v>EDGAR CRUZ OLVERA</v>
          </cell>
          <cell r="AD44">
            <v>95538</v>
          </cell>
          <cell r="AE44" t="str">
            <v>QCH1W03NK0</v>
          </cell>
        </row>
        <row r="45">
          <cell r="A45" t="str">
            <v>Chanitos Premium Tarima Americana</v>
          </cell>
          <cell r="B45" t="str">
            <v>CPR01103</v>
          </cell>
          <cell r="C45" t="str">
            <v>A11045-352908-1</v>
          </cell>
          <cell r="D45" t="str">
            <v>A25 022 Doña Mildred</v>
          </cell>
          <cell r="E45" t="str">
            <v>S-MTY</v>
          </cell>
          <cell r="F45">
            <v>960</v>
          </cell>
          <cell r="G45">
            <v>20</v>
          </cell>
          <cell r="H45">
            <v>46263</v>
          </cell>
          <cell r="I45">
            <v>35</v>
          </cell>
          <cell r="J45">
            <v>46269</v>
          </cell>
          <cell r="K45">
            <v>0.25</v>
          </cell>
          <cell r="L45" t="str">
            <v>PREENFRIO NELLY</v>
          </cell>
          <cell r="M45">
            <v>3</v>
          </cell>
          <cell r="N45">
            <v>72</v>
          </cell>
          <cell r="O45">
            <v>46262</v>
          </cell>
          <cell r="P45">
            <v>0.91319444444444442</v>
          </cell>
          <cell r="Q45" t="str">
            <v>ALTA</v>
          </cell>
          <cell r="R45">
            <v>46265</v>
          </cell>
          <cell r="S45">
            <v>0.28472222222222221</v>
          </cell>
          <cell r="T45">
            <v>0.4375</v>
          </cell>
          <cell r="U45">
            <v>46265.722222222219</v>
          </cell>
          <cell r="V45">
            <v>46265</v>
          </cell>
          <cell r="W45">
            <v>0.85416666666666663</v>
          </cell>
          <cell r="X45" t="str">
            <v>SI CUMPLE</v>
          </cell>
          <cell r="Y45" t="str">
            <v>SI CUMPLE</v>
          </cell>
          <cell r="AA45" t="str">
            <v>DESPACHADO</v>
          </cell>
          <cell r="AB45" t="str">
            <v>SEGOVIA</v>
          </cell>
          <cell r="AC45" t="str">
            <v>Olivar Arguello Orantes</v>
          </cell>
          <cell r="AD45">
            <v>46940</v>
          </cell>
        </row>
        <row r="46">
          <cell r="A46" t="str">
            <v>Chanitos Premium Tarima Americana</v>
          </cell>
          <cell r="B46" t="str">
            <v>CPR01103</v>
          </cell>
          <cell r="C46" t="str">
            <v>A25022-352908-1</v>
          </cell>
          <cell r="D46" t="str">
            <v>A11 045 Sector Mazatan</v>
          </cell>
          <cell r="E46" t="str">
            <v>Ciudad Juarez</v>
          </cell>
          <cell r="F46">
            <v>960</v>
          </cell>
          <cell r="G46">
            <v>20</v>
          </cell>
          <cell r="H46">
            <v>46263</v>
          </cell>
          <cell r="I46">
            <v>35</v>
          </cell>
          <cell r="J46">
            <v>46269</v>
          </cell>
          <cell r="K46">
            <v>0.25</v>
          </cell>
          <cell r="L46" t="str">
            <v>PREENFRIO NELLY</v>
          </cell>
          <cell r="M46">
            <v>4</v>
          </cell>
          <cell r="N46">
            <v>96</v>
          </cell>
          <cell r="O46">
            <v>46263</v>
          </cell>
          <cell r="P46">
            <v>0.10416666666666667</v>
          </cell>
          <cell r="Q46" t="str">
            <v>ALTA</v>
          </cell>
          <cell r="R46">
            <v>46264</v>
          </cell>
          <cell r="S46">
            <v>0.93958333333333333</v>
          </cell>
          <cell r="T46">
            <v>0.4375</v>
          </cell>
          <cell r="U46">
            <v>46265.377083333333</v>
          </cell>
          <cell r="V46">
            <v>46265</v>
          </cell>
          <cell r="W46">
            <v>0.37708333333333333</v>
          </cell>
          <cell r="X46" t="str">
            <v>NO CUMPLE</v>
          </cell>
          <cell r="Y46" t="str">
            <v>NO CUMPLE</v>
          </cell>
          <cell r="AA46" t="str">
            <v>DESPACHADO</v>
          </cell>
          <cell r="AB46" t="str">
            <v>SEGOVIA</v>
          </cell>
          <cell r="AC46" t="str">
            <v>Santiago Antonio Herrera</v>
          </cell>
          <cell r="AD46">
            <v>42590</v>
          </cell>
          <cell r="AE46" t="str">
            <v>QCH1W04A90</v>
          </cell>
        </row>
        <row r="47">
          <cell r="A47" t="str">
            <v>Chanitos Premium Tarima Americana</v>
          </cell>
          <cell r="B47" t="str">
            <v>CPR01103</v>
          </cell>
          <cell r="C47" t="str">
            <v>A04039-352908-1</v>
          </cell>
          <cell r="D47" t="str">
            <v>A04 039 San Jose Morelia Nava</v>
          </cell>
          <cell r="E47" t="str">
            <v>S-MTY</v>
          </cell>
          <cell r="F47">
            <v>960</v>
          </cell>
          <cell r="G47">
            <v>20</v>
          </cell>
          <cell r="H47">
            <v>46263</v>
          </cell>
          <cell r="I47">
            <v>35</v>
          </cell>
          <cell r="J47">
            <v>46269</v>
          </cell>
          <cell r="K47">
            <v>0.25</v>
          </cell>
          <cell r="L47" t="str">
            <v>PREENFRIO NELLY</v>
          </cell>
          <cell r="M47">
            <v>3</v>
          </cell>
          <cell r="N47">
            <v>72</v>
          </cell>
          <cell r="O47">
            <v>46263</v>
          </cell>
          <cell r="P47">
            <v>0.10416666666666667</v>
          </cell>
          <cell r="Q47" t="str">
            <v>ALTA</v>
          </cell>
          <cell r="R47">
            <v>46265</v>
          </cell>
          <cell r="S47">
            <v>0.55555555555555558</v>
          </cell>
          <cell r="T47">
            <v>0.4375</v>
          </cell>
          <cell r="U47">
            <v>46265.993055555555</v>
          </cell>
          <cell r="V47">
            <v>46265</v>
          </cell>
          <cell r="W47">
            <v>0.85416666666666663</v>
          </cell>
          <cell r="X47" t="str">
            <v>SI CUMPLE</v>
          </cell>
          <cell r="Y47" t="str">
            <v>SI CUMPLE</v>
          </cell>
          <cell r="AA47" t="str">
            <v>DESPACHADO</v>
          </cell>
          <cell r="AB47" t="str">
            <v>SEGOVIA</v>
          </cell>
          <cell r="AC47" t="str">
            <v>Olivar Arguello Orantes</v>
          </cell>
          <cell r="AD47">
            <v>61086</v>
          </cell>
        </row>
        <row r="48">
          <cell r="A48" t="str">
            <v>Chanitos Premium EUA Tarima Americana</v>
          </cell>
          <cell r="B48" t="str">
            <v>CPR01104</v>
          </cell>
          <cell r="C48" t="str">
            <v>A01003-363108-1</v>
          </cell>
          <cell r="D48" t="str">
            <v>A01 003 Doña Nelly</v>
          </cell>
          <cell r="E48" t="str">
            <v>McAllen</v>
          </cell>
          <cell r="F48">
            <v>960</v>
          </cell>
          <cell r="G48">
            <v>20</v>
          </cell>
          <cell r="H48">
            <v>46265</v>
          </cell>
          <cell r="I48">
            <v>36</v>
          </cell>
          <cell r="J48">
            <v>46268</v>
          </cell>
          <cell r="L48" t="str">
            <v>PREENFRIO NELLY</v>
          </cell>
          <cell r="M48">
            <v>3</v>
          </cell>
          <cell r="N48">
            <v>72</v>
          </cell>
          <cell r="O48">
            <v>46265</v>
          </cell>
          <cell r="P48">
            <v>0.74652777777777779</v>
          </cell>
          <cell r="Q48" t="str">
            <v>NORMAL</v>
          </cell>
          <cell r="R48">
            <v>46265</v>
          </cell>
          <cell r="S48">
            <v>0.76388888888888884</v>
          </cell>
          <cell r="T48">
            <v>0.35416666666666669</v>
          </cell>
          <cell r="U48">
            <v>46266.118055555555</v>
          </cell>
          <cell r="V48">
            <v>46266</v>
          </cell>
          <cell r="W48">
            <v>9.5138888888888884E-2</v>
          </cell>
          <cell r="X48" t="str">
            <v>NO CUMPLE</v>
          </cell>
          <cell r="Y48" t="str">
            <v>NO CUMPLE</v>
          </cell>
          <cell r="AA48" t="str">
            <v>DESPACHADO</v>
          </cell>
          <cell r="AB48" t="str">
            <v>EXPRESS CAVAZOS</v>
          </cell>
          <cell r="AC48" t="str">
            <v>Jose Carlos Rabaza Lopez</v>
          </cell>
          <cell r="AD48">
            <v>46940</v>
          </cell>
          <cell r="AE48">
            <v>10000013462</v>
          </cell>
        </row>
        <row r="49">
          <cell r="A49" t="str">
            <v>Chanitos Premium Tarima Chep</v>
          </cell>
          <cell r="B49" t="str">
            <v>CPR01102</v>
          </cell>
          <cell r="C49" t="str">
            <v>A01003-363108-1</v>
          </cell>
          <cell r="D49" t="str">
            <v>A01 003 Doña Nelly</v>
          </cell>
          <cell r="E49" t="str">
            <v>SMO</v>
          </cell>
          <cell r="F49">
            <v>96</v>
          </cell>
          <cell r="G49">
            <v>4</v>
          </cell>
          <cell r="H49">
            <v>46265</v>
          </cell>
          <cell r="I49">
            <v>36</v>
          </cell>
          <cell r="J49">
            <v>46271</v>
          </cell>
          <cell r="L49" t="str">
            <v>PREENFRIO NELLY</v>
          </cell>
          <cell r="M49">
            <v>1.5</v>
          </cell>
          <cell r="N49">
            <v>36</v>
          </cell>
          <cell r="O49">
            <v>46265</v>
          </cell>
          <cell r="P49">
            <v>0.74652777777777779</v>
          </cell>
          <cell r="Q49" t="str">
            <v>NORMAL</v>
          </cell>
          <cell r="R49">
            <v>46265</v>
          </cell>
          <cell r="S49">
            <v>0.76388888888888884</v>
          </cell>
          <cell r="T49">
            <v>0.35416666666666669</v>
          </cell>
          <cell r="U49">
            <v>46266.118055555555</v>
          </cell>
          <cell r="V49">
            <v>46267</v>
          </cell>
          <cell r="W49">
            <v>0.51944444444444449</v>
          </cell>
          <cell r="X49" t="str">
            <v>SI CUMPLE</v>
          </cell>
          <cell r="Y49" t="str">
            <v>SI CUMPLE</v>
          </cell>
          <cell r="AA49" t="str">
            <v>DESPACHADO</v>
          </cell>
          <cell r="AB49" t="str">
            <v>TRANSP CARRILLO</v>
          </cell>
          <cell r="AC49" t="str">
            <v>Juan Carlos Muños Perez</v>
          </cell>
          <cell r="AD49">
            <v>99458</v>
          </cell>
          <cell r="AE49" t="str">
            <v>QCH1W048T0</v>
          </cell>
        </row>
        <row r="50">
          <cell r="A50" t="str">
            <v>Chanitos Premium EUA Tarima Americana</v>
          </cell>
          <cell r="B50" t="str">
            <v>CPR01104</v>
          </cell>
          <cell r="C50" t="str">
            <v>A11045-363108-1</v>
          </cell>
          <cell r="D50" t="str">
            <v>A11 Sector Mazatan</v>
          </cell>
          <cell r="E50" t="str">
            <v>McAllen</v>
          </cell>
          <cell r="F50">
            <v>384</v>
          </cell>
          <cell r="G50">
            <v>8</v>
          </cell>
          <cell r="H50">
            <v>46265</v>
          </cell>
          <cell r="I50">
            <v>36</v>
          </cell>
          <cell r="J50">
            <v>46269</v>
          </cell>
          <cell r="L50" t="str">
            <v>DIRECTO SIN PREENFRIO</v>
          </cell>
          <cell r="M50">
            <v>3</v>
          </cell>
          <cell r="N50">
            <v>72</v>
          </cell>
          <cell r="O50">
            <v>46266</v>
          </cell>
          <cell r="P50">
            <v>0.64583333333333337</v>
          </cell>
          <cell r="T50" t="str">
            <v>N/A</v>
          </cell>
          <cell r="V50">
            <v>46267</v>
          </cell>
          <cell r="W50">
            <v>0.24305555555555555</v>
          </cell>
          <cell r="X50" t="str">
            <v/>
          </cell>
          <cell r="Y50" t="str">
            <v>NO CUMPLE</v>
          </cell>
          <cell r="Z50" t="str">
            <v>EMPAQUE TARDIO</v>
          </cell>
          <cell r="AA50" t="str">
            <v>DESPACHADO</v>
          </cell>
          <cell r="AB50" t="str">
            <v>TRANSPORTES TOMATITOS</v>
          </cell>
          <cell r="AC50" t="str">
            <v>EDGAR EDUARDO CAVAZOS TAMEZ</v>
          </cell>
          <cell r="AD50">
            <v>47802</v>
          </cell>
          <cell r="AE50" t="str">
            <v>QCH1W04BQ0</v>
          </cell>
        </row>
        <row r="51">
          <cell r="A51" t="str">
            <v>Chanitos Premium Tarima Chep</v>
          </cell>
          <cell r="B51" t="str">
            <v>CPR01102</v>
          </cell>
          <cell r="C51" t="str">
            <v>A01001-363108-</v>
          </cell>
          <cell r="D51" t="str">
            <v>A01 001 Marbella</v>
          </cell>
          <cell r="E51" t="str">
            <v>Chalco</v>
          </cell>
          <cell r="F51">
            <v>1068</v>
          </cell>
          <cell r="G51">
            <v>22.25</v>
          </cell>
          <cell r="H51">
            <v>46265</v>
          </cell>
          <cell r="I51">
            <v>36</v>
          </cell>
          <cell r="J51">
            <v>46269</v>
          </cell>
          <cell r="L51" t="str">
            <v>PREENFRIO FORTALEZA</v>
          </cell>
          <cell r="M51">
            <v>1</v>
          </cell>
          <cell r="N51">
            <v>24</v>
          </cell>
          <cell r="O51">
            <v>46265</v>
          </cell>
          <cell r="P51">
            <v>0.76388888888888884</v>
          </cell>
          <cell r="Q51" t="str">
            <v>NORMAL</v>
          </cell>
          <cell r="R51">
            <v>46266</v>
          </cell>
          <cell r="S51">
            <v>0.15972222222222221</v>
          </cell>
          <cell r="T51">
            <v>0.625</v>
          </cell>
          <cell r="U51">
            <v>46266.784722222219</v>
          </cell>
          <cell r="V51">
            <v>46267</v>
          </cell>
          <cell r="W51">
            <v>6.9444444444444448E-2</v>
          </cell>
          <cell r="X51" t="str">
            <v>SI CUMPLE</v>
          </cell>
          <cell r="Y51" t="str">
            <v>SI CUMPLE</v>
          </cell>
          <cell r="AA51" t="str">
            <v>DESPACHADO</v>
          </cell>
          <cell r="AB51" t="str">
            <v>JONATHAN CARRILLO GODINEZ</v>
          </cell>
          <cell r="AC51" t="str">
            <v>GIOVANI OLIVER ESPINO ROJAS</v>
          </cell>
          <cell r="AD51">
            <v>36833</v>
          </cell>
          <cell r="AE51" t="str">
            <v>QCH1W04C00</v>
          </cell>
        </row>
        <row r="52">
          <cell r="A52" t="str">
            <v>Platano de Chiapas BAE UPC 3237</v>
          </cell>
          <cell r="B52" t="str">
            <v>CPR01114</v>
          </cell>
          <cell r="C52" t="str">
            <v>A01001-363108-</v>
          </cell>
          <cell r="D52" t="str">
            <v>A01 001 Marbella</v>
          </cell>
          <cell r="E52" t="str">
            <v>Chalco</v>
          </cell>
          <cell r="F52">
            <v>84</v>
          </cell>
          <cell r="G52">
            <v>1.75</v>
          </cell>
          <cell r="H52">
            <v>46265</v>
          </cell>
          <cell r="I52">
            <v>36</v>
          </cell>
          <cell r="J52">
            <v>46269</v>
          </cell>
          <cell r="L52" t="str">
            <v>PREENFRIO FORTALEZA</v>
          </cell>
          <cell r="M52">
            <v>1</v>
          </cell>
          <cell r="N52">
            <v>24</v>
          </cell>
          <cell r="O52">
            <v>46265</v>
          </cell>
          <cell r="P52">
            <v>0.76388888888888884</v>
          </cell>
          <cell r="Q52" t="str">
            <v>NORMAL</v>
          </cell>
          <cell r="R52">
            <v>46266</v>
          </cell>
          <cell r="S52">
            <v>0.15972222222222221</v>
          </cell>
          <cell r="T52">
            <v>0.625</v>
          </cell>
          <cell r="U52">
            <v>46266.784722222219</v>
          </cell>
          <cell r="V52">
            <v>46267</v>
          </cell>
          <cell r="W52">
            <v>6.9444444444444448E-2</v>
          </cell>
          <cell r="X52" t="str">
            <v>SI CUMPLE</v>
          </cell>
          <cell r="Y52" t="str">
            <v>SI CUMPLE</v>
          </cell>
          <cell r="AA52" t="str">
            <v>DESPACHADO</v>
          </cell>
          <cell r="AB52" t="str">
            <v>JONATHAN CARRILLO GODINEZ</v>
          </cell>
          <cell r="AC52" t="str">
            <v>GIOVANI OLIVER ESPINO ROJAS</v>
          </cell>
          <cell r="AD52">
            <v>36833</v>
          </cell>
          <cell r="AE52" t="str">
            <v>QCH1W04C00</v>
          </cell>
        </row>
        <row r="53">
          <cell r="A53" t="str">
            <v>Chanitos Premium EUA Tarima Americana</v>
          </cell>
          <cell r="B53" t="str">
            <v>CPR01104</v>
          </cell>
          <cell r="C53" t="e">
            <v>#N/A</v>
          </cell>
          <cell r="D53" t="str">
            <v>A11 Sector Mazatan</v>
          </cell>
          <cell r="E53" t="str">
            <v>McAllen</v>
          </cell>
          <cell r="F53">
            <v>960</v>
          </cell>
          <cell r="G53">
            <v>20</v>
          </cell>
          <cell r="H53">
            <v>46265</v>
          </cell>
          <cell r="I53">
            <v>36</v>
          </cell>
          <cell r="J53">
            <v>46269</v>
          </cell>
          <cell r="L53" t="str">
            <v>PREENFRIO FORTALEZA</v>
          </cell>
          <cell r="M53">
            <v>3</v>
          </cell>
          <cell r="N53">
            <v>72</v>
          </cell>
          <cell r="O53">
            <v>46265</v>
          </cell>
          <cell r="P53">
            <v>0.83333333333333337</v>
          </cell>
          <cell r="Q53" t="str">
            <v>NORMAL</v>
          </cell>
          <cell r="R53" t="str">
            <v>SIN PRENFRIO</v>
          </cell>
          <cell r="S53" t="str">
            <v>SIN PRENFRIO</v>
          </cell>
          <cell r="T53">
            <v>0.41666666666666669</v>
          </cell>
          <cell r="V53">
            <v>46266</v>
          </cell>
          <cell r="W53">
            <v>0.35416666666666669</v>
          </cell>
          <cell r="X53" t="str">
            <v>SI CUMPLE</v>
          </cell>
          <cell r="Y53" t="str">
            <v>NO CUMPLE</v>
          </cell>
          <cell r="Z53" t="str">
            <v>EMPAQUE TARDIO</v>
          </cell>
          <cell r="AA53" t="str">
            <v>DESPACHADO</v>
          </cell>
          <cell r="AB53" t="str">
            <v>TRANSPORTES TOMATITOS</v>
          </cell>
          <cell r="AC53" t="str">
            <v>MARIO GAITAN CANDIA</v>
          </cell>
          <cell r="AD53">
            <v>58923</v>
          </cell>
          <cell r="AE53" t="str">
            <v>QCH1W03P40</v>
          </cell>
        </row>
        <row r="54">
          <cell r="A54" t="str">
            <v>Chanitos Premium Tarima Chep</v>
          </cell>
          <cell r="B54" t="str">
            <v>CPR01102</v>
          </cell>
          <cell r="C54" t="str">
            <v>A01002-363108-</v>
          </cell>
          <cell r="D54" t="str">
            <v>A01 002 Fortaleza</v>
          </cell>
          <cell r="E54" t="str">
            <v>QRO</v>
          </cell>
          <cell r="F54">
            <v>1056</v>
          </cell>
          <cell r="G54">
            <v>22</v>
          </cell>
          <cell r="H54">
            <v>46265</v>
          </cell>
          <cell r="I54">
            <v>36</v>
          </cell>
          <cell r="J54">
            <v>46269</v>
          </cell>
          <cell r="L54" t="str">
            <v>PREENFRIO FORTALEZA</v>
          </cell>
          <cell r="M54">
            <v>1.5</v>
          </cell>
          <cell r="N54">
            <v>36</v>
          </cell>
          <cell r="O54">
            <v>46265</v>
          </cell>
          <cell r="P54">
            <v>0.73263888888888884</v>
          </cell>
          <cell r="Q54" t="str">
            <v>NORMAL</v>
          </cell>
          <cell r="R54">
            <v>46265</v>
          </cell>
          <cell r="S54">
            <v>0.9868055555555556</v>
          </cell>
          <cell r="T54">
            <v>0.625</v>
          </cell>
          <cell r="U54">
            <v>46266.611805555556</v>
          </cell>
          <cell r="V54">
            <v>46266</v>
          </cell>
          <cell r="W54">
            <v>0.76388888888888884</v>
          </cell>
          <cell r="X54" t="str">
            <v>SI CUMPLE</v>
          </cell>
          <cell r="Y54" t="str">
            <v>SI CUMPLE</v>
          </cell>
          <cell r="AA54" t="str">
            <v>DESPACHADO</v>
          </cell>
          <cell r="AB54" t="str">
            <v>TRANSPORTES TRI</v>
          </cell>
          <cell r="AC54" t="str">
            <v>ANGEL IRISSAN RAMIREZ</v>
          </cell>
          <cell r="AD54">
            <v>24500</v>
          </cell>
          <cell r="AE54" t="str">
            <v>QCH1W03YG0</v>
          </cell>
        </row>
        <row r="55">
          <cell r="A55" t="str">
            <v>Chanitos Organic Banded Market Side Mexico</v>
          </cell>
          <cell r="B55" t="str">
            <v>CRG07128</v>
          </cell>
          <cell r="C55" t="str">
            <v>A01002-363108-</v>
          </cell>
          <cell r="D55" t="str">
            <v>A01 002 Fortaleza</v>
          </cell>
          <cell r="E55" t="str">
            <v>QRO</v>
          </cell>
          <cell r="F55">
            <v>96</v>
          </cell>
          <cell r="G55">
            <v>2</v>
          </cell>
          <cell r="H55">
            <v>46265</v>
          </cell>
          <cell r="I55">
            <v>36</v>
          </cell>
          <cell r="J55">
            <v>46269</v>
          </cell>
          <cell r="L55" t="str">
            <v>PREENFRIO FORTALEZA</v>
          </cell>
          <cell r="M55">
            <v>1.5</v>
          </cell>
          <cell r="N55">
            <v>36</v>
          </cell>
          <cell r="O55">
            <v>46265</v>
          </cell>
          <cell r="P55">
            <v>0.73263888888888884</v>
          </cell>
          <cell r="Q55" t="str">
            <v>NORMAL</v>
          </cell>
          <cell r="R55">
            <v>46265</v>
          </cell>
          <cell r="S55">
            <v>0.9868055555555556</v>
          </cell>
          <cell r="T55">
            <v>0.625</v>
          </cell>
          <cell r="U55">
            <v>46266.611805555556</v>
          </cell>
          <cell r="V55">
            <v>46266</v>
          </cell>
          <cell r="W55">
            <v>0.76388888888888884</v>
          </cell>
          <cell r="X55" t="str">
            <v>SI CUMPLE</v>
          </cell>
          <cell r="Y55" t="str">
            <v>SI CUMPLE</v>
          </cell>
          <cell r="AA55" t="str">
            <v>DESPACHADO</v>
          </cell>
          <cell r="AB55" t="str">
            <v>TRANSPORTES TRI</v>
          </cell>
          <cell r="AC55" t="str">
            <v>ANGEL IRISSAN RAMIREZ</v>
          </cell>
          <cell r="AD55">
            <v>24500</v>
          </cell>
          <cell r="AE55" t="str">
            <v>QCH1W03YG0</v>
          </cell>
        </row>
        <row r="56">
          <cell r="A56" t="str">
            <v>Chanitos Premium EUA Tarima Americana</v>
          </cell>
          <cell r="B56" t="str">
            <v>CPR01104</v>
          </cell>
          <cell r="C56" t="str">
            <v>A11045-360109-1</v>
          </cell>
          <cell r="D56" t="str">
            <v>A11 045 Sector Mazatan</v>
          </cell>
          <cell r="E56" t="str">
            <v>McAllen</v>
          </cell>
          <cell r="F56">
            <v>576</v>
          </cell>
          <cell r="G56">
            <v>12</v>
          </cell>
          <cell r="H56">
            <v>46266</v>
          </cell>
          <cell r="I56">
            <v>36</v>
          </cell>
          <cell r="J56">
            <v>46269</v>
          </cell>
          <cell r="L56" t="str">
            <v>DIRECTO SIN PREENFRIO</v>
          </cell>
          <cell r="M56">
            <v>3</v>
          </cell>
          <cell r="N56">
            <v>72</v>
          </cell>
          <cell r="O56">
            <v>46266</v>
          </cell>
          <cell r="P56">
            <v>0.64583333333333337</v>
          </cell>
          <cell r="T56" t="str">
            <v>N/A</v>
          </cell>
          <cell r="V56">
            <v>46267</v>
          </cell>
          <cell r="W56">
            <v>0.24305555555555555</v>
          </cell>
          <cell r="X56" t="str">
            <v/>
          </cell>
          <cell r="Y56" t="str">
            <v>NO CUMPLE</v>
          </cell>
          <cell r="Z56" t="str">
            <v>EMPAQUE TARDIO</v>
          </cell>
          <cell r="AA56" t="str">
            <v>DESPACHADO</v>
          </cell>
          <cell r="AB56" t="str">
            <v>TRANSPORTES TOMATITOS</v>
          </cell>
          <cell r="AC56" t="str">
            <v>EDGAR EDUARDO CAVAZOS TAMEZ</v>
          </cell>
          <cell r="AD56">
            <v>47802</v>
          </cell>
          <cell r="AE56" t="str">
            <v>QCH1W04BQ0</v>
          </cell>
        </row>
        <row r="57">
          <cell r="A57" t="str">
            <v>Chanitos Premium EUA Tarima Americana</v>
          </cell>
          <cell r="B57" t="str">
            <v>CPR01104</v>
          </cell>
          <cell r="C57" t="str">
            <v>A04084-360109-1</v>
          </cell>
          <cell r="D57" t="str">
            <v>A04 084 Lisboa</v>
          </cell>
          <cell r="E57" t="str">
            <v>McAllen</v>
          </cell>
          <cell r="F57">
            <v>960</v>
          </cell>
          <cell r="G57">
            <v>20</v>
          </cell>
          <cell r="H57">
            <v>46266</v>
          </cell>
          <cell r="I57">
            <v>36</v>
          </cell>
          <cell r="J57">
            <v>46270</v>
          </cell>
          <cell r="L57" t="str">
            <v>DIRECTO SIN PREENFRIO</v>
          </cell>
          <cell r="M57">
            <v>3</v>
          </cell>
          <cell r="N57">
            <v>72</v>
          </cell>
          <cell r="O57">
            <v>46266</v>
          </cell>
          <cell r="P57">
            <v>0.95833333333333337</v>
          </cell>
          <cell r="Q57" t="str">
            <v>NORMAL</v>
          </cell>
          <cell r="T57" t="str">
            <v>N/A</v>
          </cell>
          <cell r="U57" t="str">
            <v/>
          </cell>
          <cell r="V57">
            <v>46267</v>
          </cell>
          <cell r="W57">
            <v>0.74305555555555558</v>
          </cell>
          <cell r="X57" t="str">
            <v/>
          </cell>
          <cell r="Y57" t="str">
            <v>NO CUMPLE</v>
          </cell>
          <cell r="AA57" t="str">
            <v>DESPACHADO</v>
          </cell>
          <cell r="AB57" t="str">
            <v>SEGOVIA</v>
          </cell>
          <cell r="AC57" t="str">
            <v>LUIS FERNANDO CANDELARIA VAZQUEZ</v>
          </cell>
          <cell r="AD57">
            <v>14304</v>
          </cell>
          <cell r="AE57" t="str">
            <v>QCH1W04CH0</v>
          </cell>
        </row>
        <row r="58">
          <cell r="A58" t="str">
            <v>Chanitos Premium EUA Tarima Americana</v>
          </cell>
          <cell r="B58" t="str">
            <v>CPR01104</v>
          </cell>
          <cell r="C58" t="str">
            <v>A01004-360109-1</v>
          </cell>
          <cell r="D58" t="str">
            <v>A01 004 La Ceiba</v>
          </cell>
          <cell r="E58" t="str">
            <v>McAllen</v>
          </cell>
          <cell r="F58">
            <v>960</v>
          </cell>
          <cell r="G58">
            <v>20</v>
          </cell>
          <cell r="H58">
            <v>46266</v>
          </cell>
          <cell r="I58">
            <v>36</v>
          </cell>
          <cell r="J58">
            <v>46270</v>
          </cell>
          <cell r="L58" t="str">
            <v>DIRECTO SIN PREENFRIO</v>
          </cell>
          <cell r="M58">
            <v>3</v>
          </cell>
          <cell r="N58">
            <v>72</v>
          </cell>
          <cell r="O58">
            <v>46266</v>
          </cell>
          <cell r="P58">
            <v>0.77083333333333337</v>
          </cell>
          <cell r="T58" t="str">
            <v>N/A</v>
          </cell>
          <cell r="V58">
            <v>46267</v>
          </cell>
          <cell r="W58">
            <v>0.74305555555555558</v>
          </cell>
          <cell r="X58" t="str">
            <v/>
          </cell>
          <cell r="Y58" t="str">
            <v>NO CUMPLE</v>
          </cell>
          <cell r="AA58" t="str">
            <v>DESPACHADO</v>
          </cell>
          <cell r="AB58" t="str">
            <v>SEGOVIA</v>
          </cell>
          <cell r="AC58" t="str">
            <v>LUIS FERNANDO CANDELARIA VAZQUEZ</v>
          </cell>
          <cell r="AD58">
            <v>14304</v>
          </cell>
          <cell r="AE58" t="str">
            <v>QCH1W04CJ0</v>
          </cell>
        </row>
        <row r="59">
          <cell r="A59" t="str">
            <v>Chanitos Premium Tarima Chep</v>
          </cell>
          <cell r="B59" t="str">
            <v>CPR01102</v>
          </cell>
          <cell r="C59" t="str">
            <v>A01004-360109-1</v>
          </cell>
          <cell r="D59" t="str">
            <v>A01 004 La Ceiba</v>
          </cell>
          <cell r="E59" t="str">
            <v>Chalco</v>
          </cell>
          <cell r="F59">
            <v>288</v>
          </cell>
          <cell r="G59">
            <v>6</v>
          </cell>
          <cell r="H59">
            <v>46266</v>
          </cell>
          <cell r="I59">
            <v>36</v>
          </cell>
          <cell r="J59">
            <v>46270</v>
          </cell>
          <cell r="L59" t="str">
            <v>PREENFRIO FORTALEZA</v>
          </cell>
          <cell r="M59">
            <v>1</v>
          </cell>
          <cell r="N59">
            <v>24</v>
          </cell>
          <cell r="O59">
            <v>46266</v>
          </cell>
          <cell r="P59">
            <v>0.89583333333333337</v>
          </cell>
          <cell r="Q59" t="str">
            <v>NORMAL</v>
          </cell>
          <cell r="R59">
            <v>46266</v>
          </cell>
          <cell r="S59">
            <v>0.9375</v>
          </cell>
          <cell r="T59">
            <v>0.33333333333333331</v>
          </cell>
          <cell r="U59">
            <v>46267.270833333336</v>
          </cell>
          <cell r="V59">
            <v>46267</v>
          </cell>
          <cell r="W59">
            <v>0.35069444444444442</v>
          </cell>
          <cell r="X59" t="str">
            <v>SI CUMPLE</v>
          </cell>
          <cell r="Y59" t="str">
            <v>SI CUMPLE</v>
          </cell>
          <cell r="Z59" t="str">
            <v>COMPLETA EN NELLY</v>
          </cell>
          <cell r="AA59" t="str">
            <v xml:space="preserve">DESPACHADO  </v>
          </cell>
          <cell r="AB59" t="str">
            <v>JONATHAN CARRILLO GODINEZ</v>
          </cell>
          <cell r="AC59" t="str">
            <v>MARCO ANTONIO CRUZ LUNA</v>
          </cell>
          <cell r="AD59">
            <v>13246</v>
          </cell>
          <cell r="AE59" t="str">
            <v>N/A</v>
          </cell>
        </row>
        <row r="60">
          <cell r="A60" t="str">
            <v>Platano de Chiapas BAE UPC 3237</v>
          </cell>
          <cell r="B60" t="str">
            <v>CPR01114</v>
          </cell>
          <cell r="C60" t="str">
            <v>A01003-360109-1</v>
          </cell>
          <cell r="D60" t="str">
            <v>A01 003 Doña Nelly</v>
          </cell>
          <cell r="E60" t="str">
            <v>Chalco</v>
          </cell>
          <cell r="F60">
            <v>66</v>
          </cell>
          <cell r="G60">
            <v>1.375</v>
          </cell>
          <cell r="H60">
            <v>46266</v>
          </cell>
          <cell r="I60">
            <v>36</v>
          </cell>
          <cell r="J60">
            <v>46270</v>
          </cell>
          <cell r="L60" t="str">
            <v>PREENFRIO NELLY</v>
          </cell>
          <cell r="M60">
            <v>1</v>
          </cell>
          <cell r="N60">
            <v>24</v>
          </cell>
          <cell r="O60">
            <v>46266</v>
          </cell>
          <cell r="P60">
            <v>0.78819444444444442</v>
          </cell>
          <cell r="Q60" t="str">
            <v>NORMAL</v>
          </cell>
          <cell r="R60">
            <v>46266</v>
          </cell>
          <cell r="S60">
            <v>0.87152777777777779</v>
          </cell>
          <cell r="T60">
            <v>0.35416666666666669</v>
          </cell>
          <cell r="U60">
            <v>46267.225694444445</v>
          </cell>
          <cell r="V60">
            <v>46267</v>
          </cell>
          <cell r="W60">
            <v>0.75</v>
          </cell>
          <cell r="X60" t="str">
            <v>SI CUMPLE</v>
          </cell>
          <cell r="Y60" t="str">
            <v>SI CUMPLE</v>
          </cell>
          <cell r="AA60" t="str">
            <v>DESPACHADO</v>
          </cell>
          <cell r="AB60" t="str">
            <v>REFRIGERADOS CARRILLO</v>
          </cell>
          <cell r="AC60" t="str">
            <v>MARCO ANTONIO CRUZ LUNA</v>
          </cell>
          <cell r="AD60">
            <v>46021</v>
          </cell>
        </row>
        <row r="61">
          <cell r="A61" t="str">
            <v>Chanitos Premium Tarima Chep</v>
          </cell>
          <cell r="B61" t="str">
            <v>CPR01102</v>
          </cell>
          <cell r="C61" t="str">
            <v>A01003-360109-1</v>
          </cell>
          <cell r="D61" t="str">
            <v>A01 003 Doña Nelly</v>
          </cell>
          <cell r="E61" t="str">
            <v>Chalco</v>
          </cell>
          <cell r="F61">
            <v>798</v>
          </cell>
          <cell r="G61">
            <v>16.625</v>
          </cell>
          <cell r="H61">
            <v>46266</v>
          </cell>
          <cell r="I61">
            <v>36</v>
          </cell>
          <cell r="J61">
            <v>46270</v>
          </cell>
          <cell r="L61" t="str">
            <v>PREENFRIO NELLY</v>
          </cell>
          <cell r="M61">
            <v>1</v>
          </cell>
          <cell r="N61">
            <v>24</v>
          </cell>
          <cell r="O61">
            <v>46266</v>
          </cell>
          <cell r="P61">
            <v>0.78819444444444442</v>
          </cell>
          <cell r="Q61" t="str">
            <v>NORMAL</v>
          </cell>
          <cell r="R61">
            <v>46266</v>
          </cell>
          <cell r="S61">
            <v>0.87152777777777779</v>
          </cell>
          <cell r="T61">
            <v>0.35416666666666669</v>
          </cell>
          <cell r="U61">
            <v>46267.225694444445</v>
          </cell>
          <cell r="V61">
            <v>46267</v>
          </cell>
          <cell r="W61">
            <v>0.75</v>
          </cell>
          <cell r="X61" t="str">
            <v>SI CUMPLE</v>
          </cell>
          <cell r="Y61" t="str">
            <v>SI CUMPLE</v>
          </cell>
          <cell r="AA61" t="str">
            <v>DESPACHADO</v>
          </cell>
          <cell r="AB61" t="str">
            <v>REFRIGERADOS CARRILLO</v>
          </cell>
          <cell r="AC61" t="str">
            <v>MARCO ANTONIO CRUZ LUNA</v>
          </cell>
          <cell r="AD61">
            <v>46021</v>
          </cell>
        </row>
        <row r="62">
          <cell r="A62" t="str">
            <v>Chanitos Premium Tarima Chep</v>
          </cell>
          <cell r="B62" t="str">
            <v>CPR01102</v>
          </cell>
          <cell r="C62" t="str">
            <v>A01003-360109-1</v>
          </cell>
          <cell r="D62" t="str">
            <v>A01 003 Doña Nelly</v>
          </cell>
          <cell r="E62" t="str">
            <v>SMO</v>
          </cell>
          <cell r="F62">
            <v>1008</v>
          </cell>
          <cell r="G62">
            <v>22</v>
          </cell>
          <cell r="H62">
            <v>46266</v>
          </cell>
          <cell r="I62">
            <v>36</v>
          </cell>
          <cell r="J62">
            <v>46270</v>
          </cell>
          <cell r="L62" t="str">
            <v>PREENFRIO NELLY</v>
          </cell>
          <cell r="M62">
            <v>1.5</v>
          </cell>
          <cell r="N62">
            <v>36</v>
          </cell>
          <cell r="O62">
            <v>46266</v>
          </cell>
          <cell r="P62">
            <v>0.5</v>
          </cell>
          <cell r="Q62" t="str">
            <v>NORMAL</v>
          </cell>
          <cell r="R62">
            <v>46266</v>
          </cell>
          <cell r="S62">
            <v>0.51249999999999996</v>
          </cell>
          <cell r="T62">
            <v>0.35416666666666669</v>
          </cell>
          <cell r="U62">
            <v>46266.866666666661</v>
          </cell>
          <cell r="V62">
            <v>46267</v>
          </cell>
          <cell r="W62">
            <v>0.51944444444444449</v>
          </cell>
          <cell r="X62" t="str">
            <v>SI CUMPLE</v>
          </cell>
          <cell r="Y62" t="str">
            <v>SI CUMPLE</v>
          </cell>
          <cell r="AA62" t="str">
            <v>DESPACHADO</v>
          </cell>
          <cell r="AB62" t="str">
            <v>TRANSP CARRILLO</v>
          </cell>
          <cell r="AC62" t="str">
            <v>Juan Carlos Muños Perez</v>
          </cell>
          <cell r="AD62">
            <v>99458</v>
          </cell>
          <cell r="AE62" t="str">
            <v>QCH1W048T0</v>
          </cell>
        </row>
        <row r="63">
          <cell r="A63" t="str">
            <v>Chanitos Premium EUA Tarima Americana</v>
          </cell>
          <cell r="B63" t="str">
            <v>CPR01104</v>
          </cell>
          <cell r="C63" t="str">
            <v>A01002-360209-1</v>
          </cell>
          <cell r="D63" t="str">
            <v>A01 002 Fortaleza</v>
          </cell>
          <cell r="E63" t="str">
            <v>McAllen</v>
          </cell>
          <cell r="F63">
            <v>960</v>
          </cell>
          <cell r="G63">
            <v>20</v>
          </cell>
          <cell r="H63">
            <v>46267</v>
          </cell>
          <cell r="I63">
            <v>36</v>
          </cell>
          <cell r="J63">
            <v>46270</v>
          </cell>
          <cell r="L63" t="str">
            <v>DIRECTO SIN PREENFRIO</v>
          </cell>
          <cell r="M63">
            <v>3</v>
          </cell>
          <cell r="N63">
            <v>72</v>
          </cell>
          <cell r="O63">
            <v>46267</v>
          </cell>
          <cell r="P63">
            <v>0.75</v>
          </cell>
          <cell r="U63" t="str">
            <v/>
          </cell>
          <cell r="V63">
            <v>46268</v>
          </cell>
          <cell r="W63">
            <v>0.77777777777777779</v>
          </cell>
          <cell r="X63" t="str">
            <v/>
          </cell>
          <cell r="Y63" t="str">
            <v>NO CUMPLE</v>
          </cell>
          <cell r="AA63" t="str">
            <v>DESPACHADO</v>
          </cell>
          <cell r="AB63" t="str">
            <v>GUANGOS</v>
          </cell>
          <cell r="AC63" t="str">
            <v>OSCAR FABIAN GARCIA GARCIA</v>
          </cell>
          <cell r="AD63">
            <v>12743</v>
          </cell>
          <cell r="AE63" t="str">
            <v>QCH1W04BY0</v>
          </cell>
        </row>
        <row r="64">
          <cell r="A64" t="str">
            <v>Chanitos Premium EUA Tarima Americana</v>
          </cell>
          <cell r="B64" t="str">
            <v>CPR01104</v>
          </cell>
          <cell r="C64" t="str">
            <v>A04084-360209-1</v>
          </cell>
          <cell r="D64" t="str">
            <v>A04 084 Lisboa</v>
          </cell>
          <cell r="E64" t="str">
            <v>McAllen</v>
          </cell>
          <cell r="F64">
            <v>960</v>
          </cell>
          <cell r="G64">
            <v>20</v>
          </cell>
          <cell r="H64">
            <v>46267</v>
          </cell>
          <cell r="I64">
            <v>36</v>
          </cell>
          <cell r="J64">
            <v>46270</v>
          </cell>
          <cell r="L64" t="str">
            <v>DIRECTO SIN PREENFRIO</v>
          </cell>
          <cell r="M64">
            <v>3</v>
          </cell>
          <cell r="N64">
            <v>72</v>
          </cell>
          <cell r="O64">
            <v>46267</v>
          </cell>
          <cell r="P64">
            <v>0.83333333333333337</v>
          </cell>
          <cell r="T64" t="str">
            <v>N/A</v>
          </cell>
          <cell r="U64" t="str">
            <v/>
          </cell>
          <cell r="V64">
            <v>46269</v>
          </cell>
          <cell r="W64">
            <v>0.28125</v>
          </cell>
          <cell r="X64" t="str">
            <v/>
          </cell>
          <cell r="Y64" t="str">
            <v>NO CUMPLE</v>
          </cell>
          <cell r="AA64" t="str">
            <v>DESPACHADO</v>
          </cell>
          <cell r="AB64" t="str">
            <v>TOMATITOS</v>
          </cell>
          <cell r="AC64" t="str">
            <v>KEVIN JONAS RINCON CHAVEZ</v>
          </cell>
          <cell r="AD64">
            <v>37561</v>
          </cell>
          <cell r="AE64" t="str">
            <v>QCH1W04C30</v>
          </cell>
        </row>
        <row r="65">
          <cell r="A65" t="str">
            <v>Chanitos Premium Tarima Chep</v>
          </cell>
          <cell r="B65" t="str">
            <v>CPR01102</v>
          </cell>
          <cell r="C65" t="str">
            <v>A36005-360209-1</v>
          </cell>
          <cell r="D65" t="str">
            <v>A04 005 La Gloria</v>
          </cell>
          <cell r="E65" t="str">
            <v>VSA</v>
          </cell>
          <cell r="F65">
            <v>864</v>
          </cell>
          <cell r="G65">
            <v>18</v>
          </cell>
          <cell r="H65">
            <v>46267</v>
          </cell>
          <cell r="I65">
            <v>36</v>
          </cell>
          <cell r="J65">
            <v>46270</v>
          </cell>
          <cell r="L65" t="str">
            <v>PREENFRIO FORTALEZA</v>
          </cell>
          <cell r="M65">
            <v>1</v>
          </cell>
          <cell r="N65">
            <v>24</v>
          </cell>
          <cell r="O65">
            <v>46268</v>
          </cell>
          <cell r="P65">
            <v>8.3333333333333329E-2</v>
          </cell>
          <cell r="Q65" t="str">
            <v>ALTA</v>
          </cell>
          <cell r="R65">
            <v>46268</v>
          </cell>
          <cell r="S65">
            <v>0.71458333333333335</v>
          </cell>
          <cell r="T65">
            <v>0.625</v>
          </cell>
          <cell r="U65">
            <v>46269.339583333334</v>
          </cell>
          <cell r="V65">
            <v>46269</v>
          </cell>
          <cell r="W65">
            <v>0.43402777777777779</v>
          </cell>
          <cell r="X65" t="str">
            <v>NO CUMPLE</v>
          </cell>
          <cell r="Y65" t="str">
            <v>NO CUMPLE</v>
          </cell>
          <cell r="Z65" t="str">
            <v>VOLUMEN / CAPACIDAD INSTALADA</v>
          </cell>
          <cell r="AA65" t="str">
            <v>DESPACHADO</v>
          </cell>
          <cell r="AB65" t="str">
            <v xml:space="preserve">Jazmin Flores </v>
          </cell>
          <cell r="AC65" t="str">
            <v>RAUL VALDIVIA FLORES</v>
          </cell>
          <cell r="AD65">
            <v>59000</v>
          </cell>
          <cell r="AE65" t="str">
            <v>QCH1W04CG0</v>
          </cell>
        </row>
        <row r="66">
          <cell r="A66" t="str">
            <v>Chanitos Premium Tarima Chep</v>
          </cell>
          <cell r="B66" t="str">
            <v>CPR01102</v>
          </cell>
          <cell r="C66" t="str">
            <v>A01003-360209-1</v>
          </cell>
          <cell r="D66" t="str">
            <v>A01 003 Doña Nelly</v>
          </cell>
          <cell r="E66" t="str">
            <v>SMO</v>
          </cell>
          <cell r="F66">
            <v>48</v>
          </cell>
          <cell r="G66">
            <v>1</v>
          </cell>
          <cell r="H66">
            <v>46267</v>
          </cell>
          <cell r="I66">
            <v>36</v>
          </cell>
          <cell r="J66">
            <v>46270</v>
          </cell>
          <cell r="L66" t="str">
            <v>PREENFRIO NELLY</v>
          </cell>
          <cell r="M66">
            <v>1.5</v>
          </cell>
          <cell r="N66">
            <v>36</v>
          </cell>
          <cell r="O66">
            <v>46267</v>
          </cell>
          <cell r="P66">
            <v>0.61805555555555558</v>
          </cell>
          <cell r="Q66" t="str">
            <v>ALTA</v>
          </cell>
          <cell r="R66">
            <v>46267</v>
          </cell>
          <cell r="S66">
            <v>0.62291666666666667</v>
          </cell>
          <cell r="T66">
            <v>0.35416666666666669</v>
          </cell>
          <cell r="U66">
            <v>46267.977083333331</v>
          </cell>
          <cell r="V66">
            <v>46267</v>
          </cell>
          <cell r="W66">
            <v>0.51944444444444449</v>
          </cell>
          <cell r="X66" t="str">
            <v>SI CUMPLE</v>
          </cell>
          <cell r="Y66" t="str">
            <v>SI CUMPLE</v>
          </cell>
          <cell r="AA66" t="str">
            <v>DESPACHADO</v>
          </cell>
          <cell r="AB66" t="str">
            <v>TRANSP CARRILLO</v>
          </cell>
          <cell r="AC66" t="str">
            <v>Juan Carlos Muños Perez</v>
          </cell>
          <cell r="AD66">
            <v>99458</v>
          </cell>
          <cell r="AE66" t="str">
            <v>QCH1W048T0</v>
          </cell>
        </row>
        <row r="67">
          <cell r="A67" t="str">
            <v>Chanitos Premium Tarima Chep</v>
          </cell>
          <cell r="B67" t="str">
            <v>CPR01102</v>
          </cell>
          <cell r="C67" t="str">
            <v>A12057-360309-1</v>
          </cell>
          <cell r="D67" t="str">
            <v>A12 057 Tiquisate 1</v>
          </cell>
          <cell r="E67" t="str">
            <v>VSA</v>
          </cell>
          <cell r="F67">
            <v>288</v>
          </cell>
          <cell r="G67">
            <v>6</v>
          </cell>
          <cell r="H67">
            <v>46268</v>
          </cell>
          <cell r="I67">
            <v>36</v>
          </cell>
          <cell r="J67">
            <v>46270</v>
          </cell>
          <cell r="L67" t="str">
            <v>PREENFRIO FORTALEZA</v>
          </cell>
          <cell r="M67">
            <v>1</v>
          </cell>
          <cell r="N67">
            <v>24</v>
          </cell>
          <cell r="O67">
            <v>46268</v>
          </cell>
          <cell r="P67">
            <v>0.5625</v>
          </cell>
          <cell r="Q67" t="str">
            <v>ALTA</v>
          </cell>
          <cell r="R67">
            <v>46268</v>
          </cell>
          <cell r="S67">
            <v>0.71458333333333335</v>
          </cell>
          <cell r="T67">
            <v>0.625</v>
          </cell>
          <cell r="U67">
            <v>46269.339583333334</v>
          </cell>
          <cell r="V67">
            <v>46269</v>
          </cell>
          <cell r="W67">
            <v>0.43402777777777779</v>
          </cell>
          <cell r="X67" t="str">
            <v>NO CUMPLE</v>
          </cell>
          <cell r="Y67" t="str">
            <v>NO CUMPLE</v>
          </cell>
          <cell r="Z67" t="str">
            <v>VOLUMEN / CAPACIDAD INSTALADA</v>
          </cell>
          <cell r="AA67" t="str">
            <v>DESPACHADO</v>
          </cell>
          <cell r="AB67" t="str">
            <v xml:space="preserve">Jazmin Flores </v>
          </cell>
          <cell r="AC67" t="str">
            <v>RAUL VALDIVIA FLORES</v>
          </cell>
          <cell r="AD67">
            <v>59000</v>
          </cell>
          <cell r="AE67" t="str">
            <v>QCH1W04CG0</v>
          </cell>
        </row>
        <row r="68">
          <cell r="A68" t="str">
            <v>Chanitos Premium Tarima Chep</v>
          </cell>
          <cell r="B68" t="str">
            <v>CPR01102</v>
          </cell>
          <cell r="C68" t="str">
            <v>A01001-363108-1</v>
          </cell>
          <cell r="D68" t="str">
            <v>A01 001 Marbella</v>
          </cell>
          <cell r="E68" t="str">
            <v>SMO</v>
          </cell>
          <cell r="F68">
            <v>48</v>
          </cell>
          <cell r="G68">
            <v>1</v>
          </cell>
          <cell r="H68">
            <v>46265</v>
          </cell>
          <cell r="I68">
            <v>36</v>
          </cell>
          <cell r="J68">
            <v>46271</v>
          </cell>
          <cell r="L68" t="str">
            <v>PREENFRIO FORTALEZA</v>
          </cell>
          <cell r="M68">
            <v>1.5</v>
          </cell>
          <cell r="N68">
            <v>36</v>
          </cell>
          <cell r="O68">
            <v>46266</v>
          </cell>
          <cell r="P68">
            <v>0.9375</v>
          </cell>
          <cell r="Q68" t="str">
            <v>NORMAL</v>
          </cell>
          <cell r="R68">
            <v>46267</v>
          </cell>
          <cell r="S68">
            <v>0.86041666666666672</v>
          </cell>
          <cell r="T68">
            <v>0.25</v>
          </cell>
          <cell r="U68">
            <v>46268.11041666667</v>
          </cell>
          <cell r="V68">
            <v>46268</v>
          </cell>
          <cell r="W68">
            <v>0.74305555555555558</v>
          </cell>
          <cell r="X68" t="str">
            <v>SI CUMPLE</v>
          </cell>
          <cell r="Y68" t="str">
            <v>SI CUMPLE</v>
          </cell>
          <cell r="AA68" t="str">
            <v>DESPACHADO</v>
          </cell>
          <cell r="AB68" t="str">
            <v>TRL</v>
          </cell>
          <cell r="AC68" t="str">
            <v>ALAN ANDRES MARTINEZ LEGORRETA</v>
          </cell>
          <cell r="AD68">
            <v>73856</v>
          </cell>
          <cell r="AE68" t="str">
            <v>QCH1W04C50</v>
          </cell>
        </row>
        <row r="69">
          <cell r="A69" t="str">
            <v>Chanitos Premium Tarima Chep</v>
          </cell>
          <cell r="B69" t="str">
            <v>CPR01102</v>
          </cell>
          <cell r="C69" t="str">
            <v>A01003-360209-1</v>
          </cell>
          <cell r="D69" t="str">
            <v>A01 003 Doña Nelly</v>
          </cell>
          <cell r="E69" t="str">
            <v>SMO</v>
          </cell>
          <cell r="F69">
            <v>528</v>
          </cell>
          <cell r="G69">
            <v>11</v>
          </cell>
          <cell r="H69">
            <v>46267</v>
          </cell>
          <cell r="I69">
            <v>36</v>
          </cell>
          <cell r="J69">
            <v>46271</v>
          </cell>
          <cell r="L69" t="str">
            <v>PREENFRIO NELLY</v>
          </cell>
          <cell r="M69">
            <v>1.5</v>
          </cell>
          <cell r="N69">
            <v>36</v>
          </cell>
          <cell r="O69">
            <v>46267</v>
          </cell>
          <cell r="P69">
            <v>0.79166666666666663</v>
          </cell>
          <cell r="Q69" t="str">
            <v>NORMAL</v>
          </cell>
          <cell r="R69">
            <v>46268</v>
          </cell>
          <cell r="S69">
            <v>1.0416666666666666E-2</v>
          </cell>
          <cell r="T69">
            <v>0.35416666666666669</v>
          </cell>
          <cell r="U69">
            <v>46268.364583333328</v>
          </cell>
          <cell r="V69">
            <v>46269</v>
          </cell>
          <cell r="W69">
            <v>0.49166666666666664</v>
          </cell>
          <cell r="X69" t="str">
            <v>SI CUMPLE</v>
          </cell>
          <cell r="Y69" t="str">
            <v>SI CUMPLE</v>
          </cell>
          <cell r="AA69" t="str">
            <v>DESPACHADO</v>
          </cell>
          <cell r="AB69" t="str">
            <v>Transp Zaragoza</v>
          </cell>
          <cell r="AC69" t="str">
            <v>Oscar Guadalupe Zaragoza</v>
          </cell>
          <cell r="AD69">
            <v>23955</v>
          </cell>
          <cell r="AE69" t="str">
            <v>QCH1W04A40</v>
          </cell>
        </row>
        <row r="70">
          <cell r="A70" t="str">
            <v>Chanitos Plantain 20Kg Tarima Chep</v>
          </cell>
          <cell r="B70" t="str">
            <v>CPL08141</v>
          </cell>
          <cell r="C70" t="str">
            <v>A01001-360109-1</v>
          </cell>
          <cell r="D70" t="str">
            <v>A01 001 Marbella</v>
          </cell>
          <cell r="E70" t="str">
            <v>CEDA</v>
          </cell>
          <cell r="F70">
            <v>96</v>
          </cell>
          <cell r="G70">
            <v>2</v>
          </cell>
          <cell r="H70">
            <v>46266</v>
          </cell>
          <cell r="I70">
            <v>36</v>
          </cell>
          <cell r="J70">
            <v>46271</v>
          </cell>
          <cell r="L70" t="str">
            <v>PREENFRIO FORTALEZA</v>
          </cell>
          <cell r="M70">
            <v>1.5</v>
          </cell>
          <cell r="N70">
            <v>36</v>
          </cell>
          <cell r="O70">
            <v>46266</v>
          </cell>
          <cell r="P70">
            <v>0.9375</v>
          </cell>
          <cell r="Q70" t="str">
            <v>NORMAL</v>
          </cell>
          <cell r="R70">
            <v>46267</v>
          </cell>
          <cell r="S70">
            <v>0.86041666666666672</v>
          </cell>
          <cell r="T70">
            <v>0.25</v>
          </cell>
          <cell r="U70">
            <v>46268.11041666667</v>
          </cell>
          <cell r="V70">
            <v>46268</v>
          </cell>
          <cell r="W70">
            <v>0.22916666666666666</v>
          </cell>
          <cell r="X70" t="str">
            <v>SI CUMPLE</v>
          </cell>
          <cell r="Y70" t="str">
            <v>SI CUMPLE</v>
          </cell>
          <cell r="AA70" t="str">
            <v>DESPACHADO</v>
          </cell>
          <cell r="AB70" t="str">
            <v>IBAÑEZ</v>
          </cell>
          <cell r="AC70" t="str">
            <v>GILBERTO BARRALES VARGAS</v>
          </cell>
          <cell r="AD70">
            <v>50496</v>
          </cell>
        </row>
        <row r="71">
          <cell r="A71" t="str">
            <v>Chanitos Premium Tarima Chep</v>
          </cell>
          <cell r="B71" t="str">
            <v>CPR01102</v>
          </cell>
          <cell r="C71" t="str">
            <v>A01001-360109-1</v>
          </cell>
          <cell r="D71" t="str">
            <v>A01 001 Marbella</v>
          </cell>
          <cell r="E71" t="str">
            <v>SMO</v>
          </cell>
          <cell r="F71">
            <v>336</v>
          </cell>
          <cell r="G71">
            <v>7</v>
          </cell>
          <cell r="H71">
            <v>46266</v>
          </cell>
          <cell r="I71">
            <v>36</v>
          </cell>
          <cell r="J71">
            <v>46271</v>
          </cell>
          <cell r="L71" t="str">
            <v>PREENFRIO FORTALEZA</v>
          </cell>
          <cell r="M71">
            <v>1.5</v>
          </cell>
          <cell r="N71">
            <v>36</v>
          </cell>
          <cell r="O71">
            <v>46266</v>
          </cell>
          <cell r="P71">
            <v>0.9375</v>
          </cell>
          <cell r="Q71" t="str">
            <v>NORMAL</v>
          </cell>
          <cell r="R71">
            <v>46267</v>
          </cell>
          <cell r="S71">
            <v>0.86041666666666672</v>
          </cell>
          <cell r="T71">
            <v>0.25</v>
          </cell>
          <cell r="U71">
            <v>46268.11041666667</v>
          </cell>
          <cell r="V71">
            <v>46268</v>
          </cell>
          <cell r="W71">
            <v>0.74305555555555558</v>
          </cell>
          <cell r="X71" t="str">
            <v>SI CUMPLE</v>
          </cell>
          <cell r="Y71" t="str">
            <v>SI CUMPLE</v>
          </cell>
          <cell r="AA71" t="str">
            <v>DESPACHADO</v>
          </cell>
          <cell r="AB71" t="str">
            <v>TRL</v>
          </cell>
          <cell r="AC71" t="str">
            <v>ALAN ANDRES MARTINEZ LEGORRETA</v>
          </cell>
          <cell r="AD71">
            <v>73856</v>
          </cell>
          <cell r="AE71" t="str">
            <v>QCH1W04C50</v>
          </cell>
        </row>
        <row r="72">
          <cell r="A72" t="str">
            <v>Chanitos Premium Tarima Chep</v>
          </cell>
          <cell r="B72" t="str">
            <v>CPR01102</v>
          </cell>
          <cell r="C72" t="str">
            <v>A01002-360209-1</v>
          </cell>
          <cell r="D72" t="str">
            <v>A01 002 Fortaleza</v>
          </cell>
          <cell r="E72" t="str">
            <v>SMO</v>
          </cell>
          <cell r="F72">
            <v>624</v>
          </cell>
          <cell r="G72">
            <v>13</v>
          </cell>
          <cell r="H72">
            <v>46267</v>
          </cell>
          <cell r="I72">
            <v>36</v>
          </cell>
          <cell r="J72">
            <v>46271</v>
          </cell>
          <cell r="L72" t="str">
            <v>PREENFRIO FORTALEZA</v>
          </cell>
          <cell r="M72">
            <v>1.5</v>
          </cell>
          <cell r="N72">
            <v>36</v>
          </cell>
          <cell r="O72">
            <v>46267</v>
          </cell>
          <cell r="P72">
            <v>0.75</v>
          </cell>
          <cell r="Q72" t="str">
            <v>NORMAL</v>
          </cell>
          <cell r="R72">
            <v>46268</v>
          </cell>
          <cell r="S72">
            <v>8.4027777777777785E-2</v>
          </cell>
          <cell r="T72">
            <v>0.41666666666666669</v>
          </cell>
          <cell r="U72">
            <v>46268.500694444439</v>
          </cell>
          <cell r="V72">
            <v>46268</v>
          </cell>
          <cell r="W72">
            <v>0.74305555555555558</v>
          </cell>
          <cell r="X72" t="str">
            <v>SI CUMPLE</v>
          </cell>
          <cell r="Y72" t="str">
            <v>SI CUMPLE</v>
          </cell>
          <cell r="AA72" t="str">
            <v>DESPACHADO</v>
          </cell>
          <cell r="AB72" t="str">
            <v>TRL</v>
          </cell>
          <cell r="AC72" t="str">
            <v>ALAN ANDRES MARTINEZ LEGORRETA</v>
          </cell>
          <cell r="AD72">
            <v>73856</v>
          </cell>
        </row>
        <row r="73">
          <cell r="A73" t="str">
            <v>Chanitos Premium Tarima Chep</v>
          </cell>
          <cell r="B73" t="str">
            <v>CPR01102</v>
          </cell>
          <cell r="C73" t="str">
            <v>A36005-360209-1</v>
          </cell>
          <cell r="D73" t="str">
            <v>A04 005 La Gloria</v>
          </cell>
          <cell r="E73" t="str">
            <v>SMO</v>
          </cell>
          <cell r="F73">
            <v>144</v>
          </cell>
          <cell r="G73">
            <v>3</v>
          </cell>
          <cell r="H73">
            <v>46267</v>
          </cell>
          <cell r="I73">
            <v>36</v>
          </cell>
          <cell r="J73">
            <v>46271</v>
          </cell>
          <cell r="L73" t="str">
            <v>PREENFRIO FORTALEZA</v>
          </cell>
          <cell r="M73">
            <v>1.5</v>
          </cell>
          <cell r="N73">
            <v>36</v>
          </cell>
          <cell r="O73">
            <v>46268</v>
          </cell>
          <cell r="P73">
            <v>8.3333333333333329E-2</v>
          </cell>
          <cell r="Q73" t="str">
            <v>NORMAL</v>
          </cell>
          <cell r="R73">
            <v>46268</v>
          </cell>
          <cell r="S73">
            <v>0.36458333333333331</v>
          </cell>
          <cell r="T73">
            <v>0.625</v>
          </cell>
          <cell r="U73">
            <v>46268.989583333336</v>
          </cell>
          <cell r="V73">
            <v>46268</v>
          </cell>
          <cell r="W73">
            <v>0.74305555555555558</v>
          </cell>
          <cell r="X73" t="str">
            <v>SI CUMPLE</v>
          </cell>
          <cell r="Y73" t="str">
            <v>SI CUMPLE</v>
          </cell>
          <cell r="AA73" t="str">
            <v>DESPACHADO</v>
          </cell>
          <cell r="AB73" t="str">
            <v>TRL</v>
          </cell>
          <cell r="AC73" t="str">
            <v>ALAN ANDRES MARTINEZ LEGORRETA</v>
          </cell>
          <cell r="AD73">
            <v>73856</v>
          </cell>
        </row>
        <row r="74">
          <cell r="A74" t="str">
            <v>Chanitos Premium Tarima Chep</v>
          </cell>
          <cell r="B74" t="str">
            <v>CPR01102</v>
          </cell>
          <cell r="C74" t="str">
            <v>A36005-360209-1</v>
          </cell>
          <cell r="D74" t="str">
            <v>A04 005 La Gloria</v>
          </cell>
          <cell r="E74" t="str">
            <v>VSA</v>
          </cell>
          <cell r="F74">
            <v>96</v>
          </cell>
          <cell r="G74">
            <v>2</v>
          </cell>
          <cell r="H74">
            <v>46267</v>
          </cell>
          <cell r="I74">
            <v>36</v>
          </cell>
          <cell r="J74">
            <v>46271</v>
          </cell>
          <cell r="L74" t="str">
            <v>PREENFRIO FORTALEZA</v>
          </cell>
          <cell r="M74">
            <v>1</v>
          </cell>
          <cell r="N74">
            <v>24</v>
          </cell>
          <cell r="O74">
            <v>46268</v>
          </cell>
          <cell r="P74">
            <v>8.3333333333333329E-2</v>
          </cell>
          <cell r="Q74" t="str">
            <v>ALTA</v>
          </cell>
          <cell r="R74">
            <v>46269</v>
          </cell>
          <cell r="S74">
            <v>0.58333333333333337</v>
          </cell>
          <cell r="T74">
            <v>0.625</v>
          </cell>
          <cell r="U74">
            <v>46270.208333333336</v>
          </cell>
          <cell r="V74">
            <v>46270</v>
          </cell>
          <cell r="W74">
            <v>0.45833333333333331</v>
          </cell>
          <cell r="X74" t="str">
            <v>NO CUMPLE</v>
          </cell>
          <cell r="Y74" t="str">
            <v>NO CUMPLE</v>
          </cell>
          <cell r="Z74" t="str">
            <v>VOLUMEN / CAPACIDAD INSTALADA</v>
          </cell>
          <cell r="AA74" t="str">
            <v>DESPACHADO</v>
          </cell>
          <cell r="AB74" t="str">
            <v>GENARO IBAÑES ROJAS</v>
          </cell>
          <cell r="AC74" t="str">
            <v>ALEJANDRO BARRALES OLIVARES</v>
          </cell>
          <cell r="AD74">
            <v>40077</v>
          </cell>
          <cell r="AE74" t="str">
            <v>QCH1W04BG0</v>
          </cell>
        </row>
        <row r="75">
          <cell r="A75" t="str">
            <v>Chanitos Premium Tarima Americana</v>
          </cell>
          <cell r="B75" t="str">
            <v>CPR01103</v>
          </cell>
          <cell r="C75" t="str">
            <v>A04037-360109-1</v>
          </cell>
          <cell r="D75" t="str">
            <v>A04 037 Josefina Nava</v>
          </cell>
          <cell r="E75" t="str">
            <v>Ciudad Juarez</v>
          </cell>
          <cell r="F75">
            <v>816</v>
          </cell>
          <cell r="G75">
            <v>17</v>
          </cell>
          <cell r="H75">
            <v>46266</v>
          </cell>
          <cell r="I75">
            <v>36</v>
          </cell>
          <cell r="J75">
            <v>46273</v>
          </cell>
          <cell r="K75">
            <v>0.25</v>
          </cell>
          <cell r="L75" t="str">
            <v>PREENFRIO NELLY</v>
          </cell>
          <cell r="M75">
            <v>4</v>
          </cell>
          <cell r="N75">
            <v>96</v>
          </cell>
          <cell r="O75">
            <v>46267</v>
          </cell>
          <cell r="P75">
            <v>0.5</v>
          </cell>
          <cell r="Q75" t="str">
            <v>ALTA</v>
          </cell>
          <cell r="R75">
            <v>46267</v>
          </cell>
          <cell r="S75">
            <v>0.3923611111111111</v>
          </cell>
          <cell r="T75">
            <v>0.4375</v>
          </cell>
          <cell r="U75">
            <v>46267.829861111109</v>
          </cell>
          <cell r="V75">
            <v>46267</v>
          </cell>
          <cell r="W75">
            <v>0.7993055555555556</v>
          </cell>
          <cell r="X75" t="str">
            <v>SI CUMPLE</v>
          </cell>
          <cell r="Y75" t="str">
            <v>SI CUMPLE</v>
          </cell>
          <cell r="AA75" t="str">
            <v>DESPACHADO</v>
          </cell>
          <cell r="AB75" t="str">
            <v>Auto Express Segovia</v>
          </cell>
          <cell r="AC75" t="str">
            <v>Enrique Salazar</v>
          </cell>
          <cell r="AD75">
            <v>44937</v>
          </cell>
        </row>
        <row r="76">
          <cell r="A76" t="str">
            <v>Chanitos Premium Tarima Chep</v>
          </cell>
          <cell r="B76" t="str">
            <v>CPR01102</v>
          </cell>
          <cell r="C76" t="str">
            <v>A36005-360309-1</v>
          </cell>
          <cell r="D76" t="str">
            <v>A04 005 La Gloria</v>
          </cell>
          <cell r="E76" t="str">
            <v>VSA</v>
          </cell>
          <cell r="F76">
            <v>240</v>
          </cell>
          <cell r="G76">
            <v>5</v>
          </cell>
          <cell r="H76">
            <v>46268</v>
          </cell>
          <cell r="I76">
            <v>36</v>
          </cell>
          <cell r="J76">
            <v>46271</v>
          </cell>
          <cell r="L76" t="str">
            <v>PREENFRIO FORTALEZA</v>
          </cell>
          <cell r="M76">
            <v>1</v>
          </cell>
          <cell r="N76">
            <v>24</v>
          </cell>
          <cell r="O76">
            <v>46268</v>
          </cell>
          <cell r="P76">
            <v>0.89583333333333337</v>
          </cell>
          <cell r="Q76" t="str">
            <v>ALTA</v>
          </cell>
          <cell r="R76">
            <v>46269</v>
          </cell>
          <cell r="S76">
            <v>0.58333333333333337</v>
          </cell>
          <cell r="T76">
            <v>0.625</v>
          </cell>
          <cell r="U76">
            <v>46270.208333333336</v>
          </cell>
          <cell r="V76">
            <v>46270</v>
          </cell>
          <cell r="W76">
            <v>0.45833333333333331</v>
          </cell>
          <cell r="X76" t="str">
            <v>NO CUMPLE</v>
          </cell>
          <cell r="Y76" t="str">
            <v>NO CUMPLE</v>
          </cell>
          <cell r="Z76" t="str">
            <v>VOLUMEN / CAPACIDAD INSTALADA</v>
          </cell>
          <cell r="AA76" t="str">
            <v>DESPACHADO</v>
          </cell>
          <cell r="AB76" t="str">
            <v>GENARO IBAÑES ROJAS</v>
          </cell>
          <cell r="AC76" t="str">
            <v>ALEJANDRO BARRALES OLIVARES</v>
          </cell>
          <cell r="AD76">
            <v>40077</v>
          </cell>
          <cell r="AE76" t="str">
            <v>QCH1W04BG0</v>
          </cell>
        </row>
        <row r="77">
          <cell r="A77" t="str">
            <v>Chanitos Premium Tarima Chep</v>
          </cell>
          <cell r="B77" t="str">
            <v>CPR01102</v>
          </cell>
          <cell r="C77" t="str">
            <v>A01002-360309-1</v>
          </cell>
          <cell r="D77" t="str">
            <v>A01 002 Fortaleza</v>
          </cell>
          <cell r="E77" t="str">
            <v>VSA</v>
          </cell>
          <cell r="F77">
            <v>528</v>
          </cell>
          <cell r="G77">
            <v>11</v>
          </cell>
          <cell r="H77">
            <v>46268</v>
          </cell>
          <cell r="I77">
            <v>36</v>
          </cell>
          <cell r="J77">
            <v>46271</v>
          </cell>
          <cell r="L77" t="str">
            <v>PREENFRIO FORTALEZA</v>
          </cell>
          <cell r="M77">
            <v>1</v>
          </cell>
          <cell r="N77">
            <v>24</v>
          </cell>
          <cell r="O77">
            <v>46268</v>
          </cell>
          <cell r="P77">
            <v>0.72916666666666663</v>
          </cell>
          <cell r="Q77" t="str">
            <v>ALTA</v>
          </cell>
          <cell r="R77">
            <v>46269</v>
          </cell>
          <cell r="S77">
            <v>0.58333333333333337</v>
          </cell>
          <cell r="T77">
            <v>0.625</v>
          </cell>
          <cell r="U77">
            <v>46270.208333333336</v>
          </cell>
          <cell r="V77">
            <v>46270</v>
          </cell>
          <cell r="W77">
            <v>0.45833333333333331</v>
          </cell>
          <cell r="X77" t="str">
            <v>NO CUMPLE</v>
          </cell>
          <cell r="Y77" t="str">
            <v>NO CUMPLE</v>
          </cell>
          <cell r="Z77" t="str">
            <v>VOLUMEN / CAPACIDAD INSTALADA</v>
          </cell>
          <cell r="AA77" t="str">
            <v>DESPACHADO</v>
          </cell>
          <cell r="AB77" t="str">
            <v>GENARO IBAÑES ROJAS</v>
          </cell>
          <cell r="AC77" t="str">
            <v>ALEJANDRO BARRALES OLIVARES</v>
          </cell>
          <cell r="AD77">
            <v>40077</v>
          </cell>
          <cell r="AE77" t="str">
            <v>QCH1W04BG0</v>
          </cell>
        </row>
        <row r="78">
          <cell r="A78" t="str">
            <v>Chanitos Organic Banded Market Side Mexico</v>
          </cell>
          <cell r="B78" t="str">
            <v>CRG07128</v>
          </cell>
          <cell r="C78" t="str">
            <v>A01002-360309-1</v>
          </cell>
          <cell r="D78" t="str">
            <v>A01 002 Fortaleza</v>
          </cell>
          <cell r="E78" t="str">
            <v>VSA</v>
          </cell>
          <cell r="F78">
            <v>288</v>
          </cell>
          <cell r="G78">
            <v>6</v>
          </cell>
          <cell r="H78">
            <v>46268</v>
          </cell>
          <cell r="I78">
            <v>36</v>
          </cell>
          <cell r="J78">
            <v>46271</v>
          </cell>
          <cell r="L78" t="str">
            <v>PREENFRIO FORTALEZA</v>
          </cell>
          <cell r="M78">
            <v>1</v>
          </cell>
          <cell r="N78">
            <v>24</v>
          </cell>
          <cell r="O78">
            <v>46268</v>
          </cell>
          <cell r="P78">
            <v>0.72916666666666663</v>
          </cell>
          <cell r="Q78" t="str">
            <v>ALTA</v>
          </cell>
          <cell r="R78">
            <v>46269</v>
          </cell>
          <cell r="S78">
            <v>0.58333333333333337</v>
          </cell>
          <cell r="T78">
            <v>0.625</v>
          </cell>
          <cell r="U78">
            <v>46270.208333333336</v>
          </cell>
          <cell r="V78">
            <v>46270</v>
          </cell>
          <cell r="W78">
            <v>0.45833333333333331</v>
          </cell>
          <cell r="X78" t="str">
            <v>NO CUMPLE</v>
          </cell>
          <cell r="Y78" t="str">
            <v>NO CUMPLE</v>
          </cell>
          <cell r="Z78" t="str">
            <v>VOLUMEN / CAPACIDAD INSTALADA</v>
          </cell>
          <cell r="AA78" t="str">
            <v>DESPACHADO</v>
          </cell>
          <cell r="AB78" t="str">
            <v>GENARO IBAÑES ROJAS</v>
          </cell>
          <cell r="AC78" t="str">
            <v>ALEJANDRO BARRALES OLIVARES</v>
          </cell>
          <cell r="AD78">
            <v>40077</v>
          </cell>
          <cell r="AE78" t="str">
            <v>QCH1W04BG0</v>
          </cell>
        </row>
        <row r="79">
          <cell r="A79" t="str">
            <v>Chanitos Premium Tarima Americana</v>
          </cell>
          <cell r="B79" t="str">
            <v>CPR01103</v>
          </cell>
          <cell r="C79" t="str">
            <v>A12057-360209-1</v>
          </cell>
          <cell r="D79" t="str">
            <v>A12 057 Tiquisate 1</v>
          </cell>
          <cell r="E79" t="str">
            <v>S-MTY</v>
          </cell>
          <cell r="F79">
            <v>864</v>
          </cell>
          <cell r="G79">
            <v>18</v>
          </cell>
          <cell r="H79">
            <v>46267</v>
          </cell>
          <cell r="I79">
            <v>36</v>
          </cell>
          <cell r="J79">
            <v>46273</v>
          </cell>
          <cell r="K79">
            <v>0.25</v>
          </cell>
          <cell r="L79" t="str">
            <v>PREENFRIO NELLY</v>
          </cell>
          <cell r="M79">
            <v>3</v>
          </cell>
          <cell r="N79">
            <v>72</v>
          </cell>
          <cell r="O79">
            <v>46267</v>
          </cell>
          <cell r="P79">
            <v>0.9375</v>
          </cell>
          <cell r="Q79" t="str">
            <v>ALTA</v>
          </cell>
          <cell r="R79">
            <v>46268</v>
          </cell>
          <cell r="S79">
            <v>0.2</v>
          </cell>
          <cell r="T79">
            <v>0.4375</v>
          </cell>
          <cell r="U79">
            <v>46268.637499999997</v>
          </cell>
          <cell r="V79">
            <v>46268</v>
          </cell>
          <cell r="W79">
            <v>0.85069444444444442</v>
          </cell>
          <cell r="X79" t="str">
            <v>SI CUMPLE</v>
          </cell>
          <cell r="Y79" t="str">
            <v>SI CUMPLE</v>
          </cell>
          <cell r="AA79" t="str">
            <v>DESPACHADO</v>
          </cell>
          <cell r="AB79" t="str">
            <v>Transp Algeza</v>
          </cell>
          <cell r="AC79" t="str">
            <v>Leopoldo Lopez Costa</v>
          </cell>
          <cell r="AD79">
            <v>49095</v>
          </cell>
        </row>
        <row r="80">
          <cell r="A80" t="str">
            <v>Chanitos Plantain 20Kg Tarima Chep</v>
          </cell>
          <cell r="B80" t="str">
            <v>CPL08141</v>
          </cell>
          <cell r="C80" t="str">
            <v>A41088-360409-1</v>
          </cell>
          <cell r="D80" t="str">
            <v>A25 088 Doña Lupe</v>
          </cell>
          <cell r="E80" t="str">
            <v>CEDA</v>
          </cell>
          <cell r="F80">
            <v>336</v>
          </cell>
          <cell r="G80">
            <v>7</v>
          </cell>
          <cell r="H80">
            <v>46269</v>
          </cell>
          <cell r="I80">
            <v>36</v>
          </cell>
          <cell r="J80">
            <v>46271</v>
          </cell>
          <cell r="L80" t="str">
            <v>PREENFRIO FORTALEZA</v>
          </cell>
          <cell r="M80">
            <v>1.5</v>
          </cell>
          <cell r="N80">
            <v>36</v>
          </cell>
          <cell r="O80">
            <v>46269</v>
          </cell>
          <cell r="P80">
            <v>0.9243055555555556</v>
          </cell>
          <cell r="Q80" t="str">
            <v>ALTA</v>
          </cell>
          <cell r="R80">
            <v>46270</v>
          </cell>
          <cell r="S80">
            <v>0.75416666666666665</v>
          </cell>
          <cell r="T80">
            <v>0.25</v>
          </cell>
          <cell r="U80">
            <v>46271.004166666666</v>
          </cell>
          <cell r="V80">
            <v>46271</v>
          </cell>
          <cell r="W80">
            <v>0.97222222222222221</v>
          </cell>
          <cell r="X80" t="str">
            <v>NO CUMPLE</v>
          </cell>
          <cell r="Z80" t="str">
            <v>EMPAQUE TARDIO</v>
          </cell>
          <cell r="AA80" t="str">
            <v>DESPACHADO</v>
          </cell>
          <cell r="AB80" t="str">
            <v>SOLIS</v>
          </cell>
          <cell r="AC80" t="str">
            <v>MAURO PEREZ RAMIREZ</v>
          </cell>
          <cell r="AD80">
            <v>39964</v>
          </cell>
          <cell r="AE80" t="str">
            <v>N/A</v>
          </cell>
        </row>
        <row r="81">
          <cell r="A81" t="str">
            <v>Chanitos Premium EUA Tarima Americana</v>
          </cell>
          <cell r="B81" t="str">
            <v>CPR01104</v>
          </cell>
          <cell r="C81" t="str">
            <v>A01003-360209-1</v>
          </cell>
          <cell r="D81" t="str">
            <v>A01 003 Doña Nelly</v>
          </cell>
          <cell r="E81" t="str">
            <v>McAllen</v>
          </cell>
          <cell r="F81">
            <v>960</v>
          </cell>
          <cell r="G81">
            <v>20</v>
          </cell>
          <cell r="H81">
            <v>46267</v>
          </cell>
          <cell r="I81">
            <v>36</v>
          </cell>
          <cell r="J81">
            <v>46272</v>
          </cell>
          <cell r="L81" t="str">
            <v>DIRECTO SIN PREENFRIO</v>
          </cell>
          <cell r="M81">
            <v>3</v>
          </cell>
          <cell r="N81">
            <v>72</v>
          </cell>
          <cell r="U81" t="str">
            <v/>
          </cell>
          <cell r="X81" t="str">
            <v/>
          </cell>
          <cell r="Y81" t="str">
            <v/>
          </cell>
          <cell r="AA81" t="str">
            <v>DESPACHADO</v>
          </cell>
          <cell r="AB81" t="str">
            <v>AUTO EXPRESS SEGOVIA</v>
          </cell>
        </row>
        <row r="82">
          <cell r="A82" t="str">
            <v>Chanitos Premium Tarima Chep</v>
          </cell>
          <cell r="B82" t="str">
            <v>CPR01102</v>
          </cell>
          <cell r="C82" t="str">
            <v>A01001-360209-1</v>
          </cell>
          <cell r="D82" t="str">
            <v>A01 001 Marbella</v>
          </cell>
          <cell r="E82" t="str">
            <v>QRO</v>
          </cell>
          <cell r="F82">
            <v>1056</v>
          </cell>
          <cell r="G82">
            <v>22</v>
          </cell>
          <cell r="H82">
            <v>46267</v>
          </cell>
          <cell r="I82">
            <v>36</v>
          </cell>
          <cell r="J82">
            <v>46272</v>
          </cell>
          <cell r="L82" t="str">
            <v>PREENFRIO FORTALEZA</v>
          </cell>
          <cell r="M82">
            <v>1.5</v>
          </cell>
          <cell r="N82">
            <v>36</v>
          </cell>
          <cell r="O82">
            <v>46268</v>
          </cell>
          <cell r="P82">
            <v>8.3333333333333329E-2</v>
          </cell>
          <cell r="Q82" t="str">
            <v>NORMAL</v>
          </cell>
          <cell r="R82">
            <v>46269</v>
          </cell>
          <cell r="S82">
            <v>0.17291666666666666</v>
          </cell>
          <cell r="T82">
            <v>0.625</v>
          </cell>
          <cell r="U82">
            <v>46269.79791666667</v>
          </cell>
          <cell r="V82">
            <v>46269</v>
          </cell>
          <cell r="W82">
            <v>0.78125</v>
          </cell>
          <cell r="X82" t="str">
            <v>SI CUMPLE</v>
          </cell>
          <cell r="Y82" t="str">
            <v>SI CUMPLE</v>
          </cell>
          <cell r="AA82" t="str">
            <v>DESPACHADO</v>
          </cell>
          <cell r="AB82" t="str">
            <v>TRL</v>
          </cell>
          <cell r="AC82" t="str">
            <v>EZEQUIEL GARDUÑO FUENTES</v>
          </cell>
          <cell r="AD82">
            <v>63165</v>
          </cell>
          <cell r="AE82" t="str">
            <v>QCH1W04BK0</v>
          </cell>
        </row>
        <row r="83">
          <cell r="A83" t="str">
            <v>Chanitos Premium EUA Tarima Americana</v>
          </cell>
          <cell r="B83" t="str">
            <v>CPR01104</v>
          </cell>
          <cell r="C83" t="str">
            <v>A04084-360309-1</v>
          </cell>
          <cell r="D83" t="str">
            <v>A04 084 Lisboa</v>
          </cell>
          <cell r="E83" t="str">
            <v>McAllen</v>
          </cell>
          <cell r="F83">
            <v>960</v>
          </cell>
          <cell r="G83">
            <v>20</v>
          </cell>
          <cell r="H83">
            <v>46268</v>
          </cell>
          <cell r="I83">
            <v>36</v>
          </cell>
          <cell r="J83">
            <v>46272</v>
          </cell>
          <cell r="L83" t="str">
            <v>DIRECTO SIN PREENFRIO</v>
          </cell>
          <cell r="M83">
            <v>3</v>
          </cell>
          <cell r="N83">
            <v>72</v>
          </cell>
          <cell r="O83">
            <v>46269</v>
          </cell>
          <cell r="P83">
            <v>0.35416666666666669</v>
          </cell>
          <cell r="V83">
            <v>46269</v>
          </cell>
          <cell r="W83">
            <v>0.55208333333333337</v>
          </cell>
          <cell r="X83" t="str">
            <v/>
          </cell>
          <cell r="Y83" t="str">
            <v>NO CUMPLE</v>
          </cell>
          <cell r="Z83" t="str">
            <v>EMPAQUE TARDIO</v>
          </cell>
          <cell r="AA83" t="str">
            <v>DESPACHADO</v>
          </cell>
          <cell r="AB83" t="str">
            <v>JATT</v>
          </cell>
          <cell r="AC83" t="str">
            <v>OSVALDO OVIDIO FLORES</v>
          </cell>
          <cell r="AD83">
            <v>87678</v>
          </cell>
          <cell r="AE83" t="str">
            <v>QCH1W04CE0</v>
          </cell>
        </row>
        <row r="84">
          <cell r="A84" t="str">
            <v>Chanitos Organic Banded Market Side Mexico</v>
          </cell>
          <cell r="B84" t="str">
            <v>CRG07128</v>
          </cell>
          <cell r="C84" t="str">
            <v>A01002-360309-1</v>
          </cell>
          <cell r="D84" t="str">
            <v>A01 002 Fortaleza</v>
          </cell>
          <cell r="E84" t="str">
            <v>QRO</v>
          </cell>
          <cell r="F84">
            <v>96</v>
          </cell>
          <cell r="G84">
            <v>2</v>
          </cell>
          <cell r="H84">
            <v>46268</v>
          </cell>
          <cell r="I84">
            <v>36</v>
          </cell>
          <cell r="J84">
            <v>46272</v>
          </cell>
          <cell r="L84" t="str">
            <v>PREENFRIO FORTALEZA</v>
          </cell>
          <cell r="M84">
            <v>1.5</v>
          </cell>
          <cell r="N84">
            <v>36</v>
          </cell>
          <cell r="O84">
            <v>46268</v>
          </cell>
          <cell r="P84">
            <v>0.72916666666666663</v>
          </cell>
          <cell r="Q84" t="str">
            <v>NORMAL</v>
          </cell>
          <cell r="R84">
            <v>46269</v>
          </cell>
          <cell r="S84">
            <v>0.17291666666666666</v>
          </cell>
          <cell r="T84">
            <v>0.625</v>
          </cell>
          <cell r="U84">
            <v>46269.79791666667</v>
          </cell>
          <cell r="V84">
            <v>46269</v>
          </cell>
          <cell r="W84">
            <v>0.78125</v>
          </cell>
          <cell r="X84" t="str">
            <v>SI CUMPLE</v>
          </cell>
          <cell r="Y84" t="str">
            <v>SI CUMPLE</v>
          </cell>
          <cell r="AA84" t="str">
            <v>DESPACHADO</v>
          </cell>
          <cell r="AB84" t="str">
            <v>TRL</v>
          </cell>
          <cell r="AC84" t="str">
            <v>EZEQUIEL GARDUÑO FUENTES</v>
          </cell>
          <cell r="AD84">
            <v>63165</v>
          </cell>
          <cell r="AE84" t="str">
            <v>QCH1W04BK0</v>
          </cell>
        </row>
        <row r="85">
          <cell r="A85" t="str">
            <v>Chanitos Premium Tarima Americana</v>
          </cell>
          <cell r="B85" t="str">
            <v>CPR01103</v>
          </cell>
          <cell r="C85" t="str">
            <v>A25022-360209-1</v>
          </cell>
          <cell r="D85" t="str">
            <v>A25 022 Doña Mildred</v>
          </cell>
          <cell r="E85" t="str">
            <v>S-MTY</v>
          </cell>
          <cell r="F85">
            <v>960</v>
          </cell>
          <cell r="G85">
            <v>20</v>
          </cell>
          <cell r="H85">
            <v>46267</v>
          </cell>
          <cell r="I85">
            <v>36</v>
          </cell>
          <cell r="J85">
            <v>46273</v>
          </cell>
          <cell r="K85">
            <v>0.25</v>
          </cell>
          <cell r="L85" t="str">
            <v>PREENFRIO NELLY</v>
          </cell>
          <cell r="M85">
            <v>3</v>
          </cell>
          <cell r="N85">
            <v>72</v>
          </cell>
          <cell r="O85">
            <v>46267</v>
          </cell>
          <cell r="P85">
            <v>0.9375</v>
          </cell>
          <cell r="Q85" t="str">
            <v>ALTA</v>
          </cell>
          <cell r="R85">
            <v>46268</v>
          </cell>
          <cell r="S85">
            <v>0.41388888888888886</v>
          </cell>
          <cell r="T85">
            <v>0.4375</v>
          </cell>
          <cell r="U85">
            <v>46268.851388888892</v>
          </cell>
          <cell r="V85">
            <v>46268</v>
          </cell>
          <cell r="W85">
            <v>0.85069444444444442</v>
          </cell>
          <cell r="X85" t="str">
            <v>SI CUMPLE</v>
          </cell>
          <cell r="Y85" t="str">
            <v>SI CUMPLE</v>
          </cell>
          <cell r="AA85" t="str">
            <v>DESPACHADO</v>
          </cell>
          <cell r="AB85" t="str">
            <v>Transp Algeza</v>
          </cell>
          <cell r="AC85" t="str">
            <v>Leopoldo Lopez Costa</v>
          </cell>
          <cell r="AD85">
            <v>11536</v>
          </cell>
        </row>
        <row r="86">
          <cell r="A86" t="str">
            <v>Chanitos Premium Tarima Chep</v>
          </cell>
          <cell r="B86" t="str">
            <v>CPR01102</v>
          </cell>
          <cell r="C86" t="str">
            <v>A01003-360309-1</v>
          </cell>
          <cell r="D86" t="str">
            <v>A01 003 Doña Nelly</v>
          </cell>
          <cell r="E86" t="str">
            <v>SMO</v>
          </cell>
          <cell r="F86">
            <v>624</v>
          </cell>
          <cell r="G86">
            <v>13</v>
          </cell>
          <cell r="H86">
            <v>46268</v>
          </cell>
          <cell r="I86">
            <v>36</v>
          </cell>
          <cell r="J86">
            <v>46271</v>
          </cell>
          <cell r="L86" t="str">
            <v>PREENFRIO NELLY</v>
          </cell>
          <cell r="M86">
            <v>1.5</v>
          </cell>
          <cell r="N86">
            <v>36</v>
          </cell>
          <cell r="O86">
            <v>46268</v>
          </cell>
          <cell r="P86">
            <v>0.75</v>
          </cell>
          <cell r="Q86" t="str">
            <v>NORMAL</v>
          </cell>
          <cell r="R86">
            <v>46268</v>
          </cell>
          <cell r="S86">
            <v>0.87569444444444444</v>
          </cell>
          <cell r="T86">
            <v>0.35416666666666669</v>
          </cell>
          <cell r="U86">
            <v>46269.229861111111</v>
          </cell>
          <cell r="V86">
            <v>46269</v>
          </cell>
          <cell r="W86">
            <v>0.49166666666666664</v>
          </cell>
          <cell r="X86" t="str">
            <v>SI CUMPLE</v>
          </cell>
          <cell r="Y86" t="str">
            <v>SI CUMPLE</v>
          </cell>
          <cell r="AA86" t="str">
            <v>DESPACHADO</v>
          </cell>
          <cell r="AB86" t="str">
            <v>Transp Zaragoza</v>
          </cell>
          <cell r="AC86" t="str">
            <v>Oscar Guadalupe Zaragoza</v>
          </cell>
          <cell r="AD86">
            <v>23955</v>
          </cell>
          <cell r="AE86" t="str">
            <v>QCH1W04A40</v>
          </cell>
        </row>
        <row r="87">
          <cell r="A87" t="str">
            <v>Chanitos Plantain 20Kg Tarima Americana</v>
          </cell>
          <cell r="B87" t="str">
            <v>CPL08134</v>
          </cell>
          <cell r="C87" t="str">
            <v>A27073-360109-1</v>
          </cell>
          <cell r="D87" t="str">
            <v>A27 073 Plantacion</v>
          </cell>
          <cell r="E87" t="str">
            <v>Ciudad Juarez</v>
          </cell>
          <cell r="F87">
            <v>144</v>
          </cell>
          <cell r="G87">
            <v>3</v>
          </cell>
          <cell r="H87">
            <v>46266</v>
          </cell>
          <cell r="I87">
            <v>36</v>
          </cell>
          <cell r="J87">
            <v>46273</v>
          </cell>
          <cell r="L87" t="str">
            <v>PREENFRIO FORTALEZA</v>
          </cell>
          <cell r="M87">
            <v>4</v>
          </cell>
          <cell r="N87">
            <v>96</v>
          </cell>
          <cell r="O87">
            <v>46266</v>
          </cell>
          <cell r="P87">
            <v>0.75</v>
          </cell>
          <cell r="Q87" t="str">
            <v>NORMAL</v>
          </cell>
          <cell r="R87">
            <v>46266</v>
          </cell>
          <cell r="S87">
            <v>0.9375</v>
          </cell>
          <cell r="T87">
            <v>0.33333333333333331</v>
          </cell>
          <cell r="U87">
            <v>46267.270833333336</v>
          </cell>
          <cell r="V87">
            <v>46267</v>
          </cell>
          <cell r="W87">
            <v>0.35069444444444442</v>
          </cell>
          <cell r="X87" t="str">
            <v>SI CUMPLE</v>
          </cell>
          <cell r="Y87" t="str">
            <v>SI CUMPLE</v>
          </cell>
          <cell r="Z87" t="str">
            <v>COMPLETA EN NELLY</v>
          </cell>
          <cell r="AA87" t="str">
            <v xml:space="preserve">DESPACHADO  </v>
          </cell>
          <cell r="AB87" t="str">
            <v>JONATHAN CARRILLO GODINEZ</v>
          </cell>
          <cell r="AC87" t="str">
            <v>MARCO ANTONIO CRUZ LUNA</v>
          </cell>
          <cell r="AD87">
            <v>13246</v>
          </cell>
          <cell r="AE87" t="str">
            <v>N/A</v>
          </cell>
        </row>
        <row r="88">
          <cell r="A88" t="str">
            <v>Chanitos Premium Tarima Americana</v>
          </cell>
          <cell r="B88" t="str">
            <v>CPR01103</v>
          </cell>
          <cell r="C88" t="str">
            <v>A11056-360109-1</v>
          </cell>
          <cell r="D88" t="str">
            <v>A11 Sector Mazatan</v>
          </cell>
          <cell r="E88" t="str">
            <v>Ciudad Juarez</v>
          </cell>
          <cell r="F88">
            <v>960</v>
          </cell>
          <cell r="G88">
            <v>20</v>
          </cell>
          <cell r="H88">
            <v>46266</v>
          </cell>
          <cell r="I88">
            <v>36</v>
          </cell>
          <cell r="J88">
            <v>46273</v>
          </cell>
          <cell r="L88" t="str">
            <v>PREENFRIO FORTALEZA</v>
          </cell>
          <cell r="M88">
            <v>4</v>
          </cell>
          <cell r="N88">
            <v>96</v>
          </cell>
          <cell r="O88">
            <v>46266</v>
          </cell>
          <cell r="P88">
            <v>0.95833333333333337</v>
          </cell>
          <cell r="Q88" t="str">
            <v>NORMAL</v>
          </cell>
          <cell r="R88">
            <v>46267</v>
          </cell>
          <cell r="S88">
            <v>0.29166666666666669</v>
          </cell>
          <cell r="T88">
            <v>0.5</v>
          </cell>
          <cell r="U88">
            <v>46267.791666666664</v>
          </cell>
          <cell r="V88">
            <v>46268</v>
          </cell>
          <cell r="W88">
            <v>0.57291666666666663</v>
          </cell>
          <cell r="X88" t="str">
            <v>SI CUMPLE</v>
          </cell>
          <cell r="Y88" t="str">
            <v>SI CUMPLE</v>
          </cell>
          <cell r="AA88" t="str">
            <v>DESPACHADO</v>
          </cell>
          <cell r="AB88" t="str">
            <v>SEGOVIA</v>
          </cell>
          <cell r="AC88" t="str">
            <v>ENRIQUE SALAZAR GOMEZ</v>
          </cell>
          <cell r="AD88">
            <v>84055</v>
          </cell>
          <cell r="AE88" t="str">
            <v>QCH1W04H60</v>
          </cell>
        </row>
        <row r="89">
          <cell r="A89" t="str">
            <v>Chanitos Plantain 20Kg Tarima Americana</v>
          </cell>
          <cell r="B89" t="str">
            <v>CPL08134</v>
          </cell>
          <cell r="C89" t="str">
            <v>A27073-360109-1</v>
          </cell>
          <cell r="D89" t="str">
            <v>A27 073 Plantacion</v>
          </cell>
          <cell r="E89" t="str">
            <v>S-MTY</v>
          </cell>
          <cell r="F89">
            <v>96</v>
          </cell>
          <cell r="G89">
            <v>2</v>
          </cell>
          <cell r="H89">
            <v>46266</v>
          </cell>
          <cell r="I89">
            <v>36</v>
          </cell>
          <cell r="J89">
            <v>46273</v>
          </cell>
          <cell r="L89" t="str">
            <v>PREENFRIO FORTALEZA</v>
          </cell>
          <cell r="M89">
            <v>3</v>
          </cell>
          <cell r="N89">
            <v>72</v>
          </cell>
          <cell r="O89">
            <v>46266</v>
          </cell>
          <cell r="P89">
            <v>0.75</v>
          </cell>
          <cell r="Q89" t="str">
            <v>NORMAL</v>
          </cell>
          <cell r="R89">
            <v>46266</v>
          </cell>
          <cell r="S89">
            <v>0.9375</v>
          </cell>
          <cell r="T89">
            <v>0.33333333333333331</v>
          </cell>
          <cell r="U89">
            <v>46267.270833333336</v>
          </cell>
          <cell r="V89">
            <v>46267</v>
          </cell>
          <cell r="W89">
            <v>0.35069444444444442</v>
          </cell>
          <cell r="X89" t="str">
            <v>SI CUMPLE</v>
          </cell>
          <cell r="Y89" t="str">
            <v>SI CUMPLE</v>
          </cell>
          <cell r="Z89" t="str">
            <v>COMPLETA EN NELLY</v>
          </cell>
          <cell r="AA89" t="str">
            <v xml:space="preserve">DESPACHADO  </v>
          </cell>
          <cell r="AB89" t="str">
            <v>JONATHAN CARRILLO GODINEZ</v>
          </cell>
          <cell r="AC89" t="str">
            <v>MARCO ANTONIO CRUZ LUNA</v>
          </cell>
          <cell r="AD89">
            <v>13246</v>
          </cell>
          <cell r="AE89" t="str">
            <v>N/A</v>
          </cell>
        </row>
        <row r="90">
          <cell r="A90" t="str">
            <v>Platano de Chiapas BAE UPC 3237</v>
          </cell>
          <cell r="B90" t="str">
            <v>CPR01114</v>
          </cell>
          <cell r="C90" t="str">
            <v>A01001-360309-1</v>
          </cell>
          <cell r="D90" t="str">
            <v>A01 001 Marbella</v>
          </cell>
          <cell r="E90" t="str">
            <v>Chalco</v>
          </cell>
          <cell r="F90">
            <v>48</v>
          </cell>
          <cell r="G90">
            <v>1</v>
          </cell>
          <cell r="H90">
            <v>46268</v>
          </cell>
          <cell r="I90">
            <v>36</v>
          </cell>
          <cell r="J90">
            <v>46273</v>
          </cell>
          <cell r="L90" t="str">
            <v>PREENFRIO NELLY</v>
          </cell>
          <cell r="M90">
            <v>1</v>
          </cell>
          <cell r="N90">
            <v>24</v>
          </cell>
          <cell r="O90">
            <v>46268</v>
          </cell>
          <cell r="P90">
            <v>0.90972222222222221</v>
          </cell>
          <cell r="Q90" t="str">
            <v>NORMAL</v>
          </cell>
          <cell r="R90">
            <v>46269</v>
          </cell>
          <cell r="S90">
            <v>0.2361111111111111</v>
          </cell>
          <cell r="T90">
            <v>0.35416666666666669</v>
          </cell>
          <cell r="U90">
            <v>46269.590277777774</v>
          </cell>
          <cell r="V90">
            <v>46269</v>
          </cell>
          <cell r="W90">
            <v>0.72916666666666663</v>
          </cell>
          <cell r="X90" t="str">
            <v>SI CUMPLE</v>
          </cell>
          <cell r="Y90" t="str">
            <v>SI CUMPLE</v>
          </cell>
          <cell r="AA90" t="str">
            <v>DESPACHADO</v>
          </cell>
          <cell r="AB90" t="str">
            <v>Antonio Mejia Granados</v>
          </cell>
          <cell r="AC90" t="str">
            <v>Jose De Jesus Granados Covarrubia</v>
          </cell>
          <cell r="AD90">
            <v>72359</v>
          </cell>
          <cell r="AE90" t="str">
            <v>QCH1W04A60</v>
          </cell>
        </row>
        <row r="91">
          <cell r="A91" t="str">
            <v>Chanitos Premium Tarima Chep</v>
          </cell>
          <cell r="B91" t="str">
            <v>CPR01102</v>
          </cell>
          <cell r="C91" t="str">
            <v>A01001-360309-1</v>
          </cell>
          <cell r="D91" t="str">
            <v>A01 001 Marbella</v>
          </cell>
          <cell r="E91" t="str">
            <v>Chalco</v>
          </cell>
          <cell r="F91">
            <v>1104</v>
          </cell>
          <cell r="G91">
            <v>23</v>
          </cell>
          <cell r="H91">
            <v>46268</v>
          </cell>
          <cell r="I91">
            <v>36</v>
          </cell>
          <cell r="J91">
            <v>46273</v>
          </cell>
          <cell r="L91" t="str">
            <v>PREENFRIO NELLY</v>
          </cell>
          <cell r="M91">
            <v>1</v>
          </cell>
          <cell r="N91">
            <v>24</v>
          </cell>
          <cell r="O91">
            <v>46268</v>
          </cell>
          <cell r="P91">
            <v>0.90972222222222221</v>
          </cell>
          <cell r="Q91" t="str">
            <v>NORMAL</v>
          </cell>
          <cell r="R91">
            <v>46269</v>
          </cell>
          <cell r="S91">
            <v>0.59027777777777779</v>
          </cell>
          <cell r="T91">
            <v>0.35416666666666669</v>
          </cell>
          <cell r="U91">
            <v>46269.944444444445</v>
          </cell>
          <cell r="V91">
            <v>46269</v>
          </cell>
          <cell r="W91">
            <v>0.72916666666666663</v>
          </cell>
          <cell r="X91" t="str">
            <v>SI CUMPLE</v>
          </cell>
          <cell r="Y91" t="str">
            <v>SI CUMPLE</v>
          </cell>
          <cell r="AA91" t="str">
            <v>DESPACHADO</v>
          </cell>
          <cell r="AB91" t="str">
            <v>Antonio Mejia Granados</v>
          </cell>
          <cell r="AC91" t="str">
            <v>Jose De Jesus Granados Covarrubia</v>
          </cell>
          <cell r="AD91">
            <v>72359</v>
          </cell>
          <cell r="AE91" t="str">
            <v>QCH1W04A60</v>
          </cell>
        </row>
        <row r="92">
          <cell r="A92" t="str">
            <v>Chanitos Premium Tarima Chep</v>
          </cell>
          <cell r="B92" t="str">
            <v>CPR01102</v>
          </cell>
          <cell r="C92" t="str">
            <v>A01003-360309-1</v>
          </cell>
          <cell r="D92" t="str">
            <v>A01 003 Doña Nelly</v>
          </cell>
          <cell r="E92" t="str">
            <v>VSA</v>
          </cell>
          <cell r="F92">
            <v>864</v>
          </cell>
          <cell r="G92">
            <v>18</v>
          </cell>
          <cell r="H92">
            <v>46268</v>
          </cell>
          <cell r="I92">
            <v>36</v>
          </cell>
          <cell r="J92">
            <v>46273</v>
          </cell>
          <cell r="L92" t="str">
            <v>PREENFRIO NELLY</v>
          </cell>
          <cell r="M92">
            <v>1</v>
          </cell>
          <cell r="N92">
            <v>24</v>
          </cell>
          <cell r="O92">
            <v>46268</v>
          </cell>
          <cell r="P92">
            <v>0.75</v>
          </cell>
          <cell r="Q92" t="str">
            <v>NORMAL</v>
          </cell>
          <cell r="R92">
            <v>46269</v>
          </cell>
          <cell r="S92">
            <v>4.2361111111111113E-2</v>
          </cell>
          <cell r="T92">
            <v>0.35416666666666669</v>
          </cell>
          <cell r="U92">
            <v>46269.396527777775</v>
          </cell>
          <cell r="V92">
            <v>46271</v>
          </cell>
          <cell r="W92">
            <v>0.70972222222222225</v>
          </cell>
          <cell r="X92" t="str">
            <v>SI CUMPLE</v>
          </cell>
          <cell r="Y92" t="str">
            <v>SI CUMPLE</v>
          </cell>
          <cell r="AA92" t="str">
            <v>DESPACHADO</v>
          </cell>
          <cell r="AB92" t="str">
            <v>3M</v>
          </cell>
          <cell r="AC92" t="str">
            <v>Daniel Morales Sanchez</v>
          </cell>
          <cell r="AD92">
            <v>77784</v>
          </cell>
          <cell r="AE92" t="str">
            <v>QCH1W05640</v>
          </cell>
        </row>
        <row r="93">
          <cell r="A93" t="str">
            <v>Chanitos Premium Tarima Chep</v>
          </cell>
          <cell r="B93" t="str">
            <v>CPR01102</v>
          </cell>
          <cell r="C93" t="str">
            <v>A04039-360309-1</v>
          </cell>
          <cell r="D93" t="str">
            <v>A04 039 San Jose Morelia Nava</v>
          </cell>
          <cell r="E93" t="str">
            <v>Chalco</v>
          </cell>
          <cell r="F93">
            <v>1104</v>
          </cell>
          <cell r="G93">
            <v>23</v>
          </cell>
          <cell r="H93">
            <v>46268</v>
          </cell>
          <cell r="I93">
            <v>36</v>
          </cell>
          <cell r="J93">
            <v>46272</v>
          </cell>
          <cell r="L93" t="str">
            <v>PREENFRIO NELLY</v>
          </cell>
          <cell r="M93">
            <v>1</v>
          </cell>
          <cell r="N93">
            <v>24</v>
          </cell>
          <cell r="O93">
            <v>46269</v>
          </cell>
          <cell r="P93">
            <v>0.21527777777777779</v>
          </cell>
          <cell r="Q93" t="str">
            <v>NORMAL</v>
          </cell>
          <cell r="R93">
            <v>46269</v>
          </cell>
          <cell r="S93">
            <v>0.94444444444444442</v>
          </cell>
          <cell r="T93">
            <v>0.35416666666666669</v>
          </cell>
          <cell r="U93">
            <v>46270.298611111109</v>
          </cell>
          <cell r="V93">
            <v>46270</v>
          </cell>
          <cell r="W93">
            <v>0.11805555555555555</v>
          </cell>
          <cell r="X93" t="str">
            <v>SI CUMPLE</v>
          </cell>
          <cell r="Y93" t="str">
            <v>SI CUMPLE</v>
          </cell>
          <cell r="AA93" t="str">
            <v>DESPACHADO</v>
          </cell>
          <cell r="AB93" t="str">
            <v>Harold Saldaña</v>
          </cell>
          <cell r="AC93" t="str">
            <v>Harold Orlando Saldaña Lopez</v>
          </cell>
          <cell r="AD93">
            <v>22448</v>
          </cell>
          <cell r="AE93" t="str">
            <v>QCH1W04JA0</v>
          </cell>
        </row>
        <row r="94">
          <cell r="A94" t="str">
            <v>Platano de Chiapas BAE UPC 3237</v>
          </cell>
          <cell r="B94" t="str">
            <v>CPR01114</v>
          </cell>
          <cell r="C94" t="str">
            <v>A04039-360309-1</v>
          </cell>
          <cell r="D94" t="str">
            <v>A04 039 San Jose Morelia Nava</v>
          </cell>
          <cell r="E94" t="str">
            <v>Chalco</v>
          </cell>
          <cell r="F94">
            <v>48</v>
          </cell>
          <cell r="G94">
            <v>1</v>
          </cell>
          <cell r="H94">
            <v>46268</v>
          </cell>
          <cell r="I94">
            <v>36</v>
          </cell>
          <cell r="J94">
            <v>46272</v>
          </cell>
          <cell r="L94" t="str">
            <v>PREENFRIO NELLY</v>
          </cell>
          <cell r="M94">
            <v>1</v>
          </cell>
          <cell r="N94">
            <v>24</v>
          </cell>
          <cell r="O94">
            <v>46269</v>
          </cell>
          <cell r="P94">
            <v>0.21527777777777779</v>
          </cell>
          <cell r="Q94" t="str">
            <v>NORMAL</v>
          </cell>
          <cell r="R94">
            <v>46269</v>
          </cell>
          <cell r="S94">
            <v>0.94444444444444442</v>
          </cell>
          <cell r="T94">
            <v>0.35416666666666669</v>
          </cell>
          <cell r="U94">
            <v>46270.298611111109</v>
          </cell>
          <cell r="V94">
            <v>46270</v>
          </cell>
          <cell r="W94">
            <v>0.11805555555555555</v>
          </cell>
          <cell r="X94" t="str">
            <v>SI CUMPLE</v>
          </cell>
          <cell r="Y94" t="str">
            <v>SI CUMPLE</v>
          </cell>
          <cell r="AA94" t="str">
            <v>DESPACHADO</v>
          </cell>
          <cell r="AB94" t="str">
            <v>Harold Saldaña</v>
          </cell>
          <cell r="AC94" t="str">
            <v>Harold Orlando Saldaña Lopez</v>
          </cell>
          <cell r="AD94">
            <v>22448</v>
          </cell>
          <cell r="AE94" t="str">
            <v>QCH1W04JA0</v>
          </cell>
        </row>
        <row r="95">
          <cell r="A95" t="str">
            <v>Chanitos Premium Tarima Chep</v>
          </cell>
          <cell r="B95" t="str">
            <v>CPR01102</v>
          </cell>
          <cell r="C95" t="str">
            <v>A36005-360309-1</v>
          </cell>
          <cell r="D95" t="str">
            <v>A04 005 La Gloria</v>
          </cell>
          <cell r="E95" t="str">
            <v>SMO</v>
          </cell>
          <cell r="F95">
            <v>1152</v>
          </cell>
          <cell r="G95">
            <v>24</v>
          </cell>
          <cell r="H95">
            <v>46268</v>
          </cell>
          <cell r="I95">
            <v>36</v>
          </cell>
          <cell r="J95">
            <v>46273</v>
          </cell>
          <cell r="L95" t="str">
            <v>PREENFRIO NELLY</v>
          </cell>
          <cell r="M95">
            <v>1.5</v>
          </cell>
          <cell r="N95">
            <v>36</v>
          </cell>
          <cell r="O95">
            <v>46269</v>
          </cell>
          <cell r="P95">
            <v>0.71180555555555558</v>
          </cell>
          <cell r="Q95" t="str">
            <v>ALTA</v>
          </cell>
          <cell r="R95">
            <v>46270</v>
          </cell>
          <cell r="S95">
            <v>0.10416666666666667</v>
          </cell>
          <cell r="T95">
            <v>0.35416666666666669</v>
          </cell>
          <cell r="U95">
            <v>46270.458333333328</v>
          </cell>
          <cell r="V95">
            <v>46270</v>
          </cell>
          <cell r="W95">
            <v>0.49305555555555558</v>
          </cell>
          <cell r="X95" t="str">
            <v>SI CUMPLE</v>
          </cell>
          <cell r="Y95" t="str">
            <v>SI CUMPLE</v>
          </cell>
          <cell r="Z95" t="str">
            <v>EMPAQUE TARDIO</v>
          </cell>
          <cell r="AA95" t="str">
            <v>DESPACHADO</v>
          </cell>
          <cell r="AB95" t="str">
            <v>JOSE LUIS CEDEÑO</v>
          </cell>
          <cell r="AC95" t="str">
            <v>FLAVIO CESAR FUENTES PEREZ</v>
          </cell>
          <cell r="AD95">
            <v>56122</v>
          </cell>
          <cell r="AE95" t="str">
            <v>QCH1W04B10</v>
          </cell>
        </row>
        <row r="96">
          <cell r="A96" t="str">
            <v>Chanitos Plantain 50lb Tarima Americana</v>
          </cell>
          <cell r="B96" t="str">
            <v>CPL08133</v>
          </cell>
          <cell r="C96" t="str">
            <v>A27073-360409-1</v>
          </cell>
          <cell r="D96" t="str">
            <v>A27 073 Plantacion</v>
          </cell>
          <cell r="E96" t="str">
            <v>McAllen</v>
          </cell>
          <cell r="F96">
            <v>1008</v>
          </cell>
          <cell r="G96">
            <v>24</v>
          </cell>
          <cell r="H96">
            <v>46269</v>
          </cell>
          <cell r="I96">
            <v>36</v>
          </cell>
          <cell r="J96">
            <v>46273</v>
          </cell>
          <cell r="L96" t="str">
            <v>PREENFRIO NELLY</v>
          </cell>
          <cell r="M96">
            <v>3</v>
          </cell>
          <cell r="N96">
            <v>72</v>
          </cell>
          <cell r="O96">
            <v>46269</v>
          </cell>
          <cell r="P96">
            <v>0.95138888888888884</v>
          </cell>
          <cell r="Q96" t="str">
            <v>NORMAL</v>
          </cell>
          <cell r="R96">
            <v>46270</v>
          </cell>
          <cell r="S96">
            <v>0.5</v>
          </cell>
          <cell r="T96">
            <v>0.35416666666666669</v>
          </cell>
          <cell r="U96">
            <v>46270.854166666664</v>
          </cell>
          <cell r="V96">
            <v>46270</v>
          </cell>
          <cell r="W96">
            <v>0.82986111111111116</v>
          </cell>
          <cell r="X96" t="str">
            <v>NO CUMPLE</v>
          </cell>
          <cell r="Y96" t="str">
            <v>NO CUMPLE</v>
          </cell>
          <cell r="AA96" t="str">
            <v>DESPACHADO</v>
          </cell>
          <cell r="AB96" t="str">
            <v>EXPRESS CAVAZOS CANTÚ</v>
          </cell>
          <cell r="AC96" t="str">
            <v>HILBERTO FUENTES BALTAZAR</v>
          </cell>
          <cell r="AD96">
            <v>14872</v>
          </cell>
          <cell r="AE96" t="str">
            <v>QCH1W04ZE0</v>
          </cell>
        </row>
        <row r="97">
          <cell r="A97" t="str">
            <v>Chanitos Organic Banded Market Side Mexico</v>
          </cell>
          <cell r="B97" t="str">
            <v>CRG07128</v>
          </cell>
          <cell r="C97" t="str">
            <v>A01002-360409-1</v>
          </cell>
          <cell r="D97" t="str">
            <v>A01 002 Fortaleza</v>
          </cell>
          <cell r="E97" t="str">
            <v>VSA</v>
          </cell>
          <cell r="F97">
            <v>288</v>
          </cell>
          <cell r="G97">
            <v>6</v>
          </cell>
          <cell r="H97">
            <v>46269</v>
          </cell>
          <cell r="I97">
            <v>36</v>
          </cell>
          <cell r="J97">
            <v>46273</v>
          </cell>
          <cell r="L97" t="str">
            <v>PREENFRIO FORTALEZA</v>
          </cell>
          <cell r="M97">
            <v>1</v>
          </cell>
          <cell r="N97">
            <v>24</v>
          </cell>
          <cell r="O97">
            <v>46269</v>
          </cell>
          <cell r="P97">
            <v>0.70833333333333337</v>
          </cell>
          <cell r="Q97" t="str">
            <v>ALTA</v>
          </cell>
          <cell r="R97">
            <v>46271</v>
          </cell>
          <cell r="S97">
            <v>2.5000000000000001E-2</v>
          </cell>
          <cell r="T97">
            <v>0.20833333333333334</v>
          </cell>
          <cell r="U97">
            <v>46271.233333333337</v>
          </cell>
          <cell r="V97">
            <v>46271</v>
          </cell>
          <cell r="W97">
            <v>0.9375</v>
          </cell>
          <cell r="X97" t="str">
            <v>SI CUMPLE</v>
          </cell>
          <cell r="Y97" t="str">
            <v>SI CUMPLE</v>
          </cell>
          <cell r="AA97" t="str">
            <v>DESPACHADO</v>
          </cell>
          <cell r="AB97" t="str">
            <v>BACKHAUL</v>
          </cell>
          <cell r="AC97" t="str">
            <v>DANIEL MORALES SANCHEZ</v>
          </cell>
          <cell r="AD97">
            <v>47473</v>
          </cell>
          <cell r="AE97" t="str">
            <v>N/A</v>
          </cell>
        </row>
        <row r="98">
          <cell r="A98" t="str">
            <v>Chanitos Premium Tarima Chep</v>
          </cell>
          <cell r="B98" t="str">
            <v>CPR01102</v>
          </cell>
          <cell r="C98" t="str">
            <v>A01004-360409-1</v>
          </cell>
          <cell r="D98" t="str">
            <v>A01 004 La Ceiba</v>
          </cell>
          <cell r="E98" t="str">
            <v>SMO</v>
          </cell>
          <cell r="F98">
            <v>1152</v>
          </cell>
          <cell r="G98">
            <v>24</v>
          </cell>
          <cell r="H98">
            <v>46269</v>
          </cell>
          <cell r="I98">
            <v>36</v>
          </cell>
          <cell r="J98">
            <v>46274</v>
          </cell>
          <cell r="L98" t="str">
            <v>PREENFRIO NELLY</v>
          </cell>
          <cell r="M98">
            <v>1.5</v>
          </cell>
          <cell r="N98">
            <v>36</v>
          </cell>
          <cell r="O98">
            <v>46269</v>
          </cell>
          <cell r="P98">
            <v>0.86805555555555558</v>
          </cell>
          <cell r="Q98" t="str">
            <v>ALTA</v>
          </cell>
          <cell r="R98">
            <v>46270</v>
          </cell>
          <cell r="S98">
            <v>0.90277777777777779</v>
          </cell>
          <cell r="T98">
            <v>0.35416666666666669</v>
          </cell>
          <cell r="U98">
            <v>46271.256944444445</v>
          </cell>
          <cell r="V98">
            <v>0.25624999999999998</v>
          </cell>
          <cell r="W98">
            <v>0.31180555555555556</v>
          </cell>
          <cell r="X98" t="str">
            <v>SI CUMPLE</v>
          </cell>
          <cell r="Y98" t="str">
            <v>SI CUMPLE</v>
          </cell>
          <cell r="AA98" t="str">
            <v>DESPACHADO</v>
          </cell>
          <cell r="AB98" t="str">
            <v>SAUL ALEJANDRO BEJARANO</v>
          </cell>
          <cell r="AC98" t="str">
            <v>GABRIEL GARCIA ECHEVERRIA</v>
          </cell>
          <cell r="AD98">
            <v>39102</v>
          </cell>
          <cell r="AE98" t="str">
            <v>QCH1W04DC0</v>
          </cell>
        </row>
        <row r="99">
          <cell r="A99" t="str">
            <v>Chanitos Premium EUA Tarima Americana</v>
          </cell>
          <cell r="B99" t="str">
            <v>CPR01104</v>
          </cell>
          <cell r="C99" t="str">
            <v>A06043-360309-1</v>
          </cell>
          <cell r="D99" t="str">
            <v>A06 043 Nuestra señora</v>
          </cell>
          <cell r="E99" t="str">
            <v>McAllen</v>
          </cell>
          <cell r="F99">
            <v>576</v>
          </cell>
          <cell r="G99">
            <v>12</v>
          </cell>
          <cell r="H99">
            <v>46268</v>
          </cell>
          <cell r="I99">
            <v>36</v>
          </cell>
          <cell r="J99">
            <v>46274</v>
          </cell>
          <cell r="L99" t="str">
            <v>DIRECTO SIN PREENFRIO</v>
          </cell>
          <cell r="M99">
            <v>3</v>
          </cell>
          <cell r="N99">
            <v>72</v>
          </cell>
          <cell r="O99">
            <v>46269</v>
          </cell>
          <cell r="P99">
            <v>0.625</v>
          </cell>
          <cell r="U99" t="str">
            <v/>
          </cell>
          <cell r="V99">
            <v>46267</v>
          </cell>
          <cell r="W99">
            <v>0.24305555555555555</v>
          </cell>
          <cell r="X99" t="str">
            <v/>
          </cell>
          <cell r="Y99" t="str">
            <v>SI CUMPLE</v>
          </cell>
          <cell r="AA99" t="str">
            <v>DESPACHADO</v>
          </cell>
          <cell r="AB99" t="str">
            <v>AUTO EXPRESS SEGOVIA</v>
          </cell>
          <cell r="AC99" t="str">
            <v xml:space="preserve">MUEVE LA CARGA A FORTALEZA VICTOR MORGA </v>
          </cell>
          <cell r="AD99">
            <v>47802</v>
          </cell>
          <cell r="AE99" t="str">
            <v>QCH1W04BQ0</v>
          </cell>
        </row>
        <row r="100">
          <cell r="A100" t="str">
            <v>Chanitos Premium Tarima Chep</v>
          </cell>
          <cell r="B100" t="str">
            <v>CPR01102</v>
          </cell>
          <cell r="C100" t="str">
            <v>A01002-360309-1</v>
          </cell>
          <cell r="D100" t="str">
            <v>A01 002 Fortaleza</v>
          </cell>
          <cell r="E100" t="str">
            <v>MTY</v>
          </cell>
          <cell r="F100">
            <v>528</v>
          </cell>
          <cell r="G100">
            <v>11</v>
          </cell>
          <cell r="H100">
            <v>46268</v>
          </cell>
          <cell r="I100">
            <v>36</v>
          </cell>
          <cell r="J100">
            <v>46274</v>
          </cell>
          <cell r="L100" t="str">
            <v>PREENFRIO FORTALEZA</v>
          </cell>
          <cell r="M100">
            <v>2.5</v>
          </cell>
          <cell r="N100">
            <v>60</v>
          </cell>
          <cell r="O100">
            <v>46268</v>
          </cell>
          <cell r="P100">
            <v>0.72916666666666663</v>
          </cell>
          <cell r="Q100" t="str">
            <v>NORMAL</v>
          </cell>
          <cell r="R100">
            <v>46270</v>
          </cell>
          <cell r="S100">
            <v>0.22708333333333333</v>
          </cell>
          <cell r="T100">
            <v>0.20833333333333334</v>
          </cell>
          <cell r="U100">
            <v>46270.435416666667</v>
          </cell>
          <cell r="V100">
            <v>46271</v>
          </cell>
          <cell r="W100">
            <v>0.22708333333333333</v>
          </cell>
          <cell r="X100" t="str">
            <v>SI CUMPLE</v>
          </cell>
          <cell r="Y100" t="str">
            <v>SI CUMPLE</v>
          </cell>
          <cell r="AA100" t="str">
            <v>DESPACHADO</v>
          </cell>
          <cell r="AB100" t="str">
            <v>AUTO EXPRESS SEGOVIA</v>
          </cell>
          <cell r="AC100" t="str">
            <v>ABEL USCANGA REYES</v>
          </cell>
          <cell r="AD100">
            <v>29440</v>
          </cell>
          <cell r="AE100" t="str">
            <v>QCH1W04BZ0</v>
          </cell>
        </row>
        <row r="101">
          <cell r="A101" t="str">
            <v>Chanitos Premium Tarima Chep</v>
          </cell>
          <cell r="B101" t="str">
            <v>CPR01102</v>
          </cell>
          <cell r="C101" t="str">
            <v>A04038-360309-1</v>
          </cell>
          <cell r="D101" t="str">
            <v>A04 038 El Triunfo Nava</v>
          </cell>
          <cell r="E101" t="str">
            <v>QRO</v>
          </cell>
          <cell r="F101">
            <v>1056</v>
          </cell>
          <cell r="G101">
            <v>22</v>
          </cell>
          <cell r="H101">
            <v>46268</v>
          </cell>
          <cell r="I101">
            <v>36</v>
          </cell>
          <cell r="J101">
            <v>46274</v>
          </cell>
          <cell r="L101" t="str">
            <v>PREENFRIO FORTALEZA</v>
          </cell>
          <cell r="M101">
            <v>1.5</v>
          </cell>
          <cell r="N101">
            <v>36</v>
          </cell>
          <cell r="O101">
            <v>46269</v>
          </cell>
          <cell r="P101">
            <v>0.72916666666666663</v>
          </cell>
          <cell r="Q101" t="str">
            <v>NORMAL</v>
          </cell>
          <cell r="R101">
            <v>46271</v>
          </cell>
          <cell r="S101">
            <v>0.25416666666666665</v>
          </cell>
          <cell r="T101">
            <v>0.625</v>
          </cell>
          <cell r="U101">
            <v>46271.879166666666</v>
          </cell>
          <cell r="V101">
            <v>46271</v>
          </cell>
          <cell r="W101">
            <v>0.83333333333333337</v>
          </cell>
          <cell r="X101" t="str">
            <v>SI CUMPLE</v>
          </cell>
          <cell r="Y101" t="str">
            <v>SI CUMPLE</v>
          </cell>
          <cell r="AA101" t="str">
            <v>DESPACHADO</v>
          </cell>
          <cell r="AB101" t="str">
            <v>EMECAN</v>
          </cell>
          <cell r="AC101" t="str">
            <v>JESUS SANTANA GONZALES</v>
          </cell>
          <cell r="AD101">
            <v>55359</v>
          </cell>
          <cell r="AE101" t="str">
            <v>QCH1W05660</v>
          </cell>
        </row>
        <row r="102">
          <cell r="A102" t="str">
            <v>Chanitos Premium EUA Tarima Americana</v>
          </cell>
          <cell r="B102" t="str">
            <v>CPR01104</v>
          </cell>
          <cell r="C102" t="str">
            <v>A06043-360409-1</v>
          </cell>
          <cell r="D102" t="str">
            <v>A06 043 Nuestra señora</v>
          </cell>
          <cell r="E102" t="str">
            <v>McAllen</v>
          </cell>
          <cell r="F102">
            <v>384</v>
          </cell>
          <cell r="G102">
            <v>8</v>
          </cell>
          <cell r="H102">
            <v>46269</v>
          </cell>
          <cell r="I102">
            <v>36</v>
          </cell>
          <cell r="J102">
            <v>46274</v>
          </cell>
          <cell r="L102" t="str">
            <v>DIRECTO SIN PREENFRIO</v>
          </cell>
          <cell r="M102">
            <v>3</v>
          </cell>
          <cell r="N102">
            <v>72</v>
          </cell>
          <cell r="O102">
            <v>46269</v>
          </cell>
          <cell r="P102">
            <v>0.625</v>
          </cell>
          <cell r="U102" t="str">
            <v/>
          </cell>
          <cell r="V102">
            <v>46267</v>
          </cell>
          <cell r="W102">
            <v>0.24305555555555555</v>
          </cell>
          <cell r="X102" t="str">
            <v/>
          </cell>
          <cell r="Y102" t="str">
            <v>SI CUMPLE</v>
          </cell>
          <cell r="AA102" t="str">
            <v>DESPACHADO</v>
          </cell>
          <cell r="AB102" t="str">
            <v>AUTO EXPRESS SEGOVIA</v>
          </cell>
          <cell r="AC102" t="str">
            <v xml:space="preserve">MUEVE LA CARGA A FORTALEZA VICTOR MORGA </v>
          </cell>
          <cell r="AD102">
            <v>47802</v>
          </cell>
          <cell r="AE102" t="str">
            <v>QCH1W04BQ0</v>
          </cell>
        </row>
        <row r="103">
          <cell r="A103" t="str">
            <v>Chanitos Premium EUA Tarima Americana</v>
          </cell>
          <cell r="B103" t="str">
            <v>CPR01104</v>
          </cell>
          <cell r="C103" t="str">
            <v>A04084-360409-1</v>
          </cell>
          <cell r="D103" t="str">
            <v>A04 084 Lisboa</v>
          </cell>
          <cell r="E103" t="str">
            <v>McAllen</v>
          </cell>
          <cell r="F103">
            <v>960</v>
          </cell>
          <cell r="G103">
            <v>20</v>
          </cell>
          <cell r="H103">
            <v>46269</v>
          </cell>
          <cell r="I103">
            <v>36</v>
          </cell>
          <cell r="J103">
            <v>46274</v>
          </cell>
          <cell r="L103" t="str">
            <v>DIRECTO SIN PREENFRIO</v>
          </cell>
          <cell r="M103">
            <v>3</v>
          </cell>
          <cell r="N103">
            <v>72</v>
          </cell>
          <cell r="O103">
            <v>46271</v>
          </cell>
          <cell r="P103">
            <v>0.58333333333333337</v>
          </cell>
          <cell r="Q103" t="str">
            <v>NORMAL</v>
          </cell>
          <cell r="U103" t="str">
            <v/>
          </cell>
          <cell r="V103">
            <v>46272</v>
          </cell>
          <cell r="W103">
            <v>0.67361111111111116</v>
          </cell>
          <cell r="X103" t="str">
            <v/>
          </cell>
          <cell r="Y103" t="str">
            <v>NO CUMPLE</v>
          </cell>
          <cell r="Z103" t="str">
            <v>EMPAQUE TARDIO</v>
          </cell>
          <cell r="AA103" t="str">
            <v>DESPACHADO</v>
          </cell>
          <cell r="AB103" t="str">
            <v>TRANSPORTES TOMATITOS</v>
          </cell>
          <cell r="AC103" t="str">
            <v xml:space="preserve">HUGO ALEXIS RODRIGUEZ RODRIGUEZ </v>
          </cell>
          <cell r="AD103">
            <v>15131</v>
          </cell>
          <cell r="AE103" t="str">
            <v>QCH1W04C10</v>
          </cell>
        </row>
        <row r="104">
          <cell r="A104" t="str">
            <v>Chanitos Premium Tarima Chep</v>
          </cell>
          <cell r="B104" t="str">
            <v>CPR01102</v>
          </cell>
          <cell r="C104" t="str">
            <v>A01001-360409-1</v>
          </cell>
          <cell r="D104" t="str">
            <v>A01 001 Marbella</v>
          </cell>
          <cell r="E104" t="str">
            <v>Chalco</v>
          </cell>
          <cell r="F104">
            <v>1056</v>
          </cell>
          <cell r="G104">
            <v>22</v>
          </cell>
          <cell r="H104">
            <v>46269</v>
          </cell>
          <cell r="I104">
            <v>36</v>
          </cell>
          <cell r="J104">
            <v>46274</v>
          </cell>
          <cell r="L104" t="str">
            <v>PREENFRIO FORTALEZA</v>
          </cell>
          <cell r="M104">
            <v>1</v>
          </cell>
          <cell r="N104">
            <v>24</v>
          </cell>
          <cell r="O104">
            <v>46269</v>
          </cell>
          <cell r="P104">
            <v>0.8354166666666667</v>
          </cell>
          <cell r="Q104" t="str">
            <v>NORMAL</v>
          </cell>
          <cell r="R104">
            <v>46271</v>
          </cell>
          <cell r="S104">
            <v>0.9</v>
          </cell>
          <cell r="T104">
            <v>0.625</v>
          </cell>
          <cell r="U104">
            <v>46272.525000000001</v>
          </cell>
          <cell r="V104">
            <v>46272</v>
          </cell>
          <cell r="W104">
            <v>0.47222222222222221</v>
          </cell>
          <cell r="X104" t="str">
            <v>SI CUMPLE</v>
          </cell>
          <cell r="Y104" t="str">
            <v>SI CUMPLE</v>
          </cell>
          <cell r="AA104" t="str">
            <v>DESPACHADO</v>
          </cell>
          <cell r="AB104" t="str">
            <v>DANIEL CARRILLO GODINEZ</v>
          </cell>
          <cell r="AC104" t="str">
            <v>EDUARDO FLORES ZAMORA</v>
          </cell>
          <cell r="AD104">
            <v>90211</v>
          </cell>
          <cell r="AE104" t="str">
            <v>QCH1W056Y0</v>
          </cell>
        </row>
        <row r="105">
          <cell r="A105" t="str">
            <v>Platano de Chiapas BAE UPC 3237</v>
          </cell>
          <cell r="B105" t="str">
            <v>CPR01114</v>
          </cell>
          <cell r="C105" t="str">
            <v>A01001-360409-1</v>
          </cell>
          <cell r="D105" t="str">
            <v>A01 001 Marbella</v>
          </cell>
          <cell r="E105" t="str">
            <v>Chalco</v>
          </cell>
          <cell r="F105">
            <v>48</v>
          </cell>
          <cell r="G105">
            <v>1.125</v>
          </cell>
          <cell r="H105">
            <v>46269</v>
          </cell>
          <cell r="I105">
            <v>36</v>
          </cell>
          <cell r="J105">
            <v>46274</v>
          </cell>
          <cell r="L105" t="str">
            <v>PREENFRIO FORTALEZA</v>
          </cell>
          <cell r="M105">
            <v>1</v>
          </cell>
          <cell r="N105">
            <v>24</v>
          </cell>
          <cell r="O105">
            <v>46269</v>
          </cell>
          <cell r="P105">
            <v>0.8354166666666667</v>
          </cell>
          <cell r="Q105" t="str">
            <v>NORMAL</v>
          </cell>
          <cell r="R105">
            <v>46271</v>
          </cell>
          <cell r="S105">
            <v>0.9</v>
          </cell>
          <cell r="T105">
            <v>0.625</v>
          </cell>
          <cell r="U105">
            <v>46272.525000000001</v>
          </cell>
          <cell r="V105">
            <v>46272</v>
          </cell>
          <cell r="W105">
            <v>0.47222222222222221</v>
          </cell>
          <cell r="X105" t="str">
            <v>SI CUMPLE</v>
          </cell>
          <cell r="Y105" t="str">
            <v>SI CUMPLE</v>
          </cell>
          <cell r="AA105" t="str">
            <v>DESPACHADO</v>
          </cell>
          <cell r="AB105" t="str">
            <v>DANIEL CARRILLO GODINEZ</v>
          </cell>
          <cell r="AC105" t="str">
            <v>EDUARDO FLORES ZAMORA</v>
          </cell>
          <cell r="AD105">
            <v>90211</v>
          </cell>
          <cell r="AE105" t="str">
            <v>QCH1W056Y0</v>
          </cell>
        </row>
        <row r="106">
          <cell r="A106" t="str">
            <v>Chanitos Premium Tarima Chep</v>
          </cell>
          <cell r="B106" t="str">
            <v>CPR01102</v>
          </cell>
          <cell r="C106" t="str">
            <v>A01002-360409-1</v>
          </cell>
          <cell r="D106" t="str">
            <v>A01 002 Fortaleza</v>
          </cell>
          <cell r="E106" t="str">
            <v>MTY</v>
          </cell>
          <cell r="F106">
            <v>528</v>
          </cell>
          <cell r="G106">
            <v>11</v>
          </cell>
          <cell r="H106">
            <v>46269</v>
          </cell>
          <cell r="I106">
            <v>36</v>
          </cell>
          <cell r="J106">
            <v>46274</v>
          </cell>
          <cell r="L106" t="str">
            <v>PREENFRIO FORTALEZA</v>
          </cell>
          <cell r="M106">
            <v>2.5</v>
          </cell>
          <cell r="N106">
            <v>60</v>
          </cell>
          <cell r="O106">
            <v>46269</v>
          </cell>
          <cell r="P106">
            <v>0.70833333333333337</v>
          </cell>
          <cell r="Q106" t="str">
            <v>NORMAL</v>
          </cell>
          <cell r="R106">
            <v>46270</v>
          </cell>
          <cell r="S106">
            <v>0.46388888888888891</v>
          </cell>
          <cell r="T106">
            <v>0.25</v>
          </cell>
          <cell r="U106">
            <v>46270.713888888888</v>
          </cell>
          <cell r="V106">
            <v>46271</v>
          </cell>
          <cell r="W106">
            <v>0.22708333333333333</v>
          </cell>
          <cell r="X106" t="str">
            <v>SI CUMPLE</v>
          </cell>
          <cell r="Y106" t="str">
            <v>SI CUMPLE</v>
          </cell>
          <cell r="AA106" t="str">
            <v>DESPACHADO</v>
          </cell>
          <cell r="AB106" t="str">
            <v>AUTO EXPRESS SEGOVIA</v>
          </cell>
          <cell r="AC106" t="str">
            <v>ABEL USCANGA REYES</v>
          </cell>
          <cell r="AD106">
            <v>29440</v>
          </cell>
          <cell r="AE106" t="str">
            <v>QCH1W04BZ0</v>
          </cell>
        </row>
        <row r="107">
          <cell r="A107" t="str">
            <v>Chanitos Premium Tarima Americana</v>
          </cell>
          <cell r="B107" t="str">
            <v>CPR01103</v>
          </cell>
          <cell r="C107" t="str">
            <v>A25022-360409-1</v>
          </cell>
          <cell r="D107" t="str">
            <v>A25 022 Doña Mildred</v>
          </cell>
          <cell r="E107" t="str">
            <v>S-MTY</v>
          </cell>
          <cell r="F107">
            <v>960</v>
          </cell>
          <cell r="G107">
            <v>20</v>
          </cell>
          <cell r="H107">
            <v>46269</v>
          </cell>
          <cell r="I107">
            <v>36</v>
          </cell>
          <cell r="J107">
            <v>46275</v>
          </cell>
          <cell r="K107">
            <v>0.25</v>
          </cell>
          <cell r="L107" t="str">
            <v>PREENFRIO NELLY</v>
          </cell>
          <cell r="M107">
            <v>3</v>
          </cell>
          <cell r="N107">
            <v>72</v>
          </cell>
          <cell r="O107">
            <v>46269</v>
          </cell>
          <cell r="P107">
            <v>0.90972222222222221</v>
          </cell>
          <cell r="Q107" t="str">
            <v>ALTA</v>
          </cell>
          <cell r="R107">
            <v>46271</v>
          </cell>
          <cell r="S107">
            <v>0.78819444444444442</v>
          </cell>
          <cell r="T107">
            <v>0.4375</v>
          </cell>
          <cell r="U107">
            <v>46272.225694444445</v>
          </cell>
          <cell r="V107">
            <v>46272</v>
          </cell>
          <cell r="W107">
            <v>0.27083333333333331</v>
          </cell>
          <cell r="X107" t="str">
            <v>SI CUMPLE</v>
          </cell>
          <cell r="Y107" t="str">
            <v>NO CUMPLE</v>
          </cell>
          <cell r="AA107" t="str">
            <v>DESPACHADO</v>
          </cell>
          <cell r="AB107" t="str">
            <v>AUTO EXPRESS SEGOVIA</v>
          </cell>
          <cell r="AC107" t="str">
            <v>Osvalo martinez leo</v>
          </cell>
          <cell r="AD107">
            <v>52601</v>
          </cell>
        </row>
        <row r="108">
          <cell r="A108" t="str">
            <v>Chanitos Premium Tarima Chep</v>
          </cell>
          <cell r="B108" t="str">
            <v>CPR01102</v>
          </cell>
          <cell r="C108" t="str">
            <v>A04083-360509-1</v>
          </cell>
          <cell r="D108" t="str">
            <v>A04 083 Santa Maria</v>
          </cell>
          <cell r="E108" t="str">
            <v>Chalco</v>
          </cell>
          <cell r="F108">
            <v>48</v>
          </cell>
          <cell r="G108">
            <v>1</v>
          </cell>
          <cell r="H108">
            <v>46270</v>
          </cell>
          <cell r="I108">
            <v>36</v>
          </cell>
          <cell r="J108">
            <v>46274</v>
          </cell>
          <cell r="L108" t="str">
            <v>PREENFRIO FORTALEZA</v>
          </cell>
          <cell r="M108">
            <v>1</v>
          </cell>
          <cell r="N108">
            <v>24</v>
          </cell>
          <cell r="O108">
            <v>46270</v>
          </cell>
          <cell r="P108">
            <v>0.74305555555555558</v>
          </cell>
          <cell r="Q108" t="str">
            <v>NORMAL</v>
          </cell>
          <cell r="R108">
            <v>46271</v>
          </cell>
          <cell r="S108">
            <v>0.9</v>
          </cell>
          <cell r="T108">
            <v>0.625</v>
          </cell>
          <cell r="U108">
            <v>46272.525000000001</v>
          </cell>
          <cell r="V108">
            <v>46272</v>
          </cell>
          <cell r="W108">
            <v>0.47222222222222221</v>
          </cell>
          <cell r="X108" t="str">
            <v>SI CUMPLE</v>
          </cell>
          <cell r="Y108" t="str">
            <v>SI CUMPLE</v>
          </cell>
          <cell r="AA108" t="str">
            <v>DESPACHADO</v>
          </cell>
          <cell r="AB108" t="str">
            <v>DANIEL CARRILLO GODINEZ</v>
          </cell>
          <cell r="AC108" t="str">
            <v>EDUARDO FLORES ZAMORA</v>
          </cell>
          <cell r="AD108">
            <v>90211</v>
          </cell>
          <cell r="AE108" t="str">
            <v>QCH1W056Y0</v>
          </cell>
        </row>
        <row r="109">
          <cell r="A109" t="str">
            <v>Chanitos Organic Banded Market Side Mexico</v>
          </cell>
          <cell r="B109" t="str">
            <v>CRG07128</v>
          </cell>
          <cell r="C109" t="str">
            <v>A01002-360509-1</v>
          </cell>
          <cell r="D109" t="str">
            <v>A01 002 Fortaleza</v>
          </cell>
          <cell r="E109" t="str">
            <v>MTY</v>
          </cell>
          <cell r="F109">
            <v>96</v>
          </cell>
          <cell r="G109">
            <v>2</v>
          </cell>
          <cell r="H109">
            <v>46270</v>
          </cell>
          <cell r="I109">
            <v>36</v>
          </cell>
          <cell r="J109">
            <v>46274</v>
          </cell>
          <cell r="L109" t="str">
            <v>PREENFRIO FORTALEZA</v>
          </cell>
          <cell r="M109">
            <v>2.5</v>
          </cell>
          <cell r="N109">
            <v>60</v>
          </cell>
          <cell r="O109">
            <v>46270</v>
          </cell>
          <cell r="P109">
            <v>0.74305555555555558</v>
          </cell>
          <cell r="Q109" t="str">
            <v>NORMAL</v>
          </cell>
          <cell r="R109">
            <v>46271</v>
          </cell>
          <cell r="S109">
            <v>2.5000000000000001E-2</v>
          </cell>
          <cell r="T109">
            <v>0.20833333333333334</v>
          </cell>
          <cell r="U109">
            <v>46271.233333333337</v>
          </cell>
          <cell r="V109">
            <v>46271</v>
          </cell>
          <cell r="W109">
            <v>0.22708333333333333</v>
          </cell>
          <cell r="X109" t="str">
            <v>SI CUMPLE</v>
          </cell>
          <cell r="Y109" t="str">
            <v>SI CUMPLE</v>
          </cell>
          <cell r="AA109" t="str">
            <v>DESPACHADO</v>
          </cell>
          <cell r="AB109" t="str">
            <v>AUTO EXPRESS SEGOVIA</v>
          </cell>
          <cell r="AC109" t="str">
            <v>ABEL USCANGA REYES</v>
          </cell>
          <cell r="AD109">
            <v>29440</v>
          </cell>
          <cell r="AE109" t="str">
            <v>QCH1W04BZ0</v>
          </cell>
        </row>
        <row r="110">
          <cell r="A110" t="str">
            <v>Chanitos Organic Banded Market Side Mexico</v>
          </cell>
          <cell r="B110" t="str">
            <v>CRG07128</v>
          </cell>
          <cell r="C110" t="str">
            <v>A01002-360509-1</v>
          </cell>
          <cell r="D110" t="str">
            <v>A01 002 Fortaleza</v>
          </cell>
          <cell r="E110" t="str">
            <v>QRO</v>
          </cell>
          <cell r="F110">
            <v>96</v>
          </cell>
          <cell r="G110">
            <v>2</v>
          </cell>
          <cell r="H110">
            <v>46270</v>
          </cell>
          <cell r="I110">
            <v>36</v>
          </cell>
          <cell r="J110">
            <v>46274</v>
          </cell>
          <cell r="L110" t="str">
            <v>PREENFRIO FORTALEZA</v>
          </cell>
          <cell r="M110">
            <v>1.5</v>
          </cell>
          <cell r="N110">
            <v>36</v>
          </cell>
          <cell r="O110">
            <v>46270</v>
          </cell>
          <cell r="P110">
            <v>0.74305555555555558</v>
          </cell>
          <cell r="Q110" t="str">
            <v>NORMAL</v>
          </cell>
          <cell r="R110">
            <v>46271</v>
          </cell>
          <cell r="S110">
            <v>0.25416666666666665</v>
          </cell>
          <cell r="T110">
            <v>0.625</v>
          </cell>
          <cell r="U110">
            <v>46271.879166666666</v>
          </cell>
          <cell r="V110">
            <v>46271</v>
          </cell>
          <cell r="W110">
            <v>0.83333333333333337</v>
          </cell>
          <cell r="X110" t="str">
            <v>SI CUMPLE</v>
          </cell>
          <cell r="Y110" t="str">
            <v>SI CUMPLE</v>
          </cell>
          <cell r="AA110" t="str">
            <v>DESPACHADO</v>
          </cell>
          <cell r="AB110" t="str">
            <v>EMECAN</v>
          </cell>
          <cell r="AC110" t="str">
            <v>JESUS SANTANA GONZALES</v>
          </cell>
          <cell r="AD110">
            <v>55359</v>
          </cell>
          <cell r="AE110" t="str">
            <v>QCH1W05660</v>
          </cell>
        </row>
        <row r="111">
          <cell r="A111" t="str">
            <v>Chanitos Premium EUA Tarima Americana</v>
          </cell>
          <cell r="B111" t="str">
            <v>CPR01104</v>
          </cell>
          <cell r="C111" t="str">
            <v>A11045-360409-1</v>
          </cell>
          <cell r="D111" t="str">
            <v>A11 Sector Mazatan</v>
          </cell>
          <cell r="E111" t="str">
            <v>McAllen</v>
          </cell>
          <cell r="F111">
            <v>192</v>
          </cell>
          <cell r="G111">
            <v>4</v>
          </cell>
          <cell r="H111">
            <v>46269</v>
          </cell>
          <cell r="I111">
            <v>36</v>
          </cell>
          <cell r="J111">
            <v>46275</v>
          </cell>
          <cell r="L111" t="str">
            <v>DIRECTO SIN PREENFRIO</v>
          </cell>
          <cell r="M111">
            <v>3</v>
          </cell>
          <cell r="N111">
            <v>72</v>
          </cell>
          <cell r="O111">
            <v>46270</v>
          </cell>
          <cell r="P111">
            <v>0.83333333333333337</v>
          </cell>
          <cell r="U111" t="str">
            <v/>
          </cell>
          <cell r="V111">
            <v>46271</v>
          </cell>
          <cell r="W111">
            <v>0.33333333333333331</v>
          </cell>
          <cell r="X111" t="str">
            <v/>
          </cell>
          <cell r="Y111" t="str">
            <v>SI CUMPLE</v>
          </cell>
          <cell r="AA111" t="str">
            <v>DESPACHADO</v>
          </cell>
          <cell r="AB111" t="str">
            <v>AUTO EXPRESS SEGOVIA</v>
          </cell>
          <cell r="AC111" t="str">
            <v>EDILBERTO MORA RAMIREZ</v>
          </cell>
          <cell r="AD111">
            <v>83564</v>
          </cell>
          <cell r="AE111" t="str">
            <v>QCH1W04730</v>
          </cell>
        </row>
        <row r="112">
          <cell r="A112" t="str">
            <v>Chanitos Premium EUA Tarima Americana</v>
          </cell>
          <cell r="B112" t="str">
            <v>CPR01104</v>
          </cell>
          <cell r="C112" t="str">
            <v>A11092-360409-1</v>
          </cell>
          <cell r="D112" t="str">
            <v>COMPOSTA</v>
          </cell>
          <cell r="E112" t="str">
            <v>McAllen</v>
          </cell>
          <cell r="F112">
            <v>768</v>
          </cell>
          <cell r="G112">
            <v>16</v>
          </cell>
          <cell r="H112">
            <v>46269</v>
          </cell>
          <cell r="I112">
            <v>36</v>
          </cell>
          <cell r="J112">
            <v>46275</v>
          </cell>
          <cell r="L112" t="str">
            <v>DIRECTO SIN PREENFRIO</v>
          </cell>
          <cell r="M112">
            <v>3</v>
          </cell>
          <cell r="N112">
            <v>72</v>
          </cell>
          <cell r="O112">
            <v>46270</v>
          </cell>
          <cell r="P112">
            <v>0.83333333333333337</v>
          </cell>
          <cell r="U112" t="str">
            <v/>
          </cell>
          <cell r="V112">
            <v>46271</v>
          </cell>
          <cell r="W112">
            <v>0.33333333333333331</v>
          </cell>
          <cell r="X112" t="str">
            <v/>
          </cell>
          <cell r="Y112" t="str">
            <v>SI CUMPLE</v>
          </cell>
          <cell r="AA112" t="str">
            <v>DESPACHADO</v>
          </cell>
          <cell r="AB112" t="str">
            <v>AUTO EXPRESS SEGOVIA</v>
          </cell>
          <cell r="AC112" t="str">
            <v>EDILBERTO MORA RAMIREZ</v>
          </cell>
          <cell r="AD112">
            <v>83564</v>
          </cell>
          <cell r="AE112" t="str">
            <v>QCH1W04730</v>
          </cell>
        </row>
        <row r="113">
          <cell r="A113" t="str">
            <v>Chanitos Premium Tarima Chep</v>
          </cell>
          <cell r="B113" t="str">
            <v>CPR01102</v>
          </cell>
          <cell r="C113" t="str">
            <v>A01001-360409-1</v>
          </cell>
          <cell r="D113" t="str">
            <v>A01 001 Marbella</v>
          </cell>
          <cell r="E113" t="str">
            <v>Chalco</v>
          </cell>
          <cell r="F113">
            <v>42</v>
          </cell>
          <cell r="G113">
            <v>1</v>
          </cell>
          <cell r="H113">
            <v>46269</v>
          </cell>
          <cell r="I113">
            <v>36</v>
          </cell>
          <cell r="J113">
            <v>46275</v>
          </cell>
          <cell r="L113" t="str">
            <v>PREENFRIO FORTALEZA</v>
          </cell>
          <cell r="M113">
            <v>1</v>
          </cell>
          <cell r="N113">
            <v>24</v>
          </cell>
          <cell r="O113">
            <v>46269</v>
          </cell>
          <cell r="P113">
            <v>0.8354166666666667</v>
          </cell>
          <cell r="Q113" t="str">
            <v>NORMAL</v>
          </cell>
          <cell r="R113">
            <v>46272</v>
          </cell>
          <cell r="S113">
            <v>0.23819444444444443</v>
          </cell>
          <cell r="T113">
            <v>0.20833333333333334</v>
          </cell>
          <cell r="U113">
            <v>46272.446527777778</v>
          </cell>
          <cell r="V113">
            <v>46272</v>
          </cell>
          <cell r="W113">
            <v>0.98819444444444449</v>
          </cell>
          <cell r="X113" t="str">
            <v>SI CUMPLE</v>
          </cell>
          <cell r="Y113" t="str">
            <v>SI CUMPLE</v>
          </cell>
          <cell r="AA113" t="str">
            <v>DESPACHADO</v>
          </cell>
          <cell r="AB113" t="str">
            <v xml:space="preserve">EDUARDO ROSALES </v>
          </cell>
          <cell r="AC113" t="str">
            <v>JESUS EDUARDO ROSALES PEREZ</v>
          </cell>
          <cell r="AD113">
            <v>10357</v>
          </cell>
          <cell r="AE113" t="str">
            <v>QCH1W05610</v>
          </cell>
        </row>
        <row r="114">
          <cell r="A114" t="str">
            <v>Platano de Chiapas BAE UPC 3237</v>
          </cell>
          <cell r="B114" t="str">
            <v>CPR01114</v>
          </cell>
          <cell r="C114" t="str">
            <v>A01001-360409-1</v>
          </cell>
          <cell r="D114" t="str">
            <v>A01 001 Marbella</v>
          </cell>
          <cell r="E114" t="str">
            <v>Chalco</v>
          </cell>
          <cell r="F114">
            <v>6</v>
          </cell>
          <cell r="G114">
            <v>0</v>
          </cell>
          <cell r="H114">
            <v>46269</v>
          </cell>
          <cell r="I114">
            <v>36</v>
          </cell>
          <cell r="J114">
            <v>46275</v>
          </cell>
          <cell r="L114" t="str">
            <v>PREENFRIO FORTALEZA</v>
          </cell>
          <cell r="M114">
            <v>1</v>
          </cell>
          <cell r="N114">
            <v>24</v>
          </cell>
          <cell r="O114">
            <v>46269</v>
          </cell>
          <cell r="P114">
            <v>0.8354166666666667</v>
          </cell>
          <cell r="Q114" t="str">
            <v>NORMAL</v>
          </cell>
          <cell r="R114">
            <v>46272</v>
          </cell>
          <cell r="S114">
            <v>0.23819444444444443</v>
          </cell>
          <cell r="T114">
            <v>0.20833333333333334</v>
          </cell>
          <cell r="U114">
            <v>46272.446527777778</v>
          </cell>
          <cell r="V114">
            <v>46272</v>
          </cell>
          <cell r="W114">
            <v>0.98819444444444449</v>
          </cell>
          <cell r="X114" t="str">
            <v>SI CUMPLE</v>
          </cell>
          <cell r="Y114" t="str">
            <v>SI CUMPLE</v>
          </cell>
          <cell r="AA114" t="str">
            <v>DESPACHADO</v>
          </cell>
          <cell r="AB114" t="str">
            <v xml:space="preserve">EDUARDO ROSALES </v>
          </cell>
          <cell r="AC114" t="str">
            <v>JESUS EDUARDO ROSALES PEREZ</v>
          </cell>
          <cell r="AD114">
            <v>10357</v>
          </cell>
          <cell r="AE114" t="str">
            <v>QCH1W05610</v>
          </cell>
        </row>
        <row r="115">
          <cell r="A115" t="str">
            <v>Chanitos Premium Tarima Chep</v>
          </cell>
          <cell r="B115" t="str">
            <v>CPR01102</v>
          </cell>
          <cell r="C115" t="str">
            <v>A01 002 Fortaleza</v>
          </cell>
          <cell r="D115" t="str">
            <v>A01 002 Fortaleza</v>
          </cell>
          <cell r="E115" t="str">
            <v>Chalco</v>
          </cell>
          <cell r="F115">
            <v>336</v>
          </cell>
          <cell r="G115">
            <v>7</v>
          </cell>
          <cell r="H115">
            <v>46269</v>
          </cell>
          <cell r="I115">
            <v>36</v>
          </cell>
          <cell r="J115">
            <v>46275</v>
          </cell>
          <cell r="L115" t="str">
            <v>PREENFRIO FORTALEZA</v>
          </cell>
          <cell r="M115">
            <v>1</v>
          </cell>
          <cell r="N115">
            <v>24</v>
          </cell>
          <cell r="O115">
            <v>46269</v>
          </cell>
          <cell r="P115">
            <v>0.70833333333333337</v>
          </cell>
          <cell r="Q115" t="str">
            <v>NORMAL</v>
          </cell>
          <cell r="R115">
            <v>46272</v>
          </cell>
          <cell r="S115">
            <v>0.88958333333333328</v>
          </cell>
          <cell r="T115">
            <v>0.20833333333333334</v>
          </cell>
          <cell r="U115">
            <v>46273.097916666666</v>
          </cell>
          <cell r="V115">
            <v>46272</v>
          </cell>
          <cell r="W115">
            <v>0.98819444444444449</v>
          </cell>
          <cell r="X115" t="str">
            <v>SI CUMPLE</v>
          </cell>
          <cell r="Y115" t="str">
            <v>SI CUMPLE</v>
          </cell>
          <cell r="AA115" t="str">
            <v>DESPACHADO</v>
          </cell>
          <cell r="AB115" t="str">
            <v xml:space="preserve">EDUARDO ROSALES </v>
          </cell>
          <cell r="AC115" t="str">
            <v>JESUS EDUARDO ROSALES PEREZ</v>
          </cell>
          <cell r="AD115">
            <v>10357</v>
          </cell>
          <cell r="AE115" t="str">
            <v>QCH1W05610</v>
          </cell>
        </row>
        <row r="116">
          <cell r="A116" t="str">
            <v>Chanitos Premium Tarima Chep</v>
          </cell>
          <cell r="B116" t="str">
            <v>CPR01102</v>
          </cell>
          <cell r="C116" t="str">
            <v>A01002-360409-1</v>
          </cell>
          <cell r="D116" t="str">
            <v>A01 002 Fortaleza</v>
          </cell>
          <cell r="E116" t="str">
            <v>VSA</v>
          </cell>
          <cell r="F116">
            <v>240</v>
          </cell>
          <cell r="G116">
            <v>5</v>
          </cell>
          <cell r="H116">
            <v>46269</v>
          </cell>
          <cell r="I116">
            <v>36</v>
          </cell>
          <cell r="J116">
            <v>46275</v>
          </cell>
          <cell r="L116" t="str">
            <v>PREENFRIO FORTALEZA</v>
          </cell>
          <cell r="M116">
            <v>1</v>
          </cell>
          <cell r="N116">
            <v>24</v>
          </cell>
          <cell r="O116">
            <v>46269</v>
          </cell>
          <cell r="P116">
            <v>0.70833333333333337</v>
          </cell>
          <cell r="Q116" t="str">
            <v>NORMAL</v>
          </cell>
          <cell r="R116">
            <v>46272</v>
          </cell>
          <cell r="S116">
            <v>0.88958333333333328</v>
          </cell>
          <cell r="T116">
            <v>0.20833333333333334</v>
          </cell>
          <cell r="U116">
            <v>46273.097916666666</v>
          </cell>
          <cell r="V116">
            <v>46273</v>
          </cell>
          <cell r="W116">
            <v>0.58333333333333337</v>
          </cell>
          <cell r="X116" t="str">
            <v>SI CUMPLE</v>
          </cell>
          <cell r="Y116" t="str">
            <v>SI CUMPLE</v>
          </cell>
          <cell r="AA116" t="str">
            <v>DESPACHADO</v>
          </cell>
          <cell r="AB116" t="str">
            <v>BACKHAUL</v>
          </cell>
          <cell r="AC116" t="str">
            <v>Eliud Hernandez Chable</v>
          </cell>
          <cell r="AD116">
            <v>66119</v>
          </cell>
          <cell r="AE116" t="str">
            <v>QCH1W04D20</v>
          </cell>
        </row>
        <row r="117">
          <cell r="A117" t="str">
            <v>Chanitos Premium Tarima Americana</v>
          </cell>
          <cell r="B117" t="str">
            <v>CPR01103</v>
          </cell>
          <cell r="C117" t="str">
            <v>A11092-360409-1</v>
          </cell>
          <cell r="D117" t="str">
            <v>A11 092 Composta</v>
          </cell>
          <cell r="E117" t="str">
            <v>S-MTY</v>
          </cell>
          <cell r="F117">
            <v>960</v>
          </cell>
          <cell r="G117">
            <v>20</v>
          </cell>
          <cell r="H117">
            <v>46270</v>
          </cell>
          <cell r="I117">
            <v>36</v>
          </cell>
          <cell r="J117">
            <v>46275</v>
          </cell>
          <cell r="K117">
            <v>0.25</v>
          </cell>
          <cell r="L117" t="str">
            <v>PREENFRIO NELLY</v>
          </cell>
          <cell r="M117">
            <v>3</v>
          </cell>
          <cell r="N117">
            <v>72</v>
          </cell>
          <cell r="O117">
            <v>46270</v>
          </cell>
          <cell r="P117">
            <v>0.98958333333333337</v>
          </cell>
          <cell r="Q117" t="str">
            <v>ALTA</v>
          </cell>
          <cell r="R117">
            <v>46271</v>
          </cell>
          <cell r="S117">
            <v>0.95486111111111116</v>
          </cell>
          <cell r="T117">
            <v>0.4375</v>
          </cell>
          <cell r="U117">
            <v>46272.392361111109</v>
          </cell>
          <cell r="V117">
            <v>46272</v>
          </cell>
          <cell r="W117">
            <v>0.27083333333333331</v>
          </cell>
          <cell r="X117" t="str">
            <v>NO CUMPLE</v>
          </cell>
          <cell r="Y117" t="str">
            <v>NO CUMPLE</v>
          </cell>
          <cell r="Z117" t="str">
            <v>MANIOBRA</v>
          </cell>
          <cell r="AA117" t="str">
            <v>DESPACHADO</v>
          </cell>
          <cell r="AB117" t="str">
            <v>AUTO EXPRESS SEGOVIA</v>
          </cell>
          <cell r="AC117" t="str">
            <v>Osvalo martinez leo</v>
          </cell>
          <cell r="AD117">
            <v>10388</v>
          </cell>
        </row>
        <row r="118">
          <cell r="A118" t="str">
            <v>Chanitos Premium EUA Tarima Americana</v>
          </cell>
          <cell r="B118" t="str">
            <v>CPR01104</v>
          </cell>
          <cell r="C118" t="str">
            <v>A04084-360509-1</v>
          </cell>
          <cell r="D118" t="str">
            <v>A04 084 Lisboa</v>
          </cell>
          <cell r="E118" t="str">
            <v>McAllen</v>
          </cell>
          <cell r="F118">
            <v>720</v>
          </cell>
          <cell r="G118">
            <v>15</v>
          </cell>
          <cell r="H118">
            <v>46270</v>
          </cell>
          <cell r="I118">
            <v>36</v>
          </cell>
          <cell r="J118">
            <v>46275</v>
          </cell>
          <cell r="L118" t="str">
            <v>DIRECTO SIN PREENFRIO</v>
          </cell>
          <cell r="M118">
            <v>3</v>
          </cell>
          <cell r="N118">
            <v>72</v>
          </cell>
          <cell r="O118">
            <v>46271</v>
          </cell>
          <cell r="P118">
            <v>0.58333333333333337</v>
          </cell>
          <cell r="Q118" t="str">
            <v>NORMAL</v>
          </cell>
          <cell r="V118">
            <v>46272</v>
          </cell>
          <cell r="W118">
            <v>0.67361111111111116</v>
          </cell>
          <cell r="X118" t="str">
            <v/>
          </cell>
          <cell r="Y118" t="str">
            <v>NO CUMPLE</v>
          </cell>
          <cell r="Z118" t="str">
            <v>EMPAQUE TARDIO</v>
          </cell>
          <cell r="AA118" t="str">
            <v>DESPACHADO</v>
          </cell>
          <cell r="AB118" t="str">
            <v>TRANSPORTES TOMATITOS</v>
          </cell>
          <cell r="AC118" t="str">
            <v xml:space="preserve">HUGO ALEXIS RODRIGUEZ RODRIGUEZ </v>
          </cell>
          <cell r="AD118">
            <v>14216</v>
          </cell>
          <cell r="AE118" t="str">
            <v>QCH1W056M0</v>
          </cell>
        </row>
        <row r="119">
          <cell r="A119" t="str">
            <v>Chanitos Premium Tarima Chep</v>
          </cell>
          <cell r="B119" t="str">
            <v>CPR01102</v>
          </cell>
          <cell r="C119" t="str">
            <v>A04083-360509-1</v>
          </cell>
          <cell r="D119" t="str">
            <v>A04 083 Santa Maria</v>
          </cell>
          <cell r="E119" t="str">
            <v>Chalco</v>
          </cell>
          <cell r="F119">
            <v>1056</v>
          </cell>
          <cell r="G119">
            <v>22</v>
          </cell>
          <cell r="H119">
            <v>46270</v>
          </cell>
          <cell r="I119">
            <v>36</v>
          </cell>
          <cell r="J119">
            <v>46275</v>
          </cell>
          <cell r="L119" t="str">
            <v>PREENFRIO FORTALEZA</v>
          </cell>
          <cell r="M119">
            <v>1</v>
          </cell>
          <cell r="N119">
            <v>24</v>
          </cell>
          <cell r="O119">
            <v>46270</v>
          </cell>
          <cell r="P119">
            <v>0.74305555555555558</v>
          </cell>
          <cell r="Q119" t="str">
            <v>NORMAL</v>
          </cell>
          <cell r="R119">
            <v>46272</v>
          </cell>
          <cell r="S119">
            <v>0.23819444444444443</v>
          </cell>
          <cell r="T119">
            <v>0.625</v>
          </cell>
          <cell r="U119">
            <v>46272.863194444442</v>
          </cell>
          <cell r="V119">
            <v>46272</v>
          </cell>
          <cell r="W119">
            <v>0.98819444444444449</v>
          </cell>
          <cell r="X119" t="str">
            <v>SI CUMPLE</v>
          </cell>
          <cell r="Y119" t="str">
            <v>SI CUMPLE</v>
          </cell>
          <cell r="AA119" t="str">
            <v>DESPACHADO</v>
          </cell>
          <cell r="AB119" t="str">
            <v xml:space="preserve">EDUARDO ROSALES </v>
          </cell>
          <cell r="AC119" t="str">
            <v>JESUS EDUARDO ROSALES PEREZ</v>
          </cell>
          <cell r="AD119">
            <v>10357</v>
          </cell>
          <cell r="AE119" t="str">
            <v>QCH1W05610</v>
          </cell>
        </row>
        <row r="120">
          <cell r="A120" t="str">
            <v>Platano de Chiapas BAE UPC 3237</v>
          </cell>
          <cell r="B120" t="str">
            <v>CPR01114</v>
          </cell>
          <cell r="C120" t="str">
            <v>A04083-360509-1</v>
          </cell>
          <cell r="D120" t="str">
            <v>A04 083 Santa Maria</v>
          </cell>
          <cell r="E120" t="str">
            <v>Chalco</v>
          </cell>
          <cell r="F120">
            <v>48</v>
          </cell>
          <cell r="G120">
            <v>1</v>
          </cell>
          <cell r="H120">
            <v>46270</v>
          </cell>
          <cell r="I120">
            <v>36</v>
          </cell>
          <cell r="J120">
            <v>46275</v>
          </cell>
          <cell r="L120" t="str">
            <v>PREENFRIO FORTALEZA</v>
          </cell>
          <cell r="M120">
            <v>1</v>
          </cell>
          <cell r="N120">
            <v>24</v>
          </cell>
          <cell r="O120">
            <v>46270</v>
          </cell>
          <cell r="P120">
            <v>0.74305555555555558</v>
          </cell>
          <cell r="Q120" t="str">
            <v>NORMAL</v>
          </cell>
          <cell r="R120">
            <v>46272</v>
          </cell>
          <cell r="S120">
            <v>0.23819444444444443</v>
          </cell>
          <cell r="T120">
            <v>0.625</v>
          </cell>
          <cell r="U120">
            <v>46272.863194444442</v>
          </cell>
          <cell r="V120">
            <v>46272</v>
          </cell>
          <cell r="W120">
            <v>0.98819444444444449</v>
          </cell>
          <cell r="X120" t="str">
            <v>SI CUMPLE</v>
          </cell>
          <cell r="Y120" t="str">
            <v>SI CUMPLE</v>
          </cell>
          <cell r="AA120" t="str">
            <v>DESPACHADO</v>
          </cell>
          <cell r="AB120" t="str">
            <v xml:space="preserve">EDUARDO ROSALES </v>
          </cell>
          <cell r="AC120" t="str">
            <v>JESUS EDUARDO ROSALES PEREZ</v>
          </cell>
          <cell r="AD120">
            <v>10357</v>
          </cell>
          <cell r="AE120" t="str">
            <v>QCH1W05610</v>
          </cell>
        </row>
        <row r="121">
          <cell r="A121" t="str">
            <v>Chanitos Premium Tarima Chep</v>
          </cell>
          <cell r="B121" t="str">
            <v>CPR01102</v>
          </cell>
          <cell r="D121" t="str">
            <v>A04 083 Santa Maria</v>
          </cell>
          <cell r="E121" t="str">
            <v>VSA</v>
          </cell>
          <cell r="F121">
            <v>336</v>
          </cell>
          <cell r="G121">
            <v>7</v>
          </cell>
          <cell r="H121">
            <v>46270</v>
          </cell>
          <cell r="I121">
            <v>36</v>
          </cell>
          <cell r="J121">
            <v>46275</v>
          </cell>
          <cell r="K121" t="str">
            <v/>
          </cell>
          <cell r="L121" t="str">
            <v>PREENFRIO FORTALEZA</v>
          </cell>
          <cell r="M121">
            <v>1</v>
          </cell>
          <cell r="N121">
            <v>24</v>
          </cell>
          <cell r="O121">
            <v>46270</v>
          </cell>
          <cell r="P121">
            <v>0.74305555555555558</v>
          </cell>
          <cell r="Q121" t="str">
            <v>NORMAL</v>
          </cell>
          <cell r="R121">
            <v>46272</v>
          </cell>
          <cell r="S121">
            <v>0.23819444444444443</v>
          </cell>
          <cell r="T121">
            <v>0.625</v>
          </cell>
          <cell r="U121">
            <v>46272.863194444442</v>
          </cell>
          <cell r="V121">
            <v>46273</v>
          </cell>
          <cell r="W121">
            <v>0.58333333333333337</v>
          </cell>
          <cell r="X121" t="str">
            <v>SI CUMPLE</v>
          </cell>
          <cell r="Y121" t="str">
            <v>SI CUMPLE</v>
          </cell>
          <cell r="AA121" t="str">
            <v>DESPACHADO</v>
          </cell>
          <cell r="AB121" t="str">
            <v>BACKHAUL</v>
          </cell>
          <cell r="AC121" t="str">
            <v>Eliud Hernandez Chable</v>
          </cell>
          <cell r="AD121">
            <v>66119</v>
          </cell>
          <cell r="AE121" t="str">
            <v>QCH1W04D20</v>
          </cell>
        </row>
        <row r="122">
          <cell r="A122" t="str">
            <v>Chanitos Organic Banded Market Side Mexico</v>
          </cell>
          <cell r="B122" t="str">
            <v>CRG07128</v>
          </cell>
          <cell r="C122" t="str">
            <v>A01002-360509-1</v>
          </cell>
          <cell r="D122" t="str">
            <v>A01 002 Fortaleza</v>
          </cell>
          <cell r="E122" t="str">
            <v>VSA</v>
          </cell>
          <cell r="F122">
            <v>240</v>
          </cell>
          <cell r="G122">
            <v>5</v>
          </cell>
          <cell r="H122">
            <v>46270</v>
          </cell>
          <cell r="I122">
            <v>36</v>
          </cell>
          <cell r="J122">
            <v>46275</v>
          </cell>
          <cell r="L122" t="str">
            <v>PREENFRIO FORTALEZA</v>
          </cell>
          <cell r="M122">
            <v>1</v>
          </cell>
          <cell r="N122">
            <v>24</v>
          </cell>
          <cell r="O122">
            <v>46270</v>
          </cell>
          <cell r="P122">
            <v>0.74305555555555558</v>
          </cell>
          <cell r="Q122" t="str">
            <v>NORMAL</v>
          </cell>
          <cell r="R122">
            <v>46272</v>
          </cell>
          <cell r="S122">
            <v>0.98611111111111116</v>
          </cell>
          <cell r="T122">
            <v>0.625</v>
          </cell>
          <cell r="U122">
            <v>46273.611111111109</v>
          </cell>
          <cell r="V122">
            <v>46273</v>
          </cell>
          <cell r="W122">
            <v>0.58333333333333337</v>
          </cell>
          <cell r="X122" t="str">
            <v>SI CUMPLE</v>
          </cell>
          <cell r="Y122" t="str">
            <v>SI CUMPLE</v>
          </cell>
          <cell r="AA122" t="str">
            <v>DESPACHADO</v>
          </cell>
          <cell r="AB122" t="str">
            <v>BACKHAUL</v>
          </cell>
          <cell r="AC122" t="str">
            <v>Eliud Hernandez Chable</v>
          </cell>
          <cell r="AD122">
            <v>66119</v>
          </cell>
          <cell r="AE122" t="str">
            <v>QCH1W04D20</v>
          </cell>
        </row>
        <row r="123">
          <cell r="A123" t="str">
            <v>Chanitos Premium Tarima Chep</v>
          </cell>
          <cell r="B123" t="str">
            <v>CPR01102</v>
          </cell>
          <cell r="C123" t="str">
            <v>A01002-360509-1</v>
          </cell>
          <cell r="D123" t="str">
            <v>A01 002 Fortaleza</v>
          </cell>
          <cell r="E123" t="str">
            <v>VSA</v>
          </cell>
          <cell r="F123">
            <v>288</v>
          </cell>
          <cell r="G123">
            <v>6</v>
          </cell>
          <cell r="H123">
            <v>46270</v>
          </cell>
          <cell r="I123">
            <v>36</v>
          </cell>
          <cell r="J123">
            <v>46275</v>
          </cell>
          <cell r="L123" t="str">
            <v>PREENFRIO FORTALEZA</v>
          </cell>
          <cell r="M123">
            <v>1</v>
          </cell>
          <cell r="N123">
            <v>24</v>
          </cell>
          <cell r="O123">
            <v>46270</v>
          </cell>
          <cell r="P123">
            <v>0.74305555555555558</v>
          </cell>
          <cell r="Q123" t="str">
            <v>NORMAL</v>
          </cell>
          <cell r="R123">
            <v>46272</v>
          </cell>
          <cell r="S123">
            <v>0.98611111111111116</v>
          </cell>
          <cell r="T123">
            <v>0.625</v>
          </cell>
          <cell r="U123">
            <v>46273.611111111109</v>
          </cell>
          <cell r="V123">
            <v>46273</v>
          </cell>
          <cell r="W123">
            <v>0.58333333333333337</v>
          </cell>
          <cell r="X123" t="str">
            <v>SI CUMPLE</v>
          </cell>
          <cell r="Y123" t="str">
            <v>SI CUMPLE</v>
          </cell>
          <cell r="AA123" t="str">
            <v>DESPACHADO</v>
          </cell>
          <cell r="AB123" t="str">
            <v>BACKHAUL</v>
          </cell>
          <cell r="AC123" t="str">
            <v>Eliud Hernandez Chable</v>
          </cell>
          <cell r="AD123">
            <v>66119</v>
          </cell>
          <cell r="AE123" t="str">
            <v>QCH1W04D20</v>
          </cell>
        </row>
        <row r="124">
          <cell r="A124" t="str">
            <v>Chanitos Premium Tarima Chep</v>
          </cell>
          <cell r="B124" t="str">
            <v>CPR01102</v>
          </cell>
          <cell r="C124" t="str">
            <v>A01004-360509-1</v>
          </cell>
          <cell r="D124" t="str">
            <v>A01 004 La Ceiba</v>
          </cell>
          <cell r="E124" t="str">
            <v>Chalco</v>
          </cell>
          <cell r="F124">
            <v>240</v>
          </cell>
          <cell r="G124">
            <v>5</v>
          </cell>
          <cell r="H124">
            <v>46270</v>
          </cell>
          <cell r="I124">
            <v>36</v>
          </cell>
          <cell r="J124">
            <v>46276</v>
          </cell>
          <cell r="L124" t="str">
            <v>PREENFRIO NELLY</v>
          </cell>
          <cell r="M124">
            <v>1</v>
          </cell>
          <cell r="N124">
            <v>24</v>
          </cell>
          <cell r="O124">
            <v>46270</v>
          </cell>
          <cell r="P124">
            <v>0.91319444444444442</v>
          </cell>
          <cell r="Q124" t="str">
            <v>ALTA</v>
          </cell>
          <cell r="R124">
            <v>46272</v>
          </cell>
          <cell r="S124">
            <v>0.54166666666666663</v>
          </cell>
          <cell r="T124">
            <v>0.35416666666666669</v>
          </cell>
          <cell r="U124">
            <v>46272.895833333328</v>
          </cell>
          <cell r="V124">
            <v>46274</v>
          </cell>
          <cell r="W124">
            <v>0.11874999999999999</v>
          </cell>
          <cell r="X124" t="str">
            <v>SI CUMPLE</v>
          </cell>
          <cell r="Y124" t="str">
            <v>SI CUMPLE</v>
          </cell>
          <cell r="AA124" t="str">
            <v>DESPACHADO</v>
          </cell>
          <cell r="AB124" t="str">
            <v>GENARO IBAÑEZ</v>
          </cell>
          <cell r="AC124" t="str">
            <v>RAUL PEREZ SANCHEZ</v>
          </cell>
          <cell r="AD124">
            <v>73686</v>
          </cell>
          <cell r="AE124" t="str">
            <v>PUESTO EN FORTALEZA</v>
          </cell>
        </row>
        <row r="125">
          <cell r="A125" t="str">
            <v>Chanitos Premium EUA Tarima Americana</v>
          </cell>
          <cell r="B125" t="str">
            <v>CPR01104</v>
          </cell>
          <cell r="C125" t="str">
            <v>A01002-370709-1</v>
          </cell>
          <cell r="D125" t="str">
            <v>A01 002 Fortaleza</v>
          </cell>
          <cell r="E125" t="str">
            <v>McAllen</v>
          </cell>
          <cell r="F125">
            <v>240</v>
          </cell>
          <cell r="G125">
            <v>5</v>
          </cell>
          <cell r="H125">
            <v>46272</v>
          </cell>
          <cell r="I125">
            <v>37</v>
          </cell>
          <cell r="J125">
            <v>46275</v>
          </cell>
          <cell r="L125" t="str">
            <v>DIRECTO SIN PREENFRIO</v>
          </cell>
          <cell r="M125">
            <v>3</v>
          </cell>
          <cell r="N125">
            <v>72</v>
          </cell>
          <cell r="O125">
            <v>46272</v>
          </cell>
          <cell r="P125">
            <v>0.54166666666666663</v>
          </cell>
          <cell r="V125">
            <v>46272</v>
          </cell>
          <cell r="W125">
            <v>0.67361111111111116</v>
          </cell>
          <cell r="X125" t="str">
            <v/>
          </cell>
          <cell r="Y125" t="str">
            <v>NO CUMPLE</v>
          </cell>
          <cell r="Z125" t="str">
            <v>EMPAQUE TARDIO</v>
          </cell>
          <cell r="AA125" t="str">
            <v>DESPACHADO</v>
          </cell>
          <cell r="AB125" t="str">
            <v>TRANSPORTES TOMATITOS</v>
          </cell>
          <cell r="AC125" t="str">
            <v xml:space="preserve">HUGO ALEXIS RODRIGUEZ RODRIGUEZ </v>
          </cell>
          <cell r="AD125">
            <v>14216</v>
          </cell>
          <cell r="AE125" t="str">
            <v>QCH1W056M0</v>
          </cell>
        </row>
        <row r="126">
          <cell r="A126" t="str">
            <v>Chanitos Organic Banded Market Side Mexico</v>
          </cell>
          <cell r="B126" t="str">
            <v>CRG07128</v>
          </cell>
          <cell r="D126" t="str">
            <v>A01 002 Fortaleza</v>
          </cell>
          <cell r="E126" t="str">
            <v>VSA</v>
          </cell>
          <cell r="F126">
            <v>48</v>
          </cell>
          <cell r="G126">
            <v>1</v>
          </cell>
          <cell r="H126">
            <v>46272</v>
          </cell>
          <cell r="I126">
            <v>37</v>
          </cell>
          <cell r="J126">
            <v>46275</v>
          </cell>
          <cell r="L126" t="str">
            <v>PREENFRIO FORTALEZA</v>
          </cell>
          <cell r="M126">
            <v>1</v>
          </cell>
          <cell r="N126">
            <v>24</v>
          </cell>
          <cell r="O126">
            <v>46272</v>
          </cell>
          <cell r="P126">
            <v>0.72916666666666663</v>
          </cell>
          <cell r="Q126" t="str">
            <v>NORMAL</v>
          </cell>
          <cell r="R126">
            <v>46272</v>
          </cell>
          <cell r="S126">
            <v>0.98611111111111116</v>
          </cell>
          <cell r="T126">
            <v>0.625</v>
          </cell>
          <cell r="U126">
            <v>46273.611111111109</v>
          </cell>
          <cell r="V126">
            <v>46273</v>
          </cell>
          <cell r="W126">
            <v>0.58333333333333337</v>
          </cell>
          <cell r="X126" t="str">
            <v>SI CUMPLE</v>
          </cell>
          <cell r="Y126" t="str">
            <v>SI CUMPLE</v>
          </cell>
          <cell r="AA126" t="str">
            <v>DESPACHADO</v>
          </cell>
          <cell r="AB126" t="str">
            <v>BACKHAUL</v>
          </cell>
          <cell r="AC126" t="str">
            <v>Eliud Hernandez Chable</v>
          </cell>
          <cell r="AD126">
            <v>66119</v>
          </cell>
          <cell r="AE126" t="str">
            <v>QCH1W04D20</v>
          </cell>
        </row>
        <row r="127">
          <cell r="A127" t="str">
            <v>Chanitos Premium Tarima Chep</v>
          </cell>
          <cell r="B127" t="str">
            <v>CPR01102</v>
          </cell>
          <cell r="C127" t="str">
            <v>A01002-360509-1</v>
          </cell>
          <cell r="D127" t="str">
            <v>A01 002 Fortaleza</v>
          </cell>
          <cell r="E127" t="str">
            <v>Chalco</v>
          </cell>
          <cell r="F127">
            <v>624</v>
          </cell>
          <cell r="G127">
            <v>13</v>
          </cell>
          <cell r="H127">
            <v>46270</v>
          </cell>
          <cell r="I127">
            <v>36</v>
          </cell>
          <cell r="J127">
            <v>46276</v>
          </cell>
          <cell r="L127" t="str">
            <v>PREENFRIO FORTALEZA</v>
          </cell>
          <cell r="M127">
            <v>1</v>
          </cell>
          <cell r="N127">
            <v>24</v>
          </cell>
          <cell r="O127">
            <v>46270</v>
          </cell>
          <cell r="P127">
            <v>0.74305555555555558</v>
          </cell>
          <cell r="Q127" t="str">
            <v>NORMAL</v>
          </cell>
          <cell r="R127">
            <v>46272</v>
          </cell>
          <cell r="S127">
            <v>0.98611111111111116</v>
          </cell>
          <cell r="T127">
            <v>0.625</v>
          </cell>
          <cell r="U127">
            <v>46273.611111111109</v>
          </cell>
          <cell r="V127">
            <v>46273</v>
          </cell>
          <cell r="W127">
            <v>0.84722222222222221</v>
          </cell>
          <cell r="X127" t="str">
            <v>SI CUMPLE</v>
          </cell>
          <cell r="Y127" t="str">
            <v>SI CUMPLE</v>
          </cell>
          <cell r="AA127" t="str">
            <v>DESPACHADO</v>
          </cell>
          <cell r="AB127" t="str">
            <v>GENARO IBAÑEZ</v>
          </cell>
          <cell r="AC127" t="str">
            <v>Raul Perez Sanchez</v>
          </cell>
          <cell r="AD127">
            <v>54482</v>
          </cell>
          <cell r="AE127" t="str">
            <v>QCH1W056B0</v>
          </cell>
        </row>
        <row r="128">
          <cell r="A128" t="str">
            <v>Chanitos Premium Tarima Americana</v>
          </cell>
          <cell r="B128" t="str">
            <v>CPR01103</v>
          </cell>
          <cell r="C128" t="str">
            <v>A04017-360409-1</v>
          </cell>
          <cell r="D128" t="str">
            <v>A04 017 Rancho Nuevo</v>
          </cell>
          <cell r="E128" t="str">
            <v>Ciudad Juarez</v>
          </cell>
          <cell r="F128">
            <v>960</v>
          </cell>
          <cell r="G128">
            <v>20</v>
          </cell>
          <cell r="H128">
            <v>46269</v>
          </cell>
          <cell r="I128">
            <v>36</v>
          </cell>
          <cell r="J128">
            <v>46277</v>
          </cell>
          <cell r="K128">
            <v>0.25</v>
          </cell>
          <cell r="L128" t="str">
            <v>PREENFRIO NELLY</v>
          </cell>
          <cell r="M128">
            <v>4</v>
          </cell>
          <cell r="N128">
            <v>96</v>
          </cell>
          <cell r="O128">
            <v>46270</v>
          </cell>
          <cell r="P128">
            <v>0.5</v>
          </cell>
          <cell r="Q128" t="str">
            <v>ALTA</v>
          </cell>
          <cell r="R128">
            <v>46271</v>
          </cell>
          <cell r="S128">
            <v>0.3263888888888889</v>
          </cell>
          <cell r="T128">
            <v>0.4375</v>
          </cell>
          <cell r="U128">
            <v>46271.763888888891</v>
          </cell>
          <cell r="V128">
            <v>46272</v>
          </cell>
          <cell r="W128">
            <v>0.65138888888888891</v>
          </cell>
          <cell r="X128" t="str">
            <v>SI CUMPLE</v>
          </cell>
          <cell r="Y128" t="str">
            <v>SI CUMPLE</v>
          </cell>
          <cell r="Z128" t="str">
            <v>MANIOBRA</v>
          </cell>
          <cell r="AA128" t="str">
            <v>DESPACHADO</v>
          </cell>
          <cell r="AB128" t="str">
            <v>AUTO EXPRESS SEGOVIA</v>
          </cell>
          <cell r="AC128" t="str">
            <v>Cesar Antonio Cardenas</v>
          </cell>
          <cell r="AD128">
            <v>63556</v>
          </cell>
        </row>
        <row r="129">
          <cell r="A129" t="str">
            <v>Chanitos Premium EUA Tarima Americana</v>
          </cell>
          <cell r="B129" t="str">
            <v>CPR01104</v>
          </cell>
          <cell r="C129" t="str">
            <v>A11 045 Sector Mazatan</v>
          </cell>
          <cell r="D129" t="str">
            <v>A11 045 Sector Mazatan</v>
          </cell>
          <cell r="E129" t="str">
            <v>McAllen</v>
          </cell>
          <cell r="F129">
            <v>384</v>
          </cell>
          <cell r="G129">
            <v>8</v>
          </cell>
          <cell r="H129">
            <v>46272</v>
          </cell>
          <cell r="I129">
            <v>37</v>
          </cell>
          <cell r="J129">
            <v>46276</v>
          </cell>
          <cell r="L129" t="str">
            <v>DIRECTO SIN PREENFRIO</v>
          </cell>
          <cell r="M129">
            <v>3</v>
          </cell>
          <cell r="N129">
            <v>72</v>
          </cell>
          <cell r="O129">
            <v>46273</v>
          </cell>
          <cell r="P129">
            <v>0.6875</v>
          </cell>
          <cell r="Q129" t="str">
            <v>NORMAL</v>
          </cell>
          <cell r="V129">
            <v>46273</v>
          </cell>
          <cell r="W129">
            <v>0.98263888888888884</v>
          </cell>
          <cell r="Y129" t="str">
            <v>NO CUMPLE</v>
          </cell>
          <cell r="AA129" t="str">
            <v>DESPACHADO</v>
          </cell>
          <cell r="AB129" t="str">
            <v>TRANSPORTES ALGEZA</v>
          </cell>
          <cell r="AC129" t="str">
            <v>RODOLFO HUERTA SOTO</v>
          </cell>
          <cell r="AD129">
            <v>60183</v>
          </cell>
          <cell r="AE129" t="str">
            <v>QCH1W05600</v>
          </cell>
        </row>
        <row r="130">
          <cell r="A130" t="str">
            <v>Platano de Chiapas BAE UPC 3237</v>
          </cell>
          <cell r="B130" t="str">
            <v>CPR01114</v>
          </cell>
          <cell r="D130" t="str">
            <v>A01 002 Fortaleza</v>
          </cell>
          <cell r="E130" t="str">
            <v>Chalco</v>
          </cell>
          <cell r="F130">
            <v>84</v>
          </cell>
          <cell r="G130">
            <v>1.75</v>
          </cell>
          <cell r="H130">
            <v>46272</v>
          </cell>
          <cell r="I130">
            <v>37</v>
          </cell>
          <cell r="J130">
            <v>46276</v>
          </cell>
          <cell r="L130" t="str">
            <v>PREENFRIO FORTALEZA</v>
          </cell>
          <cell r="M130">
            <v>1</v>
          </cell>
          <cell r="N130">
            <v>24</v>
          </cell>
          <cell r="O130">
            <v>46272</v>
          </cell>
          <cell r="P130">
            <v>0.72916666666666663</v>
          </cell>
          <cell r="Q130" t="str">
            <v>NORMAL</v>
          </cell>
          <cell r="R130">
            <v>46273</v>
          </cell>
          <cell r="S130">
            <v>0.63541666666666663</v>
          </cell>
          <cell r="T130">
            <v>0.20833333333333334</v>
          </cell>
          <cell r="U130">
            <v>46273.84375</v>
          </cell>
          <cell r="V130">
            <v>46273</v>
          </cell>
          <cell r="W130">
            <v>0.84722222222222221</v>
          </cell>
          <cell r="X130" t="str">
            <v>SI CUMPLE</v>
          </cell>
          <cell r="Y130" t="str">
            <v>SI CUMPLE</v>
          </cell>
          <cell r="AA130" t="str">
            <v>DESPACHADO</v>
          </cell>
          <cell r="AB130" t="str">
            <v>GENARO IBAÑEZ</v>
          </cell>
          <cell r="AC130" t="str">
            <v>Raul Perez Sanchez</v>
          </cell>
          <cell r="AD130">
            <v>54482</v>
          </cell>
          <cell r="AE130" t="str">
            <v>QCH1W056B0</v>
          </cell>
        </row>
        <row r="131">
          <cell r="A131" t="str">
            <v>Chanitos Premium Tarima Chep</v>
          </cell>
          <cell r="B131" t="str">
            <v>CPR01102</v>
          </cell>
          <cell r="D131" t="str">
            <v>A01 002 Fortaleza</v>
          </cell>
          <cell r="E131" t="str">
            <v>Chalco</v>
          </cell>
          <cell r="F131">
            <v>204</v>
          </cell>
          <cell r="G131">
            <v>4.25</v>
          </cell>
          <cell r="H131">
            <v>46272</v>
          </cell>
          <cell r="I131">
            <v>37</v>
          </cell>
          <cell r="J131">
            <v>46276</v>
          </cell>
          <cell r="L131" t="str">
            <v>PREENFRIO FORTALEZA</v>
          </cell>
          <cell r="M131">
            <v>1</v>
          </cell>
          <cell r="N131">
            <v>24</v>
          </cell>
          <cell r="O131">
            <v>46272</v>
          </cell>
          <cell r="P131">
            <v>0.72916666666666663</v>
          </cell>
          <cell r="Q131" t="str">
            <v>NORMAL</v>
          </cell>
          <cell r="R131">
            <v>46273</v>
          </cell>
          <cell r="S131">
            <v>0.63541666666666663</v>
          </cell>
          <cell r="T131">
            <v>0.20833333333333334</v>
          </cell>
          <cell r="U131">
            <v>46273.84375</v>
          </cell>
          <cell r="V131">
            <v>46273</v>
          </cell>
          <cell r="W131">
            <v>0.84722222222222221</v>
          </cell>
          <cell r="X131" t="str">
            <v>SI CUMPLE</v>
          </cell>
          <cell r="Y131" t="str">
            <v>SI CUMPLE</v>
          </cell>
          <cell r="AA131" t="str">
            <v>DESPACHADO</v>
          </cell>
          <cell r="AB131" t="str">
            <v>GENARO IBAÑEZ</v>
          </cell>
          <cell r="AC131" t="str">
            <v>Raul Perez Sanchez</v>
          </cell>
          <cell r="AD131">
            <v>54482</v>
          </cell>
          <cell r="AE131" t="str">
            <v>QCH1W056B0</v>
          </cell>
        </row>
        <row r="132">
          <cell r="A132" t="str">
            <v>Chanitos Premium EUA Tarima Americana</v>
          </cell>
          <cell r="B132" t="str">
            <v>CPR01104</v>
          </cell>
          <cell r="D132" t="str">
            <v>A11 045 Sector Mazatan</v>
          </cell>
          <cell r="E132" t="str">
            <v>McAllen</v>
          </cell>
          <cell r="F132">
            <v>960</v>
          </cell>
          <cell r="G132">
            <v>20</v>
          </cell>
          <cell r="H132">
            <v>46272</v>
          </cell>
          <cell r="I132">
            <v>37</v>
          </cell>
          <cell r="J132">
            <v>46276</v>
          </cell>
          <cell r="L132" t="str">
            <v>PREENFRIO FORTALEZA</v>
          </cell>
          <cell r="M132">
            <v>3</v>
          </cell>
          <cell r="N132">
            <v>72</v>
          </cell>
          <cell r="O132">
            <v>46272</v>
          </cell>
          <cell r="P132">
            <v>0.75</v>
          </cell>
          <cell r="Q132" t="str">
            <v>NORMAL</v>
          </cell>
          <cell r="R132">
            <v>46274</v>
          </cell>
          <cell r="S132">
            <v>9.7222222222222224E-2</v>
          </cell>
          <cell r="T132">
            <v>0.25</v>
          </cell>
          <cell r="U132">
            <v>46274.347222222219</v>
          </cell>
          <cell r="V132">
            <v>46274</v>
          </cell>
          <cell r="W132">
            <v>0.29166666666666669</v>
          </cell>
          <cell r="X132" t="str">
            <v>NO CUMPLE</v>
          </cell>
          <cell r="Y132" t="str">
            <v>NO CUMPLE</v>
          </cell>
          <cell r="AA132" t="str">
            <v>DESPACHADO</v>
          </cell>
          <cell r="AB132" t="str">
            <v>TRANSPORTES ALGEZA</v>
          </cell>
          <cell r="AC132" t="str">
            <v>RODOLFO HUERTA SOTO</v>
          </cell>
          <cell r="AD132">
            <v>76982</v>
          </cell>
          <cell r="AE132">
            <v>100000914989</v>
          </cell>
        </row>
        <row r="133">
          <cell r="A133" t="str">
            <v>Chanitos Organic Banded Market Side Mexico</v>
          </cell>
          <cell r="B133" t="str">
            <v>CRG07128</v>
          </cell>
          <cell r="D133" t="str">
            <v>A01 002 Fortaleza</v>
          </cell>
          <cell r="E133" t="str">
            <v>QRO</v>
          </cell>
          <cell r="F133">
            <v>96</v>
          </cell>
          <cell r="G133">
            <v>2</v>
          </cell>
          <cell r="H133">
            <v>46272</v>
          </cell>
          <cell r="I133">
            <v>37</v>
          </cell>
          <cell r="J133">
            <v>46276</v>
          </cell>
          <cell r="L133" t="str">
            <v>PREENFRIO FORTALEZA</v>
          </cell>
          <cell r="M133">
            <v>1.5</v>
          </cell>
          <cell r="N133">
            <v>36</v>
          </cell>
          <cell r="O133">
            <v>46272</v>
          </cell>
          <cell r="P133">
            <v>0.72916666666666663</v>
          </cell>
          <cell r="Q133" t="str">
            <v>NORMAL</v>
          </cell>
          <cell r="R133">
            <v>46273</v>
          </cell>
          <cell r="S133">
            <v>0.63541666666666663</v>
          </cell>
          <cell r="T133">
            <v>0.20833333333333334</v>
          </cell>
          <cell r="U133">
            <v>46273.84375</v>
          </cell>
          <cell r="V133">
            <v>46274</v>
          </cell>
          <cell r="W133">
            <v>0.42708333333333331</v>
          </cell>
          <cell r="X133" t="str">
            <v>SI CUMPLE</v>
          </cell>
          <cell r="Y133" t="str">
            <v>SI CUMPLE</v>
          </cell>
          <cell r="AA133" t="str">
            <v>DESPACHADO</v>
          </cell>
          <cell r="AB133" t="str">
            <v>JONATHAN CARRILLO GODINEZ</v>
          </cell>
          <cell r="AC133" t="str">
            <v>ESTEBAN ALEJANDRO OLIVA</v>
          </cell>
          <cell r="AD133">
            <v>83028</v>
          </cell>
          <cell r="AE133" t="str">
            <v>QCH1W03H80</v>
          </cell>
        </row>
        <row r="134">
          <cell r="A134" t="str">
            <v>Chanitos Premium Tarima Chep</v>
          </cell>
          <cell r="B134" t="str">
            <v>CPR01102</v>
          </cell>
          <cell r="D134" t="str">
            <v>A01 002 Fortaleza</v>
          </cell>
          <cell r="E134" t="str">
            <v>QRO</v>
          </cell>
          <cell r="F134">
            <v>480</v>
          </cell>
          <cell r="G134">
            <v>10</v>
          </cell>
          <cell r="H134">
            <v>46272</v>
          </cell>
          <cell r="I134">
            <v>37</v>
          </cell>
          <cell r="J134">
            <v>46276</v>
          </cell>
          <cell r="L134" t="str">
            <v>PREENFRIO FORTALEZA</v>
          </cell>
          <cell r="M134">
            <v>1.5</v>
          </cell>
          <cell r="N134">
            <v>36</v>
          </cell>
          <cell r="O134">
            <v>46272</v>
          </cell>
          <cell r="P134">
            <v>0.72916666666666663</v>
          </cell>
          <cell r="Q134" t="str">
            <v>NORMAL</v>
          </cell>
          <cell r="R134">
            <v>46273</v>
          </cell>
          <cell r="S134">
            <v>0.86458333333333337</v>
          </cell>
          <cell r="T134">
            <v>0.20833333333333334</v>
          </cell>
          <cell r="U134">
            <v>46274.072916666672</v>
          </cell>
          <cell r="V134">
            <v>46274</v>
          </cell>
          <cell r="W134">
            <v>0.42708333333333331</v>
          </cell>
          <cell r="X134" t="str">
            <v>SI CUMPLE</v>
          </cell>
          <cell r="Y134" t="str">
            <v>SI CUMPLE</v>
          </cell>
          <cell r="AA134" t="str">
            <v>DESPACHADO</v>
          </cell>
          <cell r="AB134" t="str">
            <v>JONATHAN CARRILLO GODINEZ</v>
          </cell>
          <cell r="AC134" t="str">
            <v>ESTEBAN ALEJANDRO OLIVA</v>
          </cell>
          <cell r="AD134">
            <v>83028</v>
          </cell>
          <cell r="AE134" t="str">
            <v>QCH1W03H80</v>
          </cell>
        </row>
        <row r="135">
          <cell r="A135" t="str">
            <v>Chanitos Premium EUA Tarima Americana</v>
          </cell>
          <cell r="B135" t="str">
            <v>CPR01104</v>
          </cell>
          <cell r="D135" t="str">
            <v>A11 045 Sector Mazatan</v>
          </cell>
          <cell r="E135" t="str">
            <v>McAllen</v>
          </cell>
          <cell r="F135">
            <v>576</v>
          </cell>
          <cell r="G135">
            <v>12</v>
          </cell>
          <cell r="H135">
            <v>46273</v>
          </cell>
          <cell r="I135">
            <v>37</v>
          </cell>
          <cell r="J135">
            <v>46276</v>
          </cell>
          <cell r="L135" t="str">
            <v>DIRECTO SIN PREENFRIO</v>
          </cell>
          <cell r="M135">
            <v>3</v>
          </cell>
          <cell r="N135">
            <v>72</v>
          </cell>
          <cell r="O135">
            <v>46273</v>
          </cell>
          <cell r="P135">
            <v>0.6875</v>
          </cell>
          <cell r="Q135" t="str">
            <v>NORMAL</v>
          </cell>
          <cell r="U135" t="str">
            <v/>
          </cell>
          <cell r="V135">
            <v>46273</v>
          </cell>
          <cell r="W135">
            <v>0.98263888888888884</v>
          </cell>
          <cell r="X135" t="str">
            <v/>
          </cell>
          <cell r="Y135" t="str">
            <v>NO CUMPLE</v>
          </cell>
          <cell r="AA135" t="str">
            <v>DESPACHADO</v>
          </cell>
          <cell r="AB135" t="str">
            <v>TRANSPORTES ALGEZA</v>
          </cell>
          <cell r="AC135" t="str">
            <v>RODOLFO HUERTA SOTO</v>
          </cell>
          <cell r="AD135">
            <v>60183</v>
          </cell>
          <cell r="AE135" t="str">
            <v>QCH1W05600</v>
          </cell>
        </row>
        <row r="136">
          <cell r="A136" t="str">
            <v>Chanitos Premium Tarima Americana</v>
          </cell>
          <cell r="B136" t="str">
            <v>CPR01103</v>
          </cell>
          <cell r="C136" t="str">
            <v>A01004-360509-1</v>
          </cell>
          <cell r="D136" t="str">
            <v>A01 004 La Ceiba</v>
          </cell>
          <cell r="E136" t="str">
            <v>Ciudad Juarez</v>
          </cell>
          <cell r="F136">
            <v>816</v>
          </cell>
          <cell r="G136">
            <v>17</v>
          </cell>
          <cell r="H136">
            <v>46270</v>
          </cell>
          <cell r="I136">
            <v>36</v>
          </cell>
          <cell r="J136">
            <v>46277</v>
          </cell>
          <cell r="K136">
            <v>0.25</v>
          </cell>
          <cell r="L136" t="str">
            <v>PREENFRIO NELLY</v>
          </cell>
          <cell r="M136">
            <v>4</v>
          </cell>
          <cell r="N136">
            <v>96</v>
          </cell>
          <cell r="O136">
            <v>46270</v>
          </cell>
          <cell r="P136">
            <v>0.91319444444444442</v>
          </cell>
          <cell r="Q136" t="str">
            <v>ALTA</v>
          </cell>
          <cell r="R136">
            <v>46272</v>
          </cell>
          <cell r="S136">
            <v>0.31041666666666667</v>
          </cell>
          <cell r="T136">
            <v>0.4375</v>
          </cell>
          <cell r="U136">
            <v>46272.747916666667</v>
          </cell>
          <cell r="V136">
            <v>46272</v>
          </cell>
          <cell r="W136">
            <v>0.65138888888888891</v>
          </cell>
          <cell r="X136" t="str">
            <v>SI CUMPLE</v>
          </cell>
          <cell r="Y136" t="str">
            <v>SI CUMPLE</v>
          </cell>
          <cell r="AA136" t="str">
            <v>DESPACHADO</v>
          </cell>
          <cell r="AB136" t="str">
            <v>AUTO EXPRESS SEGOVIA</v>
          </cell>
          <cell r="AC136" t="str">
            <v>Cesar Antonio Cardenas</v>
          </cell>
          <cell r="AD136">
            <v>59616</v>
          </cell>
        </row>
        <row r="137">
          <cell r="A137" t="str">
            <v>Chanitos Premium Tarima Chep</v>
          </cell>
          <cell r="B137" t="str">
            <v>CPR01102</v>
          </cell>
          <cell r="C137" t="str">
            <v>A01001-370909-1</v>
          </cell>
          <cell r="D137" t="str">
            <v>A01 001 Marbella</v>
          </cell>
          <cell r="E137" t="str">
            <v>CEDA</v>
          </cell>
          <cell r="F137">
            <v>96</v>
          </cell>
          <cell r="G137">
            <v>2</v>
          </cell>
          <cell r="H137">
            <v>46274</v>
          </cell>
          <cell r="I137">
            <v>37</v>
          </cell>
          <cell r="J137">
            <v>46276</v>
          </cell>
          <cell r="L137" t="str">
            <v>PREENFRIO FORTALEZA</v>
          </cell>
          <cell r="M137">
            <v>1.5</v>
          </cell>
          <cell r="N137">
            <v>36</v>
          </cell>
          <cell r="O137">
            <v>46274</v>
          </cell>
          <cell r="P137">
            <v>0.8125</v>
          </cell>
          <cell r="Q137" t="str">
            <v>NORMAL</v>
          </cell>
          <cell r="R137">
            <v>46275</v>
          </cell>
          <cell r="S137">
            <v>0.15138888888888888</v>
          </cell>
          <cell r="T137">
            <v>0.25</v>
          </cell>
          <cell r="U137">
            <v>46275.401388888888</v>
          </cell>
          <cell r="V137">
            <v>46275</v>
          </cell>
          <cell r="W137">
            <v>0.85416666666666663</v>
          </cell>
          <cell r="X137" t="str">
            <v>NO CUMPLE</v>
          </cell>
          <cell r="Z137" t="str">
            <v>CAPACIDAD INSTALADA</v>
          </cell>
          <cell r="AA137" t="str">
            <v>DESPACHADO</v>
          </cell>
          <cell r="AB137" t="str">
            <v>CARRILLO</v>
          </cell>
          <cell r="AC137" t="str">
            <v>URIEL  ALI CARRILLO CRUZ</v>
          </cell>
          <cell r="AD137">
            <v>52328</v>
          </cell>
          <cell r="AE137" t="str">
            <v>N/A</v>
          </cell>
        </row>
        <row r="138">
          <cell r="A138" t="str">
            <v>Chanitos Plantain 20Kg Tarima Americana</v>
          </cell>
          <cell r="B138" t="str">
            <v>CPL08134</v>
          </cell>
          <cell r="C138" t="str">
            <v>A41088-360409-1</v>
          </cell>
          <cell r="D138" t="str">
            <v>A25 088 Doña Lupe</v>
          </cell>
          <cell r="E138" t="str">
            <v>Ciudad Juarez</v>
          </cell>
          <cell r="F138">
            <v>144</v>
          </cell>
          <cell r="G138">
            <v>3</v>
          </cell>
          <cell r="H138">
            <v>46269</v>
          </cell>
          <cell r="I138">
            <v>36</v>
          </cell>
          <cell r="J138">
            <v>46277</v>
          </cell>
          <cell r="L138" t="str">
            <v>PREENFRIO FORTALEZA</v>
          </cell>
          <cell r="M138">
            <v>4</v>
          </cell>
          <cell r="N138">
            <v>96</v>
          </cell>
          <cell r="O138">
            <v>46269</v>
          </cell>
          <cell r="P138">
            <v>0.9243055555555556</v>
          </cell>
          <cell r="Q138" t="str">
            <v>NORMAL</v>
          </cell>
          <cell r="R138">
            <v>46270</v>
          </cell>
          <cell r="S138">
            <v>0.75416666666666665</v>
          </cell>
          <cell r="T138">
            <v>0.25</v>
          </cell>
          <cell r="U138">
            <v>46271.004166666666</v>
          </cell>
          <cell r="V138">
            <v>46271</v>
          </cell>
          <cell r="W138">
            <v>0.97222222222222221</v>
          </cell>
          <cell r="X138" t="str">
            <v>SI CUMPLE</v>
          </cell>
          <cell r="Y138" t="str">
            <v>SI CUMPLE</v>
          </cell>
          <cell r="Z138" t="str">
            <v>MUEVE A NELLY</v>
          </cell>
          <cell r="AA138" t="str">
            <v>DESPACHADO</v>
          </cell>
          <cell r="AB138" t="str">
            <v>SOLIS</v>
          </cell>
          <cell r="AC138" t="str">
            <v>MAURO PEREZ RAMIREZ</v>
          </cell>
          <cell r="AD138">
            <v>90913</v>
          </cell>
          <cell r="AE138" t="str">
            <v>N/A</v>
          </cell>
        </row>
        <row r="139">
          <cell r="A139" t="str">
            <v>Chanitos Premium Tarima Chep</v>
          </cell>
          <cell r="B139" t="str">
            <v>CPR01102</v>
          </cell>
          <cell r="D139" t="str">
            <v>A01 003 Doña Nelly</v>
          </cell>
          <cell r="E139" t="str">
            <v>QRO</v>
          </cell>
          <cell r="F139">
            <v>432</v>
          </cell>
          <cell r="G139">
            <v>9</v>
          </cell>
          <cell r="H139">
            <v>46272</v>
          </cell>
          <cell r="I139">
            <v>37</v>
          </cell>
          <cell r="J139">
            <v>0</v>
          </cell>
          <cell r="L139" t="str">
            <v>PREENFRIO NELLY</v>
          </cell>
          <cell r="M139">
            <v>1.5</v>
          </cell>
          <cell r="N139">
            <v>36</v>
          </cell>
          <cell r="O139">
            <v>46272</v>
          </cell>
          <cell r="P139">
            <v>0.76736111111111116</v>
          </cell>
          <cell r="Q139" t="str">
            <v>ALTA</v>
          </cell>
          <cell r="R139">
            <v>46272</v>
          </cell>
          <cell r="S139">
            <v>0.49513888888888891</v>
          </cell>
          <cell r="T139">
            <v>0.35416666666666669</v>
          </cell>
          <cell r="U139">
            <v>46272.849305555552</v>
          </cell>
          <cell r="V139">
            <v>46273</v>
          </cell>
          <cell r="W139">
            <v>0.95833333333333337</v>
          </cell>
          <cell r="X139" t="str">
            <v>NO CUMPLE</v>
          </cell>
          <cell r="Y139" t="str">
            <v>NO CUMPLE</v>
          </cell>
          <cell r="AA139" t="str">
            <v>DESPACHADO</v>
          </cell>
          <cell r="AB139" t="str">
            <v>JONATHAN CARRILLO GODINEZ</v>
          </cell>
          <cell r="AC139" t="str">
            <v>ESTEBAN ALEJANDRO OLIVA</v>
          </cell>
          <cell r="AD139">
            <v>16632</v>
          </cell>
          <cell r="AE139" t="str">
            <v>QCH1W03H80</v>
          </cell>
        </row>
        <row r="140">
          <cell r="A140" t="str">
            <v>Platano de Chiapas BAE UPC 3237</v>
          </cell>
          <cell r="B140" t="str">
            <v>CPR01114</v>
          </cell>
          <cell r="D140" t="str">
            <v>A01 001 Marbella</v>
          </cell>
          <cell r="E140" t="str">
            <v>Chalco</v>
          </cell>
          <cell r="F140">
            <v>84</v>
          </cell>
          <cell r="G140">
            <v>1.375</v>
          </cell>
          <cell r="H140">
            <v>46272</v>
          </cell>
          <cell r="I140">
            <v>37</v>
          </cell>
          <cell r="J140">
            <v>46277</v>
          </cell>
          <cell r="L140" t="str">
            <v>PREENFRIO NELLY</v>
          </cell>
          <cell r="M140">
            <v>1</v>
          </cell>
          <cell r="N140">
            <v>24</v>
          </cell>
          <cell r="O140">
            <v>46272</v>
          </cell>
          <cell r="P140">
            <v>0.79166666666666663</v>
          </cell>
          <cell r="Q140" t="str">
            <v>ALTA</v>
          </cell>
          <cell r="R140">
            <v>46273</v>
          </cell>
          <cell r="S140">
            <v>0.14097222222222222</v>
          </cell>
          <cell r="T140">
            <v>0.35416666666666669</v>
          </cell>
          <cell r="U140">
            <v>46273.495138888888</v>
          </cell>
          <cell r="X140" t="str">
            <v>SI CUMPLE</v>
          </cell>
          <cell r="Y140" t="str">
            <v/>
          </cell>
          <cell r="AA140" t="str">
            <v>DESPACHADO</v>
          </cell>
          <cell r="AB140" t="str">
            <v>MARIBEL DE LA ROSA FERNANDEZ</v>
          </cell>
          <cell r="AC140" t="str">
            <v>ENRIQUE TREJO SANCHEZ</v>
          </cell>
          <cell r="AD140">
            <v>65277</v>
          </cell>
        </row>
        <row r="141">
          <cell r="A141" t="str">
            <v>Chanitos Premium Tarima Chep</v>
          </cell>
          <cell r="B141" t="str">
            <v>CPR01102</v>
          </cell>
          <cell r="C141" t="str">
            <v>A01002-370709-1</v>
          </cell>
          <cell r="D141" t="str">
            <v>A01 002 Fortaleza</v>
          </cell>
          <cell r="E141" t="str">
            <v>VSA</v>
          </cell>
          <cell r="F141">
            <v>96</v>
          </cell>
          <cell r="G141">
            <v>2</v>
          </cell>
          <cell r="H141">
            <v>46272</v>
          </cell>
          <cell r="I141">
            <v>37</v>
          </cell>
          <cell r="J141">
            <v>46277</v>
          </cell>
          <cell r="L141" t="str">
            <v>PREENFRIO FORTALEZA</v>
          </cell>
          <cell r="M141">
            <v>1</v>
          </cell>
          <cell r="N141">
            <v>24</v>
          </cell>
          <cell r="O141">
            <v>46272</v>
          </cell>
          <cell r="P141">
            <v>0.72916666666666663</v>
          </cell>
          <cell r="Q141" t="str">
            <v>NORMAL</v>
          </cell>
          <cell r="R141">
            <v>46274</v>
          </cell>
          <cell r="S141">
            <v>0.50555555555555554</v>
          </cell>
          <cell r="T141">
            <v>0.20833333333333334</v>
          </cell>
          <cell r="U141">
            <v>46274.713888888895</v>
          </cell>
          <cell r="V141">
            <v>46275</v>
          </cell>
          <cell r="W141">
            <v>0.6875</v>
          </cell>
          <cell r="X141" t="str">
            <v>SI CUMPLE</v>
          </cell>
          <cell r="Y141" t="str">
            <v>SI CUMPLE</v>
          </cell>
          <cell r="AA141" t="str">
            <v>DESPACHADO</v>
          </cell>
          <cell r="AB141" t="str">
            <v>BACKHAUL</v>
          </cell>
          <cell r="AC141" t="str">
            <v>Luis Angel  Cordova Segura</v>
          </cell>
          <cell r="AD141">
            <v>17285</v>
          </cell>
          <cell r="AE141" t="str">
            <v>QCH1W056Q0</v>
          </cell>
        </row>
        <row r="142">
          <cell r="A142" t="str">
            <v>Chanitos Premium Tarima Chep</v>
          </cell>
          <cell r="B142" t="str">
            <v>CPR01102</v>
          </cell>
          <cell r="C142" t="str">
            <v>A01001-370709-1</v>
          </cell>
          <cell r="D142" t="str">
            <v>A01 001 Marbella</v>
          </cell>
          <cell r="E142" t="str">
            <v>VSA</v>
          </cell>
          <cell r="F142">
            <v>48</v>
          </cell>
          <cell r="G142">
            <v>1</v>
          </cell>
          <cell r="H142">
            <v>46272</v>
          </cell>
          <cell r="I142">
            <v>37</v>
          </cell>
          <cell r="J142">
            <v>46277</v>
          </cell>
          <cell r="L142" t="str">
            <v>PREENFRIO FORTALEZA</v>
          </cell>
          <cell r="M142">
            <v>1</v>
          </cell>
          <cell r="N142">
            <v>24</v>
          </cell>
          <cell r="O142">
            <v>46274</v>
          </cell>
          <cell r="P142">
            <v>0.8125</v>
          </cell>
          <cell r="Q142" t="str">
            <v>NORMAL</v>
          </cell>
          <cell r="R142">
            <v>46275</v>
          </cell>
          <cell r="S142">
            <v>0.15138888888888888</v>
          </cell>
          <cell r="T142">
            <v>0.25</v>
          </cell>
          <cell r="U142">
            <v>46275.401388888888</v>
          </cell>
          <cell r="V142">
            <v>46275</v>
          </cell>
          <cell r="W142">
            <v>0.6875</v>
          </cell>
          <cell r="X142" t="str">
            <v>SI CUMPLE</v>
          </cell>
          <cell r="Y142" t="str">
            <v>SI CUMPLE</v>
          </cell>
          <cell r="AA142" t="str">
            <v>DESPACHADO</v>
          </cell>
          <cell r="AB142" t="str">
            <v>BACKHAUL</v>
          </cell>
          <cell r="AC142" t="str">
            <v>Luis Angel  Cordova Segura</v>
          </cell>
          <cell r="AD142">
            <v>17285</v>
          </cell>
          <cell r="AE142" t="str">
            <v>QCH1W056Q0</v>
          </cell>
        </row>
        <row r="143">
          <cell r="A143" t="str">
            <v>Chanitos Premium Tarima Chep</v>
          </cell>
          <cell r="B143" t="str">
            <v>CPR01102</v>
          </cell>
          <cell r="D143" t="str">
            <v>A01 001 Marbella</v>
          </cell>
          <cell r="E143" t="str">
            <v>Chalco</v>
          </cell>
          <cell r="F143">
            <v>1068</v>
          </cell>
          <cell r="G143">
            <v>22.625</v>
          </cell>
          <cell r="H143">
            <v>46272</v>
          </cell>
          <cell r="I143">
            <v>37</v>
          </cell>
          <cell r="J143">
            <v>46277</v>
          </cell>
          <cell r="L143" t="str">
            <v>PREENFRIO NELLY</v>
          </cell>
          <cell r="M143">
            <v>1</v>
          </cell>
          <cell r="N143">
            <v>24</v>
          </cell>
          <cell r="O143">
            <v>46272</v>
          </cell>
          <cell r="P143">
            <v>0.79166666666666663</v>
          </cell>
          <cell r="Q143" t="str">
            <v>ALTA</v>
          </cell>
          <cell r="R143">
            <v>46273</v>
          </cell>
          <cell r="S143">
            <v>0.14097222222222222</v>
          </cell>
          <cell r="T143">
            <v>0.35416666666666669</v>
          </cell>
          <cell r="U143">
            <v>46273.495138888888</v>
          </cell>
          <cell r="X143" t="str">
            <v>SI CUMPLE</v>
          </cell>
          <cell r="Y143" t="str">
            <v/>
          </cell>
          <cell r="AA143" t="str">
            <v>DESPACHADO</v>
          </cell>
          <cell r="AB143" t="str">
            <v>MARIBEL DE LA ROSA FERNANDEZ</v>
          </cell>
          <cell r="AC143" t="str">
            <v>ENRIQUE TREJO SANCHEZ</v>
          </cell>
          <cell r="AD143">
            <v>65277</v>
          </cell>
        </row>
        <row r="144">
          <cell r="A144" t="str">
            <v>Chanitos Premium EUA Tarima Americana</v>
          </cell>
          <cell r="B144" t="str">
            <v>CPR01104</v>
          </cell>
          <cell r="D144" t="str">
            <v>A01 003 Doña Nelly</v>
          </cell>
          <cell r="E144" t="str">
            <v>McAllen</v>
          </cell>
          <cell r="F144">
            <v>960</v>
          </cell>
          <cell r="G144">
            <v>20</v>
          </cell>
          <cell r="H144">
            <v>46272</v>
          </cell>
          <cell r="I144">
            <v>37</v>
          </cell>
          <cell r="J144">
            <v>46277</v>
          </cell>
          <cell r="L144" t="str">
            <v>PREENFRIO NELLY</v>
          </cell>
          <cell r="M144">
            <v>3</v>
          </cell>
          <cell r="N144">
            <v>72</v>
          </cell>
          <cell r="O144">
            <v>46272</v>
          </cell>
          <cell r="P144">
            <v>0.76736111111111116</v>
          </cell>
          <cell r="Q144" t="str">
            <v>ALTA</v>
          </cell>
          <cell r="R144">
            <v>46272</v>
          </cell>
          <cell r="S144">
            <v>0.70486111111111116</v>
          </cell>
          <cell r="T144">
            <v>0.35416666666666669</v>
          </cell>
          <cell r="U144">
            <v>46273.059027777774</v>
          </cell>
          <cell r="V144">
            <v>46273</v>
          </cell>
          <cell r="W144">
            <v>0.2013888888888889</v>
          </cell>
          <cell r="X144" t="str">
            <v>SI CUMPLE</v>
          </cell>
          <cell r="Y144" t="str">
            <v>SI CUMPLE</v>
          </cell>
          <cell r="AA144" t="str">
            <v>DESPACHADO</v>
          </cell>
          <cell r="AB144" t="str">
            <v>TRANSPORTES DELTA DE MTY</v>
          </cell>
          <cell r="AC144" t="str">
            <v>Andres Guzman Montero</v>
          </cell>
          <cell r="AD144">
            <v>90637</v>
          </cell>
          <cell r="AE144">
            <v>100000913442</v>
          </cell>
        </row>
        <row r="145">
          <cell r="A145" t="str">
            <v>Chanitos Premium Tarima Chep</v>
          </cell>
          <cell r="B145" t="str">
            <v>CPR01102</v>
          </cell>
          <cell r="D145" t="str">
            <v>A01 003 Doña Nelly</v>
          </cell>
          <cell r="E145" t="str">
            <v>QRO</v>
          </cell>
          <cell r="F145">
            <v>144</v>
          </cell>
          <cell r="G145">
            <v>3</v>
          </cell>
          <cell r="H145">
            <v>46273</v>
          </cell>
          <cell r="I145">
            <v>37</v>
          </cell>
          <cell r="J145">
            <v>46276</v>
          </cell>
          <cell r="L145" t="str">
            <v>PREENFRIO NELLY</v>
          </cell>
          <cell r="M145">
            <v>1.5</v>
          </cell>
          <cell r="N145">
            <v>36</v>
          </cell>
          <cell r="O145">
            <v>46273</v>
          </cell>
          <cell r="P145">
            <v>0.77083333333333337</v>
          </cell>
          <cell r="Q145" t="str">
            <v>ALTA</v>
          </cell>
          <cell r="R145">
            <v>46273</v>
          </cell>
          <cell r="S145">
            <v>0.50486111111111109</v>
          </cell>
          <cell r="T145">
            <v>0.35416666666666669</v>
          </cell>
          <cell r="U145">
            <v>46273.859027777777</v>
          </cell>
          <cell r="V145">
            <v>46273</v>
          </cell>
          <cell r="W145">
            <v>0.95833333333333337</v>
          </cell>
          <cell r="X145" t="str">
            <v>SI CUMPLE</v>
          </cell>
          <cell r="Y145" t="str">
            <v>SI CUMPLE</v>
          </cell>
          <cell r="AA145" t="str">
            <v>DESPACHADO</v>
          </cell>
          <cell r="AB145" t="str">
            <v>JONATHAN CARRILLO GODINEZ</v>
          </cell>
          <cell r="AC145" t="str">
            <v>ESTEBAN ALEJANDRO OLIVA</v>
          </cell>
          <cell r="AD145">
            <v>16632</v>
          </cell>
          <cell r="AE145" t="str">
            <v>QCH1W03H80</v>
          </cell>
        </row>
        <row r="146">
          <cell r="A146" t="str">
            <v>Chanitos Premium Tarima Chep</v>
          </cell>
          <cell r="B146" t="str">
            <v>CPR01102</v>
          </cell>
          <cell r="C146" t="str">
            <v>A01002-370809-1</v>
          </cell>
          <cell r="D146" t="str">
            <v>A01 002 Fortaleza</v>
          </cell>
          <cell r="E146" t="str">
            <v>SMO</v>
          </cell>
          <cell r="F146">
            <v>624</v>
          </cell>
          <cell r="G146">
            <v>13</v>
          </cell>
          <cell r="H146">
            <v>46273</v>
          </cell>
          <cell r="I146">
            <v>37</v>
          </cell>
          <cell r="J146">
            <v>46277</v>
          </cell>
          <cell r="L146" t="str">
            <v>PREENFRIO FORTALEZA</v>
          </cell>
          <cell r="M146">
            <v>1.5</v>
          </cell>
          <cell r="N146">
            <v>36</v>
          </cell>
          <cell r="O146">
            <v>46273</v>
          </cell>
          <cell r="P146">
            <v>0.70833333333333337</v>
          </cell>
          <cell r="Q146" t="str">
            <v>NORMAL</v>
          </cell>
          <cell r="R146">
            <v>46274</v>
          </cell>
          <cell r="S146">
            <v>0.50555555555555554</v>
          </cell>
          <cell r="T146">
            <v>0.41666666666666669</v>
          </cell>
          <cell r="U146">
            <v>46274.922222222223</v>
          </cell>
          <cell r="V146">
            <v>46274</v>
          </cell>
          <cell r="W146">
            <v>0.95833333333333337</v>
          </cell>
          <cell r="X146" t="str">
            <v>SI CUMPLE</v>
          </cell>
          <cell r="Y146" t="str">
            <v>SI CUMPLE</v>
          </cell>
          <cell r="AA146" t="str">
            <v>DESPACHADO</v>
          </cell>
          <cell r="AB146" t="str">
            <v>MARIBEL DE LA ROSA FERNANDEZ</v>
          </cell>
          <cell r="AC146" t="str">
            <v>JACINTO RAMIREZ</v>
          </cell>
          <cell r="AD146">
            <v>26309</v>
          </cell>
          <cell r="AE146" t="str">
            <v>QCH1W055R0</v>
          </cell>
        </row>
        <row r="147">
          <cell r="A147" t="str">
            <v>Chanitos Organic Banded Market Side Mexico</v>
          </cell>
          <cell r="B147" t="str">
            <v>CRG07128</v>
          </cell>
          <cell r="C147" t="str">
            <v>A01002-370809-1</v>
          </cell>
          <cell r="D147" t="str">
            <v>A01 002 Fortaleza</v>
          </cell>
          <cell r="E147" t="str">
            <v>VSA</v>
          </cell>
          <cell r="F147">
            <v>288</v>
          </cell>
          <cell r="G147">
            <v>6</v>
          </cell>
          <cell r="H147">
            <v>46273</v>
          </cell>
          <cell r="I147">
            <v>37</v>
          </cell>
          <cell r="J147">
            <v>46277</v>
          </cell>
          <cell r="L147" t="str">
            <v>PREENFRIO FORTALEZA</v>
          </cell>
          <cell r="M147">
            <v>1</v>
          </cell>
          <cell r="N147">
            <v>24</v>
          </cell>
          <cell r="O147">
            <v>46273</v>
          </cell>
          <cell r="P147">
            <v>0.70833333333333337</v>
          </cell>
          <cell r="Q147" t="str">
            <v>NORMAL</v>
          </cell>
          <cell r="R147">
            <v>46274</v>
          </cell>
          <cell r="S147">
            <v>0.7416666666666667</v>
          </cell>
          <cell r="T147">
            <v>0.18055555555555555</v>
          </cell>
          <cell r="U147">
            <v>46274.922222222223</v>
          </cell>
          <cell r="V147">
            <v>46275</v>
          </cell>
          <cell r="W147">
            <v>0.6875</v>
          </cell>
          <cell r="X147" t="str">
            <v>SI CUMPLE</v>
          </cell>
          <cell r="Y147" t="str">
            <v>SI CUMPLE</v>
          </cell>
          <cell r="AA147" t="str">
            <v>DESPACHADO</v>
          </cell>
          <cell r="AB147" t="str">
            <v>BACKHAUL</v>
          </cell>
          <cell r="AC147" t="str">
            <v>Luis Angel  Cordova Segura</v>
          </cell>
          <cell r="AD147">
            <v>17285</v>
          </cell>
          <cell r="AE147" t="str">
            <v>QCH1W056Q0</v>
          </cell>
        </row>
        <row r="148">
          <cell r="A148" t="str">
            <v>Chanitos Premium Tarima Chep</v>
          </cell>
          <cell r="B148" t="str">
            <v>CPR01102</v>
          </cell>
          <cell r="C148" t="str">
            <v>A01002-370809-1</v>
          </cell>
          <cell r="D148" t="str">
            <v>A01 002 Fortaleza</v>
          </cell>
          <cell r="E148" t="str">
            <v>VSA</v>
          </cell>
          <cell r="F148">
            <v>432</v>
          </cell>
          <cell r="G148">
            <v>9</v>
          </cell>
          <cell r="H148">
            <v>46273</v>
          </cell>
          <cell r="I148">
            <v>37</v>
          </cell>
          <cell r="J148">
            <v>46277</v>
          </cell>
          <cell r="L148" t="str">
            <v>PREENFRIO FORTALEZA</v>
          </cell>
          <cell r="M148">
            <v>1</v>
          </cell>
          <cell r="N148">
            <v>24</v>
          </cell>
          <cell r="O148">
            <v>46273</v>
          </cell>
          <cell r="P148">
            <v>0.70833333333333337</v>
          </cell>
          <cell r="Q148" t="str">
            <v>NORMAL</v>
          </cell>
          <cell r="R148">
            <v>46274</v>
          </cell>
          <cell r="S148">
            <v>0.91597222222222219</v>
          </cell>
          <cell r="T148">
            <v>0.20833333333333334</v>
          </cell>
          <cell r="U148">
            <v>46275.124305555561</v>
          </cell>
          <cell r="V148">
            <v>46275</v>
          </cell>
          <cell r="W148">
            <v>0.6875</v>
          </cell>
          <cell r="X148" t="str">
            <v>SI CUMPLE</v>
          </cell>
          <cell r="Y148" t="str">
            <v>SI CUMPLE</v>
          </cell>
          <cell r="AA148" t="str">
            <v>DESPACHADO</v>
          </cell>
          <cell r="AB148" t="str">
            <v>BACKHAUL</v>
          </cell>
          <cell r="AC148" t="str">
            <v>Luis Angel  Cordova Segura</v>
          </cell>
          <cell r="AD148">
            <v>17285</v>
          </cell>
          <cell r="AE148" t="str">
            <v>QCH1W056Q0</v>
          </cell>
        </row>
        <row r="149">
          <cell r="A149" t="str">
            <v>Chanitos Premium Tarima Chep</v>
          </cell>
          <cell r="B149" t="str">
            <v>CPR01102</v>
          </cell>
          <cell r="C149" t="str">
            <v>A01001-370809-1</v>
          </cell>
          <cell r="D149" t="str">
            <v>A01 001 Marbella</v>
          </cell>
          <cell r="E149" t="str">
            <v>VSA</v>
          </cell>
          <cell r="F149">
            <v>288</v>
          </cell>
          <cell r="G149">
            <v>6</v>
          </cell>
          <cell r="H149">
            <v>46273</v>
          </cell>
          <cell r="I149">
            <v>37</v>
          </cell>
          <cell r="J149">
            <v>46277</v>
          </cell>
          <cell r="L149" t="str">
            <v>PREENFRIO FORTALEZA</v>
          </cell>
          <cell r="M149">
            <v>1</v>
          </cell>
          <cell r="N149">
            <v>24</v>
          </cell>
          <cell r="O149">
            <v>46274</v>
          </cell>
          <cell r="P149">
            <v>0.8125</v>
          </cell>
          <cell r="Q149" t="str">
            <v>NORMAL</v>
          </cell>
          <cell r="R149">
            <v>46275</v>
          </cell>
          <cell r="S149">
            <v>0.15138888888888888</v>
          </cell>
          <cell r="T149">
            <v>0.25</v>
          </cell>
          <cell r="U149">
            <v>46275.401388888888</v>
          </cell>
          <cell r="V149">
            <v>46275</v>
          </cell>
          <cell r="W149">
            <v>0.6875</v>
          </cell>
          <cell r="X149" t="str">
            <v>SI CUMPLE</v>
          </cell>
          <cell r="Y149" t="str">
            <v>SI CUMPLE</v>
          </cell>
          <cell r="AA149" t="str">
            <v>DESPACHADO</v>
          </cell>
          <cell r="AB149" t="str">
            <v>BACKHAUL</v>
          </cell>
          <cell r="AC149" t="str">
            <v>Luis Angel  Cordova Segura</v>
          </cell>
          <cell r="AD149">
            <v>17285</v>
          </cell>
          <cell r="AE149" t="str">
            <v>QCH1W056Q0</v>
          </cell>
        </row>
        <row r="150">
          <cell r="A150" t="str">
            <v>Chanitos Premium EUA Tarima Americana</v>
          </cell>
          <cell r="B150" t="str">
            <v>CPR01104</v>
          </cell>
          <cell r="C150" t="str">
            <v>A01002-370809-1</v>
          </cell>
          <cell r="D150" t="str">
            <v>A04 084 Lisboa</v>
          </cell>
          <cell r="E150" t="str">
            <v>McAllen</v>
          </cell>
          <cell r="F150">
            <v>960</v>
          </cell>
          <cell r="G150">
            <v>20</v>
          </cell>
          <cell r="H150">
            <v>46273</v>
          </cell>
          <cell r="I150">
            <v>37</v>
          </cell>
          <cell r="J150">
            <v>46277</v>
          </cell>
          <cell r="L150" t="str">
            <v>PREENFRIO NELLY</v>
          </cell>
          <cell r="M150">
            <v>3</v>
          </cell>
          <cell r="N150">
            <v>72</v>
          </cell>
          <cell r="O150">
            <v>46273</v>
          </cell>
          <cell r="P150">
            <v>0.77083333333333337</v>
          </cell>
          <cell r="Q150" t="str">
            <v>NORMAL</v>
          </cell>
          <cell r="R150">
            <v>46273</v>
          </cell>
          <cell r="S150">
            <v>0.92361111111111116</v>
          </cell>
          <cell r="T150">
            <v>0.35416666666666669</v>
          </cell>
          <cell r="U150">
            <v>46274.277777777774</v>
          </cell>
          <cell r="V150">
            <v>46274</v>
          </cell>
          <cell r="W150">
            <v>0.27083333333333331</v>
          </cell>
          <cell r="X150" t="str">
            <v>NO CUMPLE</v>
          </cell>
          <cell r="Y150" t="str">
            <v>NO CUMPLE</v>
          </cell>
          <cell r="AA150" t="str">
            <v>DESPACHADO</v>
          </cell>
          <cell r="AB150" t="str">
            <v>ALGEZA</v>
          </cell>
          <cell r="AC150" t="str">
            <v>Jesus manuel gomez sanchez</v>
          </cell>
          <cell r="AD150">
            <v>15103</v>
          </cell>
          <cell r="AE150" t="str">
            <v>QCH1W03SE0</v>
          </cell>
        </row>
        <row r="151">
          <cell r="A151" t="str">
            <v>Chanitos Premium Tarima Chep</v>
          </cell>
          <cell r="B151" t="str">
            <v>CPR01102</v>
          </cell>
          <cell r="D151" t="str">
            <v>A01 003 Doña Nelly</v>
          </cell>
          <cell r="E151" t="str">
            <v>SMO</v>
          </cell>
          <cell r="F151">
            <v>528</v>
          </cell>
          <cell r="G151">
            <v>11</v>
          </cell>
          <cell r="H151">
            <v>46273</v>
          </cell>
          <cell r="I151">
            <v>37</v>
          </cell>
          <cell r="J151">
            <v>46277</v>
          </cell>
          <cell r="L151" t="str">
            <v>PREENFRIO NELLY</v>
          </cell>
          <cell r="M151">
            <v>1.5</v>
          </cell>
          <cell r="N151">
            <v>36</v>
          </cell>
          <cell r="O151">
            <v>46273</v>
          </cell>
          <cell r="P151">
            <v>0.77083333333333337</v>
          </cell>
          <cell r="Q151" t="str">
            <v>NORMAL</v>
          </cell>
          <cell r="R151">
            <v>46273</v>
          </cell>
          <cell r="S151">
            <v>0.79861111111111116</v>
          </cell>
          <cell r="T151">
            <v>0.35416666666666669</v>
          </cell>
          <cell r="U151">
            <v>46274.152777777774</v>
          </cell>
          <cell r="V151">
            <v>46274</v>
          </cell>
          <cell r="W151">
            <v>0.63194444444444442</v>
          </cell>
          <cell r="X151" t="str">
            <v>SI CUMPLE</v>
          </cell>
          <cell r="Y151" t="str">
            <v>SI CUMPLE</v>
          </cell>
          <cell r="AA151" t="str">
            <v>DESPACHADO</v>
          </cell>
          <cell r="AB151" t="str">
            <v>MARIBEL DE LA ROSA FERNANDEZ</v>
          </cell>
          <cell r="AC151" t="str">
            <v>JACINTO RAMIREZ</v>
          </cell>
          <cell r="AD151">
            <v>11891</v>
          </cell>
          <cell r="AE151" t="str">
            <v>QCH1W055R0</v>
          </cell>
        </row>
        <row r="152">
          <cell r="A152" t="str">
            <v>Chanitos Plantain 20Kg Tarima Chep</v>
          </cell>
          <cell r="B152" t="str">
            <v>CPL08141</v>
          </cell>
          <cell r="D152" t="str">
            <v>A41 100 Doña Lupe JV</v>
          </cell>
          <cell r="E152" t="str">
            <v>CEDA</v>
          </cell>
          <cell r="F152">
            <v>336</v>
          </cell>
          <cell r="G152">
            <v>7</v>
          </cell>
          <cell r="H152">
            <v>46273</v>
          </cell>
          <cell r="I152">
            <v>37</v>
          </cell>
          <cell r="J152">
            <v>46278</v>
          </cell>
          <cell r="L152" t="str">
            <v>PREENFRIO FORTALEZA</v>
          </cell>
          <cell r="M152">
            <v>1.5</v>
          </cell>
          <cell r="N152">
            <v>36</v>
          </cell>
          <cell r="O152">
            <v>46273</v>
          </cell>
          <cell r="P152">
            <v>0.83333333333333337</v>
          </cell>
          <cell r="Q152" t="str">
            <v>NORMAL</v>
          </cell>
          <cell r="R152">
            <v>46274</v>
          </cell>
          <cell r="S152">
            <v>0.29583333333333334</v>
          </cell>
          <cell r="T152">
            <v>0.20833333333333334</v>
          </cell>
          <cell r="U152">
            <v>46274.504166666666</v>
          </cell>
          <cell r="V152">
            <v>46274</v>
          </cell>
          <cell r="W152">
            <v>0.78472222222222221</v>
          </cell>
          <cell r="X152" t="str">
            <v>SI CUMPLE</v>
          </cell>
          <cell r="Y152" t="str">
            <v>SI CUMPLE</v>
          </cell>
          <cell r="AA152" t="str">
            <v>DESPACHADO</v>
          </cell>
          <cell r="AB152" t="str">
            <v>GENARO IBAÑEZ</v>
          </cell>
          <cell r="AC152" t="str">
            <v>VICENTE SANCHEZ</v>
          </cell>
          <cell r="AD152">
            <v>53355</v>
          </cell>
          <cell r="AE152" t="str">
            <v>N/A</v>
          </cell>
        </row>
        <row r="153">
          <cell r="A153" t="str">
            <v>Chanitos Premium Tarima Chep</v>
          </cell>
          <cell r="B153" t="str">
            <v>CPR01102</v>
          </cell>
          <cell r="D153" t="str">
            <v>A01 003 Doña Nelly</v>
          </cell>
          <cell r="E153" t="str">
            <v>MTY</v>
          </cell>
          <cell r="F153">
            <v>480</v>
          </cell>
          <cell r="G153">
            <v>10</v>
          </cell>
          <cell r="H153">
            <v>46273</v>
          </cell>
          <cell r="I153">
            <v>37</v>
          </cell>
          <cell r="J153">
            <v>46279</v>
          </cell>
          <cell r="L153" t="str">
            <v>PREENFRIO NELLY</v>
          </cell>
          <cell r="M153">
            <v>2.5</v>
          </cell>
          <cell r="N153">
            <v>60</v>
          </cell>
          <cell r="O153">
            <v>46273</v>
          </cell>
          <cell r="P153">
            <v>0.77083333333333337</v>
          </cell>
          <cell r="Q153" t="str">
            <v>NORMAL</v>
          </cell>
          <cell r="R153">
            <v>46273</v>
          </cell>
          <cell r="S153">
            <v>0.64444444444444449</v>
          </cell>
          <cell r="T153">
            <v>0.35416666666666669</v>
          </cell>
          <cell r="U153">
            <v>46273.998611111107</v>
          </cell>
          <cell r="V153">
            <v>46276</v>
          </cell>
          <cell r="W153">
            <v>0.59027777777777779</v>
          </cell>
          <cell r="X153" t="str">
            <v>SI CUMPLE</v>
          </cell>
          <cell r="Y153" t="str">
            <v>NO CUMPLE</v>
          </cell>
          <cell r="Z153" t="str">
            <v>La fruta original era vsa</v>
          </cell>
          <cell r="AA153" t="str">
            <v>DESPACHADO</v>
          </cell>
          <cell r="AB153" t="str">
            <v>EXPRESS CAVASOS</v>
          </cell>
          <cell r="AC153" t="str">
            <v>ADRIAN_VILLALOBOS_GARCIA</v>
          </cell>
          <cell r="AD153">
            <v>87566</v>
          </cell>
          <cell r="AE153" t="str">
            <v>FORTALEZA</v>
          </cell>
        </row>
        <row r="154">
          <cell r="A154" t="str">
            <v>Chanitos Premium Tarima Chep</v>
          </cell>
          <cell r="B154" t="str">
            <v>CPR01102</v>
          </cell>
          <cell r="D154" t="str">
            <v>A01 003 Doña Nelly</v>
          </cell>
          <cell r="E154" t="str">
            <v>VSA</v>
          </cell>
          <cell r="F154">
            <v>336</v>
          </cell>
          <cell r="G154">
            <v>7</v>
          </cell>
          <cell r="H154">
            <v>46273</v>
          </cell>
          <cell r="I154">
            <v>37</v>
          </cell>
          <cell r="J154">
            <v>46279</v>
          </cell>
          <cell r="K154">
            <v>0.25</v>
          </cell>
          <cell r="L154" t="str">
            <v>PREENFRIO NELLY</v>
          </cell>
          <cell r="M154">
            <v>1</v>
          </cell>
          <cell r="N154">
            <v>24</v>
          </cell>
          <cell r="O154">
            <v>46273</v>
          </cell>
          <cell r="P154">
            <v>0.77083333333333337</v>
          </cell>
          <cell r="Q154" t="str">
            <v>NORMAL</v>
          </cell>
          <cell r="R154">
            <v>46273</v>
          </cell>
          <cell r="S154">
            <v>0.64444444444444449</v>
          </cell>
          <cell r="T154">
            <v>0.35416666666666669</v>
          </cell>
          <cell r="U154">
            <v>46273.998611111107</v>
          </cell>
          <cell r="V154">
            <v>46277</v>
          </cell>
          <cell r="W154">
            <v>0.88888888888888884</v>
          </cell>
          <cell r="X154" t="str">
            <v>SI CUMPLE</v>
          </cell>
          <cell r="Y154" t="str">
            <v>SI CUMPLE</v>
          </cell>
          <cell r="AA154" t="str">
            <v>DESPACHADO</v>
          </cell>
          <cell r="AB154" t="str">
            <v>GENARO IBAÑEZ</v>
          </cell>
          <cell r="AC154" t="str">
            <v>CAYETANO MENESES AVELINO</v>
          </cell>
          <cell r="AD154">
            <v>49155</v>
          </cell>
          <cell r="AE154" t="str">
            <v>QCH1W03N00</v>
          </cell>
        </row>
        <row r="155">
          <cell r="A155" t="str">
            <v>Chanitos Premium EUA Tarima Americana</v>
          </cell>
          <cell r="B155" t="str">
            <v>CPR01104</v>
          </cell>
          <cell r="D155" t="str">
            <v>A04 039 San Jose Morelia Nava</v>
          </cell>
          <cell r="E155" t="str">
            <v>McAllen</v>
          </cell>
          <cell r="F155">
            <v>960</v>
          </cell>
          <cell r="G155">
            <v>20</v>
          </cell>
          <cell r="H155">
            <v>46273</v>
          </cell>
          <cell r="I155">
            <v>37</v>
          </cell>
          <cell r="J155">
            <v>46279</v>
          </cell>
          <cell r="L155" t="str">
            <v>DIRECTO SIN PREENFRIO</v>
          </cell>
          <cell r="M155">
            <v>3</v>
          </cell>
          <cell r="N155">
            <v>72</v>
          </cell>
          <cell r="O155">
            <v>46273</v>
          </cell>
          <cell r="P155">
            <v>0.77083333333333337</v>
          </cell>
          <cell r="Q155" t="str">
            <v>NORMAL</v>
          </cell>
          <cell r="T155" t="str">
            <v>N/A</v>
          </cell>
          <cell r="U155" t="str">
            <v/>
          </cell>
          <cell r="V155">
            <v>46274</v>
          </cell>
          <cell r="W155">
            <v>0.27083333333333331</v>
          </cell>
          <cell r="X155" t="str">
            <v/>
          </cell>
          <cell r="Y155" t="str">
            <v>SI CUMPLE</v>
          </cell>
          <cell r="AA155" t="str">
            <v>DESPACHADO</v>
          </cell>
          <cell r="AB155" t="str">
            <v>ALGEZA</v>
          </cell>
          <cell r="AC155" t="str">
            <v>Jesus manuel gomez sanchez</v>
          </cell>
          <cell r="AD155">
            <v>58672</v>
          </cell>
          <cell r="AE155">
            <v>100000913440</v>
          </cell>
        </row>
        <row r="156">
          <cell r="A156" t="str">
            <v>Chanitos Premium Tarima Chep</v>
          </cell>
          <cell r="B156" t="str">
            <v>CPR01102</v>
          </cell>
          <cell r="D156" t="str">
            <v>A01145 Sector Mazatan</v>
          </cell>
          <cell r="E156" t="str">
            <v>SMO</v>
          </cell>
          <cell r="F156">
            <v>624</v>
          </cell>
          <cell r="G156">
            <v>13</v>
          </cell>
          <cell r="H156">
            <v>46273</v>
          </cell>
          <cell r="I156">
            <v>37</v>
          </cell>
          <cell r="J156">
            <v>46278</v>
          </cell>
          <cell r="L156" t="str">
            <v>PREENFRIO NELLY</v>
          </cell>
          <cell r="M156">
            <v>1.5</v>
          </cell>
          <cell r="N156">
            <v>36</v>
          </cell>
          <cell r="O156">
            <v>46274</v>
          </cell>
          <cell r="P156">
            <v>0.83333333333333337</v>
          </cell>
          <cell r="Q156" t="str">
            <v>ALTA</v>
          </cell>
          <cell r="R156">
            <v>46274</v>
          </cell>
          <cell r="S156">
            <v>0.93541666666666667</v>
          </cell>
          <cell r="T156">
            <v>0.35416666666666669</v>
          </cell>
          <cell r="U156">
            <v>46275.289583333331</v>
          </cell>
          <cell r="V156">
            <v>46275</v>
          </cell>
          <cell r="W156">
            <v>0.27083333333333331</v>
          </cell>
          <cell r="X156" t="str">
            <v>SI CUMPLE</v>
          </cell>
          <cell r="Y156" t="str">
            <v>SI CUMPLE</v>
          </cell>
          <cell r="Z156" t="str">
            <v>EMPAQUE TARDIO</v>
          </cell>
          <cell r="AA156" t="str">
            <v>DESPACHADO</v>
          </cell>
          <cell r="AB156" t="str">
            <v>MARIBEL DE LA ROSA FERNANDEZ</v>
          </cell>
          <cell r="AC156" t="str">
            <v>ABEL HERNADEZ</v>
          </cell>
          <cell r="AD156">
            <v>96523</v>
          </cell>
          <cell r="AE156" t="str">
            <v>QCH1W04ZN0</v>
          </cell>
        </row>
        <row r="157">
          <cell r="A157" t="str">
            <v>Chanitos Premium Tarima Chep</v>
          </cell>
          <cell r="B157" t="str">
            <v>CPR01102</v>
          </cell>
          <cell r="D157" t="str">
            <v>A11 045 Sector Mazatan</v>
          </cell>
          <cell r="E157" t="str">
            <v>SMO</v>
          </cell>
          <cell r="F157">
            <v>528</v>
          </cell>
          <cell r="G157">
            <v>11</v>
          </cell>
          <cell r="H157">
            <v>46274</v>
          </cell>
          <cell r="I157">
            <v>37</v>
          </cell>
          <cell r="J157">
            <v>46278</v>
          </cell>
          <cell r="L157" t="str">
            <v>PREENFRIO NELLY</v>
          </cell>
          <cell r="M157">
            <v>1.5</v>
          </cell>
          <cell r="N157">
            <v>36</v>
          </cell>
          <cell r="O157">
            <v>46274</v>
          </cell>
          <cell r="P157">
            <v>0.83333333333333337</v>
          </cell>
          <cell r="Q157" t="str">
            <v>ALTA</v>
          </cell>
          <cell r="R157">
            <v>46274</v>
          </cell>
          <cell r="S157">
            <v>0.93541666666666667</v>
          </cell>
          <cell r="T157">
            <v>0.35416666666666669</v>
          </cell>
          <cell r="U157">
            <v>46275.289583333331</v>
          </cell>
          <cell r="V157">
            <v>46275</v>
          </cell>
          <cell r="W157">
            <v>0.27083333333333331</v>
          </cell>
          <cell r="X157" t="str">
            <v>SI CUMPLE</v>
          </cell>
          <cell r="Y157" t="str">
            <v>SI CUMPLE</v>
          </cell>
          <cell r="AA157" t="str">
            <v>DESPACHADO</v>
          </cell>
          <cell r="AB157" t="str">
            <v>MARIBEL DE LA ROSA FERNANDEZ</v>
          </cell>
          <cell r="AC157" t="str">
            <v>ABEL HERNADEZ</v>
          </cell>
          <cell r="AD157">
            <v>96523</v>
          </cell>
          <cell r="AE157" t="str">
            <v>QCH1W04ZN0</v>
          </cell>
        </row>
        <row r="158">
          <cell r="A158" t="str">
            <v>Chanitos Premium EUA Tarima Americana</v>
          </cell>
          <cell r="B158" t="str">
            <v>CPR01104</v>
          </cell>
          <cell r="C158" t="str">
            <v>A04084-370909-1</v>
          </cell>
          <cell r="D158" t="str">
            <v>A04 084 Lisboa</v>
          </cell>
          <cell r="E158" t="str">
            <v>McAllen</v>
          </cell>
          <cell r="F158">
            <v>960</v>
          </cell>
          <cell r="G158">
            <v>20</v>
          </cell>
          <cell r="H158">
            <v>46274</v>
          </cell>
          <cell r="I158">
            <v>37</v>
          </cell>
          <cell r="J158">
            <v>46279</v>
          </cell>
          <cell r="L158" t="str">
            <v>PREENFRIO FORTALEZA</v>
          </cell>
          <cell r="M158">
            <v>3</v>
          </cell>
          <cell r="N158">
            <v>72</v>
          </cell>
          <cell r="O158">
            <v>46276</v>
          </cell>
          <cell r="P158">
            <v>0.95833333333333337</v>
          </cell>
          <cell r="Q158" t="str">
            <v>NORMAL</v>
          </cell>
          <cell r="V158">
            <v>46277</v>
          </cell>
          <cell r="W158">
            <v>8.3333333333333329E-2</v>
          </cell>
          <cell r="X158" t="str">
            <v/>
          </cell>
          <cell r="Y158" t="str">
            <v>NO CUMPLE</v>
          </cell>
          <cell r="AA158" t="str">
            <v>DESPACHADO</v>
          </cell>
          <cell r="AB158" t="str">
            <v>AUTO EXPRESS SEGOVIA</v>
          </cell>
          <cell r="AC158" t="str">
            <v>CRISTIAN MOGUEL</v>
          </cell>
          <cell r="AD158">
            <v>10991</v>
          </cell>
          <cell r="AE158" t="str">
            <v>QCH1W049X0</v>
          </cell>
        </row>
        <row r="159">
          <cell r="A159" t="str">
            <v>Chanitos Organic Banded Market Side Mexico</v>
          </cell>
          <cell r="B159" t="str">
            <v>CRG07128</v>
          </cell>
          <cell r="C159" t="str">
            <v>A01002-370909-1</v>
          </cell>
          <cell r="D159" t="str">
            <v>A01 002 Fortaleza</v>
          </cell>
          <cell r="E159" t="str">
            <v>QRO</v>
          </cell>
          <cell r="F159">
            <v>96</v>
          </cell>
          <cell r="G159">
            <v>2</v>
          </cell>
          <cell r="H159">
            <v>46274</v>
          </cell>
          <cell r="I159">
            <v>37</v>
          </cell>
          <cell r="J159">
            <v>46279</v>
          </cell>
          <cell r="L159" t="str">
            <v>PREENFRIO FORTALEZA</v>
          </cell>
          <cell r="M159">
            <v>1.5</v>
          </cell>
          <cell r="N159">
            <v>36</v>
          </cell>
          <cell r="O159">
            <v>46274</v>
          </cell>
          <cell r="P159">
            <v>0.68958333333333333</v>
          </cell>
          <cell r="Q159" t="str">
            <v>NORMAL</v>
          </cell>
          <cell r="R159">
            <v>46275</v>
          </cell>
          <cell r="S159">
            <v>0.38263888888888886</v>
          </cell>
          <cell r="T159">
            <v>0.20833333333333334</v>
          </cell>
          <cell r="U159">
            <v>46275.590972222228</v>
          </cell>
          <cell r="V159">
            <v>46276</v>
          </cell>
          <cell r="W159">
            <v>0.45833333333333331</v>
          </cell>
          <cell r="X159" t="str">
            <v>SI CUMPLE</v>
          </cell>
          <cell r="Y159" t="str">
            <v>SI CUMPLE</v>
          </cell>
          <cell r="AA159" t="str">
            <v>DESPACHADO</v>
          </cell>
          <cell r="AB159" t="str">
            <v>EXPRESS_CAVAZOS_MUEVE_A_NELLY</v>
          </cell>
          <cell r="AC159" t="str">
            <v>ADRIAN_VILLALOBOS_GARCIA</v>
          </cell>
          <cell r="AD159">
            <v>92241</v>
          </cell>
          <cell r="AE159" t="str">
            <v>QCH1W048R0</v>
          </cell>
        </row>
        <row r="160">
          <cell r="A160" t="str">
            <v>Chanitos Premium Tarima Chep</v>
          </cell>
          <cell r="B160" t="str">
            <v>CPR01102</v>
          </cell>
          <cell r="C160" t="str">
            <v>A01002-370909-1</v>
          </cell>
          <cell r="D160" t="str">
            <v>A01 002 Fortaleza</v>
          </cell>
          <cell r="E160" t="str">
            <v>SMO</v>
          </cell>
          <cell r="F160">
            <v>768</v>
          </cell>
          <cell r="G160">
            <v>16</v>
          </cell>
          <cell r="H160">
            <v>46274</v>
          </cell>
          <cell r="I160">
            <v>37</v>
          </cell>
          <cell r="J160">
            <v>46279</v>
          </cell>
          <cell r="L160" t="str">
            <v>PREENFRIO FORTALEZA</v>
          </cell>
          <cell r="M160">
            <v>1.5</v>
          </cell>
          <cell r="N160">
            <v>36</v>
          </cell>
          <cell r="O160">
            <v>46274</v>
          </cell>
          <cell r="P160">
            <v>0.68958333333333333</v>
          </cell>
          <cell r="Q160" t="str">
            <v>NORMAL</v>
          </cell>
          <cell r="R160">
            <v>46275</v>
          </cell>
          <cell r="S160">
            <v>0.38263888888888886</v>
          </cell>
          <cell r="T160">
            <v>0.625</v>
          </cell>
          <cell r="U160">
            <v>46276.007638888892</v>
          </cell>
          <cell r="V160">
            <v>46276</v>
          </cell>
          <cell r="W160">
            <v>7.8472222222222221E-2</v>
          </cell>
          <cell r="X160" t="str">
            <v>SI CUMPLE</v>
          </cell>
          <cell r="Y160" t="str">
            <v>SI CUMPLE</v>
          </cell>
          <cell r="AA160" t="str">
            <v>DESPACHADO</v>
          </cell>
          <cell r="AB160" t="str">
            <v>FERNANDO JESUS ALVARADO</v>
          </cell>
          <cell r="AC160" t="str">
            <v>ALEJANDRO EDUARDO SANTOS</v>
          </cell>
          <cell r="AD160">
            <v>34528</v>
          </cell>
          <cell r="AE160" t="str">
            <v>QCH1W049Z0</v>
          </cell>
        </row>
        <row r="161">
          <cell r="A161" t="str">
            <v>Chanitos Premium Tarima Chep</v>
          </cell>
          <cell r="B161" t="str">
            <v>CPR01102</v>
          </cell>
          <cell r="C161" t="str">
            <v>A01004-370909-1</v>
          </cell>
          <cell r="D161" t="str">
            <v>A01 004 La Ceiba</v>
          </cell>
          <cell r="E161" t="str">
            <v>SMO</v>
          </cell>
          <cell r="F161">
            <v>336</v>
          </cell>
          <cell r="G161">
            <v>7</v>
          </cell>
          <cell r="H161">
            <v>46274</v>
          </cell>
          <cell r="I161">
            <v>37</v>
          </cell>
          <cell r="J161">
            <v>46279</v>
          </cell>
          <cell r="L161" t="str">
            <v>PREENFRIO FORTALEZA</v>
          </cell>
          <cell r="M161">
            <v>1.5</v>
          </cell>
          <cell r="N161">
            <v>36</v>
          </cell>
          <cell r="O161">
            <v>46274</v>
          </cell>
          <cell r="P161">
            <v>0.74097222222222225</v>
          </cell>
          <cell r="Q161" t="str">
            <v>NORMAL</v>
          </cell>
          <cell r="R161">
            <v>46275</v>
          </cell>
          <cell r="S161">
            <v>0.38263888888888886</v>
          </cell>
          <cell r="T161">
            <v>0.625</v>
          </cell>
          <cell r="U161">
            <v>46276.007638888892</v>
          </cell>
          <cell r="V161">
            <v>46276</v>
          </cell>
          <cell r="W161">
            <v>7.8472222222222221E-2</v>
          </cell>
          <cell r="X161" t="str">
            <v>SI CUMPLE</v>
          </cell>
          <cell r="Y161" t="str">
            <v>SI CUMPLE</v>
          </cell>
          <cell r="AA161" t="str">
            <v>DESPACHADO</v>
          </cell>
          <cell r="AB161" t="str">
            <v>FERNANDO JESUS ALVARADO</v>
          </cell>
          <cell r="AC161" t="str">
            <v>ALEJANDRO EDUARDO SANTOS</v>
          </cell>
          <cell r="AD161">
            <v>34528</v>
          </cell>
          <cell r="AE161" t="str">
            <v>QCH1W049Z0</v>
          </cell>
        </row>
        <row r="162">
          <cell r="A162" t="str">
            <v>Chanitos Premium Tarima Chep</v>
          </cell>
          <cell r="B162" t="str">
            <v>CPR01102</v>
          </cell>
          <cell r="C162" t="str">
            <v>A01002-370909-1</v>
          </cell>
          <cell r="D162" t="str">
            <v>A01 002 Fortaleza</v>
          </cell>
          <cell r="E162" t="str">
            <v>VSA</v>
          </cell>
          <cell r="F162">
            <v>336</v>
          </cell>
          <cell r="G162">
            <v>7</v>
          </cell>
          <cell r="H162">
            <v>46274</v>
          </cell>
          <cell r="I162">
            <v>37</v>
          </cell>
          <cell r="J162">
            <v>46279</v>
          </cell>
          <cell r="L162" t="str">
            <v>PREENFRIO FORTALEZA</v>
          </cell>
          <cell r="M162">
            <v>1</v>
          </cell>
          <cell r="N162">
            <v>24</v>
          </cell>
          <cell r="O162">
            <v>46274</v>
          </cell>
          <cell r="P162">
            <v>0.68958333333333333</v>
          </cell>
          <cell r="Q162" t="str">
            <v>NORMAL</v>
          </cell>
          <cell r="R162">
            <v>46275</v>
          </cell>
          <cell r="S162">
            <v>0.38263888888888886</v>
          </cell>
          <cell r="T162">
            <v>0.20833333333333334</v>
          </cell>
          <cell r="U162">
            <v>46275.590972222228</v>
          </cell>
          <cell r="V162">
            <v>46277</v>
          </cell>
          <cell r="W162">
            <v>0.62152777777777779</v>
          </cell>
          <cell r="X162" t="str">
            <v>SI CUMPLE</v>
          </cell>
          <cell r="Y162" t="str">
            <v>SI CUMPLE</v>
          </cell>
          <cell r="AA162" t="str">
            <v>DESPACHADO</v>
          </cell>
          <cell r="AB162" t="str">
            <v>GENARO IBAÑES</v>
          </cell>
          <cell r="AC162" t="str">
            <v>CAYETANO MENESES AVELINO</v>
          </cell>
          <cell r="AD162">
            <v>41863</v>
          </cell>
          <cell r="AE162" t="str">
            <v>N/A</v>
          </cell>
        </row>
        <row r="163">
          <cell r="A163" t="str">
            <v>Chanitos Organic Banded Market Side Mexico</v>
          </cell>
          <cell r="B163" t="str">
            <v>CRG07128</v>
          </cell>
          <cell r="C163" t="str">
            <v>A01002-370909-1</v>
          </cell>
          <cell r="D163" t="str">
            <v>A01 002 Fortaleza</v>
          </cell>
          <cell r="E163" t="str">
            <v>VSA</v>
          </cell>
          <cell r="F163">
            <v>144</v>
          </cell>
          <cell r="G163">
            <v>3</v>
          </cell>
          <cell r="H163">
            <v>46274</v>
          </cell>
          <cell r="I163">
            <v>37</v>
          </cell>
          <cell r="J163">
            <v>46279</v>
          </cell>
          <cell r="L163" t="str">
            <v>PREENFRIO FORTALEZA</v>
          </cell>
          <cell r="M163">
            <v>1</v>
          </cell>
          <cell r="N163">
            <v>24</v>
          </cell>
          <cell r="O163">
            <v>46274</v>
          </cell>
          <cell r="P163">
            <v>0.68958333333333333</v>
          </cell>
          <cell r="Q163" t="str">
            <v>NORMAL</v>
          </cell>
          <cell r="R163">
            <v>46276</v>
          </cell>
          <cell r="S163">
            <v>4.791666666666667E-2</v>
          </cell>
          <cell r="T163">
            <v>0.625</v>
          </cell>
          <cell r="U163">
            <v>46276.67291666667</v>
          </cell>
          <cell r="V163">
            <v>46277</v>
          </cell>
          <cell r="W163">
            <v>0.60763888888888884</v>
          </cell>
          <cell r="X163" t="str">
            <v>SI CUMPLE</v>
          </cell>
          <cell r="Y163" t="str">
            <v>SI CUMPLE</v>
          </cell>
          <cell r="AA163" t="str">
            <v>DESPACHADO</v>
          </cell>
          <cell r="AB163" t="str">
            <v>BACKHAUL</v>
          </cell>
          <cell r="AC163" t="str">
            <v>RAFAEL MARTINEZ LOPEZ</v>
          </cell>
          <cell r="AD163">
            <v>60186</v>
          </cell>
          <cell r="AE163" t="str">
            <v>QCH1W046Y0</v>
          </cell>
        </row>
        <row r="164">
          <cell r="A164" t="str">
            <v>Chanitos Premium Tarima Chep</v>
          </cell>
          <cell r="B164" t="str">
            <v>CPR01102</v>
          </cell>
          <cell r="C164" t="str">
            <v>A01004-370909-1</v>
          </cell>
          <cell r="D164" t="str">
            <v>A01 004 La Ceiba</v>
          </cell>
          <cell r="E164" t="str">
            <v>VSA</v>
          </cell>
          <cell r="F164">
            <v>864</v>
          </cell>
          <cell r="G164">
            <v>18</v>
          </cell>
          <cell r="H164">
            <v>46274</v>
          </cell>
          <cell r="I164">
            <v>37</v>
          </cell>
          <cell r="J164">
            <v>46279</v>
          </cell>
          <cell r="L164" t="str">
            <v>PREENFRIO FORTALEZA</v>
          </cell>
          <cell r="M164">
            <v>1</v>
          </cell>
          <cell r="N164">
            <v>24</v>
          </cell>
          <cell r="O164">
            <v>46274</v>
          </cell>
          <cell r="P164">
            <v>0.74097222222222225</v>
          </cell>
          <cell r="Q164" t="str">
            <v>NORMAL</v>
          </cell>
          <cell r="R164">
            <v>46276</v>
          </cell>
          <cell r="S164">
            <v>4.791666666666667E-2</v>
          </cell>
          <cell r="T164">
            <v>0.625</v>
          </cell>
          <cell r="U164">
            <v>46276.67291666667</v>
          </cell>
          <cell r="V164">
            <v>46277</v>
          </cell>
          <cell r="W164">
            <v>0.60763888888888884</v>
          </cell>
          <cell r="X164" t="str">
            <v>SI CUMPLE</v>
          </cell>
          <cell r="Y164" t="str">
            <v>SI CUMPLE</v>
          </cell>
          <cell r="AA164" t="str">
            <v>DESPACHADO</v>
          </cell>
          <cell r="AB164" t="str">
            <v>BACKHAUL</v>
          </cell>
          <cell r="AC164" t="str">
            <v>RAFAEL MARTINEZ LOPEZ</v>
          </cell>
          <cell r="AD164">
            <v>60186</v>
          </cell>
          <cell r="AE164" t="str">
            <v>QCH1W046Y0</v>
          </cell>
        </row>
        <row r="165">
          <cell r="A165" t="str">
            <v>Chanitos Premium Tarima Chep</v>
          </cell>
          <cell r="B165" t="str">
            <v>CPR01102</v>
          </cell>
          <cell r="D165" t="str">
            <v>A01 001 Marbella</v>
          </cell>
          <cell r="E165" t="str">
            <v>Chalco</v>
          </cell>
          <cell r="F165">
            <v>1104</v>
          </cell>
          <cell r="G165">
            <v>23</v>
          </cell>
          <cell r="H165">
            <v>46274</v>
          </cell>
          <cell r="I165">
            <v>37</v>
          </cell>
          <cell r="J165">
            <v>46279</v>
          </cell>
          <cell r="L165" t="str">
            <v>PREENFRIO NELLY</v>
          </cell>
          <cell r="M165">
            <v>1</v>
          </cell>
          <cell r="N165">
            <v>24</v>
          </cell>
          <cell r="O165">
            <v>46274</v>
          </cell>
          <cell r="P165">
            <v>0.75</v>
          </cell>
          <cell r="Q165" t="str">
            <v>NORMAL</v>
          </cell>
          <cell r="R165">
            <v>46274</v>
          </cell>
          <cell r="S165">
            <v>0.75</v>
          </cell>
          <cell r="T165">
            <v>0.35416666666666669</v>
          </cell>
          <cell r="U165">
            <v>46275.104166666664</v>
          </cell>
          <cell r="V165">
            <v>46275</v>
          </cell>
          <cell r="W165">
            <v>0.9375</v>
          </cell>
          <cell r="X165" t="str">
            <v>SI CUMPLE</v>
          </cell>
          <cell r="Y165" t="str">
            <v>SI CUMPLE</v>
          </cell>
          <cell r="AA165" t="str">
            <v>DESPACHADO</v>
          </cell>
          <cell r="AB165" t="str">
            <v xml:space="preserve">ROSA ANGELICA CONSUELO </v>
          </cell>
          <cell r="AC165" t="str">
            <v>CESAR AUGUSTO LOPEZ</v>
          </cell>
        </row>
        <row r="166">
          <cell r="A166" t="str">
            <v>Platano de Chiapas BAE UPC 3237</v>
          </cell>
          <cell r="B166" t="str">
            <v>CPR01114</v>
          </cell>
          <cell r="D166" t="str">
            <v>A01 001 Marbella</v>
          </cell>
          <cell r="E166" t="str">
            <v>Chalco</v>
          </cell>
          <cell r="F166">
            <v>48</v>
          </cell>
          <cell r="G166">
            <v>1</v>
          </cell>
          <cell r="H166">
            <v>46274</v>
          </cell>
          <cell r="I166">
            <v>37</v>
          </cell>
          <cell r="J166">
            <v>46279</v>
          </cell>
          <cell r="L166" t="str">
            <v>PREENFRIO NELLY</v>
          </cell>
          <cell r="M166">
            <v>1</v>
          </cell>
          <cell r="N166">
            <v>24</v>
          </cell>
          <cell r="O166">
            <v>46274</v>
          </cell>
          <cell r="P166">
            <v>0.75</v>
          </cell>
          <cell r="Q166" t="str">
            <v>NORMAL</v>
          </cell>
          <cell r="R166">
            <v>46275</v>
          </cell>
          <cell r="S166">
            <v>0.74444444444444446</v>
          </cell>
          <cell r="T166">
            <v>0.35416666666666669</v>
          </cell>
          <cell r="U166">
            <v>46276.098611111105</v>
          </cell>
          <cell r="V166">
            <v>46275</v>
          </cell>
          <cell r="W166">
            <v>0.9375</v>
          </cell>
          <cell r="X166" t="str">
            <v>SI CUMPLE</v>
          </cell>
          <cell r="Y166" t="str">
            <v>SI CUMPLE</v>
          </cell>
          <cell r="AA166" t="str">
            <v>DESPACHADO</v>
          </cell>
          <cell r="AB166" t="str">
            <v xml:space="preserve">ROSA ANGELICA CONSUELO </v>
          </cell>
          <cell r="AC166" t="str">
            <v>CESAR AUGUSTO LOPEZ</v>
          </cell>
        </row>
        <row r="167">
          <cell r="A167" t="str">
            <v>Chanitos Premium Tarima Americana</v>
          </cell>
          <cell r="B167" t="str">
            <v>CPR01103</v>
          </cell>
          <cell r="D167" t="str">
            <v>A04 039 San Jose Morelia Nava</v>
          </cell>
          <cell r="E167" t="str">
            <v>S-MTY</v>
          </cell>
          <cell r="F167">
            <v>1152</v>
          </cell>
          <cell r="G167">
            <v>24</v>
          </cell>
          <cell r="H167">
            <v>46274</v>
          </cell>
          <cell r="I167">
            <v>37</v>
          </cell>
          <cell r="J167">
            <v>46279</v>
          </cell>
          <cell r="K167">
            <v>0.25</v>
          </cell>
          <cell r="L167" t="str">
            <v>PREENFRIO NELLY</v>
          </cell>
          <cell r="M167">
            <v>3</v>
          </cell>
          <cell r="N167">
            <v>72</v>
          </cell>
          <cell r="O167">
            <v>46275</v>
          </cell>
          <cell r="P167">
            <v>4.583333333333333E-2</v>
          </cell>
          <cell r="Q167" t="str">
            <v>ALTA</v>
          </cell>
          <cell r="R167">
            <v>46275</v>
          </cell>
          <cell r="S167">
            <v>0.3125</v>
          </cell>
          <cell r="T167">
            <v>0.4375</v>
          </cell>
          <cell r="U167">
            <v>46275.75</v>
          </cell>
          <cell r="V167">
            <v>46275</v>
          </cell>
          <cell r="W167">
            <v>0.73958333333333337</v>
          </cell>
          <cell r="X167" t="str">
            <v>SI CUMPLE</v>
          </cell>
          <cell r="Y167" t="str">
            <v>SI CUMPLE</v>
          </cell>
          <cell r="AA167" t="str">
            <v>DESPACHADO</v>
          </cell>
          <cell r="AB167" t="str">
            <v>TOMATITOS</v>
          </cell>
          <cell r="AC167" t="str">
            <v>DANIEL REYES SANCHEZ</v>
          </cell>
          <cell r="AD167">
            <v>68045</v>
          </cell>
          <cell r="AE167" t="str">
            <v>QCH1W04D50</v>
          </cell>
        </row>
        <row r="168">
          <cell r="A168" t="str">
            <v>Platano de Chiapas BAE UPC 3237</v>
          </cell>
          <cell r="B168" t="str">
            <v>CPR01114</v>
          </cell>
          <cell r="C168" t="str">
            <v>A01002-371009-1</v>
          </cell>
          <cell r="D168" t="str">
            <v>A01 002 Fortaleza</v>
          </cell>
          <cell r="E168" t="str">
            <v>MTY</v>
          </cell>
          <cell r="F168">
            <v>5</v>
          </cell>
          <cell r="G168">
            <v>0.10416666666666667</v>
          </cell>
          <cell r="H168">
            <v>46275</v>
          </cell>
          <cell r="I168">
            <v>37</v>
          </cell>
          <cell r="J168">
            <v>46279</v>
          </cell>
          <cell r="L168" t="str">
            <v>PREENFRIO FORTALEZA</v>
          </cell>
          <cell r="M168">
            <v>2.5</v>
          </cell>
          <cell r="N168">
            <v>60</v>
          </cell>
          <cell r="O168">
            <v>46275</v>
          </cell>
          <cell r="P168">
            <v>0.8208333333333333</v>
          </cell>
          <cell r="Q168" t="str">
            <v>NORMAL</v>
          </cell>
          <cell r="R168">
            <v>46276</v>
          </cell>
          <cell r="S168">
            <v>3.1944444444444442E-2</v>
          </cell>
          <cell r="T168">
            <v>0.41666666666666669</v>
          </cell>
          <cell r="U168">
            <v>46276.448611111111</v>
          </cell>
          <cell r="V168">
            <v>46276</v>
          </cell>
          <cell r="W168">
            <v>0.45833333333333331</v>
          </cell>
          <cell r="X168" t="str">
            <v>SI CUMPLE</v>
          </cell>
          <cell r="Y168" t="str">
            <v>SI CUMPLE</v>
          </cell>
          <cell r="AA168" t="str">
            <v>DESPACHADO</v>
          </cell>
          <cell r="AB168" t="str">
            <v>EXPRESS CAVAZOS CANTU</v>
          </cell>
          <cell r="AC168" t="str">
            <v>Adrian_Villalobos_Garcia</v>
          </cell>
          <cell r="AD168">
            <v>51006</v>
          </cell>
          <cell r="AE168" t="str">
            <v>QCH1W048R0</v>
          </cell>
        </row>
        <row r="169">
          <cell r="A169" t="str">
            <v>Chanitos Premium Tarima Chep</v>
          </cell>
          <cell r="B169" t="str">
            <v>CPR01102</v>
          </cell>
          <cell r="C169" t="str">
            <v>A01002-371009-1</v>
          </cell>
          <cell r="D169" t="str">
            <v>A01 002 Fortaleza</v>
          </cell>
          <cell r="E169" t="str">
            <v>MTY</v>
          </cell>
          <cell r="F169">
            <v>576</v>
          </cell>
          <cell r="G169">
            <v>12</v>
          </cell>
          <cell r="H169">
            <v>46275</v>
          </cell>
          <cell r="I169">
            <v>37</v>
          </cell>
          <cell r="J169">
            <v>46279</v>
          </cell>
          <cell r="L169" t="str">
            <v>PREENFRIO FORTALEZA</v>
          </cell>
          <cell r="M169">
            <v>2.5</v>
          </cell>
          <cell r="N169">
            <v>60</v>
          </cell>
          <cell r="O169">
            <v>46275</v>
          </cell>
          <cell r="P169">
            <v>0.8208333333333333</v>
          </cell>
          <cell r="Q169" t="str">
            <v>NORMAL</v>
          </cell>
          <cell r="R169">
            <v>46276</v>
          </cell>
          <cell r="S169">
            <v>3.1944444444444442E-2</v>
          </cell>
          <cell r="T169">
            <v>0.41666666666666669</v>
          </cell>
          <cell r="U169">
            <v>46276.448611111111</v>
          </cell>
          <cell r="V169">
            <v>46276</v>
          </cell>
          <cell r="W169">
            <v>0.45833333333333331</v>
          </cell>
          <cell r="X169" t="str">
            <v>SI CUMPLE</v>
          </cell>
          <cell r="Y169" t="str">
            <v>SI CUMPLE</v>
          </cell>
          <cell r="AA169" t="str">
            <v>DESPACHADO</v>
          </cell>
          <cell r="AB169" t="str">
            <v>EXPRESS CAVAZOS CANTU</v>
          </cell>
          <cell r="AC169" t="str">
            <v>Adrian_Villalobos_Garcia</v>
          </cell>
          <cell r="AD169">
            <v>51006</v>
          </cell>
          <cell r="AE169" t="str">
            <v>QCH1W048R0</v>
          </cell>
        </row>
        <row r="170">
          <cell r="A170" t="str">
            <v>Chanitos Organic Banded Market Side Mexico</v>
          </cell>
          <cell r="B170" t="str">
            <v>CRG07128</v>
          </cell>
          <cell r="C170" t="str">
            <v>A01002-371009-1</v>
          </cell>
          <cell r="D170" t="str">
            <v>A01 002 Fortaleza</v>
          </cell>
          <cell r="E170" t="str">
            <v>MTY</v>
          </cell>
          <cell r="F170">
            <v>96</v>
          </cell>
          <cell r="G170">
            <v>2</v>
          </cell>
          <cell r="H170">
            <v>46275</v>
          </cell>
          <cell r="I170">
            <v>37</v>
          </cell>
          <cell r="J170">
            <v>46279</v>
          </cell>
          <cell r="L170" t="str">
            <v>PREENFRIO FORTALEZA</v>
          </cell>
          <cell r="M170">
            <v>2.5</v>
          </cell>
          <cell r="N170">
            <v>60</v>
          </cell>
          <cell r="O170">
            <v>46275</v>
          </cell>
          <cell r="P170">
            <v>0.8208333333333333</v>
          </cell>
          <cell r="Q170" t="str">
            <v>NORMAL</v>
          </cell>
          <cell r="R170">
            <v>46276</v>
          </cell>
          <cell r="S170">
            <v>3.1944444444444442E-2</v>
          </cell>
          <cell r="T170">
            <v>0.41666666666666669</v>
          </cell>
          <cell r="U170">
            <v>46276.448611111111</v>
          </cell>
          <cell r="V170">
            <v>46276</v>
          </cell>
          <cell r="W170">
            <v>0.45833333333333331</v>
          </cell>
          <cell r="X170" t="str">
            <v>SI CUMPLE</v>
          </cell>
          <cell r="Y170" t="str">
            <v>SI CUMPLE</v>
          </cell>
          <cell r="AA170" t="str">
            <v>DESPACHADO</v>
          </cell>
          <cell r="AB170" t="str">
            <v>EXPRESS CAVAZOS CANTU</v>
          </cell>
          <cell r="AC170" t="str">
            <v>Adrian_Villalobos_Garcia</v>
          </cell>
          <cell r="AD170">
            <v>51006</v>
          </cell>
          <cell r="AE170" t="str">
            <v>QCH1W048R0</v>
          </cell>
        </row>
        <row r="171">
          <cell r="A171" t="str">
            <v>Chanitos Premium Tarima Chep</v>
          </cell>
          <cell r="B171" t="str">
            <v>CPR01102</v>
          </cell>
          <cell r="C171" t="str">
            <v>A01002-371009-1</v>
          </cell>
          <cell r="D171" t="str">
            <v>A01 002 Fortaleza</v>
          </cell>
          <cell r="E171" t="str">
            <v>SMO</v>
          </cell>
          <cell r="F171">
            <v>48</v>
          </cell>
          <cell r="G171">
            <v>1</v>
          </cell>
          <cell r="H171">
            <v>46275</v>
          </cell>
          <cell r="I171">
            <v>37</v>
          </cell>
          <cell r="J171">
            <v>46279</v>
          </cell>
          <cell r="L171" t="str">
            <v>PREENFRIO FORTALEZA</v>
          </cell>
          <cell r="M171">
            <v>1.5</v>
          </cell>
          <cell r="N171">
            <v>36</v>
          </cell>
          <cell r="O171">
            <v>46275</v>
          </cell>
          <cell r="P171">
            <v>0.8208333333333333</v>
          </cell>
          <cell r="Q171" t="str">
            <v>NORMAL</v>
          </cell>
          <cell r="R171">
            <v>46275</v>
          </cell>
          <cell r="S171">
            <v>0.7993055555555556</v>
          </cell>
          <cell r="T171">
            <v>0.20833333333333334</v>
          </cell>
          <cell r="U171">
            <v>46276.007638888892</v>
          </cell>
          <cell r="V171">
            <v>46276</v>
          </cell>
          <cell r="W171">
            <v>7.8472222222222221E-2</v>
          </cell>
          <cell r="X171" t="str">
            <v>SI CUMPLE</v>
          </cell>
          <cell r="Y171" t="str">
            <v>SI CUMPLE</v>
          </cell>
          <cell r="AA171" t="str">
            <v>DESPACHADO</v>
          </cell>
          <cell r="AB171" t="str">
            <v>FERNANDO JESUS ALVARADO</v>
          </cell>
          <cell r="AC171" t="str">
            <v>ALEJANDRO EDUARDO SANTOS</v>
          </cell>
          <cell r="AD171">
            <v>34528</v>
          </cell>
          <cell r="AE171" t="str">
            <v>QCH1W049Z0</v>
          </cell>
        </row>
        <row r="172">
          <cell r="A172" t="str">
            <v>Chanitos Organic Banded Market Side Mexico</v>
          </cell>
          <cell r="B172" t="str">
            <v>CRG07128</v>
          </cell>
          <cell r="C172" t="str">
            <v>A01002-371009-1</v>
          </cell>
          <cell r="D172" t="str">
            <v>A01 002 Fortaleza</v>
          </cell>
          <cell r="E172" t="str">
            <v>VSA</v>
          </cell>
          <cell r="F172">
            <v>144</v>
          </cell>
          <cell r="G172">
            <v>3</v>
          </cell>
          <cell r="H172">
            <v>46275</v>
          </cell>
          <cell r="I172">
            <v>37</v>
          </cell>
          <cell r="J172">
            <v>46279</v>
          </cell>
          <cell r="L172" t="str">
            <v>PREENFRIO FORTALEZA</v>
          </cell>
          <cell r="M172">
            <v>1</v>
          </cell>
          <cell r="N172">
            <v>24</v>
          </cell>
          <cell r="O172">
            <v>46275</v>
          </cell>
          <cell r="P172">
            <v>0.8208333333333333</v>
          </cell>
          <cell r="Q172" t="str">
            <v>NORMAL</v>
          </cell>
          <cell r="R172">
            <v>46276</v>
          </cell>
          <cell r="S172">
            <v>0.67291666666666672</v>
          </cell>
          <cell r="T172">
            <v>0.20833333333333334</v>
          </cell>
          <cell r="U172">
            <v>46276.881250000006</v>
          </cell>
          <cell r="V172">
            <v>46277</v>
          </cell>
          <cell r="W172">
            <v>0.60763888888888884</v>
          </cell>
          <cell r="X172" t="str">
            <v>SI CUMPLE</v>
          </cell>
          <cell r="Y172" t="str">
            <v>SI CUMPLE</v>
          </cell>
          <cell r="AA172" t="str">
            <v>DESPACHADO</v>
          </cell>
          <cell r="AB172" t="str">
            <v>BACKHAUL</v>
          </cell>
          <cell r="AC172" t="str">
            <v>RAFAEL MARTINEZ LOPEZ</v>
          </cell>
          <cell r="AD172">
            <v>60186</v>
          </cell>
          <cell r="AE172" t="str">
            <v>QCH1W046Y0</v>
          </cell>
        </row>
        <row r="173">
          <cell r="A173" t="str">
            <v>Chanitos Premium Tarima Chep</v>
          </cell>
          <cell r="B173" t="str">
            <v>CPR01102</v>
          </cell>
          <cell r="C173" t="str">
            <v>A04037-371009-1</v>
          </cell>
          <cell r="D173" t="str">
            <v>A04 037 Josefina Nava</v>
          </cell>
          <cell r="E173" t="str">
            <v>QRO</v>
          </cell>
          <cell r="F173">
            <v>1056</v>
          </cell>
          <cell r="G173">
            <v>22</v>
          </cell>
          <cell r="H173">
            <v>46275</v>
          </cell>
          <cell r="I173">
            <v>37</v>
          </cell>
          <cell r="J173">
            <v>46279</v>
          </cell>
          <cell r="L173" t="str">
            <v>PREENFRIO NELLY</v>
          </cell>
          <cell r="M173">
            <v>1.5</v>
          </cell>
          <cell r="N173">
            <v>36</v>
          </cell>
          <cell r="O173">
            <v>46275</v>
          </cell>
          <cell r="P173">
            <v>0.95833333333333337</v>
          </cell>
          <cell r="Q173" t="str">
            <v>ALTA</v>
          </cell>
          <cell r="R173">
            <v>46276</v>
          </cell>
          <cell r="S173">
            <v>0.73611111111111116</v>
          </cell>
          <cell r="T173">
            <v>0.35416666666666669</v>
          </cell>
          <cell r="U173">
            <v>46277.090277777774</v>
          </cell>
          <cell r="V173">
            <v>46277</v>
          </cell>
          <cell r="W173">
            <v>9.7222222222222224E-2</v>
          </cell>
          <cell r="X173" t="str">
            <v>SI CUMPLE</v>
          </cell>
          <cell r="Y173" t="str">
            <v>SI CUMPLE</v>
          </cell>
          <cell r="AA173" t="str">
            <v>DESPACHADO</v>
          </cell>
          <cell r="AB173" t="str">
            <v>LEOPOLDO LEGORRETA LEGORRETA</v>
          </cell>
          <cell r="AC173" t="str">
            <v>ULISES MORALES</v>
          </cell>
          <cell r="AD173">
            <v>27102</v>
          </cell>
          <cell r="AE173" t="str">
            <v>QCH1W03SZ0</v>
          </cell>
        </row>
        <row r="174">
          <cell r="A174" t="str">
            <v>Chanitos Premium Tarima Chep</v>
          </cell>
          <cell r="B174" t="str">
            <v>CPR01102</v>
          </cell>
          <cell r="C174" t="str">
            <v>A01003-371009-1</v>
          </cell>
          <cell r="D174" t="str">
            <v>A01 003 Doña Nelly</v>
          </cell>
          <cell r="E174" t="str">
            <v>VSA</v>
          </cell>
          <cell r="F174">
            <v>288</v>
          </cell>
          <cell r="G174">
            <v>6</v>
          </cell>
          <cell r="H174">
            <v>46275</v>
          </cell>
          <cell r="I174">
            <v>37</v>
          </cell>
          <cell r="J174">
            <v>46279</v>
          </cell>
          <cell r="L174" t="str">
            <v>PREENFRIO NELLY</v>
          </cell>
          <cell r="M174">
            <v>1</v>
          </cell>
          <cell r="N174">
            <v>24</v>
          </cell>
          <cell r="O174">
            <v>46275</v>
          </cell>
          <cell r="P174">
            <v>0.77083333333333337</v>
          </cell>
          <cell r="Q174" t="str">
            <v>ALTA</v>
          </cell>
          <cell r="R174">
            <v>46276</v>
          </cell>
          <cell r="S174">
            <v>0.52222222222222225</v>
          </cell>
          <cell r="T174">
            <v>0.35416666666666669</v>
          </cell>
          <cell r="U174">
            <v>46276.876388888886</v>
          </cell>
          <cell r="V174">
            <v>46277</v>
          </cell>
          <cell r="W174">
            <v>0.88888888888888884</v>
          </cell>
          <cell r="X174" t="str">
            <v>SI CUMPLE</v>
          </cell>
          <cell r="Y174" t="str">
            <v>SI CUMPLE</v>
          </cell>
          <cell r="AA174" t="str">
            <v>DESPACHADO</v>
          </cell>
          <cell r="AB174" t="str">
            <v>GENARO IBAÑEZ</v>
          </cell>
          <cell r="AC174" t="str">
            <v>CAYETANO MENESES AVELINO</v>
          </cell>
          <cell r="AD174">
            <v>49155</v>
          </cell>
          <cell r="AE174" t="str">
            <v>QCH1W03N00</v>
          </cell>
        </row>
        <row r="175">
          <cell r="A175" t="str">
            <v>Chanitos Premium Tarima Americana</v>
          </cell>
          <cell r="B175" t="str">
            <v>CPR01103</v>
          </cell>
          <cell r="D175" t="str">
            <v>A04 039 San Jose Morelia Nava</v>
          </cell>
          <cell r="E175" t="str">
            <v>S-MTY</v>
          </cell>
          <cell r="F175">
            <v>480</v>
          </cell>
          <cell r="G175">
            <v>10</v>
          </cell>
          <cell r="H175">
            <v>46273</v>
          </cell>
          <cell r="I175">
            <v>37</v>
          </cell>
          <cell r="J175">
            <v>46281</v>
          </cell>
          <cell r="K175">
            <v>0.25</v>
          </cell>
          <cell r="L175" t="str">
            <v>PREENFRIO NELLY</v>
          </cell>
          <cell r="M175">
            <v>3</v>
          </cell>
          <cell r="N175">
            <v>72</v>
          </cell>
          <cell r="O175">
            <v>46275</v>
          </cell>
          <cell r="P175">
            <v>4.583333333333333E-2</v>
          </cell>
          <cell r="Q175" t="str">
            <v>NORMAL</v>
          </cell>
          <cell r="R175">
            <v>46275</v>
          </cell>
          <cell r="S175">
            <v>0.95833333333333337</v>
          </cell>
          <cell r="T175">
            <v>0.4375</v>
          </cell>
          <cell r="U175">
            <v>46276.395833333336</v>
          </cell>
          <cell r="V175">
            <v>46276</v>
          </cell>
          <cell r="W175">
            <v>0.7680555555555556</v>
          </cell>
          <cell r="X175" t="str">
            <v>SI CUMPLE</v>
          </cell>
          <cell r="Y175" t="str">
            <v>SI CUMPLE</v>
          </cell>
          <cell r="AA175" t="str">
            <v>DESPACHADO</v>
          </cell>
          <cell r="AB175" t="str">
            <v>AUTO EXPRESS SEGOVIA</v>
          </cell>
          <cell r="AC175" t="str">
            <v>MAURILIO LEON</v>
          </cell>
          <cell r="AD175">
            <v>86127</v>
          </cell>
          <cell r="AE175" t="str">
            <v>QCH1W04D40</v>
          </cell>
        </row>
        <row r="176">
          <cell r="A176" t="str">
            <v>Chanitos Plantain 20Kg Tarima Chep</v>
          </cell>
          <cell r="B176" t="str">
            <v>CPL08141</v>
          </cell>
          <cell r="D176" t="str">
            <v>A41 100 Doña Lupe JV</v>
          </cell>
          <cell r="E176" t="str">
            <v>CEDA</v>
          </cell>
          <cell r="F176">
            <v>144</v>
          </cell>
          <cell r="G176">
            <v>3</v>
          </cell>
          <cell r="H176">
            <v>46273</v>
          </cell>
          <cell r="I176">
            <v>37</v>
          </cell>
          <cell r="J176">
            <v>46280</v>
          </cell>
          <cell r="L176" t="str">
            <v>PREENFRIO FORTALEZA</v>
          </cell>
          <cell r="M176">
            <v>1.5</v>
          </cell>
          <cell r="N176">
            <v>36</v>
          </cell>
          <cell r="O176">
            <v>46273</v>
          </cell>
          <cell r="P176">
            <v>0.83333333333333337</v>
          </cell>
          <cell r="Q176" t="str">
            <v>NORMAL</v>
          </cell>
          <cell r="R176">
            <v>46274</v>
          </cell>
          <cell r="S176">
            <v>0.29583333333333334</v>
          </cell>
          <cell r="T176">
            <v>0.20833333333333334</v>
          </cell>
          <cell r="U176">
            <v>46274.504166666666</v>
          </cell>
          <cell r="V176">
            <v>46274</v>
          </cell>
          <cell r="W176">
            <v>0.78472222222222221</v>
          </cell>
          <cell r="X176" t="str">
            <v>SI CUMPLE</v>
          </cell>
          <cell r="Y176" t="str">
            <v>SI CUMPLE</v>
          </cell>
          <cell r="AA176" t="str">
            <v>DESPACHADO</v>
          </cell>
          <cell r="AB176" t="str">
            <v>GENARO IBAÑEZ</v>
          </cell>
          <cell r="AC176" t="str">
            <v>VICENTE SANCHEZ</v>
          </cell>
          <cell r="AD176">
            <v>53355</v>
          </cell>
          <cell r="AE176" t="str">
            <v>N/A</v>
          </cell>
        </row>
        <row r="177">
          <cell r="A177" t="str">
            <v>Chanitos Premium Tarima Chep</v>
          </cell>
          <cell r="B177" t="str">
            <v>CPR01102</v>
          </cell>
          <cell r="C177" t="str">
            <v>A01001-371009-1</v>
          </cell>
          <cell r="D177" t="str">
            <v>A01 001 Marbella</v>
          </cell>
          <cell r="E177" t="str">
            <v>Chalco</v>
          </cell>
          <cell r="F177">
            <v>1104</v>
          </cell>
          <cell r="G177">
            <v>23</v>
          </cell>
          <cell r="H177">
            <v>46275</v>
          </cell>
          <cell r="I177">
            <v>37</v>
          </cell>
          <cell r="J177">
            <v>46280</v>
          </cell>
          <cell r="L177" t="str">
            <v>PREENFRIO FORTALEZA</v>
          </cell>
          <cell r="M177">
            <v>1</v>
          </cell>
          <cell r="N177">
            <v>24</v>
          </cell>
          <cell r="O177">
            <v>46275</v>
          </cell>
          <cell r="P177">
            <v>0.73958333333333337</v>
          </cell>
          <cell r="Q177" t="str">
            <v>NORMAL</v>
          </cell>
          <cell r="R177">
            <v>46276</v>
          </cell>
          <cell r="S177">
            <v>0.71458333333333335</v>
          </cell>
          <cell r="T177">
            <v>0.625</v>
          </cell>
          <cell r="U177">
            <v>46277.339583333334</v>
          </cell>
          <cell r="V177">
            <v>46277</v>
          </cell>
          <cell r="W177">
            <v>0.3888888888888889</v>
          </cell>
          <cell r="X177" t="str">
            <v>SI CUMPLE</v>
          </cell>
          <cell r="Y177" t="str">
            <v>SI CUMPLE</v>
          </cell>
          <cell r="AA177" t="str">
            <v>DESPACHADO</v>
          </cell>
          <cell r="AB177" t="str">
            <v>MARIO ALFONSO GARCIA</v>
          </cell>
          <cell r="AC177" t="str">
            <v>EDGAR ALI</v>
          </cell>
          <cell r="AD177">
            <v>78627</v>
          </cell>
          <cell r="AE177" t="str">
            <v>QCH1W049K0</v>
          </cell>
        </row>
        <row r="178">
          <cell r="A178" t="str">
            <v>Platano de Chiapas BAE UPC 3237</v>
          </cell>
          <cell r="B178" t="str">
            <v>CPR01114</v>
          </cell>
          <cell r="C178" t="str">
            <v>A01002-371009-1</v>
          </cell>
          <cell r="D178" t="str">
            <v>A01 002 Fortaleza</v>
          </cell>
          <cell r="E178" t="str">
            <v>Chalco</v>
          </cell>
          <cell r="F178">
            <v>48</v>
          </cell>
          <cell r="G178">
            <v>1</v>
          </cell>
          <cell r="H178">
            <v>46275</v>
          </cell>
          <cell r="I178">
            <v>37</v>
          </cell>
          <cell r="J178">
            <v>46280</v>
          </cell>
          <cell r="L178" t="str">
            <v>PREENFRIO FORTALEZA</v>
          </cell>
          <cell r="M178">
            <v>1</v>
          </cell>
          <cell r="N178">
            <v>24</v>
          </cell>
          <cell r="O178">
            <v>46275</v>
          </cell>
          <cell r="P178">
            <v>0.8208333333333333</v>
          </cell>
          <cell r="Q178" t="str">
            <v>NORMAL</v>
          </cell>
          <cell r="R178">
            <v>46276</v>
          </cell>
          <cell r="S178">
            <v>0.71458333333333335</v>
          </cell>
          <cell r="T178">
            <v>0.625</v>
          </cell>
          <cell r="U178">
            <v>46277.339583333334</v>
          </cell>
          <cell r="V178">
            <v>46277</v>
          </cell>
          <cell r="W178">
            <v>0.3888888888888889</v>
          </cell>
          <cell r="X178" t="str">
            <v>SI CUMPLE</v>
          </cell>
          <cell r="Y178" t="str">
            <v>SI CUMPLE</v>
          </cell>
          <cell r="AA178" t="str">
            <v>DESPACHADO</v>
          </cell>
          <cell r="AB178" t="str">
            <v>MARIO ALFONSO GARCIA</v>
          </cell>
          <cell r="AC178" t="str">
            <v>EDGAR ALI</v>
          </cell>
          <cell r="AD178">
            <v>78627</v>
          </cell>
          <cell r="AE178" t="str">
            <v>QCH1W049K0</v>
          </cell>
        </row>
        <row r="179">
          <cell r="A179" t="str">
            <v>Chanitos Premium EUA Tarima Americana</v>
          </cell>
          <cell r="B179" t="str">
            <v>CPR01104</v>
          </cell>
          <cell r="C179" t="str">
            <v>A04084-371009-1</v>
          </cell>
          <cell r="D179" t="str">
            <v>A04 084 Lisboa</v>
          </cell>
          <cell r="E179" t="str">
            <v>McAllen</v>
          </cell>
          <cell r="F179">
            <v>528</v>
          </cell>
          <cell r="G179">
            <v>11</v>
          </cell>
          <cell r="H179">
            <v>46275</v>
          </cell>
          <cell r="I179">
            <v>37</v>
          </cell>
          <cell r="J179">
            <v>46280</v>
          </cell>
          <cell r="L179" t="str">
            <v>PREENFRIO FORTALEZA</v>
          </cell>
          <cell r="M179">
            <v>3</v>
          </cell>
          <cell r="N179">
            <v>72</v>
          </cell>
          <cell r="O179" t="str">
            <v>PDT</v>
          </cell>
          <cell r="Q179" t="str">
            <v>NORMAL</v>
          </cell>
          <cell r="V179">
            <v>46277</v>
          </cell>
          <cell r="W179">
            <v>0.29166666666666669</v>
          </cell>
          <cell r="X179" t="str">
            <v/>
          </cell>
          <cell r="Y179" t="str">
            <v>NO CUMPLE</v>
          </cell>
          <cell r="AA179" t="str">
            <v>DESPACHADO</v>
          </cell>
          <cell r="AB179" t="str">
            <v>AUTO EXPRESS SEGOVIA</v>
          </cell>
          <cell r="AC179" t="str">
            <v>CRISTIAN MOGEL VILLA</v>
          </cell>
          <cell r="AD179">
            <v>51227</v>
          </cell>
          <cell r="AE179" t="str">
            <v>QCH1W04740</v>
          </cell>
        </row>
        <row r="180">
          <cell r="A180" t="str">
            <v>Chanitos Premium Tarima Americana</v>
          </cell>
          <cell r="B180" t="str">
            <v>CPR01103</v>
          </cell>
          <cell r="D180" t="str">
            <v>A04 039 San Jose Morelia Nava</v>
          </cell>
          <cell r="E180" t="str">
            <v>S-MTY</v>
          </cell>
          <cell r="F180">
            <v>288</v>
          </cell>
          <cell r="G180">
            <v>6</v>
          </cell>
          <cell r="H180">
            <v>46274</v>
          </cell>
          <cell r="I180">
            <v>37</v>
          </cell>
          <cell r="J180">
            <v>46281</v>
          </cell>
          <cell r="K180">
            <v>0.25</v>
          </cell>
          <cell r="L180" t="str">
            <v>PREENFRIO NELLY</v>
          </cell>
          <cell r="M180">
            <v>3</v>
          </cell>
          <cell r="N180">
            <v>72</v>
          </cell>
          <cell r="O180">
            <v>46275</v>
          </cell>
          <cell r="P180">
            <v>4.583333333333333E-2</v>
          </cell>
          <cell r="Q180" t="str">
            <v>NORMAL</v>
          </cell>
          <cell r="R180">
            <v>46276</v>
          </cell>
          <cell r="S180">
            <v>0.95833333333333337</v>
          </cell>
          <cell r="T180">
            <v>0.4375</v>
          </cell>
          <cell r="U180">
            <v>46277.395833333336</v>
          </cell>
          <cell r="V180">
            <v>46276</v>
          </cell>
          <cell r="W180">
            <v>0.7680555555555556</v>
          </cell>
          <cell r="X180" t="str">
            <v>SI CUMPLE</v>
          </cell>
          <cell r="Y180" t="str">
            <v>SI CUMPLE</v>
          </cell>
          <cell r="AA180" t="str">
            <v>DESPACHADO</v>
          </cell>
          <cell r="AB180" t="str">
            <v>AUTO EXPRESS SEGOVIA</v>
          </cell>
          <cell r="AC180" t="str">
            <v>MAURILIO LEON</v>
          </cell>
          <cell r="AD180">
            <v>86127</v>
          </cell>
          <cell r="AE180" t="str">
            <v>QCH1W04D40</v>
          </cell>
        </row>
        <row r="181">
          <cell r="A181" t="str">
            <v>Chanitos Plantain 50lb Tarima Americana</v>
          </cell>
          <cell r="B181" t="str">
            <v>CPL08133</v>
          </cell>
          <cell r="C181" t="str">
            <v>A27073-371109-1</v>
          </cell>
          <cell r="D181" t="str">
            <v>Plantacion</v>
          </cell>
          <cell r="E181" t="str">
            <v>McAllen</v>
          </cell>
          <cell r="F181">
            <v>144</v>
          </cell>
          <cell r="G181">
            <v>3</v>
          </cell>
          <cell r="H181">
            <v>46276</v>
          </cell>
          <cell r="I181">
            <v>37</v>
          </cell>
          <cell r="J181">
            <v>46280</v>
          </cell>
          <cell r="L181" t="str">
            <v>PREENFRIO FORTALEZA</v>
          </cell>
          <cell r="M181">
            <v>3</v>
          </cell>
          <cell r="N181">
            <v>72</v>
          </cell>
          <cell r="O181">
            <v>46277</v>
          </cell>
          <cell r="P181">
            <v>0.69236111111111109</v>
          </cell>
          <cell r="Q181" t="str">
            <v>NORMAL</v>
          </cell>
          <cell r="R181">
            <v>46278</v>
          </cell>
          <cell r="S181">
            <v>7.6388888888888886E-3</v>
          </cell>
          <cell r="T181">
            <v>0.25</v>
          </cell>
          <cell r="U181">
            <v>46278.257638888892</v>
          </cell>
          <cell r="V181">
            <v>46278</v>
          </cell>
          <cell r="W181">
            <v>0.21666666666666667</v>
          </cell>
          <cell r="X181" t="str">
            <v>NO CUMPLE</v>
          </cell>
          <cell r="Y181" t="str">
            <v>NO CUMPLE</v>
          </cell>
          <cell r="AA181" t="str">
            <v>DESPACHADO</v>
          </cell>
          <cell r="AB181" t="str">
            <v>TRANSPORTES ASE</v>
          </cell>
          <cell r="AC181" t="str">
            <v>FILEMON CRUZ LUNA</v>
          </cell>
          <cell r="AD181">
            <v>84756</v>
          </cell>
          <cell r="AE181" t="str">
            <v>N/A</v>
          </cell>
        </row>
        <row r="182">
          <cell r="A182" t="str">
            <v>Chanitos Premium EUA Tarima Americana</v>
          </cell>
          <cell r="B182" t="str">
            <v>CPR01104</v>
          </cell>
          <cell r="C182" t="str">
            <v>A04084-371109-1</v>
          </cell>
          <cell r="D182" t="str">
            <v>A04 084 Lisboa</v>
          </cell>
          <cell r="E182" t="str">
            <v>McAllen</v>
          </cell>
          <cell r="F182">
            <v>432</v>
          </cell>
          <cell r="G182">
            <v>9</v>
          </cell>
          <cell r="H182">
            <v>46276</v>
          </cell>
          <cell r="I182">
            <v>37</v>
          </cell>
          <cell r="J182">
            <v>46280</v>
          </cell>
          <cell r="L182" t="str">
            <v>PREENFRIO FORTALEZA</v>
          </cell>
          <cell r="M182">
            <v>3</v>
          </cell>
          <cell r="N182">
            <v>72</v>
          </cell>
          <cell r="O182" t="str">
            <v>PDT</v>
          </cell>
          <cell r="Q182" t="str">
            <v>NORMAL</v>
          </cell>
          <cell r="V182">
            <v>46277</v>
          </cell>
          <cell r="W182">
            <v>0.29166666666666669</v>
          </cell>
          <cell r="X182" t="str">
            <v/>
          </cell>
          <cell r="Y182" t="str">
            <v>NO CUMPLE</v>
          </cell>
          <cell r="AA182" t="str">
            <v>DESPACHADO</v>
          </cell>
          <cell r="AB182" t="str">
            <v>AUTO EXPRESS SEGOVIA</v>
          </cell>
          <cell r="AC182" t="str">
            <v>CRISTIAN MOGEL VILLA</v>
          </cell>
          <cell r="AD182">
            <v>51227</v>
          </cell>
          <cell r="AE182" t="str">
            <v>QCH1W04740</v>
          </cell>
        </row>
        <row r="183">
          <cell r="A183" t="str">
            <v>Chanitos Premium Tarima Americana</v>
          </cell>
          <cell r="B183" t="str">
            <v>CPR01103</v>
          </cell>
          <cell r="C183" t="str">
            <v>A01003-371009-1</v>
          </cell>
          <cell r="D183" t="str">
            <v>A01 003 Doña Nelly</v>
          </cell>
          <cell r="E183" t="str">
            <v>S-MTY</v>
          </cell>
          <cell r="F183">
            <v>192</v>
          </cell>
          <cell r="G183">
            <v>4</v>
          </cell>
          <cell r="H183">
            <v>46275</v>
          </cell>
          <cell r="I183">
            <v>37</v>
          </cell>
          <cell r="J183">
            <v>46281</v>
          </cell>
          <cell r="K183">
            <v>0.25</v>
          </cell>
          <cell r="L183" t="str">
            <v>PREENFRIO NELLY</v>
          </cell>
          <cell r="M183">
            <v>3</v>
          </cell>
          <cell r="N183">
            <v>72</v>
          </cell>
          <cell r="O183">
            <v>46275</v>
          </cell>
          <cell r="P183">
            <v>0.77083333333333337</v>
          </cell>
          <cell r="Q183" t="str">
            <v>NORMAL</v>
          </cell>
          <cell r="R183">
            <v>46275</v>
          </cell>
          <cell r="S183">
            <v>0.95833333333333337</v>
          </cell>
          <cell r="T183">
            <v>0.4375</v>
          </cell>
          <cell r="U183">
            <v>46276.395833333336</v>
          </cell>
          <cell r="V183">
            <v>46276</v>
          </cell>
          <cell r="W183">
            <v>0.7680555555555556</v>
          </cell>
          <cell r="X183" t="str">
            <v>SI CUMPLE</v>
          </cell>
          <cell r="Y183" t="str">
            <v>SI CUMPLE</v>
          </cell>
          <cell r="AA183" t="str">
            <v>DESPACHADO</v>
          </cell>
          <cell r="AB183" t="str">
            <v>AUTO EXPRESS SEGOVIA</v>
          </cell>
          <cell r="AC183" t="str">
            <v>MAURILIO LEON</v>
          </cell>
          <cell r="AD183">
            <v>86127</v>
          </cell>
          <cell r="AE183" t="str">
            <v>QCH1W04D40</v>
          </cell>
        </row>
        <row r="184">
          <cell r="A184" t="str">
            <v>Chanitos Plantain 20Kg Tarima Chep</v>
          </cell>
          <cell r="B184" t="str">
            <v>CPL08141</v>
          </cell>
          <cell r="C184" t="str">
            <v>A41100-371209-1</v>
          </cell>
          <cell r="D184" t="str">
            <v>A41 100 Doña Lupe JV</v>
          </cell>
          <cell r="E184" t="str">
            <v>CEDA</v>
          </cell>
          <cell r="F184">
            <v>384</v>
          </cell>
          <cell r="G184">
            <v>8</v>
          </cell>
          <cell r="H184">
            <v>46277</v>
          </cell>
          <cell r="I184">
            <v>37</v>
          </cell>
          <cell r="J184">
            <v>46280</v>
          </cell>
          <cell r="L184" t="str">
            <v>PREENFRIO FORTALEZA</v>
          </cell>
          <cell r="M184">
            <v>1.5</v>
          </cell>
          <cell r="N184">
            <v>36</v>
          </cell>
          <cell r="O184">
            <v>46277</v>
          </cell>
          <cell r="P184">
            <v>0.69236111111111109</v>
          </cell>
          <cell r="Q184" t="str">
            <v>NORMAL</v>
          </cell>
          <cell r="R184">
            <v>46278</v>
          </cell>
          <cell r="S184">
            <v>7.6388888888888886E-3</v>
          </cell>
          <cell r="T184">
            <v>0.25</v>
          </cell>
          <cell r="U184">
            <v>46278.257638888892</v>
          </cell>
          <cell r="V184">
            <v>46278</v>
          </cell>
          <cell r="W184">
            <v>0.21666666666666667</v>
          </cell>
          <cell r="X184" t="str">
            <v>SI CUMPLE</v>
          </cell>
          <cell r="Y184" t="str">
            <v>SI CUMPLE</v>
          </cell>
          <cell r="AA184" t="str">
            <v>DESPACHADO</v>
          </cell>
          <cell r="AB184" t="str">
            <v>TRANSPORTES ASE</v>
          </cell>
          <cell r="AC184" t="str">
            <v>FILEMON CRUZ LUNA</v>
          </cell>
          <cell r="AD184">
            <v>33992</v>
          </cell>
          <cell r="AE184" t="str">
            <v>N/A</v>
          </cell>
        </row>
        <row r="185">
          <cell r="A185" t="str">
            <v>Chanitos Premium Tarima Americana</v>
          </cell>
          <cell r="B185" t="str">
            <v>CPR01103</v>
          </cell>
          <cell r="C185" t="str">
            <v>A01003-371009-1</v>
          </cell>
          <cell r="D185" t="str">
            <v>A01 003 Doña Nelly</v>
          </cell>
          <cell r="E185" t="str">
            <v>S-MTY</v>
          </cell>
          <cell r="F185">
            <v>960</v>
          </cell>
          <cell r="G185">
            <v>20</v>
          </cell>
          <cell r="H185">
            <v>46275</v>
          </cell>
          <cell r="I185">
            <v>37</v>
          </cell>
          <cell r="J185">
            <v>46281</v>
          </cell>
          <cell r="K185">
            <v>0.25</v>
          </cell>
          <cell r="L185" t="str">
            <v>PREENFRIO NELLY</v>
          </cell>
          <cell r="M185">
            <v>3</v>
          </cell>
          <cell r="N185">
            <v>72</v>
          </cell>
          <cell r="O185">
            <v>46275</v>
          </cell>
          <cell r="P185">
            <v>0.77083333333333337</v>
          </cell>
          <cell r="Q185" t="str">
            <v>NORMAL</v>
          </cell>
          <cell r="R185">
            <v>46276</v>
          </cell>
          <cell r="S185">
            <v>0.3347222222222222</v>
          </cell>
          <cell r="T185">
            <v>0.4375</v>
          </cell>
          <cell r="U185">
            <v>46276.772222222222</v>
          </cell>
          <cell r="V185">
            <v>46276</v>
          </cell>
          <cell r="W185">
            <v>0.7680555555555556</v>
          </cell>
          <cell r="X185" t="str">
            <v>SI CUMPLE</v>
          </cell>
          <cell r="Y185" t="str">
            <v>SI CUMPLE</v>
          </cell>
          <cell r="AA185" t="str">
            <v>DESPACHADO</v>
          </cell>
          <cell r="AB185" t="str">
            <v>AUTO EXPRESS SEGOVIA</v>
          </cell>
          <cell r="AC185" t="str">
            <v>MAURILIO LEON</v>
          </cell>
          <cell r="AD185">
            <v>10428</v>
          </cell>
          <cell r="AE185" t="str">
            <v>QCH1W04CY0</v>
          </cell>
        </row>
        <row r="186">
          <cell r="A186" t="str">
            <v>Chanitos Premium Tarima Americana</v>
          </cell>
          <cell r="B186" t="str">
            <v>CPR01103</v>
          </cell>
          <cell r="C186" t="str">
            <v>A01002-371009-1</v>
          </cell>
          <cell r="D186" t="str">
            <v>A01 002 Fortaleza</v>
          </cell>
          <cell r="E186" t="str">
            <v>S-MTY</v>
          </cell>
          <cell r="F186">
            <v>480</v>
          </cell>
          <cell r="G186">
            <v>10</v>
          </cell>
          <cell r="H186">
            <v>46275</v>
          </cell>
          <cell r="I186">
            <v>37</v>
          </cell>
          <cell r="J186">
            <v>46283</v>
          </cell>
          <cell r="K186">
            <v>0.25</v>
          </cell>
          <cell r="L186" t="str">
            <v>PREENFRIO NELLY</v>
          </cell>
          <cell r="M186">
            <v>3</v>
          </cell>
          <cell r="N186">
            <v>72</v>
          </cell>
          <cell r="O186">
            <v>46275</v>
          </cell>
          <cell r="P186">
            <v>0.99305555555555558</v>
          </cell>
          <cell r="Q186" t="str">
            <v>NORMAL</v>
          </cell>
          <cell r="R186">
            <v>46276</v>
          </cell>
          <cell r="S186">
            <v>0.89444444444444449</v>
          </cell>
          <cell r="T186">
            <v>0.4375</v>
          </cell>
          <cell r="U186">
            <v>46277.331944444442</v>
          </cell>
          <cell r="V186">
            <v>46278</v>
          </cell>
          <cell r="W186">
            <v>0.75</v>
          </cell>
          <cell r="X186" t="str">
            <v>SI CUMPLE</v>
          </cell>
          <cell r="Y186" t="str">
            <v>SI CUMPLE</v>
          </cell>
          <cell r="AA186" t="str">
            <v>DESPACHADO</v>
          </cell>
          <cell r="AB186" t="str">
            <v>AUTO EXPRESS SEGOVIA</v>
          </cell>
          <cell r="AC186" t="str">
            <v>JOEL PEREZ TRINIDAD</v>
          </cell>
          <cell r="AD186">
            <v>36211</v>
          </cell>
          <cell r="AE186" t="str">
            <v>QCH1W03N60</v>
          </cell>
        </row>
        <row r="187">
          <cell r="A187" t="str">
            <v>Chanitos Premium Tarima Chep</v>
          </cell>
          <cell r="B187" t="str">
            <v>CPR01102</v>
          </cell>
          <cell r="C187" t="str">
            <v>A01003-371109-1</v>
          </cell>
          <cell r="D187" t="str">
            <v>A01 003 Doña Nelly</v>
          </cell>
          <cell r="E187" t="str">
            <v>VSA</v>
          </cell>
          <cell r="F187">
            <v>192</v>
          </cell>
          <cell r="G187">
            <v>4</v>
          </cell>
          <cell r="H187">
            <v>46276</v>
          </cell>
          <cell r="I187">
            <v>37</v>
          </cell>
          <cell r="J187">
            <v>46279</v>
          </cell>
          <cell r="L187" t="str">
            <v>PREENFRIO NELLY</v>
          </cell>
          <cell r="M187">
            <v>1</v>
          </cell>
          <cell r="N187">
            <v>24</v>
          </cell>
          <cell r="O187">
            <v>46276</v>
          </cell>
          <cell r="P187">
            <v>0.75</v>
          </cell>
          <cell r="Q187" t="str">
            <v>ALTA</v>
          </cell>
          <cell r="R187">
            <v>46277</v>
          </cell>
          <cell r="S187">
            <v>2.0833333333333332E-2</v>
          </cell>
          <cell r="T187">
            <v>0.35416666666666669</v>
          </cell>
          <cell r="U187">
            <v>46277.375</v>
          </cell>
          <cell r="V187">
            <v>46277</v>
          </cell>
          <cell r="W187">
            <v>0.88888888888888884</v>
          </cell>
          <cell r="X187" t="str">
            <v>SI CUMPLE</v>
          </cell>
          <cell r="Y187" t="str">
            <v>SI CUMPLE</v>
          </cell>
          <cell r="AA187" t="str">
            <v>DESPACHADO</v>
          </cell>
          <cell r="AB187" t="str">
            <v>GENARO IBAÑEZ</v>
          </cell>
          <cell r="AC187" t="str">
            <v>CAYETANO MENESES AVELINO</v>
          </cell>
          <cell r="AD187">
            <v>49155</v>
          </cell>
          <cell r="AE187" t="str">
            <v>QCH1W03N00</v>
          </cell>
        </row>
        <row r="188">
          <cell r="A188" t="str">
            <v>Chanitos Premium Tarima Chep</v>
          </cell>
          <cell r="B188" t="str">
            <v>CPR01102</v>
          </cell>
          <cell r="C188" t="str">
            <v>A01002-371009-1</v>
          </cell>
          <cell r="D188" t="str">
            <v>A01 002 Fortaleza</v>
          </cell>
          <cell r="E188" t="str">
            <v>SMO</v>
          </cell>
          <cell r="F188">
            <v>96</v>
          </cell>
          <cell r="G188">
            <v>2</v>
          </cell>
          <cell r="H188">
            <v>46275</v>
          </cell>
          <cell r="I188">
            <v>37</v>
          </cell>
          <cell r="J188">
            <v>46281</v>
          </cell>
          <cell r="K188">
            <v>0.41666666666666669</v>
          </cell>
          <cell r="L188" t="str">
            <v>PREENFRIO FORTALEZA</v>
          </cell>
          <cell r="M188">
            <v>1.5</v>
          </cell>
          <cell r="N188">
            <v>36</v>
          </cell>
          <cell r="O188">
            <v>46275</v>
          </cell>
          <cell r="P188">
            <v>0.8208333333333333</v>
          </cell>
          <cell r="Q188" t="str">
            <v>NORMAL</v>
          </cell>
          <cell r="R188">
            <v>46277</v>
          </cell>
          <cell r="S188">
            <v>0.38055555555555554</v>
          </cell>
          <cell r="T188">
            <v>0.20833333333333334</v>
          </cell>
          <cell r="U188">
            <v>46277.588888888895</v>
          </cell>
          <cell r="V188">
            <v>46279</v>
          </cell>
          <cell r="W188">
            <v>0.62777777777777777</v>
          </cell>
          <cell r="X188" t="str">
            <v>SI CUMPLE</v>
          </cell>
          <cell r="Y188" t="str">
            <v>SI CUMPLE</v>
          </cell>
          <cell r="Z188" t="str">
            <v>COMPLETA EN NELLY</v>
          </cell>
          <cell r="AA188" t="str">
            <v xml:space="preserve">DESPACHADO  </v>
          </cell>
          <cell r="AB188" t="str">
            <v>TRANSPORTES SUAREZ</v>
          </cell>
          <cell r="AC188" t="str">
            <v>CANDIDO SUAREZ SANCHEZ</v>
          </cell>
          <cell r="AD188">
            <v>80764</v>
          </cell>
          <cell r="AE188" t="str">
            <v>N/A</v>
          </cell>
        </row>
        <row r="189">
          <cell r="A189" t="str">
            <v>Chanitos Premium EUA Tarima Americana</v>
          </cell>
          <cell r="B189" t="str">
            <v>CPR01104</v>
          </cell>
          <cell r="C189" t="str">
            <v>A04039-371009-1</v>
          </cell>
          <cell r="D189" t="str">
            <v>A04 039 San Jose Morelia Nava</v>
          </cell>
          <cell r="E189" t="str">
            <v>McAllen</v>
          </cell>
          <cell r="F189">
            <v>960</v>
          </cell>
          <cell r="G189">
            <v>20</v>
          </cell>
          <cell r="H189">
            <v>46275</v>
          </cell>
          <cell r="I189">
            <v>37</v>
          </cell>
          <cell r="J189">
            <v>46280</v>
          </cell>
          <cell r="L189" t="str">
            <v>PREENFRIO NELLY</v>
          </cell>
          <cell r="M189" t="str">
            <v>SIN PRE</v>
          </cell>
          <cell r="N189" t="str">
            <v>SIN PRE</v>
          </cell>
          <cell r="O189">
            <v>46276</v>
          </cell>
          <cell r="P189">
            <v>0.875</v>
          </cell>
          <cell r="Q189" t="str">
            <v>NORMAL</v>
          </cell>
          <cell r="R189" t="str">
            <v>N/A</v>
          </cell>
          <cell r="S189" t="str">
            <v>SIN PRENFRIO</v>
          </cell>
          <cell r="V189">
            <v>46277</v>
          </cell>
          <cell r="W189">
            <v>0.33333333333333331</v>
          </cell>
          <cell r="X189" t="str">
            <v/>
          </cell>
          <cell r="AA189" t="str">
            <v>DESPACHADO</v>
          </cell>
          <cell r="AB189" t="str">
            <v>TRANSPORTES ALGEZA</v>
          </cell>
          <cell r="AC189" t="str">
            <v>Ismael Acosta</v>
          </cell>
          <cell r="AD189">
            <v>84476</v>
          </cell>
          <cell r="AE189" t="str">
            <v>QCH1W03MT0</v>
          </cell>
        </row>
        <row r="190">
          <cell r="A190" t="str">
            <v>Chanitos Plantain 50lb Tarima Americana</v>
          </cell>
          <cell r="B190" t="str">
            <v>CPL08133</v>
          </cell>
          <cell r="C190" t="str">
            <v>A27073-371109-1</v>
          </cell>
          <cell r="D190" t="str">
            <v>A27 073 Plantacion</v>
          </cell>
          <cell r="E190" t="str">
            <v>McAllen</v>
          </cell>
          <cell r="F190">
            <v>882</v>
          </cell>
          <cell r="G190">
            <v>21</v>
          </cell>
          <cell r="H190">
            <v>46276</v>
          </cell>
          <cell r="I190">
            <v>37</v>
          </cell>
          <cell r="J190">
            <v>46280</v>
          </cell>
          <cell r="L190" t="str">
            <v>PREENFRIO NELLY</v>
          </cell>
          <cell r="M190">
            <v>3</v>
          </cell>
          <cell r="N190">
            <v>72</v>
          </cell>
          <cell r="O190">
            <v>46276</v>
          </cell>
          <cell r="P190">
            <v>0.88888888888888884</v>
          </cell>
          <cell r="Q190" t="str">
            <v>NORMAL</v>
          </cell>
          <cell r="R190">
            <v>46277</v>
          </cell>
          <cell r="S190">
            <v>0.27777777777777779</v>
          </cell>
          <cell r="T190">
            <v>0.35416666666666669</v>
          </cell>
          <cell r="U190">
            <v>46277.631944444445</v>
          </cell>
          <cell r="V190">
            <v>46279</v>
          </cell>
          <cell r="W190">
            <v>0.57708333333333328</v>
          </cell>
          <cell r="X190" t="str">
            <v>NO CUMPLE</v>
          </cell>
          <cell r="Y190" t="str">
            <v>NO CUMPLE</v>
          </cell>
          <cell r="Z190" t="str">
            <v xml:space="preserve">Empaque Tardio </v>
          </cell>
          <cell r="AA190" t="str">
            <v>DESPACHADO</v>
          </cell>
          <cell r="AB190" t="str">
            <v>EXPRESS CAVAZOS CANTU</v>
          </cell>
          <cell r="AC190" t="str">
            <v>SANTO CRUZ DE LA CRUZ</v>
          </cell>
          <cell r="AD190">
            <v>88086</v>
          </cell>
          <cell r="AE190" t="str">
            <v>QCH1W03N90</v>
          </cell>
        </row>
        <row r="191">
          <cell r="A191" t="str">
            <v>Chanitos Plantain 50lb Tarima Americana</v>
          </cell>
          <cell r="B191" t="str">
            <v>CPL08133</v>
          </cell>
          <cell r="C191" t="str">
            <v>A27073-371109-1</v>
          </cell>
          <cell r="D191" t="str">
            <v>A27 073 Plantacion</v>
          </cell>
          <cell r="E191" t="str">
            <v>McAllen</v>
          </cell>
          <cell r="F191">
            <v>126</v>
          </cell>
          <cell r="G191">
            <v>3</v>
          </cell>
          <cell r="H191">
            <v>46277</v>
          </cell>
          <cell r="I191">
            <v>37</v>
          </cell>
          <cell r="J191">
            <v>46280</v>
          </cell>
          <cell r="L191" t="str">
            <v>PREENFRIO NELLY</v>
          </cell>
          <cell r="M191">
            <v>3</v>
          </cell>
          <cell r="N191">
            <v>72</v>
          </cell>
          <cell r="O191">
            <v>46276</v>
          </cell>
          <cell r="P191">
            <v>0.88888888888888884</v>
          </cell>
          <cell r="Q191" t="str">
            <v>NORMAL</v>
          </cell>
          <cell r="R191">
            <v>46278</v>
          </cell>
          <cell r="S191">
            <v>6.9444444444444448E-2</v>
          </cell>
          <cell r="T191">
            <v>0.35416666666666669</v>
          </cell>
          <cell r="U191">
            <v>46278.423611111109</v>
          </cell>
          <cell r="V191">
            <v>46279</v>
          </cell>
          <cell r="W191">
            <v>0.57708333333333328</v>
          </cell>
          <cell r="X191" t="str">
            <v>NO CUMPLE</v>
          </cell>
          <cell r="Y191" t="str">
            <v>NO CUMPLE</v>
          </cell>
          <cell r="Z191" t="str">
            <v xml:space="preserve">Empaque Tardio </v>
          </cell>
          <cell r="AA191" t="str">
            <v>DESPACHADO</v>
          </cell>
          <cell r="AB191" t="str">
            <v>EXPRESS CAVAZOS CANTU</v>
          </cell>
          <cell r="AC191" t="str">
            <v>SANTO CRUZ DE LA CRUZ</v>
          </cell>
          <cell r="AD191">
            <v>88086</v>
          </cell>
          <cell r="AE191" t="str">
            <v>QCH1W03N90</v>
          </cell>
        </row>
        <row r="192">
          <cell r="A192" t="str">
            <v>Chanitos Premium Tarima Chep</v>
          </cell>
          <cell r="B192" t="str">
            <v>CPR01102</v>
          </cell>
          <cell r="C192" t="str">
            <v>A01002-371109-1</v>
          </cell>
          <cell r="D192" t="str">
            <v>A01 001 Marbella</v>
          </cell>
          <cell r="E192" t="str">
            <v>Chalco</v>
          </cell>
          <cell r="F192">
            <v>1152</v>
          </cell>
          <cell r="G192">
            <v>24</v>
          </cell>
          <cell r="H192">
            <v>46276</v>
          </cell>
          <cell r="I192">
            <v>37</v>
          </cell>
          <cell r="J192">
            <v>46281</v>
          </cell>
          <cell r="L192" t="str">
            <v>PREENFRIO FORTALEZA</v>
          </cell>
          <cell r="M192">
            <v>1</v>
          </cell>
          <cell r="N192">
            <v>24</v>
          </cell>
          <cell r="O192">
            <v>46276</v>
          </cell>
          <cell r="P192">
            <v>0.83333333333333337</v>
          </cell>
          <cell r="Q192" t="str">
            <v>NORMAL</v>
          </cell>
          <cell r="R192">
            <v>46277</v>
          </cell>
          <cell r="S192">
            <v>0.60763888888888884</v>
          </cell>
          <cell r="T192">
            <v>0.83333333333333337</v>
          </cell>
          <cell r="U192">
            <v>46278.440972222226</v>
          </cell>
          <cell r="V192">
            <v>46278</v>
          </cell>
          <cell r="W192">
            <v>0.57638888888888884</v>
          </cell>
          <cell r="X192" t="str">
            <v>SI CUMPLE</v>
          </cell>
          <cell r="Y192" t="str">
            <v>SI CUMPLE</v>
          </cell>
          <cell r="AA192" t="str">
            <v>DESPACHADO</v>
          </cell>
          <cell r="AB192" t="str">
            <v>ANTONIO MEJIA GRANADOS</v>
          </cell>
          <cell r="AC192" t="str">
            <v>ELADIO VEGA</v>
          </cell>
          <cell r="AD192">
            <v>62759</v>
          </cell>
          <cell r="AE192" t="str">
            <v>QCH1W045T0</v>
          </cell>
        </row>
        <row r="193">
          <cell r="A193" t="str">
            <v>Chanitos Premium EUA Tarima Americana</v>
          </cell>
          <cell r="B193" t="str">
            <v>CPR01104</v>
          </cell>
          <cell r="C193" t="str">
            <v>A01003-371109-1</v>
          </cell>
          <cell r="D193" t="str">
            <v>A05 040 Plataneros Unidos 1</v>
          </cell>
          <cell r="E193" t="str">
            <v>McAllen</v>
          </cell>
          <cell r="F193">
            <v>960</v>
          </cell>
          <cell r="G193">
            <v>20</v>
          </cell>
          <cell r="H193">
            <v>46276</v>
          </cell>
          <cell r="I193">
            <v>37</v>
          </cell>
          <cell r="J193">
            <v>46281</v>
          </cell>
          <cell r="L193" t="str">
            <v>PREENFRIO FORTALEZA</v>
          </cell>
          <cell r="M193">
            <v>3</v>
          </cell>
          <cell r="N193">
            <v>72</v>
          </cell>
          <cell r="O193">
            <v>46276</v>
          </cell>
          <cell r="P193">
            <v>0.74305555555555558</v>
          </cell>
          <cell r="U193" t="str">
            <v/>
          </cell>
          <cell r="V193">
            <v>46278</v>
          </cell>
          <cell r="W193">
            <v>1.0416666666666666E-2</v>
          </cell>
          <cell r="X193" t="str">
            <v/>
          </cell>
          <cell r="Y193" t="str">
            <v>NO CUMPLE</v>
          </cell>
          <cell r="AA193" t="str">
            <v>DESPACHADO</v>
          </cell>
          <cell r="AB193" t="str">
            <v>SEGOVIA</v>
          </cell>
          <cell r="AC193" t="str">
            <v>SAUL SANTIAGO</v>
          </cell>
          <cell r="AD193">
            <v>95062</v>
          </cell>
          <cell r="AE193" t="str">
            <v>QCH1W048G0</v>
          </cell>
        </row>
        <row r="194">
          <cell r="A194" t="str">
            <v>Chanitos Premium Tarima Chep</v>
          </cell>
          <cell r="B194" t="str">
            <v>CPR01102</v>
          </cell>
          <cell r="C194" t="str">
            <v>A01002-371109-1</v>
          </cell>
          <cell r="D194" t="str">
            <v>A01 002 Fortaleza</v>
          </cell>
          <cell r="E194" t="str">
            <v>QRO</v>
          </cell>
          <cell r="F194">
            <v>1056</v>
          </cell>
          <cell r="G194">
            <v>22</v>
          </cell>
          <cell r="H194">
            <v>46276</v>
          </cell>
          <cell r="I194">
            <v>37</v>
          </cell>
          <cell r="J194">
            <v>46281</v>
          </cell>
          <cell r="L194" t="str">
            <v>PREENFRIO FORTALEZA</v>
          </cell>
          <cell r="M194">
            <v>1.5</v>
          </cell>
          <cell r="N194">
            <v>36</v>
          </cell>
          <cell r="O194">
            <v>46276</v>
          </cell>
          <cell r="P194">
            <v>0.70833333333333337</v>
          </cell>
          <cell r="Q194" t="str">
            <v>NORMAL</v>
          </cell>
          <cell r="R194">
            <v>46278</v>
          </cell>
          <cell r="S194">
            <v>0.25694444444444442</v>
          </cell>
          <cell r="T194">
            <v>0.625</v>
          </cell>
          <cell r="U194">
            <v>46278.881944444445</v>
          </cell>
          <cell r="V194">
            <v>46278</v>
          </cell>
          <cell r="W194">
            <v>0.9375</v>
          </cell>
          <cell r="X194" t="str">
            <v>SI CUMPLE</v>
          </cell>
          <cell r="Y194" t="str">
            <v>SI CUMPLE</v>
          </cell>
          <cell r="AA194" t="str">
            <v>DESPACHADO</v>
          </cell>
          <cell r="AB194" t="str">
            <v>LEOPOLDO LEGORRETA LEGORRETA</v>
          </cell>
          <cell r="AC194" t="str">
            <v>EZEQUIEL GARDUÑO</v>
          </cell>
          <cell r="AD194">
            <v>80352</v>
          </cell>
          <cell r="AE194" t="str">
            <v>N/A</v>
          </cell>
        </row>
        <row r="195">
          <cell r="A195" t="str">
            <v>Chanitos Organic Banded Market Side Mexico</v>
          </cell>
          <cell r="B195" t="str">
            <v>CRG07128</v>
          </cell>
          <cell r="C195" t="str">
            <v>A01002-371109-1</v>
          </cell>
          <cell r="D195" t="str">
            <v>A01 002 Fortaleza</v>
          </cell>
          <cell r="E195" t="str">
            <v>QRO</v>
          </cell>
          <cell r="F195">
            <v>96</v>
          </cell>
          <cell r="G195">
            <v>2</v>
          </cell>
          <cell r="H195">
            <v>46276</v>
          </cell>
          <cell r="I195">
            <v>37</v>
          </cell>
          <cell r="J195">
            <v>46281</v>
          </cell>
          <cell r="L195" t="str">
            <v>PREENFRIO FORTALEZA</v>
          </cell>
          <cell r="M195">
            <v>1.5</v>
          </cell>
          <cell r="N195">
            <v>36</v>
          </cell>
          <cell r="O195">
            <v>46276</v>
          </cell>
          <cell r="P195">
            <v>0.70833333333333337</v>
          </cell>
          <cell r="Q195" t="str">
            <v>NORMAL</v>
          </cell>
          <cell r="R195">
            <v>46278</v>
          </cell>
          <cell r="S195">
            <v>0.25694444444444442</v>
          </cell>
          <cell r="T195">
            <v>0.625</v>
          </cell>
          <cell r="U195">
            <v>46278.881944444445</v>
          </cell>
          <cell r="V195">
            <v>46278</v>
          </cell>
          <cell r="W195">
            <v>0.9375</v>
          </cell>
          <cell r="X195" t="str">
            <v>SI CUMPLE</v>
          </cell>
          <cell r="Y195" t="str">
            <v>SI CUMPLE</v>
          </cell>
          <cell r="AA195" t="str">
            <v>DESPACHADO</v>
          </cell>
          <cell r="AB195" t="str">
            <v>LEOPOLDO LEGORRETA LEGORRETA</v>
          </cell>
          <cell r="AC195" t="str">
            <v>EZEQUIEL GARDUÑO</v>
          </cell>
          <cell r="AD195">
            <v>80352</v>
          </cell>
          <cell r="AE195" t="str">
            <v>N/A</v>
          </cell>
        </row>
        <row r="196">
          <cell r="A196" t="str">
            <v>Chanitos Premium Tarima Chep</v>
          </cell>
          <cell r="B196" t="str">
            <v>CPR01102</v>
          </cell>
          <cell r="C196" t="str">
            <v>A01002-371109-1</v>
          </cell>
          <cell r="D196" t="str">
            <v>A01 002 Fortaleza</v>
          </cell>
          <cell r="E196" t="str">
            <v>SMO</v>
          </cell>
          <cell r="F196">
            <v>144</v>
          </cell>
          <cell r="G196">
            <v>3</v>
          </cell>
          <cell r="H196">
            <v>46276</v>
          </cell>
          <cell r="I196">
            <v>37</v>
          </cell>
          <cell r="J196">
            <v>46281</v>
          </cell>
          <cell r="K196">
            <v>0.41666666666666669</v>
          </cell>
          <cell r="L196" t="str">
            <v>PREENFRIO FORTALEZA</v>
          </cell>
          <cell r="M196">
            <v>1.5</v>
          </cell>
          <cell r="N196">
            <v>36</v>
          </cell>
          <cell r="O196">
            <v>46276</v>
          </cell>
          <cell r="P196">
            <v>0.70833333333333337</v>
          </cell>
          <cell r="Q196" t="str">
            <v>NORMAL</v>
          </cell>
          <cell r="R196">
            <v>46277</v>
          </cell>
          <cell r="S196">
            <v>0.38055555555555554</v>
          </cell>
          <cell r="T196">
            <v>0.20833333333333334</v>
          </cell>
          <cell r="U196">
            <v>46277.588888888895</v>
          </cell>
          <cell r="V196">
            <v>46279</v>
          </cell>
          <cell r="W196">
            <v>0.62777777777777777</v>
          </cell>
          <cell r="X196" t="str">
            <v>SI CUMPLE</v>
          </cell>
          <cell r="Y196" t="str">
            <v>SI CUMPLE</v>
          </cell>
          <cell r="Z196" t="str">
            <v>COMPLETA EN NELLY</v>
          </cell>
          <cell r="AA196" t="str">
            <v xml:space="preserve">DESPACHADO  </v>
          </cell>
          <cell r="AB196" t="str">
            <v>TRANSPORTES SUAREZ</v>
          </cell>
          <cell r="AC196" t="str">
            <v>CANDIDO SUAREZ SANCHEZ</v>
          </cell>
          <cell r="AD196">
            <v>80764</v>
          </cell>
          <cell r="AE196" t="str">
            <v>N/A</v>
          </cell>
        </row>
        <row r="197">
          <cell r="A197" t="str">
            <v>Chanitos Premium Tarima Chep</v>
          </cell>
          <cell r="B197" t="str">
            <v>CPR01102</v>
          </cell>
          <cell r="C197" t="str">
            <v>A01001-371109-1</v>
          </cell>
          <cell r="D197" t="str">
            <v>A01 001 Marbella</v>
          </cell>
          <cell r="E197" t="str">
            <v>SMO</v>
          </cell>
          <cell r="F197">
            <v>192</v>
          </cell>
          <cell r="G197">
            <v>4</v>
          </cell>
          <cell r="H197">
            <v>46276</v>
          </cell>
          <cell r="I197">
            <v>37</v>
          </cell>
          <cell r="J197">
            <v>46281</v>
          </cell>
          <cell r="K197">
            <v>0.41666666666666669</v>
          </cell>
          <cell r="L197" t="str">
            <v>PREENFRIO FORTALEZA</v>
          </cell>
          <cell r="M197">
            <v>1.5</v>
          </cell>
          <cell r="N197">
            <v>36</v>
          </cell>
          <cell r="O197">
            <v>46276</v>
          </cell>
          <cell r="P197">
            <v>0.83333333333333337</v>
          </cell>
          <cell r="Q197" t="str">
            <v>NORMAL</v>
          </cell>
          <cell r="R197">
            <v>46277</v>
          </cell>
          <cell r="S197">
            <v>0.60763888888888884</v>
          </cell>
          <cell r="T197">
            <v>0.83333333333333337</v>
          </cell>
          <cell r="U197">
            <v>46278.440972222226</v>
          </cell>
          <cell r="V197">
            <v>46279</v>
          </cell>
          <cell r="W197">
            <v>0.62777777777777777</v>
          </cell>
          <cell r="X197" t="str">
            <v>SI CUMPLE</v>
          </cell>
          <cell r="Y197" t="str">
            <v>SI CUMPLE</v>
          </cell>
          <cell r="Z197" t="str">
            <v>COMPLETA EN NELLY</v>
          </cell>
          <cell r="AA197" t="str">
            <v xml:space="preserve">DESPACHADO  </v>
          </cell>
          <cell r="AB197" t="str">
            <v>TRANSPORTES SUAREZ</v>
          </cell>
          <cell r="AC197" t="str">
            <v>CANDIDO SUAREZ SANCHEZ</v>
          </cell>
          <cell r="AD197">
            <v>80764</v>
          </cell>
          <cell r="AE197" t="str">
            <v>N/A</v>
          </cell>
        </row>
        <row r="198">
          <cell r="A198" t="str">
            <v>Chanitos Premium EUA Tarima Americana</v>
          </cell>
          <cell r="B198" t="str">
            <v>CPR01104</v>
          </cell>
          <cell r="C198" t="str">
            <v>A06043-371009-1</v>
          </cell>
          <cell r="D198" t="str">
            <v>A06 043 Nuestra señora</v>
          </cell>
          <cell r="E198" t="str">
            <v>McAllen</v>
          </cell>
          <cell r="F198">
            <v>576</v>
          </cell>
          <cell r="G198">
            <v>12</v>
          </cell>
          <cell r="H198">
            <v>46275</v>
          </cell>
          <cell r="I198">
            <v>37</v>
          </cell>
          <cell r="J198">
            <v>46281</v>
          </cell>
          <cell r="L198" t="str">
            <v>PREENFRIO NELLY</v>
          </cell>
          <cell r="M198" t="str">
            <v>SIN PRE</v>
          </cell>
          <cell r="N198" t="str">
            <v>SIN PRE</v>
          </cell>
          <cell r="O198">
            <v>46276</v>
          </cell>
          <cell r="P198">
            <v>0.875</v>
          </cell>
          <cell r="Q198" t="str">
            <v>NORMAL</v>
          </cell>
          <cell r="R198" t="str">
            <v>N/A</v>
          </cell>
          <cell r="S198" t="str">
            <v>SIN PRENFRIO</v>
          </cell>
          <cell r="V198">
            <v>46277</v>
          </cell>
          <cell r="W198">
            <v>0.3611111111111111</v>
          </cell>
          <cell r="X198" t="str">
            <v/>
          </cell>
          <cell r="AA198" t="str">
            <v>DESPACHADO</v>
          </cell>
          <cell r="AB198" t="str">
            <v>TRANSPORTES ALGEZA</v>
          </cell>
          <cell r="AC198" t="str">
            <v>Ismael Acosta</v>
          </cell>
          <cell r="AD198">
            <v>39177</v>
          </cell>
          <cell r="AE198" t="str">
            <v>QCH1W03SD0</v>
          </cell>
        </row>
        <row r="199">
          <cell r="A199" t="str">
            <v>Chanitos Premium EUA Tarima Americana</v>
          </cell>
          <cell r="B199" t="str">
            <v>CPR01104</v>
          </cell>
          <cell r="C199" t="str">
            <v>A27073-371109-1</v>
          </cell>
          <cell r="D199" t="str">
            <v>A06 043 Nuestra señora</v>
          </cell>
          <cell r="E199" t="str">
            <v>McAllen</v>
          </cell>
          <cell r="F199">
            <v>384</v>
          </cell>
          <cell r="G199">
            <v>8</v>
          </cell>
          <cell r="H199">
            <v>46276</v>
          </cell>
          <cell r="I199">
            <v>37</v>
          </cell>
          <cell r="J199">
            <v>46281</v>
          </cell>
          <cell r="L199" t="str">
            <v>PREENFRIO NELLY</v>
          </cell>
          <cell r="M199" t="str">
            <v>SIN PRE</v>
          </cell>
          <cell r="N199" t="str">
            <v>SIN PRE</v>
          </cell>
          <cell r="O199">
            <v>46276</v>
          </cell>
          <cell r="P199">
            <v>0.875</v>
          </cell>
          <cell r="Q199" t="str">
            <v>NORMAL</v>
          </cell>
          <cell r="R199" t="str">
            <v>N/A</v>
          </cell>
          <cell r="S199" t="str">
            <v>SIN PRENFRIO</v>
          </cell>
          <cell r="V199">
            <v>46277</v>
          </cell>
          <cell r="W199">
            <v>0.3611111111111111</v>
          </cell>
          <cell r="X199" t="str">
            <v/>
          </cell>
          <cell r="AA199" t="str">
            <v>DESPACHADO</v>
          </cell>
          <cell r="AB199" t="str">
            <v>TRANSPORTES ALGEZA</v>
          </cell>
          <cell r="AC199" t="str">
            <v>Ismael Acosta</v>
          </cell>
          <cell r="AD199">
            <v>39177</v>
          </cell>
          <cell r="AE199" t="str">
            <v>QCH1W03SD0</v>
          </cell>
        </row>
        <row r="200">
          <cell r="A200" t="str">
            <v>Chanitos Premium Tarima Chep</v>
          </cell>
          <cell r="B200" t="str">
            <v>CPR01102</v>
          </cell>
          <cell r="C200" t="str">
            <v>A01001-371209-1</v>
          </cell>
          <cell r="D200" t="str">
            <v>A01 001 Marbella</v>
          </cell>
          <cell r="E200" t="str">
            <v>Chalco</v>
          </cell>
          <cell r="F200">
            <v>1056</v>
          </cell>
          <cell r="G200">
            <v>22</v>
          </cell>
          <cell r="H200">
            <v>46277</v>
          </cell>
          <cell r="I200">
            <v>37</v>
          </cell>
          <cell r="J200">
            <v>46282</v>
          </cell>
          <cell r="L200" t="str">
            <v>PREENFRIO FORTALEZA</v>
          </cell>
          <cell r="M200">
            <v>1</v>
          </cell>
          <cell r="N200">
            <v>24</v>
          </cell>
          <cell r="O200">
            <v>46278</v>
          </cell>
          <cell r="P200">
            <v>0.85833333333333328</v>
          </cell>
          <cell r="Q200" t="str">
            <v>NORMAL</v>
          </cell>
          <cell r="R200">
            <v>46278</v>
          </cell>
          <cell r="S200">
            <v>0.92500000000000004</v>
          </cell>
          <cell r="T200">
            <v>0.625</v>
          </cell>
          <cell r="U200">
            <v>46279.55</v>
          </cell>
          <cell r="V200">
            <v>46279</v>
          </cell>
          <cell r="W200">
            <v>0.55902777777777779</v>
          </cell>
          <cell r="X200" t="str">
            <v>SI CUMPLE</v>
          </cell>
          <cell r="Y200" t="str">
            <v>SI CUMPLE</v>
          </cell>
          <cell r="AA200" t="str">
            <v>DESPACHADO</v>
          </cell>
          <cell r="AB200" t="str">
            <v>REFRIGERADOS CARRILLO</v>
          </cell>
          <cell r="AC200" t="str">
            <v>EDUARDO FUENTES ALTAMIRANO</v>
          </cell>
          <cell r="AD200">
            <v>84938</v>
          </cell>
          <cell r="AE200" t="str">
            <v>QCH1W046A0</v>
          </cell>
        </row>
        <row r="201">
          <cell r="A201" t="str">
            <v>Platano de Chiapas BAE UPC 3237</v>
          </cell>
          <cell r="B201" t="str">
            <v>CPR01114</v>
          </cell>
          <cell r="C201" t="str">
            <v>A01001-371209-1</v>
          </cell>
          <cell r="D201" t="str">
            <v>A01 001 Marbella</v>
          </cell>
          <cell r="E201" t="str">
            <v>Chalco</v>
          </cell>
          <cell r="F201">
            <v>96</v>
          </cell>
          <cell r="G201">
            <v>2</v>
          </cell>
          <cell r="H201">
            <v>46277</v>
          </cell>
          <cell r="I201">
            <v>37</v>
          </cell>
          <cell r="J201">
            <v>46282</v>
          </cell>
          <cell r="L201" t="str">
            <v>PREENFRIO FORTALEZA</v>
          </cell>
          <cell r="M201">
            <v>1</v>
          </cell>
          <cell r="N201">
            <v>24</v>
          </cell>
          <cell r="O201">
            <v>46278</v>
          </cell>
          <cell r="P201">
            <v>0.85833333333333328</v>
          </cell>
          <cell r="Q201" t="str">
            <v>NORMAL</v>
          </cell>
          <cell r="R201">
            <v>46278</v>
          </cell>
          <cell r="S201">
            <v>0.92500000000000004</v>
          </cell>
          <cell r="T201">
            <v>0.625</v>
          </cell>
          <cell r="U201">
            <v>46279.55</v>
          </cell>
          <cell r="V201">
            <v>46279</v>
          </cell>
          <cell r="W201">
            <v>0.55902777777777779</v>
          </cell>
          <cell r="X201" t="str">
            <v>SI CUMPLE</v>
          </cell>
          <cell r="Y201" t="str">
            <v>SI CUMPLE</v>
          </cell>
          <cell r="AA201" t="str">
            <v>DESPACHADO</v>
          </cell>
          <cell r="AB201" t="str">
            <v>REFRIGERADOS CARRILLO</v>
          </cell>
          <cell r="AC201" t="str">
            <v>EDUARDO FUENTES ALTAMIRANO</v>
          </cell>
          <cell r="AD201">
            <v>84938</v>
          </cell>
          <cell r="AE201" t="str">
            <v>QCH1W046A0</v>
          </cell>
        </row>
        <row r="202">
          <cell r="A202" t="str">
            <v>Chanitos Organic Banded Market Side Mexico</v>
          </cell>
          <cell r="B202" t="str">
            <v>CRG07128</v>
          </cell>
          <cell r="C202" t="str">
            <v>A01002-371209-1</v>
          </cell>
          <cell r="D202" t="str">
            <v>A01 002 Fortaleza</v>
          </cell>
          <cell r="E202" t="str">
            <v>VSA</v>
          </cell>
          <cell r="F202">
            <v>288</v>
          </cell>
          <cell r="G202">
            <v>6</v>
          </cell>
          <cell r="H202">
            <v>46277</v>
          </cell>
          <cell r="I202">
            <v>37</v>
          </cell>
          <cell r="J202">
            <v>46282</v>
          </cell>
          <cell r="L202" t="str">
            <v>PREENFRIO FORTALEZA</v>
          </cell>
          <cell r="M202">
            <v>1</v>
          </cell>
          <cell r="N202">
            <v>24</v>
          </cell>
          <cell r="O202">
            <v>46277</v>
          </cell>
          <cell r="P202">
            <v>0.62708333333333333</v>
          </cell>
          <cell r="Q202" t="str">
            <v>NORMAL</v>
          </cell>
          <cell r="R202">
            <v>46279</v>
          </cell>
          <cell r="S202">
            <v>0.56388888888888888</v>
          </cell>
          <cell r="T202">
            <v>0.41666666666666669</v>
          </cell>
          <cell r="U202">
            <v>46279.98055555555</v>
          </cell>
          <cell r="V202">
            <v>46280</v>
          </cell>
          <cell r="W202">
            <v>0.60069444444444442</v>
          </cell>
          <cell r="X202" t="str">
            <v>SI CUMPLE</v>
          </cell>
          <cell r="Y202" t="str">
            <v>SI CUMPLE</v>
          </cell>
          <cell r="AA202" t="str">
            <v>DESPACHADO</v>
          </cell>
          <cell r="AB202" t="str">
            <v>BACKHAUL</v>
          </cell>
          <cell r="AC202" t="str">
            <v>CANDELARIO ARIAS LOPEZ</v>
          </cell>
          <cell r="AD202">
            <v>18103</v>
          </cell>
          <cell r="AE202" t="str">
            <v>QCH1W045R0</v>
          </cell>
        </row>
        <row r="203">
          <cell r="A203" t="str">
            <v>Chanitos Premium Tarima Chep</v>
          </cell>
          <cell r="B203" t="str">
            <v>CPR01102</v>
          </cell>
          <cell r="C203" t="str">
            <v>A01002-371209-1</v>
          </cell>
          <cell r="D203" t="str">
            <v>A01 002 Fortaleza</v>
          </cell>
          <cell r="E203" t="str">
            <v>VSA</v>
          </cell>
          <cell r="F203">
            <v>864</v>
          </cell>
          <cell r="G203">
            <v>18</v>
          </cell>
          <cell r="H203">
            <v>46277</v>
          </cell>
          <cell r="I203">
            <v>37</v>
          </cell>
          <cell r="J203">
            <v>46282</v>
          </cell>
          <cell r="L203" t="str">
            <v>PREENFRIO FORTALEZA</v>
          </cell>
          <cell r="M203">
            <v>1</v>
          </cell>
          <cell r="N203">
            <v>24</v>
          </cell>
          <cell r="O203">
            <v>46277</v>
          </cell>
          <cell r="P203">
            <v>0.62708333333333333</v>
          </cell>
          <cell r="Q203" t="str">
            <v>NORMAL</v>
          </cell>
          <cell r="R203">
            <v>46279</v>
          </cell>
          <cell r="S203">
            <v>0.56388888888888888</v>
          </cell>
          <cell r="T203">
            <v>0.41666666666666669</v>
          </cell>
          <cell r="U203">
            <v>46279.98055555555</v>
          </cell>
          <cell r="V203">
            <v>46280</v>
          </cell>
          <cell r="W203">
            <v>0.60069444444444442</v>
          </cell>
          <cell r="X203" t="str">
            <v>SI CUMPLE</v>
          </cell>
          <cell r="Y203" t="str">
            <v>SI CUMPLE</v>
          </cell>
          <cell r="AA203" t="str">
            <v>DESPACHADO</v>
          </cell>
          <cell r="AB203" t="str">
            <v>BACKHAUL</v>
          </cell>
          <cell r="AC203" t="str">
            <v>CANDELARIO ARIAS LOPEZ</v>
          </cell>
          <cell r="AD203">
            <v>18103</v>
          </cell>
          <cell r="AE203" t="str">
            <v>QCH1W045R0</v>
          </cell>
        </row>
        <row r="204">
          <cell r="A204" t="str">
            <v>Chanitos Premium Tarima Chep</v>
          </cell>
          <cell r="B204" t="str">
            <v>CPR01102</v>
          </cell>
          <cell r="C204" t="str">
            <v>A01003-371109-1</v>
          </cell>
          <cell r="D204" t="str">
            <v>A01 003 Doña Nelly</v>
          </cell>
          <cell r="E204" t="str">
            <v>SMO</v>
          </cell>
          <cell r="F204">
            <v>720</v>
          </cell>
          <cell r="G204">
            <v>15</v>
          </cell>
          <cell r="H204">
            <v>46276</v>
          </cell>
          <cell r="I204">
            <v>37</v>
          </cell>
          <cell r="J204">
            <v>46281</v>
          </cell>
          <cell r="L204" t="str">
            <v>PREENFRIO NELLY</v>
          </cell>
          <cell r="M204">
            <v>1.5</v>
          </cell>
          <cell r="N204">
            <v>36</v>
          </cell>
          <cell r="O204">
            <v>46276</v>
          </cell>
          <cell r="P204">
            <v>0.75</v>
          </cell>
          <cell r="Q204" t="str">
            <v>NORMAL</v>
          </cell>
          <cell r="R204">
            <v>46277</v>
          </cell>
          <cell r="S204">
            <v>0.63194444444444442</v>
          </cell>
          <cell r="T204">
            <v>0.35416666666666669</v>
          </cell>
          <cell r="U204">
            <v>46277.986111111109</v>
          </cell>
          <cell r="V204">
            <v>46279</v>
          </cell>
          <cell r="W204">
            <v>0.76388888888888884</v>
          </cell>
          <cell r="X204" t="str">
            <v>SI CUMPLE</v>
          </cell>
          <cell r="Y204" t="str">
            <v>NO CUMPLE</v>
          </cell>
          <cell r="Z204" t="str">
            <v>POSICIONAMIENTO DE TRANSPORTE</v>
          </cell>
          <cell r="AA204" t="str">
            <v>DESPACHADO</v>
          </cell>
          <cell r="AB204" t="str">
            <v>TRANSPORTES SUAREZ</v>
          </cell>
          <cell r="AC204" t="str">
            <v>CANDIDO SUAREZ SANCHEZ</v>
          </cell>
          <cell r="AD204">
            <v>64225</v>
          </cell>
          <cell r="AE204" t="str">
            <v>QCH1W03NA0</v>
          </cell>
        </row>
        <row r="205">
          <cell r="A205" t="str">
            <v>Chanitos Premium Tarima Americana</v>
          </cell>
          <cell r="B205" t="str">
            <v>CPR01103</v>
          </cell>
          <cell r="C205" t="str">
            <v>A01003-371109-1</v>
          </cell>
          <cell r="D205" t="str">
            <v>A01 003 Doña Nelly</v>
          </cell>
          <cell r="E205" t="str">
            <v>S-MTY</v>
          </cell>
          <cell r="F205">
            <v>480</v>
          </cell>
          <cell r="G205">
            <v>10</v>
          </cell>
          <cell r="H205">
            <v>46276</v>
          </cell>
          <cell r="I205">
            <v>37</v>
          </cell>
          <cell r="J205">
            <v>46283</v>
          </cell>
          <cell r="L205" t="str">
            <v>PREENFRIO NELLY</v>
          </cell>
          <cell r="M205">
            <v>3</v>
          </cell>
          <cell r="N205">
            <v>72</v>
          </cell>
          <cell r="O205">
            <v>46276</v>
          </cell>
          <cell r="P205">
            <v>0.75</v>
          </cell>
          <cell r="Q205" t="str">
            <v>NORMAL</v>
          </cell>
          <cell r="R205">
            <v>46277</v>
          </cell>
          <cell r="S205">
            <v>0.63194444444444442</v>
          </cell>
          <cell r="T205">
            <v>0.4375</v>
          </cell>
          <cell r="U205">
            <v>46278.069444444445</v>
          </cell>
          <cell r="V205">
            <v>46278</v>
          </cell>
          <cell r="W205">
            <v>0.75</v>
          </cell>
          <cell r="X205" t="str">
            <v>SI CUMPLE</v>
          </cell>
          <cell r="Y205" t="str">
            <v>SI CUMPLE</v>
          </cell>
          <cell r="AA205" t="str">
            <v>DESPACHADO</v>
          </cell>
          <cell r="AB205" t="str">
            <v>AUTO EXPRESS SEGOVIA</v>
          </cell>
          <cell r="AC205" t="str">
            <v>JOEL PEREZ TRINIDAD</v>
          </cell>
          <cell r="AD205">
            <v>36211</v>
          </cell>
          <cell r="AE205" t="str">
            <v>QCH1W03N60</v>
          </cell>
        </row>
        <row r="206">
          <cell r="A206" t="str">
            <v>Chanitos Premium EUA Tarima Americana</v>
          </cell>
          <cell r="B206" t="str">
            <v>CPR01104</v>
          </cell>
          <cell r="C206" t="str">
            <v>A04037-371209-1</v>
          </cell>
          <cell r="D206" t="str">
            <v>A04 037 Josefina Nava</v>
          </cell>
          <cell r="E206" t="str">
            <v>McAllen</v>
          </cell>
          <cell r="F206">
            <v>960</v>
          </cell>
          <cell r="G206">
            <v>20</v>
          </cell>
          <cell r="H206">
            <v>46277</v>
          </cell>
          <cell r="I206">
            <v>37</v>
          </cell>
          <cell r="J206">
            <v>46282</v>
          </cell>
          <cell r="L206" t="str">
            <v>PREENFRIO NELLY</v>
          </cell>
          <cell r="M206">
            <v>3</v>
          </cell>
          <cell r="N206">
            <v>72</v>
          </cell>
          <cell r="O206">
            <v>46277</v>
          </cell>
          <cell r="P206">
            <v>0.75</v>
          </cell>
          <cell r="Q206" t="str">
            <v>NORMAL</v>
          </cell>
          <cell r="R206">
            <v>46278</v>
          </cell>
          <cell r="S206">
            <v>0.86111111111111116</v>
          </cell>
          <cell r="T206">
            <v>0.35416666666666669</v>
          </cell>
          <cell r="U206">
            <v>46279.215277777774</v>
          </cell>
          <cell r="V206">
            <v>46279</v>
          </cell>
          <cell r="W206">
            <v>0.70486111111111116</v>
          </cell>
          <cell r="X206" t="str">
            <v>NO CUMPLE</v>
          </cell>
          <cell r="Y206" t="str">
            <v>NO CUMPLE</v>
          </cell>
          <cell r="AA206" t="str">
            <v>DESPACHADO</v>
          </cell>
          <cell r="AB206" t="str">
            <v>ALGEZA</v>
          </cell>
          <cell r="AC206" t="str">
            <v>LIMBETH YOHANNI</v>
          </cell>
        </row>
        <row r="207">
          <cell r="A207" t="str">
            <v>Chanitos Premium Tarima Chep</v>
          </cell>
          <cell r="B207" t="str">
            <v>CPR01102</v>
          </cell>
          <cell r="C207" t="str">
            <v>A01002-371109-1</v>
          </cell>
          <cell r="D207" t="str">
            <v>A01 002 Fortaleza</v>
          </cell>
          <cell r="E207" t="str">
            <v>QRO</v>
          </cell>
          <cell r="F207">
            <v>144</v>
          </cell>
          <cell r="G207">
            <v>3</v>
          </cell>
          <cell r="H207">
            <v>46276</v>
          </cell>
          <cell r="I207">
            <v>37</v>
          </cell>
          <cell r="J207">
            <v>46283</v>
          </cell>
          <cell r="L207" t="str">
            <v>PREENFRIO FORTALEZA</v>
          </cell>
          <cell r="M207">
            <v>1.5</v>
          </cell>
          <cell r="N207">
            <v>36</v>
          </cell>
          <cell r="O207">
            <v>46276</v>
          </cell>
          <cell r="P207">
            <v>0.75</v>
          </cell>
          <cell r="Q207" t="str">
            <v>NORMAL</v>
          </cell>
          <cell r="R207">
            <v>46279</v>
          </cell>
          <cell r="S207">
            <v>0.93958333333333333</v>
          </cell>
          <cell r="T207">
            <v>0.625</v>
          </cell>
          <cell r="U207">
            <v>46280.564583333333</v>
          </cell>
          <cell r="V207">
            <v>46280</v>
          </cell>
          <cell r="W207">
            <v>0.72569444444444442</v>
          </cell>
          <cell r="X207" t="str">
            <v>SI CUMPLE</v>
          </cell>
          <cell r="Y207" t="str">
            <v>SI CUMPLE</v>
          </cell>
          <cell r="AA207" t="str">
            <v>DESPACHADO</v>
          </cell>
          <cell r="AB207" t="str">
            <v>MARIBEL TORRES CASTILLO</v>
          </cell>
          <cell r="AC207" t="str">
            <v>JESUS SANTANA</v>
          </cell>
          <cell r="AD207">
            <v>21535</v>
          </cell>
          <cell r="AE207" t="str">
            <v>QCH1W046M0</v>
          </cell>
        </row>
        <row r="208">
          <cell r="A208" t="str">
            <v>Chanitos Premium EUA Tarima Americana</v>
          </cell>
          <cell r="B208" t="str">
            <v>CPR01104</v>
          </cell>
          <cell r="C208" t="str">
            <v>A04083-371209-1</v>
          </cell>
          <cell r="D208" t="str">
            <v>A04 083 Santa Maria</v>
          </cell>
          <cell r="E208" t="str">
            <v>McAllen</v>
          </cell>
          <cell r="F208">
            <v>960</v>
          </cell>
          <cell r="G208">
            <v>20</v>
          </cell>
          <cell r="H208">
            <v>46277</v>
          </cell>
          <cell r="I208">
            <v>37</v>
          </cell>
          <cell r="J208">
            <v>46282</v>
          </cell>
          <cell r="L208" t="str">
            <v>PREENFRIO NELLY</v>
          </cell>
          <cell r="M208">
            <v>3</v>
          </cell>
          <cell r="N208">
            <v>72</v>
          </cell>
          <cell r="O208">
            <v>46277</v>
          </cell>
          <cell r="P208">
            <v>0.75</v>
          </cell>
          <cell r="Q208" t="str">
            <v>NORMAL</v>
          </cell>
          <cell r="R208">
            <v>46279</v>
          </cell>
          <cell r="S208">
            <v>0.28472222222222221</v>
          </cell>
          <cell r="T208">
            <v>0.35416666666666669</v>
          </cell>
          <cell r="U208">
            <v>46279.638888888883</v>
          </cell>
          <cell r="V208">
            <v>46279</v>
          </cell>
          <cell r="W208">
            <v>0.70486111111111116</v>
          </cell>
          <cell r="X208" t="str">
            <v>NO CUMPLE</v>
          </cell>
          <cell r="Y208" t="str">
            <v>NO CUMPLE</v>
          </cell>
          <cell r="AA208" t="str">
            <v>DESPACHADO</v>
          </cell>
          <cell r="AB208" t="str">
            <v>ALGEZA</v>
          </cell>
          <cell r="AC208" t="str">
            <v>LIMBETH YOHANNI</v>
          </cell>
        </row>
        <row r="209">
          <cell r="A209" t="str">
            <v>Chanitos Premium Tarima Americana</v>
          </cell>
          <cell r="B209" t="str">
            <v>CPR01103</v>
          </cell>
          <cell r="C209" t="str">
            <v>A05040-371109-1</v>
          </cell>
          <cell r="D209" t="str">
            <v>A11 Sector Mazatan</v>
          </cell>
          <cell r="E209" t="str">
            <v>S-MTY</v>
          </cell>
          <cell r="F209">
            <v>480</v>
          </cell>
          <cell r="G209">
            <v>10</v>
          </cell>
          <cell r="H209">
            <v>46276</v>
          </cell>
          <cell r="I209">
            <v>37</v>
          </cell>
          <cell r="J209">
            <v>46283</v>
          </cell>
          <cell r="L209" t="str">
            <v>PREENFRIO NELLY</v>
          </cell>
          <cell r="M209">
            <v>3</v>
          </cell>
          <cell r="N209">
            <v>72</v>
          </cell>
          <cell r="O209">
            <v>46277</v>
          </cell>
          <cell r="P209">
            <v>0.85069444444444442</v>
          </cell>
          <cell r="Q209" t="str">
            <v>NORMAL</v>
          </cell>
          <cell r="R209">
            <v>46278</v>
          </cell>
          <cell r="S209">
            <v>6.9444444444444448E-2</v>
          </cell>
          <cell r="T209">
            <v>0.4375</v>
          </cell>
          <cell r="U209">
            <v>46278.506944444445</v>
          </cell>
          <cell r="V209">
            <v>46278</v>
          </cell>
          <cell r="W209">
            <v>0.75</v>
          </cell>
          <cell r="X209" t="str">
            <v>SI CUMPLE</v>
          </cell>
          <cell r="Y209" t="str">
            <v>SI CUMPLE</v>
          </cell>
          <cell r="AA209" t="str">
            <v>DESPACHADO</v>
          </cell>
          <cell r="AB209" t="str">
            <v>AUTO EXPRESS SEGOVIA</v>
          </cell>
          <cell r="AC209" t="str">
            <v>JOEL PEREZ TRINIDAD</v>
          </cell>
          <cell r="AD209">
            <v>88667</v>
          </cell>
          <cell r="AE209" t="str">
            <v>QCH1W03N10</v>
          </cell>
        </row>
        <row r="210">
          <cell r="A210" t="str">
            <v>Chanitos Premium EUA Tarima Americana</v>
          </cell>
          <cell r="B210" t="str">
            <v>CPR01104</v>
          </cell>
          <cell r="C210" t="str">
            <v>A01004-371209-1</v>
          </cell>
          <cell r="D210" t="str">
            <v>A01 004 La Ceiba</v>
          </cell>
          <cell r="E210" t="str">
            <v>McAllen</v>
          </cell>
          <cell r="F210">
            <v>960</v>
          </cell>
          <cell r="G210">
            <v>20</v>
          </cell>
          <cell r="H210">
            <v>46277</v>
          </cell>
          <cell r="I210">
            <v>37</v>
          </cell>
          <cell r="J210">
            <v>46283</v>
          </cell>
          <cell r="L210" t="str">
            <v>PREENFRIO FORTALEZA</v>
          </cell>
          <cell r="M210">
            <v>3</v>
          </cell>
          <cell r="N210">
            <v>72</v>
          </cell>
          <cell r="O210">
            <v>46277</v>
          </cell>
          <cell r="P210">
            <v>0.74097222222222225</v>
          </cell>
          <cell r="U210" t="str">
            <v/>
          </cell>
          <cell r="V210">
            <v>46277</v>
          </cell>
          <cell r="W210">
            <v>0.86319444444444449</v>
          </cell>
          <cell r="X210" t="str">
            <v/>
          </cell>
          <cell r="Y210" t="str">
            <v>SI CUMPLE</v>
          </cell>
          <cell r="AA210" t="str">
            <v>DESPACHADO</v>
          </cell>
          <cell r="AB210" t="str">
            <v>SEGOVIA</v>
          </cell>
          <cell r="AC210" t="str">
            <v>SAUL SANTIAGO</v>
          </cell>
          <cell r="AD210">
            <v>82292</v>
          </cell>
          <cell r="AE210" t="str">
            <v>QCH1W048K0</v>
          </cell>
        </row>
        <row r="211">
          <cell r="A211" t="str">
            <v>Chanitos Premium Tarima Chep</v>
          </cell>
          <cell r="B211" t="str">
            <v>CPR01102</v>
          </cell>
          <cell r="C211" t="str">
            <v>A01002-371209-1</v>
          </cell>
          <cell r="D211" t="str">
            <v>A01 002 Fortaleza</v>
          </cell>
          <cell r="E211" t="str">
            <v>QRO</v>
          </cell>
          <cell r="F211">
            <v>48</v>
          </cell>
          <cell r="G211">
            <v>1</v>
          </cell>
          <cell r="H211">
            <v>46277</v>
          </cell>
          <cell r="I211">
            <v>37</v>
          </cell>
          <cell r="J211">
            <v>46283</v>
          </cell>
          <cell r="L211" t="str">
            <v>PREENFRIO FORTALEZA</v>
          </cell>
          <cell r="M211">
            <v>1.5</v>
          </cell>
          <cell r="N211">
            <v>36</v>
          </cell>
          <cell r="O211">
            <v>46277</v>
          </cell>
          <cell r="P211">
            <v>0.75</v>
          </cell>
          <cell r="Q211" t="str">
            <v>NORMAL</v>
          </cell>
          <cell r="R211">
            <v>46279</v>
          </cell>
          <cell r="S211">
            <v>0.93958333333333333</v>
          </cell>
          <cell r="T211">
            <v>0.625</v>
          </cell>
          <cell r="U211">
            <v>46280.564583333333</v>
          </cell>
          <cell r="V211">
            <v>46280</v>
          </cell>
          <cell r="W211">
            <v>0.72569444444444442</v>
          </cell>
          <cell r="X211" t="str">
            <v>SI CUMPLE</v>
          </cell>
          <cell r="Y211" t="str">
            <v>SI CUMPLE</v>
          </cell>
          <cell r="AA211" t="str">
            <v>DESPACHADO</v>
          </cell>
          <cell r="AB211" t="str">
            <v>MARIBEL TORRES CASTILLO</v>
          </cell>
          <cell r="AC211" t="str">
            <v>JESUS SANTANA</v>
          </cell>
          <cell r="AD211">
            <v>21535</v>
          </cell>
          <cell r="AE211" t="str">
            <v>QCH1W046M0</v>
          </cell>
        </row>
        <row r="212">
          <cell r="A212" t="str">
            <v>Chanitos Premium EUA Tarima Americana</v>
          </cell>
          <cell r="B212" t="str">
            <v>CPR01104</v>
          </cell>
          <cell r="C212" t="str">
            <v>A11045-371209-1</v>
          </cell>
          <cell r="D212" t="str">
            <v>A11 045 Sector Mazatan</v>
          </cell>
          <cell r="E212" t="str">
            <v>McAllen</v>
          </cell>
          <cell r="F212">
            <v>960</v>
          </cell>
          <cell r="G212">
            <v>20</v>
          </cell>
          <cell r="H212">
            <v>46277</v>
          </cell>
          <cell r="I212">
            <v>37</v>
          </cell>
          <cell r="J212">
            <v>46283</v>
          </cell>
          <cell r="L212" t="str">
            <v>PREENFRIO NELLY</v>
          </cell>
          <cell r="M212">
            <v>3</v>
          </cell>
          <cell r="N212">
            <v>72</v>
          </cell>
          <cell r="O212">
            <v>46277</v>
          </cell>
          <cell r="P212">
            <v>0.75</v>
          </cell>
          <cell r="Q212" t="str">
            <v>NORMAL</v>
          </cell>
          <cell r="R212">
            <v>46278</v>
          </cell>
          <cell r="S212">
            <v>0.50694444444444442</v>
          </cell>
          <cell r="T212">
            <v>0.35416666666666669</v>
          </cell>
          <cell r="U212">
            <v>46278.861111111109</v>
          </cell>
          <cell r="V212">
            <v>46279</v>
          </cell>
          <cell r="W212">
            <v>0.125</v>
          </cell>
          <cell r="X212" t="str">
            <v>SI CUMPLE</v>
          </cell>
          <cell r="Y212" t="str">
            <v>SI CUMPLE</v>
          </cell>
          <cell r="AA212" t="str">
            <v>DESPACHADO</v>
          </cell>
          <cell r="AB212" t="str">
            <v>TOMATITOS</v>
          </cell>
          <cell r="AC212" t="str">
            <v>Jaime Alberto Rojas Salazar</v>
          </cell>
          <cell r="AD212">
            <v>92985</v>
          </cell>
        </row>
        <row r="213">
          <cell r="A213" t="str">
            <v>Chanitos Premium Tarima Americana</v>
          </cell>
          <cell r="B213" t="str">
            <v>CPR01103</v>
          </cell>
          <cell r="C213" t="str">
            <v>A11087-371209-1</v>
          </cell>
          <cell r="D213" t="str">
            <v>A11 087 19 de Abril</v>
          </cell>
          <cell r="E213" t="str">
            <v>S-MTY</v>
          </cell>
          <cell r="F213">
            <v>480</v>
          </cell>
          <cell r="G213">
            <v>10</v>
          </cell>
          <cell r="H213">
            <v>46277</v>
          </cell>
          <cell r="I213">
            <v>37</v>
          </cell>
          <cell r="J213">
            <v>46283</v>
          </cell>
          <cell r="L213" t="str">
            <v>PREENFRIO NELLY</v>
          </cell>
          <cell r="M213">
            <v>3</v>
          </cell>
          <cell r="N213">
            <v>72</v>
          </cell>
          <cell r="O213">
            <v>46277</v>
          </cell>
          <cell r="P213">
            <v>0.85069444444444442</v>
          </cell>
          <cell r="Q213" t="str">
            <v>NORMAL</v>
          </cell>
          <cell r="R213">
            <v>46278</v>
          </cell>
          <cell r="S213">
            <v>6.9444444444444448E-2</v>
          </cell>
          <cell r="T213">
            <v>0.4375</v>
          </cell>
          <cell r="U213">
            <v>46278.506944444445</v>
          </cell>
          <cell r="V213">
            <v>46278</v>
          </cell>
          <cell r="W213">
            <v>0.75</v>
          </cell>
          <cell r="X213" t="str">
            <v>SI CUMPLE</v>
          </cell>
          <cell r="Y213" t="str">
            <v>SI CUMPLE</v>
          </cell>
          <cell r="AA213" t="str">
            <v>DESPACHADO</v>
          </cell>
          <cell r="AB213" t="str">
            <v>AUTO EXPRESS SEGOVIA</v>
          </cell>
          <cell r="AC213" t="str">
            <v>JOEL PEREZ TRINIDAD</v>
          </cell>
          <cell r="AD213">
            <v>88667</v>
          </cell>
          <cell r="AE213" t="str">
            <v>QCH1W03N10</v>
          </cell>
        </row>
        <row r="214">
          <cell r="A214" t="str">
            <v>Chanitos Premium Tarima Chep</v>
          </cell>
          <cell r="B214" t="str">
            <v>CPR01102</v>
          </cell>
          <cell r="C214" t="str">
            <v>A01002-381409-1</v>
          </cell>
          <cell r="D214" t="str">
            <v>A01 002 Fortaleza</v>
          </cell>
          <cell r="E214" t="str">
            <v>QRO</v>
          </cell>
          <cell r="F214">
            <v>912</v>
          </cell>
          <cell r="G214">
            <v>19</v>
          </cell>
          <cell r="H214">
            <v>46279</v>
          </cell>
          <cell r="I214">
            <v>38</v>
          </cell>
          <cell r="J214">
            <v>46283</v>
          </cell>
          <cell r="L214" t="str">
            <v>PREENFRIO FORTALEZA</v>
          </cell>
          <cell r="M214">
            <v>1.5</v>
          </cell>
          <cell r="N214">
            <v>36</v>
          </cell>
          <cell r="O214">
            <v>46279</v>
          </cell>
          <cell r="P214">
            <v>0.72222222222222221</v>
          </cell>
          <cell r="Q214" t="str">
            <v>NORMAL</v>
          </cell>
          <cell r="R214">
            <v>46279</v>
          </cell>
          <cell r="S214">
            <v>0.93958333333333333</v>
          </cell>
          <cell r="T214">
            <v>0.625</v>
          </cell>
          <cell r="U214">
            <v>46280.564583333333</v>
          </cell>
          <cell r="V214">
            <v>46280</v>
          </cell>
          <cell r="W214">
            <v>0.72569444444444442</v>
          </cell>
          <cell r="X214" t="str">
            <v>SI CUMPLE</v>
          </cell>
          <cell r="Y214" t="str">
            <v>SI CUMPLE</v>
          </cell>
          <cell r="AA214" t="str">
            <v>DESPACHADO</v>
          </cell>
          <cell r="AB214" t="str">
            <v>MARIBEL TORRES CASTILLO</v>
          </cell>
          <cell r="AC214" t="str">
            <v>JESUS SANTANA</v>
          </cell>
          <cell r="AD214">
            <v>21535</v>
          </cell>
          <cell r="AE214" t="str">
            <v>QCH1W046M0</v>
          </cell>
        </row>
        <row r="215">
          <cell r="A215" t="str">
            <v>Chanitos Organic Banded Market Side Mexico</v>
          </cell>
          <cell r="B215" t="str">
            <v>CRG07128</v>
          </cell>
          <cell r="C215" t="str">
            <v>A01002-381409-1</v>
          </cell>
          <cell r="D215" t="str">
            <v>A01 002 Fortaleza</v>
          </cell>
          <cell r="E215" t="str">
            <v>QRO</v>
          </cell>
          <cell r="F215">
            <v>48</v>
          </cell>
          <cell r="G215">
            <v>1</v>
          </cell>
          <cell r="H215">
            <v>46279</v>
          </cell>
          <cell r="I215">
            <v>38</v>
          </cell>
          <cell r="J215">
            <v>46283</v>
          </cell>
          <cell r="L215" t="str">
            <v>PREENFRIO FORTALEZA</v>
          </cell>
          <cell r="M215">
            <v>1.5</v>
          </cell>
          <cell r="N215">
            <v>36</v>
          </cell>
          <cell r="O215">
            <v>46279</v>
          </cell>
          <cell r="P215">
            <v>0.72222222222222221</v>
          </cell>
          <cell r="Q215" t="str">
            <v>NORMAL</v>
          </cell>
          <cell r="R215">
            <v>46279</v>
          </cell>
          <cell r="S215">
            <v>0.93958333333333333</v>
          </cell>
          <cell r="T215">
            <v>0.625</v>
          </cell>
          <cell r="U215">
            <v>46280.564583333333</v>
          </cell>
          <cell r="V215">
            <v>46280</v>
          </cell>
          <cell r="W215">
            <v>0.72569444444444442</v>
          </cell>
          <cell r="X215" t="str">
            <v>SI CUMPLE</v>
          </cell>
          <cell r="Y215" t="str">
            <v>SI CUMPLE</v>
          </cell>
          <cell r="AA215" t="str">
            <v>DESPACHADO</v>
          </cell>
          <cell r="AB215" t="str">
            <v>MARIBEL TORRES CASTILLO</v>
          </cell>
          <cell r="AC215" t="str">
            <v>JESUS SANTANA</v>
          </cell>
          <cell r="AD215">
            <v>21535</v>
          </cell>
          <cell r="AE215" t="str">
            <v>QCH1W046M0</v>
          </cell>
        </row>
        <row r="216">
          <cell r="A216" t="str">
            <v>Chanitos Premium Tarima Chep</v>
          </cell>
          <cell r="B216" t="str">
            <v>CPR01102</v>
          </cell>
          <cell r="C216" t="str">
            <v>A01003-381409-1</v>
          </cell>
          <cell r="D216" t="str">
            <v>A01 003 Doña Nelly</v>
          </cell>
          <cell r="E216" t="str">
            <v>MTY</v>
          </cell>
          <cell r="F216">
            <v>1099</v>
          </cell>
          <cell r="G216">
            <v>22.895833333333332</v>
          </cell>
          <cell r="H216">
            <v>46279</v>
          </cell>
          <cell r="I216">
            <v>38</v>
          </cell>
          <cell r="J216">
            <v>46283</v>
          </cell>
          <cell r="L216" t="str">
            <v>PREENFRIO NELLY</v>
          </cell>
          <cell r="M216">
            <v>2.5</v>
          </cell>
          <cell r="N216">
            <v>60</v>
          </cell>
          <cell r="O216">
            <v>46279</v>
          </cell>
          <cell r="P216">
            <v>0.75</v>
          </cell>
          <cell r="Q216" t="str">
            <v>NORMAL</v>
          </cell>
          <cell r="R216">
            <v>46279</v>
          </cell>
          <cell r="S216">
            <v>0.65972222222222221</v>
          </cell>
          <cell r="T216">
            <v>0.35416666666666669</v>
          </cell>
          <cell r="U216">
            <v>46280.013888888883</v>
          </cell>
          <cell r="V216">
            <v>46280</v>
          </cell>
          <cell r="W216">
            <v>0.34722222222222221</v>
          </cell>
          <cell r="X216" t="str">
            <v>SI CUMPLE</v>
          </cell>
          <cell r="Y216" t="str">
            <v>SI CUMPLE</v>
          </cell>
          <cell r="AA216" t="str">
            <v>DESPACHADO</v>
          </cell>
          <cell r="AB216" t="str">
            <v>EXPRESS CAVAZOS CANTU</v>
          </cell>
          <cell r="AC216" t="str">
            <v>JERESARET BARTOLO RUIZ</v>
          </cell>
          <cell r="AD216">
            <v>12828</v>
          </cell>
          <cell r="AE216" t="str">
            <v>QCH1W03ND0</v>
          </cell>
        </row>
        <row r="217">
          <cell r="A217" t="str">
            <v>Platano de Chiapas BAE UPC 3237</v>
          </cell>
          <cell r="B217" t="str">
            <v>CPR01114</v>
          </cell>
          <cell r="C217" t="str">
            <v>A01003-381409-1</v>
          </cell>
          <cell r="D217" t="str">
            <v>A01 003 Doña Nelly</v>
          </cell>
          <cell r="E217" t="str">
            <v>MTY</v>
          </cell>
          <cell r="F217">
            <v>5</v>
          </cell>
          <cell r="G217">
            <v>0.10416666666666667</v>
          </cell>
          <cell r="H217">
            <v>46279</v>
          </cell>
          <cell r="I217">
            <v>38</v>
          </cell>
          <cell r="J217">
            <v>46283</v>
          </cell>
          <cell r="L217" t="str">
            <v>PREENFRIO NELLY</v>
          </cell>
          <cell r="M217">
            <v>2.5</v>
          </cell>
          <cell r="N217">
            <v>60</v>
          </cell>
          <cell r="O217">
            <v>46279</v>
          </cell>
          <cell r="P217">
            <v>0.75</v>
          </cell>
          <cell r="Q217" t="str">
            <v>NORMAL</v>
          </cell>
          <cell r="R217">
            <v>46279</v>
          </cell>
          <cell r="S217">
            <v>0.65972222222222221</v>
          </cell>
          <cell r="T217">
            <v>0.35416666666666669</v>
          </cell>
          <cell r="U217">
            <v>46280.013888888883</v>
          </cell>
          <cell r="V217">
            <v>46280</v>
          </cell>
          <cell r="W217">
            <v>0.34722222222222221</v>
          </cell>
          <cell r="X217" t="str">
            <v>SI CUMPLE</v>
          </cell>
          <cell r="Y217" t="str">
            <v>SI CUMPLE</v>
          </cell>
          <cell r="AA217" t="str">
            <v>DESPACHADO</v>
          </cell>
          <cell r="AB217" t="str">
            <v>EXPRESS CAVAZOS CANTU</v>
          </cell>
          <cell r="AC217" t="str">
            <v>JERESARET BARTOLO RUIZ</v>
          </cell>
          <cell r="AD217">
            <v>12828</v>
          </cell>
          <cell r="AE217" t="str">
            <v>QCH1W03ND0</v>
          </cell>
        </row>
        <row r="218">
          <cell r="A218" t="str">
            <v>Chanitos Organic Banded Market Side Mexico</v>
          </cell>
          <cell r="B218" t="str">
            <v>CRG07128</v>
          </cell>
          <cell r="C218" t="str">
            <v>A01003-381409-1</v>
          </cell>
          <cell r="D218" t="str">
            <v>A01 003 Doña Nelly</v>
          </cell>
          <cell r="E218" t="str">
            <v>MTY</v>
          </cell>
          <cell r="F218">
            <v>48</v>
          </cell>
          <cell r="G218">
            <v>1</v>
          </cell>
          <cell r="H218">
            <v>46279</v>
          </cell>
          <cell r="I218">
            <v>38</v>
          </cell>
          <cell r="J218">
            <v>46283</v>
          </cell>
          <cell r="L218" t="str">
            <v>PREENFRIO NELLY</v>
          </cell>
          <cell r="M218">
            <v>2.5</v>
          </cell>
          <cell r="N218">
            <v>60</v>
          </cell>
          <cell r="O218">
            <v>46279</v>
          </cell>
          <cell r="P218">
            <v>0.75</v>
          </cell>
          <cell r="Q218" t="str">
            <v>NORMAL</v>
          </cell>
          <cell r="R218">
            <v>46279</v>
          </cell>
          <cell r="S218">
            <v>0.65972222222222221</v>
          </cell>
          <cell r="T218">
            <v>0.35416666666666669</v>
          </cell>
          <cell r="U218">
            <v>46280.013888888883</v>
          </cell>
          <cell r="V218">
            <v>46280</v>
          </cell>
          <cell r="W218">
            <v>0.34722222222222221</v>
          </cell>
          <cell r="X218" t="str">
            <v>SI CUMPLE</v>
          </cell>
          <cell r="Y218" t="str">
            <v>SI CUMPLE</v>
          </cell>
          <cell r="AA218" t="str">
            <v>DESPACHADO</v>
          </cell>
          <cell r="AB218" t="str">
            <v>EXPRESS CAVAZOS CANTU</v>
          </cell>
          <cell r="AC218" t="str">
            <v>JERESARET BARTOLO RUIZ</v>
          </cell>
          <cell r="AD218">
            <v>12828</v>
          </cell>
          <cell r="AE218" t="str">
            <v>QCH1W03ND0</v>
          </cell>
        </row>
        <row r="219">
          <cell r="A219" t="str">
            <v>Chanitos Premium EUA Tarima Americana</v>
          </cell>
          <cell r="B219" t="str">
            <v>CPR01104</v>
          </cell>
          <cell r="C219" t="str">
            <v>A11056-381409-1</v>
          </cell>
          <cell r="D219" t="str">
            <v>A11 056 San Isidro</v>
          </cell>
          <cell r="E219" t="str">
            <v>McAllen</v>
          </cell>
          <cell r="F219">
            <v>960</v>
          </cell>
          <cell r="G219">
            <v>20</v>
          </cell>
          <cell r="H219">
            <v>46279</v>
          </cell>
          <cell r="I219">
            <v>38</v>
          </cell>
          <cell r="J219">
            <v>46284</v>
          </cell>
          <cell r="L219" t="str">
            <v>PREENFRIO FORTALEZA</v>
          </cell>
          <cell r="M219">
            <v>3</v>
          </cell>
          <cell r="N219">
            <v>72</v>
          </cell>
          <cell r="O219">
            <v>46280</v>
          </cell>
          <cell r="P219">
            <v>0.42222222222222222</v>
          </cell>
          <cell r="Q219" t="str">
            <v>NORMAL</v>
          </cell>
          <cell r="R219">
            <v>46280</v>
          </cell>
          <cell r="S219">
            <v>0.58680555555555558</v>
          </cell>
          <cell r="T219">
            <v>0.29166666666666669</v>
          </cell>
          <cell r="U219">
            <v>46280.878472222219</v>
          </cell>
          <cell r="V219">
            <v>46281</v>
          </cell>
          <cell r="W219">
            <v>0.375</v>
          </cell>
          <cell r="X219" t="str">
            <v>SI CUMPLE</v>
          </cell>
          <cell r="Y219" t="str">
            <v>NO CUMPLE</v>
          </cell>
          <cell r="AA219" t="str">
            <v>DESPACHADO</v>
          </cell>
          <cell r="AB219" t="str">
            <v>TRANSPORTES ALGEZA</v>
          </cell>
          <cell r="AC219" t="str">
            <v>JESUS ANTONIO HEREDIA HIGUERA</v>
          </cell>
          <cell r="AD219">
            <v>62079</v>
          </cell>
          <cell r="AE219">
            <v>100000914996</v>
          </cell>
        </row>
        <row r="220">
          <cell r="A220" t="str">
            <v>Chanitos Premium EUA Tarima Americana</v>
          </cell>
          <cell r="B220" t="str">
            <v>CPR01104</v>
          </cell>
          <cell r="C220" t="str">
            <v>A11045-381409-1</v>
          </cell>
          <cell r="D220" t="str">
            <v>A11 045 Sector Mazatan</v>
          </cell>
          <cell r="E220" t="str">
            <v>McAllen</v>
          </cell>
          <cell r="F220">
            <v>480</v>
          </cell>
          <cell r="G220">
            <v>10</v>
          </cell>
          <cell r="H220">
            <v>46279</v>
          </cell>
          <cell r="I220">
            <v>38</v>
          </cell>
          <cell r="J220">
            <v>46284</v>
          </cell>
          <cell r="L220" t="str">
            <v>PREENFRIO FORTALEZA</v>
          </cell>
          <cell r="M220">
            <v>3</v>
          </cell>
          <cell r="N220">
            <v>72</v>
          </cell>
          <cell r="O220">
            <v>46280</v>
          </cell>
          <cell r="P220">
            <v>0.59583333333333333</v>
          </cell>
          <cell r="Q220" t="str">
            <v>NORMAL</v>
          </cell>
          <cell r="R220">
            <v>46280</v>
          </cell>
          <cell r="S220">
            <v>0.89930555555555558</v>
          </cell>
          <cell r="T220">
            <v>0.29166666666666669</v>
          </cell>
          <cell r="U220">
            <v>46281.190972222219</v>
          </cell>
          <cell r="V220">
            <v>46281</v>
          </cell>
          <cell r="W220">
            <v>0.375</v>
          </cell>
          <cell r="X220" t="str">
            <v>NO CUMPLE</v>
          </cell>
          <cell r="Y220" t="str">
            <v>NO CUMPLE</v>
          </cell>
          <cell r="AA220" t="str">
            <v>DESPACHADO</v>
          </cell>
          <cell r="AB220" t="str">
            <v>TRANSPORTES ALGEZA</v>
          </cell>
          <cell r="AC220" t="str">
            <v>JESUS ANTONIO HEREDIA HIGUERA</v>
          </cell>
          <cell r="AD220">
            <v>15234</v>
          </cell>
          <cell r="AE220">
            <v>100000914998</v>
          </cell>
        </row>
        <row r="221">
          <cell r="A221" t="str">
            <v>Chanitos Premium Tarima Chep</v>
          </cell>
          <cell r="B221" t="str">
            <v>CPR01102</v>
          </cell>
          <cell r="C221" t="str">
            <v>A01002-381409-1</v>
          </cell>
          <cell r="D221" t="str">
            <v>A01 002 Fortaleza</v>
          </cell>
          <cell r="E221" t="str">
            <v>SMO</v>
          </cell>
          <cell r="F221">
            <v>288</v>
          </cell>
          <cell r="G221">
            <v>6</v>
          </cell>
          <cell r="H221">
            <v>46279</v>
          </cell>
          <cell r="I221">
            <v>38</v>
          </cell>
          <cell r="J221">
            <v>46284</v>
          </cell>
          <cell r="L221" t="str">
            <v>PREENFRIO FORTALEZA</v>
          </cell>
          <cell r="M221">
            <v>1.5</v>
          </cell>
          <cell r="N221">
            <v>36</v>
          </cell>
          <cell r="O221">
            <v>46279</v>
          </cell>
          <cell r="P221">
            <v>0.72222222222222221</v>
          </cell>
          <cell r="Q221" t="str">
            <v>NORMAL</v>
          </cell>
          <cell r="R221">
            <v>46279</v>
          </cell>
          <cell r="S221">
            <v>0.93958333333333333</v>
          </cell>
          <cell r="T221">
            <v>0.625</v>
          </cell>
          <cell r="U221">
            <v>46280.564583333333</v>
          </cell>
          <cell r="V221">
            <v>46281</v>
          </cell>
          <cell r="W221">
            <v>0.38263888888888886</v>
          </cell>
          <cell r="X221" t="str">
            <v>SI CUMPLE</v>
          </cell>
          <cell r="Y221" t="str">
            <v>SI CUMPLE</v>
          </cell>
          <cell r="AA221" t="str">
            <v>DESPACHADO</v>
          </cell>
          <cell r="AB221" t="str">
            <v>TRANSPORTES SANCHEZ</v>
          </cell>
          <cell r="AC221" t="str">
            <v>ENRIQUE TREJO SANCHEZ</v>
          </cell>
          <cell r="AD221">
            <v>23787</v>
          </cell>
          <cell r="AE221" t="str">
            <v>N/A</v>
          </cell>
        </row>
        <row r="222">
          <cell r="A222" t="str">
            <v>Chanitos Premium Tarima Chep</v>
          </cell>
          <cell r="B222" t="str">
            <v>CPR01102</v>
          </cell>
          <cell r="C222" t="str">
            <v>A01002-381409-1</v>
          </cell>
          <cell r="D222" t="str">
            <v>A01 002 Fortaleza</v>
          </cell>
          <cell r="E222" t="str">
            <v>VSA</v>
          </cell>
          <cell r="F222">
            <v>240</v>
          </cell>
          <cell r="G222">
            <v>5</v>
          </cell>
          <cell r="H222">
            <v>46279</v>
          </cell>
          <cell r="I222">
            <v>38</v>
          </cell>
          <cell r="J222">
            <v>46284</v>
          </cell>
          <cell r="L222" t="str">
            <v>PREENFRIO FORTALEZA</v>
          </cell>
          <cell r="M222">
            <v>1</v>
          </cell>
          <cell r="N222">
            <v>24</v>
          </cell>
          <cell r="O222">
            <v>46279</v>
          </cell>
          <cell r="P222">
            <v>0.72222222222222221</v>
          </cell>
          <cell r="Q222" t="str">
            <v>NORMAL</v>
          </cell>
          <cell r="R222">
            <v>46279</v>
          </cell>
          <cell r="S222">
            <v>0.93958333333333333</v>
          </cell>
          <cell r="T222">
            <v>0.625</v>
          </cell>
          <cell r="U222">
            <v>46280.564583333333</v>
          </cell>
          <cell r="V222">
            <v>46282</v>
          </cell>
          <cell r="W222">
            <v>0.67361111111111116</v>
          </cell>
          <cell r="X222" t="str">
            <v>SI CUMPLE</v>
          </cell>
          <cell r="Y222" t="str">
            <v>SI CUMPLE</v>
          </cell>
          <cell r="AA222" t="str">
            <v>DESPACHADO</v>
          </cell>
          <cell r="AB222" t="str">
            <v>BACKHAUL</v>
          </cell>
          <cell r="AC222" t="str">
            <v>RAUL ANGEL MEDINA JAIMES</v>
          </cell>
          <cell r="AD222">
            <v>62561</v>
          </cell>
          <cell r="AE222" t="str">
            <v>QCH1W046B0</v>
          </cell>
        </row>
        <row r="223">
          <cell r="A223" t="str">
            <v>Chanitos Premium Tarima Chep</v>
          </cell>
          <cell r="B223" t="str">
            <v>CPR01102</v>
          </cell>
          <cell r="C223" t="str">
            <v>A01001-381409-1</v>
          </cell>
          <cell r="D223" t="str">
            <v>A01 001 Marbella</v>
          </cell>
          <cell r="E223" t="str">
            <v>VSA</v>
          </cell>
          <cell r="F223">
            <v>288</v>
          </cell>
          <cell r="G223">
            <v>6</v>
          </cell>
          <cell r="H223">
            <v>46279</v>
          </cell>
          <cell r="I223">
            <v>38</v>
          </cell>
          <cell r="J223">
            <v>46284</v>
          </cell>
          <cell r="L223" t="str">
            <v>PREENFRIO FORTALEZA</v>
          </cell>
          <cell r="M223">
            <v>1</v>
          </cell>
          <cell r="N223">
            <v>24</v>
          </cell>
          <cell r="O223">
            <v>46280</v>
          </cell>
          <cell r="P223">
            <v>0.83333333333333337</v>
          </cell>
          <cell r="Q223" t="str">
            <v>NORMAL</v>
          </cell>
          <cell r="R223">
            <v>46281</v>
          </cell>
          <cell r="S223">
            <v>0.3527777777777778</v>
          </cell>
          <cell r="T223">
            <v>0.41666666666666669</v>
          </cell>
          <cell r="U223">
            <v>46281.769444444442</v>
          </cell>
          <cell r="V223">
            <v>46282</v>
          </cell>
          <cell r="W223">
            <v>0.67361111111111116</v>
          </cell>
          <cell r="X223" t="str">
            <v>SI CUMPLE</v>
          </cell>
          <cell r="Y223" t="str">
            <v>SI CUMPLE</v>
          </cell>
          <cell r="AA223" t="str">
            <v>DESPACHADO</v>
          </cell>
          <cell r="AB223" t="str">
            <v>BACKHAUL</v>
          </cell>
          <cell r="AC223" t="str">
            <v>RAUL ANGEL MEDINA JAIMES</v>
          </cell>
          <cell r="AD223">
            <v>62561</v>
          </cell>
          <cell r="AE223" t="str">
            <v>QCH1W046B0</v>
          </cell>
        </row>
        <row r="224">
          <cell r="A224" t="str">
            <v>Chanitos Premium Tarima Chep</v>
          </cell>
          <cell r="B224" t="str">
            <v>CPR01102</v>
          </cell>
          <cell r="C224" t="str">
            <v>A01001-381409-1</v>
          </cell>
          <cell r="D224" t="str">
            <v>A01 001 Marbella</v>
          </cell>
          <cell r="E224" t="str">
            <v>Chalco</v>
          </cell>
          <cell r="F224">
            <v>1104</v>
          </cell>
          <cell r="G224">
            <v>23</v>
          </cell>
          <cell r="H224">
            <v>46279</v>
          </cell>
          <cell r="I224">
            <v>38</v>
          </cell>
          <cell r="J224">
            <v>46284</v>
          </cell>
          <cell r="L224" t="str">
            <v>PREENFRIO NELLY</v>
          </cell>
          <cell r="M224">
            <v>1</v>
          </cell>
          <cell r="N224">
            <v>24</v>
          </cell>
          <cell r="O224">
            <v>46279</v>
          </cell>
          <cell r="P224">
            <v>0.75</v>
          </cell>
          <cell r="Q224" t="str">
            <v>NORMAL</v>
          </cell>
          <cell r="R224">
            <v>46280</v>
          </cell>
          <cell r="S224">
            <v>1.3888888888888888E-2</v>
          </cell>
          <cell r="T224">
            <v>0.35416666666666669</v>
          </cell>
          <cell r="U224">
            <v>46280.368055555555</v>
          </cell>
          <cell r="V224">
            <v>46280</v>
          </cell>
          <cell r="W224">
            <v>0.82986111111111116</v>
          </cell>
          <cell r="X224" t="str">
            <v>SI CUMPLE</v>
          </cell>
          <cell r="Y224" t="str">
            <v>SI CUMPLE</v>
          </cell>
          <cell r="AA224" t="str">
            <v>DESPACHADO</v>
          </cell>
          <cell r="AB224" t="str">
            <v>ALICIA CRUZ FUENTES</v>
          </cell>
          <cell r="AC224" t="str">
            <v>EDGAR CARRILLO CRUZ</v>
          </cell>
          <cell r="AD224">
            <v>84190</v>
          </cell>
          <cell r="AE224" t="str">
            <v>QCH1W03RR0</v>
          </cell>
        </row>
        <row r="225">
          <cell r="A225" t="str">
            <v>Platano de Chiapas BAE UPC 3237</v>
          </cell>
          <cell r="B225" t="str">
            <v>CPR01114</v>
          </cell>
          <cell r="C225" t="str">
            <v>A01001-381409-1</v>
          </cell>
          <cell r="D225" t="str">
            <v>A01 001 Marbella</v>
          </cell>
          <cell r="E225" t="str">
            <v>Chalco</v>
          </cell>
          <cell r="F225">
            <v>48</v>
          </cell>
          <cell r="G225">
            <v>1</v>
          </cell>
          <cell r="H225">
            <v>46279</v>
          </cell>
          <cell r="I225">
            <v>38</v>
          </cell>
          <cell r="J225">
            <v>46284</v>
          </cell>
          <cell r="L225" t="str">
            <v>PREENFRIO NELLY</v>
          </cell>
          <cell r="M225">
            <v>1</v>
          </cell>
          <cell r="N225">
            <v>24</v>
          </cell>
          <cell r="O225">
            <v>46279</v>
          </cell>
          <cell r="P225">
            <v>0.75</v>
          </cell>
          <cell r="Q225" t="str">
            <v>NORMAL</v>
          </cell>
          <cell r="R225">
            <v>46280</v>
          </cell>
          <cell r="S225">
            <v>1.3888888888888888E-2</v>
          </cell>
          <cell r="T225">
            <v>0.35416666666666669</v>
          </cell>
          <cell r="U225">
            <v>46280.368055555555</v>
          </cell>
          <cell r="V225">
            <v>46280</v>
          </cell>
          <cell r="W225">
            <v>0.82986111111111116</v>
          </cell>
          <cell r="X225" t="str">
            <v>SI CUMPLE</v>
          </cell>
          <cell r="Y225" t="str">
            <v>SI CUMPLE</v>
          </cell>
          <cell r="AA225" t="str">
            <v>DESPACHADO</v>
          </cell>
          <cell r="AB225" t="str">
            <v>ALICIA CRUZ FUENTES</v>
          </cell>
          <cell r="AC225" t="str">
            <v>EDGAR CARRILLO CRUZ</v>
          </cell>
          <cell r="AD225">
            <v>84190</v>
          </cell>
          <cell r="AE225" t="str">
            <v>QCH1W03RR0</v>
          </cell>
        </row>
        <row r="226">
          <cell r="A226" t="str">
            <v>Chanitos Premium Tarima Chep</v>
          </cell>
          <cell r="B226" t="str">
            <v>CPR01102</v>
          </cell>
          <cell r="C226" t="str">
            <v>A01003-381409-1</v>
          </cell>
          <cell r="D226" t="str">
            <v>A01 003 Doña Nelly</v>
          </cell>
          <cell r="E226" t="str">
            <v>SMO</v>
          </cell>
          <cell r="F226">
            <v>192</v>
          </cell>
          <cell r="G226">
            <v>4</v>
          </cell>
          <cell r="H226">
            <v>46279</v>
          </cell>
          <cell r="I226">
            <v>38</v>
          </cell>
          <cell r="J226">
            <v>46284</v>
          </cell>
          <cell r="L226" t="str">
            <v>PREENFRIO NELLY</v>
          </cell>
          <cell r="M226">
            <v>1.5</v>
          </cell>
          <cell r="N226">
            <v>36</v>
          </cell>
          <cell r="O226">
            <v>46279</v>
          </cell>
          <cell r="P226">
            <v>0.70833333333333337</v>
          </cell>
          <cell r="Q226" t="str">
            <v>NORMAL</v>
          </cell>
          <cell r="R226">
            <v>46279</v>
          </cell>
          <cell r="S226">
            <v>0.48888888888888887</v>
          </cell>
          <cell r="T226">
            <v>0.35416666666666669</v>
          </cell>
          <cell r="U226">
            <v>46279.843055555553</v>
          </cell>
          <cell r="V226">
            <v>46281</v>
          </cell>
          <cell r="W226">
            <v>0.53611111111111109</v>
          </cell>
          <cell r="X226" t="str">
            <v>SI CUMPLE</v>
          </cell>
          <cell r="Y226" t="str">
            <v>SI CUMPLE</v>
          </cell>
          <cell r="AA226" t="str">
            <v>DESPACHADO</v>
          </cell>
          <cell r="AB226" t="str">
            <v>MARIBEL DE LA ROSA FERNANDEZ</v>
          </cell>
          <cell r="AC226" t="str">
            <v>ENRIQUE TREJO</v>
          </cell>
          <cell r="AD226">
            <v>76329</v>
          </cell>
          <cell r="AE226" t="str">
            <v>QCH1W03SG0</v>
          </cell>
        </row>
        <row r="227">
          <cell r="A227" t="str">
            <v>Chanitos Premium EUA Tarima Americana</v>
          </cell>
          <cell r="B227" t="str">
            <v>CPR01104</v>
          </cell>
          <cell r="C227" t="str">
            <v>A11045-381509-1</v>
          </cell>
          <cell r="D227" t="str">
            <v>A11 045 Sector Mazatan</v>
          </cell>
          <cell r="E227" t="str">
            <v>McAllen</v>
          </cell>
          <cell r="F227">
            <v>480</v>
          </cell>
          <cell r="G227">
            <v>10</v>
          </cell>
          <cell r="H227">
            <v>46280</v>
          </cell>
          <cell r="I227">
            <v>38</v>
          </cell>
          <cell r="J227">
            <v>46284</v>
          </cell>
          <cell r="L227" t="str">
            <v>PREENFRIO FORTALEZA</v>
          </cell>
          <cell r="M227">
            <v>3</v>
          </cell>
          <cell r="N227">
            <v>72</v>
          </cell>
          <cell r="O227">
            <v>46280</v>
          </cell>
          <cell r="P227">
            <v>0.70833333333333337</v>
          </cell>
          <cell r="Q227" t="str">
            <v>NORMAL</v>
          </cell>
          <cell r="R227">
            <v>46280</v>
          </cell>
          <cell r="S227">
            <v>0.89930555555555558</v>
          </cell>
          <cell r="T227">
            <v>0.29166666666666669</v>
          </cell>
          <cell r="U227">
            <v>46281.190972222219</v>
          </cell>
          <cell r="V227">
            <v>46281</v>
          </cell>
          <cell r="W227">
            <v>0.375</v>
          </cell>
          <cell r="X227" t="str">
            <v>NO CUMPLE</v>
          </cell>
          <cell r="Y227" t="str">
            <v>NO CUMPLE</v>
          </cell>
          <cell r="AA227" t="str">
            <v>DESPACHADO</v>
          </cell>
          <cell r="AB227" t="str">
            <v>TRANSPORTES ALGEZA</v>
          </cell>
          <cell r="AC227" t="str">
            <v>JESUS ANTONIO HEREDIA HIGUERA</v>
          </cell>
          <cell r="AD227">
            <v>15234</v>
          </cell>
          <cell r="AE227">
            <v>100000914998</v>
          </cell>
        </row>
        <row r="228">
          <cell r="A228" t="str">
            <v>Chanitos Premium Tarima Chep</v>
          </cell>
          <cell r="B228" t="str">
            <v>CPR01102</v>
          </cell>
          <cell r="C228" t="str">
            <v>A01002-381509-1</v>
          </cell>
          <cell r="D228" t="str">
            <v>A01 002 Fortaleza</v>
          </cell>
          <cell r="E228" t="str">
            <v>VSA</v>
          </cell>
          <cell r="F228">
            <v>336</v>
          </cell>
          <cell r="G228">
            <v>7</v>
          </cell>
          <cell r="H228">
            <v>46280</v>
          </cell>
          <cell r="I228">
            <v>38</v>
          </cell>
          <cell r="J228">
            <v>46284</v>
          </cell>
          <cell r="L228" t="str">
            <v>PREENFRIO FORTALEZA</v>
          </cell>
          <cell r="M228">
            <v>1</v>
          </cell>
          <cell r="N228">
            <v>24</v>
          </cell>
          <cell r="O228">
            <v>46280</v>
          </cell>
          <cell r="P228">
            <v>0.75624999999999998</v>
          </cell>
          <cell r="Q228" t="str">
            <v>NORMAL</v>
          </cell>
          <cell r="R228">
            <v>46281</v>
          </cell>
          <cell r="S228">
            <v>0.54166666666666663</v>
          </cell>
          <cell r="T228">
            <v>0.20833333333333334</v>
          </cell>
          <cell r="U228">
            <v>46281.75</v>
          </cell>
          <cell r="V228">
            <v>46282</v>
          </cell>
          <cell r="W228">
            <v>0.67361111111111116</v>
          </cell>
          <cell r="X228" t="str">
            <v>SI CUMPLE</v>
          </cell>
          <cell r="Y228" t="str">
            <v>SI CUMPLE</v>
          </cell>
          <cell r="AA228" t="str">
            <v>DESPACHADO</v>
          </cell>
          <cell r="AB228" t="str">
            <v>BACKHAUL</v>
          </cell>
          <cell r="AC228" t="str">
            <v>RAUL ANGEL MEDINA JAIMES</v>
          </cell>
          <cell r="AD228">
            <v>62561</v>
          </cell>
          <cell r="AE228" t="str">
            <v>QCH1W046B0</v>
          </cell>
        </row>
        <row r="229">
          <cell r="A229" t="str">
            <v>Chanitos Organic Banded Market Side Mexico</v>
          </cell>
          <cell r="B229" t="str">
            <v>CRG07128</v>
          </cell>
          <cell r="C229" t="str">
            <v>A01002-381509-1</v>
          </cell>
          <cell r="D229" t="str">
            <v>A01 002 Fortaleza</v>
          </cell>
          <cell r="E229" t="str">
            <v>VSA</v>
          </cell>
          <cell r="F229">
            <v>288</v>
          </cell>
          <cell r="G229">
            <v>6</v>
          </cell>
          <cell r="H229">
            <v>46280</v>
          </cell>
          <cell r="I229">
            <v>38</v>
          </cell>
          <cell r="J229">
            <v>46284</v>
          </cell>
          <cell r="L229" t="str">
            <v>PREENFRIO FORTALEZA</v>
          </cell>
          <cell r="M229">
            <v>1</v>
          </cell>
          <cell r="N229">
            <v>24</v>
          </cell>
          <cell r="O229">
            <v>46280</v>
          </cell>
          <cell r="P229">
            <v>0.75624999999999998</v>
          </cell>
          <cell r="Q229" t="str">
            <v>NORMAL</v>
          </cell>
          <cell r="R229">
            <v>46281</v>
          </cell>
          <cell r="S229">
            <v>0.78125</v>
          </cell>
          <cell r="T229">
            <v>0.625</v>
          </cell>
          <cell r="U229">
            <v>46282.40625</v>
          </cell>
          <cell r="V229">
            <v>46282</v>
          </cell>
          <cell r="W229">
            <v>0.67361111111111116</v>
          </cell>
          <cell r="X229" t="str">
            <v>SI CUMPLE</v>
          </cell>
          <cell r="Y229" t="str">
            <v>SI CUMPLE</v>
          </cell>
          <cell r="AA229" t="str">
            <v>DESPACHADO</v>
          </cell>
          <cell r="AB229" t="str">
            <v>BACKHAUL</v>
          </cell>
          <cell r="AC229" t="str">
            <v>RAUL ANGEL MEDINA JAIMES</v>
          </cell>
          <cell r="AD229">
            <v>62561</v>
          </cell>
          <cell r="AE229" t="str">
            <v>QCH1W046B0</v>
          </cell>
        </row>
        <row r="230">
          <cell r="A230" t="str">
            <v>Chanitos Premium Tarima Chep</v>
          </cell>
          <cell r="B230" t="str">
            <v>CPR01102</v>
          </cell>
          <cell r="C230" t="str">
            <v>A01003-381509-1</v>
          </cell>
          <cell r="D230" t="str">
            <v>A01 003 Doña Nelly</v>
          </cell>
          <cell r="E230" t="str">
            <v>SMO</v>
          </cell>
          <cell r="F230">
            <v>672</v>
          </cell>
          <cell r="G230">
            <v>14</v>
          </cell>
          <cell r="H230">
            <v>46280</v>
          </cell>
          <cell r="I230">
            <v>38</v>
          </cell>
          <cell r="J230">
            <v>46284</v>
          </cell>
          <cell r="K230">
            <v>0.25</v>
          </cell>
          <cell r="L230" t="str">
            <v>PREENFRIO NELLY</v>
          </cell>
          <cell r="M230">
            <v>1.5</v>
          </cell>
          <cell r="N230">
            <v>36</v>
          </cell>
          <cell r="O230">
            <v>46280</v>
          </cell>
          <cell r="P230">
            <v>0.70833333333333337</v>
          </cell>
          <cell r="Q230" t="str">
            <v>NORMAL</v>
          </cell>
          <cell r="R230">
            <v>46280</v>
          </cell>
          <cell r="S230">
            <v>0.72916666666666663</v>
          </cell>
          <cell r="T230">
            <v>0.35416666666666669</v>
          </cell>
          <cell r="U230">
            <v>46281.083333333328</v>
          </cell>
          <cell r="V230">
            <v>46281</v>
          </cell>
          <cell r="W230">
            <v>0.53611111111111109</v>
          </cell>
          <cell r="X230" t="str">
            <v>SI CUMPLE</v>
          </cell>
          <cell r="Y230" t="str">
            <v>SI CUMPLE</v>
          </cell>
          <cell r="AA230" t="str">
            <v>DESPACHADO</v>
          </cell>
          <cell r="AB230" t="str">
            <v>MARIBEL DE LA ROSA FERNANDEZ</v>
          </cell>
          <cell r="AC230" t="str">
            <v>ENRIQUE TREJO</v>
          </cell>
          <cell r="AD230">
            <v>76329</v>
          </cell>
          <cell r="AE230" t="str">
            <v>QCH1W03SG0</v>
          </cell>
        </row>
        <row r="231">
          <cell r="A231" t="str">
            <v>Chanitos Plantain 20Kg Tarima Chep</v>
          </cell>
          <cell r="B231" t="str">
            <v>CPL08141</v>
          </cell>
          <cell r="C231" t="str">
            <v>A41100-381709-1</v>
          </cell>
          <cell r="D231" t="str">
            <v>A41 100 Doña Lupe JV</v>
          </cell>
          <cell r="E231" t="str">
            <v>CEDA</v>
          </cell>
          <cell r="F231">
            <v>384</v>
          </cell>
          <cell r="G231">
            <v>8</v>
          </cell>
          <cell r="H231">
            <v>46282</v>
          </cell>
          <cell r="I231">
            <v>38</v>
          </cell>
          <cell r="J231">
            <v>46284</v>
          </cell>
          <cell r="L231" t="str">
            <v>PREENFRIO FORTALEZA</v>
          </cell>
          <cell r="M231">
            <v>1.5</v>
          </cell>
          <cell r="N231">
            <v>36</v>
          </cell>
          <cell r="O231">
            <v>46282</v>
          </cell>
          <cell r="P231">
            <v>0.70138888888888884</v>
          </cell>
          <cell r="Q231" t="str">
            <v>NORMAL</v>
          </cell>
          <cell r="R231">
            <v>46282</v>
          </cell>
          <cell r="S231">
            <v>0.73819444444444449</v>
          </cell>
          <cell r="T231">
            <v>0.25</v>
          </cell>
          <cell r="U231">
            <v>46282.988194444442</v>
          </cell>
          <cell r="V231">
            <v>46283</v>
          </cell>
          <cell r="W231">
            <v>0.4236111111111111</v>
          </cell>
          <cell r="X231" t="str">
            <v>NO CUMPLE</v>
          </cell>
          <cell r="Y231" t="str">
            <v>NO CUMPLE</v>
          </cell>
          <cell r="AA231" t="str">
            <v>DESPACHADO</v>
          </cell>
          <cell r="AB231" t="str">
            <v>KAREN AMADO HUERTA</v>
          </cell>
          <cell r="AC231" t="str">
            <v>DONATO GAZCA FLORES</v>
          </cell>
          <cell r="AD231">
            <v>74318</v>
          </cell>
          <cell r="AE231" t="str">
            <v>N/A</v>
          </cell>
        </row>
        <row r="232">
          <cell r="A232" t="str">
            <v>Chanitos Premium Tarima Chep</v>
          </cell>
          <cell r="B232" t="str">
            <v>CPR01102</v>
          </cell>
          <cell r="C232" t="str">
            <v>A01001-381509-1</v>
          </cell>
          <cell r="D232" t="str">
            <v>A01 001 Marbella</v>
          </cell>
          <cell r="E232" t="str">
            <v>SMO</v>
          </cell>
          <cell r="F232">
            <v>96</v>
          </cell>
          <cell r="G232">
            <v>2</v>
          </cell>
          <cell r="H232">
            <v>46280</v>
          </cell>
          <cell r="I232">
            <v>38</v>
          </cell>
          <cell r="J232">
            <v>46285</v>
          </cell>
          <cell r="L232" t="str">
            <v>PREENFRIO FORTALEZA</v>
          </cell>
          <cell r="M232">
            <v>1.5</v>
          </cell>
          <cell r="N232">
            <v>36</v>
          </cell>
          <cell r="O232">
            <v>46280</v>
          </cell>
          <cell r="P232">
            <v>0.83333333333333337</v>
          </cell>
          <cell r="Q232" t="str">
            <v>NORMAL</v>
          </cell>
          <cell r="R232">
            <v>46281</v>
          </cell>
          <cell r="S232">
            <v>0.3527777777777778</v>
          </cell>
          <cell r="T232">
            <v>0.41666666666666669</v>
          </cell>
          <cell r="U232">
            <v>46281.769444444442</v>
          </cell>
          <cell r="V232">
            <v>46283</v>
          </cell>
          <cell r="W232">
            <v>6.25E-2</v>
          </cell>
          <cell r="X232" t="str">
            <v>SI CUMPLE</v>
          </cell>
          <cell r="Y232" t="str">
            <v>SI CUMPLE</v>
          </cell>
          <cell r="AA232" t="str">
            <v>DESPACHADO</v>
          </cell>
          <cell r="AB232" t="str">
            <v>JESUS GUDIÑO</v>
          </cell>
          <cell r="AC232" t="str">
            <v>EDUARDO VARGAS</v>
          </cell>
          <cell r="AD232">
            <v>33669</v>
          </cell>
          <cell r="AE232" t="str">
            <v>QCH1W04620</v>
          </cell>
        </row>
        <row r="233">
          <cell r="A233" t="str">
            <v>Chanitos Premium Tarima Chep</v>
          </cell>
          <cell r="B233" t="str">
            <v>CPR01102</v>
          </cell>
          <cell r="C233" t="str">
            <v>A01002-381509-1</v>
          </cell>
          <cell r="D233" t="str">
            <v>A01 002 Fortaleza</v>
          </cell>
          <cell r="E233" t="str">
            <v>SMO</v>
          </cell>
          <cell r="F233">
            <v>1056</v>
          </cell>
          <cell r="G233">
            <v>22</v>
          </cell>
          <cell r="H233">
            <v>46280</v>
          </cell>
          <cell r="I233">
            <v>38</v>
          </cell>
          <cell r="J233">
            <v>46285</v>
          </cell>
          <cell r="L233" t="str">
            <v>PREENFRIO FORTALEZA</v>
          </cell>
          <cell r="M233">
            <v>1.5</v>
          </cell>
          <cell r="N233">
            <v>36</v>
          </cell>
          <cell r="O233">
            <v>46280</v>
          </cell>
          <cell r="P233">
            <v>0.75624999999999998</v>
          </cell>
          <cell r="Q233" t="str">
            <v>NORMAL</v>
          </cell>
          <cell r="R233">
            <v>46281</v>
          </cell>
          <cell r="S233">
            <v>0.78125</v>
          </cell>
          <cell r="T233">
            <v>0.625</v>
          </cell>
          <cell r="U233">
            <v>46282.40625</v>
          </cell>
          <cell r="V233">
            <v>46283</v>
          </cell>
          <cell r="W233">
            <v>6.25E-2</v>
          </cell>
          <cell r="X233" t="str">
            <v>SI CUMPLE</v>
          </cell>
          <cell r="Y233" t="str">
            <v>SI CUMPLE</v>
          </cell>
          <cell r="AA233" t="str">
            <v>DESPACHADO</v>
          </cell>
          <cell r="AB233" t="str">
            <v>JESUS GUDIÑO</v>
          </cell>
          <cell r="AC233" t="str">
            <v>EDUARDO VARGAS</v>
          </cell>
          <cell r="AD233">
            <v>33669</v>
          </cell>
          <cell r="AE233" t="str">
            <v>QCH1W04620</v>
          </cell>
        </row>
        <row r="234">
          <cell r="A234" t="str">
            <v>Chanitos Premium Tarima Chep</v>
          </cell>
          <cell r="B234" t="str">
            <v>CPR01102</v>
          </cell>
          <cell r="C234" t="str">
            <v>A01002-381509-1</v>
          </cell>
          <cell r="D234" t="str">
            <v>A01 002 Fortaleza</v>
          </cell>
          <cell r="E234" t="str">
            <v>QRO</v>
          </cell>
          <cell r="F234">
            <v>48</v>
          </cell>
          <cell r="G234">
            <v>0.75</v>
          </cell>
          <cell r="H234">
            <v>46280</v>
          </cell>
          <cell r="I234">
            <v>38</v>
          </cell>
          <cell r="J234">
            <v>46286</v>
          </cell>
          <cell r="L234" t="str">
            <v>PREENFRIO FORTALEZA</v>
          </cell>
          <cell r="M234">
            <v>1.5</v>
          </cell>
          <cell r="N234">
            <v>36</v>
          </cell>
          <cell r="O234">
            <v>46280</v>
          </cell>
          <cell r="P234">
            <v>0.75624999999999998</v>
          </cell>
          <cell r="Q234" t="str">
            <v>NORMAL</v>
          </cell>
          <cell r="R234">
            <v>46281</v>
          </cell>
          <cell r="S234">
            <v>0.125</v>
          </cell>
          <cell r="T234">
            <v>0.625</v>
          </cell>
          <cell r="U234">
            <v>46281.75</v>
          </cell>
          <cell r="V234">
            <v>46283</v>
          </cell>
          <cell r="W234">
            <v>0.73958333333333337</v>
          </cell>
          <cell r="X234" t="str">
            <v>SI CUMPLE</v>
          </cell>
          <cell r="Y234" t="str">
            <v>SI CUMPLE</v>
          </cell>
          <cell r="AA234" t="str">
            <v>DESPACHADO</v>
          </cell>
          <cell r="AB234" t="str">
            <v>MARIBEL DE LA ROSA FERNANDEZ</v>
          </cell>
          <cell r="AC234" t="str">
            <v>JACINTO RAMIREZ LOPEZ</v>
          </cell>
          <cell r="AD234">
            <v>90178</v>
          </cell>
          <cell r="AE234" t="str">
            <v>QCH1W04KP0</v>
          </cell>
        </row>
        <row r="235">
          <cell r="A235" t="str">
            <v>Chanitos Premium Tarima Chep</v>
          </cell>
          <cell r="B235" t="str">
            <v>CPR01102</v>
          </cell>
          <cell r="C235" t="str">
            <v>A01001-381509-1</v>
          </cell>
          <cell r="D235" t="str">
            <v>A01 001 Marbella</v>
          </cell>
          <cell r="E235" t="str">
            <v>SMO</v>
          </cell>
          <cell r="F235">
            <v>288</v>
          </cell>
          <cell r="G235">
            <v>6</v>
          </cell>
          <cell r="H235">
            <v>46280</v>
          </cell>
          <cell r="I235">
            <v>38</v>
          </cell>
          <cell r="J235">
            <v>46286</v>
          </cell>
          <cell r="L235" t="str">
            <v>PREENFRIO FORTALEZA</v>
          </cell>
          <cell r="M235">
            <v>1.5</v>
          </cell>
          <cell r="N235">
            <v>36</v>
          </cell>
          <cell r="O235">
            <v>46280</v>
          </cell>
          <cell r="P235">
            <v>0.83333333333333337</v>
          </cell>
          <cell r="Q235" t="str">
            <v>NORMAL</v>
          </cell>
          <cell r="R235">
            <v>46281</v>
          </cell>
          <cell r="S235">
            <v>0.3527777777777778</v>
          </cell>
          <cell r="T235">
            <v>0.41666666666666669</v>
          </cell>
          <cell r="U235">
            <v>46281.769444444442</v>
          </cell>
          <cell r="V235">
            <v>46283</v>
          </cell>
          <cell r="W235">
            <v>0.55902777777777779</v>
          </cell>
          <cell r="X235" t="str">
            <v>SI CUMPLE</v>
          </cell>
          <cell r="Y235" t="str">
            <v>SI CUMPLE</v>
          </cell>
          <cell r="AA235" t="str">
            <v>DESPACHADO</v>
          </cell>
          <cell r="AB235" t="str">
            <v>ALICIA CRUZ FUENTES</v>
          </cell>
          <cell r="AC235" t="str">
            <v>YONATAN GOMEZ ORTIZ</v>
          </cell>
          <cell r="AD235">
            <v>76055</v>
          </cell>
          <cell r="AE235" t="str">
            <v>QCH1W04HW0</v>
          </cell>
        </row>
        <row r="236">
          <cell r="A236" t="str">
            <v>Chanitos Premium Tarima Americana</v>
          </cell>
          <cell r="B236" t="str">
            <v>CPR01103</v>
          </cell>
          <cell r="C236" t="str">
            <v>A01003-381509-1</v>
          </cell>
          <cell r="D236" t="str">
            <v>A01 003 Doña Nelly</v>
          </cell>
          <cell r="E236" t="str">
            <v>Ciudad Juarez</v>
          </cell>
          <cell r="F236">
            <v>816</v>
          </cell>
          <cell r="G236">
            <v>17</v>
          </cell>
          <cell r="H236">
            <v>46280</v>
          </cell>
          <cell r="I236">
            <v>38</v>
          </cell>
          <cell r="J236">
            <v>46287</v>
          </cell>
          <cell r="K236">
            <v>0.25</v>
          </cell>
          <cell r="L236" t="str">
            <v>PREENFRIO NELLY</v>
          </cell>
          <cell r="M236">
            <v>4</v>
          </cell>
          <cell r="N236">
            <v>96</v>
          </cell>
          <cell r="O236">
            <v>46280</v>
          </cell>
          <cell r="P236">
            <v>0.70833333333333337</v>
          </cell>
          <cell r="Q236" t="str">
            <v>NORMAL</v>
          </cell>
          <cell r="R236">
            <v>46280</v>
          </cell>
          <cell r="S236">
            <v>0.50972222222222219</v>
          </cell>
          <cell r="T236">
            <v>0.4375</v>
          </cell>
          <cell r="U236">
            <v>46280.947222222225</v>
          </cell>
          <cell r="V236">
            <v>46283</v>
          </cell>
          <cell r="W236">
            <v>0.33263888888888887</v>
          </cell>
          <cell r="X236" t="str">
            <v>SI CUMPLE</v>
          </cell>
          <cell r="Y236" t="str">
            <v>NO CUMPLE</v>
          </cell>
          <cell r="AA236" t="str">
            <v>DESPACHADO</v>
          </cell>
          <cell r="AB236" t="str">
            <v>AUTO EXPRESS SEGOVIA</v>
          </cell>
          <cell r="AC236" t="str">
            <v>LUIS MIGUEL RAMIREZ RIVERA</v>
          </cell>
          <cell r="AD236">
            <v>21381</v>
          </cell>
          <cell r="AE236" t="str">
            <v>QCH1W04Z30</v>
          </cell>
        </row>
        <row r="237">
          <cell r="A237" t="str">
            <v>Chanitos Premium Tarima Chep</v>
          </cell>
          <cell r="B237" t="str">
            <v>CPR01102</v>
          </cell>
          <cell r="C237" t="str">
            <v>A04084-381609-1</v>
          </cell>
          <cell r="D237" t="str">
            <v>A04 084 Lisboa</v>
          </cell>
          <cell r="E237" t="str">
            <v>SMO</v>
          </cell>
          <cell r="F237">
            <v>480</v>
          </cell>
          <cell r="G237">
            <v>10</v>
          </cell>
          <cell r="H237">
            <v>46281</v>
          </cell>
          <cell r="I237">
            <v>38</v>
          </cell>
          <cell r="J237">
            <v>46286</v>
          </cell>
          <cell r="L237" t="str">
            <v>PREENFRIO FORTALEZA</v>
          </cell>
          <cell r="M237">
            <v>1.5</v>
          </cell>
          <cell r="N237">
            <v>36</v>
          </cell>
          <cell r="O237">
            <v>46282</v>
          </cell>
          <cell r="P237">
            <v>0.75763888888888886</v>
          </cell>
          <cell r="Q237" t="str">
            <v>NORMAL</v>
          </cell>
          <cell r="R237">
            <v>46283</v>
          </cell>
          <cell r="S237">
            <v>5.1388888888888887E-2</v>
          </cell>
          <cell r="T237">
            <v>0.41666666666666669</v>
          </cell>
          <cell r="U237">
            <v>46283.468055555553</v>
          </cell>
          <cell r="V237">
            <v>46283</v>
          </cell>
          <cell r="W237">
            <v>0.55902777777777779</v>
          </cell>
          <cell r="X237" t="str">
            <v>SI CUMPLE</v>
          </cell>
          <cell r="Y237" t="str">
            <v>SI CUMPLE</v>
          </cell>
          <cell r="AA237" t="str">
            <v>DESPACHADO</v>
          </cell>
          <cell r="AB237" t="str">
            <v>ALICIA CRUZ FUENTES</v>
          </cell>
          <cell r="AC237" t="str">
            <v>YONATAN GOMEZ ORTIZ</v>
          </cell>
          <cell r="AD237">
            <v>76055</v>
          </cell>
          <cell r="AE237" t="str">
            <v>QCH1W04HW0</v>
          </cell>
        </row>
        <row r="238">
          <cell r="A238" t="str">
            <v>Chanitos Plantain 20Kg Tarima Americana</v>
          </cell>
          <cell r="B238" t="str">
            <v>CPL08134</v>
          </cell>
          <cell r="C238" t="str">
            <v>A41100-381509-1</v>
          </cell>
          <cell r="D238" t="str">
            <v>A41 100 Doña Lupe JV</v>
          </cell>
          <cell r="E238" t="str">
            <v>Ciudad Juarez</v>
          </cell>
          <cell r="F238">
            <v>144</v>
          </cell>
          <cell r="G238">
            <v>3</v>
          </cell>
          <cell r="H238">
            <v>46280</v>
          </cell>
          <cell r="I238">
            <v>38</v>
          </cell>
          <cell r="J238">
            <v>46287</v>
          </cell>
          <cell r="K238">
            <v>0.25</v>
          </cell>
          <cell r="L238" t="str">
            <v>PREENFRIO NELLY</v>
          </cell>
          <cell r="M238">
            <v>4</v>
          </cell>
          <cell r="N238">
            <v>96</v>
          </cell>
          <cell r="O238">
            <v>46280</v>
          </cell>
          <cell r="P238">
            <v>0.73958333333333337</v>
          </cell>
          <cell r="Q238" t="str">
            <v>NORMAL</v>
          </cell>
          <cell r="R238">
            <v>46280</v>
          </cell>
          <cell r="S238">
            <v>0.72916666666666663</v>
          </cell>
          <cell r="T238">
            <v>0.4375</v>
          </cell>
          <cell r="U238">
            <v>46281.166666666664</v>
          </cell>
          <cell r="V238">
            <v>46283</v>
          </cell>
          <cell r="W238">
            <v>0.33263888888888887</v>
          </cell>
          <cell r="X238" t="str">
            <v>SI CUMPLE</v>
          </cell>
          <cell r="Y238" t="str">
            <v>NO CUMPLE</v>
          </cell>
          <cell r="AA238" t="str">
            <v>DESPACHADO</v>
          </cell>
          <cell r="AB238" t="str">
            <v>AUTO EXPRESS SEGOVIA</v>
          </cell>
          <cell r="AC238" t="str">
            <v>LUIS MIGUEL RAMIREZ RIVERA</v>
          </cell>
          <cell r="AD238">
            <v>21381</v>
          </cell>
          <cell r="AE238" t="str">
            <v>QCH1W04Z30</v>
          </cell>
        </row>
        <row r="239">
          <cell r="A239" t="str">
            <v>Chanitos Premium Tarima Chep</v>
          </cell>
          <cell r="B239" t="str">
            <v>CPR01102</v>
          </cell>
          <cell r="C239" t="str">
            <v>A01001-381709-1</v>
          </cell>
          <cell r="D239" t="str">
            <v>A01 001 Marbella</v>
          </cell>
          <cell r="E239" t="str">
            <v>Chalco</v>
          </cell>
          <cell r="F239">
            <v>1104</v>
          </cell>
          <cell r="G239">
            <v>23</v>
          </cell>
          <cell r="H239">
            <v>46282</v>
          </cell>
          <cell r="I239">
            <v>38</v>
          </cell>
          <cell r="J239">
            <v>46286</v>
          </cell>
          <cell r="L239" t="str">
            <v>PREENFRIO FORTALEZA</v>
          </cell>
          <cell r="M239">
            <v>1</v>
          </cell>
          <cell r="N239">
            <v>24</v>
          </cell>
          <cell r="O239">
            <v>46282</v>
          </cell>
          <cell r="P239">
            <v>0.78402777777777777</v>
          </cell>
          <cell r="Q239" t="str">
            <v>NORMAL</v>
          </cell>
          <cell r="R239">
            <v>46283</v>
          </cell>
          <cell r="S239">
            <v>0.73888888888888893</v>
          </cell>
          <cell r="T239">
            <v>0.625</v>
          </cell>
          <cell r="U239">
            <v>46284.363888888889</v>
          </cell>
          <cell r="V239">
            <v>46284</v>
          </cell>
          <cell r="W239">
            <v>0.46180555555555558</v>
          </cell>
          <cell r="X239" t="str">
            <v>SI CUMPLE</v>
          </cell>
          <cell r="Y239" t="str">
            <v>SI CUMPLE</v>
          </cell>
          <cell r="AA239" t="str">
            <v>DESPACHADO</v>
          </cell>
          <cell r="AB239" t="str">
            <v>MARIBEL DE LA ROSA FERNANDEZ</v>
          </cell>
          <cell r="AC239" t="str">
            <v>ABEL HERNANDEZ LOPEZ</v>
          </cell>
          <cell r="AD239">
            <v>55653</v>
          </cell>
          <cell r="AE239" t="str">
            <v>QCH1W04MX0</v>
          </cell>
        </row>
        <row r="240">
          <cell r="A240" t="str">
            <v>Platano de Chiapas BAE UPC 3237</v>
          </cell>
          <cell r="B240" t="str">
            <v>CPR01114</v>
          </cell>
          <cell r="C240" t="str">
            <v>A01001-381709-1</v>
          </cell>
          <cell r="D240" t="str">
            <v>A01 001 Marbella</v>
          </cell>
          <cell r="E240" t="str">
            <v>Chalco</v>
          </cell>
          <cell r="F240">
            <v>48</v>
          </cell>
          <cell r="G240">
            <v>1</v>
          </cell>
          <cell r="H240">
            <v>46282</v>
          </cell>
          <cell r="I240">
            <v>38</v>
          </cell>
          <cell r="J240">
            <v>46286</v>
          </cell>
          <cell r="L240" t="str">
            <v>PREENFRIO FORTALEZA</v>
          </cell>
          <cell r="M240">
            <v>1</v>
          </cell>
          <cell r="N240">
            <v>24</v>
          </cell>
          <cell r="O240">
            <v>46282</v>
          </cell>
          <cell r="P240">
            <v>0.78402777777777777</v>
          </cell>
          <cell r="Q240" t="str">
            <v>NORMAL</v>
          </cell>
          <cell r="R240">
            <v>46283</v>
          </cell>
          <cell r="S240">
            <v>0.73888888888888893</v>
          </cell>
          <cell r="T240">
            <v>0.625</v>
          </cell>
          <cell r="U240">
            <v>46284.363888888889</v>
          </cell>
          <cell r="V240">
            <v>46284</v>
          </cell>
          <cell r="W240">
            <v>0.46180555555555558</v>
          </cell>
          <cell r="X240" t="str">
            <v>SI CUMPLE</v>
          </cell>
          <cell r="Y240" t="str">
            <v>SI CUMPLE</v>
          </cell>
          <cell r="AA240" t="str">
            <v>DESPACHADO</v>
          </cell>
          <cell r="AB240" t="str">
            <v>MARIBEL DE LA ROSA FERNANDEZ</v>
          </cell>
          <cell r="AC240" t="str">
            <v>ABEL HERNANDEZ LOPEZ</v>
          </cell>
          <cell r="AD240">
            <v>55653</v>
          </cell>
          <cell r="AE240" t="str">
            <v>QCH1W04MX0</v>
          </cell>
        </row>
        <row r="241">
          <cell r="A241" t="str">
            <v>Chanitos Premium EUA Tarima Americana</v>
          </cell>
          <cell r="B241" t="str">
            <v>CPR01104</v>
          </cell>
          <cell r="C241" t="str">
            <v>A04084-381709-1</v>
          </cell>
          <cell r="D241" t="str">
            <v>A04 084 Lisboa</v>
          </cell>
          <cell r="E241" t="str">
            <v>McAllen</v>
          </cell>
          <cell r="F241">
            <v>624</v>
          </cell>
          <cell r="G241">
            <v>13</v>
          </cell>
          <cell r="H241">
            <v>46282</v>
          </cell>
          <cell r="I241">
            <v>38</v>
          </cell>
          <cell r="J241">
            <v>46286</v>
          </cell>
          <cell r="L241" t="str">
            <v>PREENFRIO FORTALEZA</v>
          </cell>
          <cell r="M241">
            <v>3</v>
          </cell>
          <cell r="N241">
            <v>72</v>
          </cell>
          <cell r="O241">
            <v>46284</v>
          </cell>
          <cell r="P241">
            <v>0.50347222222222221</v>
          </cell>
          <cell r="Q241" t="str">
            <v>NORMAL</v>
          </cell>
          <cell r="V241">
            <v>46284</v>
          </cell>
          <cell r="W241">
            <v>0.60416666666666663</v>
          </cell>
          <cell r="X241" t="str">
            <v/>
          </cell>
          <cell r="Y241" t="str">
            <v>NO CUMPLE</v>
          </cell>
          <cell r="AA241" t="str">
            <v>DESPACHADO</v>
          </cell>
          <cell r="AB241" t="str">
            <v>AUTO EXPRESS SEGOVIA</v>
          </cell>
          <cell r="AC241" t="str">
            <v>SANTIAGO HERRERA</v>
          </cell>
          <cell r="AD241">
            <v>56792</v>
          </cell>
          <cell r="AE241" t="str">
            <v>QCH1W04NG0</v>
          </cell>
        </row>
        <row r="242">
          <cell r="A242" t="str">
            <v>Chanitos Premium Tarima Chep</v>
          </cell>
          <cell r="B242" t="str">
            <v>CPR01102</v>
          </cell>
          <cell r="C242" t="str">
            <v>A01002-381709-1</v>
          </cell>
          <cell r="D242" t="str">
            <v>A01 002 Fortaleza</v>
          </cell>
          <cell r="E242" t="str">
            <v>QRO</v>
          </cell>
          <cell r="F242">
            <v>1008</v>
          </cell>
          <cell r="G242">
            <v>21</v>
          </cell>
          <cell r="H242">
            <v>46282</v>
          </cell>
          <cell r="I242">
            <v>38</v>
          </cell>
          <cell r="J242">
            <v>46286</v>
          </cell>
          <cell r="L242" t="str">
            <v>PREENFRIO FORTALEZA</v>
          </cell>
          <cell r="M242">
            <v>1.5</v>
          </cell>
          <cell r="N242">
            <v>36</v>
          </cell>
          <cell r="O242">
            <v>46282</v>
          </cell>
          <cell r="P242">
            <v>0.76527777777777772</v>
          </cell>
          <cell r="Q242" t="str">
            <v>NORMAL</v>
          </cell>
          <cell r="R242">
            <v>46283</v>
          </cell>
          <cell r="S242">
            <v>0.125</v>
          </cell>
          <cell r="T242">
            <v>0.625</v>
          </cell>
          <cell r="U242">
            <v>46283.75</v>
          </cell>
          <cell r="V242">
            <v>46283</v>
          </cell>
          <cell r="W242">
            <v>0.73958333333333337</v>
          </cell>
          <cell r="X242" t="str">
            <v>SI CUMPLE</v>
          </cell>
          <cell r="Y242" t="str">
            <v>SI CUMPLE</v>
          </cell>
          <cell r="AA242" t="str">
            <v>DESPACHADO</v>
          </cell>
          <cell r="AB242" t="str">
            <v>MARIBEL DE LA ROSA FERNANDEZ</v>
          </cell>
          <cell r="AC242" t="str">
            <v>JACINTO RAMIREZ LOPEZ</v>
          </cell>
          <cell r="AD242">
            <v>90178</v>
          </cell>
          <cell r="AE242" t="str">
            <v>QCH1W04KP0</v>
          </cell>
        </row>
        <row r="243">
          <cell r="A243" t="str">
            <v>Chanitos Organic Banded Market Side Mexico</v>
          </cell>
          <cell r="B243" t="str">
            <v>CRG07128</v>
          </cell>
          <cell r="C243" t="str">
            <v>A01002-381709-1</v>
          </cell>
          <cell r="D243" t="str">
            <v>A01 002 Fortaleza</v>
          </cell>
          <cell r="E243" t="str">
            <v>QRO</v>
          </cell>
          <cell r="F243">
            <v>96</v>
          </cell>
          <cell r="G243">
            <v>2</v>
          </cell>
          <cell r="H243">
            <v>46282</v>
          </cell>
          <cell r="I243">
            <v>38</v>
          </cell>
          <cell r="J243">
            <v>46286</v>
          </cell>
          <cell r="L243" t="str">
            <v>PREENFRIO FORTALEZA</v>
          </cell>
          <cell r="M243">
            <v>1.5</v>
          </cell>
          <cell r="N243">
            <v>36</v>
          </cell>
          <cell r="O243">
            <v>46282</v>
          </cell>
          <cell r="P243">
            <v>0.76527777777777772</v>
          </cell>
          <cell r="Q243" t="str">
            <v>NORMAL</v>
          </cell>
          <cell r="R243">
            <v>46283</v>
          </cell>
          <cell r="S243">
            <v>0.125</v>
          </cell>
          <cell r="T243">
            <v>0.625</v>
          </cell>
          <cell r="U243">
            <v>46283.75</v>
          </cell>
          <cell r="V243">
            <v>46283</v>
          </cell>
          <cell r="W243">
            <v>0.73958333333333337</v>
          </cell>
          <cell r="X243" t="str">
            <v>SI CUMPLE</v>
          </cell>
          <cell r="Y243" t="str">
            <v>SI CUMPLE</v>
          </cell>
          <cell r="AA243" t="str">
            <v>DESPACHADO</v>
          </cell>
          <cell r="AB243" t="str">
            <v>MARIBEL DE LA ROSA FERNANDEZ</v>
          </cell>
          <cell r="AC243" t="str">
            <v>JACINTO RAMIREZ LOPEZ</v>
          </cell>
          <cell r="AD243">
            <v>90178</v>
          </cell>
          <cell r="AE243" t="str">
            <v>QCH1W04KP0</v>
          </cell>
        </row>
        <row r="244">
          <cell r="A244" t="str">
            <v>Chanitos Premium Tarima Chep</v>
          </cell>
          <cell r="B244" t="str">
            <v>CPR01102</v>
          </cell>
          <cell r="C244" t="str">
            <v>A04039-381709-1</v>
          </cell>
          <cell r="D244" t="str">
            <v>A04 039 San Jose Morelia Nava</v>
          </cell>
          <cell r="E244" t="str">
            <v>SMO</v>
          </cell>
          <cell r="F244">
            <v>192</v>
          </cell>
          <cell r="G244">
            <v>4</v>
          </cell>
          <cell r="H244">
            <v>46282</v>
          </cell>
          <cell r="I244">
            <v>38</v>
          </cell>
          <cell r="J244">
            <v>46286</v>
          </cell>
          <cell r="L244" t="str">
            <v>PREENFRIO FORTALEZA</v>
          </cell>
          <cell r="M244">
            <v>1.5</v>
          </cell>
          <cell r="N244">
            <v>36</v>
          </cell>
          <cell r="O244">
            <v>46282</v>
          </cell>
          <cell r="P244">
            <v>0.75763888888888886</v>
          </cell>
          <cell r="Q244" t="str">
            <v>NORMAL</v>
          </cell>
          <cell r="R244">
            <v>46283</v>
          </cell>
          <cell r="S244">
            <v>5.1388888888888887E-2</v>
          </cell>
          <cell r="T244">
            <v>0.41666666666666669</v>
          </cell>
          <cell r="U244">
            <v>46283.468055555553</v>
          </cell>
          <cell r="V244">
            <v>46283</v>
          </cell>
          <cell r="W244">
            <v>0.55902777777777779</v>
          </cell>
          <cell r="X244" t="str">
            <v>SI CUMPLE</v>
          </cell>
          <cell r="Y244" t="str">
            <v>SI CUMPLE</v>
          </cell>
          <cell r="AA244" t="str">
            <v>DESPACHADO</v>
          </cell>
          <cell r="AB244" t="str">
            <v>ALICIA CRUZ FUENTES</v>
          </cell>
          <cell r="AC244" t="str">
            <v>YONATAN GOMEZ ORTIZ</v>
          </cell>
          <cell r="AD244">
            <v>76055</v>
          </cell>
          <cell r="AE244" t="str">
            <v>QCH1W04HW0</v>
          </cell>
        </row>
        <row r="245">
          <cell r="A245" t="str">
            <v>Chanitos Premium Tarima Chep</v>
          </cell>
          <cell r="B245" t="str">
            <v>CPR01102</v>
          </cell>
          <cell r="C245" t="str">
            <v>A01002-381709-1</v>
          </cell>
          <cell r="D245" t="str">
            <v>A01 002 Fortaleza</v>
          </cell>
          <cell r="E245" t="str">
            <v>SMO</v>
          </cell>
          <cell r="F245">
            <v>192</v>
          </cell>
          <cell r="G245">
            <v>4</v>
          </cell>
          <cell r="H245">
            <v>46282</v>
          </cell>
          <cell r="I245">
            <v>38</v>
          </cell>
          <cell r="J245">
            <v>46286</v>
          </cell>
          <cell r="L245" t="str">
            <v>PREENFRIO FORTALEZA</v>
          </cell>
          <cell r="M245">
            <v>1.5</v>
          </cell>
          <cell r="N245">
            <v>36</v>
          </cell>
          <cell r="O245">
            <v>46282</v>
          </cell>
          <cell r="P245">
            <v>0.76527777777777772</v>
          </cell>
          <cell r="Q245" t="str">
            <v>NORMAL</v>
          </cell>
          <cell r="R245">
            <v>46283</v>
          </cell>
          <cell r="S245">
            <v>0.28472222222222221</v>
          </cell>
          <cell r="T245">
            <v>0.20833333333333334</v>
          </cell>
          <cell r="U245">
            <v>46283.493055555555</v>
          </cell>
          <cell r="V245">
            <v>46283</v>
          </cell>
          <cell r="W245">
            <v>0.55902777777777779</v>
          </cell>
          <cell r="X245" t="str">
            <v>SI CUMPLE</v>
          </cell>
          <cell r="Y245" t="str">
            <v>SI CUMPLE</v>
          </cell>
          <cell r="AA245" t="str">
            <v>DESPACHADO</v>
          </cell>
          <cell r="AB245" t="str">
            <v>ALICIA CRUZ FUENTES</v>
          </cell>
          <cell r="AC245" t="str">
            <v>YONATAN GOMEZ ORTIZ</v>
          </cell>
          <cell r="AD245">
            <v>76055</v>
          </cell>
          <cell r="AE245" t="str">
            <v>QCH1W04HW0</v>
          </cell>
        </row>
        <row r="246">
          <cell r="A246" t="str">
            <v>Chanitos Organic Banded Market Side Mexico</v>
          </cell>
          <cell r="B246" t="str">
            <v>CRG07128</v>
          </cell>
          <cell r="C246" t="str">
            <v>A01002-381709-1</v>
          </cell>
          <cell r="D246" t="str">
            <v>A01 002 Fortaleza</v>
          </cell>
          <cell r="E246" t="str">
            <v>VSA</v>
          </cell>
          <cell r="F246">
            <v>288</v>
          </cell>
          <cell r="G246">
            <v>6</v>
          </cell>
          <cell r="H246">
            <v>46282</v>
          </cell>
          <cell r="I246">
            <v>38</v>
          </cell>
          <cell r="J246">
            <v>46286</v>
          </cell>
          <cell r="L246" t="str">
            <v>PREENFRIO FORTALEZA</v>
          </cell>
          <cell r="M246">
            <v>1</v>
          </cell>
          <cell r="N246">
            <v>24</v>
          </cell>
          <cell r="O246">
            <v>46282</v>
          </cell>
          <cell r="P246">
            <v>0.76527777777777772</v>
          </cell>
          <cell r="Q246" t="str">
            <v>NORMAL</v>
          </cell>
          <cell r="R246">
            <v>46283</v>
          </cell>
          <cell r="S246">
            <v>0.73888888888888893</v>
          </cell>
          <cell r="T246">
            <v>0.20833333333333334</v>
          </cell>
          <cell r="U246">
            <v>46283.947222222225</v>
          </cell>
          <cell r="V246">
            <v>46284</v>
          </cell>
          <cell r="W246">
            <v>0.66666666666666663</v>
          </cell>
          <cell r="X246" t="str">
            <v>SI CUMPLE</v>
          </cell>
          <cell r="Y246" t="str">
            <v>SI CUMPLE</v>
          </cell>
          <cell r="AA246" t="str">
            <v>DESPACHADO</v>
          </cell>
          <cell r="AB246" t="str">
            <v>GENARO IBAÑEZ</v>
          </cell>
          <cell r="AC246" t="str">
            <v>ALEJANDRO BARRALES</v>
          </cell>
          <cell r="AD246">
            <v>85689</v>
          </cell>
          <cell r="AE246" t="str">
            <v>N/A</v>
          </cell>
        </row>
        <row r="247">
          <cell r="A247" t="str">
            <v>Chanitos Premium EUA Tarima Americana</v>
          </cell>
          <cell r="B247" t="str">
            <v>CPR01104</v>
          </cell>
          <cell r="C247" t="str">
            <v>A04084-381509-1</v>
          </cell>
          <cell r="D247" t="str">
            <v>A04 084 Lisboa</v>
          </cell>
          <cell r="E247" t="str">
            <v>McAllen</v>
          </cell>
          <cell r="F247">
            <v>528</v>
          </cell>
          <cell r="G247">
            <v>11</v>
          </cell>
          <cell r="H247">
            <v>46280</v>
          </cell>
          <cell r="I247">
            <v>38</v>
          </cell>
          <cell r="J247">
            <v>46286</v>
          </cell>
          <cell r="K247">
            <v>0.25</v>
          </cell>
          <cell r="L247" t="str">
            <v>PREENFRIO NELLY</v>
          </cell>
          <cell r="M247">
            <v>3</v>
          </cell>
          <cell r="N247">
            <v>72</v>
          </cell>
          <cell r="O247">
            <v>46281</v>
          </cell>
          <cell r="P247">
            <v>0.62152777777777779</v>
          </cell>
          <cell r="Q247" t="str">
            <v>NORMAL</v>
          </cell>
          <cell r="R247">
            <v>46281</v>
          </cell>
          <cell r="S247">
            <v>0.67569444444444449</v>
          </cell>
          <cell r="T247">
            <v>0.35416666666666669</v>
          </cell>
          <cell r="U247">
            <v>46282.029861111107</v>
          </cell>
          <cell r="V247">
            <v>46281</v>
          </cell>
          <cell r="W247">
            <v>0.83402777777777781</v>
          </cell>
          <cell r="X247" t="str">
            <v>SI CUMPLE</v>
          </cell>
          <cell r="Y247" t="str">
            <v>SI CUMPLE</v>
          </cell>
          <cell r="AA247" t="str">
            <v>DESPACHADO</v>
          </cell>
          <cell r="AB247" t="str">
            <v>TRANSPORTES TOMATITOS</v>
          </cell>
          <cell r="AC247" t="str">
            <v>JUAN CARLOS TAMEZ CRUZ</v>
          </cell>
          <cell r="AD247">
            <v>62032</v>
          </cell>
          <cell r="AE247">
            <v>100000913552</v>
          </cell>
        </row>
        <row r="248">
          <cell r="A248" t="str">
            <v>Chanitos Premium EUA Tarima Americana</v>
          </cell>
          <cell r="B248" t="str">
            <v>CPR01104</v>
          </cell>
          <cell r="C248" t="str">
            <v>A04084-381809-1</v>
          </cell>
          <cell r="D248" t="str">
            <v>A04 084 Lisboa</v>
          </cell>
          <cell r="E248" t="str">
            <v>McAllen</v>
          </cell>
          <cell r="F248">
            <v>336</v>
          </cell>
          <cell r="G248">
            <v>7</v>
          </cell>
          <cell r="H248">
            <v>46283</v>
          </cell>
          <cell r="I248">
            <v>38</v>
          </cell>
          <cell r="J248">
            <v>46286</v>
          </cell>
          <cell r="L248" t="str">
            <v>PREENFRIO FORTALEZA</v>
          </cell>
          <cell r="M248">
            <v>3</v>
          </cell>
          <cell r="N248">
            <v>72</v>
          </cell>
          <cell r="O248">
            <v>46284</v>
          </cell>
          <cell r="P248">
            <v>0.50347222222222221</v>
          </cell>
          <cell r="Q248" t="str">
            <v>NORMAL</v>
          </cell>
          <cell r="V248">
            <v>46284</v>
          </cell>
          <cell r="W248">
            <v>0.60416666666666663</v>
          </cell>
          <cell r="X248" t="str">
            <v/>
          </cell>
          <cell r="Y248" t="str">
            <v>NO CUMPLE</v>
          </cell>
          <cell r="AA248" t="str">
            <v>DESPACHADO</v>
          </cell>
          <cell r="AB248" t="str">
            <v>AUTO EXPRESS SEGOVIA</v>
          </cell>
          <cell r="AC248" t="str">
            <v>SANTIAGO HERRERA</v>
          </cell>
          <cell r="AD248">
            <v>56792</v>
          </cell>
          <cell r="AE248" t="str">
            <v>QCH1W04NG0</v>
          </cell>
        </row>
        <row r="249">
          <cell r="A249" t="str">
            <v>Chanitos Premium Tarima Chep</v>
          </cell>
          <cell r="B249" t="str">
            <v>CPR01102</v>
          </cell>
          <cell r="C249" t="str">
            <v>A01001-381809-1</v>
          </cell>
          <cell r="D249" t="str">
            <v>A01 001 Marbella</v>
          </cell>
          <cell r="E249" t="str">
            <v>VSA</v>
          </cell>
          <cell r="F249">
            <v>288</v>
          </cell>
          <cell r="G249">
            <v>6</v>
          </cell>
          <cell r="H249">
            <v>46283</v>
          </cell>
          <cell r="I249">
            <v>38</v>
          </cell>
          <cell r="J249">
            <v>46286</v>
          </cell>
          <cell r="L249" t="str">
            <v>PREENFRIO FORTALEZA</v>
          </cell>
          <cell r="M249">
            <v>1</v>
          </cell>
          <cell r="N249">
            <v>24</v>
          </cell>
          <cell r="O249">
            <v>46283</v>
          </cell>
          <cell r="P249">
            <v>0.74722222222222223</v>
          </cell>
          <cell r="Q249" t="str">
            <v>NORMAL</v>
          </cell>
          <cell r="R249">
            <v>46284</v>
          </cell>
          <cell r="S249">
            <v>0.38541666666666669</v>
          </cell>
          <cell r="T249">
            <v>0.20833333333333334</v>
          </cell>
          <cell r="U249">
            <v>46284.59375</v>
          </cell>
          <cell r="V249">
            <v>46284</v>
          </cell>
          <cell r="W249">
            <v>0.66666666666666663</v>
          </cell>
          <cell r="X249" t="str">
            <v>SI CUMPLE</v>
          </cell>
          <cell r="Y249" t="str">
            <v>SI CUMPLE</v>
          </cell>
          <cell r="AA249" t="str">
            <v>DESPACHADO</v>
          </cell>
          <cell r="AB249" t="str">
            <v>GENARO IBAÑEZ</v>
          </cell>
          <cell r="AC249" t="str">
            <v>ALEJANDRO BARRALES</v>
          </cell>
          <cell r="AD249">
            <v>85689</v>
          </cell>
          <cell r="AE249" t="str">
            <v>N/A</v>
          </cell>
        </row>
        <row r="250">
          <cell r="A250" t="str">
            <v>Chanitos Premium EUA Tarima Americana</v>
          </cell>
          <cell r="B250" t="str">
            <v>CPR01104</v>
          </cell>
          <cell r="C250" t="str">
            <v>A04084-381609-1</v>
          </cell>
          <cell r="D250" t="str">
            <v>A04 084 Lisboa</v>
          </cell>
          <cell r="E250" t="str">
            <v>McAllen</v>
          </cell>
          <cell r="F250">
            <v>432</v>
          </cell>
          <cell r="G250">
            <v>9</v>
          </cell>
          <cell r="H250">
            <v>46281</v>
          </cell>
          <cell r="I250">
            <v>38</v>
          </cell>
          <cell r="J250">
            <v>46286</v>
          </cell>
          <cell r="K250">
            <v>0.25</v>
          </cell>
          <cell r="L250" t="str">
            <v>PREENFRIO NELLY</v>
          </cell>
          <cell r="M250">
            <v>3</v>
          </cell>
          <cell r="N250">
            <v>72</v>
          </cell>
          <cell r="O250">
            <v>46281</v>
          </cell>
          <cell r="P250">
            <v>0.78472222222222221</v>
          </cell>
          <cell r="Q250" t="str">
            <v>NORMAL</v>
          </cell>
          <cell r="R250">
            <v>46281</v>
          </cell>
          <cell r="S250">
            <v>0.67569444444444449</v>
          </cell>
          <cell r="T250">
            <v>0.35416666666666669</v>
          </cell>
          <cell r="U250">
            <v>46282.029861111107</v>
          </cell>
          <cell r="V250">
            <v>46281</v>
          </cell>
          <cell r="W250">
            <v>0.83402777777777781</v>
          </cell>
          <cell r="X250" t="str">
            <v>SI CUMPLE</v>
          </cell>
          <cell r="Y250" t="str">
            <v>SI CUMPLE</v>
          </cell>
          <cell r="AA250" t="str">
            <v>DESPACHADO</v>
          </cell>
          <cell r="AB250" t="str">
            <v>TRANSPORTES TOMATITOS</v>
          </cell>
          <cell r="AC250" t="str">
            <v>JUAN CARLOS TAMEZ CRUZ</v>
          </cell>
          <cell r="AD250">
            <v>62032</v>
          </cell>
          <cell r="AE250">
            <v>100000913552</v>
          </cell>
        </row>
        <row r="251">
          <cell r="A251" t="str">
            <v>Chanitos Premium Tarima Chep</v>
          </cell>
          <cell r="B251" t="str">
            <v>CPR01102</v>
          </cell>
          <cell r="C251" t="str">
            <v>A01003-381709-1</v>
          </cell>
          <cell r="D251" t="str">
            <v>A01 003 Doña Nelly</v>
          </cell>
          <cell r="E251" t="str">
            <v>VSA</v>
          </cell>
          <cell r="F251">
            <v>576</v>
          </cell>
          <cell r="G251">
            <v>12</v>
          </cell>
          <cell r="H251">
            <v>46282</v>
          </cell>
          <cell r="I251">
            <v>38</v>
          </cell>
          <cell r="J251">
            <v>46286</v>
          </cell>
          <cell r="L251" t="str">
            <v>PREENFRIO NELLY</v>
          </cell>
          <cell r="M251">
            <v>1</v>
          </cell>
          <cell r="N251">
            <v>24</v>
          </cell>
          <cell r="O251">
            <v>46282</v>
          </cell>
          <cell r="P251">
            <v>0.72569444444444442</v>
          </cell>
          <cell r="Q251" t="str">
            <v>NORMAL</v>
          </cell>
          <cell r="R251">
            <v>46282</v>
          </cell>
          <cell r="S251">
            <v>0.76388888888888884</v>
          </cell>
          <cell r="T251">
            <v>0.35416666666666669</v>
          </cell>
          <cell r="U251">
            <v>46283.118055555555</v>
          </cell>
          <cell r="X251" t="str">
            <v>SI CUMPLE</v>
          </cell>
          <cell r="Y251" t="str">
            <v/>
          </cell>
          <cell r="AA251" t="str">
            <v>DESPACHADO</v>
          </cell>
          <cell r="AB251" t="str">
            <v>GENARO IBAÑEZ</v>
          </cell>
          <cell r="AC251" t="str">
            <v>ALEJANDRO BARRALES</v>
          </cell>
          <cell r="AD251">
            <v>17112</v>
          </cell>
          <cell r="AE251" t="str">
            <v>QCH1W049P0</v>
          </cell>
        </row>
        <row r="252">
          <cell r="A252" t="str">
            <v>Chanitos Premium Tarima Americana</v>
          </cell>
          <cell r="B252" t="str">
            <v>CPR01103</v>
          </cell>
          <cell r="C252" t="str">
            <v>A01003-381709-1</v>
          </cell>
          <cell r="D252" t="str">
            <v>A01 003 Doña Nelly</v>
          </cell>
          <cell r="E252" t="str">
            <v>Ciudad Juarez</v>
          </cell>
          <cell r="F252">
            <v>960</v>
          </cell>
          <cell r="G252">
            <v>20</v>
          </cell>
          <cell r="H252">
            <v>46282</v>
          </cell>
          <cell r="I252">
            <v>38</v>
          </cell>
          <cell r="J252">
            <v>46287</v>
          </cell>
          <cell r="K252">
            <v>0.25</v>
          </cell>
          <cell r="L252" t="str">
            <v>PREENFRIO NELLY</v>
          </cell>
          <cell r="M252">
            <v>4</v>
          </cell>
          <cell r="N252">
            <v>96</v>
          </cell>
          <cell r="O252">
            <v>46282</v>
          </cell>
          <cell r="P252">
            <v>0.72569444444444442</v>
          </cell>
          <cell r="Q252" t="str">
            <v>ALTA</v>
          </cell>
          <cell r="R252">
            <v>46282</v>
          </cell>
          <cell r="S252">
            <v>0.49652777777777779</v>
          </cell>
          <cell r="T252">
            <v>0.4375</v>
          </cell>
          <cell r="U252">
            <v>46282.934027777781</v>
          </cell>
          <cell r="V252">
            <v>46283</v>
          </cell>
          <cell r="W252">
            <v>0.33263888888888887</v>
          </cell>
          <cell r="X252" t="str">
            <v>SI CUMPLE</v>
          </cell>
          <cell r="Y252" t="str">
            <v>NO CUMPLE</v>
          </cell>
          <cell r="AA252" t="str">
            <v>DESPACHADO</v>
          </cell>
          <cell r="AB252" t="str">
            <v>AUTO EXPRESS SEGOVIA</v>
          </cell>
          <cell r="AC252" t="str">
            <v>LUIS MIGUEL RAMIREZ RIVERA</v>
          </cell>
          <cell r="AD252">
            <v>89056</v>
          </cell>
          <cell r="AE252" t="str">
            <v>QCH1W04Z60</v>
          </cell>
        </row>
        <row r="253">
          <cell r="A253" t="str">
            <v>Chanitos Plantain 50lb Tarima Americana</v>
          </cell>
          <cell r="B253" t="str">
            <v>CPL08133</v>
          </cell>
          <cell r="C253" t="str">
            <v>A27073-381809-1</v>
          </cell>
          <cell r="D253" t="str">
            <v>A27 073 Plantacion</v>
          </cell>
          <cell r="E253" t="str">
            <v>McAllen</v>
          </cell>
          <cell r="F253">
            <v>504</v>
          </cell>
          <cell r="G253">
            <v>12</v>
          </cell>
          <cell r="H253">
            <v>46283</v>
          </cell>
          <cell r="I253">
            <v>38</v>
          </cell>
          <cell r="J253">
            <v>46287</v>
          </cell>
          <cell r="L253" t="str">
            <v>PREENFRIO NELLY</v>
          </cell>
          <cell r="M253">
            <v>3</v>
          </cell>
          <cell r="N253">
            <v>72</v>
          </cell>
          <cell r="O253">
            <v>46283</v>
          </cell>
          <cell r="P253">
            <v>0.99305555555555558</v>
          </cell>
          <cell r="Q253" t="str">
            <v>ALTA</v>
          </cell>
          <cell r="R253">
            <v>46284</v>
          </cell>
          <cell r="S253">
            <v>0.20833333333333334</v>
          </cell>
          <cell r="T253">
            <v>0.35416666666666669</v>
          </cell>
          <cell r="U253">
            <v>46284.5625</v>
          </cell>
          <cell r="X253" t="str">
            <v>NO CUMPLE</v>
          </cell>
          <cell r="Y253" t="str">
            <v/>
          </cell>
          <cell r="AA253" t="str">
            <v>DESPACHADO</v>
          </cell>
          <cell r="AB253" t="str">
            <v>EXPRESS CAVAZOS CANTU</v>
          </cell>
          <cell r="AC253" t="str">
            <v>HUGO HERNAN REYES MORALES</v>
          </cell>
          <cell r="AE253" t="str">
            <v>QCH1W04Z10</v>
          </cell>
        </row>
        <row r="254">
          <cell r="A254" t="str">
            <v>Chanitos Plantain 50lb Tarima Americana</v>
          </cell>
          <cell r="B254" t="str">
            <v>CPL08133</v>
          </cell>
          <cell r="C254" t="str">
            <v>A41100-381809-1</v>
          </cell>
          <cell r="D254" t="str">
            <v>A41 100 Doña Lupe JV</v>
          </cell>
          <cell r="E254" t="str">
            <v>McAllen</v>
          </cell>
          <cell r="F254">
            <v>504</v>
          </cell>
          <cell r="G254">
            <v>12</v>
          </cell>
          <cell r="H254">
            <v>46283</v>
          </cell>
          <cell r="I254">
            <v>38</v>
          </cell>
          <cell r="J254">
            <v>46287</v>
          </cell>
          <cell r="L254" t="str">
            <v>PREENFRIO NELLY</v>
          </cell>
          <cell r="M254">
            <v>3</v>
          </cell>
          <cell r="N254">
            <v>72</v>
          </cell>
          <cell r="O254">
            <v>46283</v>
          </cell>
          <cell r="P254">
            <v>0.99305555555555558</v>
          </cell>
          <cell r="Q254" t="str">
            <v>ALTA</v>
          </cell>
          <cell r="R254">
            <v>46284</v>
          </cell>
          <cell r="S254">
            <v>0.20833333333333334</v>
          </cell>
          <cell r="T254">
            <v>0.35416666666666669</v>
          </cell>
          <cell r="U254">
            <v>46284.5625</v>
          </cell>
          <cell r="X254" t="str">
            <v>NO CUMPLE</v>
          </cell>
          <cell r="Y254" t="str">
            <v/>
          </cell>
          <cell r="AA254" t="str">
            <v>DESPACHADO</v>
          </cell>
          <cell r="AB254" t="str">
            <v>EXPRESS CAVAZOS CANTU</v>
          </cell>
          <cell r="AC254" t="str">
            <v>HUGO HERNAN REYES MORALES</v>
          </cell>
          <cell r="AE254" t="str">
            <v>QCH1W04Z10</v>
          </cell>
        </row>
        <row r="255">
          <cell r="A255" t="str">
            <v>Chanitos Premium Tarima Chep</v>
          </cell>
          <cell r="B255" t="str">
            <v>CPR01102</v>
          </cell>
          <cell r="C255" t="str">
            <v>A04039-381809-1</v>
          </cell>
          <cell r="D255" t="str">
            <v>A04 039 San Jose Morelia Nava</v>
          </cell>
          <cell r="E255" t="str">
            <v>SMO</v>
          </cell>
          <cell r="F255">
            <v>1152</v>
          </cell>
          <cell r="G255">
            <v>24</v>
          </cell>
          <cell r="H255">
            <v>46283</v>
          </cell>
          <cell r="I255">
            <v>38</v>
          </cell>
          <cell r="J255">
            <v>46287</v>
          </cell>
          <cell r="L255" t="str">
            <v>PREENFRIO NELLY</v>
          </cell>
          <cell r="M255">
            <v>1.5</v>
          </cell>
          <cell r="N255">
            <v>36</v>
          </cell>
          <cell r="O255">
            <v>46283</v>
          </cell>
          <cell r="P255">
            <v>0.90972222222222221</v>
          </cell>
          <cell r="Q255" t="str">
            <v>ALTA</v>
          </cell>
          <cell r="R255">
            <v>46284</v>
          </cell>
          <cell r="S255">
            <v>0.875</v>
          </cell>
          <cell r="T255">
            <v>0.35416666666666669</v>
          </cell>
          <cell r="U255">
            <v>46285.229166666664</v>
          </cell>
          <cell r="V255">
            <v>46285</v>
          </cell>
          <cell r="W255">
            <v>8.3333333333333329E-2</v>
          </cell>
          <cell r="X255" t="str">
            <v>SI CUMPLE</v>
          </cell>
          <cell r="Y255" t="str">
            <v>SI CUMPLE</v>
          </cell>
          <cell r="AA255" t="str">
            <v>DESPACHADO</v>
          </cell>
          <cell r="AB255" t="str">
            <v>GUILLERMO PEREZ PEREZ</v>
          </cell>
          <cell r="AC255" t="str">
            <v>FRANCISCO HUERTA</v>
          </cell>
          <cell r="AD255">
            <v>64900</v>
          </cell>
        </row>
        <row r="256">
          <cell r="A256" t="str">
            <v>Chanitos Premium Tarima Americana</v>
          </cell>
          <cell r="B256" t="str">
            <v>CPR01103</v>
          </cell>
          <cell r="C256" t="str">
            <v>A04039-381609-1</v>
          </cell>
          <cell r="D256" t="str">
            <v>A04 039 San Jose Morelia Nava</v>
          </cell>
          <cell r="E256" t="str">
            <v>S-MTY</v>
          </cell>
          <cell r="F256">
            <v>768</v>
          </cell>
          <cell r="G256">
            <v>16</v>
          </cell>
          <cell r="H256">
            <v>46281</v>
          </cell>
          <cell r="I256">
            <v>38</v>
          </cell>
          <cell r="J256">
            <v>46288</v>
          </cell>
          <cell r="K256">
            <v>0.25</v>
          </cell>
          <cell r="L256" t="str">
            <v>PREENFRIO NELLY</v>
          </cell>
          <cell r="M256">
            <v>3</v>
          </cell>
          <cell r="N256">
            <v>72</v>
          </cell>
          <cell r="O256">
            <v>46283</v>
          </cell>
          <cell r="P256">
            <v>0.2076388888888889</v>
          </cell>
          <cell r="Q256" t="str">
            <v>ALTA</v>
          </cell>
          <cell r="R256">
            <v>18</v>
          </cell>
          <cell r="S256">
            <v>0.25</v>
          </cell>
          <cell r="T256">
            <v>0.4375</v>
          </cell>
          <cell r="U256">
            <v>18.6875</v>
          </cell>
          <cell r="V256">
            <v>46283</v>
          </cell>
          <cell r="W256">
            <v>0.98958333333333337</v>
          </cell>
          <cell r="X256" t="str">
            <v>SI CUMPLE</v>
          </cell>
          <cell r="Y256" t="str">
            <v>SI CUMPLE</v>
          </cell>
          <cell r="AA256" t="str">
            <v>DESPACHADO</v>
          </cell>
          <cell r="AB256" t="str">
            <v>AUTO EXPRESS SEGOVIA</v>
          </cell>
          <cell r="AC256" t="str">
            <v>MIGUEL ANGEL LOPEZ CERVANTES</v>
          </cell>
          <cell r="AD256">
            <v>31269</v>
          </cell>
        </row>
        <row r="257">
          <cell r="A257" t="str">
            <v>Chanitos Premium Tarima Chep</v>
          </cell>
          <cell r="B257" t="str">
            <v>CPR01102</v>
          </cell>
          <cell r="C257" t="str">
            <v>A01002-381709-1</v>
          </cell>
          <cell r="D257" t="str">
            <v>A01 002 Fortaleza</v>
          </cell>
          <cell r="E257" t="str">
            <v>QRO</v>
          </cell>
          <cell r="F257">
            <v>48</v>
          </cell>
          <cell r="G257">
            <v>1</v>
          </cell>
          <cell r="H257">
            <v>46282</v>
          </cell>
          <cell r="I257">
            <v>38</v>
          </cell>
          <cell r="J257">
            <v>46288</v>
          </cell>
          <cell r="L257" t="str">
            <v>PREENFRIO FORTALEZA</v>
          </cell>
          <cell r="M257">
            <v>1.5</v>
          </cell>
          <cell r="N257">
            <v>36</v>
          </cell>
          <cell r="O257">
            <v>46282</v>
          </cell>
          <cell r="P257">
            <v>0.75</v>
          </cell>
          <cell r="Q257" t="str">
            <v>NORMAL</v>
          </cell>
          <cell r="R257">
            <v>46283</v>
          </cell>
          <cell r="S257">
            <v>0.5444444444444444</v>
          </cell>
          <cell r="T257">
            <v>0.20833333333333334</v>
          </cell>
          <cell r="U257">
            <v>46283.75277777778</v>
          </cell>
          <cell r="V257">
            <v>46285</v>
          </cell>
          <cell r="W257">
            <v>0.10416666666666667</v>
          </cell>
          <cell r="X257" t="str">
            <v>SI CUMPLE</v>
          </cell>
          <cell r="Y257" t="str">
            <v>SI CUMPLE</v>
          </cell>
          <cell r="AA257" t="str">
            <v>DESPACHADO</v>
          </cell>
          <cell r="AB257" t="str">
            <v>JONATHAN ALVAREZ VIVANCO</v>
          </cell>
          <cell r="AC257" t="str">
            <v>RAFAEL RIOS HERNANDEZ</v>
          </cell>
          <cell r="AD257">
            <v>77520</v>
          </cell>
          <cell r="AE257" t="str">
            <v>QCH1W04NX0</v>
          </cell>
        </row>
        <row r="258">
          <cell r="A258" t="str">
            <v>Chanitos Premium Tarima Americana</v>
          </cell>
          <cell r="B258" t="str">
            <v>CPR01103</v>
          </cell>
          <cell r="C258" t="str">
            <v>A04039-381709-1</v>
          </cell>
          <cell r="D258" t="str">
            <v>A04 039 San Jose Morelia Nava</v>
          </cell>
          <cell r="E258" t="str">
            <v>S-MTY</v>
          </cell>
          <cell r="F258">
            <v>192</v>
          </cell>
          <cell r="G258">
            <v>4</v>
          </cell>
          <cell r="H258">
            <v>46282</v>
          </cell>
          <cell r="I258">
            <v>38</v>
          </cell>
          <cell r="J258">
            <v>46288</v>
          </cell>
          <cell r="K258">
            <v>0.25</v>
          </cell>
          <cell r="L258" t="str">
            <v>PREENFRIO NELLY</v>
          </cell>
          <cell r="M258">
            <v>3</v>
          </cell>
          <cell r="N258">
            <v>72</v>
          </cell>
          <cell r="O258">
            <v>46283</v>
          </cell>
          <cell r="P258">
            <v>0.2076388888888889</v>
          </cell>
          <cell r="Q258" t="str">
            <v>ALTA</v>
          </cell>
          <cell r="R258">
            <v>18</v>
          </cell>
          <cell r="S258">
            <v>0.64930555555555558</v>
          </cell>
          <cell r="T258">
            <v>0.4375</v>
          </cell>
          <cell r="U258">
            <v>19.086805555555557</v>
          </cell>
          <cell r="V258">
            <v>46283</v>
          </cell>
          <cell r="W258">
            <v>0.98958333333333337</v>
          </cell>
          <cell r="X258" t="str">
            <v>SI CUMPLE</v>
          </cell>
          <cell r="Y258" t="str">
            <v>SI CUMPLE</v>
          </cell>
          <cell r="AA258" t="str">
            <v>DESPACHADO</v>
          </cell>
          <cell r="AB258" t="str">
            <v>AUTO EXPRESS SEGOVIA</v>
          </cell>
          <cell r="AC258" t="str">
            <v>MIGUEL ANGEL LOPEZ CERVANTES</v>
          </cell>
          <cell r="AD258">
            <v>31269</v>
          </cell>
        </row>
        <row r="259">
          <cell r="A259" t="str">
            <v>Chanitos Premium Tarima Americana</v>
          </cell>
          <cell r="B259" t="str">
            <v>CPR01103</v>
          </cell>
          <cell r="C259" t="str">
            <v>A04039-381709-1</v>
          </cell>
          <cell r="D259" t="str">
            <v>A04 039 San Jose Morelia Nava</v>
          </cell>
          <cell r="E259" t="str">
            <v>S-MTY</v>
          </cell>
          <cell r="F259">
            <v>960</v>
          </cell>
          <cell r="G259">
            <v>20</v>
          </cell>
          <cell r="H259">
            <v>46282</v>
          </cell>
          <cell r="I259">
            <v>38</v>
          </cell>
          <cell r="J259">
            <v>46288</v>
          </cell>
          <cell r="K259">
            <v>0.25</v>
          </cell>
          <cell r="L259" t="str">
            <v>PREENFRIO NELLY</v>
          </cell>
          <cell r="M259">
            <v>3</v>
          </cell>
          <cell r="N259">
            <v>72</v>
          </cell>
          <cell r="O259">
            <v>46283</v>
          </cell>
          <cell r="P259">
            <v>0.2076388888888889</v>
          </cell>
          <cell r="Q259" t="str">
            <v>ALTA</v>
          </cell>
          <cell r="R259">
            <v>46283</v>
          </cell>
          <cell r="S259">
            <v>0.64930555555555558</v>
          </cell>
          <cell r="T259">
            <v>0.4375</v>
          </cell>
          <cell r="U259">
            <v>46284.086805555555</v>
          </cell>
          <cell r="V259">
            <v>46283</v>
          </cell>
          <cell r="W259">
            <v>0.98958333333333337</v>
          </cell>
          <cell r="X259" t="str">
            <v>SI CUMPLE</v>
          </cell>
          <cell r="Y259" t="str">
            <v>SI CUMPLE</v>
          </cell>
          <cell r="AA259" t="str">
            <v>DESPACHADO</v>
          </cell>
          <cell r="AB259" t="str">
            <v>AUTO EXPRESS SEGOVIA</v>
          </cell>
          <cell r="AC259" t="str">
            <v>MIGUEL ANGEL LOPEZ CERVANTES</v>
          </cell>
          <cell r="AD259">
            <v>22428</v>
          </cell>
        </row>
        <row r="260">
          <cell r="A260" t="str">
            <v>Chanitos Premium EUA Tarima Americana</v>
          </cell>
          <cell r="B260" t="str">
            <v>CPR01104</v>
          </cell>
          <cell r="C260" t="str">
            <v>A01004-381809-1</v>
          </cell>
          <cell r="D260" t="str">
            <v>A01 004 La Ceiba</v>
          </cell>
          <cell r="E260" t="str">
            <v>McAllen</v>
          </cell>
          <cell r="F260">
            <v>960</v>
          </cell>
          <cell r="G260">
            <v>20</v>
          </cell>
          <cell r="H260">
            <v>46283</v>
          </cell>
          <cell r="I260">
            <v>38</v>
          </cell>
          <cell r="J260">
            <v>46288</v>
          </cell>
          <cell r="L260" t="str">
            <v>DIRECTO SIN PREENFRIO</v>
          </cell>
          <cell r="M260">
            <v>3</v>
          </cell>
          <cell r="N260">
            <v>72</v>
          </cell>
          <cell r="V260">
            <v>46284</v>
          </cell>
          <cell r="W260">
            <v>0.60416666666666663</v>
          </cell>
          <cell r="X260" t="str">
            <v/>
          </cell>
          <cell r="Y260" t="str">
            <v>SI CUMPLE</v>
          </cell>
          <cell r="AA260" t="str">
            <v>DESPACHADO</v>
          </cell>
          <cell r="AB260" t="str">
            <v>AUTO EXPRESS SEGOVIA</v>
          </cell>
          <cell r="AC260" t="str">
            <v>SANTIAGO HERRERA</v>
          </cell>
          <cell r="AD260">
            <v>89759</v>
          </cell>
        </row>
        <row r="261">
          <cell r="A261" t="str">
            <v>Chanitos Organic Banded Market Side Mexico</v>
          </cell>
          <cell r="B261" t="str">
            <v>CRG07128</v>
          </cell>
          <cell r="C261" t="str">
            <v>A01002-381809-1</v>
          </cell>
          <cell r="D261" t="str">
            <v>A01 002 Fortaleza</v>
          </cell>
          <cell r="E261" t="str">
            <v>QRO</v>
          </cell>
          <cell r="F261">
            <v>96</v>
          </cell>
          <cell r="G261">
            <v>2</v>
          </cell>
          <cell r="H261">
            <v>46283</v>
          </cell>
          <cell r="I261">
            <v>38</v>
          </cell>
          <cell r="J261">
            <v>46288</v>
          </cell>
          <cell r="L261" t="str">
            <v>PREENFRIO FORTALEZA</v>
          </cell>
          <cell r="M261">
            <v>1.5</v>
          </cell>
          <cell r="N261">
            <v>36</v>
          </cell>
          <cell r="O261">
            <v>46283</v>
          </cell>
          <cell r="P261">
            <v>0.72847222222222219</v>
          </cell>
          <cell r="Q261" t="str">
            <v>NORMAL</v>
          </cell>
          <cell r="R261">
            <v>46284</v>
          </cell>
          <cell r="S261">
            <v>0.38541666666666669</v>
          </cell>
          <cell r="T261">
            <v>0.625</v>
          </cell>
          <cell r="U261">
            <v>46285.010416666664</v>
          </cell>
          <cell r="V261">
            <v>46285</v>
          </cell>
          <cell r="W261">
            <v>0.10416666666666667</v>
          </cell>
          <cell r="X261" t="str">
            <v>SI CUMPLE</v>
          </cell>
          <cell r="Y261" t="str">
            <v>SI CUMPLE</v>
          </cell>
          <cell r="AA261" t="str">
            <v>DESPACHADO</v>
          </cell>
          <cell r="AB261" t="str">
            <v>JONATHAN ALVAREZ VIVANCO</v>
          </cell>
          <cell r="AC261" t="str">
            <v>RAFAEL RIOS HERNANDEZ</v>
          </cell>
          <cell r="AD261">
            <v>77520</v>
          </cell>
          <cell r="AE261" t="str">
            <v>QCH1W04NX0</v>
          </cell>
        </row>
        <row r="262">
          <cell r="A262" t="str">
            <v>Chanitos Premium Tarima Chep</v>
          </cell>
          <cell r="B262" t="str">
            <v>CPR01102</v>
          </cell>
          <cell r="C262" t="str">
            <v>A01002-381809-1</v>
          </cell>
          <cell r="D262" t="str">
            <v>A01 002 Fortaleza</v>
          </cell>
          <cell r="E262" t="str">
            <v>QRO</v>
          </cell>
          <cell r="F262">
            <v>1056</v>
          </cell>
          <cell r="G262">
            <v>21</v>
          </cell>
          <cell r="H262">
            <v>46283</v>
          </cell>
          <cell r="I262">
            <v>38</v>
          </cell>
          <cell r="J262">
            <v>46288</v>
          </cell>
          <cell r="L262" t="str">
            <v>PREENFRIO FORTALEZA</v>
          </cell>
          <cell r="M262">
            <v>1.5</v>
          </cell>
          <cell r="N262">
            <v>36</v>
          </cell>
          <cell r="O262">
            <v>46283</v>
          </cell>
          <cell r="P262">
            <v>0.72847222222222219</v>
          </cell>
          <cell r="Q262" t="str">
            <v>NORMAL</v>
          </cell>
          <cell r="R262">
            <v>46284</v>
          </cell>
          <cell r="S262">
            <v>0.38541666666666669</v>
          </cell>
          <cell r="T262">
            <v>0.625</v>
          </cell>
          <cell r="U262">
            <v>46285.010416666664</v>
          </cell>
          <cell r="V262">
            <v>46285</v>
          </cell>
          <cell r="W262">
            <v>0.10416666666666667</v>
          </cell>
          <cell r="X262" t="str">
            <v>SI CUMPLE</v>
          </cell>
          <cell r="Y262" t="str">
            <v>SI CUMPLE</v>
          </cell>
          <cell r="AA262" t="str">
            <v>DESPACHADO</v>
          </cell>
          <cell r="AB262" t="str">
            <v>JONATHAN ALVAREZ VIVANCO</v>
          </cell>
          <cell r="AC262" t="str">
            <v>RAFAEL RIOS HERNANDEZ</v>
          </cell>
          <cell r="AD262">
            <v>77520</v>
          </cell>
          <cell r="AE262" t="str">
            <v>QCH1W04NX0</v>
          </cell>
        </row>
        <row r="263">
          <cell r="A263" t="str">
            <v>Chanitos Premium EUA Tarima Americana</v>
          </cell>
          <cell r="B263" t="str">
            <v>CPR01104</v>
          </cell>
          <cell r="C263" t="str">
            <v>A06043-381709-1</v>
          </cell>
          <cell r="D263" t="str">
            <v>A06 043 Nuestra señora</v>
          </cell>
          <cell r="E263" t="str">
            <v>McAllen</v>
          </cell>
          <cell r="F263">
            <v>480</v>
          </cell>
          <cell r="G263">
            <v>10</v>
          </cell>
          <cell r="H263">
            <v>46282</v>
          </cell>
          <cell r="I263">
            <v>38</v>
          </cell>
          <cell r="J263">
            <v>46289</v>
          </cell>
          <cell r="L263" t="str">
            <v>PREENFRIO NELLY</v>
          </cell>
          <cell r="M263">
            <v>3</v>
          </cell>
          <cell r="N263">
            <v>72</v>
          </cell>
          <cell r="O263">
            <v>46283</v>
          </cell>
          <cell r="P263">
            <v>0.66319444444444442</v>
          </cell>
          <cell r="Q263" t="str">
            <v>NORMAL</v>
          </cell>
          <cell r="R263">
            <v>46283</v>
          </cell>
          <cell r="S263">
            <v>0.77083333333333337</v>
          </cell>
          <cell r="T263">
            <v>0.35416666666666669</v>
          </cell>
          <cell r="U263">
            <v>46284.125</v>
          </cell>
          <cell r="V263">
            <v>46286</v>
          </cell>
          <cell r="W263">
            <v>0.33333333333333331</v>
          </cell>
          <cell r="X263" t="str">
            <v>SI CUMPLE</v>
          </cell>
          <cell r="Y263" t="str">
            <v>NO CUMPLE</v>
          </cell>
          <cell r="AA263" t="str">
            <v>DESPACHADO</v>
          </cell>
          <cell r="AB263" t="str">
            <v>AUTO EXPRESS SEGOVIA</v>
          </cell>
        </row>
        <row r="264">
          <cell r="A264" t="str">
            <v>Chanitos Premium Tarima Chep</v>
          </cell>
          <cell r="B264" t="str">
            <v>CPR01102</v>
          </cell>
          <cell r="C264" t="str">
            <v>A01002-381909-1</v>
          </cell>
          <cell r="D264" t="str">
            <v>A01 002 Fortaleza</v>
          </cell>
          <cell r="E264" t="str">
            <v>Chalco</v>
          </cell>
          <cell r="F264">
            <v>810</v>
          </cell>
          <cell r="G264">
            <v>16.875</v>
          </cell>
          <cell r="H264">
            <v>46284</v>
          </cell>
          <cell r="I264">
            <v>38</v>
          </cell>
          <cell r="J264">
            <v>46288</v>
          </cell>
          <cell r="L264" t="str">
            <v>PREENFRIO FORTALEZA</v>
          </cell>
          <cell r="M264">
            <v>1</v>
          </cell>
          <cell r="N264">
            <v>24</v>
          </cell>
          <cell r="O264">
            <v>46284</v>
          </cell>
          <cell r="P264">
            <v>0.64930555555555558</v>
          </cell>
          <cell r="Q264" t="str">
            <v>NORMAL</v>
          </cell>
          <cell r="R264">
            <v>46285</v>
          </cell>
          <cell r="S264">
            <v>8.3333333333333329E-2</v>
          </cell>
          <cell r="T264">
            <v>0.41666666666666669</v>
          </cell>
          <cell r="U264">
            <v>46285.5</v>
          </cell>
          <cell r="V264">
            <v>46285</v>
          </cell>
          <cell r="W264">
            <v>0.73958333333333337</v>
          </cell>
          <cell r="X264" t="str">
            <v>SI CUMPLE</v>
          </cell>
          <cell r="Y264" t="str">
            <v>SI CUMPLE</v>
          </cell>
          <cell r="AA264" t="str">
            <v>DESPACHADO</v>
          </cell>
          <cell r="AB264" t="str">
            <v>JONATHAN CARRILLO</v>
          </cell>
          <cell r="AC264" t="str">
            <v>GEOVANI ESPINO</v>
          </cell>
          <cell r="AD264">
            <v>47153</v>
          </cell>
          <cell r="AE264" t="str">
            <v>QCH1W04HY0</v>
          </cell>
        </row>
        <row r="265">
          <cell r="A265" t="str">
            <v>Platano de Chiapas BAE UPC 3237</v>
          </cell>
          <cell r="B265" t="str">
            <v>CPR01114</v>
          </cell>
          <cell r="C265" t="str">
            <v>A01002-381909-1</v>
          </cell>
          <cell r="D265" t="str">
            <v>A01 002 Fortaleza</v>
          </cell>
          <cell r="E265" t="str">
            <v>Chalco</v>
          </cell>
          <cell r="F265">
            <v>54</v>
          </cell>
          <cell r="G265">
            <v>1.125</v>
          </cell>
          <cell r="H265">
            <v>46284</v>
          </cell>
          <cell r="I265">
            <v>38</v>
          </cell>
          <cell r="J265">
            <v>46288</v>
          </cell>
          <cell r="L265" t="str">
            <v>PREENFRIO FORTALEZA</v>
          </cell>
          <cell r="M265">
            <v>1</v>
          </cell>
          <cell r="N265">
            <v>24</v>
          </cell>
          <cell r="O265">
            <v>46284</v>
          </cell>
          <cell r="P265">
            <v>0.64930555555555558</v>
          </cell>
          <cell r="Q265" t="str">
            <v>NORMAL</v>
          </cell>
          <cell r="R265">
            <v>46285</v>
          </cell>
          <cell r="S265">
            <v>8.3333333333333329E-2</v>
          </cell>
          <cell r="T265">
            <v>0.41666666666666669</v>
          </cell>
          <cell r="U265">
            <v>46285.5</v>
          </cell>
          <cell r="V265">
            <v>46285</v>
          </cell>
          <cell r="W265">
            <v>0.73958333333333337</v>
          </cell>
          <cell r="X265" t="str">
            <v>SI CUMPLE</v>
          </cell>
          <cell r="Y265" t="str">
            <v>SI CUMPLE</v>
          </cell>
          <cell r="AA265" t="str">
            <v>DESPACHADO</v>
          </cell>
          <cell r="AB265" t="str">
            <v>JONATHAN CARRILLO</v>
          </cell>
          <cell r="AC265" t="str">
            <v>GEOVANI ESPINO</v>
          </cell>
          <cell r="AD265">
            <v>47153</v>
          </cell>
          <cell r="AE265" t="str">
            <v>QCH1W04HY0</v>
          </cell>
        </row>
        <row r="266">
          <cell r="A266" t="str">
            <v>Chanitos Premium EUA Tarima Americana</v>
          </cell>
          <cell r="B266" t="str">
            <v>CPR01104</v>
          </cell>
          <cell r="C266" t="str">
            <v>A06043-381809-1</v>
          </cell>
          <cell r="D266" t="str">
            <v>A06 043 Nuestra señora</v>
          </cell>
          <cell r="E266" t="str">
            <v>McAllen</v>
          </cell>
          <cell r="F266">
            <v>480</v>
          </cell>
          <cell r="G266">
            <v>10</v>
          </cell>
          <cell r="H266">
            <v>46283</v>
          </cell>
          <cell r="I266">
            <v>38</v>
          </cell>
          <cell r="J266">
            <v>46289</v>
          </cell>
          <cell r="L266" t="str">
            <v>PREENFRIO NELLY</v>
          </cell>
          <cell r="M266">
            <v>3</v>
          </cell>
          <cell r="N266">
            <v>72</v>
          </cell>
          <cell r="O266">
            <v>46283</v>
          </cell>
          <cell r="P266">
            <v>0.66319444444444442</v>
          </cell>
          <cell r="Q266" t="str">
            <v>NORMAL</v>
          </cell>
          <cell r="R266">
            <v>46283</v>
          </cell>
          <cell r="S266">
            <v>0.77083333333333337</v>
          </cell>
          <cell r="T266">
            <v>0.35416666666666669</v>
          </cell>
          <cell r="U266">
            <v>46284.125</v>
          </cell>
          <cell r="V266">
            <v>46286</v>
          </cell>
          <cell r="W266">
            <v>0.33333333333333331</v>
          </cell>
          <cell r="X266" t="str">
            <v>SI CUMPLE</v>
          </cell>
          <cell r="Y266" t="str">
            <v>NO CUMPLE</v>
          </cell>
          <cell r="AA266" t="str">
            <v>DESPACHADO</v>
          </cell>
          <cell r="AB266" t="str">
            <v>AUTO EXPRESS SEGOVIA</v>
          </cell>
        </row>
        <row r="267">
          <cell r="A267" t="str">
            <v>Chanitos Premium Tarima Chep</v>
          </cell>
          <cell r="B267" t="str">
            <v>CPR01102</v>
          </cell>
          <cell r="C267" t="str">
            <v>A01003-381909-1</v>
          </cell>
          <cell r="D267" t="str">
            <v>A01 003 Doña Nelly</v>
          </cell>
          <cell r="E267" t="str">
            <v>Chalco</v>
          </cell>
          <cell r="F267">
            <v>288</v>
          </cell>
          <cell r="G267">
            <v>6</v>
          </cell>
          <cell r="H267">
            <v>46284</v>
          </cell>
          <cell r="I267">
            <v>38</v>
          </cell>
          <cell r="J267">
            <v>46288</v>
          </cell>
          <cell r="L267" t="str">
            <v>PREENFRIO NELLY</v>
          </cell>
          <cell r="M267">
            <v>1</v>
          </cell>
          <cell r="N267">
            <v>24</v>
          </cell>
          <cell r="O267">
            <v>46284</v>
          </cell>
          <cell r="P267">
            <v>0.68402777777777779</v>
          </cell>
          <cell r="Q267" t="str">
            <v>ALTA</v>
          </cell>
          <cell r="R267">
            <v>46285</v>
          </cell>
          <cell r="S267">
            <v>0.64583333333333337</v>
          </cell>
          <cell r="T267">
            <v>0.35416666666666669</v>
          </cell>
          <cell r="U267">
            <v>46286</v>
          </cell>
          <cell r="V267">
            <v>46285</v>
          </cell>
          <cell r="W267">
            <v>0.95833333333333337</v>
          </cell>
          <cell r="X267" t="str">
            <v>SI CUMPLE</v>
          </cell>
          <cell r="Y267" t="str">
            <v>SI CUMPLE</v>
          </cell>
          <cell r="AA267" t="str">
            <v>DESPACHADO</v>
          </cell>
          <cell r="AB267" t="str">
            <v>JONATHAN CARRILLO</v>
          </cell>
          <cell r="AC267" t="str">
            <v>GEOVANI ESPINO</v>
          </cell>
          <cell r="AD267">
            <v>23678</v>
          </cell>
          <cell r="AE267" t="str">
            <v>QCH1W04HY0</v>
          </cell>
        </row>
        <row r="268">
          <cell r="A268" t="str">
            <v>Chanitos Plantain 20Kg Tarima Americana</v>
          </cell>
          <cell r="B268" t="str">
            <v>CPL08134</v>
          </cell>
          <cell r="C268" t="str">
            <v>A15063-392209-1</v>
          </cell>
          <cell r="D268" t="str">
            <v xml:space="preserve">A15 063 Zaragoza </v>
          </cell>
          <cell r="E268" t="str">
            <v>CEDA</v>
          </cell>
          <cell r="F268">
            <v>240</v>
          </cell>
          <cell r="G268">
            <v>5</v>
          </cell>
          <cell r="H268">
            <v>46287</v>
          </cell>
          <cell r="I268">
            <v>39</v>
          </cell>
          <cell r="J268">
            <v>46288</v>
          </cell>
          <cell r="L268" t="str">
            <v>PREENFRIO FORTALEZA</v>
          </cell>
          <cell r="M268">
            <v>1.5</v>
          </cell>
          <cell r="N268">
            <v>36</v>
          </cell>
          <cell r="O268">
            <v>46288</v>
          </cell>
          <cell r="P268">
            <v>0.83333333333333337</v>
          </cell>
          <cell r="Q268" t="str">
            <v>NORMAL</v>
          </cell>
          <cell r="R268">
            <v>46288</v>
          </cell>
          <cell r="S268">
            <v>0.87986111111111109</v>
          </cell>
          <cell r="T268">
            <v>0.41666666666666669</v>
          </cell>
          <cell r="U268">
            <v>46289.296527777777</v>
          </cell>
          <cell r="V268">
            <v>46289</v>
          </cell>
          <cell r="W268">
            <v>0.4861111111111111</v>
          </cell>
          <cell r="X268" t="str">
            <v>NO CUMPLE</v>
          </cell>
          <cell r="Y268" t="str">
            <v>NO CUMPLE</v>
          </cell>
          <cell r="AA268" t="str">
            <v>DESPACHADO</v>
          </cell>
          <cell r="AB268" t="str">
            <v>EDUARDO ROSALES</v>
          </cell>
          <cell r="AC268" t="str">
            <v>EDUARDO ROSALES</v>
          </cell>
          <cell r="AD268">
            <v>73448</v>
          </cell>
          <cell r="AE268" t="str">
            <v>N/A</v>
          </cell>
        </row>
        <row r="269">
          <cell r="A269" t="str">
            <v>Chanitos Plantain 20Kg Tarima Americana</v>
          </cell>
          <cell r="B269" t="str">
            <v>CPL08134</v>
          </cell>
          <cell r="C269" t="str">
            <v>A15063-392209-1</v>
          </cell>
          <cell r="D269" t="str">
            <v xml:space="preserve">A15 063 Zaragoza </v>
          </cell>
          <cell r="E269" t="str">
            <v>CEDA</v>
          </cell>
          <cell r="F269">
            <v>240</v>
          </cell>
          <cell r="G269">
            <v>5</v>
          </cell>
          <cell r="H269">
            <v>46288</v>
          </cell>
          <cell r="I269">
            <v>39</v>
          </cell>
          <cell r="J269">
            <v>46288</v>
          </cell>
          <cell r="L269" t="str">
            <v>PREENFRIO FORTALEZA</v>
          </cell>
          <cell r="M269">
            <v>1.5</v>
          </cell>
          <cell r="N269">
            <v>36</v>
          </cell>
          <cell r="O269">
            <v>46288</v>
          </cell>
          <cell r="P269">
            <v>0.83333333333333337</v>
          </cell>
          <cell r="Q269" t="str">
            <v>NORMAL</v>
          </cell>
          <cell r="R269">
            <v>46289</v>
          </cell>
          <cell r="S269">
            <v>0.33541666666666664</v>
          </cell>
          <cell r="T269">
            <v>0.25</v>
          </cell>
          <cell r="U269">
            <v>46289.585416666669</v>
          </cell>
          <cell r="V269">
            <v>46289</v>
          </cell>
          <cell r="W269">
            <v>0.4861111111111111</v>
          </cell>
          <cell r="X269" t="str">
            <v>NO CUMPLE</v>
          </cell>
          <cell r="Y269" t="str">
            <v>NO CUMPLE</v>
          </cell>
          <cell r="AA269" t="str">
            <v>DESPACHADO</v>
          </cell>
          <cell r="AB269" t="str">
            <v>EDUARDO ROSALES</v>
          </cell>
          <cell r="AC269" t="str">
            <v>EDUARDO ROSALES</v>
          </cell>
          <cell r="AD269">
            <v>73448</v>
          </cell>
          <cell r="AE269" t="str">
            <v>N/A</v>
          </cell>
        </row>
        <row r="270">
          <cell r="A270" t="str">
            <v>Chanitos Premium EUA Tarima Americana</v>
          </cell>
          <cell r="B270" t="str">
            <v>CPR01104</v>
          </cell>
          <cell r="C270" t="str">
            <v>A01001-381909-1</v>
          </cell>
          <cell r="D270" t="str">
            <v>A01 001 Marbella</v>
          </cell>
          <cell r="E270" t="str">
            <v>McAllen</v>
          </cell>
          <cell r="F270">
            <v>960</v>
          </cell>
          <cell r="G270">
            <v>20</v>
          </cell>
          <cell r="H270">
            <v>46284</v>
          </cell>
          <cell r="I270">
            <v>38</v>
          </cell>
          <cell r="J270">
            <v>46289</v>
          </cell>
          <cell r="L270" t="str">
            <v>PREENFRIO NELLY</v>
          </cell>
          <cell r="M270">
            <v>3</v>
          </cell>
          <cell r="N270">
            <v>72</v>
          </cell>
          <cell r="O270">
            <v>46284</v>
          </cell>
          <cell r="P270">
            <v>0.82291666666666663</v>
          </cell>
          <cell r="Q270" t="str">
            <v>NORMAL</v>
          </cell>
          <cell r="R270">
            <v>46285</v>
          </cell>
          <cell r="S270">
            <v>0.81597222222222221</v>
          </cell>
          <cell r="T270">
            <v>0.35416666666666669</v>
          </cell>
          <cell r="U270">
            <v>46286.170138888883</v>
          </cell>
          <cell r="V270">
            <v>46286</v>
          </cell>
          <cell r="W270">
            <v>0.33333333333333331</v>
          </cell>
          <cell r="X270" t="str">
            <v>NO CUMPLE</v>
          </cell>
          <cell r="Y270" t="str">
            <v>NO CUMPLE</v>
          </cell>
          <cell r="AA270" t="str">
            <v>DESPACHADO</v>
          </cell>
          <cell r="AB270" t="str">
            <v>AUTO EXPRESS SEGOVIA</v>
          </cell>
        </row>
        <row r="271">
          <cell r="A271" t="str">
            <v>Chanitos Premium Tarima Chep</v>
          </cell>
          <cell r="B271" t="str">
            <v>CPR01102</v>
          </cell>
          <cell r="C271" t="str">
            <v>A01001-381809-1</v>
          </cell>
          <cell r="D271" t="str">
            <v>A01 001 Marbella</v>
          </cell>
          <cell r="E271" t="str">
            <v>SMO</v>
          </cell>
          <cell r="F271">
            <v>96</v>
          </cell>
          <cell r="G271">
            <v>2</v>
          </cell>
          <cell r="H271">
            <v>46283</v>
          </cell>
          <cell r="I271">
            <v>38</v>
          </cell>
          <cell r="J271">
            <v>46289</v>
          </cell>
          <cell r="L271" t="str">
            <v>PREENFRIO FORTALEZA</v>
          </cell>
          <cell r="M271">
            <v>1.5</v>
          </cell>
          <cell r="N271">
            <v>36</v>
          </cell>
          <cell r="O271">
            <v>46283</v>
          </cell>
          <cell r="P271">
            <v>0.74722222222222223</v>
          </cell>
          <cell r="Q271" t="str">
            <v>NORMAL</v>
          </cell>
          <cell r="R271">
            <v>46285</v>
          </cell>
          <cell r="S271">
            <v>0.7631944444444444</v>
          </cell>
          <cell r="T271">
            <v>0.20833333333333334</v>
          </cell>
          <cell r="U271">
            <v>46285.97152777778</v>
          </cell>
          <cell r="V271">
            <v>46287</v>
          </cell>
          <cell r="W271">
            <v>0.31180555555555556</v>
          </cell>
          <cell r="X271" t="str">
            <v>SI CUMPLE</v>
          </cell>
          <cell r="Y271" t="str">
            <v>SI CUMPLE</v>
          </cell>
          <cell r="AA271" t="str">
            <v>DESPACHADO</v>
          </cell>
          <cell r="AB271" t="str">
            <v>GUILLERMO PEREZ PEREZ</v>
          </cell>
          <cell r="AC271" t="str">
            <v>ERICK RUBEN SANCHEZ</v>
          </cell>
          <cell r="AD271">
            <v>16271</v>
          </cell>
          <cell r="AE271" t="str">
            <v>QCH1W04JB0</v>
          </cell>
        </row>
        <row r="272">
          <cell r="A272" t="str">
            <v>Chanitos Organic Banded Market Side Mexico</v>
          </cell>
          <cell r="B272" t="str">
            <v>CRG07128</v>
          </cell>
          <cell r="C272" t="str">
            <v>A01002-381809-1</v>
          </cell>
          <cell r="D272" t="str">
            <v>A01 002 Fortaleza</v>
          </cell>
          <cell r="E272" t="str">
            <v>SMO</v>
          </cell>
          <cell r="F272">
            <v>288</v>
          </cell>
          <cell r="G272">
            <v>6</v>
          </cell>
          <cell r="H272">
            <v>46283</v>
          </cell>
          <cell r="I272">
            <v>38</v>
          </cell>
          <cell r="J272">
            <v>46289</v>
          </cell>
          <cell r="L272" t="str">
            <v>PREENFRIO FORTALEZA</v>
          </cell>
          <cell r="M272">
            <v>1.5</v>
          </cell>
          <cell r="N272">
            <v>36</v>
          </cell>
          <cell r="O272">
            <v>46283</v>
          </cell>
          <cell r="P272">
            <v>0.72847222222222219</v>
          </cell>
          <cell r="Q272" t="str">
            <v>NORMAL</v>
          </cell>
          <cell r="R272">
            <v>46285</v>
          </cell>
          <cell r="S272">
            <v>0.7631944444444444</v>
          </cell>
          <cell r="T272">
            <v>0.20833333333333334</v>
          </cell>
          <cell r="U272">
            <v>46285.97152777778</v>
          </cell>
          <cell r="V272">
            <v>46287</v>
          </cell>
          <cell r="W272">
            <v>0.31180555555555556</v>
          </cell>
          <cell r="X272" t="str">
            <v>SI CUMPLE</v>
          </cell>
          <cell r="Y272" t="str">
            <v>SI CUMPLE</v>
          </cell>
          <cell r="AA272" t="str">
            <v>DESPACHADO</v>
          </cell>
          <cell r="AB272" t="str">
            <v>GUILLERMO PEREZ PEREZ</v>
          </cell>
          <cell r="AC272" t="str">
            <v>ERICK RUBEN SANCHEZ</v>
          </cell>
          <cell r="AD272">
            <v>16271</v>
          </cell>
          <cell r="AE272" t="str">
            <v>QCH1W04JB0</v>
          </cell>
        </row>
        <row r="273">
          <cell r="A273" t="str">
            <v>Chanitos Organic Banded Market Side Mexico</v>
          </cell>
          <cell r="B273" t="str">
            <v>CRG07128</v>
          </cell>
          <cell r="C273" t="str">
            <v>A01002-381809-1</v>
          </cell>
          <cell r="D273" t="str">
            <v>A01 002 Fortaleza</v>
          </cell>
          <cell r="E273" t="str">
            <v>VSA</v>
          </cell>
          <cell r="F273">
            <v>240</v>
          </cell>
          <cell r="G273">
            <v>5</v>
          </cell>
          <cell r="H273">
            <v>46283</v>
          </cell>
          <cell r="I273">
            <v>38</v>
          </cell>
          <cell r="J273">
            <v>46289</v>
          </cell>
          <cell r="L273" t="str">
            <v>PREENFRIO FORTALEZA</v>
          </cell>
          <cell r="M273">
            <v>1</v>
          </cell>
          <cell r="N273">
            <v>24</v>
          </cell>
          <cell r="O273">
            <v>46283</v>
          </cell>
          <cell r="P273">
            <v>0.72847222222222219</v>
          </cell>
          <cell r="Q273" t="str">
            <v>NORMAL</v>
          </cell>
          <cell r="R273">
            <v>46285</v>
          </cell>
          <cell r="S273">
            <v>0.5395833333333333</v>
          </cell>
          <cell r="T273">
            <v>0.20833333333333334</v>
          </cell>
          <cell r="U273">
            <v>46285.747916666667</v>
          </cell>
          <cell r="V273">
            <v>46287</v>
          </cell>
          <cell r="W273">
            <v>0.59722222222222221</v>
          </cell>
          <cell r="X273" t="str">
            <v>SI CUMPLE</v>
          </cell>
          <cell r="Y273" t="str">
            <v>SI CUMPLE</v>
          </cell>
          <cell r="AA273" t="str">
            <v>DESPACHADO</v>
          </cell>
          <cell r="AB273" t="str">
            <v>BACKHAUL</v>
          </cell>
          <cell r="AC273" t="str">
            <v>BRAULIO CORTAZAR BAREZ</v>
          </cell>
          <cell r="AD273">
            <v>18198</v>
          </cell>
          <cell r="AE273" t="str">
            <v>QCH1W04N10</v>
          </cell>
        </row>
        <row r="274">
          <cell r="A274" t="str">
            <v>Chanitos Premium Tarima Chep</v>
          </cell>
          <cell r="B274" t="str">
            <v>CPR01102</v>
          </cell>
          <cell r="C274" t="str">
            <v>A01001-381809-1</v>
          </cell>
          <cell r="D274" t="str">
            <v>A01 001 Marbella</v>
          </cell>
          <cell r="E274" t="str">
            <v>VSA</v>
          </cell>
          <cell r="F274">
            <v>576</v>
          </cell>
          <cell r="G274">
            <v>12</v>
          </cell>
          <cell r="H274">
            <v>46283</v>
          </cell>
          <cell r="I274">
            <v>38</v>
          </cell>
          <cell r="J274">
            <v>46289</v>
          </cell>
          <cell r="L274" t="str">
            <v>PREENFRIO FORTALEZA</v>
          </cell>
          <cell r="M274">
            <v>1</v>
          </cell>
          <cell r="N274">
            <v>24</v>
          </cell>
          <cell r="O274">
            <v>46283</v>
          </cell>
          <cell r="P274">
            <v>0.74722222222222223</v>
          </cell>
          <cell r="Q274" t="str">
            <v>NORMAL</v>
          </cell>
          <cell r="R274">
            <v>46285</v>
          </cell>
          <cell r="S274">
            <v>0.94444444444444442</v>
          </cell>
          <cell r="T274">
            <v>0.20833333333333334</v>
          </cell>
          <cell r="U274">
            <v>46286.152777777781</v>
          </cell>
          <cell r="V274">
            <v>46287</v>
          </cell>
          <cell r="W274">
            <v>0.59722222222222221</v>
          </cell>
          <cell r="X274" t="str">
            <v>SI CUMPLE</v>
          </cell>
          <cell r="Y274" t="str">
            <v>SI CUMPLE</v>
          </cell>
          <cell r="AA274" t="str">
            <v>DESPACHADO</v>
          </cell>
          <cell r="AB274" t="str">
            <v>BACKHAUL</v>
          </cell>
          <cell r="AC274" t="str">
            <v>BRAULIO CORTAZAR BAREZ</v>
          </cell>
          <cell r="AD274">
            <v>18198</v>
          </cell>
          <cell r="AE274" t="str">
            <v>QCH1W04N10</v>
          </cell>
        </row>
        <row r="275">
          <cell r="A275" t="str">
            <v>Chanitos Premium Tarima Chep</v>
          </cell>
          <cell r="B275" t="str">
            <v>CPR01102</v>
          </cell>
          <cell r="C275" t="str">
            <v>A01003-381909-1</v>
          </cell>
          <cell r="D275" t="str">
            <v>A01 003 Doña Nelly</v>
          </cell>
          <cell r="E275" t="str">
            <v>SMO</v>
          </cell>
          <cell r="F275">
            <v>384</v>
          </cell>
          <cell r="G275">
            <v>8</v>
          </cell>
          <cell r="H275">
            <v>46284</v>
          </cell>
          <cell r="I275">
            <v>38</v>
          </cell>
          <cell r="J275">
            <v>46289</v>
          </cell>
          <cell r="L275" t="str">
            <v>PREENFRIO NELLY</v>
          </cell>
          <cell r="M275">
            <v>1.5</v>
          </cell>
          <cell r="N275">
            <v>36</v>
          </cell>
          <cell r="O275">
            <v>46284</v>
          </cell>
          <cell r="P275">
            <v>0.68402777777777779</v>
          </cell>
          <cell r="Q275" t="str">
            <v>ALTA</v>
          </cell>
          <cell r="R275">
            <v>46285</v>
          </cell>
          <cell r="S275">
            <v>0.76458333333333328</v>
          </cell>
          <cell r="T275">
            <v>0.35416666666666669</v>
          </cell>
          <cell r="U275">
            <v>46286.118749999994</v>
          </cell>
          <cell r="V275">
            <v>46287</v>
          </cell>
          <cell r="W275">
            <v>0.5625</v>
          </cell>
          <cell r="X275" t="str">
            <v>SI CUMPLE</v>
          </cell>
          <cell r="Y275" t="str">
            <v>NO CUMPLE</v>
          </cell>
          <cell r="AA275" t="str">
            <v>DESPACHADO</v>
          </cell>
          <cell r="AB275" t="str">
            <v>Transportes Përez</v>
          </cell>
          <cell r="AC275" t="str">
            <v>ERICK RUBEN SANCHEZ</v>
          </cell>
          <cell r="AD275">
            <v>96958</v>
          </cell>
          <cell r="AE275" t="str">
            <v>FORTALEZA</v>
          </cell>
        </row>
        <row r="276">
          <cell r="A276" t="str">
            <v>Chanitos Premium Tarima Chep</v>
          </cell>
          <cell r="B276" t="str">
            <v>CPR01102</v>
          </cell>
          <cell r="C276" t="str">
            <v>A01002-381909-1</v>
          </cell>
          <cell r="D276" t="str">
            <v>A01 002 Fortaleza</v>
          </cell>
          <cell r="E276" t="str">
            <v>SMO</v>
          </cell>
          <cell r="F276">
            <v>48</v>
          </cell>
          <cell r="G276">
            <v>1</v>
          </cell>
          <cell r="H276">
            <v>46284</v>
          </cell>
          <cell r="I276">
            <v>38</v>
          </cell>
          <cell r="J276">
            <v>46289</v>
          </cell>
          <cell r="L276" t="str">
            <v>PREENFRIO FORTALEZA</v>
          </cell>
          <cell r="M276">
            <v>1.5</v>
          </cell>
          <cell r="N276">
            <v>36</v>
          </cell>
          <cell r="O276">
            <v>46284</v>
          </cell>
          <cell r="P276">
            <v>0.64930555555555558</v>
          </cell>
          <cell r="Q276" t="str">
            <v>NORMAL</v>
          </cell>
          <cell r="R276">
            <v>46285</v>
          </cell>
          <cell r="S276">
            <v>0.5395833333333333</v>
          </cell>
          <cell r="T276">
            <v>0.20833333333333334</v>
          </cell>
          <cell r="U276">
            <v>46285.747916666667</v>
          </cell>
          <cell r="V276">
            <v>46287</v>
          </cell>
          <cell r="W276">
            <v>0.31180555555555556</v>
          </cell>
          <cell r="X276" t="str">
            <v>SI CUMPLE</v>
          </cell>
          <cell r="Y276" t="str">
            <v>SI CUMPLE</v>
          </cell>
          <cell r="AA276" t="str">
            <v>DESPACHADO</v>
          </cell>
          <cell r="AB276" t="str">
            <v>GUILLERMO PEREZ PEREZ</v>
          </cell>
          <cell r="AC276" t="str">
            <v>ERICK RUBEN SANCHEZ</v>
          </cell>
          <cell r="AD276">
            <v>16271</v>
          </cell>
          <cell r="AE276" t="str">
            <v>QCH1W04JB0</v>
          </cell>
        </row>
        <row r="277">
          <cell r="A277" t="str">
            <v>Chanitos Premium Tarima Chep</v>
          </cell>
          <cell r="B277" t="str">
            <v>CPR01102</v>
          </cell>
          <cell r="C277" t="str">
            <v>A01002-381909-1</v>
          </cell>
          <cell r="D277" t="str">
            <v>A01 002 Fortaleza</v>
          </cell>
          <cell r="E277" t="str">
            <v>VSA</v>
          </cell>
          <cell r="F277">
            <v>336</v>
          </cell>
          <cell r="G277">
            <v>7</v>
          </cell>
          <cell r="H277">
            <v>46284</v>
          </cell>
          <cell r="I277">
            <v>38</v>
          </cell>
          <cell r="J277">
            <v>46289</v>
          </cell>
          <cell r="L277" t="str">
            <v>PREENFRIO FORTALEZA</v>
          </cell>
          <cell r="M277">
            <v>1</v>
          </cell>
          <cell r="N277">
            <v>24</v>
          </cell>
          <cell r="O277">
            <v>46284</v>
          </cell>
          <cell r="P277">
            <v>0.64930555555555558</v>
          </cell>
          <cell r="Q277" t="str">
            <v>NORMAL</v>
          </cell>
          <cell r="R277">
            <v>46285</v>
          </cell>
          <cell r="S277">
            <v>0.5395833333333333</v>
          </cell>
          <cell r="T277">
            <v>0.20833333333333334</v>
          </cell>
          <cell r="U277">
            <v>46285.747916666667</v>
          </cell>
          <cell r="V277">
            <v>46287</v>
          </cell>
          <cell r="W277">
            <v>0.59722222222222221</v>
          </cell>
          <cell r="X277" t="str">
            <v>SI CUMPLE</v>
          </cell>
          <cell r="Y277" t="str">
            <v>SI CUMPLE</v>
          </cell>
          <cell r="AA277" t="str">
            <v>DESPACHADO</v>
          </cell>
          <cell r="AB277" t="str">
            <v>BACKHAUL</v>
          </cell>
          <cell r="AC277" t="str">
            <v>BRAULIO CORTAZAR BAREZ</v>
          </cell>
          <cell r="AD277">
            <v>18198</v>
          </cell>
          <cell r="AE277" t="str">
            <v>QCH1W04N10</v>
          </cell>
        </row>
        <row r="278">
          <cell r="A278" t="str">
            <v>Chanitos Premium Tarima Americana</v>
          </cell>
          <cell r="B278" t="str">
            <v>CPR01103</v>
          </cell>
          <cell r="C278" t="str">
            <v>A04039-381909-1</v>
          </cell>
          <cell r="D278" t="str">
            <v>A04 039 San Jose Morelia Nava</v>
          </cell>
          <cell r="E278" t="str">
            <v>S-MTY</v>
          </cell>
          <cell r="F278">
            <v>960</v>
          </cell>
          <cell r="G278">
            <v>20</v>
          </cell>
          <cell r="H278">
            <v>46284</v>
          </cell>
          <cell r="I278">
            <v>38</v>
          </cell>
          <cell r="J278">
            <v>46290</v>
          </cell>
          <cell r="K278">
            <v>0.25</v>
          </cell>
          <cell r="L278" t="str">
            <v>PREENFRIO NELLY</v>
          </cell>
          <cell r="M278">
            <v>3</v>
          </cell>
          <cell r="N278">
            <v>72</v>
          </cell>
          <cell r="O278">
            <v>46284</v>
          </cell>
          <cell r="P278">
            <v>0.87152777777777779</v>
          </cell>
          <cell r="Q278" t="str">
            <v>NORMAL</v>
          </cell>
          <cell r="R278">
            <v>46285</v>
          </cell>
          <cell r="S278">
            <v>0.20833333333333334</v>
          </cell>
          <cell r="T278">
            <v>0.4375</v>
          </cell>
          <cell r="U278">
            <v>46285.645833333336</v>
          </cell>
          <cell r="V278">
            <v>46286</v>
          </cell>
          <cell r="W278">
            <v>0.95833333333333337</v>
          </cell>
          <cell r="X278" t="str">
            <v>SI CUMPLE</v>
          </cell>
          <cell r="Y278" t="str">
            <v>SI CUMPLE</v>
          </cell>
          <cell r="AA278" t="str">
            <v>DESPACHADO</v>
          </cell>
          <cell r="AB278" t="str">
            <v>TRANSPORTES ALGEZA</v>
          </cell>
          <cell r="AC278" t="str">
            <v>ERICK ALBERTO RUSTILLO ACOSTA</v>
          </cell>
        </row>
        <row r="279">
          <cell r="A279" t="str">
            <v>Chanitos Premium Tarima Americana</v>
          </cell>
          <cell r="B279" t="str">
            <v>CPR01103</v>
          </cell>
          <cell r="C279" t="str">
            <v>A01003-381909-1</v>
          </cell>
          <cell r="D279" t="str">
            <v>A01 003 Doña Nelly</v>
          </cell>
          <cell r="E279" t="str">
            <v>S-MTY</v>
          </cell>
          <cell r="F279">
            <v>384</v>
          </cell>
          <cell r="G279">
            <v>8</v>
          </cell>
          <cell r="H279">
            <v>46284</v>
          </cell>
          <cell r="I279">
            <v>38</v>
          </cell>
          <cell r="J279">
            <v>46290</v>
          </cell>
          <cell r="K279">
            <v>0.25</v>
          </cell>
          <cell r="L279" t="str">
            <v>PREENFRIO NELLY</v>
          </cell>
          <cell r="M279">
            <v>3</v>
          </cell>
          <cell r="N279">
            <v>72</v>
          </cell>
          <cell r="O279">
            <v>46284</v>
          </cell>
          <cell r="P279">
            <v>0.68402777777777779</v>
          </cell>
          <cell r="Q279" t="str">
            <v>NORMAL</v>
          </cell>
          <cell r="R279">
            <v>46285</v>
          </cell>
          <cell r="S279">
            <v>0.64583333333333337</v>
          </cell>
          <cell r="T279">
            <v>0.4375</v>
          </cell>
          <cell r="U279">
            <v>46286.083333333336</v>
          </cell>
          <cell r="V279">
            <v>46286</v>
          </cell>
          <cell r="W279">
            <v>0.95833333333333337</v>
          </cell>
          <cell r="X279" t="str">
            <v>SI CUMPLE</v>
          </cell>
          <cell r="Y279" t="str">
            <v>SI CUMPLE</v>
          </cell>
          <cell r="AA279" t="str">
            <v>DESPACHADO</v>
          </cell>
          <cell r="AB279" t="str">
            <v>TRANSPORTES ALGEZA</v>
          </cell>
          <cell r="AC279" t="str">
            <v>ERICK ALBERTO RUSTILLO ACOSTA</v>
          </cell>
          <cell r="AD279">
            <v>99365</v>
          </cell>
        </row>
        <row r="280">
          <cell r="A280" t="str">
            <v>Chanitos Premium Tarima Chep</v>
          </cell>
          <cell r="B280" t="str">
            <v>CPR01102</v>
          </cell>
          <cell r="C280" t="str">
            <v>A01002-392109-1</v>
          </cell>
          <cell r="D280" t="str">
            <v>A01 002 Fortaleza</v>
          </cell>
          <cell r="E280" t="str">
            <v>SMO</v>
          </cell>
          <cell r="F280">
            <v>144</v>
          </cell>
          <cell r="G280">
            <v>3</v>
          </cell>
          <cell r="H280">
            <v>46286</v>
          </cell>
          <cell r="I280">
            <v>39</v>
          </cell>
          <cell r="J280">
            <v>46289</v>
          </cell>
          <cell r="L280" t="str">
            <v>PREENFRIO FORTALEZA</v>
          </cell>
          <cell r="M280">
            <v>1.5</v>
          </cell>
          <cell r="N280">
            <v>36</v>
          </cell>
          <cell r="O280">
            <v>46286</v>
          </cell>
          <cell r="P280">
            <v>0.68819444444444444</v>
          </cell>
          <cell r="Q280" t="str">
            <v>NORMAL</v>
          </cell>
          <cell r="R280">
            <v>46286</v>
          </cell>
          <cell r="S280">
            <v>0.44791666666666669</v>
          </cell>
          <cell r="T280">
            <v>0.20833333333333334</v>
          </cell>
          <cell r="U280">
            <v>46286.65625</v>
          </cell>
          <cell r="V280">
            <v>46287</v>
          </cell>
          <cell r="W280">
            <v>0.31180555555555556</v>
          </cell>
          <cell r="X280" t="str">
            <v>SI CUMPLE</v>
          </cell>
          <cell r="Y280" t="str">
            <v>SI CUMPLE</v>
          </cell>
          <cell r="AA280" t="str">
            <v>DESPACHADO</v>
          </cell>
          <cell r="AB280" t="str">
            <v>GUILLERMO PEREZ PEREZ</v>
          </cell>
          <cell r="AC280" t="str">
            <v>ERICK RUBEN SANCHEZ</v>
          </cell>
          <cell r="AD280">
            <v>16271</v>
          </cell>
          <cell r="AE280" t="str">
            <v>QCH1W04JB0</v>
          </cell>
        </row>
        <row r="281">
          <cell r="A281" t="str">
            <v>Chanitos Premium Tarima Americana</v>
          </cell>
          <cell r="B281" t="str">
            <v>CPR01103</v>
          </cell>
          <cell r="C281" t="str">
            <v>A04039-381909-1</v>
          </cell>
          <cell r="D281" t="str">
            <v>A04 039 San Jose Morelia Nava</v>
          </cell>
          <cell r="E281" t="str">
            <v>S-MTY</v>
          </cell>
          <cell r="F281">
            <v>96</v>
          </cell>
          <cell r="G281">
            <v>2</v>
          </cell>
          <cell r="H281">
            <v>46284</v>
          </cell>
          <cell r="I281">
            <v>38</v>
          </cell>
          <cell r="J281">
            <v>46290</v>
          </cell>
          <cell r="K281">
            <v>0.25</v>
          </cell>
          <cell r="L281" t="str">
            <v>PREENFRIO NELLY</v>
          </cell>
          <cell r="M281">
            <v>3</v>
          </cell>
          <cell r="N281">
            <v>72</v>
          </cell>
          <cell r="O281">
            <v>46284</v>
          </cell>
          <cell r="P281">
            <v>0.87152777777777779</v>
          </cell>
          <cell r="Q281" t="str">
            <v>NORMAL</v>
          </cell>
          <cell r="R281">
            <v>46285</v>
          </cell>
          <cell r="S281">
            <v>0.64583333333333337</v>
          </cell>
          <cell r="T281">
            <v>0.4375</v>
          </cell>
          <cell r="U281">
            <v>46286.083333333336</v>
          </cell>
          <cell r="V281">
            <v>46286</v>
          </cell>
          <cell r="W281">
            <v>0.95833333333333337</v>
          </cell>
          <cell r="X281" t="str">
            <v>SI CUMPLE</v>
          </cell>
          <cell r="Y281" t="str">
            <v>SI CUMPLE</v>
          </cell>
          <cell r="AA281" t="str">
            <v>DESPACHADO</v>
          </cell>
          <cell r="AB281" t="str">
            <v>TRANSPORTES ALGEZA</v>
          </cell>
          <cell r="AC281" t="str">
            <v>ERICK ALBERTO RUSTILLO ACOSTA</v>
          </cell>
          <cell r="AD281">
            <v>99365</v>
          </cell>
        </row>
        <row r="282">
          <cell r="A282" t="str">
            <v>Chanitos Premium EUA Tarima Americana</v>
          </cell>
          <cell r="B282" t="str">
            <v>CPR01104</v>
          </cell>
          <cell r="C282" t="str">
            <v>A04083-381909-1</v>
          </cell>
          <cell r="D282" t="str">
            <v>A04 083 Santa Maria</v>
          </cell>
          <cell r="E282" t="str">
            <v>McAllen</v>
          </cell>
          <cell r="F282">
            <v>960</v>
          </cell>
          <cell r="G282">
            <v>20</v>
          </cell>
          <cell r="H282">
            <v>46284</v>
          </cell>
          <cell r="I282">
            <v>38</v>
          </cell>
          <cell r="J282">
            <v>46288</v>
          </cell>
          <cell r="L282" t="str">
            <v>PREENFRIO NELLY</v>
          </cell>
          <cell r="M282">
            <v>3</v>
          </cell>
          <cell r="N282">
            <v>72</v>
          </cell>
          <cell r="O282">
            <v>46285</v>
          </cell>
          <cell r="P282">
            <v>0.23958333333333334</v>
          </cell>
          <cell r="Q282" t="str">
            <v>ALTA</v>
          </cell>
          <cell r="R282">
            <v>46286</v>
          </cell>
          <cell r="S282">
            <v>0.3298611111111111</v>
          </cell>
          <cell r="T282">
            <v>0.35416666666666669</v>
          </cell>
          <cell r="U282">
            <v>46286.684027777774</v>
          </cell>
          <cell r="V282">
            <v>46287</v>
          </cell>
          <cell r="W282">
            <v>0.79166666666666663</v>
          </cell>
          <cell r="X282" t="str">
            <v>NO CUMPLE</v>
          </cell>
          <cell r="Y282" t="str">
            <v>NO CUMPLE</v>
          </cell>
          <cell r="AA282" t="str">
            <v>DESPACHADO</v>
          </cell>
          <cell r="AB282" t="str">
            <v>AUTO EXPRESS SEGOVIA</v>
          </cell>
          <cell r="AC282" t="str">
            <v>SANTIAGO ANTONIO HERRERA</v>
          </cell>
          <cell r="AD282">
            <v>75529</v>
          </cell>
          <cell r="AE282">
            <v>100000913545</v>
          </cell>
        </row>
        <row r="283">
          <cell r="A283" t="str">
            <v>Chanitos Premium EUA Tarima Americana</v>
          </cell>
          <cell r="B283" t="str">
            <v>CPR01104</v>
          </cell>
          <cell r="C283" t="str">
            <v>A01004-392109-1</v>
          </cell>
          <cell r="D283" t="str">
            <v>A01 004 La Ceiba</v>
          </cell>
          <cell r="E283" t="str">
            <v>McAllen</v>
          </cell>
          <cell r="F283">
            <v>480</v>
          </cell>
          <cell r="G283">
            <v>10.333333333333334</v>
          </cell>
          <cell r="H283">
            <v>46286</v>
          </cell>
          <cell r="I283">
            <v>39</v>
          </cell>
          <cell r="J283">
            <v>46290</v>
          </cell>
          <cell r="L283" t="str">
            <v>PREENFRIO NELLY</v>
          </cell>
          <cell r="M283">
            <v>3</v>
          </cell>
          <cell r="N283">
            <v>72</v>
          </cell>
          <cell r="O283">
            <v>46286</v>
          </cell>
          <cell r="P283">
            <v>0.75694444444444442</v>
          </cell>
          <cell r="Q283" t="str">
            <v>NORMAL</v>
          </cell>
          <cell r="R283">
            <v>46286</v>
          </cell>
          <cell r="S283">
            <v>0.77708333333333335</v>
          </cell>
          <cell r="T283">
            <v>0.35416666666666669</v>
          </cell>
          <cell r="U283">
            <v>46287.131249999999</v>
          </cell>
          <cell r="V283">
            <v>46287</v>
          </cell>
          <cell r="W283">
            <v>0.79166666666666663</v>
          </cell>
          <cell r="X283" t="str">
            <v>NO CUMPLE</v>
          </cell>
          <cell r="Y283" t="str">
            <v>NO CUMPLE</v>
          </cell>
          <cell r="AA283" t="str">
            <v>DESPACHADO</v>
          </cell>
          <cell r="AB283" t="str">
            <v>AUTO EXPRESS SEGOVIA</v>
          </cell>
          <cell r="AC283" t="str">
            <v>SANTIAGO ANTONIO HERRERA</v>
          </cell>
          <cell r="AD283">
            <v>83981</v>
          </cell>
          <cell r="AE283">
            <v>100000913546</v>
          </cell>
        </row>
        <row r="284">
          <cell r="A284" t="str">
            <v>Chanitos Organic Banded Market Side Mexico</v>
          </cell>
          <cell r="B284" t="str">
            <v>CRG07128</v>
          </cell>
          <cell r="C284" t="str">
            <v>A01002-392109-1</v>
          </cell>
          <cell r="D284" t="str">
            <v>A01 002 Fortaleza</v>
          </cell>
          <cell r="E284" t="str">
            <v>MTY</v>
          </cell>
          <cell r="F284">
            <v>48</v>
          </cell>
          <cell r="G284">
            <v>1</v>
          </cell>
          <cell r="H284">
            <v>46286</v>
          </cell>
          <cell r="I284">
            <v>39</v>
          </cell>
          <cell r="J284">
            <v>46290</v>
          </cell>
          <cell r="L284" t="str">
            <v>PREENFRIO FORTALEZA</v>
          </cell>
          <cell r="M284">
            <v>2.5</v>
          </cell>
          <cell r="N284">
            <v>60</v>
          </cell>
          <cell r="O284">
            <v>46286</v>
          </cell>
          <cell r="P284">
            <v>0.68819444444444444</v>
          </cell>
          <cell r="Q284" t="str">
            <v>NORMAL</v>
          </cell>
          <cell r="R284">
            <v>46286</v>
          </cell>
          <cell r="S284">
            <v>0.44791666666666669</v>
          </cell>
          <cell r="T284">
            <v>0.625</v>
          </cell>
          <cell r="U284">
            <v>46287.072916666664</v>
          </cell>
          <cell r="V284">
            <v>46286</v>
          </cell>
          <cell r="W284">
            <v>0.97916666666666663</v>
          </cell>
          <cell r="X284" t="str">
            <v>SI CUMPLE</v>
          </cell>
          <cell r="Y284" t="str">
            <v>SI CUMPLE</v>
          </cell>
          <cell r="AA284" t="str">
            <v>DESPACHADO</v>
          </cell>
          <cell r="AB284" t="str">
            <v>EXPRESS CAVAZOS CANTÚ</v>
          </cell>
          <cell r="AC284" t="str">
            <v>SANTO CRUZ DE LA CRUZ</v>
          </cell>
          <cell r="AD284">
            <v>15991</v>
          </cell>
          <cell r="AE284" t="str">
            <v>QCH1W04NT0</v>
          </cell>
        </row>
        <row r="285">
          <cell r="A285" t="str">
            <v>Platano de Chiapas BAE UPC 3237</v>
          </cell>
          <cell r="B285" t="str">
            <v>CPR01114</v>
          </cell>
          <cell r="C285" t="str">
            <v>A01002-392109-1</v>
          </cell>
          <cell r="D285" t="str">
            <v>A01 002 Fortaleza</v>
          </cell>
          <cell r="E285" t="str">
            <v>MTY</v>
          </cell>
          <cell r="F285">
            <v>5</v>
          </cell>
          <cell r="G285">
            <v>0.10416666666666667</v>
          </cell>
          <cell r="H285">
            <v>46286</v>
          </cell>
          <cell r="I285">
            <v>39</v>
          </cell>
          <cell r="J285">
            <v>46290</v>
          </cell>
          <cell r="L285" t="str">
            <v>PREENFRIO FORTALEZA</v>
          </cell>
          <cell r="M285">
            <v>2.5</v>
          </cell>
          <cell r="N285">
            <v>60</v>
          </cell>
          <cell r="O285">
            <v>46286</v>
          </cell>
          <cell r="P285">
            <v>0.68819444444444444</v>
          </cell>
          <cell r="Q285" t="str">
            <v>NORMAL</v>
          </cell>
          <cell r="R285">
            <v>46286</v>
          </cell>
          <cell r="S285">
            <v>0.44791666666666669</v>
          </cell>
          <cell r="T285">
            <v>0.625</v>
          </cell>
          <cell r="U285">
            <v>46287.072916666664</v>
          </cell>
          <cell r="V285">
            <v>46286</v>
          </cell>
          <cell r="W285">
            <v>0.97916666666666663</v>
          </cell>
          <cell r="X285" t="str">
            <v>SI CUMPLE</v>
          </cell>
          <cell r="Y285" t="str">
            <v>SI CUMPLE</v>
          </cell>
          <cell r="AA285" t="str">
            <v>DESPACHADO</v>
          </cell>
          <cell r="AB285" t="str">
            <v>EXPRESS CAVAZOS CANTÚ</v>
          </cell>
          <cell r="AC285" t="str">
            <v>SANTO CRUZ DE LA CRUZ</v>
          </cell>
          <cell r="AD285">
            <v>15991</v>
          </cell>
          <cell r="AE285" t="str">
            <v>QCH1W04NT0</v>
          </cell>
        </row>
        <row r="286">
          <cell r="A286" t="str">
            <v>Chanitos Premium Tarima Chep</v>
          </cell>
          <cell r="B286" t="str">
            <v>CPR01102</v>
          </cell>
          <cell r="C286" t="str">
            <v>A01002-392109-1</v>
          </cell>
          <cell r="D286" t="str">
            <v>A01 002 Fortaleza</v>
          </cell>
          <cell r="E286" t="str">
            <v>MTY</v>
          </cell>
          <cell r="F286">
            <v>859</v>
          </cell>
          <cell r="G286">
            <v>17.895833333333332</v>
          </cell>
          <cell r="H286">
            <v>46286</v>
          </cell>
          <cell r="I286">
            <v>39</v>
          </cell>
          <cell r="J286">
            <v>46290</v>
          </cell>
          <cell r="L286" t="str">
            <v>PREENFRIO FORTALEZA</v>
          </cell>
          <cell r="M286">
            <v>2.5</v>
          </cell>
          <cell r="N286">
            <v>60</v>
          </cell>
          <cell r="O286">
            <v>46286</v>
          </cell>
          <cell r="P286">
            <v>0.68819444444444444</v>
          </cell>
          <cell r="Q286" t="str">
            <v>NORMAL</v>
          </cell>
          <cell r="R286">
            <v>46286</v>
          </cell>
          <cell r="S286">
            <v>0.44791666666666669</v>
          </cell>
          <cell r="T286">
            <v>0.625</v>
          </cell>
          <cell r="U286">
            <v>46287.072916666664</v>
          </cell>
          <cell r="V286">
            <v>46286</v>
          </cell>
          <cell r="W286">
            <v>0.97916666666666663</v>
          </cell>
          <cell r="X286" t="str">
            <v>SI CUMPLE</v>
          </cell>
          <cell r="Y286" t="str">
            <v>SI CUMPLE</v>
          </cell>
          <cell r="AA286" t="str">
            <v>DESPACHADO</v>
          </cell>
          <cell r="AB286" t="str">
            <v>EXPRESS CAVAZOS CANTÚ</v>
          </cell>
          <cell r="AC286" t="str">
            <v>SANTO CRUZ DE LA CRUZ</v>
          </cell>
          <cell r="AD286">
            <v>15991</v>
          </cell>
          <cell r="AE286" t="str">
            <v>QCH1W04NT0</v>
          </cell>
        </row>
        <row r="287">
          <cell r="A287" t="str">
            <v>Chanitos Premium Tarima Chep</v>
          </cell>
          <cell r="B287" t="str">
            <v>CPR01102</v>
          </cell>
          <cell r="C287" t="str">
            <v>A01001-392109-1</v>
          </cell>
          <cell r="D287" t="str">
            <v>A01 001 Marbella</v>
          </cell>
          <cell r="E287" t="str">
            <v>QRO</v>
          </cell>
          <cell r="F287">
            <v>1104</v>
          </cell>
          <cell r="G287">
            <v>23</v>
          </cell>
          <cell r="H287">
            <v>46286</v>
          </cell>
          <cell r="I287">
            <v>39</v>
          </cell>
          <cell r="J287">
            <v>46290</v>
          </cell>
          <cell r="L287" t="str">
            <v>PREENFRIO FORTALEZA</v>
          </cell>
          <cell r="M287">
            <v>1.5</v>
          </cell>
          <cell r="N287">
            <v>36</v>
          </cell>
          <cell r="O287">
            <v>46286</v>
          </cell>
          <cell r="P287">
            <v>0.90277777777777779</v>
          </cell>
          <cell r="Q287" t="str">
            <v>NORMAL</v>
          </cell>
          <cell r="R287">
            <v>46287</v>
          </cell>
          <cell r="S287">
            <v>9.7222222222222224E-2</v>
          </cell>
          <cell r="T287">
            <v>0.625</v>
          </cell>
          <cell r="U287">
            <v>46287.722222222219</v>
          </cell>
          <cell r="V287">
            <v>46287</v>
          </cell>
          <cell r="W287">
            <v>0.72916666666666663</v>
          </cell>
          <cell r="X287" t="str">
            <v>SI CUMPLE</v>
          </cell>
          <cell r="Y287" t="str">
            <v>SI CUMPLE</v>
          </cell>
          <cell r="AA287" t="str">
            <v>DESPACHADO</v>
          </cell>
          <cell r="AB287" t="str">
            <v>JOSE LUIS PATIÑO</v>
          </cell>
          <cell r="AC287" t="str">
            <v>ALEJANDRO NAVARRO PARRA</v>
          </cell>
          <cell r="AD287">
            <v>76833</v>
          </cell>
          <cell r="AE287" t="str">
            <v>QCH1W04MF0</v>
          </cell>
        </row>
        <row r="288">
          <cell r="A288" t="str">
            <v>Chanitos Organic Banded Market Side Mexico</v>
          </cell>
          <cell r="B288" t="str">
            <v>CRG07128</v>
          </cell>
          <cell r="C288" t="str">
            <v>A01002-392109-1</v>
          </cell>
          <cell r="D288" t="str">
            <v>A01 002 Fortaleza</v>
          </cell>
          <cell r="E288" t="str">
            <v>QRO</v>
          </cell>
          <cell r="F288">
            <v>48</v>
          </cell>
          <cell r="G288">
            <v>1</v>
          </cell>
          <cell r="H288">
            <v>46286</v>
          </cell>
          <cell r="I288">
            <v>39</v>
          </cell>
          <cell r="J288">
            <v>46290</v>
          </cell>
          <cell r="L288" t="str">
            <v>PREENFRIO FORTALEZA</v>
          </cell>
          <cell r="M288">
            <v>1.5</v>
          </cell>
          <cell r="N288">
            <v>36</v>
          </cell>
          <cell r="O288">
            <v>46286</v>
          </cell>
          <cell r="P288">
            <v>0.68819444444444444</v>
          </cell>
          <cell r="Q288" t="str">
            <v>NORMAL</v>
          </cell>
          <cell r="R288">
            <v>46287</v>
          </cell>
          <cell r="S288">
            <v>9.7222222222222224E-2</v>
          </cell>
          <cell r="T288">
            <v>0.625</v>
          </cell>
          <cell r="U288">
            <v>46287.722222222219</v>
          </cell>
          <cell r="V288">
            <v>46287</v>
          </cell>
          <cell r="W288">
            <v>0.72916666666666663</v>
          </cell>
          <cell r="X288" t="str">
            <v>SI CUMPLE</v>
          </cell>
          <cell r="Y288" t="str">
            <v>SI CUMPLE</v>
          </cell>
          <cell r="AA288" t="str">
            <v>DESPACHADO</v>
          </cell>
          <cell r="AB288" t="str">
            <v>JOSE LUIS PATIÑO</v>
          </cell>
          <cell r="AC288" t="str">
            <v>ALEJANDRO NAVARRO PARRA</v>
          </cell>
          <cell r="AD288">
            <v>76833</v>
          </cell>
          <cell r="AE288" t="str">
            <v>QCH1W04MF0</v>
          </cell>
        </row>
        <row r="289">
          <cell r="A289" t="str">
            <v>Chanitos Premium Tarima Chep</v>
          </cell>
          <cell r="B289" t="str">
            <v>CPR01102</v>
          </cell>
          <cell r="C289" t="str">
            <v>A01004-392109-1</v>
          </cell>
          <cell r="D289" t="str">
            <v>A01 004 La Ceiba</v>
          </cell>
          <cell r="E289" t="str">
            <v>MTY</v>
          </cell>
          <cell r="F289">
            <v>240</v>
          </cell>
          <cell r="G289">
            <v>5</v>
          </cell>
          <cell r="H289">
            <v>46286</v>
          </cell>
          <cell r="I289">
            <v>39</v>
          </cell>
          <cell r="J289">
            <v>46290</v>
          </cell>
          <cell r="L289" t="str">
            <v>PREENFRIO NELLY</v>
          </cell>
          <cell r="M289">
            <v>2.5</v>
          </cell>
          <cell r="N289">
            <v>60</v>
          </cell>
          <cell r="O289">
            <v>46286</v>
          </cell>
          <cell r="P289">
            <v>0.75694444444444442</v>
          </cell>
          <cell r="Q289" t="str">
            <v>NORMAL</v>
          </cell>
          <cell r="R289">
            <v>46286</v>
          </cell>
          <cell r="S289">
            <v>0.77708333333333335</v>
          </cell>
          <cell r="T289">
            <v>0.35416666666666669</v>
          </cell>
          <cell r="U289">
            <v>46287.131249999999</v>
          </cell>
          <cell r="V289">
            <v>46287</v>
          </cell>
          <cell r="W289">
            <v>0.35069444444444442</v>
          </cell>
          <cell r="X289" t="str">
            <v>SI CUMPLE</v>
          </cell>
          <cell r="Y289" t="str">
            <v>SI CUMPLE</v>
          </cell>
          <cell r="AA289" t="str">
            <v>DESPACHADO</v>
          </cell>
          <cell r="AB289" t="str">
            <v>EXPRESS CAVAZOS CANTÚ</v>
          </cell>
          <cell r="AC289" t="str">
            <v>SANTO CRUZ DE LA CRUZ</v>
          </cell>
        </row>
        <row r="290">
          <cell r="A290" t="str">
            <v>Chanitos Premium Tarima Americana</v>
          </cell>
          <cell r="B290" t="str">
            <v>CPR01103</v>
          </cell>
          <cell r="C290" t="str">
            <v>A01004-392109-1</v>
          </cell>
          <cell r="D290" t="str">
            <v>A01 004 La Ceiba</v>
          </cell>
          <cell r="E290" t="str">
            <v>S-MTY</v>
          </cell>
          <cell r="F290">
            <v>480</v>
          </cell>
          <cell r="G290">
            <v>9.6666666666666661</v>
          </cell>
          <cell r="H290">
            <v>46286</v>
          </cell>
          <cell r="I290">
            <v>39</v>
          </cell>
          <cell r="J290">
            <v>46290</v>
          </cell>
          <cell r="K290">
            <v>0.25</v>
          </cell>
          <cell r="L290" t="str">
            <v>PREENFRIO NELLY</v>
          </cell>
          <cell r="M290">
            <v>3</v>
          </cell>
          <cell r="N290">
            <v>72</v>
          </cell>
          <cell r="O290">
            <v>46286</v>
          </cell>
          <cell r="P290">
            <v>0.75694444444444442</v>
          </cell>
          <cell r="Q290" t="str">
            <v>ALTA</v>
          </cell>
          <cell r="R290">
            <v>46286</v>
          </cell>
          <cell r="S290">
            <v>0.77708333333333335</v>
          </cell>
          <cell r="T290">
            <v>0.4375</v>
          </cell>
          <cell r="U290">
            <v>46287.214583333334</v>
          </cell>
          <cell r="V290">
            <v>46286</v>
          </cell>
          <cell r="W290">
            <v>0.95833333333333337</v>
          </cell>
          <cell r="X290" t="str">
            <v>SI CUMPLE</v>
          </cell>
          <cell r="Y290" t="str">
            <v>SI CUMPLE</v>
          </cell>
          <cell r="AA290" t="str">
            <v>DESPACHADO</v>
          </cell>
          <cell r="AB290" t="str">
            <v>TRANSPORTES ALGEZA</v>
          </cell>
          <cell r="AC290" t="str">
            <v>ERICK ALBERTO RUSTILLO ACOSTA</v>
          </cell>
          <cell r="AD290">
            <v>99365</v>
          </cell>
        </row>
        <row r="291">
          <cell r="A291" t="str">
            <v>Chanitos Premium EUA Tarima Americana</v>
          </cell>
          <cell r="B291" t="str">
            <v>CPR01104</v>
          </cell>
          <cell r="C291" t="str">
            <v>A01003-392209-1</v>
          </cell>
          <cell r="D291" t="str">
            <v>A01 003 Doña Nelly</v>
          </cell>
          <cell r="E291" t="str">
            <v>McAllen</v>
          </cell>
          <cell r="F291">
            <v>480</v>
          </cell>
          <cell r="G291">
            <v>10</v>
          </cell>
          <cell r="H291">
            <v>46287</v>
          </cell>
          <cell r="I291">
            <v>39</v>
          </cell>
          <cell r="J291">
            <v>46290</v>
          </cell>
          <cell r="L291" t="str">
            <v>PREENFRIO NELLY</v>
          </cell>
          <cell r="M291">
            <v>3</v>
          </cell>
          <cell r="N291">
            <v>72</v>
          </cell>
          <cell r="O291">
            <v>46287</v>
          </cell>
          <cell r="P291">
            <v>0.75</v>
          </cell>
          <cell r="Q291" t="str">
            <v>NORMAL</v>
          </cell>
          <cell r="R291">
            <v>46287</v>
          </cell>
          <cell r="S291">
            <v>0.47986111111111113</v>
          </cell>
          <cell r="T291">
            <v>0.35416666666666669</v>
          </cell>
          <cell r="U291">
            <v>46287.834027777775</v>
          </cell>
          <cell r="V291">
            <v>46287</v>
          </cell>
          <cell r="W291">
            <v>0.79166666666666663</v>
          </cell>
          <cell r="X291" t="str">
            <v>NO CUMPLE</v>
          </cell>
          <cell r="Y291" t="str">
            <v>NO CUMPLE</v>
          </cell>
          <cell r="AA291" t="str">
            <v>DESPACHADO</v>
          </cell>
          <cell r="AB291" t="str">
            <v>AUTO EXPRESS SEGOVIA</v>
          </cell>
          <cell r="AC291" t="str">
            <v>SANTIAGO ANTONIO HERRERA</v>
          </cell>
          <cell r="AD291">
            <v>83981</v>
          </cell>
          <cell r="AE291">
            <v>100000913546</v>
          </cell>
        </row>
        <row r="292">
          <cell r="A292" t="str">
            <v>Chanitos Premium EUA Tarima Americana</v>
          </cell>
          <cell r="B292" t="str">
            <v>CPR01104</v>
          </cell>
          <cell r="C292" t="str">
            <v>A01003-392209-1</v>
          </cell>
          <cell r="D292" t="str">
            <v>A01 003 Doña Nelly</v>
          </cell>
          <cell r="E292" t="str">
            <v>McAllen</v>
          </cell>
          <cell r="F292">
            <v>480</v>
          </cell>
          <cell r="G292">
            <v>10</v>
          </cell>
          <cell r="H292">
            <v>46287</v>
          </cell>
          <cell r="I292">
            <v>39</v>
          </cell>
          <cell r="J292">
            <v>46290</v>
          </cell>
          <cell r="L292" t="str">
            <v>PREENFRIO NELLY</v>
          </cell>
          <cell r="M292">
            <v>3</v>
          </cell>
          <cell r="N292">
            <v>72</v>
          </cell>
          <cell r="O292">
            <v>46287</v>
          </cell>
          <cell r="P292">
            <v>0.75</v>
          </cell>
          <cell r="Q292" t="str">
            <v>NORMAL</v>
          </cell>
          <cell r="R292">
            <v>46287</v>
          </cell>
          <cell r="S292">
            <v>0.47986111111111113</v>
          </cell>
          <cell r="T292">
            <v>0.35416666666666669</v>
          </cell>
          <cell r="U292">
            <v>46287.834027777775</v>
          </cell>
          <cell r="V292">
            <v>46288</v>
          </cell>
          <cell r="W292">
            <v>0.99305555555555558</v>
          </cell>
          <cell r="X292" t="str">
            <v>NO CUMPLE</v>
          </cell>
          <cell r="Y292" t="str">
            <v>NO CUMPLE</v>
          </cell>
          <cell r="AA292" t="str">
            <v>DESPACHADO</v>
          </cell>
          <cell r="AB292" t="str">
            <v>TRANSPORTES ALGEZA</v>
          </cell>
          <cell r="AC292" t="str">
            <v>Michael Lomeli Cardenas</v>
          </cell>
          <cell r="AD292">
            <v>19096</v>
          </cell>
          <cell r="AE292">
            <v>100000913525</v>
          </cell>
        </row>
        <row r="293">
          <cell r="A293" t="str">
            <v>Chanitos Premium EUA Tarima Americana</v>
          </cell>
          <cell r="B293" t="str">
            <v>CPR01104</v>
          </cell>
          <cell r="C293" t="str">
            <v>A04084-392109-1</v>
          </cell>
          <cell r="D293" t="str">
            <v>A04 084 Lisboa</v>
          </cell>
          <cell r="E293" t="str">
            <v>McAllen</v>
          </cell>
          <cell r="F293">
            <v>720</v>
          </cell>
          <cell r="G293">
            <v>15</v>
          </cell>
          <cell r="H293">
            <v>46286</v>
          </cell>
          <cell r="I293">
            <v>39</v>
          </cell>
          <cell r="J293">
            <v>46291</v>
          </cell>
          <cell r="L293" t="str">
            <v>PREENFRIO NELLY</v>
          </cell>
          <cell r="M293">
            <v>3</v>
          </cell>
          <cell r="N293">
            <v>72</v>
          </cell>
          <cell r="O293">
            <v>46287</v>
          </cell>
          <cell r="P293">
            <v>0.70833333333333337</v>
          </cell>
          <cell r="Q293" t="str">
            <v>ALTA</v>
          </cell>
          <cell r="R293">
            <v>46288</v>
          </cell>
          <cell r="S293">
            <v>0.80902777777777779</v>
          </cell>
          <cell r="T293">
            <v>0.35416666666666669</v>
          </cell>
          <cell r="U293">
            <v>46289.163194444445</v>
          </cell>
          <cell r="V293">
            <v>46288</v>
          </cell>
          <cell r="W293">
            <v>0.99305555555555558</v>
          </cell>
          <cell r="X293" t="str">
            <v>NO CUMPLE</v>
          </cell>
          <cell r="Y293" t="str">
            <v>NO CUMPLE</v>
          </cell>
          <cell r="AA293" t="str">
            <v>DESPACHADO</v>
          </cell>
          <cell r="AB293" t="str">
            <v>TRANSPORTES ALGEZA</v>
          </cell>
          <cell r="AC293" t="str">
            <v>Michael Lomeli Cardenas</v>
          </cell>
          <cell r="AD293">
            <v>19096</v>
          </cell>
          <cell r="AE293">
            <v>100000913525</v>
          </cell>
        </row>
        <row r="294">
          <cell r="A294" t="str">
            <v>Chanitos Premium Tarima Chep</v>
          </cell>
          <cell r="B294" t="str">
            <v>CPR01102</v>
          </cell>
          <cell r="C294" t="str">
            <v>A01002-392209-1</v>
          </cell>
          <cell r="D294" t="str">
            <v>A01 002 Fortaleza</v>
          </cell>
          <cell r="E294" t="str">
            <v>SMO</v>
          </cell>
          <cell r="F294">
            <v>96</v>
          </cell>
          <cell r="G294">
            <v>2</v>
          </cell>
          <cell r="H294">
            <v>46286</v>
          </cell>
          <cell r="I294">
            <v>39</v>
          </cell>
          <cell r="J294">
            <v>46291</v>
          </cell>
          <cell r="K294" t="str">
            <v>PREENFRIO FORTALEZA</v>
          </cell>
          <cell r="L294" t="str">
            <v>PREENFRIO FORTALEZA</v>
          </cell>
          <cell r="M294">
            <v>1.5</v>
          </cell>
          <cell r="N294">
            <v>36</v>
          </cell>
          <cell r="O294">
            <v>46287</v>
          </cell>
          <cell r="P294">
            <v>0.71111111111111114</v>
          </cell>
          <cell r="Q294" t="str">
            <v>NORMAL</v>
          </cell>
          <cell r="R294">
            <v>46287</v>
          </cell>
          <cell r="S294">
            <v>0.72916666666666663</v>
          </cell>
          <cell r="T294">
            <v>0.625</v>
          </cell>
          <cell r="U294">
            <v>46288.354166666664</v>
          </cell>
          <cell r="V294">
            <v>46289</v>
          </cell>
          <cell r="W294">
            <v>9.375E-2</v>
          </cell>
          <cell r="X294" t="str">
            <v>SI CUMPLE</v>
          </cell>
          <cell r="Y294" t="str">
            <v>SI CUMPLE</v>
          </cell>
          <cell r="Z294" t="str">
            <v>COMPLETA EN NELLY</v>
          </cell>
          <cell r="AA294" t="str">
            <v xml:space="preserve">DESPACHADO  </v>
          </cell>
          <cell r="AB294" t="str">
            <v xml:space="preserve">MARIBEL DE LA ROSA </v>
          </cell>
          <cell r="AC294" t="str">
            <v>ENRIQUE TREJO SANCHEZ</v>
          </cell>
          <cell r="AD294">
            <v>91613</v>
          </cell>
          <cell r="AE294" t="str">
            <v>N/A</v>
          </cell>
        </row>
        <row r="295">
          <cell r="A295" t="str">
            <v>Chanitos Premium Tarima Chep</v>
          </cell>
          <cell r="B295" t="str">
            <v>CPR01102</v>
          </cell>
          <cell r="C295" t="str">
            <v>A01003-392209-1</v>
          </cell>
          <cell r="D295" t="str">
            <v>A01 003 Doña Nelly</v>
          </cell>
          <cell r="E295" t="str">
            <v>CEDA</v>
          </cell>
          <cell r="F295">
            <v>192</v>
          </cell>
          <cell r="G295">
            <v>4</v>
          </cell>
          <cell r="H295">
            <v>46287</v>
          </cell>
          <cell r="I295">
            <v>39</v>
          </cell>
          <cell r="J295">
            <v>46291</v>
          </cell>
          <cell r="L295" t="str">
            <v>PREENFRIO NELLY</v>
          </cell>
          <cell r="M295" t="str">
            <v>SIN PRE</v>
          </cell>
          <cell r="N295" t="str">
            <v>SIN PRE</v>
          </cell>
          <cell r="O295">
            <v>46287</v>
          </cell>
          <cell r="P295">
            <v>0.75</v>
          </cell>
          <cell r="Q295" t="str">
            <v>NORMAL</v>
          </cell>
          <cell r="R295">
            <v>46287</v>
          </cell>
          <cell r="S295" t="str">
            <v>SIN PRE</v>
          </cell>
          <cell r="T295" t="str">
            <v>SIN PRE</v>
          </cell>
          <cell r="U295" t="str">
            <v>SIN PRE</v>
          </cell>
          <cell r="Y295" t="str">
            <v/>
          </cell>
          <cell r="AA295" t="str">
            <v>DESPACHADO</v>
          </cell>
          <cell r="AB295" t="str">
            <v>AGUILAR</v>
          </cell>
          <cell r="AC295" t="str">
            <v>EMANUEL RODRIGUEZ C</v>
          </cell>
        </row>
        <row r="296">
          <cell r="A296" t="str">
            <v>Chanitos Premium Tarima Chep</v>
          </cell>
          <cell r="B296" t="str">
            <v>CPR01102</v>
          </cell>
          <cell r="C296" t="str">
            <v>A01002-392209-1</v>
          </cell>
          <cell r="D296" t="str">
            <v>A01 002 Fortaleza</v>
          </cell>
          <cell r="E296" t="str">
            <v>SMO</v>
          </cell>
          <cell r="F296">
            <v>384</v>
          </cell>
          <cell r="G296">
            <v>8</v>
          </cell>
          <cell r="H296">
            <v>46287</v>
          </cell>
          <cell r="I296">
            <v>39</v>
          </cell>
          <cell r="J296">
            <v>46291</v>
          </cell>
          <cell r="L296" t="str">
            <v>PREENFRIO FORTALEZA</v>
          </cell>
          <cell r="M296">
            <v>1.5</v>
          </cell>
          <cell r="N296">
            <v>36</v>
          </cell>
          <cell r="O296">
            <v>46287</v>
          </cell>
          <cell r="P296">
            <v>0.71111111111111114</v>
          </cell>
          <cell r="Q296" t="str">
            <v>NORMAL</v>
          </cell>
          <cell r="R296">
            <v>46287</v>
          </cell>
          <cell r="S296">
            <v>0.72916666666666663</v>
          </cell>
          <cell r="T296">
            <v>0.625</v>
          </cell>
          <cell r="U296">
            <v>46288.354166666664</v>
          </cell>
          <cell r="V296">
            <v>46289</v>
          </cell>
          <cell r="W296">
            <v>9.375E-2</v>
          </cell>
          <cell r="X296" t="str">
            <v>SI CUMPLE</v>
          </cell>
          <cell r="Y296" t="str">
            <v>SI CUMPLE</v>
          </cell>
          <cell r="Z296" t="str">
            <v>COMPLETA EN NELLY</v>
          </cell>
          <cell r="AA296" t="str">
            <v xml:space="preserve">DESPACHADO  </v>
          </cell>
          <cell r="AB296" t="str">
            <v xml:space="preserve">MARIBEL DE LA ROSA </v>
          </cell>
          <cell r="AC296" t="str">
            <v>ENRIQUE TREJO SANCHEZ</v>
          </cell>
          <cell r="AD296">
            <v>91613</v>
          </cell>
          <cell r="AE296" t="str">
            <v>N/A</v>
          </cell>
        </row>
        <row r="297">
          <cell r="A297" t="str">
            <v>Chanitos Premium Tarima Chep</v>
          </cell>
          <cell r="B297" t="str">
            <v>CPR01102</v>
          </cell>
          <cell r="C297" t="str">
            <v>A01002-392209-1</v>
          </cell>
          <cell r="D297" t="str">
            <v>A01 002 Fortaleza</v>
          </cell>
          <cell r="E297" t="str">
            <v>VSA</v>
          </cell>
          <cell r="F297">
            <v>912</v>
          </cell>
          <cell r="G297">
            <v>19</v>
          </cell>
          <cell r="H297">
            <v>46287</v>
          </cell>
          <cell r="I297">
            <v>39</v>
          </cell>
          <cell r="J297">
            <v>46291</v>
          </cell>
          <cell r="L297" t="str">
            <v>PREENFRIO FORTALEZA</v>
          </cell>
          <cell r="M297">
            <v>1</v>
          </cell>
          <cell r="N297">
            <v>24</v>
          </cell>
          <cell r="O297">
            <v>46287</v>
          </cell>
          <cell r="P297">
            <v>0.71111111111111114</v>
          </cell>
          <cell r="Q297" t="str">
            <v>NORMAL</v>
          </cell>
          <cell r="R297">
            <v>46287</v>
          </cell>
          <cell r="S297">
            <v>0.72916666666666663</v>
          </cell>
          <cell r="T297">
            <v>0.625</v>
          </cell>
          <cell r="U297">
            <v>46288.354166666664</v>
          </cell>
          <cell r="V297">
            <v>46289</v>
          </cell>
          <cell r="W297">
            <v>0.59027777777777779</v>
          </cell>
          <cell r="X297" t="str">
            <v>SI CUMPLE</v>
          </cell>
          <cell r="Y297" t="str">
            <v>SI CUMPLE</v>
          </cell>
          <cell r="AA297" t="str">
            <v>DESPACHADO</v>
          </cell>
          <cell r="AB297" t="str">
            <v>BACKHAUL</v>
          </cell>
          <cell r="AC297" t="str">
            <v>AARON MONTEJO COLLI</v>
          </cell>
          <cell r="AD297">
            <v>32888</v>
          </cell>
          <cell r="AE297" t="str">
            <v>QCH1W04MP0</v>
          </cell>
        </row>
        <row r="298">
          <cell r="A298" t="str">
            <v>Chanitos Organic Banded Market Side Mexico</v>
          </cell>
          <cell r="B298" t="str">
            <v>CRG07128</v>
          </cell>
          <cell r="C298" t="str">
            <v>A01002-392209-1</v>
          </cell>
          <cell r="D298" t="str">
            <v>A01 002 Fortaleza</v>
          </cell>
          <cell r="E298" t="str">
            <v>VSA</v>
          </cell>
          <cell r="F298">
            <v>240</v>
          </cell>
          <cell r="G298">
            <v>5</v>
          </cell>
          <cell r="H298">
            <v>46287</v>
          </cell>
          <cell r="I298">
            <v>39</v>
          </cell>
          <cell r="J298">
            <v>46291</v>
          </cell>
          <cell r="L298" t="str">
            <v>PREENFRIO FORTALEZA</v>
          </cell>
          <cell r="M298">
            <v>1</v>
          </cell>
          <cell r="N298">
            <v>24</v>
          </cell>
          <cell r="O298">
            <v>46287</v>
          </cell>
          <cell r="P298">
            <v>0.71111111111111114</v>
          </cell>
          <cell r="Q298" t="str">
            <v>NORMAL</v>
          </cell>
          <cell r="R298">
            <v>46287</v>
          </cell>
          <cell r="S298">
            <v>0.72916666666666663</v>
          </cell>
          <cell r="T298">
            <v>0.625</v>
          </cell>
          <cell r="U298">
            <v>46288.354166666664</v>
          </cell>
          <cell r="V298">
            <v>46289</v>
          </cell>
          <cell r="W298">
            <v>0.59027777777777779</v>
          </cell>
          <cell r="X298" t="str">
            <v>SI CUMPLE</v>
          </cell>
          <cell r="Y298" t="str">
            <v>SI CUMPLE</v>
          </cell>
          <cell r="AA298" t="str">
            <v>DESPACHADO</v>
          </cell>
          <cell r="AB298" t="str">
            <v>BACKHAUL</v>
          </cell>
          <cell r="AC298" t="str">
            <v>AARON MONTEJO COLLI</v>
          </cell>
          <cell r="AD298">
            <v>32888</v>
          </cell>
          <cell r="AE298" t="str">
            <v>QCH1W04MP0</v>
          </cell>
        </row>
        <row r="299">
          <cell r="A299" t="str">
            <v>Chanitos Premium Tarima Chep</v>
          </cell>
          <cell r="B299" t="str">
            <v>CPR01102</v>
          </cell>
          <cell r="C299" t="str">
            <v>A01003-392209-1</v>
          </cell>
          <cell r="D299" t="str">
            <v>A01 003 Doña Nelly</v>
          </cell>
          <cell r="E299" t="str">
            <v>SMO</v>
          </cell>
          <cell r="F299">
            <v>672</v>
          </cell>
          <cell r="G299">
            <v>14</v>
          </cell>
          <cell r="H299">
            <v>46287</v>
          </cell>
          <cell r="I299">
            <v>39</v>
          </cell>
          <cell r="J299">
            <v>46291</v>
          </cell>
          <cell r="L299" t="str">
            <v>PREENFRIO NELLY</v>
          </cell>
          <cell r="M299">
            <v>1.5</v>
          </cell>
          <cell r="N299">
            <v>36</v>
          </cell>
          <cell r="O299">
            <v>46287</v>
          </cell>
          <cell r="P299">
            <v>0.75</v>
          </cell>
          <cell r="Q299" t="str">
            <v>NORMAL</v>
          </cell>
          <cell r="R299">
            <v>46287</v>
          </cell>
          <cell r="S299">
            <v>0.79861111111111116</v>
          </cell>
          <cell r="T299">
            <v>0.35416666666666669</v>
          </cell>
          <cell r="U299">
            <v>46288.152777777774</v>
          </cell>
          <cell r="V299">
            <v>46289</v>
          </cell>
          <cell r="W299">
            <v>0.5</v>
          </cell>
          <cell r="X299" t="str">
            <v>SI CUMPLE</v>
          </cell>
          <cell r="Y299" t="str">
            <v>SI CUMPLE</v>
          </cell>
          <cell r="AA299" t="str">
            <v>DESPACHADO</v>
          </cell>
          <cell r="AB299" t="str">
            <v xml:space="preserve">MARIBEL DE LA ROSA </v>
          </cell>
          <cell r="AC299" t="str">
            <v>ENRIQUE TREJO SANCHEZ</v>
          </cell>
          <cell r="AD299">
            <v>31415</v>
          </cell>
        </row>
        <row r="300">
          <cell r="A300" t="str">
            <v>Chanitos Premium EUA Tarima Americana</v>
          </cell>
          <cell r="B300" t="str">
            <v>CPR01104</v>
          </cell>
          <cell r="C300" t="str">
            <v>A04084-392209-1</v>
          </cell>
          <cell r="D300" t="str">
            <v>A04 084 Lisboa</v>
          </cell>
          <cell r="E300" t="str">
            <v>McAllen</v>
          </cell>
          <cell r="F300">
            <v>240</v>
          </cell>
          <cell r="G300">
            <v>5</v>
          </cell>
          <cell r="H300">
            <v>46287</v>
          </cell>
          <cell r="I300">
            <v>39</v>
          </cell>
          <cell r="J300">
            <v>46291</v>
          </cell>
          <cell r="L300" t="str">
            <v>PREENFRIO NELLY</v>
          </cell>
          <cell r="M300">
            <v>3</v>
          </cell>
          <cell r="N300">
            <v>72</v>
          </cell>
          <cell r="O300">
            <v>46287</v>
          </cell>
          <cell r="P300">
            <v>0.70833333333333337</v>
          </cell>
          <cell r="Q300" t="str">
            <v>NORMAL</v>
          </cell>
          <cell r="R300">
            <v>46288</v>
          </cell>
          <cell r="S300">
            <v>0.80902777777777779</v>
          </cell>
          <cell r="T300">
            <v>0.35416666666666669</v>
          </cell>
          <cell r="U300">
            <v>46289.163194444445</v>
          </cell>
          <cell r="V300">
            <v>46288</v>
          </cell>
          <cell r="W300">
            <v>0.99305555555555558</v>
          </cell>
          <cell r="X300" t="str">
            <v>NO CUMPLE</v>
          </cell>
          <cell r="Y300" t="str">
            <v>NO CUMPLE</v>
          </cell>
          <cell r="AA300" t="str">
            <v>DESPACHADO</v>
          </cell>
          <cell r="AB300" t="str">
            <v>TRANSPORTES ALGEZA</v>
          </cell>
          <cell r="AC300" t="str">
            <v>Michael Lomeli Cardenas</v>
          </cell>
          <cell r="AD300">
            <v>21011</v>
          </cell>
          <cell r="AE300" t="str">
            <v>QCH1W04VV0</v>
          </cell>
        </row>
        <row r="301">
          <cell r="A301" t="str">
            <v>Chanitos Premium Tarima Americana</v>
          </cell>
          <cell r="B301" t="str">
            <v>CPR01103</v>
          </cell>
          <cell r="C301" t="str">
            <v>A11045-392209-1</v>
          </cell>
          <cell r="D301" t="str">
            <v>A11 045 Sector Mazatan</v>
          </cell>
          <cell r="E301" t="str">
            <v>S-MTY</v>
          </cell>
          <cell r="F301">
            <v>960</v>
          </cell>
          <cell r="G301">
            <v>20</v>
          </cell>
          <cell r="H301">
            <v>46287</v>
          </cell>
          <cell r="I301">
            <v>39</v>
          </cell>
          <cell r="J301">
            <v>46291</v>
          </cell>
          <cell r="L301" t="str">
            <v>PREENFRIO NELLY</v>
          </cell>
          <cell r="M301">
            <v>3</v>
          </cell>
          <cell r="N301">
            <v>72</v>
          </cell>
          <cell r="O301">
            <v>46287</v>
          </cell>
          <cell r="P301">
            <v>0.86805555555555558</v>
          </cell>
          <cell r="Q301" t="str">
            <v>NORMAL</v>
          </cell>
          <cell r="R301">
            <v>46287</v>
          </cell>
          <cell r="S301">
            <v>0.91666666666666663</v>
          </cell>
          <cell r="T301">
            <v>0.4375</v>
          </cell>
          <cell r="U301">
            <v>46288.354166666664</v>
          </cell>
          <cell r="V301">
            <v>46288</v>
          </cell>
          <cell r="W301">
            <v>0.66666666666666663</v>
          </cell>
          <cell r="X301" t="str">
            <v>NO CUMPLE</v>
          </cell>
          <cell r="Y301" t="str">
            <v>NO CUMPLE</v>
          </cell>
          <cell r="AA301" t="str">
            <v>DESPACHADO</v>
          </cell>
          <cell r="AB301" t="str">
            <v>TRANSPORTES ALGEZA</v>
          </cell>
          <cell r="AC301" t="str">
            <v>JUAN JOSE VALDEZ ROCHA</v>
          </cell>
          <cell r="AD301">
            <v>84428</v>
          </cell>
          <cell r="AE301" t="str">
            <v>QCH1Q04K40</v>
          </cell>
        </row>
        <row r="302">
          <cell r="A302" t="str">
            <v>Chanitos Premium Tarima Americana</v>
          </cell>
          <cell r="B302" t="str">
            <v>CPR01103</v>
          </cell>
          <cell r="C302" t="str">
            <v>A04039-392209-1</v>
          </cell>
          <cell r="D302" t="str">
            <v>A04 039 San Jose Morelia Nava</v>
          </cell>
          <cell r="E302" t="str">
            <v>S-MTY</v>
          </cell>
          <cell r="F302">
            <v>960</v>
          </cell>
          <cell r="G302">
            <v>20</v>
          </cell>
          <cell r="H302">
            <v>46287</v>
          </cell>
          <cell r="I302">
            <v>39</v>
          </cell>
          <cell r="J302">
            <v>46291</v>
          </cell>
          <cell r="L302" t="str">
            <v>PREENFRIO NELLY</v>
          </cell>
          <cell r="M302">
            <v>3</v>
          </cell>
          <cell r="N302">
            <v>72</v>
          </cell>
          <cell r="O302">
            <v>46287</v>
          </cell>
          <cell r="P302">
            <v>0.86805555555555558</v>
          </cell>
          <cell r="Q302" t="str">
            <v>NORMAL</v>
          </cell>
          <cell r="R302">
            <v>46288</v>
          </cell>
          <cell r="S302">
            <v>0.29166666666666669</v>
          </cell>
          <cell r="T302">
            <v>0.4375</v>
          </cell>
          <cell r="U302">
            <v>46288.729166666664</v>
          </cell>
          <cell r="V302">
            <v>46288</v>
          </cell>
          <cell r="W302">
            <v>0.66666666666666663</v>
          </cell>
          <cell r="X302" t="str">
            <v>NO CUMPLE</v>
          </cell>
          <cell r="Y302" t="str">
            <v>NO CUMPLE</v>
          </cell>
          <cell r="AA302" t="str">
            <v>DESPACHADO</v>
          </cell>
          <cell r="AB302" t="str">
            <v>TRANSPORTES ALGEZA</v>
          </cell>
          <cell r="AC302" t="str">
            <v>JUAN JOSE VALDEZ ROCHA</v>
          </cell>
          <cell r="AD302">
            <v>54679</v>
          </cell>
        </row>
        <row r="303">
          <cell r="A303" t="str">
            <v>Chanitos Premium EUA Tarima Americana</v>
          </cell>
          <cell r="B303" t="str">
            <v>CPR01104</v>
          </cell>
          <cell r="C303" t="str">
            <v>A04084-392209-1</v>
          </cell>
          <cell r="D303" t="str">
            <v>A04 084 Lisboa</v>
          </cell>
          <cell r="E303" t="str">
            <v>McAllen</v>
          </cell>
          <cell r="F303">
            <v>480</v>
          </cell>
          <cell r="G303">
            <v>10</v>
          </cell>
          <cell r="H303">
            <v>46287</v>
          </cell>
          <cell r="I303">
            <v>39</v>
          </cell>
          <cell r="J303">
            <v>46291</v>
          </cell>
          <cell r="L303" t="str">
            <v>PREENFRIO NELLY</v>
          </cell>
          <cell r="M303">
            <v>3</v>
          </cell>
          <cell r="N303">
            <v>72</v>
          </cell>
          <cell r="O303">
            <v>46288</v>
          </cell>
          <cell r="P303">
            <v>0.70833333333333337</v>
          </cell>
          <cell r="Q303" t="str">
            <v>NORMAL</v>
          </cell>
          <cell r="R303" t="str">
            <v>SIN PRE</v>
          </cell>
          <cell r="S303" t="str">
            <v>SIN PRE</v>
          </cell>
          <cell r="T303" t="str">
            <v>SIN PRE</v>
          </cell>
          <cell r="U303" t="str">
            <v>SIN PRE</v>
          </cell>
          <cell r="V303">
            <v>46288</v>
          </cell>
          <cell r="W303">
            <v>0.99305555555555558</v>
          </cell>
          <cell r="X303" t="str">
            <v>NO CUMPLE</v>
          </cell>
          <cell r="Y303" t="str">
            <v>NO CUMPLE</v>
          </cell>
          <cell r="AA303" t="str">
            <v>DESPACHADO</v>
          </cell>
          <cell r="AB303" t="str">
            <v>TRANSPORTES ALGEZA</v>
          </cell>
          <cell r="AC303" t="str">
            <v>Michael Lomeli Cardenas</v>
          </cell>
          <cell r="AD303">
            <v>21011</v>
          </cell>
          <cell r="AE303" t="str">
            <v>QCH1W04VV0</v>
          </cell>
        </row>
        <row r="304">
          <cell r="A304" t="str">
            <v>Chanitos Premium Tarima Chep</v>
          </cell>
          <cell r="B304" t="str">
            <v>CPR01102</v>
          </cell>
          <cell r="C304" t="str">
            <v>A01003-392309-1</v>
          </cell>
          <cell r="D304" t="str">
            <v>A01 003 Doña Nelly</v>
          </cell>
          <cell r="E304" t="str">
            <v>SMO</v>
          </cell>
          <cell r="F304">
            <v>480</v>
          </cell>
          <cell r="G304">
            <v>10</v>
          </cell>
          <cell r="H304">
            <v>46288</v>
          </cell>
          <cell r="I304">
            <v>39</v>
          </cell>
          <cell r="J304">
            <v>46293</v>
          </cell>
          <cell r="L304" t="str">
            <v>PREENFRIO NELLY</v>
          </cell>
          <cell r="M304">
            <v>1.5</v>
          </cell>
          <cell r="N304">
            <v>36</v>
          </cell>
          <cell r="O304">
            <v>46288</v>
          </cell>
          <cell r="P304">
            <v>0.79166666666666663</v>
          </cell>
          <cell r="Q304" t="str">
            <v>ALTA</v>
          </cell>
          <cell r="R304">
            <v>46289</v>
          </cell>
          <cell r="S304">
            <v>0.59027777777777779</v>
          </cell>
          <cell r="T304">
            <v>0.35416666666666669</v>
          </cell>
          <cell r="U304">
            <v>46289.944444444445</v>
          </cell>
          <cell r="V304">
            <v>46292</v>
          </cell>
          <cell r="W304">
            <v>0.15625</v>
          </cell>
          <cell r="X304" t="str">
            <v>SI CUMPLE</v>
          </cell>
          <cell r="Y304" t="str">
            <v>NO CUMPLE</v>
          </cell>
          <cell r="AA304" t="str">
            <v>DESPACHADO</v>
          </cell>
          <cell r="AB304" t="str">
            <v>ALICIA CRUZ FUENTES</v>
          </cell>
          <cell r="AC304" t="str">
            <v>ISIDRO PARDO PULIDO</v>
          </cell>
          <cell r="AD304">
            <v>13034</v>
          </cell>
        </row>
        <row r="305">
          <cell r="A305" t="str">
            <v>Chanitos Premium EUA Tarima Americana</v>
          </cell>
          <cell r="B305" t="str">
            <v>CPR01104</v>
          </cell>
          <cell r="C305" t="str">
            <v>A04038-392309-1</v>
          </cell>
          <cell r="D305" t="str">
            <v>A04 038 El Triunfo Nava</v>
          </cell>
          <cell r="E305" t="str">
            <v>McAllen</v>
          </cell>
          <cell r="F305">
            <v>960</v>
          </cell>
          <cell r="G305">
            <v>20</v>
          </cell>
          <cell r="H305">
            <v>46288</v>
          </cell>
          <cell r="I305">
            <v>39</v>
          </cell>
          <cell r="J305">
            <v>46291</v>
          </cell>
          <cell r="L305" t="str">
            <v>PREENFRIO FORTALEZA</v>
          </cell>
          <cell r="M305">
            <v>3</v>
          </cell>
          <cell r="N305">
            <v>72</v>
          </cell>
          <cell r="O305">
            <v>46289</v>
          </cell>
          <cell r="P305">
            <v>0.83472222222222225</v>
          </cell>
          <cell r="Q305" t="str">
            <v>NORMAL</v>
          </cell>
          <cell r="U305" t="str">
            <v/>
          </cell>
          <cell r="V305">
            <v>46289</v>
          </cell>
          <cell r="W305">
            <v>0.89583333333333337</v>
          </cell>
          <cell r="X305" t="str">
            <v/>
          </cell>
          <cell r="Y305" t="str">
            <v>NO CUMPLE</v>
          </cell>
          <cell r="AA305" t="str">
            <v>DESPACHADO</v>
          </cell>
          <cell r="AB305" t="str">
            <v>AUTO EXPRESS SEGOVIA</v>
          </cell>
          <cell r="AC305" t="str">
            <v>ROSENDO HERRERA</v>
          </cell>
          <cell r="AD305">
            <v>66658</v>
          </cell>
          <cell r="AE305" t="str">
            <v>QCH1W04NH0</v>
          </cell>
        </row>
        <row r="306">
          <cell r="A306" t="str">
            <v>Chanitos Premium Tarima Chep</v>
          </cell>
          <cell r="B306" t="str">
            <v>CPR01102</v>
          </cell>
          <cell r="C306" t="str">
            <v>A01002-392309-1</v>
          </cell>
          <cell r="D306" t="str">
            <v>A01 002 Fortaleza</v>
          </cell>
          <cell r="E306" t="str">
            <v>SMO</v>
          </cell>
          <cell r="F306">
            <v>48</v>
          </cell>
          <cell r="G306">
            <v>1</v>
          </cell>
          <cell r="H306">
            <v>46287</v>
          </cell>
          <cell r="I306">
            <v>39</v>
          </cell>
          <cell r="J306">
            <v>46292</v>
          </cell>
          <cell r="L306" t="str">
            <v>PREENFRIO FORTALEZA</v>
          </cell>
          <cell r="M306">
            <v>1.5</v>
          </cell>
          <cell r="N306">
            <v>36</v>
          </cell>
          <cell r="O306">
            <v>46288</v>
          </cell>
          <cell r="P306">
            <v>0.70833333333333337</v>
          </cell>
          <cell r="Q306" t="str">
            <v>NORMAL</v>
          </cell>
          <cell r="R306">
            <v>46288</v>
          </cell>
          <cell r="S306">
            <v>0.3888888888888889</v>
          </cell>
          <cell r="T306">
            <v>0.90763888888888888</v>
          </cell>
          <cell r="U306">
            <v>46289.296527777777</v>
          </cell>
          <cell r="V306">
            <v>46289</v>
          </cell>
          <cell r="W306">
            <v>0.29166666666666669</v>
          </cell>
          <cell r="X306" t="str">
            <v>SI CUMPLE</v>
          </cell>
          <cell r="Y306" t="str">
            <v>SI CUMPLE</v>
          </cell>
          <cell r="AA306" t="str">
            <v>DESPACHADO</v>
          </cell>
          <cell r="AB306" t="str">
            <v xml:space="preserve">MARIBEL DE LA ROSA </v>
          </cell>
          <cell r="AC306" t="str">
            <v>JACINTO RAMIREZ LOPEZ</v>
          </cell>
          <cell r="AD306">
            <v>43874</v>
          </cell>
          <cell r="AE306" t="str">
            <v>QCH1W04MN0</v>
          </cell>
        </row>
        <row r="307">
          <cell r="A307" t="str">
            <v>Chanitos Premium Tarima Chep</v>
          </cell>
          <cell r="B307" t="str">
            <v>CPR01102</v>
          </cell>
          <cell r="C307" t="str">
            <v>A01001-392309-1</v>
          </cell>
          <cell r="D307" t="str">
            <v>A01 001 Marbella</v>
          </cell>
          <cell r="E307" t="str">
            <v>VSA</v>
          </cell>
          <cell r="F307">
            <v>48</v>
          </cell>
          <cell r="G307">
            <v>1</v>
          </cell>
          <cell r="H307">
            <v>46287</v>
          </cell>
          <cell r="I307">
            <v>39</v>
          </cell>
          <cell r="J307">
            <v>46292</v>
          </cell>
          <cell r="L307" t="str">
            <v>PREENFRIO FORTALEZA</v>
          </cell>
          <cell r="M307">
            <v>1</v>
          </cell>
          <cell r="N307">
            <v>24</v>
          </cell>
          <cell r="O307">
            <v>46288</v>
          </cell>
          <cell r="P307">
            <v>0.75</v>
          </cell>
          <cell r="Q307" t="str">
            <v>NORMAL</v>
          </cell>
          <cell r="R307">
            <v>46289</v>
          </cell>
          <cell r="S307">
            <v>0.49861111111111112</v>
          </cell>
          <cell r="T307">
            <v>0.625</v>
          </cell>
          <cell r="U307">
            <v>46290.123611111114</v>
          </cell>
          <cell r="V307">
            <v>46290</v>
          </cell>
          <cell r="W307">
            <v>0.61111111111111116</v>
          </cell>
          <cell r="X307" t="str">
            <v>SI CUMPLE</v>
          </cell>
          <cell r="Y307" t="str">
            <v>SI CUMPLE</v>
          </cell>
          <cell r="AA307" t="str">
            <v>DESPACHADO</v>
          </cell>
          <cell r="AB307" t="str">
            <v>BACKHAUL</v>
          </cell>
          <cell r="AC307" t="str">
            <v>DANIEL MORALES SANCHEZ</v>
          </cell>
          <cell r="AD307">
            <v>74420</v>
          </cell>
          <cell r="AE307" t="str">
            <v>QCH1W04NM0</v>
          </cell>
        </row>
        <row r="308">
          <cell r="A308" t="str">
            <v>Chanitos Premium Tarima Chep</v>
          </cell>
          <cell r="B308" t="str">
            <v>CPR01102</v>
          </cell>
          <cell r="C308" t="str">
            <v>A01002-392309-1</v>
          </cell>
          <cell r="D308" t="str">
            <v>A01 002 Fortaleza</v>
          </cell>
          <cell r="E308" t="str">
            <v>SMO</v>
          </cell>
          <cell r="F308">
            <v>1104</v>
          </cell>
          <cell r="G308">
            <v>23</v>
          </cell>
          <cell r="H308">
            <v>46288</v>
          </cell>
          <cell r="I308">
            <v>39</v>
          </cell>
          <cell r="J308">
            <v>46292</v>
          </cell>
          <cell r="L308" t="str">
            <v>PREENFRIO FORTALEZA</v>
          </cell>
          <cell r="M308">
            <v>1.5</v>
          </cell>
          <cell r="N308">
            <v>36</v>
          </cell>
          <cell r="O308">
            <v>46288</v>
          </cell>
          <cell r="P308">
            <v>0.70833333333333337</v>
          </cell>
          <cell r="Q308" t="str">
            <v>NORMAL</v>
          </cell>
          <cell r="R308">
            <v>46288</v>
          </cell>
          <cell r="S308">
            <v>0.3888888888888889</v>
          </cell>
          <cell r="T308">
            <v>0.90763888888888888</v>
          </cell>
          <cell r="U308">
            <v>46289.296527777777</v>
          </cell>
          <cell r="V308">
            <v>46289</v>
          </cell>
          <cell r="W308">
            <v>0.29166666666666669</v>
          </cell>
          <cell r="X308" t="str">
            <v>SI CUMPLE</v>
          </cell>
          <cell r="Y308" t="str">
            <v>SI CUMPLE</v>
          </cell>
          <cell r="AA308" t="str">
            <v>DESPACHADO</v>
          </cell>
          <cell r="AB308" t="str">
            <v xml:space="preserve">MARIBEL DE LA ROSA </v>
          </cell>
          <cell r="AC308" t="str">
            <v>JACINTO RAMIREZ LOPEZ</v>
          </cell>
          <cell r="AD308">
            <v>43874</v>
          </cell>
          <cell r="AE308" t="str">
            <v>QCH1W04MN0</v>
          </cell>
        </row>
        <row r="309">
          <cell r="A309" t="str">
            <v>Chanitos Premium Tarima Chep</v>
          </cell>
          <cell r="B309" t="str">
            <v>CPR01102</v>
          </cell>
          <cell r="C309" t="str">
            <v>A01001-392309-1</v>
          </cell>
          <cell r="D309" t="str">
            <v>A01 001 Marbella</v>
          </cell>
          <cell r="E309" t="str">
            <v>VSA</v>
          </cell>
          <cell r="F309">
            <v>1104</v>
          </cell>
          <cell r="G309">
            <v>23</v>
          </cell>
          <cell r="H309">
            <v>46288</v>
          </cell>
          <cell r="I309">
            <v>39</v>
          </cell>
          <cell r="J309">
            <v>46292</v>
          </cell>
          <cell r="L309" t="str">
            <v>PREENFRIO FORTALEZA</v>
          </cell>
          <cell r="M309">
            <v>1</v>
          </cell>
          <cell r="N309">
            <v>24</v>
          </cell>
          <cell r="O309">
            <v>46288</v>
          </cell>
          <cell r="P309">
            <v>0.75</v>
          </cell>
          <cell r="Q309" t="str">
            <v>NORMAL</v>
          </cell>
          <cell r="R309">
            <v>46289</v>
          </cell>
          <cell r="S309">
            <v>0.49861111111111112</v>
          </cell>
          <cell r="T309">
            <v>0.625</v>
          </cell>
          <cell r="U309">
            <v>46290.123611111114</v>
          </cell>
          <cell r="V309">
            <v>46290</v>
          </cell>
          <cell r="W309">
            <v>0.61111111111111116</v>
          </cell>
          <cell r="X309" t="str">
            <v>SI CUMPLE</v>
          </cell>
          <cell r="Y309" t="str">
            <v>SI CUMPLE</v>
          </cell>
          <cell r="AA309" t="str">
            <v>DESPACHADO</v>
          </cell>
          <cell r="AB309" t="str">
            <v>BACKHAUL</v>
          </cell>
          <cell r="AC309" t="str">
            <v>DANIEL MORALES SANCHEZ</v>
          </cell>
          <cell r="AD309">
            <v>74420</v>
          </cell>
          <cell r="AE309" t="str">
            <v>QCH1W04NM0</v>
          </cell>
        </row>
        <row r="310">
          <cell r="A310" t="str">
            <v>Chanitos Premium Tarima Americana</v>
          </cell>
          <cell r="B310" t="str">
            <v>CPR01103</v>
          </cell>
          <cell r="C310" t="str">
            <v>A11045-392309-1</v>
          </cell>
          <cell r="D310" t="str">
            <v>A11 045 Sector Mazatan</v>
          </cell>
          <cell r="E310" t="str">
            <v>S-MTY</v>
          </cell>
          <cell r="F310">
            <v>480</v>
          </cell>
          <cell r="G310">
            <v>10</v>
          </cell>
          <cell r="H310">
            <v>46288</v>
          </cell>
          <cell r="I310">
            <v>39</v>
          </cell>
          <cell r="J310">
            <v>46293</v>
          </cell>
          <cell r="K310">
            <v>0.25</v>
          </cell>
          <cell r="L310" t="str">
            <v>PREENFRIO NELLY</v>
          </cell>
          <cell r="M310">
            <v>3</v>
          </cell>
          <cell r="N310">
            <v>72</v>
          </cell>
          <cell r="O310">
            <v>46288</v>
          </cell>
          <cell r="P310">
            <v>0.70833333333333337</v>
          </cell>
          <cell r="Q310" t="str">
            <v>ALTA</v>
          </cell>
          <cell r="R310">
            <v>46289</v>
          </cell>
          <cell r="S310">
            <v>0.59027777777777779</v>
          </cell>
          <cell r="T310">
            <v>0.4375</v>
          </cell>
          <cell r="U310">
            <v>46290</v>
          </cell>
          <cell r="V310">
            <v>46290</v>
          </cell>
          <cell r="W310">
            <v>0.5</v>
          </cell>
          <cell r="X310" t="str">
            <v>SI CUMPLE</v>
          </cell>
          <cell r="Y310" t="str">
            <v>NO CUMPLE</v>
          </cell>
          <cell r="AA310" t="str">
            <v>DESPACHADO</v>
          </cell>
          <cell r="AB310" t="str">
            <v>AUTO EXPRESS SEGOVIA</v>
          </cell>
          <cell r="AC310" t="str">
            <v>Edgar Adrian castillo Trejo</v>
          </cell>
          <cell r="AD310">
            <v>42632</v>
          </cell>
        </row>
        <row r="311">
          <cell r="A311" t="str">
            <v>Chanitos Plantain 20Kg Tarima Americana</v>
          </cell>
          <cell r="B311" t="str">
            <v>CPL08134</v>
          </cell>
          <cell r="C311" t="str">
            <v>A15063-392209-1</v>
          </cell>
          <cell r="D311" t="str">
            <v xml:space="preserve">A15 063 Zaragoza </v>
          </cell>
          <cell r="E311" t="str">
            <v>S-MTY</v>
          </cell>
          <cell r="F311">
            <v>96</v>
          </cell>
          <cell r="G311">
            <v>2</v>
          </cell>
          <cell r="H311">
            <v>46287</v>
          </cell>
          <cell r="I311">
            <v>39</v>
          </cell>
          <cell r="J311">
            <v>46293</v>
          </cell>
          <cell r="L311" t="str">
            <v>PREENFRIO FORTALEZA</v>
          </cell>
          <cell r="M311">
            <v>3</v>
          </cell>
          <cell r="N311">
            <v>72</v>
          </cell>
          <cell r="O311">
            <v>46288</v>
          </cell>
          <cell r="P311">
            <v>0.83333333333333337</v>
          </cell>
          <cell r="Q311" t="str">
            <v>NORMAL</v>
          </cell>
          <cell r="R311">
            <v>46289</v>
          </cell>
          <cell r="S311">
            <v>0.33541666666666664</v>
          </cell>
          <cell r="T311">
            <v>0.25</v>
          </cell>
          <cell r="U311">
            <v>46289.585416666669</v>
          </cell>
          <cell r="V311">
            <v>46289</v>
          </cell>
          <cell r="W311">
            <v>0.4861111111111111</v>
          </cell>
          <cell r="X311" t="str">
            <v>SI CUMPLE</v>
          </cell>
          <cell r="Y311" t="str">
            <v>SI CUMPLE</v>
          </cell>
          <cell r="Z311" t="str">
            <v>MUEVE A NELLY</v>
          </cell>
          <cell r="AA311" t="str">
            <v xml:space="preserve">DESPACHADO  </v>
          </cell>
          <cell r="AB311" t="str">
            <v>EDUARDO ROSALES</v>
          </cell>
          <cell r="AC311" t="str">
            <v>EDUARDO ROSALES</v>
          </cell>
          <cell r="AD311">
            <v>78072</v>
          </cell>
          <cell r="AE311" t="str">
            <v>N/A</v>
          </cell>
        </row>
        <row r="312">
          <cell r="A312" t="str">
            <v>Chanitos Premium Tarima Americana</v>
          </cell>
          <cell r="B312" t="str">
            <v>CPR01103</v>
          </cell>
          <cell r="C312" t="str">
            <v>A11045-392209-1</v>
          </cell>
          <cell r="D312" t="str">
            <v>A11 045 Sector Mazatan</v>
          </cell>
          <cell r="E312" t="str">
            <v>Ciudad Juarez</v>
          </cell>
          <cell r="F312">
            <v>288</v>
          </cell>
          <cell r="G312">
            <v>6</v>
          </cell>
          <cell r="H312">
            <v>46287</v>
          </cell>
          <cell r="I312">
            <v>39</v>
          </cell>
          <cell r="J312">
            <v>46294</v>
          </cell>
          <cell r="L312" t="str">
            <v>PREENFRIO NELLY</v>
          </cell>
          <cell r="M312">
            <v>4</v>
          </cell>
          <cell r="N312">
            <v>96</v>
          </cell>
          <cell r="O312">
            <v>46288</v>
          </cell>
          <cell r="P312">
            <v>0.70833333333333337</v>
          </cell>
          <cell r="Q312" t="str">
            <v>ALTA</v>
          </cell>
          <cell r="R312">
            <v>46290</v>
          </cell>
          <cell r="S312">
            <v>0.125</v>
          </cell>
          <cell r="T312">
            <v>0.4375</v>
          </cell>
          <cell r="U312">
            <v>46290.5625</v>
          </cell>
          <cell r="V312">
            <v>46289</v>
          </cell>
          <cell r="W312">
            <v>0.59027777777777779</v>
          </cell>
          <cell r="X312" t="str">
            <v>NO CUMPLE</v>
          </cell>
          <cell r="Y312" t="str">
            <v>SI CUMPLE</v>
          </cell>
          <cell r="AA312" t="str">
            <v>DESPACHADO</v>
          </cell>
          <cell r="AB312" t="str">
            <v>AUTO EXPRESS SEGOVIA</v>
          </cell>
          <cell r="AC312" t="str">
            <v>MARIO GALLARDO GOMEZ</v>
          </cell>
          <cell r="AD312">
            <v>37324</v>
          </cell>
        </row>
        <row r="313">
          <cell r="A313" t="str">
            <v>Chanitos Premium Tarima Chep</v>
          </cell>
          <cell r="B313" t="str">
            <v>CPR01102</v>
          </cell>
          <cell r="C313" t="str">
            <v>A01002-392309-1</v>
          </cell>
          <cell r="D313" t="str">
            <v>A01 002 Fortaleza</v>
          </cell>
          <cell r="E313" t="str">
            <v>Chalco</v>
          </cell>
          <cell r="F313">
            <v>354</v>
          </cell>
          <cell r="G313">
            <v>7.375</v>
          </cell>
          <cell r="H313">
            <v>46288</v>
          </cell>
          <cell r="I313">
            <v>39</v>
          </cell>
          <cell r="J313">
            <v>46293</v>
          </cell>
          <cell r="L313" t="str">
            <v>PREENFRIO FORTALEZA</v>
          </cell>
          <cell r="M313">
            <v>1</v>
          </cell>
          <cell r="N313">
            <v>24</v>
          </cell>
          <cell r="O313">
            <v>46288</v>
          </cell>
          <cell r="P313">
            <v>0.70833333333333337</v>
          </cell>
          <cell r="Q313" t="str">
            <v>NORMAL</v>
          </cell>
          <cell r="R313">
            <v>46289</v>
          </cell>
          <cell r="S313">
            <v>0.9194444444444444</v>
          </cell>
          <cell r="T313">
            <v>0.625</v>
          </cell>
          <cell r="U313">
            <v>46290.544444444444</v>
          </cell>
          <cell r="V313">
            <v>46290</v>
          </cell>
          <cell r="W313">
            <v>0.8256944444444444</v>
          </cell>
          <cell r="X313" t="str">
            <v>SI CUMPLE</v>
          </cell>
          <cell r="Y313" t="str">
            <v>SI CUMPLE</v>
          </cell>
          <cell r="AA313" t="str">
            <v>DESPACHADO</v>
          </cell>
          <cell r="AB313" t="str">
            <v>FERNANDO JESUS ALVARADO</v>
          </cell>
          <cell r="AC313" t="str">
            <v>EDUARDO ALVARADO</v>
          </cell>
          <cell r="AD313">
            <v>19243</v>
          </cell>
          <cell r="AE313" t="str">
            <v>QCH1W04ND0</v>
          </cell>
        </row>
        <row r="314">
          <cell r="A314" t="str">
            <v>Platano de Chiapas BAE UPC 3237</v>
          </cell>
          <cell r="B314" t="str">
            <v>CPR01114</v>
          </cell>
          <cell r="C314" t="str">
            <v>A01002-392309-1</v>
          </cell>
          <cell r="D314" t="str">
            <v>A01 002 Fortaleza</v>
          </cell>
          <cell r="E314" t="str">
            <v>Chalco</v>
          </cell>
          <cell r="F314">
            <v>78</v>
          </cell>
          <cell r="G314">
            <v>1.625</v>
          </cell>
          <cell r="H314">
            <v>46288</v>
          </cell>
          <cell r="I314">
            <v>39</v>
          </cell>
          <cell r="J314">
            <v>46293</v>
          </cell>
          <cell r="L314" t="str">
            <v>PREENFRIO FORTALEZA</v>
          </cell>
          <cell r="M314">
            <v>1</v>
          </cell>
          <cell r="N314">
            <v>24</v>
          </cell>
          <cell r="O314">
            <v>46288</v>
          </cell>
          <cell r="P314">
            <v>0.70833333333333337</v>
          </cell>
          <cell r="Q314" t="str">
            <v>NORMAL</v>
          </cell>
          <cell r="R314">
            <v>46289</v>
          </cell>
          <cell r="S314">
            <v>0.9194444444444444</v>
          </cell>
          <cell r="T314">
            <v>0.625</v>
          </cell>
          <cell r="U314">
            <v>46290.544444444444</v>
          </cell>
          <cell r="V314">
            <v>46290</v>
          </cell>
          <cell r="W314">
            <v>0.8256944444444444</v>
          </cell>
          <cell r="X314" t="str">
            <v>SI CUMPLE</v>
          </cell>
          <cell r="Y314" t="str">
            <v>SI CUMPLE</v>
          </cell>
          <cell r="AA314" t="str">
            <v>DESPACHADO</v>
          </cell>
          <cell r="AB314" t="str">
            <v>FERNANDO JESUS ALVARADO</v>
          </cell>
          <cell r="AC314" t="str">
            <v>EDUARDO ALVARADO</v>
          </cell>
          <cell r="AD314">
            <v>19243</v>
          </cell>
          <cell r="AE314" t="str">
            <v>QCH1W04ND0</v>
          </cell>
        </row>
        <row r="315">
          <cell r="A315" t="str">
            <v>Chanitos Premium EUA Tarima Americana</v>
          </cell>
          <cell r="B315" t="str">
            <v>CPR01104</v>
          </cell>
          <cell r="C315" t="str">
            <v>A04084-392309-1</v>
          </cell>
          <cell r="D315" t="str">
            <v>A04 084 Lisboa</v>
          </cell>
          <cell r="E315" t="str">
            <v>McAllen</v>
          </cell>
          <cell r="F315">
            <v>288</v>
          </cell>
          <cell r="G315">
            <v>6</v>
          </cell>
          <cell r="H315">
            <v>46287</v>
          </cell>
          <cell r="I315">
            <v>39</v>
          </cell>
          <cell r="J315">
            <v>46294</v>
          </cell>
          <cell r="L315" t="str">
            <v>PREENFRIO NELLY</v>
          </cell>
          <cell r="M315" t="str">
            <v>SIN PRE</v>
          </cell>
          <cell r="N315" t="str">
            <v>SIN PRE</v>
          </cell>
          <cell r="O315">
            <v>46288</v>
          </cell>
          <cell r="P315">
            <v>0.75</v>
          </cell>
          <cell r="Q315" t="str">
            <v>NORMAL</v>
          </cell>
          <cell r="R315" t="str">
            <v>SIN PRENFRIO</v>
          </cell>
          <cell r="S315" t="str">
            <v>SIN PRENFRIO</v>
          </cell>
          <cell r="T315" t="str">
            <v>SIN PRENFRIO</v>
          </cell>
          <cell r="U315" t="str">
            <v>SIN PRENFRIO</v>
          </cell>
          <cell r="V315">
            <v>46290</v>
          </cell>
          <cell r="W315">
            <v>0.66666666666666663</v>
          </cell>
          <cell r="Y315" t="str">
            <v>NO CUMPLE</v>
          </cell>
          <cell r="AA315" t="str">
            <v>DESPACHADO</v>
          </cell>
          <cell r="AB315" t="str">
            <v>AUTO EXPRESS SEGOVIA</v>
          </cell>
          <cell r="AC315" t="str">
            <v>CARLOS ALBERTO DOMINGUEZ</v>
          </cell>
          <cell r="AD315">
            <v>98491</v>
          </cell>
        </row>
        <row r="316">
          <cell r="A316" t="str">
            <v>Chanitos Premium Tarima Americana</v>
          </cell>
          <cell r="B316" t="str">
            <v>CPR01103</v>
          </cell>
          <cell r="C316" t="str">
            <v>A01003-392309-1</v>
          </cell>
          <cell r="D316" t="str">
            <v>A01 003 Doña Nelly</v>
          </cell>
          <cell r="E316" t="str">
            <v>Ciudad Juarez</v>
          </cell>
          <cell r="F316">
            <v>960</v>
          </cell>
          <cell r="G316">
            <v>20</v>
          </cell>
          <cell r="H316">
            <v>46288</v>
          </cell>
          <cell r="I316">
            <v>39</v>
          </cell>
          <cell r="J316">
            <v>46294</v>
          </cell>
          <cell r="L316" t="str">
            <v>PREENFRIO NELLY</v>
          </cell>
          <cell r="M316">
            <v>4</v>
          </cell>
          <cell r="N316">
            <v>96</v>
          </cell>
          <cell r="O316">
            <v>46288</v>
          </cell>
          <cell r="P316">
            <v>0.79166666666666663</v>
          </cell>
          <cell r="Q316" t="str">
            <v>ALTA</v>
          </cell>
          <cell r="R316">
            <v>46288</v>
          </cell>
          <cell r="S316">
            <v>0.875</v>
          </cell>
          <cell r="T316">
            <v>0.4375</v>
          </cell>
          <cell r="U316">
            <v>46289.3125</v>
          </cell>
          <cell r="V316">
            <v>46289</v>
          </cell>
          <cell r="W316">
            <v>0.59027777777777779</v>
          </cell>
          <cell r="X316" t="str">
            <v>SI CUMPLE</v>
          </cell>
          <cell r="Y316" t="str">
            <v>SI CUMPLE</v>
          </cell>
          <cell r="AA316" t="str">
            <v>DESPACHADO</v>
          </cell>
          <cell r="AB316" t="str">
            <v>AUTO EXPRESS SEGOVIA</v>
          </cell>
          <cell r="AC316" t="str">
            <v>MARIO GALLARDO GOMEZ</v>
          </cell>
          <cell r="AD316">
            <v>38544</v>
          </cell>
        </row>
        <row r="317">
          <cell r="A317" t="str">
            <v>Chanitos Premium Tarima Americana</v>
          </cell>
          <cell r="B317" t="str">
            <v>CPR01103</v>
          </cell>
          <cell r="C317" t="str">
            <v>A01003-392309-1</v>
          </cell>
          <cell r="D317" t="str">
            <v>A01 003 Doña Nelly</v>
          </cell>
          <cell r="E317" t="str">
            <v>Ciudad Juarez</v>
          </cell>
          <cell r="F317">
            <v>336</v>
          </cell>
          <cell r="G317">
            <v>7</v>
          </cell>
          <cell r="H317">
            <v>46288</v>
          </cell>
          <cell r="I317">
            <v>39</v>
          </cell>
          <cell r="J317">
            <v>46294</v>
          </cell>
          <cell r="L317" t="str">
            <v>PREENFRIO NELLY</v>
          </cell>
          <cell r="M317">
            <v>4</v>
          </cell>
          <cell r="N317">
            <v>96</v>
          </cell>
          <cell r="O317">
            <v>46288</v>
          </cell>
          <cell r="P317">
            <v>0.79166666666666663</v>
          </cell>
          <cell r="Q317" t="str">
            <v>ALTA</v>
          </cell>
          <cell r="R317">
            <v>46289</v>
          </cell>
          <cell r="S317">
            <v>0.125</v>
          </cell>
          <cell r="T317">
            <v>0.4375</v>
          </cell>
          <cell r="U317">
            <v>46289.5625</v>
          </cell>
          <cell r="V317">
            <v>46289</v>
          </cell>
          <cell r="W317">
            <v>0.59027777777777779</v>
          </cell>
          <cell r="X317" t="str">
            <v>SI CUMPLE</v>
          </cell>
          <cell r="Y317" t="str">
            <v>SI CUMPLE</v>
          </cell>
          <cell r="AA317" t="str">
            <v>DESPACHADO</v>
          </cell>
          <cell r="AB317" t="str">
            <v>AUTO EXPRESS SEGOVIA</v>
          </cell>
          <cell r="AC317" t="str">
            <v>MARIO GALLARDO GOMEZ</v>
          </cell>
          <cell r="AD317">
            <v>37324</v>
          </cell>
        </row>
        <row r="318">
          <cell r="A318" t="str">
            <v>Chanitos Premium Tarima Americana</v>
          </cell>
          <cell r="B318" t="str">
            <v>CPR01103</v>
          </cell>
          <cell r="C318" t="str">
            <v>A11087-392309-1</v>
          </cell>
          <cell r="D318" t="str">
            <v>A11 087 19 de Abril</v>
          </cell>
          <cell r="E318" t="str">
            <v>Ciudad Juarez</v>
          </cell>
          <cell r="F318">
            <v>192</v>
          </cell>
          <cell r="G318">
            <v>4</v>
          </cell>
          <cell r="H318">
            <v>46288</v>
          </cell>
          <cell r="I318">
            <v>39</v>
          </cell>
          <cell r="J318">
            <v>46294</v>
          </cell>
          <cell r="L318" t="str">
            <v>PREENFRIO NELLY</v>
          </cell>
          <cell r="M318">
            <v>4</v>
          </cell>
          <cell r="N318">
            <v>96</v>
          </cell>
          <cell r="O318">
            <v>46288</v>
          </cell>
          <cell r="P318">
            <v>0.70833333333333337</v>
          </cell>
          <cell r="Q318" t="str">
            <v>ALTA</v>
          </cell>
          <cell r="R318">
            <v>46289</v>
          </cell>
          <cell r="S318">
            <v>0.125</v>
          </cell>
          <cell r="T318">
            <v>0.4375</v>
          </cell>
          <cell r="U318">
            <v>46290.125</v>
          </cell>
          <cell r="V318">
            <v>46289</v>
          </cell>
          <cell r="W318">
            <v>0.59027777777777779</v>
          </cell>
          <cell r="X318" t="str">
            <v>SI CUMPLE</v>
          </cell>
          <cell r="Y318" t="str">
            <v>SI CUMPLE</v>
          </cell>
          <cell r="AA318" t="str">
            <v>DESPACHADO</v>
          </cell>
          <cell r="AB318" t="str">
            <v>AUTO EXPRESS SEGOVIA</v>
          </cell>
          <cell r="AC318" t="str">
            <v>MARIO GALLARDO GOMEZ</v>
          </cell>
          <cell r="AD318">
            <v>37324</v>
          </cell>
        </row>
        <row r="319">
          <cell r="A319" t="str">
            <v>Chanitos Premium EUA Tarima Americana</v>
          </cell>
          <cell r="B319" t="str">
            <v>CPR01104</v>
          </cell>
          <cell r="C319" t="str">
            <v>A04084-392309-1</v>
          </cell>
          <cell r="D319" t="str">
            <v>A04 084 Lisboa</v>
          </cell>
          <cell r="E319" t="str">
            <v>McAllen</v>
          </cell>
          <cell r="F319">
            <v>192</v>
          </cell>
          <cell r="G319">
            <v>4</v>
          </cell>
          <cell r="H319">
            <v>46288</v>
          </cell>
          <cell r="I319">
            <v>39</v>
          </cell>
          <cell r="J319">
            <v>46294</v>
          </cell>
          <cell r="L319" t="str">
            <v>PREENFRIO NELLY</v>
          </cell>
          <cell r="M319" t="str">
            <v>SIN PRE</v>
          </cell>
          <cell r="N319" t="str">
            <v>SIN PRE</v>
          </cell>
          <cell r="O319">
            <v>46288</v>
          </cell>
          <cell r="P319">
            <v>0.75</v>
          </cell>
          <cell r="Q319" t="str">
            <v>NORMAL</v>
          </cell>
          <cell r="R319" t="str">
            <v>SIN PRENFRIO</v>
          </cell>
          <cell r="S319" t="str">
            <v>SIN PRENFRIO</v>
          </cell>
          <cell r="T319" t="str">
            <v>SIN PRENFRIO</v>
          </cell>
          <cell r="U319" t="str">
            <v>SIN PRENFRIO</v>
          </cell>
          <cell r="V319">
            <v>46290</v>
          </cell>
          <cell r="W319">
            <v>0.66666666666666663</v>
          </cell>
          <cell r="Y319" t="str">
            <v>NO CUMPLE</v>
          </cell>
          <cell r="AA319" t="str">
            <v>DESPACHADO</v>
          </cell>
          <cell r="AB319" t="str">
            <v>AUTO EXPRESS SEGOVIA</v>
          </cell>
          <cell r="AC319" t="str">
            <v>CARLOS ALBERTO DOMINGUEZ</v>
          </cell>
          <cell r="AD319">
            <v>98491</v>
          </cell>
        </row>
        <row r="320">
          <cell r="A320" t="str">
            <v>Chanitos Premium Tarima Chep</v>
          </cell>
          <cell r="B320" t="str">
            <v>CPR01102</v>
          </cell>
          <cell r="C320" t="str">
            <v>A01001-392409-1</v>
          </cell>
          <cell r="D320" t="str">
            <v>A01 001 Marbella</v>
          </cell>
          <cell r="E320" t="str">
            <v>QRO</v>
          </cell>
          <cell r="F320">
            <v>1056</v>
          </cell>
          <cell r="G320">
            <v>22</v>
          </cell>
          <cell r="H320">
            <v>46289</v>
          </cell>
          <cell r="I320">
            <v>39</v>
          </cell>
          <cell r="J320">
            <v>46293</v>
          </cell>
          <cell r="K320">
            <v>0.45833333333333331</v>
          </cell>
          <cell r="L320" t="str">
            <v>PREENFRIO FORTALEZA</v>
          </cell>
          <cell r="M320">
            <v>1.5</v>
          </cell>
          <cell r="N320">
            <v>36</v>
          </cell>
          <cell r="O320">
            <v>46289</v>
          </cell>
          <cell r="P320">
            <v>0.9194444444444444</v>
          </cell>
          <cell r="Q320" t="str">
            <v>NORMAL</v>
          </cell>
          <cell r="R320">
            <v>46290</v>
          </cell>
          <cell r="S320">
            <v>0.96388888888888891</v>
          </cell>
          <cell r="T320">
            <v>0.45833333333333331</v>
          </cell>
          <cell r="U320">
            <v>46291.422222222223</v>
          </cell>
          <cell r="V320">
            <v>46291</v>
          </cell>
          <cell r="W320">
            <v>0.45833333333333331</v>
          </cell>
          <cell r="X320" t="str">
            <v>SI CUMPLE</v>
          </cell>
          <cell r="Y320" t="str">
            <v>SI CUMPLE</v>
          </cell>
          <cell r="AA320" t="str">
            <v>DESPACHADO</v>
          </cell>
          <cell r="AB320" t="str">
            <v>DANIEL CARRILLO GODINEZ</v>
          </cell>
          <cell r="AC320" t="str">
            <v>EDUARDO FLORES</v>
          </cell>
          <cell r="AD320">
            <v>73834</v>
          </cell>
          <cell r="AE320" t="str">
            <v>QEP1W00XH0</v>
          </cell>
        </row>
        <row r="321">
          <cell r="A321" t="str">
            <v>Chanitos Premium Tarima Chep</v>
          </cell>
          <cell r="B321" t="str">
            <v>CPR01102</v>
          </cell>
          <cell r="C321" t="str">
            <v>A01002-392409-1</v>
          </cell>
          <cell r="D321" t="str">
            <v>A01 002 Fortaleza</v>
          </cell>
          <cell r="E321" t="str">
            <v>Chalco</v>
          </cell>
          <cell r="F321">
            <v>720</v>
          </cell>
          <cell r="G321">
            <v>15</v>
          </cell>
          <cell r="H321">
            <v>46289</v>
          </cell>
          <cell r="I321">
            <v>39</v>
          </cell>
          <cell r="J321">
            <v>46293</v>
          </cell>
          <cell r="L321" t="str">
            <v>PREENFRIO FORTALEZA</v>
          </cell>
          <cell r="M321">
            <v>1</v>
          </cell>
          <cell r="N321">
            <v>24</v>
          </cell>
          <cell r="O321">
            <v>46289</v>
          </cell>
          <cell r="P321">
            <v>0.7416666666666667</v>
          </cell>
          <cell r="Q321" t="str">
            <v>NORMAL</v>
          </cell>
          <cell r="R321">
            <v>46289</v>
          </cell>
          <cell r="S321">
            <v>0.9194444444444444</v>
          </cell>
          <cell r="T321">
            <v>0.625</v>
          </cell>
          <cell r="U321">
            <v>46290.544444444444</v>
          </cell>
          <cell r="V321">
            <v>46290</v>
          </cell>
          <cell r="W321">
            <v>0.8256944444444444</v>
          </cell>
          <cell r="X321" t="str">
            <v>SI CUMPLE</v>
          </cell>
          <cell r="Y321" t="str">
            <v>SI CUMPLE</v>
          </cell>
          <cell r="AA321" t="str">
            <v>DESPACHADO</v>
          </cell>
          <cell r="AB321" t="str">
            <v>FERNANDO JESUS ALVARADO</v>
          </cell>
          <cell r="AC321" t="str">
            <v>EDUARDO ALVARADO</v>
          </cell>
          <cell r="AD321">
            <v>19243</v>
          </cell>
          <cell r="AE321" t="str">
            <v>QCH1W04ND0</v>
          </cell>
        </row>
        <row r="322">
          <cell r="A322" t="str">
            <v>Chanitos Organic Banded Market Side Mexico</v>
          </cell>
          <cell r="B322" t="str">
            <v>CRG07128</v>
          </cell>
          <cell r="C322" t="str">
            <v>A01002-392409-1</v>
          </cell>
          <cell r="D322" t="str">
            <v>A01 002 Fortaleza</v>
          </cell>
          <cell r="E322" t="str">
            <v>QRO</v>
          </cell>
          <cell r="F322">
            <v>96</v>
          </cell>
          <cell r="G322">
            <v>2</v>
          </cell>
          <cell r="H322">
            <v>46289</v>
          </cell>
          <cell r="I322">
            <v>39</v>
          </cell>
          <cell r="J322">
            <v>46293</v>
          </cell>
          <cell r="L322" t="str">
            <v>PREENFRIO FORTALEZA</v>
          </cell>
          <cell r="M322">
            <v>1.5</v>
          </cell>
          <cell r="N322">
            <v>36</v>
          </cell>
          <cell r="O322">
            <v>46289</v>
          </cell>
          <cell r="P322">
            <v>0.7416666666666667</v>
          </cell>
          <cell r="Q322" t="str">
            <v>NORMAL</v>
          </cell>
          <cell r="R322">
            <v>46290</v>
          </cell>
          <cell r="S322">
            <v>0.96388888888888891</v>
          </cell>
          <cell r="T322">
            <v>0.45833333333333331</v>
          </cell>
          <cell r="U322">
            <v>46291.422222222223</v>
          </cell>
          <cell r="V322">
            <v>46291</v>
          </cell>
          <cell r="W322">
            <v>0.45833333333333331</v>
          </cell>
          <cell r="X322" t="str">
            <v>SI CUMPLE</v>
          </cell>
          <cell r="Y322" t="str">
            <v>SI CUMPLE</v>
          </cell>
          <cell r="AA322" t="str">
            <v>DESPACHADO</v>
          </cell>
          <cell r="AB322" t="str">
            <v>DANIEL CARRILLO GODINEZ</v>
          </cell>
          <cell r="AC322" t="str">
            <v>EDUARDO FLORES</v>
          </cell>
          <cell r="AD322">
            <v>73834</v>
          </cell>
          <cell r="AE322" t="str">
            <v>QEP1W00XH0</v>
          </cell>
        </row>
        <row r="323">
          <cell r="A323" t="str">
            <v>Chanitos Organic Banded Market Side Mexico</v>
          </cell>
          <cell r="B323" t="str">
            <v>CRG07128</v>
          </cell>
          <cell r="C323" t="str">
            <v>A01002-392409-1</v>
          </cell>
          <cell r="D323" t="str">
            <v>A01 002 Fortaleza</v>
          </cell>
          <cell r="E323" t="str">
            <v>VSA</v>
          </cell>
          <cell r="F323">
            <v>288</v>
          </cell>
          <cell r="G323">
            <v>6</v>
          </cell>
          <cell r="H323">
            <v>46289</v>
          </cell>
          <cell r="I323">
            <v>39</v>
          </cell>
          <cell r="J323">
            <v>46293</v>
          </cell>
          <cell r="K323">
            <v>0.25</v>
          </cell>
          <cell r="L323" t="str">
            <v>PREENFRIO FORTALEZA</v>
          </cell>
          <cell r="M323">
            <v>1</v>
          </cell>
          <cell r="N323">
            <v>24</v>
          </cell>
          <cell r="O323">
            <v>46289</v>
          </cell>
          <cell r="P323">
            <v>0.7416666666666667</v>
          </cell>
          <cell r="Q323" t="str">
            <v>NORMAL</v>
          </cell>
          <cell r="R323">
            <v>46291</v>
          </cell>
          <cell r="S323">
            <v>0.44791666666666669</v>
          </cell>
          <cell r="T323">
            <v>0.625</v>
          </cell>
          <cell r="U323">
            <v>46292.072916666664</v>
          </cell>
          <cell r="V323">
            <v>46292</v>
          </cell>
          <cell r="W323">
            <v>7.4999999999999997E-2</v>
          </cell>
          <cell r="X323" t="str">
            <v>SI CUMPLE</v>
          </cell>
          <cell r="Y323" t="str">
            <v>SI CUMPLE</v>
          </cell>
          <cell r="Z323" t="str">
            <v>EMPAQUE TARDIO</v>
          </cell>
          <cell r="AA323" t="str">
            <v>DESPACHADO</v>
          </cell>
          <cell r="AB323" t="str">
            <v>GENARO IBAÑEZ</v>
          </cell>
          <cell r="AC323" t="str">
            <v>CAYETANO MENESES</v>
          </cell>
          <cell r="AD323">
            <v>90259</v>
          </cell>
          <cell r="AE323" t="str">
            <v>QEP1W00X40</v>
          </cell>
        </row>
        <row r="324">
          <cell r="A324" t="str">
            <v>Chanitos Premium Tarima Chep</v>
          </cell>
          <cell r="B324" t="str">
            <v>CPR01102</v>
          </cell>
          <cell r="C324" t="str">
            <v>A01002-392409-1</v>
          </cell>
          <cell r="D324" t="str">
            <v>A01 002 Fortaleza</v>
          </cell>
          <cell r="E324" t="str">
            <v>VSA</v>
          </cell>
          <cell r="F324">
            <v>480</v>
          </cell>
          <cell r="G324">
            <v>10</v>
          </cell>
          <cell r="H324">
            <v>46289</v>
          </cell>
          <cell r="I324">
            <v>39</v>
          </cell>
          <cell r="J324">
            <v>46293</v>
          </cell>
          <cell r="K324">
            <v>0.25</v>
          </cell>
          <cell r="L324" t="str">
            <v>PREENFRIO FORTALEZA</v>
          </cell>
          <cell r="M324">
            <v>1</v>
          </cell>
          <cell r="N324">
            <v>24</v>
          </cell>
          <cell r="O324">
            <v>46289</v>
          </cell>
          <cell r="P324">
            <v>0.7416666666666667</v>
          </cell>
          <cell r="Q324" t="str">
            <v>NORMAL</v>
          </cell>
          <cell r="R324">
            <v>46291</v>
          </cell>
          <cell r="S324">
            <v>0.44791666666666669</v>
          </cell>
          <cell r="T324">
            <v>0.625</v>
          </cell>
          <cell r="U324">
            <v>46292.072916666664</v>
          </cell>
          <cell r="V324">
            <v>46292</v>
          </cell>
          <cell r="W324">
            <v>7.4999999999999997E-2</v>
          </cell>
          <cell r="X324" t="str">
            <v>SI CUMPLE</v>
          </cell>
          <cell r="Y324" t="str">
            <v>SI CUMPLE</v>
          </cell>
          <cell r="Z324" t="str">
            <v>EMPAQUE TARDIO</v>
          </cell>
          <cell r="AA324" t="str">
            <v>DESPACHADO</v>
          </cell>
          <cell r="AB324" t="str">
            <v>GENARO IBAÑEZ</v>
          </cell>
          <cell r="AC324" t="str">
            <v>CAYETANO MENESES</v>
          </cell>
          <cell r="AD324">
            <v>90259</v>
          </cell>
          <cell r="AE324" t="str">
            <v>QEP1W00X40</v>
          </cell>
        </row>
        <row r="325">
          <cell r="A325" t="str">
            <v>Chanitos Premium Tarima Chep</v>
          </cell>
          <cell r="B325" t="str">
            <v>CPR01102</v>
          </cell>
          <cell r="C325" t="str">
            <v>A01002-392509-1</v>
          </cell>
          <cell r="D325" t="str">
            <v>A01 002 Fortaleza</v>
          </cell>
          <cell r="E325" t="str">
            <v>VSA</v>
          </cell>
          <cell r="F325">
            <v>384</v>
          </cell>
          <cell r="G325">
            <v>8</v>
          </cell>
          <cell r="H325">
            <v>46290</v>
          </cell>
          <cell r="I325">
            <v>39</v>
          </cell>
          <cell r="J325">
            <v>46293</v>
          </cell>
          <cell r="K325">
            <v>0.25</v>
          </cell>
          <cell r="L325" t="str">
            <v>PREENFRIO FORTALEZA</v>
          </cell>
          <cell r="M325">
            <v>1</v>
          </cell>
          <cell r="N325">
            <v>24</v>
          </cell>
          <cell r="O325">
            <v>46290</v>
          </cell>
          <cell r="P325">
            <v>0.68472222222222223</v>
          </cell>
          <cell r="Q325" t="str">
            <v>NORMAL</v>
          </cell>
          <cell r="R325">
            <v>46291</v>
          </cell>
          <cell r="S325">
            <v>0.44791666666666669</v>
          </cell>
          <cell r="T325">
            <v>0.625</v>
          </cell>
          <cell r="U325">
            <v>46292.072916666664</v>
          </cell>
          <cell r="V325">
            <v>46292</v>
          </cell>
          <cell r="W325">
            <v>7.4999999999999997E-2</v>
          </cell>
          <cell r="X325" t="str">
            <v>SI CUMPLE</v>
          </cell>
          <cell r="Y325" t="str">
            <v>SI CUMPLE</v>
          </cell>
          <cell r="Z325" t="str">
            <v>EMPAQUE TARDIO</v>
          </cell>
          <cell r="AA325" t="str">
            <v>DESPACHADO</v>
          </cell>
          <cell r="AB325" t="str">
            <v>GENARO IBAÑEZ</v>
          </cell>
          <cell r="AC325" t="str">
            <v>CAYETANO MENESES</v>
          </cell>
          <cell r="AD325">
            <v>90259</v>
          </cell>
          <cell r="AE325" t="str">
            <v>QEP1W00X40</v>
          </cell>
        </row>
        <row r="326">
          <cell r="A326" t="str">
            <v>Chanitos Plantain 20Kg Tarima Americana</v>
          </cell>
          <cell r="B326" t="str">
            <v>CPL08134</v>
          </cell>
          <cell r="C326" t="str">
            <v>A15063-392209-1</v>
          </cell>
          <cell r="D326" t="str">
            <v xml:space="preserve">A15 063 Zaragoza </v>
          </cell>
          <cell r="E326" t="str">
            <v>Ciudad Juarez</v>
          </cell>
          <cell r="F326">
            <v>144</v>
          </cell>
          <cell r="G326">
            <v>3</v>
          </cell>
          <cell r="H326">
            <v>46287</v>
          </cell>
          <cell r="I326">
            <v>39</v>
          </cell>
          <cell r="J326">
            <v>46294</v>
          </cell>
          <cell r="L326" t="str">
            <v>PREENFRIO FORTALEZA</v>
          </cell>
          <cell r="M326">
            <v>4</v>
          </cell>
          <cell r="N326">
            <v>96</v>
          </cell>
          <cell r="O326">
            <v>46288</v>
          </cell>
          <cell r="P326">
            <v>0.83333333333333337</v>
          </cell>
          <cell r="Q326" t="str">
            <v>NORMAL</v>
          </cell>
          <cell r="R326">
            <v>46289</v>
          </cell>
          <cell r="S326">
            <v>0.33541666666666664</v>
          </cell>
          <cell r="T326">
            <v>0.25</v>
          </cell>
          <cell r="U326">
            <v>46289.585416666669</v>
          </cell>
          <cell r="V326">
            <v>46289</v>
          </cell>
          <cell r="W326">
            <v>0.4861111111111111</v>
          </cell>
          <cell r="X326" t="str">
            <v>SI CUMPLE</v>
          </cell>
          <cell r="Y326" t="str">
            <v>SI CUMPLE</v>
          </cell>
          <cell r="Z326" t="str">
            <v>MUEVE A NELLY</v>
          </cell>
          <cell r="AA326" t="str">
            <v xml:space="preserve">DESPACHADO  </v>
          </cell>
          <cell r="AB326" t="str">
            <v>EDUARDO ROSALES</v>
          </cell>
          <cell r="AC326" t="str">
            <v>EDUARDO ROSALES</v>
          </cell>
          <cell r="AD326">
            <v>78072</v>
          </cell>
          <cell r="AE326" t="str">
            <v>N/A</v>
          </cell>
        </row>
        <row r="327">
          <cell r="A327" t="str">
            <v>Chanitos Premium Tarima Americana</v>
          </cell>
          <cell r="B327" t="str">
            <v>CPR01103</v>
          </cell>
          <cell r="C327" t="str">
            <v>A04039-392209-1</v>
          </cell>
          <cell r="D327" t="str">
            <v>A04 039 San Jose Morelia Nava</v>
          </cell>
          <cell r="E327" t="str">
            <v>S-MTY</v>
          </cell>
          <cell r="F327">
            <v>144</v>
          </cell>
          <cell r="G327">
            <v>3</v>
          </cell>
          <cell r="H327">
            <v>46287</v>
          </cell>
          <cell r="I327">
            <v>39</v>
          </cell>
          <cell r="J327">
            <v>46293</v>
          </cell>
          <cell r="K327">
            <v>0.25</v>
          </cell>
          <cell r="L327" t="str">
            <v>PREENFRIO NELLY</v>
          </cell>
          <cell r="M327">
            <v>3</v>
          </cell>
          <cell r="N327">
            <v>72</v>
          </cell>
          <cell r="O327">
            <v>46289</v>
          </cell>
          <cell r="P327">
            <v>0.83333333333333337</v>
          </cell>
          <cell r="Q327" t="str">
            <v>ALTA</v>
          </cell>
          <cell r="R327">
            <v>46290</v>
          </cell>
          <cell r="S327">
            <v>0.27083333333333331</v>
          </cell>
          <cell r="T327">
            <v>0.4375</v>
          </cell>
          <cell r="U327">
            <v>46290.708333333336</v>
          </cell>
          <cell r="V327">
            <v>46290</v>
          </cell>
          <cell r="W327">
            <v>0.5</v>
          </cell>
          <cell r="X327" t="str">
            <v>NO CUMPLE</v>
          </cell>
          <cell r="Y327" t="str">
            <v>NO CUMPLE</v>
          </cell>
          <cell r="Z327" t="str">
            <v>EMPAQUE TARDIO</v>
          </cell>
          <cell r="AA327" t="str">
            <v>DESPACHADO</v>
          </cell>
          <cell r="AB327" t="str">
            <v>AUTO EXPRESS SEGOVIA</v>
          </cell>
          <cell r="AC327" t="str">
            <v>Edgar Adrian castillo Trejo</v>
          </cell>
          <cell r="AD327">
            <v>42632</v>
          </cell>
        </row>
        <row r="328">
          <cell r="A328" t="str">
            <v>Chanitos Premium Tarima Americana</v>
          </cell>
          <cell r="B328" t="str">
            <v>CPR01103</v>
          </cell>
          <cell r="C328" t="str">
            <v>A04039-392309-1</v>
          </cell>
          <cell r="D328" t="str">
            <v>A04 039 San Jose Morelia Nava</v>
          </cell>
          <cell r="E328" t="str">
            <v>S-MTY</v>
          </cell>
          <cell r="F328">
            <v>960</v>
          </cell>
          <cell r="G328">
            <v>20</v>
          </cell>
          <cell r="H328">
            <v>46288</v>
          </cell>
          <cell r="I328">
            <v>39</v>
          </cell>
          <cell r="J328">
            <v>46293</v>
          </cell>
          <cell r="K328">
            <v>0.25</v>
          </cell>
          <cell r="L328" t="str">
            <v>PREENFRIO NELLY</v>
          </cell>
          <cell r="M328">
            <v>3</v>
          </cell>
          <cell r="N328">
            <v>72</v>
          </cell>
          <cell r="O328">
            <v>46289</v>
          </cell>
          <cell r="P328">
            <v>0.83333333333333337</v>
          </cell>
          <cell r="Q328" t="str">
            <v>ALTA</v>
          </cell>
          <cell r="R328">
            <v>46289</v>
          </cell>
          <cell r="S328">
            <v>0.83333333333333337</v>
          </cell>
          <cell r="T328">
            <v>0.4375</v>
          </cell>
          <cell r="U328">
            <v>46290.270833333336</v>
          </cell>
          <cell r="V328">
            <v>46290</v>
          </cell>
          <cell r="W328">
            <v>0.5</v>
          </cell>
          <cell r="X328" t="str">
            <v>NO CUMPLE</v>
          </cell>
          <cell r="Y328" t="str">
            <v>NO CUMPLE</v>
          </cell>
          <cell r="Z328" t="str">
            <v>EMPAQUE TARDIO</v>
          </cell>
          <cell r="AA328" t="str">
            <v>DESPACHADO</v>
          </cell>
          <cell r="AB328" t="str">
            <v>AUTO EXPRESS SEGOVIA</v>
          </cell>
          <cell r="AC328" t="str">
            <v>Edgar Adrian castillo Trejo</v>
          </cell>
          <cell r="AD328">
            <v>40701</v>
          </cell>
        </row>
        <row r="329">
          <cell r="A329" t="str">
            <v>Chanitos Premium Tarima Americana</v>
          </cell>
          <cell r="B329" t="str">
            <v>CPR01103</v>
          </cell>
          <cell r="C329" t="str">
            <v>A04039-392309-1</v>
          </cell>
          <cell r="D329" t="str">
            <v>A04 039 San Jose Morelia Nava</v>
          </cell>
          <cell r="E329" t="str">
            <v>S-MTY</v>
          </cell>
          <cell r="F329">
            <v>336</v>
          </cell>
          <cell r="G329">
            <v>7</v>
          </cell>
          <cell r="H329">
            <v>46288</v>
          </cell>
          <cell r="I329">
            <v>39</v>
          </cell>
          <cell r="J329">
            <v>46293</v>
          </cell>
          <cell r="K329">
            <v>0.25</v>
          </cell>
          <cell r="L329" t="str">
            <v>PREENFRIO NELLY</v>
          </cell>
          <cell r="M329">
            <v>3</v>
          </cell>
          <cell r="N329">
            <v>72</v>
          </cell>
          <cell r="O329">
            <v>46289</v>
          </cell>
          <cell r="P329">
            <v>0.83333333333333337</v>
          </cell>
          <cell r="Q329" t="str">
            <v>ALTA</v>
          </cell>
          <cell r="R329">
            <v>46290</v>
          </cell>
          <cell r="S329">
            <v>8.3333333333333329E-2</v>
          </cell>
          <cell r="T329">
            <v>0.4375</v>
          </cell>
          <cell r="U329">
            <v>46290.520833333336</v>
          </cell>
          <cell r="V329">
            <v>46290</v>
          </cell>
          <cell r="W329">
            <v>0.5</v>
          </cell>
          <cell r="X329" t="str">
            <v>NO CUMPLE</v>
          </cell>
          <cell r="Y329" t="str">
            <v>NO CUMPLE</v>
          </cell>
          <cell r="Z329" t="str">
            <v>EMPAQUE TARDIO</v>
          </cell>
          <cell r="AA329" t="str">
            <v>DESPACHADO</v>
          </cell>
          <cell r="AB329" t="str">
            <v>AUTO EXPRESS SEGOVIA</v>
          </cell>
          <cell r="AC329" t="str">
            <v>Edgar Adrian castillo Trejo</v>
          </cell>
          <cell r="AD329">
            <v>42632</v>
          </cell>
        </row>
        <row r="330">
          <cell r="A330" t="str">
            <v>Chanitos Premium Tarima Chep</v>
          </cell>
          <cell r="B330" t="str">
            <v>CPR01102</v>
          </cell>
          <cell r="C330" t="str">
            <v>A01003-392409-1</v>
          </cell>
          <cell r="D330" t="str">
            <v>A01 003 Doña Nelly</v>
          </cell>
          <cell r="E330" t="str">
            <v>SMO</v>
          </cell>
          <cell r="F330">
            <v>672</v>
          </cell>
          <cell r="G330">
            <v>14</v>
          </cell>
          <cell r="H330">
            <v>46289</v>
          </cell>
          <cell r="I330">
            <v>39</v>
          </cell>
          <cell r="J330">
            <v>46293</v>
          </cell>
          <cell r="L330" t="str">
            <v>PREENFRIO NELLY</v>
          </cell>
          <cell r="M330">
            <v>1.5</v>
          </cell>
          <cell r="N330">
            <v>36</v>
          </cell>
          <cell r="O330">
            <v>46289</v>
          </cell>
          <cell r="P330">
            <v>0.75</v>
          </cell>
          <cell r="Q330" t="str">
            <v>ALTA</v>
          </cell>
          <cell r="R330">
            <v>46290</v>
          </cell>
          <cell r="S330">
            <v>0.5493055555555556</v>
          </cell>
          <cell r="T330">
            <v>0.35416666666666669</v>
          </cell>
          <cell r="U330">
            <v>46290.90347222222</v>
          </cell>
          <cell r="V330">
            <v>46292</v>
          </cell>
          <cell r="W330">
            <v>0.15625</v>
          </cell>
          <cell r="X330" t="str">
            <v>SI CUMPLE</v>
          </cell>
          <cell r="Y330" t="str">
            <v>NO CUMPLE</v>
          </cell>
          <cell r="AA330" t="str">
            <v>DESPACHADO</v>
          </cell>
          <cell r="AB330" t="str">
            <v>ALICIA CRUZ FUENTES</v>
          </cell>
          <cell r="AC330" t="str">
            <v>ISIDRO PARDO PULIDO</v>
          </cell>
          <cell r="AD330">
            <v>13034</v>
          </cell>
        </row>
        <row r="331">
          <cell r="A331" t="str">
            <v>Chanitos Premium EUA Tarima Americana</v>
          </cell>
          <cell r="B331" t="str">
            <v>CPR01104</v>
          </cell>
          <cell r="C331" t="str">
            <v>A01003-392409-1</v>
          </cell>
          <cell r="D331" t="str">
            <v>A01 003 Doña Nelly</v>
          </cell>
          <cell r="E331" t="str">
            <v>McAllen</v>
          </cell>
          <cell r="F331">
            <v>960</v>
          </cell>
          <cell r="G331">
            <v>20</v>
          </cell>
          <cell r="H331">
            <v>46289</v>
          </cell>
          <cell r="I331">
            <v>39</v>
          </cell>
          <cell r="J331">
            <v>46294</v>
          </cell>
          <cell r="L331" t="str">
            <v>PREENFRIO NELLY</v>
          </cell>
          <cell r="M331" t="str">
            <v>SIN PRE</v>
          </cell>
          <cell r="N331" t="str">
            <v>SIN PRE</v>
          </cell>
          <cell r="O331">
            <v>46289</v>
          </cell>
          <cell r="P331">
            <v>0.75</v>
          </cell>
          <cell r="Q331" t="str">
            <v>ALTA</v>
          </cell>
          <cell r="R331" t="str">
            <v>SIN PRENFRIO</v>
          </cell>
          <cell r="S331" t="str">
            <v>SIN PRENFRIO</v>
          </cell>
          <cell r="T331" t="str">
            <v>SIN PRENFRIO</v>
          </cell>
          <cell r="U331" t="str">
            <v>SIN PRENFRIO</v>
          </cell>
          <cell r="V331">
            <v>46290</v>
          </cell>
          <cell r="W331">
            <v>0.66666666666666663</v>
          </cell>
          <cell r="Y331" t="str">
            <v>NO CUMPLE</v>
          </cell>
          <cell r="AA331" t="str">
            <v>DESPACHADO</v>
          </cell>
          <cell r="AB331" t="str">
            <v>AUTO EXPRESS SEGOVIA</v>
          </cell>
          <cell r="AC331" t="str">
            <v>CARLOS ALBERTO DOMINGUEZ</v>
          </cell>
          <cell r="AD331">
            <v>25512</v>
          </cell>
        </row>
        <row r="332">
          <cell r="A332" t="str">
            <v>Chanitos Premium Tarima Americana</v>
          </cell>
          <cell r="B332" t="str">
            <v>CPR01103</v>
          </cell>
          <cell r="C332" t="str">
            <v>A04039-392309-1</v>
          </cell>
          <cell r="D332" t="str">
            <v>A04 039 San Jose Morelia Nava</v>
          </cell>
          <cell r="E332" t="str">
            <v>S-MTY</v>
          </cell>
          <cell r="F332">
            <v>240</v>
          </cell>
          <cell r="G332">
            <v>4</v>
          </cell>
          <cell r="H332">
            <v>46288</v>
          </cell>
          <cell r="I332">
            <v>39</v>
          </cell>
          <cell r="J332">
            <v>46295</v>
          </cell>
          <cell r="K332">
            <v>0.25</v>
          </cell>
          <cell r="L332" t="str">
            <v>PREENFRIO NELLY</v>
          </cell>
          <cell r="M332">
            <v>3</v>
          </cell>
          <cell r="N332">
            <v>72</v>
          </cell>
          <cell r="O332">
            <v>46289</v>
          </cell>
          <cell r="P332">
            <v>0.83333333333333337</v>
          </cell>
          <cell r="Q332" t="str">
            <v>ALTA</v>
          </cell>
          <cell r="R332">
            <v>46290</v>
          </cell>
          <cell r="S332">
            <v>0.70833333333333337</v>
          </cell>
          <cell r="T332">
            <v>0.4375</v>
          </cell>
          <cell r="U332">
            <v>46291.145833333336</v>
          </cell>
          <cell r="V332">
            <v>46291</v>
          </cell>
          <cell r="W332">
            <v>0.71527777777777779</v>
          </cell>
          <cell r="X332" t="str">
            <v>SI CUMPLE</v>
          </cell>
          <cell r="Y332" t="str">
            <v>SI CUMPLE</v>
          </cell>
          <cell r="Z332" t="str">
            <v>EMPAQUE TARDIO</v>
          </cell>
          <cell r="AA332" t="str">
            <v>DESPACHADO</v>
          </cell>
          <cell r="AB332" t="str">
            <v>TRANSPORTES ALGEZA</v>
          </cell>
          <cell r="AC332" t="str">
            <v>JESUS MANUEL GOMEZ SANCHEZ</v>
          </cell>
          <cell r="AD332">
            <v>59712</v>
          </cell>
        </row>
        <row r="333">
          <cell r="A333" t="str">
            <v>Chanitos Premium EUA Tarima Americana</v>
          </cell>
          <cell r="B333" t="str">
            <v>CPR01104</v>
          </cell>
          <cell r="C333" t="str">
            <v>A06043-392409-1</v>
          </cell>
          <cell r="D333" t="str">
            <v>A06 043 Nuestra señora</v>
          </cell>
          <cell r="E333" t="str">
            <v>McAllen</v>
          </cell>
          <cell r="F333">
            <v>480</v>
          </cell>
          <cell r="G333">
            <v>10</v>
          </cell>
          <cell r="H333">
            <v>46289</v>
          </cell>
          <cell r="I333">
            <v>39</v>
          </cell>
          <cell r="J333">
            <v>46295</v>
          </cell>
          <cell r="L333" t="str">
            <v>PREENFRIO NELLY</v>
          </cell>
          <cell r="M333" t="str">
            <v>SIN PRE</v>
          </cell>
          <cell r="N333" t="str">
            <v>SIN PRE</v>
          </cell>
          <cell r="O333">
            <v>46289</v>
          </cell>
          <cell r="P333">
            <v>0.75</v>
          </cell>
          <cell r="Q333" t="str">
            <v>ALTA</v>
          </cell>
          <cell r="R333" t="str">
            <v>SIN PRENFRIO</v>
          </cell>
          <cell r="S333" t="str">
            <v>SIN PRENFRIO</v>
          </cell>
          <cell r="T333" t="str">
            <v>SIN PRENFRIO</v>
          </cell>
          <cell r="U333" t="str">
            <v>SIN PRENFRIO</v>
          </cell>
          <cell r="V333">
            <v>46290</v>
          </cell>
          <cell r="W333">
            <v>0.66666666666666663</v>
          </cell>
          <cell r="Y333" t="str">
            <v>NO CUMPLE</v>
          </cell>
          <cell r="AA333" t="str">
            <v>DESPACHADO</v>
          </cell>
          <cell r="AB333" t="str">
            <v>AUTO EXPRESS SEGOVIA</v>
          </cell>
          <cell r="AC333" t="str">
            <v>CARLOS ALBERTO DOMINGUEZ</v>
          </cell>
          <cell r="AD333">
            <v>98491</v>
          </cell>
        </row>
        <row r="334">
          <cell r="A334" t="str">
            <v>Chanitos Premium Tarima Americana</v>
          </cell>
          <cell r="B334" t="str">
            <v>CPR01103</v>
          </cell>
          <cell r="C334" t="str">
            <v>A04039-392409-1</v>
          </cell>
          <cell r="D334" t="str">
            <v>A04 039 San Jose Morelia Nava</v>
          </cell>
          <cell r="E334" t="str">
            <v>S-MTY</v>
          </cell>
          <cell r="F334">
            <v>336</v>
          </cell>
          <cell r="G334">
            <v>7</v>
          </cell>
          <cell r="H334">
            <v>46289</v>
          </cell>
          <cell r="I334">
            <v>39</v>
          </cell>
          <cell r="J334">
            <v>46295</v>
          </cell>
          <cell r="K334">
            <v>0.25</v>
          </cell>
          <cell r="L334" t="str">
            <v>PREENFRIO NELLY</v>
          </cell>
          <cell r="M334">
            <v>3</v>
          </cell>
          <cell r="N334">
            <v>72</v>
          </cell>
          <cell r="O334">
            <v>46289</v>
          </cell>
          <cell r="P334">
            <v>0.83333333333333337</v>
          </cell>
          <cell r="Q334" t="str">
            <v>ALTA</v>
          </cell>
          <cell r="R334">
            <v>46290</v>
          </cell>
          <cell r="S334">
            <v>0.70833333333333337</v>
          </cell>
          <cell r="T334">
            <v>0.4375</v>
          </cell>
          <cell r="U334">
            <v>46291.145833333336</v>
          </cell>
          <cell r="V334">
            <v>46291</v>
          </cell>
          <cell r="W334">
            <v>0.71527777777777779</v>
          </cell>
          <cell r="X334" t="str">
            <v>SI CUMPLE</v>
          </cell>
          <cell r="Y334" t="str">
            <v>SI CUMPLE</v>
          </cell>
          <cell r="Z334" t="str">
            <v>EMPAQUE TARDIO</v>
          </cell>
          <cell r="AA334" t="str">
            <v>DESPACHADO</v>
          </cell>
          <cell r="AB334" t="str">
            <v>TRANSPORTES ALGEZA</v>
          </cell>
          <cell r="AC334" t="str">
            <v>JESUS MANUEL GOMEZ SANCHEZ</v>
          </cell>
          <cell r="AD334">
            <v>59712</v>
          </cell>
        </row>
        <row r="335">
          <cell r="A335" t="str">
            <v>Chanitos Premium Tarima Chep</v>
          </cell>
          <cell r="B335" t="str">
            <v>CPR01102</v>
          </cell>
          <cell r="C335" t="str">
            <v>A01001-392509-1</v>
          </cell>
          <cell r="D335" t="str">
            <v>A01 001 Marbella</v>
          </cell>
          <cell r="E335" t="str">
            <v>SMO</v>
          </cell>
          <cell r="F335">
            <v>1152</v>
          </cell>
          <cell r="G335">
            <v>24</v>
          </cell>
          <cell r="H335">
            <v>46290</v>
          </cell>
          <cell r="I335">
            <v>39</v>
          </cell>
          <cell r="J335">
            <v>46294</v>
          </cell>
          <cell r="K335">
            <v>0.45833333333333331</v>
          </cell>
          <cell r="L335" t="str">
            <v>PREENFRIO FORTALEZA</v>
          </cell>
          <cell r="M335">
            <v>1.5</v>
          </cell>
          <cell r="N335">
            <v>36</v>
          </cell>
          <cell r="O335">
            <v>46290</v>
          </cell>
          <cell r="P335">
            <v>0.79166666666666663</v>
          </cell>
          <cell r="Q335" t="str">
            <v>NORMAL</v>
          </cell>
          <cell r="R335">
            <v>46292</v>
          </cell>
          <cell r="S335">
            <v>4.583333333333333E-2</v>
          </cell>
          <cell r="T335">
            <v>0.45833333333333331</v>
          </cell>
          <cell r="U335">
            <v>46292.504166666666</v>
          </cell>
          <cell r="V335">
            <v>46292</v>
          </cell>
          <cell r="W335">
            <v>0.5805555555555556</v>
          </cell>
          <cell r="X335" t="str">
            <v>SI CUMPLE</v>
          </cell>
          <cell r="Y335" t="str">
            <v>SI CUMPLE</v>
          </cell>
          <cell r="Z335" t="str">
            <v>EMPAQUE TARDIO</v>
          </cell>
          <cell r="AA335" t="str">
            <v>DESPACHADO</v>
          </cell>
          <cell r="AB335" t="str">
            <v>SAUL LOPEZ ARZATE</v>
          </cell>
          <cell r="AC335" t="str">
            <v>ALDO LUCAS VARGAS</v>
          </cell>
          <cell r="AD335">
            <v>87246</v>
          </cell>
          <cell r="AE335" t="str">
            <v>QEP1W00YQ0</v>
          </cell>
        </row>
        <row r="336">
          <cell r="A336" t="str">
            <v>Chanitos Premium EUA Tarima Americana</v>
          </cell>
          <cell r="B336" t="str">
            <v>CPR01104</v>
          </cell>
          <cell r="C336" t="str">
            <v>A04084-392309-1</v>
          </cell>
          <cell r="D336" t="str">
            <v>A04 084 Lisboa</v>
          </cell>
          <cell r="E336" t="str">
            <v>McAllen</v>
          </cell>
          <cell r="F336">
            <v>480</v>
          </cell>
          <cell r="G336">
            <v>10</v>
          </cell>
          <cell r="H336">
            <v>46288</v>
          </cell>
          <cell r="I336">
            <v>39</v>
          </cell>
          <cell r="J336">
            <v>46295</v>
          </cell>
          <cell r="L336" t="str">
            <v>PREENFRIO FORTALEZA</v>
          </cell>
          <cell r="M336">
            <v>3</v>
          </cell>
          <cell r="N336">
            <v>72</v>
          </cell>
          <cell r="O336">
            <v>46289</v>
          </cell>
          <cell r="P336">
            <v>0.83472222222222225</v>
          </cell>
          <cell r="Q336" t="str">
            <v>NORMAL</v>
          </cell>
          <cell r="U336" t="str">
            <v/>
          </cell>
          <cell r="V336">
            <v>46290</v>
          </cell>
          <cell r="W336">
            <v>6.25E-2</v>
          </cell>
          <cell r="X336" t="str">
            <v/>
          </cell>
          <cell r="Y336" t="str">
            <v>SI CUMPLE</v>
          </cell>
          <cell r="AA336" t="str">
            <v>DESPACHADO</v>
          </cell>
          <cell r="AB336" t="str">
            <v>AUTO EXPRESS SEGOVIA</v>
          </cell>
          <cell r="AC336" t="str">
            <v>ROSENDO HERRERA</v>
          </cell>
          <cell r="AD336">
            <v>16969</v>
          </cell>
          <cell r="AE336" t="str">
            <v>QCH1W04P60</v>
          </cell>
        </row>
        <row r="337">
          <cell r="A337" t="str">
            <v>Chanitos Plantain 20Kg Tarima Americana</v>
          </cell>
          <cell r="B337" t="str">
            <v>CPL08134</v>
          </cell>
          <cell r="C337" t="str">
            <v>A41100-392409-1</v>
          </cell>
          <cell r="D337" t="str">
            <v>A41 100 Doña Lupe JV</v>
          </cell>
          <cell r="E337" t="str">
            <v>CEDA</v>
          </cell>
          <cell r="F337">
            <v>480</v>
          </cell>
          <cell r="G337">
            <v>10</v>
          </cell>
          <cell r="H337">
            <v>46289</v>
          </cell>
          <cell r="I337">
            <v>39</v>
          </cell>
          <cell r="J337">
            <v>46292</v>
          </cell>
          <cell r="L337" t="str">
            <v>PREENFRIO NELLY</v>
          </cell>
          <cell r="M337">
            <v>1.5</v>
          </cell>
          <cell r="N337">
            <v>36</v>
          </cell>
          <cell r="O337">
            <v>46290</v>
          </cell>
          <cell r="P337">
            <v>0.29166666666666669</v>
          </cell>
          <cell r="Q337" t="str">
            <v>ALTA</v>
          </cell>
          <cell r="R337">
            <v>46290</v>
          </cell>
          <cell r="S337">
            <v>0.69097222222222221</v>
          </cell>
          <cell r="T337">
            <v>0.35416666666666669</v>
          </cell>
          <cell r="U337">
            <v>46291.045138888883</v>
          </cell>
          <cell r="V337">
            <v>46290</v>
          </cell>
          <cell r="W337">
            <v>0.96875</v>
          </cell>
          <cell r="X337" t="str">
            <v>NO CUMPLE</v>
          </cell>
          <cell r="Y337" t="str">
            <v>NO CUMPLE</v>
          </cell>
          <cell r="AA337" t="str">
            <v>DESPACHADO</v>
          </cell>
          <cell r="AB337" t="str">
            <v>AGUILAR</v>
          </cell>
          <cell r="AC337" t="str">
            <v>EMANUEL RODRIGUEZ C</v>
          </cell>
          <cell r="AD337">
            <v>92269</v>
          </cell>
        </row>
        <row r="338">
          <cell r="A338" t="str">
            <v>Chanitos Premium Tarima Americana</v>
          </cell>
          <cell r="B338" t="str">
            <v>CPR01103</v>
          </cell>
          <cell r="C338" t="str">
            <v>A04039-392409-1</v>
          </cell>
          <cell r="D338" t="str">
            <v>A04 039 San Jose Morelia Nava</v>
          </cell>
          <cell r="E338" t="str">
            <v>S-MTY</v>
          </cell>
          <cell r="F338">
            <v>816</v>
          </cell>
          <cell r="G338">
            <v>17</v>
          </cell>
          <cell r="H338">
            <v>46289</v>
          </cell>
          <cell r="I338">
            <v>39</v>
          </cell>
          <cell r="J338">
            <v>46295</v>
          </cell>
          <cell r="K338">
            <v>0.25</v>
          </cell>
          <cell r="L338" t="str">
            <v>PREENFRIO NELLY</v>
          </cell>
          <cell r="M338">
            <v>3</v>
          </cell>
          <cell r="N338">
            <v>72</v>
          </cell>
          <cell r="O338">
            <v>46290</v>
          </cell>
          <cell r="P338">
            <v>0.95833333333333337</v>
          </cell>
          <cell r="Q338" t="str">
            <v>ALTA</v>
          </cell>
          <cell r="R338">
            <v>46290</v>
          </cell>
          <cell r="S338">
            <v>0.125</v>
          </cell>
          <cell r="T338">
            <v>0.4375</v>
          </cell>
          <cell r="U338">
            <v>46290.5625</v>
          </cell>
          <cell r="V338">
            <v>46291</v>
          </cell>
          <cell r="W338">
            <v>0.71527777777777779</v>
          </cell>
          <cell r="X338" t="str">
            <v>SI CUMPLE</v>
          </cell>
          <cell r="Y338" t="str">
            <v>SI CUMPLE</v>
          </cell>
          <cell r="Z338" t="str">
            <v>EMPAQUE TARDIO</v>
          </cell>
          <cell r="AA338" t="str">
            <v>DESPACHADO</v>
          </cell>
          <cell r="AB338" t="str">
            <v>TRANSPORTES ALGEZA</v>
          </cell>
          <cell r="AC338" t="str">
            <v>JESUS MANUEL GOMEZ SANCHEZ</v>
          </cell>
          <cell r="AD338">
            <v>80250</v>
          </cell>
        </row>
        <row r="339">
          <cell r="A339" t="str">
            <v>Chanitos Premium EUA Tarima Americana</v>
          </cell>
          <cell r="B339" t="str">
            <v>CPR01104</v>
          </cell>
          <cell r="C339" t="str">
            <v>A04084-392409-1</v>
          </cell>
          <cell r="D339" t="str">
            <v>A04 084 Lisboa</v>
          </cell>
          <cell r="E339" t="str">
            <v>McAllen</v>
          </cell>
          <cell r="F339">
            <v>480</v>
          </cell>
          <cell r="G339">
            <v>10</v>
          </cell>
          <cell r="H339">
            <v>46289</v>
          </cell>
          <cell r="I339">
            <v>39</v>
          </cell>
          <cell r="J339">
            <v>46295</v>
          </cell>
          <cell r="L339" t="str">
            <v>PREENFRIO FORTALEZA</v>
          </cell>
          <cell r="M339">
            <v>3</v>
          </cell>
          <cell r="N339">
            <v>72</v>
          </cell>
          <cell r="O339">
            <v>46289</v>
          </cell>
          <cell r="P339">
            <v>0.83472222222222225</v>
          </cell>
          <cell r="Q339" t="str">
            <v>NORMAL</v>
          </cell>
          <cell r="U339" t="str">
            <v/>
          </cell>
          <cell r="V339">
            <v>46290</v>
          </cell>
          <cell r="W339">
            <v>6.25E-2</v>
          </cell>
          <cell r="X339" t="str">
            <v/>
          </cell>
          <cell r="Y339" t="str">
            <v>SI CUMPLE</v>
          </cell>
          <cell r="AA339" t="str">
            <v>DESPACHADO</v>
          </cell>
          <cell r="AB339" t="str">
            <v>AUTO EXPRESS SEGOVIA</v>
          </cell>
          <cell r="AC339" t="str">
            <v>ROSENDO HERRERA</v>
          </cell>
          <cell r="AD339">
            <v>16969</v>
          </cell>
          <cell r="AE339" t="str">
            <v>QCH1W04P60</v>
          </cell>
        </row>
        <row r="340">
          <cell r="A340" t="str">
            <v>Chanitos Premium Tarima Americana</v>
          </cell>
          <cell r="B340" t="str">
            <v>CPR01103</v>
          </cell>
          <cell r="C340" t="str">
            <v>A04039-392509-1</v>
          </cell>
          <cell r="D340" t="str">
            <v>A04 039 San Jose Morelia Nava</v>
          </cell>
          <cell r="E340" t="str">
            <v>S-MTY</v>
          </cell>
          <cell r="F340">
            <v>576</v>
          </cell>
          <cell r="G340">
            <v>12</v>
          </cell>
          <cell r="H340">
            <v>46290</v>
          </cell>
          <cell r="I340">
            <v>39</v>
          </cell>
          <cell r="J340">
            <v>46295</v>
          </cell>
          <cell r="L340" t="str">
            <v>PREENFRIO NELLY</v>
          </cell>
          <cell r="M340">
            <v>3</v>
          </cell>
          <cell r="N340">
            <v>72</v>
          </cell>
          <cell r="O340">
            <v>46290</v>
          </cell>
          <cell r="P340">
            <v>0.95833333333333337</v>
          </cell>
          <cell r="Q340" t="str">
            <v>ALTA</v>
          </cell>
          <cell r="R340">
            <v>46291</v>
          </cell>
          <cell r="S340">
            <v>0.24305555555555555</v>
          </cell>
          <cell r="T340">
            <v>0.4375</v>
          </cell>
          <cell r="U340">
            <v>46291.680555555555</v>
          </cell>
          <cell r="V340">
            <v>46291</v>
          </cell>
          <cell r="W340">
            <v>0.71527777777777779</v>
          </cell>
          <cell r="X340" t="str">
            <v>SI CUMPLE</v>
          </cell>
          <cell r="Y340" t="str">
            <v>SI CUMPLE</v>
          </cell>
          <cell r="Z340" t="str">
            <v>EMPAQUE TARDIO</v>
          </cell>
          <cell r="AA340" t="str">
            <v>DESPACHADO</v>
          </cell>
          <cell r="AB340" t="str">
            <v>TRANSPORTES ALGEZA</v>
          </cell>
          <cell r="AC340" t="str">
            <v>JESUS MANUEL GOMEZ SANCHEZ</v>
          </cell>
          <cell r="AD340">
            <v>80250</v>
          </cell>
        </row>
        <row r="341">
          <cell r="A341" t="str">
            <v>Chanitos Plantain 50lb Tarima Americana</v>
          </cell>
          <cell r="B341" t="str">
            <v>CPL08133</v>
          </cell>
          <cell r="C341" t="str">
            <v>A27073-392509-1</v>
          </cell>
          <cell r="D341" t="str">
            <v>A27 073 Plantacion</v>
          </cell>
          <cell r="E341" t="str">
            <v>McAllen</v>
          </cell>
          <cell r="F341">
            <v>840</v>
          </cell>
          <cell r="G341">
            <v>20</v>
          </cell>
          <cell r="H341">
            <v>46290</v>
          </cell>
          <cell r="I341">
            <v>39</v>
          </cell>
          <cell r="J341">
            <v>46294</v>
          </cell>
          <cell r="L341" t="str">
            <v>PREENFRIO NELLY</v>
          </cell>
          <cell r="M341">
            <v>3</v>
          </cell>
          <cell r="N341">
            <v>72</v>
          </cell>
          <cell r="O341">
            <v>46291</v>
          </cell>
          <cell r="P341">
            <v>0.125</v>
          </cell>
          <cell r="Q341" t="str">
            <v>ALTA</v>
          </cell>
          <cell r="R341">
            <v>46291</v>
          </cell>
          <cell r="S341">
            <v>0.75</v>
          </cell>
          <cell r="T341">
            <v>0.35416666666666669</v>
          </cell>
          <cell r="U341">
            <v>46292.104166666664</v>
          </cell>
          <cell r="V341">
            <v>46291</v>
          </cell>
          <cell r="W341">
            <v>0.92361111111111116</v>
          </cell>
          <cell r="X341" t="str">
            <v>NO CUMPLE</v>
          </cell>
          <cell r="Y341" t="str">
            <v>NO CUMPLE</v>
          </cell>
          <cell r="AA341" t="str">
            <v>DESPACHADO</v>
          </cell>
          <cell r="AB341" t="str">
            <v>TRANSPORTES TOMATITOS</v>
          </cell>
          <cell r="AC341" t="str">
            <v>CESAREO CORTEZ SALAZAR</v>
          </cell>
          <cell r="AD341">
            <v>34470</v>
          </cell>
        </row>
        <row r="342">
          <cell r="A342" t="str">
            <v>Chanitos Premium Tarima Chep</v>
          </cell>
          <cell r="B342" t="str">
            <v>CPR01102</v>
          </cell>
          <cell r="C342" t="str">
            <v>A01003-392609-1</v>
          </cell>
          <cell r="D342" t="str">
            <v>A01 003 Doña Nelly</v>
          </cell>
          <cell r="E342" t="str">
            <v>Chalco</v>
          </cell>
          <cell r="F342">
            <v>336</v>
          </cell>
          <cell r="G342">
            <v>7</v>
          </cell>
          <cell r="H342">
            <v>46291</v>
          </cell>
          <cell r="I342">
            <v>39</v>
          </cell>
          <cell r="J342">
            <v>46296</v>
          </cell>
          <cell r="L342" t="str">
            <v>PREENFRIO NELLY</v>
          </cell>
          <cell r="M342">
            <v>1</v>
          </cell>
          <cell r="N342">
            <v>24</v>
          </cell>
          <cell r="O342">
            <v>46291</v>
          </cell>
          <cell r="P342">
            <v>0.75</v>
          </cell>
          <cell r="Q342" t="str">
            <v>NORMAL</v>
          </cell>
          <cell r="R342">
            <v>46291</v>
          </cell>
          <cell r="S342">
            <v>0.84861111111111109</v>
          </cell>
          <cell r="T342">
            <v>0.35416666666666669</v>
          </cell>
          <cell r="U342">
            <v>46292.202777777777</v>
          </cell>
          <cell r="V342">
            <v>46294</v>
          </cell>
          <cell r="W342">
            <v>0.70486111111111116</v>
          </cell>
          <cell r="X342" t="str">
            <v>SI CUMPLE</v>
          </cell>
          <cell r="Y342" t="str">
            <v>SI CUMPLE</v>
          </cell>
          <cell r="AA342" t="str">
            <v>DESPACHADO</v>
          </cell>
          <cell r="AB342" t="str">
            <v>TRL</v>
          </cell>
        </row>
        <row r="343">
          <cell r="A343" t="str">
            <v>Chanitos Premium Tarima Chep</v>
          </cell>
          <cell r="B343" t="str">
            <v>CPR01102</v>
          </cell>
          <cell r="C343" t="str">
            <v>A01002-392509-1</v>
          </cell>
          <cell r="D343" t="str">
            <v>A01 002 Fortaleza</v>
          </cell>
          <cell r="E343" t="str">
            <v>QRO</v>
          </cell>
          <cell r="F343">
            <v>720</v>
          </cell>
          <cell r="G343">
            <v>15</v>
          </cell>
          <cell r="H343">
            <v>46290</v>
          </cell>
          <cell r="I343">
            <v>39</v>
          </cell>
          <cell r="J343">
            <v>46295</v>
          </cell>
          <cell r="L343" t="str">
            <v>PREENFRIO FORTALEZA</v>
          </cell>
          <cell r="M343">
            <v>1.5</v>
          </cell>
          <cell r="N343">
            <v>36</v>
          </cell>
          <cell r="O343">
            <v>46290</v>
          </cell>
          <cell r="P343">
            <v>0.68472222222222223</v>
          </cell>
          <cell r="Q343" t="str">
            <v>NORMAL</v>
          </cell>
          <cell r="R343">
            <v>46292</v>
          </cell>
          <cell r="S343">
            <v>0.54652777777777772</v>
          </cell>
          <cell r="T343">
            <v>0.45833333333333331</v>
          </cell>
          <cell r="U343">
            <v>46293.004861111112</v>
          </cell>
          <cell r="V343">
            <v>46292</v>
          </cell>
          <cell r="W343">
            <v>0.99305555555555558</v>
          </cell>
          <cell r="X343" t="str">
            <v>SI CUMPLE</v>
          </cell>
          <cell r="Y343" t="str">
            <v>SI CUMPLE</v>
          </cell>
          <cell r="AA343" t="str">
            <v>DESPACHADO</v>
          </cell>
          <cell r="AB343" t="str">
            <v>LEOPOLDO LEGORRETA LEGORRETA</v>
          </cell>
          <cell r="AC343" t="str">
            <v>OSCAR CRUZ GARCIA</v>
          </cell>
          <cell r="AD343">
            <v>77383</v>
          </cell>
          <cell r="AE343" t="str">
            <v>QEP1W000G0</v>
          </cell>
        </row>
        <row r="344">
          <cell r="A344" t="str">
            <v>Chanitos Organic Banded Market Side Mexico</v>
          </cell>
          <cell r="B344" t="str">
            <v>CRG07128</v>
          </cell>
          <cell r="C344" t="str">
            <v>A01002-392509-1</v>
          </cell>
          <cell r="D344" t="str">
            <v>A01 002 Fortaleza</v>
          </cell>
          <cell r="E344" t="str">
            <v>QRO</v>
          </cell>
          <cell r="F344">
            <v>96</v>
          </cell>
          <cell r="G344">
            <v>2</v>
          </cell>
          <cell r="H344">
            <v>46290</v>
          </cell>
          <cell r="I344">
            <v>39</v>
          </cell>
          <cell r="J344">
            <v>46295</v>
          </cell>
          <cell r="L344" t="str">
            <v>PREENFRIO FORTALEZA</v>
          </cell>
          <cell r="M344">
            <v>1.5</v>
          </cell>
          <cell r="N344">
            <v>36</v>
          </cell>
          <cell r="O344">
            <v>46290</v>
          </cell>
          <cell r="P344">
            <v>0.68472222222222223</v>
          </cell>
          <cell r="Q344" t="str">
            <v>NORMAL</v>
          </cell>
          <cell r="R344">
            <v>46292</v>
          </cell>
          <cell r="S344">
            <v>0.54652777777777772</v>
          </cell>
          <cell r="T344">
            <v>0.45833333333333331</v>
          </cell>
          <cell r="U344">
            <v>46293.004861111112</v>
          </cell>
          <cell r="V344">
            <v>46292</v>
          </cell>
          <cell r="W344">
            <v>0.99305555555555558</v>
          </cell>
          <cell r="X344" t="str">
            <v>SI CUMPLE</v>
          </cell>
          <cell r="Y344" t="str">
            <v>SI CUMPLE</v>
          </cell>
          <cell r="AA344" t="str">
            <v>DESPACHADO</v>
          </cell>
          <cell r="AB344" t="str">
            <v>LEOPOLDO LEGORRETA LEGORRETA</v>
          </cell>
          <cell r="AC344" t="str">
            <v>OSCAR CRUZ GARCIA</v>
          </cell>
          <cell r="AD344">
            <v>77383</v>
          </cell>
          <cell r="AE344" t="str">
            <v>QEP1W000G0</v>
          </cell>
        </row>
        <row r="345">
          <cell r="A345" t="str">
            <v>Chanitos Premium Tarima Chep</v>
          </cell>
          <cell r="B345" t="str">
            <v>CPR01102</v>
          </cell>
          <cell r="C345" t="str">
            <v>A01001-392609-1</v>
          </cell>
          <cell r="D345" t="str">
            <v>A01 001 Marbella</v>
          </cell>
          <cell r="E345" t="str">
            <v>Chalco</v>
          </cell>
          <cell r="F345">
            <v>1098</v>
          </cell>
          <cell r="G345">
            <v>22.875</v>
          </cell>
          <cell r="H345">
            <v>46291</v>
          </cell>
          <cell r="I345">
            <v>39</v>
          </cell>
          <cell r="J345">
            <v>46295</v>
          </cell>
          <cell r="L345" t="str">
            <v>PREENFRIO FORTALEZA</v>
          </cell>
          <cell r="M345">
            <v>1</v>
          </cell>
          <cell r="N345">
            <v>24</v>
          </cell>
          <cell r="O345">
            <v>46291</v>
          </cell>
          <cell r="P345">
            <v>0.91666666666666663</v>
          </cell>
          <cell r="Q345" t="str">
            <v>ALTA</v>
          </cell>
          <cell r="R345">
            <v>46292</v>
          </cell>
          <cell r="S345">
            <v>0.97083333333333333</v>
          </cell>
          <cell r="T345">
            <v>0.625</v>
          </cell>
          <cell r="U345">
            <v>46293.595833333333</v>
          </cell>
          <cell r="V345">
            <v>46293</v>
          </cell>
          <cell r="W345">
            <v>9.0277777777777776E-2</v>
          </cell>
          <cell r="X345" t="str">
            <v>SI CUMPLE</v>
          </cell>
          <cell r="Y345" t="str">
            <v>SI CUMPLE</v>
          </cell>
          <cell r="AA345" t="str">
            <v>DESPACHADO</v>
          </cell>
          <cell r="AB345" t="str">
            <v>JONATHAN CARRILLO GODINEZ</v>
          </cell>
          <cell r="AC345" t="str">
            <v>ALEJANDRO  OLIVA</v>
          </cell>
          <cell r="AD345">
            <v>27123</v>
          </cell>
          <cell r="AE345" t="str">
            <v>QEP1W00WV0</v>
          </cell>
        </row>
        <row r="346">
          <cell r="A346" t="str">
            <v>Platano de Chiapas BAE UPC 3237</v>
          </cell>
          <cell r="B346" t="str">
            <v>CPR01114</v>
          </cell>
          <cell r="C346" t="str">
            <v>A01001-392609-1</v>
          </cell>
          <cell r="D346" t="str">
            <v>A01 001 Marbella</v>
          </cell>
          <cell r="E346" t="str">
            <v>Chalco</v>
          </cell>
          <cell r="F346">
            <v>54</v>
          </cell>
          <cell r="G346">
            <v>1.125</v>
          </cell>
          <cell r="H346">
            <v>46291</v>
          </cell>
          <cell r="I346">
            <v>39</v>
          </cell>
          <cell r="J346">
            <v>46295</v>
          </cell>
          <cell r="L346" t="str">
            <v>PREENFRIO FORTALEZA</v>
          </cell>
          <cell r="M346">
            <v>1</v>
          </cell>
          <cell r="N346">
            <v>24</v>
          </cell>
          <cell r="O346">
            <v>46291</v>
          </cell>
          <cell r="P346">
            <v>0.91666666666666663</v>
          </cell>
          <cell r="Q346" t="str">
            <v>ALTA</v>
          </cell>
          <cell r="R346">
            <v>46292</v>
          </cell>
          <cell r="S346">
            <v>0.97083333333333333</v>
          </cell>
          <cell r="T346">
            <v>0.625</v>
          </cell>
          <cell r="U346">
            <v>46293.595833333333</v>
          </cell>
          <cell r="V346">
            <v>46293</v>
          </cell>
          <cell r="W346">
            <v>9.0277777777777776E-2</v>
          </cell>
          <cell r="X346" t="str">
            <v>SI CUMPLE</v>
          </cell>
          <cell r="Y346" t="str">
            <v>SI CUMPLE</v>
          </cell>
          <cell r="AA346" t="str">
            <v>DESPACHADO</v>
          </cell>
          <cell r="AB346" t="str">
            <v>JONATHAN CARRILLO GODINEZ</v>
          </cell>
          <cell r="AC346" t="str">
            <v>ALEJANDRO  OLIVA</v>
          </cell>
          <cell r="AD346">
            <v>27123</v>
          </cell>
          <cell r="AE346" t="str">
            <v>QEP1W00WV0</v>
          </cell>
        </row>
        <row r="347">
          <cell r="A347" t="str">
            <v>Chanitos Premium Tarima Chep</v>
          </cell>
          <cell r="B347" t="str">
            <v>CPR01102</v>
          </cell>
          <cell r="C347" t="str">
            <v>A01002-392609-1</v>
          </cell>
          <cell r="D347" t="str">
            <v>A01 002 Fortaleza</v>
          </cell>
          <cell r="E347" t="str">
            <v>QRO</v>
          </cell>
          <cell r="F347">
            <v>336</v>
          </cell>
          <cell r="G347">
            <v>7</v>
          </cell>
          <cell r="H347">
            <v>46291</v>
          </cell>
          <cell r="I347">
            <v>39</v>
          </cell>
          <cell r="J347">
            <v>46295</v>
          </cell>
          <cell r="L347" t="str">
            <v>PREENFRIO FORTALEZA</v>
          </cell>
          <cell r="M347">
            <v>1.5</v>
          </cell>
          <cell r="N347">
            <v>36</v>
          </cell>
          <cell r="O347">
            <v>46291</v>
          </cell>
          <cell r="P347">
            <v>0.70833333333333337</v>
          </cell>
          <cell r="Q347" t="str">
            <v>NORMAL</v>
          </cell>
          <cell r="R347">
            <v>46292</v>
          </cell>
          <cell r="S347">
            <v>0.54652777777777772</v>
          </cell>
          <cell r="T347">
            <v>0.45833333333333331</v>
          </cell>
          <cell r="U347">
            <v>46293.004861111112</v>
          </cell>
          <cell r="V347">
            <v>46292</v>
          </cell>
          <cell r="W347">
            <v>0.99305555555555558</v>
          </cell>
          <cell r="X347" t="str">
            <v>SI CUMPLE</v>
          </cell>
          <cell r="Y347" t="str">
            <v>SI CUMPLE</v>
          </cell>
          <cell r="AA347" t="str">
            <v>DESPACHADO</v>
          </cell>
          <cell r="AB347" t="str">
            <v>LEOPOLDO LEGORRETA LEGORRETA</v>
          </cell>
          <cell r="AC347" t="str">
            <v>OSCAR CRUZ GARCIA</v>
          </cell>
          <cell r="AD347">
            <v>77383</v>
          </cell>
          <cell r="AE347" t="str">
            <v>QEP1W000G0</v>
          </cell>
        </row>
        <row r="348">
          <cell r="A348" t="str">
            <v>Chanitos Premium Tarima Chep</v>
          </cell>
          <cell r="B348" t="str">
            <v>CPR01102</v>
          </cell>
          <cell r="C348" t="str">
            <v>A01004-392509-1</v>
          </cell>
          <cell r="D348" t="str">
            <v>A01 004 La Ceiba</v>
          </cell>
          <cell r="E348" t="str">
            <v>SMO</v>
          </cell>
          <cell r="F348">
            <v>1152</v>
          </cell>
          <cell r="G348">
            <v>24</v>
          </cell>
          <cell r="H348">
            <v>46290</v>
          </cell>
          <cell r="I348">
            <v>39</v>
          </cell>
          <cell r="J348">
            <v>46296</v>
          </cell>
          <cell r="L348" t="str">
            <v>PREENFRIO FORTALEZA</v>
          </cell>
          <cell r="M348">
            <v>1.5</v>
          </cell>
          <cell r="N348">
            <v>36</v>
          </cell>
          <cell r="O348">
            <v>46290</v>
          </cell>
          <cell r="P348">
            <v>0.68402777777777779</v>
          </cell>
          <cell r="Q348" t="str">
            <v>NORMAL</v>
          </cell>
          <cell r="R348">
            <v>46293</v>
          </cell>
          <cell r="S348">
            <v>0.61805555555555558</v>
          </cell>
          <cell r="T348">
            <v>0.41666666666666669</v>
          </cell>
          <cell r="U348">
            <v>46294.034722222219</v>
          </cell>
          <cell r="V348">
            <v>46294</v>
          </cell>
          <cell r="W348">
            <v>3.4722222222222224E-2</v>
          </cell>
          <cell r="X348" t="str">
            <v>SI CUMPLE</v>
          </cell>
          <cell r="Y348" t="str">
            <v>SI CUMPLE</v>
          </cell>
          <cell r="AA348" t="str">
            <v>DESPACHADO</v>
          </cell>
          <cell r="AB348" t="str">
            <v>JONATHAN CARRILLO GODINEZ</v>
          </cell>
          <cell r="AC348" t="str">
            <v>ISRAEL HERNANDEZ</v>
          </cell>
          <cell r="AD348">
            <v>64633</v>
          </cell>
        </row>
        <row r="349">
          <cell r="A349" t="str">
            <v>Chanitos Premium Tarima Chep</v>
          </cell>
          <cell r="B349" t="str">
            <v>CPR01102</v>
          </cell>
          <cell r="C349" t="str">
            <v>A01004-392509-1</v>
          </cell>
          <cell r="D349" t="str">
            <v>A01 004 La Ceiba</v>
          </cell>
          <cell r="E349" t="str">
            <v>Chalco</v>
          </cell>
          <cell r="F349">
            <v>288</v>
          </cell>
          <cell r="G349">
            <v>6</v>
          </cell>
          <cell r="H349">
            <v>46290</v>
          </cell>
          <cell r="I349">
            <v>39</v>
          </cell>
          <cell r="J349">
            <v>46296</v>
          </cell>
          <cell r="L349" t="str">
            <v>PREENFRIO FORTALEZA</v>
          </cell>
          <cell r="M349">
            <v>1</v>
          </cell>
          <cell r="N349">
            <v>24</v>
          </cell>
          <cell r="O349">
            <v>46291</v>
          </cell>
          <cell r="P349">
            <v>0.91666666666666663</v>
          </cell>
          <cell r="Q349" t="str">
            <v>NORMAL</v>
          </cell>
          <cell r="R349">
            <v>46294</v>
          </cell>
          <cell r="S349">
            <v>3.2638888888888891E-2</v>
          </cell>
          <cell r="T349">
            <v>0.25</v>
          </cell>
          <cell r="U349">
            <v>46294.282638888886</v>
          </cell>
          <cell r="V349">
            <v>46294</v>
          </cell>
          <cell r="W349">
            <v>0.54166666666666663</v>
          </cell>
          <cell r="X349" t="str">
            <v>SI CUMPLE</v>
          </cell>
          <cell r="Y349" t="str">
            <v>SI CUMPLE</v>
          </cell>
          <cell r="Z349" t="str">
            <v>Completa en Nelly</v>
          </cell>
          <cell r="AA349" t="str">
            <v>DESPACHADO</v>
          </cell>
          <cell r="AB349" t="str">
            <v>TRL</v>
          </cell>
          <cell r="AC349" t="str">
            <v>EZEQUIEL GARDUÑO FUENTES</v>
          </cell>
          <cell r="AD349">
            <v>84052</v>
          </cell>
          <cell r="AE349" t="str">
            <v>QEP1W00W50</v>
          </cell>
        </row>
        <row r="350">
          <cell r="A350" t="str">
            <v>Chanitos Premium Tarima Americana</v>
          </cell>
          <cell r="B350" t="str">
            <v>CPR01103</v>
          </cell>
          <cell r="C350" t="str">
            <v>A12057-392609-1</v>
          </cell>
          <cell r="D350" t="str">
            <v>A12 057 Tiquisate 1</v>
          </cell>
          <cell r="E350" t="str">
            <v>S-MTY</v>
          </cell>
          <cell r="F350">
            <v>912</v>
          </cell>
          <cell r="G350">
            <v>19</v>
          </cell>
          <cell r="H350">
            <v>46291</v>
          </cell>
          <cell r="I350">
            <v>39</v>
          </cell>
          <cell r="J350">
            <v>46296</v>
          </cell>
          <cell r="L350" t="str">
            <v>PREENFRIO NELLY</v>
          </cell>
          <cell r="M350">
            <v>3</v>
          </cell>
          <cell r="N350">
            <v>72</v>
          </cell>
          <cell r="O350">
            <v>46291</v>
          </cell>
          <cell r="P350">
            <v>0.91180555555555554</v>
          </cell>
          <cell r="Q350" t="str">
            <v>ALTA</v>
          </cell>
          <cell r="R350">
            <v>46292</v>
          </cell>
          <cell r="S350">
            <v>0.66319444444444442</v>
          </cell>
          <cell r="T350">
            <v>0.4375</v>
          </cell>
          <cell r="U350">
            <v>46293.100694444445</v>
          </cell>
          <cell r="V350">
            <v>46293</v>
          </cell>
          <cell r="W350">
            <v>0.78819444444444442</v>
          </cell>
          <cell r="X350" t="str">
            <v>NO CUMPLE</v>
          </cell>
          <cell r="Y350" t="str">
            <v>NO CUMPLE</v>
          </cell>
          <cell r="Z350" t="str">
            <v>EMPAQUE TARDIO</v>
          </cell>
          <cell r="AA350" t="str">
            <v>DESPACHADO</v>
          </cell>
          <cell r="AB350" t="str">
            <v>TRANSPORTES DELTA DE MTY</v>
          </cell>
          <cell r="AC350" t="str">
            <v>JESUS ALBERTO GONZALEZ</v>
          </cell>
          <cell r="AD350">
            <v>12085</v>
          </cell>
        </row>
        <row r="351">
          <cell r="A351" t="str">
            <v>Chanitos Premium Tarima Chep</v>
          </cell>
          <cell r="B351" t="str">
            <v>CPR01102</v>
          </cell>
          <cell r="C351" t="str">
            <v>A01002-392609-1</v>
          </cell>
          <cell r="D351" t="str">
            <v>A01 002 Fortaleza</v>
          </cell>
          <cell r="E351" t="str">
            <v>Chalco</v>
          </cell>
          <cell r="F351">
            <v>48</v>
          </cell>
          <cell r="G351">
            <v>1</v>
          </cell>
          <cell r="H351">
            <v>46291</v>
          </cell>
          <cell r="I351">
            <v>39</v>
          </cell>
          <cell r="J351">
            <v>46296</v>
          </cell>
          <cell r="L351" t="str">
            <v>PREENFRIO FORTALEZA</v>
          </cell>
          <cell r="M351">
            <v>1</v>
          </cell>
          <cell r="N351">
            <v>24</v>
          </cell>
          <cell r="O351">
            <v>46291</v>
          </cell>
          <cell r="P351">
            <v>0.70833333333333337</v>
          </cell>
          <cell r="Q351" t="str">
            <v>NORMAL</v>
          </cell>
          <cell r="R351">
            <v>46294</v>
          </cell>
          <cell r="S351">
            <v>3.2638888888888891E-2</v>
          </cell>
          <cell r="T351">
            <v>0.25</v>
          </cell>
          <cell r="U351">
            <v>46294.282638888886</v>
          </cell>
          <cell r="V351">
            <v>46294</v>
          </cell>
          <cell r="W351">
            <v>0.54166666666666663</v>
          </cell>
          <cell r="X351" t="str">
            <v>SI CUMPLE</v>
          </cell>
          <cell r="Y351" t="str">
            <v>SI CUMPLE</v>
          </cell>
          <cell r="Z351" t="str">
            <v>Completa en Nelly</v>
          </cell>
          <cell r="AA351" t="str">
            <v>DESPACHADO</v>
          </cell>
          <cell r="AB351" t="str">
            <v>TRL</v>
          </cell>
          <cell r="AC351" t="str">
            <v>EZEQUIEL GARDUÑO FUENTES</v>
          </cell>
          <cell r="AD351">
            <v>84052</v>
          </cell>
          <cell r="AE351" t="str">
            <v>QEP1W00W50</v>
          </cell>
        </row>
        <row r="352">
          <cell r="A352" t="str">
            <v>Chanitos Premium Tarima Americana</v>
          </cell>
          <cell r="B352" t="str">
            <v>CPR01103</v>
          </cell>
          <cell r="C352" t="str">
            <v>A01003-392609-1</v>
          </cell>
          <cell r="D352" t="str">
            <v>A01 003 Doña Nelly</v>
          </cell>
          <cell r="E352" t="str">
            <v>Ciudad Juarez</v>
          </cell>
          <cell r="F352">
            <v>960</v>
          </cell>
          <cell r="G352">
            <v>20</v>
          </cell>
          <cell r="H352">
            <v>46291</v>
          </cell>
          <cell r="I352">
            <v>39</v>
          </cell>
          <cell r="J352">
            <v>46297</v>
          </cell>
          <cell r="L352" t="str">
            <v>PREENFRIO NELLY</v>
          </cell>
          <cell r="M352">
            <v>4</v>
          </cell>
          <cell r="N352">
            <v>96</v>
          </cell>
          <cell r="O352">
            <v>46291</v>
          </cell>
          <cell r="P352">
            <v>0.75</v>
          </cell>
          <cell r="Q352" t="str">
            <v>ALTA</v>
          </cell>
          <cell r="R352">
            <v>46291</v>
          </cell>
          <cell r="S352">
            <v>0.89583333333333337</v>
          </cell>
          <cell r="T352">
            <v>0.4375</v>
          </cell>
          <cell r="U352">
            <v>46292.333333333336</v>
          </cell>
          <cell r="V352">
            <v>46292</v>
          </cell>
          <cell r="W352">
            <v>0.69791666666666663</v>
          </cell>
          <cell r="X352" t="str">
            <v>SI CUMPLE</v>
          </cell>
          <cell r="Y352" t="str">
            <v>SI CUMPLE</v>
          </cell>
          <cell r="AA352" t="str">
            <v>DESPACHADO</v>
          </cell>
          <cell r="AB352" t="str">
            <v>AUTO EXPRESS SEGOVIA</v>
          </cell>
          <cell r="AC352" t="str">
            <v>IGNACIO MARTINEZ GONZALEZ</v>
          </cell>
        </row>
        <row r="353">
          <cell r="A353" t="str">
            <v>Chanitos Premium EUA Tarima Americana</v>
          </cell>
          <cell r="B353" t="str">
            <v>CPR01104</v>
          </cell>
          <cell r="C353" t="str">
            <v>A11045-402809-1</v>
          </cell>
          <cell r="D353" t="str">
            <v>A11 045 Sector Mazatan</v>
          </cell>
          <cell r="E353" t="str">
            <v>McAllen</v>
          </cell>
          <cell r="F353">
            <v>480</v>
          </cell>
          <cell r="G353">
            <v>10</v>
          </cell>
          <cell r="H353">
            <v>46293</v>
          </cell>
          <cell r="I353">
            <v>40</v>
          </cell>
          <cell r="J353">
            <v>46296</v>
          </cell>
          <cell r="L353" t="str">
            <v>PREENFRIO FORTALEZA</v>
          </cell>
          <cell r="M353">
            <v>3</v>
          </cell>
          <cell r="N353">
            <v>72</v>
          </cell>
          <cell r="O353">
            <v>46293</v>
          </cell>
          <cell r="P353">
            <v>0.83333333333333337</v>
          </cell>
          <cell r="Q353" t="str">
            <v>NORMAL</v>
          </cell>
          <cell r="R353">
            <v>46295</v>
          </cell>
          <cell r="S353">
            <v>0.35416666666666669</v>
          </cell>
          <cell r="T353">
            <v>0.33333333333333331</v>
          </cell>
          <cell r="U353">
            <v>46295.6875</v>
          </cell>
          <cell r="V353">
            <v>46293</v>
          </cell>
          <cell r="W353">
            <v>0.94444444444444442</v>
          </cell>
          <cell r="X353" t="str">
            <v>NO CUMPLE</v>
          </cell>
          <cell r="Y353" t="str">
            <v>NO CUMPLE</v>
          </cell>
          <cell r="Z353" t="str">
            <v>Completa en Nelly 2 tarimas</v>
          </cell>
          <cell r="AA353" t="str">
            <v>DESPACHADO</v>
          </cell>
          <cell r="AB353" t="str">
            <v>EXPRESS CAVAZOS CANTU</v>
          </cell>
          <cell r="AC353" t="str">
            <v>JERESARET BARTOLO RUIZ</v>
          </cell>
          <cell r="AD353">
            <v>27148</v>
          </cell>
          <cell r="AE353" t="str">
            <v>QEP1W00630</v>
          </cell>
        </row>
        <row r="354">
          <cell r="A354" t="str">
            <v>Chanitos Premium EUA Tarima Americana</v>
          </cell>
          <cell r="B354" t="str">
            <v>CPR01104</v>
          </cell>
          <cell r="C354" t="str">
            <v>A11045-402809-1</v>
          </cell>
          <cell r="D354" t="str">
            <v>A11 045 Sector Mazatan</v>
          </cell>
          <cell r="E354" t="str">
            <v>McAllen</v>
          </cell>
          <cell r="F354">
            <v>96</v>
          </cell>
          <cell r="G354">
            <v>2</v>
          </cell>
          <cell r="H354">
            <v>46293</v>
          </cell>
          <cell r="I354">
            <v>40</v>
          </cell>
          <cell r="J354">
            <v>46296</v>
          </cell>
          <cell r="L354" t="str">
            <v>PREENFRIO FORTALEZA</v>
          </cell>
          <cell r="M354">
            <v>3</v>
          </cell>
          <cell r="N354">
            <v>72</v>
          </cell>
          <cell r="O354">
            <v>46293</v>
          </cell>
          <cell r="P354">
            <v>0.83333333333333337</v>
          </cell>
          <cell r="Q354" t="str">
            <v>NORMAL</v>
          </cell>
          <cell r="R354">
            <v>46294</v>
          </cell>
          <cell r="S354">
            <v>0.50763888888888886</v>
          </cell>
          <cell r="T354">
            <v>0.33333333333333331</v>
          </cell>
          <cell r="U354">
            <v>46294.840972222228</v>
          </cell>
          <cell r="V354">
            <v>46294</v>
          </cell>
          <cell r="W354">
            <v>0.98541666666666672</v>
          </cell>
          <cell r="X354" t="str">
            <v>SI CUMPLE</v>
          </cell>
          <cell r="Y354" t="str">
            <v>NO CUMPLE</v>
          </cell>
          <cell r="AA354" t="str">
            <v>DESPACHADO</v>
          </cell>
          <cell r="AB354" t="str">
            <v>EXPRESS CAVAZOS CANTU</v>
          </cell>
          <cell r="AC354" t="str">
            <v>SANTOS CRUZ DE LA CRUZ</v>
          </cell>
          <cell r="AD354">
            <v>82511</v>
          </cell>
          <cell r="AE354">
            <v>100000914973</v>
          </cell>
        </row>
        <row r="355">
          <cell r="A355" t="str">
            <v>Chanitos Premium EUA Tarima Americana</v>
          </cell>
          <cell r="B355" t="str">
            <v>CPR01104</v>
          </cell>
          <cell r="C355" t="str">
            <v>A04084-402809-1</v>
          </cell>
          <cell r="D355" t="str">
            <v>A04 084 Lisboa</v>
          </cell>
          <cell r="E355" t="str">
            <v>McAllen</v>
          </cell>
          <cell r="F355">
            <v>480</v>
          </cell>
          <cell r="G355">
            <v>10</v>
          </cell>
          <cell r="H355">
            <v>46293</v>
          </cell>
          <cell r="I355">
            <v>40</v>
          </cell>
          <cell r="J355">
            <v>46296</v>
          </cell>
          <cell r="L355" t="str">
            <v>PREENFRIO FORTALEZA</v>
          </cell>
          <cell r="M355">
            <v>3</v>
          </cell>
          <cell r="N355">
            <v>72</v>
          </cell>
          <cell r="O355">
            <v>46294</v>
          </cell>
          <cell r="P355">
            <v>0.90763888888888888</v>
          </cell>
          <cell r="Q355" t="str">
            <v>NORMAL</v>
          </cell>
          <cell r="R355">
            <v>46295</v>
          </cell>
          <cell r="S355">
            <v>0.3611111111111111</v>
          </cell>
          <cell r="T355">
            <v>0.16666666666666666</v>
          </cell>
          <cell r="U355">
            <v>46295.527777777774</v>
          </cell>
          <cell r="V355">
            <v>46295</v>
          </cell>
          <cell r="W355">
            <v>0.51666666666666672</v>
          </cell>
          <cell r="X355" t="str">
            <v>NO CUMPLE</v>
          </cell>
          <cell r="Y355" t="str">
            <v>NO CUMPLE</v>
          </cell>
          <cell r="AA355" t="str">
            <v>DESPACHADO</v>
          </cell>
          <cell r="AB355" t="str">
            <v>TRANSPORTES ALGEZA</v>
          </cell>
          <cell r="AC355" t="str">
            <v>HECTOR BENJAMIN RIVERA</v>
          </cell>
          <cell r="AD355">
            <v>78564</v>
          </cell>
          <cell r="AE355">
            <v>100000914972</v>
          </cell>
        </row>
        <row r="356">
          <cell r="A356" t="str">
            <v>Chanitos Premium EUA Tarima Americana</v>
          </cell>
          <cell r="B356" t="str">
            <v>CPR01104</v>
          </cell>
          <cell r="C356" t="str">
            <v>A04084-402809-1</v>
          </cell>
          <cell r="D356" t="str">
            <v>A04 084 Lisboa</v>
          </cell>
          <cell r="E356" t="str">
            <v>McAllen</v>
          </cell>
          <cell r="F356">
            <v>96</v>
          </cell>
          <cell r="G356">
            <v>2</v>
          </cell>
          <cell r="H356">
            <v>46293</v>
          </cell>
          <cell r="I356">
            <v>40</v>
          </cell>
          <cell r="J356">
            <v>46296</v>
          </cell>
          <cell r="L356" t="str">
            <v>PREENFRIO FORTALEZA</v>
          </cell>
          <cell r="M356">
            <v>3</v>
          </cell>
          <cell r="N356">
            <v>72</v>
          </cell>
          <cell r="O356">
            <v>46294</v>
          </cell>
          <cell r="P356">
            <v>0.90763888888888888</v>
          </cell>
          <cell r="Q356" t="str">
            <v>NORMAL</v>
          </cell>
          <cell r="R356">
            <v>46295</v>
          </cell>
          <cell r="S356">
            <v>0.52777777777777779</v>
          </cell>
          <cell r="T356">
            <v>0.33333333333333331</v>
          </cell>
          <cell r="U356">
            <v>46295.861111111117</v>
          </cell>
          <cell r="V356">
            <v>46295</v>
          </cell>
          <cell r="W356">
            <v>0.91666666666666663</v>
          </cell>
          <cell r="X356" t="str">
            <v>NO CUMPLE</v>
          </cell>
          <cell r="Y356" t="str">
            <v>NO CUMPLE</v>
          </cell>
          <cell r="AA356" t="str">
            <v>DESPACHADO</v>
          </cell>
          <cell r="AB356" t="str">
            <v>TRANSPORTES ALGEZA</v>
          </cell>
          <cell r="AC356" t="str">
            <v>HECTOR BENJAMIN RIVERA</v>
          </cell>
          <cell r="AD356">
            <v>35064</v>
          </cell>
          <cell r="AE356">
            <v>100000914992</v>
          </cell>
        </row>
        <row r="357">
          <cell r="A357" t="str">
            <v>Chanitos Premium Tarima Americana</v>
          </cell>
          <cell r="B357" t="str">
            <v>CPR01103</v>
          </cell>
          <cell r="C357" t="str">
            <v>A01002-392609-1</v>
          </cell>
          <cell r="D357" t="str">
            <v>A01 002 Fortaleza</v>
          </cell>
          <cell r="E357" t="str">
            <v>Ciudad Juarez</v>
          </cell>
          <cell r="F357">
            <v>960</v>
          </cell>
          <cell r="G357">
            <v>20</v>
          </cell>
          <cell r="H357">
            <v>46291</v>
          </cell>
          <cell r="I357">
            <v>39</v>
          </cell>
          <cell r="J357">
            <v>46297</v>
          </cell>
          <cell r="L357" t="str">
            <v>PREENFRIO NELLY</v>
          </cell>
          <cell r="M357">
            <v>4</v>
          </cell>
          <cell r="N357">
            <v>96</v>
          </cell>
          <cell r="O357">
            <v>46291</v>
          </cell>
          <cell r="P357">
            <v>0.83333333333333337</v>
          </cell>
          <cell r="Q357" t="str">
            <v>ALTA</v>
          </cell>
          <cell r="R357">
            <v>46292</v>
          </cell>
          <cell r="S357">
            <v>0.33333333333333331</v>
          </cell>
          <cell r="T357">
            <v>0.4375</v>
          </cell>
          <cell r="U357">
            <v>46292.770833333336</v>
          </cell>
          <cell r="V357">
            <v>46292</v>
          </cell>
          <cell r="W357">
            <v>0.69791666666666663</v>
          </cell>
          <cell r="X357" t="str">
            <v>SI CUMPLE</v>
          </cell>
          <cell r="Y357" t="str">
            <v>SI CUMPLE</v>
          </cell>
          <cell r="AA357" t="str">
            <v>DESPACHADO</v>
          </cell>
          <cell r="AB357" t="str">
            <v>AUTO EXPRESS SEGOVIA</v>
          </cell>
          <cell r="AC357" t="str">
            <v>IGNACIO MARTINEZ GONZALEZ</v>
          </cell>
        </row>
        <row r="358">
          <cell r="A358" t="str">
            <v>Chanitos Plantain 20Kg Tarima Chep</v>
          </cell>
          <cell r="B358" t="str">
            <v>CPL08141</v>
          </cell>
          <cell r="C358" t="str">
            <v>A35082-402809-1</v>
          </cell>
          <cell r="D358" t="str">
            <v>A35 082 Empaque de Macho Ej Libertad</v>
          </cell>
          <cell r="E358" t="str">
            <v>CEDA</v>
          </cell>
          <cell r="F358">
            <v>144</v>
          </cell>
          <cell r="G358">
            <v>3</v>
          </cell>
          <cell r="H358">
            <v>46293</v>
          </cell>
          <cell r="I358">
            <v>40</v>
          </cell>
          <cell r="J358">
            <v>46296</v>
          </cell>
          <cell r="L358" t="str">
            <v>PREENFRIO FORTALEZA</v>
          </cell>
          <cell r="M358">
            <v>1.5</v>
          </cell>
          <cell r="N358">
            <v>36</v>
          </cell>
          <cell r="O358">
            <v>46293</v>
          </cell>
          <cell r="P358">
            <v>0.8125</v>
          </cell>
          <cell r="Q358" t="str">
            <v>NORMAL</v>
          </cell>
          <cell r="R358">
            <v>46294</v>
          </cell>
          <cell r="S358">
            <v>3.125E-2</v>
          </cell>
          <cell r="T358">
            <v>0.25</v>
          </cell>
          <cell r="U358">
            <v>46294.28125</v>
          </cell>
          <cell r="V358">
            <v>46294</v>
          </cell>
          <cell r="W358">
            <v>0.45833333333333331</v>
          </cell>
          <cell r="X358" t="str">
            <v>SI CUMPLE</v>
          </cell>
          <cell r="Y358" t="str">
            <v>SI CUMPLE</v>
          </cell>
          <cell r="AA358" t="str">
            <v>DESPACHADO</v>
          </cell>
          <cell r="AB358" t="str">
            <v>TRANSPORTES GUDIÑO</v>
          </cell>
          <cell r="AC358" t="str">
            <v>ELIAS BUSTAMANTE SOLANO</v>
          </cell>
          <cell r="AD358">
            <v>28663</v>
          </cell>
          <cell r="AE358" t="str">
            <v>N/A</v>
          </cell>
        </row>
        <row r="359">
          <cell r="A359" t="str">
            <v>Chanitos Premium Tarima Americana</v>
          </cell>
          <cell r="B359" t="str">
            <v>CPR01103</v>
          </cell>
          <cell r="C359" t="str">
            <v>A01003-402809-1</v>
          </cell>
          <cell r="D359" t="str">
            <v>A01 003 Doña Nelly</v>
          </cell>
          <cell r="E359" t="str">
            <v>S-MTY</v>
          </cell>
          <cell r="F359">
            <v>1008</v>
          </cell>
          <cell r="G359">
            <v>21</v>
          </cell>
          <cell r="H359">
            <v>46293</v>
          </cell>
          <cell r="I359">
            <v>40</v>
          </cell>
          <cell r="J359">
            <v>46296</v>
          </cell>
          <cell r="L359" t="str">
            <v>PREENFRIO NELLY</v>
          </cell>
          <cell r="M359">
            <v>3</v>
          </cell>
          <cell r="N359">
            <v>72</v>
          </cell>
          <cell r="O359">
            <v>46293</v>
          </cell>
          <cell r="P359">
            <v>0.75</v>
          </cell>
          <cell r="Q359" t="str">
            <v>ALTA</v>
          </cell>
          <cell r="R359">
            <v>46293</v>
          </cell>
          <cell r="S359">
            <v>0.4826388888888889</v>
          </cell>
          <cell r="T359">
            <v>0.4375</v>
          </cell>
          <cell r="U359">
            <v>46293.920138888891</v>
          </cell>
          <cell r="V359">
            <v>46293</v>
          </cell>
          <cell r="W359">
            <v>0.78819444444444442</v>
          </cell>
          <cell r="X359" t="str">
            <v>NO CUMPLE</v>
          </cell>
          <cell r="Y359" t="str">
            <v>NO CUMPLE</v>
          </cell>
          <cell r="Z359" t="str">
            <v>EMPAQUE TARDIO</v>
          </cell>
          <cell r="AA359" t="str">
            <v>DESPACHADO</v>
          </cell>
          <cell r="AB359" t="str">
            <v>TRANSPORTES DELTA DE MTY</v>
          </cell>
          <cell r="AC359" t="str">
            <v>JESUS ALBERTO GONZALEZ</v>
          </cell>
          <cell r="AD359">
            <v>57139</v>
          </cell>
        </row>
        <row r="360">
          <cell r="A360" t="str">
            <v>Chanitos Premium Tarima Chep</v>
          </cell>
          <cell r="B360" t="str">
            <v>CPR01102</v>
          </cell>
          <cell r="C360" t="str">
            <v>A01002-402809-1</v>
          </cell>
          <cell r="D360" t="str">
            <v>A01 002 Fortaleza</v>
          </cell>
          <cell r="E360" t="str">
            <v>Chalco</v>
          </cell>
          <cell r="F360">
            <v>420</v>
          </cell>
          <cell r="G360">
            <v>8.75</v>
          </cell>
          <cell r="H360">
            <v>46293</v>
          </cell>
          <cell r="I360">
            <v>40</v>
          </cell>
          <cell r="J360">
            <v>46296</v>
          </cell>
          <cell r="L360" t="str">
            <v>PREENFRIO FORTALEZA</v>
          </cell>
          <cell r="M360">
            <v>1</v>
          </cell>
          <cell r="N360">
            <v>24</v>
          </cell>
          <cell r="O360">
            <v>46293</v>
          </cell>
          <cell r="P360">
            <v>0.74027777777777781</v>
          </cell>
          <cell r="Q360" t="str">
            <v>NORMAL</v>
          </cell>
          <cell r="R360">
            <v>46294</v>
          </cell>
          <cell r="S360">
            <v>0.30208333333333331</v>
          </cell>
          <cell r="T360">
            <v>0.20833333333333334</v>
          </cell>
          <cell r="U360">
            <v>46294.510416666672</v>
          </cell>
          <cell r="V360">
            <v>46294</v>
          </cell>
          <cell r="W360">
            <v>0.54166666666666663</v>
          </cell>
          <cell r="X360" t="str">
            <v>SI CUMPLE</v>
          </cell>
          <cell r="Y360" t="str">
            <v>SI CUMPLE</v>
          </cell>
          <cell r="Z360" t="str">
            <v>Completa en Nelly</v>
          </cell>
          <cell r="AA360" t="str">
            <v>DESPACHADO</v>
          </cell>
          <cell r="AB360" t="str">
            <v>TRL</v>
          </cell>
          <cell r="AC360" t="str">
            <v>EZEQUIEL GARDUÑO FUENTES</v>
          </cell>
          <cell r="AD360">
            <v>84052</v>
          </cell>
          <cell r="AE360" t="str">
            <v>QEP1W00W50</v>
          </cell>
        </row>
        <row r="361">
          <cell r="A361" t="str">
            <v>Platano de Chiapas BAE UPC 3237</v>
          </cell>
          <cell r="B361" t="str">
            <v>CPR01114</v>
          </cell>
          <cell r="C361" t="str">
            <v>A01002-402809-1</v>
          </cell>
          <cell r="D361" t="str">
            <v>A01 002 Fortaleza</v>
          </cell>
          <cell r="E361" t="str">
            <v>Chalco</v>
          </cell>
          <cell r="F361">
            <v>60</v>
          </cell>
          <cell r="G361">
            <v>1.25</v>
          </cell>
          <cell r="H361">
            <v>46293</v>
          </cell>
          <cell r="I361">
            <v>40</v>
          </cell>
          <cell r="J361">
            <v>46296</v>
          </cell>
          <cell r="L361" t="str">
            <v>PREENFRIO FORTALEZA</v>
          </cell>
          <cell r="M361">
            <v>1</v>
          </cell>
          <cell r="N361">
            <v>24</v>
          </cell>
          <cell r="O361">
            <v>46293</v>
          </cell>
          <cell r="P361">
            <v>0.74027777777777781</v>
          </cell>
          <cell r="Q361" t="str">
            <v>NORMAL</v>
          </cell>
          <cell r="R361">
            <v>46294</v>
          </cell>
          <cell r="S361">
            <v>0.30208333333333331</v>
          </cell>
          <cell r="T361">
            <v>0.20833333333333334</v>
          </cell>
          <cell r="U361">
            <v>46294.510416666672</v>
          </cell>
          <cell r="V361">
            <v>46294</v>
          </cell>
          <cell r="W361">
            <v>0.54166666666666663</v>
          </cell>
          <cell r="X361" t="str">
            <v>SI CUMPLE</v>
          </cell>
          <cell r="Y361" t="str">
            <v>SI CUMPLE</v>
          </cell>
          <cell r="Z361" t="str">
            <v>Completa en Nelly</v>
          </cell>
          <cell r="AA361" t="str">
            <v>DESPACHADO</v>
          </cell>
          <cell r="AB361" t="str">
            <v>TRL</v>
          </cell>
          <cell r="AC361" t="str">
            <v>EZEQUIEL GARDUÑO FUENTES</v>
          </cell>
          <cell r="AD361">
            <v>84052</v>
          </cell>
          <cell r="AE361" t="str">
            <v>QEP1W00W50</v>
          </cell>
        </row>
        <row r="362">
          <cell r="A362" t="str">
            <v>Chanitos Plantain 20Kg Tarima Chep</v>
          </cell>
          <cell r="B362" t="str">
            <v>CPL08141</v>
          </cell>
          <cell r="C362" t="str">
            <v>A35082-402909-1</v>
          </cell>
          <cell r="D362" t="str">
            <v>A35 082 Empaque de Macho Ej Libertad</v>
          </cell>
          <cell r="E362" t="str">
            <v>CEDA</v>
          </cell>
          <cell r="F362">
            <v>336</v>
          </cell>
          <cell r="G362">
            <v>7</v>
          </cell>
          <cell r="H362">
            <v>46294</v>
          </cell>
          <cell r="I362">
            <v>40</v>
          </cell>
          <cell r="J362">
            <v>46296</v>
          </cell>
          <cell r="L362" t="str">
            <v>PREENFRIO FORTALEZA</v>
          </cell>
          <cell r="M362">
            <v>1.5</v>
          </cell>
          <cell r="N362">
            <v>36</v>
          </cell>
          <cell r="O362">
            <v>46294</v>
          </cell>
          <cell r="P362">
            <v>0.90833333333333333</v>
          </cell>
          <cell r="Q362" t="str">
            <v>NORMAL</v>
          </cell>
          <cell r="R362">
            <v>46294</v>
          </cell>
          <cell r="S362">
            <v>0.94930555555555551</v>
          </cell>
          <cell r="T362">
            <v>0.25</v>
          </cell>
          <cell r="U362">
            <v>46295.199305555558</v>
          </cell>
          <cell r="V362">
            <v>46296</v>
          </cell>
          <cell r="W362">
            <v>5.1388888888888887E-2</v>
          </cell>
          <cell r="X362" t="str">
            <v>NO CUMPLE</v>
          </cell>
          <cell r="Y362" t="str">
            <v>NO CUMPLE</v>
          </cell>
          <cell r="AA362" t="str">
            <v>DESPACHADO</v>
          </cell>
          <cell r="AB362" t="str">
            <v>KAREN AMADO HUERTA</v>
          </cell>
          <cell r="AC362" t="str">
            <v>MAURO PEREZ</v>
          </cell>
          <cell r="AD362">
            <v>63893</v>
          </cell>
          <cell r="AE362" t="str">
            <v>QEP1W00Y00</v>
          </cell>
        </row>
        <row r="363">
          <cell r="A363" t="str">
            <v>Chanitos Premium EUA Tarima Americana</v>
          </cell>
          <cell r="B363" t="str">
            <v>CPR01104</v>
          </cell>
          <cell r="C363" t="str">
            <v>A11045-402909-1</v>
          </cell>
          <cell r="D363" t="str">
            <v>A11 045 Sector Mazatan</v>
          </cell>
          <cell r="E363" t="str">
            <v>McAllen</v>
          </cell>
          <cell r="F363">
            <v>480</v>
          </cell>
          <cell r="G363">
            <v>10</v>
          </cell>
          <cell r="H363">
            <v>46294</v>
          </cell>
          <cell r="I363">
            <v>40</v>
          </cell>
          <cell r="J363">
            <v>46296</v>
          </cell>
          <cell r="L363" t="str">
            <v>PREENFRIO FORTALEZA</v>
          </cell>
          <cell r="M363">
            <v>3</v>
          </cell>
          <cell r="N363">
            <v>72</v>
          </cell>
          <cell r="O363">
            <v>46294</v>
          </cell>
          <cell r="P363">
            <v>0.70138888888888884</v>
          </cell>
          <cell r="Q363" t="str">
            <v>NORMAL</v>
          </cell>
          <cell r="R363">
            <v>46295</v>
          </cell>
          <cell r="S363">
            <v>0.23749999999999999</v>
          </cell>
          <cell r="T363">
            <v>0.125</v>
          </cell>
          <cell r="U363">
            <v>46295.362500000003</v>
          </cell>
          <cell r="V363">
            <v>46295</v>
          </cell>
          <cell r="W363">
            <v>0.51666666666666672</v>
          </cell>
          <cell r="X363" t="str">
            <v>NO CUMPLE</v>
          </cell>
          <cell r="Y363" t="str">
            <v>NO CUMPLE</v>
          </cell>
          <cell r="AA363" t="str">
            <v>DESPACHADO</v>
          </cell>
          <cell r="AB363" t="str">
            <v>TRANSPORTES ALGEZA</v>
          </cell>
          <cell r="AC363" t="str">
            <v>HECTOR BENJAMIN RIVERA</v>
          </cell>
          <cell r="AD363">
            <v>78564</v>
          </cell>
          <cell r="AE363">
            <v>100000914972</v>
          </cell>
        </row>
        <row r="364">
          <cell r="A364" t="str">
            <v>Chanitos Premium Tarima Chep</v>
          </cell>
          <cell r="B364" t="str">
            <v>CPR01102</v>
          </cell>
          <cell r="C364" t="str">
            <v>A01003-402809-1</v>
          </cell>
          <cell r="D364" t="str">
            <v>A01 003 Doña Nelly</v>
          </cell>
          <cell r="E364" t="str">
            <v>VSA</v>
          </cell>
          <cell r="F364">
            <v>480</v>
          </cell>
          <cell r="G364">
            <v>9</v>
          </cell>
          <cell r="H364">
            <v>46293</v>
          </cell>
          <cell r="I364">
            <v>40</v>
          </cell>
          <cell r="J364">
            <v>46296</v>
          </cell>
          <cell r="L364" t="str">
            <v>PREENFRIO NELLY</v>
          </cell>
          <cell r="M364">
            <v>1</v>
          </cell>
          <cell r="N364">
            <v>24</v>
          </cell>
          <cell r="O364">
            <v>46293</v>
          </cell>
          <cell r="P364">
            <v>0.75</v>
          </cell>
          <cell r="Q364" t="str">
            <v>NORMAL</v>
          </cell>
          <cell r="R364">
            <v>46293</v>
          </cell>
          <cell r="S364">
            <v>0.70486111111111116</v>
          </cell>
          <cell r="T364">
            <v>0.35416666666666669</v>
          </cell>
          <cell r="U364">
            <v>46294.059027777774</v>
          </cell>
          <cell r="V364">
            <v>46052</v>
          </cell>
          <cell r="W364">
            <v>0.47222222222222221</v>
          </cell>
          <cell r="X364" t="str">
            <v>SI CUMPLE</v>
          </cell>
          <cell r="Y364" t="str">
            <v>SI CUMPLE</v>
          </cell>
          <cell r="Z364" t="str">
            <v>EMPAQUE TARDIO</v>
          </cell>
          <cell r="AA364" t="str">
            <v>DESPACHADO</v>
          </cell>
          <cell r="AB364" t="str">
            <v>GENARO IBAÑEZ ROJAS</v>
          </cell>
          <cell r="AC364" t="str">
            <v>APOLINAR VALDEZ</v>
          </cell>
          <cell r="AD364">
            <v>44391</v>
          </cell>
        </row>
        <row r="365">
          <cell r="A365" t="str">
            <v>Chanitos Organic Banded Market Side Mexico</v>
          </cell>
          <cell r="B365" t="str">
            <v>CRG07128</v>
          </cell>
          <cell r="C365" t="str">
            <v>A01002-402909-1</v>
          </cell>
          <cell r="D365" t="str">
            <v>A01 002 Fortaleza</v>
          </cell>
          <cell r="E365" t="str">
            <v>VSA</v>
          </cell>
          <cell r="F365">
            <v>240</v>
          </cell>
          <cell r="G365">
            <v>5</v>
          </cell>
          <cell r="H365">
            <v>46294</v>
          </cell>
          <cell r="I365">
            <v>40</v>
          </cell>
          <cell r="J365">
            <v>46296</v>
          </cell>
          <cell r="K365">
            <v>0.25</v>
          </cell>
          <cell r="L365" t="str">
            <v>PREENFRIO FORTALEZA</v>
          </cell>
          <cell r="M365">
            <v>1</v>
          </cell>
          <cell r="N365">
            <v>24</v>
          </cell>
          <cell r="O365">
            <v>46294</v>
          </cell>
          <cell r="P365">
            <v>0.71111111111111114</v>
          </cell>
          <cell r="Q365" t="str">
            <v>NORMAL</v>
          </cell>
          <cell r="R365">
            <v>46294</v>
          </cell>
          <cell r="S365">
            <v>0.86458333333333337</v>
          </cell>
          <cell r="T365">
            <v>0.25</v>
          </cell>
          <cell r="U365">
            <v>46295.114583333336</v>
          </cell>
          <cell r="V365">
            <v>46295</v>
          </cell>
          <cell r="W365">
            <v>0.35833333333333334</v>
          </cell>
          <cell r="X365" t="str">
            <v>SI CUMPLE</v>
          </cell>
          <cell r="Y365" t="str">
            <v>NO CUMPLE</v>
          </cell>
          <cell r="Z365" t="str">
            <v>Completa en Nelly</v>
          </cell>
          <cell r="AA365" t="str">
            <v>DESPACHADO</v>
          </cell>
          <cell r="AB365" t="str">
            <v>GENARO IBAÑEZ ROJAS</v>
          </cell>
          <cell r="AC365" t="str">
            <v>APOLINAR VALDEZ</v>
          </cell>
          <cell r="AD365">
            <v>13843</v>
          </cell>
          <cell r="AE365" t="str">
            <v>S/N</v>
          </cell>
        </row>
        <row r="366">
          <cell r="A366" t="str">
            <v>Chanitos Premium Tarima Chep</v>
          </cell>
          <cell r="B366" t="str">
            <v>CPR01102</v>
          </cell>
          <cell r="C366" t="str">
            <v>A01003-402909-1</v>
          </cell>
          <cell r="D366" t="str">
            <v>A01 003 Doña Nelly</v>
          </cell>
          <cell r="E366" t="str">
            <v>VSA</v>
          </cell>
          <cell r="F366">
            <v>480</v>
          </cell>
          <cell r="G366">
            <v>10</v>
          </cell>
          <cell r="H366">
            <v>46294</v>
          </cell>
          <cell r="I366">
            <v>40</v>
          </cell>
          <cell r="J366">
            <v>46296</v>
          </cell>
          <cell r="L366" t="str">
            <v>PREENFRIO NELLY</v>
          </cell>
          <cell r="M366">
            <v>1</v>
          </cell>
          <cell r="N366">
            <v>24</v>
          </cell>
          <cell r="O366">
            <v>46294</v>
          </cell>
          <cell r="P366">
            <v>0.75</v>
          </cell>
          <cell r="Q366" t="str">
            <v>NORMAL</v>
          </cell>
          <cell r="R366">
            <v>46294</v>
          </cell>
          <cell r="S366">
            <v>0.70486111111111116</v>
          </cell>
          <cell r="T366">
            <v>0.35416666666666669</v>
          </cell>
          <cell r="U366">
            <v>46295.059027777774</v>
          </cell>
          <cell r="V366">
            <v>46052</v>
          </cell>
          <cell r="W366">
            <v>0.47222222222222221</v>
          </cell>
          <cell r="X366" t="str">
            <v>NO CUMPLE</v>
          </cell>
          <cell r="Y366" t="str">
            <v>SI CUMPLE</v>
          </cell>
          <cell r="Z366" t="str">
            <v>EMPAQUE TARDIO</v>
          </cell>
          <cell r="AA366" t="str">
            <v>DESPACHADO</v>
          </cell>
          <cell r="AB366" t="str">
            <v>GENARO IBAÑEZ ROJAS</v>
          </cell>
          <cell r="AC366" t="str">
            <v>APOLINAR VALDEZ</v>
          </cell>
          <cell r="AD366">
            <v>44391</v>
          </cell>
        </row>
        <row r="367">
          <cell r="A367" t="str">
            <v>Chanitos Premium EUA Tarima Americana</v>
          </cell>
          <cell r="B367" t="str">
            <v>CPR01104</v>
          </cell>
          <cell r="C367" t="str">
            <v>A01003-402909-1</v>
          </cell>
          <cell r="D367" t="str">
            <v>A01 003 Doña Nelly</v>
          </cell>
          <cell r="E367" t="str">
            <v>McAllen</v>
          </cell>
          <cell r="F367">
            <v>960</v>
          </cell>
          <cell r="G367">
            <v>20</v>
          </cell>
          <cell r="H367">
            <v>46294</v>
          </cell>
          <cell r="I367">
            <v>40</v>
          </cell>
          <cell r="J367">
            <v>46297</v>
          </cell>
          <cell r="L367" t="str">
            <v>PREENFRIO NELLY</v>
          </cell>
          <cell r="M367">
            <v>3</v>
          </cell>
          <cell r="N367">
            <v>72</v>
          </cell>
          <cell r="O367">
            <v>46294</v>
          </cell>
          <cell r="P367">
            <v>0.75</v>
          </cell>
          <cell r="Q367" t="str">
            <v>NORMAL</v>
          </cell>
          <cell r="R367">
            <v>46294</v>
          </cell>
          <cell r="S367">
            <v>0.83333333333333337</v>
          </cell>
          <cell r="T367">
            <v>0.35416666666666669</v>
          </cell>
          <cell r="U367">
            <v>46295.1875</v>
          </cell>
          <cell r="V367">
            <v>46052</v>
          </cell>
          <cell r="W367">
            <v>0.375</v>
          </cell>
          <cell r="X367" t="str">
            <v>NO CUMPLE</v>
          </cell>
          <cell r="Y367" t="str">
            <v>SI CUMPLE</v>
          </cell>
          <cell r="Z367" t="str">
            <v>EMPAQUE TARDIO</v>
          </cell>
          <cell r="AA367" t="str">
            <v>DESPACHADO</v>
          </cell>
          <cell r="AB367" t="str">
            <v>TRANSPORTES TOMATITOS</v>
          </cell>
          <cell r="AC367" t="str">
            <v>Javier Garcia Lerma</v>
          </cell>
          <cell r="AD367">
            <v>85684</v>
          </cell>
        </row>
        <row r="368">
          <cell r="A368" t="str">
            <v>Chanitos Premium EUA Tarima Americana</v>
          </cell>
          <cell r="B368" t="str">
            <v>CPR01104</v>
          </cell>
          <cell r="C368" t="str">
            <v>A11056-402809-1</v>
          </cell>
          <cell r="D368" t="str">
            <v>A11 056 San Isidro</v>
          </cell>
          <cell r="E368" t="str">
            <v>McAllen</v>
          </cell>
          <cell r="F368">
            <v>768</v>
          </cell>
          <cell r="G368">
            <v>16</v>
          </cell>
          <cell r="H368">
            <v>46293</v>
          </cell>
          <cell r="I368">
            <v>40</v>
          </cell>
          <cell r="J368">
            <v>46297</v>
          </cell>
          <cell r="L368" t="str">
            <v>PREENFRIO FORTALEZA</v>
          </cell>
          <cell r="M368">
            <v>3</v>
          </cell>
          <cell r="N368">
            <v>72</v>
          </cell>
          <cell r="O368">
            <v>46293</v>
          </cell>
          <cell r="P368">
            <v>0.83333333333333337</v>
          </cell>
          <cell r="Q368" t="str">
            <v>NORMAL</v>
          </cell>
          <cell r="R368">
            <v>46294</v>
          </cell>
          <cell r="S368">
            <v>0.50763888888888886</v>
          </cell>
          <cell r="T368">
            <v>0.33333333333333331</v>
          </cell>
          <cell r="U368">
            <v>46294.840972222228</v>
          </cell>
          <cell r="V368">
            <v>46294</v>
          </cell>
          <cell r="W368">
            <v>0.98541666666666672</v>
          </cell>
          <cell r="X368" t="str">
            <v>NO CUMPLE</v>
          </cell>
          <cell r="Y368" t="str">
            <v>NO CUMPLE</v>
          </cell>
          <cell r="AA368" t="str">
            <v>DESPACHADO</v>
          </cell>
          <cell r="AB368" t="str">
            <v>EXPRESS CAVAZOS CANTU</v>
          </cell>
          <cell r="AC368" t="str">
            <v>SANTOS CRUZ DE LA CRUZ</v>
          </cell>
          <cell r="AD368">
            <v>82511</v>
          </cell>
          <cell r="AE368">
            <v>100000914973</v>
          </cell>
        </row>
        <row r="369">
          <cell r="A369" t="str">
            <v>Chanitos Premium EUA Tarima Americana</v>
          </cell>
          <cell r="B369" t="str">
            <v>CPR01104</v>
          </cell>
          <cell r="C369" t="str">
            <v>A11045-402909-1</v>
          </cell>
          <cell r="D369" t="str">
            <v>A11 045 Sector Mazatan</v>
          </cell>
          <cell r="E369" t="str">
            <v>McAllen</v>
          </cell>
          <cell r="F369">
            <v>96</v>
          </cell>
          <cell r="G369">
            <v>2</v>
          </cell>
          <cell r="H369">
            <v>46294</v>
          </cell>
          <cell r="I369">
            <v>40</v>
          </cell>
          <cell r="J369">
            <v>46297</v>
          </cell>
          <cell r="L369" t="str">
            <v>PREENFRIO FORTALEZA</v>
          </cell>
          <cell r="M369">
            <v>3</v>
          </cell>
          <cell r="N369">
            <v>72</v>
          </cell>
          <cell r="O369">
            <v>46294</v>
          </cell>
          <cell r="P369">
            <v>0.70138888888888884</v>
          </cell>
          <cell r="Q369" t="str">
            <v>NORMAL</v>
          </cell>
          <cell r="V369">
            <v>46294</v>
          </cell>
          <cell r="W369">
            <v>0.98541666666666672</v>
          </cell>
          <cell r="X369" t="str">
            <v/>
          </cell>
          <cell r="Y369" t="str">
            <v>NO CUMPLE</v>
          </cell>
          <cell r="AA369" t="str">
            <v>DESPACHADO</v>
          </cell>
          <cell r="AB369" t="str">
            <v>EXPRESS CAVAZOS CANTU</v>
          </cell>
          <cell r="AC369" t="str">
            <v>SANTOS CRUZ DE LA CRUZ</v>
          </cell>
          <cell r="AD369">
            <v>82511</v>
          </cell>
          <cell r="AE369">
            <v>100000914973</v>
          </cell>
        </row>
        <row r="370">
          <cell r="A370" t="str">
            <v>Chanitos Premium Tarima Americana</v>
          </cell>
          <cell r="B370" t="str">
            <v>CPR01103</v>
          </cell>
          <cell r="C370" t="str">
            <v>A01002-402809-1</v>
          </cell>
          <cell r="D370" t="str">
            <v>A01 002 Fortaleza</v>
          </cell>
          <cell r="E370" t="str">
            <v>Ciudad Juarez</v>
          </cell>
          <cell r="F370">
            <v>144</v>
          </cell>
          <cell r="G370">
            <v>3</v>
          </cell>
          <cell r="H370">
            <v>46293</v>
          </cell>
          <cell r="I370">
            <v>40</v>
          </cell>
          <cell r="J370">
            <v>46298</v>
          </cell>
          <cell r="L370" t="str">
            <v>PREENFRIO NELLY</v>
          </cell>
          <cell r="M370">
            <v>4</v>
          </cell>
          <cell r="N370">
            <v>96</v>
          </cell>
          <cell r="O370">
            <v>46294</v>
          </cell>
          <cell r="P370">
            <v>0.16666666666666666</v>
          </cell>
          <cell r="Q370" t="str">
            <v>ALTA</v>
          </cell>
          <cell r="R370">
            <v>46294</v>
          </cell>
          <cell r="S370">
            <v>0.18055555555555555</v>
          </cell>
          <cell r="T370">
            <v>0.4375</v>
          </cell>
          <cell r="U370">
            <v>46294.618055555555</v>
          </cell>
          <cell r="V370">
            <v>46294</v>
          </cell>
          <cell r="W370">
            <v>0.83333333333333337</v>
          </cell>
          <cell r="X370" t="str">
            <v>NO CUMPLE</v>
          </cell>
          <cell r="Y370" t="str">
            <v>NO CUMPLE</v>
          </cell>
          <cell r="Z370" t="str">
            <v>EMPAQUE TARDIO</v>
          </cell>
          <cell r="AA370" t="str">
            <v>DESPACHADO</v>
          </cell>
          <cell r="AB370" t="str">
            <v>TRANSPORTES ALGEZA</v>
          </cell>
        </row>
        <row r="371">
          <cell r="A371" t="str">
            <v>Chanitos Premium Tarima Americana</v>
          </cell>
          <cell r="B371" t="str">
            <v>CPR01103</v>
          </cell>
          <cell r="C371" t="str">
            <v>A01002-402809-1</v>
          </cell>
          <cell r="D371" t="str">
            <v>A01 002 Fortaleza</v>
          </cell>
          <cell r="E371" t="str">
            <v>Ciudad Juarez</v>
          </cell>
          <cell r="F371">
            <v>816</v>
          </cell>
          <cell r="G371">
            <v>17</v>
          </cell>
          <cell r="H371">
            <v>46293</v>
          </cell>
          <cell r="I371">
            <v>40</v>
          </cell>
          <cell r="J371">
            <v>46298</v>
          </cell>
          <cell r="L371" t="str">
            <v>PREENFRIO NELLY</v>
          </cell>
          <cell r="M371">
            <v>4</v>
          </cell>
          <cell r="N371">
            <v>96</v>
          </cell>
          <cell r="O371">
            <v>46294</v>
          </cell>
          <cell r="P371">
            <v>0.16666666666666666</v>
          </cell>
          <cell r="Q371" t="str">
            <v>ALTA</v>
          </cell>
          <cell r="R371">
            <v>46294</v>
          </cell>
          <cell r="S371">
            <v>0.18055555555555555</v>
          </cell>
          <cell r="T371">
            <v>0.4375</v>
          </cell>
          <cell r="U371">
            <v>46294.618055555555</v>
          </cell>
          <cell r="V371">
            <v>46294</v>
          </cell>
          <cell r="W371">
            <v>0.83333333333333337</v>
          </cell>
          <cell r="X371" t="str">
            <v>NO CUMPLE</v>
          </cell>
          <cell r="Y371" t="str">
            <v>NO CUMPLE</v>
          </cell>
          <cell r="Z371" t="str">
            <v>EMPAQUE TARDIO</v>
          </cell>
          <cell r="AA371" t="str">
            <v>DESPACHADO</v>
          </cell>
          <cell r="AB371" t="str">
            <v>TRANSPORTES ALGEZA</v>
          </cell>
        </row>
        <row r="372">
          <cell r="A372" t="str">
            <v>Chanitos Premium Tarima Americana</v>
          </cell>
          <cell r="B372" t="str">
            <v>CPR01103</v>
          </cell>
          <cell r="C372" t="str">
            <v>A04083-402809-1</v>
          </cell>
          <cell r="D372" t="str">
            <v>A04 083 Santa Maria</v>
          </cell>
          <cell r="E372" t="str">
            <v>Ciudad Juarez</v>
          </cell>
          <cell r="F372">
            <v>960</v>
          </cell>
          <cell r="G372">
            <v>20</v>
          </cell>
          <cell r="H372">
            <v>46293</v>
          </cell>
          <cell r="I372">
            <v>40</v>
          </cell>
          <cell r="J372">
            <v>46298</v>
          </cell>
          <cell r="L372" t="str">
            <v>PREENFRIO NELLY</v>
          </cell>
          <cell r="M372">
            <v>4</v>
          </cell>
          <cell r="N372">
            <v>96</v>
          </cell>
          <cell r="O372">
            <v>46294</v>
          </cell>
          <cell r="P372">
            <v>0.16666666666666666</v>
          </cell>
          <cell r="Q372" t="str">
            <v>ALTA</v>
          </cell>
          <cell r="R372">
            <v>46294</v>
          </cell>
          <cell r="S372">
            <v>0.61805555555555558</v>
          </cell>
          <cell r="T372">
            <v>0.4375</v>
          </cell>
          <cell r="U372">
            <v>46295.055555555555</v>
          </cell>
          <cell r="V372">
            <v>46294</v>
          </cell>
          <cell r="W372">
            <v>0.83333333333333337</v>
          </cell>
          <cell r="X372" t="str">
            <v>NO CUMPLE</v>
          </cell>
          <cell r="Y372" t="str">
            <v>NO CUMPLE</v>
          </cell>
          <cell r="Z372" t="str">
            <v>EMPAQUE TARDIO</v>
          </cell>
          <cell r="AA372" t="str">
            <v>DESPACHADO</v>
          </cell>
          <cell r="AB372" t="str">
            <v>TRANSPORTES ALGEZA</v>
          </cell>
        </row>
        <row r="373">
          <cell r="A373" t="str">
            <v>Chanitos Premium Tarima Americana</v>
          </cell>
          <cell r="B373" t="str">
            <v>CPR01103</v>
          </cell>
          <cell r="C373" t="str">
            <v>A12057-402909-1</v>
          </cell>
          <cell r="D373" t="str">
            <v>A12 057 Tiquisate 1</v>
          </cell>
          <cell r="E373" t="str">
            <v>Ciudad Juarez</v>
          </cell>
          <cell r="F373">
            <v>960</v>
          </cell>
          <cell r="G373">
            <v>20</v>
          </cell>
          <cell r="H373">
            <v>46294</v>
          </cell>
          <cell r="I373">
            <v>40</v>
          </cell>
          <cell r="J373">
            <v>46302</v>
          </cell>
          <cell r="K373">
            <v>0.25</v>
          </cell>
          <cell r="L373" t="str">
            <v>PREENFRIO NELLY</v>
          </cell>
          <cell r="M373">
            <v>4</v>
          </cell>
          <cell r="N373">
            <v>96</v>
          </cell>
          <cell r="O373">
            <v>46294</v>
          </cell>
          <cell r="P373">
            <v>0.14791666666666667</v>
          </cell>
          <cell r="Q373" t="str">
            <v>NORMAL</v>
          </cell>
          <cell r="R373">
            <v>46294</v>
          </cell>
          <cell r="S373">
            <v>0.25</v>
          </cell>
          <cell r="T373">
            <v>0.4375</v>
          </cell>
          <cell r="U373">
            <v>46294.6875</v>
          </cell>
          <cell r="V373">
            <v>46296</v>
          </cell>
          <cell r="W373">
            <v>0.83333333333333337</v>
          </cell>
          <cell r="X373" t="str">
            <v>SI CUMPLE</v>
          </cell>
          <cell r="Y373" t="str">
            <v>SI CUMPLE</v>
          </cell>
          <cell r="AA373" t="str">
            <v>DESPACHADO</v>
          </cell>
          <cell r="AB373" t="str">
            <v>AUTO EXPRESS SEGOVIA</v>
          </cell>
          <cell r="AC373" t="str">
            <v>LUIS ENRIQUE ALONSO</v>
          </cell>
          <cell r="AD373">
            <v>55040</v>
          </cell>
        </row>
        <row r="374">
          <cell r="A374" t="str">
            <v>Chanitos Plantain 20Kg Tarima Americana</v>
          </cell>
          <cell r="B374" t="str">
            <v>CPL08134</v>
          </cell>
          <cell r="C374" t="str">
            <v>A35082-402809-1</v>
          </cell>
          <cell r="D374" t="str">
            <v>A35 082 Empaque de Macho Ej Libertad</v>
          </cell>
          <cell r="E374" t="str">
            <v>Ciudad Juarez</v>
          </cell>
          <cell r="F374">
            <v>144</v>
          </cell>
          <cell r="G374">
            <v>3</v>
          </cell>
          <cell r="H374">
            <v>46293</v>
          </cell>
          <cell r="I374">
            <v>40</v>
          </cell>
          <cell r="J374">
            <v>46298</v>
          </cell>
          <cell r="L374" t="str">
            <v>PREENFRIO FORTALEZA</v>
          </cell>
          <cell r="M374">
            <v>4</v>
          </cell>
          <cell r="N374">
            <v>96</v>
          </cell>
          <cell r="O374">
            <v>46293</v>
          </cell>
          <cell r="P374">
            <v>0.8125</v>
          </cell>
          <cell r="Q374" t="str">
            <v>NORMAL</v>
          </cell>
          <cell r="R374">
            <v>46294</v>
          </cell>
          <cell r="S374">
            <v>3.125E-2</v>
          </cell>
          <cell r="T374">
            <v>0.25</v>
          </cell>
          <cell r="U374">
            <v>46294.28125</v>
          </cell>
          <cell r="V374">
            <v>46294</v>
          </cell>
          <cell r="W374">
            <v>0.45833333333333331</v>
          </cell>
          <cell r="X374" t="str">
            <v>NO CUMPLE</v>
          </cell>
          <cell r="Y374" t="str">
            <v>NO CUMPLE</v>
          </cell>
          <cell r="Z374" t="str">
            <v>Mueve a Nelly</v>
          </cell>
          <cell r="AA374" t="str">
            <v>DESPACHADO</v>
          </cell>
          <cell r="AB374" t="str">
            <v>TRANSPORTES GUDIÑO</v>
          </cell>
          <cell r="AC374" t="str">
            <v>ELIAS BUSTAMANTE SOLANO</v>
          </cell>
          <cell r="AD374">
            <v>39811</v>
          </cell>
          <cell r="AE374" t="str">
            <v>N/A</v>
          </cell>
        </row>
        <row r="375">
          <cell r="A375" t="str">
            <v>Chanitos Premium EUA Tarima Americana</v>
          </cell>
          <cell r="B375" t="str">
            <v>CPR01104</v>
          </cell>
          <cell r="C375" t="str">
            <v>A05041-402909-1</v>
          </cell>
          <cell r="D375" t="str">
            <v>A05 041 Plataneros Unidos 2 Cotan o Micros</v>
          </cell>
          <cell r="E375" t="str">
            <v>McAllen</v>
          </cell>
          <cell r="F375">
            <v>960</v>
          </cell>
          <cell r="G375">
            <v>20</v>
          </cell>
          <cell r="H375">
            <v>46294</v>
          </cell>
          <cell r="I375">
            <v>40</v>
          </cell>
          <cell r="J375">
            <v>46298</v>
          </cell>
          <cell r="L375" t="str">
            <v>PREENFRIO NELLY</v>
          </cell>
          <cell r="M375">
            <v>3</v>
          </cell>
          <cell r="N375">
            <v>72</v>
          </cell>
          <cell r="O375">
            <v>46295</v>
          </cell>
          <cell r="P375">
            <v>0.875</v>
          </cell>
          <cell r="Q375" t="str">
            <v>NORMAL</v>
          </cell>
          <cell r="R375">
            <v>46294</v>
          </cell>
          <cell r="S375">
            <v>0.625</v>
          </cell>
          <cell r="T375">
            <v>0.35416666666666669</v>
          </cell>
          <cell r="U375">
            <v>46294.979166666664</v>
          </cell>
          <cell r="V375">
            <v>46052</v>
          </cell>
          <cell r="W375">
            <v>0.72916666666666663</v>
          </cell>
          <cell r="X375" t="str">
            <v>SI CUMPLE</v>
          </cell>
          <cell r="Y375" t="str">
            <v>SI CUMPLE</v>
          </cell>
          <cell r="AA375" t="str">
            <v>DESPACHADO</v>
          </cell>
          <cell r="AB375" t="str">
            <v>TRANSPORTES TOMATITOS</v>
          </cell>
          <cell r="AC375" t="str">
            <v>Fernando Parra Marin</v>
          </cell>
          <cell r="AD375">
            <v>21529</v>
          </cell>
        </row>
        <row r="376">
          <cell r="A376" t="str">
            <v>Chanitos Premium EUA Tarima Americana</v>
          </cell>
          <cell r="B376" t="str">
            <v>CPR01104</v>
          </cell>
          <cell r="C376" t="str">
            <v>A04084-402909-1</v>
          </cell>
          <cell r="D376" t="str">
            <v>A04 084 Lisboa</v>
          </cell>
          <cell r="E376" t="str">
            <v>McAllen</v>
          </cell>
          <cell r="F376">
            <v>816</v>
          </cell>
          <cell r="G376">
            <v>17</v>
          </cell>
          <cell r="H376">
            <v>46294</v>
          </cell>
          <cell r="I376">
            <v>40</v>
          </cell>
          <cell r="J376">
            <v>46298</v>
          </cell>
          <cell r="L376" t="str">
            <v>PREENFRIO FORTALEZA</v>
          </cell>
          <cell r="M376">
            <v>3</v>
          </cell>
          <cell r="N376">
            <v>72</v>
          </cell>
          <cell r="O376">
            <v>46294</v>
          </cell>
          <cell r="P376">
            <v>0.90763888888888888</v>
          </cell>
          <cell r="Q376" t="str">
            <v>NORMAL</v>
          </cell>
          <cell r="R376">
            <v>46295</v>
          </cell>
          <cell r="S376">
            <v>0.52777777777777779</v>
          </cell>
          <cell r="T376">
            <v>0.33333333333333331</v>
          </cell>
          <cell r="U376">
            <v>46295.861111111117</v>
          </cell>
          <cell r="V376">
            <v>46295</v>
          </cell>
          <cell r="W376">
            <v>0.91666666666666663</v>
          </cell>
          <cell r="X376" t="str">
            <v>NO CUMPLE</v>
          </cell>
          <cell r="Y376" t="str">
            <v>NO CUMPLE</v>
          </cell>
          <cell r="AA376" t="str">
            <v>DESPACHADO</v>
          </cell>
          <cell r="AB376" t="str">
            <v>TRANSPORTES ALGEZA</v>
          </cell>
          <cell r="AC376" t="str">
            <v>HECTOR BENJAMIN RIVERA</v>
          </cell>
          <cell r="AD376">
            <v>35064</v>
          </cell>
          <cell r="AE376">
            <v>100000914992</v>
          </cell>
        </row>
        <row r="377">
          <cell r="A377" t="str">
            <v>Chanitos Premium Tarima Chep</v>
          </cell>
          <cell r="B377" t="str">
            <v>CPR01102</v>
          </cell>
          <cell r="C377" t="str">
            <v>A04084-403009-1</v>
          </cell>
          <cell r="D377" t="str">
            <v>A04 084 Lisboa</v>
          </cell>
          <cell r="E377" t="str">
            <v>VSA</v>
          </cell>
          <cell r="F377">
            <v>480</v>
          </cell>
          <cell r="G377">
            <v>10</v>
          </cell>
          <cell r="H377">
            <v>46295</v>
          </cell>
          <cell r="I377">
            <v>40</v>
          </cell>
          <cell r="J377">
            <v>46298</v>
          </cell>
          <cell r="L377" t="str">
            <v>PREENFRIO FORTALEZA</v>
          </cell>
          <cell r="M377">
            <v>1</v>
          </cell>
          <cell r="N377">
            <v>24</v>
          </cell>
          <cell r="O377">
            <v>46295</v>
          </cell>
          <cell r="P377">
            <v>0.83194444444444449</v>
          </cell>
          <cell r="Q377" t="str">
            <v>NORMAL</v>
          </cell>
          <cell r="R377">
            <v>46295</v>
          </cell>
          <cell r="S377">
            <v>0.91111111111111109</v>
          </cell>
          <cell r="T377">
            <v>0.625</v>
          </cell>
          <cell r="U377">
            <v>46296.536111111112</v>
          </cell>
          <cell r="V377">
            <v>46297</v>
          </cell>
          <cell r="W377">
            <v>0.54791666666666672</v>
          </cell>
          <cell r="X377" t="str">
            <v>SI CUMPLE</v>
          </cell>
          <cell r="Y377" t="str">
            <v>NO CUMPLE</v>
          </cell>
          <cell r="Z377" t="str">
            <v>POSICIONAMIENTO DE TRANSPORTE</v>
          </cell>
          <cell r="AA377" t="str">
            <v>DESPACHADO</v>
          </cell>
          <cell r="AB377" t="str">
            <v>LETICIA LOPEZ PINEDA</v>
          </cell>
          <cell r="AC377" t="str">
            <v>MARCO ANTONIO CRUZ LUNA</v>
          </cell>
          <cell r="AD377">
            <v>92417</v>
          </cell>
          <cell r="AE377" t="str">
            <v>QEP1W000P0</v>
          </cell>
        </row>
        <row r="378">
          <cell r="A378" t="str">
            <v>Chanitos Premium Tarima Chep</v>
          </cell>
          <cell r="B378" t="str">
            <v>CPR01102</v>
          </cell>
          <cell r="C378" t="str">
            <v>A01002-403009-1</v>
          </cell>
          <cell r="D378" t="str">
            <v>A01 002 Fortaleza</v>
          </cell>
          <cell r="E378" t="str">
            <v>VSA</v>
          </cell>
          <cell r="F378">
            <v>432</v>
          </cell>
          <cell r="G378">
            <v>9</v>
          </cell>
          <cell r="H378">
            <v>46295</v>
          </cell>
          <cell r="I378">
            <v>40</v>
          </cell>
          <cell r="J378">
            <v>46298</v>
          </cell>
          <cell r="K378" t="str">
            <v>PREENFRIO FORTALEZA</v>
          </cell>
          <cell r="L378" t="str">
            <v>PREENFRIO FORTALEZA</v>
          </cell>
          <cell r="M378">
            <v>1</v>
          </cell>
          <cell r="N378">
            <v>24</v>
          </cell>
          <cell r="O378">
            <v>46295</v>
          </cell>
          <cell r="P378">
            <v>0.70833333333333337</v>
          </cell>
          <cell r="Q378" t="str">
            <v>NORMAL</v>
          </cell>
          <cell r="R378">
            <v>46296</v>
          </cell>
          <cell r="S378">
            <v>0.15138888888888888</v>
          </cell>
          <cell r="T378">
            <v>0.20833333333333334</v>
          </cell>
          <cell r="U378">
            <v>46296.359722222223</v>
          </cell>
          <cell r="V378">
            <v>46297</v>
          </cell>
          <cell r="W378">
            <v>0.54791666666666672</v>
          </cell>
          <cell r="X378" t="str">
            <v>SI CUMPLE</v>
          </cell>
          <cell r="Y378" t="str">
            <v>NO CUMPLE</v>
          </cell>
          <cell r="Z378" t="str">
            <v>POSICIONAMIENTO DE TRANSPORTE</v>
          </cell>
          <cell r="AA378" t="str">
            <v>DESPACHADO</v>
          </cell>
          <cell r="AB378" t="str">
            <v>LETICIA LOPEZ PINEDA</v>
          </cell>
          <cell r="AC378" t="str">
            <v>MARCO ANTONIO CRUZ LUNA</v>
          </cell>
          <cell r="AD378">
            <v>92417</v>
          </cell>
          <cell r="AE378" t="str">
            <v>QEP1W000P0</v>
          </cell>
        </row>
        <row r="379">
          <cell r="A379" t="str">
            <v>Chanitos Organic Banded Market Side Mexico</v>
          </cell>
          <cell r="B379" t="str">
            <v>CRG07128</v>
          </cell>
          <cell r="C379" t="str">
            <v>A01002-403009-1</v>
          </cell>
          <cell r="D379" t="str">
            <v>A01 002 Fortaleza</v>
          </cell>
          <cell r="E379" t="str">
            <v>VSA</v>
          </cell>
          <cell r="F379">
            <v>240</v>
          </cell>
          <cell r="G379">
            <v>5</v>
          </cell>
          <cell r="H379">
            <v>46295</v>
          </cell>
          <cell r="I379">
            <v>40</v>
          </cell>
          <cell r="J379">
            <v>46298</v>
          </cell>
          <cell r="L379" t="str">
            <v>PREENFRIO FORTALEZA</v>
          </cell>
          <cell r="M379">
            <v>1</v>
          </cell>
          <cell r="N379">
            <v>24</v>
          </cell>
          <cell r="O379">
            <v>46295</v>
          </cell>
          <cell r="P379">
            <v>0.70833333333333337</v>
          </cell>
          <cell r="Q379" t="str">
            <v>NORMAL</v>
          </cell>
          <cell r="R379">
            <v>46295</v>
          </cell>
          <cell r="S379">
            <v>0.91111111111111109</v>
          </cell>
          <cell r="T379">
            <v>0.625</v>
          </cell>
          <cell r="U379">
            <v>46296.536111111112</v>
          </cell>
          <cell r="V379">
            <v>46297</v>
          </cell>
          <cell r="W379">
            <v>0.54791666666666672</v>
          </cell>
          <cell r="X379" t="str">
            <v>SI CUMPLE</v>
          </cell>
          <cell r="Y379" t="str">
            <v>NO CUMPLE</v>
          </cell>
          <cell r="Z379" t="str">
            <v>POSICIONAMIENTO DE TRANSPORTE</v>
          </cell>
          <cell r="AA379" t="str">
            <v>DESPACHADO</v>
          </cell>
          <cell r="AB379" t="str">
            <v>LETICIA LOPEZ PINEDA</v>
          </cell>
          <cell r="AC379" t="str">
            <v>MARCO ANTONIO CRUZ LUNA</v>
          </cell>
          <cell r="AD379">
            <v>92417</v>
          </cell>
          <cell r="AE379" t="str">
            <v>QEP1W000P0</v>
          </cell>
        </row>
        <row r="380">
          <cell r="A380" t="str">
            <v>Chanitos Plantain 20Kg Tarima Chep</v>
          </cell>
          <cell r="B380" t="str">
            <v>CPL08141</v>
          </cell>
          <cell r="C380" t="str">
            <v>A41100-400110-1</v>
          </cell>
          <cell r="D380" t="str">
            <v>A41 100 Doña Lupe JV</v>
          </cell>
          <cell r="E380" t="str">
            <v>CEDA</v>
          </cell>
          <cell r="F380">
            <v>624</v>
          </cell>
          <cell r="G380">
            <v>13</v>
          </cell>
          <cell r="H380">
            <v>46296</v>
          </cell>
          <cell r="I380">
            <v>40</v>
          </cell>
          <cell r="J380">
            <v>46298</v>
          </cell>
          <cell r="L380" t="str">
            <v>PREENFRIO FORTALEZA</v>
          </cell>
          <cell r="M380">
            <v>1.5</v>
          </cell>
          <cell r="N380">
            <v>36</v>
          </cell>
          <cell r="O380">
            <v>46297</v>
          </cell>
          <cell r="P380">
            <v>0.17291666666666666</v>
          </cell>
          <cell r="Q380" t="str">
            <v>NORMAL</v>
          </cell>
          <cell r="R380">
            <v>46297</v>
          </cell>
          <cell r="S380">
            <v>0.1736111111111111</v>
          </cell>
          <cell r="T380">
            <v>0.41666666666666669</v>
          </cell>
          <cell r="U380">
            <v>46297.590277777774</v>
          </cell>
          <cell r="V380">
            <v>46297</v>
          </cell>
          <cell r="W380">
            <v>0.64583333333333337</v>
          </cell>
          <cell r="X380" t="str">
            <v>NO CUMPLE</v>
          </cell>
          <cell r="Y380" t="str">
            <v>NO CUMPLE</v>
          </cell>
          <cell r="AA380" t="str">
            <v>DESPACHADO</v>
          </cell>
          <cell r="AB380" t="str">
            <v>GUILLERMO PEREZ PEREZ</v>
          </cell>
          <cell r="AC380" t="str">
            <v>ERICK RUBEN SANCHEZ PRECIOSA</v>
          </cell>
          <cell r="AD380">
            <v>35773</v>
          </cell>
          <cell r="AE380" t="str">
            <v>QEP1W00XV0</v>
          </cell>
        </row>
        <row r="381">
          <cell r="A381" t="str">
            <v>Chanitos Premium Tarima Chep</v>
          </cell>
          <cell r="B381" t="str">
            <v>CPR01102</v>
          </cell>
          <cell r="C381" t="str">
            <v>A04038-403009-1</v>
          </cell>
          <cell r="D381" t="str">
            <v>A04 038 El Triunfo Nava</v>
          </cell>
          <cell r="E381" t="str">
            <v>VSA</v>
          </cell>
          <cell r="F381">
            <v>624</v>
          </cell>
          <cell r="G381">
            <v>13</v>
          </cell>
          <cell r="H381">
            <v>46295</v>
          </cell>
          <cell r="I381">
            <v>40</v>
          </cell>
          <cell r="J381">
            <v>46299</v>
          </cell>
          <cell r="L381" t="str">
            <v>PREENFRIO FORTALEZA</v>
          </cell>
          <cell r="M381">
            <v>1</v>
          </cell>
          <cell r="N381">
            <v>24</v>
          </cell>
          <cell r="O381">
            <v>46296</v>
          </cell>
          <cell r="P381">
            <v>0.80208333333333337</v>
          </cell>
          <cell r="Q381" t="str">
            <v>NORMAL</v>
          </cell>
          <cell r="R381">
            <v>46296</v>
          </cell>
          <cell r="S381">
            <v>0.94166666666666665</v>
          </cell>
          <cell r="T381">
            <v>0.83333333333333337</v>
          </cell>
          <cell r="U381">
            <v>46297.775000000001</v>
          </cell>
          <cell r="V381">
            <v>46297</v>
          </cell>
          <cell r="W381">
            <v>0.99652777777777779</v>
          </cell>
          <cell r="X381" t="str">
            <v>SI CUMPLE</v>
          </cell>
          <cell r="Y381" t="str">
            <v>SI CUMPLE</v>
          </cell>
          <cell r="AA381" t="str">
            <v>DESPACHADO</v>
          </cell>
          <cell r="AB381" t="str">
            <v>BACKHAUL</v>
          </cell>
          <cell r="AC381" t="str">
            <v>CARLOS ENRIQUE MAY</v>
          </cell>
          <cell r="AD381">
            <v>65195</v>
          </cell>
          <cell r="AE381" t="str">
            <v>QEP1W01990</v>
          </cell>
        </row>
        <row r="382">
          <cell r="A382" t="str">
            <v>Chanitos Premium Tarima Chep</v>
          </cell>
          <cell r="B382" t="str">
            <v>CPR01102</v>
          </cell>
          <cell r="C382" t="str">
            <v>A04038-400110-1</v>
          </cell>
          <cell r="D382" t="str">
            <v>A04 038 El Triunfo Nava</v>
          </cell>
          <cell r="E382" t="str">
            <v>VSA</v>
          </cell>
          <cell r="F382">
            <v>528</v>
          </cell>
          <cell r="G382">
            <v>11</v>
          </cell>
          <cell r="H382">
            <v>46296</v>
          </cell>
          <cell r="I382">
            <v>40</v>
          </cell>
          <cell r="J382">
            <v>46299</v>
          </cell>
          <cell r="L382" t="str">
            <v>PREENFRIO FORTALEZA</v>
          </cell>
          <cell r="M382">
            <v>1</v>
          </cell>
          <cell r="N382">
            <v>24</v>
          </cell>
          <cell r="O382">
            <v>46296</v>
          </cell>
          <cell r="P382">
            <v>0.80208333333333337</v>
          </cell>
          <cell r="Q382" t="str">
            <v>NORMAL</v>
          </cell>
          <cell r="R382">
            <v>46296</v>
          </cell>
          <cell r="S382">
            <v>0.94166666666666665</v>
          </cell>
          <cell r="T382">
            <v>0.83333333333333337</v>
          </cell>
          <cell r="U382">
            <v>46297.775000000001</v>
          </cell>
          <cell r="V382">
            <v>46297</v>
          </cell>
          <cell r="W382">
            <v>0.99652777777777779</v>
          </cell>
          <cell r="X382" t="str">
            <v>SI CUMPLE</v>
          </cell>
          <cell r="Y382" t="str">
            <v>SI CUMPLE</v>
          </cell>
          <cell r="AA382" t="str">
            <v>DESPACHADO</v>
          </cell>
          <cell r="AB382" t="str">
            <v>BACKHAUL</v>
          </cell>
          <cell r="AC382" t="str">
            <v>CARLOS ENRIQUE MAY</v>
          </cell>
          <cell r="AD382">
            <v>65195</v>
          </cell>
          <cell r="AE382" t="str">
            <v>QEP1W01990</v>
          </cell>
        </row>
        <row r="383">
          <cell r="A383" t="str">
            <v>Chanitos Premium EUA Tarima Americana</v>
          </cell>
          <cell r="B383" t="str">
            <v>CPR01104</v>
          </cell>
          <cell r="C383" t="str">
            <v>A04084-403009-1</v>
          </cell>
          <cell r="D383" t="str">
            <v>A04 084 Lisboa</v>
          </cell>
          <cell r="E383" t="str">
            <v>McAllen</v>
          </cell>
          <cell r="F383">
            <v>48</v>
          </cell>
          <cell r="G383">
            <v>1</v>
          </cell>
          <cell r="H383">
            <v>46295</v>
          </cell>
          <cell r="I383">
            <v>40</v>
          </cell>
          <cell r="J383">
            <v>46300</v>
          </cell>
          <cell r="L383" t="str">
            <v>PREENFRIO FORTALEZA</v>
          </cell>
          <cell r="M383">
            <v>3</v>
          </cell>
          <cell r="N383">
            <v>72</v>
          </cell>
          <cell r="O383">
            <v>46295</v>
          </cell>
          <cell r="P383">
            <v>0.83194444444444449</v>
          </cell>
          <cell r="U383" t="str">
            <v/>
          </cell>
          <cell r="V383">
            <v>46295</v>
          </cell>
          <cell r="W383">
            <v>0.91666666666666663</v>
          </cell>
          <cell r="X383" t="str">
            <v/>
          </cell>
          <cell r="Y383" t="str">
            <v>SI CUMPLE</v>
          </cell>
          <cell r="AA383" t="str">
            <v>DESPACHADO</v>
          </cell>
          <cell r="AB383" t="str">
            <v>TRANSPORTES ALGEZA</v>
          </cell>
          <cell r="AC383" t="str">
            <v>HECTOR BENJAMIN RIVERA</v>
          </cell>
          <cell r="AD383">
            <v>35064</v>
          </cell>
          <cell r="AE383">
            <v>100000914992</v>
          </cell>
        </row>
        <row r="384">
          <cell r="A384" t="str">
            <v>Chanitos Premium EUA Tarima Americana</v>
          </cell>
          <cell r="B384" t="str">
            <v>CPR01104</v>
          </cell>
          <cell r="C384" t="str">
            <v>A04084-403009-1</v>
          </cell>
          <cell r="D384" t="str">
            <v>A04 084 Lisboa</v>
          </cell>
          <cell r="E384" t="str">
            <v>McAllen</v>
          </cell>
          <cell r="F384">
            <v>96</v>
          </cell>
          <cell r="G384">
            <v>2</v>
          </cell>
          <cell r="H384">
            <v>46295</v>
          </cell>
          <cell r="I384">
            <v>40</v>
          </cell>
          <cell r="J384">
            <v>46300</v>
          </cell>
          <cell r="L384" t="str">
            <v>PREENFRIO FORTALEZA</v>
          </cell>
          <cell r="M384">
            <v>3</v>
          </cell>
          <cell r="N384">
            <v>72</v>
          </cell>
          <cell r="O384">
            <v>46295</v>
          </cell>
          <cell r="P384">
            <v>0.83194444444444449</v>
          </cell>
          <cell r="Q384" t="str">
            <v>NORMAL</v>
          </cell>
          <cell r="R384">
            <v>46296</v>
          </cell>
          <cell r="S384">
            <v>0.56805555555555554</v>
          </cell>
          <cell r="T384">
            <v>0.20833333333333334</v>
          </cell>
          <cell r="U384">
            <v>46296.776388888895</v>
          </cell>
          <cell r="V384">
            <v>46297</v>
          </cell>
          <cell r="W384">
            <v>1.3194444444444444E-2</v>
          </cell>
          <cell r="X384" t="str">
            <v>SI CUMPLE</v>
          </cell>
          <cell r="Y384" t="str">
            <v>NO CUMPLE</v>
          </cell>
          <cell r="Z384" t="str">
            <v>MUEVE A NELLY</v>
          </cell>
          <cell r="AA384" t="str">
            <v>DESPACHADO</v>
          </cell>
          <cell r="AB384" t="str">
            <v>GUILLERMO PEREZ PEREZ</v>
          </cell>
          <cell r="AC384" t="str">
            <v>JOSE FRANCISCO HUERTA ABURTO</v>
          </cell>
          <cell r="AD384">
            <v>94429</v>
          </cell>
          <cell r="AE384" t="str">
            <v>N/A</v>
          </cell>
        </row>
        <row r="385">
          <cell r="A385" t="str">
            <v>Chanitos Premium Tarima Americana</v>
          </cell>
          <cell r="B385" t="str">
            <v>CPR01103</v>
          </cell>
          <cell r="C385" t="str">
            <v>A36090-403009-1</v>
          </cell>
          <cell r="D385" t="str">
            <v>A36 090 Heavy</v>
          </cell>
          <cell r="E385" t="str">
            <v>Ciudad Juarez</v>
          </cell>
          <cell r="F385">
            <v>960</v>
          </cell>
          <cell r="G385">
            <v>20</v>
          </cell>
          <cell r="H385">
            <v>46295</v>
          </cell>
          <cell r="I385">
            <v>40</v>
          </cell>
          <cell r="J385">
            <v>46302</v>
          </cell>
          <cell r="K385">
            <v>0.25</v>
          </cell>
          <cell r="L385" t="str">
            <v>PREENFRIO NELLY</v>
          </cell>
          <cell r="M385">
            <v>4</v>
          </cell>
          <cell r="N385">
            <v>96</v>
          </cell>
          <cell r="O385">
            <v>46295</v>
          </cell>
          <cell r="P385">
            <v>0.95138888888888884</v>
          </cell>
          <cell r="Q385" t="str">
            <v>ALTA</v>
          </cell>
          <cell r="R385">
            <v>46294</v>
          </cell>
          <cell r="S385">
            <v>0.91666666666666663</v>
          </cell>
          <cell r="T385">
            <v>0.4375</v>
          </cell>
          <cell r="U385">
            <v>46295.354166666664</v>
          </cell>
          <cell r="V385">
            <v>46296</v>
          </cell>
          <cell r="W385">
            <v>0.83333333333333337</v>
          </cell>
          <cell r="X385" t="str">
            <v>SI CUMPLE</v>
          </cell>
          <cell r="Y385" t="str">
            <v>SI CUMPLE</v>
          </cell>
          <cell r="AA385" t="str">
            <v>DESPACHADO</v>
          </cell>
          <cell r="AB385" t="str">
            <v>AUTO EXPRESS SEGOVIA</v>
          </cell>
        </row>
        <row r="386">
          <cell r="A386" t="str">
            <v>Chanitos Premium EUA Tarima Americana</v>
          </cell>
          <cell r="B386" t="str">
            <v>CPR01104</v>
          </cell>
          <cell r="C386" t="str">
            <v>A01001-403009-1</v>
          </cell>
          <cell r="D386" t="str">
            <v>A01 001 Marbella</v>
          </cell>
          <cell r="E386" t="str">
            <v>McAllen</v>
          </cell>
          <cell r="F386">
            <v>864</v>
          </cell>
          <cell r="G386">
            <v>18</v>
          </cell>
          <cell r="H386">
            <v>46295</v>
          </cell>
          <cell r="I386">
            <v>40</v>
          </cell>
          <cell r="J386">
            <v>46300</v>
          </cell>
          <cell r="L386" t="str">
            <v>PREENFRIO NELLY</v>
          </cell>
          <cell r="M386">
            <v>3</v>
          </cell>
          <cell r="N386">
            <v>72</v>
          </cell>
          <cell r="O386">
            <v>46296</v>
          </cell>
          <cell r="P386">
            <v>0.45833333333333331</v>
          </cell>
          <cell r="Q386" t="str">
            <v>ALTA</v>
          </cell>
          <cell r="R386">
            <v>46296</v>
          </cell>
          <cell r="S386">
            <v>0.58333333333333337</v>
          </cell>
          <cell r="T386">
            <v>0.35416666666666669</v>
          </cell>
          <cell r="U386">
            <v>46296.9375</v>
          </cell>
          <cell r="V386">
            <v>46297</v>
          </cell>
          <cell r="W386">
            <v>0.45833333333333331</v>
          </cell>
          <cell r="X386" t="str">
            <v>SI CUMPLE</v>
          </cell>
          <cell r="Y386" t="str">
            <v>NO CUMPLE</v>
          </cell>
          <cell r="Z386" t="str">
            <v>EMPAQUE TARDIO</v>
          </cell>
          <cell r="AA386" t="str">
            <v>DESPACHADO</v>
          </cell>
          <cell r="AB386" t="str">
            <v>TRANSPORTES TOMATITOS</v>
          </cell>
        </row>
        <row r="387">
          <cell r="A387" t="str">
            <v>Chanitos Premium Tarima Chep</v>
          </cell>
          <cell r="B387" t="str">
            <v>CPR01102</v>
          </cell>
          <cell r="C387" t="str">
            <v>A01001-403009-1</v>
          </cell>
          <cell r="D387" t="str">
            <v>A01 001 Marbella</v>
          </cell>
          <cell r="E387" t="str">
            <v>QRO</v>
          </cell>
          <cell r="F387">
            <v>432</v>
          </cell>
          <cell r="G387">
            <v>9</v>
          </cell>
          <cell r="H387">
            <v>46295</v>
          </cell>
          <cell r="I387">
            <v>40</v>
          </cell>
          <cell r="J387">
            <v>46300</v>
          </cell>
          <cell r="L387" t="str">
            <v>PREENFRIO NELLY</v>
          </cell>
          <cell r="M387">
            <v>1.5</v>
          </cell>
          <cell r="N387">
            <v>36</v>
          </cell>
          <cell r="O387">
            <v>46296</v>
          </cell>
          <cell r="P387">
            <v>0.99305555555555558</v>
          </cell>
          <cell r="Q387" t="str">
            <v>NORMAL</v>
          </cell>
          <cell r="R387">
            <v>46297</v>
          </cell>
          <cell r="S387">
            <v>0.58333333333333337</v>
          </cell>
          <cell r="T387">
            <v>0.35416666666666669</v>
          </cell>
          <cell r="U387">
            <v>46297.9375</v>
          </cell>
          <cell r="V387">
            <v>46297</v>
          </cell>
          <cell r="W387">
            <v>0.83333333333333337</v>
          </cell>
          <cell r="X387" t="str">
            <v>SI CUMPLE</v>
          </cell>
          <cell r="Y387" t="str">
            <v>SI CUMPLE</v>
          </cell>
          <cell r="AA387" t="str">
            <v>DESPACHADO</v>
          </cell>
          <cell r="AB387" t="str">
            <v>GENARO IBAÑEZ ROJAS</v>
          </cell>
          <cell r="AC387" t="str">
            <v>JOSE LUIS NERY</v>
          </cell>
        </row>
        <row r="388">
          <cell r="A388" t="str">
            <v>Chanitos Premium Tarima Chep</v>
          </cell>
          <cell r="B388" t="str">
            <v>CPR01102</v>
          </cell>
          <cell r="C388" t="str">
            <v>A01002-403009-1</v>
          </cell>
          <cell r="D388" t="str">
            <v>A01 002 Fortaleza</v>
          </cell>
          <cell r="E388" t="str">
            <v>QRO</v>
          </cell>
          <cell r="F388">
            <v>624</v>
          </cell>
          <cell r="G388">
            <v>13</v>
          </cell>
          <cell r="H388">
            <v>46295</v>
          </cell>
          <cell r="I388">
            <v>40</v>
          </cell>
          <cell r="J388">
            <v>46300</v>
          </cell>
          <cell r="L388" t="str">
            <v>PREENFRIO FORTALEZA</v>
          </cell>
          <cell r="M388">
            <v>1.5</v>
          </cell>
          <cell r="N388">
            <v>36</v>
          </cell>
          <cell r="O388">
            <v>46295</v>
          </cell>
          <cell r="P388">
            <v>0.70833333333333337</v>
          </cell>
          <cell r="Q388" t="str">
            <v>NORMAL</v>
          </cell>
          <cell r="R388">
            <v>46296</v>
          </cell>
          <cell r="S388">
            <v>0.15138888888888888</v>
          </cell>
          <cell r="T388">
            <v>0.625</v>
          </cell>
          <cell r="U388">
            <v>46296.776388888888</v>
          </cell>
          <cell r="V388">
            <v>46297</v>
          </cell>
          <cell r="W388">
            <v>1.0416666666666666E-2</v>
          </cell>
          <cell r="X388" t="str">
            <v>SI CUMPLE</v>
          </cell>
          <cell r="Y388" t="str">
            <v>SI CUMPLE</v>
          </cell>
          <cell r="Z388" t="str">
            <v>COMPLETA EN NELLY</v>
          </cell>
          <cell r="AA388" t="str">
            <v>DESPACHADO</v>
          </cell>
          <cell r="AB388" t="str">
            <v>GUILLERMO PEREZ PEREZ</v>
          </cell>
          <cell r="AC388" t="str">
            <v>JOSE FRANCISCO HUERTA ABURTO</v>
          </cell>
          <cell r="AD388">
            <v>45046</v>
          </cell>
          <cell r="AE388" t="str">
            <v>QEP1W00380</v>
          </cell>
        </row>
        <row r="389">
          <cell r="A389" t="str">
            <v>Chanitos Premium Tarima Americana</v>
          </cell>
          <cell r="B389" t="str">
            <v>CPR01103</v>
          </cell>
          <cell r="C389" t="str">
            <v>A04039-400110-1</v>
          </cell>
          <cell r="D389" t="str">
            <v>A04 039 San Jose Morelia Nava</v>
          </cell>
          <cell r="E389" t="str">
            <v>S-MTY</v>
          </cell>
          <cell r="F389">
            <v>960</v>
          </cell>
          <cell r="G389">
            <v>20</v>
          </cell>
          <cell r="H389">
            <v>46295</v>
          </cell>
          <cell r="I389">
            <v>40</v>
          </cell>
          <cell r="J389">
            <v>46300</v>
          </cell>
          <cell r="L389" t="str">
            <v>PREENFRIO NELLY</v>
          </cell>
          <cell r="M389">
            <v>3</v>
          </cell>
          <cell r="N389">
            <v>72</v>
          </cell>
          <cell r="O389">
            <v>46296</v>
          </cell>
          <cell r="P389">
            <v>0.75</v>
          </cell>
          <cell r="Q389" t="str">
            <v>ALTA</v>
          </cell>
          <cell r="R389">
            <v>46296</v>
          </cell>
          <cell r="S389">
            <v>0.95833333333333337</v>
          </cell>
          <cell r="T389">
            <v>0.4375</v>
          </cell>
          <cell r="U389">
            <v>46297.395833333336</v>
          </cell>
          <cell r="V389">
            <v>46297</v>
          </cell>
          <cell r="W389">
            <v>0.8125</v>
          </cell>
          <cell r="X389" t="str">
            <v>NO CUMPLE</v>
          </cell>
          <cell r="Y389" t="str">
            <v>NO CUMPLE</v>
          </cell>
          <cell r="AA389" t="str">
            <v>DESPACHADO</v>
          </cell>
          <cell r="AB389" t="str">
            <v>BACOCA</v>
          </cell>
        </row>
        <row r="390">
          <cell r="A390" t="str">
            <v>Platano de Chiapas BAE UPC 3237</v>
          </cell>
          <cell r="B390" t="str">
            <v>CPR01114</v>
          </cell>
          <cell r="C390" t="str">
            <v>A01002-403009-1</v>
          </cell>
          <cell r="D390" t="str">
            <v>A01 002 Fortaleza</v>
          </cell>
          <cell r="E390" t="str">
            <v>Chalco</v>
          </cell>
          <cell r="F390">
            <v>96</v>
          </cell>
          <cell r="G390">
            <v>2</v>
          </cell>
          <cell r="H390">
            <v>46295</v>
          </cell>
          <cell r="I390">
            <v>40</v>
          </cell>
          <cell r="J390">
            <v>46300</v>
          </cell>
          <cell r="L390" t="str">
            <v>PREENFRIO FORTALEZA</v>
          </cell>
          <cell r="M390">
            <v>1</v>
          </cell>
          <cell r="N390">
            <v>24</v>
          </cell>
          <cell r="O390">
            <v>46295</v>
          </cell>
          <cell r="P390">
            <v>0.70833333333333337</v>
          </cell>
          <cell r="Q390" t="str">
            <v>NORMAL</v>
          </cell>
          <cell r="R390">
            <v>46296</v>
          </cell>
          <cell r="S390">
            <v>0.56805555555555554</v>
          </cell>
          <cell r="T390">
            <v>0.20833333333333334</v>
          </cell>
          <cell r="U390">
            <v>46296.776388888895</v>
          </cell>
          <cell r="V390">
            <v>46298</v>
          </cell>
          <cell r="W390">
            <v>0.38194444444444442</v>
          </cell>
          <cell r="X390" t="str">
            <v>SI CUMPLE</v>
          </cell>
          <cell r="Y390" t="str">
            <v>SI CUMPLE</v>
          </cell>
          <cell r="AA390" t="str">
            <v>DESPACHADO</v>
          </cell>
          <cell r="AB390" t="str">
            <v>REFRIGERADOS CARRILLO</v>
          </cell>
          <cell r="AC390" t="str">
            <v>GABRIEL ANTONIO GARCIA</v>
          </cell>
          <cell r="AD390">
            <v>20498</v>
          </cell>
          <cell r="AE390" t="str">
            <v>QEP1W00XW0</v>
          </cell>
        </row>
        <row r="391">
          <cell r="A391" t="str">
            <v>Chanitos Premium Tarima Chep</v>
          </cell>
          <cell r="B391" t="str">
            <v>CPR01102</v>
          </cell>
          <cell r="C391" t="str">
            <v>A01002-400110-1</v>
          </cell>
          <cell r="D391" t="str">
            <v>A01 002 Fortaleza</v>
          </cell>
          <cell r="E391" t="str">
            <v>Chalco</v>
          </cell>
          <cell r="F391">
            <v>1056</v>
          </cell>
          <cell r="G391">
            <v>22</v>
          </cell>
          <cell r="H391">
            <v>46296</v>
          </cell>
          <cell r="I391">
            <v>40</v>
          </cell>
          <cell r="J391">
            <v>46300</v>
          </cell>
          <cell r="L391" t="str">
            <v>PREENFRIO FORTALEZA</v>
          </cell>
          <cell r="M391">
            <v>1</v>
          </cell>
          <cell r="N391">
            <v>24</v>
          </cell>
          <cell r="O391">
            <v>46296</v>
          </cell>
          <cell r="P391">
            <v>0.73263888888888884</v>
          </cell>
          <cell r="Q391" t="str">
            <v>NORMAL</v>
          </cell>
          <cell r="R391">
            <v>46297</v>
          </cell>
          <cell r="S391">
            <v>0.64166666666666672</v>
          </cell>
          <cell r="T391">
            <v>0.6875</v>
          </cell>
          <cell r="U391">
            <v>46298.32916666667</v>
          </cell>
          <cell r="V391">
            <v>46298</v>
          </cell>
          <cell r="W391">
            <v>0.38194444444444442</v>
          </cell>
          <cell r="X391" t="str">
            <v>SI CUMPLE</v>
          </cell>
          <cell r="Y391" t="str">
            <v>SI CUMPLE</v>
          </cell>
          <cell r="AA391" t="str">
            <v>DESPACHADO</v>
          </cell>
          <cell r="AB391" t="str">
            <v>REFRIGERADOS CARRILLO</v>
          </cell>
          <cell r="AC391" t="str">
            <v>GABRIEL ANTONIO GARCIA</v>
          </cell>
          <cell r="AD391">
            <v>20498</v>
          </cell>
          <cell r="AE391" t="str">
            <v>QEP1W00XW0</v>
          </cell>
        </row>
        <row r="392">
          <cell r="A392" t="str">
            <v>Chanitos Organic Banded Market Side Mexico</v>
          </cell>
          <cell r="B392" t="str">
            <v>CRG07128</v>
          </cell>
          <cell r="C392" t="str">
            <v>A01002-400110-1</v>
          </cell>
          <cell r="D392" t="str">
            <v>A01 002 Fortaleza</v>
          </cell>
          <cell r="E392" t="str">
            <v>VSA</v>
          </cell>
          <cell r="F392">
            <v>288</v>
          </cell>
          <cell r="G392">
            <v>6</v>
          </cell>
          <cell r="H392">
            <v>46296</v>
          </cell>
          <cell r="I392">
            <v>40</v>
          </cell>
          <cell r="J392">
            <v>46300</v>
          </cell>
          <cell r="L392" t="str">
            <v>PREENFRIO FORTALEZA</v>
          </cell>
          <cell r="M392">
            <v>1</v>
          </cell>
          <cell r="N392">
            <v>24</v>
          </cell>
          <cell r="O392">
            <v>46296</v>
          </cell>
          <cell r="P392">
            <v>0.73263888888888884</v>
          </cell>
          <cell r="Q392" t="str">
            <v>NORMAL</v>
          </cell>
          <cell r="R392">
            <v>46296</v>
          </cell>
          <cell r="S392">
            <v>0.72638888888888886</v>
          </cell>
          <cell r="T392">
            <v>0.20833333333333334</v>
          </cell>
          <cell r="U392">
            <v>46296.934722222228</v>
          </cell>
          <cell r="V392">
            <v>46299</v>
          </cell>
          <cell r="W392">
            <v>0.52083333333333337</v>
          </cell>
          <cell r="X392" t="str">
            <v>SI CUMPLE</v>
          </cell>
          <cell r="Y392" t="str">
            <v>NO CUMPLE</v>
          </cell>
          <cell r="AA392" t="str">
            <v>DESPACHADO</v>
          </cell>
          <cell r="AB392" t="str">
            <v>GENARO IBAÑEZ</v>
          </cell>
          <cell r="AC392" t="str">
            <v>JOSE LUIS NERY</v>
          </cell>
          <cell r="AD392">
            <v>67986</v>
          </cell>
          <cell r="AE392" t="str">
            <v>QEP1W00YC0</v>
          </cell>
        </row>
        <row r="393">
          <cell r="A393" t="str">
            <v>Chanitos Premium Tarima Chep</v>
          </cell>
          <cell r="B393" t="str">
            <v>CPR01102</v>
          </cell>
          <cell r="C393" t="str">
            <v>A04038-400210-1</v>
          </cell>
          <cell r="D393" t="str">
            <v>A04 038 El Triunfo Nava</v>
          </cell>
          <cell r="E393" t="str">
            <v>VSA</v>
          </cell>
          <cell r="F393">
            <v>864</v>
          </cell>
          <cell r="G393">
            <v>18</v>
          </cell>
          <cell r="H393">
            <v>46297</v>
          </cell>
          <cell r="I393">
            <v>40</v>
          </cell>
          <cell r="J393">
            <v>46300</v>
          </cell>
          <cell r="L393" t="str">
            <v>PREENFRIO FORTALEZA</v>
          </cell>
          <cell r="M393">
            <v>1</v>
          </cell>
          <cell r="N393">
            <v>24</v>
          </cell>
          <cell r="O393">
            <v>46298</v>
          </cell>
          <cell r="P393">
            <v>0.56111111111111112</v>
          </cell>
          <cell r="Q393" t="str">
            <v>NORMAL</v>
          </cell>
          <cell r="R393">
            <v>46298</v>
          </cell>
          <cell r="S393">
            <v>0.89583333333333337</v>
          </cell>
          <cell r="T393">
            <v>0.41666666666666669</v>
          </cell>
          <cell r="U393">
            <v>46299.3125</v>
          </cell>
          <cell r="V393">
            <v>46299</v>
          </cell>
          <cell r="W393">
            <v>0.52083333333333337</v>
          </cell>
          <cell r="X393" t="str">
            <v>NO CUMPLE</v>
          </cell>
          <cell r="Y393" t="str">
            <v>NO CUMPLE</v>
          </cell>
          <cell r="AA393" t="str">
            <v>DESPACHADO</v>
          </cell>
          <cell r="AB393" t="str">
            <v>GENARO IBAÑEZ</v>
          </cell>
          <cell r="AC393" t="str">
            <v>JESUS FUENTES ESPINOSA</v>
          </cell>
          <cell r="AD393">
            <v>67986</v>
          </cell>
          <cell r="AE393" t="str">
            <v>QEP1W00YC0</v>
          </cell>
        </row>
        <row r="394">
          <cell r="A394" t="str">
            <v>Chanitos Organic Banded Market Side Mexico</v>
          </cell>
          <cell r="B394" t="str">
            <v>CRG07128</v>
          </cell>
          <cell r="C394" t="str">
            <v>A01002-400110-1</v>
          </cell>
          <cell r="D394" t="str">
            <v>A01 002 Fortaleza</v>
          </cell>
          <cell r="E394" t="str">
            <v>QRO</v>
          </cell>
          <cell r="F394">
            <v>96</v>
          </cell>
          <cell r="G394">
            <v>2</v>
          </cell>
          <cell r="H394">
            <v>46296</v>
          </cell>
          <cell r="I394">
            <v>40</v>
          </cell>
          <cell r="J394">
            <v>46300</v>
          </cell>
          <cell r="K394">
            <v>0.25</v>
          </cell>
          <cell r="L394" t="str">
            <v>PREENFRIO FORTALEZA</v>
          </cell>
          <cell r="M394">
            <v>1.5</v>
          </cell>
          <cell r="N394">
            <v>36</v>
          </cell>
          <cell r="O394">
            <v>46296</v>
          </cell>
          <cell r="P394">
            <v>0.73263888888888884</v>
          </cell>
          <cell r="Q394" t="str">
            <v>NORMAL</v>
          </cell>
          <cell r="R394">
            <v>46296</v>
          </cell>
          <cell r="S394">
            <v>0.72638888888888886</v>
          </cell>
          <cell r="T394">
            <v>0.20833333333333334</v>
          </cell>
          <cell r="U394">
            <v>46296.934722222228</v>
          </cell>
          <cell r="V394">
            <v>46297</v>
          </cell>
          <cell r="W394">
            <v>1.0416666666666666E-2</v>
          </cell>
          <cell r="X394" t="str">
            <v>SI CUMPLE</v>
          </cell>
          <cell r="Y394" t="str">
            <v>SI CUMPLE</v>
          </cell>
          <cell r="Z394" t="str">
            <v>COMPLETA EN NELLY</v>
          </cell>
          <cell r="AA394" t="str">
            <v>DESPACHADO</v>
          </cell>
          <cell r="AB394" t="str">
            <v>GUILLERMO PEREZ PEREZ</v>
          </cell>
          <cell r="AC394" t="str">
            <v>JOSE FRANCISCO HUERTA ABURTO</v>
          </cell>
          <cell r="AD394">
            <v>45046</v>
          </cell>
          <cell r="AE394" t="str">
            <v>QEP1W00380</v>
          </cell>
        </row>
        <row r="395">
          <cell r="A395" t="str">
            <v>Chanitos Premium Tarima Chep</v>
          </cell>
          <cell r="B395" t="str">
            <v>CPR01102</v>
          </cell>
          <cell r="C395" t="str">
            <v>A01003-400110-1</v>
          </cell>
          <cell r="D395" t="str">
            <v>A01 003 Doña Nelly</v>
          </cell>
          <cell r="E395" t="str">
            <v>SMO</v>
          </cell>
          <cell r="F395">
            <v>1152</v>
          </cell>
          <cell r="G395">
            <v>24</v>
          </cell>
          <cell r="H395">
            <v>46296</v>
          </cell>
          <cell r="I395">
            <v>40</v>
          </cell>
          <cell r="J395">
            <v>46301</v>
          </cell>
          <cell r="L395" t="str">
            <v>PREENFRIO NELLY</v>
          </cell>
          <cell r="M395">
            <v>1.5</v>
          </cell>
          <cell r="N395">
            <v>36</v>
          </cell>
          <cell r="O395">
            <v>46296</v>
          </cell>
          <cell r="P395">
            <v>0.75</v>
          </cell>
          <cell r="Q395" t="str">
            <v>ALTA</v>
          </cell>
          <cell r="R395">
            <v>46296</v>
          </cell>
          <cell r="S395">
            <v>0.41666666666666669</v>
          </cell>
          <cell r="T395">
            <v>0.35416666666666669</v>
          </cell>
          <cell r="U395">
            <v>46296.770833333328</v>
          </cell>
          <cell r="V395">
            <v>46297</v>
          </cell>
          <cell r="W395">
            <v>0.20833333333333334</v>
          </cell>
          <cell r="X395" t="str">
            <v>SI CUMPLE</v>
          </cell>
          <cell r="Y395" t="str">
            <v>SI CUMPLE</v>
          </cell>
          <cell r="AA395" t="str">
            <v>DESPACHADO</v>
          </cell>
          <cell r="AB395" t="str">
            <v>LEOPOLDO LEGORRETA LEGORRETA</v>
          </cell>
          <cell r="AC395" t="str">
            <v>ALAN ANDRES MARTINEZ LEGORRETA</v>
          </cell>
        </row>
        <row r="396">
          <cell r="A396" t="str">
            <v>Chanitos Premium Tarima Americana</v>
          </cell>
          <cell r="B396" t="str">
            <v>CPR01103</v>
          </cell>
          <cell r="C396" t="str">
            <v>A12057-400110-1</v>
          </cell>
          <cell r="D396" t="str">
            <v>A12 057 Tiquisate 1</v>
          </cell>
          <cell r="E396" t="str">
            <v>S-MTY</v>
          </cell>
          <cell r="F396">
            <v>960</v>
          </cell>
          <cell r="G396">
            <v>20</v>
          </cell>
          <cell r="H396">
            <v>46296</v>
          </cell>
          <cell r="I396">
            <v>40</v>
          </cell>
          <cell r="J396">
            <v>46300</v>
          </cell>
          <cell r="L396" t="str">
            <v>PREENFRIO NELLY</v>
          </cell>
          <cell r="M396">
            <v>3</v>
          </cell>
          <cell r="N396">
            <v>72</v>
          </cell>
          <cell r="O396">
            <v>46297</v>
          </cell>
          <cell r="P396">
            <v>0.125</v>
          </cell>
          <cell r="Q396" t="str">
            <v>ALTA</v>
          </cell>
          <cell r="R396">
            <v>46297</v>
          </cell>
          <cell r="S396">
            <v>0.33333333333333331</v>
          </cell>
          <cell r="T396">
            <v>0.4375</v>
          </cell>
          <cell r="U396">
            <v>46297.770833333336</v>
          </cell>
          <cell r="V396">
            <v>46297</v>
          </cell>
          <cell r="W396">
            <v>0.8125</v>
          </cell>
          <cell r="X396" t="str">
            <v>NO CUMPLE</v>
          </cell>
          <cell r="Y396" t="str">
            <v>NO CUMPLE</v>
          </cell>
          <cell r="AA396" t="str">
            <v>DESPACHADO</v>
          </cell>
          <cell r="AB396" t="str">
            <v>BACOCA</v>
          </cell>
          <cell r="AC396" t="str">
            <v>MARTHA ISAMAR CABELLO</v>
          </cell>
        </row>
        <row r="397">
          <cell r="A397" t="str">
            <v>Chanitos Premium EUA Tarima Americana</v>
          </cell>
          <cell r="B397" t="str">
            <v>CPR01104</v>
          </cell>
          <cell r="C397" t="str">
            <v>A25067-400110-1</v>
          </cell>
          <cell r="D397" t="str">
            <v>A25 067 El Cuerudo GT</v>
          </cell>
          <cell r="E397" t="str">
            <v>McAllen</v>
          </cell>
          <cell r="F397">
            <v>960</v>
          </cell>
          <cell r="G397">
            <v>20</v>
          </cell>
          <cell r="H397">
            <v>46296</v>
          </cell>
          <cell r="I397">
            <v>40</v>
          </cell>
          <cell r="J397">
            <v>46301</v>
          </cell>
          <cell r="L397" t="str">
            <v>PREENFRIO NELLY</v>
          </cell>
          <cell r="M397">
            <v>3</v>
          </cell>
          <cell r="N397">
            <v>72</v>
          </cell>
          <cell r="O397">
            <v>46297</v>
          </cell>
          <cell r="P397">
            <v>8.3333333333333329E-2</v>
          </cell>
          <cell r="Q397" t="str">
            <v>ALTA</v>
          </cell>
          <cell r="R397">
            <v>46297</v>
          </cell>
          <cell r="S397">
            <v>0.72916666666666663</v>
          </cell>
          <cell r="T397">
            <v>0.35416666666666669</v>
          </cell>
          <cell r="U397">
            <v>46298.083333333328</v>
          </cell>
          <cell r="V397">
            <v>46298</v>
          </cell>
          <cell r="W397">
            <v>8.3333333333333329E-2</v>
          </cell>
          <cell r="X397" t="str">
            <v>NO CUMPLE</v>
          </cell>
          <cell r="Y397" t="str">
            <v>NO CUMPLE</v>
          </cell>
          <cell r="Z397" t="str">
            <v>Sin Preenfrio</v>
          </cell>
          <cell r="AA397" t="str">
            <v>DESPACHADO</v>
          </cell>
          <cell r="AB397" t="str">
            <v>TRANSPORTES TOMATITOS</v>
          </cell>
        </row>
        <row r="398">
          <cell r="A398" t="str">
            <v>Chanitos Plantain 50lb Tarima Americana</v>
          </cell>
          <cell r="B398" t="str">
            <v>CPL08133</v>
          </cell>
          <cell r="C398" t="str">
            <v>A27073-400210-1</v>
          </cell>
          <cell r="D398" t="str">
            <v>A27 073 Plantacion</v>
          </cell>
          <cell r="E398" t="str">
            <v>McAllen</v>
          </cell>
          <cell r="F398">
            <v>840</v>
          </cell>
          <cell r="G398">
            <v>20</v>
          </cell>
          <cell r="H398">
            <v>46297</v>
          </cell>
          <cell r="I398">
            <v>40</v>
          </cell>
          <cell r="J398">
            <v>46301</v>
          </cell>
          <cell r="L398" t="str">
            <v>PREENFRIO FORTALEZA</v>
          </cell>
          <cell r="M398">
            <v>3</v>
          </cell>
          <cell r="N398">
            <v>72</v>
          </cell>
          <cell r="O398">
            <v>46297</v>
          </cell>
          <cell r="P398">
            <v>0.93958333333333333</v>
          </cell>
          <cell r="Q398" t="str">
            <v>ALTA</v>
          </cell>
          <cell r="R398">
            <v>46298</v>
          </cell>
          <cell r="S398">
            <v>0.35416666666666669</v>
          </cell>
          <cell r="T398">
            <v>0.5</v>
          </cell>
          <cell r="U398">
            <v>46298.854166666664</v>
          </cell>
          <cell r="V398">
            <v>46298</v>
          </cell>
          <cell r="W398">
            <v>0.88402777777777775</v>
          </cell>
          <cell r="X398" t="str">
            <v>NO CUMPLE</v>
          </cell>
          <cell r="Y398" t="str">
            <v>NO CUMPLE</v>
          </cell>
          <cell r="AA398" t="str">
            <v>DESPACHADO</v>
          </cell>
          <cell r="AB398" t="str">
            <v>EXPRESS CAVAZOS CANTU</v>
          </cell>
          <cell r="AC398" t="str">
            <v>EMILIO CALDERON HERNANDEZ</v>
          </cell>
          <cell r="AD398">
            <v>41074</v>
          </cell>
          <cell r="AE398" t="str">
            <v>QEP1W00XF0</v>
          </cell>
        </row>
        <row r="399">
          <cell r="A399" t="str">
            <v>Chanitos Premium Tarima Americana</v>
          </cell>
          <cell r="B399" t="str">
            <v>CPR01103</v>
          </cell>
          <cell r="C399" t="str">
            <v>Heavy</v>
          </cell>
          <cell r="D399" t="str">
            <v>Heavy</v>
          </cell>
          <cell r="E399" t="str">
            <v>S-MTY</v>
          </cell>
          <cell r="F399">
            <v>960</v>
          </cell>
          <cell r="G399">
            <v>20</v>
          </cell>
          <cell r="H399">
            <v>46296</v>
          </cell>
          <cell r="I399">
            <v>40</v>
          </cell>
          <cell r="J399">
            <v>46302</v>
          </cell>
          <cell r="L399" t="str">
            <v>PREENFRIO NELLY</v>
          </cell>
          <cell r="M399">
            <v>3</v>
          </cell>
          <cell r="N399">
            <v>72</v>
          </cell>
          <cell r="O399">
            <v>46297</v>
          </cell>
          <cell r="P399">
            <v>0.75</v>
          </cell>
          <cell r="Q399" t="str">
            <v>ALTA</v>
          </cell>
          <cell r="R399">
            <v>46298</v>
          </cell>
          <cell r="S399">
            <v>0.47916666666666669</v>
          </cell>
          <cell r="T399">
            <v>0.39583333333333331</v>
          </cell>
          <cell r="U399">
            <v>46298.875</v>
          </cell>
          <cell r="V399">
            <v>46298</v>
          </cell>
          <cell r="W399">
            <v>0.875</v>
          </cell>
          <cell r="X399" t="str">
            <v>SI CUMPLE</v>
          </cell>
          <cell r="Y399" t="str">
            <v>SI CUMPLE</v>
          </cell>
          <cell r="AA399" t="str">
            <v>DESPACHADO</v>
          </cell>
          <cell r="AB399" t="str">
            <v>AUTO EXPRESS SEGOVIA</v>
          </cell>
        </row>
        <row r="400">
          <cell r="A400" t="str">
            <v>Chanitos Premium Tarima Americana</v>
          </cell>
          <cell r="B400" t="str">
            <v>CPR01103</v>
          </cell>
          <cell r="C400" t="str">
            <v>A25022-400210-1</v>
          </cell>
          <cell r="D400" t="str">
            <v>A25 022 Doña Mildred</v>
          </cell>
          <cell r="E400" t="str">
            <v>S-MTY</v>
          </cell>
          <cell r="F400">
            <v>960</v>
          </cell>
          <cell r="G400">
            <v>20</v>
          </cell>
          <cell r="H400">
            <v>46297</v>
          </cell>
          <cell r="I400">
            <v>40</v>
          </cell>
          <cell r="J400">
            <v>46302</v>
          </cell>
          <cell r="L400" t="str">
            <v>PREENFRIO NELLY</v>
          </cell>
          <cell r="M400">
            <v>3</v>
          </cell>
          <cell r="N400">
            <v>72</v>
          </cell>
          <cell r="O400">
            <v>46297</v>
          </cell>
          <cell r="P400">
            <v>0.75</v>
          </cell>
          <cell r="Q400" t="str">
            <v>ALTA</v>
          </cell>
          <cell r="R400">
            <v>46298</v>
          </cell>
          <cell r="S400">
            <v>4.1666666666666664E-2</v>
          </cell>
          <cell r="T400">
            <v>0.4375</v>
          </cell>
          <cell r="U400">
            <v>46298.479166666664</v>
          </cell>
          <cell r="V400">
            <v>46298</v>
          </cell>
          <cell r="W400">
            <v>0.875</v>
          </cell>
          <cell r="X400" t="str">
            <v>SI CUMPLE</v>
          </cell>
          <cell r="Y400" t="str">
            <v>SI CUMPLE</v>
          </cell>
          <cell r="AA400" t="str">
            <v>DESPACHADO</v>
          </cell>
          <cell r="AB400" t="str">
            <v>AUTO EXPRESS SEGOVIA</v>
          </cell>
        </row>
        <row r="401">
          <cell r="A401" t="str">
            <v>Chanitos Premium EUA Tarima Americana</v>
          </cell>
          <cell r="B401" t="str">
            <v>CPR01104</v>
          </cell>
          <cell r="C401" t="str">
            <v>A04039-403009-1</v>
          </cell>
          <cell r="D401" t="str">
            <v>A04 039 San Jose Morelia Nava</v>
          </cell>
          <cell r="E401" t="str">
            <v>McAllen</v>
          </cell>
          <cell r="F401">
            <v>288</v>
          </cell>
          <cell r="G401">
            <v>6</v>
          </cell>
          <cell r="H401">
            <v>46295</v>
          </cell>
          <cell r="I401">
            <v>40</v>
          </cell>
          <cell r="J401">
            <v>46301</v>
          </cell>
          <cell r="L401" t="str">
            <v>PREENFRIO NELLY</v>
          </cell>
          <cell r="M401">
            <v>3</v>
          </cell>
          <cell r="N401">
            <v>72</v>
          </cell>
          <cell r="O401">
            <v>46298</v>
          </cell>
          <cell r="P401">
            <v>0.25</v>
          </cell>
          <cell r="Q401" t="str">
            <v>ALTA</v>
          </cell>
          <cell r="R401">
            <v>46298</v>
          </cell>
          <cell r="S401">
            <v>0.875</v>
          </cell>
          <cell r="T401">
            <v>0.35416666666666669</v>
          </cell>
          <cell r="U401">
            <v>46299.229166666664</v>
          </cell>
          <cell r="V401">
            <v>46298</v>
          </cell>
          <cell r="W401">
            <v>0.22916666666666666</v>
          </cell>
          <cell r="X401" t="str">
            <v>NO CUMPLE</v>
          </cell>
          <cell r="Y401" t="str">
            <v>NO CUMPLE</v>
          </cell>
          <cell r="Z401" t="str">
            <v>EMPAQUE TARDIO</v>
          </cell>
          <cell r="AA401" t="str">
            <v>DESPACHADO</v>
          </cell>
          <cell r="AB401" t="str">
            <v>EXPRESS CAVAZOS CANTU</v>
          </cell>
        </row>
        <row r="402">
          <cell r="A402" t="str">
            <v>Chanitos Premium EUA Tarima Americana</v>
          </cell>
          <cell r="B402" t="str">
            <v>CPR01104</v>
          </cell>
          <cell r="C402" t="str">
            <v>A04039-400110-1</v>
          </cell>
          <cell r="D402" t="str">
            <v>A04 039 San Jose Morelia Nava</v>
          </cell>
          <cell r="E402" t="str">
            <v>McAllen</v>
          </cell>
          <cell r="F402">
            <v>672</v>
          </cell>
          <cell r="G402">
            <v>14</v>
          </cell>
          <cell r="H402">
            <v>46296</v>
          </cell>
          <cell r="I402">
            <v>40</v>
          </cell>
          <cell r="J402">
            <v>46301</v>
          </cell>
          <cell r="L402" t="str">
            <v>PREENFRIO NELLY</v>
          </cell>
          <cell r="M402">
            <v>3</v>
          </cell>
          <cell r="N402">
            <v>72</v>
          </cell>
          <cell r="O402">
            <v>46298</v>
          </cell>
          <cell r="P402">
            <v>0.25</v>
          </cell>
          <cell r="Q402" t="str">
            <v>ALTA</v>
          </cell>
          <cell r="R402" t="str">
            <v>SIN PRENFRIO</v>
          </cell>
          <cell r="S402" t="str">
            <v>SIN PRENFRIO</v>
          </cell>
          <cell r="T402" t="str">
            <v>SIN PRENFRIO</v>
          </cell>
          <cell r="U402" t="str">
            <v>SIN PRENFRIO</v>
          </cell>
          <cell r="Y402" t="str">
            <v/>
          </cell>
          <cell r="AA402" t="str">
            <v>DESPACHADO</v>
          </cell>
          <cell r="AB402" t="str">
            <v>EXPRESS CAVAZOS CANTU</v>
          </cell>
        </row>
        <row r="403">
          <cell r="A403" t="str">
            <v>Chanitos Premium EUA Tarima Americana</v>
          </cell>
          <cell r="B403" t="str">
            <v>CPR01104</v>
          </cell>
          <cell r="C403" t="str">
            <v>A36090-400110-1</v>
          </cell>
          <cell r="D403" t="str">
            <v>A36 090 Heavy</v>
          </cell>
          <cell r="E403" t="str">
            <v>McAllen</v>
          </cell>
          <cell r="F403">
            <v>960</v>
          </cell>
          <cell r="G403">
            <v>20</v>
          </cell>
          <cell r="H403">
            <v>46296</v>
          </cell>
          <cell r="I403">
            <v>40</v>
          </cell>
          <cell r="J403">
            <v>46302</v>
          </cell>
          <cell r="L403" t="str">
            <v>PREENFRIO FORTALEZA</v>
          </cell>
          <cell r="M403">
            <v>3</v>
          </cell>
          <cell r="N403">
            <v>72</v>
          </cell>
          <cell r="O403">
            <v>46296</v>
          </cell>
          <cell r="P403">
            <v>0.6743055555555556</v>
          </cell>
          <cell r="V403">
            <v>46296</v>
          </cell>
          <cell r="W403">
            <v>0.89861111111111114</v>
          </cell>
          <cell r="X403" t="str">
            <v/>
          </cell>
          <cell r="Y403" t="str">
            <v>SI CUMPLE</v>
          </cell>
          <cell r="AA403" t="str">
            <v>DESPACHADO</v>
          </cell>
          <cell r="AB403" t="str">
            <v>TRANSPORTES ALGEZA</v>
          </cell>
          <cell r="AC403" t="str">
            <v>JOSE ALBERTO PEREZ VEGA</v>
          </cell>
          <cell r="AD403">
            <v>69167</v>
          </cell>
          <cell r="AE403" t="str">
            <v>QEP1W00XM0</v>
          </cell>
        </row>
        <row r="404">
          <cell r="A404" t="str">
            <v>Chanitos Premium Tarima Americana</v>
          </cell>
          <cell r="B404" t="str">
            <v>CPR01103</v>
          </cell>
          <cell r="C404" t="str">
            <v>A04039-403009-1</v>
          </cell>
          <cell r="D404" t="str">
            <v>A04 039 San Jose Morelia Nava</v>
          </cell>
          <cell r="E404" t="str">
            <v>S-MTY</v>
          </cell>
          <cell r="F404">
            <v>960</v>
          </cell>
          <cell r="G404">
            <v>20</v>
          </cell>
          <cell r="H404">
            <v>46296</v>
          </cell>
          <cell r="I404">
            <v>40</v>
          </cell>
          <cell r="J404">
            <v>46302</v>
          </cell>
          <cell r="L404" t="str">
            <v>PREENFRIO NELLY</v>
          </cell>
          <cell r="M404">
            <v>3</v>
          </cell>
          <cell r="N404">
            <v>72</v>
          </cell>
          <cell r="O404">
            <v>46298</v>
          </cell>
          <cell r="P404">
            <v>0.25</v>
          </cell>
          <cell r="Q404" t="str">
            <v>ALTA</v>
          </cell>
          <cell r="R404">
            <v>46298</v>
          </cell>
          <cell r="S404">
            <v>0.95833333333333337</v>
          </cell>
          <cell r="T404">
            <v>0.4375</v>
          </cell>
          <cell r="U404">
            <v>46299.395833333336</v>
          </cell>
          <cell r="V404">
            <v>46299</v>
          </cell>
          <cell r="W404">
            <v>0.51388888888888884</v>
          </cell>
          <cell r="X404" t="str">
            <v>NO CUMPLE</v>
          </cell>
          <cell r="Y404" t="str">
            <v>NO CUMPLE</v>
          </cell>
          <cell r="Z404" t="str">
            <v>EMPAQUE TARDIO</v>
          </cell>
          <cell r="AA404" t="str">
            <v>DESPACHADO</v>
          </cell>
          <cell r="AB404" t="str">
            <v>LEOPOLDO LEGORRETA LEGORRETA</v>
          </cell>
          <cell r="AC404" t="str">
            <v>ALAN ANDRES MARTINEZ LEGORRETA</v>
          </cell>
        </row>
        <row r="405">
          <cell r="A405" t="str">
            <v>Chanitos Premium EUA Tarima Americana</v>
          </cell>
          <cell r="B405" t="str">
            <v>CPR01104</v>
          </cell>
          <cell r="C405" t="str">
            <v>A06043-400110-1</v>
          </cell>
          <cell r="D405" t="str">
            <v>A06 043 Nuestra señora</v>
          </cell>
          <cell r="E405" t="str">
            <v>McAllen</v>
          </cell>
          <cell r="F405">
            <v>528</v>
          </cell>
          <cell r="G405">
            <v>11</v>
          </cell>
          <cell r="H405">
            <v>46296</v>
          </cell>
          <cell r="I405">
            <v>40</v>
          </cell>
          <cell r="J405">
            <v>46302</v>
          </cell>
          <cell r="L405" t="str">
            <v>PREENFRIO FORTALEZA</v>
          </cell>
          <cell r="M405">
            <v>3</v>
          </cell>
          <cell r="N405">
            <v>72</v>
          </cell>
          <cell r="O405">
            <v>46297</v>
          </cell>
          <cell r="P405">
            <v>0.59722222222222221</v>
          </cell>
          <cell r="Q405" t="str">
            <v>NORMAL</v>
          </cell>
          <cell r="U405" t="str">
            <v/>
          </cell>
          <cell r="V405">
            <v>46297</v>
          </cell>
          <cell r="W405">
            <v>0.83333333333333337</v>
          </cell>
          <cell r="X405" t="str">
            <v/>
          </cell>
          <cell r="Y405" t="str">
            <v>SI CUMPLE</v>
          </cell>
          <cell r="AA405" t="str">
            <v>DESPACHADO</v>
          </cell>
          <cell r="AB405" t="str">
            <v>TRANSPORTES ALGEZA</v>
          </cell>
          <cell r="AC405" t="str">
            <v>JOSE ALBERTO PEREZ VEGA</v>
          </cell>
          <cell r="AD405">
            <v>45139</v>
          </cell>
          <cell r="AE405" t="str">
            <v>QEP1W00QW0</v>
          </cell>
        </row>
        <row r="406">
          <cell r="A406" t="str">
            <v>Chanitos Premium EUA Tarima Americana</v>
          </cell>
          <cell r="B406" t="str">
            <v>CPR01104</v>
          </cell>
          <cell r="C406" t="str">
            <v>A06043-400210-1</v>
          </cell>
          <cell r="D406" t="str">
            <v>A06 043 Nuestra señora</v>
          </cell>
          <cell r="E406" t="str">
            <v>McAllen</v>
          </cell>
          <cell r="F406">
            <v>432</v>
          </cell>
          <cell r="G406">
            <v>9</v>
          </cell>
          <cell r="H406">
            <v>46297</v>
          </cell>
          <cell r="I406">
            <v>40</v>
          </cell>
          <cell r="J406">
            <v>46302</v>
          </cell>
          <cell r="L406" t="str">
            <v>PREENFRIO FORTALEZA</v>
          </cell>
          <cell r="M406">
            <v>3</v>
          </cell>
          <cell r="N406">
            <v>72</v>
          </cell>
          <cell r="O406">
            <v>46297</v>
          </cell>
          <cell r="P406">
            <v>0.59722222222222221</v>
          </cell>
          <cell r="Q406" t="str">
            <v>NORMAL</v>
          </cell>
          <cell r="U406" t="str">
            <v/>
          </cell>
          <cell r="V406">
            <v>46297</v>
          </cell>
          <cell r="W406">
            <v>0.83333333333333337</v>
          </cell>
          <cell r="X406" t="str">
            <v/>
          </cell>
          <cell r="Y406" t="str">
            <v>SI CUMPLE</v>
          </cell>
          <cell r="AA406" t="str">
            <v>DESPACHADO</v>
          </cell>
          <cell r="AB406" t="str">
            <v>TRANSPORTES ALGEZA</v>
          </cell>
          <cell r="AC406" t="str">
            <v>JOSE ALBERTO PEREZ VEGA</v>
          </cell>
          <cell r="AD406">
            <v>45139</v>
          </cell>
          <cell r="AE406" t="str">
            <v>QEP1W00QW0</v>
          </cell>
        </row>
        <row r="407">
          <cell r="A407" t="str">
            <v>Chanitos Premium Tarima Americana</v>
          </cell>
          <cell r="B407" t="str">
            <v>CPR01103</v>
          </cell>
          <cell r="C407" t="str">
            <v>A05042-400210-1</v>
          </cell>
          <cell r="D407" t="str">
            <v>A05 042 El Conde</v>
          </cell>
          <cell r="E407" t="str">
            <v>S-MTY</v>
          </cell>
          <cell r="F407">
            <v>192</v>
          </cell>
          <cell r="G407">
            <v>4</v>
          </cell>
          <cell r="H407">
            <v>46297</v>
          </cell>
          <cell r="I407">
            <v>40</v>
          </cell>
          <cell r="J407">
            <v>46302</v>
          </cell>
          <cell r="L407" t="str">
            <v>PREENFRIO NELLY</v>
          </cell>
          <cell r="M407">
            <v>3</v>
          </cell>
          <cell r="N407">
            <v>72</v>
          </cell>
          <cell r="O407">
            <v>46298</v>
          </cell>
          <cell r="P407">
            <v>0.625</v>
          </cell>
          <cell r="Q407" t="str">
            <v>ALTA</v>
          </cell>
          <cell r="R407">
            <v>46299</v>
          </cell>
          <cell r="S407">
            <v>0.9375</v>
          </cell>
          <cell r="T407">
            <v>0.4375</v>
          </cell>
          <cell r="U407">
            <v>46300.375</v>
          </cell>
          <cell r="V407">
            <v>46299</v>
          </cell>
          <cell r="W407">
            <v>0.51388888888888884</v>
          </cell>
          <cell r="X407" t="str">
            <v>NO CUMPLE</v>
          </cell>
          <cell r="Y407" t="str">
            <v>NO CUMPLE</v>
          </cell>
          <cell r="Z407" t="str">
            <v>EMPAQUE TARDIO</v>
          </cell>
          <cell r="AA407" t="str">
            <v>DESPACHADO</v>
          </cell>
          <cell r="AB407" t="str">
            <v>AUTO EXPRESS SEGOVIA</v>
          </cell>
        </row>
        <row r="408">
          <cell r="A408" t="str">
            <v>Chanitos Premium Tarima Americana</v>
          </cell>
          <cell r="B408" t="str">
            <v>CPR01103</v>
          </cell>
          <cell r="C408" t="str">
            <v>A05042-400210-1</v>
          </cell>
          <cell r="D408" t="str">
            <v>A05 042 El Conde</v>
          </cell>
          <cell r="E408" t="str">
            <v>S-MTY</v>
          </cell>
          <cell r="F408">
            <v>768</v>
          </cell>
          <cell r="G408">
            <v>16</v>
          </cell>
          <cell r="H408">
            <v>46297</v>
          </cell>
          <cell r="I408">
            <v>40</v>
          </cell>
          <cell r="J408">
            <v>46302</v>
          </cell>
          <cell r="L408" t="str">
            <v>PREENFRIO NELLY</v>
          </cell>
          <cell r="M408">
            <v>3</v>
          </cell>
          <cell r="N408">
            <v>72</v>
          </cell>
          <cell r="O408">
            <v>46298</v>
          </cell>
          <cell r="P408">
            <v>0.625</v>
          </cell>
          <cell r="Q408" t="str">
            <v>ALTA</v>
          </cell>
          <cell r="R408">
            <v>46299</v>
          </cell>
          <cell r="S408">
            <v>0.41666666666666669</v>
          </cell>
          <cell r="T408">
            <v>0.4375</v>
          </cell>
          <cell r="U408">
            <v>46299.854166666664</v>
          </cell>
          <cell r="V408">
            <v>46299</v>
          </cell>
          <cell r="W408">
            <v>0.51388888888888884</v>
          </cell>
          <cell r="X408" t="str">
            <v>NO CUMPLE</v>
          </cell>
          <cell r="Y408" t="str">
            <v>NO CUMPLE</v>
          </cell>
          <cell r="Z408" t="str">
            <v>EMPAQUE TARDIO</v>
          </cell>
          <cell r="AA408" t="str">
            <v>DESPACHADO</v>
          </cell>
          <cell r="AB408" t="str">
            <v>AUTO EXPRESS SEGOVIA</v>
          </cell>
        </row>
        <row r="409">
          <cell r="A409" t="str">
            <v>Chanitos Premium EUA Tarima Americana</v>
          </cell>
          <cell r="B409" t="str">
            <v>CPR01104</v>
          </cell>
          <cell r="C409" t="str">
            <v>A04084-400210-1</v>
          </cell>
          <cell r="D409" t="str">
            <v>A04 084 Lisboa</v>
          </cell>
          <cell r="E409" t="str">
            <v>McAllen</v>
          </cell>
          <cell r="F409">
            <v>960</v>
          </cell>
          <cell r="G409">
            <v>20</v>
          </cell>
          <cell r="H409">
            <v>46297</v>
          </cell>
          <cell r="I409">
            <v>40</v>
          </cell>
          <cell r="J409">
            <v>46303</v>
          </cell>
          <cell r="L409" t="str">
            <v>PREENFRIO NELLY</v>
          </cell>
          <cell r="M409">
            <v>3</v>
          </cell>
          <cell r="N409">
            <v>72</v>
          </cell>
          <cell r="O409">
            <v>46298</v>
          </cell>
          <cell r="P409">
            <v>0.45833333333333331</v>
          </cell>
          <cell r="Q409" t="str">
            <v>ALTA</v>
          </cell>
          <cell r="R409" t="str">
            <v>SIN PRENFRIO</v>
          </cell>
          <cell r="S409" t="str">
            <v>SIN PRENFRIO</v>
          </cell>
          <cell r="T409" t="str">
            <v>SIN PRENFRIO</v>
          </cell>
          <cell r="U409" t="str">
            <v>SIN PRENFRIO</v>
          </cell>
          <cell r="Y409" t="str">
            <v/>
          </cell>
          <cell r="AA409" t="str">
            <v>DESPACHADO</v>
          </cell>
          <cell r="AB409" t="str">
            <v>TRANSPORTES TOMATITOS</v>
          </cell>
          <cell r="AC409" t="str">
            <v>BALDEMAR RINCON</v>
          </cell>
        </row>
        <row r="410">
          <cell r="A410" t="str">
            <v>Chanitos Plantain 20Kg Tarima Chep</v>
          </cell>
          <cell r="B410" t="str">
            <v>CPL08141</v>
          </cell>
          <cell r="C410" t="str">
            <v>A27073-410510-1</v>
          </cell>
          <cell r="D410" t="str">
            <v>A27 073 Plantacion</v>
          </cell>
          <cell r="E410" t="str">
            <v>CEDA</v>
          </cell>
          <cell r="F410">
            <v>96</v>
          </cell>
          <cell r="G410">
            <v>2</v>
          </cell>
          <cell r="H410">
            <v>46300</v>
          </cell>
          <cell r="I410">
            <v>41</v>
          </cell>
          <cell r="J410">
            <v>46302</v>
          </cell>
          <cell r="L410" t="str">
            <v>PREENFRIO FORTALEZA</v>
          </cell>
          <cell r="M410">
            <v>1.5</v>
          </cell>
          <cell r="N410">
            <v>36</v>
          </cell>
          <cell r="O410">
            <v>46300</v>
          </cell>
          <cell r="P410">
            <v>0.45833333333333331</v>
          </cell>
          <cell r="Q410" t="str">
            <v>NORMAL</v>
          </cell>
          <cell r="R410">
            <v>46301</v>
          </cell>
          <cell r="S410">
            <v>0.15</v>
          </cell>
          <cell r="T410">
            <v>0.41666666666666669</v>
          </cell>
          <cell r="U410">
            <v>46301.566666666666</v>
          </cell>
          <cell r="V410">
            <v>46301</v>
          </cell>
          <cell r="W410">
            <v>0.52083333333333337</v>
          </cell>
          <cell r="X410" t="str">
            <v>NO CUMPLE</v>
          </cell>
          <cell r="Y410" t="str">
            <v>NO CUMPLE</v>
          </cell>
          <cell r="Z410" t="str">
            <v>COMPLETA EN NELLY</v>
          </cell>
          <cell r="AA410" t="str">
            <v>DESPACHADO</v>
          </cell>
          <cell r="AB410" t="str">
            <v>LETICIA LOPEZ PINEDA</v>
          </cell>
          <cell r="AC410" t="str">
            <v>FAUSTO ANTONIO LUCHO RODRIGUEZ</v>
          </cell>
          <cell r="AD410">
            <v>16867</v>
          </cell>
          <cell r="AE410" t="str">
            <v>N/A</v>
          </cell>
        </row>
        <row r="411">
          <cell r="A411" t="str">
            <v>Chanitos Plantain 20Kg Tarima Chep</v>
          </cell>
          <cell r="B411" t="str">
            <v>CPL08141</v>
          </cell>
          <cell r="C411" t="str">
            <v>A35082-410510-1</v>
          </cell>
          <cell r="D411" t="str">
            <v>A35 082 Empaque de Macho Ej Libertad</v>
          </cell>
          <cell r="E411" t="str">
            <v>CEDA</v>
          </cell>
          <cell r="F411">
            <v>336</v>
          </cell>
          <cell r="G411">
            <v>7</v>
          </cell>
          <cell r="H411">
            <v>46300</v>
          </cell>
          <cell r="I411">
            <v>41</v>
          </cell>
          <cell r="J411">
            <v>46302</v>
          </cell>
          <cell r="L411" t="str">
            <v>PREENFRIO FORTALEZA</v>
          </cell>
          <cell r="M411">
            <v>1.5</v>
          </cell>
          <cell r="N411">
            <v>36</v>
          </cell>
          <cell r="O411">
            <v>46300</v>
          </cell>
          <cell r="P411">
            <v>0.45833333333333331</v>
          </cell>
          <cell r="Q411" t="str">
            <v>NORMAL</v>
          </cell>
          <cell r="R411">
            <v>46301</v>
          </cell>
          <cell r="S411">
            <v>0.15</v>
          </cell>
          <cell r="T411">
            <v>0.41666666666666669</v>
          </cell>
          <cell r="U411">
            <v>46301.566666666666</v>
          </cell>
          <cell r="V411">
            <v>46301</v>
          </cell>
          <cell r="W411">
            <v>0.52083333333333337</v>
          </cell>
          <cell r="X411" t="str">
            <v>NO CUMPLE</v>
          </cell>
          <cell r="Y411" t="str">
            <v>NO CUMPLE</v>
          </cell>
          <cell r="Z411" t="str">
            <v>COMPLETA EN NELLY</v>
          </cell>
          <cell r="AA411" t="str">
            <v>DESPACHADO</v>
          </cell>
          <cell r="AB411" t="str">
            <v>LETICIA LOPEZ PINEDA</v>
          </cell>
          <cell r="AC411" t="str">
            <v>FAUSTO ANTONIO LUCHO RODRIGUEZ</v>
          </cell>
          <cell r="AD411">
            <v>16867</v>
          </cell>
          <cell r="AE411" t="str">
            <v>N/A</v>
          </cell>
        </row>
        <row r="412">
          <cell r="A412" t="str">
            <v>Chanitos Premium Tarima Chep</v>
          </cell>
          <cell r="B412" t="str">
            <v>CPR01102</v>
          </cell>
          <cell r="C412" t="str">
            <v>A01001-400210-1</v>
          </cell>
          <cell r="D412" t="str">
            <v>A01 001 Marbella</v>
          </cell>
          <cell r="E412" t="str">
            <v>Chalco</v>
          </cell>
          <cell r="F412">
            <v>96</v>
          </cell>
          <cell r="G412">
            <v>2</v>
          </cell>
          <cell r="H412">
            <v>46297</v>
          </cell>
          <cell r="I412">
            <v>40</v>
          </cell>
          <cell r="J412">
            <v>46303</v>
          </cell>
          <cell r="L412" t="str">
            <v>PREENFRIO FORTALEZA</v>
          </cell>
          <cell r="M412">
            <v>1</v>
          </cell>
          <cell r="N412">
            <v>24</v>
          </cell>
          <cell r="O412">
            <v>46297</v>
          </cell>
          <cell r="P412">
            <v>0.94652777777777775</v>
          </cell>
          <cell r="Q412" t="str">
            <v>NORMAL</v>
          </cell>
          <cell r="R412">
            <v>46299</v>
          </cell>
          <cell r="S412">
            <v>0.33333333333333331</v>
          </cell>
          <cell r="T412">
            <v>0.625</v>
          </cell>
          <cell r="U412">
            <v>46299.958333333336</v>
          </cell>
          <cell r="V412">
            <v>46300</v>
          </cell>
          <cell r="W412">
            <v>2.0833333333333332E-2</v>
          </cell>
          <cell r="X412" t="str">
            <v>SI CUMPLE</v>
          </cell>
          <cell r="Y412" t="str">
            <v>SI CUMPLE</v>
          </cell>
          <cell r="AA412" t="str">
            <v>DESPACHADO</v>
          </cell>
          <cell r="AB412" t="str">
            <v>SAUL ALEJNDRO</v>
          </cell>
          <cell r="AC412" t="str">
            <v>Jesus Fuentes Espinoza</v>
          </cell>
          <cell r="AD412">
            <v>17921</v>
          </cell>
          <cell r="AE412" t="str">
            <v>QEP1W00YC0</v>
          </cell>
        </row>
        <row r="413">
          <cell r="A413" t="str">
            <v>Chanitos Premium Tarima Chep</v>
          </cell>
          <cell r="B413" t="str">
            <v>CPR01102</v>
          </cell>
          <cell r="C413" t="str">
            <v>A01002-400110-1</v>
          </cell>
          <cell r="D413" t="str">
            <v>A01 002 Fortaleza</v>
          </cell>
          <cell r="E413" t="str">
            <v>Chalco</v>
          </cell>
          <cell r="F413">
            <v>96</v>
          </cell>
          <cell r="G413">
            <v>2</v>
          </cell>
          <cell r="H413">
            <v>46296</v>
          </cell>
          <cell r="I413">
            <v>40</v>
          </cell>
          <cell r="J413">
            <v>46303</v>
          </cell>
          <cell r="L413" t="str">
            <v>PREENFRIO FORTALEZA</v>
          </cell>
          <cell r="M413">
            <v>1</v>
          </cell>
          <cell r="N413">
            <v>24</v>
          </cell>
          <cell r="O413">
            <v>46296</v>
          </cell>
          <cell r="P413">
            <v>0.73263888888888884</v>
          </cell>
          <cell r="Q413" t="str">
            <v>NORMAL</v>
          </cell>
          <cell r="R413">
            <v>46299</v>
          </cell>
          <cell r="S413">
            <v>0.33333333333333331</v>
          </cell>
          <cell r="T413">
            <v>0.625</v>
          </cell>
          <cell r="U413">
            <v>46299.958333333336</v>
          </cell>
          <cell r="V413">
            <v>46300</v>
          </cell>
          <cell r="W413">
            <v>2.0833333333333332E-2</v>
          </cell>
          <cell r="X413" t="str">
            <v>SI CUMPLE</v>
          </cell>
          <cell r="Y413" t="str">
            <v>SI CUMPLE</v>
          </cell>
          <cell r="AA413" t="str">
            <v>DESPACHADO</v>
          </cell>
          <cell r="AB413" t="str">
            <v>SAUL ALEJNDRO</v>
          </cell>
          <cell r="AC413" t="str">
            <v>Jesus Fuentes Espinoza</v>
          </cell>
          <cell r="AD413">
            <v>17921</v>
          </cell>
          <cell r="AE413" t="str">
            <v>QEP1W00YC0</v>
          </cell>
        </row>
        <row r="414">
          <cell r="A414" t="str">
            <v>Chanitos Premium Tarima Chep</v>
          </cell>
          <cell r="B414" t="str">
            <v>CPR01102</v>
          </cell>
          <cell r="C414" t="str">
            <v>A01001-400110-1</v>
          </cell>
          <cell r="D414" t="str">
            <v>A01 001 Marbella</v>
          </cell>
          <cell r="E414" t="str">
            <v>SMO</v>
          </cell>
          <cell r="F414">
            <v>96</v>
          </cell>
          <cell r="G414">
            <v>2</v>
          </cell>
          <cell r="H414">
            <v>46296</v>
          </cell>
          <cell r="I414">
            <v>40</v>
          </cell>
          <cell r="J414">
            <v>46303</v>
          </cell>
          <cell r="L414" t="str">
            <v>PREENFRIO FORTALEZA</v>
          </cell>
          <cell r="M414">
            <v>1.5</v>
          </cell>
          <cell r="N414">
            <v>36</v>
          </cell>
          <cell r="O414">
            <v>46297</v>
          </cell>
          <cell r="P414">
            <v>0.94652777777777775</v>
          </cell>
          <cell r="Q414" t="str">
            <v>NORMAL</v>
          </cell>
          <cell r="R414">
            <v>46299</v>
          </cell>
          <cell r="S414">
            <v>0.80347222222222225</v>
          </cell>
          <cell r="T414">
            <v>0.41666666666666669</v>
          </cell>
          <cell r="U414">
            <v>46300.220138888886</v>
          </cell>
          <cell r="V414">
            <v>46301</v>
          </cell>
          <cell r="W414">
            <v>0.10625</v>
          </cell>
          <cell r="X414" t="str">
            <v>SI CUMPLE</v>
          </cell>
          <cell r="Y414" t="str">
            <v>SI CUMPLE</v>
          </cell>
          <cell r="AA414" t="str">
            <v>DESPACHADO</v>
          </cell>
          <cell r="AB414" t="str">
            <v>JONATHAN CARRILLO</v>
          </cell>
          <cell r="AC414" t="str">
            <v>CESAR URIEL SANCHEZ</v>
          </cell>
          <cell r="AD414">
            <v>40651</v>
          </cell>
          <cell r="AE414" t="str">
            <v>QF91W044D0</v>
          </cell>
        </row>
        <row r="415">
          <cell r="A415" t="str">
            <v>Chanitos Premium Tarima Chep</v>
          </cell>
          <cell r="B415" t="str">
            <v>CPR01102</v>
          </cell>
          <cell r="C415" t="str">
            <v>A01001-400210-1</v>
          </cell>
          <cell r="D415" t="str">
            <v>A01 001 Marbella</v>
          </cell>
          <cell r="E415" t="str">
            <v>SMO</v>
          </cell>
          <cell r="F415">
            <v>144</v>
          </cell>
          <cell r="G415">
            <v>3</v>
          </cell>
          <cell r="H415">
            <v>46297</v>
          </cell>
          <cell r="I415">
            <v>40</v>
          </cell>
          <cell r="J415">
            <v>46303</v>
          </cell>
          <cell r="L415" t="str">
            <v>PREENFRIO FORTALEZA</v>
          </cell>
          <cell r="M415">
            <v>1.5</v>
          </cell>
          <cell r="N415">
            <v>36</v>
          </cell>
          <cell r="O415">
            <v>46297</v>
          </cell>
          <cell r="P415">
            <v>0.94652777777777775</v>
          </cell>
          <cell r="Q415" t="str">
            <v>NORMAL</v>
          </cell>
          <cell r="R415">
            <v>46299</v>
          </cell>
          <cell r="S415">
            <v>0.80347222222222225</v>
          </cell>
          <cell r="T415">
            <v>0.41666666666666669</v>
          </cell>
          <cell r="U415">
            <v>46300.220138888886</v>
          </cell>
          <cell r="V415">
            <v>46301</v>
          </cell>
          <cell r="W415">
            <v>0.10625</v>
          </cell>
          <cell r="X415" t="str">
            <v>SI CUMPLE</v>
          </cell>
          <cell r="Y415" t="str">
            <v>SI CUMPLE</v>
          </cell>
          <cell r="AA415" t="str">
            <v>DESPACHADO</v>
          </cell>
          <cell r="AB415" t="str">
            <v>JONATHAN CARRILLO</v>
          </cell>
          <cell r="AC415" t="str">
            <v>CESAR URIEL SANCHEZ</v>
          </cell>
          <cell r="AD415">
            <v>40651</v>
          </cell>
          <cell r="AE415" t="str">
            <v>QF91W044D0</v>
          </cell>
        </row>
        <row r="416">
          <cell r="A416" t="str">
            <v>Chanitos Premium EUA Tarima Americana</v>
          </cell>
          <cell r="B416" t="str">
            <v>CPR01104</v>
          </cell>
          <cell r="C416" t="str">
            <v>A01001-400210-1</v>
          </cell>
          <cell r="D416" t="str">
            <v>A01 001 Marbella</v>
          </cell>
          <cell r="E416" t="str">
            <v>McAllen</v>
          </cell>
          <cell r="F416">
            <v>816</v>
          </cell>
          <cell r="G416">
            <v>17</v>
          </cell>
          <cell r="H416">
            <v>46297</v>
          </cell>
          <cell r="I416">
            <v>40</v>
          </cell>
          <cell r="J416">
            <v>46303</v>
          </cell>
          <cell r="L416" t="str">
            <v>PREENFRIO FORTALEZA</v>
          </cell>
          <cell r="M416">
            <v>3</v>
          </cell>
          <cell r="N416">
            <v>72</v>
          </cell>
          <cell r="O416">
            <v>46297</v>
          </cell>
          <cell r="P416">
            <v>0.94652777777777775</v>
          </cell>
          <cell r="U416" t="str">
            <v/>
          </cell>
          <cell r="V416">
            <v>46299</v>
          </cell>
          <cell r="W416">
            <v>0.41666666666666669</v>
          </cell>
          <cell r="X416" t="str">
            <v/>
          </cell>
          <cell r="Y416" t="str">
            <v>SI CUMPLE</v>
          </cell>
          <cell r="AA416" t="str">
            <v>DESPACHADO</v>
          </cell>
          <cell r="AB416" t="str">
            <v>TRANSPORTES TOMATITOS</v>
          </cell>
          <cell r="AC416" t="str">
            <v>ALBERTO LEAL</v>
          </cell>
          <cell r="AD416">
            <v>47042</v>
          </cell>
          <cell r="AE416" t="str">
            <v>QEP1W00WR0</v>
          </cell>
        </row>
        <row r="417">
          <cell r="A417" t="str">
            <v>Platano de Chiapas BAE UPC 3237</v>
          </cell>
          <cell r="B417" t="str">
            <v>CPR01114</v>
          </cell>
          <cell r="C417" t="str">
            <v>A01002-400210-1</v>
          </cell>
          <cell r="D417" t="str">
            <v>A01 002 Fortaleza</v>
          </cell>
          <cell r="E417" t="str">
            <v>Chalco</v>
          </cell>
          <cell r="F417">
            <v>60</v>
          </cell>
          <cell r="G417">
            <v>1.25</v>
          </cell>
          <cell r="H417">
            <v>46297</v>
          </cell>
          <cell r="I417">
            <v>40</v>
          </cell>
          <cell r="J417">
            <v>46303</v>
          </cell>
          <cell r="L417" t="str">
            <v>PREENFRIO FORTALEZA</v>
          </cell>
          <cell r="M417">
            <v>1</v>
          </cell>
          <cell r="N417">
            <v>24</v>
          </cell>
          <cell r="O417">
            <v>46297</v>
          </cell>
          <cell r="P417">
            <v>0.70208333333333328</v>
          </cell>
          <cell r="Q417" t="str">
            <v>NORMAL</v>
          </cell>
          <cell r="R417">
            <v>46299</v>
          </cell>
          <cell r="S417">
            <v>0.33333333333333331</v>
          </cell>
          <cell r="T417">
            <v>0.625</v>
          </cell>
          <cell r="U417">
            <v>46299.958333333336</v>
          </cell>
          <cell r="V417">
            <v>46300</v>
          </cell>
          <cell r="W417">
            <v>2.0833333333333332E-2</v>
          </cell>
          <cell r="X417" t="str">
            <v>SI CUMPLE</v>
          </cell>
          <cell r="Y417" t="str">
            <v>SI CUMPLE</v>
          </cell>
          <cell r="AA417" t="str">
            <v>DESPACHADO</v>
          </cell>
          <cell r="AB417" t="str">
            <v>SAUL ALEJNDRO</v>
          </cell>
          <cell r="AC417" t="str">
            <v>Jesus Fuentes Espinoza</v>
          </cell>
          <cell r="AD417">
            <v>17921</v>
          </cell>
          <cell r="AE417" t="str">
            <v>QEP1W00YC0</v>
          </cell>
        </row>
        <row r="418">
          <cell r="A418" t="str">
            <v>Chanitos Premium EUA Tarima Americana</v>
          </cell>
          <cell r="B418" t="str">
            <v>CPR01104</v>
          </cell>
          <cell r="C418" t="str">
            <v>A04084-400310-1</v>
          </cell>
          <cell r="D418" t="str">
            <v>A04 084 Lisboa</v>
          </cell>
          <cell r="E418" t="str">
            <v>McAllen</v>
          </cell>
          <cell r="F418">
            <v>240</v>
          </cell>
          <cell r="G418">
            <v>5</v>
          </cell>
          <cell r="H418">
            <v>46298</v>
          </cell>
          <cell r="I418">
            <v>40</v>
          </cell>
          <cell r="J418">
            <v>46303</v>
          </cell>
          <cell r="L418" t="str">
            <v>PREENFRIO NELLY</v>
          </cell>
          <cell r="M418">
            <v>3</v>
          </cell>
          <cell r="N418">
            <v>72</v>
          </cell>
          <cell r="O418">
            <v>46298</v>
          </cell>
          <cell r="P418">
            <v>0.61805555555555558</v>
          </cell>
          <cell r="Q418" t="str">
            <v>ALTA</v>
          </cell>
          <cell r="R418" t="str">
            <v>SIN PRENFRIO</v>
          </cell>
          <cell r="S418" t="str">
            <v>SIN PRENFRIO</v>
          </cell>
          <cell r="T418" t="str">
            <v>SIN PRENFRIO</v>
          </cell>
          <cell r="U418" t="str">
            <v>SIN PRENFRIO</v>
          </cell>
          <cell r="Y418" t="str">
            <v/>
          </cell>
          <cell r="AA418" t="str">
            <v>DESPACHADO</v>
          </cell>
          <cell r="AB418" t="str">
            <v>TRANSPORTES TOMATITOS</v>
          </cell>
        </row>
        <row r="419">
          <cell r="A419" t="str">
            <v>Chanitos Premium Tarima Chep</v>
          </cell>
          <cell r="B419" t="str">
            <v>CPR01102</v>
          </cell>
          <cell r="C419" t="str">
            <v>A01002-400210-1</v>
          </cell>
          <cell r="D419" t="str">
            <v>A01 002 Fortaleza</v>
          </cell>
          <cell r="E419" t="str">
            <v>Chalco</v>
          </cell>
          <cell r="F419">
            <v>900</v>
          </cell>
          <cell r="G419">
            <v>19</v>
          </cell>
          <cell r="H419">
            <v>46297</v>
          </cell>
          <cell r="I419">
            <v>40</v>
          </cell>
          <cell r="J419">
            <v>46303</v>
          </cell>
          <cell r="L419" t="str">
            <v>PREENFRIO FORTALEZA</v>
          </cell>
          <cell r="M419">
            <v>1</v>
          </cell>
          <cell r="N419">
            <v>24</v>
          </cell>
          <cell r="O419">
            <v>46297</v>
          </cell>
          <cell r="P419">
            <v>0.70208333333333328</v>
          </cell>
          <cell r="Q419" t="str">
            <v>NORMAL</v>
          </cell>
          <cell r="R419">
            <v>46299</v>
          </cell>
          <cell r="S419">
            <v>0.33333333333333331</v>
          </cell>
          <cell r="T419">
            <v>0.625</v>
          </cell>
          <cell r="U419">
            <v>46299.958333333336</v>
          </cell>
          <cell r="V419">
            <v>46300</v>
          </cell>
          <cell r="W419">
            <v>2.0833333333333332E-2</v>
          </cell>
          <cell r="X419" t="str">
            <v>SI CUMPLE</v>
          </cell>
          <cell r="Y419" t="str">
            <v>SI CUMPLE</v>
          </cell>
          <cell r="AA419" t="str">
            <v>DESPACHADO</v>
          </cell>
          <cell r="AB419" t="str">
            <v>SAUL ALEJNDRO</v>
          </cell>
          <cell r="AC419" t="str">
            <v>Jesus Fuentes Espinoza</v>
          </cell>
          <cell r="AD419">
            <v>17921</v>
          </cell>
          <cell r="AE419" t="str">
            <v>QEP1W00YC0</v>
          </cell>
        </row>
        <row r="420">
          <cell r="A420" t="str">
            <v>Chanitos Premium EUA Tarima Americana</v>
          </cell>
          <cell r="B420" t="str">
            <v>CPR01104</v>
          </cell>
          <cell r="C420" t="str">
            <v>A01001-400310-1</v>
          </cell>
          <cell r="D420" t="str">
            <v>A01 001 Marbella</v>
          </cell>
          <cell r="E420" t="str">
            <v>McAllen</v>
          </cell>
          <cell r="F420">
            <v>144</v>
          </cell>
          <cell r="G420">
            <v>3</v>
          </cell>
          <cell r="H420">
            <v>46298</v>
          </cell>
          <cell r="I420">
            <v>40</v>
          </cell>
          <cell r="J420">
            <v>46303</v>
          </cell>
          <cell r="L420" t="str">
            <v>DIRECTO SIN PREENFRIO</v>
          </cell>
          <cell r="M420">
            <v>3</v>
          </cell>
          <cell r="N420">
            <v>72</v>
          </cell>
          <cell r="O420">
            <v>46298</v>
          </cell>
          <cell r="P420">
            <v>0.61805555555555558</v>
          </cell>
          <cell r="Q420" t="str">
            <v>ALTA</v>
          </cell>
          <cell r="R420" t="str">
            <v>SIN PRENFRIO</v>
          </cell>
          <cell r="S420" t="str">
            <v>SIN PRENFRIO</v>
          </cell>
          <cell r="T420" t="str">
            <v>N/A</v>
          </cell>
          <cell r="U420" t="str">
            <v>SIN PRENFRIO</v>
          </cell>
          <cell r="V420">
            <v>46299</v>
          </cell>
          <cell r="W420">
            <v>0.41666666666666669</v>
          </cell>
          <cell r="Y420" t="str">
            <v>SI CUMPLE</v>
          </cell>
          <cell r="AA420" t="str">
            <v>DESPACHADO</v>
          </cell>
          <cell r="AB420" t="str">
            <v>TRANSPORTES TOMATITOS</v>
          </cell>
          <cell r="AC420" t="str">
            <v>ALBERTO LEAL</v>
          </cell>
          <cell r="AD420">
            <v>47042</v>
          </cell>
          <cell r="AE420" t="str">
            <v>QEP1W00WR0</v>
          </cell>
        </row>
        <row r="421">
          <cell r="A421" t="str">
            <v>Chanitos Premium Tarima Chep</v>
          </cell>
          <cell r="B421" t="str">
            <v>CPR01102</v>
          </cell>
          <cell r="C421" t="str">
            <v>A01002-400310-1</v>
          </cell>
          <cell r="D421" t="str">
            <v>A01 002 Fortaleza</v>
          </cell>
          <cell r="E421" t="str">
            <v>SMO</v>
          </cell>
          <cell r="F421">
            <v>240</v>
          </cell>
          <cell r="G421">
            <v>5</v>
          </cell>
          <cell r="H421">
            <v>46298</v>
          </cell>
          <cell r="I421">
            <v>40</v>
          </cell>
          <cell r="J421">
            <v>46303</v>
          </cell>
          <cell r="L421" t="str">
            <v>PREENFRIO FORTALEZA</v>
          </cell>
          <cell r="M421">
            <v>1.5</v>
          </cell>
          <cell r="N421">
            <v>36</v>
          </cell>
          <cell r="O421">
            <v>46298</v>
          </cell>
          <cell r="P421">
            <v>0.70208333333333328</v>
          </cell>
          <cell r="Q421" t="str">
            <v>NORMAL</v>
          </cell>
          <cell r="R421">
            <v>46299</v>
          </cell>
          <cell r="S421">
            <v>0.80347222222222225</v>
          </cell>
          <cell r="T421">
            <v>0.41666666666666669</v>
          </cell>
          <cell r="U421">
            <v>46300.220138888886</v>
          </cell>
          <cell r="V421">
            <v>46301</v>
          </cell>
          <cell r="W421">
            <v>0.10625</v>
          </cell>
          <cell r="X421" t="str">
            <v>SI CUMPLE</v>
          </cell>
          <cell r="Y421" t="str">
            <v>SI CUMPLE</v>
          </cell>
          <cell r="AA421" t="str">
            <v>DESPACHADO</v>
          </cell>
          <cell r="AB421" t="str">
            <v>JONATHAN CARRILLO</v>
          </cell>
          <cell r="AC421" t="str">
            <v>CESAR URIEL SANCHEZ</v>
          </cell>
          <cell r="AD421">
            <v>40651</v>
          </cell>
          <cell r="AE421" t="str">
            <v>QF91W044D0</v>
          </cell>
        </row>
        <row r="422">
          <cell r="A422" t="str">
            <v>Chanitos Premium Tarima Chep</v>
          </cell>
          <cell r="B422" t="str">
            <v>CPR01102</v>
          </cell>
          <cell r="C422" t="str">
            <v>A01002-400310-1</v>
          </cell>
          <cell r="D422" t="str">
            <v>A01 002 Fortaleza</v>
          </cell>
          <cell r="E422" t="str">
            <v>VSA</v>
          </cell>
          <cell r="F422">
            <v>816</v>
          </cell>
          <cell r="G422">
            <v>17</v>
          </cell>
          <cell r="H422">
            <v>46298</v>
          </cell>
          <cell r="I422">
            <v>40</v>
          </cell>
          <cell r="J422">
            <v>46303</v>
          </cell>
          <cell r="L422" t="str">
            <v>PREENFRIO FORTALEZA</v>
          </cell>
          <cell r="M422">
            <v>1</v>
          </cell>
          <cell r="N422">
            <v>24</v>
          </cell>
          <cell r="O422">
            <v>46298</v>
          </cell>
          <cell r="P422">
            <v>0.70208333333333328</v>
          </cell>
          <cell r="Q422" t="str">
            <v>NORMAL</v>
          </cell>
          <cell r="R422">
            <v>46300</v>
          </cell>
          <cell r="S422">
            <v>0.70138888888888884</v>
          </cell>
          <cell r="T422">
            <v>0.83333333333333337</v>
          </cell>
          <cell r="U422">
            <v>46301.534722222226</v>
          </cell>
          <cell r="V422">
            <v>46301</v>
          </cell>
          <cell r="W422">
            <v>0.65625</v>
          </cell>
          <cell r="X422" t="str">
            <v>SI CUMPLE</v>
          </cell>
          <cell r="Y422" t="str">
            <v>SI CUMPLE</v>
          </cell>
          <cell r="AA422" t="str">
            <v>DESPACHADO</v>
          </cell>
          <cell r="AB422" t="str">
            <v>GENARO IBAÑEZ</v>
          </cell>
          <cell r="AC422" t="str">
            <v>ALEJANDRO BARRALES OLIVARES</v>
          </cell>
          <cell r="AD422">
            <v>71173</v>
          </cell>
          <cell r="AE422" t="str">
            <v>QF91W043X0</v>
          </cell>
        </row>
        <row r="423">
          <cell r="A423" t="str">
            <v>Chanitos Organic Banded Market Side Mexico</v>
          </cell>
          <cell r="B423" t="str">
            <v>CRG07128</v>
          </cell>
          <cell r="C423" t="str">
            <v>A01002-400310-1</v>
          </cell>
          <cell r="D423" t="str">
            <v>A01 002 Fortaleza</v>
          </cell>
          <cell r="E423" t="str">
            <v>VSA</v>
          </cell>
          <cell r="F423">
            <v>240</v>
          </cell>
          <cell r="G423">
            <v>5</v>
          </cell>
          <cell r="H423">
            <v>46298</v>
          </cell>
          <cell r="I423">
            <v>40</v>
          </cell>
          <cell r="J423">
            <v>46303</v>
          </cell>
          <cell r="L423" t="str">
            <v>PREENFRIO FORTALEZA</v>
          </cell>
          <cell r="M423">
            <v>1</v>
          </cell>
          <cell r="N423">
            <v>24</v>
          </cell>
          <cell r="O423">
            <v>46298</v>
          </cell>
          <cell r="P423">
            <v>0.70208333333333328</v>
          </cell>
          <cell r="Q423" t="str">
            <v>NORMAL</v>
          </cell>
          <cell r="R423">
            <v>46300</v>
          </cell>
          <cell r="S423">
            <v>0.70138888888888884</v>
          </cell>
          <cell r="T423">
            <v>0.83333333333333337</v>
          </cell>
          <cell r="U423">
            <v>46301.534722222226</v>
          </cell>
          <cell r="V423">
            <v>46301</v>
          </cell>
          <cell r="W423">
            <v>0.65625</v>
          </cell>
          <cell r="X423" t="str">
            <v>SI CUMPLE</v>
          </cell>
          <cell r="Y423" t="str">
            <v>SI CUMPLE</v>
          </cell>
          <cell r="AA423" t="str">
            <v>DESPACHADO</v>
          </cell>
          <cell r="AB423" t="str">
            <v>GENARO IBAÑEZ</v>
          </cell>
          <cell r="AC423" t="str">
            <v>ALEJANDRO BARRALES OLIVARES</v>
          </cell>
          <cell r="AD423">
            <v>71173</v>
          </cell>
          <cell r="AE423" t="str">
            <v>QF91W043X0</v>
          </cell>
        </row>
        <row r="424">
          <cell r="A424" t="str">
            <v>Chanitos Premium Tarima Chep</v>
          </cell>
          <cell r="B424" t="str">
            <v>CPR01102</v>
          </cell>
          <cell r="C424" t="str">
            <v>A01003-400310-1</v>
          </cell>
          <cell r="D424" t="str">
            <v>A01 003 Doña Nelly</v>
          </cell>
          <cell r="E424" t="str">
            <v>SMO</v>
          </cell>
          <cell r="F424">
            <v>384</v>
          </cell>
          <cell r="G424">
            <v>8</v>
          </cell>
          <cell r="H424">
            <v>46298</v>
          </cell>
          <cell r="I424">
            <v>40</v>
          </cell>
          <cell r="J424">
            <v>46303</v>
          </cell>
          <cell r="L424" t="str">
            <v>PREENFRIO NELLY</v>
          </cell>
          <cell r="M424">
            <v>1.5</v>
          </cell>
          <cell r="N424">
            <v>36</v>
          </cell>
          <cell r="O424">
            <v>46298</v>
          </cell>
          <cell r="P424">
            <v>0.61805555555555558</v>
          </cell>
          <cell r="Q424" t="str">
            <v>ALTA</v>
          </cell>
          <cell r="R424">
            <v>46300</v>
          </cell>
          <cell r="S424">
            <v>9.7222222222222224E-2</v>
          </cell>
          <cell r="T424">
            <v>0.35416666666666669</v>
          </cell>
          <cell r="U424">
            <v>46300.451388888883</v>
          </cell>
          <cell r="V424">
            <v>46301</v>
          </cell>
          <cell r="W424">
            <v>0.33333333333333331</v>
          </cell>
          <cell r="X424" t="str">
            <v>SI CUMPLE</v>
          </cell>
          <cell r="Y424" t="str">
            <v>SI CUMPLE</v>
          </cell>
          <cell r="AA424" t="str">
            <v>DESPACHADO</v>
          </cell>
        </row>
        <row r="425">
          <cell r="A425" t="str">
            <v>Chanitos Premium Tarima Chep</v>
          </cell>
          <cell r="B425" t="str">
            <v>CPR01102</v>
          </cell>
          <cell r="C425" t="str">
            <v>A01001-400310-1</v>
          </cell>
          <cell r="D425" t="str">
            <v>A01 001 Marbella</v>
          </cell>
          <cell r="E425" t="str">
            <v>SMO</v>
          </cell>
          <cell r="F425">
            <v>288</v>
          </cell>
          <cell r="G425">
            <v>6</v>
          </cell>
          <cell r="H425">
            <v>46298</v>
          </cell>
          <cell r="I425">
            <v>40</v>
          </cell>
          <cell r="J425">
            <v>46303</v>
          </cell>
          <cell r="L425" t="str">
            <v>PREENFRIO FORTALEZA</v>
          </cell>
          <cell r="M425">
            <v>1.5</v>
          </cell>
          <cell r="N425">
            <v>36</v>
          </cell>
          <cell r="O425">
            <v>46298</v>
          </cell>
          <cell r="P425">
            <v>0.94513888888888886</v>
          </cell>
          <cell r="Q425" t="str">
            <v>NORMAL</v>
          </cell>
          <cell r="R425">
            <v>46299</v>
          </cell>
          <cell r="S425">
            <v>0.80347222222222225</v>
          </cell>
          <cell r="T425">
            <v>0.41666666666666669</v>
          </cell>
          <cell r="U425">
            <v>46300.220138888886</v>
          </cell>
          <cell r="V425">
            <v>46301</v>
          </cell>
          <cell r="W425">
            <v>0.10625</v>
          </cell>
          <cell r="X425" t="str">
            <v>SI CUMPLE</v>
          </cell>
          <cell r="Y425" t="str">
            <v>SI CUMPLE</v>
          </cell>
          <cell r="AA425" t="str">
            <v>DESPACHADO</v>
          </cell>
          <cell r="AB425" t="str">
            <v>JONATHAN CARRILLO</v>
          </cell>
          <cell r="AC425" t="str">
            <v>CESAR URIEL SANCHEZ</v>
          </cell>
          <cell r="AD425">
            <v>40651</v>
          </cell>
          <cell r="AE425" t="str">
            <v>QF91W044D0</v>
          </cell>
        </row>
        <row r="426">
          <cell r="A426" t="str">
            <v>Chanitos Premium Tarima Americana</v>
          </cell>
          <cell r="B426" t="str">
            <v>CPR01103</v>
          </cell>
          <cell r="C426" t="str">
            <v>A01002-400210-1</v>
          </cell>
          <cell r="D426" t="str">
            <v>A01 002 Fortaleza</v>
          </cell>
          <cell r="E426" t="str">
            <v>Ciudad Juarez</v>
          </cell>
          <cell r="F426">
            <v>624</v>
          </cell>
          <cell r="G426">
            <v>13</v>
          </cell>
          <cell r="H426">
            <v>46297</v>
          </cell>
          <cell r="I426">
            <v>40</v>
          </cell>
          <cell r="J426">
            <v>46304</v>
          </cell>
          <cell r="L426" t="str">
            <v>PREENFRIO NELLY</v>
          </cell>
          <cell r="M426">
            <v>4</v>
          </cell>
          <cell r="N426">
            <v>96</v>
          </cell>
          <cell r="O426">
            <v>46298</v>
          </cell>
          <cell r="P426">
            <v>0.45833333333333331</v>
          </cell>
          <cell r="Q426" t="str">
            <v>ALTA</v>
          </cell>
          <cell r="R426">
            <v>46299</v>
          </cell>
          <cell r="S426">
            <v>0.9375</v>
          </cell>
          <cell r="T426">
            <v>0.4375</v>
          </cell>
          <cell r="U426">
            <v>46300.375</v>
          </cell>
          <cell r="V426">
            <v>46300</v>
          </cell>
          <cell r="W426">
            <v>8.3333333333333329E-2</v>
          </cell>
          <cell r="X426" t="str">
            <v>NO CUMPLE</v>
          </cell>
          <cell r="Y426" t="str">
            <v>NO CUMPLE</v>
          </cell>
          <cell r="AA426" t="str">
            <v>DESPACHADO</v>
          </cell>
          <cell r="AB426" t="str">
            <v>AUTO EXPRESS SEGOVIA</v>
          </cell>
        </row>
        <row r="427">
          <cell r="A427" t="str">
            <v>Chanitos Premium Tarima Chep</v>
          </cell>
          <cell r="B427" t="str">
            <v>CPR01102</v>
          </cell>
          <cell r="C427" t="str">
            <v>A01002-410510-1</v>
          </cell>
          <cell r="D427" t="str">
            <v>A01 002 Fortaleza</v>
          </cell>
          <cell r="E427" t="str">
            <v>VSA</v>
          </cell>
          <cell r="F427">
            <v>96</v>
          </cell>
          <cell r="G427">
            <v>2</v>
          </cell>
          <cell r="H427">
            <v>46300</v>
          </cell>
          <cell r="I427">
            <v>41</v>
          </cell>
          <cell r="J427">
            <v>46303</v>
          </cell>
          <cell r="L427" t="str">
            <v>PREENFRIO FORTALEZA</v>
          </cell>
          <cell r="M427">
            <v>1</v>
          </cell>
          <cell r="N427">
            <v>24</v>
          </cell>
          <cell r="O427">
            <v>46300</v>
          </cell>
          <cell r="P427">
            <v>0.71875</v>
          </cell>
          <cell r="Q427" t="str">
            <v>NORMAL</v>
          </cell>
          <cell r="R427">
            <v>46300</v>
          </cell>
          <cell r="S427">
            <v>0.70138888888888884</v>
          </cell>
          <cell r="T427">
            <v>0.83333333333333337</v>
          </cell>
          <cell r="U427">
            <v>46301.534722222226</v>
          </cell>
          <cell r="V427">
            <v>46301</v>
          </cell>
          <cell r="W427">
            <v>0.65625</v>
          </cell>
          <cell r="X427" t="str">
            <v>SI CUMPLE</v>
          </cell>
          <cell r="Y427" t="str">
            <v>SI CUMPLE</v>
          </cell>
          <cell r="AA427" t="str">
            <v>DESPACHADO</v>
          </cell>
          <cell r="AB427" t="str">
            <v>GENARO IBAÑEZ</v>
          </cell>
          <cell r="AC427" t="str">
            <v>ALEJANDRO BARRALES OLIVARES</v>
          </cell>
          <cell r="AD427">
            <v>71173</v>
          </cell>
          <cell r="AE427" t="str">
            <v>QF91W043X0</v>
          </cell>
        </row>
        <row r="428">
          <cell r="A428" t="str">
            <v>Chanitos Premium Tarima Chep</v>
          </cell>
          <cell r="B428" t="str">
            <v>CPR01102</v>
          </cell>
          <cell r="C428" t="str">
            <v>A04039-400210-1</v>
          </cell>
          <cell r="D428" t="str">
            <v>A04 039 San Jose Morelia Nava</v>
          </cell>
          <cell r="E428" t="str">
            <v>QRO</v>
          </cell>
          <cell r="F428">
            <v>1056</v>
          </cell>
          <cell r="G428">
            <v>22</v>
          </cell>
          <cell r="H428">
            <v>46297</v>
          </cell>
          <cell r="I428">
            <v>40</v>
          </cell>
          <cell r="J428">
            <v>46304</v>
          </cell>
          <cell r="L428" t="str">
            <v>PREENFRIO FORTALEZA</v>
          </cell>
          <cell r="M428">
            <v>1.5</v>
          </cell>
          <cell r="N428">
            <v>36</v>
          </cell>
          <cell r="O428">
            <v>46298</v>
          </cell>
          <cell r="P428">
            <v>0.93541666666666667</v>
          </cell>
          <cell r="Q428" t="str">
            <v>NORMAL</v>
          </cell>
          <cell r="R428">
            <v>46300</v>
          </cell>
          <cell r="S428">
            <v>4.7222222222222221E-2</v>
          </cell>
          <cell r="T428">
            <v>0.625</v>
          </cell>
          <cell r="U428">
            <v>46300.672222222223</v>
          </cell>
          <cell r="V428">
            <v>46300</v>
          </cell>
          <cell r="W428">
            <v>0.59722222222222221</v>
          </cell>
          <cell r="X428" t="str">
            <v>SI CUMPLE</v>
          </cell>
          <cell r="Y428" t="str">
            <v>SI CUMPLE</v>
          </cell>
          <cell r="AA428" t="str">
            <v>DESPACHADO</v>
          </cell>
          <cell r="AB428" t="str">
            <v>ROSA ANGELICA</v>
          </cell>
          <cell r="AC428" t="str">
            <v>CESAR AUGUSTO CEJA</v>
          </cell>
          <cell r="AD428">
            <v>12598</v>
          </cell>
          <cell r="AE428" t="str">
            <v>QF91W04WH0</v>
          </cell>
        </row>
        <row r="429">
          <cell r="A429" t="str">
            <v>Chanitos Premium Tarima Chep</v>
          </cell>
          <cell r="B429" t="str">
            <v>CPR01102</v>
          </cell>
          <cell r="C429" t="str">
            <v>A01001-400310-1</v>
          </cell>
          <cell r="D429" t="str">
            <v>A01 001 Marbella</v>
          </cell>
          <cell r="E429" t="str">
            <v>Chalco</v>
          </cell>
          <cell r="F429">
            <v>714</v>
          </cell>
          <cell r="G429">
            <v>15</v>
          </cell>
          <cell r="H429">
            <v>46298</v>
          </cell>
          <cell r="I429">
            <v>40</v>
          </cell>
          <cell r="J429">
            <v>46304</v>
          </cell>
          <cell r="L429" t="str">
            <v>PREENFRIO FORTALEZA</v>
          </cell>
          <cell r="M429">
            <v>1</v>
          </cell>
          <cell r="N429">
            <v>24</v>
          </cell>
          <cell r="O429">
            <v>46298</v>
          </cell>
          <cell r="P429">
            <v>0.94513888888888886</v>
          </cell>
          <cell r="Q429" t="str">
            <v>NORMAL</v>
          </cell>
          <cell r="R429">
            <v>46301</v>
          </cell>
          <cell r="S429">
            <v>0.34375</v>
          </cell>
          <cell r="T429">
            <v>0.45833333333333331</v>
          </cell>
          <cell r="U429">
            <v>46301.802083333336</v>
          </cell>
          <cell r="V429">
            <v>46301</v>
          </cell>
          <cell r="W429">
            <v>0.91666666666666663</v>
          </cell>
          <cell r="X429" t="str">
            <v>SI CUMPLE</v>
          </cell>
          <cell r="Y429" t="str">
            <v>SI CUMPLE</v>
          </cell>
          <cell r="AA429" t="str">
            <v>DESPACHADO</v>
          </cell>
          <cell r="AB429" t="str">
            <v>TRANSPORTES ALVERA</v>
          </cell>
          <cell r="AC429" t="str">
            <v>EDUARDO ALEJANDRO ALVARADO</v>
          </cell>
          <cell r="AD429">
            <v>42970</v>
          </cell>
          <cell r="AE429" t="str">
            <v>QF91W043P0</v>
          </cell>
        </row>
        <row r="430">
          <cell r="A430" t="str">
            <v>Platano de Chiapas BAE UPC 3237</v>
          </cell>
          <cell r="B430" t="str">
            <v>CPR01114</v>
          </cell>
          <cell r="C430" t="str">
            <v>A01001-400310-1</v>
          </cell>
          <cell r="D430" t="str">
            <v>A01 001 Marbella</v>
          </cell>
          <cell r="E430" t="str">
            <v>Chalco</v>
          </cell>
          <cell r="F430">
            <v>54</v>
          </cell>
          <cell r="G430">
            <v>1</v>
          </cell>
          <cell r="H430">
            <v>46298</v>
          </cell>
          <cell r="I430">
            <v>40</v>
          </cell>
          <cell r="J430">
            <v>46304</v>
          </cell>
          <cell r="L430" t="str">
            <v>PREENFRIO FORTALEZA</v>
          </cell>
          <cell r="M430">
            <v>1</v>
          </cell>
          <cell r="N430">
            <v>24</v>
          </cell>
          <cell r="O430">
            <v>46298</v>
          </cell>
          <cell r="P430">
            <v>0.94513888888888886</v>
          </cell>
          <cell r="Q430" t="str">
            <v>NORMAL</v>
          </cell>
          <cell r="R430">
            <v>46301</v>
          </cell>
          <cell r="S430">
            <v>0.34375</v>
          </cell>
          <cell r="T430">
            <v>0.45833333333333331</v>
          </cell>
          <cell r="U430">
            <v>46301.802083333336</v>
          </cell>
          <cell r="V430">
            <v>46301</v>
          </cell>
          <cell r="W430">
            <v>0.91666666666666663</v>
          </cell>
          <cell r="X430" t="str">
            <v>SI CUMPLE</v>
          </cell>
          <cell r="Y430" t="str">
            <v>SI CUMPLE</v>
          </cell>
          <cell r="AA430" t="str">
            <v>DESPACHADO</v>
          </cell>
          <cell r="AB430" t="str">
            <v>TRANSPORTES ALVERA</v>
          </cell>
          <cell r="AC430" t="str">
            <v>EDUARDO ALEJANDRO ALVARADO</v>
          </cell>
          <cell r="AD430">
            <v>42970</v>
          </cell>
          <cell r="AE430" t="str">
            <v>QF91W043P0</v>
          </cell>
        </row>
        <row r="431">
          <cell r="A431" t="str">
            <v>Chanitos Premium Tarima Americana</v>
          </cell>
          <cell r="B431" t="str">
            <v>CPR01103</v>
          </cell>
          <cell r="C431" t="str">
            <v>A01003-400310-1</v>
          </cell>
          <cell r="D431" t="str">
            <v>A01 003 Doña Nelly</v>
          </cell>
          <cell r="E431" t="str">
            <v>Ciudad Juarez</v>
          </cell>
          <cell r="F431">
            <v>960</v>
          </cell>
          <cell r="G431">
            <v>20</v>
          </cell>
          <cell r="H431">
            <v>46298</v>
          </cell>
          <cell r="I431">
            <v>40</v>
          </cell>
          <cell r="J431">
            <v>46304</v>
          </cell>
          <cell r="L431" t="str">
            <v>PREENFRIO NELLY</v>
          </cell>
          <cell r="M431">
            <v>4</v>
          </cell>
          <cell r="N431">
            <v>96</v>
          </cell>
          <cell r="O431">
            <v>46298</v>
          </cell>
          <cell r="P431">
            <v>0.61805555555555558</v>
          </cell>
          <cell r="Q431" t="str">
            <v>ALTA</v>
          </cell>
          <cell r="R431">
            <v>46299</v>
          </cell>
          <cell r="S431">
            <v>0.61805555555555558</v>
          </cell>
          <cell r="T431">
            <v>0.4375</v>
          </cell>
          <cell r="U431">
            <v>46300.055555555555</v>
          </cell>
          <cell r="V431">
            <v>46300</v>
          </cell>
          <cell r="W431">
            <v>8.3333333333333329E-2</v>
          </cell>
          <cell r="X431" t="str">
            <v>NO CUMPLE</v>
          </cell>
          <cell r="Y431" t="str">
            <v>NO CUMPLE</v>
          </cell>
          <cell r="AA431" t="str">
            <v>DESPACHADO</v>
          </cell>
          <cell r="AB431" t="str">
            <v>AUTO EXPRESS SEGOVIA</v>
          </cell>
        </row>
        <row r="432">
          <cell r="A432" t="str">
            <v>Chanitos Premium Tarima Chep</v>
          </cell>
          <cell r="B432" t="str">
            <v>CPR01102</v>
          </cell>
          <cell r="C432" t="str">
            <v>A01003-410510-1</v>
          </cell>
          <cell r="D432" t="str">
            <v>A01 003 Doña Nelly</v>
          </cell>
          <cell r="E432" t="str">
            <v>Chalco</v>
          </cell>
          <cell r="F432">
            <v>480</v>
          </cell>
          <cell r="G432">
            <v>10</v>
          </cell>
          <cell r="H432">
            <v>46300</v>
          </cell>
          <cell r="I432">
            <v>41</v>
          </cell>
          <cell r="J432">
            <v>46305</v>
          </cell>
          <cell r="L432" t="str">
            <v>PREENFRIO NELLY</v>
          </cell>
          <cell r="M432">
            <v>1</v>
          </cell>
          <cell r="N432">
            <v>24</v>
          </cell>
          <cell r="O432">
            <v>46300</v>
          </cell>
          <cell r="P432">
            <v>0.74305555555555558</v>
          </cell>
          <cell r="Q432" t="str">
            <v>NORMAL</v>
          </cell>
          <cell r="R432">
            <v>46300</v>
          </cell>
          <cell r="S432">
            <v>0.79166666666666663</v>
          </cell>
          <cell r="T432">
            <v>0.16666666666666666</v>
          </cell>
          <cell r="U432">
            <v>46300.958333333328</v>
          </cell>
          <cell r="V432">
            <v>46303</v>
          </cell>
          <cell r="W432">
            <v>0.33333333333333331</v>
          </cell>
          <cell r="X432" t="str">
            <v>SI CUMPLE</v>
          </cell>
          <cell r="Y432" t="str">
            <v>SI CUMPLE</v>
          </cell>
          <cell r="AA432" t="str">
            <v>DESPACHADO</v>
          </cell>
          <cell r="AB432" t="str">
            <v>Refrigerados Perez</v>
          </cell>
          <cell r="AC432" t="str">
            <v>EDUARDO ROSALES</v>
          </cell>
        </row>
        <row r="433">
          <cell r="A433" t="str">
            <v>Chanitos Organic Banded Market Side Mexico</v>
          </cell>
          <cell r="B433" t="str">
            <v>CRG07128</v>
          </cell>
          <cell r="C433" t="str">
            <v>A01002-400310-1</v>
          </cell>
          <cell r="D433" t="str">
            <v>A01 002 Fortaleza</v>
          </cell>
          <cell r="E433" t="str">
            <v>QRO</v>
          </cell>
          <cell r="F433">
            <v>48</v>
          </cell>
          <cell r="G433">
            <v>1</v>
          </cell>
          <cell r="H433">
            <v>46298</v>
          </cell>
          <cell r="I433">
            <v>40</v>
          </cell>
          <cell r="J433">
            <v>46304</v>
          </cell>
          <cell r="L433" t="str">
            <v>PREENFRIO FORTALEZA</v>
          </cell>
          <cell r="M433">
            <v>1.5</v>
          </cell>
          <cell r="N433">
            <v>36</v>
          </cell>
          <cell r="O433">
            <v>46298</v>
          </cell>
          <cell r="P433">
            <v>0.70208333333333328</v>
          </cell>
          <cell r="Q433" t="str">
            <v>NORMAL</v>
          </cell>
          <cell r="R433">
            <v>46300</v>
          </cell>
          <cell r="S433">
            <v>4.7222222222222221E-2</v>
          </cell>
          <cell r="T433">
            <v>0.625</v>
          </cell>
          <cell r="U433">
            <v>46300.672222222223</v>
          </cell>
          <cell r="V433">
            <v>46300</v>
          </cell>
          <cell r="W433">
            <v>0.59722222222222221</v>
          </cell>
          <cell r="X433" t="str">
            <v>SI CUMPLE</v>
          </cell>
          <cell r="Y433" t="str">
            <v>SI CUMPLE</v>
          </cell>
          <cell r="AA433" t="str">
            <v>DESPACHADO</v>
          </cell>
          <cell r="AB433" t="str">
            <v>ROSA ANGELICA</v>
          </cell>
          <cell r="AC433" t="str">
            <v>CESAR AUGUSTO CEJA</v>
          </cell>
          <cell r="AD433">
            <v>12598</v>
          </cell>
          <cell r="AE433" t="str">
            <v>QF91W04WH0</v>
          </cell>
        </row>
        <row r="434">
          <cell r="A434" t="str">
            <v>Chanitos Organic Banded Market Side Mexico</v>
          </cell>
          <cell r="B434" t="str">
            <v>CRG07128</v>
          </cell>
          <cell r="C434" t="str">
            <v>A01002-400310-1</v>
          </cell>
          <cell r="D434" t="str">
            <v>A01 002 Fortaleza</v>
          </cell>
          <cell r="E434" t="str">
            <v>QRO</v>
          </cell>
          <cell r="F434">
            <v>48</v>
          </cell>
          <cell r="G434">
            <v>1</v>
          </cell>
          <cell r="H434">
            <v>46298</v>
          </cell>
          <cell r="I434">
            <v>40</v>
          </cell>
          <cell r="J434">
            <v>46304</v>
          </cell>
          <cell r="L434" t="str">
            <v>PREENFRIO FORTALEZA</v>
          </cell>
          <cell r="M434">
            <v>1.5</v>
          </cell>
          <cell r="N434">
            <v>36</v>
          </cell>
          <cell r="O434">
            <v>46298</v>
          </cell>
          <cell r="P434">
            <v>0.70208333333333328</v>
          </cell>
          <cell r="Q434" t="str">
            <v>NORMAL</v>
          </cell>
          <cell r="R434">
            <v>46300</v>
          </cell>
          <cell r="S434">
            <v>4.7222222222222221E-2</v>
          </cell>
          <cell r="T434">
            <v>0.625</v>
          </cell>
          <cell r="U434">
            <v>46300.672222222223</v>
          </cell>
          <cell r="V434">
            <v>46300</v>
          </cell>
          <cell r="W434">
            <v>0.59722222222222221</v>
          </cell>
          <cell r="X434" t="str">
            <v>SI CUMPLE</v>
          </cell>
          <cell r="Y434" t="str">
            <v>SI CUMPLE</v>
          </cell>
          <cell r="AA434" t="str">
            <v>DESPACHADO</v>
          </cell>
          <cell r="AB434" t="str">
            <v>ROSA ANGELICA</v>
          </cell>
          <cell r="AC434" t="str">
            <v>CESAR AUGUSTO CEJA</v>
          </cell>
          <cell r="AD434">
            <v>12598</v>
          </cell>
          <cell r="AE434" t="str">
            <v>QF91W04WH0</v>
          </cell>
        </row>
        <row r="435">
          <cell r="A435" t="str">
            <v>Chanitos Premium Tarima Chep</v>
          </cell>
          <cell r="B435" t="str">
            <v>CPR01102</v>
          </cell>
          <cell r="C435" t="str">
            <v>A01002-410510-1</v>
          </cell>
          <cell r="D435" t="str">
            <v>A01 002 Fortaleza</v>
          </cell>
          <cell r="E435" t="str">
            <v>Chalco</v>
          </cell>
          <cell r="F435">
            <v>342</v>
          </cell>
          <cell r="G435">
            <v>7.125</v>
          </cell>
          <cell r="H435">
            <v>46300</v>
          </cell>
          <cell r="I435">
            <v>41</v>
          </cell>
          <cell r="J435">
            <v>46304</v>
          </cell>
          <cell r="L435" t="str">
            <v>PREENFRIO FORTALEZA</v>
          </cell>
          <cell r="M435">
            <v>1</v>
          </cell>
          <cell r="N435">
            <v>24</v>
          </cell>
          <cell r="O435">
            <v>46300</v>
          </cell>
          <cell r="P435">
            <v>0.71875</v>
          </cell>
          <cell r="Q435" t="str">
            <v>NORMAL</v>
          </cell>
          <cell r="R435">
            <v>46301</v>
          </cell>
          <cell r="S435">
            <v>0.55208333333333337</v>
          </cell>
          <cell r="T435">
            <v>0.25</v>
          </cell>
          <cell r="U435">
            <v>46301.802083333336</v>
          </cell>
          <cell r="V435">
            <v>46301</v>
          </cell>
          <cell r="W435">
            <v>0.91666666666666663</v>
          </cell>
          <cell r="X435" t="str">
            <v>SI CUMPLE</v>
          </cell>
          <cell r="Y435" t="str">
            <v>SI CUMPLE</v>
          </cell>
          <cell r="AA435" t="str">
            <v>DESPACHADO</v>
          </cell>
          <cell r="AB435" t="str">
            <v>TRANSPORTES ALVERA</v>
          </cell>
          <cell r="AC435" t="str">
            <v>EDUARDO ALEJANDRO ALVARADO</v>
          </cell>
          <cell r="AD435">
            <v>42970</v>
          </cell>
          <cell r="AE435" t="str">
            <v>QF91W043P0</v>
          </cell>
        </row>
        <row r="436">
          <cell r="A436" t="str">
            <v>Platano de Chiapas BAE UPC 3237</v>
          </cell>
          <cell r="B436" t="str">
            <v>CPR01114</v>
          </cell>
          <cell r="C436" t="str">
            <v>A01002-410510-1</v>
          </cell>
          <cell r="D436" t="str">
            <v>A01 002 Fortaleza</v>
          </cell>
          <cell r="E436" t="str">
            <v>Chalco</v>
          </cell>
          <cell r="F436">
            <v>42</v>
          </cell>
          <cell r="G436">
            <v>0.875</v>
          </cell>
          <cell r="H436">
            <v>46300</v>
          </cell>
          <cell r="I436">
            <v>41</v>
          </cell>
          <cell r="J436">
            <v>46304</v>
          </cell>
          <cell r="L436" t="str">
            <v>PREENFRIO FORTALEZA</v>
          </cell>
          <cell r="M436">
            <v>1</v>
          </cell>
          <cell r="N436">
            <v>24</v>
          </cell>
          <cell r="O436">
            <v>46300</v>
          </cell>
          <cell r="P436">
            <v>0.71875</v>
          </cell>
          <cell r="Q436" t="str">
            <v>NORMAL</v>
          </cell>
          <cell r="R436">
            <v>46301</v>
          </cell>
          <cell r="S436">
            <v>0.55208333333333337</v>
          </cell>
          <cell r="T436">
            <v>0.25</v>
          </cell>
          <cell r="U436">
            <v>46301.802083333336</v>
          </cell>
          <cell r="V436">
            <v>46301</v>
          </cell>
          <cell r="W436">
            <v>0.91666666666666663</v>
          </cell>
          <cell r="X436" t="str">
            <v>SI CUMPLE</v>
          </cell>
          <cell r="Y436" t="str">
            <v>SI CUMPLE</v>
          </cell>
          <cell r="AA436" t="str">
            <v>DESPACHADO</v>
          </cell>
          <cell r="AB436" t="str">
            <v>TRANSPORTES ALVERA</v>
          </cell>
          <cell r="AC436" t="str">
            <v>EDUARDO ALEJANDRO ALVARADO</v>
          </cell>
          <cell r="AD436">
            <v>42970</v>
          </cell>
          <cell r="AE436" t="str">
            <v>QF91W043P0</v>
          </cell>
        </row>
        <row r="437">
          <cell r="A437" t="str">
            <v>Chanitos Premium Tarima Americana</v>
          </cell>
          <cell r="B437" t="str">
            <v>CPR01103</v>
          </cell>
          <cell r="C437" t="str">
            <v>A01003-410510-1</v>
          </cell>
          <cell r="D437" t="str">
            <v>A01 003 Doña Nelly</v>
          </cell>
          <cell r="E437" t="str">
            <v>Ciudad Juarez</v>
          </cell>
          <cell r="F437">
            <v>816</v>
          </cell>
          <cell r="G437">
            <v>17</v>
          </cell>
          <cell r="H437">
            <v>46300</v>
          </cell>
          <cell r="I437">
            <v>41</v>
          </cell>
          <cell r="J437">
            <v>46305</v>
          </cell>
          <cell r="L437" t="str">
            <v>PREENFRIO NELLY</v>
          </cell>
          <cell r="M437">
            <v>4</v>
          </cell>
          <cell r="N437">
            <v>96</v>
          </cell>
          <cell r="O437">
            <v>46300</v>
          </cell>
          <cell r="P437">
            <v>0.74305555555555558</v>
          </cell>
          <cell r="Q437" t="str">
            <v>ALTA</v>
          </cell>
          <cell r="R437">
            <v>46300</v>
          </cell>
          <cell r="S437">
            <v>0.45833333333333331</v>
          </cell>
          <cell r="T437">
            <v>0.4375</v>
          </cell>
          <cell r="U437">
            <v>46300.895833333336</v>
          </cell>
          <cell r="V437">
            <v>46301</v>
          </cell>
          <cell r="W437">
            <v>0.5625</v>
          </cell>
          <cell r="X437" t="str">
            <v>SI CUMPLE</v>
          </cell>
          <cell r="Y437" t="str">
            <v>NO CUMPLE</v>
          </cell>
          <cell r="Z437" t="str">
            <v>EMPAQUE TARDIO</v>
          </cell>
          <cell r="AA437" t="str">
            <v>DESPACHADO</v>
          </cell>
          <cell r="AB437" t="str">
            <v>AUTO EXPRESS SEGOVIA</v>
          </cell>
        </row>
        <row r="438">
          <cell r="A438" t="str">
            <v>Chanitos Premium Tarima Americana</v>
          </cell>
          <cell r="B438" t="str">
            <v>CPR01103</v>
          </cell>
          <cell r="C438" t="e">
            <v>#N/A</v>
          </cell>
          <cell r="D438" t="str">
            <v>A11 Sector Mazatan</v>
          </cell>
          <cell r="E438" t="str">
            <v>Ciudad Juarez</v>
          </cell>
          <cell r="F438">
            <v>960</v>
          </cell>
          <cell r="G438">
            <v>20</v>
          </cell>
          <cell r="H438">
            <v>46300</v>
          </cell>
          <cell r="I438">
            <v>41</v>
          </cell>
          <cell r="J438">
            <v>46305</v>
          </cell>
          <cell r="K438">
            <v>0.25</v>
          </cell>
          <cell r="L438" t="str">
            <v>PREENFRIO NELLY</v>
          </cell>
          <cell r="M438">
            <v>4</v>
          </cell>
          <cell r="N438">
            <v>96</v>
          </cell>
          <cell r="O438">
            <v>46300</v>
          </cell>
          <cell r="P438">
            <v>0.97916666666666663</v>
          </cell>
          <cell r="Q438" t="str">
            <v>ALTA</v>
          </cell>
          <cell r="R438">
            <v>46300</v>
          </cell>
          <cell r="S438">
            <v>0.95833333333333337</v>
          </cell>
          <cell r="T438">
            <v>0.4375</v>
          </cell>
          <cell r="U438">
            <v>46301.395833333336</v>
          </cell>
          <cell r="V438">
            <v>46301</v>
          </cell>
          <cell r="W438">
            <v>0.5625</v>
          </cell>
          <cell r="X438" t="str">
            <v>NO CUMPLE</v>
          </cell>
          <cell r="Y438" t="str">
            <v>NO CUMPLE</v>
          </cell>
          <cell r="Z438" t="str">
            <v>EMPAQUE TARDIO</v>
          </cell>
          <cell r="AA438" t="str">
            <v>DESPACHADO</v>
          </cell>
          <cell r="AB438" t="str">
            <v>AUTO EXPRESS SEGOVIA</v>
          </cell>
        </row>
        <row r="439">
          <cell r="A439" t="str">
            <v>Chanitos Premium Tarima Americana</v>
          </cell>
          <cell r="B439" t="str">
            <v>CPR01103</v>
          </cell>
          <cell r="C439" t="str">
            <v>A01003-410510-1</v>
          </cell>
          <cell r="D439" t="str">
            <v>A01 003 Doña Nelly</v>
          </cell>
          <cell r="E439" t="str">
            <v>S-MTY</v>
          </cell>
          <cell r="F439">
            <v>192</v>
          </cell>
          <cell r="G439">
            <v>4</v>
          </cell>
          <cell r="H439">
            <v>46300</v>
          </cell>
          <cell r="I439">
            <v>41</v>
          </cell>
          <cell r="J439">
            <v>46305</v>
          </cell>
          <cell r="L439" t="str">
            <v>PREENFRIO NELLY</v>
          </cell>
          <cell r="M439">
            <v>3</v>
          </cell>
          <cell r="N439">
            <v>72</v>
          </cell>
          <cell r="O439">
            <v>46300</v>
          </cell>
          <cell r="P439">
            <v>0.74305555555555558</v>
          </cell>
          <cell r="Q439" t="str">
            <v>NORMAL</v>
          </cell>
          <cell r="R439">
            <v>46300</v>
          </cell>
          <cell r="S439">
            <v>0.45833333333333331</v>
          </cell>
          <cell r="T439">
            <v>0.4375</v>
          </cell>
          <cell r="U439">
            <v>46300.895833333336</v>
          </cell>
          <cell r="V439">
            <v>46302</v>
          </cell>
          <cell r="W439">
            <v>0.33333333333333331</v>
          </cell>
          <cell r="X439" t="str">
            <v>SI CUMPLE</v>
          </cell>
          <cell r="Y439" t="str">
            <v>NO CUMPLE</v>
          </cell>
          <cell r="Z439" t="str">
            <v>EMPAQUE TARDIO</v>
          </cell>
          <cell r="AA439" t="str">
            <v>DESPACHADO</v>
          </cell>
          <cell r="AB439" t="str">
            <v>AUTO EXPRESS SEGOVIA</v>
          </cell>
        </row>
        <row r="440">
          <cell r="A440" t="str">
            <v>Chanitos Premium EUA Tarima Americana</v>
          </cell>
          <cell r="B440" t="str">
            <v>CPR01104</v>
          </cell>
          <cell r="C440" t="str">
            <v>A04084-410510-1</v>
          </cell>
          <cell r="D440" t="str">
            <v>A04 084 Lisboa</v>
          </cell>
          <cell r="E440" t="str">
            <v>McAllen</v>
          </cell>
          <cell r="F440">
            <v>720</v>
          </cell>
          <cell r="G440">
            <v>15</v>
          </cell>
          <cell r="H440">
            <v>46300</v>
          </cell>
          <cell r="I440">
            <v>41</v>
          </cell>
          <cell r="J440">
            <v>46305</v>
          </cell>
          <cell r="L440" t="str">
            <v>PREENFRIO NELLY</v>
          </cell>
          <cell r="M440">
            <v>3</v>
          </cell>
          <cell r="N440">
            <v>72</v>
          </cell>
          <cell r="O440">
            <v>46301</v>
          </cell>
          <cell r="P440">
            <v>0.91666666666666663</v>
          </cell>
          <cell r="Q440" t="str">
            <v>NORMAL</v>
          </cell>
          <cell r="R440">
            <v>46301</v>
          </cell>
          <cell r="S440">
            <v>8.3333333333333329E-2</v>
          </cell>
          <cell r="T440">
            <v>0.35416666666666669</v>
          </cell>
          <cell r="U440">
            <v>46301.4375</v>
          </cell>
          <cell r="V440">
            <v>46303</v>
          </cell>
          <cell r="X440" t="str">
            <v>SI CUMPLE</v>
          </cell>
          <cell r="Y440" t="str">
            <v>NO CUMPLE</v>
          </cell>
          <cell r="AA440" t="str">
            <v>DESPACHADO</v>
          </cell>
          <cell r="AB440" t="str">
            <v>TRANSPORTES ALGEZA</v>
          </cell>
        </row>
        <row r="441">
          <cell r="A441" t="str">
            <v>Chanitos Premium EUA Tarima Americana</v>
          </cell>
          <cell r="B441" t="str">
            <v>CPR01104</v>
          </cell>
          <cell r="C441" t="str">
            <v>A04084-410610-1</v>
          </cell>
          <cell r="D441" t="str">
            <v>A04 084 Lisboa</v>
          </cell>
          <cell r="E441" t="str">
            <v>McAllen</v>
          </cell>
          <cell r="F441">
            <v>240</v>
          </cell>
          <cell r="G441">
            <v>5</v>
          </cell>
          <cell r="H441">
            <v>46301</v>
          </cell>
          <cell r="I441">
            <v>41</v>
          </cell>
          <cell r="J441">
            <v>46305</v>
          </cell>
          <cell r="L441" t="str">
            <v>PREENFRIO NELLY</v>
          </cell>
          <cell r="M441">
            <v>3</v>
          </cell>
          <cell r="N441">
            <v>72</v>
          </cell>
          <cell r="O441">
            <v>46301</v>
          </cell>
          <cell r="P441">
            <v>0.91666666666666663</v>
          </cell>
          <cell r="Q441" t="str">
            <v>ALTA</v>
          </cell>
          <cell r="R441">
            <v>46301</v>
          </cell>
          <cell r="S441">
            <v>8.3333333333333329E-2</v>
          </cell>
          <cell r="T441">
            <v>0.35416666666666669</v>
          </cell>
          <cell r="U441">
            <v>46301.4375</v>
          </cell>
          <cell r="V441">
            <v>46303</v>
          </cell>
          <cell r="W441">
            <v>0.43055555555555558</v>
          </cell>
          <cell r="X441" t="str">
            <v>SI CUMPLE</v>
          </cell>
          <cell r="Y441" t="str">
            <v>NO CUMPLE</v>
          </cell>
          <cell r="AA441" t="str">
            <v>DESPACHADO</v>
          </cell>
          <cell r="AB441" t="str">
            <v>TRANSPORTES ALGEZA</v>
          </cell>
        </row>
        <row r="442">
          <cell r="A442" t="str">
            <v>Chanitos Plantain 20Kg Tarima Americana</v>
          </cell>
          <cell r="B442" t="str">
            <v>CPL08134</v>
          </cell>
          <cell r="C442" t="str">
            <v>A27073-410510-1</v>
          </cell>
          <cell r="D442" t="str">
            <v>A27 073 Plantacion</v>
          </cell>
          <cell r="E442" t="str">
            <v>Ciudad Juarez</v>
          </cell>
          <cell r="F442">
            <v>144</v>
          </cell>
          <cell r="G442">
            <v>3</v>
          </cell>
          <cell r="H442">
            <v>46300</v>
          </cell>
          <cell r="I442">
            <v>41</v>
          </cell>
          <cell r="J442">
            <v>46305</v>
          </cell>
          <cell r="L442" t="str">
            <v>PREENFRIO FORTALEZA</v>
          </cell>
          <cell r="M442">
            <v>4</v>
          </cell>
          <cell r="N442">
            <v>96</v>
          </cell>
          <cell r="O442">
            <v>46300</v>
          </cell>
          <cell r="P442">
            <v>0.45833333333333331</v>
          </cell>
          <cell r="Q442" t="str">
            <v>NORMAL</v>
          </cell>
          <cell r="R442">
            <v>46301</v>
          </cell>
          <cell r="S442">
            <v>0.15</v>
          </cell>
          <cell r="T442">
            <v>0.41666666666666669</v>
          </cell>
          <cell r="U442">
            <v>46301.566666666666</v>
          </cell>
          <cell r="V442">
            <v>46301</v>
          </cell>
          <cell r="W442">
            <v>0.52083333333333337</v>
          </cell>
          <cell r="X442" t="str">
            <v>NO CUMPLE</v>
          </cell>
          <cell r="Y442" t="str">
            <v>NO CUMPLE</v>
          </cell>
          <cell r="Z442" t="str">
            <v>MUEVE A NELLY</v>
          </cell>
          <cell r="AA442" t="str">
            <v>DESPACHADO</v>
          </cell>
          <cell r="AB442" t="str">
            <v>LETICIA LOPEZ PINEDA</v>
          </cell>
          <cell r="AC442" t="str">
            <v xml:space="preserve">FAUSTO ANTONIO LUCHO </v>
          </cell>
          <cell r="AD442">
            <v>67435</v>
          </cell>
          <cell r="AE442" t="str">
            <v>N/A</v>
          </cell>
        </row>
        <row r="443">
          <cell r="A443" t="str">
            <v>Chanitos Premium Tarima Chep</v>
          </cell>
          <cell r="B443" t="str">
            <v>CPR01102</v>
          </cell>
          <cell r="C443" t="str">
            <v>A01002-410610-1</v>
          </cell>
          <cell r="D443" t="str">
            <v>A01 002 Fortaleza</v>
          </cell>
          <cell r="E443" t="str">
            <v>Chalco</v>
          </cell>
          <cell r="F443">
            <v>240</v>
          </cell>
          <cell r="G443">
            <v>5</v>
          </cell>
          <cell r="H443">
            <v>46301</v>
          </cell>
          <cell r="I443">
            <v>41</v>
          </cell>
          <cell r="J443">
            <v>46305</v>
          </cell>
          <cell r="L443" t="str">
            <v>PREENFRIO FORTALEZA</v>
          </cell>
          <cell r="M443">
            <v>1</v>
          </cell>
          <cell r="N443">
            <v>24</v>
          </cell>
          <cell r="O443">
            <v>46301</v>
          </cell>
          <cell r="P443">
            <v>0.58750000000000002</v>
          </cell>
          <cell r="Q443" t="str">
            <v>NORMAL</v>
          </cell>
          <cell r="R443">
            <v>46301</v>
          </cell>
          <cell r="S443">
            <v>0.90763888888888888</v>
          </cell>
          <cell r="T443">
            <v>0.625</v>
          </cell>
          <cell r="U443">
            <v>46302.532638888886</v>
          </cell>
          <cell r="V443">
            <v>46302</v>
          </cell>
          <cell r="W443">
            <v>0.875</v>
          </cell>
          <cell r="X443" t="str">
            <v>SI CUMPLE</v>
          </cell>
          <cell r="Y443" t="str">
            <v>SI CUMPLE</v>
          </cell>
          <cell r="Z443" t="str">
            <v>COMPLETA EN NELLY</v>
          </cell>
          <cell r="AA443" t="str">
            <v>DESPACHADO</v>
          </cell>
          <cell r="AB443" t="str">
            <v>EDUARDO ROSALES</v>
          </cell>
          <cell r="AC443" t="str">
            <v>EDUARDO ROSALES</v>
          </cell>
          <cell r="AD443">
            <v>64298</v>
          </cell>
          <cell r="AE443" t="str">
            <v>N/A</v>
          </cell>
        </row>
        <row r="444">
          <cell r="A444" t="str">
            <v>Chanitos Premium Tarima Americana</v>
          </cell>
          <cell r="B444" t="str">
            <v>CPR01103</v>
          </cell>
          <cell r="C444" t="e">
            <v>#N/A</v>
          </cell>
          <cell r="D444" t="str">
            <v>A11 Sector Mazatan</v>
          </cell>
          <cell r="E444" t="str">
            <v>S-MTY</v>
          </cell>
          <cell r="F444">
            <v>960</v>
          </cell>
          <cell r="G444">
            <v>20</v>
          </cell>
          <cell r="H444">
            <v>46300</v>
          </cell>
          <cell r="I444">
            <v>41</v>
          </cell>
          <cell r="J444">
            <v>46305</v>
          </cell>
          <cell r="L444" t="str">
            <v>PREENFRIO NELLY</v>
          </cell>
          <cell r="M444">
            <v>3</v>
          </cell>
          <cell r="N444">
            <v>72</v>
          </cell>
          <cell r="O444">
            <v>46301</v>
          </cell>
          <cell r="P444">
            <v>0.8569444444444444</v>
          </cell>
          <cell r="Q444" t="str">
            <v>NORMAL</v>
          </cell>
          <cell r="R444">
            <v>46301</v>
          </cell>
          <cell r="S444">
            <v>0.75</v>
          </cell>
          <cell r="T444">
            <v>0.4375</v>
          </cell>
          <cell r="U444">
            <v>46302.1875</v>
          </cell>
          <cell r="V444">
            <v>46302</v>
          </cell>
          <cell r="W444">
            <v>0.33333333333333331</v>
          </cell>
          <cell r="X444" t="str">
            <v>NO CUMPLE</v>
          </cell>
          <cell r="Y444" t="str">
            <v>NO CUMPLE</v>
          </cell>
          <cell r="Z444" t="str">
            <v>EMPAQUE TARDIO</v>
          </cell>
          <cell r="AA444" t="str">
            <v>DESPACHADO</v>
          </cell>
          <cell r="AB444" t="str">
            <v>AUTO EXPRESS SEGOVIA</v>
          </cell>
        </row>
        <row r="445">
          <cell r="A445" t="str">
            <v>Chanitos Premium Tarima Chep</v>
          </cell>
          <cell r="B445" t="str">
            <v>CPR01102</v>
          </cell>
          <cell r="C445" t="str">
            <v>A01004-410610-1</v>
          </cell>
          <cell r="D445" t="str">
            <v>A01 004 La Ceiba</v>
          </cell>
          <cell r="E445" t="str">
            <v>Chalco</v>
          </cell>
          <cell r="F445">
            <v>240</v>
          </cell>
          <cell r="G445">
            <v>5</v>
          </cell>
          <cell r="H445">
            <v>46301</v>
          </cell>
          <cell r="I445">
            <v>41</v>
          </cell>
          <cell r="J445">
            <v>46305</v>
          </cell>
          <cell r="L445" t="str">
            <v>PREENFRIO NELLY</v>
          </cell>
          <cell r="M445">
            <v>1</v>
          </cell>
          <cell r="N445">
            <v>24</v>
          </cell>
          <cell r="O445">
            <v>46302</v>
          </cell>
          <cell r="P445">
            <v>0.625</v>
          </cell>
          <cell r="Q445" t="str">
            <v>ALTA</v>
          </cell>
          <cell r="R445">
            <v>46302</v>
          </cell>
          <cell r="S445">
            <v>0.68958333333333333</v>
          </cell>
          <cell r="T445">
            <v>0.20833333333333334</v>
          </cell>
          <cell r="U445">
            <v>46302.897916666669</v>
          </cell>
          <cell r="V445">
            <v>46303</v>
          </cell>
          <cell r="W445">
            <v>0.36805555555555558</v>
          </cell>
          <cell r="X445" t="str">
            <v>SI CUMPLE</v>
          </cell>
          <cell r="Y445" t="str">
            <v>SI CUMPLE</v>
          </cell>
          <cell r="AA445" t="str">
            <v>DESPACHADO</v>
          </cell>
          <cell r="AB445" t="str">
            <v>Refrigerados Perez</v>
          </cell>
          <cell r="AC445" t="str">
            <v>EDUARDO ROSALES</v>
          </cell>
        </row>
        <row r="446">
          <cell r="A446" t="str">
            <v>Chanitos Premium Tarima Americana</v>
          </cell>
          <cell r="B446" t="str">
            <v>CPR01103</v>
          </cell>
          <cell r="C446" t="str">
            <v>A01003-410710-1</v>
          </cell>
          <cell r="D446" t="str">
            <v>A01 003 Doña Nelly</v>
          </cell>
          <cell r="E446" t="str">
            <v>Ciudad Juarez</v>
          </cell>
          <cell r="F446">
            <v>816</v>
          </cell>
          <cell r="G446">
            <v>17</v>
          </cell>
          <cell r="H446">
            <v>46302</v>
          </cell>
          <cell r="I446">
            <v>41</v>
          </cell>
          <cell r="J446">
            <v>46308</v>
          </cell>
          <cell r="L446" t="str">
            <v>PREENFRIO NELLY</v>
          </cell>
          <cell r="M446">
            <v>4</v>
          </cell>
          <cell r="N446">
            <v>96</v>
          </cell>
          <cell r="O446">
            <v>46302</v>
          </cell>
          <cell r="P446">
            <v>0.75</v>
          </cell>
          <cell r="Q446" t="str">
            <v>ALTA</v>
          </cell>
          <cell r="R446">
            <v>46302</v>
          </cell>
          <cell r="S446">
            <v>0.5</v>
          </cell>
          <cell r="T446">
            <v>0.4375</v>
          </cell>
          <cell r="U446">
            <v>46302.9375</v>
          </cell>
          <cell r="V446">
            <v>46303</v>
          </cell>
          <cell r="W446">
            <v>0.65972222222222221</v>
          </cell>
          <cell r="X446" t="str">
            <v>SI CUMPLE</v>
          </cell>
          <cell r="Y446" t="str">
            <v>SI CUMPLE</v>
          </cell>
          <cell r="AA446" t="str">
            <v>DESPACHADO</v>
          </cell>
          <cell r="AB446" t="str">
            <v>TRANSPORTES ALGEZA</v>
          </cell>
        </row>
        <row r="447">
          <cell r="A447" t="str">
            <v>Chanitos Premium EUA Tarima Americana</v>
          </cell>
          <cell r="B447" t="str">
            <v>CPR01104</v>
          </cell>
          <cell r="C447" t="str">
            <v>A04084-410610-1</v>
          </cell>
          <cell r="D447" t="str">
            <v>A04 084 Lisboa</v>
          </cell>
          <cell r="E447" t="str">
            <v>McAllen</v>
          </cell>
          <cell r="F447">
            <v>2</v>
          </cell>
          <cell r="G447">
            <v>9</v>
          </cell>
          <cell r="H447">
            <v>46301</v>
          </cell>
          <cell r="I447">
            <v>41</v>
          </cell>
          <cell r="J447">
            <v>46305</v>
          </cell>
          <cell r="L447" t="str">
            <v>PREENFRIO NELLY</v>
          </cell>
          <cell r="M447">
            <v>3</v>
          </cell>
          <cell r="N447">
            <v>72</v>
          </cell>
          <cell r="O447">
            <v>46302</v>
          </cell>
          <cell r="P447">
            <v>0.91666666666666663</v>
          </cell>
          <cell r="Q447" t="str">
            <v>NORMAL</v>
          </cell>
          <cell r="R447" t="str">
            <v>SIN PRENFRIO</v>
          </cell>
          <cell r="S447" t="str">
            <v>SIN PRENFRIO</v>
          </cell>
          <cell r="T447" t="str">
            <v>SIN PRENFRIO</v>
          </cell>
          <cell r="V447">
            <v>46303</v>
          </cell>
          <cell r="W447">
            <v>0.43055555555555558</v>
          </cell>
          <cell r="X447" t="str">
            <v/>
          </cell>
          <cell r="Y447" t="str">
            <v>NO CUMPLE</v>
          </cell>
          <cell r="AA447" t="str">
            <v>DESPACHADO</v>
          </cell>
          <cell r="AB447" t="str">
            <v>TRANSPORTES ALGEZA</v>
          </cell>
        </row>
        <row r="448">
          <cell r="A448" t="str">
            <v>Chanitos Plantain 20Kg Tarima Americana</v>
          </cell>
          <cell r="B448" t="str">
            <v>CPL08134</v>
          </cell>
          <cell r="C448" t="str">
            <v>A35082-410710-1</v>
          </cell>
          <cell r="D448" t="str">
            <v>A35 082 Empaque de Macho Ej Libertad</v>
          </cell>
          <cell r="E448" t="str">
            <v>Ciudad Juarez</v>
          </cell>
          <cell r="F448">
            <v>144</v>
          </cell>
          <cell r="G448">
            <v>3</v>
          </cell>
          <cell r="H448">
            <v>46302</v>
          </cell>
          <cell r="I448">
            <v>41</v>
          </cell>
          <cell r="J448">
            <v>46308</v>
          </cell>
          <cell r="L448" t="str">
            <v>PREENFRIO NELLY</v>
          </cell>
          <cell r="M448">
            <v>4</v>
          </cell>
          <cell r="N448">
            <v>96</v>
          </cell>
          <cell r="O448">
            <v>46303</v>
          </cell>
          <cell r="P448">
            <v>0.3263888888888889</v>
          </cell>
          <cell r="Q448" t="str">
            <v>ALTA</v>
          </cell>
          <cell r="R448">
            <v>46302</v>
          </cell>
          <cell r="S448">
            <v>0.47916666666666669</v>
          </cell>
          <cell r="T448">
            <v>0.16666666666666666</v>
          </cell>
          <cell r="U448">
            <v>46302.645833333328</v>
          </cell>
          <cell r="V448">
            <v>46303</v>
          </cell>
          <cell r="W448">
            <v>0.65972222222222221</v>
          </cell>
          <cell r="X448" t="str">
            <v>SI CUMPLE</v>
          </cell>
          <cell r="Y448" t="str">
            <v>SI CUMPLE</v>
          </cell>
          <cell r="Z448" t="str">
            <v>LLEGO TARDE A PRENFRIO</v>
          </cell>
          <cell r="AA448" t="str">
            <v>DESPACHADO</v>
          </cell>
          <cell r="AB448" t="str">
            <v>TRANSPORTES ALGEZA</v>
          </cell>
        </row>
        <row r="449">
          <cell r="A449" t="str">
            <v>Chanitos Premium Tarima Americana</v>
          </cell>
          <cell r="B449" t="str">
            <v>CPR01103</v>
          </cell>
          <cell r="C449" t="str">
            <v>A12057-410710-1</v>
          </cell>
          <cell r="D449" t="str">
            <v>A12 057 Tiquisate 1</v>
          </cell>
          <cell r="E449" t="str">
            <v>Ciudad Juarez</v>
          </cell>
          <cell r="F449">
            <v>960</v>
          </cell>
          <cell r="G449">
            <v>20</v>
          </cell>
          <cell r="H449">
            <v>46302</v>
          </cell>
          <cell r="I449">
            <v>41</v>
          </cell>
          <cell r="J449">
            <v>46308</v>
          </cell>
          <cell r="L449" t="str">
            <v>PREENFRIO NELLY</v>
          </cell>
          <cell r="M449">
            <v>4</v>
          </cell>
          <cell r="N449">
            <v>96</v>
          </cell>
          <cell r="O449">
            <v>46303</v>
          </cell>
          <cell r="P449">
            <v>6.25E-2</v>
          </cell>
          <cell r="Q449" t="str">
            <v>ALTA</v>
          </cell>
          <cell r="R449">
            <v>46303</v>
          </cell>
          <cell r="S449">
            <v>0.47916666666666669</v>
          </cell>
          <cell r="T449">
            <v>0.375</v>
          </cell>
          <cell r="U449">
            <v>46303.854166666664</v>
          </cell>
          <cell r="V449">
            <v>46303</v>
          </cell>
          <cell r="W449">
            <v>0.65972222222222221</v>
          </cell>
          <cell r="X449" t="str">
            <v>SI CUMPLE</v>
          </cell>
          <cell r="Y449" t="str">
            <v>SI CUMPLE</v>
          </cell>
          <cell r="AA449" t="str">
            <v>DESPACHADO</v>
          </cell>
          <cell r="AB449" t="str">
            <v>AUTO EXPRESS SEGOVIA</v>
          </cell>
        </row>
        <row r="450">
          <cell r="A450" t="str">
            <v>Chanitos Premium EUA Tarima Americana</v>
          </cell>
          <cell r="B450" t="str">
            <v>CPR01104</v>
          </cell>
          <cell r="C450" t="str">
            <v>A06043-352808-1</v>
          </cell>
          <cell r="D450" t="str">
            <v>A06 043 Nuestra señora</v>
          </cell>
          <cell r="E450" t="str">
            <v>McAllen</v>
          </cell>
          <cell r="F450">
            <v>384</v>
          </cell>
          <cell r="G450">
            <v>8</v>
          </cell>
          <cell r="H450">
            <v>46262</v>
          </cell>
          <cell r="I450">
            <v>35</v>
          </cell>
          <cell r="J450" t="str">
            <v>mar. 01/09/26</v>
          </cell>
          <cell r="L450" t="str">
            <v>DIRECTO SIN PREENFRIO</v>
          </cell>
          <cell r="M450">
            <v>3</v>
          </cell>
          <cell r="N450">
            <v>72</v>
          </cell>
          <cell r="T450" t="str">
            <v>N/A</v>
          </cell>
          <cell r="U450" t="str">
            <v/>
          </cell>
          <cell r="V450">
            <v>46263</v>
          </cell>
          <cell r="W450">
            <v>0.9375</v>
          </cell>
          <cell r="X450" t="str">
            <v/>
          </cell>
          <cell r="Y450" t="str">
            <v>NO CUMPLE</v>
          </cell>
          <cell r="AA450" t="str">
            <v>DESPACHADO</v>
          </cell>
          <cell r="AB450" t="str">
            <v>Ignacio Martinez Gonzales</v>
          </cell>
          <cell r="AD450">
            <v>35742</v>
          </cell>
        </row>
        <row r="451">
          <cell r="A451" t="str">
            <v>Chanitos Premium EUA Tarima Americana</v>
          </cell>
          <cell r="B451" t="str">
            <v>CPR01104</v>
          </cell>
          <cell r="C451" t="str">
            <v>A04084-352808-1</v>
          </cell>
          <cell r="D451" t="str">
            <v>A04 084 Lisboa</v>
          </cell>
          <cell r="E451" t="str">
            <v>McAllen</v>
          </cell>
          <cell r="F451">
            <v>960</v>
          </cell>
          <cell r="G451">
            <v>20</v>
          </cell>
          <cell r="H451">
            <v>46262</v>
          </cell>
          <cell r="I451">
            <v>35</v>
          </cell>
          <cell r="J451" t="str">
            <v>mar. 01/09/26</v>
          </cell>
          <cell r="L451" t="str">
            <v>DIRECTO SIN PREENFRIO</v>
          </cell>
          <cell r="M451">
            <v>3</v>
          </cell>
          <cell r="N451">
            <v>72</v>
          </cell>
          <cell r="T451" t="str">
            <v>N/A</v>
          </cell>
          <cell r="U451" t="str">
            <v/>
          </cell>
          <cell r="V451">
            <v>46263</v>
          </cell>
          <cell r="W451">
            <v>0.72569444444444442</v>
          </cell>
          <cell r="X451" t="str">
            <v/>
          </cell>
          <cell r="AA451" t="str">
            <v>DESPACHADO</v>
          </cell>
          <cell r="AB451" t="str">
            <v>TRANSPORTES TOMATITOS</v>
          </cell>
        </row>
        <row r="452">
          <cell r="A452" t="str">
            <v>Chanitos Premium EUA Tarima Americana</v>
          </cell>
          <cell r="B452" t="str">
            <v>CPR01104</v>
          </cell>
          <cell r="C452" t="str">
            <v>A06043-392509-1</v>
          </cell>
          <cell r="D452" t="str">
            <v>A06 043 Nuestra señora</v>
          </cell>
          <cell r="E452" t="str">
            <v>McAllen</v>
          </cell>
          <cell r="F452">
            <v>384</v>
          </cell>
          <cell r="G452">
            <v>8</v>
          </cell>
          <cell r="H452">
            <v>46290</v>
          </cell>
          <cell r="I452">
            <v>39</v>
          </cell>
          <cell r="L452" t="str">
            <v>PREENFRIO FORTALEZA</v>
          </cell>
          <cell r="M452">
            <v>3</v>
          </cell>
          <cell r="N452">
            <v>72</v>
          </cell>
          <cell r="O452">
            <v>46290</v>
          </cell>
          <cell r="P452">
            <v>0.75</v>
          </cell>
          <cell r="Q452" t="str">
            <v>NORMAL</v>
          </cell>
          <cell r="R452">
            <v>46293</v>
          </cell>
          <cell r="S452">
            <v>0.3888888888888889</v>
          </cell>
          <cell r="T452">
            <v>0.41666666666666669</v>
          </cell>
          <cell r="U452">
            <v>46293.805555555555</v>
          </cell>
          <cell r="V452">
            <v>46293</v>
          </cell>
          <cell r="W452">
            <v>0.94444444444444442</v>
          </cell>
          <cell r="X452" t="str">
            <v>NO CUMPLE</v>
          </cell>
          <cell r="Y452" t="str">
            <v>NO CUMPLE</v>
          </cell>
          <cell r="Z452" t="str">
            <v>Completa en Nelly 2 tarimas</v>
          </cell>
          <cell r="AA452" t="str">
            <v>DESPACHADO</v>
          </cell>
          <cell r="AB452" t="str">
            <v>JERESARET BARTOLO RUIZ</v>
          </cell>
          <cell r="AD452">
            <v>27148</v>
          </cell>
          <cell r="AE452" t="str">
            <v>QEP1W00630</v>
          </cell>
        </row>
        <row r="453">
          <cell r="A453" t="str">
            <v>Chanitos Premium Tarima Americana</v>
          </cell>
          <cell r="B453" t="str">
            <v>CPR01103</v>
          </cell>
          <cell r="C453" t="str">
            <v>A04037-410710-1</v>
          </cell>
          <cell r="D453" t="str">
            <v>A04 037 Josefina Nava</v>
          </cell>
          <cell r="E453" t="str">
            <v>S-MTY</v>
          </cell>
          <cell r="F453">
            <v>288</v>
          </cell>
          <cell r="G453">
            <v>6</v>
          </cell>
          <cell r="H453">
            <v>46302</v>
          </cell>
          <cell r="I453">
            <v>41</v>
          </cell>
          <cell r="J453">
            <v>46307</v>
          </cell>
          <cell r="L453" t="str">
            <v>PREENFRIO NELLY</v>
          </cell>
          <cell r="M453">
            <v>3</v>
          </cell>
          <cell r="N453">
            <v>72</v>
          </cell>
          <cell r="O453">
            <v>46303</v>
          </cell>
          <cell r="P453">
            <v>2.4305555555555556E-2</v>
          </cell>
          <cell r="Q453" t="str">
            <v>ALTA</v>
          </cell>
          <cell r="R453">
            <v>46303</v>
          </cell>
          <cell r="S453">
            <v>4.8611111111111112E-2</v>
          </cell>
          <cell r="T453">
            <v>0.4375</v>
          </cell>
          <cell r="U453">
            <v>46303.486111111109</v>
          </cell>
          <cell r="V453">
            <v>0.38194444444444442</v>
          </cell>
          <cell r="W453">
            <v>4.1666666666666664E-2</v>
          </cell>
          <cell r="X453" t="str">
            <v>SI CUMPLE</v>
          </cell>
          <cell r="Y453" t="str">
            <v>SI CUMPLE</v>
          </cell>
          <cell r="AA453" t="str">
            <v>DESPACHADO</v>
          </cell>
          <cell r="AB453" t="str">
            <v>AUTO EXPRESS SEGOVIA</v>
          </cell>
        </row>
        <row r="454">
          <cell r="A454" t="str">
            <v>Chanitos Premium Tarima Americana</v>
          </cell>
          <cell r="B454" t="str">
            <v>CPR01103</v>
          </cell>
          <cell r="C454" t="str">
            <v>A04039-410710-1</v>
          </cell>
          <cell r="D454" t="str">
            <v>A04 039 San Jose Morelia Nava</v>
          </cell>
          <cell r="E454" t="str">
            <v>S-MTY</v>
          </cell>
          <cell r="F454">
            <v>960</v>
          </cell>
          <cell r="G454">
            <v>20</v>
          </cell>
          <cell r="H454">
            <v>46302</v>
          </cell>
          <cell r="I454">
            <v>41</v>
          </cell>
          <cell r="J454">
            <v>46307</v>
          </cell>
          <cell r="L454" t="str">
            <v>PREENFRIO NELLY</v>
          </cell>
          <cell r="M454">
            <v>3</v>
          </cell>
          <cell r="N454">
            <v>72</v>
          </cell>
          <cell r="O454">
            <v>46303</v>
          </cell>
          <cell r="P454">
            <v>6.25E-2</v>
          </cell>
          <cell r="Q454" t="str">
            <v>ALTA</v>
          </cell>
          <cell r="R454">
            <v>46303</v>
          </cell>
          <cell r="S454">
            <v>0.875</v>
          </cell>
          <cell r="T454">
            <v>0.375</v>
          </cell>
          <cell r="U454">
            <v>46303</v>
          </cell>
          <cell r="V454">
            <v>0.38194444444444442</v>
          </cell>
          <cell r="W454">
            <v>4.1666666666666664E-2</v>
          </cell>
          <cell r="X454" t="str">
            <v>SI CUMPLE</v>
          </cell>
          <cell r="Y454" t="str">
            <v>SI CUMPLE</v>
          </cell>
          <cell r="AA454" t="str">
            <v>DESPACHADO</v>
          </cell>
          <cell r="AB454" t="str">
            <v>AUTO EXPRESS SEGOVIA</v>
          </cell>
        </row>
        <row r="455">
          <cell r="A455" t="str">
            <v>Chanitos Premium EUA Tarima Americana</v>
          </cell>
          <cell r="B455" t="str">
            <v>CPR01104</v>
          </cell>
          <cell r="C455" t="str">
            <v>A01003-410810-1</v>
          </cell>
          <cell r="D455" t="str">
            <v>A01 003 Doña Nelly</v>
          </cell>
          <cell r="E455" t="str">
            <v>McAllen</v>
          </cell>
          <cell r="F455">
            <v>48</v>
          </cell>
          <cell r="G455">
            <v>1</v>
          </cell>
          <cell r="H455">
            <v>46303</v>
          </cell>
          <cell r="I455">
            <v>41</v>
          </cell>
          <cell r="J455">
            <v>46305</v>
          </cell>
          <cell r="L455" t="str">
            <v>DIRECTO SIN PREENFRIO</v>
          </cell>
          <cell r="M455">
            <v>3</v>
          </cell>
          <cell r="N455">
            <v>72</v>
          </cell>
          <cell r="Q455" t="str">
            <v>NORMAL</v>
          </cell>
          <cell r="R455" t="str">
            <v>SIN PRENFRIO</v>
          </cell>
          <cell r="S455" t="str">
            <v>SIN PRENFRIO</v>
          </cell>
          <cell r="T455" t="str">
            <v>SIN PRENFRIO</v>
          </cell>
          <cell r="V455">
            <v>46303</v>
          </cell>
          <cell r="W455">
            <v>0.43055555555555558</v>
          </cell>
          <cell r="X455" t="str">
            <v/>
          </cell>
          <cell r="Y455" t="str">
            <v>NO CUMPLE</v>
          </cell>
          <cell r="AA455" t="str">
            <v>DESPACHADO</v>
          </cell>
          <cell r="AB455" t="str">
            <v>TRANSPORTES ALGEZA</v>
          </cell>
        </row>
        <row r="456">
          <cell r="A456" t="str">
            <v>Chanitos Organic Banded Market Side Mexico</v>
          </cell>
          <cell r="B456" t="str">
            <v>CRG07128</v>
          </cell>
          <cell r="C456" t="str">
            <v>A01002-410710-1</v>
          </cell>
          <cell r="D456" t="str">
            <v>A01 002 Fortaleza</v>
          </cell>
          <cell r="E456" t="str">
            <v>QRO</v>
          </cell>
          <cell r="F456">
            <v>48</v>
          </cell>
          <cell r="G456">
            <v>1</v>
          </cell>
          <cell r="H456">
            <v>46302</v>
          </cell>
          <cell r="I456">
            <v>41</v>
          </cell>
          <cell r="J456">
            <v>46307</v>
          </cell>
          <cell r="L456" t="str">
            <v>PREENFRIO FORTALEZA</v>
          </cell>
          <cell r="M456">
            <v>1.5</v>
          </cell>
          <cell r="N456">
            <v>36</v>
          </cell>
          <cell r="O456">
            <v>46302</v>
          </cell>
          <cell r="P456">
            <v>0.74236111111111114</v>
          </cell>
          <cell r="Q456" t="str">
            <v>NORMAL</v>
          </cell>
          <cell r="R456">
            <v>46302</v>
          </cell>
          <cell r="S456">
            <v>0.74513888888888891</v>
          </cell>
          <cell r="T456">
            <v>0.20833333333333334</v>
          </cell>
          <cell r="U456">
            <v>46302.953472222223</v>
          </cell>
          <cell r="V456">
            <v>46303</v>
          </cell>
          <cell r="W456">
            <v>0.73958333333333337</v>
          </cell>
          <cell r="X456" t="str">
            <v>SI CUMPLE</v>
          </cell>
          <cell r="Y456" t="str">
            <v>SI CUMPLE</v>
          </cell>
          <cell r="AA456" t="str">
            <v>DESPACHADO</v>
          </cell>
          <cell r="AB456" t="str">
            <v>JUAN LOPEZ GONZALEZ</v>
          </cell>
          <cell r="AC456" t="str">
            <v xml:space="preserve">JESUS MARTIN MARTINEZ </v>
          </cell>
          <cell r="AD456">
            <v>50607</v>
          </cell>
          <cell r="AE456" t="str">
            <v>QF91W041E0</v>
          </cell>
        </row>
        <row r="457">
          <cell r="A457" t="str">
            <v>Chanitos Premium Tarima Chep</v>
          </cell>
          <cell r="B457" t="str">
            <v>CPR01102</v>
          </cell>
          <cell r="C457" t="str">
            <v>A01002-410710-1</v>
          </cell>
          <cell r="D457" t="str">
            <v>A01 002 Fortaleza</v>
          </cell>
          <cell r="E457" t="str">
            <v>QRO</v>
          </cell>
          <cell r="F457">
            <v>336</v>
          </cell>
          <cell r="G457">
            <v>7</v>
          </cell>
          <cell r="H457">
            <v>46302</v>
          </cell>
          <cell r="I457">
            <v>41</v>
          </cell>
          <cell r="J457">
            <v>46307</v>
          </cell>
          <cell r="L457" t="str">
            <v>PREENFRIO FORTALEZA</v>
          </cell>
          <cell r="M457">
            <v>1.5</v>
          </cell>
          <cell r="N457">
            <v>36</v>
          </cell>
          <cell r="O457">
            <v>46302</v>
          </cell>
          <cell r="P457">
            <v>0.74236111111111114</v>
          </cell>
          <cell r="Q457" t="str">
            <v>NORMAL</v>
          </cell>
          <cell r="R457">
            <v>46302</v>
          </cell>
          <cell r="S457">
            <v>0.74513888888888891</v>
          </cell>
          <cell r="T457">
            <v>0.20833333333333334</v>
          </cell>
          <cell r="U457">
            <v>46302.953472222223</v>
          </cell>
          <cell r="V457">
            <v>46303</v>
          </cell>
          <cell r="W457">
            <v>0.73958333333333337</v>
          </cell>
          <cell r="X457" t="str">
            <v>SI CUMPLE</v>
          </cell>
          <cell r="Y457" t="str">
            <v>SI CUMPLE</v>
          </cell>
          <cell r="AA457" t="str">
            <v>DESPACHADO</v>
          </cell>
          <cell r="AB457" t="str">
            <v>JUAN LOPEZ GONZALEZ</v>
          </cell>
          <cell r="AC457" t="str">
            <v xml:space="preserve">JESUS MARTIN MARTINEZ </v>
          </cell>
          <cell r="AD457">
            <v>50607</v>
          </cell>
          <cell r="AE457" t="str">
            <v>QF91W041E0</v>
          </cell>
        </row>
        <row r="458">
          <cell r="A458" t="str">
            <v>Chanitos Premium Tarima Chep</v>
          </cell>
          <cell r="B458" t="str">
            <v>CPR01102</v>
          </cell>
          <cell r="C458" t="str">
            <v>A01003-410710-1</v>
          </cell>
          <cell r="D458" t="str">
            <v>A01 003 Doña Nelly</v>
          </cell>
          <cell r="E458" t="str">
            <v>QRO</v>
          </cell>
          <cell r="F458">
            <v>768</v>
          </cell>
          <cell r="G458">
            <v>16</v>
          </cell>
          <cell r="H458">
            <v>46302</v>
          </cell>
          <cell r="I458">
            <v>41</v>
          </cell>
          <cell r="J458">
            <v>46307</v>
          </cell>
          <cell r="L458" t="str">
            <v>PREENFRIO FORTALEZA</v>
          </cell>
          <cell r="M458">
            <v>1.5</v>
          </cell>
          <cell r="N458">
            <v>36</v>
          </cell>
          <cell r="O458">
            <v>46303</v>
          </cell>
          <cell r="P458">
            <v>0.30486111111111114</v>
          </cell>
          <cell r="Q458" t="str">
            <v>NORMAL</v>
          </cell>
          <cell r="R458">
            <v>46303</v>
          </cell>
          <cell r="S458">
            <v>0.35416666666666669</v>
          </cell>
          <cell r="T458">
            <v>0.375</v>
          </cell>
          <cell r="U458">
            <v>46303.729166666664</v>
          </cell>
          <cell r="V458">
            <v>46303</v>
          </cell>
          <cell r="W458">
            <v>0.73958333333333337</v>
          </cell>
          <cell r="X458" t="str">
            <v>SI CUMPLE</v>
          </cell>
          <cell r="Y458" t="str">
            <v>SI CUMPLE</v>
          </cell>
          <cell r="AA458" t="str">
            <v>DESPACHADO</v>
          </cell>
          <cell r="AB458" t="str">
            <v>JUAN LOPEZ GONZALEZ</v>
          </cell>
          <cell r="AC458" t="str">
            <v xml:space="preserve">JESUS MARTIN MARTINEZ </v>
          </cell>
          <cell r="AD458">
            <v>50607</v>
          </cell>
          <cell r="AE458" t="str">
            <v>QF91W041E0</v>
          </cell>
        </row>
        <row r="459">
          <cell r="A459" t="str">
            <v>Chanitos Premium Tarima Chep</v>
          </cell>
          <cell r="B459" t="str">
            <v>CPR01102</v>
          </cell>
          <cell r="C459" t="str">
            <v>A01001-410710-1</v>
          </cell>
          <cell r="D459" t="str">
            <v>A01 001 Marbella</v>
          </cell>
          <cell r="E459" t="str">
            <v>Chalco</v>
          </cell>
          <cell r="F459">
            <v>864</v>
          </cell>
          <cell r="G459">
            <v>18</v>
          </cell>
          <cell r="H459">
            <v>46302</v>
          </cell>
          <cell r="I459">
            <v>41</v>
          </cell>
          <cell r="J459">
            <v>46307</v>
          </cell>
          <cell r="L459" t="str">
            <v>PREENFRIO FORTALEZA</v>
          </cell>
          <cell r="M459">
            <v>1</v>
          </cell>
          <cell r="N459">
            <v>24</v>
          </cell>
          <cell r="O459">
            <v>46302</v>
          </cell>
          <cell r="P459">
            <v>0.83333333333333337</v>
          </cell>
          <cell r="Q459" t="str">
            <v>NORMAL</v>
          </cell>
          <cell r="R459">
            <v>46303</v>
          </cell>
          <cell r="S459">
            <v>0.97916666666666663</v>
          </cell>
          <cell r="T459">
            <v>0.625</v>
          </cell>
          <cell r="U459">
            <v>46304.604166666664</v>
          </cell>
          <cell r="V459">
            <v>46303</v>
          </cell>
          <cell r="W459">
            <v>0.95833333333333337</v>
          </cell>
          <cell r="X459" t="str">
            <v>SI CUMPLE</v>
          </cell>
          <cell r="Y459" t="str">
            <v>SI CUMPLE</v>
          </cell>
          <cell r="AA459" t="str">
            <v>DESPACHADO</v>
          </cell>
          <cell r="AB459" t="str">
            <v>T&amp;L INTERNACIONAL ASE</v>
          </cell>
          <cell r="AC459" t="str">
            <v>CERVANDO OTAMENDI</v>
          </cell>
          <cell r="AD459">
            <v>65227</v>
          </cell>
          <cell r="AE459" t="str">
            <v>QF91W043Z0</v>
          </cell>
        </row>
        <row r="460">
          <cell r="A460" t="str">
            <v>Platano de Chiapas BAE UPC 3237</v>
          </cell>
          <cell r="B460" t="str">
            <v>CPR01114</v>
          </cell>
          <cell r="C460" t="str">
            <v>A01001-410710-1</v>
          </cell>
          <cell r="D460" t="str">
            <v>A01 001 Marbella</v>
          </cell>
          <cell r="E460" t="str">
            <v>Chalco</v>
          </cell>
          <cell r="F460">
            <v>48</v>
          </cell>
          <cell r="G460">
            <v>1</v>
          </cell>
          <cell r="H460">
            <v>46302</v>
          </cell>
          <cell r="I460">
            <v>41</v>
          </cell>
          <cell r="J460">
            <v>46307</v>
          </cell>
          <cell r="L460" t="str">
            <v>PREENFRIO FORTALEZA</v>
          </cell>
          <cell r="M460">
            <v>1</v>
          </cell>
          <cell r="N460">
            <v>24</v>
          </cell>
          <cell r="O460">
            <v>46302</v>
          </cell>
          <cell r="P460">
            <v>0.83333333333333337</v>
          </cell>
          <cell r="Q460" t="str">
            <v>NORMAL</v>
          </cell>
          <cell r="R460">
            <v>46303</v>
          </cell>
          <cell r="S460">
            <v>0.97916666666666663</v>
          </cell>
          <cell r="T460">
            <v>0.625</v>
          </cell>
          <cell r="U460">
            <v>46304.604166666664</v>
          </cell>
          <cell r="V460">
            <v>46303</v>
          </cell>
          <cell r="W460">
            <v>0.95833333333333337</v>
          </cell>
          <cell r="X460" t="str">
            <v>SI CUMPLE</v>
          </cell>
          <cell r="Y460" t="str">
            <v>SI CUMPLE</v>
          </cell>
          <cell r="AA460" t="str">
            <v>DESPACHADO</v>
          </cell>
          <cell r="AB460" t="str">
            <v>T&amp;L INTERNACIONAL ASE</v>
          </cell>
          <cell r="AC460" t="str">
            <v>CERVANDO OTAMENDI</v>
          </cell>
          <cell r="AD460">
            <v>65227</v>
          </cell>
          <cell r="AE460" t="str">
            <v>QF91W043Z0</v>
          </cell>
        </row>
        <row r="461">
          <cell r="A461" t="str">
            <v>Chanitos Premium Tarima Chep</v>
          </cell>
          <cell r="B461" t="str">
            <v>CPR01102</v>
          </cell>
          <cell r="C461" t="str">
            <v>A01001-410710-1</v>
          </cell>
          <cell r="D461" t="str">
            <v>A01 001 Marbella</v>
          </cell>
          <cell r="E461" t="str">
            <v>VSA</v>
          </cell>
          <cell r="F461">
            <v>192</v>
          </cell>
          <cell r="G461">
            <v>4</v>
          </cell>
          <cell r="H461">
            <v>46302</v>
          </cell>
          <cell r="I461">
            <v>41</v>
          </cell>
          <cell r="J461">
            <v>46307</v>
          </cell>
          <cell r="L461" t="str">
            <v>PREENFRIO FORTALEZA</v>
          </cell>
          <cell r="M461">
            <v>1</v>
          </cell>
          <cell r="N461">
            <v>24</v>
          </cell>
          <cell r="O461">
            <v>46303</v>
          </cell>
          <cell r="P461">
            <v>0.97291666666666665</v>
          </cell>
          <cell r="Q461" t="str">
            <v>NORMAL</v>
          </cell>
          <cell r="R461">
            <v>46304</v>
          </cell>
          <cell r="S461">
            <v>0.16319444444444445</v>
          </cell>
          <cell r="T461">
            <v>0.45833333333333331</v>
          </cell>
          <cell r="U461">
            <v>46304.621527777781</v>
          </cell>
          <cell r="V461">
            <v>46306</v>
          </cell>
          <cell r="W461">
            <v>0.2638888888888889</v>
          </cell>
          <cell r="X461" t="str">
            <v>SI CUMPLE</v>
          </cell>
          <cell r="Y461" t="str">
            <v>NO CUMPLE</v>
          </cell>
          <cell r="AA461" t="str">
            <v>DESPACHADO</v>
          </cell>
          <cell r="AB461" t="str">
            <v>GENARO IBAÑEZ ROJAS</v>
          </cell>
          <cell r="AC461" t="str">
            <v>VICENTE SANCHEZ RUEDA</v>
          </cell>
          <cell r="AD461">
            <v>25377</v>
          </cell>
          <cell r="AE461" t="str">
            <v>QF91W04W20</v>
          </cell>
        </row>
        <row r="462">
          <cell r="A462" t="str">
            <v>Chanitos Premium Tarima Americana</v>
          </cell>
          <cell r="B462" t="str">
            <v>CPR01103</v>
          </cell>
          <cell r="C462" t="str">
            <v>A01003-410810-1</v>
          </cell>
          <cell r="D462" t="str">
            <v>A01 003 Doña Nelly</v>
          </cell>
          <cell r="E462" t="str">
            <v>S-MTY</v>
          </cell>
          <cell r="F462">
            <v>672</v>
          </cell>
          <cell r="G462">
            <v>14</v>
          </cell>
          <cell r="H462">
            <v>46303</v>
          </cell>
          <cell r="I462">
            <v>41</v>
          </cell>
          <cell r="J462">
            <v>46307</v>
          </cell>
          <cell r="L462" t="str">
            <v>PREENFRIO NELLY</v>
          </cell>
          <cell r="M462">
            <v>3</v>
          </cell>
          <cell r="N462">
            <v>72</v>
          </cell>
          <cell r="O462">
            <v>46303</v>
          </cell>
          <cell r="P462">
            <v>0.75</v>
          </cell>
          <cell r="Q462" t="str">
            <v>ALTA</v>
          </cell>
          <cell r="R462">
            <v>46303</v>
          </cell>
          <cell r="S462">
            <v>0.875</v>
          </cell>
          <cell r="T462">
            <v>0.20833333333333334</v>
          </cell>
          <cell r="U462">
            <v>46304.083333333336</v>
          </cell>
          <cell r="V462">
            <v>0.38194444444444442</v>
          </cell>
          <cell r="W462">
            <v>4.1666666666666664E-2</v>
          </cell>
          <cell r="X462" t="str">
            <v>SI CUMPLE</v>
          </cell>
          <cell r="Y462" t="str">
            <v>SI CUMPLE</v>
          </cell>
          <cell r="AA462" t="str">
            <v>DESPACHADO</v>
          </cell>
          <cell r="AB462" t="str">
            <v>AUTO EXPRESS SEGOVIA</v>
          </cell>
        </row>
        <row r="463">
          <cell r="A463" t="str">
            <v>Chanitos Premium Tarima Americana</v>
          </cell>
          <cell r="B463" t="str">
            <v>CPR01103</v>
          </cell>
          <cell r="C463" t="str">
            <v>A01003-410810-1</v>
          </cell>
          <cell r="D463" t="str">
            <v>A01 003 Doña Nelly</v>
          </cell>
          <cell r="E463" t="str">
            <v>S-MTY</v>
          </cell>
          <cell r="F463">
            <v>288</v>
          </cell>
          <cell r="G463">
            <v>6</v>
          </cell>
          <cell r="H463">
            <v>46303</v>
          </cell>
          <cell r="I463">
            <v>41</v>
          </cell>
          <cell r="J463">
            <v>46309</v>
          </cell>
          <cell r="L463" t="str">
            <v>PREENFRIO NELLY</v>
          </cell>
          <cell r="M463">
            <v>3</v>
          </cell>
          <cell r="N463">
            <v>72</v>
          </cell>
          <cell r="O463">
            <v>46303</v>
          </cell>
          <cell r="P463">
            <v>0.75</v>
          </cell>
          <cell r="Q463" t="str">
            <v>ALTA</v>
          </cell>
          <cell r="R463">
            <v>46273</v>
          </cell>
          <cell r="S463">
            <v>0.99305555555555558</v>
          </cell>
          <cell r="T463">
            <v>0.4375</v>
          </cell>
          <cell r="U463">
            <v>46274.430555555555</v>
          </cell>
          <cell r="V463">
            <v>46305</v>
          </cell>
          <cell r="W463">
            <v>0.16666666666666666</v>
          </cell>
          <cell r="X463" t="str">
            <v>SI CUMPLE</v>
          </cell>
          <cell r="Y463" t="str">
            <v>SI CUMPLE</v>
          </cell>
          <cell r="AA463" t="str">
            <v>DESPACHADO</v>
          </cell>
          <cell r="AB463" t="str">
            <v>AUTO EXPRESS SEGOVIA</v>
          </cell>
        </row>
        <row r="464">
          <cell r="A464" t="str">
            <v>Chanitos Premium Tarima Chep</v>
          </cell>
          <cell r="B464" t="str">
            <v>CPR01102</v>
          </cell>
          <cell r="C464" t="str">
            <v>A01003-410810-1</v>
          </cell>
          <cell r="D464" t="str">
            <v>A01 003 Doña Nelly</v>
          </cell>
          <cell r="E464" t="str">
            <v>Chalco</v>
          </cell>
          <cell r="F464">
            <v>240</v>
          </cell>
          <cell r="G464">
            <v>5</v>
          </cell>
          <cell r="H464">
            <v>46303</v>
          </cell>
          <cell r="I464">
            <v>41</v>
          </cell>
          <cell r="J464">
            <v>46307</v>
          </cell>
          <cell r="L464" t="str">
            <v>PREENFRIO NELLY</v>
          </cell>
          <cell r="M464">
            <v>1</v>
          </cell>
          <cell r="N464">
            <v>24</v>
          </cell>
          <cell r="O464">
            <v>46304</v>
          </cell>
          <cell r="P464">
            <v>0.75</v>
          </cell>
          <cell r="Q464" t="str">
            <v>ALTA</v>
          </cell>
          <cell r="R464">
            <v>46304</v>
          </cell>
          <cell r="S464">
            <v>0.52083333333333337</v>
          </cell>
          <cell r="T464">
            <v>0.35416666666666669</v>
          </cell>
          <cell r="U464">
            <v>46304.875</v>
          </cell>
          <cell r="V464">
            <v>46304</v>
          </cell>
          <cell r="W464">
            <v>0.79861111111111116</v>
          </cell>
          <cell r="X464" t="str">
            <v>SI CUMPLE</v>
          </cell>
          <cell r="Y464" t="str">
            <v>SI CUMPLE</v>
          </cell>
          <cell r="AA464" t="str">
            <v>DESPACHADO</v>
          </cell>
        </row>
        <row r="465">
          <cell r="A465" t="str">
            <v>Platano de Chiapas BAE UPC 3237</v>
          </cell>
          <cell r="B465" t="str">
            <v>CPR01114</v>
          </cell>
          <cell r="C465" t="str">
            <v>A01003-410810-1</v>
          </cell>
          <cell r="D465" t="str">
            <v>A01 003 Doña Nelly</v>
          </cell>
          <cell r="E465" t="str">
            <v>Chalco</v>
          </cell>
          <cell r="F465">
            <v>42</v>
          </cell>
          <cell r="G465">
            <v>0.875</v>
          </cell>
          <cell r="H465">
            <v>46303</v>
          </cell>
          <cell r="I465">
            <v>41</v>
          </cell>
          <cell r="J465">
            <v>46309</v>
          </cell>
          <cell r="L465" t="str">
            <v>PREENFRIO NELLY</v>
          </cell>
          <cell r="M465">
            <v>1</v>
          </cell>
          <cell r="N465">
            <v>24</v>
          </cell>
          <cell r="O465">
            <v>46304</v>
          </cell>
          <cell r="P465">
            <v>0.75</v>
          </cell>
          <cell r="Q465" t="str">
            <v>ALTA</v>
          </cell>
          <cell r="R465">
            <v>46304</v>
          </cell>
          <cell r="S465">
            <v>0.52083333333333337</v>
          </cell>
          <cell r="T465">
            <v>0.35416666666666669</v>
          </cell>
          <cell r="U465">
            <v>46304.875</v>
          </cell>
          <cell r="V465">
            <v>46304</v>
          </cell>
          <cell r="W465">
            <v>0.79861111111111116</v>
          </cell>
          <cell r="X465" t="str">
            <v>SI CUMPLE</v>
          </cell>
          <cell r="Y465" t="str">
            <v>SI CUMPLE</v>
          </cell>
          <cell r="AA465" t="str">
            <v>DESPACHADO</v>
          </cell>
          <cell r="AB465" t="str">
            <v>LEOPOLDO LEGORRETA LEGORRETA</v>
          </cell>
          <cell r="AC465" t="str">
            <v>OSCAR CRUZ GARCIA</v>
          </cell>
        </row>
        <row r="466">
          <cell r="A466" t="str">
            <v>Chanitos Organic Banded Market Side Mexico</v>
          </cell>
          <cell r="B466" t="str">
            <v>CRG07128</v>
          </cell>
          <cell r="C466" t="str">
            <v>A01002-410610-1</v>
          </cell>
          <cell r="D466" t="str">
            <v>A01 002 Fortaleza</v>
          </cell>
          <cell r="E466" t="str">
            <v>VSA</v>
          </cell>
          <cell r="F466">
            <v>240</v>
          </cell>
          <cell r="G466">
            <v>5</v>
          </cell>
          <cell r="H466">
            <v>46301</v>
          </cell>
          <cell r="I466">
            <v>41</v>
          </cell>
          <cell r="J466">
            <v>46305</v>
          </cell>
          <cell r="L466" t="str">
            <v>PREENFRIO FORTALEZA</v>
          </cell>
          <cell r="M466">
            <v>1</v>
          </cell>
          <cell r="N466">
            <v>24</v>
          </cell>
          <cell r="O466">
            <v>46301</v>
          </cell>
          <cell r="P466">
            <v>0.58750000000000002</v>
          </cell>
          <cell r="Q466" t="str">
            <v>NORMAL</v>
          </cell>
          <cell r="R466">
            <v>46301</v>
          </cell>
          <cell r="S466">
            <v>0.90763888888888888</v>
          </cell>
          <cell r="T466">
            <v>0.625</v>
          </cell>
          <cell r="U466">
            <v>46302.532638888886</v>
          </cell>
          <cell r="V466">
            <v>46303</v>
          </cell>
          <cell r="W466">
            <v>0.45833333333333331</v>
          </cell>
          <cell r="X466" t="str">
            <v>SI CUMPLE</v>
          </cell>
          <cell r="Y466" t="str">
            <v>SI CUMPLE</v>
          </cell>
          <cell r="AA466" t="str">
            <v>DESPACHADO</v>
          </cell>
          <cell r="AB466" t="str">
            <v>GENARO IBAÑEZ ROJAS</v>
          </cell>
          <cell r="AC466" t="str">
            <v>VICENTE SANCHEZ RUEDA</v>
          </cell>
          <cell r="AD466">
            <v>33700</v>
          </cell>
          <cell r="AE466" t="str">
            <v>QF91W043B0</v>
          </cell>
        </row>
        <row r="467">
          <cell r="A467" t="str">
            <v>Chanitos Premium Tarima Chep</v>
          </cell>
          <cell r="B467" t="str">
            <v>CPR01102</v>
          </cell>
          <cell r="C467" t="str">
            <v>A01002-410610-1</v>
          </cell>
          <cell r="D467" t="str">
            <v>A01 002 Fortaleza</v>
          </cell>
          <cell r="E467" t="str">
            <v>VSA</v>
          </cell>
          <cell r="F467">
            <v>672</v>
          </cell>
          <cell r="G467">
            <v>14</v>
          </cell>
          <cell r="H467">
            <v>46301</v>
          </cell>
          <cell r="I467">
            <v>41</v>
          </cell>
          <cell r="J467">
            <v>46305</v>
          </cell>
          <cell r="L467" t="str">
            <v>PREENFRIO FORTALEZA</v>
          </cell>
          <cell r="M467">
            <v>1</v>
          </cell>
          <cell r="N467">
            <v>24</v>
          </cell>
          <cell r="O467">
            <v>46301</v>
          </cell>
          <cell r="P467">
            <v>0.58750000000000002</v>
          </cell>
          <cell r="Q467" t="str">
            <v>NORMAL</v>
          </cell>
          <cell r="R467">
            <v>46301</v>
          </cell>
          <cell r="S467">
            <v>0.90763888888888888</v>
          </cell>
          <cell r="T467">
            <v>0.625</v>
          </cell>
          <cell r="U467">
            <v>46302.532638888886</v>
          </cell>
          <cell r="V467">
            <v>46303</v>
          </cell>
          <cell r="W467">
            <v>0.45833333333333331</v>
          </cell>
          <cell r="X467" t="str">
            <v>SI CUMPLE</v>
          </cell>
          <cell r="Y467" t="str">
            <v>SI CUMPLE</v>
          </cell>
          <cell r="AA467" t="str">
            <v>DESPACHADO</v>
          </cell>
          <cell r="AB467" t="str">
            <v>GENARO IBAÑEZ ROJAS</v>
          </cell>
          <cell r="AC467" t="str">
            <v>VICENTE SANCHEZ RUEDA</v>
          </cell>
          <cell r="AD467">
            <v>33700</v>
          </cell>
          <cell r="AE467" t="str">
            <v>QF91W043B0</v>
          </cell>
        </row>
        <row r="468">
          <cell r="A468" t="str">
            <v>Chanitos Premium Tarima Chep</v>
          </cell>
          <cell r="B468" t="str">
            <v>CPR01102</v>
          </cell>
          <cell r="C468" t="str">
            <v>A01002-410810-1</v>
          </cell>
          <cell r="D468" t="str">
            <v>A01 002 Fortaleza</v>
          </cell>
          <cell r="E468" t="str">
            <v>Chalco</v>
          </cell>
          <cell r="F468">
            <v>240</v>
          </cell>
          <cell r="G468">
            <v>5</v>
          </cell>
          <cell r="H468">
            <v>46303</v>
          </cell>
          <cell r="I468">
            <v>41</v>
          </cell>
          <cell r="J468">
            <v>46307</v>
          </cell>
          <cell r="L468" t="str">
            <v>PREENFRIO FORTALEZA</v>
          </cell>
          <cell r="M468">
            <v>1</v>
          </cell>
          <cell r="N468">
            <v>24</v>
          </cell>
          <cell r="O468">
            <v>46303</v>
          </cell>
          <cell r="P468">
            <v>0.67500000000000004</v>
          </cell>
          <cell r="Q468" t="str">
            <v>NORMAL</v>
          </cell>
          <cell r="R468">
            <v>46303</v>
          </cell>
          <cell r="S468">
            <v>0.70902777777777781</v>
          </cell>
          <cell r="T468">
            <v>0.20833333333333334</v>
          </cell>
          <cell r="U468">
            <v>46303.917361111111</v>
          </cell>
          <cell r="V468">
            <v>46303</v>
          </cell>
          <cell r="W468">
            <v>0.95833333333333337</v>
          </cell>
          <cell r="X468" t="str">
            <v>SI CUMPLE</v>
          </cell>
          <cell r="Y468" t="str">
            <v>SI CUMPLE</v>
          </cell>
          <cell r="AA468" t="str">
            <v>DESPACHADO</v>
          </cell>
          <cell r="AB468" t="str">
            <v>T&amp;L INTERNACIONAL ASE</v>
          </cell>
          <cell r="AC468" t="str">
            <v>CERVANDO OTAMENDI</v>
          </cell>
          <cell r="AD468">
            <v>65227</v>
          </cell>
          <cell r="AE468" t="str">
            <v>QF91W043Z0</v>
          </cell>
        </row>
        <row r="469">
          <cell r="A469" t="str">
            <v>Chanitos Organic Banded Market Side Mexico</v>
          </cell>
          <cell r="B469" t="str">
            <v>CRG07128</v>
          </cell>
          <cell r="C469" t="str">
            <v>A01002-410810-1</v>
          </cell>
          <cell r="D469" t="str">
            <v>A01 002 Fortaleza</v>
          </cell>
          <cell r="E469" t="str">
            <v>VSA</v>
          </cell>
          <cell r="F469">
            <v>288</v>
          </cell>
          <cell r="G469">
            <v>6</v>
          </cell>
          <cell r="H469">
            <v>46303</v>
          </cell>
          <cell r="I469">
            <v>41</v>
          </cell>
          <cell r="J469">
            <v>46307</v>
          </cell>
          <cell r="L469" t="str">
            <v>PREENFRIO FORTALEZA</v>
          </cell>
          <cell r="M469">
            <v>1</v>
          </cell>
          <cell r="N469">
            <v>24</v>
          </cell>
          <cell r="O469">
            <v>46303</v>
          </cell>
          <cell r="P469">
            <v>0.67500000000000004</v>
          </cell>
          <cell r="Q469" t="str">
            <v>NORMAL</v>
          </cell>
          <cell r="R469">
            <v>46304</v>
          </cell>
          <cell r="S469">
            <v>0.16319444444444445</v>
          </cell>
          <cell r="T469">
            <v>0.45833333333333331</v>
          </cell>
          <cell r="U469">
            <v>46304.621527777781</v>
          </cell>
          <cell r="V469">
            <v>46306</v>
          </cell>
          <cell r="W469">
            <v>0.2638888888888889</v>
          </cell>
          <cell r="X469" t="str">
            <v>SI CUMPLE</v>
          </cell>
          <cell r="Y469" t="str">
            <v>NO CUMPLE</v>
          </cell>
          <cell r="AA469" t="str">
            <v>DESPACHADO</v>
          </cell>
          <cell r="AB469" t="str">
            <v>GENARO IBAÑEZ ROJAS</v>
          </cell>
          <cell r="AC469" t="str">
            <v>VICENTE SANCHEZ RUEDA</v>
          </cell>
          <cell r="AD469">
            <v>25377</v>
          </cell>
          <cell r="AE469" t="str">
            <v>QF91W04W20</v>
          </cell>
        </row>
        <row r="470">
          <cell r="A470" t="str">
            <v>Chanitos Premium Tarima Chep</v>
          </cell>
          <cell r="B470" t="str">
            <v>CPR01102</v>
          </cell>
          <cell r="C470" t="str">
            <v>A01002-410810-1</v>
          </cell>
          <cell r="D470" t="str">
            <v>A01 002 Fortaleza</v>
          </cell>
          <cell r="E470" t="str">
            <v>Chalco</v>
          </cell>
          <cell r="F470">
            <v>432</v>
          </cell>
          <cell r="G470">
            <v>9</v>
          </cell>
          <cell r="H470">
            <v>46303</v>
          </cell>
          <cell r="I470">
            <v>41</v>
          </cell>
          <cell r="J470">
            <v>46309</v>
          </cell>
          <cell r="L470" t="str">
            <v>PREENFRIO FORTALEZA</v>
          </cell>
          <cell r="M470">
            <v>1</v>
          </cell>
          <cell r="N470">
            <v>24</v>
          </cell>
          <cell r="O470">
            <v>46303</v>
          </cell>
          <cell r="P470">
            <v>0.67500000000000004</v>
          </cell>
          <cell r="Q470" t="str">
            <v>NORMAL</v>
          </cell>
          <cell r="R470">
            <v>46304</v>
          </cell>
          <cell r="S470">
            <v>0.16319444444444445</v>
          </cell>
          <cell r="T470">
            <v>0.45833333333333331</v>
          </cell>
          <cell r="U470">
            <v>46304.621527777781</v>
          </cell>
          <cell r="V470">
            <v>46305</v>
          </cell>
          <cell r="W470">
            <v>5.9027777777777776E-2</v>
          </cell>
          <cell r="X470" t="str">
            <v>SI CUMPLE</v>
          </cell>
          <cell r="Y470" t="str">
            <v>SI CUMPLE</v>
          </cell>
          <cell r="AA470" t="str">
            <v>DESPACHADO</v>
          </cell>
          <cell r="AB470" t="str">
            <v>LEOPOLDO LEGORRETA LEGORRETA</v>
          </cell>
          <cell r="AC470" t="str">
            <v>OSCAR CRUZ GARCIA</v>
          </cell>
          <cell r="AD470">
            <v>12667</v>
          </cell>
          <cell r="AE470" t="str">
            <v>QEP1W02070</v>
          </cell>
        </row>
        <row r="471">
          <cell r="A471" t="str">
            <v>Chanitos Premium EUA Tarima Americana</v>
          </cell>
          <cell r="B471" t="str">
            <v>CPR01104</v>
          </cell>
          <cell r="C471" t="str">
            <v>A06043-410810-1</v>
          </cell>
          <cell r="D471" t="str">
            <v>A06 043 Nuestra señora</v>
          </cell>
          <cell r="E471" t="str">
            <v>McAllen</v>
          </cell>
          <cell r="F471">
            <v>576</v>
          </cell>
          <cell r="G471">
            <v>12</v>
          </cell>
          <cell r="H471">
            <v>46303</v>
          </cell>
          <cell r="I471">
            <v>41</v>
          </cell>
          <cell r="J471">
            <v>46309</v>
          </cell>
          <cell r="L471" t="str">
            <v>PREENFRIO FORTALEZA</v>
          </cell>
          <cell r="M471">
            <v>3</v>
          </cell>
          <cell r="N471">
            <v>72</v>
          </cell>
          <cell r="O471">
            <v>46304</v>
          </cell>
          <cell r="P471">
            <v>0.58958333333333335</v>
          </cell>
          <cell r="Q471" t="str">
            <v>NORMAL</v>
          </cell>
          <cell r="R471">
            <v>46304</v>
          </cell>
          <cell r="S471">
            <v>0.64583333333333337</v>
          </cell>
          <cell r="T471">
            <v>0.33333333333333331</v>
          </cell>
          <cell r="U471">
            <v>46304.979166666672</v>
          </cell>
          <cell r="V471">
            <v>46304</v>
          </cell>
          <cell r="W471">
            <v>0.97569444444444442</v>
          </cell>
          <cell r="X471" t="str">
            <v>SI CUMPLE</v>
          </cell>
          <cell r="Y471" t="str">
            <v>SI CUMPLE</v>
          </cell>
          <cell r="AA471" t="str">
            <v>DESPACHADO</v>
          </cell>
          <cell r="AB471" t="str">
            <v>TRANSPORTES TOMATITOS</v>
          </cell>
          <cell r="AC471" t="str">
            <v>OSVALDO OVIDIO FLORES</v>
          </cell>
          <cell r="AD471">
            <v>51031</v>
          </cell>
          <cell r="AE471">
            <v>100000914995</v>
          </cell>
        </row>
        <row r="472">
          <cell r="A472" t="str">
            <v>Chanitos Plantain 20Kg Tarima Chep</v>
          </cell>
          <cell r="B472" t="str">
            <v>CPL08141</v>
          </cell>
          <cell r="C472" t="str">
            <v>A35082-410810-1</v>
          </cell>
          <cell r="D472" t="str">
            <v>A35 082 Empaque de Macho Ej Libertad</v>
          </cell>
          <cell r="E472" t="str">
            <v>CEDA</v>
          </cell>
          <cell r="F472">
            <v>384</v>
          </cell>
          <cell r="G472">
            <v>8</v>
          </cell>
          <cell r="H472">
            <v>46303</v>
          </cell>
          <cell r="I472">
            <v>41</v>
          </cell>
          <cell r="J472">
            <v>46305</v>
          </cell>
          <cell r="L472" t="str">
            <v>PREENFRIO FORTALEZA</v>
          </cell>
          <cell r="M472">
            <v>1.5</v>
          </cell>
          <cell r="N472">
            <v>36</v>
          </cell>
          <cell r="O472">
            <v>46303</v>
          </cell>
          <cell r="P472">
            <v>0.97291666666666665</v>
          </cell>
          <cell r="Q472" t="str">
            <v>NORMAL</v>
          </cell>
          <cell r="R472">
            <v>46304</v>
          </cell>
          <cell r="S472">
            <v>0.16319444444444445</v>
          </cell>
          <cell r="T472">
            <v>0.25</v>
          </cell>
          <cell r="U472">
            <v>46304.413194444445</v>
          </cell>
          <cell r="V472">
            <v>46304</v>
          </cell>
          <cell r="W472">
            <v>0.60416666666666663</v>
          </cell>
          <cell r="X472" t="str">
            <v>NO CUMPLE</v>
          </cell>
          <cell r="Y472" t="str">
            <v>NO CUMPLE</v>
          </cell>
          <cell r="Z472" t="str">
            <v>SE TUVO QUE ESPERAR QUE HICIERAN 3 TARIMAS PARA COMPLETAR LA CARGA</v>
          </cell>
          <cell r="AA472" t="str">
            <v>DESPACHADO</v>
          </cell>
          <cell r="AB472" t="str">
            <v>KAREN AMADO HUERTA</v>
          </cell>
          <cell r="AC472" t="str">
            <v>DONATO GAZCA</v>
          </cell>
          <cell r="AD472">
            <v>80932</v>
          </cell>
          <cell r="AE472" t="str">
            <v>QF91W04460</v>
          </cell>
        </row>
        <row r="473">
          <cell r="A473" t="str">
            <v>Chanitos Premium Tarima Chep</v>
          </cell>
          <cell r="B473" t="str">
            <v>CPR01102</v>
          </cell>
          <cell r="C473" t="str">
            <v>A01002-410810-1</v>
          </cell>
          <cell r="D473" t="str">
            <v>A01 002 Fortaleza</v>
          </cell>
          <cell r="E473" t="str">
            <v>VSA</v>
          </cell>
          <cell r="F473">
            <v>480</v>
          </cell>
          <cell r="G473">
            <v>10</v>
          </cell>
          <cell r="H473">
            <v>46303</v>
          </cell>
          <cell r="I473">
            <v>41</v>
          </cell>
          <cell r="J473">
            <v>46307</v>
          </cell>
          <cell r="L473" t="str">
            <v>PREENFRIO FORTALEZA</v>
          </cell>
          <cell r="M473">
            <v>1</v>
          </cell>
          <cell r="N473">
            <v>24</v>
          </cell>
          <cell r="O473">
            <v>46303</v>
          </cell>
          <cell r="P473">
            <v>0.67500000000000004</v>
          </cell>
          <cell r="Q473" t="str">
            <v>NORMAL</v>
          </cell>
          <cell r="R473">
            <v>46303</v>
          </cell>
          <cell r="S473">
            <v>0.94027777777777777</v>
          </cell>
          <cell r="T473">
            <v>0.20833333333333334</v>
          </cell>
          <cell r="U473">
            <v>46304.148611111115</v>
          </cell>
          <cell r="V473">
            <v>46306</v>
          </cell>
          <cell r="W473">
            <v>0.2638888888888889</v>
          </cell>
          <cell r="X473" t="str">
            <v>SI CUMPLE</v>
          </cell>
          <cell r="Y473" t="str">
            <v>NO CUMPLE</v>
          </cell>
          <cell r="AA473" t="str">
            <v>DESPACHADO</v>
          </cell>
          <cell r="AB473" t="str">
            <v>GENARO IBAÑEZ ROJAS</v>
          </cell>
          <cell r="AC473" t="str">
            <v>VICENTE SANCHEZ RUEDA</v>
          </cell>
          <cell r="AD473">
            <v>25377</v>
          </cell>
          <cell r="AE473" t="str">
            <v>QF91W04W20</v>
          </cell>
        </row>
        <row r="474">
          <cell r="A474" t="str">
            <v>Chanitos Premium Tarima Chep</v>
          </cell>
          <cell r="B474" t="str">
            <v>CPR01102</v>
          </cell>
          <cell r="C474" t="str">
            <v>A01001-410810-1</v>
          </cell>
          <cell r="D474" t="str">
            <v>A01 001 Marbella</v>
          </cell>
          <cell r="E474" t="str">
            <v>VSA</v>
          </cell>
          <cell r="F474">
            <v>192</v>
          </cell>
          <cell r="G474">
            <v>4</v>
          </cell>
          <cell r="H474">
            <v>46303</v>
          </cell>
          <cell r="I474">
            <v>41</v>
          </cell>
          <cell r="J474">
            <v>46307</v>
          </cell>
          <cell r="L474" t="str">
            <v>PREENFRIO FORTALEZA</v>
          </cell>
          <cell r="M474">
            <v>1</v>
          </cell>
          <cell r="N474">
            <v>24</v>
          </cell>
          <cell r="O474">
            <v>46305</v>
          </cell>
          <cell r="P474">
            <v>0.91666666666666663</v>
          </cell>
          <cell r="Q474" t="str">
            <v>NORMAL</v>
          </cell>
          <cell r="R474">
            <v>46305</v>
          </cell>
          <cell r="S474">
            <v>0.94861111111111107</v>
          </cell>
          <cell r="T474">
            <v>0.20833333333333334</v>
          </cell>
          <cell r="U474">
            <v>46306.156944444447</v>
          </cell>
          <cell r="V474">
            <v>46306</v>
          </cell>
          <cell r="W474">
            <v>0.2638888888888889</v>
          </cell>
          <cell r="X474" t="str">
            <v>NO CUMPLE</v>
          </cell>
          <cell r="Y474" t="str">
            <v>NO CUMPLE</v>
          </cell>
          <cell r="AA474" t="str">
            <v>DESPACHADO</v>
          </cell>
          <cell r="AB474" t="str">
            <v>GENARO IBAÑEZ ROJAS</v>
          </cell>
          <cell r="AC474" t="str">
            <v>VICENTE SANCHEZ RUEDA</v>
          </cell>
          <cell r="AD474">
            <v>25377</v>
          </cell>
          <cell r="AE474" t="str">
            <v>QF91W04W20</v>
          </cell>
        </row>
        <row r="475">
          <cell r="A475" t="str">
            <v>Chanitos Premium Tarima Chep</v>
          </cell>
          <cell r="B475" t="str">
            <v>CPR01102</v>
          </cell>
          <cell r="C475" t="str">
            <v>A01001-410810-1</v>
          </cell>
          <cell r="D475" t="str">
            <v>A01 001 Marbella</v>
          </cell>
          <cell r="E475" t="str">
            <v>VSA</v>
          </cell>
          <cell r="F475">
            <v>96</v>
          </cell>
          <cell r="G475">
            <v>2</v>
          </cell>
          <cell r="H475">
            <v>46303</v>
          </cell>
          <cell r="I475">
            <v>41</v>
          </cell>
          <cell r="J475">
            <v>46310</v>
          </cell>
          <cell r="L475" t="str">
            <v>PREENFRIO FORTALEZA</v>
          </cell>
          <cell r="M475">
            <v>1</v>
          </cell>
          <cell r="N475">
            <v>24</v>
          </cell>
          <cell r="O475">
            <v>46305</v>
          </cell>
          <cell r="P475">
            <v>0.91666666666666663</v>
          </cell>
          <cell r="Q475" t="str">
            <v>NORMAL</v>
          </cell>
          <cell r="R475">
            <v>46305</v>
          </cell>
          <cell r="S475">
            <v>0.94861111111111107</v>
          </cell>
          <cell r="T475">
            <v>0.20833333333333334</v>
          </cell>
          <cell r="U475">
            <v>46306.156944444447</v>
          </cell>
          <cell r="X475" t="str">
            <v>SI CUMPLE</v>
          </cell>
          <cell r="Y475" t="str">
            <v/>
          </cell>
        </row>
        <row r="476">
          <cell r="A476" t="str">
            <v>Chanitos Premium Tarima Chep</v>
          </cell>
          <cell r="B476" t="str">
            <v>CPR01102</v>
          </cell>
          <cell r="C476" t="str">
            <v>A01001-410710-1</v>
          </cell>
          <cell r="D476" t="str">
            <v>A01 001 Marbella</v>
          </cell>
          <cell r="E476" t="str">
            <v>VSA</v>
          </cell>
          <cell r="F476">
            <v>240</v>
          </cell>
          <cell r="G476">
            <v>5</v>
          </cell>
          <cell r="H476">
            <v>46302</v>
          </cell>
          <cell r="I476">
            <v>41</v>
          </cell>
          <cell r="J476">
            <v>46305</v>
          </cell>
          <cell r="L476" t="str">
            <v>PREENFRIO FORTALEZA</v>
          </cell>
          <cell r="M476">
            <v>1</v>
          </cell>
          <cell r="N476">
            <v>24</v>
          </cell>
          <cell r="O476">
            <v>46302</v>
          </cell>
          <cell r="P476">
            <v>0.83333333333333337</v>
          </cell>
          <cell r="Q476" t="str">
            <v>NORMAL</v>
          </cell>
          <cell r="R476">
            <v>46302</v>
          </cell>
          <cell r="S476">
            <v>0.97916666666666663</v>
          </cell>
          <cell r="T476">
            <v>0.20833333333333334</v>
          </cell>
          <cell r="U476">
            <v>46303.1875</v>
          </cell>
          <cell r="V476">
            <v>46303</v>
          </cell>
          <cell r="W476">
            <v>0.45833333333333331</v>
          </cell>
          <cell r="X476" t="str">
            <v>SI CUMPLE</v>
          </cell>
          <cell r="Y476" t="str">
            <v>SI CUMPLE</v>
          </cell>
          <cell r="AA476" t="str">
            <v>DESPACHADO</v>
          </cell>
          <cell r="AB476" t="str">
            <v>GENARO IBAÑEZ ROJAS</v>
          </cell>
          <cell r="AC476" t="str">
            <v>VICENTE SANCHEZ RUEDA</v>
          </cell>
          <cell r="AD476">
            <v>33700</v>
          </cell>
          <cell r="AE476" t="str">
            <v>QF91W043B0</v>
          </cell>
        </row>
        <row r="477">
          <cell r="A477" t="str">
            <v>Chanitos Premium Tarima Chep</v>
          </cell>
          <cell r="B477" t="str">
            <v>CPR01102</v>
          </cell>
          <cell r="C477" t="str">
            <v>A01003-410810-1</v>
          </cell>
          <cell r="D477" t="str">
            <v>A01 003 Doña Nelly</v>
          </cell>
          <cell r="E477" t="str">
            <v>Chalco</v>
          </cell>
          <cell r="F477">
            <v>438</v>
          </cell>
          <cell r="G477">
            <v>9</v>
          </cell>
          <cell r="H477">
            <v>46303</v>
          </cell>
          <cell r="I477">
            <v>41</v>
          </cell>
          <cell r="J477">
            <v>46309</v>
          </cell>
          <cell r="L477" t="str">
            <v>PREENFRIO NELLY</v>
          </cell>
          <cell r="M477">
            <v>1</v>
          </cell>
          <cell r="N477">
            <v>24</v>
          </cell>
          <cell r="O477">
            <v>46304</v>
          </cell>
          <cell r="P477">
            <v>0.75</v>
          </cell>
          <cell r="Q477" t="str">
            <v>ALTA</v>
          </cell>
          <cell r="R477">
            <v>46304</v>
          </cell>
          <cell r="S477">
            <v>0.625</v>
          </cell>
          <cell r="T477">
            <v>0.35416666666666669</v>
          </cell>
          <cell r="U477">
            <v>46304.979166666664</v>
          </cell>
          <cell r="V477">
            <v>46304</v>
          </cell>
          <cell r="W477">
            <v>0.79861111111111116</v>
          </cell>
          <cell r="X477" t="str">
            <v>SI CUMPLE</v>
          </cell>
          <cell r="Y477" t="str">
            <v>SI CUMPLE</v>
          </cell>
          <cell r="AA477" t="str">
            <v>DESPACHADO</v>
          </cell>
          <cell r="AB477" t="str">
            <v>LEOPOLDO LEGORRETA LEGORRETA</v>
          </cell>
          <cell r="AC477" t="str">
            <v>OSCAR CRUZ GARCIA</v>
          </cell>
        </row>
        <row r="478">
          <cell r="A478" t="str">
            <v>Chanitos Premium Tarima Americana</v>
          </cell>
          <cell r="B478" t="str">
            <v>CPR01103</v>
          </cell>
          <cell r="C478" t="str">
            <v>A25067-410810-1</v>
          </cell>
          <cell r="D478" t="str">
            <v>A25 067 El Cuerudo GT</v>
          </cell>
          <cell r="E478" t="str">
            <v>S-MTY</v>
          </cell>
          <cell r="F478">
            <v>960</v>
          </cell>
          <cell r="G478">
            <v>20</v>
          </cell>
          <cell r="H478">
            <v>46303</v>
          </cell>
          <cell r="I478">
            <v>41</v>
          </cell>
          <cell r="J478">
            <v>46309</v>
          </cell>
          <cell r="L478" t="str">
            <v>PREENFRIO NELLY</v>
          </cell>
          <cell r="M478">
            <v>3</v>
          </cell>
          <cell r="N478">
            <v>72</v>
          </cell>
          <cell r="O478">
            <v>46304</v>
          </cell>
          <cell r="P478">
            <v>0.95138888888888884</v>
          </cell>
          <cell r="Q478" t="str">
            <v>ALTA</v>
          </cell>
          <cell r="R478">
            <v>46304</v>
          </cell>
          <cell r="S478">
            <v>6.25E-2</v>
          </cell>
          <cell r="T478">
            <v>0.4375</v>
          </cell>
          <cell r="U478">
            <v>46304.5</v>
          </cell>
          <cell r="V478">
            <v>46305</v>
          </cell>
          <cell r="W478">
            <v>0.16666666666666666</v>
          </cell>
          <cell r="X478" t="str">
            <v>SI CUMPLE</v>
          </cell>
          <cell r="Y478" t="str">
            <v>SI CUMPLE</v>
          </cell>
          <cell r="AA478" t="str">
            <v>DESPACHADO</v>
          </cell>
          <cell r="AB478" t="str">
            <v>AUTO EXPRESS SEGOVIA</v>
          </cell>
        </row>
        <row r="479">
          <cell r="A479" t="str">
            <v>Chanitos Premium Tarima Americana</v>
          </cell>
          <cell r="B479" t="str">
            <v>CPR01103</v>
          </cell>
          <cell r="C479" t="str">
            <v>A04037-410810-1</v>
          </cell>
          <cell r="D479" t="str">
            <v>A04 037 Josefina Nava</v>
          </cell>
          <cell r="E479" t="str">
            <v>S-MTY</v>
          </cell>
          <cell r="F479">
            <v>672</v>
          </cell>
          <cell r="G479">
            <v>14</v>
          </cell>
          <cell r="H479">
            <v>46303</v>
          </cell>
          <cell r="I479">
            <v>41</v>
          </cell>
          <cell r="J479">
            <v>46309</v>
          </cell>
          <cell r="L479" t="str">
            <v>PREENFRIO NELLY</v>
          </cell>
          <cell r="M479">
            <v>3</v>
          </cell>
          <cell r="N479">
            <v>72</v>
          </cell>
          <cell r="O479">
            <v>46305</v>
          </cell>
          <cell r="P479">
            <v>8.3333333333333329E-2</v>
          </cell>
          <cell r="Q479" t="str">
            <v>ALTA</v>
          </cell>
          <cell r="R479">
            <v>46304</v>
          </cell>
          <cell r="S479">
            <v>0.875</v>
          </cell>
          <cell r="T479">
            <v>0.4375</v>
          </cell>
          <cell r="U479">
            <v>46305.3125</v>
          </cell>
          <cell r="V479">
            <v>46305</v>
          </cell>
          <cell r="W479">
            <v>0.16666666666666666</v>
          </cell>
          <cell r="X479" t="str">
            <v>SI CUMPLE</v>
          </cell>
          <cell r="Y479" t="str">
            <v>SI CUMPLE</v>
          </cell>
          <cell r="Z479" t="str">
            <v>|</v>
          </cell>
          <cell r="AA479" t="str">
            <v>DESPACHADO</v>
          </cell>
          <cell r="AB479" t="str">
            <v>AUTO EXPRESS SEGOVIA</v>
          </cell>
        </row>
        <row r="480">
          <cell r="A480" t="str">
            <v>Chanitos Premium Tarima Americana</v>
          </cell>
          <cell r="B480" t="str">
            <v>CPR01103</v>
          </cell>
          <cell r="C480" t="str">
            <v>A04037-410810-1</v>
          </cell>
          <cell r="D480" t="str">
            <v>A04 037 Josefina Nava</v>
          </cell>
          <cell r="E480" t="str">
            <v>S-MTY</v>
          </cell>
          <cell r="F480">
            <v>288</v>
          </cell>
          <cell r="G480">
            <v>6</v>
          </cell>
          <cell r="H480">
            <v>46303</v>
          </cell>
          <cell r="I480">
            <v>41</v>
          </cell>
          <cell r="J480">
            <v>46310</v>
          </cell>
          <cell r="L480" t="str">
            <v>PREENFRIO NELLY</v>
          </cell>
          <cell r="M480">
            <v>3</v>
          </cell>
          <cell r="N480">
            <v>72</v>
          </cell>
          <cell r="O480">
            <v>46305</v>
          </cell>
          <cell r="P480">
            <v>8.3333333333333329E-2</v>
          </cell>
          <cell r="Q480" t="str">
            <v>ALTA</v>
          </cell>
          <cell r="R480">
            <v>46304</v>
          </cell>
          <cell r="S480">
            <v>0.875</v>
          </cell>
          <cell r="T480">
            <v>0.4375</v>
          </cell>
          <cell r="U480">
            <v>46305.3125</v>
          </cell>
          <cell r="V480">
            <v>46305</v>
          </cell>
          <cell r="W480">
            <v>0.16666666666666666</v>
          </cell>
          <cell r="X480" t="str">
            <v>SI CUMPLE</v>
          </cell>
          <cell r="Y480" t="str">
            <v>SI CUMPLE</v>
          </cell>
          <cell r="AA480" t="str">
            <v>DESPACHADO</v>
          </cell>
        </row>
        <row r="481">
          <cell r="A481" t="str">
            <v>Chanitos Premium Tarima Americana</v>
          </cell>
          <cell r="B481" t="str">
            <v>CPR01103</v>
          </cell>
          <cell r="C481" t="str">
            <v>A25022-410910-1</v>
          </cell>
          <cell r="D481" t="str">
            <v>A25 022 Doña Mildred</v>
          </cell>
          <cell r="E481" t="str">
            <v>Ciudad Juarez</v>
          </cell>
          <cell r="F481">
            <v>960</v>
          </cell>
          <cell r="G481">
            <v>20</v>
          </cell>
          <cell r="H481">
            <v>46304</v>
          </cell>
          <cell r="I481">
            <v>41</v>
          </cell>
          <cell r="J481">
            <v>46310</v>
          </cell>
          <cell r="L481" t="str">
            <v>PREENFRIO NELLY</v>
          </cell>
          <cell r="M481">
            <v>4</v>
          </cell>
          <cell r="N481">
            <v>96</v>
          </cell>
          <cell r="O481">
            <v>46304</v>
          </cell>
          <cell r="P481">
            <v>0.75</v>
          </cell>
          <cell r="Q481" t="str">
            <v>ALTA</v>
          </cell>
          <cell r="R481">
            <v>46305</v>
          </cell>
          <cell r="S481">
            <v>0.3125</v>
          </cell>
          <cell r="T481">
            <v>0.4375</v>
          </cell>
          <cell r="U481">
            <v>46305.75</v>
          </cell>
          <cell r="V481">
            <v>46305</v>
          </cell>
          <cell r="W481">
            <v>0.75</v>
          </cell>
          <cell r="X481" t="str">
            <v>SI CUMPLE</v>
          </cell>
          <cell r="Y481" t="str">
            <v>SI CUMPLE</v>
          </cell>
          <cell r="AA481" t="str">
            <v>DESPACHADO</v>
          </cell>
          <cell r="AB481" t="str">
            <v>AUTO EXPRESS SEGOVIA</v>
          </cell>
        </row>
        <row r="482">
          <cell r="A482" t="str">
            <v>Chanitos Premium Tarima Americana</v>
          </cell>
          <cell r="B482" t="str">
            <v>CPR01103</v>
          </cell>
          <cell r="C482" t="str">
            <v>A01002-410910-1</v>
          </cell>
          <cell r="D482" t="str">
            <v>A01 002 Fortaleza</v>
          </cell>
          <cell r="E482" t="str">
            <v>Ciudad Juarez</v>
          </cell>
          <cell r="F482">
            <v>960</v>
          </cell>
          <cell r="G482">
            <v>20</v>
          </cell>
          <cell r="H482">
            <v>46304</v>
          </cell>
          <cell r="I482">
            <v>41</v>
          </cell>
          <cell r="J482">
            <v>46310</v>
          </cell>
          <cell r="L482" t="str">
            <v>PREENFRIO NELLY</v>
          </cell>
          <cell r="M482">
            <v>4</v>
          </cell>
          <cell r="N482">
            <v>96</v>
          </cell>
          <cell r="O482">
            <v>46306</v>
          </cell>
          <cell r="P482">
            <v>0.4236111111111111</v>
          </cell>
          <cell r="Q482" t="str">
            <v>ALTA</v>
          </cell>
          <cell r="R482">
            <v>46305</v>
          </cell>
          <cell r="S482">
            <v>0.75</v>
          </cell>
          <cell r="T482">
            <v>0.39583333333333331</v>
          </cell>
          <cell r="U482">
            <v>46306.145833333336</v>
          </cell>
          <cell r="V482">
            <v>46305</v>
          </cell>
          <cell r="W482">
            <v>0.75</v>
          </cell>
          <cell r="X482" t="str">
            <v>NO CUMPLE</v>
          </cell>
          <cell r="Y482" t="str">
            <v>SI CUMPLE</v>
          </cell>
          <cell r="AA482" t="str">
            <v>DESPACHADO</v>
          </cell>
          <cell r="AB482" t="str">
            <v>AUTO EXPRESS SEGOVIA</v>
          </cell>
        </row>
        <row r="483">
          <cell r="A483" t="str">
            <v>Chanitos Premium Tarima Americana</v>
          </cell>
          <cell r="B483" t="str">
            <v>CPR01103</v>
          </cell>
          <cell r="C483" t="str">
            <v>A01004-410910-1</v>
          </cell>
          <cell r="D483" t="str">
            <v>A01 004 La Ceiba</v>
          </cell>
          <cell r="E483" t="str">
            <v>S-MTY</v>
          </cell>
          <cell r="F483">
            <v>288</v>
          </cell>
          <cell r="G483">
            <v>6</v>
          </cell>
          <cell r="H483">
            <v>46304</v>
          </cell>
          <cell r="I483">
            <v>41</v>
          </cell>
          <cell r="J483">
            <v>46310</v>
          </cell>
          <cell r="L483" t="str">
            <v>PREENFRIO NELLY</v>
          </cell>
          <cell r="M483">
            <v>3</v>
          </cell>
          <cell r="N483">
            <v>72</v>
          </cell>
          <cell r="O483">
            <v>46304</v>
          </cell>
          <cell r="P483">
            <v>0.875</v>
          </cell>
          <cell r="Q483" t="str">
            <v>ALTA</v>
          </cell>
          <cell r="R483">
            <v>46306</v>
          </cell>
          <cell r="S483">
            <v>5.5555555555555552E-2</v>
          </cell>
          <cell r="T483">
            <v>0.4375</v>
          </cell>
          <cell r="U483">
            <v>46306.493055555555</v>
          </cell>
          <cell r="V483">
            <v>46306</v>
          </cell>
          <cell r="W483">
            <v>0.99305555555555558</v>
          </cell>
          <cell r="X483" t="str">
            <v>SI CUMPLE</v>
          </cell>
          <cell r="Y483" t="str">
            <v>SI CUMPLE</v>
          </cell>
          <cell r="AA483" t="str">
            <v>DESPACHADO</v>
          </cell>
          <cell r="AB483" t="str">
            <v>LOCAL</v>
          </cell>
          <cell r="AC483" t="str">
            <v>FATIMA ROCIO DIMAS</v>
          </cell>
        </row>
        <row r="484">
          <cell r="A484" t="str">
            <v>Chanitos Premium Tarima Americana</v>
          </cell>
          <cell r="B484" t="str">
            <v>CPR01103</v>
          </cell>
          <cell r="C484" t="str">
            <v>A04037-410910-1</v>
          </cell>
          <cell r="D484" t="str">
            <v>A04 037 Josefina Nava</v>
          </cell>
          <cell r="E484" t="str">
            <v>S-MTY</v>
          </cell>
          <cell r="F484">
            <v>672</v>
          </cell>
          <cell r="G484">
            <v>14</v>
          </cell>
          <cell r="H484">
            <v>46304</v>
          </cell>
          <cell r="I484">
            <v>41</v>
          </cell>
          <cell r="J484">
            <v>46310</v>
          </cell>
          <cell r="L484" t="str">
            <v>PREENFRIO NELLY</v>
          </cell>
          <cell r="M484">
            <v>3</v>
          </cell>
          <cell r="N484">
            <v>72</v>
          </cell>
          <cell r="O484">
            <v>46305</v>
          </cell>
          <cell r="P484">
            <v>8.3333333333333329E-2</v>
          </cell>
          <cell r="Q484" t="str">
            <v>ALTA</v>
          </cell>
          <cell r="R484">
            <v>46306</v>
          </cell>
          <cell r="S484">
            <v>0.24305555555555555</v>
          </cell>
          <cell r="T484">
            <v>0.4375</v>
          </cell>
          <cell r="U484">
            <v>46306.680555555555</v>
          </cell>
          <cell r="V484">
            <v>46306</v>
          </cell>
          <cell r="W484">
            <v>0.99305555555555558</v>
          </cell>
          <cell r="X484" t="str">
            <v>SI CUMPLE</v>
          </cell>
          <cell r="Y484" t="str">
            <v>SI CUMPLE</v>
          </cell>
          <cell r="AA484" t="str">
            <v>DESPACHADO</v>
          </cell>
          <cell r="AB484" t="str">
            <v>AUTO EXPRESS SEGOVIA</v>
          </cell>
        </row>
        <row r="485">
          <cell r="A485" t="str">
            <v>Chanitos Premium Tarima Americana</v>
          </cell>
          <cell r="B485" t="str">
            <v>CPR01103</v>
          </cell>
          <cell r="C485" t="str">
            <v>A01002-410910-1</v>
          </cell>
          <cell r="D485" t="str">
            <v>A01 002 Fortaleza</v>
          </cell>
          <cell r="E485" t="str">
            <v>Ciudad Juarez</v>
          </cell>
          <cell r="F485">
            <v>288</v>
          </cell>
          <cell r="G485">
            <v>6</v>
          </cell>
          <cell r="H485">
            <v>46304</v>
          </cell>
          <cell r="I485">
            <v>41</v>
          </cell>
          <cell r="J485">
            <v>46310</v>
          </cell>
          <cell r="L485" t="str">
            <v>PREENFRIO NELLY</v>
          </cell>
          <cell r="M485">
            <v>4</v>
          </cell>
          <cell r="N485">
            <v>96</v>
          </cell>
          <cell r="O485">
            <v>46306</v>
          </cell>
          <cell r="P485">
            <v>0.4236111111111111</v>
          </cell>
          <cell r="Q485" t="str">
            <v>ALTA</v>
          </cell>
          <cell r="R485">
            <v>46306</v>
          </cell>
          <cell r="S485">
            <v>5.5555555555555552E-2</v>
          </cell>
          <cell r="T485">
            <v>0.4375</v>
          </cell>
          <cell r="U485">
            <v>46306.493055555555</v>
          </cell>
          <cell r="V485">
            <v>46306</v>
          </cell>
          <cell r="W485">
            <v>0.99305555555555558</v>
          </cell>
          <cell r="X485" t="str">
            <v>NO CUMPLE</v>
          </cell>
          <cell r="Y485" t="str">
            <v>NO CUMPLE</v>
          </cell>
          <cell r="AA485" t="str">
            <v>DESPACHADO</v>
          </cell>
          <cell r="AB485" t="str">
            <v>AUTO EXPRESS SEGOVIA</v>
          </cell>
        </row>
        <row r="486">
          <cell r="A486" t="str">
            <v>Chanitos Premium EUA Tarima Americana</v>
          </cell>
          <cell r="B486" t="str">
            <v>CPR01104</v>
          </cell>
          <cell r="C486" t="str">
            <v>A06043-410910-1</v>
          </cell>
          <cell r="D486" t="str">
            <v>A06 043 Nuestra señora</v>
          </cell>
          <cell r="E486" t="str">
            <v>McAllen</v>
          </cell>
          <cell r="F486">
            <v>384</v>
          </cell>
          <cell r="G486">
            <v>8</v>
          </cell>
          <cell r="H486">
            <v>46304</v>
          </cell>
          <cell r="I486">
            <v>41</v>
          </cell>
          <cell r="J486">
            <v>46309</v>
          </cell>
          <cell r="L486" t="str">
            <v>PREENFRIO FORTALEZA</v>
          </cell>
          <cell r="O486">
            <v>46304</v>
          </cell>
          <cell r="P486">
            <v>0.58958333333333335</v>
          </cell>
          <cell r="Q486" t="str">
            <v>NORMAL</v>
          </cell>
          <cell r="R486">
            <v>46304</v>
          </cell>
          <cell r="S486">
            <v>0.64583333333333337</v>
          </cell>
          <cell r="T486">
            <v>0.33333333333333331</v>
          </cell>
          <cell r="U486">
            <v>46304.979166666672</v>
          </cell>
          <cell r="V486">
            <v>46304</v>
          </cell>
          <cell r="W486">
            <v>0.97569444444444442</v>
          </cell>
          <cell r="X486" t="str">
            <v>SI CUMPLE</v>
          </cell>
          <cell r="Y486" t="str">
            <v>SI CUMPLE</v>
          </cell>
          <cell r="AA486" t="str">
            <v>DESPACHADO</v>
          </cell>
          <cell r="AB486" t="str">
            <v>TRANSPORTES TOMATITOS</v>
          </cell>
          <cell r="AC486" t="str">
            <v>OSVALDO OVIDIO FLORES</v>
          </cell>
          <cell r="AD486">
            <v>51031</v>
          </cell>
          <cell r="AE486">
            <v>100000914995</v>
          </cell>
        </row>
        <row r="487">
          <cell r="A487" t="str">
            <v>Chanitos Premium Tarima Chep</v>
          </cell>
          <cell r="B487" t="str">
            <v>CPR01102</v>
          </cell>
          <cell r="C487" t="str">
            <v>A01004-410910-1</v>
          </cell>
          <cell r="D487" t="str">
            <v>A01 004 La Ceiba</v>
          </cell>
          <cell r="E487" t="str">
            <v>VSA</v>
          </cell>
          <cell r="F487">
            <v>144</v>
          </cell>
          <cell r="G487">
            <v>3</v>
          </cell>
          <cell r="H487">
            <v>46304</v>
          </cell>
          <cell r="I487">
            <v>41</v>
          </cell>
          <cell r="J487">
            <v>46310</v>
          </cell>
          <cell r="L487" t="str">
            <v>PREENFRIO NELLY</v>
          </cell>
          <cell r="M487">
            <v>1</v>
          </cell>
          <cell r="N487">
            <v>24</v>
          </cell>
          <cell r="O487">
            <v>46304</v>
          </cell>
          <cell r="P487">
            <v>0.95138888888888884</v>
          </cell>
          <cell r="Q487" t="str">
            <v>ALTA</v>
          </cell>
          <cell r="R487">
            <v>46306</v>
          </cell>
          <cell r="S487">
            <v>5.5555555555555552E-2</v>
          </cell>
          <cell r="T487">
            <v>0.35416666666666669</v>
          </cell>
          <cell r="U487">
            <v>46306.409722222219</v>
          </cell>
          <cell r="X487" t="str">
            <v>SI CUMPLE</v>
          </cell>
          <cell r="Y487" t="str">
            <v/>
          </cell>
          <cell r="AA487" t="str">
            <v>listo en conserva</v>
          </cell>
          <cell r="AB487" t="str">
            <v>GENARO IBAÑEZ</v>
          </cell>
        </row>
        <row r="488">
          <cell r="A488" t="str">
            <v>Chanitos Plantain 20Kg Tarima Chep</v>
          </cell>
          <cell r="B488" t="str">
            <v>CPL08141</v>
          </cell>
          <cell r="C488" t="str">
            <v>A35082-410910-1</v>
          </cell>
          <cell r="D488" t="str">
            <v>A35 082 Empaque de Macho Ej Libertad</v>
          </cell>
          <cell r="E488" t="str">
            <v>CEDA</v>
          </cell>
          <cell r="F488">
            <v>96</v>
          </cell>
          <cell r="G488">
            <v>2</v>
          </cell>
          <cell r="H488">
            <v>46304</v>
          </cell>
          <cell r="I488">
            <v>41</v>
          </cell>
          <cell r="J488">
            <v>46305</v>
          </cell>
          <cell r="L488" t="str">
            <v>PREENFRIO NELLY</v>
          </cell>
          <cell r="M488">
            <v>1.5</v>
          </cell>
          <cell r="N488">
            <v>36</v>
          </cell>
          <cell r="O488">
            <v>46305</v>
          </cell>
          <cell r="P488">
            <v>0.99652777777777779</v>
          </cell>
          <cell r="Q488" t="str">
            <v>ALTA</v>
          </cell>
          <cell r="R488">
            <v>46306</v>
          </cell>
          <cell r="S488">
            <v>5.5555555555555552E-2</v>
          </cell>
          <cell r="T488">
            <v>0</v>
          </cell>
          <cell r="U488">
            <v>46306.055555555555</v>
          </cell>
          <cell r="V488">
            <v>46306</v>
          </cell>
          <cell r="W488">
            <v>0.92361111111111116</v>
          </cell>
          <cell r="X488" t="str">
            <v>NO CUMPLE</v>
          </cell>
          <cell r="Y488" t="str">
            <v>NO CUMPLE</v>
          </cell>
          <cell r="AA488" t="str">
            <v>DESPACHADO</v>
          </cell>
          <cell r="AB488" t="str">
            <v>LOCAL</v>
          </cell>
          <cell r="AC488" t="str">
            <v xml:space="preserve">DANIEL CARRILLO </v>
          </cell>
        </row>
        <row r="489">
          <cell r="A489" t="str">
            <v>Chanitos Organic Banded Market Side Mexico</v>
          </cell>
          <cell r="B489" t="str">
            <v>CRG07128</v>
          </cell>
          <cell r="C489" t="str">
            <v>A01002-410910-1</v>
          </cell>
          <cell r="D489" t="str">
            <v>A01 002 Fortaleza</v>
          </cell>
          <cell r="E489" t="str">
            <v>VSA</v>
          </cell>
          <cell r="F489">
            <v>144</v>
          </cell>
          <cell r="G489">
            <v>3</v>
          </cell>
          <cell r="H489">
            <v>46304</v>
          </cell>
          <cell r="I489">
            <v>41</v>
          </cell>
          <cell r="J489">
            <v>46310</v>
          </cell>
          <cell r="L489" t="str">
            <v>PREENFRIO FORTALEZA</v>
          </cell>
          <cell r="M489">
            <v>1</v>
          </cell>
          <cell r="N489">
            <v>24</v>
          </cell>
          <cell r="O489">
            <v>46304</v>
          </cell>
          <cell r="P489">
            <v>0.69652777777777775</v>
          </cell>
          <cell r="Q489" t="str">
            <v>NORMAL</v>
          </cell>
          <cell r="R489">
            <v>46305</v>
          </cell>
          <cell r="S489">
            <v>0.43819444444444444</v>
          </cell>
          <cell r="T489">
            <v>0.20833333333333334</v>
          </cell>
          <cell r="U489">
            <v>46305.646527777782</v>
          </cell>
          <cell r="X489" t="str">
            <v>SI CUMPLE</v>
          </cell>
          <cell r="Y489" t="str">
            <v/>
          </cell>
          <cell r="AB489" t="str">
            <v>GENARO IBAÑEZ</v>
          </cell>
        </row>
        <row r="490">
          <cell r="A490" t="str">
            <v>Chanitos Premium Tarima Americana</v>
          </cell>
          <cell r="B490" t="str">
            <v>CPR01103</v>
          </cell>
          <cell r="C490" t="str">
            <v>A01003-411010-1</v>
          </cell>
          <cell r="D490" t="str">
            <v>A01 003 Doña Nelly</v>
          </cell>
          <cell r="E490" t="str">
            <v>S-MTY</v>
          </cell>
          <cell r="F490">
            <v>240</v>
          </cell>
          <cell r="G490">
            <v>5</v>
          </cell>
          <cell r="H490">
            <v>46305</v>
          </cell>
          <cell r="I490">
            <v>41</v>
          </cell>
          <cell r="J490">
            <v>46310</v>
          </cell>
          <cell r="L490" t="str">
            <v>PREENFRIO NELLY</v>
          </cell>
          <cell r="M490">
            <v>3</v>
          </cell>
          <cell r="N490">
            <v>72</v>
          </cell>
          <cell r="O490">
            <v>46305</v>
          </cell>
          <cell r="P490">
            <v>0.99305555555555558</v>
          </cell>
          <cell r="Q490" t="str">
            <v>ALTA</v>
          </cell>
          <cell r="R490">
            <v>46306</v>
          </cell>
          <cell r="S490">
            <v>5.5555555555555552E-2</v>
          </cell>
          <cell r="T490">
            <v>0.4375</v>
          </cell>
          <cell r="U490">
            <v>46306.493055555555</v>
          </cell>
          <cell r="V490">
            <v>46306</v>
          </cell>
          <cell r="W490">
            <v>0.99305555555555558</v>
          </cell>
          <cell r="X490" t="str">
            <v>SI CUMPLE</v>
          </cell>
          <cell r="Y490" t="str">
            <v>SI CUMPLE</v>
          </cell>
          <cell r="AA490" t="str">
            <v>DESPACHADO</v>
          </cell>
          <cell r="AB490" t="str">
            <v>AUTO EXPRESS SEGOVIA</v>
          </cell>
        </row>
        <row r="491">
          <cell r="A491" t="str">
            <v>Chanitos Premium Tarima Chep</v>
          </cell>
          <cell r="B491" t="str">
            <v>CPR01102</v>
          </cell>
          <cell r="C491" t="str">
            <v>A01004-381809-1</v>
          </cell>
          <cell r="D491" t="str">
            <v>A01 004 La Ceiba</v>
          </cell>
          <cell r="E491" t="str">
            <v>CEDA</v>
          </cell>
          <cell r="F491">
            <v>480</v>
          </cell>
          <cell r="G491">
            <v>10</v>
          </cell>
          <cell r="H491">
            <v>46283</v>
          </cell>
          <cell r="I491">
            <v>38</v>
          </cell>
          <cell r="J491">
            <v>46288</v>
          </cell>
          <cell r="L491" t="str">
            <v>DIRECTO SIN PREENFRIO</v>
          </cell>
          <cell r="N491" t="str">
            <v>SIN PRE</v>
          </cell>
          <cell r="O491" t="str">
            <v>SIN PRE</v>
          </cell>
          <cell r="R491" t="str">
            <v>SIN PRE</v>
          </cell>
          <cell r="S491" t="str">
            <v>SIN PRE</v>
          </cell>
          <cell r="T491" t="str">
            <v>N/A</v>
          </cell>
          <cell r="U491" t="e">
            <v>#VALUE!</v>
          </cell>
          <cell r="X491" t="e">
            <v>#VALUE!</v>
          </cell>
          <cell r="Y491" t="str">
            <v/>
          </cell>
          <cell r="AA491" t="str">
            <v>DESPACHADO</v>
          </cell>
          <cell r="AB491" t="str">
            <v>PENDIENTE DATOS</v>
          </cell>
          <cell r="AC491" t="str">
            <v>EDUARDO FUENTES ALTAMIRANO</v>
          </cell>
          <cell r="AD491">
            <v>85321</v>
          </cell>
          <cell r="AE491" t="str">
            <v>QCH1W04X70</v>
          </cell>
        </row>
        <row r="492">
          <cell r="A492" t="str">
            <v>Chanitos Premium EUA Tarima Americana</v>
          </cell>
          <cell r="B492" t="str">
            <v>CPR01104</v>
          </cell>
          <cell r="C492" t="str">
            <v>A04084-410910-1</v>
          </cell>
          <cell r="D492" t="str">
            <v>A04 084 Lisboa</v>
          </cell>
          <cell r="E492" t="str">
            <v>McAllen</v>
          </cell>
          <cell r="F492">
            <v>432</v>
          </cell>
          <cell r="G492">
            <v>9</v>
          </cell>
          <cell r="H492">
            <v>46304</v>
          </cell>
          <cell r="I492">
            <v>41</v>
          </cell>
          <cell r="J492">
            <v>46309</v>
          </cell>
          <cell r="L492" t="str">
            <v>PREENFRIO FORTALEZA</v>
          </cell>
          <cell r="M492">
            <v>3</v>
          </cell>
          <cell r="N492">
            <v>72</v>
          </cell>
          <cell r="O492">
            <v>46305</v>
          </cell>
          <cell r="P492">
            <v>0.9604166666666667</v>
          </cell>
          <cell r="Q492" t="str">
            <v>NORMAL</v>
          </cell>
          <cell r="R492">
            <v>46306</v>
          </cell>
          <cell r="S492">
            <v>0.43055555555555558</v>
          </cell>
          <cell r="T492">
            <v>0.33333333333333331</v>
          </cell>
          <cell r="U492">
            <v>46306.763888888891</v>
          </cell>
          <cell r="V492">
            <v>46307</v>
          </cell>
          <cell r="W492">
            <v>9.0277777777777769E-3</v>
          </cell>
          <cell r="X492" t="str">
            <v>NO CUMPLE</v>
          </cell>
          <cell r="Y492" t="str">
            <v>NO CUMPLE</v>
          </cell>
          <cell r="AA492" t="str">
            <v>DESPACHADO</v>
          </cell>
          <cell r="AB492" t="str">
            <v>TRANSPORTES DELTA DE MTY</v>
          </cell>
          <cell r="AC492" t="str">
            <v>JULIO CESAR</v>
          </cell>
          <cell r="AD492">
            <v>88659</v>
          </cell>
          <cell r="AE492">
            <v>100000914991</v>
          </cell>
        </row>
        <row r="493">
          <cell r="A493" t="str">
            <v>Chanitos Premium Tarima Chep</v>
          </cell>
          <cell r="B493" t="str">
            <v>CPR01102</v>
          </cell>
          <cell r="C493" t="str">
            <v>A01001-410910-1</v>
          </cell>
          <cell r="D493" t="str">
            <v>A01 001 Marbella</v>
          </cell>
          <cell r="E493" t="str">
            <v>VSA</v>
          </cell>
          <cell r="F493">
            <v>624</v>
          </cell>
          <cell r="G493">
            <v>13</v>
          </cell>
          <cell r="H493">
            <v>46304</v>
          </cell>
          <cell r="I493">
            <v>41</v>
          </cell>
          <cell r="J493">
            <v>46310</v>
          </cell>
          <cell r="L493" t="str">
            <v>PREENFRIO FORTALEZA</v>
          </cell>
          <cell r="M493">
            <v>1</v>
          </cell>
          <cell r="N493">
            <v>24</v>
          </cell>
          <cell r="O493">
            <v>46305</v>
          </cell>
          <cell r="P493">
            <v>0.89583333333333337</v>
          </cell>
          <cell r="Q493" t="str">
            <v>NORMAL</v>
          </cell>
          <cell r="R493">
            <v>46305</v>
          </cell>
          <cell r="S493">
            <v>0.94861111111111107</v>
          </cell>
          <cell r="T493">
            <v>0.41666666666666669</v>
          </cell>
          <cell r="U493">
            <v>46306.365277777775</v>
          </cell>
          <cell r="X493" t="str">
            <v>SI CUMPLE</v>
          </cell>
          <cell r="Y493" t="str">
            <v/>
          </cell>
          <cell r="AB493" t="str">
            <v>GENARO IBAÑEZ</v>
          </cell>
        </row>
        <row r="494">
          <cell r="A494" t="str">
            <v>Chanitos Plantain 50lb Tarima Americana</v>
          </cell>
          <cell r="B494" t="str">
            <v>CPL08133</v>
          </cell>
          <cell r="C494" t="str">
            <v>A27073-410910-1</v>
          </cell>
          <cell r="D494" t="str">
            <v>A27 073 Plantacion</v>
          </cell>
          <cell r="E494" t="str">
            <v>McAllen</v>
          </cell>
          <cell r="F494">
            <v>1008</v>
          </cell>
          <cell r="G494">
            <v>24</v>
          </cell>
          <cell r="H494">
            <v>46304</v>
          </cell>
          <cell r="I494">
            <v>41</v>
          </cell>
          <cell r="J494">
            <v>46308</v>
          </cell>
          <cell r="L494" t="str">
            <v>PREENFRIO FORTALEZA</v>
          </cell>
          <cell r="M494">
            <v>3</v>
          </cell>
          <cell r="N494">
            <v>72</v>
          </cell>
          <cell r="O494">
            <v>46305</v>
          </cell>
          <cell r="P494">
            <v>9.7222222222222224E-3</v>
          </cell>
          <cell r="Q494" t="str">
            <v>NORMAL</v>
          </cell>
          <cell r="R494">
            <v>46305</v>
          </cell>
          <cell r="S494">
            <v>2.1527777777777778E-2</v>
          </cell>
          <cell r="T494">
            <v>0.625</v>
          </cell>
          <cell r="U494">
            <v>46305.646527777775</v>
          </cell>
          <cell r="V494">
            <v>46305</v>
          </cell>
          <cell r="W494">
            <v>0.70833333333333337</v>
          </cell>
          <cell r="X494" t="str">
            <v>NO CUMPLE</v>
          </cell>
          <cell r="Y494" t="str">
            <v>NO CUMPLE</v>
          </cell>
          <cell r="AA494" t="str">
            <v>DESPACHADO</v>
          </cell>
          <cell r="AB494" t="str">
            <v>TRANSPORTES TOMATITOS</v>
          </cell>
          <cell r="AC494" t="str">
            <v>FERNANDO PARRA MARTIN</v>
          </cell>
          <cell r="AD494">
            <v>53495</v>
          </cell>
          <cell r="AE494" t="str">
            <v>QF91W034G0</v>
          </cell>
        </row>
        <row r="495">
          <cell r="A495" t="str">
            <v>Chanitos Premium EUA Tarima Americana</v>
          </cell>
          <cell r="B495" t="str">
            <v>CPR01104</v>
          </cell>
          <cell r="C495" t="str">
            <v>A04084-410710-1</v>
          </cell>
          <cell r="D495" t="str">
            <v>A04 084 Lisboa</v>
          </cell>
          <cell r="E495" t="str">
            <v>McAllen</v>
          </cell>
          <cell r="F495">
            <v>720</v>
          </cell>
          <cell r="G495">
            <v>15</v>
          </cell>
          <cell r="H495">
            <v>46302</v>
          </cell>
          <cell r="I495">
            <v>41</v>
          </cell>
          <cell r="J495">
            <v>46305</v>
          </cell>
          <cell r="L495" t="str">
            <v>PREENFRIO NELLY</v>
          </cell>
          <cell r="M495">
            <v>3</v>
          </cell>
          <cell r="N495">
            <v>72</v>
          </cell>
          <cell r="Q495" t="str">
            <v>ALTA</v>
          </cell>
          <cell r="R495" t="str">
            <v>SIN PRENFRIO</v>
          </cell>
          <cell r="S495" t="str">
            <v>SIN PRENFRIO</v>
          </cell>
          <cell r="T495" t="str">
            <v>SIN PRENFRIO</v>
          </cell>
          <cell r="V495">
            <v>46303</v>
          </cell>
          <cell r="W495">
            <v>0.43055555555555558</v>
          </cell>
          <cell r="X495" t="str">
            <v/>
          </cell>
          <cell r="Y495" t="str">
            <v>NO CUMPLE</v>
          </cell>
          <cell r="AA495" t="str">
            <v>DESPACHADO</v>
          </cell>
          <cell r="AB495" t="str">
            <v>TRANSPORTES ALGEZA</v>
          </cell>
          <cell r="AC495" t="str">
            <v>ENTRA LOCAL A FINCA</v>
          </cell>
        </row>
        <row r="496">
          <cell r="A496" t="str">
            <v>Chanitos Premium Tarima Americana</v>
          </cell>
          <cell r="B496" t="str">
            <v>CPR01103</v>
          </cell>
          <cell r="C496" t="str">
            <v>A01002-411010-1</v>
          </cell>
          <cell r="D496" t="str">
            <v>A01 002 Fortaleza</v>
          </cell>
          <cell r="E496" t="str">
            <v>S-MTY</v>
          </cell>
          <cell r="F496">
            <v>960</v>
          </cell>
          <cell r="G496">
            <v>20</v>
          </cell>
          <cell r="H496">
            <v>46305</v>
          </cell>
          <cell r="I496">
            <v>41</v>
          </cell>
          <cell r="J496">
            <v>46310</v>
          </cell>
          <cell r="L496" t="str">
            <v>PREENFRIO NELLY</v>
          </cell>
          <cell r="M496">
            <v>3</v>
          </cell>
          <cell r="N496">
            <v>72</v>
          </cell>
          <cell r="O496">
            <v>46306</v>
          </cell>
          <cell r="P496">
            <v>0.4236111111111111</v>
          </cell>
          <cell r="Q496" t="str">
            <v>ALTA</v>
          </cell>
          <cell r="R496">
            <v>46306</v>
          </cell>
          <cell r="S496">
            <v>5.5555555555555552E-2</v>
          </cell>
          <cell r="T496">
            <v>0.4375</v>
          </cell>
          <cell r="U496">
            <v>46306.493055555555</v>
          </cell>
          <cell r="V496">
            <v>46306</v>
          </cell>
          <cell r="W496">
            <v>0.99305555555555558</v>
          </cell>
          <cell r="X496" t="str">
            <v>SI CUMPLE</v>
          </cell>
          <cell r="Y496" t="str">
            <v>SI CUMPLE</v>
          </cell>
          <cell r="AA496" t="str">
            <v>DESPACHADO</v>
          </cell>
          <cell r="AB496" t="str">
            <v>AUTO EXPRESS SEGOVIA</v>
          </cell>
        </row>
        <row r="497">
          <cell r="A497" t="str">
            <v>Chanitos Premium Tarima Americana</v>
          </cell>
          <cell r="B497" t="str">
            <v>CPR01103</v>
          </cell>
          <cell r="C497" t="str">
            <v>A01002-411010-1</v>
          </cell>
          <cell r="D497" t="str">
            <v>A01 002 Fortaleza</v>
          </cell>
          <cell r="E497" t="str">
            <v>S-MTY</v>
          </cell>
          <cell r="F497">
            <v>192</v>
          </cell>
          <cell r="G497">
            <v>4</v>
          </cell>
          <cell r="H497">
            <v>46305</v>
          </cell>
          <cell r="I497">
            <v>41</v>
          </cell>
          <cell r="J497">
            <v>46310</v>
          </cell>
          <cell r="L497" t="str">
            <v>PREENFRIO NELLY</v>
          </cell>
          <cell r="M497">
            <v>3</v>
          </cell>
          <cell r="N497">
            <v>72</v>
          </cell>
          <cell r="O497">
            <v>46306</v>
          </cell>
          <cell r="P497">
            <v>0.4236111111111111</v>
          </cell>
          <cell r="Q497" t="str">
            <v>ALTA</v>
          </cell>
          <cell r="R497">
            <v>46306</v>
          </cell>
          <cell r="S497">
            <v>0.41666666666666669</v>
          </cell>
          <cell r="T497">
            <v>0.4375</v>
          </cell>
          <cell r="U497">
            <v>46306.854166666664</v>
          </cell>
          <cell r="V497">
            <v>46306</v>
          </cell>
          <cell r="W497">
            <v>0.99305555555555558</v>
          </cell>
          <cell r="X497" t="str">
            <v>SI CUMPLE</v>
          </cell>
          <cell r="Y497" t="str">
            <v>SI CUMPLE</v>
          </cell>
          <cell r="AA497" t="str">
            <v>DESPACHADO</v>
          </cell>
          <cell r="AB497" t="str">
            <v>AUTO EXPRESS SEGOVIA</v>
          </cell>
        </row>
        <row r="498">
          <cell r="A498" t="str">
            <v>Chanitos Plantain 20Kg Tarima Americana</v>
          </cell>
          <cell r="B498" t="str">
            <v>CPL08134</v>
          </cell>
          <cell r="C498" t="str">
            <v>A35082-410910-1</v>
          </cell>
          <cell r="D498" t="str">
            <v>A35 082 Empaque de Macho Ej Libertad</v>
          </cell>
          <cell r="E498" t="str">
            <v>Ciudad Juarez</v>
          </cell>
          <cell r="F498">
            <v>624</v>
          </cell>
          <cell r="G498">
            <v>13</v>
          </cell>
          <cell r="H498">
            <v>46304</v>
          </cell>
          <cell r="I498">
            <v>41</v>
          </cell>
          <cell r="J498">
            <v>46312</v>
          </cell>
          <cell r="L498" t="str">
            <v>PREENFRIO NELLY</v>
          </cell>
          <cell r="M498">
            <v>4</v>
          </cell>
          <cell r="N498">
            <v>96</v>
          </cell>
          <cell r="O498">
            <v>46305</v>
          </cell>
          <cell r="P498">
            <v>0.99652777777777779</v>
          </cell>
          <cell r="Q498" t="str">
            <v>ALTA</v>
          </cell>
          <cell r="R498">
            <v>46306</v>
          </cell>
          <cell r="S498">
            <v>0.41666666666666669</v>
          </cell>
          <cell r="T498">
            <v>0.4375</v>
          </cell>
          <cell r="U498">
            <v>46306.854166666664</v>
          </cell>
          <cell r="X498" t="str">
            <v>SI CUMPLE</v>
          </cell>
          <cell r="Y498" t="str">
            <v/>
          </cell>
          <cell r="AA498" t="str">
            <v>1 termo listo y cargado</v>
          </cell>
          <cell r="AB498" t="str">
            <v>AUTO EXPRESS SEGOVIA</v>
          </cell>
        </row>
        <row r="499">
          <cell r="A499" t="str">
            <v>Chanitos Premium Tarima Americana</v>
          </cell>
          <cell r="B499" t="str">
            <v>CPR01103</v>
          </cell>
          <cell r="C499" t="str">
            <v>A01003-411010-1</v>
          </cell>
          <cell r="D499" t="str">
            <v>A01 003 Doña Nelly</v>
          </cell>
          <cell r="E499" t="str">
            <v>Ciudad Juarez</v>
          </cell>
          <cell r="F499">
            <v>816</v>
          </cell>
          <cell r="G499">
            <v>17</v>
          </cell>
          <cell r="H499">
            <v>46305</v>
          </cell>
          <cell r="I499">
            <v>41</v>
          </cell>
          <cell r="J499">
            <v>46312</v>
          </cell>
          <cell r="L499" t="str">
            <v>PREENFRIO NELLY</v>
          </cell>
          <cell r="M499">
            <v>4</v>
          </cell>
          <cell r="N499">
            <v>96</v>
          </cell>
          <cell r="O499">
            <v>46305</v>
          </cell>
          <cell r="P499">
            <v>0.99305555555555558</v>
          </cell>
          <cell r="Q499" t="str">
            <v>ALTA</v>
          </cell>
          <cell r="R499">
            <v>46307</v>
          </cell>
          <cell r="S499">
            <v>7.6388888888888895E-2</v>
          </cell>
          <cell r="T499">
            <v>0.4375</v>
          </cell>
          <cell r="U499">
            <v>46307.513888888891</v>
          </cell>
          <cell r="X499" t="str">
            <v>SI CUMPLE</v>
          </cell>
          <cell r="Y499" t="str">
            <v/>
          </cell>
        </row>
        <row r="500">
          <cell r="A500" t="str">
            <v>Chanitos Organic Banded Market Side Mexico</v>
          </cell>
          <cell r="B500" t="str">
            <v>CRG07128</v>
          </cell>
          <cell r="C500" t="str">
            <v>A01002-411010-1</v>
          </cell>
          <cell r="D500" t="str">
            <v>A01 002 Fortaleza</v>
          </cell>
          <cell r="E500" t="str">
            <v>VSA</v>
          </cell>
          <cell r="F500">
            <v>96</v>
          </cell>
          <cell r="G500">
            <v>2</v>
          </cell>
          <cell r="H500">
            <v>46305</v>
          </cell>
          <cell r="I500">
            <v>41</v>
          </cell>
          <cell r="J500">
            <v>46310</v>
          </cell>
          <cell r="L500" t="str">
            <v>PREENFRIO FORTALEZA</v>
          </cell>
          <cell r="M500">
            <v>1</v>
          </cell>
          <cell r="N500">
            <v>24</v>
          </cell>
          <cell r="O500">
            <v>46305</v>
          </cell>
          <cell r="P500">
            <v>0.6958333333333333</v>
          </cell>
          <cell r="Q500" t="str">
            <v>NORMAL</v>
          </cell>
          <cell r="R500">
            <v>46307</v>
          </cell>
          <cell r="S500">
            <v>0.14583333333333334</v>
          </cell>
          <cell r="T500">
            <v>0.20833333333333334</v>
          </cell>
          <cell r="U500">
            <v>46307.354166666672</v>
          </cell>
          <cell r="X500" t="str">
            <v>SI CUMPLE</v>
          </cell>
          <cell r="Y500" t="str">
            <v/>
          </cell>
        </row>
        <row r="501">
          <cell r="A501" t="str">
            <v>Chanitos Premium EUA Tarima Americana</v>
          </cell>
          <cell r="B501" t="str">
            <v>CPR01104</v>
          </cell>
          <cell r="C501" t="str">
            <v>A04084-411010-1</v>
          </cell>
          <cell r="D501" t="str">
            <v>A04 084 Lisboa</v>
          </cell>
          <cell r="E501" t="str">
            <v>McAllen</v>
          </cell>
          <cell r="F501">
            <v>528</v>
          </cell>
          <cell r="G501">
            <v>11</v>
          </cell>
          <cell r="H501">
            <v>46305</v>
          </cell>
          <cell r="I501">
            <v>41</v>
          </cell>
          <cell r="J501">
            <v>46309</v>
          </cell>
          <cell r="L501" t="str">
            <v>PREENFRIO FORTALEZA</v>
          </cell>
          <cell r="M501">
            <v>3</v>
          </cell>
          <cell r="N501">
            <v>72</v>
          </cell>
          <cell r="O501">
            <v>46305</v>
          </cell>
          <cell r="P501">
            <v>0.9604166666666667</v>
          </cell>
          <cell r="Q501" t="str">
            <v>NORMAL</v>
          </cell>
          <cell r="R501">
            <v>46306</v>
          </cell>
          <cell r="S501">
            <v>0.43055555555555558</v>
          </cell>
          <cell r="T501">
            <v>0.33333333333333331</v>
          </cell>
          <cell r="U501">
            <v>46306.763888888891</v>
          </cell>
          <cell r="V501">
            <v>46307</v>
          </cell>
          <cell r="W501">
            <v>9.0277777777777769E-3</v>
          </cell>
          <cell r="X501" t="str">
            <v>NO CUMPLE</v>
          </cell>
          <cell r="Y501" t="str">
            <v>NO CUMPLE</v>
          </cell>
          <cell r="AA501" t="str">
            <v>DESPACHADO</v>
          </cell>
          <cell r="AB501" t="str">
            <v>TRANSPORTES DELTA DE MTY</v>
          </cell>
          <cell r="AC501" t="str">
            <v>JULIO CESAR</v>
          </cell>
          <cell r="AD501">
            <v>88659</v>
          </cell>
          <cell r="AE501">
            <v>100000914991</v>
          </cell>
        </row>
        <row r="502">
          <cell r="A502" t="str">
            <v>Chanitos Premium EUA Tarima Americana</v>
          </cell>
          <cell r="B502" t="str">
            <v>CPR01104</v>
          </cell>
          <cell r="C502" t="str">
            <v>A01001-411010-1</v>
          </cell>
          <cell r="D502" t="str">
            <v>A01 001 Marbella</v>
          </cell>
          <cell r="E502" t="str">
            <v>McAllen</v>
          </cell>
          <cell r="F502">
            <v>960</v>
          </cell>
          <cell r="G502">
            <v>20</v>
          </cell>
          <cell r="H502">
            <v>46305</v>
          </cell>
          <cell r="I502">
            <v>41</v>
          </cell>
          <cell r="J502">
            <v>46310</v>
          </cell>
          <cell r="L502" t="str">
            <v>PREENFRIO FORTALEZA</v>
          </cell>
          <cell r="M502">
            <v>3</v>
          </cell>
          <cell r="N502">
            <v>72</v>
          </cell>
          <cell r="O502">
            <v>46305</v>
          </cell>
          <cell r="P502">
            <v>0.9604166666666667</v>
          </cell>
          <cell r="Q502" t="str">
            <v>NORMAL</v>
          </cell>
          <cell r="R502">
            <v>46306</v>
          </cell>
          <cell r="S502">
            <v>0.79166666666666663</v>
          </cell>
          <cell r="T502">
            <v>0.33333333333333331</v>
          </cell>
          <cell r="U502">
            <v>46307.125</v>
          </cell>
          <cell r="V502">
            <v>46307</v>
          </cell>
          <cell r="W502">
            <v>2.2222222222222223E-2</v>
          </cell>
          <cell r="X502" t="str">
            <v>NO CUMPLE</v>
          </cell>
          <cell r="Y502" t="str">
            <v>NO CUMPLE</v>
          </cell>
          <cell r="AA502" t="str">
            <v>DESPACHADO</v>
          </cell>
          <cell r="AB502" t="str">
            <v>TRANSPORTES DELTA DE MTY</v>
          </cell>
          <cell r="AC502" t="str">
            <v>JULIO CESAR</v>
          </cell>
          <cell r="AD502">
            <v>72391</v>
          </cell>
          <cell r="AE502">
            <v>100000914971</v>
          </cell>
        </row>
        <row r="503">
          <cell r="A503" t="str">
            <v>Chanitos Premium Tarima Chep</v>
          </cell>
          <cell r="B503" t="str">
            <v>CPR01102</v>
          </cell>
          <cell r="C503" t="str">
            <v>A01001-411010-1</v>
          </cell>
          <cell r="D503" t="str">
            <v>A01 001 Marbella</v>
          </cell>
          <cell r="E503" t="str">
            <v>VSA</v>
          </cell>
          <cell r="F503">
            <v>144</v>
          </cell>
          <cell r="G503">
            <v>3</v>
          </cell>
          <cell r="H503">
            <v>46305</v>
          </cell>
          <cell r="I503">
            <v>41</v>
          </cell>
          <cell r="J503">
            <v>46310</v>
          </cell>
          <cell r="L503" t="str">
            <v>PREENFRIO FORTALEZA</v>
          </cell>
          <cell r="M503">
            <v>1</v>
          </cell>
          <cell r="N503">
            <v>24</v>
          </cell>
          <cell r="O503">
            <v>46305</v>
          </cell>
          <cell r="P503">
            <v>0.89583333333333337</v>
          </cell>
          <cell r="Q503" t="str">
            <v>NORMAL</v>
          </cell>
          <cell r="R503">
            <v>46307</v>
          </cell>
          <cell r="S503">
            <v>0.14583333333333334</v>
          </cell>
          <cell r="T503">
            <v>0.20833333333333334</v>
          </cell>
          <cell r="U503">
            <v>46307.354166666672</v>
          </cell>
          <cell r="X503" t="str">
            <v>SI CUMPLE</v>
          </cell>
          <cell r="Y503" t="str">
            <v/>
          </cell>
        </row>
        <row r="504">
          <cell r="A504" t="str">
            <v>Platano de Chiapas BAE UPC 3237</v>
          </cell>
          <cell r="B504" t="str">
            <v>CPR01114</v>
          </cell>
          <cell r="C504" t="str">
            <v>A01002-421210-1</v>
          </cell>
          <cell r="D504" t="str">
            <v>A01 002 Fortaleza</v>
          </cell>
          <cell r="E504" t="str">
            <v>Chalco</v>
          </cell>
          <cell r="F504">
            <v>78</v>
          </cell>
          <cell r="G504">
            <v>1.625</v>
          </cell>
          <cell r="H504">
            <v>46307</v>
          </cell>
          <cell r="I504">
            <v>42</v>
          </cell>
          <cell r="J504">
            <v>46311</v>
          </cell>
          <cell r="L504" t="str">
            <v>PREENFRIO FORTALEZA</v>
          </cell>
          <cell r="X504" t="str">
            <v/>
          </cell>
          <cell r="Y504" t="str">
            <v/>
          </cell>
        </row>
        <row r="505">
          <cell r="A505" t="str">
            <v>Chanitos Premium Tarima Chep</v>
          </cell>
          <cell r="B505" t="str">
            <v>CPR01102</v>
          </cell>
          <cell r="C505" t="str">
            <v>A01002-421210-1</v>
          </cell>
          <cell r="D505" t="str">
            <v>A01 002 Fortaleza</v>
          </cell>
          <cell r="E505" t="str">
            <v>Chalco</v>
          </cell>
          <cell r="F505">
            <v>18</v>
          </cell>
          <cell r="G505">
            <v>0.375</v>
          </cell>
          <cell r="H505">
            <v>46307</v>
          </cell>
          <cell r="I505">
            <v>42</v>
          </cell>
          <cell r="J505">
            <v>46311</v>
          </cell>
          <cell r="L505" t="str">
            <v>PREENFRIO FORTALEZA</v>
          </cell>
          <cell r="X505" t="str">
            <v/>
          </cell>
          <cell r="Y505" t="str">
            <v/>
          </cell>
        </row>
        <row r="506">
          <cell r="A506" t="str">
            <v>Chanitos Premium Tarima Chep</v>
          </cell>
          <cell r="B506" t="str">
            <v>CPR01102</v>
          </cell>
          <cell r="C506" t="str">
            <v>A01002-421210-1</v>
          </cell>
          <cell r="D506" t="str">
            <v>A01 002 Fortaleza</v>
          </cell>
          <cell r="E506" t="str">
            <v>Chalco</v>
          </cell>
          <cell r="F506">
            <v>1056</v>
          </cell>
          <cell r="G506">
            <v>22</v>
          </cell>
          <cell r="H506">
            <v>46307</v>
          </cell>
          <cell r="I506">
            <v>42</v>
          </cell>
          <cell r="J506">
            <v>46311</v>
          </cell>
          <cell r="L506" t="str">
            <v>PREENFRIO FORTALEZA</v>
          </cell>
          <cell r="X506" t="str">
            <v/>
          </cell>
          <cell r="Y506" t="str">
            <v/>
          </cell>
        </row>
        <row r="507">
          <cell r="A507" t="str">
            <v>Platano de Chiapas BAE UPC 3237</v>
          </cell>
          <cell r="B507" t="str">
            <v>CPR01114</v>
          </cell>
          <cell r="C507" t="str">
            <v>A01002-421210-1</v>
          </cell>
          <cell r="D507" t="str">
            <v>A01 002 Fortaleza</v>
          </cell>
          <cell r="E507" t="str">
            <v>Chalco</v>
          </cell>
          <cell r="F507">
            <v>60</v>
          </cell>
          <cell r="G507">
            <v>1.25</v>
          </cell>
          <cell r="H507">
            <v>46307</v>
          </cell>
          <cell r="I507">
            <v>42</v>
          </cell>
          <cell r="J507">
            <v>46312</v>
          </cell>
          <cell r="L507" t="str">
            <v>PREENFRIO FORTALEZA</v>
          </cell>
          <cell r="X507" t="str">
            <v/>
          </cell>
          <cell r="Y507" t="str">
            <v/>
          </cell>
        </row>
        <row r="508">
          <cell r="A508" t="str">
            <v>Chanitos Premium Tarima Chep</v>
          </cell>
          <cell r="B508" t="str">
            <v>CPR01102</v>
          </cell>
          <cell r="C508" t="str">
            <v>A01002-421210-1</v>
          </cell>
          <cell r="D508" t="str">
            <v>A01 002 Fortaleza</v>
          </cell>
          <cell r="E508" t="str">
            <v>Chalco</v>
          </cell>
          <cell r="F508">
            <v>36</v>
          </cell>
          <cell r="G508">
            <v>0.75</v>
          </cell>
          <cell r="H508">
            <v>46307</v>
          </cell>
          <cell r="I508">
            <v>42</v>
          </cell>
          <cell r="J508">
            <v>46312</v>
          </cell>
          <cell r="L508" t="str">
            <v>PREENFRIO FORTALEZA</v>
          </cell>
          <cell r="X508" t="str">
            <v/>
          </cell>
          <cell r="Y508" t="str">
            <v/>
          </cell>
        </row>
        <row r="509">
          <cell r="A509" t="str">
            <v>Chanitos Premium Tarima Chep</v>
          </cell>
          <cell r="B509" t="str">
            <v>CPR01102</v>
          </cell>
          <cell r="C509" t="str">
            <v>A01002-421210-1</v>
          </cell>
          <cell r="D509" t="str">
            <v>A01 002 Fortaleza</v>
          </cell>
          <cell r="E509" t="str">
            <v>Chalco</v>
          </cell>
          <cell r="F509">
            <v>48</v>
          </cell>
          <cell r="G509">
            <v>1</v>
          </cell>
          <cell r="H509">
            <v>46307</v>
          </cell>
          <cell r="I509">
            <v>42</v>
          </cell>
          <cell r="J509">
            <v>46312</v>
          </cell>
          <cell r="L509" t="str">
            <v>PREENFRIO FORTALEZA</v>
          </cell>
          <cell r="X509" t="str">
            <v/>
          </cell>
          <cell r="Y509" t="str">
            <v/>
          </cell>
        </row>
        <row r="510">
          <cell r="X510" t="str">
            <v/>
          </cell>
          <cell r="Y510" t="str">
            <v/>
          </cell>
        </row>
        <row r="511">
          <cell r="X511" t="str">
            <v/>
          </cell>
          <cell r="Y511" t="str">
            <v/>
          </cell>
        </row>
        <row r="512">
          <cell r="X512" t="str">
            <v/>
          </cell>
          <cell r="Y512" t="str">
            <v/>
          </cell>
        </row>
        <row r="513">
          <cell r="X513" t="str">
            <v/>
          </cell>
          <cell r="Y513" t="str">
            <v/>
          </cell>
        </row>
        <row r="514">
          <cell r="X514" t="str">
            <v/>
          </cell>
          <cell r="Y514" t="str">
            <v/>
          </cell>
        </row>
        <row r="515">
          <cell r="X515" t="str">
            <v/>
          </cell>
          <cell r="Y515" t="str">
            <v/>
          </cell>
        </row>
        <row r="516">
          <cell r="X516" t="str">
            <v/>
          </cell>
          <cell r="Y516" t="str">
            <v/>
          </cell>
        </row>
        <row r="517">
          <cell r="X517" t="str">
            <v/>
          </cell>
          <cell r="Y517" t="str">
            <v/>
          </cell>
        </row>
        <row r="518">
          <cell r="X518" t="str">
            <v/>
          </cell>
          <cell r="Y518" t="str">
            <v/>
          </cell>
        </row>
        <row r="519">
          <cell r="X519" t="str">
            <v/>
          </cell>
          <cell r="Y519" t="str">
            <v/>
          </cell>
        </row>
        <row r="520">
          <cell r="X520" t="str">
            <v/>
          </cell>
          <cell r="Y520" t="str">
            <v/>
          </cell>
        </row>
        <row r="521">
          <cell r="X521" t="str">
            <v/>
          </cell>
          <cell r="Y521" t="str">
            <v/>
          </cell>
        </row>
        <row r="522">
          <cell r="X522" t="str">
            <v/>
          </cell>
          <cell r="Y522" t="str">
            <v/>
          </cell>
        </row>
        <row r="523">
          <cell r="X523" t="str">
            <v/>
          </cell>
          <cell r="Y523" t="str">
            <v/>
          </cell>
        </row>
        <row r="524">
          <cell r="X524" t="str">
            <v/>
          </cell>
          <cell r="Y524" t="str">
            <v/>
          </cell>
        </row>
        <row r="525">
          <cell r="X525" t="str">
            <v/>
          </cell>
          <cell r="Y525" t="str">
            <v/>
          </cell>
        </row>
        <row r="526">
          <cell r="X526" t="str">
            <v/>
          </cell>
          <cell r="Y526" t="str">
            <v/>
          </cell>
        </row>
        <row r="527">
          <cell r="X527" t="str">
            <v/>
          </cell>
          <cell r="Y527" t="str">
            <v/>
          </cell>
        </row>
        <row r="528">
          <cell r="X528" t="str">
            <v/>
          </cell>
          <cell r="Y528" t="str">
            <v/>
          </cell>
        </row>
        <row r="529">
          <cell r="X529" t="str">
            <v/>
          </cell>
          <cell r="Y529" t="str">
            <v/>
          </cell>
        </row>
        <row r="530">
          <cell r="X530" t="str">
            <v/>
          </cell>
          <cell r="Y530" t="str">
            <v/>
          </cell>
        </row>
        <row r="531">
          <cell r="X531" t="str">
            <v/>
          </cell>
          <cell r="Y531" t="str">
            <v/>
          </cell>
        </row>
        <row r="532">
          <cell r="X532" t="str">
            <v/>
          </cell>
          <cell r="Y532" t="str">
            <v/>
          </cell>
        </row>
        <row r="533">
          <cell r="X533" t="str">
            <v/>
          </cell>
          <cell r="Y533" t="str">
            <v/>
          </cell>
        </row>
        <row r="534">
          <cell r="X534" t="str">
            <v/>
          </cell>
          <cell r="Y534" t="str">
            <v/>
          </cell>
        </row>
        <row r="535">
          <cell r="X535" t="str">
            <v/>
          </cell>
          <cell r="Y535" t="str">
            <v/>
          </cell>
        </row>
        <row r="536">
          <cell r="X536" t="str">
            <v/>
          </cell>
          <cell r="Y536" t="str">
            <v/>
          </cell>
        </row>
        <row r="537">
          <cell r="X537" t="str">
            <v/>
          </cell>
          <cell r="Y537" t="str">
            <v/>
          </cell>
        </row>
        <row r="538">
          <cell r="X538" t="str">
            <v/>
          </cell>
          <cell r="Y538" t="str">
            <v/>
          </cell>
        </row>
        <row r="539">
          <cell r="X539" t="str">
            <v/>
          </cell>
          <cell r="Y539" t="str">
            <v/>
          </cell>
        </row>
        <row r="540">
          <cell r="X540" t="str">
            <v/>
          </cell>
          <cell r="Y540" t="str">
            <v/>
          </cell>
        </row>
        <row r="541">
          <cell r="X541" t="str">
            <v/>
          </cell>
          <cell r="Y541" t="str">
            <v/>
          </cell>
        </row>
        <row r="542">
          <cell r="X542" t="str">
            <v/>
          </cell>
          <cell r="Y542" t="str">
            <v/>
          </cell>
        </row>
        <row r="543">
          <cell r="X543" t="str">
            <v/>
          </cell>
          <cell r="Y543" t="str">
            <v/>
          </cell>
        </row>
        <row r="544">
          <cell r="X544" t="str">
            <v/>
          </cell>
          <cell r="Y544" t="str">
            <v/>
          </cell>
        </row>
        <row r="545">
          <cell r="X545" t="str">
            <v/>
          </cell>
          <cell r="Y545" t="str">
            <v/>
          </cell>
        </row>
        <row r="546">
          <cell r="X546" t="str">
            <v/>
          </cell>
          <cell r="Y546" t="str">
            <v/>
          </cell>
        </row>
        <row r="547">
          <cell r="X547" t="str">
            <v/>
          </cell>
          <cell r="Y547" t="str">
            <v/>
          </cell>
        </row>
        <row r="548">
          <cell r="X548" t="str">
            <v/>
          </cell>
          <cell r="Y548" t="str">
            <v/>
          </cell>
        </row>
        <row r="549">
          <cell r="X549" t="str">
            <v/>
          </cell>
          <cell r="Y549" t="str">
            <v/>
          </cell>
        </row>
        <row r="550">
          <cell r="X550" t="str">
            <v/>
          </cell>
          <cell r="Y550" t="str">
            <v/>
          </cell>
        </row>
        <row r="551">
          <cell r="X551" t="str">
            <v/>
          </cell>
          <cell r="Y551" t="str">
            <v/>
          </cell>
        </row>
        <row r="552">
          <cell r="X552" t="str">
            <v/>
          </cell>
          <cell r="Y552" t="str">
            <v/>
          </cell>
        </row>
        <row r="553">
          <cell r="X553" t="str">
            <v/>
          </cell>
          <cell r="Y553" t="str">
            <v/>
          </cell>
        </row>
        <row r="554">
          <cell r="X554" t="str">
            <v/>
          </cell>
          <cell r="Y554" t="str">
            <v/>
          </cell>
        </row>
        <row r="555">
          <cell r="X555" t="str">
            <v/>
          </cell>
          <cell r="Y555" t="str">
            <v/>
          </cell>
        </row>
        <row r="556">
          <cell r="X556" t="str">
            <v/>
          </cell>
          <cell r="Y556" t="str">
            <v/>
          </cell>
        </row>
        <row r="557">
          <cell r="X557" t="str">
            <v/>
          </cell>
          <cell r="Y557" t="str">
            <v/>
          </cell>
        </row>
        <row r="558">
          <cell r="X558" t="str">
            <v/>
          </cell>
          <cell r="Y558" t="str">
            <v/>
          </cell>
        </row>
        <row r="559">
          <cell r="X559" t="str">
            <v/>
          </cell>
          <cell r="Y559" t="str">
            <v/>
          </cell>
        </row>
        <row r="560">
          <cell r="X560" t="str">
            <v/>
          </cell>
          <cell r="Y560" t="str">
            <v/>
          </cell>
        </row>
        <row r="561">
          <cell r="X561" t="str">
            <v/>
          </cell>
          <cell r="Y561" t="str">
            <v/>
          </cell>
        </row>
        <row r="562">
          <cell r="X562" t="str">
            <v/>
          </cell>
          <cell r="Y562" t="str">
            <v/>
          </cell>
        </row>
        <row r="563">
          <cell r="X563" t="str">
            <v/>
          </cell>
          <cell r="Y563" t="str">
            <v/>
          </cell>
        </row>
        <row r="564">
          <cell r="X564" t="str">
            <v/>
          </cell>
          <cell r="Y564" t="str">
            <v/>
          </cell>
        </row>
        <row r="565">
          <cell r="X565" t="str">
            <v/>
          </cell>
          <cell r="Y565" t="str">
            <v/>
          </cell>
        </row>
        <row r="566">
          <cell r="X566" t="str">
            <v/>
          </cell>
          <cell r="Y566" t="str">
            <v/>
          </cell>
        </row>
        <row r="567">
          <cell r="X567" t="str">
            <v/>
          </cell>
          <cell r="Y567" t="str">
            <v/>
          </cell>
        </row>
        <row r="568">
          <cell r="X568" t="str">
            <v/>
          </cell>
          <cell r="Y568" t="str">
            <v/>
          </cell>
        </row>
        <row r="569">
          <cell r="X569" t="str">
            <v/>
          </cell>
          <cell r="Y569" t="str">
            <v/>
          </cell>
        </row>
        <row r="570">
          <cell r="X570" t="str">
            <v/>
          </cell>
          <cell r="Y570" t="str">
            <v/>
          </cell>
        </row>
        <row r="571">
          <cell r="X571" t="str">
            <v/>
          </cell>
          <cell r="Y571" t="str">
            <v/>
          </cell>
        </row>
        <row r="572">
          <cell r="X572" t="str">
            <v/>
          </cell>
          <cell r="Y572" t="str">
            <v/>
          </cell>
        </row>
        <row r="573">
          <cell r="X573" t="str">
            <v/>
          </cell>
          <cell r="Y573" t="str">
            <v/>
          </cell>
        </row>
        <row r="574">
          <cell r="X574" t="str">
            <v/>
          </cell>
          <cell r="Y574" t="str">
            <v/>
          </cell>
        </row>
        <row r="575">
          <cell r="X575" t="str">
            <v/>
          </cell>
          <cell r="Y575" t="str">
            <v/>
          </cell>
        </row>
        <row r="576">
          <cell r="X576" t="str">
            <v/>
          </cell>
          <cell r="Y576" t="str">
            <v/>
          </cell>
        </row>
        <row r="577">
          <cell r="X577" t="str">
            <v/>
          </cell>
          <cell r="Y577" t="str">
            <v/>
          </cell>
        </row>
        <row r="578">
          <cell r="X578" t="str">
            <v/>
          </cell>
          <cell r="Y578" t="str">
            <v/>
          </cell>
        </row>
        <row r="579">
          <cell r="X579" t="str">
            <v/>
          </cell>
          <cell r="Y579" t="str">
            <v/>
          </cell>
        </row>
        <row r="580">
          <cell r="X580" t="str">
            <v/>
          </cell>
          <cell r="Y580" t="str">
            <v/>
          </cell>
        </row>
        <row r="581">
          <cell r="X581" t="str">
            <v/>
          </cell>
          <cell r="Y581" t="str">
            <v/>
          </cell>
        </row>
        <row r="582">
          <cell r="X582" t="str">
            <v/>
          </cell>
          <cell r="Y582" t="str">
            <v/>
          </cell>
        </row>
        <row r="583">
          <cell r="X583" t="str">
            <v/>
          </cell>
          <cell r="Y583" t="str">
            <v/>
          </cell>
        </row>
        <row r="584">
          <cell r="X584" t="str">
            <v/>
          </cell>
          <cell r="Y584" t="str">
            <v/>
          </cell>
        </row>
        <row r="585">
          <cell r="X585" t="str">
            <v/>
          </cell>
          <cell r="Y585" t="str">
            <v/>
          </cell>
        </row>
        <row r="586">
          <cell r="X586" t="str">
            <v/>
          </cell>
          <cell r="Y586" t="str">
            <v/>
          </cell>
        </row>
        <row r="587">
          <cell r="X587" t="str">
            <v/>
          </cell>
          <cell r="Y587" t="str">
            <v/>
          </cell>
        </row>
        <row r="588">
          <cell r="X588" t="str">
            <v/>
          </cell>
          <cell r="Y588" t="str">
            <v/>
          </cell>
        </row>
        <row r="589">
          <cell r="X589" t="str">
            <v/>
          </cell>
          <cell r="Y589" t="str">
            <v/>
          </cell>
        </row>
        <row r="590">
          <cell r="X590" t="str">
            <v/>
          </cell>
          <cell r="Y590" t="str">
            <v/>
          </cell>
        </row>
        <row r="591">
          <cell r="X591" t="str">
            <v/>
          </cell>
          <cell r="Y591" t="str">
            <v/>
          </cell>
        </row>
        <row r="592">
          <cell r="X592" t="str">
            <v/>
          </cell>
          <cell r="Y592" t="str">
            <v/>
          </cell>
        </row>
        <row r="593">
          <cell r="X593" t="str">
            <v/>
          </cell>
          <cell r="Y593" t="str">
            <v/>
          </cell>
        </row>
        <row r="594">
          <cell r="X594" t="str">
            <v/>
          </cell>
          <cell r="Y594" t="str">
            <v/>
          </cell>
        </row>
        <row r="595">
          <cell r="X595" t="str">
            <v/>
          </cell>
          <cell r="Y595" t="str">
            <v/>
          </cell>
        </row>
        <row r="596">
          <cell r="X596" t="str">
            <v/>
          </cell>
          <cell r="Y596" t="str">
            <v/>
          </cell>
        </row>
        <row r="597">
          <cell r="X597" t="str">
            <v/>
          </cell>
          <cell r="Y597" t="str">
            <v/>
          </cell>
        </row>
      </sheetData>
      <sheetData sheetId="2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3BCB8-85C1-452B-9E4F-441C0811BAE4}">
  <dimension ref="A1:AE597"/>
  <sheetViews>
    <sheetView tabSelected="1" zoomScale="80" zoomScaleNormal="80" workbookViewId="0">
      <pane ySplit="1" topLeftCell="A486" activePane="bottomLeft" state="frozen"/>
      <selection pane="bottomLeft" activeCell="U491" sqref="U491"/>
    </sheetView>
  </sheetViews>
  <sheetFormatPr baseColWidth="10" defaultRowHeight="15" x14ac:dyDescent="0.25"/>
  <cols>
    <col min="1" max="1" width="29.28515625" bestFit="1" customWidth="1"/>
    <col min="2" max="2" width="10.28515625" bestFit="1" customWidth="1"/>
    <col min="3" max="3" width="16.5703125" bestFit="1" customWidth="1"/>
    <col min="4" max="4" width="23.7109375" bestFit="1" customWidth="1"/>
    <col min="5" max="5" width="8.140625" customWidth="1"/>
    <col min="6" max="6" width="10.85546875" bestFit="1" customWidth="1"/>
    <col min="7" max="7" width="8.85546875" bestFit="1" customWidth="1"/>
    <col min="8" max="8" width="11.28515625" bestFit="1" customWidth="1"/>
    <col min="9" max="9" width="8.85546875" bestFit="1" customWidth="1"/>
    <col min="10" max="10" width="11.28515625" bestFit="1" customWidth="1"/>
    <col min="11" max="11" width="9.140625" customWidth="1"/>
    <col min="12" max="12" width="17.140625" bestFit="1" customWidth="1"/>
    <col min="13" max="14" width="10" bestFit="1" customWidth="1"/>
    <col min="15" max="16" width="12.140625" bestFit="1" customWidth="1"/>
    <col min="17" max="17" width="11.28515625" bestFit="1" customWidth="1"/>
    <col min="18" max="19" width="11.5703125" bestFit="1" customWidth="1"/>
    <col min="20" max="20" width="10.85546875" bestFit="1" customWidth="1"/>
    <col min="21" max="21" width="15.140625" bestFit="1" customWidth="1"/>
    <col min="22" max="22" width="11.28515625" bestFit="1" customWidth="1"/>
    <col min="23" max="23" width="12" bestFit="1" customWidth="1"/>
    <col min="24" max="24" width="15.28515625" bestFit="1" customWidth="1"/>
    <col min="25" max="25" width="15.42578125" customWidth="1"/>
    <col min="26" max="26" width="8.42578125" bestFit="1" customWidth="1"/>
    <col min="27" max="27" width="16.7109375" customWidth="1"/>
    <col min="28" max="28" width="13.140625" bestFit="1" customWidth="1"/>
    <col min="29" max="29" width="21.85546875" bestFit="1" customWidth="1"/>
    <col min="30" max="30" width="11.5703125" bestFit="1" customWidth="1"/>
    <col min="31" max="31" width="13.85546875" bestFit="1" customWidth="1"/>
  </cols>
  <sheetData>
    <row r="1" spans="1:31" s="9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0" t="s">
        <v>7</v>
      </c>
      <c r="I1" s="1" t="s">
        <v>8</v>
      </c>
      <c r="J1" s="10" t="s">
        <v>9</v>
      </c>
      <c r="K1" s="3" t="s">
        <v>10</v>
      </c>
      <c r="L1" s="3" t="s">
        <v>11</v>
      </c>
      <c r="M1" s="5" t="s">
        <v>12</v>
      </c>
      <c r="N1" s="5" t="s">
        <v>13</v>
      </c>
      <c r="O1" s="4" t="s">
        <v>14</v>
      </c>
      <c r="P1" s="4" t="s">
        <v>15</v>
      </c>
      <c r="Q1" s="3" t="s">
        <v>16</v>
      </c>
      <c r="R1" s="4" t="s">
        <v>17</v>
      </c>
      <c r="S1" s="3" t="s">
        <v>18</v>
      </c>
      <c r="T1" s="5" t="s">
        <v>19</v>
      </c>
      <c r="U1" s="6" t="s">
        <v>20</v>
      </c>
      <c r="V1" s="4" t="s">
        <v>21</v>
      </c>
      <c r="W1" s="7" t="s">
        <v>22</v>
      </c>
      <c r="X1" s="6" t="s">
        <v>23</v>
      </c>
      <c r="Y1" s="6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 ht="20.25" x14ac:dyDescent="0.3">
      <c r="A2" s="11" t="str">
        <f>IF('[1]P-GENERAL'!A2="","",'[1]P-GENERAL'!A2)</f>
        <v>Chanitos Premium Tarima Chep</v>
      </c>
      <c r="B2" s="11" t="str">
        <f>IF('[1]P-GENERAL'!B2="","",'[1]P-GENERAL'!B2)</f>
        <v>CPR01102</v>
      </c>
      <c r="C2" t="str">
        <f>IF('[1]P-GENERAL'!C2="","",'[1]P-GENERAL'!C2)</f>
        <v>A01003-352508-1</v>
      </c>
      <c r="D2" t="str">
        <f>IF('[1]P-GENERAL'!D2="","",'[1]P-GENERAL'!D2)</f>
        <v>FN_CHI_DONA_NELLY</v>
      </c>
      <c r="E2" s="8" t="str">
        <f>IF('[1]P-GENERAL'!E2="","",'[1]P-GENERAL'!E2)</f>
        <v>Chalco</v>
      </c>
      <c r="F2" s="12">
        <f>IF('[1]P-GENERAL'!F2="","",'[1]P-GENERAL'!F2)</f>
        <v>606</v>
      </c>
      <c r="G2" s="13">
        <f>IF('[1]P-GENERAL'!G2="","",'[1]P-GENERAL'!G2)</f>
        <v>12.5</v>
      </c>
      <c r="H2" s="14">
        <f>IF('[1]P-GENERAL'!H2="","",'[1]P-GENERAL'!H2)</f>
        <v>46259</v>
      </c>
      <c r="I2">
        <f>IF('[1]P-GENERAL'!I2="","",'[1]P-GENERAL'!I2)</f>
        <v>35</v>
      </c>
      <c r="J2" s="15">
        <f>IF('[1]P-GENERAL'!J2="","",'[1]P-GENERAL'!J2)</f>
        <v>46263</v>
      </c>
      <c r="K2" s="14" t="str">
        <f>IF('[1]P-GENERAL'!K2="","",'[1]P-GENERAL'!K2)</f>
        <v/>
      </c>
      <c r="L2" s="14" t="str">
        <f>IF('[1]P-GENERAL'!L2="","",'[1]P-GENERAL'!L2)</f>
        <v>PREENFRIO NELLY</v>
      </c>
      <c r="M2">
        <f>IF('[1]P-GENERAL'!M2="","",'[1]P-GENERAL'!M2)</f>
        <v>1</v>
      </c>
      <c r="N2">
        <f>IF('[1]P-GENERAL'!N2="","",'[1]P-GENERAL'!N2)</f>
        <v>24</v>
      </c>
      <c r="O2" s="14">
        <f>IF('[1]P-GENERAL'!O2="","",'[1]P-GENERAL'!O2)</f>
        <v>46259</v>
      </c>
      <c r="P2" s="16">
        <f>IF('[1]P-GENERAL'!P2="","",'[1]P-GENERAL'!P2)</f>
        <v>0.74652777777777779</v>
      </c>
      <c r="Q2" t="str">
        <f>IF('[1]P-GENERAL'!Q2="","",'[1]P-GENERAL'!Q2)</f>
        <v>NORMAL</v>
      </c>
      <c r="R2" s="14">
        <f>IF('[1]P-GENERAL'!R2="","",'[1]P-GENERAL'!R2)</f>
        <v>46260</v>
      </c>
      <c r="S2" s="16">
        <f>IF('[1]P-GENERAL'!S2="","",'[1]P-GENERAL'!S2)</f>
        <v>0.95833333333333337</v>
      </c>
      <c r="T2" s="16">
        <f>IF('[1]P-GENERAL'!T2="","",'[1]P-GENERAL'!T2)</f>
        <v>0.35416666666666669</v>
      </c>
      <c r="U2" s="17">
        <f>IF('[1]P-GENERAL'!U2="","",'[1]P-GENERAL'!U2)</f>
        <v>46261.3125</v>
      </c>
      <c r="V2" s="14">
        <f>IF('[1]P-GENERAL'!V2="","",'[1]P-GENERAL'!V2)</f>
        <v>46261</v>
      </c>
      <c r="W2" s="16">
        <f>IF('[1]P-GENERAL'!W2="","",'[1]P-GENERAL'!W2)</f>
        <v>0.36249999999999999</v>
      </c>
      <c r="X2" s="14" t="str">
        <f>IF('[1]P-GENERAL'!X2="","",'[1]P-GENERAL'!X2)</f>
        <v>SI CUMPLE</v>
      </c>
      <c r="Y2" s="14" t="str">
        <f>IF('[1]P-GENERAL'!Y2="","",'[1]P-GENERAL'!Y2)</f>
        <v>SI CUMPLE</v>
      </c>
      <c r="Z2" s="14" t="str">
        <f>IF('[1]P-GENERAL'!Z2="","",'[1]P-GENERAL'!Z2)</f>
        <v/>
      </c>
      <c r="AA2" s="14" t="str">
        <f>IF('[1]P-GENERAL'!AA2="","",'[1]P-GENERAL'!AA2)</f>
        <v>DESPACHADO</v>
      </c>
      <c r="AB2" s="8" t="str">
        <f>IF('[1]P-GENERAL'!AB2="","",'[1]P-GENERAL'!AB2)</f>
        <v>Refrig Carrillo</v>
      </c>
      <c r="AC2" s="8" t="str">
        <f>IF('[1]P-GENERAL'!AC2="","",'[1]P-GENERAL'!AC2)</f>
        <v>Jesus Fuentes Espinoza</v>
      </c>
      <c r="AD2">
        <f>IF('[1]P-GENERAL'!AD2="","",'[1]P-GENERAL'!AD2)</f>
        <v>81967</v>
      </c>
      <c r="AE2" t="str">
        <f>IF('[1]P-GENERAL'!AE2="","",'[1]P-GENERAL'!AE2)</f>
        <v/>
      </c>
    </row>
    <row r="3" spans="1:31" ht="20.25" x14ac:dyDescent="0.3">
      <c r="A3" s="11" t="str">
        <f>IF('[1]P-GENERAL'!A3="","",'[1]P-GENERAL'!A3)</f>
        <v>Chanitos Premium Tarima Chep</v>
      </c>
      <c r="B3" s="11" t="str">
        <f>IF('[1]P-GENERAL'!B3="","",'[1]P-GENERAL'!B3)</f>
        <v>CPR01102</v>
      </c>
      <c r="C3" t="str">
        <f>IF('[1]P-GENERAL'!C3="","",'[1]P-GENERAL'!C3)</f>
        <v>A01002-352508-1</v>
      </c>
      <c r="D3" t="str">
        <f>IF('[1]P-GENERAL'!D3="","",'[1]P-GENERAL'!D3)</f>
        <v>A01 002 Fortaleza</v>
      </c>
      <c r="E3" s="8" t="str">
        <f>IF('[1]P-GENERAL'!E3="","",'[1]P-GENERAL'!E3)</f>
        <v>SMO</v>
      </c>
      <c r="F3" s="12">
        <f>IF('[1]P-GENERAL'!F3="","",'[1]P-GENERAL'!F3)</f>
        <v>48</v>
      </c>
      <c r="G3" s="13">
        <f>IF('[1]P-GENERAL'!G3="","",'[1]P-GENERAL'!G3)</f>
        <v>1</v>
      </c>
      <c r="H3" s="14">
        <f>IF('[1]P-GENERAL'!H3="","",'[1]P-GENERAL'!H3)</f>
        <v>46259</v>
      </c>
      <c r="I3">
        <f>IF('[1]P-GENERAL'!I3="","",'[1]P-GENERAL'!I3)</f>
        <v>35</v>
      </c>
      <c r="J3" s="15">
        <f>IF('[1]P-GENERAL'!J3="","",'[1]P-GENERAL'!J3)</f>
        <v>46263</v>
      </c>
      <c r="K3" s="14">
        <f>IF('[1]P-GENERAL'!K3="","",'[1]P-GENERAL'!K3)</f>
        <v>0.33333333333333331</v>
      </c>
      <c r="L3" s="14" t="str">
        <f>IF('[1]P-GENERAL'!L3="","",'[1]P-GENERAL'!L3)</f>
        <v>PREENFRIO FORTALEZA</v>
      </c>
      <c r="M3">
        <f>IF('[1]P-GENERAL'!M3="","",'[1]P-GENERAL'!M3)</f>
        <v>1.5</v>
      </c>
      <c r="N3">
        <f>IF('[1]P-GENERAL'!N3="","",'[1]P-GENERAL'!N3)</f>
        <v>36</v>
      </c>
      <c r="O3" s="14">
        <f>IF('[1]P-GENERAL'!O3="","",'[1]P-GENERAL'!O3)</f>
        <v>46259</v>
      </c>
      <c r="P3" s="16">
        <f>IF('[1]P-GENERAL'!P3="","",'[1]P-GENERAL'!P3)</f>
        <v>0.72916666666666663</v>
      </c>
      <c r="Q3" t="str">
        <f>IF('[1]P-GENERAL'!Q3="","",'[1]P-GENERAL'!Q3)</f>
        <v>NORMAL</v>
      </c>
      <c r="R3" s="14">
        <f>IF('[1]P-GENERAL'!R3="","",'[1]P-GENERAL'!R3)</f>
        <v>46260</v>
      </c>
      <c r="S3" s="16">
        <f>IF('[1]P-GENERAL'!S3="","",'[1]P-GENERAL'!S3)</f>
        <v>0.93611111111111112</v>
      </c>
      <c r="T3" s="16">
        <f>IF('[1]P-GENERAL'!T3="","",'[1]P-GENERAL'!T3)</f>
        <v>0.625</v>
      </c>
      <c r="U3" s="17">
        <f>IF('[1]P-GENERAL'!U3="","",'[1]P-GENERAL'!U3)</f>
        <v>46261.561111111114</v>
      </c>
      <c r="V3" s="14">
        <f>IF('[1]P-GENERAL'!V3="","",'[1]P-GENERAL'!V3)</f>
        <v>46261</v>
      </c>
      <c r="W3" s="16">
        <f>IF('[1]P-GENERAL'!W3="","",'[1]P-GENERAL'!W3)</f>
        <v>0.94791666666666663</v>
      </c>
      <c r="X3" s="14" t="str">
        <f>IF('[1]P-GENERAL'!X3="","",'[1]P-GENERAL'!X3)</f>
        <v>SI CUMPLE</v>
      </c>
      <c r="Y3" s="14" t="str">
        <f>IF('[1]P-GENERAL'!Y3="","",'[1]P-GENERAL'!Y3)</f>
        <v>NO CUMPLE</v>
      </c>
      <c r="Z3" s="14" t="str">
        <f>IF('[1]P-GENERAL'!Z3="","",'[1]P-GENERAL'!Z3)</f>
        <v>POSICIONAMIENTO DE TRANSPORTE</v>
      </c>
      <c r="AA3" s="14" t="str">
        <f>IF('[1]P-GENERAL'!AA3="","",'[1]P-GENERAL'!AA3)</f>
        <v xml:space="preserve">Despachado </v>
      </c>
      <c r="AB3" s="8" t="str">
        <f>IF('[1]P-GENERAL'!AB3="","",'[1]P-GENERAL'!AB3)</f>
        <v>TRANSPORTES SANCHEZ</v>
      </c>
      <c r="AC3" s="8" t="str">
        <f>IF('[1]P-GENERAL'!AC3="","",'[1]P-GENERAL'!AC3)</f>
        <v>ABEL HERNANDEZ LOPEZ</v>
      </c>
      <c r="AD3">
        <f>IF('[1]P-GENERAL'!AD3="","",'[1]P-GENERAL'!AD3)</f>
        <v>42396</v>
      </c>
      <c r="AE3" t="str">
        <f>IF('[1]P-GENERAL'!AE3="","",'[1]P-GENERAL'!AE3)</f>
        <v>QCH1W03PG0</v>
      </c>
    </row>
    <row r="4" spans="1:31" ht="20.25" x14ac:dyDescent="0.3">
      <c r="A4" s="11" t="str">
        <f>IF('[1]P-GENERAL'!A4="","",'[1]P-GENERAL'!A4)</f>
        <v>Chanitos Premium Tarima Chep</v>
      </c>
      <c r="B4" s="11" t="str">
        <f>IF('[1]P-GENERAL'!B4="","",'[1]P-GENERAL'!B4)</f>
        <v>CPR01102</v>
      </c>
      <c r="C4" t="str">
        <f>IF('[1]P-GENERAL'!C4="","",'[1]P-GENERAL'!C4)</f>
        <v>A11045-352508-1</v>
      </c>
      <c r="D4" t="str">
        <f>IF('[1]P-GENERAL'!D4="","",'[1]P-GENERAL'!D4)</f>
        <v>FN_CHI_MAZATAN</v>
      </c>
      <c r="E4" s="8" t="str">
        <f>IF('[1]P-GENERAL'!E4="","",'[1]P-GENERAL'!E4)</f>
        <v>Chalco</v>
      </c>
      <c r="F4" s="12">
        <f>IF('[1]P-GENERAL'!F4="","",'[1]P-GENERAL'!F4)</f>
        <v>336</v>
      </c>
      <c r="G4" s="13">
        <f>IF('[1]P-GENERAL'!G4="","",'[1]P-GENERAL'!G4)</f>
        <v>7</v>
      </c>
      <c r="H4" s="14">
        <f>IF('[1]P-GENERAL'!H4="","",'[1]P-GENERAL'!H4)</f>
        <v>46259</v>
      </c>
      <c r="I4">
        <f>IF('[1]P-GENERAL'!I4="","",'[1]P-GENERAL'!I4)</f>
        <v>35</v>
      </c>
      <c r="J4" s="15">
        <f>IF('[1]P-GENERAL'!J4="","",'[1]P-GENERAL'!J4)</f>
        <v>46263</v>
      </c>
      <c r="K4" s="14" t="str">
        <f>IF('[1]P-GENERAL'!K4="","",'[1]P-GENERAL'!K4)</f>
        <v/>
      </c>
      <c r="L4" s="14" t="str">
        <f>IF('[1]P-GENERAL'!L4="","",'[1]P-GENERAL'!L4)</f>
        <v>PREENFRIO NELLY</v>
      </c>
      <c r="M4">
        <f>IF('[1]P-GENERAL'!M4="","",'[1]P-GENERAL'!M4)</f>
        <v>1</v>
      </c>
      <c r="N4">
        <f>IF('[1]P-GENERAL'!N4="","",'[1]P-GENERAL'!N4)</f>
        <v>24</v>
      </c>
      <c r="O4" s="14">
        <f>IF('[1]P-GENERAL'!O4="","",'[1]P-GENERAL'!O4)</f>
        <v>46259</v>
      </c>
      <c r="P4" s="16">
        <f>IF('[1]P-GENERAL'!P4="","",'[1]P-GENERAL'!P4)</f>
        <v>0.4597222222222222</v>
      </c>
      <c r="Q4" t="str">
        <f>IF('[1]P-GENERAL'!Q4="","",'[1]P-GENERAL'!Q4)</f>
        <v>NORMAL</v>
      </c>
      <c r="R4" s="14">
        <f>IF('[1]P-GENERAL'!R4="","",'[1]P-GENERAL'!R4)</f>
        <v>46260</v>
      </c>
      <c r="S4" s="16">
        <f>IF('[1]P-GENERAL'!S4="","",'[1]P-GENERAL'!S4)</f>
        <v>0.95833333333333337</v>
      </c>
      <c r="T4" s="16">
        <f>IF('[1]P-GENERAL'!T4="","",'[1]P-GENERAL'!T4)</f>
        <v>0.35416666666666669</v>
      </c>
      <c r="U4" s="17">
        <f>IF('[1]P-GENERAL'!U4="","",'[1]P-GENERAL'!U4)</f>
        <v>46261.3125</v>
      </c>
      <c r="V4" s="14">
        <f>IF('[1]P-GENERAL'!V4="","",'[1]P-GENERAL'!V4)</f>
        <v>46261</v>
      </c>
      <c r="W4" s="16">
        <f>IF('[1]P-GENERAL'!W4="","",'[1]P-GENERAL'!W4)</f>
        <v>0.36249999999999999</v>
      </c>
      <c r="X4" s="14" t="str">
        <f>IF('[1]P-GENERAL'!X4="","",'[1]P-GENERAL'!X4)</f>
        <v>SI CUMPLE</v>
      </c>
      <c r="Y4" s="14" t="str">
        <f>IF('[1]P-GENERAL'!Y4="","",'[1]P-GENERAL'!Y4)</f>
        <v>SI CUMPLE</v>
      </c>
      <c r="Z4" s="14" t="str">
        <f>IF('[1]P-GENERAL'!Z4="","",'[1]P-GENERAL'!Z4)</f>
        <v/>
      </c>
      <c r="AA4" s="14" t="str">
        <f>IF('[1]P-GENERAL'!AA4="","",'[1]P-GENERAL'!AA4)</f>
        <v>DESPACHADO</v>
      </c>
      <c r="AB4" s="8" t="str">
        <f>IF('[1]P-GENERAL'!AB4="","",'[1]P-GENERAL'!AB4)</f>
        <v>Refrig Carrillo</v>
      </c>
      <c r="AC4" s="8" t="str">
        <f>IF('[1]P-GENERAL'!AC4="","",'[1]P-GENERAL'!AC4)</f>
        <v>Jesus Fuentes Espinoza</v>
      </c>
      <c r="AD4">
        <f>IF('[1]P-GENERAL'!AD4="","",'[1]P-GENERAL'!AD4)</f>
        <v>81967</v>
      </c>
      <c r="AE4" t="str">
        <f>IF('[1]P-GENERAL'!AE4="","",'[1]P-GENERAL'!AE4)</f>
        <v/>
      </c>
    </row>
    <row r="5" spans="1:31" ht="20.25" x14ac:dyDescent="0.3">
      <c r="A5" s="11" t="str">
        <f>IF('[1]P-GENERAL'!A5="","",'[1]P-GENERAL'!A5)</f>
        <v>Chanitos Premium Tarima Americana</v>
      </c>
      <c r="B5" s="11" t="str">
        <f>IF('[1]P-GENERAL'!B5="","",'[1]P-GENERAL'!B5)</f>
        <v>CPR01103</v>
      </c>
      <c r="C5" t="str">
        <f>IF('[1]P-GENERAL'!C5="","",'[1]P-GENERAL'!C5)</f>
        <v>A11045-352508-1</v>
      </c>
      <c r="D5" t="str">
        <f>IF('[1]P-GENERAL'!D5="","",'[1]P-GENERAL'!D5)</f>
        <v>A11 045 Sector Mazatan</v>
      </c>
      <c r="E5" s="8" t="str">
        <f>IF('[1]P-GENERAL'!E5="","",'[1]P-GENERAL'!E5)</f>
        <v>Ciudad Juarez</v>
      </c>
      <c r="F5" s="12">
        <f>IF('[1]P-GENERAL'!F5="","",'[1]P-GENERAL'!F5)</f>
        <v>960</v>
      </c>
      <c r="G5" s="13">
        <f>IF('[1]P-GENERAL'!G5="","",'[1]P-GENERAL'!G5)</f>
        <v>20</v>
      </c>
      <c r="H5" s="14">
        <f>IF('[1]P-GENERAL'!H5="","",'[1]P-GENERAL'!H5)</f>
        <v>46259</v>
      </c>
      <c r="I5">
        <f>IF('[1]P-GENERAL'!I5="","",'[1]P-GENERAL'!I5)</f>
        <v>35</v>
      </c>
      <c r="J5" s="15">
        <f>IF('[1]P-GENERAL'!J5="","",'[1]P-GENERAL'!J5)</f>
        <v>46266</v>
      </c>
      <c r="K5" s="14">
        <f>IF('[1]P-GENERAL'!K5="","",'[1]P-GENERAL'!K5)</f>
        <v>0.25</v>
      </c>
      <c r="L5" s="14" t="str">
        <f>IF('[1]P-GENERAL'!L5="","",'[1]P-GENERAL'!L5)</f>
        <v>PREENFRIO NELLY</v>
      </c>
      <c r="M5">
        <f>IF('[1]P-GENERAL'!M5="","",'[1]P-GENERAL'!M5)</f>
        <v>4</v>
      </c>
      <c r="N5">
        <f>IF('[1]P-GENERAL'!N5="","",'[1]P-GENERAL'!N5)</f>
        <v>96</v>
      </c>
      <c r="O5" s="14">
        <f>IF('[1]P-GENERAL'!O5="","",'[1]P-GENERAL'!O5)</f>
        <v>46259</v>
      </c>
      <c r="P5" s="16">
        <f>IF('[1]P-GENERAL'!P5="","",'[1]P-GENERAL'!P5)</f>
        <v>0.8125</v>
      </c>
      <c r="Q5" t="str">
        <f>IF('[1]P-GENERAL'!Q5="","",'[1]P-GENERAL'!Q5)</f>
        <v>ALTA</v>
      </c>
      <c r="R5" s="14">
        <f>IF('[1]P-GENERAL'!R5="","",'[1]P-GENERAL'!R5)</f>
        <v>46261</v>
      </c>
      <c r="S5" s="16">
        <f>IF('[1]P-GENERAL'!S5="","",'[1]P-GENERAL'!S5)</f>
        <v>0.37083333333333335</v>
      </c>
      <c r="T5" s="16">
        <f>IF('[1]P-GENERAL'!T5="","",'[1]P-GENERAL'!T5)</f>
        <v>0.4375</v>
      </c>
      <c r="U5" s="17">
        <f>IF('[1]P-GENERAL'!U5="","",'[1]P-GENERAL'!U5)</f>
        <v>46261.808333333334</v>
      </c>
      <c r="V5" s="14">
        <f>IF('[1]P-GENERAL'!V5="","",'[1]P-GENERAL'!V5)</f>
        <v>46261</v>
      </c>
      <c r="W5" s="16">
        <f>IF('[1]P-GENERAL'!W5="","",'[1]P-GENERAL'!W5)</f>
        <v>0.79236111111111107</v>
      </c>
      <c r="X5" s="14" t="str">
        <f>IF('[1]P-GENERAL'!X5="","",'[1]P-GENERAL'!X5)</f>
        <v>SI CUMPLE</v>
      </c>
      <c r="Y5" s="14" t="str">
        <f>IF('[1]P-GENERAL'!Y5="","",'[1]P-GENERAL'!Y5)</f>
        <v>SI CUMPLE</v>
      </c>
      <c r="Z5" s="14" t="str">
        <f>IF('[1]P-GENERAL'!Z5="","",'[1]P-GENERAL'!Z5)</f>
        <v/>
      </c>
      <c r="AA5" s="14" t="str">
        <f>IF('[1]P-GENERAL'!AA5="","",'[1]P-GENERAL'!AA5)</f>
        <v>DESPACHADO</v>
      </c>
      <c r="AB5" s="8" t="str">
        <f>IF('[1]P-GENERAL'!AB5="","",'[1]P-GENERAL'!AB5)</f>
        <v>EXPRESS SEGOVIA</v>
      </c>
      <c r="AC5" s="8" t="str">
        <f>IF('[1]P-GENERAL'!AC5="","",'[1]P-GENERAL'!AC5)</f>
        <v>Juan Morales</v>
      </c>
      <c r="AD5">
        <f>IF('[1]P-GENERAL'!AD5="","",'[1]P-GENERAL'!AD5)</f>
        <v>44046</v>
      </c>
      <c r="AE5" t="str">
        <f>IF('[1]P-GENERAL'!AE5="","",'[1]P-GENERAL'!AE5)</f>
        <v/>
      </c>
    </row>
    <row r="6" spans="1:31" ht="20.25" x14ac:dyDescent="0.3">
      <c r="A6" s="11" t="str">
        <f>IF('[1]P-GENERAL'!A6="","",'[1]P-GENERAL'!A6)</f>
        <v>Chanitos Premium Tarima Chep</v>
      </c>
      <c r="B6" s="11" t="str">
        <f>IF('[1]P-GENERAL'!B6="","",'[1]P-GENERAL'!B6)</f>
        <v>CPR01102</v>
      </c>
      <c r="C6" t="str">
        <f>IF('[1]P-GENERAL'!C6="","",'[1]P-GENERAL'!C6)</f>
        <v>A01002-352608-1</v>
      </c>
      <c r="D6" t="str">
        <f>IF('[1]P-GENERAL'!D6="","",'[1]P-GENERAL'!D6)</f>
        <v>A01 002 Fortaleza</v>
      </c>
      <c r="E6" s="8" t="str">
        <f>IF('[1]P-GENERAL'!E6="","",'[1]P-GENERAL'!E6)</f>
        <v>SMO</v>
      </c>
      <c r="F6" s="12">
        <f>IF('[1]P-GENERAL'!F6="","",'[1]P-GENERAL'!F6)</f>
        <v>1104</v>
      </c>
      <c r="G6" s="13">
        <f>IF('[1]P-GENERAL'!G6="","",'[1]P-GENERAL'!G6)</f>
        <v>23</v>
      </c>
      <c r="H6" s="14">
        <f>IF('[1]P-GENERAL'!H6="","",'[1]P-GENERAL'!H6)</f>
        <v>46260</v>
      </c>
      <c r="I6">
        <f>IF('[1]P-GENERAL'!I6="","",'[1]P-GENERAL'!I6)</f>
        <v>35</v>
      </c>
      <c r="J6" s="15">
        <f>IF('[1]P-GENERAL'!J6="","",'[1]P-GENERAL'!J6)</f>
        <v>46263</v>
      </c>
      <c r="K6" s="14">
        <f>IF('[1]P-GENERAL'!K6="","",'[1]P-GENERAL'!K6)</f>
        <v>0.33333333333333331</v>
      </c>
      <c r="L6" s="14" t="str">
        <f>IF('[1]P-GENERAL'!L6="","",'[1]P-GENERAL'!L6)</f>
        <v>PREENFRIO FORTALEZA</v>
      </c>
      <c r="M6">
        <f>IF('[1]P-GENERAL'!M6="","",'[1]P-GENERAL'!M6)</f>
        <v>1.5</v>
      </c>
      <c r="N6">
        <f>IF('[1]P-GENERAL'!N6="","",'[1]P-GENERAL'!N6)</f>
        <v>36</v>
      </c>
      <c r="O6" s="14">
        <f>IF('[1]P-GENERAL'!O6="","",'[1]P-GENERAL'!O6)</f>
        <v>46259</v>
      </c>
      <c r="P6" s="16">
        <f>IF('[1]P-GENERAL'!P6="","",'[1]P-GENERAL'!P6)</f>
        <v>0.72916666666666663</v>
      </c>
      <c r="Q6" t="str">
        <f>IF('[1]P-GENERAL'!Q6="","",'[1]P-GENERAL'!Q6)</f>
        <v>NORMAL</v>
      </c>
      <c r="R6" s="14">
        <f>IF('[1]P-GENERAL'!R6="","",'[1]P-GENERAL'!R6)</f>
        <v>46260</v>
      </c>
      <c r="S6" s="16">
        <f>IF('[1]P-GENERAL'!S6="","",'[1]P-GENERAL'!S6)</f>
        <v>0.93611111111111112</v>
      </c>
      <c r="T6" s="16">
        <f>IF('[1]P-GENERAL'!T6="","",'[1]P-GENERAL'!T6)</f>
        <v>0.625</v>
      </c>
      <c r="U6" s="17">
        <f>IF('[1]P-GENERAL'!U6="","",'[1]P-GENERAL'!U6)</f>
        <v>46261.561111111114</v>
      </c>
      <c r="V6" s="14">
        <f>IF('[1]P-GENERAL'!V6="","",'[1]P-GENERAL'!V6)</f>
        <v>46261</v>
      </c>
      <c r="W6" s="16">
        <f>IF('[1]P-GENERAL'!W6="","",'[1]P-GENERAL'!W6)</f>
        <v>0.94791666666666663</v>
      </c>
      <c r="X6" s="14" t="str">
        <f>IF('[1]P-GENERAL'!X6="","",'[1]P-GENERAL'!X6)</f>
        <v>SI CUMPLE</v>
      </c>
      <c r="Y6" s="14" t="str">
        <f>IF('[1]P-GENERAL'!Y6="","",'[1]P-GENERAL'!Y6)</f>
        <v>NO CUMPLE</v>
      </c>
      <c r="Z6" s="14" t="str">
        <f>IF('[1]P-GENERAL'!Z6="","",'[1]P-GENERAL'!Z6)</f>
        <v>POSICIONAMIENTO DE TRANSPORTE</v>
      </c>
      <c r="AA6" s="14" t="str">
        <f>IF('[1]P-GENERAL'!AA6="","",'[1]P-GENERAL'!AA6)</f>
        <v xml:space="preserve">Despachado </v>
      </c>
      <c r="AB6" s="8" t="str">
        <f>IF('[1]P-GENERAL'!AB6="","",'[1]P-GENERAL'!AB6)</f>
        <v>TRANSPORTES SANCHEZ</v>
      </c>
      <c r="AC6" s="8" t="str">
        <f>IF('[1]P-GENERAL'!AC6="","",'[1]P-GENERAL'!AC6)</f>
        <v>ABEL HERNANDEZ LOPEZ</v>
      </c>
      <c r="AD6">
        <f>IF('[1]P-GENERAL'!AD6="","",'[1]P-GENERAL'!AD6)</f>
        <v>42396</v>
      </c>
      <c r="AE6" t="str">
        <f>IF('[1]P-GENERAL'!AE6="","",'[1]P-GENERAL'!AE6)</f>
        <v>QCH1W03PG0</v>
      </c>
    </row>
    <row r="7" spans="1:31" ht="20.25" x14ac:dyDescent="0.3">
      <c r="A7" s="11" t="str">
        <f>IF('[1]P-GENERAL'!A7="","",'[1]P-GENERAL'!A7)</f>
        <v>Chanitos Organic Banded Market Side Mexico</v>
      </c>
      <c r="B7" s="11" t="str">
        <f>IF('[1]P-GENERAL'!B7="","",'[1]P-GENERAL'!B7)</f>
        <v>CRG07128</v>
      </c>
      <c r="C7" t="str">
        <f>IF('[1]P-GENERAL'!C7="","",'[1]P-GENERAL'!C7)</f>
        <v>A01003-352608-1</v>
      </c>
      <c r="D7" t="str">
        <f>IF('[1]P-GENERAL'!D7="","",'[1]P-GENERAL'!D7)</f>
        <v>A01 003 Doña Nelly</v>
      </c>
      <c r="E7" s="8" t="str">
        <f>IF('[1]P-GENERAL'!E7="","",'[1]P-GENERAL'!E7)</f>
        <v>VSA</v>
      </c>
      <c r="F7" s="12">
        <f>IF('[1]P-GENERAL'!F7="","",'[1]P-GENERAL'!F7)</f>
        <v>240</v>
      </c>
      <c r="G7" s="13">
        <f>IF('[1]P-GENERAL'!G7="","",'[1]P-GENERAL'!G7)</f>
        <v>5</v>
      </c>
      <c r="H7" s="14">
        <f>IF('[1]P-GENERAL'!H7="","",'[1]P-GENERAL'!H7)</f>
        <v>46260</v>
      </c>
      <c r="I7">
        <f>IF('[1]P-GENERAL'!I7="","",'[1]P-GENERAL'!I7)</f>
        <v>35</v>
      </c>
      <c r="J7" s="15">
        <f>IF('[1]P-GENERAL'!J7="","",'[1]P-GENERAL'!J7)</f>
        <v>46263</v>
      </c>
      <c r="K7" s="14">
        <f>IF('[1]P-GENERAL'!K7="","",'[1]P-GENERAL'!K7)</f>
        <v>0.25</v>
      </c>
      <c r="L7" s="14" t="str">
        <f>IF('[1]P-GENERAL'!L7="","",'[1]P-GENERAL'!L7)</f>
        <v>PREENFRIO NELLY</v>
      </c>
      <c r="M7">
        <f>IF('[1]P-GENERAL'!M7="","",'[1]P-GENERAL'!M7)</f>
        <v>1</v>
      </c>
      <c r="N7">
        <f>IF('[1]P-GENERAL'!N7="","",'[1]P-GENERAL'!N7)</f>
        <v>24</v>
      </c>
      <c r="O7" s="14">
        <f>IF('[1]P-GENERAL'!O7="","",'[1]P-GENERAL'!O7)</f>
        <v>46260</v>
      </c>
      <c r="P7" s="16">
        <f>IF('[1]P-GENERAL'!P7="","",'[1]P-GENERAL'!P7)</f>
        <v>0.74652777777777779</v>
      </c>
      <c r="Q7" t="str">
        <f>IF('[1]P-GENERAL'!Q7="","",'[1]P-GENERAL'!Q7)</f>
        <v>ALTA</v>
      </c>
      <c r="R7" s="14">
        <f>IF('[1]P-GENERAL'!R7="","",'[1]P-GENERAL'!R7)</f>
        <v>46261</v>
      </c>
      <c r="S7" s="16">
        <f>IF('[1]P-GENERAL'!S7="","",'[1]P-GENERAL'!S7)</f>
        <v>0.61388888888888893</v>
      </c>
      <c r="T7" s="16">
        <f>IF('[1]P-GENERAL'!T7="","",'[1]P-GENERAL'!T7)</f>
        <v>0.35416666666666669</v>
      </c>
      <c r="U7" s="17">
        <f>IF('[1]P-GENERAL'!U7="","",'[1]P-GENERAL'!U7)</f>
        <v>46261.968055555553</v>
      </c>
      <c r="V7" s="14">
        <f>IF('[1]P-GENERAL'!V7="","",'[1]P-GENERAL'!V7)</f>
        <v>46262</v>
      </c>
      <c r="W7" s="16">
        <f>IF('[1]P-GENERAL'!W7="","",'[1]P-GENERAL'!W7)</f>
        <v>0.1736111111111111</v>
      </c>
      <c r="X7" s="14" t="str">
        <f>IF('[1]P-GENERAL'!X7="","",'[1]P-GENERAL'!X7)</f>
        <v>SI CUMPLE</v>
      </c>
      <c r="Y7" s="14" t="str">
        <f>IF('[1]P-GENERAL'!Y7="","",'[1]P-GENERAL'!Y7)</f>
        <v>NO CUMPLE</v>
      </c>
      <c r="Z7" s="14" t="str">
        <f>IF('[1]P-GENERAL'!Z7="","",'[1]P-GENERAL'!Z7)</f>
        <v/>
      </c>
      <c r="AA7" s="14" t="str">
        <f>IF('[1]P-GENERAL'!AA7="","",'[1]P-GENERAL'!AA7)</f>
        <v>DESPACHADO</v>
      </c>
      <c r="AB7" s="8" t="str">
        <f>IF('[1]P-GENERAL'!AB7="","",'[1]P-GENERAL'!AB7)</f>
        <v>3M</v>
      </c>
      <c r="AC7" s="8" t="str">
        <f>IF('[1]P-GENERAL'!AC7="","",'[1]P-GENERAL'!AC7)</f>
        <v>Angel Cordoba Segura</v>
      </c>
      <c r="AD7">
        <f>IF('[1]P-GENERAL'!AD7="","",'[1]P-GENERAL'!AD7)</f>
        <v>82230</v>
      </c>
      <c r="AE7" t="str">
        <f>IF('[1]P-GENERAL'!AE7="","",'[1]P-GENERAL'!AE7)</f>
        <v/>
      </c>
    </row>
    <row r="8" spans="1:31" ht="20.25" x14ac:dyDescent="0.3">
      <c r="A8" s="11" t="str">
        <f>IF('[1]P-GENERAL'!A8="","",'[1]P-GENERAL'!A8)</f>
        <v>Chanitos Premium Tarima Chep</v>
      </c>
      <c r="B8" s="11" t="str">
        <f>IF('[1]P-GENERAL'!B8="","",'[1]P-GENERAL'!B8)</f>
        <v>CPR01102</v>
      </c>
      <c r="C8" t="str">
        <f>IF('[1]P-GENERAL'!C8="","",'[1]P-GENERAL'!C8)</f>
        <v>A01003-352608-1</v>
      </c>
      <c r="D8" t="str">
        <f>IF('[1]P-GENERAL'!D8="","",'[1]P-GENERAL'!D8)</f>
        <v>A01 003 Doña Nelly</v>
      </c>
      <c r="E8" s="8" t="str">
        <f>IF('[1]P-GENERAL'!E8="","",'[1]P-GENERAL'!E8)</f>
        <v>VSA</v>
      </c>
      <c r="F8" s="12">
        <f>IF('[1]P-GENERAL'!F8="","",'[1]P-GENERAL'!F8)</f>
        <v>912</v>
      </c>
      <c r="G8" s="13">
        <f>IF('[1]P-GENERAL'!G8="","",'[1]P-GENERAL'!G8)</f>
        <v>19</v>
      </c>
      <c r="H8" s="14">
        <f>IF('[1]P-GENERAL'!H8="","",'[1]P-GENERAL'!H8)</f>
        <v>46260</v>
      </c>
      <c r="I8">
        <f>IF('[1]P-GENERAL'!I8="","",'[1]P-GENERAL'!I8)</f>
        <v>35</v>
      </c>
      <c r="J8" s="15">
        <f>IF('[1]P-GENERAL'!J8="","",'[1]P-GENERAL'!J8)</f>
        <v>46263</v>
      </c>
      <c r="K8" s="14">
        <f>IF('[1]P-GENERAL'!K8="","",'[1]P-GENERAL'!K8)</f>
        <v>0.25</v>
      </c>
      <c r="L8" s="14" t="str">
        <f>IF('[1]P-GENERAL'!L8="","",'[1]P-GENERAL'!L8)</f>
        <v>PREENFRIO NELLY</v>
      </c>
      <c r="M8">
        <f>IF('[1]P-GENERAL'!M8="","",'[1]P-GENERAL'!M8)</f>
        <v>1</v>
      </c>
      <c r="N8">
        <f>IF('[1]P-GENERAL'!N8="","",'[1]P-GENERAL'!N8)</f>
        <v>24</v>
      </c>
      <c r="O8" s="14">
        <f>IF('[1]P-GENERAL'!O8="","",'[1]P-GENERAL'!O8)</f>
        <v>46260</v>
      </c>
      <c r="P8" s="16">
        <f>IF('[1]P-GENERAL'!P8="","",'[1]P-GENERAL'!P8)</f>
        <v>0.74652777777777779</v>
      </c>
      <c r="Q8" t="str">
        <f>IF('[1]P-GENERAL'!Q8="","",'[1]P-GENERAL'!Q8)</f>
        <v>ALTA</v>
      </c>
      <c r="R8" s="14">
        <f>IF('[1]P-GENERAL'!R8="","",'[1]P-GENERAL'!R8)</f>
        <v>46261</v>
      </c>
      <c r="S8" s="16">
        <f>IF('[1]P-GENERAL'!S8="","",'[1]P-GENERAL'!S8)</f>
        <v>0.80208333333333337</v>
      </c>
      <c r="T8" s="16">
        <f>IF('[1]P-GENERAL'!T8="","",'[1]P-GENERAL'!T8)</f>
        <v>0.35416666666666669</v>
      </c>
      <c r="U8" s="17">
        <f>IF('[1]P-GENERAL'!U8="","",'[1]P-GENERAL'!U8)</f>
        <v>46262.15625</v>
      </c>
      <c r="V8" s="14">
        <f>IF('[1]P-GENERAL'!V8="","",'[1]P-GENERAL'!V8)</f>
        <v>46262</v>
      </c>
      <c r="W8" s="16">
        <f>IF('[1]P-GENERAL'!W8="","",'[1]P-GENERAL'!W8)</f>
        <v>0.1736111111111111</v>
      </c>
      <c r="X8" s="14" t="str">
        <f>IF('[1]P-GENERAL'!X8="","",'[1]P-GENERAL'!X8)</f>
        <v>SI CUMPLE</v>
      </c>
      <c r="Y8" s="14" t="str">
        <f>IF('[1]P-GENERAL'!Y8="","",'[1]P-GENERAL'!Y8)</f>
        <v>NO CUMPLE</v>
      </c>
      <c r="Z8" s="14" t="str">
        <f>IF('[1]P-GENERAL'!Z8="","",'[1]P-GENERAL'!Z8)</f>
        <v/>
      </c>
      <c r="AA8" s="14" t="str">
        <f>IF('[1]P-GENERAL'!AA8="","",'[1]P-GENERAL'!AA8)</f>
        <v>DESPACHADO</v>
      </c>
      <c r="AB8" s="8" t="str">
        <f>IF('[1]P-GENERAL'!AB8="","",'[1]P-GENERAL'!AB8)</f>
        <v>3M</v>
      </c>
      <c r="AC8" s="8" t="str">
        <f>IF('[1]P-GENERAL'!AC8="","",'[1]P-GENERAL'!AC8)</f>
        <v>Angel Cordoba Segura</v>
      </c>
      <c r="AD8">
        <f>IF('[1]P-GENERAL'!AD8="","",'[1]P-GENERAL'!AD8)</f>
        <v>82230</v>
      </c>
      <c r="AE8" t="str">
        <f>IF('[1]P-GENERAL'!AE8="","",'[1]P-GENERAL'!AE8)</f>
        <v/>
      </c>
    </row>
    <row r="9" spans="1:31" ht="20.25" x14ac:dyDescent="0.3">
      <c r="A9" s="11" t="str">
        <f>IF('[1]P-GENERAL'!A9="","",'[1]P-GENERAL'!A9)</f>
        <v>Platano de Chiapas BAE UPC 3237</v>
      </c>
      <c r="B9" s="11" t="str">
        <f>IF('[1]P-GENERAL'!B9="","",'[1]P-GENERAL'!B9)</f>
        <v>CPR01114</v>
      </c>
      <c r="C9" t="str">
        <f>IF('[1]P-GENERAL'!C9="","",'[1]P-GENERAL'!C9)</f>
        <v>A01001-352608-1</v>
      </c>
      <c r="D9" t="str">
        <f>IF('[1]P-GENERAL'!D9="","",'[1]P-GENERAL'!D9)</f>
        <v>A01 001 Marbella</v>
      </c>
      <c r="E9" s="8" t="str">
        <f>IF('[1]P-GENERAL'!E9="","",'[1]P-GENERAL'!E9)</f>
        <v>MTY</v>
      </c>
      <c r="F9" s="12">
        <f>IF('[1]P-GENERAL'!F9="","",'[1]P-GENERAL'!F9)</f>
        <v>5</v>
      </c>
      <c r="G9" s="13">
        <f>IF('[1]P-GENERAL'!G9="","",'[1]P-GENERAL'!G9)</f>
        <v>0</v>
      </c>
      <c r="H9" s="14">
        <f>IF('[1]P-GENERAL'!H9="","",'[1]P-GENERAL'!H9)</f>
        <v>46260</v>
      </c>
      <c r="I9">
        <f>IF('[1]P-GENERAL'!I9="","",'[1]P-GENERAL'!I9)</f>
        <v>35</v>
      </c>
      <c r="J9" s="15">
        <f>IF('[1]P-GENERAL'!J9="","",'[1]P-GENERAL'!J9)</f>
        <v>46264</v>
      </c>
      <c r="K9" s="14">
        <f>IF('[1]P-GENERAL'!K9="","",'[1]P-GENERAL'!K9)</f>
        <v>0.41666666666666669</v>
      </c>
      <c r="L9" s="14" t="str">
        <f>IF('[1]P-GENERAL'!L9="","",'[1]P-GENERAL'!L9)</f>
        <v>PREENFRIO FORTALEZA</v>
      </c>
      <c r="M9">
        <f>IF('[1]P-GENERAL'!M9="","",'[1]P-GENERAL'!M9)</f>
        <v>2.5</v>
      </c>
      <c r="N9">
        <f>IF('[1]P-GENERAL'!N9="","",'[1]P-GENERAL'!N9)</f>
        <v>60</v>
      </c>
      <c r="O9" s="14">
        <f>IF('[1]P-GENERAL'!O9="","",'[1]P-GENERAL'!O9)</f>
        <v>46260</v>
      </c>
      <c r="P9" s="16">
        <f>IF('[1]P-GENERAL'!P9="","",'[1]P-GENERAL'!P9)</f>
        <v>0.83333333333333337</v>
      </c>
      <c r="Q9" t="str">
        <f>IF('[1]P-GENERAL'!Q9="","",'[1]P-GENERAL'!Q9)</f>
        <v>ALTA</v>
      </c>
      <c r="R9" s="14">
        <f>IF('[1]P-GENERAL'!R9="","",'[1]P-GENERAL'!R9)</f>
        <v>46261</v>
      </c>
      <c r="S9" s="16">
        <f>IF('[1]P-GENERAL'!S9="","",'[1]P-GENERAL'!S9)</f>
        <v>0.57847222222222228</v>
      </c>
      <c r="T9" s="16">
        <f>IF('[1]P-GENERAL'!T9="","",'[1]P-GENERAL'!T9)</f>
        <v>0.625</v>
      </c>
      <c r="U9" s="17">
        <f>IF('[1]P-GENERAL'!U9="","",'[1]P-GENERAL'!U9)</f>
        <v>46262.203472222223</v>
      </c>
      <c r="V9" s="14">
        <f>IF('[1]P-GENERAL'!V9="","",'[1]P-GENERAL'!V9)</f>
        <v>46262</v>
      </c>
      <c r="W9" s="16">
        <f>IF('[1]P-GENERAL'!W9="","",'[1]P-GENERAL'!W9)</f>
        <v>0.30902777777777779</v>
      </c>
      <c r="X9" s="14" t="str">
        <f>IF('[1]P-GENERAL'!X9="","",'[1]P-GENERAL'!X9)</f>
        <v>NO CUMPLE</v>
      </c>
      <c r="Y9" s="14" t="str">
        <f>IF('[1]P-GENERAL'!Y9="","",'[1]P-GENERAL'!Y9)</f>
        <v>NO CUMPLE</v>
      </c>
      <c r="Z9" s="14" t="str">
        <f>IF('[1]P-GENERAL'!Z9="","",'[1]P-GENERAL'!Z9)</f>
        <v>VOLUMEN / CAPACIDAD INSTALADA</v>
      </c>
      <c r="AA9" s="14" t="str">
        <f>IF('[1]P-GENERAL'!AA9="","",'[1]P-GENERAL'!AA9)</f>
        <v xml:space="preserve">Despachado </v>
      </c>
      <c r="AB9" s="8" t="str">
        <f>IF('[1]P-GENERAL'!AB9="","",'[1]P-GENERAL'!AB9)</f>
        <v>EXPRESS CAVAZOS CANTU</v>
      </c>
      <c r="AC9" s="8" t="str">
        <f>IF('[1]P-GENERAL'!AC9="","",'[1]P-GENERAL'!AC9)</f>
        <v>SANTOS DE LA CRUZ CRUZ</v>
      </c>
      <c r="AD9">
        <f>IF('[1]P-GENERAL'!AD9="","",'[1]P-GENERAL'!AD9)</f>
        <v>60993</v>
      </c>
      <c r="AE9" t="str">
        <f>IF('[1]P-GENERAL'!AE9="","",'[1]P-GENERAL'!AE9)</f>
        <v>QCH1W03NR0</v>
      </c>
    </row>
    <row r="10" spans="1:31" ht="20.25" x14ac:dyDescent="0.3">
      <c r="A10" s="11" t="str">
        <f>IF('[1]P-GENERAL'!A10="","",'[1]P-GENERAL'!A10)</f>
        <v>Chanitos Premium Tarima Chep</v>
      </c>
      <c r="B10" s="11" t="str">
        <f>IF('[1]P-GENERAL'!B10="","",'[1]P-GENERAL'!B10)</f>
        <v>CPR01102</v>
      </c>
      <c r="C10" t="str">
        <f>IF('[1]P-GENERAL'!C10="","",'[1]P-GENERAL'!C10)</f>
        <v>A01001-352608-1</v>
      </c>
      <c r="D10" t="str">
        <f>IF('[1]P-GENERAL'!D10="","",'[1]P-GENERAL'!D10)</f>
        <v>A01 001 Marbella</v>
      </c>
      <c r="E10" s="8" t="str">
        <f>IF('[1]P-GENERAL'!E10="","",'[1]P-GENERAL'!E10)</f>
        <v>MTY</v>
      </c>
      <c r="F10" s="12">
        <f>IF('[1]P-GENERAL'!F10="","",'[1]P-GENERAL'!F10)</f>
        <v>1147</v>
      </c>
      <c r="G10" s="13">
        <f>IF('[1]P-GENERAL'!G10="","",'[1]P-GENERAL'!G10)</f>
        <v>24</v>
      </c>
      <c r="H10" s="14">
        <f>IF('[1]P-GENERAL'!H10="","",'[1]P-GENERAL'!H10)</f>
        <v>46260</v>
      </c>
      <c r="I10">
        <f>IF('[1]P-GENERAL'!I10="","",'[1]P-GENERAL'!I10)</f>
        <v>35</v>
      </c>
      <c r="J10" s="15">
        <f>IF('[1]P-GENERAL'!J10="","",'[1]P-GENERAL'!J10)</f>
        <v>46264</v>
      </c>
      <c r="K10" s="14">
        <f>IF('[1]P-GENERAL'!K10="","",'[1]P-GENERAL'!K10)</f>
        <v>0.41666666666666669</v>
      </c>
      <c r="L10" s="14" t="str">
        <f>IF('[1]P-GENERAL'!L10="","",'[1]P-GENERAL'!L10)</f>
        <v>PREENFRIO FORTALEZA</v>
      </c>
      <c r="M10">
        <f>IF('[1]P-GENERAL'!M10="","",'[1]P-GENERAL'!M10)</f>
        <v>2.5</v>
      </c>
      <c r="N10">
        <f>IF('[1]P-GENERAL'!N10="","",'[1]P-GENERAL'!N10)</f>
        <v>60</v>
      </c>
      <c r="O10" s="14">
        <f>IF('[1]P-GENERAL'!O10="","",'[1]P-GENERAL'!O10)</f>
        <v>46260</v>
      </c>
      <c r="P10" s="16">
        <f>IF('[1]P-GENERAL'!P10="","",'[1]P-GENERAL'!P10)</f>
        <v>0.83333333333333337</v>
      </c>
      <c r="Q10" t="str">
        <f>IF('[1]P-GENERAL'!Q10="","",'[1]P-GENERAL'!Q10)</f>
        <v>ALTA</v>
      </c>
      <c r="R10" s="14">
        <f>IF('[1]P-GENERAL'!R10="","",'[1]P-GENERAL'!R10)</f>
        <v>46261</v>
      </c>
      <c r="S10" s="16">
        <f>IF('[1]P-GENERAL'!S10="","",'[1]P-GENERAL'!S10)</f>
        <v>0.57847222222222228</v>
      </c>
      <c r="T10" s="16">
        <f>IF('[1]P-GENERAL'!T10="","",'[1]P-GENERAL'!T10)</f>
        <v>0.625</v>
      </c>
      <c r="U10" s="17">
        <f>IF('[1]P-GENERAL'!U10="","",'[1]P-GENERAL'!U10)</f>
        <v>46262.203472222223</v>
      </c>
      <c r="V10" s="14">
        <f>IF('[1]P-GENERAL'!V10="","",'[1]P-GENERAL'!V10)</f>
        <v>46262</v>
      </c>
      <c r="W10" s="16">
        <f>IF('[1]P-GENERAL'!W10="","",'[1]P-GENERAL'!W10)</f>
        <v>0.30902777777777779</v>
      </c>
      <c r="X10" s="14" t="str">
        <f>IF('[1]P-GENERAL'!X10="","",'[1]P-GENERAL'!X10)</f>
        <v>NO CUMPLE</v>
      </c>
      <c r="Y10" s="14" t="str">
        <f>IF('[1]P-GENERAL'!Y10="","",'[1]P-GENERAL'!Y10)</f>
        <v>NO CUMPLE</v>
      </c>
      <c r="Z10" s="14" t="str">
        <f>IF('[1]P-GENERAL'!Z10="","",'[1]P-GENERAL'!Z10)</f>
        <v>VOLUMEN / CAPACIDAD INSTALADA</v>
      </c>
      <c r="AA10" s="14" t="str">
        <f>IF('[1]P-GENERAL'!AA10="","",'[1]P-GENERAL'!AA10)</f>
        <v xml:space="preserve">Despachado </v>
      </c>
      <c r="AB10" s="8" t="str">
        <f>IF('[1]P-GENERAL'!AB10="","",'[1]P-GENERAL'!AB10)</f>
        <v>EXPRESS CAVAZOS CANTU</v>
      </c>
      <c r="AC10" s="8" t="str">
        <f>IF('[1]P-GENERAL'!AC10="","",'[1]P-GENERAL'!AC10)</f>
        <v>SANTOS DE LA CRUZ CRUZ</v>
      </c>
      <c r="AD10">
        <f>IF('[1]P-GENERAL'!AD10="","",'[1]P-GENERAL'!AD10)</f>
        <v>60993</v>
      </c>
      <c r="AE10" t="str">
        <f>IF('[1]P-GENERAL'!AE10="","",'[1]P-GENERAL'!AE10)</f>
        <v>QCH1W03NR0</v>
      </c>
    </row>
    <row r="11" spans="1:31" ht="20.25" x14ac:dyDescent="0.3">
      <c r="A11" s="11" t="str">
        <f>IF('[1]P-GENERAL'!A11="","",'[1]P-GENERAL'!A11)</f>
        <v>Chanitos Premium Tarima Chep</v>
      </c>
      <c r="B11" s="11" t="str">
        <f>IF('[1]P-GENERAL'!B11="","",'[1]P-GENERAL'!B11)</f>
        <v>CPR01102</v>
      </c>
      <c r="C11" t="str">
        <f>IF('[1]P-GENERAL'!C11="","",'[1]P-GENERAL'!C11)</f>
        <v>A05040-352608-1</v>
      </c>
      <c r="D11" t="str">
        <f>IF('[1]P-GENERAL'!D11="","",'[1]P-GENERAL'!D11)</f>
        <v xml:space="preserve">A05 Plataneros Unidos </v>
      </c>
      <c r="E11" s="8" t="str">
        <f>IF('[1]P-GENERAL'!E11="","",'[1]P-GENERAL'!E11)</f>
        <v>SMO</v>
      </c>
      <c r="F11" s="12">
        <f>IF('[1]P-GENERAL'!F11="","",'[1]P-GENERAL'!F11)</f>
        <v>1152</v>
      </c>
      <c r="G11" s="13">
        <f>IF('[1]P-GENERAL'!G11="","",'[1]P-GENERAL'!G11)</f>
        <v>24</v>
      </c>
      <c r="H11" s="14">
        <f>IF('[1]P-GENERAL'!H11="","",'[1]P-GENERAL'!H11)</f>
        <v>46260</v>
      </c>
      <c r="I11">
        <f>IF('[1]P-GENERAL'!I11="","",'[1]P-GENERAL'!I11)</f>
        <v>35</v>
      </c>
      <c r="J11" s="15">
        <f>IF('[1]P-GENERAL'!J11="","",'[1]P-GENERAL'!J11)</f>
        <v>46264</v>
      </c>
      <c r="K11" s="14">
        <f>IF('[1]P-GENERAL'!K11="","",'[1]P-GENERAL'!K11)</f>
        <v>0.33333333333333331</v>
      </c>
      <c r="L11" s="14" t="str">
        <f>IF('[1]P-GENERAL'!L11="","",'[1]P-GENERAL'!L11)</f>
        <v>PREENFRIO NELLY</v>
      </c>
      <c r="M11">
        <f>IF('[1]P-GENERAL'!M11="","",'[1]P-GENERAL'!M11)</f>
        <v>1.5</v>
      </c>
      <c r="N11">
        <f>IF('[1]P-GENERAL'!N11="","",'[1]P-GENERAL'!N11)</f>
        <v>36</v>
      </c>
      <c r="O11" s="14">
        <f>IF('[1]P-GENERAL'!O11="","",'[1]P-GENERAL'!O11)</f>
        <v>46260</v>
      </c>
      <c r="P11" s="16">
        <f>IF('[1]P-GENERAL'!P11="","",'[1]P-GENERAL'!P11)</f>
        <v>0.91249999999999998</v>
      </c>
      <c r="Q11" t="str">
        <f>IF('[1]P-GENERAL'!Q11="","",'[1]P-GENERAL'!Q11)</f>
        <v>ALTA</v>
      </c>
      <c r="R11" s="14">
        <f>IF('[1]P-GENERAL'!R11="","",'[1]P-GENERAL'!R11)</f>
        <v>46262</v>
      </c>
      <c r="S11" s="16">
        <f>IF('[1]P-GENERAL'!S11="","",'[1]P-GENERAL'!S11)</f>
        <v>8.3333333333333329E-2</v>
      </c>
      <c r="T11" s="16">
        <f>IF('[1]P-GENERAL'!T11="","",'[1]P-GENERAL'!T11)</f>
        <v>0.35416666666666669</v>
      </c>
      <c r="U11" s="17">
        <f>IF('[1]P-GENERAL'!U11="","",'[1]P-GENERAL'!U11)</f>
        <v>46262.4375</v>
      </c>
      <c r="V11" s="14">
        <f>IF('[1]P-GENERAL'!V11="","",'[1]P-GENERAL'!V11)</f>
        <v>46262</v>
      </c>
      <c r="W11" s="16">
        <f>IF('[1]P-GENERAL'!W11="","",'[1]P-GENERAL'!W11)</f>
        <v>0.5625</v>
      </c>
      <c r="X11" s="14" t="str">
        <f>IF('[1]P-GENERAL'!X11="","",'[1]P-GENERAL'!X11)</f>
        <v>SI CUMPLE</v>
      </c>
      <c r="Y11" s="14" t="str">
        <f>IF('[1]P-GENERAL'!Y11="","",'[1]P-GENERAL'!Y11)</f>
        <v>NO CUMPLE</v>
      </c>
      <c r="Z11" s="14" t="str">
        <f>IF('[1]P-GENERAL'!Z11="","",'[1]P-GENERAL'!Z11)</f>
        <v/>
      </c>
      <c r="AA11" s="14" t="str">
        <f>IF('[1]P-GENERAL'!AA11="","",'[1]P-GENERAL'!AA11)</f>
        <v>DESPACHADO</v>
      </c>
      <c r="AB11" s="8" t="str">
        <f>IF('[1]P-GENERAL'!AB11="","",'[1]P-GENERAL'!AB11)</f>
        <v>Transp. Llaneros del sur</v>
      </c>
      <c r="AC11" s="8" t="str">
        <f>IF('[1]P-GENERAL'!AC11="","",'[1]P-GENERAL'!AC11)</f>
        <v>Mauro Rosales Rojas</v>
      </c>
      <c r="AD11">
        <f>IF('[1]P-GENERAL'!AD11="","",'[1]P-GENERAL'!AD11)</f>
        <v>49718</v>
      </c>
      <c r="AE11" t="str">
        <f>IF('[1]P-GENERAL'!AE11="","",'[1]P-GENERAL'!AE11)</f>
        <v>QCH1W03N50</v>
      </c>
    </row>
    <row r="12" spans="1:31" ht="20.25" x14ac:dyDescent="0.3">
      <c r="A12" s="11" t="str">
        <f>IF('[1]P-GENERAL'!A12="","",'[1]P-GENERAL'!A12)</f>
        <v>Chanitos Premium Tarima Chep</v>
      </c>
      <c r="B12" s="11" t="str">
        <f>IF('[1]P-GENERAL'!B12="","",'[1]P-GENERAL'!B12)</f>
        <v>CPR01102</v>
      </c>
      <c r="C12" t="str">
        <f>IF('[1]P-GENERAL'!C12="","",'[1]P-GENERAL'!C12)</f>
        <v>A01003-352608-1</v>
      </c>
      <c r="D12" t="str">
        <f>IF('[1]P-GENERAL'!D12="","",'[1]P-GENERAL'!D12)</f>
        <v>A01 003 Doña Nelly</v>
      </c>
      <c r="E12" s="8" t="str">
        <f>IF('[1]P-GENERAL'!E12="","",'[1]P-GENERAL'!E12)</f>
        <v>Chalco</v>
      </c>
      <c r="F12" s="12">
        <f>IF('[1]P-GENERAL'!F12="","",'[1]P-GENERAL'!F12)</f>
        <v>444</v>
      </c>
      <c r="G12" s="13">
        <f>IF('[1]P-GENERAL'!G12="","",'[1]P-GENERAL'!G12)</f>
        <v>9.25</v>
      </c>
      <c r="H12" s="14">
        <f>IF('[1]P-GENERAL'!H12="","",'[1]P-GENERAL'!H12)</f>
        <v>46260</v>
      </c>
      <c r="I12">
        <f>IF('[1]P-GENERAL'!I12="","",'[1]P-GENERAL'!I12)</f>
        <v>35</v>
      </c>
      <c r="J12" s="15">
        <f>IF('[1]P-GENERAL'!J12="","",'[1]P-GENERAL'!J12)</f>
        <v>46265</v>
      </c>
      <c r="K12" s="14" t="str">
        <f>IF('[1]P-GENERAL'!K12="","",'[1]P-GENERAL'!K12)</f>
        <v/>
      </c>
      <c r="L12" s="14" t="str">
        <f>IF('[1]P-GENERAL'!L12="","",'[1]P-GENERAL'!L12)</f>
        <v>PREENFRIO NELLY</v>
      </c>
      <c r="M12">
        <f>IF('[1]P-GENERAL'!M12="","",'[1]P-GENERAL'!M12)</f>
        <v>1</v>
      </c>
      <c r="N12">
        <f>IF('[1]P-GENERAL'!N12="","",'[1]P-GENERAL'!N12)</f>
        <v>24</v>
      </c>
      <c r="O12" s="14">
        <f>IF('[1]P-GENERAL'!O12="","",'[1]P-GENERAL'!O12)</f>
        <v>46260</v>
      </c>
      <c r="P12" s="16">
        <f>IF('[1]P-GENERAL'!P12="","",'[1]P-GENERAL'!P12)</f>
        <v>0.74652777777777779</v>
      </c>
      <c r="Q12" t="str">
        <f>IF('[1]P-GENERAL'!Q12="","",'[1]P-GENERAL'!Q12)</f>
        <v>ALTA</v>
      </c>
      <c r="R12" s="14">
        <f>IF('[1]P-GENERAL'!R12="","",'[1]P-GENERAL'!R12)</f>
        <v>46262</v>
      </c>
      <c r="S12" s="16">
        <f>IF('[1]P-GENERAL'!S12="","",'[1]P-GENERAL'!S12)</f>
        <v>0.38541666666666669</v>
      </c>
      <c r="T12" s="16">
        <f>IF('[1]P-GENERAL'!T12="","",'[1]P-GENERAL'!T12)</f>
        <v>0.35416666666666669</v>
      </c>
      <c r="U12" s="17">
        <f>IF('[1]P-GENERAL'!U12="","",'[1]P-GENERAL'!U12)</f>
        <v>46262.739583333328</v>
      </c>
      <c r="V12" s="14">
        <f>IF('[1]P-GENERAL'!V12="","",'[1]P-GENERAL'!V12)</f>
        <v>46263</v>
      </c>
      <c r="W12" s="16">
        <f>IF('[1]P-GENERAL'!W12="","",'[1]P-GENERAL'!W12)</f>
        <v>0.90833333333333333</v>
      </c>
      <c r="X12" s="14" t="str">
        <f>IF('[1]P-GENERAL'!X12="","",'[1]P-GENERAL'!X12)</f>
        <v>SI CUMPLE</v>
      </c>
      <c r="Y12" s="14" t="str">
        <f>IF('[1]P-GENERAL'!Y12="","",'[1]P-GENERAL'!Y12)</f>
        <v>SI CUMPLE</v>
      </c>
      <c r="Z12" s="14" t="str">
        <f>IF('[1]P-GENERAL'!Z12="","",'[1]P-GENERAL'!Z12)</f>
        <v/>
      </c>
      <c r="AA12" s="14" t="str">
        <f>IF('[1]P-GENERAL'!AA12="","",'[1]P-GENERAL'!AA12)</f>
        <v>DESPACHADO</v>
      </c>
      <c r="AB12" s="8" t="str">
        <f>IF('[1]P-GENERAL'!AB12="","",'[1]P-GENERAL'!AB12)</f>
        <v>GUILLERMO PEREZ PEREZ</v>
      </c>
      <c r="AC12" s="8" t="str">
        <f>IF('[1]P-GENERAL'!AC12="","",'[1]P-GENERAL'!AC12)</f>
        <v>ERICK RUBEN SANCHEZ</v>
      </c>
      <c r="AD12">
        <f>IF('[1]P-GENERAL'!AD12="","",'[1]P-GENERAL'!AD12)</f>
        <v>21867</v>
      </c>
      <c r="AE12" t="str">
        <f>IF('[1]P-GENERAL'!AE12="","",'[1]P-GENERAL'!AE12)</f>
        <v/>
      </c>
    </row>
    <row r="13" spans="1:31" ht="20.25" x14ac:dyDescent="0.3">
      <c r="A13" s="11" t="str">
        <f>IF('[1]P-GENERAL'!A13="","",'[1]P-GENERAL'!A13)</f>
        <v>Platano de Chiapas BAE UPC 3237</v>
      </c>
      <c r="B13" s="11" t="str">
        <f>IF('[1]P-GENERAL'!B13="","",'[1]P-GENERAL'!B13)</f>
        <v>CPR01114</v>
      </c>
      <c r="C13" t="str">
        <f>IF('[1]P-GENERAL'!C13="","",'[1]P-GENERAL'!C13)</f>
        <v>A01003-352608-1</v>
      </c>
      <c r="D13" t="str">
        <f>IF('[1]P-GENERAL'!D13="","",'[1]P-GENERAL'!D13)</f>
        <v>A01 003 Doña Nelly</v>
      </c>
      <c r="E13" s="8" t="str">
        <f>IF('[1]P-GENERAL'!E13="","",'[1]P-GENERAL'!E13)</f>
        <v>Chalco</v>
      </c>
      <c r="F13" s="12">
        <f>IF('[1]P-GENERAL'!F13="","",'[1]P-GENERAL'!F13)</f>
        <v>84</v>
      </c>
      <c r="G13" s="13">
        <f>IF('[1]P-GENERAL'!G13="","",'[1]P-GENERAL'!G13)</f>
        <v>1.75</v>
      </c>
      <c r="H13" s="14">
        <f>IF('[1]P-GENERAL'!H13="","",'[1]P-GENERAL'!H13)</f>
        <v>46260</v>
      </c>
      <c r="I13">
        <f>IF('[1]P-GENERAL'!I13="","",'[1]P-GENERAL'!I13)</f>
        <v>35</v>
      </c>
      <c r="J13" s="15">
        <f>IF('[1]P-GENERAL'!J13="","",'[1]P-GENERAL'!J13)</f>
        <v>46265</v>
      </c>
      <c r="K13" s="14" t="str">
        <f>IF('[1]P-GENERAL'!K13="","",'[1]P-GENERAL'!K13)</f>
        <v/>
      </c>
      <c r="L13" s="14" t="str">
        <f>IF('[1]P-GENERAL'!L13="","",'[1]P-GENERAL'!L13)</f>
        <v>PREENFRIO NELLY</v>
      </c>
      <c r="M13">
        <f>IF('[1]P-GENERAL'!M13="","",'[1]P-GENERAL'!M13)</f>
        <v>1</v>
      </c>
      <c r="N13">
        <f>IF('[1]P-GENERAL'!N13="","",'[1]P-GENERAL'!N13)</f>
        <v>24</v>
      </c>
      <c r="O13" s="14">
        <f>IF('[1]P-GENERAL'!O13="","",'[1]P-GENERAL'!O13)</f>
        <v>46260</v>
      </c>
      <c r="P13" s="16">
        <f>IF('[1]P-GENERAL'!P13="","",'[1]P-GENERAL'!P13)</f>
        <v>0.74652777777777779</v>
      </c>
      <c r="Q13" t="str">
        <f>IF('[1]P-GENERAL'!Q13="","",'[1]P-GENERAL'!Q13)</f>
        <v>ALTA</v>
      </c>
      <c r="R13" s="14">
        <f>IF('[1]P-GENERAL'!R13="","",'[1]P-GENERAL'!R13)</f>
        <v>46262</v>
      </c>
      <c r="S13" s="16">
        <f>IF('[1]P-GENERAL'!S13="","",'[1]P-GENERAL'!S13)</f>
        <v>0.54166666666666663</v>
      </c>
      <c r="T13" s="16">
        <f>IF('[1]P-GENERAL'!T13="","",'[1]P-GENERAL'!T13)</f>
        <v>0.35416666666666669</v>
      </c>
      <c r="U13" s="17">
        <f>IF('[1]P-GENERAL'!U13="","",'[1]P-GENERAL'!U13)</f>
        <v>46262.895833333328</v>
      </c>
      <c r="V13" s="14">
        <f>IF('[1]P-GENERAL'!V13="","",'[1]P-GENERAL'!V13)</f>
        <v>46263</v>
      </c>
      <c r="W13" s="16">
        <f>IF('[1]P-GENERAL'!W13="","",'[1]P-GENERAL'!W13)</f>
        <v>0.90833333333333333</v>
      </c>
      <c r="X13" s="14" t="str">
        <f>IF('[1]P-GENERAL'!X13="","",'[1]P-GENERAL'!X13)</f>
        <v>SI CUMPLE</v>
      </c>
      <c r="Y13" s="14" t="str">
        <f>IF('[1]P-GENERAL'!Y13="","",'[1]P-GENERAL'!Y13)</f>
        <v>SI CUMPLE</v>
      </c>
      <c r="Z13" s="14" t="str">
        <f>IF('[1]P-GENERAL'!Z13="","",'[1]P-GENERAL'!Z13)</f>
        <v/>
      </c>
      <c r="AA13" s="14" t="str">
        <f>IF('[1]P-GENERAL'!AA13="","",'[1]P-GENERAL'!AA13)</f>
        <v>DESPACHADO</v>
      </c>
      <c r="AB13" s="8" t="str">
        <f>IF('[1]P-GENERAL'!AB13="","",'[1]P-GENERAL'!AB13)</f>
        <v>GUILLERMO PEREZ PEREZ</v>
      </c>
      <c r="AC13" s="8" t="str">
        <f>IF('[1]P-GENERAL'!AC13="","",'[1]P-GENERAL'!AC13)</f>
        <v>ERICK RUBEN SANCHEZ</v>
      </c>
      <c r="AD13">
        <f>IF('[1]P-GENERAL'!AD13="","",'[1]P-GENERAL'!AD13)</f>
        <v>21867</v>
      </c>
      <c r="AE13" t="str">
        <f>IF('[1]P-GENERAL'!AE13="","",'[1]P-GENERAL'!AE13)</f>
        <v/>
      </c>
    </row>
    <row r="14" spans="1:31" ht="20.25" x14ac:dyDescent="0.3">
      <c r="A14" s="11" t="str">
        <f>IF('[1]P-GENERAL'!A14="","",'[1]P-GENERAL'!A14)</f>
        <v>Chanitos Premium EUA Tarima Americana</v>
      </c>
      <c r="B14" s="11" t="str">
        <f>IF('[1]P-GENERAL'!B14="","",'[1]P-GENERAL'!B14)</f>
        <v>CPR01104</v>
      </c>
      <c r="C14" t="str">
        <f>IF('[1]P-GENERAL'!C14="","",'[1]P-GENERAL'!C14)</f>
        <v>A04084-352708-1</v>
      </c>
      <c r="D14" t="str">
        <f>IF('[1]P-GENERAL'!D14="","",'[1]P-GENERAL'!D14)</f>
        <v>A04 084 Lisboa</v>
      </c>
      <c r="E14" s="8" t="str">
        <f>IF('[1]P-GENERAL'!E14="","",'[1]P-GENERAL'!E14)</f>
        <v>McAllen</v>
      </c>
      <c r="F14" s="12">
        <f>IF('[1]P-GENERAL'!F14="","",'[1]P-GENERAL'!F14)</f>
        <v>960</v>
      </c>
      <c r="G14" s="13">
        <f>IF('[1]P-GENERAL'!G14="","",'[1]P-GENERAL'!G14)</f>
        <v>20</v>
      </c>
      <c r="H14" s="14">
        <f>IF('[1]P-GENERAL'!H14="","",'[1]P-GENERAL'!H14)</f>
        <v>46261</v>
      </c>
      <c r="I14">
        <f>IF('[1]P-GENERAL'!I14="","",'[1]P-GENERAL'!I14)</f>
        <v>35</v>
      </c>
      <c r="J14" s="15">
        <f>IF('[1]P-GENERAL'!J14="","",'[1]P-GENERAL'!J14)</f>
        <v>46265</v>
      </c>
      <c r="K14" s="14" t="str">
        <f>IF('[1]P-GENERAL'!K14="","",'[1]P-GENERAL'!K14)</f>
        <v/>
      </c>
      <c r="L14" s="14" t="str">
        <f>IF('[1]P-GENERAL'!L14="","",'[1]P-GENERAL'!L14)</f>
        <v>DIRECTO SIN PREENFRIO</v>
      </c>
      <c r="M14">
        <f>IF('[1]P-GENERAL'!M14="","",'[1]P-GENERAL'!M14)</f>
        <v>3</v>
      </c>
      <c r="N14">
        <f>IF('[1]P-GENERAL'!N14="","",'[1]P-GENERAL'!N14)</f>
        <v>72</v>
      </c>
      <c r="O14" s="14" t="str">
        <f>IF('[1]P-GENERAL'!O14="","",'[1]P-GENERAL'!O14)</f>
        <v/>
      </c>
      <c r="P14" s="16" t="str">
        <f>IF('[1]P-GENERAL'!P14="","",'[1]P-GENERAL'!P14)</f>
        <v/>
      </c>
      <c r="Q14" t="str">
        <f>IF('[1]P-GENERAL'!Q14="","",'[1]P-GENERAL'!Q14)</f>
        <v/>
      </c>
      <c r="R14" s="14" t="str">
        <f>IF('[1]P-GENERAL'!R14="","",'[1]P-GENERAL'!R14)</f>
        <v/>
      </c>
      <c r="S14" s="16" t="str">
        <f>IF('[1]P-GENERAL'!S14="","",'[1]P-GENERAL'!S14)</f>
        <v/>
      </c>
      <c r="T14" s="16" t="str">
        <f>IF('[1]P-GENERAL'!T14="","",'[1]P-GENERAL'!T14)</f>
        <v>N/A</v>
      </c>
      <c r="U14" s="17" t="str">
        <f>IF('[1]P-GENERAL'!U14="","",'[1]P-GENERAL'!U14)</f>
        <v/>
      </c>
      <c r="V14" s="14">
        <f>IF('[1]P-GENERAL'!V14="","",'[1]P-GENERAL'!V14)</f>
        <v>46262</v>
      </c>
      <c r="W14" s="16">
        <f>IF('[1]P-GENERAL'!W14="","",'[1]P-GENERAL'!W14)</f>
        <v>0.78472222222222221</v>
      </c>
      <c r="X14" s="14" t="str">
        <f>IF('[1]P-GENERAL'!X14="","",'[1]P-GENERAL'!X14)</f>
        <v/>
      </c>
      <c r="Y14" s="14" t="str">
        <f>IF('[1]P-GENERAL'!Y14="","",'[1]P-GENERAL'!Y14)</f>
        <v>NO CUMPLE</v>
      </c>
      <c r="Z14" s="14" t="str">
        <f>IF('[1]P-GENERAL'!Z14="","",'[1]P-GENERAL'!Z14)</f>
        <v/>
      </c>
      <c r="AA14" s="14" t="str">
        <f>IF('[1]P-GENERAL'!AA14="","",'[1]P-GENERAL'!AA14)</f>
        <v>DESPACHADO</v>
      </c>
      <c r="AB14" s="8" t="str">
        <f>IF('[1]P-GENERAL'!AB14="","",'[1]P-GENERAL'!AB14)</f>
        <v>SEGOVIA</v>
      </c>
      <c r="AC14" s="8" t="str">
        <f>IF('[1]P-GENERAL'!AC14="","",'[1]P-GENERAL'!AC14)</f>
        <v>Ignacio Martinez Gonzales</v>
      </c>
      <c r="AD14">
        <f>IF('[1]P-GENERAL'!AD14="","",'[1]P-GENERAL'!AD14)</f>
        <v>35742</v>
      </c>
      <c r="AE14" t="str">
        <f>IF('[1]P-GENERAL'!AE14="","",'[1]P-GENERAL'!AE14)</f>
        <v/>
      </c>
    </row>
    <row r="15" spans="1:31" ht="20.25" x14ac:dyDescent="0.3">
      <c r="A15" s="11" t="str">
        <f>IF('[1]P-GENERAL'!A15="","",'[1]P-GENERAL'!A15)</f>
        <v>Chanitos Premium Tarima Chep</v>
      </c>
      <c r="B15" s="11" t="str">
        <f>IF('[1]P-GENERAL'!B15="","",'[1]P-GENERAL'!B15)</f>
        <v>CPR01102</v>
      </c>
      <c r="C15" t="str">
        <f>IF('[1]P-GENERAL'!C15="","",'[1]P-GENERAL'!C15)</f>
        <v>A01002-352708-1</v>
      </c>
      <c r="D15" t="str">
        <f>IF('[1]P-GENERAL'!D15="","",'[1]P-GENERAL'!D15)</f>
        <v>A01 002 Fortaleza</v>
      </c>
      <c r="E15" s="8" t="str">
        <f>IF('[1]P-GENERAL'!E15="","",'[1]P-GENERAL'!E15)</f>
        <v>Chalco</v>
      </c>
      <c r="F15" s="12">
        <f>IF('[1]P-GENERAL'!F15="","",'[1]P-GENERAL'!F15)</f>
        <v>768</v>
      </c>
      <c r="G15" s="13">
        <f>IF('[1]P-GENERAL'!G15="","",'[1]P-GENERAL'!G15)</f>
        <v>16</v>
      </c>
      <c r="H15" s="14">
        <f>IF('[1]P-GENERAL'!H15="","",'[1]P-GENERAL'!H15)</f>
        <v>46261</v>
      </c>
      <c r="I15">
        <f>IF('[1]P-GENERAL'!I15="","",'[1]P-GENERAL'!I15)</f>
        <v>35</v>
      </c>
      <c r="J15" s="15">
        <f>IF('[1]P-GENERAL'!J15="","",'[1]P-GENERAL'!J15)</f>
        <v>46265</v>
      </c>
      <c r="K15" s="14">
        <f>IF('[1]P-GENERAL'!K15="","",'[1]P-GENERAL'!K15)</f>
        <v>0.375</v>
      </c>
      <c r="L15" s="14" t="str">
        <f>IF('[1]P-GENERAL'!L15="","",'[1]P-GENERAL'!L15)</f>
        <v>PREENFRIO FORTALEZA</v>
      </c>
      <c r="M15">
        <f>IF('[1]P-GENERAL'!M15="","",'[1]P-GENERAL'!M15)</f>
        <v>1</v>
      </c>
      <c r="N15">
        <f>IF('[1]P-GENERAL'!N15="","",'[1]P-GENERAL'!N15)</f>
        <v>24</v>
      </c>
      <c r="O15" s="14">
        <f>IF('[1]P-GENERAL'!O15="","",'[1]P-GENERAL'!O15)</f>
        <v>46261</v>
      </c>
      <c r="P15" s="16">
        <f>IF('[1]P-GENERAL'!P15="","",'[1]P-GENERAL'!P15)</f>
        <v>0.70833333333333337</v>
      </c>
      <c r="Q15" t="str">
        <f>IF('[1]P-GENERAL'!Q15="","",'[1]P-GENERAL'!Q15)</f>
        <v>ALTA</v>
      </c>
      <c r="R15" s="14">
        <f>IF('[1]P-GENERAL'!R15="","",'[1]P-GENERAL'!R15)</f>
        <v>46263</v>
      </c>
      <c r="S15" s="16">
        <f>IF('[1]P-GENERAL'!S15="","",'[1]P-GENERAL'!S15)</f>
        <v>0.18958333333333333</v>
      </c>
      <c r="T15" s="16">
        <f>IF('[1]P-GENERAL'!T15="","",'[1]P-GENERAL'!T15)</f>
        <v>0.41666666666666669</v>
      </c>
      <c r="U15" s="17">
        <f>IF('[1]P-GENERAL'!U15="","",'[1]P-GENERAL'!U15)</f>
        <v>46263.606249999997</v>
      </c>
      <c r="V15" s="14">
        <f>IF('[1]P-GENERAL'!V15="","",'[1]P-GENERAL'!V15)</f>
        <v>46263</v>
      </c>
      <c r="W15" s="16">
        <f>IF('[1]P-GENERAL'!W15="","",'[1]P-GENERAL'!W15)</f>
        <v>0.61250000000000004</v>
      </c>
      <c r="X15" s="14" t="str">
        <f>IF('[1]P-GENERAL'!X15="","",'[1]P-GENERAL'!X15)</f>
        <v>SI CUMPLE</v>
      </c>
      <c r="Y15" s="14" t="str">
        <f>IF('[1]P-GENERAL'!Y15="","",'[1]P-GENERAL'!Y15)</f>
        <v>SI CUMPLE</v>
      </c>
      <c r="Z15" s="14" t="str">
        <f>IF('[1]P-GENERAL'!Z15="","",'[1]P-GENERAL'!Z15)</f>
        <v/>
      </c>
      <c r="AA15" s="14" t="str">
        <f>IF('[1]P-GENERAL'!AA15="","",'[1]P-GENERAL'!AA15)</f>
        <v>DESPACHADO</v>
      </c>
      <c r="AB15" s="8" t="str">
        <f>IF('[1]P-GENERAL'!AB15="","",'[1]P-GENERAL'!AB15)</f>
        <v>GUILLERMO PEREZ PEREZ</v>
      </c>
      <c r="AC15" s="8" t="str">
        <f>IF('[1]P-GENERAL'!AC15="","",'[1]P-GENERAL'!AC15)</f>
        <v>ERICK RUBEN SANCHEZ</v>
      </c>
      <c r="AD15">
        <f>IF('[1]P-GENERAL'!AD15="","",'[1]P-GENERAL'!AD15)</f>
        <v>50184</v>
      </c>
      <c r="AE15" t="str">
        <f>IF('[1]P-GENERAL'!AE15="","",'[1]P-GENERAL'!AE15)</f>
        <v>QCH1W03SY0</v>
      </c>
    </row>
    <row r="16" spans="1:31" ht="20.25" x14ac:dyDescent="0.3">
      <c r="A16" s="11" t="str">
        <f>IF('[1]P-GENERAL'!A16="","",'[1]P-GENERAL'!A16)</f>
        <v>Platano de Chiapas BAE UPC 3237</v>
      </c>
      <c r="B16" s="11" t="str">
        <f>IF('[1]P-GENERAL'!B16="","",'[1]P-GENERAL'!B16)</f>
        <v>CPR01114</v>
      </c>
      <c r="C16" t="str">
        <f>IF('[1]P-GENERAL'!C16="","",'[1]P-GENERAL'!C16)</f>
        <v>A01002-352708-1</v>
      </c>
      <c r="D16" t="str">
        <f>IF('[1]P-GENERAL'!D16="","",'[1]P-GENERAL'!D16)</f>
        <v>A01 002 Fortaleza</v>
      </c>
      <c r="E16" s="8" t="str">
        <f>IF('[1]P-GENERAL'!E16="","",'[1]P-GENERAL'!E16)</f>
        <v>MTY</v>
      </c>
      <c r="F16" s="12">
        <f>IF('[1]P-GENERAL'!F16="","",'[1]P-GENERAL'!F16)</f>
        <v>5</v>
      </c>
      <c r="G16" s="13">
        <f>IF('[1]P-GENERAL'!G16="","",'[1]P-GENERAL'!G16)</f>
        <v>0.10416666666666667</v>
      </c>
      <c r="H16" s="14">
        <f>IF('[1]P-GENERAL'!H16="","",'[1]P-GENERAL'!H16)</f>
        <v>46261</v>
      </c>
      <c r="I16">
        <f>IF('[1]P-GENERAL'!I16="","",'[1]P-GENERAL'!I16)</f>
        <v>35</v>
      </c>
      <c r="J16" s="15">
        <f>IF('[1]P-GENERAL'!J16="","",'[1]P-GENERAL'!J16)</f>
        <v>46265</v>
      </c>
      <c r="K16" s="14">
        <f>IF('[1]P-GENERAL'!K16="","",'[1]P-GENERAL'!K16)</f>
        <v>0.41666666666666669</v>
      </c>
      <c r="L16" s="14" t="str">
        <f>IF('[1]P-GENERAL'!L16="","",'[1]P-GENERAL'!L16)</f>
        <v>PREENFRIO FORTALEZA</v>
      </c>
      <c r="M16">
        <f>IF('[1]P-GENERAL'!M16="","",'[1]P-GENERAL'!M16)</f>
        <v>2.5</v>
      </c>
      <c r="N16">
        <f>IF('[1]P-GENERAL'!N16="","",'[1]P-GENERAL'!N16)</f>
        <v>60</v>
      </c>
      <c r="O16" s="14">
        <f>IF('[1]P-GENERAL'!O16="","",'[1]P-GENERAL'!O16)</f>
        <v>46261</v>
      </c>
      <c r="P16" s="16">
        <f>IF('[1]P-GENERAL'!P16="","",'[1]P-GENERAL'!P16)</f>
        <v>0.70833333333333337</v>
      </c>
      <c r="Q16" t="str">
        <f>IF('[1]P-GENERAL'!Q16="","",'[1]P-GENERAL'!Q16)</f>
        <v>ALTA</v>
      </c>
      <c r="R16" s="14">
        <f>IF('[1]P-GENERAL'!R16="","",'[1]P-GENERAL'!R16)</f>
        <v>46262</v>
      </c>
      <c r="S16" s="16">
        <f>IF('[1]P-GENERAL'!S16="","",'[1]P-GENERAL'!S16)</f>
        <v>0.25416666666666665</v>
      </c>
      <c r="T16" s="16">
        <f>IF('[1]P-GENERAL'!T16="","",'[1]P-GENERAL'!T16)</f>
        <v>0.625</v>
      </c>
      <c r="U16" s="17">
        <f>IF('[1]P-GENERAL'!U16="","",'[1]P-GENERAL'!U16)</f>
        <v>46262.879166666666</v>
      </c>
      <c r="V16" s="14">
        <f>IF('[1]P-GENERAL'!V16="","",'[1]P-GENERAL'!V16)</f>
        <v>46262</v>
      </c>
      <c r="W16" s="16">
        <f>IF('[1]P-GENERAL'!W16="","",'[1]P-GENERAL'!W16)</f>
        <v>0.97916666666666663</v>
      </c>
      <c r="X16" s="14" t="str">
        <f>IF('[1]P-GENERAL'!X16="","",'[1]P-GENERAL'!X16)</f>
        <v>SI CUMPLE</v>
      </c>
      <c r="Y16" s="14" t="str">
        <f>IF('[1]P-GENERAL'!Y16="","",'[1]P-GENERAL'!Y16)</f>
        <v>NO CUMPLE</v>
      </c>
      <c r="Z16" s="14" t="str">
        <f>IF('[1]P-GENERAL'!Z16="","",'[1]P-GENERAL'!Z16)</f>
        <v/>
      </c>
      <c r="AA16" s="14" t="str">
        <f>IF('[1]P-GENERAL'!AA16="","",'[1]P-GENERAL'!AA16)</f>
        <v>DESPACHADO</v>
      </c>
      <c r="AB16" s="8" t="str">
        <f>IF('[1]P-GENERAL'!AB16="","",'[1]P-GENERAL'!AB16)</f>
        <v>TRANSPORTE TOMATITOS</v>
      </c>
      <c r="AC16" s="8" t="str">
        <f>IF('[1]P-GENERAL'!AC16="","",'[1]P-GENERAL'!AC16)</f>
        <v>Jose Martin Tamez Abad</v>
      </c>
      <c r="AD16">
        <f>IF('[1]P-GENERAL'!AD16="","",'[1]P-GENERAL'!AD16)</f>
        <v>11530</v>
      </c>
      <c r="AE16" t="str">
        <f>IF('[1]P-GENERAL'!AE16="","",'[1]P-GENERAL'!AE16)</f>
        <v>QCH1W032N0</v>
      </c>
    </row>
    <row r="17" spans="1:31" ht="20.25" x14ac:dyDescent="0.3">
      <c r="A17" s="11" t="str">
        <f>IF('[1]P-GENERAL'!A17="","",'[1]P-GENERAL'!A17)</f>
        <v>Chanitos Premium Tarima Chep</v>
      </c>
      <c r="B17" s="11" t="str">
        <f>IF('[1]P-GENERAL'!B17="","",'[1]P-GENERAL'!B17)</f>
        <v>CPR01102</v>
      </c>
      <c r="C17" t="str">
        <f>IF('[1]P-GENERAL'!C17="","",'[1]P-GENERAL'!C17)</f>
        <v>A01002-352708-1</v>
      </c>
      <c r="D17" t="str">
        <f>IF('[1]P-GENERAL'!D17="","",'[1]P-GENERAL'!D17)</f>
        <v>A01 002 Fortaleza</v>
      </c>
      <c r="E17" s="8" t="str">
        <f>IF('[1]P-GENERAL'!E17="","",'[1]P-GENERAL'!E17)</f>
        <v>MTY</v>
      </c>
      <c r="F17" s="12">
        <f>IF('[1]P-GENERAL'!F17="","",'[1]P-GENERAL'!F17)</f>
        <v>91</v>
      </c>
      <c r="G17" s="13">
        <f>IF('[1]P-GENERAL'!G17="","",'[1]P-GENERAL'!G17)</f>
        <v>2</v>
      </c>
      <c r="H17" s="14">
        <f>IF('[1]P-GENERAL'!H17="","",'[1]P-GENERAL'!H17)</f>
        <v>46261</v>
      </c>
      <c r="I17">
        <f>IF('[1]P-GENERAL'!I17="","",'[1]P-GENERAL'!I17)</f>
        <v>35</v>
      </c>
      <c r="J17" s="15">
        <f>IF('[1]P-GENERAL'!J17="","",'[1]P-GENERAL'!J17)</f>
        <v>46265</v>
      </c>
      <c r="K17" s="14">
        <f>IF('[1]P-GENERAL'!K17="","",'[1]P-GENERAL'!K17)</f>
        <v>0.41666666666666669</v>
      </c>
      <c r="L17" s="14" t="str">
        <f>IF('[1]P-GENERAL'!L17="","",'[1]P-GENERAL'!L17)</f>
        <v>PREENFRIO FORTALEZA</v>
      </c>
      <c r="M17">
        <f>IF('[1]P-GENERAL'!M17="","",'[1]P-GENERAL'!M17)</f>
        <v>2.5</v>
      </c>
      <c r="N17">
        <f>IF('[1]P-GENERAL'!N17="","",'[1]P-GENERAL'!N17)</f>
        <v>60</v>
      </c>
      <c r="O17" s="14">
        <f>IF('[1]P-GENERAL'!O17="","",'[1]P-GENERAL'!O17)</f>
        <v>46261</v>
      </c>
      <c r="P17" s="16">
        <f>IF('[1]P-GENERAL'!P17="","",'[1]P-GENERAL'!P17)</f>
        <v>0.70833333333333337</v>
      </c>
      <c r="Q17" t="str">
        <f>IF('[1]P-GENERAL'!Q17="","",'[1]P-GENERAL'!Q17)</f>
        <v>ALTA</v>
      </c>
      <c r="R17" s="14">
        <f>IF('[1]P-GENERAL'!R17="","",'[1]P-GENERAL'!R17)</f>
        <v>46262</v>
      </c>
      <c r="S17" s="16">
        <f>IF('[1]P-GENERAL'!S17="","",'[1]P-GENERAL'!S17)</f>
        <v>0.25416666666666665</v>
      </c>
      <c r="T17" s="16">
        <f>IF('[1]P-GENERAL'!T17="","",'[1]P-GENERAL'!T17)</f>
        <v>0.625</v>
      </c>
      <c r="U17" s="17">
        <f>IF('[1]P-GENERAL'!U17="","",'[1]P-GENERAL'!U17)</f>
        <v>46262.879166666666</v>
      </c>
      <c r="V17" s="14">
        <f>IF('[1]P-GENERAL'!V17="","",'[1]P-GENERAL'!V17)</f>
        <v>46262</v>
      </c>
      <c r="W17" s="16">
        <f>IF('[1]P-GENERAL'!W17="","",'[1]P-GENERAL'!W17)</f>
        <v>0.97916666666666663</v>
      </c>
      <c r="X17" s="14" t="str">
        <f>IF('[1]P-GENERAL'!X17="","",'[1]P-GENERAL'!X17)</f>
        <v>SI CUMPLE</v>
      </c>
      <c r="Y17" s="14" t="str">
        <f>IF('[1]P-GENERAL'!Y17="","",'[1]P-GENERAL'!Y17)</f>
        <v>NO CUMPLE</v>
      </c>
      <c r="Z17" s="14" t="str">
        <f>IF('[1]P-GENERAL'!Z17="","",'[1]P-GENERAL'!Z17)</f>
        <v/>
      </c>
      <c r="AA17" s="14" t="str">
        <f>IF('[1]P-GENERAL'!AA17="","",'[1]P-GENERAL'!AA17)</f>
        <v>DESPACHADO</v>
      </c>
      <c r="AB17" s="8" t="str">
        <f>IF('[1]P-GENERAL'!AB17="","",'[1]P-GENERAL'!AB17)</f>
        <v>TRANSPORTE TOMATITOS</v>
      </c>
      <c r="AC17" s="8" t="str">
        <f>IF('[1]P-GENERAL'!AC17="","",'[1]P-GENERAL'!AC17)</f>
        <v>Jose Martin Tamez Abad</v>
      </c>
      <c r="AD17">
        <f>IF('[1]P-GENERAL'!AD17="","",'[1]P-GENERAL'!AD17)</f>
        <v>11530</v>
      </c>
      <c r="AE17" t="str">
        <f>IF('[1]P-GENERAL'!AE17="","",'[1]P-GENERAL'!AE17)</f>
        <v>QCH1W032N0</v>
      </c>
    </row>
    <row r="18" spans="1:31" ht="20.25" x14ac:dyDescent="0.3">
      <c r="A18" s="11" t="str">
        <f>IF('[1]P-GENERAL'!A18="","",'[1]P-GENERAL'!A18)</f>
        <v>Chanitos Organic Banded Market Side Mexico</v>
      </c>
      <c r="B18" s="11" t="str">
        <f>IF('[1]P-GENERAL'!B18="","",'[1]P-GENERAL'!B18)</f>
        <v>CRG07128</v>
      </c>
      <c r="C18" t="str">
        <f>IF('[1]P-GENERAL'!C18="","",'[1]P-GENERAL'!C18)</f>
        <v>A01002-352708-1</v>
      </c>
      <c r="D18" t="str">
        <f>IF('[1]P-GENERAL'!D18="","",'[1]P-GENERAL'!D18)</f>
        <v>A01 002 Fortaleza</v>
      </c>
      <c r="E18" s="8" t="str">
        <f>IF('[1]P-GENERAL'!E18="","",'[1]P-GENERAL'!E18)</f>
        <v>MTY</v>
      </c>
      <c r="F18" s="12">
        <f>IF('[1]P-GENERAL'!F18="","",'[1]P-GENERAL'!F18)</f>
        <v>96</v>
      </c>
      <c r="G18" s="13">
        <f>IF('[1]P-GENERAL'!G18="","",'[1]P-GENERAL'!G18)</f>
        <v>2</v>
      </c>
      <c r="H18" s="14">
        <f>IF('[1]P-GENERAL'!H18="","",'[1]P-GENERAL'!H18)</f>
        <v>46261</v>
      </c>
      <c r="I18">
        <f>IF('[1]P-GENERAL'!I18="","",'[1]P-GENERAL'!I18)</f>
        <v>35</v>
      </c>
      <c r="J18" s="15">
        <f>IF('[1]P-GENERAL'!J18="","",'[1]P-GENERAL'!J18)</f>
        <v>46265</v>
      </c>
      <c r="K18" s="14">
        <f>IF('[1]P-GENERAL'!K18="","",'[1]P-GENERAL'!K18)</f>
        <v>0.41666666666666669</v>
      </c>
      <c r="L18" s="14" t="str">
        <f>IF('[1]P-GENERAL'!L18="","",'[1]P-GENERAL'!L18)</f>
        <v>PREENFRIO FORTALEZA</v>
      </c>
      <c r="M18">
        <f>IF('[1]P-GENERAL'!M18="","",'[1]P-GENERAL'!M18)</f>
        <v>2.5</v>
      </c>
      <c r="N18">
        <f>IF('[1]P-GENERAL'!N18="","",'[1]P-GENERAL'!N18)</f>
        <v>60</v>
      </c>
      <c r="O18" s="14">
        <f>IF('[1]P-GENERAL'!O18="","",'[1]P-GENERAL'!O18)</f>
        <v>46261</v>
      </c>
      <c r="P18" s="16">
        <f>IF('[1]P-GENERAL'!P18="","",'[1]P-GENERAL'!P18)</f>
        <v>0.70833333333333337</v>
      </c>
      <c r="Q18" t="str">
        <f>IF('[1]P-GENERAL'!Q18="","",'[1]P-GENERAL'!Q18)</f>
        <v>ALTA</v>
      </c>
      <c r="R18" s="14">
        <f>IF('[1]P-GENERAL'!R18="","",'[1]P-GENERAL'!R18)</f>
        <v>46262</v>
      </c>
      <c r="S18" s="16">
        <f>IF('[1]P-GENERAL'!S18="","",'[1]P-GENERAL'!S18)</f>
        <v>0.25416666666666665</v>
      </c>
      <c r="T18" s="16">
        <f>IF('[1]P-GENERAL'!T18="","",'[1]P-GENERAL'!T18)</f>
        <v>0.625</v>
      </c>
      <c r="U18" s="17">
        <f>IF('[1]P-GENERAL'!U18="","",'[1]P-GENERAL'!U18)</f>
        <v>46262.879166666666</v>
      </c>
      <c r="V18" s="14">
        <f>IF('[1]P-GENERAL'!V18="","",'[1]P-GENERAL'!V18)</f>
        <v>46262</v>
      </c>
      <c r="W18" s="16">
        <f>IF('[1]P-GENERAL'!W18="","",'[1]P-GENERAL'!W18)</f>
        <v>0.97916666666666663</v>
      </c>
      <c r="X18" s="14" t="str">
        <f>IF('[1]P-GENERAL'!X18="","",'[1]P-GENERAL'!X18)</f>
        <v>SI CUMPLE</v>
      </c>
      <c r="Y18" s="14" t="str">
        <f>IF('[1]P-GENERAL'!Y18="","",'[1]P-GENERAL'!Y18)</f>
        <v>NO CUMPLE</v>
      </c>
      <c r="Z18" s="14" t="str">
        <f>IF('[1]P-GENERAL'!Z18="","",'[1]P-GENERAL'!Z18)</f>
        <v/>
      </c>
      <c r="AA18" s="14" t="str">
        <f>IF('[1]P-GENERAL'!AA18="","",'[1]P-GENERAL'!AA18)</f>
        <v>DESPACHADO</v>
      </c>
      <c r="AB18" s="8" t="str">
        <f>IF('[1]P-GENERAL'!AB18="","",'[1]P-GENERAL'!AB18)</f>
        <v>TRANSPORTE TOMATITOS</v>
      </c>
      <c r="AC18" s="8" t="str">
        <f>IF('[1]P-GENERAL'!AC18="","",'[1]P-GENERAL'!AC18)</f>
        <v>Jose Martin Tamez Abad</v>
      </c>
      <c r="AD18">
        <f>IF('[1]P-GENERAL'!AD18="","",'[1]P-GENERAL'!AD18)</f>
        <v>11530</v>
      </c>
      <c r="AE18" t="str">
        <f>IF('[1]P-GENERAL'!AE18="","",'[1]P-GENERAL'!AE18)</f>
        <v>QCH1W032N0</v>
      </c>
    </row>
    <row r="19" spans="1:31" ht="20.25" x14ac:dyDescent="0.3">
      <c r="A19" s="11" t="str">
        <f>IF('[1]P-GENERAL'!A19="","",'[1]P-GENERAL'!A19)</f>
        <v>Chanitos Premium Tarima Chep</v>
      </c>
      <c r="B19" s="11" t="str">
        <f>IF('[1]P-GENERAL'!B19="","",'[1]P-GENERAL'!B19)</f>
        <v>CPR01102</v>
      </c>
      <c r="C19" t="str">
        <f>IF('[1]P-GENERAL'!C19="","",'[1]P-GENERAL'!C19)</f>
        <v>A01001-352708-1</v>
      </c>
      <c r="D19" t="str">
        <f>IF('[1]P-GENERAL'!D19="","",'[1]P-GENERAL'!D19)</f>
        <v>A01 001 Marbella</v>
      </c>
      <c r="E19" s="8" t="str">
        <f>IF('[1]P-GENERAL'!E19="","",'[1]P-GENERAL'!E19)</f>
        <v>MTY</v>
      </c>
      <c r="F19" s="12">
        <f>IF('[1]P-GENERAL'!F19="","",'[1]P-GENERAL'!F19)</f>
        <v>960</v>
      </c>
      <c r="G19" s="13">
        <f>IF('[1]P-GENERAL'!G19="","",'[1]P-GENERAL'!G19)</f>
        <v>20</v>
      </c>
      <c r="H19" s="14">
        <f>IF('[1]P-GENERAL'!H19="","",'[1]P-GENERAL'!H19)</f>
        <v>46261</v>
      </c>
      <c r="I19">
        <f>IF('[1]P-GENERAL'!I19="","",'[1]P-GENERAL'!I19)</f>
        <v>35</v>
      </c>
      <c r="J19" s="15">
        <f>IF('[1]P-GENERAL'!J19="","",'[1]P-GENERAL'!J19)</f>
        <v>46265</v>
      </c>
      <c r="K19" s="14">
        <f>IF('[1]P-GENERAL'!K19="","",'[1]P-GENERAL'!K19)</f>
        <v>0.41666666666666669</v>
      </c>
      <c r="L19" s="14" t="str">
        <f>IF('[1]P-GENERAL'!L19="","",'[1]P-GENERAL'!L19)</f>
        <v>PREENFRIO FORTALEZA</v>
      </c>
      <c r="M19">
        <f>IF('[1]P-GENERAL'!M19="","",'[1]P-GENERAL'!M19)</f>
        <v>2.5</v>
      </c>
      <c r="N19">
        <f>IF('[1]P-GENERAL'!N19="","",'[1]P-GENERAL'!N19)</f>
        <v>60</v>
      </c>
      <c r="O19" s="14">
        <f>IF('[1]P-GENERAL'!O19="","",'[1]P-GENERAL'!O19)</f>
        <v>46261</v>
      </c>
      <c r="P19" s="16">
        <f>IF('[1]P-GENERAL'!P19="","",'[1]P-GENERAL'!P19)</f>
        <v>0.73888888888888893</v>
      </c>
      <c r="Q19" t="str">
        <f>IF('[1]P-GENERAL'!Q19="","",'[1]P-GENERAL'!Q19)</f>
        <v>ALTA</v>
      </c>
      <c r="R19" s="14">
        <f>IF('[1]P-GENERAL'!R19="","",'[1]P-GENERAL'!R19)</f>
        <v>46262</v>
      </c>
      <c r="S19" s="16">
        <f>IF('[1]P-GENERAL'!S19="","",'[1]P-GENERAL'!S19)</f>
        <v>0.25416666666666665</v>
      </c>
      <c r="T19" s="16">
        <f>IF('[1]P-GENERAL'!T19="","",'[1]P-GENERAL'!T19)</f>
        <v>0.625</v>
      </c>
      <c r="U19" s="17">
        <f>IF('[1]P-GENERAL'!U19="","",'[1]P-GENERAL'!U19)</f>
        <v>46262.879166666666</v>
      </c>
      <c r="V19" s="14">
        <f>IF('[1]P-GENERAL'!V19="","",'[1]P-GENERAL'!V19)</f>
        <v>46262</v>
      </c>
      <c r="W19" s="16">
        <f>IF('[1]P-GENERAL'!W19="","",'[1]P-GENERAL'!W19)</f>
        <v>0.97916666666666663</v>
      </c>
      <c r="X19" s="14" t="str">
        <f>IF('[1]P-GENERAL'!X19="","",'[1]P-GENERAL'!X19)</f>
        <v>SI CUMPLE</v>
      </c>
      <c r="Y19" s="14" t="str">
        <f>IF('[1]P-GENERAL'!Y19="","",'[1]P-GENERAL'!Y19)</f>
        <v>NO CUMPLE</v>
      </c>
      <c r="Z19" s="14" t="str">
        <f>IF('[1]P-GENERAL'!Z19="","",'[1]P-GENERAL'!Z19)</f>
        <v/>
      </c>
      <c r="AA19" s="14" t="str">
        <f>IF('[1]P-GENERAL'!AA19="","",'[1]P-GENERAL'!AA19)</f>
        <v>DESPACHADO</v>
      </c>
      <c r="AB19" s="8" t="str">
        <f>IF('[1]P-GENERAL'!AB19="","",'[1]P-GENERAL'!AB19)</f>
        <v>TRANSPORTE TOMATITOS</v>
      </c>
      <c r="AC19" s="8" t="str">
        <f>IF('[1]P-GENERAL'!AC19="","",'[1]P-GENERAL'!AC19)</f>
        <v>Jose Martin Tamez Abad</v>
      </c>
      <c r="AD19">
        <f>IF('[1]P-GENERAL'!AD19="","",'[1]P-GENERAL'!AD19)</f>
        <v>11530</v>
      </c>
      <c r="AE19" t="str">
        <f>IF('[1]P-GENERAL'!AE19="","",'[1]P-GENERAL'!AE19)</f>
        <v>QCH1W032N0</v>
      </c>
    </row>
    <row r="20" spans="1:31" ht="20.25" x14ac:dyDescent="0.3">
      <c r="A20" s="11" t="str">
        <f>IF('[1]P-GENERAL'!A20="","",'[1]P-GENERAL'!A20)</f>
        <v>Chanitos Organic Banded Market Side Mexico</v>
      </c>
      <c r="B20" s="11" t="str">
        <f>IF('[1]P-GENERAL'!B20="","",'[1]P-GENERAL'!B20)</f>
        <v>CRG07128</v>
      </c>
      <c r="C20" t="str">
        <f>IF('[1]P-GENERAL'!C20="","",'[1]P-GENERAL'!C20)</f>
        <v>A01002-352708-1</v>
      </c>
      <c r="D20" t="str">
        <f>IF('[1]P-GENERAL'!D20="","",'[1]P-GENERAL'!D20)</f>
        <v>A01 002 Fortaleza</v>
      </c>
      <c r="E20" s="8" t="str">
        <f>IF('[1]P-GENERAL'!E20="","",'[1]P-GENERAL'!E20)</f>
        <v>QRO</v>
      </c>
      <c r="F20" s="12">
        <f>IF('[1]P-GENERAL'!F20="","",'[1]P-GENERAL'!F20)</f>
        <v>96</v>
      </c>
      <c r="G20" s="13">
        <f>IF('[1]P-GENERAL'!G20="","",'[1]P-GENERAL'!G20)</f>
        <v>2</v>
      </c>
      <c r="H20" s="14">
        <f>IF('[1]P-GENERAL'!H20="","",'[1]P-GENERAL'!H20)</f>
        <v>46261</v>
      </c>
      <c r="I20">
        <f>IF('[1]P-GENERAL'!I20="","",'[1]P-GENERAL'!I20)</f>
        <v>35</v>
      </c>
      <c r="J20" s="15">
        <f>IF('[1]P-GENERAL'!J20="","",'[1]P-GENERAL'!J20)</f>
        <v>46265</v>
      </c>
      <c r="K20" s="14">
        <f>IF('[1]P-GENERAL'!K20="","",'[1]P-GENERAL'!K20)</f>
        <v>0.58333333333333337</v>
      </c>
      <c r="L20" s="14" t="str">
        <f>IF('[1]P-GENERAL'!L20="","",'[1]P-GENERAL'!L20)</f>
        <v>PREENFRIO FORTALEZA</v>
      </c>
      <c r="M20">
        <f>IF('[1]P-GENERAL'!M20="","",'[1]P-GENERAL'!M20)</f>
        <v>1.5</v>
      </c>
      <c r="N20">
        <f>IF('[1]P-GENERAL'!N20="","",'[1]P-GENERAL'!N20)</f>
        <v>36</v>
      </c>
      <c r="O20" s="14">
        <f>IF('[1]P-GENERAL'!O20="","",'[1]P-GENERAL'!O20)</f>
        <v>46261</v>
      </c>
      <c r="P20" s="16">
        <f>IF('[1]P-GENERAL'!P20="","",'[1]P-GENERAL'!P20)</f>
        <v>0.70833333333333337</v>
      </c>
      <c r="Q20" t="str">
        <f>IF('[1]P-GENERAL'!Q20="","",'[1]P-GENERAL'!Q20)</f>
        <v>ALTA</v>
      </c>
      <c r="R20" s="14">
        <f>IF('[1]P-GENERAL'!R20="","",'[1]P-GENERAL'!R20)</f>
        <v>46262</v>
      </c>
      <c r="S20" s="16">
        <f>IF('[1]P-GENERAL'!S20="","",'[1]P-GENERAL'!S20)</f>
        <v>0.95833333333333337</v>
      </c>
      <c r="T20" s="16">
        <f>IF('[1]P-GENERAL'!T20="","",'[1]P-GENERAL'!T20)</f>
        <v>0.625</v>
      </c>
      <c r="U20" s="17">
        <f>IF('[1]P-GENERAL'!U20="","",'[1]P-GENERAL'!U20)</f>
        <v>46263.583333333336</v>
      </c>
      <c r="V20" s="14">
        <f>IF('[1]P-GENERAL'!V20="","",'[1]P-GENERAL'!V20)</f>
        <v>46263</v>
      </c>
      <c r="W20" s="16">
        <f>IF('[1]P-GENERAL'!W20="","",'[1]P-GENERAL'!W20)</f>
        <v>0.55555555555555558</v>
      </c>
      <c r="X20" s="14" t="str">
        <f>IF('[1]P-GENERAL'!X20="","",'[1]P-GENERAL'!X20)</f>
        <v>SI CUMPLE</v>
      </c>
      <c r="Y20" s="14" t="str">
        <f>IF('[1]P-GENERAL'!Y20="","",'[1]P-GENERAL'!Y20)</f>
        <v>SI CUMPLE</v>
      </c>
      <c r="Z20" s="14" t="str">
        <f>IF('[1]P-GENERAL'!Z20="","",'[1]P-GENERAL'!Z20)</f>
        <v/>
      </c>
      <c r="AA20" s="14" t="str">
        <f>IF('[1]P-GENERAL'!AA20="","",'[1]P-GENERAL'!AA20)</f>
        <v>DESPACHADO</v>
      </c>
      <c r="AB20" s="8" t="str">
        <f>IF('[1]P-GENERAL'!AB20="","",'[1]P-GENERAL'!AB20)</f>
        <v>PERLA DE OCUTLA</v>
      </c>
      <c r="AC20" s="8" t="str">
        <f>IF('[1]P-GENERAL'!AC20="","",'[1]P-GENERAL'!AC20)</f>
        <v>JUAN CASTELLANOS MENDOZA</v>
      </c>
      <c r="AD20">
        <f>IF('[1]P-GENERAL'!AD20="","",'[1]P-GENERAL'!AD20)</f>
        <v>51073</v>
      </c>
      <c r="AE20" t="str">
        <f>IF('[1]P-GENERAL'!AE20="","",'[1]P-GENERAL'!AE20)</f>
        <v>QCH1W03NP0</v>
      </c>
    </row>
    <row r="21" spans="1:31" ht="20.25" x14ac:dyDescent="0.3">
      <c r="A21" s="11" t="str">
        <f>IF('[1]P-GENERAL'!A21="","",'[1]P-GENERAL'!A21)</f>
        <v>Chanitos Premium Tarima Chep</v>
      </c>
      <c r="B21" s="11" t="str">
        <f>IF('[1]P-GENERAL'!B21="","",'[1]P-GENERAL'!B21)</f>
        <v>CPR01102</v>
      </c>
      <c r="C21" t="str">
        <f>IF('[1]P-GENERAL'!C21="","",'[1]P-GENERAL'!C21)</f>
        <v>A01001-352708-1</v>
      </c>
      <c r="D21" t="str">
        <f>IF('[1]P-GENERAL'!D21="","",'[1]P-GENERAL'!D21)</f>
        <v>A01 001 Marbella</v>
      </c>
      <c r="E21" s="8" t="str">
        <f>IF('[1]P-GENERAL'!E21="","",'[1]P-GENERAL'!E21)</f>
        <v>QRO</v>
      </c>
      <c r="F21" s="12">
        <f>IF('[1]P-GENERAL'!F21="","",'[1]P-GENERAL'!F21)</f>
        <v>96</v>
      </c>
      <c r="G21" s="13">
        <f>IF('[1]P-GENERAL'!G21="","",'[1]P-GENERAL'!G21)</f>
        <v>2</v>
      </c>
      <c r="H21" s="14">
        <f>IF('[1]P-GENERAL'!H21="","",'[1]P-GENERAL'!H21)</f>
        <v>46261</v>
      </c>
      <c r="I21">
        <f>IF('[1]P-GENERAL'!I21="","",'[1]P-GENERAL'!I21)</f>
        <v>35</v>
      </c>
      <c r="J21" s="15">
        <f>IF('[1]P-GENERAL'!J21="","",'[1]P-GENERAL'!J21)</f>
        <v>46265</v>
      </c>
      <c r="K21" s="14">
        <f>IF('[1]P-GENERAL'!K21="","",'[1]P-GENERAL'!K21)</f>
        <v>0.58333333333333337</v>
      </c>
      <c r="L21" s="14" t="str">
        <f>IF('[1]P-GENERAL'!L21="","",'[1]P-GENERAL'!L21)</f>
        <v>PREENFRIO FORTALEZA</v>
      </c>
      <c r="M21">
        <f>IF('[1]P-GENERAL'!M21="","",'[1]P-GENERAL'!M21)</f>
        <v>1.5</v>
      </c>
      <c r="N21">
        <f>IF('[1]P-GENERAL'!N21="","",'[1]P-GENERAL'!N21)</f>
        <v>36</v>
      </c>
      <c r="O21" s="14">
        <f>IF('[1]P-GENERAL'!O21="","",'[1]P-GENERAL'!O21)</f>
        <v>46261</v>
      </c>
      <c r="P21" s="16">
        <f>IF('[1]P-GENERAL'!P21="","",'[1]P-GENERAL'!P21)</f>
        <v>0.73888888888888893</v>
      </c>
      <c r="Q21" t="str">
        <f>IF('[1]P-GENERAL'!Q21="","",'[1]P-GENERAL'!Q21)</f>
        <v>ALTA</v>
      </c>
      <c r="R21" s="14">
        <f>IF('[1]P-GENERAL'!R21="","",'[1]P-GENERAL'!R21)</f>
        <v>46262</v>
      </c>
      <c r="S21" s="16">
        <f>IF('[1]P-GENERAL'!S21="","",'[1]P-GENERAL'!S21)</f>
        <v>0.95833333333333337</v>
      </c>
      <c r="T21" s="16">
        <f>IF('[1]P-GENERAL'!T21="","",'[1]P-GENERAL'!T21)</f>
        <v>0.625</v>
      </c>
      <c r="U21" s="17">
        <f>IF('[1]P-GENERAL'!U21="","",'[1]P-GENERAL'!U21)</f>
        <v>46263.583333333336</v>
      </c>
      <c r="V21" s="14">
        <f>IF('[1]P-GENERAL'!V21="","",'[1]P-GENERAL'!V21)</f>
        <v>46263</v>
      </c>
      <c r="W21" s="16">
        <f>IF('[1]P-GENERAL'!W21="","",'[1]P-GENERAL'!W21)</f>
        <v>0.55555555555555558</v>
      </c>
      <c r="X21" s="14" t="str">
        <f>IF('[1]P-GENERAL'!X21="","",'[1]P-GENERAL'!X21)</f>
        <v>SI CUMPLE</v>
      </c>
      <c r="Y21" s="14" t="str">
        <f>IF('[1]P-GENERAL'!Y21="","",'[1]P-GENERAL'!Y21)</f>
        <v>SI CUMPLE</v>
      </c>
      <c r="Z21" s="14" t="str">
        <f>IF('[1]P-GENERAL'!Z21="","",'[1]P-GENERAL'!Z21)</f>
        <v/>
      </c>
      <c r="AA21" s="14" t="str">
        <f>IF('[1]P-GENERAL'!AA21="","",'[1]P-GENERAL'!AA21)</f>
        <v>DESPACHADO</v>
      </c>
      <c r="AB21" s="8" t="str">
        <f>IF('[1]P-GENERAL'!AB21="","",'[1]P-GENERAL'!AB21)</f>
        <v>PERLA DE OCUTLA</v>
      </c>
      <c r="AC21" s="8" t="str">
        <f>IF('[1]P-GENERAL'!AC21="","",'[1]P-GENERAL'!AC21)</f>
        <v>JUAN CASTELLANOS MENDOZA</v>
      </c>
      <c r="AD21">
        <f>IF('[1]P-GENERAL'!AD21="","",'[1]P-GENERAL'!AD21)</f>
        <v>51073</v>
      </c>
      <c r="AE21" t="str">
        <f>IF('[1]P-GENERAL'!AE21="","",'[1]P-GENERAL'!AE21)</f>
        <v>QCH1W03NP0</v>
      </c>
    </row>
    <row r="22" spans="1:31" ht="20.25" x14ac:dyDescent="0.3">
      <c r="A22" s="11" t="str">
        <f>IF('[1]P-GENERAL'!A22="","",'[1]P-GENERAL'!A22)</f>
        <v>Chanitos Premium Tarima Chep</v>
      </c>
      <c r="B22" s="11" t="str">
        <f>IF('[1]P-GENERAL'!B22="","",'[1]P-GENERAL'!B22)</f>
        <v>CPR01102</v>
      </c>
      <c r="C22" t="str">
        <f>IF('[1]P-GENERAL'!C22="","",'[1]P-GENERAL'!C22)</f>
        <v>A04038-352708-1</v>
      </c>
      <c r="D22" t="str">
        <f>IF('[1]P-GENERAL'!D22="","",'[1]P-GENERAL'!D22)</f>
        <v>A04 038 El Triunfo Nava</v>
      </c>
      <c r="E22" s="8" t="str">
        <f>IF('[1]P-GENERAL'!E22="","",'[1]P-GENERAL'!E22)</f>
        <v>QRO</v>
      </c>
      <c r="F22" s="12">
        <f>IF('[1]P-GENERAL'!F22="","",'[1]P-GENERAL'!F22)</f>
        <v>960</v>
      </c>
      <c r="G22" s="13">
        <f>IF('[1]P-GENERAL'!G22="","",'[1]P-GENERAL'!G22)</f>
        <v>20</v>
      </c>
      <c r="H22" s="14">
        <f>IF('[1]P-GENERAL'!H22="","",'[1]P-GENERAL'!H22)</f>
        <v>46261</v>
      </c>
      <c r="I22">
        <f>IF('[1]P-GENERAL'!I22="","",'[1]P-GENERAL'!I22)</f>
        <v>35</v>
      </c>
      <c r="J22" s="15">
        <f>IF('[1]P-GENERAL'!J22="","",'[1]P-GENERAL'!J22)</f>
        <v>46265</v>
      </c>
      <c r="K22" s="14">
        <f>IF('[1]P-GENERAL'!K22="","",'[1]P-GENERAL'!K22)</f>
        <v>0.58333333333333337</v>
      </c>
      <c r="L22" s="14" t="str">
        <f>IF('[1]P-GENERAL'!L22="","",'[1]P-GENERAL'!L22)</f>
        <v>PREENFRIO FORTALEZA</v>
      </c>
      <c r="M22">
        <f>IF('[1]P-GENERAL'!M22="","",'[1]P-GENERAL'!M22)</f>
        <v>1.5</v>
      </c>
      <c r="N22">
        <f>IF('[1]P-GENERAL'!N22="","",'[1]P-GENERAL'!N22)</f>
        <v>36</v>
      </c>
      <c r="O22" s="14">
        <f>IF('[1]P-GENERAL'!O22="","",'[1]P-GENERAL'!O22)</f>
        <v>46262</v>
      </c>
      <c r="P22" s="16">
        <f>IF('[1]P-GENERAL'!P22="","",'[1]P-GENERAL'!P22)</f>
        <v>0.3125</v>
      </c>
      <c r="Q22" t="str">
        <f>IF('[1]P-GENERAL'!Q22="","",'[1]P-GENERAL'!Q22)</f>
        <v>ALTA</v>
      </c>
      <c r="R22" s="14">
        <f>IF('[1]P-GENERAL'!R22="","",'[1]P-GENERAL'!R22)</f>
        <v>46262</v>
      </c>
      <c r="S22" s="16">
        <f>IF('[1]P-GENERAL'!S22="","",'[1]P-GENERAL'!S22)</f>
        <v>0.95833333333333337</v>
      </c>
      <c r="T22" s="16">
        <f>IF('[1]P-GENERAL'!T22="","",'[1]P-GENERAL'!T22)</f>
        <v>0.625</v>
      </c>
      <c r="U22" s="17">
        <f>IF('[1]P-GENERAL'!U22="","",'[1]P-GENERAL'!U22)</f>
        <v>46263.583333333336</v>
      </c>
      <c r="V22" s="14">
        <f>IF('[1]P-GENERAL'!V22="","",'[1]P-GENERAL'!V22)</f>
        <v>46263</v>
      </c>
      <c r="W22" s="16">
        <f>IF('[1]P-GENERAL'!W22="","",'[1]P-GENERAL'!W22)</f>
        <v>0.55555555555555558</v>
      </c>
      <c r="X22" s="14" t="str">
        <f>IF('[1]P-GENERAL'!X22="","",'[1]P-GENERAL'!X22)</f>
        <v>SI CUMPLE</v>
      </c>
      <c r="Y22" s="14" t="str">
        <f>IF('[1]P-GENERAL'!Y22="","",'[1]P-GENERAL'!Y22)</f>
        <v>SI CUMPLE</v>
      </c>
      <c r="Z22" s="14" t="str">
        <f>IF('[1]P-GENERAL'!Z22="","",'[1]P-GENERAL'!Z22)</f>
        <v/>
      </c>
      <c r="AA22" s="14" t="str">
        <f>IF('[1]P-GENERAL'!AA22="","",'[1]P-GENERAL'!AA22)</f>
        <v>DESPACHADO</v>
      </c>
      <c r="AB22" s="8" t="str">
        <f>IF('[1]P-GENERAL'!AB22="","",'[1]P-GENERAL'!AB22)</f>
        <v>PERLA DE OCUTLA</v>
      </c>
      <c r="AC22" s="8" t="str">
        <f>IF('[1]P-GENERAL'!AC22="","",'[1]P-GENERAL'!AC22)</f>
        <v>JUAN CASTELLANOS MENDOZA</v>
      </c>
      <c r="AD22">
        <f>IF('[1]P-GENERAL'!AD22="","",'[1]P-GENERAL'!AD22)</f>
        <v>51073</v>
      </c>
      <c r="AE22" t="str">
        <f>IF('[1]P-GENERAL'!AE22="","",'[1]P-GENERAL'!AE22)</f>
        <v>QCH1W03NP0</v>
      </c>
    </row>
    <row r="23" spans="1:31" ht="20.25" x14ac:dyDescent="0.3">
      <c r="A23" s="11" t="str">
        <f>IF('[1]P-GENERAL'!A23="","",'[1]P-GENERAL'!A23)</f>
        <v>Chanitos Premium Tarima Americana</v>
      </c>
      <c r="B23" s="11" t="str">
        <f>IF('[1]P-GENERAL'!B23="","",'[1]P-GENERAL'!B23)</f>
        <v>CPR01103</v>
      </c>
      <c r="C23" t="str">
        <f>IF('[1]P-GENERAL'!C23="","",'[1]P-GENERAL'!C23)</f>
        <v>A11045-352508-1</v>
      </c>
      <c r="D23" t="str">
        <f>IF('[1]P-GENERAL'!D23="","",'[1]P-GENERAL'!D23)</f>
        <v>A11 045 Sector Mazatan</v>
      </c>
      <c r="E23" s="8" t="str">
        <f>IF('[1]P-GENERAL'!E23="","",'[1]P-GENERAL'!E23)</f>
        <v>Ciudad Juarez</v>
      </c>
      <c r="F23" s="12">
        <f>IF('[1]P-GENERAL'!F23="","",'[1]P-GENERAL'!F23)</f>
        <v>336</v>
      </c>
      <c r="G23" s="13">
        <f>IF('[1]P-GENERAL'!G23="","",'[1]P-GENERAL'!G23)</f>
        <v>7</v>
      </c>
      <c r="H23" s="14">
        <f>IF('[1]P-GENERAL'!H23="","",'[1]P-GENERAL'!H23)</f>
        <v>46259</v>
      </c>
      <c r="I23">
        <f>IF('[1]P-GENERAL'!I23="","",'[1]P-GENERAL'!I23)</f>
        <v>35</v>
      </c>
      <c r="J23" s="15">
        <f>IF('[1]P-GENERAL'!J23="","",'[1]P-GENERAL'!J23)</f>
        <v>46266</v>
      </c>
      <c r="K23" s="14">
        <f>IF('[1]P-GENERAL'!K23="","",'[1]P-GENERAL'!K23)</f>
        <v>0.25</v>
      </c>
      <c r="L23" s="14" t="str">
        <f>IF('[1]P-GENERAL'!L23="","",'[1]P-GENERAL'!L23)</f>
        <v>PREENFRIO NELLY</v>
      </c>
      <c r="M23">
        <f>IF('[1]P-GENERAL'!M23="","",'[1]P-GENERAL'!M23)</f>
        <v>4</v>
      </c>
      <c r="N23">
        <f>IF('[1]P-GENERAL'!N23="","",'[1]P-GENERAL'!N23)</f>
        <v>96</v>
      </c>
      <c r="O23" s="14">
        <f>IF('[1]P-GENERAL'!O23="","",'[1]P-GENERAL'!O23)</f>
        <v>46260</v>
      </c>
      <c r="P23" s="16">
        <f>IF('[1]P-GENERAL'!P23="","",'[1]P-GENERAL'!P23)</f>
        <v>0.45833333333333331</v>
      </c>
      <c r="Q23" t="str">
        <f>IF('[1]P-GENERAL'!Q23="","",'[1]P-GENERAL'!Q23)</f>
        <v>ALTA</v>
      </c>
      <c r="R23" s="14">
        <f>IF('[1]P-GENERAL'!R23="","",'[1]P-GENERAL'!R23)</f>
        <v>46260</v>
      </c>
      <c r="S23" s="16">
        <f>IF('[1]P-GENERAL'!S23="","",'[1]P-GENERAL'!S23)</f>
        <v>0.99722222222222223</v>
      </c>
      <c r="T23" s="16">
        <f>IF('[1]P-GENERAL'!T23="","",'[1]P-GENERAL'!T23)</f>
        <v>0.4375</v>
      </c>
      <c r="U23" s="17">
        <f>IF('[1]P-GENERAL'!U23="","",'[1]P-GENERAL'!U23)</f>
        <v>46261.43472222222</v>
      </c>
      <c r="V23" s="14">
        <f>IF('[1]P-GENERAL'!V23="","",'[1]P-GENERAL'!V23)</f>
        <v>46261</v>
      </c>
      <c r="W23" s="16">
        <f>IF('[1]P-GENERAL'!W23="","",'[1]P-GENERAL'!W23)</f>
        <v>0.79236111111111107</v>
      </c>
      <c r="X23" s="14" t="str">
        <f>IF('[1]P-GENERAL'!X23="","",'[1]P-GENERAL'!X23)</f>
        <v>SI CUMPLE</v>
      </c>
      <c r="Y23" s="14" t="str">
        <f>IF('[1]P-GENERAL'!Y23="","",'[1]P-GENERAL'!Y23)</f>
        <v>SI CUMPLE</v>
      </c>
      <c r="Z23" s="14" t="str">
        <f>IF('[1]P-GENERAL'!Z23="","",'[1]P-GENERAL'!Z23)</f>
        <v/>
      </c>
      <c r="AA23" s="14" t="str">
        <f>IF('[1]P-GENERAL'!AA23="","",'[1]P-GENERAL'!AA23)</f>
        <v>DESPACHADO</v>
      </c>
      <c r="AB23" s="8" t="str">
        <f>IF('[1]P-GENERAL'!AB23="","",'[1]P-GENERAL'!AB23)</f>
        <v>EXPRESS SEGOVIA</v>
      </c>
      <c r="AC23" s="8" t="str">
        <f>IF('[1]P-GENERAL'!AC23="","",'[1]P-GENERAL'!AC23)</f>
        <v>Juan Morales</v>
      </c>
      <c r="AD23">
        <f>IF('[1]P-GENERAL'!AD23="","",'[1]P-GENERAL'!AD23)</f>
        <v>44046</v>
      </c>
      <c r="AE23" t="str">
        <f>IF('[1]P-GENERAL'!AE23="","",'[1]P-GENERAL'!AE23)</f>
        <v/>
      </c>
    </row>
    <row r="24" spans="1:31" ht="20.25" x14ac:dyDescent="0.3">
      <c r="A24" s="11" t="str">
        <f>IF('[1]P-GENERAL'!A24="","",'[1]P-GENERAL'!A24)</f>
        <v>Chanitos Plantain 20Kg Tarima Americana</v>
      </c>
      <c r="B24" s="11" t="str">
        <f>IF('[1]P-GENERAL'!B24="","",'[1]P-GENERAL'!B24)</f>
        <v>CPL08134</v>
      </c>
      <c r="C24" t="str">
        <f>IF('[1]P-GENERAL'!C24="","",'[1]P-GENERAL'!C24)</f>
        <v>A27073-352508-1</v>
      </c>
      <c r="D24" t="str">
        <f>IF('[1]P-GENERAL'!D24="","",'[1]P-GENERAL'!D24)</f>
        <v>A27 073 Plantacion</v>
      </c>
      <c r="E24" s="8" t="str">
        <f>IF('[1]P-GENERAL'!E24="","",'[1]P-GENERAL'!E24)</f>
        <v>Ciudad Juarez</v>
      </c>
      <c r="F24" s="12">
        <f>IF('[1]P-GENERAL'!F24="","",'[1]P-GENERAL'!F24)</f>
        <v>144</v>
      </c>
      <c r="G24" s="13">
        <f>IF('[1]P-GENERAL'!G24="","",'[1]P-GENERAL'!G24)</f>
        <v>3</v>
      </c>
      <c r="H24" s="14">
        <f>IF('[1]P-GENERAL'!H24="","",'[1]P-GENERAL'!H24)</f>
        <v>46259</v>
      </c>
      <c r="I24">
        <f>IF('[1]P-GENERAL'!I24="","",'[1]P-GENERAL'!I24)</f>
        <v>35</v>
      </c>
      <c r="J24" s="15">
        <f>IF('[1]P-GENERAL'!J24="","",'[1]P-GENERAL'!J24)</f>
        <v>46266</v>
      </c>
      <c r="K24" s="14">
        <f>IF('[1]P-GENERAL'!K24="","",'[1]P-GENERAL'!K24)</f>
        <v>0.25</v>
      </c>
      <c r="L24" s="14" t="str">
        <f>IF('[1]P-GENERAL'!L24="","",'[1]P-GENERAL'!L24)</f>
        <v>PREENFRIO NELLY</v>
      </c>
      <c r="M24">
        <f>IF('[1]P-GENERAL'!M24="","",'[1]P-GENERAL'!M24)</f>
        <v>4</v>
      </c>
      <c r="N24">
        <f>IF('[1]P-GENERAL'!N24="","",'[1]P-GENERAL'!N24)</f>
        <v>96</v>
      </c>
      <c r="O24" s="14">
        <f>IF('[1]P-GENERAL'!O24="","",'[1]P-GENERAL'!O24)</f>
        <v>46260</v>
      </c>
      <c r="P24" s="16">
        <f>IF('[1]P-GENERAL'!P24="","",'[1]P-GENERAL'!P24)</f>
        <v>0.33333333333333331</v>
      </c>
      <c r="Q24" t="str">
        <f>IF('[1]P-GENERAL'!Q24="","",'[1]P-GENERAL'!Q24)</f>
        <v>ALTA</v>
      </c>
      <c r="R24" s="14">
        <f>IF('[1]P-GENERAL'!R24="","",'[1]P-GENERAL'!R24)</f>
        <v>46261</v>
      </c>
      <c r="S24" s="16" t="str">
        <f>IF('[1]P-GENERAL'!S24="","",'[1]P-GENERAL'!S24)</f>
        <v/>
      </c>
      <c r="T24" s="16">
        <f>IF('[1]P-GENERAL'!T24="","",'[1]P-GENERAL'!T24)</f>
        <v>0.4375</v>
      </c>
      <c r="U24" s="17">
        <f>IF('[1]P-GENERAL'!U24="","",'[1]P-GENERAL'!U24)</f>
        <v>46261.4375</v>
      </c>
      <c r="V24" s="14">
        <f>IF('[1]P-GENERAL'!V24="","",'[1]P-GENERAL'!V24)</f>
        <v>46261</v>
      </c>
      <c r="W24" s="16">
        <f>IF('[1]P-GENERAL'!W24="","",'[1]P-GENERAL'!W24)</f>
        <v>0.79166666666666663</v>
      </c>
      <c r="X24" s="14" t="str">
        <f>IF('[1]P-GENERAL'!X24="","",'[1]P-GENERAL'!X24)</f>
        <v>SI CUMPLE</v>
      </c>
      <c r="Y24" s="14" t="str">
        <f>IF('[1]P-GENERAL'!Y24="","",'[1]P-GENERAL'!Y24)</f>
        <v>SI CUMPLE</v>
      </c>
      <c r="Z24" s="14" t="str">
        <f>IF('[1]P-GENERAL'!Z24="","",'[1]P-GENERAL'!Z24)</f>
        <v/>
      </c>
      <c r="AA24" s="14" t="str">
        <f>IF('[1]P-GENERAL'!AA24="","",'[1]P-GENERAL'!AA24)</f>
        <v>DESPACHADO</v>
      </c>
      <c r="AB24" s="8" t="str">
        <f>IF('[1]P-GENERAL'!AB24="","",'[1]P-GENERAL'!AB24)</f>
        <v>EXPRESS SEGOVIA</v>
      </c>
      <c r="AC24" s="8" t="str">
        <f>IF('[1]P-GENERAL'!AC24="","",'[1]P-GENERAL'!AC24)</f>
        <v>Juan Morales</v>
      </c>
      <c r="AD24">
        <f>IF('[1]P-GENERAL'!AD24="","",'[1]P-GENERAL'!AD24)</f>
        <v>44046</v>
      </c>
      <c r="AE24" t="str">
        <f>IF('[1]P-GENERAL'!AE24="","",'[1]P-GENERAL'!AE24)</f>
        <v/>
      </c>
    </row>
    <row r="25" spans="1:31" ht="20.25" x14ac:dyDescent="0.3">
      <c r="A25" s="11" t="str">
        <f>IF('[1]P-GENERAL'!A25="","",'[1]P-GENERAL'!A25)</f>
        <v>Chanitos Premium Tarima Americana</v>
      </c>
      <c r="B25" s="11" t="str">
        <f>IF('[1]P-GENERAL'!B25="","",'[1]P-GENERAL'!B25)</f>
        <v>CPR01103</v>
      </c>
      <c r="C25" t="str">
        <f>IF('[1]P-GENERAL'!C25="","",'[1]P-GENERAL'!C25)</f>
        <v>A11056-352508-1</v>
      </c>
      <c r="D25" t="str">
        <f>IF('[1]P-GENERAL'!D25="","",'[1]P-GENERAL'!D25)</f>
        <v>A11 056 San Isidro</v>
      </c>
      <c r="E25" s="8" t="str">
        <f>IF('[1]P-GENERAL'!E25="","",'[1]P-GENERAL'!E25)</f>
        <v>Ciudad Juarez</v>
      </c>
      <c r="F25" s="12">
        <f>IF('[1]P-GENERAL'!F25="","",'[1]P-GENERAL'!F25)</f>
        <v>480</v>
      </c>
      <c r="G25" s="13">
        <f>IF('[1]P-GENERAL'!G25="","",'[1]P-GENERAL'!G25)</f>
        <v>10</v>
      </c>
      <c r="H25" s="14">
        <f>IF('[1]P-GENERAL'!H25="","",'[1]P-GENERAL'!H25)</f>
        <v>46259</v>
      </c>
      <c r="I25">
        <f>IF('[1]P-GENERAL'!I25="","",'[1]P-GENERAL'!I25)</f>
        <v>35</v>
      </c>
      <c r="J25" s="15">
        <f>IF('[1]P-GENERAL'!J25="","",'[1]P-GENERAL'!J25)</f>
        <v>46266</v>
      </c>
      <c r="K25" s="14">
        <f>IF('[1]P-GENERAL'!K25="","",'[1]P-GENERAL'!K25)</f>
        <v>0.25</v>
      </c>
      <c r="L25" s="14" t="str">
        <f>IF('[1]P-GENERAL'!L25="","",'[1]P-GENERAL'!L25)</f>
        <v>PREENFRIO NELLY</v>
      </c>
      <c r="M25">
        <f>IF('[1]P-GENERAL'!M25="","",'[1]P-GENERAL'!M25)</f>
        <v>4</v>
      </c>
      <c r="N25">
        <f>IF('[1]P-GENERAL'!N25="","",'[1]P-GENERAL'!N25)</f>
        <v>96</v>
      </c>
      <c r="O25" s="14">
        <f>IF('[1]P-GENERAL'!O25="","",'[1]P-GENERAL'!O25)</f>
        <v>46260</v>
      </c>
      <c r="P25" s="16">
        <f>IF('[1]P-GENERAL'!P25="","",'[1]P-GENERAL'!P25)</f>
        <v>0.45833333333333331</v>
      </c>
      <c r="Q25" t="str">
        <f>IF('[1]P-GENERAL'!Q25="","",'[1]P-GENERAL'!Q25)</f>
        <v>ALTA</v>
      </c>
      <c r="R25" s="14">
        <f>IF('[1]P-GENERAL'!R25="","",'[1]P-GENERAL'!R25)</f>
        <v>46261</v>
      </c>
      <c r="S25" s="16">
        <f>IF('[1]P-GENERAL'!S25="","",'[1]P-GENERAL'!S25)</f>
        <v>0.24652777777777779</v>
      </c>
      <c r="T25" s="16">
        <f>IF('[1]P-GENERAL'!T25="","",'[1]P-GENERAL'!T25)</f>
        <v>0.4375</v>
      </c>
      <c r="U25" s="17">
        <f>IF('[1]P-GENERAL'!U25="","",'[1]P-GENERAL'!U25)</f>
        <v>46261.684027777781</v>
      </c>
      <c r="V25" s="14">
        <f>IF('[1]P-GENERAL'!V25="","",'[1]P-GENERAL'!V25)</f>
        <v>46261</v>
      </c>
      <c r="W25" s="16">
        <f>IF('[1]P-GENERAL'!W25="","",'[1]P-GENERAL'!W25)</f>
        <v>0.79236111111111107</v>
      </c>
      <c r="X25" s="14" t="str">
        <f>IF('[1]P-GENERAL'!X25="","",'[1]P-GENERAL'!X25)</f>
        <v>SI CUMPLE</v>
      </c>
      <c r="Y25" s="14" t="str">
        <f>IF('[1]P-GENERAL'!Y25="","",'[1]P-GENERAL'!Y25)</f>
        <v>SI CUMPLE</v>
      </c>
      <c r="Z25" s="14" t="str">
        <f>IF('[1]P-GENERAL'!Z25="","",'[1]P-GENERAL'!Z25)</f>
        <v/>
      </c>
      <c r="AA25" s="14" t="str">
        <f>IF('[1]P-GENERAL'!AA25="","",'[1]P-GENERAL'!AA25)</f>
        <v>DESPACHADO</v>
      </c>
      <c r="AB25" s="8" t="str">
        <f>IF('[1]P-GENERAL'!AB25="","",'[1]P-GENERAL'!AB25)</f>
        <v>EXPRESS SEGOVIA</v>
      </c>
      <c r="AC25" s="8" t="str">
        <f>IF('[1]P-GENERAL'!AC25="","",'[1]P-GENERAL'!AC25)</f>
        <v>Juan Morales</v>
      </c>
      <c r="AD25">
        <f>IF('[1]P-GENERAL'!AD25="","",'[1]P-GENERAL'!AD25)</f>
        <v>44046</v>
      </c>
      <c r="AE25" t="str">
        <f>IF('[1]P-GENERAL'!AE25="","",'[1]P-GENERAL'!AE25)</f>
        <v/>
      </c>
    </row>
    <row r="26" spans="1:31" ht="20.25" x14ac:dyDescent="0.3">
      <c r="A26" s="11" t="str">
        <f>IF('[1]P-GENERAL'!A26="","",'[1]P-GENERAL'!A26)</f>
        <v>Chanitos Premium Tarima Chep</v>
      </c>
      <c r="B26" s="11" t="str">
        <f>IF('[1]P-GENERAL'!B26="","",'[1]P-GENERAL'!B26)</f>
        <v>CPR01102</v>
      </c>
      <c r="C26" t="str">
        <f>IF('[1]P-GENERAL'!C26="","",'[1]P-GENERAL'!C26)</f>
        <v>A01004-352708-1</v>
      </c>
      <c r="D26" t="str">
        <f>IF('[1]P-GENERAL'!D26="","",'[1]P-GENERAL'!D26)</f>
        <v>A01 004 La Ceiba</v>
      </c>
      <c r="E26" s="8" t="str">
        <f>IF('[1]P-GENERAL'!E26="","",'[1]P-GENERAL'!E26)</f>
        <v>QRO</v>
      </c>
      <c r="F26" s="12">
        <f>IF('[1]P-GENERAL'!F26="","",'[1]P-GENERAL'!F26)</f>
        <v>1056</v>
      </c>
      <c r="G26" s="13">
        <f>IF('[1]P-GENERAL'!G26="","",'[1]P-GENERAL'!G26)</f>
        <v>22</v>
      </c>
      <c r="H26" s="14">
        <f>IF('[1]P-GENERAL'!H26="","",'[1]P-GENERAL'!H26)</f>
        <v>46261</v>
      </c>
      <c r="I26">
        <f>IF('[1]P-GENERAL'!I26="","",'[1]P-GENERAL'!I26)</f>
        <v>35</v>
      </c>
      <c r="J26" s="15">
        <f>IF('[1]P-GENERAL'!J26="","",'[1]P-GENERAL'!J26)</f>
        <v>46267</v>
      </c>
      <c r="K26" s="14" t="str">
        <f>IF('[1]P-GENERAL'!K26="","",'[1]P-GENERAL'!K26)</f>
        <v/>
      </c>
      <c r="L26" s="14" t="str">
        <f>IF('[1]P-GENERAL'!L26="","",'[1]P-GENERAL'!L26)</f>
        <v>PREENFRIO NELLY</v>
      </c>
      <c r="M26">
        <f>IF('[1]P-GENERAL'!M26="","",'[1]P-GENERAL'!M26)</f>
        <v>1.5</v>
      </c>
      <c r="N26">
        <f>IF('[1]P-GENERAL'!N26="","",'[1]P-GENERAL'!N26)</f>
        <v>36</v>
      </c>
      <c r="O26" s="14">
        <f>IF('[1]P-GENERAL'!O26="","",'[1]P-GENERAL'!O26)</f>
        <v>46261</v>
      </c>
      <c r="P26" s="16">
        <f>IF('[1]P-GENERAL'!P26="","",'[1]P-GENERAL'!P26)</f>
        <v>0.96597222222222223</v>
      </c>
      <c r="Q26" t="str">
        <f>IF('[1]P-GENERAL'!Q26="","",'[1]P-GENERAL'!Q26)</f>
        <v>ALTA</v>
      </c>
      <c r="R26" s="14">
        <f>IF('[1]P-GENERAL'!R26="","",'[1]P-GENERAL'!R26)</f>
        <v>46262</v>
      </c>
      <c r="S26" s="16">
        <f>IF('[1]P-GENERAL'!S26="","",'[1]P-GENERAL'!S26)</f>
        <v>0.54166666666666663</v>
      </c>
      <c r="T26" s="16">
        <f>IF('[1]P-GENERAL'!T26="","",'[1]P-GENERAL'!T26)</f>
        <v>0.35416666666666669</v>
      </c>
      <c r="U26" s="17">
        <f>IF('[1]P-GENERAL'!U26="","",'[1]P-GENERAL'!U26)</f>
        <v>46262.895833333328</v>
      </c>
      <c r="V26" s="14">
        <f>IF('[1]P-GENERAL'!V26="","",'[1]P-GENERAL'!V26)</f>
        <v>46263</v>
      </c>
      <c r="W26" s="16">
        <f>IF('[1]P-GENERAL'!W26="","",'[1]P-GENERAL'!W26)</f>
        <v>0.33333333333333331</v>
      </c>
      <c r="X26" s="14" t="str">
        <f>IF('[1]P-GENERAL'!X26="","",'[1]P-GENERAL'!X26)</f>
        <v>SI CUMPLE</v>
      </c>
      <c r="Y26" s="14" t="str">
        <f>IF('[1]P-GENERAL'!Y26="","",'[1]P-GENERAL'!Y26)</f>
        <v>SI CUMPLE</v>
      </c>
      <c r="Z26" s="14" t="str">
        <f>IF('[1]P-GENERAL'!Z26="","",'[1]P-GENERAL'!Z26)</f>
        <v/>
      </c>
      <c r="AA26" s="14" t="str">
        <f>IF('[1]P-GENERAL'!AA26="","",'[1]P-GENERAL'!AA26)</f>
        <v>DESPACHADO</v>
      </c>
      <c r="AB26" s="8" t="str">
        <f>IF('[1]P-GENERAL'!AB26="","",'[1]P-GENERAL'!AB26)</f>
        <v>Refrig Carrillo</v>
      </c>
      <c r="AC26" s="8" t="str">
        <f>IF('[1]P-GENERAL'!AC26="","",'[1]P-GENERAL'!AC26)</f>
        <v>Israel Hernandez Valencia</v>
      </c>
      <c r="AD26">
        <f>IF('[1]P-GENERAL'!AD26="","",'[1]P-GENERAL'!AD26)</f>
        <v>55558</v>
      </c>
      <c r="AE26" t="str">
        <f>IF('[1]P-GENERAL'!AE26="","",'[1]P-GENERAL'!AE26)</f>
        <v/>
      </c>
    </row>
    <row r="27" spans="1:31" ht="20.25" x14ac:dyDescent="0.3">
      <c r="A27" s="11" t="str">
        <f>IF('[1]P-GENERAL'!A27="","",'[1]P-GENERAL'!A27)</f>
        <v>Chanitos Premium EUA Tarima Americana</v>
      </c>
      <c r="B27" s="11" t="str">
        <f>IF('[1]P-GENERAL'!B27="","",'[1]P-GENERAL'!B27)</f>
        <v>CPR01104</v>
      </c>
      <c r="C27" t="str">
        <f>IF('[1]P-GENERAL'!C27="","",'[1]P-GENERAL'!C27)</f>
        <v>A06043-352708-1</v>
      </c>
      <c r="D27" t="str">
        <f>IF('[1]P-GENERAL'!D27="","",'[1]P-GENERAL'!D27)</f>
        <v>A06 043 Nuestra señora</v>
      </c>
      <c r="E27" s="8" t="str">
        <f>IF('[1]P-GENERAL'!E27="","",'[1]P-GENERAL'!E27)</f>
        <v>McAllen</v>
      </c>
      <c r="F27" s="12">
        <f>IF('[1]P-GENERAL'!F27="","",'[1]P-GENERAL'!F27)</f>
        <v>576</v>
      </c>
      <c r="G27" s="13">
        <f>IF('[1]P-GENERAL'!G27="","",'[1]P-GENERAL'!G27)</f>
        <v>12</v>
      </c>
      <c r="H27" s="14">
        <f>IF('[1]P-GENERAL'!H27="","",'[1]P-GENERAL'!H27)</f>
        <v>46261</v>
      </c>
      <c r="I27">
        <f>IF('[1]P-GENERAL'!I27="","",'[1]P-GENERAL'!I27)</f>
        <v>35</v>
      </c>
      <c r="J27" s="15">
        <f>IF('[1]P-GENERAL'!J27="","",'[1]P-GENERAL'!J27)</f>
        <v>46266</v>
      </c>
      <c r="K27" s="14" t="str">
        <f>IF('[1]P-GENERAL'!K27="","",'[1]P-GENERAL'!K27)</f>
        <v/>
      </c>
      <c r="L27" s="14" t="str">
        <f>IF('[1]P-GENERAL'!L27="","",'[1]P-GENERAL'!L27)</f>
        <v>DIRECTO SIN PREENFRIO</v>
      </c>
      <c r="M27">
        <f>IF('[1]P-GENERAL'!M27="","",'[1]P-GENERAL'!M27)</f>
        <v>3</v>
      </c>
      <c r="N27">
        <f>IF('[1]P-GENERAL'!N27="","",'[1]P-GENERAL'!N27)</f>
        <v>72</v>
      </c>
      <c r="O27" s="14" t="str">
        <f>IF('[1]P-GENERAL'!O27="","",'[1]P-GENERAL'!O27)</f>
        <v/>
      </c>
      <c r="P27" s="16" t="str">
        <f>IF('[1]P-GENERAL'!P27="","",'[1]P-GENERAL'!P27)</f>
        <v/>
      </c>
      <c r="Q27" t="str">
        <f>IF('[1]P-GENERAL'!Q27="","",'[1]P-GENERAL'!Q27)</f>
        <v/>
      </c>
      <c r="R27" s="14" t="str">
        <f>IF('[1]P-GENERAL'!R27="","",'[1]P-GENERAL'!R27)</f>
        <v/>
      </c>
      <c r="S27" s="16" t="str">
        <f>IF('[1]P-GENERAL'!S27="","",'[1]P-GENERAL'!S27)</f>
        <v/>
      </c>
      <c r="T27" s="16" t="str">
        <f>IF('[1]P-GENERAL'!T27="","",'[1]P-GENERAL'!T27)</f>
        <v>N/A</v>
      </c>
      <c r="U27" s="17" t="str">
        <f>IF('[1]P-GENERAL'!U27="","",'[1]P-GENERAL'!U27)</f>
        <v/>
      </c>
      <c r="V27" s="14">
        <f>IF('[1]P-GENERAL'!V27="","",'[1]P-GENERAL'!V27)</f>
        <v>46263</v>
      </c>
      <c r="W27" s="16">
        <f>IF('[1]P-GENERAL'!W27="","",'[1]P-GENERAL'!W27)</f>
        <v>0.9375</v>
      </c>
      <c r="X27" s="14" t="str">
        <f>IF('[1]P-GENERAL'!X27="","",'[1]P-GENERAL'!X27)</f>
        <v/>
      </c>
      <c r="Y27" s="14" t="str">
        <f>IF('[1]P-GENERAL'!Y27="","",'[1]P-GENERAL'!Y27)</f>
        <v>NO CUMPLE</v>
      </c>
      <c r="Z27" s="14" t="str">
        <f>IF('[1]P-GENERAL'!Z27="","",'[1]P-GENERAL'!Z27)</f>
        <v/>
      </c>
      <c r="AA27" s="14" t="str">
        <f>IF('[1]P-GENERAL'!AA27="","",'[1]P-GENERAL'!AA27)</f>
        <v>DESPACHADO</v>
      </c>
      <c r="AB27" s="8" t="str">
        <f>IF('[1]P-GENERAL'!AB27="","",'[1]P-GENERAL'!AB27)</f>
        <v>SEGOVIA</v>
      </c>
      <c r="AC27" s="8" t="str">
        <f>IF('[1]P-GENERAL'!AC27="","",'[1]P-GENERAL'!AC27)</f>
        <v>Ignacio Martinez Gonzales</v>
      </c>
      <c r="AD27">
        <f>IF('[1]P-GENERAL'!AD27="","",'[1]P-GENERAL'!AD27)</f>
        <v>35742</v>
      </c>
      <c r="AE27" t="str">
        <f>IF('[1]P-GENERAL'!AE27="","",'[1]P-GENERAL'!AE27)</f>
        <v/>
      </c>
    </row>
    <row r="28" spans="1:31" ht="20.25" x14ac:dyDescent="0.3">
      <c r="A28" s="11" t="str">
        <f>IF('[1]P-GENERAL'!A28="","",'[1]P-GENERAL'!A28)</f>
        <v>Chanitos Premium Tarima Chep</v>
      </c>
      <c r="B28" s="11" t="str">
        <f>IF('[1]P-GENERAL'!B28="","",'[1]P-GENERAL'!B28)</f>
        <v>CPR01102</v>
      </c>
      <c r="C28" t="str">
        <f>IF('[1]P-GENERAL'!C28="","",'[1]P-GENERAL'!C28)</f>
        <v>A01002-352708-1</v>
      </c>
      <c r="D28" t="str">
        <f>IF('[1]P-GENERAL'!D28="","",'[1]P-GENERAL'!D28)</f>
        <v>A01 002 Fortaleza</v>
      </c>
      <c r="E28" s="8" t="str">
        <f>IF('[1]P-GENERAL'!E28="","",'[1]P-GENERAL'!E28)</f>
        <v>Chalco</v>
      </c>
      <c r="F28" s="12">
        <f>IF('[1]P-GENERAL'!F28="","",'[1]P-GENERAL'!F28)</f>
        <v>144</v>
      </c>
      <c r="G28" s="13">
        <f>IF('[1]P-GENERAL'!G28="","",'[1]P-GENERAL'!G28)</f>
        <v>3</v>
      </c>
      <c r="H28" s="14">
        <f>IF('[1]P-GENERAL'!H28="","",'[1]P-GENERAL'!H28)</f>
        <v>46261</v>
      </c>
      <c r="I28">
        <f>IF('[1]P-GENERAL'!I28="","",'[1]P-GENERAL'!I28)</f>
        <v>35</v>
      </c>
      <c r="J28" s="15">
        <f>IF('[1]P-GENERAL'!J28="","",'[1]P-GENERAL'!J28)</f>
        <v>46266</v>
      </c>
      <c r="K28" s="14">
        <f>IF('[1]P-GENERAL'!K28="","",'[1]P-GENERAL'!K28)</f>
        <v>0.375</v>
      </c>
      <c r="L28" s="14" t="str">
        <f>IF('[1]P-GENERAL'!L28="","",'[1]P-GENERAL'!L28)</f>
        <v>PREENFRIO FORTALEZA</v>
      </c>
      <c r="M28">
        <f>IF('[1]P-GENERAL'!M28="","",'[1]P-GENERAL'!M28)</f>
        <v>1</v>
      </c>
      <c r="N28">
        <f>IF('[1]P-GENERAL'!N28="","",'[1]P-GENERAL'!N28)</f>
        <v>24</v>
      </c>
      <c r="O28" s="14">
        <f>IF('[1]P-GENERAL'!O28="","",'[1]P-GENERAL'!O28)</f>
        <v>46261</v>
      </c>
      <c r="P28" s="16">
        <f>IF('[1]P-GENERAL'!P28="","",'[1]P-GENERAL'!P28)</f>
        <v>0.70833333333333337</v>
      </c>
      <c r="Q28" t="str">
        <f>IF('[1]P-GENERAL'!Q28="","",'[1]P-GENERAL'!Q28)</f>
        <v>NORMAL</v>
      </c>
      <c r="R28" s="14">
        <f>IF('[1]P-GENERAL'!R28="","",'[1]P-GENERAL'!R28)</f>
        <v>46263</v>
      </c>
      <c r="S28" s="16">
        <f>IF('[1]P-GENERAL'!S28="","",'[1]P-GENERAL'!S28)</f>
        <v>0.8354166666666667</v>
      </c>
      <c r="T28" s="16">
        <f>IF('[1]P-GENERAL'!T28="","",'[1]P-GENERAL'!T28)</f>
        <v>0.41666666666666669</v>
      </c>
      <c r="U28" s="17">
        <f>IF('[1]P-GENERAL'!U28="","",'[1]P-GENERAL'!U28)</f>
        <v>46264.252083333333</v>
      </c>
      <c r="V28" s="14">
        <f>IF('[1]P-GENERAL'!V28="","",'[1]P-GENERAL'!V28)</f>
        <v>46264</v>
      </c>
      <c r="W28" s="16">
        <f>IF('[1]P-GENERAL'!W28="","",'[1]P-GENERAL'!W28)</f>
        <v>0.21111111111111111</v>
      </c>
      <c r="X28" s="14" t="str">
        <f>IF('[1]P-GENERAL'!X28="","",'[1]P-GENERAL'!X28)</f>
        <v>SI CUMPLE</v>
      </c>
      <c r="Y28" s="14" t="str">
        <f>IF('[1]P-GENERAL'!Y28="","",'[1]P-GENERAL'!Y28)</f>
        <v>SI CUMPLE</v>
      </c>
      <c r="Z28" s="14" t="str">
        <f>IF('[1]P-GENERAL'!Z28="","",'[1]P-GENERAL'!Z28)</f>
        <v/>
      </c>
      <c r="AA28" s="14" t="str">
        <f>IF('[1]P-GENERAL'!AA28="","",'[1]P-GENERAL'!AA28)</f>
        <v>DESPACHADO</v>
      </c>
      <c r="AB28" s="8" t="str">
        <f>IF('[1]P-GENERAL'!AB28="","",'[1]P-GENERAL'!AB28)</f>
        <v>REFRIGERADOS CARRILLO</v>
      </c>
      <c r="AC28" s="8" t="str">
        <f>IF('[1]P-GENERAL'!AC28="","",'[1]P-GENERAL'!AC28)</f>
        <v>CESAR AUGUSTO LOPEZ CEJA</v>
      </c>
      <c r="AD28">
        <f>IF('[1]P-GENERAL'!AD28="","",'[1]P-GENERAL'!AD28)</f>
        <v>96947</v>
      </c>
      <c r="AE28" t="str">
        <f>IF('[1]P-GENERAL'!AE28="","",'[1]P-GENERAL'!AE28)</f>
        <v>QCH1W04MZ0</v>
      </c>
    </row>
    <row r="29" spans="1:31" ht="20.25" x14ac:dyDescent="0.3">
      <c r="A29" s="11" t="str">
        <f>IF('[1]P-GENERAL'!A29="","",'[1]P-GENERAL'!A29)</f>
        <v>Chanitos Plantain 20Kg Tarima Chep</v>
      </c>
      <c r="B29" s="11" t="str">
        <f>IF('[1]P-GENERAL'!B29="","",'[1]P-GENERAL'!B29)</f>
        <v>CPL08141</v>
      </c>
      <c r="C29" t="str">
        <f>IF('[1]P-GENERAL'!C29="","",'[1]P-GENERAL'!C29)</f>
        <v>A41088-352808-1</v>
      </c>
      <c r="D29" t="str">
        <f>IF('[1]P-GENERAL'!D29="","",'[1]P-GENERAL'!D29)</f>
        <v>A25 088 Doña Lupe</v>
      </c>
      <c r="E29" s="8" t="str">
        <f>IF('[1]P-GENERAL'!E29="","",'[1]P-GENERAL'!E29)</f>
        <v>CEDA</v>
      </c>
      <c r="F29" s="12">
        <f>IF('[1]P-GENERAL'!F29="","",'[1]P-GENERAL'!F29)</f>
        <v>480</v>
      </c>
      <c r="G29" s="13">
        <f>IF('[1]P-GENERAL'!G29="","",'[1]P-GENERAL'!G29)</f>
        <v>10</v>
      </c>
      <c r="H29" s="14">
        <f>IF('[1]P-GENERAL'!H29="","",'[1]P-GENERAL'!H29)</f>
        <v>46262</v>
      </c>
      <c r="I29">
        <f>IF('[1]P-GENERAL'!I29="","",'[1]P-GENERAL'!I29)</f>
        <v>35</v>
      </c>
      <c r="J29" s="15">
        <f>IF('[1]P-GENERAL'!J29="","",'[1]P-GENERAL'!J29)</f>
        <v>46266</v>
      </c>
      <c r="K29" s="14" t="str">
        <f>IF('[1]P-GENERAL'!K29="","",'[1]P-GENERAL'!K29)</f>
        <v/>
      </c>
      <c r="L29" s="14" t="str">
        <f>IF('[1]P-GENERAL'!L29="","",'[1]P-GENERAL'!L29)</f>
        <v>PREENFRIO FORTALEZA</v>
      </c>
      <c r="M29">
        <f>IF('[1]P-GENERAL'!M29="","",'[1]P-GENERAL'!M29)</f>
        <v>1.5</v>
      </c>
      <c r="N29">
        <f>IF('[1]P-GENERAL'!N29="","",'[1]P-GENERAL'!N29)</f>
        <v>36</v>
      </c>
      <c r="O29" s="14">
        <f>IF('[1]P-GENERAL'!O29="","",'[1]P-GENERAL'!O29)</f>
        <v>46262</v>
      </c>
      <c r="P29" s="16">
        <f>IF('[1]P-GENERAL'!P29="","",'[1]P-GENERAL'!P29)</f>
        <v>0.83333333333333337</v>
      </c>
      <c r="Q29" t="str">
        <f>IF('[1]P-GENERAL'!Q29="","",'[1]P-GENERAL'!Q29)</f>
        <v>NORMAL</v>
      </c>
      <c r="R29" s="14">
        <f>IF('[1]P-GENERAL'!R29="","",'[1]P-GENERAL'!R29)</f>
        <v>46263</v>
      </c>
      <c r="S29" s="16">
        <f>IF('[1]P-GENERAL'!S29="","",'[1]P-GENERAL'!S29)</f>
        <v>0.6069444444444444</v>
      </c>
      <c r="T29" s="16">
        <f>IF('[1]P-GENERAL'!T29="","",'[1]P-GENERAL'!T29)</f>
        <v>0.22916666666666666</v>
      </c>
      <c r="U29" s="17">
        <f>IF('[1]P-GENERAL'!U29="","",'[1]P-GENERAL'!U29)</f>
        <v>46263.836111111108</v>
      </c>
      <c r="V29" s="14">
        <f>IF('[1]P-GENERAL'!V29="","",'[1]P-GENERAL'!V29)</f>
        <v>46264</v>
      </c>
      <c r="W29" s="16">
        <f>IF('[1]P-GENERAL'!W29="","",'[1]P-GENERAL'!W29)</f>
        <v>0.52083333333333337</v>
      </c>
      <c r="X29" s="14" t="str">
        <f>IF('[1]P-GENERAL'!X29="","",'[1]P-GENERAL'!X29)</f>
        <v>SI CUMPLE</v>
      </c>
      <c r="Y29" s="14" t="str">
        <f>IF('[1]P-GENERAL'!Y29="","",'[1]P-GENERAL'!Y29)</f>
        <v>NO CUMPLE</v>
      </c>
      <c r="Z29" s="14" t="str">
        <f>IF('[1]P-GENERAL'!Z29="","",'[1]P-GENERAL'!Z29)</f>
        <v>POSICIONAMIENTO DE TRANSPORTE</v>
      </c>
      <c r="AA29" s="14" t="str">
        <f>IF('[1]P-GENERAL'!AA29="","",'[1]P-GENERAL'!AA29)</f>
        <v>DESPACHADO</v>
      </c>
      <c r="AB29" s="8" t="str">
        <f>IF('[1]P-GENERAL'!AB29="","",'[1]P-GENERAL'!AB29)</f>
        <v>TRANSPORTES ROSALES</v>
      </c>
      <c r="AC29" s="8" t="str">
        <f>IF('[1]P-GENERAL'!AC29="","",'[1]P-GENERAL'!AC29)</f>
        <v>PABLO ROSALES FLORES</v>
      </c>
      <c r="AD29">
        <f>IF('[1]P-GENERAL'!AD29="","",'[1]P-GENERAL'!AD29)</f>
        <v>85826</v>
      </c>
      <c r="AE29" t="str">
        <f>IF('[1]P-GENERAL'!AE29="","",'[1]P-GENERAL'!AE29)</f>
        <v>QCH1W04N50</v>
      </c>
    </row>
    <row r="30" spans="1:31" ht="20.25" x14ac:dyDescent="0.3">
      <c r="A30" s="11" t="str">
        <f>IF('[1]P-GENERAL'!A30="","",'[1]P-GENERAL'!A30)</f>
        <v>Chanitos Premium Tarima Chep</v>
      </c>
      <c r="B30" s="11" t="str">
        <f>IF('[1]P-GENERAL'!B30="","",'[1]P-GENERAL'!B30)</f>
        <v>CPR01102</v>
      </c>
      <c r="C30" t="str">
        <f>IF('[1]P-GENERAL'!C30="","",'[1]P-GENERAL'!C30)</f>
        <v>A01001-352808-1</v>
      </c>
      <c r="D30" t="str">
        <f>IF('[1]P-GENERAL'!D30="","",'[1]P-GENERAL'!D30)</f>
        <v>A01 001 Marbella</v>
      </c>
      <c r="E30" s="8" t="str">
        <f>IF('[1]P-GENERAL'!E30="","",'[1]P-GENERAL'!E30)</f>
        <v>Chalco</v>
      </c>
      <c r="F30" s="12">
        <f>IF('[1]P-GENERAL'!F30="","",'[1]P-GENERAL'!F30)</f>
        <v>864</v>
      </c>
      <c r="G30" s="13">
        <f>IF('[1]P-GENERAL'!G30="","",'[1]P-GENERAL'!G30)</f>
        <v>18</v>
      </c>
      <c r="H30" s="14">
        <f>IF('[1]P-GENERAL'!H30="","",'[1]P-GENERAL'!H30)</f>
        <v>46262</v>
      </c>
      <c r="I30">
        <f>IF('[1]P-GENERAL'!I30="","",'[1]P-GENERAL'!I30)</f>
        <v>35</v>
      </c>
      <c r="J30" s="15">
        <f>IF('[1]P-GENERAL'!J30="","",'[1]P-GENERAL'!J30)</f>
        <v>46266</v>
      </c>
      <c r="K30" s="14">
        <f>IF('[1]P-GENERAL'!K30="","",'[1]P-GENERAL'!K30)</f>
        <v>0.375</v>
      </c>
      <c r="L30" s="14" t="str">
        <f>IF('[1]P-GENERAL'!L30="","",'[1]P-GENERAL'!L30)</f>
        <v>PREENFRIO FORTALEZA</v>
      </c>
      <c r="M30">
        <f>IF('[1]P-GENERAL'!M30="","",'[1]P-GENERAL'!M30)</f>
        <v>1</v>
      </c>
      <c r="N30">
        <f>IF('[1]P-GENERAL'!N30="","",'[1]P-GENERAL'!N30)</f>
        <v>24</v>
      </c>
      <c r="O30" s="14">
        <f>IF('[1]P-GENERAL'!O30="","",'[1]P-GENERAL'!O30)</f>
        <v>46262</v>
      </c>
      <c r="P30" s="16">
        <f>IF('[1]P-GENERAL'!P30="","",'[1]P-GENERAL'!P30)</f>
        <v>0.82291666666666663</v>
      </c>
      <c r="Q30" t="str">
        <f>IF('[1]P-GENERAL'!Q30="","",'[1]P-GENERAL'!Q30)</f>
        <v>ALTA</v>
      </c>
      <c r="R30" s="14">
        <f>IF('[1]P-GENERAL'!R30="","",'[1]P-GENERAL'!R30)</f>
        <v>46263</v>
      </c>
      <c r="S30" s="16">
        <f>IF('[1]P-GENERAL'!S30="","",'[1]P-GENERAL'!S30)</f>
        <v>0.8354166666666667</v>
      </c>
      <c r="T30" s="16">
        <f>IF('[1]P-GENERAL'!T30="","",'[1]P-GENERAL'!T30)</f>
        <v>0.41666666666666669</v>
      </c>
      <c r="U30" s="17">
        <f>IF('[1]P-GENERAL'!U30="","",'[1]P-GENERAL'!U30)</f>
        <v>46264.252083333333</v>
      </c>
      <c r="V30" s="14">
        <f>IF('[1]P-GENERAL'!V30="","",'[1]P-GENERAL'!V30)</f>
        <v>46264</v>
      </c>
      <c r="W30" s="16">
        <f>IF('[1]P-GENERAL'!W30="","",'[1]P-GENERAL'!W30)</f>
        <v>0.21111111111111111</v>
      </c>
      <c r="X30" s="14" t="str">
        <f>IF('[1]P-GENERAL'!X30="","",'[1]P-GENERAL'!X30)</f>
        <v>SI CUMPLE</v>
      </c>
      <c r="Y30" s="14" t="str">
        <f>IF('[1]P-GENERAL'!Y30="","",'[1]P-GENERAL'!Y30)</f>
        <v>SI CUMPLE</v>
      </c>
      <c r="Z30" s="14" t="str">
        <f>IF('[1]P-GENERAL'!Z30="","",'[1]P-GENERAL'!Z30)</f>
        <v/>
      </c>
      <c r="AA30" s="14" t="str">
        <f>IF('[1]P-GENERAL'!AA30="","",'[1]P-GENERAL'!AA30)</f>
        <v>DESPACHADO</v>
      </c>
      <c r="AB30" s="8" t="str">
        <f>IF('[1]P-GENERAL'!AB30="","",'[1]P-GENERAL'!AB30)</f>
        <v>REFRIGERADOS CARRILLO</v>
      </c>
      <c r="AC30" s="8" t="str">
        <f>IF('[1]P-GENERAL'!AC30="","",'[1]P-GENERAL'!AC30)</f>
        <v>CESAR AUGUSTO LOPEZ CEJA</v>
      </c>
      <c r="AD30">
        <f>IF('[1]P-GENERAL'!AD30="","",'[1]P-GENERAL'!AD30)</f>
        <v>96947</v>
      </c>
      <c r="AE30" t="str">
        <f>IF('[1]P-GENERAL'!AE30="","",'[1]P-GENERAL'!AE30)</f>
        <v>QCH1W04MZ0</v>
      </c>
    </row>
    <row r="31" spans="1:31" ht="20.25" x14ac:dyDescent="0.3">
      <c r="A31" s="11" t="str">
        <f>IF('[1]P-GENERAL'!A31="","",'[1]P-GENERAL'!A31)</f>
        <v>Chanitos Premium Tarima Americana</v>
      </c>
      <c r="B31" s="11" t="str">
        <f>IF('[1]P-GENERAL'!B31="","",'[1]P-GENERAL'!B31)</f>
        <v>CPR01103</v>
      </c>
      <c r="C31" t="str">
        <f>IF('[1]P-GENERAL'!C31="","",'[1]P-GENERAL'!C31)</f>
        <v>A12057-352708-1</v>
      </c>
      <c r="D31" t="str">
        <f>IF('[1]P-GENERAL'!D31="","",'[1]P-GENERAL'!D31)</f>
        <v>A12 057 Tiquisate 1</v>
      </c>
      <c r="E31" s="8" t="str">
        <f>IF('[1]P-GENERAL'!E31="","",'[1]P-GENERAL'!E31)</f>
        <v>S-MTY</v>
      </c>
      <c r="F31" s="12">
        <f>IF('[1]P-GENERAL'!F31="","",'[1]P-GENERAL'!F31)</f>
        <v>960</v>
      </c>
      <c r="G31" s="13">
        <f>IF('[1]P-GENERAL'!G31="","",'[1]P-GENERAL'!G31)</f>
        <v>20</v>
      </c>
      <c r="H31" s="14">
        <f>IF('[1]P-GENERAL'!H31="","",'[1]P-GENERAL'!H31)</f>
        <v>46261</v>
      </c>
      <c r="I31">
        <f>IF('[1]P-GENERAL'!I31="","",'[1]P-GENERAL'!I31)</f>
        <v>35</v>
      </c>
      <c r="J31" s="15">
        <f>IF('[1]P-GENERAL'!J31="","",'[1]P-GENERAL'!J31)</f>
        <v>46267</v>
      </c>
      <c r="K31" s="14">
        <f>IF('[1]P-GENERAL'!K31="","",'[1]P-GENERAL'!K31)</f>
        <v>0.25</v>
      </c>
      <c r="L31" s="14" t="str">
        <f>IF('[1]P-GENERAL'!L31="","",'[1]P-GENERAL'!L31)</f>
        <v>PREENFRIO NELLY</v>
      </c>
      <c r="M31">
        <f>IF('[1]P-GENERAL'!M31="","",'[1]P-GENERAL'!M31)</f>
        <v>3</v>
      </c>
      <c r="N31">
        <f>IF('[1]P-GENERAL'!N31="","",'[1]P-GENERAL'!N31)</f>
        <v>72</v>
      </c>
      <c r="O31" s="14">
        <f>IF('[1]P-GENERAL'!O31="","",'[1]P-GENERAL'!O31)</f>
        <v>46261</v>
      </c>
      <c r="P31" s="16">
        <f>IF('[1]P-GENERAL'!P31="","",'[1]P-GENERAL'!P31)</f>
        <v>0.79166666666666663</v>
      </c>
      <c r="Q31" t="str">
        <f>IF('[1]P-GENERAL'!Q31="","",'[1]P-GENERAL'!Q31)</f>
        <v>ALTA</v>
      </c>
      <c r="R31" s="14">
        <f>IF('[1]P-GENERAL'!R31="","",'[1]P-GENERAL'!R31)</f>
        <v>46262</v>
      </c>
      <c r="S31" s="16">
        <f>IF('[1]P-GENERAL'!S31="","",'[1]P-GENERAL'!S31)</f>
        <v>0.89930555555555558</v>
      </c>
      <c r="T31" s="16">
        <f>IF('[1]P-GENERAL'!T31="","",'[1]P-GENERAL'!T31)</f>
        <v>0.4375</v>
      </c>
      <c r="U31" s="17">
        <f>IF('[1]P-GENERAL'!U31="","",'[1]P-GENERAL'!U31)</f>
        <v>46263.336805555555</v>
      </c>
      <c r="V31" s="14">
        <f>IF('[1]P-GENERAL'!V31="","",'[1]P-GENERAL'!V31)</f>
        <v>46263</v>
      </c>
      <c r="W31" s="16">
        <f>IF('[1]P-GENERAL'!W31="","",'[1]P-GENERAL'!W31)</f>
        <v>0.73263888888888884</v>
      </c>
      <c r="X31" s="14" t="str">
        <f>IF('[1]P-GENERAL'!X31="","",'[1]P-GENERAL'!X31)</f>
        <v>SI CUMPLE</v>
      </c>
      <c r="Y31" s="14" t="str">
        <f>IF('[1]P-GENERAL'!Y31="","",'[1]P-GENERAL'!Y31)</f>
        <v>SI CUMPLE</v>
      </c>
      <c r="Z31" s="14" t="str">
        <f>IF('[1]P-GENERAL'!Z31="","",'[1]P-GENERAL'!Z31)</f>
        <v/>
      </c>
      <c r="AA31" s="14" t="str">
        <f>IF('[1]P-GENERAL'!AA31="","",'[1]P-GENERAL'!AA31)</f>
        <v>DESPACHADO</v>
      </c>
      <c r="AB31" s="8" t="str">
        <f>IF('[1]P-GENERAL'!AB31="","",'[1]P-GENERAL'!AB31)</f>
        <v>SEGOVIA</v>
      </c>
      <c r="AC31" s="8" t="str">
        <f>IF('[1]P-GENERAL'!AC31="","",'[1]P-GENERAL'!AC31)</f>
        <v>DANIEL EDUARDO VASQUES HERNANDEZ</v>
      </c>
      <c r="AD31">
        <f>IF('[1]P-GENERAL'!AD31="","",'[1]P-GENERAL'!AD31)</f>
        <v>13977</v>
      </c>
      <c r="AE31" t="str">
        <f>IF('[1]P-GENERAL'!AE31="","",'[1]P-GENERAL'!AE31)</f>
        <v>QCH1W03SV0</v>
      </c>
    </row>
    <row r="32" spans="1:31" ht="20.25" x14ac:dyDescent="0.3">
      <c r="A32" s="11" t="str">
        <f>IF('[1]P-GENERAL'!A32="","",'[1]P-GENERAL'!A32)</f>
        <v>Chanitos Premium Tarima Americana</v>
      </c>
      <c r="B32" s="11" t="str">
        <f>IF('[1]P-GENERAL'!B32="","",'[1]P-GENERAL'!B32)</f>
        <v>CPR01103</v>
      </c>
      <c r="C32" t="str">
        <f>IF('[1]P-GENERAL'!C32="","",'[1]P-GENERAL'!C32)</f>
        <v>A25022-352708-1</v>
      </c>
      <c r="D32" t="str">
        <f>IF('[1]P-GENERAL'!D32="","",'[1]P-GENERAL'!D32)</f>
        <v>A25 022 Doña Mildred</v>
      </c>
      <c r="E32" s="8" t="str">
        <f>IF('[1]P-GENERAL'!E32="","",'[1]P-GENERAL'!E32)</f>
        <v>S-MTY</v>
      </c>
      <c r="F32" s="12">
        <f>IF('[1]P-GENERAL'!F32="","",'[1]P-GENERAL'!F32)</f>
        <v>960</v>
      </c>
      <c r="G32" s="13">
        <f>IF('[1]P-GENERAL'!G32="","",'[1]P-GENERAL'!G32)</f>
        <v>20</v>
      </c>
      <c r="H32" s="14">
        <f>IF('[1]P-GENERAL'!H32="","",'[1]P-GENERAL'!H32)</f>
        <v>46261</v>
      </c>
      <c r="I32">
        <f>IF('[1]P-GENERAL'!I32="","",'[1]P-GENERAL'!I32)</f>
        <v>35</v>
      </c>
      <c r="J32" s="15">
        <f>IF('[1]P-GENERAL'!J32="","",'[1]P-GENERAL'!J32)</f>
        <v>46267</v>
      </c>
      <c r="K32" s="14">
        <f>IF('[1]P-GENERAL'!K32="","",'[1]P-GENERAL'!K32)</f>
        <v>0.25</v>
      </c>
      <c r="L32" s="14" t="str">
        <f>IF('[1]P-GENERAL'!L32="","",'[1]P-GENERAL'!L32)</f>
        <v>PREENFRIO NELLY</v>
      </c>
      <c r="M32">
        <f>IF('[1]P-GENERAL'!M32="","",'[1]P-GENERAL'!M32)</f>
        <v>3</v>
      </c>
      <c r="N32">
        <f>IF('[1]P-GENERAL'!N32="","",'[1]P-GENERAL'!N32)</f>
        <v>72</v>
      </c>
      <c r="O32" s="14">
        <f>IF('[1]P-GENERAL'!O32="","",'[1]P-GENERAL'!O32)</f>
        <v>46261</v>
      </c>
      <c r="P32" s="16">
        <f>IF('[1]P-GENERAL'!P32="","",'[1]P-GENERAL'!P32)</f>
        <v>0.91666666666666663</v>
      </c>
      <c r="Q32" t="str">
        <f>IF('[1]P-GENERAL'!Q32="","",'[1]P-GENERAL'!Q32)</f>
        <v>ALTA</v>
      </c>
      <c r="R32" s="14">
        <f>IF('[1]P-GENERAL'!R32="","",'[1]P-GENERAL'!R32)</f>
        <v>46263</v>
      </c>
      <c r="S32" s="16">
        <f>IF('[1]P-GENERAL'!S32="","",'[1]P-GENERAL'!S32)</f>
        <v>0.3263888888888889</v>
      </c>
      <c r="T32" s="16">
        <f>IF('[1]P-GENERAL'!T32="","",'[1]P-GENERAL'!T32)</f>
        <v>0.4375</v>
      </c>
      <c r="U32" s="17">
        <f>IF('[1]P-GENERAL'!U32="","",'[1]P-GENERAL'!U32)</f>
        <v>46263.763888888891</v>
      </c>
      <c r="V32" s="14">
        <f>IF('[1]P-GENERAL'!V32="","",'[1]P-GENERAL'!V32)</f>
        <v>46263</v>
      </c>
      <c r="W32" s="16">
        <f>IF('[1]P-GENERAL'!W32="","",'[1]P-GENERAL'!W32)</f>
        <v>0.73263888888888884</v>
      </c>
      <c r="X32" s="14" t="str">
        <f>IF('[1]P-GENERAL'!X32="","",'[1]P-GENERAL'!X32)</f>
        <v>SI CUMPLE</v>
      </c>
      <c r="Y32" s="14" t="str">
        <f>IF('[1]P-GENERAL'!Y32="","",'[1]P-GENERAL'!Y32)</f>
        <v>SI CUMPLE</v>
      </c>
      <c r="Z32" s="14" t="str">
        <f>IF('[1]P-GENERAL'!Z32="","",'[1]P-GENERAL'!Z32)</f>
        <v/>
      </c>
      <c r="AA32" s="14" t="str">
        <f>IF('[1]P-GENERAL'!AA32="","",'[1]P-GENERAL'!AA32)</f>
        <v>DESPACHADO</v>
      </c>
      <c r="AB32" s="8" t="str">
        <f>IF('[1]P-GENERAL'!AB32="","",'[1]P-GENERAL'!AB32)</f>
        <v>SEGOVIA</v>
      </c>
      <c r="AC32" s="8" t="str">
        <f>IF('[1]P-GENERAL'!AC32="","",'[1]P-GENERAL'!AC32)</f>
        <v>DANIEL EDUARDO VASQUES HERNANDEZ</v>
      </c>
      <c r="AD32">
        <f>IF('[1]P-GENERAL'!AD32="","",'[1]P-GENERAL'!AD32)</f>
        <v>51866</v>
      </c>
      <c r="AE32" t="str">
        <f>IF('[1]P-GENERAL'!AE32="","",'[1]P-GENERAL'!AE32)</f>
        <v>QCH1W07H70</v>
      </c>
    </row>
    <row r="33" spans="1:31" ht="20.25" x14ac:dyDescent="0.3">
      <c r="A33" s="11" t="str">
        <f>IF('[1]P-GENERAL'!A33="","",'[1]P-GENERAL'!A33)</f>
        <v>Chanitos Plantain 50lb Tarima Americana</v>
      </c>
      <c r="B33" s="11" t="str">
        <f>IF('[1]P-GENERAL'!B33="","",'[1]P-GENERAL'!B33)</f>
        <v>CPL08133</v>
      </c>
      <c r="C33" t="str">
        <f>IF('[1]P-GENERAL'!C33="","",'[1]P-GENERAL'!C33)</f>
        <v>A27073-352808-1</v>
      </c>
      <c r="D33" t="str">
        <f>IF('[1]P-GENERAL'!D33="","",'[1]P-GENERAL'!D33)</f>
        <v>A27 073 Plantacion</v>
      </c>
      <c r="E33" s="8" t="str">
        <f>IF('[1]P-GENERAL'!E33="","",'[1]P-GENERAL'!E33)</f>
        <v>McAllen</v>
      </c>
      <c r="F33" s="12">
        <f>IF('[1]P-GENERAL'!F33="","",'[1]P-GENERAL'!F33)</f>
        <v>1008</v>
      </c>
      <c r="G33" s="13">
        <f>IF('[1]P-GENERAL'!G33="","",'[1]P-GENERAL'!G33)</f>
        <v>24</v>
      </c>
      <c r="H33" s="14">
        <f>IF('[1]P-GENERAL'!H33="","",'[1]P-GENERAL'!H33)</f>
        <v>46262</v>
      </c>
      <c r="I33">
        <f>IF('[1]P-GENERAL'!I33="","",'[1]P-GENERAL'!I33)</f>
        <v>35</v>
      </c>
      <c r="J33" s="15">
        <f>IF('[1]P-GENERAL'!J33="","",'[1]P-GENERAL'!J33)</f>
        <v>46266</v>
      </c>
      <c r="K33" s="14" t="str">
        <f>IF('[1]P-GENERAL'!K33="","",'[1]P-GENERAL'!K33)</f>
        <v/>
      </c>
      <c r="L33" s="14" t="str">
        <f>IF('[1]P-GENERAL'!L33="","",'[1]P-GENERAL'!L33)</f>
        <v>PREENFRIO NELLY</v>
      </c>
      <c r="M33">
        <f>IF('[1]P-GENERAL'!M33="","",'[1]P-GENERAL'!M33)</f>
        <v>3</v>
      </c>
      <c r="N33">
        <f>IF('[1]P-GENERAL'!N33="","",'[1]P-GENERAL'!N33)</f>
        <v>72</v>
      </c>
      <c r="O33" s="14">
        <f>IF('[1]P-GENERAL'!O33="","",'[1]P-GENERAL'!O33)</f>
        <v>46262</v>
      </c>
      <c r="P33" s="16">
        <f>IF('[1]P-GENERAL'!P33="","",'[1]P-GENERAL'!P33)</f>
        <v>0.98819444444444449</v>
      </c>
      <c r="Q33" t="str">
        <f>IF('[1]P-GENERAL'!Q33="","",'[1]P-GENERAL'!Q33)</f>
        <v>NORMAL</v>
      </c>
      <c r="R33" s="14">
        <f>IF('[1]P-GENERAL'!R33="","",'[1]P-GENERAL'!R33)</f>
        <v>46263</v>
      </c>
      <c r="S33" s="16">
        <f>IF('[1]P-GENERAL'!S33="","",'[1]P-GENERAL'!S33)</f>
        <v>0.76527777777777772</v>
      </c>
      <c r="T33" s="16">
        <f>IF('[1]P-GENERAL'!T33="","",'[1]P-GENERAL'!T33)</f>
        <v>0.35416666666666669</v>
      </c>
      <c r="U33" s="17">
        <f>IF('[1]P-GENERAL'!U33="","",'[1]P-GENERAL'!U33)</f>
        <v>46264.119444444441</v>
      </c>
      <c r="V33" s="14">
        <f>IF('[1]P-GENERAL'!V33="","",'[1]P-GENERAL'!V33)</f>
        <v>46264</v>
      </c>
      <c r="W33" s="16">
        <f>IF('[1]P-GENERAL'!W33="","",'[1]P-GENERAL'!W33)</f>
        <v>0.11597222222222223</v>
      </c>
      <c r="X33" s="14" t="str">
        <f>IF('[1]P-GENERAL'!X33="","",'[1]P-GENERAL'!X33)</f>
        <v>NO CUMPLE</v>
      </c>
      <c r="Y33" s="14" t="str">
        <f>IF('[1]P-GENERAL'!Y33="","",'[1]P-GENERAL'!Y33)</f>
        <v>NO CUMPLE</v>
      </c>
      <c r="Z33" s="14" t="str">
        <f>IF('[1]P-GENERAL'!Z33="","",'[1]P-GENERAL'!Z33)</f>
        <v/>
      </c>
      <c r="AA33" s="14" t="str">
        <f>IF('[1]P-GENERAL'!AA33="","",'[1]P-GENERAL'!AA33)</f>
        <v>DESPACHADO</v>
      </c>
      <c r="AB33" s="8" t="str">
        <f>IF('[1]P-GENERAL'!AB33="","",'[1]P-GENERAL'!AB33)</f>
        <v>SEGOVIA</v>
      </c>
      <c r="AC33" s="8" t="str">
        <f>IF('[1]P-GENERAL'!AC33="","",'[1]P-GENERAL'!AC33)</f>
        <v>Cesar Antonio Cardenas</v>
      </c>
      <c r="AD33">
        <f>IF('[1]P-GENERAL'!AD33="","",'[1]P-GENERAL'!AD33)</f>
        <v>26352</v>
      </c>
      <c r="AE33" t="str">
        <f>IF('[1]P-GENERAL'!AE33="","",'[1]P-GENERAL'!AE33)</f>
        <v>QCH1W04B40</v>
      </c>
    </row>
    <row r="34" spans="1:31" ht="20.25" x14ac:dyDescent="0.3">
      <c r="A34" s="11" t="str">
        <f>IF('[1]P-GENERAL'!A34="","",'[1]P-GENERAL'!A34)</f>
        <v>Chanitos Premium Tarima Chep</v>
      </c>
      <c r="B34" s="11" t="str">
        <f>IF('[1]P-GENERAL'!B34="","",'[1]P-GENERAL'!B34)</f>
        <v>CPR01102</v>
      </c>
      <c r="C34" t="str">
        <f>IF('[1]P-GENERAL'!C34="","",'[1]P-GENERAL'!C34)</f>
        <v>A01003-352808-1</v>
      </c>
      <c r="D34" t="str">
        <f>IF('[1]P-GENERAL'!D34="","",'[1]P-GENERAL'!D34)</f>
        <v>A01 003 Doña Nelly</v>
      </c>
      <c r="E34" s="8" t="str">
        <f>IF('[1]P-GENERAL'!E34="","",'[1]P-GENERAL'!E34)</f>
        <v>Chalco</v>
      </c>
      <c r="F34" s="12">
        <f>IF('[1]P-GENERAL'!F34="","",'[1]P-GENERAL'!F34)</f>
        <v>1104</v>
      </c>
      <c r="G34" s="13">
        <f>IF('[1]P-GENERAL'!G34="","",'[1]P-GENERAL'!G34)</f>
        <v>23</v>
      </c>
      <c r="H34" s="14">
        <f>IF('[1]P-GENERAL'!H34="","",'[1]P-GENERAL'!H34)</f>
        <v>46262</v>
      </c>
      <c r="I34">
        <f>IF('[1]P-GENERAL'!I34="","",'[1]P-GENERAL'!I34)</f>
        <v>35</v>
      </c>
      <c r="J34" s="15">
        <f>IF('[1]P-GENERAL'!J34="","",'[1]P-GENERAL'!J34)</f>
        <v>46267</v>
      </c>
      <c r="K34" s="14" t="str">
        <f>IF('[1]P-GENERAL'!K34="","",'[1]P-GENERAL'!K34)</f>
        <v/>
      </c>
      <c r="L34" s="14" t="str">
        <f>IF('[1]P-GENERAL'!L34="","",'[1]P-GENERAL'!L34)</f>
        <v>PREENFRIO NELLY</v>
      </c>
      <c r="M34">
        <f>IF('[1]P-GENERAL'!M34="","",'[1]P-GENERAL'!M34)</f>
        <v>1</v>
      </c>
      <c r="N34">
        <f>IF('[1]P-GENERAL'!N34="","",'[1]P-GENERAL'!N34)</f>
        <v>24</v>
      </c>
      <c r="O34" s="14">
        <f>IF('[1]P-GENERAL'!O34="","",'[1]P-GENERAL'!O34)</f>
        <v>46262</v>
      </c>
      <c r="P34" s="16">
        <f>IF('[1]P-GENERAL'!P34="","",'[1]P-GENERAL'!P34)</f>
        <v>0.66527777777777775</v>
      </c>
      <c r="Q34" t="str">
        <f>IF('[1]P-GENERAL'!Q34="","",'[1]P-GENERAL'!Q34)</f>
        <v>NORMAL</v>
      </c>
      <c r="R34" s="14">
        <f>IF('[1]P-GENERAL'!R34="","",'[1]P-GENERAL'!R34)</f>
        <v>46264</v>
      </c>
      <c r="S34" s="16">
        <f>IF('[1]P-GENERAL'!S34="","",'[1]P-GENERAL'!S34)</f>
        <v>0.66666666666666663</v>
      </c>
      <c r="T34" s="16">
        <f>IF('[1]P-GENERAL'!T34="","",'[1]P-GENERAL'!T34)</f>
        <v>0.35416666666666669</v>
      </c>
      <c r="U34" s="17">
        <f>IF('[1]P-GENERAL'!U34="","",'[1]P-GENERAL'!U34)</f>
        <v>46265.020833333328</v>
      </c>
      <c r="V34" s="14">
        <f>IF('[1]P-GENERAL'!V34="","",'[1]P-GENERAL'!V34)</f>
        <v>46265</v>
      </c>
      <c r="W34" s="16">
        <f>IF('[1]P-GENERAL'!W34="","",'[1]P-GENERAL'!W34)</f>
        <v>0.38194444444444442</v>
      </c>
      <c r="X34" s="14" t="str">
        <f>IF('[1]P-GENERAL'!X34="","",'[1]P-GENERAL'!X34)</f>
        <v>SI CUMPLE</v>
      </c>
      <c r="Y34" s="14" t="str">
        <f>IF('[1]P-GENERAL'!Y34="","",'[1]P-GENERAL'!Y34)</f>
        <v>SI CUMPLE</v>
      </c>
      <c r="Z34" s="14" t="str">
        <f>IF('[1]P-GENERAL'!Z34="","",'[1]P-GENERAL'!Z34)</f>
        <v/>
      </c>
      <c r="AA34" s="14" t="str">
        <f>IF('[1]P-GENERAL'!AA34="","",'[1]P-GENERAL'!AA34)</f>
        <v>DESPACHADO</v>
      </c>
      <c r="AB34" s="8" t="str">
        <f>IF('[1]P-GENERAL'!AB34="","",'[1]P-GENERAL'!AB34)</f>
        <v>Transp Perez</v>
      </c>
      <c r="AC34" s="8" t="str">
        <f>IF('[1]P-GENERAL'!AC34="","",'[1]P-GENERAL'!AC34)</f>
        <v>Julio Cesar Alvarado Sosa</v>
      </c>
      <c r="AD34">
        <f>IF('[1]P-GENERAL'!AD34="","",'[1]P-GENERAL'!AD34)</f>
        <v>93922</v>
      </c>
      <c r="AE34" t="str">
        <f>IF('[1]P-GENERAL'!AE34="","",'[1]P-GENERAL'!AE34)</f>
        <v>QCH1W04B90</v>
      </c>
    </row>
    <row r="35" spans="1:31" ht="20.25" x14ac:dyDescent="0.3">
      <c r="A35" s="11" t="str">
        <f>IF('[1]P-GENERAL'!A35="","",'[1]P-GENERAL'!A35)</f>
        <v>Chanitos Premium Tarima Chep</v>
      </c>
      <c r="B35" s="11" t="str">
        <f>IF('[1]P-GENERAL'!B35="","",'[1]P-GENERAL'!B35)</f>
        <v>CPR01102</v>
      </c>
      <c r="C35" t="str">
        <f>IF('[1]P-GENERAL'!C35="","",'[1]P-GENERAL'!C35)</f>
        <v>A05040-352808-1</v>
      </c>
      <c r="D35" t="str">
        <f>IF('[1]P-GENERAL'!D35="","",'[1]P-GENERAL'!D35)</f>
        <v>A05 040 Plataneros Unidos 1</v>
      </c>
      <c r="E35" s="8" t="str">
        <f>IF('[1]P-GENERAL'!E35="","",'[1]P-GENERAL'!E35)</f>
        <v>SMO</v>
      </c>
      <c r="F35" s="12">
        <f>IF('[1]P-GENERAL'!F35="","",'[1]P-GENERAL'!F35)</f>
        <v>1152</v>
      </c>
      <c r="G35" s="13">
        <f>IF('[1]P-GENERAL'!G35="","",'[1]P-GENERAL'!G35)</f>
        <v>24</v>
      </c>
      <c r="H35" s="14">
        <f>IF('[1]P-GENERAL'!H35="","",'[1]P-GENERAL'!H35)</f>
        <v>46262</v>
      </c>
      <c r="I35">
        <f>IF('[1]P-GENERAL'!I35="","",'[1]P-GENERAL'!I35)</f>
        <v>35</v>
      </c>
      <c r="J35" s="15">
        <f>IF('[1]P-GENERAL'!J35="","",'[1]P-GENERAL'!J35)</f>
        <v>46267</v>
      </c>
      <c r="K35" s="14" t="str">
        <f>IF('[1]P-GENERAL'!K35="","",'[1]P-GENERAL'!K35)</f>
        <v/>
      </c>
      <c r="L35" s="14" t="str">
        <f>IF('[1]P-GENERAL'!L35="","",'[1]P-GENERAL'!L35)</f>
        <v>PREENFRIO FORTALEZA</v>
      </c>
      <c r="M35">
        <f>IF('[1]P-GENERAL'!M35="","",'[1]P-GENERAL'!M35)</f>
        <v>1.5</v>
      </c>
      <c r="N35">
        <f>IF('[1]P-GENERAL'!N35="","",'[1]P-GENERAL'!N35)</f>
        <v>36</v>
      </c>
      <c r="O35" s="14">
        <f>IF('[1]P-GENERAL'!O35="","",'[1]P-GENERAL'!O35)</f>
        <v>46263</v>
      </c>
      <c r="P35" s="16">
        <f>IF('[1]P-GENERAL'!P35="","",'[1]P-GENERAL'!P35)</f>
        <v>0.72777777777777775</v>
      </c>
      <c r="Q35" t="str">
        <f>IF('[1]P-GENERAL'!Q35="","",'[1]P-GENERAL'!Q35)</f>
        <v>NORMAL</v>
      </c>
      <c r="R35" s="14">
        <f>IF('[1]P-GENERAL'!R35="","",'[1]P-GENERAL'!R35)</f>
        <v>46264</v>
      </c>
      <c r="S35" s="16">
        <f>IF('[1]P-GENERAL'!S35="","",'[1]P-GENERAL'!S35)</f>
        <v>0.20972222222222223</v>
      </c>
      <c r="T35" s="16">
        <f>IF('[1]P-GENERAL'!T35="","",'[1]P-GENERAL'!T35)</f>
        <v>0.625</v>
      </c>
      <c r="U35" s="17">
        <f>IF('[1]P-GENERAL'!U35="","",'[1]P-GENERAL'!U35)</f>
        <v>46264.834722222222</v>
      </c>
      <c r="V35" s="14">
        <f>IF('[1]P-GENERAL'!V35="","",'[1]P-GENERAL'!V35)</f>
        <v>46264</v>
      </c>
      <c r="W35" s="16">
        <f>IF('[1]P-GENERAL'!W35="","",'[1]P-GENERAL'!W35)</f>
        <v>0.91666666666666663</v>
      </c>
      <c r="X35" s="14" t="str">
        <f>IF('[1]P-GENERAL'!X35="","",'[1]P-GENERAL'!X35)</f>
        <v>SI CUMPLE</v>
      </c>
      <c r="Y35" s="14" t="str">
        <f>IF('[1]P-GENERAL'!Y35="","",'[1]P-GENERAL'!Y35)</f>
        <v>SI CUMPLE</v>
      </c>
      <c r="Z35" s="14" t="str">
        <f>IF('[1]P-GENERAL'!Z35="","",'[1]P-GENERAL'!Z35)</f>
        <v/>
      </c>
      <c r="AA35" s="14" t="str">
        <f>IF('[1]P-GENERAL'!AA35="","",'[1]P-GENERAL'!AA35)</f>
        <v>DESPACHADO</v>
      </c>
      <c r="AB35" s="8" t="str">
        <f>IF('[1]P-GENERAL'!AB35="","",'[1]P-GENERAL'!AB35)</f>
        <v>SANCHEZ SANCHEZ</v>
      </c>
      <c r="AC35" s="8" t="str">
        <f>IF('[1]P-GENERAL'!AC35="","",'[1]P-GENERAL'!AC35)</f>
        <v>JACINTO RAMIREZ LOPEZ</v>
      </c>
      <c r="AD35">
        <f>IF('[1]P-GENERAL'!AD35="","",'[1]P-GENERAL'!AD35)</f>
        <v>72915</v>
      </c>
      <c r="AE35" t="str">
        <f>IF('[1]P-GENERAL'!AE35="","",'[1]P-GENERAL'!AE35)</f>
        <v>QCH1W04P00</v>
      </c>
    </row>
    <row r="36" spans="1:31" ht="20.25" x14ac:dyDescent="0.3">
      <c r="A36" s="11" t="str">
        <f>IF('[1]P-GENERAL'!A36="","",'[1]P-GENERAL'!A36)</f>
        <v>Platano de Chiapas BAE UPC 3237</v>
      </c>
      <c r="B36" s="11" t="str">
        <f>IF('[1]P-GENERAL'!B36="","",'[1]P-GENERAL'!B36)</f>
        <v>CPR01114</v>
      </c>
      <c r="C36" t="str">
        <f>IF('[1]P-GENERAL'!C36="","",'[1]P-GENERAL'!C36)</f>
        <v>A01003-352808-1</v>
      </c>
      <c r="D36" t="str">
        <f>IF('[1]P-GENERAL'!D36="","",'[1]P-GENERAL'!D36)</f>
        <v>A01 003 Doña Nelly</v>
      </c>
      <c r="E36" s="8" t="str">
        <f>IF('[1]P-GENERAL'!E36="","",'[1]P-GENERAL'!E36)</f>
        <v>Chalco</v>
      </c>
      <c r="F36" s="12">
        <f>IF('[1]P-GENERAL'!F36="","",'[1]P-GENERAL'!F36)</f>
        <v>48</v>
      </c>
      <c r="G36" s="13">
        <f>IF('[1]P-GENERAL'!G36="","",'[1]P-GENERAL'!G36)</f>
        <v>1</v>
      </c>
      <c r="H36" s="14">
        <f>IF('[1]P-GENERAL'!H36="","",'[1]P-GENERAL'!H36)</f>
        <v>46262</v>
      </c>
      <c r="I36">
        <f>IF('[1]P-GENERAL'!I36="","",'[1]P-GENERAL'!I36)</f>
        <v>35</v>
      </c>
      <c r="J36" s="15">
        <f>IF('[1]P-GENERAL'!J36="","",'[1]P-GENERAL'!J36)</f>
        <v>46267</v>
      </c>
      <c r="K36" s="14" t="str">
        <f>IF('[1]P-GENERAL'!K36="","",'[1]P-GENERAL'!K36)</f>
        <v/>
      </c>
      <c r="L36" s="14" t="str">
        <f>IF('[1]P-GENERAL'!L36="","",'[1]P-GENERAL'!L36)</f>
        <v>PREENFRIO NELLY</v>
      </c>
      <c r="M36">
        <f>IF('[1]P-GENERAL'!M36="","",'[1]P-GENERAL'!M36)</f>
        <v>1</v>
      </c>
      <c r="N36">
        <f>IF('[1]P-GENERAL'!N36="","",'[1]P-GENERAL'!N36)</f>
        <v>24</v>
      </c>
      <c r="O36" s="14">
        <f>IF('[1]P-GENERAL'!O36="","",'[1]P-GENERAL'!O36)</f>
        <v>46262</v>
      </c>
      <c r="P36" s="16">
        <f>IF('[1]P-GENERAL'!P36="","",'[1]P-GENERAL'!P36)</f>
        <v>0.66527777777777775</v>
      </c>
      <c r="Q36" t="str">
        <f>IF('[1]P-GENERAL'!Q36="","",'[1]P-GENERAL'!Q36)</f>
        <v>NORMAL</v>
      </c>
      <c r="R36" s="14">
        <f>IF('[1]P-GENERAL'!R36="","",'[1]P-GENERAL'!R36)</f>
        <v>46264</v>
      </c>
      <c r="S36" s="16">
        <f>IF('[1]P-GENERAL'!S36="","",'[1]P-GENERAL'!S36)</f>
        <v>0.66666666666666663</v>
      </c>
      <c r="T36" s="16">
        <f>IF('[1]P-GENERAL'!T36="","",'[1]P-GENERAL'!T36)</f>
        <v>0.35416666666666669</v>
      </c>
      <c r="U36" s="17">
        <f>IF('[1]P-GENERAL'!U36="","",'[1]P-GENERAL'!U36)</f>
        <v>46265.020833333328</v>
      </c>
      <c r="V36" s="14">
        <f>IF('[1]P-GENERAL'!V36="","",'[1]P-GENERAL'!V36)</f>
        <v>46265</v>
      </c>
      <c r="W36" s="16">
        <f>IF('[1]P-GENERAL'!W36="","",'[1]P-GENERAL'!W36)</f>
        <v>0.38194444444444442</v>
      </c>
      <c r="X36" s="14" t="str">
        <f>IF('[1]P-GENERAL'!X36="","",'[1]P-GENERAL'!X36)</f>
        <v>SI CUMPLE</v>
      </c>
      <c r="Y36" s="14" t="str">
        <f>IF('[1]P-GENERAL'!Y36="","",'[1]P-GENERAL'!Y36)</f>
        <v>SI CUMPLE</v>
      </c>
      <c r="Z36" s="14" t="str">
        <f>IF('[1]P-GENERAL'!Z36="","",'[1]P-GENERAL'!Z36)</f>
        <v/>
      </c>
      <c r="AA36" s="14" t="str">
        <f>IF('[1]P-GENERAL'!AA36="","",'[1]P-GENERAL'!AA36)</f>
        <v>DESPACHADO</v>
      </c>
      <c r="AB36" s="8" t="str">
        <f>IF('[1]P-GENERAL'!AB36="","",'[1]P-GENERAL'!AB36)</f>
        <v>Transp Perez</v>
      </c>
      <c r="AC36" s="8" t="str">
        <f>IF('[1]P-GENERAL'!AC36="","",'[1]P-GENERAL'!AC36)</f>
        <v>Julio Cesar Alvarado Sosa</v>
      </c>
      <c r="AD36">
        <f>IF('[1]P-GENERAL'!AD36="","",'[1]P-GENERAL'!AD36)</f>
        <v>93922</v>
      </c>
      <c r="AE36" t="str">
        <f>IF('[1]P-GENERAL'!AE36="","",'[1]P-GENERAL'!AE36)</f>
        <v>QCH1W04B90</v>
      </c>
    </row>
    <row r="37" spans="1:31" ht="20.25" x14ac:dyDescent="0.3">
      <c r="A37" s="11" t="str">
        <f>IF('[1]P-GENERAL'!A37="","",'[1]P-GENERAL'!A37)</f>
        <v>Chanitos Organic Banded Market Side Mexico</v>
      </c>
      <c r="B37" s="11" t="str">
        <f>IF('[1]P-GENERAL'!B37="","",'[1]P-GENERAL'!B37)</f>
        <v>CRG07128</v>
      </c>
      <c r="C37" t="str">
        <f>IF('[1]P-GENERAL'!C37="","",'[1]P-GENERAL'!C37)</f>
        <v>A01003-352808-1</v>
      </c>
      <c r="D37" t="str">
        <f>IF('[1]P-GENERAL'!D37="","",'[1]P-GENERAL'!D37)</f>
        <v>A01 003 Doña Nelly</v>
      </c>
      <c r="E37" s="8" t="str">
        <f>IF('[1]P-GENERAL'!E37="","",'[1]P-GENERAL'!E37)</f>
        <v>QRO</v>
      </c>
      <c r="F37" s="12">
        <f>IF('[1]P-GENERAL'!F37="","",'[1]P-GENERAL'!F37)</f>
        <v>96</v>
      </c>
      <c r="G37" s="13">
        <f>IF('[1]P-GENERAL'!G37="","",'[1]P-GENERAL'!G37)</f>
        <v>2</v>
      </c>
      <c r="H37" s="14">
        <f>IF('[1]P-GENERAL'!H37="","",'[1]P-GENERAL'!H37)</f>
        <v>46262</v>
      </c>
      <c r="I37">
        <f>IF('[1]P-GENERAL'!I37="","",'[1]P-GENERAL'!I37)</f>
        <v>35</v>
      </c>
      <c r="J37" s="15">
        <f>IF('[1]P-GENERAL'!J37="","",'[1]P-GENERAL'!J37)</f>
        <v>46267</v>
      </c>
      <c r="K37" s="14" t="str">
        <f>IF('[1]P-GENERAL'!K37="","",'[1]P-GENERAL'!K37)</f>
        <v/>
      </c>
      <c r="L37" s="14" t="str">
        <f>IF('[1]P-GENERAL'!L37="","",'[1]P-GENERAL'!L37)</f>
        <v>PREENFRIO NELLY</v>
      </c>
      <c r="M37">
        <f>IF('[1]P-GENERAL'!M37="","",'[1]P-GENERAL'!M37)</f>
        <v>1.5</v>
      </c>
      <c r="N37">
        <f>IF('[1]P-GENERAL'!N37="","",'[1]P-GENERAL'!N37)</f>
        <v>36</v>
      </c>
      <c r="O37" s="14">
        <f>IF('[1]P-GENERAL'!O37="","",'[1]P-GENERAL'!O37)</f>
        <v>46262</v>
      </c>
      <c r="P37" s="16">
        <f>IF('[1]P-GENERAL'!P37="","",'[1]P-GENERAL'!P37)</f>
        <v>0.66527777777777775</v>
      </c>
      <c r="Q37" t="str">
        <f>IF('[1]P-GENERAL'!Q37="","",'[1]P-GENERAL'!Q37)</f>
        <v>NORMAL</v>
      </c>
      <c r="R37" s="14">
        <f>IF('[1]P-GENERAL'!R37="","",'[1]P-GENERAL'!R37)</f>
        <v>46263</v>
      </c>
      <c r="S37" s="16">
        <f>IF('[1]P-GENERAL'!S37="","",'[1]P-GENERAL'!S37)</f>
        <v>8.3333333333333329E-2</v>
      </c>
      <c r="T37" s="16">
        <f>IF('[1]P-GENERAL'!T37="","",'[1]P-GENERAL'!T37)</f>
        <v>0.35416666666666669</v>
      </c>
      <c r="U37" s="17">
        <f>IF('[1]P-GENERAL'!U37="","",'[1]P-GENERAL'!U37)</f>
        <v>46263.4375</v>
      </c>
      <c r="V37" s="14">
        <f>IF('[1]P-GENERAL'!V37="","",'[1]P-GENERAL'!V37)</f>
        <v>46263</v>
      </c>
      <c r="W37" s="16">
        <f>IF('[1]P-GENERAL'!W37="","",'[1]P-GENERAL'!W37)</f>
        <v>0.33333333333333331</v>
      </c>
      <c r="X37" s="14" t="str">
        <f>IF('[1]P-GENERAL'!X37="","",'[1]P-GENERAL'!X37)</f>
        <v>SI CUMPLE</v>
      </c>
      <c r="Y37" s="14" t="str">
        <f>IF('[1]P-GENERAL'!Y37="","",'[1]P-GENERAL'!Y37)</f>
        <v>SI CUMPLE</v>
      </c>
      <c r="Z37" s="14" t="str">
        <f>IF('[1]P-GENERAL'!Z37="","",'[1]P-GENERAL'!Z37)</f>
        <v/>
      </c>
      <c r="AA37" s="14" t="str">
        <f>IF('[1]P-GENERAL'!AA37="","",'[1]P-GENERAL'!AA37)</f>
        <v>DESPACHADO</v>
      </c>
      <c r="AB37" s="8" t="str">
        <f>IF('[1]P-GENERAL'!AB37="","",'[1]P-GENERAL'!AB37)</f>
        <v>Refrig Carrillo</v>
      </c>
      <c r="AC37" s="8" t="str">
        <f>IF('[1]P-GENERAL'!AC37="","",'[1]P-GENERAL'!AC37)</f>
        <v>Israel Hernandez Valencia</v>
      </c>
      <c r="AD37">
        <f>IF('[1]P-GENERAL'!AD37="","",'[1]P-GENERAL'!AD37)</f>
        <v>55558</v>
      </c>
      <c r="AE37" t="str">
        <f>IF('[1]P-GENERAL'!AE37="","",'[1]P-GENERAL'!AE37)</f>
        <v/>
      </c>
    </row>
    <row r="38" spans="1:31" ht="20.25" x14ac:dyDescent="0.3">
      <c r="A38" s="11" t="str">
        <f>IF('[1]P-GENERAL'!A38="","",'[1]P-GENERAL'!A38)</f>
        <v>Chanitos Premium Tarima Americana</v>
      </c>
      <c r="B38" s="11" t="str">
        <f>IF('[1]P-GENERAL'!B38="","",'[1]P-GENERAL'!B38)</f>
        <v>CPR01103</v>
      </c>
      <c r="C38" t="str">
        <f>IF('[1]P-GENERAL'!C38="","",'[1]P-GENERAL'!C38)</f>
        <v>A25022-352808-1</v>
      </c>
      <c r="D38" t="str">
        <f>IF('[1]P-GENERAL'!D38="","",'[1]P-GENERAL'!D38)</f>
        <v>A25 022 Doña Mildred</v>
      </c>
      <c r="E38" s="8" t="str">
        <f>IF('[1]P-GENERAL'!E38="","",'[1]P-GENERAL'!E38)</f>
        <v>Ciudad Juarez</v>
      </c>
      <c r="F38" s="12">
        <f>IF('[1]P-GENERAL'!F38="","",'[1]P-GENERAL'!F38)</f>
        <v>960</v>
      </c>
      <c r="G38" s="13">
        <f>IF('[1]P-GENERAL'!G38="","",'[1]P-GENERAL'!G38)</f>
        <v>20</v>
      </c>
      <c r="H38" s="14">
        <f>IF('[1]P-GENERAL'!H38="","",'[1]P-GENERAL'!H38)</f>
        <v>46262</v>
      </c>
      <c r="I38">
        <f>IF('[1]P-GENERAL'!I38="","",'[1]P-GENERAL'!I38)</f>
        <v>35</v>
      </c>
      <c r="J38" s="15">
        <f>IF('[1]P-GENERAL'!J38="","",'[1]P-GENERAL'!J38)</f>
        <v>46269</v>
      </c>
      <c r="K38" s="14">
        <f>IF('[1]P-GENERAL'!K38="","",'[1]P-GENERAL'!K38)</f>
        <v>0.25</v>
      </c>
      <c r="L38" s="14" t="str">
        <f>IF('[1]P-GENERAL'!L38="","",'[1]P-GENERAL'!L38)</f>
        <v>PREENFRIO NELLY</v>
      </c>
      <c r="M38">
        <f>IF('[1]P-GENERAL'!M38="","",'[1]P-GENERAL'!M38)</f>
        <v>4</v>
      </c>
      <c r="N38">
        <f>IF('[1]P-GENERAL'!N38="","",'[1]P-GENERAL'!N38)</f>
        <v>96</v>
      </c>
      <c r="O38" s="14">
        <f>IF('[1]P-GENERAL'!O38="","",'[1]P-GENERAL'!O38)</f>
        <v>46262</v>
      </c>
      <c r="P38" s="16">
        <f>IF('[1]P-GENERAL'!P38="","",'[1]P-GENERAL'!P38)</f>
        <v>0.99305555555555558</v>
      </c>
      <c r="Q38" t="str">
        <f>IF('[1]P-GENERAL'!Q38="","",'[1]P-GENERAL'!Q38)</f>
        <v>ALTA</v>
      </c>
      <c r="R38" s="14">
        <f>IF('[1]P-GENERAL'!R38="","",'[1]P-GENERAL'!R38)</f>
        <v>46264</v>
      </c>
      <c r="S38" s="16">
        <f>IF('[1]P-GENERAL'!S38="","",'[1]P-GENERAL'!S38)</f>
        <v>0.5625</v>
      </c>
      <c r="T38" s="16">
        <f>IF('[1]P-GENERAL'!T38="","",'[1]P-GENERAL'!T38)</f>
        <v>0.4375</v>
      </c>
      <c r="U38" s="17">
        <f>IF('[1]P-GENERAL'!U38="","",'[1]P-GENERAL'!U38)</f>
        <v>46265</v>
      </c>
      <c r="V38" s="14">
        <f>IF('[1]P-GENERAL'!V38="","",'[1]P-GENERAL'!V38)</f>
        <v>46265</v>
      </c>
      <c r="W38" s="16">
        <f>IF('[1]P-GENERAL'!W38="","",'[1]P-GENERAL'!W38)</f>
        <v>0.27083333333333331</v>
      </c>
      <c r="X38" s="14" t="str">
        <f>IF('[1]P-GENERAL'!X38="","",'[1]P-GENERAL'!X38)</f>
        <v>SI CUMPLE</v>
      </c>
      <c r="Y38" s="14" t="str">
        <f>IF('[1]P-GENERAL'!Y38="","",'[1]P-GENERAL'!Y38)</f>
        <v>NO CUMPLE</v>
      </c>
      <c r="Z38" s="14" t="str">
        <f>IF('[1]P-GENERAL'!Z38="","",'[1]P-GENERAL'!Z38)</f>
        <v/>
      </c>
      <c r="AA38" s="14" t="str">
        <f>IF('[1]P-GENERAL'!AA38="","",'[1]P-GENERAL'!AA38)</f>
        <v>DESPACHADO</v>
      </c>
      <c r="AB38" s="8" t="str">
        <f>IF('[1]P-GENERAL'!AB38="","",'[1]P-GENERAL'!AB38)</f>
        <v>SEGOVIA</v>
      </c>
      <c r="AC38" s="8" t="str">
        <f>IF('[1]P-GENERAL'!AC38="","",'[1]P-GENERAL'!AC38)</f>
        <v>Santiago Antonio Herrera</v>
      </c>
      <c r="AD38">
        <f>IF('[1]P-GENERAL'!AD38="","",'[1]P-GENERAL'!AD38)</f>
        <v>65678</v>
      </c>
      <c r="AE38" t="str">
        <f>IF('[1]P-GENERAL'!AE38="","",'[1]P-GENERAL'!AE38)</f>
        <v>QCH1W04B60</v>
      </c>
    </row>
    <row r="39" spans="1:31" ht="20.25" x14ac:dyDescent="0.3">
      <c r="A39" s="11" t="str">
        <f>IF('[1]P-GENERAL'!A39="","",'[1]P-GENERAL'!A39)</f>
        <v>Chanitos Premium Tarima Chep</v>
      </c>
      <c r="B39" s="11" t="str">
        <f>IF('[1]P-GENERAL'!B39="","",'[1]P-GENERAL'!B39)</f>
        <v>CPR01102</v>
      </c>
      <c r="C39" t="str">
        <f>IF('[1]P-GENERAL'!C39="","",'[1]P-GENERAL'!C39)</f>
        <v>A01001-352808-1</v>
      </c>
      <c r="D39" t="str">
        <f>IF('[1]P-GENERAL'!D39="","",'[1]P-GENERAL'!D39)</f>
        <v>A01 001 Marbella</v>
      </c>
      <c r="E39" s="8" t="str">
        <f>IF('[1]P-GENERAL'!E39="","",'[1]P-GENERAL'!E39)</f>
        <v>Chalco</v>
      </c>
      <c r="F39" s="12">
        <f>IF('[1]P-GENERAL'!F39="","",'[1]P-GENERAL'!F39)</f>
        <v>144</v>
      </c>
      <c r="G39" s="13">
        <f>IF('[1]P-GENERAL'!G39="","",'[1]P-GENERAL'!G39)</f>
        <v>3</v>
      </c>
      <c r="H39" s="14">
        <f>IF('[1]P-GENERAL'!H39="","",'[1]P-GENERAL'!H39)</f>
        <v>46262</v>
      </c>
      <c r="I39">
        <f>IF('[1]P-GENERAL'!I39="","",'[1]P-GENERAL'!I39)</f>
        <v>35</v>
      </c>
      <c r="J39" s="15">
        <f>IF('[1]P-GENERAL'!J39="","",'[1]P-GENERAL'!J39)</f>
        <v>46268</v>
      </c>
      <c r="K39" s="14" t="str">
        <f>IF('[1]P-GENERAL'!K39="","",'[1]P-GENERAL'!K39)</f>
        <v/>
      </c>
      <c r="L39" s="14" t="str">
        <f>IF('[1]P-GENERAL'!L39="","",'[1]P-GENERAL'!L39)</f>
        <v>PREENFRIO FORTALEZA</v>
      </c>
      <c r="M39">
        <f>IF('[1]P-GENERAL'!M39="","",'[1]P-GENERAL'!M39)</f>
        <v>1</v>
      </c>
      <c r="N39">
        <f>IF('[1]P-GENERAL'!N39="","",'[1]P-GENERAL'!N39)</f>
        <v>24</v>
      </c>
      <c r="O39" s="14">
        <f>IF('[1]P-GENERAL'!O39="","",'[1]P-GENERAL'!O39)</f>
        <v>46262</v>
      </c>
      <c r="P39" s="16">
        <f>IF('[1]P-GENERAL'!P39="","",'[1]P-GENERAL'!P39)</f>
        <v>0.82291666666666663</v>
      </c>
      <c r="Q39" t="str">
        <f>IF('[1]P-GENERAL'!Q39="","",'[1]P-GENERAL'!Q39)</f>
        <v>NORMAL</v>
      </c>
      <c r="R39" s="14">
        <f>IF('[1]P-GENERAL'!R39="","",'[1]P-GENERAL'!R39)</f>
        <v>46265</v>
      </c>
      <c r="S39" s="16">
        <f>IF('[1]P-GENERAL'!S39="","",'[1]P-GENERAL'!S39)</f>
        <v>0.27500000000000002</v>
      </c>
      <c r="T39" s="16">
        <f>IF('[1]P-GENERAL'!T39="","",'[1]P-GENERAL'!T39)</f>
        <v>0.625</v>
      </c>
      <c r="U39" s="17">
        <f>IF('[1]P-GENERAL'!U39="","",'[1]P-GENERAL'!U39)</f>
        <v>46265.9</v>
      </c>
      <c r="V39" s="14">
        <f>IF('[1]P-GENERAL'!V39="","",'[1]P-GENERAL'!V39)</f>
        <v>46265</v>
      </c>
      <c r="W39" s="16">
        <f>IF('[1]P-GENERAL'!W39="","",'[1]P-GENERAL'!W39)</f>
        <v>0.92708333333333337</v>
      </c>
      <c r="X39" s="14" t="str">
        <f>IF('[1]P-GENERAL'!X39="","",'[1]P-GENERAL'!X39)</f>
        <v>SI CUMPLE</v>
      </c>
      <c r="Y39" s="14" t="str">
        <f>IF('[1]P-GENERAL'!Y39="","",'[1]P-GENERAL'!Y39)</f>
        <v>SI CUMPLE</v>
      </c>
      <c r="Z39" s="14" t="str">
        <f>IF('[1]P-GENERAL'!Z39="","",'[1]P-GENERAL'!Z39)</f>
        <v/>
      </c>
      <c r="AA39" s="14" t="str">
        <f>IF('[1]P-GENERAL'!AA39="","",'[1]P-GENERAL'!AA39)</f>
        <v>DESPACHADO</v>
      </c>
      <c r="AB39" s="8" t="str">
        <f>IF('[1]P-GENERAL'!AB39="","",'[1]P-GENERAL'!AB39)</f>
        <v>TRANSPORTES ASE</v>
      </c>
      <c r="AC39" s="8" t="str">
        <f>IF('[1]P-GENERAL'!AC39="","",'[1]P-GENERAL'!AC39)</f>
        <v>EDGAR CRUZ OLVERA</v>
      </c>
      <c r="AD39">
        <f>IF('[1]P-GENERAL'!AD39="","",'[1]P-GENERAL'!AD39)</f>
        <v>95538</v>
      </c>
      <c r="AE39" t="str">
        <f>IF('[1]P-GENERAL'!AE39="","",'[1]P-GENERAL'!AE39)</f>
        <v>QCH1W03NK0</v>
      </c>
    </row>
    <row r="40" spans="1:31" ht="20.25" x14ac:dyDescent="0.3">
      <c r="A40" s="11" t="str">
        <f>IF('[1]P-GENERAL'!A40="","",'[1]P-GENERAL'!A40)</f>
        <v>Chanitos Organic Banded Market Side Mexico</v>
      </c>
      <c r="B40" s="11" t="str">
        <f>IF('[1]P-GENERAL'!B40="","",'[1]P-GENERAL'!B40)</f>
        <v>CRG07128</v>
      </c>
      <c r="C40" t="str">
        <f>IF('[1]P-GENERAL'!C40="","",'[1]P-GENERAL'!C40)</f>
        <v>A01002-352808-1</v>
      </c>
      <c r="D40" t="str">
        <f>IF('[1]P-GENERAL'!D40="","",'[1]P-GENERAL'!D40)</f>
        <v>A01 002 Fortaleza</v>
      </c>
      <c r="E40" s="8" t="str">
        <f>IF('[1]P-GENERAL'!E40="","",'[1]P-GENERAL'!E40)</f>
        <v>VSA</v>
      </c>
      <c r="F40" s="12">
        <f>IF('[1]P-GENERAL'!F40="","",'[1]P-GENERAL'!F40)</f>
        <v>288</v>
      </c>
      <c r="G40" s="13">
        <f>IF('[1]P-GENERAL'!G40="","",'[1]P-GENERAL'!G40)</f>
        <v>6</v>
      </c>
      <c r="H40" s="14">
        <f>IF('[1]P-GENERAL'!H40="","",'[1]P-GENERAL'!H40)</f>
        <v>46262</v>
      </c>
      <c r="I40">
        <f>IF('[1]P-GENERAL'!I40="","",'[1]P-GENERAL'!I40)</f>
        <v>35</v>
      </c>
      <c r="J40" s="15">
        <f>IF('[1]P-GENERAL'!J40="","",'[1]P-GENERAL'!J40)</f>
        <v>46268</v>
      </c>
      <c r="K40" s="14" t="str">
        <f>IF('[1]P-GENERAL'!K40="","",'[1]P-GENERAL'!K40)</f>
        <v/>
      </c>
      <c r="L40" s="14" t="str">
        <f>IF('[1]P-GENERAL'!L40="","",'[1]P-GENERAL'!L40)</f>
        <v>PREENFRIO FORTALEZA</v>
      </c>
      <c r="M40">
        <f>IF('[1]P-GENERAL'!M40="","",'[1]P-GENERAL'!M40)</f>
        <v>1</v>
      </c>
      <c r="N40">
        <f>IF('[1]P-GENERAL'!N40="","",'[1]P-GENERAL'!N40)</f>
        <v>24</v>
      </c>
      <c r="O40" s="14">
        <f>IF('[1]P-GENERAL'!O40="","",'[1]P-GENERAL'!O40)</f>
        <v>46262</v>
      </c>
      <c r="P40" s="16">
        <f>IF('[1]P-GENERAL'!P40="","",'[1]P-GENERAL'!P40)</f>
        <v>0.72916666666666663</v>
      </c>
      <c r="Q40" t="str">
        <f>IF('[1]P-GENERAL'!Q40="","",'[1]P-GENERAL'!Q40)</f>
        <v>NORMAL</v>
      </c>
      <c r="R40" s="14">
        <f>IF('[1]P-GENERAL'!R40="","",'[1]P-GENERAL'!R40)</f>
        <v>46264</v>
      </c>
      <c r="S40" s="16">
        <f>IF('[1]P-GENERAL'!S40="","",'[1]P-GENERAL'!S40)</f>
        <v>0.90972222222222221</v>
      </c>
      <c r="T40" s="16">
        <f>IF('[1]P-GENERAL'!T40="","",'[1]P-GENERAL'!T40)</f>
        <v>0.625</v>
      </c>
      <c r="U40" s="17">
        <f>IF('[1]P-GENERAL'!U40="","",'[1]P-GENERAL'!U40)</f>
        <v>46265.534722222219</v>
      </c>
      <c r="V40" s="14">
        <f>IF('[1]P-GENERAL'!V40="","",'[1]P-GENERAL'!V40)</f>
        <v>46266</v>
      </c>
      <c r="W40" s="16">
        <f>IF('[1]P-GENERAL'!W40="","",'[1]P-GENERAL'!W40)</f>
        <v>0.69791666666666663</v>
      </c>
      <c r="X40" s="14" t="str">
        <f>IF('[1]P-GENERAL'!X40="","",'[1]P-GENERAL'!X40)</f>
        <v>SI CUMPLE</v>
      </c>
      <c r="Y40" s="14" t="str">
        <f>IF('[1]P-GENERAL'!Y40="","",'[1]P-GENERAL'!Y40)</f>
        <v>SI CUMPLE</v>
      </c>
      <c r="Z40" s="14" t="str">
        <f>IF('[1]P-GENERAL'!Z40="","",'[1]P-GENERAL'!Z40)</f>
        <v/>
      </c>
      <c r="AA40" s="14" t="str">
        <f>IF('[1]P-GENERAL'!AA40="","",'[1]P-GENERAL'!AA40)</f>
        <v>DESPACHADO</v>
      </c>
      <c r="AB40" s="8" t="str">
        <f>IF('[1]P-GENERAL'!AB40="","",'[1]P-GENERAL'!AB40)</f>
        <v>BACKHAUL</v>
      </c>
      <c r="AC40" s="8" t="str">
        <f>IF('[1]P-GENERAL'!AC40="","",'[1]P-GENERAL'!AC40)</f>
        <v>RAUL MEDINA JAIMES</v>
      </c>
      <c r="AD40">
        <f>IF('[1]P-GENERAL'!AD40="","",'[1]P-GENERAL'!AD40)</f>
        <v>11306</v>
      </c>
      <c r="AE40" t="str">
        <f>IF('[1]P-GENERAL'!AE40="","",'[1]P-GENERAL'!AE40)</f>
        <v>QCH1W04HD0</v>
      </c>
    </row>
    <row r="41" spans="1:31" ht="20.25" x14ac:dyDescent="0.3">
      <c r="A41" s="11" t="str">
        <f>IF('[1]P-GENERAL'!A41="","",'[1]P-GENERAL'!A41)</f>
        <v>Chanitos Premium Tarima Chep</v>
      </c>
      <c r="B41" s="11" t="str">
        <f>IF('[1]P-GENERAL'!B41="","",'[1]P-GENERAL'!B41)</f>
        <v>CPR01102</v>
      </c>
      <c r="C41" t="str">
        <f>IF('[1]P-GENERAL'!C41="","",'[1]P-GENERAL'!C41)</f>
        <v>A01002-352808-1</v>
      </c>
      <c r="D41" t="str">
        <f>IF('[1]P-GENERAL'!D41="","",'[1]P-GENERAL'!D41)</f>
        <v>A01 002 Fortaleza</v>
      </c>
      <c r="E41" s="8" t="str">
        <f>IF('[1]P-GENERAL'!E41="","",'[1]P-GENERAL'!E41)</f>
        <v>VSA</v>
      </c>
      <c r="F41" s="12">
        <f>IF('[1]P-GENERAL'!F41="","",'[1]P-GENERAL'!F41)</f>
        <v>864</v>
      </c>
      <c r="G41" s="13">
        <f>IF('[1]P-GENERAL'!G41="","",'[1]P-GENERAL'!G41)</f>
        <v>18</v>
      </c>
      <c r="H41" s="14">
        <f>IF('[1]P-GENERAL'!H41="","",'[1]P-GENERAL'!H41)</f>
        <v>46262</v>
      </c>
      <c r="I41">
        <f>IF('[1]P-GENERAL'!I41="","",'[1]P-GENERAL'!I41)</f>
        <v>35</v>
      </c>
      <c r="J41" s="15">
        <f>IF('[1]P-GENERAL'!J41="","",'[1]P-GENERAL'!J41)</f>
        <v>46268</v>
      </c>
      <c r="K41" s="14" t="str">
        <f>IF('[1]P-GENERAL'!K41="","",'[1]P-GENERAL'!K41)</f>
        <v/>
      </c>
      <c r="L41" s="14" t="str">
        <f>IF('[1]P-GENERAL'!L41="","",'[1]P-GENERAL'!L41)</f>
        <v>PREENFRIO FORTALEZA</v>
      </c>
      <c r="M41">
        <f>IF('[1]P-GENERAL'!M41="","",'[1]P-GENERAL'!M41)</f>
        <v>1</v>
      </c>
      <c r="N41">
        <f>IF('[1]P-GENERAL'!N41="","",'[1]P-GENERAL'!N41)</f>
        <v>24</v>
      </c>
      <c r="O41" s="14">
        <f>IF('[1]P-GENERAL'!O41="","",'[1]P-GENERAL'!O41)</f>
        <v>46262</v>
      </c>
      <c r="P41" s="16">
        <f>IF('[1]P-GENERAL'!P41="","",'[1]P-GENERAL'!P41)</f>
        <v>0.72916666666666663</v>
      </c>
      <c r="Q41" t="str">
        <f>IF('[1]P-GENERAL'!Q41="","",'[1]P-GENERAL'!Q41)</f>
        <v>NORMAL</v>
      </c>
      <c r="R41" s="14">
        <f>IF('[1]P-GENERAL'!R41="","",'[1]P-GENERAL'!R41)</f>
        <v>46264</v>
      </c>
      <c r="S41" s="16">
        <f>IF('[1]P-GENERAL'!S41="","",'[1]P-GENERAL'!S41)</f>
        <v>0.90972222222222221</v>
      </c>
      <c r="T41" s="16">
        <f>IF('[1]P-GENERAL'!T41="","",'[1]P-GENERAL'!T41)</f>
        <v>0.625</v>
      </c>
      <c r="U41" s="17">
        <f>IF('[1]P-GENERAL'!U41="","",'[1]P-GENERAL'!U41)</f>
        <v>46265.534722222219</v>
      </c>
      <c r="V41" s="14">
        <f>IF('[1]P-GENERAL'!V41="","",'[1]P-GENERAL'!V41)</f>
        <v>46266</v>
      </c>
      <c r="W41" s="16">
        <f>IF('[1]P-GENERAL'!W41="","",'[1]P-GENERAL'!W41)</f>
        <v>0.69791666666666663</v>
      </c>
      <c r="X41" s="14" t="str">
        <f>IF('[1]P-GENERAL'!X41="","",'[1]P-GENERAL'!X41)</f>
        <v>SI CUMPLE</v>
      </c>
      <c r="Y41" s="14" t="str">
        <f>IF('[1]P-GENERAL'!Y41="","",'[1]P-GENERAL'!Y41)</f>
        <v>SI CUMPLE</v>
      </c>
      <c r="Z41" s="14" t="str">
        <f>IF('[1]P-GENERAL'!Z41="","",'[1]P-GENERAL'!Z41)</f>
        <v/>
      </c>
      <c r="AA41" s="14" t="str">
        <f>IF('[1]P-GENERAL'!AA41="","",'[1]P-GENERAL'!AA41)</f>
        <v>DESPACHADO</v>
      </c>
      <c r="AB41" s="8" t="str">
        <f>IF('[1]P-GENERAL'!AB41="","",'[1]P-GENERAL'!AB41)</f>
        <v>BACKHAUL</v>
      </c>
      <c r="AC41" s="8" t="str">
        <f>IF('[1]P-GENERAL'!AC41="","",'[1]P-GENERAL'!AC41)</f>
        <v>RAUL MEDINA JAIMES</v>
      </c>
      <c r="AD41">
        <f>IF('[1]P-GENERAL'!AD41="","",'[1]P-GENERAL'!AD41)</f>
        <v>11306</v>
      </c>
      <c r="AE41" t="str">
        <f>IF('[1]P-GENERAL'!AE41="","",'[1]P-GENERAL'!AE41)</f>
        <v>QCH1W04HD0</v>
      </c>
    </row>
    <row r="42" spans="1:31" ht="20.25" x14ac:dyDescent="0.3">
      <c r="A42" s="11" t="str">
        <f>IF('[1]P-GENERAL'!A42="","",'[1]P-GENERAL'!A42)</f>
        <v>Chanitos Premium EUA Tarima Americana</v>
      </c>
      <c r="B42" s="11" t="str">
        <f>IF('[1]P-GENERAL'!B42="","",'[1]P-GENERAL'!B42)</f>
        <v>CPR01104</v>
      </c>
      <c r="C42" t="str">
        <f>IF('[1]P-GENERAL'!C42="","",'[1]P-GENERAL'!C42)</f>
        <v>A01003-352908-1</v>
      </c>
      <c r="D42" t="str">
        <f>IF('[1]P-GENERAL'!D42="","",'[1]P-GENERAL'!D42)</f>
        <v>A01 003 Doña Nelly</v>
      </c>
      <c r="E42" s="8" t="str">
        <f>IF('[1]P-GENERAL'!E42="","",'[1]P-GENERAL'!E42)</f>
        <v>McAllen</v>
      </c>
      <c r="F42" s="12">
        <f>IF('[1]P-GENERAL'!F42="","",'[1]P-GENERAL'!F42)</f>
        <v>960</v>
      </c>
      <c r="G42" s="13">
        <f>IF('[1]P-GENERAL'!G42="","",'[1]P-GENERAL'!G42)</f>
        <v>20</v>
      </c>
      <c r="H42" s="14">
        <f>IF('[1]P-GENERAL'!H42="","",'[1]P-GENERAL'!H42)</f>
        <v>46263</v>
      </c>
      <c r="I42">
        <f>IF('[1]P-GENERAL'!I42="","",'[1]P-GENERAL'!I42)</f>
        <v>35</v>
      </c>
      <c r="J42" s="15">
        <f>IF('[1]P-GENERAL'!J42="","",'[1]P-GENERAL'!J42)</f>
        <v>46268</v>
      </c>
      <c r="K42" s="14" t="str">
        <f>IF('[1]P-GENERAL'!K42="","",'[1]P-GENERAL'!K42)</f>
        <v/>
      </c>
      <c r="L42" s="14" t="str">
        <f>IF('[1]P-GENERAL'!L42="","",'[1]P-GENERAL'!L42)</f>
        <v>DIRECTO SIN PREENFRIO</v>
      </c>
      <c r="M42">
        <f>IF('[1]P-GENERAL'!M42="","",'[1]P-GENERAL'!M42)</f>
        <v>3</v>
      </c>
      <c r="N42">
        <f>IF('[1]P-GENERAL'!N42="","",'[1]P-GENERAL'!N42)</f>
        <v>72</v>
      </c>
      <c r="O42" s="14">
        <f>IF('[1]P-GENERAL'!O42="","",'[1]P-GENERAL'!O42)</f>
        <v>46262</v>
      </c>
      <c r="P42" s="16">
        <f>IF('[1]P-GENERAL'!P42="","",'[1]P-GENERAL'!P42)</f>
        <v>0.625</v>
      </c>
      <c r="Q42" t="str">
        <f>IF('[1]P-GENERAL'!Q42="","",'[1]P-GENERAL'!Q42)</f>
        <v>NORMAL</v>
      </c>
      <c r="R42" s="14" t="str">
        <f>IF('[1]P-GENERAL'!R42="","",'[1]P-GENERAL'!R42)</f>
        <v>SIN PRENFRIO</v>
      </c>
      <c r="S42" s="16" t="str">
        <f>IF('[1]P-GENERAL'!S42="","",'[1]P-GENERAL'!S42)</f>
        <v>SIN PRENFRIO</v>
      </c>
      <c r="T42" s="16" t="str">
        <f>IF('[1]P-GENERAL'!T42="","",'[1]P-GENERAL'!T42)</f>
        <v>N/A</v>
      </c>
      <c r="U42" s="17" t="str">
        <f>IF('[1]P-GENERAL'!U42="","",'[1]P-GENERAL'!U42)</f>
        <v/>
      </c>
      <c r="V42" s="14">
        <f>IF('[1]P-GENERAL'!V42="","",'[1]P-GENERAL'!V42)</f>
        <v>46263</v>
      </c>
      <c r="W42" s="16">
        <f>IF('[1]P-GENERAL'!W42="","",'[1]P-GENERAL'!W42)</f>
        <v>0.65972222222222221</v>
      </c>
      <c r="X42" s="14" t="str">
        <f>IF('[1]P-GENERAL'!X42="","",'[1]P-GENERAL'!X42)</f>
        <v/>
      </c>
      <c r="Y42" s="14" t="str">
        <f>IF('[1]P-GENERAL'!Y42="","",'[1]P-GENERAL'!Y42)</f>
        <v>SI CUMPLE</v>
      </c>
      <c r="Z42" s="14" t="str">
        <f>IF('[1]P-GENERAL'!Z42="","",'[1]P-GENERAL'!Z42)</f>
        <v/>
      </c>
      <c r="AA42" s="14" t="str">
        <f>IF('[1]P-GENERAL'!AA42="","",'[1]P-GENERAL'!AA42)</f>
        <v>DESPACHADO</v>
      </c>
      <c r="AB42" s="8" t="str">
        <f>IF('[1]P-GENERAL'!AB42="","",'[1]P-GENERAL'!AB42)</f>
        <v>TOMATITOS</v>
      </c>
      <c r="AC42" s="8" t="str">
        <f>IF('[1]P-GENERAL'!AC42="","",'[1]P-GENERAL'!AC42)</f>
        <v>Hugo Alejandro Rodriguez Rojas</v>
      </c>
      <c r="AD42" t="str">
        <f>IF('[1]P-GENERAL'!AD42="","",'[1]P-GENERAL'!AD42)</f>
        <v/>
      </c>
      <c r="AE42" t="str">
        <f>IF('[1]P-GENERAL'!AE42="","",'[1]P-GENERAL'!AE42)</f>
        <v>QCH1W04AA</v>
      </c>
    </row>
    <row r="43" spans="1:31" ht="20.25" x14ac:dyDescent="0.3">
      <c r="A43" s="11" t="str">
        <f>IF('[1]P-GENERAL'!A43="","",'[1]P-GENERAL'!A43)</f>
        <v>Chanitos Premium Tarima Chep</v>
      </c>
      <c r="B43" s="11" t="str">
        <f>IF('[1]P-GENERAL'!B43="","",'[1]P-GENERAL'!B43)</f>
        <v>CPR01102</v>
      </c>
      <c r="C43" t="str">
        <f>IF('[1]P-GENERAL'!C43="","",'[1]P-GENERAL'!C43)</f>
        <v>A01004-352908-1</v>
      </c>
      <c r="D43" t="str">
        <f>IF('[1]P-GENERAL'!D43="","",'[1]P-GENERAL'!D43)</f>
        <v>A01 004 La Ceiba</v>
      </c>
      <c r="E43" s="8" t="str">
        <f>IF('[1]P-GENERAL'!E43="","",'[1]P-GENERAL'!E43)</f>
        <v>Chalco</v>
      </c>
      <c r="F43" s="12">
        <f>IF('[1]P-GENERAL'!F43="","",'[1]P-GENERAL'!F43)</f>
        <v>954</v>
      </c>
      <c r="G43" s="13">
        <f>IF('[1]P-GENERAL'!G43="","",'[1]P-GENERAL'!G43)</f>
        <v>19.875</v>
      </c>
      <c r="H43" s="14">
        <f>IF('[1]P-GENERAL'!H43="","",'[1]P-GENERAL'!H43)</f>
        <v>46263</v>
      </c>
      <c r="I43">
        <f>IF('[1]P-GENERAL'!I43="","",'[1]P-GENERAL'!I43)</f>
        <v>35</v>
      </c>
      <c r="J43" s="15">
        <f>IF('[1]P-GENERAL'!J43="","",'[1]P-GENERAL'!J43)</f>
        <v>46268</v>
      </c>
      <c r="K43" s="14" t="str">
        <f>IF('[1]P-GENERAL'!K43="","",'[1]P-GENERAL'!K43)</f>
        <v/>
      </c>
      <c r="L43" s="14" t="str">
        <f>IF('[1]P-GENERAL'!L43="","",'[1]P-GENERAL'!L43)</f>
        <v>PREENFRIO FORTALEZA</v>
      </c>
      <c r="M43">
        <f>IF('[1]P-GENERAL'!M43="","",'[1]P-GENERAL'!M43)</f>
        <v>1</v>
      </c>
      <c r="N43">
        <f>IF('[1]P-GENERAL'!N43="","",'[1]P-GENERAL'!N43)</f>
        <v>24</v>
      </c>
      <c r="O43" s="14">
        <f>IF('[1]P-GENERAL'!O43="","",'[1]P-GENERAL'!O43)</f>
        <v>46263</v>
      </c>
      <c r="P43" s="16">
        <f>IF('[1]P-GENERAL'!P43="","",'[1]P-GENERAL'!P43)</f>
        <v>0.77916666666666667</v>
      </c>
      <c r="Q43" t="str">
        <f>IF('[1]P-GENERAL'!Q43="","",'[1]P-GENERAL'!Q43)</f>
        <v>NORMAL</v>
      </c>
      <c r="R43" s="14">
        <f>IF('[1]P-GENERAL'!R43="","",'[1]P-GENERAL'!R43)</f>
        <v>46265</v>
      </c>
      <c r="S43" s="16">
        <f>IF('[1]P-GENERAL'!S43="","",'[1]P-GENERAL'!S43)</f>
        <v>0.27500000000000002</v>
      </c>
      <c r="T43" s="16">
        <f>IF('[1]P-GENERAL'!T43="","",'[1]P-GENERAL'!T43)</f>
        <v>0.625</v>
      </c>
      <c r="U43" s="17">
        <f>IF('[1]P-GENERAL'!U43="","",'[1]P-GENERAL'!U43)</f>
        <v>46265.9</v>
      </c>
      <c r="V43" s="14">
        <f>IF('[1]P-GENERAL'!V43="","",'[1]P-GENERAL'!V43)</f>
        <v>46265</v>
      </c>
      <c r="W43" s="16">
        <f>IF('[1]P-GENERAL'!W43="","",'[1]P-GENERAL'!W43)</f>
        <v>0.92708333333333337</v>
      </c>
      <c r="X43" s="14" t="str">
        <f>IF('[1]P-GENERAL'!X43="","",'[1]P-GENERAL'!X43)</f>
        <v>SI CUMPLE</v>
      </c>
      <c r="Y43" s="14" t="str">
        <f>IF('[1]P-GENERAL'!Y43="","",'[1]P-GENERAL'!Y43)</f>
        <v>SI CUMPLE</v>
      </c>
      <c r="Z43" s="14" t="str">
        <f>IF('[1]P-GENERAL'!Z43="","",'[1]P-GENERAL'!Z43)</f>
        <v/>
      </c>
      <c r="AA43" s="14" t="str">
        <f>IF('[1]P-GENERAL'!AA43="","",'[1]P-GENERAL'!AA43)</f>
        <v>DESPACHADO</v>
      </c>
      <c r="AB43" s="8" t="str">
        <f>IF('[1]P-GENERAL'!AB43="","",'[1]P-GENERAL'!AB43)</f>
        <v>TRANSPORTES ASE</v>
      </c>
      <c r="AC43" s="8" t="str">
        <f>IF('[1]P-GENERAL'!AC43="","",'[1]P-GENERAL'!AC43)</f>
        <v>EDGAR CRUZ OLVERA</v>
      </c>
      <c r="AD43">
        <f>IF('[1]P-GENERAL'!AD43="","",'[1]P-GENERAL'!AD43)</f>
        <v>95538</v>
      </c>
      <c r="AE43" t="str">
        <f>IF('[1]P-GENERAL'!AE43="","",'[1]P-GENERAL'!AE43)</f>
        <v>QCH1W03NK0</v>
      </c>
    </row>
    <row r="44" spans="1:31" ht="20.25" x14ac:dyDescent="0.3">
      <c r="A44" s="11" t="str">
        <f>IF('[1]P-GENERAL'!A44="","",'[1]P-GENERAL'!A44)</f>
        <v>Chanitos Premium Tarima Chep</v>
      </c>
      <c r="B44" s="11" t="str">
        <f>IF('[1]P-GENERAL'!B44="","",'[1]P-GENERAL'!B44)</f>
        <v>CPR01102</v>
      </c>
      <c r="C44" t="str">
        <f>IF('[1]P-GENERAL'!C44="","",'[1]P-GENERAL'!C44)</f>
        <v>A01004-352908-1</v>
      </c>
      <c r="D44" t="str">
        <f>IF('[1]P-GENERAL'!D44="","",'[1]P-GENERAL'!D44)</f>
        <v>A01 004 La Ceiba</v>
      </c>
      <c r="E44" s="8" t="str">
        <f>IF('[1]P-GENERAL'!E44="","",'[1]P-GENERAL'!E44)</f>
        <v>Chalco</v>
      </c>
      <c r="F44" s="12">
        <f>IF('[1]P-GENERAL'!F44="","",'[1]P-GENERAL'!F44)</f>
        <v>54</v>
      </c>
      <c r="G44" s="13">
        <f>IF('[1]P-GENERAL'!G44="","",'[1]P-GENERAL'!G44)</f>
        <v>1.125</v>
      </c>
      <c r="H44" s="14">
        <f>IF('[1]P-GENERAL'!H44="","",'[1]P-GENERAL'!H44)</f>
        <v>46263</v>
      </c>
      <c r="I44">
        <f>IF('[1]P-GENERAL'!I44="","",'[1]P-GENERAL'!I44)</f>
        <v>35</v>
      </c>
      <c r="J44" s="15">
        <f>IF('[1]P-GENERAL'!J44="","",'[1]P-GENERAL'!J44)</f>
        <v>46268</v>
      </c>
      <c r="K44" s="14" t="str">
        <f>IF('[1]P-GENERAL'!K44="","",'[1]P-GENERAL'!K44)</f>
        <v/>
      </c>
      <c r="L44" s="14" t="str">
        <f>IF('[1]P-GENERAL'!L44="","",'[1]P-GENERAL'!L44)</f>
        <v>PREENFRIO FORTALEZA</v>
      </c>
      <c r="M44">
        <f>IF('[1]P-GENERAL'!M44="","",'[1]P-GENERAL'!M44)</f>
        <v>1</v>
      </c>
      <c r="N44">
        <f>IF('[1]P-GENERAL'!N44="","",'[1]P-GENERAL'!N44)</f>
        <v>24</v>
      </c>
      <c r="O44" s="14">
        <f>IF('[1]P-GENERAL'!O44="","",'[1]P-GENERAL'!O44)</f>
        <v>46263</v>
      </c>
      <c r="P44" s="16">
        <f>IF('[1]P-GENERAL'!P44="","",'[1]P-GENERAL'!P44)</f>
        <v>0.77916666666666667</v>
      </c>
      <c r="Q44" t="str">
        <f>IF('[1]P-GENERAL'!Q44="","",'[1]P-GENERAL'!Q44)</f>
        <v>NORMAL</v>
      </c>
      <c r="R44" s="14">
        <f>IF('[1]P-GENERAL'!R44="","",'[1]P-GENERAL'!R44)</f>
        <v>46265</v>
      </c>
      <c r="S44" s="16">
        <f>IF('[1]P-GENERAL'!S44="","",'[1]P-GENERAL'!S44)</f>
        <v>0.27500000000000002</v>
      </c>
      <c r="T44" s="16">
        <f>IF('[1]P-GENERAL'!T44="","",'[1]P-GENERAL'!T44)</f>
        <v>0.625</v>
      </c>
      <c r="U44" s="17">
        <f>IF('[1]P-GENERAL'!U44="","",'[1]P-GENERAL'!U44)</f>
        <v>46265.9</v>
      </c>
      <c r="V44" s="14">
        <f>IF('[1]P-GENERAL'!V44="","",'[1]P-GENERAL'!V44)</f>
        <v>46265</v>
      </c>
      <c r="W44" s="16">
        <f>IF('[1]P-GENERAL'!W44="","",'[1]P-GENERAL'!W44)</f>
        <v>0.92708333333333337</v>
      </c>
      <c r="X44" s="14" t="str">
        <f>IF('[1]P-GENERAL'!X44="","",'[1]P-GENERAL'!X44)</f>
        <v>SI CUMPLE</v>
      </c>
      <c r="Y44" s="14" t="str">
        <f>IF('[1]P-GENERAL'!Y44="","",'[1]P-GENERAL'!Y44)</f>
        <v>SI CUMPLE</v>
      </c>
      <c r="Z44" s="14" t="str">
        <f>IF('[1]P-GENERAL'!Z44="","",'[1]P-GENERAL'!Z44)</f>
        <v/>
      </c>
      <c r="AA44" s="14" t="str">
        <f>IF('[1]P-GENERAL'!AA44="","",'[1]P-GENERAL'!AA44)</f>
        <v>DESPACHADO</v>
      </c>
      <c r="AB44" s="8" t="str">
        <f>IF('[1]P-GENERAL'!AB44="","",'[1]P-GENERAL'!AB44)</f>
        <v>TRANSPORTES ASE</v>
      </c>
      <c r="AC44" s="8" t="str">
        <f>IF('[1]P-GENERAL'!AC44="","",'[1]P-GENERAL'!AC44)</f>
        <v>EDGAR CRUZ OLVERA</v>
      </c>
      <c r="AD44">
        <f>IF('[1]P-GENERAL'!AD44="","",'[1]P-GENERAL'!AD44)</f>
        <v>95538</v>
      </c>
      <c r="AE44" t="str">
        <f>IF('[1]P-GENERAL'!AE44="","",'[1]P-GENERAL'!AE44)</f>
        <v>QCH1W03NK0</v>
      </c>
    </row>
    <row r="45" spans="1:31" ht="20.25" x14ac:dyDescent="0.3">
      <c r="A45" s="11" t="str">
        <f>IF('[1]P-GENERAL'!A45="","",'[1]P-GENERAL'!A45)</f>
        <v>Chanitos Premium Tarima Americana</v>
      </c>
      <c r="B45" s="11" t="str">
        <f>IF('[1]P-GENERAL'!B45="","",'[1]P-GENERAL'!B45)</f>
        <v>CPR01103</v>
      </c>
      <c r="C45" t="str">
        <f>IF('[1]P-GENERAL'!C45="","",'[1]P-GENERAL'!C45)</f>
        <v>A11045-352908-1</v>
      </c>
      <c r="D45" t="str">
        <f>IF('[1]P-GENERAL'!D45="","",'[1]P-GENERAL'!D45)</f>
        <v>A25 022 Doña Mildred</v>
      </c>
      <c r="E45" s="8" t="str">
        <f>IF('[1]P-GENERAL'!E45="","",'[1]P-GENERAL'!E45)</f>
        <v>S-MTY</v>
      </c>
      <c r="F45" s="12">
        <f>IF('[1]P-GENERAL'!F45="","",'[1]P-GENERAL'!F45)</f>
        <v>960</v>
      </c>
      <c r="G45" s="13">
        <f>IF('[1]P-GENERAL'!G45="","",'[1]P-GENERAL'!G45)</f>
        <v>20</v>
      </c>
      <c r="H45" s="14">
        <f>IF('[1]P-GENERAL'!H45="","",'[1]P-GENERAL'!H45)</f>
        <v>46263</v>
      </c>
      <c r="I45">
        <f>IF('[1]P-GENERAL'!I45="","",'[1]P-GENERAL'!I45)</f>
        <v>35</v>
      </c>
      <c r="J45" s="15">
        <f>IF('[1]P-GENERAL'!J45="","",'[1]P-GENERAL'!J45)</f>
        <v>46269</v>
      </c>
      <c r="K45" s="14">
        <f>IF('[1]P-GENERAL'!K45="","",'[1]P-GENERAL'!K45)</f>
        <v>0.25</v>
      </c>
      <c r="L45" s="14" t="str">
        <f>IF('[1]P-GENERAL'!L45="","",'[1]P-GENERAL'!L45)</f>
        <v>PREENFRIO NELLY</v>
      </c>
      <c r="M45">
        <f>IF('[1]P-GENERAL'!M45="","",'[1]P-GENERAL'!M45)</f>
        <v>3</v>
      </c>
      <c r="N45">
        <f>IF('[1]P-GENERAL'!N45="","",'[1]P-GENERAL'!N45)</f>
        <v>72</v>
      </c>
      <c r="O45" s="14">
        <f>IF('[1]P-GENERAL'!O45="","",'[1]P-GENERAL'!O45)</f>
        <v>46262</v>
      </c>
      <c r="P45" s="16">
        <f>IF('[1]P-GENERAL'!P45="","",'[1]P-GENERAL'!P45)</f>
        <v>0.91319444444444442</v>
      </c>
      <c r="Q45" t="str">
        <f>IF('[1]P-GENERAL'!Q45="","",'[1]P-GENERAL'!Q45)</f>
        <v>ALTA</v>
      </c>
      <c r="R45" s="14">
        <f>IF('[1]P-GENERAL'!R45="","",'[1]P-GENERAL'!R45)</f>
        <v>46265</v>
      </c>
      <c r="S45" s="16">
        <f>IF('[1]P-GENERAL'!S45="","",'[1]P-GENERAL'!S45)</f>
        <v>0.28472222222222221</v>
      </c>
      <c r="T45" s="16">
        <f>IF('[1]P-GENERAL'!T45="","",'[1]P-GENERAL'!T45)</f>
        <v>0.4375</v>
      </c>
      <c r="U45" s="17">
        <f>IF('[1]P-GENERAL'!U45="","",'[1]P-GENERAL'!U45)</f>
        <v>46265.722222222219</v>
      </c>
      <c r="V45" s="14">
        <f>IF('[1]P-GENERAL'!V45="","",'[1]P-GENERAL'!V45)</f>
        <v>46265</v>
      </c>
      <c r="W45" s="16">
        <f>IF('[1]P-GENERAL'!W45="","",'[1]P-GENERAL'!W45)</f>
        <v>0.85416666666666663</v>
      </c>
      <c r="X45" s="14" t="str">
        <f>IF('[1]P-GENERAL'!X45="","",'[1]P-GENERAL'!X45)</f>
        <v>SI CUMPLE</v>
      </c>
      <c r="Y45" s="14" t="str">
        <f>IF('[1]P-GENERAL'!Y45="","",'[1]P-GENERAL'!Y45)</f>
        <v>SI CUMPLE</v>
      </c>
      <c r="Z45" s="14" t="str">
        <f>IF('[1]P-GENERAL'!Z45="","",'[1]P-GENERAL'!Z45)</f>
        <v/>
      </c>
      <c r="AA45" s="14" t="str">
        <f>IF('[1]P-GENERAL'!AA45="","",'[1]P-GENERAL'!AA45)</f>
        <v>DESPACHADO</v>
      </c>
      <c r="AB45" s="8" t="str">
        <f>IF('[1]P-GENERAL'!AB45="","",'[1]P-GENERAL'!AB45)</f>
        <v>SEGOVIA</v>
      </c>
      <c r="AC45" s="8" t="str">
        <f>IF('[1]P-GENERAL'!AC45="","",'[1]P-GENERAL'!AC45)</f>
        <v>Olivar Arguello Orantes</v>
      </c>
      <c r="AD45">
        <f>IF('[1]P-GENERAL'!AD45="","",'[1]P-GENERAL'!AD45)</f>
        <v>46940</v>
      </c>
      <c r="AE45" t="str">
        <f>IF('[1]P-GENERAL'!AE45="","",'[1]P-GENERAL'!AE45)</f>
        <v/>
      </c>
    </row>
    <row r="46" spans="1:31" ht="20.25" x14ac:dyDescent="0.3">
      <c r="A46" s="11" t="str">
        <f>IF('[1]P-GENERAL'!A46="","",'[1]P-GENERAL'!A46)</f>
        <v>Chanitos Premium Tarima Americana</v>
      </c>
      <c r="B46" s="11" t="str">
        <f>IF('[1]P-GENERAL'!B46="","",'[1]P-GENERAL'!B46)</f>
        <v>CPR01103</v>
      </c>
      <c r="C46" t="str">
        <f>IF('[1]P-GENERAL'!C46="","",'[1]P-GENERAL'!C46)</f>
        <v>A25022-352908-1</v>
      </c>
      <c r="D46" t="str">
        <f>IF('[1]P-GENERAL'!D46="","",'[1]P-GENERAL'!D46)</f>
        <v>A11 045 Sector Mazatan</v>
      </c>
      <c r="E46" s="8" t="str">
        <f>IF('[1]P-GENERAL'!E46="","",'[1]P-GENERAL'!E46)</f>
        <v>Ciudad Juarez</v>
      </c>
      <c r="F46" s="12">
        <f>IF('[1]P-GENERAL'!F46="","",'[1]P-GENERAL'!F46)</f>
        <v>960</v>
      </c>
      <c r="G46" s="13">
        <f>IF('[1]P-GENERAL'!G46="","",'[1]P-GENERAL'!G46)</f>
        <v>20</v>
      </c>
      <c r="H46" s="14">
        <f>IF('[1]P-GENERAL'!H46="","",'[1]P-GENERAL'!H46)</f>
        <v>46263</v>
      </c>
      <c r="I46">
        <f>IF('[1]P-GENERAL'!I46="","",'[1]P-GENERAL'!I46)</f>
        <v>35</v>
      </c>
      <c r="J46" s="15">
        <f>IF('[1]P-GENERAL'!J46="","",'[1]P-GENERAL'!J46)</f>
        <v>46269</v>
      </c>
      <c r="K46" s="14">
        <f>IF('[1]P-GENERAL'!K46="","",'[1]P-GENERAL'!K46)</f>
        <v>0.25</v>
      </c>
      <c r="L46" s="14" t="str">
        <f>IF('[1]P-GENERAL'!L46="","",'[1]P-GENERAL'!L46)</f>
        <v>PREENFRIO NELLY</v>
      </c>
      <c r="M46">
        <f>IF('[1]P-GENERAL'!M46="","",'[1]P-GENERAL'!M46)</f>
        <v>4</v>
      </c>
      <c r="N46">
        <f>IF('[1]P-GENERAL'!N46="","",'[1]P-GENERAL'!N46)</f>
        <v>96</v>
      </c>
      <c r="O46" s="14">
        <f>IF('[1]P-GENERAL'!O46="","",'[1]P-GENERAL'!O46)</f>
        <v>46263</v>
      </c>
      <c r="P46" s="16">
        <f>IF('[1]P-GENERAL'!P46="","",'[1]P-GENERAL'!P46)</f>
        <v>0.10416666666666667</v>
      </c>
      <c r="Q46" t="str">
        <f>IF('[1]P-GENERAL'!Q46="","",'[1]P-GENERAL'!Q46)</f>
        <v>ALTA</v>
      </c>
      <c r="R46" s="14">
        <f>IF('[1]P-GENERAL'!R46="","",'[1]P-GENERAL'!R46)</f>
        <v>46264</v>
      </c>
      <c r="S46" s="16">
        <f>IF('[1]P-GENERAL'!S46="","",'[1]P-GENERAL'!S46)</f>
        <v>0.93958333333333333</v>
      </c>
      <c r="T46" s="16">
        <f>IF('[1]P-GENERAL'!T46="","",'[1]P-GENERAL'!T46)</f>
        <v>0.4375</v>
      </c>
      <c r="U46" s="17">
        <f>IF('[1]P-GENERAL'!U46="","",'[1]P-GENERAL'!U46)</f>
        <v>46265.377083333333</v>
      </c>
      <c r="V46" s="14">
        <f>IF('[1]P-GENERAL'!V46="","",'[1]P-GENERAL'!V46)</f>
        <v>46265</v>
      </c>
      <c r="W46" s="16">
        <f>IF('[1]P-GENERAL'!W46="","",'[1]P-GENERAL'!W46)</f>
        <v>0.37708333333333333</v>
      </c>
      <c r="X46" s="14" t="str">
        <f>IF('[1]P-GENERAL'!X46="","",'[1]P-GENERAL'!X46)</f>
        <v>NO CUMPLE</v>
      </c>
      <c r="Y46" s="14" t="str">
        <f>IF('[1]P-GENERAL'!Y46="","",'[1]P-GENERAL'!Y46)</f>
        <v>NO CUMPLE</v>
      </c>
      <c r="Z46" s="14" t="str">
        <f>IF('[1]P-GENERAL'!Z46="","",'[1]P-GENERAL'!Z46)</f>
        <v/>
      </c>
      <c r="AA46" s="14" t="str">
        <f>IF('[1]P-GENERAL'!AA46="","",'[1]P-GENERAL'!AA46)</f>
        <v>DESPACHADO</v>
      </c>
      <c r="AB46" s="8" t="str">
        <f>IF('[1]P-GENERAL'!AB46="","",'[1]P-GENERAL'!AB46)</f>
        <v>SEGOVIA</v>
      </c>
      <c r="AC46" s="8" t="str">
        <f>IF('[1]P-GENERAL'!AC46="","",'[1]P-GENERAL'!AC46)</f>
        <v>Santiago Antonio Herrera</v>
      </c>
      <c r="AD46">
        <f>IF('[1]P-GENERAL'!AD46="","",'[1]P-GENERAL'!AD46)</f>
        <v>42590</v>
      </c>
      <c r="AE46" t="str">
        <f>IF('[1]P-GENERAL'!AE46="","",'[1]P-GENERAL'!AE46)</f>
        <v>QCH1W04A90</v>
      </c>
    </row>
    <row r="47" spans="1:31" ht="20.25" x14ac:dyDescent="0.3">
      <c r="A47" s="11" t="str">
        <f>IF('[1]P-GENERAL'!A47="","",'[1]P-GENERAL'!A47)</f>
        <v>Chanitos Premium Tarima Americana</v>
      </c>
      <c r="B47" s="11" t="str">
        <f>IF('[1]P-GENERAL'!B47="","",'[1]P-GENERAL'!B47)</f>
        <v>CPR01103</v>
      </c>
      <c r="C47" t="str">
        <f>IF('[1]P-GENERAL'!C47="","",'[1]P-GENERAL'!C47)</f>
        <v>A04039-352908-1</v>
      </c>
      <c r="D47" t="str">
        <f>IF('[1]P-GENERAL'!D47="","",'[1]P-GENERAL'!D47)</f>
        <v>A04 039 San Jose Morelia Nava</v>
      </c>
      <c r="E47" s="8" t="str">
        <f>IF('[1]P-GENERAL'!E47="","",'[1]P-GENERAL'!E47)</f>
        <v>S-MTY</v>
      </c>
      <c r="F47" s="12">
        <f>IF('[1]P-GENERAL'!F47="","",'[1]P-GENERAL'!F47)</f>
        <v>960</v>
      </c>
      <c r="G47" s="13">
        <f>IF('[1]P-GENERAL'!G47="","",'[1]P-GENERAL'!G47)</f>
        <v>20</v>
      </c>
      <c r="H47" s="14">
        <f>IF('[1]P-GENERAL'!H47="","",'[1]P-GENERAL'!H47)</f>
        <v>46263</v>
      </c>
      <c r="I47">
        <f>IF('[1]P-GENERAL'!I47="","",'[1]P-GENERAL'!I47)</f>
        <v>35</v>
      </c>
      <c r="J47" s="15">
        <f>IF('[1]P-GENERAL'!J47="","",'[1]P-GENERAL'!J47)</f>
        <v>46269</v>
      </c>
      <c r="K47" s="14">
        <f>IF('[1]P-GENERAL'!K47="","",'[1]P-GENERAL'!K47)</f>
        <v>0.25</v>
      </c>
      <c r="L47" s="14" t="str">
        <f>IF('[1]P-GENERAL'!L47="","",'[1]P-GENERAL'!L47)</f>
        <v>PREENFRIO NELLY</v>
      </c>
      <c r="M47">
        <f>IF('[1]P-GENERAL'!M47="","",'[1]P-GENERAL'!M47)</f>
        <v>3</v>
      </c>
      <c r="N47">
        <f>IF('[1]P-GENERAL'!N47="","",'[1]P-GENERAL'!N47)</f>
        <v>72</v>
      </c>
      <c r="O47" s="14">
        <f>IF('[1]P-GENERAL'!O47="","",'[1]P-GENERAL'!O47)</f>
        <v>46263</v>
      </c>
      <c r="P47" s="16">
        <f>IF('[1]P-GENERAL'!P47="","",'[1]P-GENERAL'!P47)</f>
        <v>0.10416666666666667</v>
      </c>
      <c r="Q47" t="str">
        <f>IF('[1]P-GENERAL'!Q47="","",'[1]P-GENERAL'!Q47)</f>
        <v>ALTA</v>
      </c>
      <c r="R47" s="14">
        <f>IF('[1]P-GENERAL'!R47="","",'[1]P-GENERAL'!R47)</f>
        <v>46265</v>
      </c>
      <c r="S47" s="16">
        <f>IF('[1]P-GENERAL'!S47="","",'[1]P-GENERAL'!S47)</f>
        <v>0.55555555555555558</v>
      </c>
      <c r="T47" s="16">
        <f>IF('[1]P-GENERAL'!T47="","",'[1]P-GENERAL'!T47)</f>
        <v>0.4375</v>
      </c>
      <c r="U47" s="17">
        <f>IF('[1]P-GENERAL'!U47="","",'[1]P-GENERAL'!U47)</f>
        <v>46265.993055555555</v>
      </c>
      <c r="V47" s="14">
        <f>IF('[1]P-GENERAL'!V47="","",'[1]P-GENERAL'!V47)</f>
        <v>46265</v>
      </c>
      <c r="W47" s="16">
        <f>IF('[1]P-GENERAL'!W47="","",'[1]P-GENERAL'!W47)</f>
        <v>0.85416666666666663</v>
      </c>
      <c r="X47" s="14" t="str">
        <f>IF('[1]P-GENERAL'!X47="","",'[1]P-GENERAL'!X47)</f>
        <v>SI CUMPLE</v>
      </c>
      <c r="Y47" s="14" t="str">
        <f>IF('[1]P-GENERAL'!Y47="","",'[1]P-GENERAL'!Y47)</f>
        <v>SI CUMPLE</v>
      </c>
      <c r="Z47" s="14" t="str">
        <f>IF('[1]P-GENERAL'!Z47="","",'[1]P-GENERAL'!Z47)</f>
        <v/>
      </c>
      <c r="AA47" s="14" t="str">
        <f>IF('[1]P-GENERAL'!AA47="","",'[1]P-GENERAL'!AA47)</f>
        <v>DESPACHADO</v>
      </c>
      <c r="AB47" s="8" t="str">
        <f>IF('[1]P-GENERAL'!AB47="","",'[1]P-GENERAL'!AB47)</f>
        <v>SEGOVIA</v>
      </c>
      <c r="AC47" s="8" t="str">
        <f>IF('[1]P-GENERAL'!AC47="","",'[1]P-GENERAL'!AC47)</f>
        <v>Olivar Arguello Orantes</v>
      </c>
      <c r="AD47">
        <f>IF('[1]P-GENERAL'!AD47="","",'[1]P-GENERAL'!AD47)</f>
        <v>61086</v>
      </c>
      <c r="AE47" t="str">
        <f>IF('[1]P-GENERAL'!AE47="","",'[1]P-GENERAL'!AE47)</f>
        <v/>
      </c>
    </row>
    <row r="48" spans="1:31" ht="20.25" x14ac:dyDescent="0.3">
      <c r="A48" s="11" t="str">
        <f>IF('[1]P-GENERAL'!A48="","",'[1]P-GENERAL'!A48)</f>
        <v>Chanitos Premium EUA Tarima Americana</v>
      </c>
      <c r="B48" s="11" t="str">
        <f>IF('[1]P-GENERAL'!B48="","",'[1]P-GENERAL'!B48)</f>
        <v>CPR01104</v>
      </c>
      <c r="C48" t="str">
        <f>IF('[1]P-GENERAL'!C48="","",'[1]P-GENERAL'!C48)</f>
        <v>A01003-363108-1</v>
      </c>
      <c r="D48" t="str">
        <f>IF('[1]P-GENERAL'!D48="","",'[1]P-GENERAL'!D48)</f>
        <v>A01 003 Doña Nelly</v>
      </c>
      <c r="E48" s="8" t="str">
        <f>IF('[1]P-GENERAL'!E48="","",'[1]P-GENERAL'!E48)</f>
        <v>McAllen</v>
      </c>
      <c r="F48" s="12">
        <f>IF('[1]P-GENERAL'!F48="","",'[1]P-GENERAL'!F48)</f>
        <v>960</v>
      </c>
      <c r="G48" s="13">
        <f>IF('[1]P-GENERAL'!G48="","",'[1]P-GENERAL'!G48)</f>
        <v>20</v>
      </c>
      <c r="H48" s="14">
        <f>IF('[1]P-GENERAL'!H48="","",'[1]P-GENERAL'!H48)</f>
        <v>46265</v>
      </c>
      <c r="I48">
        <f>IF('[1]P-GENERAL'!I48="","",'[1]P-GENERAL'!I48)</f>
        <v>36</v>
      </c>
      <c r="J48" s="15">
        <f>IF('[1]P-GENERAL'!J48="","",'[1]P-GENERAL'!J48)</f>
        <v>46268</v>
      </c>
      <c r="K48" s="14" t="str">
        <f>IF('[1]P-GENERAL'!K48="","",'[1]P-GENERAL'!K48)</f>
        <v/>
      </c>
      <c r="L48" s="14" t="str">
        <f>IF('[1]P-GENERAL'!L48="","",'[1]P-GENERAL'!L48)</f>
        <v>PREENFRIO NELLY</v>
      </c>
      <c r="M48">
        <f>IF('[1]P-GENERAL'!M48="","",'[1]P-GENERAL'!M48)</f>
        <v>3</v>
      </c>
      <c r="N48">
        <f>IF('[1]P-GENERAL'!N48="","",'[1]P-GENERAL'!N48)</f>
        <v>72</v>
      </c>
      <c r="O48" s="14">
        <f>IF('[1]P-GENERAL'!O48="","",'[1]P-GENERAL'!O48)</f>
        <v>46265</v>
      </c>
      <c r="P48" s="16">
        <f>IF('[1]P-GENERAL'!P48="","",'[1]P-GENERAL'!P48)</f>
        <v>0.74652777777777779</v>
      </c>
      <c r="Q48" t="str">
        <f>IF('[1]P-GENERAL'!Q48="","",'[1]P-GENERAL'!Q48)</f>
        <v>NORMAL</v>
      </c>
      <c r="R48" s="14">
        <f>IF('[1]P-GENERAL'!R48="","",'[1]P-GENERAL'!R48)</f>
        <v>46265</v>
      </c>
      <c r="S48" s="16">
        <f>IF('[1]P-GENERAL'!S48="","",'[1]P-GENERAL'!S48)</f>
        <v>0.76388888888888884</v>
      </c>
      <c r="T48" s="16">
        <f>IF('[1]P-GENERAL'!T48="","",'[1]P-GENERAL'!T48)</f>
        <v>0.35416666666666669</v>
      </c>
      <c r="U48" s="17">
        <f>IF('[1]P-GENERAL'!U48="","",'[1]P-GENERAL'!U48)</f>
        <v>46266.118055555555</v>
      </c>
      <c r="V48" s="14">
        <f>IF('[1]P-GENERAL'!V48="","",'[1]P-GENERAL'!V48)</f>
        <v>46266</v>
      </c>
      <c r="W48" s="16">
        <f>IF('[1]P-GENERAL'!W48="","",'[1]P-GENERAL'!W48)</f>
        <v>9.5138888888888884E-2</v>
      </c>
      <c r="X48" s="14" t="str">
        <f>IF('[1]P-GENERAL'!X48="","",'[1]P-GENERAL'!X48)</f>
        <v>NO CUMPLE</v>
      </c>
      <c r="Y48" s="14" t="str">
        <f>IF('[1]P-GENERAL'!Y48="","",'[1]P-GENERAL'!Y48)</f>
        <v>NO CUMPLE</v>
      </c>
      <c r="Z48" s="14" t="str">
        <f>IF('[1]P-GENERAL'!Z48="","",'[1]P-GENERAL'!Z48)</f>
        <v/>
      </c>
      <c r="AA48" s="14" t="str">
        <f>IF('[1]P-GENERAL'!AA48="","",'[1]P-GENERAL'!AA48)</f>
        <v>DESPACHADO</v>
      </c>
      <c r="AB48" s="8" t="str">
        <f>IF('[1]P-GENERAL'!AB48="","",'[1]P-GENERAL'!AB48)</f>
        <v>EXPRESS CAVAZOS</v>
      </c>
      <c r="AC48" s="8" t="str">
        <f>IF('[1]P-GENERAL'!AC48="","",'[1]P-GENERAL'!AC48)</f>
        <v>Jose Carlos Rabaza Lopez</v>
      </c>
      <c r="AD48">
        <f>IF('[1]P-GENERAL'!AD48="","",'[1]P-GENERAL'!AD48)</f>
        <v>46940</v>
      </c>
      <c r="AE48">
        <f>IF('[1]P-GENERAL'!AE48="","",'[1]P-GENERAL'!AE48)</f>
        <v>10000013462</v>
      </c>
    </row>
    <row r="49" spans="1:31" ht="20.25" x14ac:dyDescent="0.3">
      <c r="A49" s="11" t="str">
        <f>IF('[1]P-GENERAL'!A49="","",'[1]P-GENERAL'!A49)</f>
        <v>Chanitos Premium Tarima Chep</v>
      </c>
      <c r="B49" s="11" t="str">
        <f>IF('[1]P-GENERAL'!B49="","",'[1]P-GENERAL'!B49)</f>
        <v>CPR01102</v>
      </c>
      <c r="C49" t="str">
        <f>IF('[1]P-GENERAL'!C49="","",'[1]P-GENERAL'!C49)</f>
        <v>A01003-363108-1</v>
      </c>
      <c r="D49" t="str">
        <f>IF('[1]P-GENERAL'!D49="","",'[1]P-GENERAL'!D49)</f>
        <v>A01 003 Doña Nelly</v>
      </c>
      <c r="E49" s="8" t="str">
        <f>IF('[1]P-GENERAL'!E49="","",'[1]P-GENERAL'!E49)</f>
        <v>SMO</v>
      </c>
      <c r="F49" s="12">
        <f>IF('[1]P-GENERAL'!F49="","",'[1]P-GENERAL'!F49)</f>
        <v>96</v>
      </c>
      <c r="G49" s="13">
        <f>IF('[1]P-GENERAL'!G49="","",'[1]P-GENERAL'!G49)</f>
        <v>4</v>
      </c>
      <c r="H49" s="14">
        <f>IF('[1]P-GENERAL'!H49="","",'[1]P-GENERAL'!H49)</f>
        <v>46265</v>
      </c>
      <c r="I49">
        <f>IF('[1]P-GENERAL'!I49="","",'[1]P-GENERAL'!I49)</f>
        <v>36</v>
      </c>
      <c r="J49" s="15">
        <f>IF('[1]P-GENERAL'!J49="","",'[1]P-GENERAL'!J49)</f>
        <v>46271</v>
      </c>
      <c r="K49" s="14" t="str">
        <f>IF('[1]P-GENERAL'!K49="","",'[1]P-GENERAL'!K49)</f>
        <v/>
      </c>
      <c r="L49" s="14" t="str">
        <f>IF('[1]P-GENERAL'!L49="","",'[1]P-GENERAL'!L49)</f>
        <v>PREENFRIO NELLY</v>
      </c>
      <c r="M49">
        <f>IF('[1]P-GENERAL'!M49="","",'[1]P-GENERAL'!M49)</f>
        <v>1.5</v>
      </c>
      <c r="N49">
        <f>IF('[1]P-GENERAL'!N49="","",'[1]P-GENERAL'!N49)</f>
        <v>36</v>
      </c>
      <c r="O49" s="14">
        <f>IF('[1]P-GENERAL'!O49="","",'[1]P-GENERAL'!O49)</f>
        <v>46265</v>
      </c>
      <c r="P49" s="16">
        <f>IF('[1]P-GENERAL'!P49="","",'[1]P-GENERAL'!P49)</f>
        <v>0.74652777777777779</v>
      </c>
      <c r="Q49" t="str">
        <f>IF('[1]P-GENERAL'!Q49="","",'[1]P-GENERAL'!Q49)</f>
        <v>NORMAL</v>
      </c>
      <c r="R49" s="14">
        <f>IF('[1]P-GENERAL'!R49="","",'[1]P-GENERAL'!R49)</f>
        <v>46265</v>
      </c>
      <c r="S49" s="16">
        <f>IF('[1]P-GENERAL'!S49="","",'[1]P-GENERAL'!S49)</f>
        <v>0.76388888888888884</v>
      </c>
      <c r="T49" s="16">
        <f>IF('[1]P-GENERAL'!T49="","",'[1]P-GENERAL'!T49)</f>
        <v>0.35416666666666669</v>
      </c>
      <c r="U49" s="17">
        <f>IF('[1]P-GENERAL'!U49="","",'[1]P-GENERAL'!U49)</f>
        <v>46266.118055555555</v>
      </c>
      <c r="V49" s="14">
        <f>IF('[1]P-GENERAL'!V49="","",'[1]P-GENERAL'!V49)</f>
        <v>46267</v>
      </c>
      <c r="W49" s="16">
        <f>IF('[1]P-GENERAL'!W49="","",'[1]P-GENERAL'!W49)</f>
        <v>0.51944444444444449</v>
      </c>
      <c r="X49" s="14" t="str">
        <f>IF('[1]P-GENERAL'!X49="","",'[1]P-GENERAL'!X49)</f>
        <v>SI CUMPLE</v>
      </c>
      <c r="Y49" s="14" t="str">
        <f>IF('[1]P-GENERAL'!Y49="","",'[1]P-GENERAL'!Y49)</f>
        <v>SI CUMPLE</v>
      </c>
      <c r="Z49" s="14" t="str">
        <f>IF('[1]P-GENERAL'!Z49="","",'[1]P-GENERAL'!Z49)</f>
        <v/>
      </c>
      <c r="AA49" s="14" t="str">
        <f>IF('[1]P-GENERAL'!AA49="","",'[1]P-GENERAL'!AA49)</f>
        <v>DESPACHADO</v>
      </c>
      <c r="AB49" s="8" t="str">
        <f>IF('[1]P-GENERAL'!AB49="","",'[1]P-GENERAL'!AB49)</f>
        <v>TRANSP CARRILLO</v>
      </c>
      <c r="AC49" s="8" t="str">
        <f>IF('[1]P-GENERAL'!AC49="","",'[1]P-GENERAL'!AC49)</f>
        <v>Juan Carlos Muños Perez</v>
      </c>
      <c r="AD49">
        <f>IF('[1]P-GENERAL'!AD49="","",'[1]P-GENERAL'!AD49)</f>
        <v>99458</v>
      </c>
      <c r="AE49" t="str">
        <f>IF('[1]P-GENERAL'!AE49="","",'[1]P-GENERAL'!AE49)</f>
        <v>QCH1W048T0</v>
      </c>
    </row>
    <row r="50" spans="1:31" ht="20.25" x14ac:dyDescent="0.3">
      <c r="A50" s="11" t="str">
        <f>IF('[1]P-GENERAL'!A50="","",'[1]P-GENERAL'!A50)</f>
        <v>Chanitos Premium EUA Tarima Americana</v>
      </c>
      <c r="B50" s="11" t="str">
        <f>IF('[1]P-GENERAL'!B50="","",'[1]P-GENERAL'!B50)</f>
        <v>CPR01104</v>
      </c>
      <c r="C50" t="str">
        <f>IF('[1]P-GENERAL'!C50="","",'[1]P-GENERAL'!C50)</f>
        <v>A11045-363108-1</v>
      </c>
      <c r="D50" t="str">
        <f>IF('[1]P-GENERAL'!D50="","",'[1]P-GENERAL'!D50)</f>
        <v>A11 Sector Mazatan</v>
      </c>
      <c r="E50" s="8" t="str">
        <f>IF('[1]P-GENERAL'!E50="","",'[1]P-GENERAL'!E50)</f>
        <v>McAllen</v>
      </c>
      <c r="F50" s="12">
        <f>IF('[1]P-GENERAL'!F50="","",'[1]P-GENERAL'!F50)</f>
        <v>384</v>
      </c>
      <c r="G50" s="13">
        <f>IF('[1]P-GENERAL'!G50="","",'[1]P-GENERAL'!G50)</f>
        <v>8</v>
      </c>
      <c r="H50" s="14">
        <f>IF('[1]P-GENERAL'!H50="","",'[1]P-GENERAL'!H50)</f>
        <v>46265</v>
      </c>
      <c r="I50">
        <f>IF('[1]P-GENERAL'!I50="","",'[1]P-GENERAL'!I50)</f>
        <v>36</v>
      </c>
      <c r="J50" s="15">
        <f>IF('[1]P-GENERAL'!J50="","",'[1]P-GENERAL'!J50)</f>
        <v>46269</v>
      </c>
      <c r="K50" s="14" t="str">
        <f>IF('[1]P-GENERAL'!K50="","",'[1]P-GENERAL'!K50)</f>
        <v/>
      </c>
      <c r="L50" s="14" t="str">
        <f>IF('[1]P-GENERAL'!L50="","",'[1]P-GENERAL'!L50)</f>
        <v>DIRECTO SIN PREENFRIO</v>
      </c>
      <c r="M50">
        <f>IF('[1]P-GENERAL'!M50="","",'[1]P-GENERAL'!M50)</f>
        <v>3</v>
      </c>
      <c r="N50">
        <f>IF('[1]P-GENERAL'!N50="","",'[1]P-GENERAL'!N50)</f>
        <v>72</v>
      </c>
      <c r="O50" s="14">
        <f>IF('[1]P-GENERAL'!O50="","",'[1]P-GENERAL'!O50)</f>
        <v>46266</v>
      </c>
      <c r="P50" s="16">
        <f>IF('[1]P-GENERAL'!P50="","",'[1]P-GENERAL'!P50)</f>
        <v>0.64583333333333337</v>
      </c>
      <c r="Q50" t="str">
        <f>IF('[1]P-GENERAL'!Q50="","",'[1]P-GENERAL'!Q50)</f>
        <v/>
      </c>
      <c r="R50" s="14" t="str">
        <f>IF('[1]P-GENERAL'!R50="","",'[1]P-GENERAL'!R50)</f>
        <v/>
      </c>
      <c r="S50" s="16" t="str">
        <f>IF('[1]P-GENERAL'!S50="","",'[1]P-GENERAL'!S50)</f>
        <v/>
      </c>
      <c r="T50" s="16" t="str">
        <f>IF('[1]P-GENERAL'!T50="","",'[1]P-GENERAL'!T50)</f>
        <v>N/A</v>
      </c>
      <c r="U50" s="17" t="str">
        <f>IF('[1]P-GENERAL'!U50="","",'[1]P-GENERAL'!U50)</f>
        <v/>
      </c>
      <c r="V50" s="14">
        <f>IF('[1]P-GENERAL'!V50="","",'[1]P-GENERAL'!V50)</f>
        <v>46267</v>
      </c>
      <c r="W50" s="16">
        <f>IF('[1]P-GENERAL'!W50="","",'[1]P-GENERAL'!W50)</f>
        <v>0.24305555555555555</v>
      </c>
      <c r="X50" s="14" t="str">
        <f>IF('[1]P-GENERAL'!X50="","",'[1]P-GENERAL'!X50)</f>
        <v/>
      </c>
      <c r="Y50" s="14" t="str">
        <f>IF('[1]P-GENERAL'!Y50="","",'[1]P-GENERAL'!Y50)</f>
        <v>NO CUMPLE</v>
      </c>
      <c r="Z50" s="14" t="str">
        <f>IF('[1]P-GENERAL'!Z50="","",'[1]P-GENERAL'!Z50)</f>
        <v>EMPAQUE TARDIO</v>
      </c>
      <c r="AA50" s="14" t="str">
        <f>IF('[1]P-GENERAL'!AA50="","",'[1]P-GENERAL'!AA50)</f>
        <v>DESPACHADO</v>
      </c>
      <c r="AB50" s="8" t="str">
        <f>IF('[1]P-GENERAL'!AB50="","",'[1]P-GENERAL'!AB50)</f>
        <v>TRANSPORTES TOMATITOS</v>
      </c>
      <c r="AC50" s="8" t="str">
        <f>IF('[1]P-GENERAL'!AC50="","",'[1]P-GENERAL'!AC50)</f>
        <v>EDGAR EDUARDO CAVAZOS TAMEZ</v>
      </c>
      <c r="AD50">
        <f>IF('[1]P-GENERAL'!AD50="","",'[1]P-GENERAL'!AD50)</f>
        <v>47802</v>
      </c>
      <c r="AE50" t="str">
        <f>IF('[1]P-GENERAL'!AE50="","",'[1]P-GENERAL'!AE50)</f>
        <v>QCH1W04BQ0</v>
      </c>
    </row>
    <row r="51" spans="1:31" ht="20.25" x14ac:dyDescent="0.3">
      <c r="A51" s="11" t="str">
        <f>IF('[1]P-GENERAL'!A51="","",'[1]P-GENERAL'!A51)</f>
        <v>Chanitos Premium Tarima Chep</v>
      </c>
      <c r="B51" s="11" t="str">
        <f>IF('[1]P-GENERAL'!B51="","",'[1]P-GENERAL'!B51)</f>
        <v>CPR01102</v>
      </c>
      <c r="C51" t="str">
        <f>IF('[1]P-GENERAL'!C51="","",'[1]P-GENERAL'!C51)</f>
        <v>A01001-363108-</v>
      </c>
      <c r="D51" t="str">
        <f>IF('[1]P-GENERAL'!D51="","",'[1]P-GENERAL'!D51)</f>
        <v>A01 001 Marbella</v>
      </c>
      <c r="E51" s="8" t="str">
        <f>IF('[1]P-GENERAL'!E51="","",'[1]P-GENERAL'!E51)</f>
        <v>Chalco</v>
      </c>
      <c r="F51" s="12">
        <f>IF('[1]P-GENERAL'!F51="","",'[1]P-GENERAL'!F51)</f>
        <v>1068</v>
      </c>
      <c r="G51" s="13">
        <f>IF('[1]P-GENERAL'!G51="","",'[1]P-GENERAL'!G51)</f>
        <v>22.25</v>
      </c>
      <c r="H51" s="14">
        <f>IF('[1]P-GENERAL'!H51="","",'[1]P-GENERAL'!H51)</f>
        <v>46265</v>
      </c>
      <c r="I51">
        <f>IF('[1]P-GENERAL'!I51="","",'[1]P-GENERAL'!I51)</f>
        <v>36</v>
      </c>
      <c r="J51" s="15">
        <f>IF('[1]P-GENERAL'!J51="","",'[1]P-GENERAL'!J51)</f>
        <v>46269</v>
      </c>
      <c r="K51" s="14" t="str">
        <f>IF('[1]P-GENERAL'!K51="","",'[1]P-GENERAL'!K51)</f>
        <v/>
      </c>
      <c r="L51" s="14" t="str">
        <f>IF('[1]P-GENERAL'!L51="","",'[1]P-GENERAL'!L51)</f>
        <v>PREENFRIO FORTALEZA</v>
      </c>
      <c r="M51">
        <f>IF('[1]P-GENERAL'!M51="","",'[1]P-GENERAL'!M51)</f>
        <v>1</v>
      </c>
      <c r="N51">
        <f>IF('[1]P-GENERAL'!N51="","",'[1]P-GENERAL'!N51)</f>
        <v>24</v>
      </c>
      <c r="O51" s="14">
        <f>IF('[1]P-GENERAL'!O51="","",'[1]P-GENERAL'!O51)</f>
        <v>46265</v>
      </c>
      <c r="P51" s="16">
        <f>IF('[1]P-GENERAL'!P51="","",'[1]P-GENERAL'!P51)</f>
        <v>0.76388888888888884</v>
      </c>
      <c r="Q51" t="str">
        <f>IF('[1]P-GENERAL'!Q51="","",'[1]P-GENERAL'!Q51)</f>
        <v>NORMAL</v>
      </c>
      <c r="R51" s="14">
        <f>IF('[1]P-GENERAL'!R51="","",'[1]P-GENERAL'!R51)</f>
        <v>46266</v>
      </c>
      <c r="S51" s="16">
        <f>IF('[1]P-GENERAL'!S51="","",'[1]P-GENERAL'!S51)</f>
        <v>0.15972222222222221</v>
      </c>
      <c r="T51" s="16">
        <f>IF('[1]P-GENERAL'!T51="","",'[1]P-GENERAL'!T51)</f>
        <v>0.625</v>
      </c>
      <c r="U51" s="17">
        <f>IF('[1]P-GENERAL'!U51="","",'[1]P-GENERAL'!U51)</f>
        <v>46266.784722222219</v>
      </c>
      <c r="V51" s="14">
        <f>IF('[1]P-GENERAL'!V51="","",'[1]P-GENERAL'!V51)</f>
        <v>46267</v>
      </c>
      <c r="W51" s="16">
        <f>IF('[1]P-GENERAL'!W51="","",'[1]P-GENERAL'!W51)</f>
        <v>6.9444444444444448E-2</v>
      </c>
      <c r="X51" s="14" t="str">
        <f>IF('[1]P-GENERAL'!X51="","",'[1]P-GENERAL'!X51)</f>
        <v>SI CUMPLE</v>
      </c>
      <c r="Y51" s="14" t="str">
        <f>IF('[1]P-GENERAL'!Y51="","",'[1]P-GENERAL'!Y51)</f>
        <v>SI CUMPLE</v>
      </c>
      <c r="Z51" s="14" t="str">
        <f>IF('[1]P-GENERAL'!Z51="","",'[1]P-GENERAL'!Z51)</f>
        <v/>
      </c>
      <c r="AA51" s="14" t="str">
        <f>IF('[1]P-GENERAL'!AA51="","",'[1]P-GENERAL'!AA51)</f>
        <v>DESPACHADO</v>
      </c>
      <c r="AB51" s="8" t="str">
        <f>IF('[1]P-GENERAL'!AB51="","",'[1]P-GENERAL'!AB51)</f>
        <v>JONATHAN CARRILLO GODINEZ</v>
      </c>
      <c r="AC51" s="8" t="str">
        <f>IF('[1]P-GENERAL'!AC51="","",'[1]P-GENERAL'!AC51)</f>
        <v>GIOVANI OLIVER ESPINO ROJAS</v>
      </c>
      <c r="AD51">
        <f>IF('[1]P-GENERAL'!AD51="","",'[1]P-GENERAL'!AD51)</f>
        <v>36833</v>
      </c>
      <c r="AE51" t="str">
        <f>IF('[1]P-GENERAL'!AE51="","",'[1]P-GENERAL'!AE51)</f>
        <v>QCH1W04C00</v>
      </c>
    </row>
    <row r="52" spans="1:31" ht="20.25" x14ac:dyDescent="0.3">
      <c r="A52" s="11" t="str">
        <f>IF('[1]P-GENERAL'!A52="","",'[1]P-GENERAL'!A52)</f>
        <v>Platano de Chiapas BAE UPC 3237</v>
      </c>
      <c r="B52" s="11" t="str">
        <f>IF('[1]P-GENERAL'!B52="","",'[1]P-GENERAL'!B52)</f>
        <v>CPR01114</v>
      </c>
      <c r="C52" t="str">
        <f>IF('[1]P-GENERAL'!C52="","",'[1]P-GENERAL'!C52)</f>
        <v>A01001-363108-</v>
      </c>
      <c r="D52" t="str">
        <f>IF('[1]P-GENERAL'!D52="","",'[1]P-GENERAL'!D52)</f>
        <v>A01 001 Marbella</v>
      </c>
      <c r="E52" s="8" t="str">
        <f>IF('[1]P-GENERAL'!E52="","",'[1]P-GENERAL'!E52)</f>
        <v>Chalco</v>
      </c>
      <c r="F52" s="12">
        <f>IF('[1]P-GENERAL'!F52="","",'[1]P-GENERAL'!F52)</f>
        <v>84</v>
      </c>
      <c r="G52" s="13">
        <f>IF('[1]P-GENERAL'!G52="","",'[1]P-GENERAL'!G52)</f>
        <v>1.75</v>
      </c>
      <c r="H52" s="14">
        <f>IF('[1]P-GENERAL'!H52="","",'[1]P-GENERAL'!H52)</f>
        <v>46265</v>
      </c>
      <c r="I52">
        <f>IF('[1]P-GENERAL'!I52="","",'[1]P-GENERAL'!I52)</f>
        <v>36</v>
      </c>
      <c r="J52" s="15">
        <f>IF('[1]P-GENERAL'!J52="","",'[1]P-GENERAL'!J52)</f>
        <v>46269</v>
      </c>
      <c r="K52" s="14" t="str">
        <f>IF('[1]P-GENERAL'!K52="","",'[1]P-GENERAL'!K52)</f>
        <v/>
      </c>
      <c r="L52" s="14" t="str">
        <f>IF('[1]P-GENERAL'!L52="","",'[1]P-GENERAL'!L52)</f>
        <v>PREENFRIO FORTALEZA</v>
      </c>
      <c r="M52">
        <f>IF('[1]P-GENERAL'!M52="","",'[1]P-GENERAL'!M52)</f>
        <v>1</v>
      </c>
      <c r="N52">
        <f>IF('[1]P-GENERAL'!N52="","",'[1]P-GENERAL'!N52)</f>
        <v>24</v>
      </c>
      <c r="O52" s="14">
        <f>IF('[1]P-GENERAL'!O52="","",'[1]P-GENERAL'!O52)</f>
        <v>46265</v>
      </c>
      <c r="P52" s="16">
        <f>IF('[1]P-GENERAL'!P52="","",'[1]P-GENERAL'!P52)</f>
        <v>0.76388888888888884</v>
      </c>
      <c r="Q52" t="str">
        <f>IF('[1]P-GENERAL'!Q52="","",'[1]P-GENERAL'!Q52)</f>
        <v>NORMAL</v>
      </c>
      <c r="R52" s="14">
        <f>IF('[1]P-GENERAL'!R52="","",'[1]P-GENERAL'!R52)</f>
        <v>46266</v>
      </c>
      <c r="S52" s="16">
        <f>IF('[1]P-GENERAL'!S52="","",'[1]P-GENERAL'!S52)</f>
        <v>0.15972222222222221</v>
      </c>
      <c r="T52" s="16">
        <f>IF('[1]P-GENERAL'!T52="","",'[1]P-GENERAL'!T52)</f>
        <v>0.625</v>
      </c>
      <c r="U52" s="17">
        <f>IF('[1]P-GENERAL'!U52="","",'[1]P-GENERAL'!U52)</f>
        <v>46266.784722222219</v>
      </c>
      <c r="V52" s="14">
        <f>IF('[1]P-GENERAL'!V52="","",'[1]P-GENERAL'!V52)</f>
        <v>46267</v>
      </c>
      <c r="W52" s="16">
        <f>IF('[1]P-GENERAL'!W52="","",'[1]P-GENERAL'!W52)</f>
        <v>6.9444444444444448E-2</v>
      </c>
      <c r="X52" s="14" t="str">
        <f>IF('[1]P-GENERAL'!X52="","",'[1]P-GENERAL'!X52)</f>
        <v>SI CUMPLE</v>
      </c>
      <c r="Y52" s="14" t="str">
        <f>IF('[1]P-GENERAL'!Y52="","",'[1]P-GENERAL'!Y52)</f>
        <v>SI CUMPLE</v>
      </c>
      <c r="Z52" s="14" t="str">
        <f>IF('[1]P-GENERAL'!Z52="","",'[1]P-GENERAL'!Z52)</f>
        <v/>
      </c>
      <c r="AA52" s="14" t="str">
        <f>IF('[1]P-GENERAL'!AA52="","",'[1]P-GENERAL'!AA52)</f>
        <v>DESPACHADO</v>
      </c>
      <c r="AB52" s="8" t="str">
        <f>IF('[1]P-GENERAL'!AB52="","",'[1]P-GENERAL'!AB52)</f>
        <v>JONATHAN CARRILLO GODINEZ</v>
      </c>
      <c r="AC52" s="8" t="str">
        <f>IF('[1]P-GENERAL'!AC52="","",'[1]P-GENERAL'!AC52)</f>
        <v>GIOVANI OLIVER ESPINO ROJAS</v>
      </c>
      <c r="AD52">
        <f>IF('[1]P-GENERAL'!AD52="","",'[1]P-GENERAL'!AD52)</f>
        <v>36833</v>
      </c>
      <c r="AE52" t="str">
        <f>IF('[1]P-GENERAL'!AE52="","",'[1]P-GENERAL'!AE52)</f>
        <v>QCH1W04C00</v>
      </c>
    </row>
    <row r="53" spans="1:31" ht="20.25" x14ac:dyDescent="0.3">
      <c r="A53" s="11" t="str">
        <f>IF('[1]P-GENERAL'!A53="","",'[1]P-GENERAL'!A53)</f>
        <v>Chanitos Premium EUA Tarima Americana</v>
      </c>
      <c r="B53" s="11" t="str">
        <f>IF('[1]P-GENERAL'!B53="","",'[1]P-GENERAL'!B53)</f>
        <v>CPR01104</v>
      </c>
      <c r="C53" t="e">
        <f>IF('[1]P-GENERAL'!C53="","",'[1]P-GENERAL'!C53)</f>
        <v>#N/A</v>
      </c>
      <c r="D53" t="str">
        <f>IF('[1]P-GENERAL'!D53="","",'[1]P-GENERAL'!D53)</f>
        <v>A11 Sector Mazatan</v>
      </c>
      <c r="E53" s="8" t="str">
        <f>IF('[1]P-GENERAL'!E53="","",'[1]P-GENERAL'!E53)</f>
        <v>McAllen</v>
      </c>
      <c r="F53" s="12">
        <f>IF('[1]P-GENERAL'!F53="","",'[1]P-GENERAL'!F53)</f>
        <v>960</v>
      </c>
      <c r="G53" s="13">
        <f>IF('[1]P-GENERAL'!G53="","",'[1]P-GENERAL'!G53)</f>
        <v>20</v>
      </c>
      <c r="H53" s="14">
        <f>IF('[1]P-GENERAL'!H53="","",'[1]P-GENERAL'!H53)</f>
        <v>46265</v>
      </c>
      <c r="I53">
        <f>IF('[1]P-GENERAL'!I53="","",'[1]P-GENERAL'!I53)</f>
        <v>36</v>
      </c>
      <c r="J53" s="15">
        <f>IF('[1]P-GENERAL'!J53="","",'[1]P-GENERAL'!J53)</f>
        <v>46269</v>
      </c>
      <c r="K53" s="14" t="str">
        <f>IF('[1]P-GENERAL'!K53="","",'[1]P-GENERAL'!K53)</f>
        <v/>
      </c>
      <c r="L53" s="14" t="str">
        <f>IF('[1]P-GENERAL'!L53="","",'[1]P-GENERAL'!L53)</f>
        <v>PREENFRIO FORTALEZA</v>
      </c>
      <c r="M53">
        <f>IF('[1]P-GENERAL'!M53="","",'[1]P-GENERAL'!M53)</f>
        <v>3</v>
      </c>
      <c r="N53">
        <f>IF('[1]P-GENERAL'!N53="","",'[1]P-GENERAL'!N53)</f>
        <v>72</v>
      </c>
      <c r="O53" s="14">
        <f>IF('[1]P-GENERAL'!O53="","",'[1]P-GENERAL'!O53)</f>
        <v>46265</v>
      </c>
      <c r="P53" s="16">
        <f>IF('[1]P-GENERAL'!P53="","",'[1]P-GENERAL'!P53)</f>
        <v>0.83333333333333337</v>
      </c>
      <c r="Q53" t="str">
        <f>IF('[1]P-GENERAL'!Q53="","",'[1]P-GENERAL'!Q53)</f>
        <v>NORMAL</v>
      </c>
      <c r="R53" s="14" t="str">
        <f>IF('[1]P-GENERAL'!R53="","",'[1]P-GENERAL'!R53)</f>
        <v>SIN PRENFRIO</v>
      </c>
      <c r="S53" s="16" t="str">
        <f>IF('[1]P-GENERAL'!S53="","",'[1]P-GENERAL'!S53)</f>
        <v>SIN PRENFRIO</v>
      </c>
      <c r="T53" s="16">
        <f>IF('[1]P-GENERAL'!T53="","",'[1]P-GENERAL'!T53)</f>
        <v>0.41666666666666669</v>
      </c>
      <c r="U53" s="17" t="str">
        <f>IF('[1]P-GENERAL'!U53="","",'[1]P-GENERAL'!U53)</f>
        <v/>
      </c>
      <c r="V53" s="14">
        <f>IF('[1]P-GENERAL'!V53="","",'[1]P-GENERAL'!V53)</f>
        <v>46266</v>
      </c>
      <c r="W53" s="16">
        <f>IF('[1]P-GENERAL'!W53="","",'[1]P-GENERAL'!W53)</f>
        <v>0.35416666666666669</v>
      </c>
      <c r="X53" s="14" t="str">
        <f>IF('[1]P-GENERAL'!X53="","",'[1]P-GENERAL'!X53)</f>
        <v>SI CUMPLE</v>
      </c>
      <c r="Y53" s="14" t="str">
        <f>IF('[1]P-GENERAL'!Y53="","",'[1]P-GENERAL'!Y53)</f>
        <v>NO CUMPLE</v>
      </c>
      <c r="Z53" s="14" t="str">
        <f>IF('[1]P-GENERAL'!Z53="","",'[1]P-GENERAL'!Z53)</f>
        <v>EMPAQUE TARDIO</v>
      </c>
      <c r="AA53" s="14" t="str">
        <f>IF('[1]P-GENERAL'!AA53="","",'[1]P-GENERAL'!AA53)</f>
        <v>DESPACHADO</v>
      </c>
      <c r="AB53" s="8" t="str">
        <f>IF('[1]P-GENERAL'!AB53="","",'[1]P-GENERAL'!AB53)</f>
        <v>TRANSPORTES TOMATITOS</v>
      </c>
      <c r="AC53" s="8" t="str">
        <f>IF('[1]P-GENERAL'!AC53="","",'[1]P-GENERAL'!AC53)</f>
        <v>MARIO GAITAN CANDIA</v>
      </c>
      <c r="AD53">
        <f>IF('[1]P-GENERAL'!AD53="","",'[1]P-GENERAL'!AD53)</f>
        <v>58923</v>
      </c>
      <c r="AE53" t="str">
        <f>IF('[1]P-GENERAL'!AE53="","",'[1]P-GENERAL'!AE53)</f>
        <v>QCH1W03P40</v>
      </c>
    </row>
    <row r="54" spans="1:31" ht="20.25" x14ac:dyDescent="0.3">
      <c r="A54" s="11" t="str">
        <f>IF('[1]P-GENERAL'!A54="","",'[1]P-GENERAL'!A54)</f>
        <v>Chanitos Premium Tarima Chep</v>
      </c>
      <c r="B54" s="11" t="str">
        <f>IF('[1]P-GENERAL'!B54="","",'[1]P-GENERAL'!B54)</f>
        <v>CPR01102</v>
      </c>
      <c r="C54" t="str">
        <f>IF('[1]P-GENERAL'!C54="","",'[1]P-GENERAL'!C54)</f>
        <v>A01002-363108-</v>
      </c>
      <c r="D54" t="str">
        <f>IF('[1]P-GENERAL'!D54="","",'[1]P-GENERAL'!D54)</f>
        <v>A01 002 Fortaleza</v>
      </c>
      <c r="E54" s="8" t="str">
        <f>IF('[1]P-GENERAL'!E54="","",'[1]P-GENERAL'!E54)</f>
        <v>QRO</v>
      </c>
      <c r="F54" s="12">
        <f>IF('[1]P-GENERAL'!F54="","",'[1]P-GENERAL'!F54)</f>
        <v>1056</v>
      </c>
      <c r="G54" s="13">
        <f>IF('[1]P-GENERAL'!G54="","",'[1]P-GENERAL'!G54)</f>
        <v>22</v>
      </c>
      <c r="H54" s="14">
        <f>IF('[1]P-GENERAL'!H54="","",'[1]P-GENERAL'!H54)</f>
        <v>46265</v>
      </c>
      <c r="I54">
        <f>IF('[1]P-GENERAL'!I54="","",'[1]P-GENERAL'!I54)</f>
        <v>36</v>
      </c>
      <c r="J54" s="15">
        <f>IF('[1]P-GENERAL'!J54="","",'[1]P-GENERAL'!J54)</f>
        <v>46269</v>
      </c>
      <c r="K54" s="14" t="str">
        <f>IF('[1]P-GENERAL'!K54="","",'[1]P-GENERAL'!K54)</f>
        <v/>
      </c>
      <c r="L54" s="14" t="str">
        <f>IF('[1]P-GENERAL'!L54="","",'[1]P-GENERAL'!L54)</f>
        <v>PREENFRIO FORTALEZA</v>
      </c>
      <c r="M54">
        <f>IF('[1]P-GENERAL'!M54="","",'[1]P-GENERAL'!M54)</f>
        <v>1.5</v>
      </c>
      <c r="N54">
        <f>IF('[1]P-GENERAL'!N54="","",'[1]P-GENERAL'!N54)</f>
        <v>36</v>
      </c>
      <c r="O54" s="14">
        <f>IF('[1]P-GENERAL'!O54="","",'[1]P-GENERAL'!O54)</f>
        <v>46265</v>
      </c>
      <c r="P54" s="16">
        <f>IF('[1]P-GENERAL'!P54="","",'[1]P-GENERAL'!P54)</f>
        <v>0.73263888888888884</v>
      </c>
      <c r="Q54" t="str">
        <f>IF('[1]P-GENERAL'!Q54="","",'[1]P-GENERAL'!Q54)</f>
        <v>NORMAL</v>
      </c>
      <c r="R54" s="14">
        <f>IF('[1]P-GENERAL'!R54="","",'[1]P-GENERAL'!R54)</f>
        <v>46265</v>
      </c>
      <c r="S54" s="16">
        <f>IF('[1]P-GENERAL'!S54="","",'[1]P-GENERAL'!S54)</f>
        <v>0.9868055555555556</v>
      </c>
      <c r="T54" s="16">
        <f>IF('[1]P-GENERAL'!T54="","",'[1]P-GENERAL'!T54)</f>
        <v>0.625</v>
      </c>
      <c r="U54" s="17">
        <f>IF('[1]P-GENERAL'!U54="","",'[1]P-GENERAL'!U54)</f>
        <v>46266.611805555556</v>
      </c>
      <c r="V54" s="14">
        <f>IF('[1]P-GENERAL'!V54="","",'[1]P-GENERAL'!V54)</f>
        <v>46266</v>
      </c>
      <c r="W54" s="16">
        <f>IF('[1]P-GENERAL'!W54="","",'[1]P-GENERAL'!W54)</f>
        <v>0.76388888888888884</v>
      </c>
      <c r="X54" s="14" t="str">
        <f>IF('[1]P-GENERAL'!X54="","",'[1]P-GENERAL'!X54)</f>
        <v>SI CUMPLE</v>
      </c>
      <c r="Y54" s="14" t="str">
        <f>IF('[1]P-GENERAL'!Y54="","",'[1]P-GENERAL'!Y54)</f>
        <v>SI CUMPLE</v>
      </c>
      <c r="Z54" s="14" t="str">
        <f>IF('[1]P-GENERAL'!Z54="","",'[1]P-GENERAL'!Z54)</f>
        <v/>
      </c>
      <c r="AA54" s="14" t="str">
        <f>IF('[1]P-GENERAL'!AA54="","",'[1]P-GENERAL'!AA54)</f>
        <v>DESPACHADO</v>
      </c>
      <c r="AB54" s="8" t="str">
        <f>IF('[1]P-GENERAL'!AB54="","",'[1]P-GENERAL'!AB54)</f>
        <v>TRANSPORTES TRI</v>
      </c>
      <c r="AC54" s="8" t="str">
        <f>IF('[1]P-GENERAL'!AC54="","",'[1]P-GENERAL'!AC54)</f>
        <v>ANGEL IRISSAN RAMIREZ</v>
      </c>
      <c r="AD54">
        <f>IF('[1]P-GENERAL'!AD54="","",'[1]P-GENERAL'!AD54)</f>
        <v>24500</v>
      </c>
      <c r="AE54" t="str">
        <f>IF('[1]P-GENERAL'!AE54="","",'[1]P-GENERAL'!AE54)</f>
        <v>QCH1W03YG0</v>
      </c>
    </row>
    <row r="55" spans="1:31" ht="20.25" x14ac:dyDescent="0.3">
      <c r="A55" s="11" t="str">
        <f>IF('[1]P-GENERAL'!A55="","",'[1]P-GENERAL'!A55)</f>
        <v>Chanitos Organic Banded Market Side Mexico</v>
      </c>
      <c r="B55" s="11" t="str">
        <f>IF('[1]P-GENERAL'!B55="","",'[1]P-GENERAL'!B55)</f>
        <v>CRG07128</v>
      </c>
      <c r="C55" t="str">
        <f>IF('[1]P-GENERAL'!C55="","",'[1]P-GENERAL'!C55)</f>
        <v>A01002-363108-</v>
      </c>
      <c r="D55" t="str">
        <f>IF('[1]P-GENERAL'!D55="","",'[1]P-GENERAL'!D55)</f>
        <v>A01 002 Fortaleza</v>
      </c>
      <c r="E55" s="8" t="str">
        <f>IF('[1]P-GENERAL'!E55="","",'[1]P-GENERAL'!E55)</f>
        <v>QRO</v>
      </c>
      <c r="F55" s="12">
        <f>IF('[1]P-GENERAL'!F55="","",'[1]P-GENERAL'!F55)</f>
        <v>96</v>
      </c>
      <c r="G55" s="13">
        <f>IF('[1]P-GENERAL'!G55="","",'[1]P-GENERAL'!G55)</f>
        <v>2</v>
      </c>
      <c r="H55" s="14">
        <f>IF('[1]P-GENERAL'!H55="","",'[1]P-GENERAL'!H55)</f>
        <v>46265</v>
      </c>
      <c r="I55">
        <f>IF('[1]P-GENERAL'!I55="","",'[1]P-GENERAL'!I55)</f>
        <v>36</v>
      </c>
      <c r="J55" s="15">
        <f>IF('[1]P-GENERAL'!J55="","",'[1]P-GENERAL'!J55)</f>
        <v>46269</v>
      </c>
      <c r="K55" s="14" t="str">
        <f>IF('[1]P-GENERAL'!K55="","",'[1]P-GENERAL'!K55)</f>
        <v/>
      </c>
      <c r="L55" s="14" t="str">
        <f>IF('[1]P-GENERAL'!L55="","",'[1]P-GENERAL'!L55)</f>
        <v>PREENFRIO FORTALEZA</v>
      </c>
      <c r="M55">
        <f>IF('[1]P-GENERAL'!M55="","",'[1]P-GENERAL'!M55)</f>
        <v>1.5</v>
      </c>
      <c r="N55">
        <f>IF('[1]P-GENERAL'!N55="","",'[1]P-GENERAL'!N55)</f>
        <v>36</v>
      </c>
      <c r="O55" s="14">
        <f>IF('[1]P-GENERAL'!O55="","",'[1]P-GENERAL'!O55)</f>
        <v>46265</v>
      </c>
      <c r="P55" s="16">
        <f>IF('[1]P-GENERAL'!P55="","",'[1]P-GENERAL'!P55)</f>
        <v>0.73263888888888884</v>
      </c>
      <c r="Q55" t="str">
        <f>IF('[1]P-GENERAL'!Q55="","",'[1]P-GENERAL'!Q55)</f>
        <v>NORMAL</v>
      </c>
      <c r="R55" s="14">
        <f>IF('[1]P-GENERAL'!R55="","",'[1]P-GENERAL'!R55)</f>
        <v>46265</v>
      </c>
      <c r="S55" s="16">
        <f>IF('[1]P-GENERAL'!S55="","",'[1]P-GENERAL'!S55)</f>
        <v>0.9868055555555556</v>
      </c>
      <c r="T55" s="16">
        <f>IF('[1]P-GENERAL'!T55="","",'[1]P-GENERAL'!T55)</f>
        <v>0.625</v>
      </c>
      <c r="U55" s="17">
        <f>IF('[1]P-GENERAL'!U55="","",'[1]P-GENERAL'!U55)</f>
        <v>46266.611805555556</v>
      </c>
      <c r="V55" s="14">
        <f>IF('[1]P-GENERAL'!V55="","",'[1]P-GENERAL'!V55)</f>
        <v>46266</v>
      </c>
      <c r="W55" s="16">
        <f>IF('[1]P-GENERAL'!W55="","",'[1]P-GENERAL'!W55)</f>
        <v>0.76388888888888884</v>
      </c>
      <c r="X55" s="14" t="str">
        <f>IF('[1]P-GENERAL'!X55="","",'[1]P-GENERAL'!X55)</f>
        <v>SI CUMPLE</v>
      </c>
      <c r="Y55" s="14" t="str">
        <f>IF('[1]P-GENERAL'!Y55="","",'[1]P-GENERAL'!Y55)</f>
        <v>SI CUMPLE</v>
      </c>
      <c r="Z55" s="14" t="str">
        <f>IF('[1]P-GENERAL'!Z55="","",'[1]P-GENERAL'!Z55)</f>
        <v/>
      </c>
      <c r="AA55" s="14" t="str">
        <f>IF('[1]P-GENERAL'!AA55="","",'[1]P-GENERAL'!AA55)</f>
        <v>DESPACHADO</v>
      </c>
      <c r="AB55" s="8" t="str">
        <f>IF('[1]P-GENERAL'!AB55="","",'[1]P-GENERAL'!AB55)</f>
        <v>TRANSPORTES TRI</v>
      </c>
      <c r="AC55" s="8" t="str">
        <f>IF('[1]P-GENERAL'!AC55="","",'[1]P-GENERAL'!AC55)</f>
        <v>ANGEL IRISSAN RAMIREZ</v>
      </c>
      <c r="AD55">
        <f>IF('[1]P-GENERAL'!AD55="","",'[1]P-GENERAL'!AD55)</f>
        <v>24500</v>
      </c>
      <c r="AE55" t="str">
        <f>IF('[1]P-GENERAL'!AE55="","",'[1]P-GENERAL'!AE55)</f>
        <v>QCH1W03YG0</v>
      </c>
    </row>
    <row r="56" spans="1:31" ht="20.25" x14ac:dyDescent="0.3">
      <c r="A56" s="11" t="str">
        <f>IF('[1]P-GENERAL'!A56="","",'[1]P-GENERAL'!A56)</f>
        <v>Chanitos Premium EUA Tarima Americana</v>
      </c>
      <c r="B56" s="11" t="str">
        <f>IF('[1]P-GENERAL'!B56="","",'[1]P-GENERAL'!B56)</f>
        <v>CPR01104</v>
      </c>
      <c r="C56" t="str">
        <f>IF('[1]P-GENERAL'!C56="","",'[1]P-GENERAL'!C56)</f>
        <v>A11045-360109-1</v>
      </c>
      <c r="D56" t="str">
        <f>IF('[1]P-GENERAL'!D56="","",'[1]P-GENERAL'!D56)</f>
        <v>A11 045 Sector Mazatan</v>
      </c>
      <c r="E56" s="8" t="str">
        <f>IF('[1]P-GENERAL'!E56="","",'[1]P-GENERAL'!E56)</f>
        <v>McAllen</v>
      </c>
      <c r="F56" s="12">
        <f>IF('[1]P-GENERAL'!F56="","",'[1]P-GENERAL'!F56)</f>
        <v>576</v>
      </c>
      <c r="G56" s="13">
        <f>IF('[1]P-GENERAL'!G56="","",'[1]P-GENERAL'!G56)</f>
        <v>12</v>
      </c>
      <c r="H56" s="14">
        <f>IF('[1]P-GENERAL'!H56="","",'[1]P-GENERAL'!H56)</f>
        <v>46266</v>
      </c>
      <c r="I56">
        <f>IF('[1]P-GENERAL'!I56="","",'[1]P-GENERAL'!I56)</f>
        <v>36</v>
      </c>
      <c r="J56" s="15">
        <f>IF('[1]P-GENERAL'!J56="","",'[1]P-GENERAL'!J56)</f>
        <v>46269</v>
      </c>
      <c r="K56" s="14" t="str">
        <f>IF('[1]P-GENERAL'!K56="","",'[1]P-GENERAL'!K56)</f>
        <v/>
      </c>
      <c r="L56" s="14" t="str">
        <f>IF('[1]P-GENERAL'!L56="","",'[1]P-GENERAL'!L56)</f>
        <v>DIRECTO SIN PREENFRIO</v>
      </c>
      <c r="M56">
        <f>IF('[1]P-GENERAL'!M56="","",'[1]P-GENERAL'!M56)</f>
        <v>3</v>
      </c>
      <c r="N56">
        <f>IF('[1]P-GENERAL'!N56="","",'[1]P-GENERAL'!N56)</f>
        <v>72</v>
      </c>
      <c r="O56" s="14">
        <f>IF('[1]P-GENERAL'!O56="","",'[1]P-GENERAL'!O56)</f>
        <v>46266</v>
      </c>
      <c r="P56" s="16">
        <f>IF('[1]P-GENERAL'!P56="","",'[1]P-GENERAL'!P56)</f>
        <v>0.64583333333333337</v>
      </c>
      <c r="Q56" t="str">
        <f>IF('[1]P-GENERAL'!Q56="","",'[1]P-GENERAL'!Q56)</f>
        <v/>
      </c>
      <c r="R56" s="14" t="str">
        <f>IF('[1]P-GENERAL'!R56="","",'[1]P-GENERAL'!R56)</f>
        <v/>
      </c>
      <c r="S56" s="16" t="str">
        <f>IF('[1]P-GENERAL'!S56="","",'[1]P-GENERAL'!S56)</f>
        <v/>
      </c>
      <c r="T56" s="16" t="str">
        <f>IF('[1]P-GENERAL'!T56="","",'[1]P-GENERAL'!T56)</f>
        <v>N/A</v>
      </c>
      <c r="U56" s="17" t="str">
        <f>IF('[1]P-GENERAL'!U56="","",'[1]P-GENERAL'!U56)</f>
        <v/>
      </c>
      <c r="V56" s="14">
        <f>IF('[1]P-GENERAL'!V56="","",'[1]P-GENERAL'!V56)</f>
        <v>46267</v>
      </c>
      <c r="W56" s="16">
        <f>IF('[1]P-GENERAL'!W56="","",'[1]P-GENERAL'!W56)</f>
        <v>0.24305555555555555</v>
      </c>
      <c r="X56" s="14" t="str">
        <f>IF('[1]P-GENERAL'!X56="","",'[1]P-GENERAL'!X56)</f>
        <v/>
      </c>
      <c r="Y56" s="14" t="str">
        <f>IF('[1]P-GENERAL'!Y56="","",'[1]P-GENERAL'!Y56)</f>
        <v>NO CUMPLE</v>
      </c>
      <c r="Z56" s="14" t="str">
        <f>IF('[1]P-GENERAL'!Z56="","",'[1]P-GENERAL'!Z56)</f>
        <v>EMPAQUE TARDIO</v>
      </c>
      <c r="AA56" s="14" t="str">
        <f>IF('[1]P-GENERAL'!AA56="","",'[1]P-GENERAL'!AA56)</f>
        <v>DESPACHADO</v>
      </c>
      <c r="AB56" s="8" t="str">
        <f>IF('[1]P-GENERAL'!AB56="","",'[1]P-GENERAL'!AB56)</f>
        <v>TRANSPORTES TOMATITOS</v>
      </c>
      <c r="AC56" s="8" t="str">
        <f>IF('[1]P-GENERAL'!AC56="","",'[1]P-GENERAL'!AC56)</f>
        <v>EDGAR EDUARDO CAVAZOS TAMEZ</v>
      </c>
      <c r="AD56">
        <f>IF('[1]P-GENERAL'!AD56="","",'[1]P-GENERAL'!AD56)</f>
        <v>47802</v>
      </c>
      <c r="AE56" t="str">
        <f>IF('[1]P-GENERAL'!AE56="","",'[1]P-GENERAL'!AE56)</f>
        <v>QCH1W04BQ0</v>
      </c>
    </row>
    <row r="57" spans="1:31" ht="20.25" x14ac:dyDescent="0.3">
      <c r="A57" s="11" t="str">
        <f>IF('[1]P-GENERAL'!A57="","",'[1]P-GENERAL'!A57)</f>
        <v>Chanitos Premium EUA Tarima Americana</v>
      </c>
      <c r="B57" s="11" t="str">
        <f>IF('[1]P-GENERAL'!B57="","",'[1]P-GENERAL'!B57)</f>
        <v>CPR01104</v>
      </c>
      <c r="C57" t="str">
        <f>IF('[1]P-GENERAL'!C57="","",'[1]P-GENERAL'!C57)</f>
        <v>A04084-360109-1</v>
      </c>
      <c r="D57" t="str">
        <f>IF('[1]P-GENERAL'!D57="","",'[1]P-GENERAL'!D57)</f>
        <v>A04 084 Lisboa</v>
      </c>
      <c r="E57" s="8" t="str">
        <f>IF('[1]P-GENERAL'!E57="","",'[1]P-GENERAL'!E57)</f>
        <v>McAllen</v>
      </c>
      <c r="F57" s="12">
        <f>IF('[1]P-GENERAL'!F57="","",'[1]P-GENERAL'!F57)</f>
        <v>960</v>
      </c>
      <c r="G57" s="13">
        <f>IF('[1]P-GENERAL'!G57="","",'[1]P-GENERAL'!G57)</f>
        <v>20</v>
      </c>
      <c r="H57" s="14">
        <f>IF('[1]P-GENERAL'!H57="","",'[1]P-GENERAL'!H57)</f>
        <v>46266</v>
      </c>
      <c r="I57">
        <f>IF('[1]P-GENERAL'!I57="","",'[1]P-GENERAL'!I57)</f>
        <v>36</v>
      </c>
      <c r="J57" s="15">
        <f>IF('[1]P-GENERAL'!J57="","",'[1]P-GENERAL'!J57)</f>
        <v>46270</v>
      </c>
      <c r="K57" s="14" t="str">
        <f>IF('[1]P-GENERAL'!K57="","",'[1]P-GENERAL'!K57)</f>
        <v/>
      </c>
      <c r="L57" s="14" t="str">
        <f>IF('[1]P-GENERAL'!L57="","",'[1]P-GENERAL'!L57)</f>
        <v>DIRECTO SIN PREENFRIO</v>
      </c>
      <c r="M57">
        <f>IF('[1]P-GENERAL'!M57="","",'[1]P-GENERAL'!M57)</f>
        <v>3</v>
      </c>
      <c r="N57">
        <f>IF('[1]P-GENERAL'!N57="","",'[1]P-GENERAL'!N57)</f>
        <v>72</v>
      </c>
      <c r="O57" s="14">
        <f>IF('[1]P-GENERAL'!O57="","",'[1]P-GENERAL'!O57)</f>
        <v>46266</v>
      </c>
      <c r="P57" s="16">
        <f>IF('[1]P-GENERAL'!P57="","",'[1]P-GENERAL'!P57)</f>
        <v>0.95833333333333337</v>
      </c>
      <c r="Q57" t="str">
        <f>IF('[1]P-GENERAL'!Q57="","",'[1]P-GENERAL'!Q57)</f>
        <v>NORMAL</v>
      </c>
      <c r="R57" s="14" t="str">
        <f>IF('[1]P-GENERAL'!R57="","",'[1]P-GENERAL'!R57)</f>
        <v/>
      </c>
      <c r="S57" s="16" t="str">
        <f>IF('[1]P-GENERAL'!S57="","",'[1]P-GENERAL'!S57)</f>
        <v/>
      </c>
      <c r="T57" s="16" t="str">
        <f>IF('[1]P-GENERAL'!T57="","",'[1]P-GENERAL'!T57)</f>
        <v>N/A</v>
      </c>
      <c r="U57" s="17" t="str">
        <f>IF('[1]P-GENERAL'!U57="","",'[1]P-GENERAL'!U57)</f>
        <v/>
      </c>
      <c r="V57" s="14">
        <f>IF('[1]P-GENERAL'!V57="","",'[1]P-GENERAL'!V57)</f>
        <v>46267</v>
      </c>
      <c r="W57" s="16">
        <f>IF('[1]P-GENERAL'!W57="","",'[1]P-GENERAL'!W57)</f>
        <v>0.74305555555555558</v>
      </c>
      <c r="X57" s="14" t="str">
        <f>IF('[1]P-GENERAL'!X57="","",'[1]P-GENERAL'!X57)</f>
        <v/>
      </c>
      <c r="Y57" s="14" t="str">
        <f>IF('[1]P-GENERAL'!Y57="","",'[1]P-GENERAL'!Y57)</f>
        <v>NO CUMPLE</v>
      </c>
      <c r="Z57" s="14" t="str">
        <f>IF('[1]P-GENERAL'!Z57="","",'[1]P-GENERAL'!Z57)</f>
        <v/>
      </c>
      <c r="AA57" s="14" t="str">
        <f>IF('[1]P-GENERAL'!AA57="","",'[1]P-GENERAL'!AA57)</f>
        <v>DESPACHADO</v>
      </c>
      <c r="AB57" s="8" t="str">
        <f>IF('[1]P-GENERAL'!AB57="","",'[1]P-GENERAL'!AB57)</f>
        <v>SEGOVIA</v>
      </c>
      <c r="AC57" s="8" t="str">
        <f>IF('[1]P-GENERAL'!AC57="","",'[1]P-GENERAL'!AC57)</f>
        <v>LUIS FERNANDO CANDELARIA VAZQUEZ</v>
      </c>
      <c r="AD57">
        <f>IF('[1]P-GENERAL'!AD57="","",'[1]P-GENERAL'!AD57)</f>
        <v>14304</v>
      </c>
      <c r="AE57" t="str">
        <f>IF('[1]P-GENERAL'!AE57="","",'[1]P-GENERAL'!AE57)</f>
        <v>QCH1W04CH0</v>
      </c>
    </row>
    <row r="58" spans="1:31" ht="20.25" x14ac:dyDescent="0.3">
      <c r="A58" s="11" t="str">
        <f>IF('[1]P-GENERAL'!A58="","",'[1]P-GENERAL'!A58)</f>
        <v>Chanitos Premium EUA Tarima Americana</v>
      </c>
      <c r="B58" s="11" t="str">
        <f>IF('[1]P-GENERAL'!B58="","",'[1]P-GENERAL'!B58)</f>
        <v>CPR01104</v>
      </c>
      <c r="C58" t="str">
        <f>IF('[1]P-GENERAL'!C58="","",'[1]P-GENERAL'!C58)</f>
        <v>A01004-360109-1</v>
      </c>
      <c r="D58" t="str">
        <f>IF('[1]P-GENERAL'!D58="","",'[1]P-GENERAL'!D58)</f>
        <v>A01 004 La Ceiba</v>
      </c>
      <c r="E58" s="8" t="str">
        <f>IF('[1]P-GENERAL'!E58="","",'[1]P-GENERAL'!E58)</f>
        <v>McAllen</v>
      </c>
      <c r="F58" s="12">
        <f>IF('[1]P-GENERAL'!F58="","",'[1]P-GENERAL'!F58)</f>
        <v>960</v>
      </c>
      <c r="G58" s="13">
        <f>IF('[1]P-GENERAL'!G58="","",'[1]P-GENERAL'!G58)</f>
        <v>20</v>
      </c>
      <c r="H58" s="14">
        <f>IF('[1]P-GENERAL'!H58="","",'[1]P-GENERAL'!H58)</f>
        <v>46266</v>
      </c>
      <c r="I58">
        <f>IF('[1]P-GENERAL'!I58="","",'[1]P-GENERAL'!I58)</f>
        <v>36</v>
      </c>
      <c r="J58" s="15">
        <f>IF('[1]P-GENERAL'!J58="","",'[1]P-GENERAL'!J58)</f>
        <v>46270</v>
      </c>
      <c r="K58" s="14" t="str">
        <f>IF('[1]P-GENERAL'!K58="","",'[1]P-GENERAL'!K58)</f>
        <v/>
      </c>
      <c r="L58" s="14" t="str">
        <f>IF('[1]P-GENERAL'!L58="","",'[1]P-GENERAL'!L58)</f>
        <v>DIRECTO SIN PREENFRIO</v>
      </c>
      <c r="M58">
        <f>IF('[1]P-GENERAL'!M58="","",'[1]P-GENERAL'!M58)</f>
        <v>3</v>
      </c>
      <c r="N58">
        <f>IF('[1]P-GENERAL'!N58="","",'[1]P-GENERAL'!N58)</f>
        <v>72</v>
      </c>
      <c r="O58" s="14">
        <f>IF('[1]P-GENERAL'!O58="","",'[1]P-GENERAL'!O58)</f>
        <v>46266</v>
      </c>
      <c r="P58" s="16">
        <f>IF('[1]P-GENERAL'!P58="","",'[1]P-GENERAL'!P58)</f>
        <v>0.77083333333333337</v>
      </c>
      <c r="Q58" t="str">
        <f>IF('[1]P-GENERAL'!Q58="","",'[1]P-GENERAL'!Q58)</f>
        <v/>
      </c>
      <c r="R58" s="14" t="str">
        <f>IF('[1]P-GENERAL'!R58="","",'[1]P-GENERAL'!R58)</f>
        <v/>
      </c>
      <c r="S58" s="16" t="str">
        <f>IF('[1]P-GENERAL'!S58="","",'[1]P-GENERAL'!S58)</f>
        <v/>
      </c>
      <c r="T58" s="16" t="str">
        <f>IF('[1]P-GENERAL'!T58="","",'[1]P-GENERAL'!T58)</f>
        <v>N/A</v>
      </c>
      <c r="U58" s="17" t="str">
        <f>IF('[1]P-GENERAL'!U58="","",'[1]P-GENERAL'!U58)</f>
        <v/>
      </c>
      <c r="V58" s="14">
        <f>IF('[1]P-GENERAL'!V58="","",'[1]P-GENERAL'!V58)</f>
        <v>46267</v>
      </c>
      <c r="W58" s="16">
        <f>IF('[1]P-GENERAL'!W58="","",'[1]P-GENERAL'!W58)</f>
        <v>0.74305555555555558</v>
      </c>
      <c r="X58" s="14" t="str">
        <f>IF('[1]P-GENERAL'!X58="","",'[1]P-GENERAL'!X58)</f>
        <v/>
      </c>
      <c r="Y58" s="14" t="str">
        <f>IF('[1]P-GENERAL'!Y58="","",'[1]P-GENERAL'!Y58)</f>
        <v>NO CUMPLE</v>
      </c>
      <c r="Z58" s="14" t="str">
        <f>IF('[1]P-GENERAL'!Z58="","",'[1]P-GENERAL'!Z58)</f>
        <v/>
      </c>
      <c r="AA58" s="14" t="str">
        <f>IF('[1]P-GENERAL'!AA58="","",'[1]P-GENERAL'!AA58)</f>
        <v>DESPACHADO</v>
      </c>
      <c r="AB58" s="8" t="str">
        <f>IF('[1]P-GENERAL'!AB58="","",'[1]P-GENERAL'!AB58)</f>
        <v>SEGOVIA</v>
      </c>
      <c r="AC58" s="8" t="str">
        <f>IF('[1]P-GENERAL'!AC58="","",'[1]P-GENERAL'!AC58)</f>
        <v>LUIS FERNANDO CANDELARIA VAZQUEZ</v>
      </c>
      <c r="AD58">
        <f>IF('[1]P-GENERAL'!AD58="","",'[1]P-GENERAL'!AD58)</f>
        <v>14304</v>
      </c>
      <c r="AE58" t="str">
        <f>IF('[1]P-GENERAL'!AE58="","",'[1]P-GENERAL'!AE58)</f>
        <v>QCH1W04CJ0</v>
      </c>
    </row>
    <row r="59" spans="1:31" ht="20.25" x14ac:dyDescent="0.3">
      <c r="A59" s="11" t="str">
        <f>IF('[1]P-GENERAL'!A59="","",'[1]P-GENERAL'!A59)</f>
        <v>Chanitos Premium Tarima Chep</v>
      </c>
      <c r="B59" s="11" t="str">
        <f>IF('[1]P-GENERAL'!B59="","",'[1]P-GENERAL'!B59)</f>
        <v>CPR01102</v>
      </c>
      <c r="C59" t="str">
        <f>IF('[1]P-GENERAL'!C59="","",'[1]P-GENERAL'!C59)</f>
        <v>A01004-360109-1</v>
      </c>
      <c r="D59" t="str">
        <f>IF('[1]P-GENERAL'!D59="","",'[1]P-GENERAL'!D59)</f>
        <v>A01 004 La Ceiba</v>
      </c>
      <c r="E59" s="8" t="str">
        <f>IF('[1]P-GENERAL'!E59="","",'[1]P-GENERAL'!E59)</f>
        <v>Chalco</v>
      </c>
      <c r="F59" s="12">
        <f>IF('[1]P-GENERAL'!F59="","",'[1]P-GENERAL'!F59)</f>
        <v>288</v>
      </c>
      <c r="G59" s="13">
        <f>IF('[1]P-GENERAL'!G59="","",'[1]P-GENERAL'!G59)</f>
        <v>6</v>
      </c>
      <c r="H59" s="14">
        <f>IF('[1]P-GENERAL'!H59="","",'[1]P-GENERAL'!H59)</f>
        <v>46266</v>
      </c>
      <c r="I59">
        <f>IF('[1]P-GENERAL'!I59="","",'[1]P-GENERAL'!I59)</f>
        <v>36</v>
      </c>
      <c r="J59" s="15">
        <f>IF('[1]P-GENERAL'!J59="","",'[1]P-GENERAL'!J59)</f>
        <v>46270</v>
      </c>
      <c r="K59" s="14" t="str">
        <f>IF('[1]P-GENERAL'!K59="","",'[1]P-GENERAL'!K59)</f>
        <v/>
      </c>
      <c r="L59" s="14" t="str">
        <f>IF('[1]P-GENERAL'!L59="","",'[1]P-GENERAL'!L59)</f>
        <v>PREENFRIO FORTALEZA</v>
      </c>
      <c r="M59">
        <f>IF('[1]P-GENERAL'!M59="","",'[1]P-GENERAL'!M59)</f>
        <v>1</v>
      </c>
      <c r="N59">
        <f>IF('[1]P-GENERAL'!N59="","",'[1]P-GENERAL'!N59)</f>
        <v>24</v>
      </c>
      <c r="O59" s="14">
        <f>IF('[1]P-GENERAL'!O59="","",'[1]P-GENERAL'!O59)</f>
        <v>46266</v>
      </c>
      <c r="P59" s="16">
        <f>IF('[1]P-GENERAL'!P59="","",'[1]P-GENERAL'!P59)</f>
        <v>0.89583333333333337</v>
      </c>
      <c r="Q59" t="str">
        <f>IF('[1]P-GENERAL'!Q59="","",'[1]P-GENERAL'!Q59)</f>
        <v>NORMAL</v>
      </c>
      <c r="R59" s="14">
        <f>IF('[1]P-GENERAL'!R59="","",'[1]P-GENERAL'!R59)</f>
        <v>46266</v>
      </c>
      <c r="S59" s="16">
        <f>IF('[1]P-GENERAL'!S59="","",'[1]P-GENERAL'!S59)</f>
        <v>0.9375</v>
      </c>
      <c r="T59" s="16">
        <f>IF('[1]P-GENERAL'!T59="","",'[1]P-GENERAL'!T59)</f>
        <v>0.33333333333333331</v>
      </c>
      <c r="U59" s="17">
        <f>IF('[1]P-GENERAL'!U59="","",'[1]P-GENERAL'!U59)</f>
        <v>46267.270833333336</v>
      </c>
      <c r="V59" s="14">
        <f>IF('[1]P-GENERAL'!V59="","",'[1]P-GENERAL'!V59)</f>
        <v>46267</v>
      </c>
      <c r="W59" s="16">
        <f>IF('[1]P-GENERAL'!W59="","",'[1]P-GENERAL'!W59)</f>
        <v>0.35069444444444442</v>
      </c>
      <c r="X59" s="14" t="str">
        <f>IF('[1]P-GENERAL'!X59="","",'[1]P-GENERAL'!X59)</f>
        <v>SI CUMPLE</v>
      </c>
      <c r="Y59" s="14" t="str">
        <f>IF('[1]P-GENERAL'!Y59="","",'[1]P-GENERAL'!Y59)</f>
        <v>SI CUMPLE</v>
      </c>
      <c r="Z59" s="14" t="str">
        <f>IF('[1]P-GENERAL'!Z59="","",'[1]P-GENERAL'!Z59)</f>
        <v>COMPLETA EN NELLY</v>
      </c>
      <c r="AA59" s="14" t="str">
        <f>IF('[1]P-GENERAL'!AA59="","",'[1]P-GENERAL'!AA59)</f>
        <v xml:space="preserve">DESPACHADO  </v>
      </c>
      <c r="AB59" s="8" t="str">
        <f>IF('[1]P-GENERAL'!AB59="","",'[1]P-GENERAL'!AB59)</f>
        <v>JONATHAN CARRILLO GODINEZ</v>
      </c>
      <c r="AC59" s="8" t="str">
        <f>IF('[1]P-GENERAL'!AC59="","",'[1]P-GENERAL'!AC59)</f>
        <v>MARCO ANTONIO CRUZ LUNA</v>
      </c>
      <c r="AD59">
        <f>IF('[1]P-GENERAL'!AD59="","",'[1]P-GENERAL'!AD59)</f>
        <v>13246</v>
      </c>
      <c r="AE59" t="str">
        <f>IF('[1]P-GENERAL'!AE59="","",'[1]P-GENERAL'!AE59)</f>
        <v>N/A</v>
      </c>
    </row>
    <row r="60" spans="1:31" ht="20.25" x14ac:dyDescent="0.3">
      <c r="A60" s="11" t="str">
        <f>IF('[1]P-GENERAL'!A60="","",'[1]P-GENERAL'!A60)</f>
        <v>Platano de Chiapas BAE UPC 3237</v>
      </c>
      <c r="B60" s="11" t="str">
        <f>IF('[1]P-GENERAL'!B60="","",'[1]P-GENERAL'!B60)</f>
        <v>CPR01114</v>
      </c>
      <c r="C60" t="str">
        <f>IF('[1]P-GENERAL'!C60="","",'[1]P-GENERAL'!C60)</f>
        <v>A01003-360109-1</v>
      </c>
      <c r="D60" t="str">
        <f>IF('[1]P-GENERAL'!D60="","",'[1]P-GENERAL'!D60)</f>
        <v>A01 003 Doña Nelly</v>
      </c>
      <c r="E60" s="8" t="str">
        <f>IF('[1]P-GENERAL'!E60="","",'[1]P-GENERAL'!E60)</f>
        <v>Chalco</v>
      </c>
      <c r="F60" s="12">
        <f>IF('[1]P-GENERAL'!F60="","",'[1]P-GENERAL'!F60)</f>
        <v>66</v>
      </c>
      <c r="G60" s="13">
        <f>IF('[1]P-GENERAL'!G60="","",'[1]P-GENERAL'!G60)</f>
        <v>1.375</v>
      </c>
      <c r="H60" s="14">
        <f>IF('[1]P-GENERAL'!H60="","",'[1]P-GENERAL'!H60)</f>
        <v>46266</v>
      </c>
      <c r="I60">
        <f>IF('[1]P-GENERAL'!I60="","",'[1]P-GENERAL'!I60)</f>
        <v>36</v>
      </c>
      <c r="J60" s="15">
        <f>IF('[1]P-GENERAL'!J60="","",'[1]P-GENERAL'!J60)</f>
        <v>46270</v>
      </c>
      <c r="K60" s="14" t="str">
        <f>IF('[1]P-GENERAL'!K60="","",'[1]P-GENERAL'!K60)</f>
        <v/>
      </c>
      <c r="L60" s="14" t="str">
        <f>IF('[1]P-GENERAL'!L60="","",'[1]P-GENERAL'!L60)</f>
        <v>PREENFRIO NELLY</v>
      </c>
      <c r="M60">
        <f>IF('[1]P-GENERAL'!M60="","",'[1]P-GENERAL'!M60)</f>
        <v>1</v>
      </c>
      <c r="N60">
        <f>IF('[1]P-GENERAL'!N60="","",'[1]P-GENERAL'!N60)</f>
        <v>24</v>
      </c>
      <c r="O60" s="14">
        <f>IF('[1]P-GENERAL'!O60="","",'[1]P-GENERAL'!O60)</f>
        <v>46266</v>
      </c>
      <c r="P60" s="16">
        <f>IF('[1]P-GENERAL'!P60="","",'[1]P-GENERAL'!P60)</f>
        <v>0.78819444444444442</v>
      </c>
      <c r="Q60" t="str">
        <f>IF('[1]P-GENERAL'!Q60="","",'[1]P-GENERAL'!Q60)</f>
        <v>NORMAL</v>
      </c>
      <c r="R60" s="14">
        <f>IF('[1]P-GENERAL'!R60="","",'[1]P-GENERAL'!R60)</f>
        <v>46266</v>
      </c>
      <c r="S60" s="16">
        <f>IF('[1]P-GENERAL'!S60="","",'[1]P-GENERAL'!S60)</f>
        <v>0.87152777777777779</v>
      </c>
      <c r="T60" s="16">
        <f>IF('[1]P-GENERAL'!T60="","",'[1]P-GENERAL'!T60)</f>
        <v>0.35416666666666669</v>
      </c>
      <c r="U60" s="17">
        <f>IF('[1]P-GENERAL'!U60="","",'[1]P-GENERAL'!U60)</f>
        <v>46267.225694444445</v>
      </c>
      <c r="V60" s="14">
        <f>IF('[1]P-GENERAL'!V60="","",'[1]P-GENERAL'!V60)</f>
        <v>46267</v>
      </c>
      <c r="W60" s="16">
        <f>IF('[1]P-GENERAL'!W60="","",'[1]P-GENERAL'!W60)</f>
        <v>0.75</v>
      </c>
      <c r="X60" s="14" t="str">
        <f>IF('[1]P-GENERAL'!X60="","",'[1]P-GENERAL'!X60)</f>
        <v>SI CUMPLE</v>
      </c>
      <c r="Y60" s="14" t="str">
        <f>IF('[1]P-GENERAL'!Y60="","",'[1]P-GENERAL'!Y60)</f>
        <v>SI CUMPLE</v>
      </c>
      <c r="Z60" s="14" t="str">
        <f>IF('[1]P-GENERAL'!Z60="","",'[1]P-GENERAL'!Z60)</f>
        <v/>
      </c>
      <c r="AA60" s="14" t="str">
        <f>IF('[1]P-GENERAL'!AA60="","",'[1]P-GENERAL'!AA60)</f>
        <v>DESPACHADO</v>
      </c>
      <c r="AB60" s="8" t="str">
        <f>IF('[1]P-GENERAL'!AB60="","",'[1]P-GENERAL'!AB60)</f>
        <v>REFRIGERADOS CARRILLO</v>
      </c>
      <c r="AC60" s="8" t="str">
        <f>IF('[1]P-GENERAL'!AC60="","",'[1]P-GENERAL'!AC60)</f>
        <v>MARCO ANTONIO CRUZ LUNA</v>
      </c>
      <c r="AD60">
        <f>IF('[1]P-GENERAL'!AD60="","",'[1]P-GENERAL'!AD60)</f>
        <v>46021</v>
      </c>
      <c r="AE60" t="str">
        <f>IF('[1]P-GENERAL'!AE60="","",'[1]P-GENERAL'!AE60)</f>
        <v/>
      </c>
    </row>
    <row r="61" spans="1:31" ht="20.25" x14ac:dyDescent="0.3">
      <c r="A61" s="11" t="str">
        <f>IF('[1]P-GENERAL'!A61="","",'[1]P-GENERAL'!A61)</f>
        <v>Chanitos Premium Tarima Chep</v>
      </c>
      <c r="B61" s="11" t="str">
        <f>IF('[1]P-GENERAL'!B61="","",'[1]P-GENERAL'!B61)</f>
        <v>CPR01102</v>
      </c>
      <c r="C61" t="str">
        <f>IF('[1]P-GENERAL'!C61="","",'[1]P-GENERAL'!C61)</f>
        <v>A01003-360109-1</v>
      </c>
      <c r="D61" t="str">
        <f>IF('[1]P-GENERAL'!D61="","",'[1]P-GENERAL'!D61)</f>
        <v>A01 003 Doña Nelly</v>
      </c>
      <c r="E61" s="8" t="str">
        <f>IF('[1]P-GENERAL'!E61="","",'[1]P-GENERAL'!E61)</f>
        <v>Chalco</v>
      </c>
      <c r="F61" s="12">
        <f>IF('[1]P-GENERAL'!F61="","",'[1]P-GENERAL'!F61)</f>
        <v>798</v>
      </c>
      <c r="G61" s="13">
        <f>IF('[1]P-GENERAL'!G61="","",'[1]P-GENERAL'!G61)</f>
        <v>16.625</v>
      </c>
      <c r="H61" s="14">
        <f>IF('[1]P-GENERAL'!H61="","",'[1]P-GENERAL'!H61)</f>
        <v>46266</v>
      </c>
      <c r="I61">
        <f>IF('[1]P-GENERAL'!I61="","",'[1]P-GENERAL'!I61)</f>
        <v>36</v>
      </c>
      <c r="J61" s="15">
        <f>IF('[1]P-GENERAL'!J61="","",'[1]P-GENERAL'!J61)</f>
        <v>46270</v>
      </c>
      <c r="K61" s="14" t="str">
        <f>IF('[1]P-GENERAL'!K61="","",'[1]P-GENERAL'!K61)</f>
        <v/>
      </c>
      <c r="L61" s="14" t="str">
        <f>IF('[1]P-GENERAL'!L61="","",'[1]P-GENERAL'!L61)</f>
        <v>PREENFRIO NELLY</v>
      </c>
      <c r="M61">
        <f>IF('[1]P-GENERAL'!M61="","",'[1]P-GENERAL'!M61)</f>
        <v>1</v>
      </c>
      <c r="N61">
        <f>IF('[1]P-GENERAL'!N61="","",'[1]P-GENERAL'!N61)</f>
        <v>24</v>
      </c>
      <c r="O61" s="14">
        <f>IF('[1]P-GENERAL'!O61="","",'[1]P-GENERAL'!O61)</f>
        <v>46266</v>
      </c>
      <c r="P61" s="16">
        <f>IF('[1]P-GENERAL'!P61="","",'[1]P-GENERAL'!P61)</f>
        <v>0.78819444444444442</v>
      </c>
      <c r="Q61" t="str">
        <f>IF('[1]P-GENERAL'!Q61="","",'[1]P-GENERAL'!Q61)</f>
        <v>NORMAL</v>
      </c>
      <c r="R61" s="14">
        <f>IF('[1]P-GENERAL'!R61="","",'[1]P-GENERAL'!R61)</f>
        <v>46266</v>
      </c>
      <c r="S61" s="16">
        <f>IF('[1]P-GENERAL'!S61="","",'[1]P-GENERAL'!S61)</f>
        <v>0.87152777777777779</v>
      </c>
      <c r="T61" s="16">
        <f>IF('[1]P-GENERAL'!T61="","",'[1]P-GENERAL'!T61)</f>
        <v>0.35416666666666669</v>
      </c>
      <c r="U61" s="17">
        <f>IF('[1]P-GENERAL'!U61="","",'[1]P-GENERAL'!U61)</f>
        <v>46267.225694444445</v>
      </c>
      <c r="V61" s="14">
        <f>IF('[1]P-GENERAL'!V61="","",'[1]P-GENERAL'!V61)</f>
        <v>46267</v>
      </c>
      <c r="W61" s="16">
        <f>IF('[1]P-GENERAL'!W61="","",'[1]P-GENERAL'!W61)</f>
        <v>0.75</v>
      </c>
      <c r="X61" s="14" t="str">
        <f>IF('[1]P-GENERAL'!X61="","",'[1]P-GENERAL'!X61)</f>
        <v>SI CUMPLE</v>
      </c>
      <c r="Y61" s="14" t="str">
        <f>IF('[1]P-GENERAL'!Y61="","",'[1]P-GENERAL'!Y61)</f>
        <v>SI CUMPLE</v>
      </c>
      <c r="Z61" s="14" t="str">
        <f>IF('[1]P-GENERAL'!Z61="","",'[1]P-GENERAL'!Z61)</f>
        <v/>
      </c>
      <c r="AA61" s="14" t="str">
        <f>IF('[1]P-GENERAL'!AA61="","",'[1]P-GENERAL'!AA61)</f>
        <v>DESPACHADO</v>
      </c>
      <c r="AB61" s="8" t="str">
        <f>IF('[1]P-GENERAL'!AB61="","",'[1]P-GENERAL'!AB61)</f>
        <v>REFRIGERADOS CARRILLO</v>
      </c>
      <c r="AC61" s="8" t="str">
        <f>IF('[1]P-GENERAL'!AC61="","",'[1]P-GENERAL'!AC61)</f>
        <v>MARCO ANTONIO CRUZ LUNA</v>
      </c>
      <c r="AD61">
        <f>IF('[1]P-GENERAL'!AD61="","",'[1]P-GENERAL'!AD61)</f>
        <v>46021</v>
      </c>
      <c r="AE61" t="str">
        <f>IF('[1]P-GENERAL'!AE61="","",'[1]P-GENERAL'!AE61)</f>
        <v/>
      </c>
    </row>
    <row r="62" spans="1:31" ht="20.25" x14ac:dyDescent="0.3">
      <c r="A62" s="11" t="str">
        <f>IF('[1]P-GENERAL'!A62="","",'[1]P-GENERAL'!A62)</f>
        <v>Chanitos Premium Tarima Chep</v>
      </c>
      <c r="B62" s="11" t="str">
        <f>IF('[1]P-GENERAL'!B62="","",'[1]P-GENERAL'!B62)</f>
        <v>CPR01102</v>
      </c>
      <c r="C62" t="str">
        <f>IF('[1]P-GENERAL'!C62="","",'[1]P-GENERAL'!C62)</f>
        <v>A01003-360109-1</v>
      </c>
      <c r="D62" t="str">
        <f>IF('[1]P-GENERAL'!D62="","",'[1]P-GENERAL'!D62)</f>
        <v>A01 003 Doña Nelly</v>
      </c>
      <c r="E62" s="8" t="str">
        <f>IF('[1]P-GENERAL'!E62="","",'[1]P-GENERAL'!E62)</f>
        <v>SMO</v>
      </c>
      <c r="F62" s="12">
        <f>IF('[1]P-GENERAL'!F62="","",'[1]P-GENERAL'!F62)</f>
        <v>1008</v>
      </c>
      <c r="G62" s="13">
        <f>IF('[1]P-GENERAL'!G62="","",'[1]P-GENERAL'!G62)</f>
        <v>22</v>
      </c>
      <c r="H62" s="14">
        <f>IF('[1]P-GENERAL'!H62="","",'[1]P-GENERAL'!H62)</f>
        <v>46266</v>
      </c>
      <c r="I62">
        <f>IF('[1]P-GENERAL'!I62="","",'[1]P-GENERAL'!I62)</f>
        <v>36</v>
      </c>
      <c r="J62" s="15">
        <f>IF('[1]P-GENERAL'!J62="","",'[1]P-GENERAL'!J62)</f>
        <v>46270</v>
      </c>
      <c r="K62" s="14" t="str">
        <f>IF('[1]P-GENERAL'!K62="","",'[1]P-GENERAL'!K62)</f>
        <v/>
      </c>
      <c r="L62" s="14" t="str">
        <f>IF('[1]P-GENERAL'!L62="","",'[1]P-GENERAL'!L62)</f>
        <v>PREENFRIO NELLY</v>
      </c>
      <c r="M62">
        <f>IF('[1]P-GENERAL'!M62="","",'[1]P-GENERAL'!M62)</f>
        <v>1.5</v>
      </c>
      <c r="N62">
        <f>IF('[1]P-GENERAL'!N62="","",'[1]P-GENERAL'!N62)</f>
        <v>36</v>
      </c>
      <c r="O62" s="14">
        <f>IF('[1]P-GENERAL'!O62="","",'[1]P-GENERAL'!O62)</f>
        <v>46266</v>
      </c>
      <c r="P62" s="16">
        <f>IF('[1]P-GENERAL'!P62="","",'[1]P-GENERAL'!P62)</f>
        <v>0.5</v>
      </c>
      <c r="Q62" t="str">
        <f>IF('[1]P-GENERAL'!Q62="","",'[1]P-GENERAL'!Q62)</f>
        <v>NORMAL</v>
      </c>
      <c r="R62" s="14">
        <f>IF('[1]P-GENERAL'!R62="","",'[1]P-GENERAL'!R62)</f>
        <v>46266</v>
      </c>
      <c r="S62" s="16">
        <f>IF('[1]P-GENERAL'!S62="","",'[1]P-GENERAL'!S62)</f>
        <v>0.51249999999999996</v>
      </c>
      <c r="T62" s="16">
        <f>IF('[1]P-GENERAL'!T62="","",'[1]P-GENERAL'!T62)</f>
        <v>0.35416666666666669</v>
      </c>
      <c r="U62" s="17">
        <f>IF('[1]P-GENERAL'!U62="","",'[1]P-GENERAL'!U62)</f>
        <v>46266.866666666661</v>
      </c>
      <c r="V62" s="14">
        <f>IF('[1]P-GENERAL'!V62="","",'[1]P-GENERAL'!V62)</f>
        <v>46267</v>
      </c>
      <c r="W62" s="16">
        <f>IF('[1]P-GENERAL'!W62="","",'[1]P-GENERAL'!W62)</f>
        <v>0.51944444444444449</v>
      </c>
      <c r="X62" s="14" t="str">
        <f>IF('[1]P-GENERAL'!X62="","",'[1]P-GENERAL'!X62)</f>
        <v>SI CUMPLE</v>
      </c>
      <c r="Y62" s="14" t="str">
        <f>IF('[1]P-GENERAL'!Y62="","",'[1]P-GENERAL'!Y62)</f>
        <v>SI CUMPLE</v>
      </c>
      <c r="Z62" s="14" t="str">
        <f>IF('[1]P-GENERAL'!Z62="","",'[1]P-GENERAL'!Z62)</f>
        <v/>
      </c>
      <c r="AA62" s="14" t="str">
        <f>IF('[1]P-GENERAL'!AA62="","",'[1]P-GENERAL'!AA62)</f>
        <v>DESPACHADO</v>
      </c>
      <c r="AB62" s="8" t="str">
        <f>IF('[1]P-GENERAL'!AB62="","",'[1]P-GENERAL'!AB62)</f>
        <v>TRANSP CARRILLO</v>
      </c>
      <c r="AC62" s="8" t="str">
        <f>IF('[1]P-GENERAL'!AC62="","",'[1]P-GENERAL'!AC62)</f>
        <v>Juan Carlos Muños Perez</v>
      </c>
      <c r="AD62">
        <f>IF('[1]P-GENERAL'!AD62="","",'[1]P-GENERAL'!AD62)</f>
        <v>99458</v>
      </c>
      <c r="AE62" t="str">
        <f>IF('[1]P-GENERAL'!AE62="","",'[1]P-GENERAL'!AE62)</f>
        <v>QCH1W048T0</v>
      </c>
    </row>
    <row r="63" spans="1:31" ht="20.25" x14ac:dyDescent="0.3">
      <c r="A63" s="11" t="str">
        <f>IF('[1]P-GENERAL'!A63="","",'[1]P-GENERAL'!A63)</f>
        <v>Chanitos Premium EUA Tarima Americana</v>
      </c>
      <c r="B63" s="11" t="str">
        <f>IF('[1]P-GENERAL'!B63="","",'[1]P-GENERAL'!B63)</f>
        <v>CPR01104</v>
      </c>
      <c r="C63" t="str">
        <f>IF('[1]P-GENERAL'!C63="","",'[1]P-GENERAL'!C63)</f>
        <v>A01002-360209-1</v>
      </c>
      <c r="D63" t="str">
        <f>IF('[1]P-GENERAL'!D63="","",'[1]P-GENERAL'!D63)</f>
        <v>A01 002 Fortaleza</v>
      </c>
      <c r="E63" s="8" t="str">
        <f>IF('[1]P-GENERAL'!E63="","",'[1]P-GENERAL'!E63)</f>
        <v>McAllen</v>
      </c>
      <c r="F63" s="12">
        <f>IF('[1]P-GENERAL'!F63="","",'[1]P-GENERAL'!F63)</f>
        <v>960</v>
      </c>
      <c r="G63" s="13">
        <f>IF('[1]P-GENERAL'!G63="","",'[1]P-GENERAL'!G63)</f>
        <v>20</v>
      </c>
      <c r="H63" s="14">
        <f>IF('[1]P-GENERAL'!H63="","",'[1]P-GENERAL'!H63)</f>
        <v>46267</v>
      </c>
      <c r="I63">
        <f>IF('[1]P-GENERAL'!I63="","",'[1]P-GENERAL'!I63)</f>
        <v>36</v>
      </c>
      <c r="J63" s="15">
        <f>IF('[1]P-GENERAL'!J63="","",'[1]P-GENERAL'!J63)</f>
        <v>46270</v>
      </c>
      <c r="K63" s="14" t="str">
        <f>IF('[1]P-GENERAL'!K63="","",'[1]P-GENERAL'!K63)</f>
        <v/>
      </c>
      <c r="L63" s="14" t="str">
        <f>IF('[1]P-GENERAL'!L63="","",'[1]P-GENERAL'!L63)</f>
        <v>DIRECTO SIN PREENFRIO</v>
      </c>
      <c r="M63">
        <f>IF('[1]P-GENERAL'!M63="","",'[1]P-GENERAL'!M63)</f>
        <v>3</v>
      </c>
      <c r="N63">
        <f>IF('[1]P-GENERAL'!N63="","",'[1]P-GENERAL'!N63)</f>
        <v>72</v>
      </c>
      <c r="O63" s="14">
        <f>IF('[1]P-GENERAL'!O63="","",'[1]P-GENERAL'!O63)</f>
        <v>46267</v>
      </c>
      <c r="P63" s="16">
        <f>IF('[1]P-GENERAL'!P63="","",'[1]P-GENERAL'!P63)</f>
        <v>0.75</v>
      </c>
      <c r="Q63" t="str">
        <f>IF('[1]P-GENERAL'!Q63="","",'[1]P-GENERAL'!Q63)</f>
        <v/>
      </c>
      <c r="R63" s="14" t="str">
        <f>IF('[1]P-GENERAL'!R63="","",'[1]P-GENERAL'!R63)</f>
        <v/>
      </c>
      <c r="S63" s="16" t="str">
        <f>IF('[1]P-GENERAL'!S63="","",'[1]P-GENERAL'!S63)</f>
        <v/>
      </c>
      <c r="T63" s="16" t="str">
        <f>IF('[1]P-GENERAL'!T63="","",'[1]P-GENERAL'!T63)</f>
        <v/>
      </c>
      <c r="U63" s="17" t="str">
        <f>IF('[1]P-GENERAL'!U63="","",'[1]P-GENERAL'!U63)</f>
        <v/>
      </c>
      <c r="V63" s="14">
        <f>IF('[1]P-GENERAL'!V63="","",'[1]P-GENERAL'!V63)</f>
        <v>46268</v>
      </c>
      <c r="W63" s="16">
        <f>IF('[1]P-GENERAL'!W63="","",'[1]P-GENERAL'!W63)</f>
        <v>0.77777777777777779</v>
      </c>
      <c r="X63" s="14" t="str">
        <f>IF('[1]P-GENERAL'!X63="","",'[1]P-GENERAL'!X63)</f>
        <v/>
      </c>
      <c r="Y63" s="14" t="str">
        <f>IF('[1]P-GENERAL'!Y63="","",'[1]P-GENERAL'!Y63)</f>
        <v>NO CUMPLE</v>
      </c>
      <c r="Z63" s="14" t="str">
        <f>IF('[1]P-GENERAL'!Z63="","",'[1]P-GENERAL'!Z63)</f>
        <v/>
      </c>
      <c r="AA63" s="14" t="str">
        <f>IF('[1]P-GENERAL'!AA63="","",'[1]P-GENERAL'!AA63)</f>
        <v>DESPACHADO</v>
      </c>
      <c r="AB63" s="8" t="str">
        <f>IF('[1]P-GENERAL'!AB63="","",'[1]P-GENERAL'!AB63)</f>
        <v>GUANGOS</v>
      </c>
      <c r="AC63" s="8" t="str">
        <f>IF('[1]P-GENERAL'!AC63="","",'[1]P-GENERAL'!AC63)</f>
        <v>OSCAR FABIAN GARCIA GARCIA</v>
      </c>
      <c r="AD63">
        <f>IF('[1]P-GENERAL'!AD63="","",'[1]P-GENERAL'!AD63)</f>
        <v>12743</v>
      </c>
      <c r="AE63" t="str">
        <f>IF('[1]P-GENERAL'!AE63="","",'[1]P-GENERAL'!AE63)</f>
        <v>QCH1W04BY0</v>
      </c>
    </row>
    <row r="64" spans="1:31" ht="20.25" x14ac:dyDescent="0.3">
      <c r="A64" s="11" t="str">
        <f>IF('[1]P-GENERAL'!A64="","",'[1]P-GENERAL'!A64)</f>
        <v>Chanitos Premium EUA Tarima Americana</v>
      </c>
      <c r="B64" s="11" t="str">
        <f>IF('[1]P-GENERAL'!B64="","",'[1]P-GENERAL'!B64)</f>
        <v>CPR01104</v>
      </c>
      <c r="C64" t="str">
        <f>IF('[1]P-GENERAL'!C64="","",'[1]P-GENERAL'!C64)</f>
        <v>A04084-360209-1</v>
      </c>
      <c r="D64" t="str">
        <f>IF('[1]P-GENERAL'!D64="","",'[1]P-GENERAL'!D64)</f>
        <v>A04 084 Lisboa</v>
      </c>
      <c r="E64" s="8" t="str">
        <f>IF('[1]P-GENERAL'!E64="","",'[1]P-GENERAL'!E64)</f>
        <v>McAllen</v>
      </c>
      <c r="F64" s="12">
        <f>IF('[1]P-GENERAL'!F64="","",'[1]P-GENERAL'!F64)</f>
        <v>960</v>
      </c>
      <c r="G64" s="13">
        <f>IF('[1]P-GENERAL'!G64="","",'[1]P-GENERAL'!G64)</f>
        <v>20</v>
      </c>
      <c r="H64" s="14">
        <f>IF('[1]P-GENERAL'!H64="","",'[1]P-GENERAL'!H64)</f>
        <v>46267</v>
      </c>
      <c r="I64">
        <f>IF('[1]P-GENERAL'!I64="","",'[1]P-GENERAL'!I64)</f>
        <v>36</v>
      </c>
      <c r="J64" s="15">
        <f>IF('[1]P-GENERAL'!J64="","",'[1]P-GENERAL'!J64)</f>
        <v>46270</v>
      </c>
      <c r="K64" s="14" t="str">
        <f>IF('[1]P-GENERAL'!K64="","",'[1]P-GENERAL'!K64)</f>
        <v/>
      </c>
      <c r="L64" s="14" t="str">
        <f>IF('[1]P-GENERAL'!L64="","",'[1]P-GENERAL'!L64)</f>
        <v>DIRECTO SIN PREENFRIO</v>
      </c>
      <c r="M64">
        <f>IF('[1]P-GENERAL'!M64="","",'[1]P-GENERAL'!M64)</f>
        <v>3</v>
      </c>
      <c r="N64">
        <f>IF('[1]P-GENERAL'!N64="","",'[1]P-GENERAL'!N64)</f>
        <v>72</v>
      </c>
      <c r="O64" s="14">
        <f>IF('[1]P-GENERAL'!O64="","",'[1]P-GENERAL'!O64)</f>
        <v>46267</v>
      </c>
      <c r="P64" s="16">
        <f>IF('[1]P-GENERAL'!P64="","",'[1]P-GENERAL'!P64)</f>
        <v>0.83333333333333337</v>
      </c>
      <c r="Q64" t="str">
        <f>IF('[1]P-GENERAL'!Q64="","",'[1]P-GENERAL'!Q64)</f>
        <v/>
      </c>
      <c r="R64" s="14" t="str">
        <f>IF('[1]P-GENERAL'!R64="","",'[1]P-GENERAL'!R64)</f>
        <v/>
      </c>
      <c r="S64" s="16" t="str">
        <f>IF('[1]P-GENERAL'!S64="","",'[1]P-GENERAL'!S64)</f>
        <v/>
      </c>
      <c r="T64" s="16" t="str">
        <f>IF('[1]P-GENERAL'!T64="","",'[1]P-GENERAL'!T64)</f>
        <v>N/A</v>
      </c>
      <c r="U64" s="17" t="str">
        <f>IF('[1]P-GENERAL'!U64="","",'[1]P-GENERAL'!U64)</f>
        <v/>
      </c>
      <c r="V64" s="14">
        <f>IF('[1]P-GENERAL'!V64="","",'[1]P-GENERAL'!V64)</f>
        <v>46269</v>
      </c>
      <c r="W64" s="16">
        <f>IF('[1]P-GENERAL'!W64="","",'[1]P-GENERAL'!W64)</f>
        <v>0.28125</v>
      </c>
      <c r="X64" s="14" t="str">
        <f>IF('[1]P-GENERAL'!X64="","",'[1]P-GENERAL'!X64)</f>
        <v/>
      </c>
      <c r="Y64" s="14" t="str">
        <f>IF('[1]P-GENERAL'!Y64="","",'[1]P-GENERAL'!Y64)</f>
        <v>NO CUMPLE</v>
      </c>
      <c r="Z64" s="14" t="str">
        <f>IF('[1]P-GENERAL'!Z64="","",'[1]P-GENERAL'!Z64)</f>
        <v/>
      </c>
      <c r="AA64" s="14" t="str">
        <f>IF('[1]P-GENERAL'!AA64="","",'[1]P-GENERAL'!AA64)</f>
        <v>DESPACHADO</v>
      </c>
      <c r="AB64" s="8" t="str">
        <f>IF('[1]P-GENERAL'!AB64="","",'[1]P-GENERAL'!AB64)</f>
        <v>TOMATITOS</v>
      </c>
      <c r="AC64" s="8" t="str">
        <f>IF('[1]P-GENERAL'!AC64="","",'[1]P-GENERAL'!AC64)</f>
        <v>KEVIN JONAS RINCON CHAVEZ</v>
      </c>
      <c r="AD64">
        <f>IF('[1]P-GENERAL'!AD64="","",'[1]P-GENERAL'!AD64)</f>
        <v>37561</v>
      </c>
      <c r="AE64" t="str">
        <f>IF('[1]P-GENERAL'!AE64="","",'[1]P-GENERAL'!AE64)</f>
        <v>QCH1W04C30</v>
      </c>
    </row>
    <row r="65" spans="1:31" ht="20.25" x14ac:dyDescent="0.3">
      <c r="A65" s="11" t="str">
        <f>IF('[1]P-GENERAL'!A65="","",'[1]P-GENERAL'!A65)</f>
        <v>Chanitos Premium Tarima Chep</v>
      </c>
      <c r="B65" s="11" t="str">
        <f>IF('[1]P-GENERAL'!B65="","",'[1]P-GENERAL'!B65)</f>
        <v>CPR01102</v>
      </c>
      <c r="C65" t="str">
        <f>IF('[1]P-GENERAL'!C65="","",'[1]P-GENERAL'!C65)</f>
        <v>A36005-360209-1</v>
      </c>
      <c r="D65" t="str">
        <f>IF('[1]P-GENERAL'!D65="","",'[1]P-GENERAL'!D65)</f>
        <v>A04 005 La Gloria</v>
      </c>
      <c r="E65" s="8" t="str">
        <f>IF('[1]P-GENERAL'!E65="","",'[1]P-GENERAL'!E65)</f>
        <v>VSA</v>
      </c>
      <c r="F65" s="12">
        <f>IF('[1]P-GENERAL'!F65="","",'[1]P-GENERAL'!F65)</f>
        <v>864</v>
      </c>
      <c r="G65" s="13">
        <f>IF('[1]P-GENERAL'!G65="","",'[1]P-GENERAL'!G65)</f>
        <v>18</v>
      </c>
      <c r="H65" s="14">
        <f>IF('[1]P-GENERAL'!H65="","",'[1]P-GENERAL'!H65)</f>
        <v>46267</v>
      </c>
      <c r="I65">
        <f>IF('[1]P-GENERAL'!I65="","",'[1]P-GENERAL'!I65)</f>
        <v>36</v>
      </c>
      <c r="J65" s="15">
        <f>IF('[1]P-GENERAL'!J65="","",'[1]P-GENERAL'!J65)</f>
        <v>46270</v>
      </c>
      <c r="K65" s="14" t="str">
        <f>IF('[1]P-GENERAL'!K65="","",'[1]P-GENERAL'!K65)</f>
        <v/>
      </c>
      <c r="L65" s="14" t="str">
        <f>IF('[1]P-GENERAL'!L65="","",'[1]P-GENERAL'!L65)</f>
        <v>PREENFRIO FORTALEZA</v>
      </c>
      <c r="M65">
        <f>IF('[1]P-GENERAL'!M65="","",'[1]P-GENERAL'!M65)</f>
        <v>1</v>
      </c>
      <c r="N65">
        <f>IF('[1]P-GENERAL'!N65="","",'[1]P-GENERAL'!N65)</f>
        <v>24</v>
      </c>
      <c r="O65" s="14">
        <f>IF('[1]P-GENERAL'!O65="","",'[1]P-GENERAL'!O65)</f>
        <v>46268</v>
      </c>
      <c r="P65" s="16">
        <f>IF('[1]P-GENERAL'!P65="","",'[1]P-GENERAL'!P65)</f>
        <v>8.3333333333333329E-2</v>
      </c>
      <c r="Q65" t="str">
        <f>IF('[1]P-GENERAL'!Q65="","",'[1]P-GENERAL'!Q65)</f>
        <v>ALTA</v>
      </c>
      <c r="R65" s="14">
        <f>IF('[1]P-GENERAL'!R65="","",'[1]P-GENERAL'!R65)</f>
        <v>46268</v>
      </c>
      <c r="S65" s="16">
        <f>IF('[1]P-GENERAL'!S65="","",'[1]P-GENERAL'!S65)</f>
        <v>0.71458333333333335</v>
      </c>
      <c r="T65" s="16">
        <f>IF('[1]P-GENERAL'!T65="","",'[1]P-GENERAL'!T65)</f>
        <v>0.625</v>
      </c>
      <c r="U65" s="17">
        <f>IF('[1]P-GENERAL'!U65="","",'[1]P-GENERAL'!U65)</f>
        <v>46269.339583333334</v>
      </c>
      <c r="V65" s="14">
        <f>IF('[1]P-GENERAL'!V65="","",'[1]P-GENERAL'!V65)</f>
        <v>46269</v>
      </c>
      <c r="W65" s="16">
        <f>IF('[1]P-GENERAL'!W65="","",'[1]P-GENERAL'!W65)</f>
        <v>0.43402777777777779</v>
      </c>
      <c r="X65" s="14" t="str">
        <f>IF('[1]P-GENERAL'!X65="","",'[1]P-GENERAL'!X65)</f>
        <v>NO CUMPLE</v>
      </c>
      <c r="Y65" s="14" t="str">
        <f>IF('[1]P-GENERAL'!Y65="","",'[1]P-GENERAL'!Y65)</f>
        <v>NO CUMPLE</v>
      </c>
      <c r="Z65" s="14" t="str">
        <f>IF('[1]P-GENERAL'!Z65="","",'[1]P-GENERAL'!Z65)</f>
        <v>VOLUMEN / CAPACIDAD INSTALADA</v>
      </c>
      <c r="AA65" s="14" t="str">
        <f>IF('[1]P-GENERAL'!AA65="","",'[1]P-GENERAL'!AA65)</f>
        <v>DESPACHADO</v>
      </c>
      <c r="AB65" s="8" t="str">
        <f>IF('[1]P-GENERAL'!AB65="","",'[1]P-GENERAL'!AB65)</f>
        <v xml:space="preserve">Jazmin Flores </v>
      </c>
      <c r="AC65" s="8" t="str">
        <f>IF('[1]P-GENERAL'!AC65="","",'[1]P-GENERAL'!AC65)</f>
        <v>RAUL VALDIVIA FLORES</v>
      </c>
      <c r="AD65">
        <f>IF('[1]P-GENERAL'!AD65="","",'[1]P-GENERAL'!AD65)</f>
        <v>59000</v>
      </c>
      <c r="AE65" t="str">
        <f>IF('[1]P-GENERAL'!AE65="","",'[1]P-GENERAL'!AE65)</f>
        <v>QCH1W04CG0</v>
      </c>
    </row>
    <row r="66" spans="1:31" ht="20.25" x14ac:dyDescent="0.3">
      <c r="A66" s="11" t="str">
        <f>IF('[1]P-GENERAL'!A66="","",'[1]P-GENERAL'!A66)</f>
        <v>Chanitos Premium Tarima Chep</v>
      </c>
      <c r="B66" s="11" t="str">
        <f>IF('[1]P-GENERAL'!B66="","",'[1]P-GENERAL'!B66)</f>
        <v>CPR01102</v>
      </c>
      <c r="C66" t="str">
        <f>IF('[1]P-GENERAL'!C66="","",'[1]P-GENERAL'!C66)</f>
        <v>A01003-360209-1</v>
      </c>
      <c r="D66" t="str">
        <f>IF('[1]P-GENERAL'!D66="","",'[1]P-GENERAL'!D66)</f>
        <v>A01 003 Doña Nelly</v>
      </c>
      <c r="E66" s="8" t="str">
        <f>IF('[1]P-GENERAL'!E66="","",'[1]P-GENERAL'!E66)</f>
        <v>SMO</v>
      </c>
      <c r="F66" s="12">
        <f>IF('[1]P-GENERAL'!F66="","",'[1]P-GENERAL'!F66)</f>
        <v>48</v>
      </c>
      <c r="G66" s="13">
        <f>IF('[1]P-GENERAL'!G66="","",'[1]P-GENERAL'!G66)</f>
        <v>1</v>
      </c>
      <c r="H66" s="14">
        <f>IF('[1]P-GENERAL'!H66="","",'[1]P-GENERAL'!H66)</f>
        <v>46267</v>
      </c>
      <c r="I66">
        <f>IF('[1]P-GENERAL'!I66="","",'[1]P-GENERAL'!I66)</f>
        <v>36</v>
      </c>
      <c r="J66" s="15">
        <f>IF('[1]P-GENERAL'!J66="","",'[1]P-GENERAL'!J66)</f>
        <v>46270</v>
      </c>
      <c r="K66" s="14" t="str">
        <f>IF('[1]P-GENERAL'!K66="","",'[1]P-GENERAL'!K66)</f>
        <v/>
      </c>
      <c r="L66" s="14" t="str">
        <f>IF('[1]P-GENERAL'!L66="","",'[1]P-GENERAL'!L66)</f>
        <v>PREENFRIO NELLY</v>
      </c>
      <c r="M66">
        <f>IF('[1]P-GENERAL'!M66="","",'[1]P-GENERAL'!M66)</f>
        <v>1.5</v>
      </c>
      <c r="N66">
        <f>IF('[1]P-GENERAL'!N66="","",'[1]P-GENERAL'!N66)</f>
        <v>36</v>
      </c>
      <c r="O66" s="14">
        <f>IF('[1]P-GENERAL'!O66="","",'[1]P-GENERAL'!O66)</f>
        <v>46267</v>
      </c>
      <c r="P66" s="16">
        <f>IF('[1]P-GENERAL'!P66="","",'[1]P-GENERAL'!P66)</f>
        <v>0.61805555555555558</v>
      </c>
      <c r="Q66" t="str">
        <f>IF('[1]P-GENERAL'!Q66="","",'[1]P-GENERAL'!Q66)</f>
        <v>ALTA</v>
      </c>
      <c r="R66" s="14">
        <f>IF('[1]P-GENERAL'!R66="","",'[1]P-GENERAL'!R66)</f>
        <v>46267</v>
      </c>
      <c r="S66" s="16">
        <f>IF('[1]P-GENERAL'!S66="","",'[1]P-GENERAL'!S66)</f>
        <v>0.62291666666666667</v>
      </c>
      <c r="T66" s="16">
        <f>IF('[1]P-GENERAL'!T66="","",'[1]P-GENERAL'!T66)</f>
        <v>0.35416666666666669</v>
      </c>
      <c r="U66" s="17">
        <f>IF('[1]P-GENERAL'!U66="","",'[1]P-GENERAL'!U66)</f>
        <v>46267.977083333331</v>
      </c>
      <c r="V66" s="14">
        <f>IF('[1]P-GENERAL'!V66="","",'[1]P-GENERAL'!V66)</f>
        <v>46267</v>
      </c>
      <c r="W66" s="16">
        <f>IF('[1]P-GENERAL'!W66="","",'[1]P-GENERAL'!W66)</f>
        <v>0.51944444444444449</v>
      </c>
      <c r="X66" s="14" t="str">
        <f>IF('[1]P-GENERAL'!X66="","",'[1]P-GENERAL'!X66)</f>
        <v>SI CUMPLE</v>
      </c>
      <c r="Y66" s="14" t="str">
        <f>IF('[1]P-GENERAL'!Y66="","",'[1]P-GENERAL'!Y66)</f>
        <v>SI CUMPLE</v>
      </c>
      <c r="Z66" s="14" t="str">
        <f>IF('[1]P-GENERAL'!Z66="","",'[1]P-GENERAL'!Z66)</f>
        <v/>
      </c>
      <c r="AA66" s="14" t="str">
        <f>IF('[1]P-GENERAL'!AA66="","",'[1]P-GENERAL'!AA66)</f>
        <v>DESPACHADO</v>
      </c>
      <c r="AB66" s="8" t="str">
        <f>IF('[1]P-GENERAL'!AB66="","",'[1]P-GENERAL'!AB66)</f>
        <v>TRANSP CARRILLO</v>
      </c>
      <c r="AC66" s="8" t="str">
        <f>IF('[1]P-GENERAL'!AC66="","",'[1]P-GENERAL'!AC66)</f>
        <v>Juan Carlos Muños Perez</v>
      </c>
      <c r="AD66">
        <f>IF('[1]P-GENERAL'!AD66="","",'[1]P-GENERAL'!AD66)</f>
        <v>99458</v>
      </c>
      <c r="AE66" t="str">
        <f>IF('[1]P-GENERAL'!AE66="","",'[1]P-GENERAL'!AE66)</f>
        <v>QCH1W048T0</v>
      </c>
    </row>
    <row r="67" spans="1:31" ht="20.25" x14ac:dyDescent="0.3">
      <c r="A67" s="11" t="str">
        <f>IF('[1]P-GENERAL'!A67="","",'[1]P-GENERAL'!A67)</f>
        <v>Chanitos Premium Tarima Chep</v>
      </c>
      <c r="B67" s="11" t="str">
        <f>IF('[1]P-GENERAL'!B67="","",'[1]P-GENERAL'!B67)</f>
        <v>CPR01102</v>
      </c>
      <c r="C67" t="str">
        <f>IF('[1]P-GENERAL'!C67="","",'[1]P-GENERAL'!C67)</f>
        <v>A12057-360309-1</v>
      </c>
      <c r="D67" t="str">
        <f>IF('[1]P-GENERAL'!D67="","",'[1]P-GENERAL'!D67)</f>
        <v>A12 057 Tiquisate 1</v>
      </c>
      <c r="E67" s="8" t="str">
        <f>IF('[1]P-GENERAL'!E67="","",'[1]P-GENERAL'!E67)</f>
        <v>VSA</v>
      </c>
      <c r="F67" s="12">
        <f>IF('[1]P-GENERAL'!F67="","",'[1]P-GENERAL'!F67)</f>
        <v>288</v>
      </c>
      <c r="G67" s="13">
        <f>IF('[1]P-GENERAL'!G67="","",'[1]P-GENERAL'!G67)</f>
        <v>6</v>
      </c>
      <c r="H67" s="14">
        <f>IF('[1]P-GENERAL'!H67="","",'[1]P-GENERAL'!H67)</f>
        <v>46268</v>
      </c>
      <c r="I67">
        <f>IF('[1]P-GENERAL'!I67="","",'[1]P-GENERAL'!I67)</f>
        <v>36</v>
      </c>
      <c r="J67" s="15">
        <f>IF('[1]P-GENERAL'!J67="","",'[1]P-GENERAL'!J67)</f>
        <v>46270</v>
      </c>
      <c r="K67" s="14" t="str">
        <f>IF('[1]P-GENERAL'!K67="","",'[1]P-GENERAL'!K67)</f>
        <v/>
      </c>
      <c r="L67" s="14" t="str">
        <f>IF('[1]P-GENERAL'!L67="","",'[1]P-GENERAL'!L67)</f>
        <v>PREENFRIO FORTALEZA</v>
      </c>
      <c r="M67">
        <f>IF('[1]P-GENERAL'!M67="","",'[1]P-GENERAL'!M67)</f>
        <v>1</v>
      </c>
      <c r="N67">
        <f>IF('[1]P-GENERAL'!N67="","",'[1]P-GENERAL'!N67)</f>
        <v>24</v>
      </c>
      <c r="O67" s="14">
        <f>IF('[1]P-GENERAL'!O67="","",'[1]P-GENERAL'!O67)</f>
        <v>46268</v>
      </c>
      <c r="P67" s="16">
        <f>IF('[1]P-GENERAL'!P67="","",'[1]P-GENERAL'!P67)</f>
        <v>0.5625</v>
      </c>
      <c r="Q67" t="str">
        <f>IF('[1]P-GENERAL'!Q67="","",'[1]P-GENERAL'!Q67)</f>
        <v>ALTA</v>
      </c>
      <c r="R67" s="14">
        <f>IF('[1]P-GENERAL'!R67="","",'[1]P-GENERAL'!R67)</f>
        <v>46268</v>
      </c>
      <c r="S67" s="16">
        <f>IF('[1]P-GENERAL'!S67="","",'[1]P-GENERAL'!S67)</f>
        <v>0.71458333333333335</v>
      </c>
      <c r="T67" s="16">
        <f>IF('[1]P-GENERAL'!T67="","",'[1]P-GENERAL'!T67)</f>
        <v>0.625</v>
      </c>
      <c r="U67" s="17">
        <f>IF('[1]P-GENERAL'!U67="","",'[1]P-GENERAL'!U67)</f>
        <v>46269.339583333334</v>
      </c>
      <c r="V67" s="14">
        <f>IF('[1]P-GENERAL'!V67="","",'[1]P-GENERAL'!V67)</f>
        <v>46269</v>
      </c>
      <c r="W67" s="16">
        <f>IF('[1]P-GENERAL'!W67="","",'[1]P-GENERAL'!W67)</f>
        <v>0.43402777777777779</v>
      </c>
      <c r="X67" s="14" t="str">
        <f>IF('[1]P-GENERAL'!X67="","",'[1]P-GENERAL'!X67)</f>
        <v>NO CUMPLE</v>
      </c>
      <c r="Y67" s="14" t="str">
        <f>IF('[1]P-GENERAL'!Y67="","",'[1]P-GENERAL'!Y67)</f>
        <v>NO CUMPLE</v>
      </c>
      <c r="Z67" s="14" t="str">
        <f>IF('[1]P-GENERAL'!Z67="","",'[1]P-GENERAL'!Z67)</f>
        <v>VOLUMEN / CAPACIDAD INSTALADA</v>
      </c>
      <c r="AA67" s="14" t="str">
        <f>IF('[1]P-GENERAL'!AA67="","",'[1]P-GENERAL'!AA67)</f>
        <v>DESPACHADO</v>
      </c>
      <c r="AB67" s="8" t="str">
        <f>IF('[1]P-GENERAL'!AB67="","",'[1]P-GENERAL'!AB67)</f>
        <v xml:space="preserve">Jazmin Flores </v>
      </c>
      <c r="AC67" s="8" t="str">
        <f>IF('[1]P-GENERAL'!AC67="","",'[1]P-GENERAL'!AC67)</f>
        <v>RAUL VALDIVIA FLORES</v>
      </c>
      <c r="AD67">
        <f>IF('[1]P-GENERAL'!AD67="","",'[1]P-GENERAL'!AD67)</f>
        <v>59000</v>
      </c>
      <c r="AE67" t="str">
        <f>IF('[1]P-GENERAL'!AE67="","",'[1]P-GENERAL'!AE67)</f>
        <v>QCH1W04CG0</v>
      </c>
    </row>
    <row r="68" spans="1:31" ht="20.25" x14ac:dyDescent="0.3">
      <c r="A68" s="11" t="str">
        <f>IF('[1]P-GENERAL'!A68="","",'[1]P-GENERAL'!A68)</f>
        <v>Chanitos Premium Tarima Chep</v>
      </c>
      <c r="B68" s="11" t="str">
        <f>IF('[1]P-GENERAL'!B68="","",'[1]P-GENERAL'!B68)</f>
        <v>CPR01102</v>
      </c>
      <c r="C68" t="str">
        <f>IF('[1]P-GENERAL'!C68="","",'[1]P-GENERAL'!C68)</f>
        <v>A01001-363108-1</v>
      </c>
      <c r="D68" t="str">
        <f>IF('[1]P-GENERAL'!D68="","",'[1]P-GENERAL'!D68)</f>
        <v>A01 001 Marbella</v>
      </c>
      <c r="E68" s="8" t="str">
        <f>IF('[1]P-GENERAL'!E68="","",'[1]P-GENERAL'!E68)</f>
        <v>SMO</v>
      </c>
      <c r="F68" s="12">
        <f>IF('[1]P-GENERAL'!F68="","",'[1]P-GENERAL'!F68)</f>
        <v>48</v>
      </c>
      <c r="G68" s="13">
        <f>IF('[1]P-GENERAL'!G68="","",'[1]P-GENERAL'!G68)</f>
        <v>1</v>
      </c>
      <c r="H68" s="14">
        <f>IF('[1]P-GENERAL'!H68="","",'[1]P-GENERAL'!H68)</f>
        <v>46265</v>
      </c>
      <c r="I68">
        <f>IF('[1]P-GENERAL'!I68="","",'[1]P-GENERAL'!I68)</f>
        <v>36</v>
      </c>
      <c r="J68" s="15">
        <f>IF('[1]P-GENERAL'!J68="","",'[1]P-GENERAL'!J68)</f>
        <v>46271</v>
      </c>
      <c r="K68" s="14" t="str">
        <f>IF('[1]P-GENERAL'!K68="","",'[1]P-GENERAL'!K68)</f>
        <v/>
      </c>
      <c r="L68" s="14" t="str">
        <f>IF('[1]P-GENERAL'!L68="","",'[1]P-GENERAL'!L68)</f>
        <v>PREENFRIO FORTALEZA</v>
      </c>
      <c r="M68">
        <f>IF('[1]P-GENERAL'!M68="","",'[1]P-GENERAL'!M68)</f>
        <v>1.5</v>
      </c>
      <c r="N68">
        <f>IF('[1]P-GENERAL'!N68="","",'[1]P-GENERAL'!N68)</f>
        <v>36</v>
      </c>
      <c r="O68" s="14">
        <f>IF('[1]P-GENERAL'!O68="","",'[1]P-GENERAL'!O68)</f>
        <v>46266</v>
      </c>
      <c r="P68" s="16">
        <f>IF('[1]P-GENERAL'!P68="","",'[1]P-GENERAL'!P68)</f>
        <v>0.9375</v>
      </c>
      <c r="Q68" t="str">
        <f>IF('[1]P-GENERAL'!Q68="","",'[1]P-GENERAL'!Q68)</f>
        <v>NORMAL</v>
      </c>
      <c r="R68" s="14">
        <f>IF('[1]P-GENERAL'!R68="","",'[1]P-GENERAL'!R68)</f>
        <v>46267</v>
      </c>
      <c r="S68" s="16">
        <f>IF('[1]P-GENERAL'!S68="","",'[1]P-GENERAL'!S68)</f>
        <v>0.86041666666666672</v>
      </c>
      <c r="T68" s="16">
        <f>IF('[1]P-GENERAL'!T68="","",'[1]P-GENERAL'!T68)</f>
        <v>0.25</v>
      </c>
      <c r="U68" s="17">
        <f>IF('[1]P-GENERAL'!U68="","",'[1]P-GENERAL'!U68)</f>
        <v>46268.11041666667</v>
      </c>
      <c r="V68" s="14">
        <f>IF('[1]P-GENERAL'!V68="","",'[1]P-GENERAL'!V68)</f>
        <v>46268</v>
      </c>
      <c r="W68" s="16">
        <f>IF('[1]P-GENERAL'!W68="","",'[1]P-GENERAL'!W68)</f>
        <v>0.74305555555555558</v>
      </c>
      <c r="X68" s="14" t="str">
        <f>IF('[1]P-GENERAL'!X68="","",'[1]P-GENERAL'!X68)</f>
        <v>SI CUMPLE</v>
      </c>
      <c r="Y68" s="14" t="str">
        <f>IF('[1]P-GENERAL'!Y68="","",'[1]P-GENERAL'!Y68)</f>
        <v>SI CUMPLE</v>
      </c>
      <c r="Z68" s="14" t="str">
        <f>IF('[1]P-GENERAL'!Z68="","",'[1]P-GENERAL'!Z68)</f>
        <v/>
      </c>
      <c r="AA68" s="14" t="str">
        <f>IF('[1]P-GENERAL'!AA68="","",'[1]P-GENERAL'!AA68)</f>
        <v>DESPACHADO</v>
      </c>
      <c r="AB68" s="8" t="str">
        <f>IF('[1]P-GENERAL'!AB68="","",'[1]P-GENERAL'!AB68)</f>
        <v>TRL</v>
      </c>
      <c r="AC68" s="8" t="str">
        <f>IF('[1]P-GENERAL'!AC68="","",'[1]P-GENERAL'!AC68)</f>
        <v>ALAN ANDRES MARTINEZ LEGORRETA</v>
      </c>
      <c r="AD68">
        <f>IF('[1]P-GENERAL'!AD68="","",'[1]P-GENERAL'!AD68)</f>
        <v>73856</v>
      </c>
      <c r="AE68" t="str">
        <f>IF('[1]P-GENERAL'!AE68="","",'[1]P-GENERAL'!AE68)</f>
        <v>QCH1W04C50</v>
      </c>
    </row>
    <row r="69" spans="1:31" ht="20.25" x14ac:dyDescent="0.3">
      <c r="A69" s="11" t="str">
        <f>IF('[1]P-GENERAL'!A69="","",'[1]P-GENERAL'!A69)</f>
        <v>Chanitos Premium Tarima Chep</v>
      </c>
      <c r="B69" s="11" t="str">
        <f>IF('[1]P-GENERAL'!B69="","",'[1]P-GENERAL'!B69)</f>
        <v>CPR01102</v>
      </c>
      <c r="C69" t="str">
        <f>IF('[1]P-GENERAL'!C69="","",'[1]P-GENERAL'!C69)</f>
        <v>A01003-360209-1</v>
      </c>
      <c r="D69" t="str">
        <f>IF('[1]P-GENERAL'!D69="","",'[1]P-GENERAL'!D69)</f>
        <v>A01 003 Doña Nelly</v>
      </c>
      <c r="E69" s="8" t="str">
        <f>IF('[1]P-GENERAL'!E69="","",'[1]P-GENERAL'!E69)</f>
        <v>SMO</v>
      </c>
      <c r="F69" s="12">
        <f>IF('[1]P-GENERAL'!F69="","",'[1]P-GENERAL'!F69)</f>
        <v>528</v>
      </c>
      <c r="G69" s="13">
        <f>IF('[1]P-GENERAL'!G69="","",'[1]P-GENERAL'!G69)</f>
        <v>11</v>
      </c>
      <c r="H69" s="14">
        <f>IF('[1]P-GENERAL'!H69="","",'[1]P-GENERAL'!H69)</f>
        <v>46267</v>
      </c>
      <c r="I69">
        <f>IF('[1]P-GENERAL'!I69="","",'[1]P-GENERAL'!I69)</f>
        <v>36</v>
      </c>
      <c r="J69" s="15">
        <f>IF('[1]P-GENERAL'!J69="","",'[1]P-GENERAL'!J69)</f>
        <v>46271</v>
      </c>
      <c r="K69" s="14" t="str">
        <f>IF('[1]P-GENERAL'!K69="","",'[1]P-GENERAL'!K69)</f>
        <v/>
      </c>
      <c r="L69" s="14" t="str">
        <f>IF('[1]P-GENERAL'!L69="","",'[1]P-GENERAL'!L69)</f>
        <v>PREENFRIO NELLY</v>
      </c>
      <c r="M69">
        <f>IF('[1]P-GENERAL'!M69="","",'[1]P-GENERAL'!M69)</f>
        <v>1.5</v>
      </c>
      <c r="N69">
        <f>IF('[1]P-GENERAL'!N69="","",'[1]P-GENERAL'!N69)</f>
        <v>36</v>
      </c>
      <c r="O69" s="14">
        <f>IF('[1]P-GENERAL'!O69="","",'[1]P-GENERAL'!O69)</f>
        <v>46267</v>
      </c>
      <c r="P69" s="16">
        <f>IF('[1]P-GENERAL'!P69="","",'[1]P-GENERAL'!P69)</f>
        <v>0.79166666666666663</v>
      </c>
      <c r="Q69" t="str">
        <f>IF('[1]P-GENERAL'!Q69="","",'[1]P-GENERAL'!Q69)</f>
        <v>NORMAL</v>
      </c>
      <c r="R69" s="14">
        <f>IF('[1]P-GENERAL'!R69="","",'[1]P-GENERAL'!R69)</f>
        <v>46268</v>
      </c>
      <c r="S69" s="16">
        <f>IF('[1]P-GENERAL'!S69="","",'[1]P-GENERAL'!S69)</f>
        <v>1.0416666666666666E-2</v>
      </c>
      <c r="T69" s="16">
        <f>IF('[1]P-GENERAL'!T69="","",'[1]P-GENERAL'!T69)</f>
        <v>0.35416666666666669</v>
      </c>
      <c r="U69" s="17">
        <f>IF('[1]P-GENERAL'!U69="","",'[1]P-GENERAL'!U69)</f>
        <v>46268.364583333328</v>
      </c>
      <c r="V69" s="14">
        <f>IF('[1]P-GENERAL'!V69="","",'[1]P-GENERAL'!V69)</f>
        <v>46269</v>
      </c>
      <c r="W69" s="16">
        <f>IF('[1]P-GENERAL'!W69="","",'[1]P-GENERAL'!W69)</f>
        <v>0.49166666666666664</v>
      </c>
      <c r="X69" s="14" t="str">
        <f>IF('[1]P-GENERAL'!X69="","",'[1]P-GENERAL'!X69)</f>
        <v>SI CUMPLE</v>
      </c>
      <c r="Y69" s="14" t="str">
        <f>IF('[1]P-GENERAL'!Y69="","",'[1]P-GENERAL'!Y69)</f>
        <v>SI CUMPLE</v>
      </c>
      <c r="Z69" s="14" t="str">
        <f>IF('[1]P-GENERAL'!Z69="","",'[1]P-GENERAL'!Z69)</f>
        <v/>
      </c>
      <c r="AA69" s="14" t="str">
        <f>IF('[1]P-GENERAL'!AA69="","",'[1]P-GENERAL'!AA69)</f>
        <v>DESPACHADO</v>
      </c>
      <c r="AB69" s="8" t="str">
        <f>IF('[1]P-GENERAL'!AB69="","",'[1]P-GENERAL'!AB69)</f>
        <v>Transp Zaragoza</v>
      </c>
      <c r="AC69" s="8" t="str">
        <f>IF('[1]P-GENERAL'!AC69="","",'[1]P-GENERAL'!AC69)</f>
        <v>Oscar Guadalupe Zaragoza</v>
      </c>
      <c r="AD69">
        <f>IF('[1]P-GENERAL'!AD69="","",'[1]P-GENERAL'!AD69)</f>
        <v>23955</v>
      </c>
      <c r="AE69" t="str">
        <f>IF('[1]P-GENERAL'!AE69="","",'[1]P-GENERAL'!AE69)</f>
        <v>QCH1W04A40</v>
      </c>
    </row>
    <row r="70" spans="1:31" ht="20.25" x14ac:dyDescent="0.3">
      <c r="A70" s="11" t="str">
        <f>IF('[1]P-GENERAL'!A70="","",'[1]P-GENERAL'!A70)</f>
        <v>Chanitos Plantain 20Kg Tarima Chep</v>
      </c>
      <c r="B70" s="11" t="str">
        <f>IF('[1]P-GENERAL'!B70="","",'[1]P-GENERAL'!B70)</f>
        <v>CPL08141</v>
      </c>
      <c r="C70" t="str">
        <f>IF('[1]P-GENERAL'!C70="","",'[1]P-GENERAL'!C70)</f>
        <v>A01001-360109-1</v>
      </c>
      <c r="D70" t="str">
        <f>IF('[1]P-GENERAL'!D70="","",'[1]P-GENERAL'!D70)</f>
        <v>A01 001 Marbella</v>
      </c>
      <c r="E70" s="8" t="str">
        <f>IF('[1]P-GENERAL'!E70="","",'[1]P-GENERAL'!E70)</f>
        <v>CEDA</v>
      </c>
      <c r="F70" s="12">
        <f>IF('[1]P-GENERAL'!F70="","",'[1]P-GENERAL'!F70)</f>
        <v>96</v>
      </c>
      <c r="G70" s="13">
        <f>IF('[1]P-GENERAL'!G70="","",'[1]P-GENERAL'!G70)</f>
        <v>2</v>
      </c>
      <c r="H70" s="14">
        <f>IF('[1]P-GENERAL'!H70="","",'[1]P-GENERAL'!H70)</f>
        <v>46266</v>
      </c>
      <c r="I70">
        <f>IF('[1]P-GENERAL'!I70="","",'[1]P-GENERAL'!I70)</f>
        <v>36</v>
      </c>
      <c r="J70" s="15">
        <f>IF('[1]P-GENERAL'!J70="","",'[1]P-GENERAL'!J70)</f>
        <v>46271</v>
      </c>
      <c r="K70" s="14" t="str">
        <f>IF('[1]P-GENERAL'!K70="","",'[1]P-GENERAL'!K70)</f>
        <v/>
      </c>
      <c r="L70" s="14" t="str">
        <f>IF('[1]P-GENERAL'!L70="","",'[1]P-GENERAL'!L70)</f>
        <v>PREENFRIO FORTALEZA</v>
      </c>
      <c r="M70">
        <f>IF('[1]P-GENERAL'!M70="","",'[1]P-GENERAL'!M70)</f>
        <v>1.5</v>
      </c>
      <c r="N70">
        <f>IF('[1]P-GENERAL'!N70="","",'[1]P-GENERAL'!N70)</f>
        <v>36</v>
      </c>
      <c r="O70" s="14">
        <f>IF('[1]P-GENERAL'!O70="","",'[1]P-GENERAL'!O70)</f>
        <v>46266</v>
      </c>
      <c r="P70" s="16">
        <f>IF('[1]P-GENERAL'!P70="","",'[1]P-GENERAL'!P70)</f>
        <v>0.9375</v>
      </c>
      <c r="Q70" t="str">
        <f>IF('[1]P-GENERAL'!Q70="","",'[1]P-GENERAL'!Q70)</f>
        <v>NORMAL</v>
      </c>
      <c r="R70" s="14">
        <f>IF('[1]P-GENERAL'!R70="","",'[1]P-GENERAL'!R70)</f>
        <v>46267</v>
      </c>
      <c r="S70" s="16">
        <f>IF('[1]P-GENERAL'!S70="","",'[1]P-GENERAL'!S70)</f>
        <v>0.86041666666666672</v>
      </c>
      <c r="T70" s="16">
        <f>IF('[1]P-GENERAL'!T70="","",'[1]P-GENERAL'!T70)</f>
        <v>0.25</v>
      </c>
      <c r="U70" s="17">
        <f>IF('[1]P-GENERAL'!U70="","",'[1]P-GENERAL'!U70)</f>
        <v>46268.11041666667</v>
      </c>
      <c r="V70" s="14">
        <f>IF('[1]P-GENERAL'!V70="","",'[1]P-GENERAL'!V70)</f>
        <v>46268</v>
      </c>
      <c r="W70" s="16">
        <f>IF('[1]P-GENERAL'!W70="","",'[1]P-GENERAL'!W70)</f>
        <v>0.22916666666666666</v>
      </c>
      <c r="X70" s="14" t="str">
        <f>IF('[1]P-GENERAL'!X70="","",'[1]P-GENERAL'!X70)</f>
        <v>SI CUMPLE</v>
      </c>
      <c r="Y70" s="14" t="str">
        <f>IF('[1]P-GENERAL'!Y70="","",'[1]P-GENERAL'!Y70)</f>
        <v>SI CUMPLE</v>
      </c>
      <c r="Z70" s="14" t="str">
        <f>IF('[1]P-GENERAL'!Z70="","",'[1]P-GENERAL'!Z70)</f>
        <v/>
      </c>
      <c r="AA70" s="14" t="str">
        <f>IF('[1]P-GENERAL'!AA70="","",'[1]P-GENERAL'!AA70)</f>
        <v>DESPACHADO</v>
      </c>
      <c r="AB70" s="8" t="str">
        <f>IF('[1]P-GENERAL'!AB70="","",'[1]P-GENERAL'!AB70)</f>
        <v>IBAÑEZ</v>
      </c>
      <c r="AC70" s="8" t="str">
        <f>IF('[1]P-GENERAL'!AC70="","",'[1]P-GENERAL'!AC70)</f>
        <v>GILBERTO BARRALES VARGAS</v>
      </c>
      <c r="AD70">
        <f>IF('[1]P-GENERAL'!AD70="","",'[1]P-GENERAL'!AD70)</f>
        <v>50496</v>
      </c>
      <c r="AE70" t="str">
        <f>IF('[1]P-GENERAL'!AE70="","",'[1]P-GENERAL'!AE70)</f>
        <v/>
      </c>
    </row>
    <row r="71" spans="1:31" ht="20.25" x14ac:dyDescent="0.3">
      <c r="A71" s="11" t="str">
        <f>IF('[1]P-GENERAL'!A71="","",'[1]P-GENERAL'!A71)</f>
        <v>Chanitos Premium Tarima Chep</v>
      </c>
      <c r="B71" s="11" t="str">
        <f>IF('[1]P-GENERAL'!B71="","",'[1]P-GENERAL'!B71)</f>
        <v>CPR01102</v>
      </c>
      <c r="C71" t="str">
        <f>IF('[1]P-GENERAL'!C71="","",'[1]P-GENERAL'!C71)</f>
        <v>A01001-360109-1</v>
      </c>
      <c r="D71" t="str">
        <f>IF('[1]P-GENERAL'!D71="","",'[1]P-GENERAL'!D71)</f>
        <v>A01 001 Marbella</v>
      </c>
      <c r="E71" s="8" t="str">
        <f>IF('[1]P-GENERAL'!E71="","",'[1]P-GENERAL'!E71)</f>
        <v>SMO</v>
      </c>
      <c r="F71" s="12">
        <f>IF('[1]P-GENERAL'!F71="","",'[1]P-GENERAL'!F71)</f>
        <v>336</v>
      </c>
      <c r="G71" s="13">
        <f>IF('[1]P-GENERAL'!G71="","",'[1]P-GENERAL'!G71)</f>
        <v>7</v>
      </c>
      <c r="H71" s="14">
        <f>IF('[1]P-GENERAL'!H71="","",'[1]P-GENERAL'!H71)</f>
        <v>46266</v>
      </c>
      <c r="I71">
        <f>IF('[1]P-GENERAL'!I71="","",'[1]P-GENERAL'!I71)</f>
        <v>36</v>
      </c>
      <c r="J71" s="15">
        <f>IF('[1]P-GENERAL'!J71="","",'[1]P-GENERAL'!J71)</f>
        <v>46271</v>
      </c>
      <c r="K71" s="14" t="str">
        <f>IF('[1]P-GENERAL'!K71="","",'[1]P-GENERAL'!K71)</f>
        <v/>
      </c>
      <c r="L71" s="14" t="str">
        <f>IF('[1]P-GENERAL'!L71="","",'[1]P-GENERAL'!L71)</f>
        <v>PREENFRIO FORTALEZA</v>
      </c>
      <c r="M71">
        <f>IF('[1]P-GENERAL'!M71="","",'[1]P-GENERAL'!M71)</f>
        <v>1.5</v>
      </c>
      <c r="N71">
        <f>IF('[1]P-GENERAL'!N71="","",'[1]P-GENERAL'!N71)</f>
        <v>36</v>
      </c>
      <c r="O71" s="14">
        <f>IF('[1]P-GENERAL'!O71="","",'[1]P-GENERAL'!O71)</f>
        <v>46266</v>
      </c>
      <c r="P71" s="16">
        <f>IF('[1]P-GENERAL'!P71="","",'[1]P-GENERAL'!P71)</f>
        <v>0.9375</v>
      </c>
      <c r="Q71" t="str">
        <f>IF('[1]P-GENERAL'!Q71="","",'[1]P-GENERAL'!Q71)</f>
        <v>NORMAL</v>
      </c>
      <c r="R71" s="14">
        <f>IF('[1]P-GENERAL'!R71="","",'[1]P-GENERAL'!R71)</f>
        <v>46267</v>
      </c>
      <c r="S71" s="16">
        <f>IF('[1]P-GENERAL'!S71="","",'[1]P-GENERAL'!S71)</f>
        <v>0.86041666666666672</v>
      </c>
      <c r="T71" s="16">
        <f>IF('[1]P-GENERAL'!T71="","",'[1]P-GENERAL'!T71)</f>
        <v>0.25</v>
      </c>
      <c r="U71" s="17">
        <f>IF('[1]P-GENERAL'!U71="","",'[1]P-GENERAL'!U71)</f>
        <v>46268.11041666667</v>
      </c>
      <c r="V71" s="14">
        <f>IF('[1]P-GENERAL'!V71="","",'[1]P-GENERAL'!V71)</f>
        <v>46268</v>
      </c>
      <c r="W71" s="16">
        <f>IF('[1]P-GENERAL'!W71="","",'[1]P-GENERAL'!W71)</f>
        <v>0.74305555555555558</v>
      </c>
      <c r="X71" s="14" t="str">
        <f>IF('[1]P-GENERAL'!X71="","",'[1]P-GENERAL'!X71)</f>
        <v>SI CUMPLE</v>
      </c>
      <c r="Y71" s="14" t="str">
        <f>IF('[1]P-GENERAL'!Y71="","",'[1]P-GENERAL'!Y71)</f>
        <v>SI CUMPLE</v>
      </c>
      <c r="Z71" s="14" t="str">
        <f>IF('[1]P-GENERAL'!Z71="","",'[1]P-GENERAL'!Z71)</f>
        <v/>
      </c>
      <c r="AA71" s="14" t="str">
        <f>IF('[1]P-GENERAL'!AA71="","",'[1]P-GENERAL'!AA71)</f>
        <v>DESPACHADO</v>
      </c>
      <c r="AB71" s="8" t="str">
        <f>IF('[1]P-GENERAL'!AB71="","",'[1]P-GENERAL'!AB71)</f>
        <v>TRL</v>
      </c>
      <c r="AC71" s="8" t="str">
        <f>IF('[1]P-GENERAL'!AC71="","",'[1]P-GENERAL'!AC71)</f>
        <v>ALAN ANDRES MARTINEZ LEGORRETA</v>
      </c>
      <c r="AD71">
        <f>IF('[1]P-GENERAL'!AD71="","",'[1]P-GENERAL'!AD71)</f>
        <v>73856</v>
      </c>
      <c r="AE71" t="str">
        <f>IF('[1]P-GENERAL'!AE71="","",'[1]P-GENERAL'!AE71)</f>
        <v>QCH1W04C50</v>
      </c>
    </row>
    <row r="72" spans="1:31" ht="20.25" x14ac:dyDescent="0.3">
      <c r="A72" s="11" t="str">
        <f>IF('[1]P-GENERAL'!A72="","",'[1]P-GENERAL'!A72)</f>
        <v>Chanitos Premium Tarima Chep</v>
      </c>
      <c r="B72" s="11" t="str">
        <f>IF('[1]P-GENERAL'!B72="","",'[1]P-GENERAL'!B72)</f>
        <v>CPR01102</v>
      </c>
      <c r="C72" t="str">
        <f>IF('[1]P-GENERAL'!C72="","",'[1]P-GENERAL'!C72)</f>
        <v>A01002-360209-1</v>
      </c>
      <c r="D72" t="str">
        <f>IF('[1]P-GENERAL'!D72="","",'[1]P-GENERAL'!D72)</f>
        <v>A01 002 Fortaleza</v>
      </c>
      <c r="E72" s="8" t="str">
        <f>IF('[1]P-GENERAL'!E72="","",'[1]P-GENERAL'!E72)</f>
        <v>SMO</v>
      </c>
      <c r="F72" s="12">
        <f>IF('[1]P-GENERAL'!F72="","",'[1]P-GENERAL'!F72)</f>
        <v>624</v>
      </c>
      <c r="G72" s="13">
        <f>IF('[1]P-GENERAL'!G72="","",'[1]P-GENERAL'!G72)</f>
        <v>13</v>
      </c>
      <c r="H72" s="14">
        <f>IF('[1]P-GENERAL'!H72="","",'[1]P-GENERAL'!H72)</f>
        <v>46267</v>
      </c>
      <c r="I72">
        <f>IF('[1]P-GENERAL'!I72="","",'[1]P-GENERAL'!I72)</f>
        <v>36</v>
      </c>
      <c r="J72" s="15">
        <f>IF('[1]P-GENERAL'!J72="","",'[1]P-GENERAL'!J72)</f>
        <v>46271</v>
      </c>
      <c r="K72" s="14" t="str">
        <f>IF('[1]P-GENERAL'!K72="","",'[1]P-GENERAL'!K72)</f>
        <v/>
      </c>
      <c r="L72" s="14" t="str">
        <f>IF('[1]P-GENERAL'!L72="","",'[1]P-GENERAL'!L72)</f>
        <v>PREENFRIO FORTALEZA</v>
      </c>
      <c r="M72">
        <f>IF('[1]P-GENERAL'!M72="","",'[1]P-GENERAL'!M72)</f>
        <v>1.5</v>
      </c>
      <c r="N72">
        <f>IF('[1]P-GENERAL'!N72="","",'[1]P-GENERAL'!N72)</f>
        <v>36</v>
      </c>
      <c r="O72" s="14">
        <f>IF('[1]P-GENERAL'!O72="","",'[1]P-GENERAL'!O72)</f>
        <v>46267</v>
      </c>
      <c r="P72" s="16">
        <f>IF('[1]P-GENERAL'!P72="","",'[1]P-GENERAL'!P72)</f>
        <v>0.75</v>
      </c>
      <c r="Q72" t="str">
        <f>IF('[1]P-GENERAL'!Q72="","",'[1]P-GENERAL'!Q72)</f>
        <v>NORMAL</v>
      </c>
      <c r="R72" s="14">
        <f>IF('[1]P-GENERAL'!R72="","",'[1]P-GENERAL'!R72)</f>
        <v>46268</v>
      </c>
      <c r="S72" s="16">
        <f>IF('[1]P-GENERAL'!S72="","",'[1]P-GENERAL'!S72)</f>
        <v>8.4027777777777785E-2</v>
      </c>
      <c r="T72" s="16">
        <f>IF('[1]P-GENERAL'!T72="","",'[1]P-GENERAL'!T72)</f>
        <v>0.41666666666666669</v>
      </c>
      <c r="U72" s="17">
        <f>IF('[1]P-GENERAL'!U72="","",'[1]P-GENERAL'!U72)</f>
        <v>46268.500694444439</v>
      </c>
      <c r="V72" s="14">
        <f>IF('[1]P-GENERAL'!V72="","",'[1]P-GENERAL'!V72)</f>
        <v>46268</v>
      </c>
      <c r="W72" s="16">
        <f>IF('[1]P-GENERAL'!W72="","",'[1]P-GENERAL'!W72)</f>
        <v>0.74305555555555558</v>
      </c>
      <c r="X72" s="14" t="str">
        <f>IF('[1]P-GENERAL'!X72="","",'[1]P-GENERAL'!X72)</f>
        <v>SI CUMPLE</v>
      </c>
      <c r="Y72" s="14" t="str">
        <f>IF('[1]P-GENERAL'!Y72="","",'[1]P-GENERAL'!Y72)</f>
        <v>SI CUMPLE</v>
      </c>
      <c r="Z72" s="14" t="str">
        <f>IF('[1]P-GENERAL'!Z72="","",'[1]P-GENERAL'!Z72)</f>
        <v/>
      </c>
      <c r="AA72" s="14" t="str">
        <f>IF('[1]P-GENERAL'!AA72="","",'[1]P-GENERAL'!AA72)</f>
        <v>DESPACHADO</v>
      </c>
      <c r="AB72" s="8" t="str">
        <f>IF('[1]P-GENERAL'!AB72="","",'[1]P-GENERAL'!AB72)</f>
        <v>TRL</v>
      </c>
      <c r="AC72" s="8" t="str">
        <f>IF('[1]P-GENERAL'!AC72="","",'[1]P-GENERAL'!AC72)</f>
        <v>ALAN ANDRES MARTINEZ LEGORRETA</v>
      </c>
      <c r="AD72">
        <f>IF('[1]P-GENERAL'!AD72="","",'[1]P-GENERAL'!AD72)</f>
        <v>73856</v>
      </c>
      <c r="AE72" t="str">
        <f>IF('[1]P-GENERAL'!AE72="","",'[1]P-GENERAL'!AE72)</f>
        <v/>
      </c>
    </row>
    <row r="73" spans="1:31" ht="20.25" x14ac:dyDescent="0.3">
      <c r="A73" s="11" t="str">
        <f>IF('[1]P-GENERAL'!A73="","",'[1]P-GENERAL'!A73)</f>
        <v>Chanitos Premium Tarima Chep</v>
      </c>
      <c r="B73" s="11" t="str">
        <f>IF('[1]P-GENERAL'!B73="","",'[1]P-GENERAL'!B73)</f>
        <v>CPR01102</v>
      </c>
      <c r="C73" t="str">
        <f>IF('[1]P-GENERAL'!C73="","",'[1]P-GENERAL'!C73)</f>
        <v>A36005-360209-1</v>
      </c>
      <c r="D73" t="str">
        <f>IF('[1]P-GENERAL'!D73="","",'[1]P-GENERAL'!D73)</f>
        <v>A04 005 La Gloria</v>
      </c>
      <c r="E73" s="8" t="str">
        <f>IF('[1]P-GENERAL'!E73="","",'[1]P-GENERAL'!E73)</f>
        <v>SMO</v>
      </c>
      <c r="F73" s="12">
        <f>IF('[1]P-GENERAL'!F73="","",'[1]P-GENERAL'!F73)</f>
        <v>144</v>
      </c>
      <c r="G73" s="13">
        <f>IF('[1]P-GENERAL'!G73="","",'[1]P-GENERAL'!G73)</f>
        <v>3</v>
      </c>
      <c r="H73" s="14">
        <f>IF('[1]P-GENERAL'!H73="","",'[1]P-GENERAL'!H73)</f>
        <v>46267</v>
      </c>
      <c r="I73">
        <f>IF('[1]P-GENERAL'!I73="","",'[1]P-GENERAL'!I73)</f>
        <v>36</v>
      </c>
      <c r="J73" s="15">
        <f>IF('[1]P-GENERAL'!J73="","",'[1]P-GENERAL'!J73)</f>
        <v>46271</v>
      </c>
      <c r="K73" s="14" t="str">
        <f>IF('[1]P-GENERAL'!K73="","",'[1]P-GENERAL'!K73)</f>
        <v/>
      </c>
      <c r="L73" s="14" t="str">
        <f>IF('[1]P-GENERAL'!L73="","",'[1]P-GENERAL'!L73)</f>
        <v>PREENFRIO FORTALEZA</v>
      </c>
      <c r="M73">
        <f>IF('[1]P-GENERAL'!M73="","",'[1]P-GENERAL'!M73)</f>
        <v>1.5</v>
      </c>
      <c r="N73">
        <f>IF('[1]P-GENERAL'!N73="","",'[1]P-GENERAL'!N73)</f>
        <v>36</v>
      </c>
      <c r="O73" s="14">
        <f>IF('[1]P-GENERAL'!O73="","",'[1]P-GENERAL'!O73)</f>
        <v>46268</v>
      </c>
      <c r="P73" s="16">
        <f>IF('[1]P-GENERAL'!P73="","",'[1]P-GENERAL'!P73)</f>
        <v>8.3333333333333329E-2</v>
      </c>
      <c r="Q73" t="str">
        <f>IF('[1]P-GENERAL'!Q73="","",'[1]P-GENERAL'!Q73)</f>
        <v>NORMAL</v>
      </c>
      <c r="R73" s="14">
        <f>IF('[1]P-GENERAL'!R73="","",'[1]P-GENERAL'!R73)</f>
        <v>46268</v>
      </c>
      <c r="S73" s="16">
        <f>IF('[1]P-GENERAL'!S73="","",'[1]P-GENERAL'!S73)</f>
        <v>0.36458333333333331</v>
      </c>
      <c r="T73" s="16">
        <f>IF('[1]P-GENERAL'!T73="","",'[1]P-GENERAL'!T73)</f>
        <v>0.625</v>
      </c>
      <c r="U73" s="17">
        <f>IF('[1]P-GENERAL'!U73="","",'[1]P-GENERAL'!U73)</f>
        <v>46268.989583333336</v>
      </c>
      <c r="V73" s="14">
        <f>IF('[1]P-GENERAL'!V73="","",'[1]P-GENERAL'!V73)</f>
        <v>46268</v>
      </c>
      <c r="W73" s="16">
        <f>IF('[1]P-GENERAL'!W73="","",'[1]P-GENERAL'!W73)</f>
        <v>0.74305555555555558</v>
      </c>
      <c r="X73" s="14" t="str">
        <f>IF('[1]P-GENERAL'!X73="","",'[1]P-GENERAL'!X73)</f>
        <v>SI CUMPLE</v>
      </c>
      <c r="Y73" s="14" t="str">
        <f>IF('[1]P-GENERAL'!Y73="","",'[1]P-GENERAL'!Y73)</f>
        <v>SI CUMPLE</v>
      </c>
      <c r="Z73" s="14" t="str">
        <f>IF('[1]P-GENERAL'!Z73="","",'[1]P-GENERAL'!Z73)</f>
        <v/>
      </c>
      <c r="AA73" s="14" t="str">
        <f>IF('[1]P-GENERAL'!AA73="","",'[1]P-GENERAL'!AA73)</f>
        <v>DESPACHADO</v>
      </c>
      <c r="AB73" s="8" t="str">
        <f>IF('[1]P-GENERAL'!AB73="","",'[1]P-GENERAL'!AB73)</f>
        <v>TRL</v>
      </c>
      <c r="AC73" s="8" t="str">
        <f>IF('[1]P-GENERAL'!AC73="","",'[1]P-GENERAL'!AC73)</f>
        <v>ALAN ANDRES MARTINEZ LEGORRETA</v>
      </c>
      <c r="AD73">
        <f>IF('[1]P-GENERAL'!AD73="","",'[1]P-GENERAL'!AD73)</f>
        <v>73856</v>
      </c>
      <c r="AE73" t="str">
        <f>IF('[1]P-GENERAL'!AE73="","",'[1]P-GENERAL'!AE73)</f>
        <v/>
      </c>
    </row>
    <row r="74" spans="1:31" ht="20.25" x14ac:dyDescent="0.3">
      <c r="A74" s="11" t="str">
        <f>IF('[1]P-GENERAL'!A74="","",'[1]P-GENERAL'!A74)</f>
        <v>Chanitos Premium Tarima Chep</v>
      </c>
      <c r="B74" s="11" t="str">
        <f>IF('[1]P-GENERAL'!B74="","",'[1]P-GENERAL'!B74)</f>
        <v>CPR01102</v>
      </c>
      <c r="C74" t="str">
        <f>IF('[1]P-GENERAL'!C74="","",'[1]P-GENERAL'!C74)</f>
        <v>A36005-360209-1</v>
      </c>
      <c r="D74" t="str">
        <f>IF('[1]P-GENERAL'!D74="","",'[1]P-GENERAL'!D74)</f>
        <v>A04 005 La Gloria</v>
      </c>
      <c r="E74" s="8" t="str">
        <f>IF('[1]P-GENERAL'!E74="","",'[1]P-GENERAL'!E74)</f>
        <v>VSA</v>
      </c>
      <c r="F74" s="12">
        <f>IF('[1]P-GENERAL'!F74="","",'[1]P-GENERAL'!F74)</f>
        <v>96</v>
      </c>
      <c r="G74" s="13">
        <f>IF('[1]P-GENERAL'!G74="","",'[1]P-GENERAL'!G74)</f>
        <v>2</v>
      </c>
      <c r="H74" s="14">
        <f>IF('[1]P-GENERAL'!H74="","",'[1]P-GENERAL'!H74)</f>
        <v>46267</v>
      </c>
      <c r="I74">
        <f>IF('[1]P-GENERAL'!I74="","",'[1]P-GENERAL'!I74)</f>
        <v>36</v>
      </c>
      <c r="J74" s="15">
        <f>IF('[1]P-GENERAL'!J74="","",'[1]P-GENERAL'!J74)</f>
        <v>46271</v>
      </c>
      <c r="K74" s="14" t="str">
        <f>IF('[1]P-GENERAL'!K74="","",'[1]P-GENERAL'!K74)</f>
        <v/>
      </c>
      <c r="L74" s="14" t="str">
        <f>IF('[1]P-GENERAL'!L74="","",'[1]P-GENERAL'!L74)</f>
        <v>PREENFRIO FORTALEZA</v>
      </c>
      <c r="M74">
        <f>IF('[1]P-GENERAL'!M74="","",'[1]P-GENERAL'!M74)</f>
        <v>1</v>
      </c>
      <c r="N74">
        <f>IF('[1]P-GENERAL'!N74="","",'[1]P-GENERAL'!N74)</f>
        <v>24</v>
      </c>
      <c r="O74" s="14">
        <f>IF('[1]P-GENERAL'!O74="","",'[1]P-GENERAL'!O74)</f>
        <v>46268</v>
      </c>
      <c r="P74" s="16">
        <f>IF('[1]P-GENERAL'!P74="","",'[1]P-GENERAL'!P74)</f>
        <v>8.3333333333333329E-2</v>
      </c>
      <c r="Q74" t="str">
        <f>IF('[1]P-GENERAL'!Q74="","",'[1]P-GENERAL'!Q74)</f>
        <v>ALTA</v>
      </c>
      <c r="R74" s="14">
        <f>IF('[1]P-GENERAL'!R74="","",'[1]P-GENERAL'!R74)</f>
        <v>46269</v>
      </c>
      <c r="S74" s="16">
        <f>IF('[1]P-GENERAL'!S74="","",'[1]P-GENERAL'!S74)</f>
        <v>0.58333333333333337</v>
      </c>
      <c r="T74" s="16">
        <f>IF('[1]P-GENERAL'!T74="","",'[1]P-GENERAL'!T74)</f>
        <v>0.625</v>
      </c>
      <c r="U74" s="17">
        <f>IF('[1]P-GENERAL'!U74="","",'[1]P-GENERAL'!U74)</f>
        <v>46270.208333333336</v>
      </c>
      <c r="V74" s="14">
        <f>IF('[1]P-GENERAL'!V74="","",'[1]P-GENERAL'!V74)</f>
        <v>46270</v>
      </c>
      <c r="W74" s="16">
        <f>IF('[1]P-GENERAL'!W74="","",'[1]P-GENERAL'!W74)</f>
        <v>0.45833333333333331</v>
      </c>
      <c r="X74" s="14" t="str">
        <f>IF('[1]P-GENERAL'!X74="","",'[1]P-GENERAL'!X74)</f>
        <v>NO CUMPLE</v>
      </c>
      <c r="Y74" s="14" t="str">
        <f>IF('[1]P-GENERAL'!Y74="","",'[1]P-GENERAL'!Y74)</f>
        <v>NO CUMPLE</v>
      </c>
      <c r="Z74" s="14" t="str">
        <f>IF('[1]P-GENERAL'!Z74="","",'[1]P-GENERAL'!Z74)</f>
        <v>VOLUMEN / CAPACIDAD INSTALADA</v>
      </c>
      <c r="AA74" s="14" t="str">
        <f>IF('[1]P-GENERAL'!AA74="","",'[1]P-GENERAL'!AA74)</f>
        <v>DESPACHADO</v>
      </c>
      <c r="AB74" s="8" t="str">
        <f>IF('[1]P-GENERAL'!AB74="","",'[1]P-GENERAL'!AB74)</f>
        <v>GENARO IBAÑES ROJAS</v>
      </c>
      <c r="AC74" s="8" t="str">
        <f>IF('[1]P-GENERAL'!AC74="","",'[1]P-GENERAL'!AC74)</f>
        <v>ALEJANDRO BARRALES OLIVARES</v>
      </c>
      <c r="AD74">
        <f>IF('[1]P-GENERAL'!AD74="","",'[1]P-GENERAL'!AD74)</f>
        <v>40077</v>
      </c>
      <c r="AE74" t="str">
        <f>IF('[1]P-GENERAL'!AE74="","",'[1]P-GENERAL'!AE74)</f>
        <v>QCH1W04BG0</v>
      </c>
    </row>
    <row r="75" spans="1:31" ht="20.25" x14ac:dyDescent="0.3">
      <c r="A75" s="11" t="str">
        <f>IF('[1]P-GENERAL'!A75="","",'[1]P-GENERAL'!A75)</f>
        <v>Chanitos Premium Tarima Americana</v>
      </c>
      <c r="B75" s="11" t="str">
        <f>IF('[1]P-GENERAL'!B75="","",'[1]P-GENERAL'!B75)</f>
        <v>CPR01103</v>
      </c>
      <c r="C75" t="str">
        <f>IF('[1]P-GENERAL'!C75="","",'[1]P-GENERAL'!C75)</f>
        <v>A04037-360109-1</v>
      </c>
      <c r="D75" t="str">
        <f>IF('[1]P-GENERAL'!D75="","",'[1]P-GENERAL'!D75)</f>
        <v>A04 037 Josefina Nava</v>
      </c>
      <c r="E75" s="8" t="str">
        <f>IF('[1]P-GENERAL'!E75="","",'[1]P-GENERAL'!E75)</f>
        <v>Ciudad Juarez</v>
      </c>
      <c r="F75" s="12">
        <f>IF('[1]P-GENERAL'!F75="","",'[1]P-GENERAL'!F75)</f>
        <v>816</v>
      </c>
      <c r="G75" s="13">
        <f>IF('[1]P-GENERAL'!G75="","",'[1]P-GENERAL'!G75)</f>
        <v>17</v>
      </c>
      <c r="H75" s="14">
        <f>IF('[1]P-GENERAL'!H75="","",'[1]P-GENERAL'!H75)</f>
        <v>46266</v>
      </c>
      <c r="I75">
        <f>IF('[1]P-GENERAL'!I75="","",'[1]P-GENERAL'!I75)</f>
        <v>36</v>
      </c>
      <c r="J75" s="15">
        <f>IF('[1]P-GENERAL'!J75="","",'[1]P-GENERAL'!J75)</f>
        <v>46273</v>
      </c>
      <c r="K75" s="14">
        <f>IF('[1]P-GENERAL'!K75="","",'[1]P-GENERAL'!K75)</f>
        <v>0.25</v>
      </c>
      <c r="L75" s="14" t="str">
        <f>IF('[1]P-GENERAL'!L75="","",'[1]P-GENERAL'!L75)</f>
        <v>PREENFRIO NELLY</v>
      </c>
      <c r="M75">
        <f>IF('[1]P-GENERAL'!M75="","",'[1]P-GENERAL'!M75)</f>
        <v>4</v>
      </c>
      <c r="N75">
        <f>IF('[1]P-GENERAL'!N75="","",'[1]P-GENERAL'!N75)</f>
        <v>96</v>
      </c>
      <c r="O75" s="14">
        <f>IF('[1]P-GENERAL'!O75="","",'[1]P-GENERAL'!O75)</f>
        <v>46267</v>
      </c>
      <c r="P75" s="16">
        <f>IF('[1]P-GENERAL'!P75="","",'[1]P-GENERAL'!P75)</f>
        <v>0.5</v>
      </c>
      <c r="Q75" t="str">
        <f>IF('[1]P-GENERAL'!Q75="","",'[1]P-GENERAL'!Q75)</f>
        <v>ALTA</v>
      </c>
      <c r="R75" s="14">
        <f>IF('[1]P-GENERAL'!R75="","",'[1]P-GENERAL'!R75)</f>
        <v>46267</v>
      </c>
      <c r="S75" s="16">
        <f>IF('[1]P-GENERAL'!S75="","",'[1]P-GENERAL'!S75)</f>
        <v>0.3923611111111111</v>
      </c>
      <c r="T75" s="16">
        <f>IF('[1]P-GENERAL'!T75="","",'[1]P-GENERAL'!T75)</f>
        <v>0.4375</v>
      </c>
      <c r="U75" s="17">
        <f>IF('[1]P-GENERAL'!U75="","",'[1]P-GENERAL'!U75)</f>
        <v>46267.829861111109</v>
      </c>
      <c r="V75" s="14">
        <f>IF('[1]P-GENERAL'!V75="","",'[1]P-GENERAL'!V75)</f>
        <v>46267</v>
      </c>
      <c r="W75" s="16">
        <f>IF('[1]P-GENERAL'!W75="","",'[1]P-GENERAL'!W75)</f>
        <v>0.7993055555555556</v>
      </c>
      <c r="X75" s="14" t="str">
        <f>IF('[1]P-GENERAL'!X75="","",'[1]P-GENERAL'!X75)</f>
        <v>SI CUMPLE</v>
      </c>
      <c r="Y75" s="14" t="str">
        <f>IF('[1]P-GENERAL'!Y75="","",'[1]P-GENERAL'!Y75)</f>
        <v>SI CUMPLE</v>
      </c>
      <c r="Z75" s="14" t="str">
        <f>IF('[1]P-GENERAL'!Z75="","",'[1]P-GENERAL'!Z75)</f>
        <v/>
      </c>
      <c r="AA75" s="14" t="str">
        <f>IF('[1]P-GENERAL'!AA75="","",'[1]P-GENERAL'!AA75)</f>
        <v>DESPACHADO</v>
      </c>
      <c r="AB75" s="8" t="str">
        <f>IF('[1]P-GENERAL'!AB75="","",'[1]P-GENERAL'!AB75)</f>
        <v>Auto Express Segovia</v>
      </c>
      <c r="AC75" s="8" t="str">
        <f>IF('[1]P-GENERAL'!AC75="","",'[1]P-GENERAL'!AC75)</f>
        <v>Enrique Salazar</v>
      </c>
      <c r="AD75">
        <f>IF('[1]P-GENERAL'!AD75="","",'[1]P-GENERAL'!AD75)</f>
        <v>44937</v>
      </c>
      <c r="AE75" t="str">
        <f>IF('[1]P-GENERAL'!AE75="","",'[1]P-GENERAL'!AE75)</f>
        <v/>
      </c>
    </row>
    <row r="76" spans="1:31" ht="20.25" x14ac:dyDescent="0.3">
      <c r="A76" s="11" t="str">
        <f>IF('[1]P-GENERAL'!A76="","",'[1]P-GENERAL'!A76)</f>
        <v>Chanitos Premium Tarima Chep</v>
      </c>
      <c r="B76" s="11" t="str">
        <f>IF('[1]P-GENERAL'!B76="","",'[1]P-GENERAL'!B76)</f>
        <v>CPR01102</v>
      </c>
      <c r="C76" t="str">
        <f>IF('[1]P-GENERAL'!C76="","",'[1]P-GENERAL'!C76)</f>
        <v>A36005-360309-1</v>
      </c>
      <c r="D76" t="str">
        <f>IF('[1]P-GENERAL'!D76="","",'[1]P-GENERAL'!D76)</f>
        <v>A04 005 La Gloria</v>
      </c>
      <c r="E76" s="8" t="str">
        <f>IF('[1]P-GENERAL'!E76="","",'[1]P-GENERAL'!E76)</f>
        <v>VSA</v>
      </c>
      <c r="F76" s="12">
        <f>IF('[1]P-GENERAL'!F76="","",'[1]P-GENERAL'!F76)</f>
        <v>240</v>
      </c>
      <c r="G76" s="13">
        <f>IF('[1]P-GENERAL'!G76="","",'[1]P-GENERAL'!G76)</f>
        <v>5</v>
      </c>
      <c r="H76" s="14">
        <f>IF('[1]P-GENERAL'!H76="","",'[1]P-GENERAL'!H76)</f>
        <v>46268</v>
      </c>
      <c r="I76">
        <f>IF('[1]P-GENERAL'!I76="","",'[1]P-GENERAL'!I76)</f>
        <v>36</v>
      </c>
      <c r="J76" s="15">
        <f>IF('[1]P-GENERAL'!J76="","",'[1]P-GENERAL'!J76)</f>
        <v>46271</v>
      </c>
      <c r="K76" s="14" t="str">
        <f>IF('[1]P-GENERAL'!K76="","",'[1]P-GENERAL'!K76)</f>
        <v/>
      </c>
      <c r="L76" s="14" t="str">
        <f>IF('[1]P-GENERAL'!L76="","",'[1]P-GENERAL'!L76)</f>
        <v>PREENFRIO FORTALEZA</v>
      </c>
      <c r="M76">
        <f>IF('[1]P-GENERAL'!M76="","",'[1]P-GENERAL'!M76)</f>
        <v>1</v>
      </c>
      <c r="N76">
        <f>IF('[1]P-GENERAL'!N76="","",'[1]P-GENERAL'!N76)</f>
        <v>24</v>
      </c>
      <c r="O76" s="14">
        <f>IF('[1]P-GENERAL'!O76="","",'[1]P-GENERAL'!O76)</f>
        <v>46268</v>
      </c>
      <c r="P76" s="16">
        <f>IF('[1]P-GENERAL'!P76="","",'[1]P-GENERAL'!P76)</f>
        <v>0.89583333333333337</v>
      </c>
      <c r="Q76" t="str">
        <f>IF('[1]P-GENERAL'!Q76="","",'[1]P-GENERAL'!Q76)</f>
        <v>ALTA</v>
      </c>
      <c r="R76" s="14">
        <f>IF('[1]P-GENERAL'!R76="","",'[1]P-GENERAL'!R76)</f>
        <v>46269</v>
      </c>
      <c r="S76" s="16">
        <f>IF('[1]P-GENERAL'!S76="","",'[1]P-GENERAL'!S76)</f>
        <v>0.58333333333333337</v>
      </c>
      <c r="T76" s="16">
        <f>IF('[1]P-GENERAL'!T76="","",'[1]P-GENERAL'!T76)</f>
        <v>0.625</v>
      </c>
      <c r="U76" s="17">
        <f>IF('[1]P-GENERAL'!U76="","",'[1]P-GENERAL'!U76)</f>
        <v>46270.208333333336</v>
      </c>
      <c r="V76" s="14">
        <f>IF('[1]P-GENERAL'!V76="","",'[1]P-GENERAL'!V76)</f>
        <v>46270</v>
      </c>
      <c r="W76" s="16">
        <f>IF('[1]P-GENERAL'!W76="","",'[1]P-GENERAL'!W76)</f>
        <v>0.45833333333333331</v>
      </c>
      <c r="X76" s="14" t="str">
        <f>IF('[1]P-GENERAL'!X76="","",'[1]P-GENERAL'!X76)</f>
        <v>NO CUMPLE</v>
      </c>
      <c r="Y76" s="14" t="str">
        <f>IF('[1]P-GENERAL'!Y76="","",'[1]P-GENERAL'!Y76)</f>
        <v>NO CUMPLE</v>
      </c>
      <c r="Z76" s="14" t="str">
        <f>IF('[1]P-GENERAL'!Z76="","",'[1]P-GENERAL'!Z76)</f>
        <v>VOLUMEN / CAPACIDAD INSTALADA</v>
      </c>
      <c r="AA76" s="14" t="str">
        <f>IF('[1]P-GENERAL'!AA76="","",'[1]P-GENERAL'!AA76)</f>
        <v>DESPACHADO</v>
      </c>
      <c r="AB76" s="8" t="str">
        <f>IF('[1]P-GENERAL'!AB76="","",'[1]P-GENERAL'!AB76)</f>
        <v>GENARO IBAÑES ROJAS</v>
      </c>
      <c r="AC76" s="8" t="str">
        <f>IF('[1]P-GENERAL'!AC76="","",'[1]P-GENERAL'!AC76)</f>
        <v>ALEJANDRO BARRALES OLIVARES</v>
      </c>
      <c r="AD76">
        <f>IF('[1]P-GENERAL'!AD76="","",'[1]P-GENERAL'!AD76)</f>
        <v>40077</v>
      </c>
      <c r="AE76" t="str">
        <f>IF('[1]P-GENERAL'!AE76="","",'[1]P-GENERAL'!AE76)</f>
        <v>QCH1W04BG0</v>
      </c>
    </row>
    <row r="77" spans="1:31" ht="20.25" x14ac:dyDescent="0.3">
      <c r="A77" s="11" t="str">
        <f>IF('[1]P-GENERAL'!A77="","",'[1]P-GENERAL'!A77)</f>
        <v>Chanitos Premium Tarima Chep</v>
      </c>
      <c r="B77" s="11" t="str">
        <f>IF('[1]P-GENERAL'!B77="","",'[1]P-GENERAL'!B77)</f>
        <v>CPR01102</v>
      </c>
      <c r="C77" t="str">
        <f>IF('[1]P-GENERAL'!C77="","",'[1]P-GENERAL'!C77)</f>
        <v>A01002-360309-1</v>
      </c>
      <c r="D77" t="str">
        <f>IF('[1]P-GENERAL'!D77="","",'[1]P-GENERAL'!D77)</f>
        <v>A01 002 Fortaleza</v>
      </c>
      <c r="E77" s="8" t="str">
        <f>IF('[1]P-GENERAL'!E77="","",'[1]P-GENERAL'!E77)</f>
        <v>VSA</v>
      </c>
      <c r="F77" s="12">
        <f>IF('[1]P-GENERAL'!F77="","",'[1]P-GENERAL'!F77)</f>
        <v>528</v>
      </c>
      <c r="G77" s="13">
        <f>IF('[1]P-GENERAL'!G77="","",'[1]P-GENERAL'!G77)</f>
        <v>11</v>
      </c>
      <c r="H77" s="14">
        <f>IF('[1]P-GENERAL'!H77="","",'[1]P-GENERAL'!H77)</f>
        <v>46268</v>
      </c>
      <c r="I77">
        <f>IF('[1]P-GENERAL'!I77="","",'[1]P-GENERAL'!I77)</f>
        <v>36</v>
      </c>
      <c r="J77" s="15">
        <f>IF('[1]P-GENERAL'!J77="","",'[1]P-GENERAL'!J77)</f>
        <v>46271</v>
      </c>
      <c r="K77" s="14" t="str">
        <f>IF('[1]P-GENERAL'!K77="","",'[1]P-GENERAL'!K77)</f>
        <v/>
      </c>
      <c r="L77" s="14" t="str">
        <f>IF('[1]P-GENERAL'!L77="","",'[1]P-GENERAL'!L77)</f>
        <v>PREENFRIO FORTALEZA</v>
      </c>
      <c r="M77">
        <f>IF('[1]P-GENERAL'!M77="","",'[1]P-GENERAL'!M77)</f>
        <v>1</v>
      </c>
      <c r="N77">
        <f>IF('[1]P-GENERAL'!N77="","",'[1]P-GENERAL'!N77)</f>
        <v>24</v>
      </c>
      <c r="O77" s="14">
        <f>IF('[1]P-GENERAL'!O77="","",'[1]P-GENERAL'!O77)</f>
        <v>46268</v>
      </c>
      <c r="P77" s="16">
        <f>IF('[1]P-GENERAL'!P77="","",'[1]P-GENERAL'!P77)</f>
        <v>0.72916666666666663</v>
      </c>
      <c r="Q77" t="str">
        <f>IF('[1]P-GENERAL'!Q77="","",'[1]P-GENERAL'!Q77)</f>
        <v>ALTA</v>
      </c>
      <c r="R77" s="14">
        <f>IF('[1]P-GENERAL'!R77="","",'[1]P-GENERAL'!R77)</f>
        <v>46269</v>
      </c>
      <c r="S77" s="16">
        <f>IF('[1]P-GENERAL'!S77="","",'[1]P-GENERAL'!S77)</f>
        <v>0.58333333333333337</v>
      </c>
      <c r="T77" s="16">
        <f>IF('[1]P-GENERAL'!T77="","",'[1]P-GENERAL'!T77)</f>
        <v>0.625</v>
      </c>
      <c r="U77" s="17">
        <f>IF('[1]P-GENERAL'!U77="","",'[1]P-GENERAL'!U77)</f>
        <v>46270.208333333336</v>
      </c>
      <c r="V77" s="14">
        <f>IF('[1]P-GENERAL'!V77="","",'[1]P-GENERAL'!V77)</f>
        <v>46270</v>
      </c>
      <c r="W77" s="16">
        <f>IF('[1]P-GENERAL'!W77="","",'[1]P-GENERAL'!W77)</f>
        <v>0.45833333333333331</v>
      </c>
      <c r="X77" s="14" t="str">
        <f>IF('[1]P-GENERAL'!X77="","",'[1]P-GENERAL'!X77)</f>
        <v>NO CUMPLE</v>
      </c>
      <c r="Y77" s="14" t="str">
        <f>IF('[1]P-GENERAL'!Y77="","",'[1]P-GENERAL'!Y77)</f>
        <v>NO CUMPLE</v>
      </c>
      <c r="Z77" s="14" t="str">
        <f>IF('[1]P-GENERAL'!Z77="","",'[1]P-GENERAL'!Z77)</f>
        <v>VOLUMEN / CAPACIDAD INSTALADA</v>
      </c>
      <c r="AA77" s="14" t="str">
        <f>IF('[1]P-GENERAL'!AA77="","",'[1]P-GENERAL'!AA77)</f>
        <v>DESPACHADO</v>
      </c>
      <c r="AB77" s="8" t="str">
        <f>IF('[1]P-GENERAL'!AB77="","",'[1]P-GENERAL'!AB77)</f>
        <v>GENARO IBAÑES ROJAS</v>
      </c>
      <c r="AC77" s="8" t="str">
        <f>IF('[1]P-GENERAL'!AC77="","",'[1]P-GENERAL'!AC77)</f>
        <v>ALEJANDRO BARRALES OLIVARES</v>
      </c>
      <c r="AD77">
        <f>IF('[1]P-GENERAL'!AD77="","",'[1]P-GENERAL'!AD77)</f>
        <v>40077</v>
      </c>
      <c r="AE77" t="str">
        <f>IF('[1]P-GENERAL'!AE77="","",'[1]P-GENERAL'!AE77)</f>
        <v>QCH1W04BG0</v>
      </c>
    </row>
    <row r="78" spans="1:31" ht="20.25" x14ac:dyDescent="0.3">
      <c r="A78" s="11" t="str">
        <f>IF('[1]P-GENERAL'!A78="","",'[1]P-GENERAL'!A78)</f>
        <v>Chanitos Organic Banded Market Side Mexico</v>
      </c>
      <c r="B78" s="11" t="str">
        <f>IF('[1]P-GENERAL'!B78="","",'[1]P-GENERAL'!B78)</f>
        <v>CRG07128</v>
      </c>
      <c r="C78" t="str">
        <f>IF('[1]P-GENERAL'!C78="","",'[1]P-GENERAL'!C78)</f>
        <v>A01002-360309-1</v>
      </c>
      <c r="D78" t="str">
        <f>IF('[1]P-GENERAL'!D78="","",'[1]P-GENERAL'!D78)</f>
        <v>A01 002 Fortaleza</v>
      </c>
      <c r="E78" s="8" t="str">
        <f>IF('[1]P-GENERAL'!E78="","",'[1]P-GENERAL'!E78)</f>
        <v>VSA</v>
      </c>
      <c r="F78" s="12">
        <f>IF('[1]P-GENERAL'!F78="","",'[1]P-GENERAL'!F78)</f>
        <v>288</v>
      </c>
      <c r="G78" s="13">
        <f>IF('[1]P-GENERAL'!G78="","",'[1]P-GENERAL'!G78)</f>
        <v>6</v>
      </c>
      <c r="H78" s="14">
        <f>IF('[1]P-GENERAL'!H78="","",'[1]P-GENERAL'!H78)</f>
        <v>46268</v>
      </c>
      <c r="I78">
        <f>IF('[1]P-GENERAL'!I78="","",'[1]P-GENERAL'!I78)</f>
        <v>36</v>
      </c>
      <c r="J78" s="15">
        <f>IF('[1]P-GENERAL'!J78="","",'[1]P-GENERAL'!J78)</f>
        <v>46271</v>
      </c>
      <c r="K78" s="14" t="str">
        <f>IF('[1]P-GENERAL'!K78="","",'[1]P-GENERAL'!K78)</f>
        <v/>
      </c>
      <c r="L78" s="14" t="str">
        <f>IF('[1]P-GENERAL'!L78="","",'[1]P-GENERAL'!L78)</f>
        <v>PREENFRIO FORTALEZA</v>
      </c>
      <c r="M78">
        <f>IF('[1]P-GENERAL'!M78="","",'[1]P-GENERAL'!M78)</f>
        <v>1</v>
      </c>
      <c r="N78">
        <f>IF('[1]P-GENERAL'!N78="","",'[1]P-GENERAL'!N78)</f>
        <v>24</v>
      </c>
      <c r="O78" s="14">
        <f>IF('[1]P-GENERAL'!O78="","",'[1]P-GENERAL'!O78)</f>
        <v>46268</v>
      </c>
      <c r="P78" s="16">
        <f>IF('[1]P-GENERAL'!P78="","",'[1]P-GENERAL'!P78)</f>
        <v>0.72916666666666663</v>
      </c>
      <c r="Q78" t="str">
        <f>IF('[1]P-GENERAL'!Q78="","",'[1]P-GENERAL'!Q78)</f>
        <v>ALTA</v>
      </c>
      <c r="R78" s="14">
        <f>IF('[1]P-GENERAL'!R78="","",'[1]P-GENERAL'!R78)</f>
        <v>46269</v>
      </c>
      <c r="S78" s="16">
        <f>IF('[1]P-GENERAL'!S78="","",'[1]P-GENERAL'!S78)</f>
        <v>0.58333333333333337</v>
      </c>
      <c r="T78" s="16">
        <f>IF('[1]P-GENERAL'!T78="","",'[1]P-GENERAL'!T78)</f>
        <v>0.625</v>
      </c>
      <c r="U78" s="17">
        <f>IF('[1]P-GENERAL'!U78="","",'[1]P-GENERAL'!U78)</f>
        <v>46270.208333333336</v>
      </c>
      <c r="V78" s="14">
        <f>IF('[1]P-GENERAL'!V78="","",'[1]P-GENERAL'!V78)</f>
        <v>46270</v>
      </c>
      <c r="W78" s="16">
        <f>IF('[1]P-GENERAL'!W78="","",'[1]P-GENERAL'!W78)</f>
        <v>0.45833333333333331</v>
      </c>
      <c r="X78" s="14" t="str">
        <f>IF('[1]P-GENERAL'!X78="","",'[1]P-GENERAL'!X78)</f>
        <v>NO CUMPLE</v>
      </c>
      <c r="Y78" s="14" t="str">
        <f>IF('[1]P-GENERAL'!Y78="","",'[1]P-GENERAL'!Y78)</f>
        <v>NO CUMPLE</v>
      </c>
      <c r="Z78" s="14" t="str">
        <f>IF('[1]P-GENERAL'!Z78="","",'[1]P-GENERAL'!Z78)</f>
        <v>VOLUMEN / CAPACIDAD INSTALADA</v>
      </c>
      <c r="AA78" s="14" t="str">
        <f>IF('[1]P-GENERAL'!AA78="","",'[1]P-GENERAL'!AA78)</f>
        <v>DESPACHADO</v>
      </c>
      <c r="AB78" s="8" t="str">
        <f>IF('[1]P-GENERAL'!AB78="","",'[1]P-GENERAL'!AB78)</f>
        <v>GENARO IBAÑES ROJAS</v>
      </c>
      <c r="AC78" s="8" t="str">
        <f>IF('[1]P-GENERAL'!AC78="","",'[1]P-GENERAL'!AC78)</f>
        <v>ALEJANDRO BARRALES OLIVARES</v>
      </c>
      <c r="AD78">
        <f>IF('[1]P-GENERAL'!AD78="","",'[1]P-GENERAL'!AD78)</f>
        <v>40077</v>
      </c>
      <c r="AE78" t="str">
        <f>IF('[1]P-GENERAL'!AE78="","",'[1]P-GENERAL'!AE78)</f>
        <v>QCH1W04BG0</v>
      </c>
    </row>
    <row r="79" spans="1:31" ht="20.25" x14ac:dyDescent="0.3">
      <c r="A79" s="11" t="str">
        <f>IF('[1]P-GENERAL'!A79="","",'[1]P-GENERAL'!A79)</f>
        <v>Chanitos Premium Tarima Americana</v>
      </c>
      <c r="B79" s="11" t="str">
        <f>IF('[1]P-GENERAL'!B79="","",'[1]P-GENERAL'!B79)</f>
        <v>CPR01103</v>
      </c>
      <c r="C79" t="str">
        <f>IF('[1]P-GENERAL'!C79="","",'[1]P-GENERAL'!C79)</f>
        <v>A12057-360209-1</v>
      </c>
      <c r="D79" t="str">
        <f>IF('[1]P-GENERAL'!D79="","",'[1]P-GENERAL'!D79)</f>
        <v>A12 057 Tiquisate 1</v>
      </c>
      <c r="E79" s="8" t="str">
        <f>IF('[1]P-GENERAL'!E79="","",'[1]P-GENERAL'!E79)</f>
        <v>S-MTY</v>
      </c>
      <c r="F79" s="12">
        <f>IF('[1]P-GENERAL'!F79="","",'[1]P-GENERAL'!F79)</f>
        <v>864</v>
      </c>
      <c r="G79" s="13">
        <f>IF('[1]P-GENERAL'!G79="","",'[1]P-GENERAL'!G79)</f>
        <v>18</v>
      </c>
      <c r="H79" s="14">
        <f>IF('[1]P-GENERAL'!H79="","",'[1]P-GENERAL'!H79)</f>
        <v>46267</v>
      </c>
      <c r="I79">
        <f>IF('[1]P-GENERAL'!I79="","",'[1]P-GENERAL'!I79)</f>
        <v>36</v>
      </c>
      <c r="J79" s="15">
        <f>IF('[1]P-GENERAL'!J79="","",'[1]P-GENERAL'!J79)</f>
        <v>46273</v>
      </c>
      <c r="K79" s="14">
        <f>IF('[1]P-GENERAL'!K79="","",'[1]P-GENERAL'!K79)</f>
        <v>0.25</v>
      </c>
      <c r="L79" s="14" t="str">
        <f>IF('[1]P-GENERAL'!L79="","",'[1]P-GENERAL'!L79)</f>
        <v>PREENFRIO NELLY</v>
      </c>
      <c r="M79">
        <f>IF('[1]P-GENERAL'!M79="","",'[1]P-GENERAL'!M79)</f>
        <v>3</v>
      </c>
      <c r="N79">
        <f>IF('[1]P-GENERAL'!N79="","",'[1]P-GENERAL'!N79)</f>
        <v>72</v>
      </c>
      <c r="O79" s="14">
        <f>IF('[1]P-GENERAL'!O79="","",'[1]P-GENERAL'!O79)</f>
        <v>46267</v>
      </c>
      <c r="P79" s="16">
        <f>IF('[1]P-GENERAL'!P79="","",'[1]P-GENERAL'!P79)</f>
        <v>0.9375</v>
      </c>
      <c r="Q79" t="str">
        <f>IF('[1]P-GENERAL'!Q79="","",'[1]P-GENERAL'!Q79)</f>
        <v>ALTA</v>
      </c>
      <c r="R79" s="14">
        <f>IF('[1]P-GENERAL'!R79="","",'[1]P-GENERAL'!R79)</f>
        <v>46268</v>
      </c>
      <c r="S79" s="16">
        <f>IF('[1]P-GENERAL'!S79="","",'[1]P-GENERAL'!S79)</f>
        <v>0.2</v>
      </c>
      <c r="T79" s="16">
        <f>IF('[1]P-GENERAL'!T79="","",'[1]P-GENERAL'!T79)</f>
        <v>0.4375</v>
      </c>
      <c r="U79" s="17">
        <f>IF('[1]P-GENERAL'!U79="","",'[1]P-GENERAL'!U79)</f>
        <v>46268.637499999997</v>
      </c>
      <c r="V79" s="14">
        <f>IF('[1]P-GENERAL'!V79="","",'[1]P-GENERAL'!V79)</f>
        <v>46268</v>
      </c>
      <c r="W79" s="16">
        <f>IF('[1]P-GENERAL'!W79="","",'[1]P-GENERAL'!W79)</f>
        <v>0.85069444444444442</v>
      </c>
      <c r="X79" s="14" t="str">
        <f>IF('[1]P-GENERAL'!X79="","",'[1]P-GENERAL'!X79)</f>
        <v>SI CUMPLE</v>
      </c>
      <c r="Y79" s="14" t="str">
        <f>IF('[1]P-GENERAL'!Y79="","",'[1]P-GENERAL'!Y79)</f>
        <v>SI CUMPLE</v>
      </c>
      <c r="Z79" s="14" t="str">
        <f>IF('[1]P-GENERAL'!Z79="","",'[1]P-GENERAL'!Z79)</f>
        <v/>
      </c>
      <c r="AA79" s="14" t="str">
        <f>IF('[1]P-GENERAL'!AA79="","",'[1]P-GENERAL'!AA79)</f>
        <v>DESPACHADO</v>
      </c>
      <c r="AB79" s="8" t="str">
        <f>IF('[1]P-GENERAL'!AB79="","",'[1]P-GENERAL'!AB79)</f>
        <v>Transp Algeza</v>
      </c>
      <c r="AC79" s="8" t="str">
        <f>IF('[1]P-GENERAL'!AC79="","",'[1]P-GENERAL'!AC79)</f>
        <v>Leopoldo Lopez Costa</v>
      </c>
      <c r="AD79">
        <f>IF('[1]P-GENERAL'!AD79="","",'[1]P-GENERAL'!AD79)</f>
        <v>49095</v>
      </c>
      <c r="AE79" t="str">
        <f>IF('[1]P-GENERAL'!AE79="","",'[1]P-GENERAL'!AE79)</f>
        <v/>
      </c>
    </row>
    <row r="80" spans="1:31" ht="20.25" x14ac:dyDescent="0.3">
      <c r="A80" s="11" t="str">
        <f>IF('[1]P-GENERAL'!A80="","",'[1]P-GENERAL'!A80)</f>
        <v>Chanitos Plantain 20Kg Tarima Chep</v>
      </c>
      <c r="B80" s="11" t="str">
        <f>IF('[1]P-GENERAL'!B80="","",'[1]P-GENERAL'!B80)</f>
        <v>CPL08141</v>
      </c>
      <c r="C80" t="str">
        <f>IF('[1]P-GENERAL'!C80="","",'[1]P-GENERAL'!C80)</f>
        <v>A41088-360409-1</v>
      </c>
      <c r="D80" t="str">
        <f>IF('[1]P-GENERAL'!D80="","",'[1]P-GENERAL'!D80)</f>
        <v>A25 088 Doña Lupe</v>
      </c>
      <c r="E80" s="8" t="str">
        <f>IF('[1]P-GENERAL'!E80="","",'[1]P-GENERAL'!E80)</f>
        <v>CEDA</v>
      </c>
      <c r="F80" s="12">
        <f>IF('[1]P-GENERAL'!F80="","",'[1]P-GENERAL'!F80)</f>
        <v>336</v>
      </c>
      <c r="G80" s="13">
        <f>IF('[1]P-GENERAL'!G80="","",'[1]P-GENERAL'!G80)</f>
        <v>7</v>
      </c>
      <c r="H80" s="14">
        <f>IF('[1]P-GENERAL'!H80="","",'[1]P-GENERAL'!H80)</f>
        <v>46269</v>
      </c>
      <c r="I80">
        <f>IF('[1]P-GENERAL'!I80="","",'[1]P-GENERAL'!I80)</f>
        <v>36</v>
      </c>
      <c r="J80" s="15">
        <f>IF('[1]P-GENERAL'!J80="","",'[1]P-GENERAL'!J80)</f>
        <v>46271</v>
      </c>
      <c r="K80" s="14" t="str">
        <f>IF('[1]P-GENERAL'!K80="","",'[1]P-GENERAL'!K80)</f>
        <v/>
      </c>
      <c r="L80" s="14" t="str">
        <f>IF('[1]P-GENERAL'!L80="","",'[1]P-GENERAL'!L80)</f>
        <v>PREENFRIO FORTALEZA</v>
      </c>
      <c r="M80">
        <f>IF('[1]P-GENERAL'!M80="","",'[1]P-GENERAL'!M80)</f>
        <v>1.5</v>
      </c>
      <c r="N80">
        <f>IF('[1]P-GENERAL'!N80="","",'[1]P-GENERAL'!N80)</f>
        <v>36</v>
      </c>
      <c r="O80" s="14">
        <f>IF('[1]P-GENERAL'!O80="","",'[1]P-GENERAL'!O80)</f>
        <v>46269</v>
      </c>
      <c r="P80" s="16">
        <f>IF('[1]P-GENERAL'!P80="","",'[1]P-GENERAL'!P80)</f>
        <v>0.9243055555555556</v>
      </c>
      <c r="Q80" t="str">
        <f>IF('[1]P-GENERAL'!Q80="","",'[1]P-GENERAL'!Q80)</f>
        <v>ALTA</v>
      </c>
      <c r="R80" s="14">
        <f>IF('[1]P-GENERAL'!R80="","",'[1]P-GENERAL'!R80)</f>
        <v>46270</v>
      </c>
      <c r="S80" s="16">
        <f>IF('[1]P-GENERAL'!S80="","",'[1]P-GENERAL'!S80)</f>
        <v>0.75416666666666665</v>
      </c>
      <c r="T80" s="16">
        <f>IF('[1]P-GENERAL'!T80="","",'[1]P-GENERAL'!T80)</f>
        <v>0.25</v>
      </c>
      <c r="U80" s="17">
        <f>IF('[1]P-GENERAL'!U80="","",'[1]P-GENERAL'!U80)</f>
        <v>46271.004166666666</v>
      </c>
      <c r="V80" s="14">
        <f>IF('[1]P-GENERAL'!V80="","",'[1]P-GENERAL'!V80)</f>
        <v>46271</v>
      </c>
      <c r="W80" s="16">
        <f>IF('[1]P-GENERAL'!W80="","",'[1]P-GENERAL'!W80)</f>
        <v>0.97222222222222221</v>
      </c>
      <c r="X80" s="14" t="str">
        <f>IF('[1]P-GENERAL'!X80="","",'[1]P-GENERAL'!X80)</f>
        <v>NO CUMPLE</v>
      </c>
      <c r="Y80" s="14" t="str">
        <f>IF('[1]P-GENERAL'!Y80="","",'[1]P-GENERAL'!Y80)</f>
        <v/>
      </c>
      <c r="Z80" s="14" t="str">
        <f>IF('[1]P-GENERAL'!Z80="","",'[1]P-GENERAL'!Z80)</f>
        <v>EMPAQUE TARDIO</v>
      </c>
      <c r="AA80" s="14" t="str">
        <f>IF('[1]P-GENERAL'!AA80="","",'[1]P-GENERAL'!AA80)</f>
        <v>DESPACHADO</v>
      </c>
      <c r="AB80" s="8" t="str">
        <f>IF('[1]P-GENERAL'!AB80="","",'[1]P-GENERAL'!AB80)</f>
        <v>SOLIS</v>
      </c>
      <c r="AC80" s="8" t="str">
        <f>IF('[1]P-GENERAL'!AC80="","",'[1]P-GENERAL'!AC80)</f>
        <v>MAURO PEREZ RAMIREZ</v>
      </c>
      <c r="AD80">
        <f>IF('[1]P-GENERAL'!AD80="","",'[1]P-GENERAL'!AD80)</f>
        <v>39964</v>
      </c>
      <c r="AE80" t="str">
        <f>IF('[1]P-GENERAL'!AE80="","",'[1]P-GENERAL'!AE80)</f>
        <v>N/A</v>
      </c>
    </row>
    <row r="81" spans="1:31" ht="20.25" x14ac:dyDescent="0.3">
      <c r="A81" s="11" t="str">
        <f>IF('[1]P-GENERAL'!A81="","",'[1]P-GENERAL'!A81)</f>
        <v>Chanitos Premium EUA Tarima Americana</v>
      </c>
      <c r="B81" s="11" t="str">
        <f>IF('[1]P-GENERAL'!B81="","",'[1]P-GENERAL'!B81)</f>
        <v>CPR01104</v>
      </c>
      <c r="C81" t="str">
        <f>IF('[1]P-GENERAL'!C81="","",'[1]P-GENERAL'!C81)</f>
        <v>A01003-360209-1</v>
      </c>
      <c r="D81" t="str">
        <f>IF('[1]P-GENERAL'!D81="","",'[1]P-GENERAL'!D81)</f>
        <v>A01 003 Doña Nelly</v>
      </c>
      <c r="E81" s="8" t="str">
        <f>IF('[1]P-GENERAL'!E81="","",'[1]P-GENERAL'!E81)</f>
        <v>McAllen</v>
      </c>
      <c r="F81" s="12">
        <f>IF('[1]P-GENERAL'!F81="","",'[1]P-GENERAL'!F81)</f>
        <v>960</v>
      </c>
      <c r="G81" s="13">
        <f>IF('[1]P-GENERAL'!G81="","",'[1]P-GENERAL'!G81)</f>
        <v>20</v>
      </c>
      <c r="H81" s="14">
        <f>IF('[1]P-GENERAL'!H81="","",'[1]P-GENERAL'!H81)</f>
        <v>46267</v>
      </c>
      <c r="I81">
        <f>IF('[1]P-GENERAL'!I81="","",'[1]P-GENERAL'!I81)</f>
        <v>36</v>
      </c>
      <c r="J81" s="15">
        <f>IF('[1]P-GENERAL'!J81="","",'[1]P-GENERAL'!J81)</f>
        <v>46272</v>
      </c>
      <c r="K81" s="14" t="str">
        <f>IF('[1]P-GENERAL'!K81="","",'[1]P-GENERAL'!K81)</f>
        <v/>
      </c>
      <c r="L81" s="14" t="str">
        <f>IF('[1]P-GENERAL'!L81="","",'[1]P-GENERAL'!L81)</f>
        <v>DIRECTO SIN PREENFRIO</v>
      </c>
      <c r="M81">
        <f>IF('[1]P-GENERAL'!M81="","",'[1]P-GENERAL'!M81)</f>
        <v>3</v>
      </c>
      <c r="N81">
        <f>IF('[1]P-GENERAL'!N81="","",'[1]P-GENERAL'!N81)</f>
        <v>72</v>
      </c>
      <c r="O81" s="14" t="str">
        <f>IF('[1]P-GENERAL'!O81="","",'[1]P-GENERAL'!O81)</f>
        <v/>
      </c>
      <c r="P81" s="16" t="str">
        <f>IF('[1]P-GENERAL'!P81="","",'[1]P-GENERAL'!P81)</f>
        <v/>
      </c>
      <c r="Q81" t="str">
        <f>IF('[1]P-GENERAL'!Q81="","",'[1]P-GENERAL'!Q81)</f>
        <v/>
      </c>
      <c r="R81" s="14" t="str">
        <f>IF('[1]P-GENERAL'!R81="","",'[1]P-GENERAL'!R81)</f>
        <v/>
      </c>
      <c r="S81" s="16" t="str">
        <f>IF('[1]P-GENERAL'!S81="","",'[1]P-GENERAL'!S81)</f>
        <v/>
      </c>
      <c r="T81" s="16" t="str">
        <f>IF('[1]P-GENERAL'!T81="","",'[1]P-GENERAL'!T81)</f>
        <v/>
      </c>
      <c r="U81" s="17" t="str">
        <f>IF('[1]P-GENERAL'!U81="","",'[1]P-GENERAL'!U81)</f>
        <v/>
      </c>
      <c r="V81" s="14" t="str">
        <f>IF('[1]P-GENERAL'!V81="","",'[1]P-GENERAL'!V81)</f>
        <v/>
      </c>
      <c r="W81" s="16" t="str">
        <f>IF('[1]P-GENERAL'!W81="","",'[1]P-GENERAL'!W81)</f>
        <v/>
      </c>
      <c r="X81" s="14" t="str">
        <f>IF('[1]P-GENERAL'!X81="","",'[1]P-GENERAL'!X81)</f>
        <v/>
      </c>
      <c r="Y81" s="14" t="str">
        <f>IF('[1]P-GENERAL'!Y81="","",'[1]P-GENERAL'!Y81)</f>
        <v/>
      </c>
      <c r="Z81" s="14" t="str">
        <f>IF('[1]P-GENERAL'!Z81="","",'[1]P-GENERAL'!Z81)</f>
        <v/>
      </c>
      <c r="AA81" s="14" t="str">
        <f>IF('[1]P-GENERAL'!AA81="","",'[1]P-GENERAL'!AA81)</f>
        <v>DESPACHADO</v>
      </c>
      <c r="AB81" s="8" t="str">
        <f>IF('[1]P-GENERAL'!AB81="","",'[1]P-GENERAL'!AB81)</f>
        <v>AUTO EXPRESS SEGOVIA</v>
      </c>
      <c r="AC81" s="8" t="str">
        <f>IF('[1]P-GENERAL'!AC81="","",'[1]P-GENERAL'!AC81)</f>
        <v/>
      </c>
      <c r="AD81" t="str">
        <f>IF('[1]P-GENERAL'!AD81="","",'[1]P-GENERAL'!AD81)</f>
        <v/>
      </c>
      <c r="AE81" t="str">
        <f>IF('[1]P-GENERAL'!AE81="","",'[1]P-GENERAL'!AE81)</f>
        <v/>
      </c>
    </row>
    <row r="82" spans="1:31" ht="20.25" x14ac:dyDescent="0.3">
      <c r="A82" s="11" t="str">
        <f>IF('[1]P-GENERAL'!A82="","",'[1]P-GENERAL'!A82)</f>
        <v>Chanitos Premium Tarima Chep</v>
      </c>
      <c r="B82" s="11" t="str">
        <f>IF('[1]P-GENERAL'!B82="","",'[1]P-GENERAL'!B82)</f>
        <v>CPR01102</v>
      </c>
      <c r="C82" t="str">
        <f>IF('[1]P-GENERAL'!C82="","",'[1]P-GENERAL'!C82)</f>
        <v>A01001-360209-1</v>
      </c>
      <c r="D82" t="str">
        <f>IF('[1]P-GENERAL'!D82="","",'[1]P-GENERAL'!D82)</f>
        <v>A01 001 Marbella</v>
      </c>
      <c r="E82" s="8" t="str">
        <f>IF('[1]P-GENERAL'!E82="","",'[1]P-GENERAL'!E82)</f>
        <v>QRO</v>
      </c>
      <c r="F82" s="12">
        <f>IF('[1]P-GENERAL'!F82="","",'[1]P-GENERAL'!F82)</f>
        <v>1056</v>
      </c>
      <c r="G82" s="13">
        <f>IF('[1]P-GENERAL'!G82="","",'[1]P-GENERAL'!G82)</f>
        <v>22</v>
      </c>
      <c r="H82" s="14">
        <f>IF('[1]P-GENERAL'!H82="","",'[1]P-GENERAL'!H82)</f>
        <v>46267</v>
      </c>
      <c r="I82">
        <f>IF('[1]P-GENERAL'!I82="","",'[1]P-GENERAL'!I82)</f>
        <v>36</v>
      </c>
      <c r="J82" s="15">
        <f>IF('[1]P-GENERAL'!J82="","",'[1]P-GENERAL'!J82)</f>
        <v>46272</v>
      </c>
      <c r="K82" s="14" t="str">
        <f>IF('[1]P-GENERAL'!K82="","",'[1]P-GENERAL'!K82)</f>
        <v/>
      </c>
      <c r="L82" s="14" t="str">
        <f>IF('[1]P-GENERAL'!L82="","",'[1]P-GENERAL'!L82)</f>
        <v>PREENFRIO FORTALEZA</v>
      </c>
      <c r="M82">
        <f>IF('[1]P-GENERAL'!M82="","",'[1]P-GENERAL'!M82)</f>
        <v>1.5</v>
      </c>
      <c r="N82">
        <f>IF('[1]P-GENERAL'!N82="","",'[1]P-GENERAL'!N82)</f>
        <v>36</v>
      </c>
      <c r="O82" s="14">
        <f>IF('[1]P-GENERAL'!O82="","",'[1]P-GENERAL'!O82)</f>
        <v>46268</v>
      </c>
      <c r="P82" s="16">
        <f>IF('[1]P-GENERAL'!P82="","",'[1]P-GENERAL'!P82)</f>
        <v>8.3333333333333329E-2</v>
      </c>
      <c r="Q82" t="str">
        <f>IF('[1]P-GENERAL'!Q82="","",'[1]P-GENERAL'!Q82)</f>
        <v>NORMAL</v>
      </c>
      <c r="R82" s="14">
        <f>IF('[1]P-GENERAL'!R82="","",'[1]P-GENERAL'!R82)</f>
        <v>46269</v>
      </c>
      <c r="S82" s="16">
        <f>IF('[1]P-GENERAL'!S82="","",'[1]P-GENERAL'!S82)</f>
        <v>0.17291666666666666</v>
      </c>
      <c r="T82" s="16">
        <f>IF('[1]P-GENERAL'!T82="","",'[1]P-GENERAL'!T82)</f>
        <v>0.625</v>
      </c>
      <c r="U82" s="17">
        <f>IF('[1]P-GENERAL'!U82="","",'[1]P-GENERAL'!U82)</f>
        <v>46269.79791666667</v>
      </c>
      <c r="V82" s="14">
        <f>IF('[1]P-GENERAL'!V82="","",'[1]P-GENERAL'!V82)</f>
        <v>46269</v>
      </c>
      <c r="W82" s="16">
        <f>IF('[1]P-GENERAL'!W82="","",'[1]P-GENERAL'!W82)</f>
        <v>0.78125</v>
      </c>
      <c r="X82" s="14" t="str">
        <f>IF('[1]P-GENERAL'!X82="","",'[1]P-GENERAL'!X82)</f>
        <v>SI CUMPLE</v>
      </c>
      <c r="Y82" s="14" t="str">
        <f>IF('[1]P-GENERAL'!Y82="","",'[1]P-GENERAL'!Y82)</f>
        <v>SI CUMPLE</v>
      </c>
      <c r="Z82" s="14" t="str">
        <f>IF('[1]P-GENERAL'!Z82="","",'[1]P-GENERAL'!Z82)</f>
        <v/>
      </c>
      <c r="AA82" s="14" t="str">
        <f>IF('[1]P-GENERAL'!AA82="","",'[1]P-GENERAL'!AA82)</f>
        <v>DESPACHADO</v>
      </c>
      <c r="AB82" s="8" t="str">
        <f>IF('[1]P-GENERAL'!AB82="","",'[1]P-GENERAL'!AB82)</f>
        <v>TRL</v>
      </c>
      <c r="AC82" s="8" t="str">
        <f>IF('[1]P-GENERAL'!AC82="","",'[1]P-GENERAL'!AC82)</f>
        <v>EZEQUIEL GARDUÑO FUENTES</v>
      </c>
      <c r="AD82">
        <f>IF('[1]P-GENERAL'!AD82="","",'[1]P-GENERAL'!AD82)</f>
        <v>63165</v>
      </c>
      <c r="AE82" t="str">
        <f>IF('[1]P-GENERAL'!AE82="","",'[1]P-GENERAL'!AE82)</f>
        <v>QCH1W04BK0</v>
      </c>
    </row>
    <row r="83" spans="1:31" ht="20.25" x14ac:dyDescent="0.3">
      <c r="A83" s="11" t="str">
        <f>IF('[1]P-GENERAL'!A83="","",'[1]P-GENERAL'!A83)</f>
        <v>Chanitos Premium EUA Tarima Americana</v>
      </c>
      <c r="B83" s="11" t="str">
        <f>IF('[1]P-GENERAL'!B83="","",'[1]P-GENERAL'!B83)</f>
        <v>CPR01104</v>
      </c>
      <c r="C83" t="str">
        <f>IF('[1]P-GENERAL'!C83="","",'[1]P-GENERAL'!C83)</f>
        <v>A04084-360309-1</v>
      </c>
      <c r="D83" t="str">
        <f>IF('[1]P-GENERAL'!D83="","",'[1]P-GENERAL'!D83)</f>
        <v>A04 084 Lisboa</v>
      </c>
      <c r="E83" s="8" t="str">
        <f>IF('[1]P-GENERAL'!E83="","",'[1]P-GENERAL'!E83)</f>
        <v>McAllen</v>
      </c>
      <c r="F83" s="12">
        <f>IF('[1]P-GENERAL'!F83="","",'[1]P-GENERAL'!F83)</f>
        <v>960</v>
      </c>
      <c r="G83" s="13">
        <f>IF('[1]P-GENERAL'!G83="","",'[1]P-GENERAL'!G83)</f>
        <v>20</v>
      </c>
      <c r="H83" s="14">
        <f>IF('[1]P-GENERAL'!H83="","",'[1]P-GENERAL'!H83)</f>
        <v>46268</v>
      </c>
      <c r="I83">
        <f>IF('[1]P-GENERAL'!I83="","",'[1]P-GENERAL'!I83)</f>
        <v>36</v>
      </c>
      <c r="J83" s="15">
        <f>IF('[1]P-GENERAL'!J83="","",'[1]P-GENERAL'!J83)</f>
        <v>46272</v>
      </c>
      <c r="K83" s="14" t="str">
        <f>IF('[1]P-GENERAL'!K83="","",'[1]P-GENERAL'!K83)</f>
        <v/>
      </c>
      <c r="L83" s="14" t="str">
        <f>IF('[1]P-GENERAL'!L83="","",'[1]P-GENERAL'!L83)</f>
        <v>DIRECTO SIN PREENFRIO</v>
      </c>
      <c r="M83">
        <f>IF('[1]P-GENERAL'!M83="","",'[1]P-GENERAL'!M83)</f>
        <v>3</v>
      </c>
      <c r="N83">
        <f>IF('[1]P-GENERAL'!N83="","",'[1]P-GENERAL'!N83)</f>
        <v>72</v>
      </c>
      <c r="O83" s="14">
        <f>IF('[1]P-GENERAL'!O83="","",'[1]P-GENERAL'!O83)</f>
        <v>46269</v>
      </c>
      <c r="P83" s="16">
        <f>IF('[1]P-GENERAL'!P83="","",'[1]P-GENERAL'!P83)</f>
        <v>0.35416666666666669</v>
      </c>
      <c r="Q83" t="str">
        <f>IF('[1]P-GENERAL'!Q83="","",'[1]P-GENERAL'!Q83)</f>
        <v/>
      </c>
      <c r="R83" s="14" t="str">
        <f>IF('[1]P-GENERAL'!R83="","",'[1]P-GENERAL'!R83)</f>
        <v/>
      </c>
      <c r="S83" s="16" t="str">
        <f>IF('[1]P-GENERAL'!S83="","",'[1]P-GENERAL'!S83)</f>
        <v/>
      </c>
      <c r="T83" s="16" t="str">
        <f>IF('[1]P-GENERAL'!T83="","",'[1]P-GENERAL'!T83)</f>
        <v/>
      </c>
      <c r="U83" s="17" t="str">
        <f>IF('[1]P-GENERAL'!U83="","",'[1]P-GENERAL'!U83)</f>
        <v/>
      </c>
      <c r="V83" s="14">
        <f>IF('[1]P-GENERAL'!V83="","",'[1]P-GENERAL'!V83)</f>
        <v>46269</v>
      </c>
      <c r="W83" s="16">
        <f>IF('[1]P-GENERAL'!W83="","",'[1]P-GENERAL'!W83)</f>
        <v>0.55208333333333337</v>
      </c>
      <c r="X83" s="14" t="str">
        <f>IF('[1]P-GENERAL'!X83="","",'[1]P-GENERAL'!X83)</f>
        <v/>
      </c>
      <c r="Y83" s="14" t="str">
        <f>IF('[1]P-GENERAL'!Y83="","",'[1]P-GENERAL'!Y83)</f>
        <v>NO CUMPLE</v>
      </c>
      <c r="Z83" s="14" t="str">
        <f>IF('[1]P-GENERAL'!Z83="","",'[1]P-GENERAL'!Z83)</f>
        <v>EMPAQUE TARDIO</v>
      </c>
      <c r="AA83" s="14" t="str">
        <f>IF('[1]P-GENERAL'!AA83="","",'[1]P-GENERAL'!AA83)</f>
        <v>DESPACHADO</v>
      </c>
      <c r="AB83" s="8" t="str">
        <f>IF('[1]P-GENERAL'!AB83="","",'[1]P-GENERAL'!AB83)</f>
        <v>JATT</v>
      </c>
      <c r="AC83" s="8" t="str">
        <f>IF('[1]P-GENERAL'!AC83="","",'[1]P-GENERAL'!AC83)</f>
        <v>OSVALDO OVIDIO FLORES</v>
      </c>
      <c r="AD83">
        <f>IF('[1]P-GENERAL'!AD83="","",'[1]P-GENERAL'!AD83)</f>
        <v>87678</v>
      </c>
      <c r="AE83" t="str">
        <f>IF('[1]P-GENERAL'!AE83="","",'[1]P-GENERAL'!AE83)</f>
        <v>QCH1W04CE0</v>
      </c>
    </row>
    <row r="84" spans="1:31" ht="20.25" x14ac:dyDescent="0.3">
      <c r="A84" s="11" t="str">
        <f>IF('[1]P-GENERAL'!A84="","",'[1]P-GENERAL'!A84)</f>
        <v>Chanitos Organic Banded Market Side Mexico</v>
      </c>
      <c r="B84" s="11" t="str">
        <f>IF('[1]P-GENERAL'!B84="","",'[1]P-GENERAL'!B84)</f>
        <v>CRG07128</v>
      </c>
      <c r="C84" t="str">
        <f>IF('[1]P-GENERAL'!C84="","",'[1]P-GENERAL'!C84)</f>
        <v>A01002-360309-1</v>
      </c>
      <c r="D84" t="str">
        <f>IF('[1]P-GENERAL'!D84="","",'[1]P-GENERAL'!D84)</f>
        <v>A01 002 Fortaleza</v>
      </c>
      <c r="E84" s="8" t="str">
        <f>IF('[1]P-GENERAL'!E84="","",'[1]P-GENERAL'!E84)</f>
        <v>QRO</v>
      </c>
      <c r="F84" s="12">
        <f>IF('[1]P-GENERAL'!F84="","",'[1]P-GENERAL'!F84)</f>
        <v>96</v>
      </c>
      <c r="G84" s="13">
        <f>IF('[1]P-GENERAL'!G84="","",'[1]P-GENERAL'!G84)</f>
        <v>2</v>
      </c>
      <c r="H84" s="14">
        <f>IF('[1]P-GENERAL'!H84="","",'[1]P-GENERAL'!H84)</f>
        <v>46268</v>
      </c>
      <c r="I84">
        <f>IF('[1]P-GENERAL'!I84="","",'[1]P-GENERAL'!I84)</f>
        <v>36</v>
      </c>
      <c r="J84" s="15">
        <f>IF('[1]P-GENERAL'!J84="","",'[1]P-GENERAL'!J84)</f>
        <v>46272</v>
      </c>
      <c r="K84" s="14" t="str">
        <f>IF('[1]P-GENERAL'!K84="","",'[1]P-GENERAL'!K84)</f>
        <v/>
      </c>
      <c r="L84" s="14" t="str">
        <f>IF('[1]P-GENERAL'!L84="","",'[1]P-GENERAL'!L84)</f>
        <v>PREENFRIO FORTALEZA</v>
      </c>
      <c r="M84">
        <f>IF('[1]P-GENERAL'!M84="","",'[1]P-GENERAL'!M84)</f>
        <v>1.5</v>
      </c>
      <c r="N84">
        <f>IF('[1]P-GENERAL'!N84="","",'[1]P-GENERAL'!N84)</f>
        <v>36</v>
      </c>
      <c r="O84" s="14">
        <f>IF('[1]P-GENERAL'!O84="","",'[1]P-GENERAL'!O84)</f>
        <v>46268</v>
      </c>
      <c r="P84" s="16">
        <f>IF('[1]P-GENERAL'!P84="","",'[1]P-GENERAL'!P84)</f>
        <v>0.72916666666666663</v>
      </c>
      <c r="Q84" t="str">
        <f>IF('[1]P-GENERAL'!Q84="","",'[1]P-GENERAL'!Q84)</f>
        <v>NORMAL</v>
      </c>
      <c r="R84" s="14">
        <f>IF('[1]P-GENERAL'!R84="","",'[1]P-GENERAL'!R84)</f>
        <v>46269</v>
      </c>
      <c r="S84" s="16">
        <f>IF('[1]P-GENERAL'!S84="","",'[1]P-GENERAL'!S84)</f>
        <v>0.17291666666666666</v>
      </c>
      <c r="T84" s="16">
        <f>IF('[1]P-GENERAL'!T84="","",'[1]P-GENERAL'!T84)</f>
        <v>0.625</v>
      </c>
      <c r="U84" s="17">
        <f>IF('[1]P-GENERAL'!U84="","",'[1]P-GENERAL'!U84)</f>
        <v>46269.79791666667</v>
      </c>
      <c r="V84" s="14">
        <f>IF('[1]P-GENERAL'!V84="","",'[1]P-GENERAL'!V84)</f>
        <v>46269</v>
      </c>
      <c r="W84" s="16">
        <f>IF('[1]P-GENERAL'!W84="","",'[1]P-GENERAL'!W84)</f>
        <v>0.78125</v>
      </c>
      <c r="X84" s="14" t="str">
        <f>IF('[1]P-GENERAL'!X84="","",'[1]P-GENERAL'!X84)</f>
        <v>SI CUMPLE</v>
      </c>
      <c r="Y84" s="14" t="str">
        <f>IF('[1]P-GENERAL'!Y84="","",'[1]P-GENERAL'!Y84)</f>
        <v>SI CUMPLE</v>
      </c>
      <c r="Z84" s="14" t="str">
        <f>IF('[1]P-GENERAL'!Z84="","",'[1]P-GENERAL'!Z84)</f>
        <v/>
      </c>
      <c r="AA84" s="14" t="str">
        <f>IF('[1]P-GENERAL'!AA84="","",'[1]P-GENERAL'!AA84)</f>
        <v>DESPACHADO</v>
      </c>
      <c r="AB84" s="8" t="str">
        <f>IF('[1]P-GENERAL'!AB84="","",'[1]P-GENERAL'!AB84)</f>
        <v>TRL</v>
      </c>
      <c r="AC84" s="8" t="str">
        <f>IF('[1]P-GENERAL'!AC84="","",'[1]P-GENERAL'!AC84)</f>
        <v>EZEQUIEL GARDUÑO FUENTES</v>
      </c>
      <c r="AD84">
        <f>IF('[1]P-GENERAL'!AD84="","",'[1]P-GENERAL'!AD84)</f>
        <v>63165</v>
      </c>
      <c r="AE84" t="str">
        <f>IF('[1]P-GENERAL'!AE84="","",'[1]P-GENERAL'!AE84)</f>
        <v>QCH1W04BK0</v>
      </c>
    </row>
    <row r="85" spans="1:31" ht="20.25" x14ac:dyDescent="0.3">
      <c r="A85" s="11" t="str">
        <f>IF('[1]P-GENERAL'!A85="","",'[1]P-GENERAL'!A85)</f>
        <v>Chanitos Premium Tarima Americana</v>
      </c>
      <c r="B85" s="11" t="str">
        <f>IF('[1]P-GENERAL'!B85="","",'[1]P-GENERAL'!B85)</f>
        <v>CPR01103</v>
      </c>
      <c r="C85" t="str">
        <f>IF('[1]P-GENERAL'!C85="","",'[1]P-GENERAL'!C85)</f>
        <v>A25022-360209-1</v>
      </c>
      <c r="D85" t="str">
        <f>IF('[1]P-GENERAL'!D85="","",'[1]P-GENERAL'!D85)</f>
        <v>A25 022 Doña Mildred</v>
      </c>
      <c r="E85" s="8" t="str">
        <f>IF('[1]P-GENERAL'!E85="","",'[1]P-GENERAL'!E85)</f>
        <v>S-MTY</v>
      </c>
      <c r="F85" s="12">
        <f>IF('[1]P-GENERAL'!F85="","",'[1]P-GENERAL'!F85)</f>
        <v>960</v>
      </c>
      <c r="G85" s="13">
        <f>IF('[1]P-GENERAL'!G85="","",'[1]P-GENERAL'!G85)</f>
        <v>20</v>
      </c>
      <c r="H85" s="14">
        <f>IF('[1]P-GENERAL'!H85="","",'[1]P-GENERAL'!H85)</f>
        <v>46267</v>
      </c>
      <c r="I85">
        <f>IF('[1]P-GENERAL'!I85="","",'[1]P-GENERAL'!I85)</f>
        <v>36</v>
      </c>
      <c r="J85" s="15">
        <f>IF('[1]P-GENERAL'!J85="","",'[1]P-GENERAL'!J85)</f>
        <v>46273</v>
      </c>
      <c r="K85" s="14">
        <f>IF('[1]P-GENERAL'!K85="","",'[1]P-GENERAL'!K85)</f>
        <v>0.25</v>
      </c>
      <c r="L85" s="14" t="str">
        <f>IF('[1]P-GENERAL'!L85="","",'[1]P-GENERAL'!L85)</f>
        <v>PREENFRIO NELLY</v>
      </c>
      <c r="M85">
        <f>IF('[1]P-GENERAL'!M85="","",'[1]P-GENERAL'!M85)</f>
        <v>3</v>
      </c>
      <c r="N85">
        <f>IF('[1]P-GENERAL'!N85="","",'[1]P-GENERAL'!N85)</f>
        <v>72</v>
      </c>
      <c r="O85" s="14">
        <f>IF('[1]P-GENERAL'!O85="","",'[1]P-GENERAL'!O85)</f>
        <v>46267</v>
      </c>
      <c r="P85" s="16">
        <f>IF('[1]P-GENERAL'!P85="","",'[1]P-GENERAL'!P85)</f>
        <v>0.9375</v>
      </c>
      <c r="Q85" t="str">
        <f>IF('[1]P-GENERAL'!Q85="","",'[1]P-GENERAL'!Q85)</f>
        <v>ALTA</v>
      </c>
      <c r="R85" s="14">
        <f>IF('[1]P-GENERAL'!R85="","",'[1]P-GENERAL'!R85)</f>
        <v>46268</v>
      </c>
      <c r="S85" s="16">
        <f>IF('[1]P-GENERAL'!S85="","",'[1]P-GENERAL'!S85)</f>
        <v>0.41388888888888886</v>
      </c>
      <c r="T85" s="16">
        <f>IF('[1]P-GENERAL'!T85="","",'[1]P-GENERAL'!T85)</f>
        <v>0.4375</v>
      </c>
      <c r="U85" s="17">
        <f>IF('[1]P-GENERAL'!U85="","",'[1]P-GENERAL'!U85)</f>
        <v>46268.851388888892</v>
      </c>
      <c r="V85" s="14">
        <f>IF('[1]P-GENERAL'!V85="","",'[1]P-GENERAL'!V85)</f>
        <v>46268</v>
      </c>
      <c r="W85" s="16">
        <f>IF('[1]P-GENERAL'!W85="","",'[1]P-GENERAL'!W85)</f>
        <v>0.85069444444444442</v>
      </c>
      <c r="X85" s="14" t="str">
        <f>IF('[1]P-GENERAL'!X85="","",'[1]P-GENERAL'!X85)</f>
        <v>SI CUMPLE</v>
      </c>
      <c r="Y85" s="14" t="str">
        <f>IF('[1]P-GENERAL'!Y85="","",'[1]P-GENERAL'!Y85)</f>
        <v>SI CUMPLE</v>
      </c>
      <c r="Z85" s="14" t="str">
        <f>IF('[1]P-GENERAL'!Z85="","",'[1]P-GENERAL'!Z85)</f>
        <v/>
      </c>
      <c r="AA85" s="14" t="str">
        <f>IF('[1]P-GENERAL'!AA85="","",'[1]P-GENERAL'!AA85)</f>
        <v>DESPACHADO</v>
      </c>
      <c r="AB85" s="8" t="str">
        <f>IF('[1]P-GENERAL'!AB85="","",'[1]P-GENERAL'!AB85)</f>
        <v>Transp Algeza</v>
      </c>
      <c r="AC85" s="8" t="str">
        <f>IF('[1]P-GENERAL'!AC85="","",'[1]P-GENERAL'!AC85)</f>
        <v>Leopoldo Lopez Costa</v>
      </c>
      <c r="AD85">
        <f>IF('[1]P-GENERAL'!AD85="","",'[1]P-GENERAL'!AD85)</f>
        <v>11536</v>
      </c>
      <c r="AE85" t="str">
        <f>IF('[1]P-GENERAL'!AE85="","",'[1]P-GENERAL'!AE85)</f>
        <v/>
      </c>
    </row>
    <row r="86" spans="1:31" ht="20.25" x14ac:dyDescent="0.3">
      <c r="A86" s="11" t="str">
        <f>IF('[1]P-GENERAL'!A86="","",'[1]P-GENERAL'!A86)</f>
        <v>Chanitos Premium Tarima Chep</v>
      </c>
      <c r="B86" s="11" t="str">
        <f>IF('[1]P-GENERAL'!B86="","",'[1]P-GENERAL'!B86)</f>
        <v>CPR01102</v>
      </c>
      <c r="C86" t="str">
        <f>IF('[1]P-GENERAL'!C86="","",'[1]P-GENERAL'!C86)</f>
        <v>A01003-360309-1</v>
      </c>
      <c r="D86" t="str">
        <f>IF('[1]P-GENERAL'!D86="","",'[1]P-GENERAL'!D86)</f>
        <v>A01 003 Doña Nelly</v>
      </c>
      <c r="E86" s="8" t="str">
        <f>IF('[1]P-GENERAL'!E86="","",'[1]P-GENERAL'!E86)</f>
        <v>SMO</v>
      </c>
      <c r="F86" s="12">
        <f>IF('[1]P-GENERAL'!F86="","",'[1]P-GENERAL'!F86)</f>
        <v>624</v>
      </c>
      <c r="G86" s="13">
        <f>IF('[1]P-GENERAL'!G86="","",'[1]P-GENERAL'!G86)</f>
        <v>13</v>
      </c>
      <c r="H86" s="14">
        <f>IF('[1]P-GENERAL'!H86="","",'[1]P-GENERAL'!H86)</f>
        <v>46268</v>
      </c>
      <c r="I86">
        <f>IF('[1]P-GENERAL'!I86="","",'[1]P-GENERAL'!I86)</f>
        <v>36</v>
      </c>
      <c r="J86" s="15">
        <f>IF('[1]P-GENERAL'!J86="","",'[1]P-GENERAL'!J86)</f>
        <v>46271</v>
      </c>
      <c r="K86" s="14" t="str">
        <f>IF('[1]P-GENERAL'!K86="","",'[1]P-GENERAL'!K86)</f>
        <v/>
      </c>
      <c r="L86" s="14" t="str">
        <f>IF('[1]P-GENERAL'!L86="","",'[1]P-GENERAL'!L86)</f>
        <v>PREENFRIO NELLY</v>
      </c>
      <c r="M86">
        <f>IF('[1]P-GENERAL'!M86="","",'[1]P-GENERAL'!M86)</f>
        <v>1.5</v>
      </c>
      <c r="N86">
        <f>IF('[1]P-GENERAL'!N86="","",'[1]P-GENERAL'!N86)</f>
        <v>36</v>
      </c>
      <c r="O86" s="14">
        <f>IF('[1]P-GENERAL'!O86="","",'[1]P-GENERAL'!O86)</f>
        <v>46268</v>
      </c>
      <c r="P86" s="16">
        <f>IF('[1]P-GENERAL'!P86="","",'[1]P-GENERAL'!P86)</f>
        <v>0.75</v>
      </c>
      <c r="Q86" t="str">
        <f>IF('[1]P-GENERAL'!Q86="","",'[1]P-GENERAL'!Q86)</f>
        <v>NORMAL</v>
      </c>
      <c r="R86" s="14">
        <f>IF('[1]P-GENERAL'!R86="","",'[1]P-GENERAL'!R86)</f>
        <v>46268</v>
      </c>
      <c r="S86" s="16">
        <f>IF('[1]P-GENERAL'!S86="","",'[1]P-GENERAL'!S86)</f>
        <v>0.87569444444444444</v>
      </c>
      <c r="T86" s="16">
        <f>IF('[1]P-GENERAL'!T86="","",'[1]P-GENERAL'!T86)</f>
        <v>0.35416666666666669</v>
      </c>
      <c r="U86" s="17">
        <f>IF('[1]P-GENERAL'!U86="","",'[1]P-GENERAL'!U86)</f>
        <v>46269.229861111111</v>
      </c>
      <c r="V86" s="14">
        <f>IF('[1]P-GENERAL'!V86="","",'[1]P-GENERAL'!V86)</f>
        <v>46269</v>
      </c>
      <c r="W86" s="16">
        <f>IF('[1]P-GENERAL'!W86="","",'[1]P-GENERAL'!W86)</f>
        <v>0.49166666666666664</v>
      </c>
      <c r="X86" s="14" t="str">
        <f>IF('[1]P-GENERAL'!X86="","",'[1]P-GENERAL'!X86)</f>
        <v>SI CUMPLE</v>
      </c>
      <c r="Y86" s="14" t="str">
        <f>IF('[1]P-GENERAL'!Y86="","",'[1]P-GENERAL'!Y86)</f>
        <v>SI CUMPLE</v>
      </c>
      <c r="Z86" s="14" t="str">
        <f>IF('[1]P-GENERAL'!Z86="","",'[1]P-GENERAL'!Z86)</f>
        <v/>
      </c>
      <c r="AA86" s="14" t="str">
        <f>IF('[1]P-GENERAL'!AA86="","",'[1]P-GENERAL'!AA86)</f>
        <v>DESPACHADO</v>
      </c>
      <c r="AB86" s="8" t="str">
        <f>IF('[1]P-GENERAL'!AB86="","",'[1]P-GENERAL'!AB86)</f>
        <v>Transp Zaragoza</v>
      </c>
      <c r="AC86" s="8" t="str">
        <f>IF('[1]P-GENERAL'!AC86="","",'[1]P-GENERAL'!AC86)</f>
        <v>Oscar Guadalupe Zaragoza</v>
      </c>
      <c r="AD86">
        <f>IF('[1]P-GENERAL'!AD86="","",'[1]P-GENERAL'!AD86)</f>
        <v>23955</v>
      </c>
      <c r="AE86" t="str">
        <f>IF('[1]P-GENERAL'!AE86="","",'[1]P-GENERAL'!AE86)</f>
        <v>QCH1W04A40</v>
      </c>
    </row>
    <row r="87" spans="1:31" ht="20.25" x14ac:dyDescent="0.3">
      <c r="A87" s="11" t="str">
        <f>IF('[1]P-GENERAL'!A87="","",'[1]P-GENERAL'!A87)</f>
        <v>Chanitos Plantain 20Kg Tarima Americana</v>
      </c>
      <c r="B87" s="11" t="str">
        <f>IF('[1]P-GENERAL'!B87="","",'[1]P-GENERAL'!B87)</f>
        <v>CPL08134</v>
      </c>
      <c r="C87" t="str">
        <f>IF('[1]P-GENERAL'!C87="","",'[1]P-GENERAL'!C87)</f>
        <v>A27073-360109-1</v>
      </c>
      <c r="D87" t="str">
        <f>IF('[1]P-GENERAL'!D87="","",'[1]P-GENERAL'!D87)</f>
        <v>A27 073 Plantacion</v>
      </c>
      <c r="E87" s="8" t="str">
        <f>IF('[1]P-GENERAL'!E87="","",'[1]P-GENERAL'!E87)</f>
        <v>Ciudad Juarez</v>
      </c>
      <c r="F87" s="12">
        <f>IF('[1]P-GENERAL'!F87="","",'[1]P-GENERAL'!F87)</f>
        <v>144</v>
      </c>
      <c r="G87" s="13">
        <f>IF('[1]P-GENERAL'!G87="","",'[1]P-GENERAL'!G87)</f>
        <v>3</v>
      </c>
      <c r="H87" s="14">
        <f>IF('[1]P-GENERAL'!H87="","",'[1]P-GENERAL'!H87)</f>
        <v>46266</v>
      </c>
      <c r="I87">
        <f>IF('[1]P-GENERAL'!I87="","",'[1]P-GENERAL'!I87)</f>
        <v>36</v>
      </c>
      <c r="J87" s="15">
        <f>IF('[1]P-GENERAL'!J87="","",'[1]P-GENERAL'!J87)</f>
        <v>46273</v>
      </c>
      <c r="K87" s="14" t="str">
        <f>IF('[1]P-GENERAL'!K87="","",'[1]P-GENERAL'!K87)</f>
        <v/>
      </c>
      <c r="L87" s="14" t="str">
        <f>IF('[1]P-GENERAL'!L87="","",'[1]P-GENERAL'!L87)</f>
        <v>PREENFRIO FORTALEZA</v>
      </c>
      <c r="M87">
        <f>IF('[1]P-GENERAL'!M87="","",'[1]P-GENERAL'!M87)</f>
        <v>4</v>
      </c>
      <c r="N87">
        <f>IF('[1]P-GENERAL'!N87="","",'[1]P-GENERAL'!N87)</f>
        <v>96</v>
      </c>
      <c r="O87" s="14">
        <f>IF('[1]P-GENERAL'!O87="","",'[1]P-GENERAL'!O87)</f>
        <v>46266</v>
      </c>
      <c r="P87" s="16">
        <f>IF('[1]P-GENERAL'!P87="","",'[1]P-GENERAL'!P87)</f>
        <v>0.75</v>
      </c>
      <c r="Q87" t="str">
        <f>IF('[1]P-GENERAL'!Q87="","",'[1]P-GENERAL'!Q87)</f>
        <v>NORMAL</v>
      </c>
      <c r="R87" s="14">
        <f>IF('[1]P-GENERAL'!R87="","",'[1]P-GENERAL'!R87)</f>
        <v>46266</v>
      </c>
      <c r="S87" s="16">
        <f>IF('[1]P-GENERAL'!S87="","",'[1]P-GENERAL'!S87)</f>
        <v>0.9375</v>
      </c>
      <c r="T87" s="16">
        <f>IF('[1]P-GENERAL'!T87="","",'[1]P-GENERAL'!T87)</f>
        <v>0.33333333333333331</v>
      </c>
      <c r="U87" s="17">
        <f>IF('[1]P-GENERAL'!U87="","",'[1]P-GENERAL'!U87)</f>
        <v>46267.270833333336</v>
      </c>
      <c r="V87" s="14">
        <f>IF('[1]P-GENERAL'!V87="","",'[1]P-GENERAL'!V87)</f>
        <v>46267</v>
      </c>
      <c r="W87" s="16">
        <f>IF('[1]P-GENERAL'!W87="","",'[1]P-GENERAL'!W87)</f>
        <v>0.35069444444444442</v>
      </c>
      <c r="X87" s="14" t="str">
        <f>IF('[1]P-GENERAL'!X87="","",'[1]P-GENERAL'!X87)</f>
        <v>SI CUMPLE</v>
      </c>
      <c r="Y87" s="14" t="str">
        <f>IF('[1]P-GENERAL'!Y87="","",'[1]P-GENERAL'!Y87)</f>
        <v>SI CUMPLE</v>
      </c>
      <c r="Z87" s="14" t="str">
        <f>IF('[1]P-GENERAL'!Z87="","",'[1]P-GENERAL'!Z87)</f>
        <v>COMPLETA EN NELLY</v>
      </c>
      <c r="AA87" s="14" t="str">
        <f>IF('[1]P-GENERAL'!AA87="","",'[1]P-GENERAL'!AA87)</f>
        <v xml:space="preserve">DESPACHADO  </v>
      </c>
      <c r="AB87" s="8" t="str">
        <f>IF('[1]P-GENERAL'!AB87="","",'[1]P-GENERAL'!AB87)</f>
        <v>JONATHAN CARRILLO GODINEZ</v>
      </c>
      <c r="AC87" s="8" t="str">
        <f>IF('[1]P-GENERAL'!AC87="","",'[1]P-GENERAL'!AC87)</f>
        <v>MARCO ANTONIO CRUZ LUNA</v>
      </c>
      <c r="AD87">
        <f>IF('[1]P-GENERAL'!AD87="","",'[1]P-GENERAL'!AD87)</f>
        <v>13246</v>
      </c>
      <c r="AE87" t="str">
        <f>IF('[1]P-GENERAL'!AE87="","",'[1]P-GENERAL'!AE87)</f>
        <v>N/A</v>
      </c>
    </row>
    <row r="88" spans="1:31" ht="20.25" x14ac:dyDescent="0.3">
      <c r="A88" s="11" t="str">
        <f>IF('[1]P-GENERAL'!A88="","",'[1]P-GENERAL'!A88)</f>
        <v>Chanitos Premium Tarima Americana</v>
      </c>
      <c r="B88" s="11" t="str">
        <f>IF('[1]P-GENERAL'!B88="","",'[1]P-GENERAL'!B88)</f>
        <v>CPR01103</v>
      </c>
      <c r="C88" t="str">
        <f>IF('[1]P-GENERAL'!C88="","",'[1]P-GENERAL'!C88)</f>
        <v>A11056-360109-1</v>
      </c>
      <c r="D88" t="str">
        <f>IF('[1]P-GENERAL'!D88="","",'[1]P-GENERAL'!D88)</f>
        <v>A11 Sector Mazatan</v>
      </c>
      <c r="E88" s="8" t="str">
        <f>IF('[1]P-GENERAL'!E88="","",'[1]P-GENERAL'!E88)</f>
        <v>Ciudad Juarez</v>
      </c>
      <c r="F88" s="12">
        <f>IF('[1]P-GENERAL'!F88="","",'[1]P-GENERAL'!F88)</f>
        <v>960</v>
      </c>
      <c r="G88" s="13">
        <f>IF('[1]P-GENERAL'!G88="","",'[1]P-GENERAL'!G88)</f>
        <v>20</v>
      </c>
      <c r="H88" s="14">
        <f>IF('[1]P-GENERAL'!H88="","",'[1]P-GENERAL'!H88)</f>
        <v>46266</v>
      </c>
      <c r="I88">
        <f>IF('[1]P-GENERAL'!I88="","",'[1]P-GENERAL'!I88)</f>
        <v>36</v>
      </c>
      <c r="J88" s="15">
        <f>IF('[1]P-GENERAL'!J88="","",'[1]P-GENERAL'!J88)</f>
        <v>46273</v>
      </c>
      <c r="K88" s="14" t="str">
        <f>IF('[1]P-GENERAL'!K88="","",'[1]P-GENERAL'!K88)</f>
        <v/>
      </c>
      <c r="L88" s="14" t="str">
        <f>IF('[1]P-GENERAL'!L88="","",'[1]P-GENERAL'!L88)</f>
        <v>PREENFRIO FORTALEZA</v>
      </c>
      <c r="M88">
        <f>IF('[1]P-GENERAL'!M88="","",'[1]P-GENERAL'!M88)</f>
        <v>4</v>
      </c>
      <c r="N88">
        <f>IF('[1]P-GENERAL'!N88="","",'[1]P-GENERAL'!N88)</f>
        <v>96</v>
      </c>
      <c r="O88" s="14">
        <f>IF('[1]P-GENERAL'!O88="","",'[1]P-GENERAL'!O88)</f>
        <v>46266</v>
      </c>
      <c r="P88" s="16">
        <f>IF('[1]P-GENERAL'!P88="","",'[1]P-GENERAL'!P88)</f>
        <v>0.95833333333333337</v>
      </c>
      <c r="Q88" t="str">
        <f>IF('[1]P-GENERAL'!Q88="","",'[1]P-GENERAL'!Q88)</f>
        <v>NORMAL</v>
      </c>
      <c r="R88" s="14">
        <f>IF('[1]P-GENERAL'!R88="","",'[1]P-GENERAL'!R88)</f>
        <v>46267</v>
      </c>
      <c r="S88" s="16">
        <f>IF('[1]P-GENERAL'!S88="","",'[1]P-GENERAL'!S88)</f>
        <v>0.29166666666666669</v>
      </c>
      <c r="T88" s="16">
        <f>IF('[1]P-GENERAL'!T88="","",'[1]P-GENERAL'!T88)</f>
        <v>0.5</v>
      </c>
      <c r="U88" s="17">
        <f>IF('[1]P-GENERAL'!U88="","",'[1]P-GENERAL'!U88)</f>
        <v>46267.791666666664</v>
      </c>
      <c r="V88" s="14">
        <f>IF('[1]P-GENERAL'!V88="","",'[1]P-GENERAL'!V88)</f>
        <v>46268</v>
      </c>
      <c r="W88" s="16">
        <f>IF('[1]P-GENERAL'!W88="","",'[1]P-GENERAL'!W88)</f>
        <v>0.57291666666666663</v>
      </c>
      <c r="X88" s="14" t="str">
        <f>IF('[1]P-GENERAL'!X88="","",'[1]P-GENERAL'!X88)</f>
        <v>SI CUMPLE</v>
      </c>
      <c r="Y88" s="14" t="str">
        <f>IF('[1]P-GENERAL'!Y88="","",'[1]P-GENERAL'!Y88)</f>
        <v>SI CUMPLE</v>
      </c>
      <c r="Z88" s="14" t="str">
        <f>IF('[1]P-GENERAL'!Z88="","",'[1]P-GENERAL'!Z88)</f>
        <v/>
      </c>
      <c r="AA88" s="14" t="str">
        <f>IF('[1]P-GENERAL'!AA88="","",'[1]P-GENERAL'!AA88)</f>
        <v>DESPACHADO</v>
      </c>
      <c r="AB88" s="8" t="str">
        <f>IF('[1]P-GENERAL'!AB88="","",'[1]P-GENERAL'!AB88)</f>
        <v>SEGOVIA</v>
      </c>
      <c r="AC88" s="8" t="str">
        <f>IF('[1]P-GENERAL'!AC88="","",'[1]P-GENERAL'!AC88)</f>
        <v>ENRIQUE SALAZAR GOMEZ</v>
      </c>
      <c r="AD88">
        <f>IF('[1]P-GENERAL'!AD88="","",'[1]P-GENERAL'!AD88)</f>
        <v>84055</v>
      </c>
      <c r="AE88" t="str">
        <f>IF('[1]P-GENERAL'!AE88="","",'[1]P-GENERAL'!AE88)</f>
        <v>QCH1W04H60</v>
      </c>
    </row>
    <row r="89" spans="1:31" ht="20.25" x14ac:dyDescent="0.3">
      <c r="A89" s="11" t="str">
        <f>IF('[1]P-GENERAL'!A89="","",'[1]P-GENERAL'!A89)</f>
        <v>Chanitos Plantain 20Kg Tarima Americana</v>
      </c>
      <c r="B89" s="11" t="str">
        <f>IF('[1]P-GENERAL'!B89="","",'[1]P-GENERAL'!B89)</f>
        <v>CPL08134</v>
      </c>
      <c r="C89" t="str">
        <f>IF('[1]P-GENERAL'!C89="","",'[1]P-GENERAL'!C89)</f>
        <v>A27073-360109-1</v>
      </c>
      <c r="D89" t="str">
        <f>IF('[1]P-GENERAL'!D89="","",'[1]P-GENERAL'!D89)</f>
        <v>A27 073 Plantacion</v>
      </c>
      <c r="E89" s="8" t="str">
        <f>IF('[1]P-GENERAL'!E89="","",'[1]P-GENERAL'!E89)</f>
        <v>S-MTY</v>
      </c>
      <c r="F89" s="12">
        <f>IF('[1]P-GENERAL'!F89="","",'[1]P-GENERAL'!F89)</f>
        <v>96</v>
      </c>
      <c r="G89" s="13">
        <f>IF('[1]P-GENERAL'!G89="","",'[1]P-GENERAL'!G89)</f>
        <v>2</v>
      </c>
      <c r="H89" s="14">
        <f>IF('[1]P-GENERAL'!H89="","",'[1]P-GENERAL'!H89)</f>
        <v>46266</v>
      </c>
      <c r="I89">
        <f>IF('[1]P-GENERAL'!I89="","",'[1]P-GENERAL'!I89)</f>
        <v>36</v>
      </c>
      <c r="J89" s="15">
        <f>IF('[1]P-GENERAL'!J89="","",'[1]P-GENERAL'!J89)</f>
        <v>46273</v>
      </c>
      <c r="K89" s="14" t="str">
        <f>IF('[1]P-GENERAL'!K89="","",'[1]P-GENERAL'!K89)</f>
        <v/>
      </c>
      <c r="L89" s="14" t="str">
        <f>IF('[1]P-GENERAL'!L89="","",'[1]P-GENERAL'!L89)</f>
        <v>PREENFRIO FORTALEZA</v>
      </c>
      <c r="M89">
        <f>IF('[1]P-GENERAL'!M89="","",'[1]P-GENERAL'!M89)</f>
        <v>3</v>
      </c>
      <c r="N89">
        <f>IF('[1]P-GENERAL'!N89="","",'[1]P-GENERAL'!N89)</f>
        <v>72</v>
      </c>
      <c r="O89" s="14">
        <f>IF('[1]P-GENERAL'!O89="","",'[1]P-GENERAL'!O89)</f>
        <v>46266</v>
      </c>
      <c r="P89" s="16">
        <f>IF('[1]P-GENERAL'!P89="","",'[1]P-GENERAL'!P89)</f>
        <v>0.75</v>
      </c>
      <c r="Q89" t="str">
        <f>IF('[1]P-GENERAL'!Q89="","",'[1]P-GENERAL'!Q89)</f>
        <v>NORMAL</v>
      </c>
      <c r="R89" s="14">
        <f>IF('[1]P-GENERAL'!R89="","",'[1]P-GENERAL'!R89)</f>
        <v>46266</v>
      </c>
      <c r="S89" s="16">
        <f>IF('[1]P-GENERAL'!S89="","",'[1]P-GENERAL'!S89)</f>
        <v>0.9375</v>
      </c>
      <c r="T89" s="16">
        <f>IF('[1]P-GENERAL'!T89="","",'[1]P-GENERAL'!T89)</f>
        <v>0.33333333333333331</v>
      </c>
      <c r="U89" s="17">
        <f>IF('[1]P-GENERAL'!U89="","",'[1]P-GENERAL'!U89)</f>
        <v>46267.270833333336</v>
      </c>
      <c r="V89" s="14">
        <f>IF('[1]P-GENERAL'!V89="","",'[1]P-GENERAL'!V89)</f>
        <v>46267</v>
      </c>
      <c r="W89" s="16">
        <f>IF('[1]P-GENERAL'!W89="","",'[1]P-GENERAL'!W89)</f>
        <v>0.35069444444444442</v>
      </c>
      <c r="X89" s="14" t="str">
        <f>IF('[1]P-GENERAL'!X89="","",'[1]P-GENERAL'!X89)</f>
        <v>SI CUMPLE</v>
      </c>
      <c r="Y89" s="14" t="str">
        <f>IF('[1]P-GENERAL'!Y89="","",'[1]P-GENERAL'!Y89)</f>
        <v>SI CUMPLE</v>
      </c>
      <c r="Z89" s="14" t="str">
        <f>IF('[1]P-GENERAL'!Z89="","",'[1]P-GENERAL'!Z89)</f>
        <v>COMPLETA EN NELLY</v>
      </c>
      <c r="AA89" s="14" t="str">
        <f>IF('[1]P-GENERAL'!AA89="","",'[1]P-GENERAL'!AA89)</f>
        <v xml:space="preserve">DESPACHADO  </v>
      </c>
      <c r="AB89" s="8" t="str">
        <f>IF('[1]P-GENERAL'!AB89="","",'[1]P-GENERAL'!AB89)</f>
        <v>JONATHAN CARRILLO GODINEZ</v>
      </c>
      <c r="AC89" s="8" t="str">
        <f>IF('[1]P-GENERAL'!AC89="","",'[1]P-GENERAL'!AC89)</f>
        <v>MARCO ANTONIO CRUZ LUNA</v>
      </c>
      <c r="AD89">
        <f>IF('[1]P-GENERAL'!AD89="","",'[1]P-GENERAL'!AD89)</f>
        <v>13246</v>
      </c>
      <c r="AE89" t="str">
        <f>IF('[1]P-GENERAL'!AE89="","",'[1]P-GENERAL'!AE89)</f>
        <v>N/A</v>
      </c>
    </row>
    <row r="90" spans="1:31" ht="20.25" x14ac:dyDescent="0.3">
      <c r="A90" s="11" t="str">
        <f>IF('[1]P-GENERAL'!A90="","",'[1]P-GENERAL'!A90)</f>
        <v>Platano de Chiapas BAE UPC 3237</v>
      </c>
      <c r="B90" s="11" t="str">
        <f>IF('[1]P-GENERAL'!B90="","",'[1]P-GENERAL'!B90)</f>
        <v>CPR01114</v>
      </c>
      <c r="C90" t="str">
        <f>IF('[1]P-GENERAL'!C90="","",'[1]P-GENERAL'!C90)</f>
        <v>A01001-360309-1</v>
      </c>
      <c r="D90" t="str">
        <f>IF('[1]P-GENERAL'!D90="","",'[1]P-GENERAL'!D90)</f>
        <v>A01 001 Marbella</v>
      </c>
      <c r="E90" s="8" t="str">
        <f>IF('[1]P-GENERAL'!E90="","",'[1]P-GENERAL'!E90)</f>
        <v>Chalco</v>
      </c>
      <c r="F90" s="12">
        <f>IF('[1]P-GENERAL'!F90="","",'[1]P-GENERAL'!F90)</f>
        <v>48</v>
      </c>
      <c r="G90" s="13">
        <f>IF('[1]P-GENERAL'!G90="","",'[1]P-GENERAL'!G90)</f>
        <v>1</v>
      </c>
      <c r="H90" s="14">
        <f>IF('[1]P-GENERAL'!H90="","",'[1]P-GENERAL'!H90)</f>
        <v>46268</v>
      </c>
      <c r="I90">
        <f>IF('[1]P-GENERAL'!I90="","",'[1]P-GENERAL'!I90)</f>
        <v>36</v>
      </c>
      <c r="J90" s="15">
        <f>IF('[1]P-GENERAL'!J90="","",'[1]P-GENERAL'!J90)</f>
        <v>46273</v>
      </c>
      <c r="K90" s="14" t="str">
        <f>IF('[1]P-GENERAL'!K90="","",'[1]P-GENERAL'!K90)</f>
        <v/>
      </c>
      <c r="L90" s="14" t="str">
        <f>IF('[1]P-GENERAL'!L90="","",'[1]P-GENERAL'!L90)</f>
        <v>PREENFRIO NELLY</v>
      </c>
      <c r="M90">
        <f>IF('[1]P-GENERAL'!M90="","",'[1]P-GENERAL'!M90)</f>
        <v>1</v>
      </c>
      <c r="N90">
        <f>IF('[1]P-GENERAL'!N90="","",'[1]P-GENERAL'!N90)</f>
        <v>24</v>
      </c>
      <c r="O90" s="14">
        <f>IF('[1]P-GENERAL'!O90="","",'[1]P-GENERAL'!O90)</f>
        <v>46268</v>
      </c>
      <c r="P90" s="16">
        <f>IF('[1]P-GENERAL'!P90="","",'[1]P-GENERAL'!P90)</f>
        <v>0.90972222222222221</v>
      </c>
      <c r="Q90" t="str">
        <f>IF('[1]P-GENERAL'!Q90="","",'[1]P-GENERAL'!Q90)</f>
        <v>NORMAL</v>
      </c>
      <c r="R90" s="14">
        <f>IF('[1]P-GENERAL'!R90="","",'[1]P-GENERAL'!R90)</f>
        <v>46269</v>
      </c>
      <c r="S90" s="16">
        <f>IF('[1]P-GENERAL'!S90="","",'[1]P-GENERAL'!S90)</f>
        <v>0.2361111111111111</v>
      </c>
      <c r="T90" s="16">
        <f>IF('[1]P-GENERAL'!T90="","",'[1]P-GENERAL'!T90)</f>
        <v>0.35416666666666669</v>
      </c>
      <c r="U90" s="17">
        <f>IF('[1]P-GENERAL'!U90="","",'[1]P-GENERAL'!U90)</f>
        <v>46269.590277777774</v>
      </c>
      <c r="V90" s="14">
        <f>IF('[1]P-GENERAL'!V90="","",'[1]P-GENERAL'!V90)</f>
        <v>46269</v>
      </c>
      <c r="W90" s="16">
        <f>IF('[1]P-GENERAL'!W90="","",'[1]P-GENERAL'!W90)</f>
        <v>0.72916666666666663</v>
      </c>
      <c r="X90" s="14" t="str">
        <f>IF('[1]P-GENERAL'!X90="","",'[1]P-GENERAL'!X90)</f>
        <v>SI CUMPLE</v>
      </c>
      <c r="Y90" s="14" t="str">
        <f>IF('[1]P-GENERAL'!Y90="","",'[1]P-GENERAL'!Y90)</f>
        <v>SI CUMPLE</v>
      </c>
      <c r="Z90" s="14" t="str">
        <f>IF('[1]P-GENERAL'!Z90="","",'[1]P-GENERAL'!Z90)</f>
        <v/>
      </c>
      <c r="AA90" s="14" t="str">
        <f>IF('[1]P-GENERAL'!AA90="","",'[1]P-GENERAL'!AA90)</f>
        <v>DESPACHADO</v>
      </c>
      <c r="AB90" s="8" t="str">
        <f>IF('[1]P-GENERAL'!AB90="","",'[1]P-GENERAL'!AB90)</f>
        <v>Antonio Mejia Granados</v>
      </c>
      <c r="AC90" s="8" t="str">
        <f>IF('[1]P-GENERAL'!AC90="","",'[1]P-GENERAL'!AC90)</f>
        <v>Jose De Jesus Granados Covarrubia</v>
      </c>
      <c r="AD90">
        <f>IF('[1]P-GENERAL'!AD90="","",'[1]P-GENERAL'!AD90)</f>
        <v>72359</v>
      </c>
      <c r="AE90" t="str">
        <f>IF('[1]P-GENERAL'!AE90="","",'[1]P-GENERAL'!AE90)</f>
        <v>QCH1W04A60</v>
      </c>
    </row>
    <row r="91" spans="1:31" ht="20.25" x14ac:dyDescent="0.3">
      <c r="A91" s="11" t="str">
        <f>IF('[1]P-GENERAL'!A91="","",'[1]P-GENERAL'!A91)</f>
        <v>Chanitos Premium Tarima Chep</v>
      </c>
      <c r="B91" s="11" t="str">
        <f>IF('[1]P-GENERAL'!B91="","",'[1]P-GENERAL'!B91)</f>
        <v>CPR01102</v>
      </c>
      <c r="C91" t="str">
        <f>IF('[1]P-GENERAL'!C91="","",'[1]P-GENERAL'!C91)</f>
        <v>A01001-360309-1</v>
      </c>
      <c r="D91" t="str">
        <f>IF('[1]P-GENERAL'!D91="","",'[1]P-GENERAL'!D91)</f>
        <v>A01 001 Marbella</v>
      </c>
      <c r="E91" s="8" t="str">
        <f>IF('[1]P-GENERAL'!E91="","",'[1]P-GENERAL'!E91)</f>
        <v>Chalco</v>
      </c>
      <c r="F91" s="12">
        <f>IF('[1]P-GENERAL'!F91="","",'[1]P-GENERAL'!F91)</f>
        <v>1104</v>
      </c>
      <c r="G91" s="13">
        <f>IF('[1]P-GENERAL'!G91="","",'[1]P-GENERAL'!G91)</f>
        <v>23</v>
      </c>
      <c r="H91" s="14">
        <f>IF('[1]P-GENERAL'!H91="","",'[1]P-GENERAL'!H91)</f>
        <v>46268</v>
      </c>
      <c r="I91">
        <f>IF('[1]P-GENERAL'!I91="","",'[1]P-GENERAL'!I91)</f>
        <v>36</v>
      </c>
      <c r="J91" s="15">
        <f>IF('[1]P-GENERAL'!J91="","",'[1]P-GENERAL'!J91)</f>
        <v>46273</v>
      </c>
      <c r="K91" s="14" t="str">
        <f>IF('[1]P-GENERAL'!K91="","",'[1]P-GENERAL'!K91)</f>
        <v/>
      </c>
      <c r="L91" s="14" t="str">
        <f>IF('[1]P-GENERAL'!L91="","",'[1]P-GENERAL'!L91)</f>
        <v>PREENFRIO NELLY</v>
      </c>
      <c r="M91">
        <f>IF('[1]P-GENERAL'!M91="","",'[1]P-GENERAL'!M91)</f>
        <v>1</v>
      </c>
      <c r="N91">
        <f>IF('[1]P-GENERAL'!N91="","",'[1]P-GENERAL'!N91)</f>
        <v>24</v>
      </c>
      <c r="O91" s="14">
        <f>IF('[1]P-GENERAL'!O91="","",'[1]P-GENERAL'!O91)</f>
        <v>46268</v>
      </c>
      <c r="P91" s="16">
        <f>IF('[1]P-GENERAL'!P91="","",'[1]P-GENERAL'!P91)</f>
        <v>0.90972222222222221</v>
      </c>
      <c r="Q91" t="str">
        <f>IF('[1]P-GENERAL'!Q91="","",'[1]P-GENERAL'!Q91)</f>
        <v>NORMAL</v>
      </c>
      <c r="R91" s="14">
        <f>IF('[1]P-GENERAL'!R91="","",'[1]P-GENERAL'!R91)</f>
        <v>46269</v>
      </c>
      <c r="S91" s="16">
        <f>IF('[1]P-GENERAL'!S91="","",'[1]P-GENERAL'!S91)</f>
        <v>0.59027777777777779</v>
      </c>
      <c r="T91" s="16">
        <f>IF('[1]P-GENERAL'!T91="","",'[1]P-GENERAL'!T91)</f>
        <v>0.35416666666666669</v>
      </c>
      <c r="U91" s="17">
        <f>IF('[1]P-GENERAL'!U91="","",'[1]P-GENERAL'!U91)</f>
        <v>46269.944444444445</v>
      </c>
      <c r="V91" s="14">
        <f>IF('[1]P-GENERAL'!V91="","",'[1]P-GENERAL'!V91)</f>
        <v>46269</v>
      </c>
      <c r="W91" s="16">
        <f>IF('[1]P-GENERAL'!W91="","",'[1]P-GENERAL'!W91)</f>
        <v>0.72916666666666663</v>
      </c>
      <c r="X91" s="14" t="str">
        <f>IF('[1]P-GENERAL'!X91="","",'[1]P-GENERAL'!X91)</f>
        <v>SI CUMPLE</v>
      </c>
      <c r="Y91" s="14" t="str">
        <f>IF('[1]P-GENERAL'!Y91="","",'[1]P-GENERAL'!Y91)</f>
        <v>SI CUMPLE</v>
      </c>
      <c r="Z91" s="14" t="str">
        <f>IF('[1]P-GENERAL'!Z91="","",'[1]P-GENERAL'!Z91)</f>
        <v/>
      </c>
      <c r="AA91" s="14" t="str">
        <f>IF('[1]P-GENERAL'!AA91="","",'[1]P-GENERAL'!AA91)</f>
        <v>DESPACHADO</v>
      </c>
      <c r="AB91" s="8" t="str">
        <f>IF('[1]P-GENERAL'!AB91="","",'[1]P-GENERAL'!AB91)</f>
        <v>Antonio Mejia Granados</v>
      </c>
      <c r="AC91" s="8" t="str">
        <f>IF('[1]P-GENERAL'!AC91="","",'[1]P-GENERAL'!AC91)</f>
        <v>Jose De Jesus Granados Covarrubia</v>
      </c>
      <c r="AD91">
        <f>IF('[1]P-GENERAL'!AD91="","",'[1]P-GENERAL'!AD91)</f>
        <v>72359</v>
      </c>
      <c r="AE91" t="str">
        <f>IF('[1]P-GENERAL'!AE91="","",'[1]P-GENERAL'!AE91)</f>
        <v>QCH1W04A60</v>
      </c>
    </row>
    <row r="92" spans="1:31" ht="20.25" x14ac:dyDescent="0.3">
      <c r="A92" s="11" t="str">
        <f>IF('[1]P-GENERAL'!A92="","",'[1]P-GENERAL'!A92)</f>
        <v>Chanitos Premium Tarima Chep</v>
      </c>
      <c r="B92" s="11" t="str">
        <f>IF('[1]P-GENERAL'!B92="","",'[1]P-GENERAL'!B92)</f>
        <v>CPR01102</v>
      </c>
      <c r="C92" t="str">
        <f>IF('[1]P-GENERAL'!C92="","",'[1]P-GENERAL'!C92)</f>
        <v>A01003-360309-1</v>
      </c>
      <c r="D92" t="str">
        <f>IF('[1]P-GENERAL'!D92="","",'[1]P-GENERAL'!D92)</f>
        <v>A01 003 Doña Nelly</v>
      </c>
      <c r="E92" s="8" t="str">
        <f>IF('[1]P-GENERAL'!E92="","",'[1]P-GENERAL'!E92)</f>
        <v>VSA</v>
      </c>
      <c r="F92" s="12">
        <f>IF('[1]P-GENERAL'!F92="","",'[1]P-GENERAL'!F92)</f>
        <v>864</v>
      </c>
      <c r="G92" s="13">
        <f>IF('[1]P-GENERAL'!G92="","",'[1]P-GENERAL'!G92)</f>
        <v>18</v>
      </c>
      <c r="H92" s="14">
        <f>IF('[1]P-GENERAL'!H92="","",'[1]P-GENERAL'!H92)</f>
        <v>46268</v>
      </c>
      <c r="I92">
        <f>IF('[1]P-GENERAL'!I92="","",'[1]P-GENERAL'!I92)</f>
        <v>36</v>
      </c>
      <c r="J92" s="15">
        <f>IF('[1]P-GENERAL'!J92="","",'[1]P-GENERAL'!J92)</f>
        <v>46273</v>
      </c>
      <c r="K92" s="14" t="str">
        <f>IF('[1]P-GENERAL'!K92="","",'[1]P-GENERAL'!K92)</f>
        <v/>
      </c>
      <c r="L92" s="14" t="str">
        <f>IF('[1]P-GENERAL'!L92="","",'[1]P-GENERAL'!L92)</f>
        <v>PREENFRIO NELLY</v>
      </c>
      <c r="M92">
        <f>IF('[1]P-GENERAL'!M92="","",'[1]P-GENERAL'!M92)</f>
        <v>1</v>
      </c>
      <c r="N92">
        <f>IF('[1]P-GENERAL'!N92="","",'[1]P-GENERAL'!N92)</f>
        <v>24</v>
      </c>
      <c r="O92" s="14">
        <f>IF('[1]P-GENERAL'!O92="","",'[1]P-GENERAL'!O92)</f>
        <v>46268</v>
      </c>
      <c r="P92" s="16">
        <f>IF('[1]P-GENERAL'!P92="","",'[1]P-GENERAL'!P92)</f>
        <v>0.75</v>
      </c>
      <c r="Q92" t="str">
        <f>IF('[1]P-GENERAL'!Q92="","",'[1]P-GENERAL'!Q92)</f>
        <v>NORMAL</v>
      </c>
      <c r="R92" s="14">
        <f>IF('[1]P-GENERAL'!R92="","",'[1]P-GENERAL'!R92)</f>
        <v>46269</v>
      </c>
      <c r="S92" s="16">
        <f>IF('[1]P-GENERAL'!S92="","",'[1]P-GENERAL'!S92)</f>
        <v>4.2361111111111113E-2</v>
      </c>
      <c r="T92" s="16">
        <f>IF('[1]P-GENERAL'!T92="","",'[1]P-GENERAL'!T92)</f>
        <v>0.35416666666666669</v>
      </c>
      <c r="U92" s="17">
        <f>IF('[1]P-GENERAL'!U92="","",'[1]P-GENERAL'!U92)</f>
        <v>46269.396527777775</v>
      </c>
      <c r="V92" s="14">
        <f>IF('[1]P-GENERAL'!V92="","",'[1]P-GENERAL'!V92)</f>
        <v>46271</v>
      </c>
      <c r="W92" s="16">
        <f>IF('[1]P-GENERAL'!W92="","",'[1]P-GENERAL'!W92)</f>
        <v>0.70972222222222225</v>
      </c>
      <c r="X92" s="14" t="str">
        <f>IF('[1]P-GENERAL'!X92="","",'[1]P-GENERAL'!X92)</f>
        <v>SI CUMPLE</v>
      </c>
      <c r="Y92" s="14" t="str">
        <f>IF('[1]P-GENERAL'!Y92="","",'[1]P-GENERAL'!Y92)</f>
        <v>SI CUMPLE</v>
      </c>
      <c r="Z92" s="14" t="str">
        <f>IF('[1]P-GENERAL'!Z92="","",'[1]P-GENERAL'!Z92)</f>
        <v/>
      </c>
      <c r="AA92" s="14" t="str">
        <f>IF('[1]P-GENERAL'!AA92="","",'[1]P-GENERAL'!AA92)</f>
        <v>DESPACHADO</v>
      </c>
      <c r="AB92" s="8" t="str">
        <f>IF('[1]P-GENERAL'!AB92="","",'[1]P-GENERAL'!AB92)</f>
        <v>3M</v>
      </c>
      <c r="AC92" s="8" t="str">
        <f>IF('[1]P-GENERAL'!AC92="","",'[1]P-GENERAL'!AC92)</f>
        <v>Daniel Morales Sanchez</v>
      </c>
      <c r="AD92">
        <f>IF('[1]P-GENERAL'!AD92="","",'[1]P-GENERAL'!AD92)</f>
        <v>77784</v>
      </c>
      <c r="AE92" t="str">
        <f>IF('[1]P-GENERAL'!AE92="","",'[1]P-GENERAL'!AE92)</f>
        <v>QCH1W05640</v>
      </c>
    </row>
    <row r="93" spans="1:31" ht="20.25" x14ac:dyDescent="0.3">
      <c r="A93" s="11" t="str">
        <f>IF('[1]P-GENERAL'!A93="","",'[1]P-GENERAL'!A93)</f>
        <v>Chanitos Premium Tarima Chep</v>
      </c>
      <c r="B93" s="11" t="str">
        <f>IF('[1]P-GENERAL'!B93="","",'[1]P-GENERAL'!B93)</f>
        <v>CPR01102</v>
      </c>
      <c r="C93" t="str">
        <f>IF('[1]P-GENERAL'!C93="","",'[1]P-GENERAL'!C93)</f>
        <v>A04039-360309-1</v>
      </c>
      <c r="D93" t="str">
        <f>IF('[1]P-GENERAL'!D93="","",'[1]P-GENERAL'!D93)</f>
        <v>A04 039 San Jose Morelia Nava</v>
      </c>
      <c r="E93" s="8" t="str">
        <f>IF('[1]P-GENERAL'!E93="","",'[1]P-GENERAL'!E93)</f>
        <v>Chalco</v>
      </c>
      <c r="F93" s="12">
        <f>IF('[1]P-GENERAL'!F93="","",'[1]P-GENERAL'!F93)</f>
        <v>1104</v>
      </c>
      <c r="G93" s="13">
        <f>IF('[1]P-GENERAL'!G93="","",'[1]P-GENERAL'!G93)</f>
        <v>23</v>
      </c>
      <c r="H93" s="14">
        <f>IF('[1]P-GENERAL'!H93="","",'[1]P-GENERAL'!H93)</f>
        <v>46268</v>
      </c>
      <c r="I93">
        <f>IF('[1]P-GENERAL'!I93="","",'[1]P-GENERAL'!I93)</f>
        <v>36</v>
      </c>
      <c r="J93" s="15">
        <f>IF('[1]P-GENERAL'!J93="","",'[1]P-GENERAL'!J93)</f>
        <v>46272</v>
      </c>
      <c r="K93" s="14" t="str">
        <f>IF('[1]P-GENERAL'!K93="","",'[1]P-GENERAL'!K93)</f>
        <v/>
      </c>
      <c r="L93" s="14" t="str">
        <f>IF('[1]P-GENERAL'!L93="","",'[1]P-GENERAL'!L93)</f>
        <v>PREENFRIO NELLY</v>
      </c>
      <c r="M93">
        <f>IF('[1]P-GENERAL'!M93="","",'[1]P-GENERAL'!M93)</f>
        <v>1</v>
      </c>
      <c r="N93">
        <f>IF('[1]P-GENERAL'!N93="","",'[1]P-GENERAL'!N93)</f>
        <v>24</v>
      </c>
      <c r="O93" s="14">
        <f>IF('[1]P-GENERAL'!O93="","",'[1]P-GENERAL'!O93)</f>
        <v>46269</v>
      </c>
      <c r="P93" s="16">
        <f>IF('[1]P-GENERAL'!P93="","",'[1]P-GENERAL'!P93)</f>
        <v>0.21527777777777779</v>
      </c>
      <c r="Q93" t="str">
        <f>IF('[1]P-GENERAL'!Q93="","",'[1]P-GENERAL'!Q93)</f>
        <v>NORMAL</v>
      </c>
      <c r="R93" s="14">
        <f>IF('[1]P-GENERAL'!R93="","",'[1]P-GENERAL'!R93)</f>
        <v>46269</v>
      </c>
      <c r="S93" s="16">
        <f>IF('[1]P-GENERAL'!S93="","",'[1]P-GENERAL'!S93)</f>
        <v>0.94444444444444442</v>
      </c>
      <c r="T93" s="16">
        <f>IF('[1]P-GENERAL'!T93="","",'[1]P-GENERAL'!T93)</f>
        <v>0.35416666666666669</v>
      </c>
      <c r="U93" s="17">
        <f>IF('[1]P-GENERAL'!U93="","",'[1]P-GENERAL'!U93)</f>
        <v>46270.298611111109</v>
      </c>
      <c r="V93" s="14">
        <f>IF('[1]P-GENERAL'!V93="","",'[1]P-GENERAL'!V93)</f>
        <v>46270</v>
      </c>
      <c r="W93" s="16">
        <f>IF('[1]P-GENERAL'!W93="","",'[1]P-GENERAL'!W93)</f>
        <v>0.11805555555555555</v>
      </c>
      <c r="X93" s="14" t="str">
        <f>IF('[1]P-GENERAL'!X93="","",'[1]P-GENERAL'!X93)</f>
        <v>SI CUMPLE</v>
      </c>
      <c r="Y93" s="14" t="str">
        <f>IF('[1]P-GENERAL'!Y93="","",'[1]P-GENERAL'!Y93)</f>
        <v>SI CUMPLE</v>
      </c>
      <c r="Z93" s="14" t="str">
        <f>IF('[1]P-GENERAL'!Z93="","",'[1]P-GENERAL'!Z93)</f>
        <v/>
      </c>
      <c r="AA93" s="14" t="str">
        <f>IF('[1]P-GENERAL'!AA93="","",'[1]P-GENERAL'!AA93)</f>
        <v>DESPACHADO</v>
      </c>
      <c r="AB93" s="8" t="str">
        <f>IF('[1]P-GENERAL'!AB93="","",'[1]P-GENERAL'!AB93)</f>
        <v>Harold Saldaña</v>
      </c>
      <c r="AC93" s="8" t="str">
        <f>IF('[1]P-GENERAL'!AC93="","",'[1]P-GENERAL'!AC93)</f>
        <v>Harold Orlando Saldaña Lopez</v>
      </c>
      <c r="AD93">
        <f>IF('[1]P-GENERAL'!AD93="","",'[1]P-GENERAL'!AD93)</f>
        <v>22448</v>
      </c>
      <c r="AE93" t="str">
        <f>IF('[1]P-GENERAL'!AE93="","",'[1]P-GENERAL'!AE93)</f>
        <v>QCH1W04JA0</v>
      </c>
    </row>
    <row r="94" spans="1:31" ht="20.25" x14ac:dyDescent="0.3">
      <c r="A94" s="11" t="str">
        <f>IF('[1]P-GENERAL'!A94="","",'[1]P-GENERAL'!A94)</f>
        <v>Platano de Chiapas BAE UPC 3237</v>
      </c>
      <c r="B94" s="11" t="str">
        <f>IF('[1]P-GENERAL'!B94="","",'[1]P-GENERAL'!B94)</f>
        <v>CPR01114</v>
      </c>
      <c r="C94" t="str">
        <f>IF('[1]P-GENERAL'!C94="","",'[1]P-GENERAL'!C94)</f>
        <v>A04039-360309-1</v>
      </c>
      <c r="D94" t="str">
        <f>IF('[1]P-GENERAL'!D94="","",'[1]P-GENERAL'!D94)</f>
        <v>A04 039 San Jose Morelia Nava</v>
      </c>
      <c r="E94" s="8" t="str">
        <f>IF('[1]P-GENERAL'!E94="","",'[1]P-GENERAL'!E94)</f>
        <v>Chalco</v>
      </c>
      <c r="F94" s="12">
        <f>IF('[1]P-GENERAL'!F94="","",'[1]P-GENERAL'!F94)</f>
        <v>48</v>
      </c>
      <c r="G94" s="13">
        <f>IF('[1]P-GENERAL'!G94="","",'[1]P-GENERAL'!G94)</f>
        <v>1</v>
      </c>
      <c r="H94" s="14">
        <f>IF('[1]P-GENERAL'!H94="","",'[1]P-GENERAL'!H94)</f>
        <v>46268</v>
      </c>
      <c r="I94">
        <f>IF('[1]P-GENERAL'!I94="","",'[1]P-GENERAL'!I94)</f>
        <v>36</v>
      </c>
      <c r="J94" s="15">
        <f>IF('[1]P-GENERAL'!J94="","",'[1]P-GENERAL'!J94)</f>
        <v>46272</v>
      </c>
      <c r="K94" s="14" t="str">
        <f>IF('[1]P-GENERAL'!K94="","",'[1]P-GENERAL'!K94)</f>
        <v/>
      </c>
      <c r="L94" s="14" t="str">
        <f>IF('[1]P-GENERAL'!L94="","",'[1]P-GENERAL'!L94)</f>
        <v>PREENFRIO NELLY</v>
      </c>
      <c r="M94">
        <f>IF('[1]P-GENERAL'!M94="","",'[1]P-GENERAL'!M94)</f>
        <v>1</v>
      </c>
      <c r="N94">
        <f>IF('[1]P-GENERAL'!N94="","",'[1]P-GENERAL'!N94)</f>
        <v>24</v>
      </c>
      <c r="O94" s="14">
        <f>IF('[1]P-GENERAL'!O94="","",'[1]P-GENERAL'!O94)</f>
        <v>46269</v>
      </c>
      <c r="P94" s="16">
        <f>IF('[1]P-GENERAL'!P94="","",'[1]P-GENERAL'!P94)</f>
        <v>0.21527777777777779</v>
      </c>
      <c r="Q94" t="str">
        <f>IF('[1]P-GENERAL'!Q94="","",'[1]P-GENERAL'!Q94)</f>
        <v>NORMAL</v>
      </c>
      <c r="R94" s="14">
        <f>IF('[1]P-GENERAL'!R94="","",'[1]P-GENERAL'!R94)</f>
        <v>46269</v>
      </c>
      <c r="S94" s="16">
        <f>IF('[1]P-GENERAL'!S94="","",'[1]P-GENERAL'!S94)</f>
        <v>0.94444444444444442</v>
      </c>
      <c r="T94" s="16">
        <f>IF('[1]P-GENERAL'!T94="","",'[1]P-GENERAL'!T94)</f>
        <v>0.35416666666666669</v>
      </c>
      <c r="U94" s="17">
        <f>IF('[1]P-GENERAL'!U94="","",'[1]P-GENERAL'!U94)</f>
        <v>46270.298611111109</v>
      </c>
      <c r="V94" s="14">
        <f>IF('[1]P-GENERAL'!V94="","",'[1]P-GENERAL'!V94)</f>
        <v>46270</v>
      </c>
      <c r="W94" s="16">
        <f>IF('[1]P-GENERAL'!W94="","",'[1]P-GENERAL'!W94)</f>
        <v>0.11805555555555555</v>
      </c>
      <c r="X94" s="14" t="str">
        <f>IF('[1]P-GENERAL'!X94="","",'[1]P-GENERAL'!X94)</f>
        <v>SI CUMPLE</v>
      </c>
      <c r="Y94" s="14" t="str">
        <f>IF('[1]P-GENERAL'!Y94="","",'[1]P-GENERAL'!Y94)</f>
        <v>SI CUMPLE</v>
      </c>
      <c r="Z94" s="14" t="str">
        <f>IF('[1]P-GENERAL'!Z94="","",'[1]P-GENERAL'!Z94)</f>
        <v/>
      </c>
      <c r="AA94" s="14" t="str">
        <f>IF('[1]P-GENERAL'!AA94="","",'[1]P-GENERAL'!AA94)</f>
        <v>DESPACHADO</v>
      </c>
      <c r="AB94" s="8" t="str">
        <f>IF('[1]P-GENERAL'!AB94="","",'[1]P-GENERAL'!AB94)</f>
        <v>Harold Saldaña</v>
      </c>
      <c r="AC94" s="8" t="str">
        <f>IF('[1]P-GENERAL'!AC94="","",'[1]P-GENERAL'!AC94)</f>
        <v>Harold Orlando Saldaña Lopez</v>
      </c>
      <c r="AD94">
        <f>IF('[1]P-GENERAL'!AD94="","",'[1]P-GENERAL'!AD94)</f>
        <v>22448</v>
      </c>
      <c r="AE94" t="str">
        <f>IF('[1]P-GENERAL'!AE94="","",'[1]P-GENERAL'!AE94)</f>
        <v>QCH1W04JA0</v>
      </c>
    </row>
    <row r="95" spans="1:31" ht="20.25" x14ac:dyDescent="0.3">
      <c r="A95" s="11" t="str">
        <f>IF('[1]P-GENERAL'!A95="","",'[1]P-GENERAL'!A95)</f>
        <v>Chanitos Premium Tarima Chep</v>
      </c>
      <c r="B95" s="11" t="str">
        <f>IF('[1]P-GENERAL'!B95="","",'[1]P-GENERAL'!B95)</f>
        <v>CPR01102</v>
      </c>
      <c r="C95" t="str">
        <f>IF('[1]P-GENERAL'!C95="","",'[1]P-GENERAL'!C95)</f>
        <v>A36005-360309-1</v>
      </c>
      <c r="D95" t="str">
        <f>IF('[1]P-GENERAL'!D95="","",'[1]P-GENERAL'!D95)</f>
        <v>A04 005 La Gloria</v>
      </c>
      <c r="E95" s="8" t="str">
        <f>IF('[1]P-GENERAL'!E95="","",'[1]P-GENERAL'!E95)</f>
        <v>SMO</v>
      </c>
      <c r="F95" s="12">
        <f>IF('[1]P-GENERAL'!F95="","",'[1]P-GENERAL'!F95)</f>
        <v>1152</v>
      </c>
      <c r="G95" s="13">
        <f>IF('[1]P-GENERAL'!G95="","",'[1]P-GENERAL'!G95)</f>
        <v>24</v>
      </c>
      <c r="H95" s="14">
        <f>IF('[1]P-GENERAL'!H95="","",'[1]P-GENERAL'!H95)</f>
        <v>46268</v>
      </c>
      <c r="I95">
        <f>IF('[1]P-GENERAL'!I95="","",'[1]P-GENERAL'!I95)</f>
        <v>36</v>
      </c>
      <c r="J95" s="15">
        <f>IF('[1]P-GENERAL'!J95="","",'[1]P-GENERAL'!J95)</f>
        <v>46273</v>
      </c>
      <c r="K95" s="14" t="str">
        <f>IF('[1]P-GENERAL'!K95="","",'[1]P-GENERAL'!K95)</f>
        <v/>
      </c>
      <c r="L95" s="14" t="str">
        <f>IF('[1]P-GENERAL'!L95="","",'[1]P-GENERAL'!L95)</f>
        <v>PREENFRIO NELLY</v>
      </c>
      <c r="M95">
        <f>IF('[1]P-GENERAL'!M95="","",'[1]P-GENERAL'!M95)</f>
        <v>1.5</v>
      </c>
      <c r="N95">
        <f>IF('[1]P-GENERAL'!N95="","",'[1]P-GENERAL'!N95)</f>
        <v>36</v>
      </c>
      <c r="O95" s="14">
        <f>IF('[1]P-GENERAL'!O95="","",'[1]P-GENERAL'!O95)</f>
        <v>46269</v>
      </c>
      <c r="P95" s="16">
        <f>IF('[1]P-GENERAL'!P95="","",'[1]P-GENERAL'!P95)</f>
        <v>0.71180555555555558</v>
      </c>
      <c r="Q95" t="str">
        <f>IF('[1]P-GENERAL'!Q95="","",'[1]P-GENERAL'!Q95)</f>
        <v>ALTA</v>
      </c>
      <c r="R95" s="14">
        <f>IF('[1]P-GENERAL'!R95="","",'[1]P-GENERAL'!R95)</f>
        <v>46270</v>
      </c>
      <c r="S95" s="16">
        <f>IF('[1]P-GENERAL'!S95="","",'[1]P-GENERAL'!S95)</f>
        <v>0.10416666666666667</v>
      </c>
      <c r="T95" s="16">
        <f>IF('[1]P-GENERAL'!T95="","",'[1]P-GENERAL'!T95)</f>
        <v>0.35416666666666669</v>
      </c>
      <c r="U95" s="17">
        <f>IF('[1]P-GENERAL'!U95="","",'[1]P-GENERAL'!U95)</f>
        <v>46270.458333333328</v>
      </c>
      <c r="V95" s="14">
        <f>IF('[1]P-GENERAL'!V95="","",'[1]P-GENERAL'!V95)</f>
        <v>46270</v>
      </c>
      <c r="W95" s="16">
        <f>IF('[1]P-GENERAL'!W95="","",'[1]P-GENERAL'!W95)</f>
        <v>0.49305555555555558</v>
      </c>
      <c r="X95" s="14" t="str">
        <f>IF('[1]P-GENERAL'!X95="","",'[1]P-GENERAL'!X95)</f>
        <v>SI CUMPLE</v>
      </c>
      <c r="Y95" s="14" t="str">
        <f>IF('[1]P-GENERAL'!Y95="","",'[1]P-GENERAL'!Y95)</f>
        <v>SI CUMPLE</v>
      </c>
      <c r="Z95" s="14" t="str">
        <f>IF('[1]P-GENERAL'!Z95="","",'[1]P-GENERAL'!Z95)</f>
        <v>EMPAQUE TARDIO</v>
      </c>
      <c r="AA95" s="14" t="str">
        <f>IF('[1]P-GENERAL'!AA95="","",'[1]P-GENERAL'!AA95)</f>
        <v>DESPACHADO</v>
      </c>
      <c r="AB95" s="8" t="str">
        <f>IF('[1]P-GENERAL'!AB95="","",'[1]P-GENERAL'!AB95)</f>
        <v>JOSE LUIS CEDEÑO</v>
      </c>
      <c r="AC95" s="8" t="str">
        <f>IF('[1]P-GENERAL'!AC95="","",'[1]P-GENERAL'!AC95)</f>
        <v>FLAVIO CESAR FUENTES PEREZ</v>
      </c>
      <c r="AD95">
        <f>IF('[1]P-GENERAL'!AD95="","",'[1]P-GENERAL'!AD95)</f>
        <v>56122</v>
      </c>
      <c r="AE95" t="str">
        <f>IF('[1]P-GENERAL'!AE95="","",'[1]P-GENERAL'!AE95)</f>
        <v>QCH1W04B10</v>
      </c>
    </row>
    <row r="96" spans="1:31" ht="20.25" x14ac:dyDescent="0.3">
      <c r="A96" s="11" t="str">
        <f>IF('[1]P-GENERAL'!A96="","",'[1]P-GENERAL'!A96)</f>
        <v>Chanitos Plantain 50lb Tarima Americana</v>
      </c>
      <c r="B96" s="11" t="str">
        <f>IF('[1]P-GENERAL'!B96="","",'[1]P-GENERAL'!B96)</f>
        <v>CPL08133</v>
      </c>
      <c r="C96" t="str">
        <f>IF('[1]P-GENERAL'!C96="","",'[1]P-GENERAL'!C96)</f>
        <v>A27073-360409-1</v>
      </c>
      <c r="D96" t="str">
        <f>IF('[1]P-GENERAL'!D96="","",'[1]P-GENERAL'!D96)</f>
        <v>A27 073 Plantacion</v>
      </c>
      <c r="E96" s="8" t="str">
        <f>IF('[1]P-GENERAL'!E96="","",'[1]P-GENERAL'!E96)</f>
        <v>McAllen</v>
      </c>
      <c r="F96" s="12">
        <f>IF('[1]P-GENERAL'!F96="","",'[1]P-GENERAL'!F96)</f>
        <v>1008</v>
      </c>
      <c r="G96" s="13">
        <f>IF('[1]P-GENERAL'!G96="","",'[1]P-GENERAL'!G96)</f>
        <v>24</v>
      </c>
      <c r="H96" s="14">
        <f>IF('[1]P-GENERAL'!H96="","",'[1]P-GENERAL'!H96)</f>
        <v>46269</v>
      </c>
      <c r="I96">
        <f>IF('[1]P-GENERAL'!I96="","",'[1]P-GENERAL'!I96)</f>
        <v>36</v>
      </c>
      <c r="J96" s="15">
        <f>IF('[1]P-GENERAL'!J96="","",'[1]P-GENERAL'!J96)</f>
        <v>46273</v>
      </c>
      <c r="K96" s="14" t="str">
        <f>IF('[1]P-GENERAL'!K96="","",'[1]P-GENERAL'!K96)</f>
        <v/>
      </c>
      <c r="L96" s="14" t="str">
        <f>IF('[1]P-GENERAL'!L96="","",'[1]P-GENERAL'!L96)</f>
        <v>PREENFRIO NELLY</v>
      </c>
      <c r="M96">
        <f>IF('[1]P-GENERAL'!M96="","",'[1]P-GENERAL'!M96)</f>
        <v>3</v>
      </c>
      <c r="N96">
        <f>IF('[1]P-GENERAL'!N96="","",'[1]P-GENERAL'!N96)</f>
        <v>72</v>
      </c>
      <c r="O96" s="14">
        <f>IF('[1]P-GENERAL'!O96="","",'[1]P-GENERAL'!O96)</f>
        <v>46269</v>
      </c>
      <c r="P96" s="16">
        <f>IF('[1]P-GENERAL'!P96="","",'[1]P-GENERAL'!P96)</f>
        <v>0.95138888888888884</v>
      </c>
      <c r="Q96" t="str">
        <f>IF('[1]P-GENERAL'!Q96="","",'[1]P-GENERAL'!Q96)</f>
        <v>NORMAL</v>
      </c>
      <c r="R96" s="14">
        <f>IF('[1]P-GENERAL'!R96="","",'[1]P-GENERAL'!R96)</f>
        <v>46270</v>
      </c>
      <c r="S96" s="16">
        <f>IF('[1]P-GENERAL'!S96="","",'[1]P-GENERAL'!S96)</f>
        <v>0.5</v>
      </c>
      <c r="T96" s="16">
        <f>IF('[1]P-GENERAL'!T96="","",'[1]P-GENERAL'!T96)</f>
        <v>0.35416666666666669</v>
      </c>
      <c r="U96" s="17">
        <f>IF('[1]P-GENERAL'!U96="","",'[1]P-GENERAL'!U96)</f>
        <v>46270.854166666664</v>
      </c>
      <c r="V96" s="14">
        <f>IF('[1]P-GENERAL'!V96="","",'[1]P-GENERAL'!V96)</f>
        <v>46270</v>
      </c>
      <c r="W96" s="16">
        <f>IF('[1]P-GENERAL'!W96="","",'[1]P-GENERAL'!W96)</f>
        <v>0.82986111111111116</v>
      </c>
      <c r="X96" s="14" t="str">
        <f>IF('[1]P-GENERAL'!X96="","",'[1]P-GENERAL'!X96)</f>
        <v>NO CUMPLE</v>
      </c>
      <c r="Y96" s="14" t="str">
        <f>IF('[1]P-GENERAL'!Y96="","",'[1]P-GENERAL'!Y96)</f>
        <v>NO CUMPLE</v>
      </c>
      <c r="Z96" s="14" t="str">
        <f>IF('[1]P-GENERAL'!Z96="","",'[1]P-GENERAL'!Z96)</f>
        <v/>
      </c>
      <c r="AA96" s="14" t="str">
        <f>IF('[1]P-GENERAL'!AA96="","",'[1]P-GENERAL'!AA96)</f>
        <v>DESPACHADO</v>
      </c>
      <c r="AB96" s="8" t="str">
        <f>IF('[1]P-GENERAL'!AB96="","",'[1]P-GENERAL'!AB96)</f>
        <v>EXPRESS CAVAZOS CANTÚ</v>
      </c>
      <c r="AC96" s="8" t="str">
        <f>IF('[1]P-GENERAL'!AC96="","",'[1]P-GENERAL'!AC96)</f>
        <v>HILBERTO FUENTES BALTAZAR</v>
      </c>
      <c r="AD96">
        <f>IF('[1]P-GENERAL'!AD96="","",'[1]P-GENERAL'!AD96)</f>
        <v>14872</v>
      </c>
      <c r="AE96" t="str">
        <f>IF('[1]P-GENERAL'!AE96="","",'[1]P-GENERAL'!AE96)</f>
        <v>QCH1W04ZE0</v>
      </c>
    </row>
    <row r="97" spans="1:31" ht="20.25" x14ac:dyDescent="0.3">
      <c r="A97" s="11" t="str">
        <f>IF('[1]P-GENERAL'!A97="","",'[1]P-GENERAL'!A97)</f>
        <v>Chanitos Organic Banded Market Side Mexico</v>
      </c>
      <c r="B97" s="11" t="str">
        <f>IF('[1]P-GENERAL'!B97="","",'[1]P-GENERAL'!B97)</f>
        <v>CRG07128</v>
      </c>
      <c r="C97" t="str">
        <f>IF('[1]P-GENERAL'!C97="","",'[1]P-GENERAL'!C97)</f>
        <v>A01002-360409-1</v>
      </c>
      <c r="D97" t="str">
        <f>IF('[1]P-GENERAL'!D97="","",'[1]P-GENERAL'!D97)</f>
        <v>A01 002 Fortaleza</v>
      </c>
      <c r="E97" s="8" t="str">
        <f>IF('[1]P-GENERAL'!E97="","",'[1]P-GENERAL'!E97)</f>
        <v>VSA</v>
      </c>
      <c r="F97" s="12">
        <f>IF('[1]P-GENERAL'!F97="","",'[1]P-GENERAL'!F97)</f>
        <v>288</v>
      </c>
      <c r="G97" s="13">
        <f>IF('[1]P-GENERAL'!G97="","",'[1]P-GENERAL'!G97)</f>
        <v>6</v>
      </c>
      <c r="H97" s="14">
        <f>IF('[1]P-GENERAL'!H97="","",'[1]P-GENERAL'!H97)</f>
        <v>46269</v>
      </c>
      <c r="I97">
        <f>IF('[1]P-GENERAL'!I97="","",'[1]P-GENERAL'!I97)</f>
        <v>36</v>
      </c>
      <c r="J97" s="15">
        <f>IF('[1]P-GENERAL'!J97="","",'[1]P-GENERAL'!J97)</f>
        <v>46273</v>
      </c>
      <c r="K97" s="14" t="str">
        <f>IF('[1]P-GENERAL'!K97="","",'[1]P-GENERAL'!K97)</f>
        <v/>
      </c>
      <c r="L97" s="14" t="str">
        <f>IF('[1]P-GENERAL'!L97="","",'[1]P-GENERAL'!L97)</f>
        <v>PREENFRIO FORTALEZA</v>
      </c>
      <c r="M97">
        <f>IF('[1]P-GENERAL'!M97="","",'[1]P-GENERAL'!M97)</f>
        <v>1</v>
      </c>
      <c r="N97">
        <f>IF('[1]P-GENERAL'!N97="","",'[1]P-GENERAL'!N97)</f>
        <v>24</v>
      </c>
      <c r="O97" s="14">
        <f>IF('[1]P-GENERAL'!O97="","",'[1]P-GENERAL'!O97)</f>
        <v>46269</v>
      </c>
      <c r="P97" s="16">
        <f>IF('[1]P-GENERAL'!P97="","",'[1]P-GENERAL'!P97)</f>
        <v>0.70833333333333337</v>
      </c>
      <c r="Q97" t="str">
        <f>IF('[1]P-GENERAL'!Q97="","",'[1]P-GENERAL'!Q97)</f>
        <v>ALTA</v>
      </c>
      <c r="R97" s="14">
        <f>IF('[1]P-GENERAL'!R97="","",'[1]P-GENERAL'!R97)</f>
        <v>46271</v>
      </c>
      <c r="S97" s="16">
        <f>IF('[1]P-GENERAL'!S97="","",'[1]P-GENERAL'!S97)</f>
        <v>2.5000000000000001E-2</v>
      </c>
      <c r="T97" s="16">
        <f>IF('[1]P-GENERAL'!T97="","",'[1]P-GENERAL'!T97)</f>
        <v>0.20833333333333334</v>
      </c>
      <c r="U97" s="17">
        <f>IF('[1]P-GENERAL'!U97="","",'[1]P-GENERAL'!U97)</f>
        <v>46271.233333333337</v>
      </c>
      <c r="V97" s="14">
        <f>IF('[1]P-GENERAL'!V97="","",'[1]P-GENERAL'!V97)</f>
        <v>46271</v>
      </c>
      <c r="W97" s="16">
        <f>IF('[1]P-GENERAL'!W97="","",'[1]P-GENERAL'!W97)</f>
        <v>0.9375</v>
      </c>
      <c r="X97" s="14" t="str">
        <f>IF('[1]P-GENERAL'!X97="","",'[1]P-GENERAL'!X97)</f>
        <v>SI CUMPLE</v>
      </c>
      <c r="Y97" s="14" t="str">
        <f>IF('[1]P-GENERAL'!Y97="","",'[1]P-GENERAL'!Y97)</f>
        <v>SI CUMPLE</v>
      </c>
      <c r="Z97" s="14" t="str">
        <f>IF('[1]P-GENERAL'!Z97="","",'[1]P-GENERAL'!Z97)</f>
        <v/>
      </c>
      <c r="AA97" s="14" t="str">
        <f>IF('[1]P-GENERAL'!AA97="","",'[1]P-GENERAL'!AA97)</f>
        <v>DESPACHADO</v>
      </c>
      <c r="AB97" s="8" t="str">
        <f>IF('[1]P-GENERAL'!AB97="","",'[1]P-GENERAL'!AB97)</f>
        <v>BACKHAUL</v>
      </c>
      <c r="AC97" s="8" t="str">
        <f>IF('[1]P-GENERAL'!AC97="","",'[1]P-GENERAL'!AC97)</f>
        <v>DANIEL MORALES SANCHEZ</v>
      </c>
      <c r="AD97">
        <f>IF('[1]P-GENERAL'!AD97="","",'[1]P-GENERAL'!AD97)</f>
        <v>47473</v>
      </c>
      <c r="AE97" t="str">
        <f>IF('[1]P-GENERAL'!AE97="","",'[1]P-GENERAL'!AE97)</f>
        <v>N/A</v>
      </c>
    </row>
    <row r="98" spans="1:31" ht="20.25" x14ac:dyDescent="0.3">
      <c r="A98" s="11" t="str">
        <f>IF('[1]P-GENERAL'!A98="","",'[1]P-GENERAL'!A98)</f>
        <v>Chanitos Premium Tarima Chep</v>
      </c>
      <c r="B98" s="11" t="str">
        <f>IF('[1]P-GENERAL'!B98="","",'[1]P-GENERAL'!B98)</f>
        <v>CPR01102</v>
      </c>
      <c r="C98" t="str">
        <f>IF('[1]P-GENERAL'!C98="","",'[1]P-GENERAL'!C98)</f>
        <v>A01004-360409-1</v>
      </c>
      <c r="D98" t="str">
        <f>IF('[1]P-GENERAL'!D98="","",'[1]P-GENERAL'!D98)</f>
        <v>A01 004 La Ceiba</v>
      </c>
      <c r="E98" s="8" t="str">
        <f>IF('[1]P-GENERAL'!E98="","",'[1]P-GENERAL'!E98)</f>
        <v>SMO</v>
      </c>
      <c r="F98" s="12">
        <f>IF('[1]P-GENERAL'!F98="","",'[1]P-GENERAL'!F98)</f>
        <v>1152</v>
      </c>
      <c r="G98" s="13">
        <f>IF('[1]P-GENERAL'!G98="","",'[1]P-GENERAL'!G98)</f>
        <v>24</v>
      </c>
      <c r="H98" s="14">
        <f>IF('[1]P-GENERAL'!H98="","",'[1]P-GENERAL'!H98)</f>
        <v>46269</v>
      </c>
      <c r="I98">
        <f>IF('[1]P-GENERAL'!I98="","",'[1]P-GENERAL'!I98)</f>
        <v>36</v>
      </c>
      <c r="J98" s="15">
        <f>IF('[1]P-GENERAL'!J98="","",'[1]P-GENERAL'!J98)</f>
        <v>46274</v>
      </c>
      <c r="K98" s="14" t="str">
        <f>IF('[1]P-GENERAL'!K98="","",'[1]P-GENERAL'!K98)</f>
        <v/>
      </c>
      <c r="L98" s="14" t="str">
        <f>IF('[1]P-GENERAL'!L98="","",'[1]P-GENERAL'!L98)</f>
        <v>PREENFRIO NELLY</v>
      </c>
      <c r="M98">
        <f>IF('[1]P-GENERAL'!M98="","",'[1]P-GENERAL'!M98)</f>
        <v>1.5</v>
      </c>
      <c r="N98">
        <f>IF('[1]P-GENERAL'!N98="","",'[1]P-GENERAL'!N98)</f>
        <v>36</v>
      </c>
      <c r="O98" s="14">
        <f>IF('[1]P-GENERAL'!O98="","",'[1]P-GENERAL'!O98)</f>
        <v>46269</v>
      </c>
      <c r="P98" s="16">
        <f>IF('[1]P-GENERAL'!P98="","",'[1]P-GENERAL'!P98)</f>
        <v>0.86805555555555558</v>
      </c>
      <c r="Q98" t="str">
        <f>IF('[1]P-GENERAL'!Q98="","",'[1]P-GENERAL'!Q98)</f>
        <v>ALTA</v>
      </c>
      <c r="R98" s="14">
        <f>IF('[1]P-GENERAL'!R98="","",'[1]P-GENERAL'!R98)</f>
        <v>46270</v>
      </c>
      <c r="S98" s="16">
        <f>IF('[1]P-GENERAL'!S98="","",'[1]P-GENERAL'!S98)</f>
        <v>0.90277777777777779</v>
      </c>
      <c r="T98" s="16">
        <f>IF('[1]P-GENERAL'!T98="","",'[1]P-GENERAL'!T98)</f>
        <v>0.35416666666666669</v>
      </c>
      <c r="U98" s="17">
        <f>IF('[1]P-GENERAL'!U98="","",'[1]P-GENERAL'!U98)</f>
        <v>46271.256944444445</v>
      </c>
      <c r="V98" s="14">
        <f>IF('[1]P-GENERAL'!V98="","",'[1]P-GENERAL'!V98)</f>
        <v>0.25624999999999998</v>
      </c>
      <c r="W98" s="16">
        <f>IF('[1]P-GENERAL'!W98="","",'[1]P-GENERAL'!W98)</f>
        <v>0.31180555555555556</v>
      </c>
      <c r="X98" s="14" t="str">
        <f>IF('[1]P-GENERAL'!X98="","",'[1]P-GENERAL'!X98)</f>
        <v>SI CUMPLE</v>
      </c>
      <c r="Y98" s="14" t="str">
        <f>IF('[1]P-GENERAL'!Y98="","",'[1]P-GENERAL'!Y98)</f>
        <v>SI CUMPLE</v>
      </c>
      <c r="Z98" s="14" t="str">
        <f>IF('[1]P-GENERAL'!Z98="","",'[1]P-GENERAL'!Z98)</f>
        <v/>
      </c>
      <c r="AA98" s="14" t="str">
        <f>IF('[1]P-GENERAL'!AA98="","",'[1]P-GENERAL'!AA98)</f>
        <v>DESPACHADO</v>
      </c>
      <c r="AB98" s="8" t="str">
        <f>IF('[1]P-GENERAL'!AB98="","",'[1]P-GENERAL'!AB98)</f>
        <v>SAUL ALEJANDRO BEJARANO</v>
      </c>
      <c r="AC98" s="8" t="str">
        <f>IF('[1]P-GENERAL'!AC98="","",'[1]P-GENERAL'!AC98)</f>
        <v>GABRIEL GARCIA ECHEVERRIA</v>
      </c>
      <c r="AD98">
        <f>IF('[1]P-GENERAL'!AD98="","",'[1]P-GENERAL'!AD98)</f>
        <v>39102</v>
      </c>
      <c r="AE98" t="str">
        <f>IF('[1]P-GENERAL'!AE98="","",'[1]P-GENERAL'!AE98)</f>
        <v>QCH1W04DC0</v>
      </c>
    </row>
    <row r="99" spans="1:31" ht="20.25" x14ac:dyDescent="0.3">
      <c r="A99" s="11" t="str">
        <f>IF('[1]P-GENERAL'!A99="","",'[1]P-GENERAL'!A99)</f>
        <v>Chanitos Premium EUA Tarima Americana</v>
      </c>
      <c r="B99" s="11" t="str">
        <f>IF('[1]P-GENERAL'!B99="","",'[1]P-GENERAL'!B99)</f>
        <v>CPR01104</v>
      </c>
      <c r="C99" t="str">
        <f>IF('[1]P-GENERAL'!C99="","",'[1]P-GENERAL'!C99)</f>
        <v>A06043-360309-1</v>
      </c>
      <c r="D99" t="str">
        <f>IF('[1]P-GENERAL'!D99="","",'[1]P-GENERAL'!D99)</f>
        <v>A06 043 Nuestra señora</v>
      </c>
      <c r="E99" s="8" t="str">
        <f>IF('[1]P-GENERAL'!E99="","",'[1]P-GENERAL'!E99)</f>
        <v>McAllen</v>
      </c>
      <c r="F99" s="12">
        <f>IF('[1]P-GENERAL'!F99="","",'[1]P-GENERAL'!F99)</f>
        <v>576</v>
      </c>
      <c r="G99" s="13">
        <f>IF('[1]P-GENERAL'!G99="","",'[1]P-GENERAL'!G99)</f>
        <v>12</v>
      </c>
      <c r="H99" s="14">
        <f>IF('[1]P-GENERAL'!H99="","",'[1]P-GENERAL'!H99)</f>
        <v>46268</v>
      </c>
      <c r="I99">
        <f>IF('[1]P-GENERAL'!I99="","",'[1]P-GENERAL'!I99)</f>
        <v>36</v>
      </c>
      <c r="J99" s="15">
        <f>IF('[1]P-GENERAL'!J99="","",'[1]P-GENERAL'!J99)</f>
        <v>46274</v>
      </c>
      <c r="K99" s="14" t="str">
        <f>IF('[1]P-GENERAL'!K99="","",'[1]P-GENERAL'!K99)</f>
        <v/>
      </c>
      <c r="L99" s="14" t="str">
        <f>IF('[1]P-GENERAL'!L99="","",'[1]P-GENERAL'!L99)</f>
        <v>DIRECTO SIN PREENFRIO</v>
      </c>
      <c r="M99">
        <f>IF('[1]P-GENERAL'!M99="","",'[1]P-GENERAL'!M99)</f>
        <v>3</v>
      </c>
      <c r="N99">
        <f>IF('[1]P-GENERAL'!N99="","",'[1]P-GENERAL'!N99)</f>
        <v>72</v>
      </c>
      <c r="O99" s="14">
        <f>IF('[1]P-GENERAL'!O99="","",'[1]P-GENERAL'!O99)</f>
        <v>46269</v>
      </c>
      <c r="P99" s="16">
        <f>IF('[1]P-GENERAL'!P99="","",'[1]P-GENERAL'!P99)</f>
        <v>0.625</v>
      </c>
      <c r="Q99" t="str">
        <f>IF('[1]P-GENERAL'!Q99="","",'[1]P-GENERAL'!Q99)</f>
        <v/>
      </c>
      <c r="R99" s="14" t="str">
        <f>IF('[1]P-GENERAL'!R99="","",'[1]P-GENERAL'!R99)</f>
        <v/>
      </c>
      <c r="S99" s="16" t="str">
        <f>IF('[1]P-GENERAL'!S99="","",'[1]P-GENERAL'!S99)</f>
        <v/>
      </c>
      <c r="T99" s="16" t="str">
        <f>IF('[1]P-GENERAL'!T99="","",'[1]P-GENERAL'!T99)</f>
        <v/>
      </c>
      <c r="U99" s="17" t="str">
        <f>IF('[1]P-GENERAL'!U99="","",'[1]P-GENERAL'!U99)</f>
        <v/>
      </c>
      <c r="V99" s="14">
        <f>IF('[1]P-GENERAL'!V99="","",'[1]P-GENERAL'!V99)</f>
        <v>46267</v>
      </c>
      <c r="W99" s="16">
        <f>IF('[1]P-GENERAL'!W99="","",'[1]P-GENERAL'!W99)</f>
        <v>0.24305555555555555</v>
      </c>
      <c r="X99" s="14" t="str">
        <f>IF('[1]P-GENERAL'!X99="","",'[1]P-GENERAL'!X99)</f>
        <v/>
      </c>
      <c r="Y99" s="14" t="str">
        <f>IF('[1]P-GENERAL'!Y99="","",'[1]P-GENERAL'!Y99)</f>
        <v>SI CUMPLE</v>
      </c>
      <c r="Z99" s="14" t="str">
        <f>IF('[1]P-GENERAL'!Z99="","",'[1]P-GENERAL'!Z99)</f>
        <v/>
      </c>
      <c r="AA99" s="14" t="str">
        <f>IF('[1]P-GENERAL'!AA99="","",'[1]P-GENERAL'!AA99)</f>
        <v>DESPACHADO</v>
      </c>
      <c r="AB99" s="8" t="str">
        <f>IF('[1]P-GENERAL'!AB99="","",'[1]P-GENERAL'!AB99)</f>
        <v>AUTO EXPRESS SEGOVIA</v>
      </c>
      <c r="AC99" s="8" t="str">
        <f>IF('[1]P-GENERAL'!AC99="","",'[1]P-GENERAL'!AC99)</f>
        <v xml:space="preserve">MUEVE LA CARGA A FORTALEZA VICTOR MORGA </v>
      </c>
      <c r="AD99">
        <f>IF('[1]P-GENERAL'!AD99="","",'[1]P-GENERAL'!AD99)</f>
        <v>47802</v>
      </c>
      <c r="AE99" t="str">
        <f>IF('[1]P-GENERAL'!AE99="","",'[1]P-GENERAL'!AE99)</f>
        <v>QCH1W04BQ0</v>
      </c>
    </row>
    <row r="100" spans="1:31" ht="20.25" x14ac:dyDescent="0.3">
      <c r="A100" s="11" t="str">
        <f>IF('[1]P-GENERAL'!A100="","",'[1]P-GENERAL'!A100)</f>
        <v>Chanitos Premium Tarima Chep</v>
      </c>
      <c r="B100" s="11" t="str">
        <f>IF('[1]P-GENERAL'!B100="","",'[1]P-GENERAL'!B100)</f>
        <v>CPR01102</v>
      </c>
      <c r="C100" t="str">
        <f>IF('[1]P-GENERAL'!C100="","",'[1]P-GENERAL'!C100)</f>
        <v>A01002-360309-1</v>
      </c>
      <c r="D100" t="str">
        <f>IF('[1]P-GENERAL'!D100="","",'[1]P-GENERAL'!D100)</f>
        <v>A01 002 Fortaleza</v>
      </c>
      <c r="E100" s="8" t="str">
        <f>IF('[1]P-GENERAL'!E100="","",'[1]P-GENERAL'!E100)</f>
        <v>MTY</v>
      </c>
      <c r="F100" s="12">
        <f>IF('[1]P-GENERAL'!F100="","",'[1]P-GENERAL'!F100)</f>
        <v>528</v>
      </c>
      <c r="G100" s="13">
        <f>IF('[1]P-GENERAL'!G100="","",'[1]P-GENERAL'!G100)</f>
        <v>11</v>
      </c>
      <c r="H100" s="14">
        <f>IF('[1]P-GENERAL'!H100="","",'[1]P-GENERAL'!H100)</f>
        <v>46268</v>
      </c>
      <c r="I100">
        <f>IF('[1]P-GENERAL'!I100="","",'[1]P-GENERAL'!I100)</f>
        <v>36</v>
      </c>
      <c r="J100" s="15">
        <f>IF('[1]P-GENERAL'!J100="","",'[1]P-GENERAL'!J100)</f>
        <v>46274</v>
      </c>
      <c r="K100" s="14" t="str">
        <f>IF('[1]P-GENERAL'!K100="","",'[1]P-GENERAL'!K100)</f>
        <v/>
      </c>
      <c r="L100" s="14" t="str">
        <f>IF('[1]P-GENERAL'!L100="","",'[1]P-GENERAL'!L100)</f>
        <v>PREENFRIO FORTALEZA</v>
      </c>
      <c r="M100">
        <f>IF('[1]P-GENERAL'!M100="","",'[1]P-GENERAL'!M100)</f>
        <v>2.5</v>
      </c>
      <c r="N100">
        <f>IF('[1]P-GENERAL'!N100="","",'[1]P-GENERAL'!N100)</f>
        <v>60</v>
      </c>
      <c r="O100" s="14">
        <f>IF('[1]P-GENERAL'!O100="","",'[1]P-GENERAL'!O100)</f>
        <v>46268</v>
      </c>
      <c r="P100" s="16">
        <f>IF('[1]P-GENERAL'!P100="","",'[1]P-GENERAL'!P100)</f>
        <v>0.72916666666666663</v>
      </c>
      <c r="Q100" t="str">
        <f>IF('[1]P-GENERAL'!Q100="","",'[1]P-GENERAL'!Q100)</f>
        <v>NORMAL</v>
      </c>
      <c r="R100" s="14">
        <f>IF('[1]P-GENERAL'!R100="","",'[1]P-GENERAL'!R100)</f>
        <v>46270</v>
      </c>
      <c r="S100" s="16">
        <f>IF('[1]P-GENERAL'!S100="","",'[1]P-GENERAL'!S100)</f>
        <v>0.22708333333333333</v>
      </c>
      <c r="T100" s="16">
        <f>IF('[1]P-GENERAL'!T100="","",'[1]P-GENERAL'!T100)</f>
        <v>0.20833333333333334</v>
      </c>
      <c r="U100" s="17">
        <f>IF('[1]P-GENERAL'!U100="","",'[1]P-GENERAL'!U100)</f>
        <v>46270.435416666667</v>
      </c>
      <c r="V100" s="14">
        <f>IF('[1]P-GENERAL'!V100="","",'[1]P-GENERAL'!V100)</f>
        <v>46271</v>
      </c>
      <c r="W100" s="16">
        <f>IF('[1]P-GENERAL'!W100="","",'[1]P-GENERAL'!W100)</f>
        <v>0.22708333333333333</v>
      </c>
      <c r="X100" s="14" t="str">
        <f>IF('[1]P-GENERAL'!X100="","",'[1]P-GENERAL'!X100)</f>
        <v>SI CUMPLE</v>
      </c>
      <c r="Y100" s="14" t="str">
        <f>IF('[1]P-GENERAL'!Y100="","",'[1]P-GENERAL'!Y100)</f>
        <v>SI CUMPLE</v>
      </c>
      <c r="Z100" s="14" t="str">
        <f>IF('[1]P-GENERAL'!Z100="","",'[1]P-GENERAL'!Z100)</f>
        <v/>
      </c>
      <c r="AA100" s="14" t="str">
        <f>IF('[1]P-GENERAL'!AA100="","",'[1]P-GENERAL'!AA100)</f>
        <v>DESPACHADO</v>
      </c>
      <c r="AB100" s="8" t="str">
        <f>IF('[1]P-GENERAL'!AB100="","",'[1]P-GENERAL'!AB100)</f>
        <v>AUTO EXPRESS SEGOVIA</v>
      </c>
      <c r="AC100" s="8" t="str">
        <f>IF('[1]P-GENERAL'!AC100="","",'[1]P-GENERAL'!AC100)</f>
        <v>ABEL USCANGA REYES</v>
      </c>
      <c r="AD100">
        <f>IF('[1]P-GENERAL'!AD100="","",'[1]P-GENERAL'!AD100)</f>
        <v>29440</v>
      </c>
      <c r="AE100" t="str">
        <f>IF('[1]P-GENERAL'!AE100="","",'[1]P-GENERAL'!AE100)</f>
        <v>QCH1W04BZ0</v>
      </c>
    </row>
    <row r="101" spans="1:31" ht="20.25" x14ac:dyDescent="0.3">
      <c r="A101" s="11" t="str">
        <f>IF('[1]P-GENERAL'!A101="","",'[1]P-GENERAL'!A101)</f>
        <v>Chanitos Premium Tarima Chep</v>
      </c>
      <c r="B101" s="11" t="str">
        <f>IF('[1]P-GENERAL'!B101="","",'[1]P-GENERAL'!B101)</f>
        <v>CPR01102</v>
      </c>
      <c r="C101" t="str">
        <f>IF('[1]P-GENERAL'!C101="","",'[1]P-GENERAL'!C101)</f>
        <v>A04038-360309-1</v>
      </c>
      <c r="D101" t="str">
        <f>IF('[1]P-GENERAL'!D101="","",'[1]P-GENERAL'!D101)</f>
        <v>A04 038 El Triunfo Nava</v>
      </c>
      <c r="E101" s="8" t="str">
        <f>IF('[1]P-GENERAL'!E101="","",'[1]P-GENERAL'!E101)</f>
        <v>QRO</v>
      </c>
      <c r="F101" s="12">
        <f>IF('[1]P-GENERAL'!F101="","",'[1]P-GENERAL'!F101)</f>
        <v>1056</v>
      </c>
      <c r="G101" s="13">
        <f>IF('[1]P-GENERAL'!G101="","",'[1]P-GENERAL'!G101)</f>
        <v>22</v>
      </c>
      <c r="H101" s="14">
        <f>IF('[1]P-GENERAL'!H101="","",'[1]P-GENERAL'!H101)</f>
        <v>46268</v>
      </c>
      <c r="I101">
        <f>IF('[1]P-GENERAL'!I101="","",'[1]P-GENERAL'!I101)</f>
        <v>36</v>
      </c>
      <c r="J101" s="15">
        <f>IF('[1]P-GENERAL'!J101="","",'[1]P-GENERAL'!J101)</f>
        <v>46274</v>
      </c>
      <c r="K101" s="14" t="str">
        <f>IF('[1]P-GENERAL'!K101="","",'[1]P-GENERAL'!K101)</f>
        <v/>
      </c>
      <c r="L101" s="14" t="str">
        <f>IF('[1]P-GENERAL'!L101="","",'[1]P-GENERAL'!L101)</f>
        <v>PREENFRIO FORTALEZA</v>
      </c>
      <c r="M101">
        <f>IF('[1]P-GENERAL'!M101="","",'[1]P-GENERAL'!M101)</f>
        <v>1.5</v>
      </c>
      <c r="N101">
        <f>IF('[1]P-GENERAL'!N101="","",'[1]P-GENERAL'!N101)</f>
        <v>36</v>
      </c>
      <c r="O101" s="14">
        <f>IF('[1]P-GENERAL'!O101="","",'[1]P-GENERAL'!O101)</f>
        <v>46269</v>
      </c>
      <c r="P101" s="16">
        <f>IF('[1]P-GENERAL'!P101="","",'[1]P-GENERAL'!P101)</f>
        <v>0.72916666666666663</v>
      </c>
      <c r="Q101" t="str">
        <f>IF('[1]P-GENERAL'!Q101="","",'[1]P-GENERAL'!Q101)</f>
        <v>NORMAL</v>
      </c>
      <c r="R101" s="14">
        <f>IF('[1]P-GENERAL'!R101="","",'[1]P-GENERAL'!R101)</f>
        <v>46271</v>
      </c>
      <c r="S101" s="16">
        <f>IF('[1]P-GENERAL'!S101="","",'[1]P-GENERAL'!S101)</f>
        <v>0.25416666666666665</v>
      </c>
      <c r="T101" s="16">
        <f>IF('[1]P-GENERAL'!T101="","",'[1]P-GENERAL'!T101)</f>
        <v>0.625</v>
      </c>
      <c r="U101" s="17">
        <f>IF('[1]P-GENERAL'!U101="","",'[1]P-GENERAL'!U101)</f>
        <v>46271.879166666666</v>
      </c>
      <c r="V101" s="14">
        <f>IF('[1]P-GENERAL'!V101="","",'[1]P-GENERAL'!V101)</f>
        <v>46271</v>
      </c>
      <c r="W101" s="16">
        <f>IF('[1]P-GENERAL'!W101="","",'[1]P-GENERAL'!W101)</f>
        <v>0.83333333333333337</v>
      </c>
      <c r="X101" s="14" t="str">
        <f>IF('[1]P-GENERAL'!X101="","",'[1]P-GENERAL'!X101)</f>
        <v>SI CUMPLE</v>
      </c>
      <c r="Y101" s="14" t="str">
        <f>IF('[1]P-GENERAL'!Y101="","",'[1]P-GENERAL'!Y101)</f>
        <v>SI CUMPLE</v>
      </c>
      <c r="Z101" s="14" t="str">
        <f>IF('[1]P-GENERAL'!Z101="","",'[1]P-GENERAL'!Z101)</f>
        <v/>
      </c>
      <c r="AA101" s="14" t="str">
        <f>IF('[1]P-GENERAL'!AA101="","",'[1]P-GENERAL'!AA101)</f>
        <v>DESPACHADO</v>
      </c>
      <c r="AB101" s="8" t="str">
        <f>IF('[1]P-GENERAL'!AB101="","",'[1]P-GENERAL'!AB101)</f>
        <v>EMECAN</v>
      </c>
      <c r="AC101" s="8" t="str">
        <f>IF('[1]P-GENERAL'!AC101="","",'[1]P-GENERAL'!AC101)</f>
        <v>JESUS SANTANA GONZALES</v>
      </c>
      <c r="AD101">
        <f>IF('[1]P-GENERAL'!AD101="","",'[1]P-GENERAL'!AD101)</f>
        <v>55359</v>
      </c>
      <c r="AE101" t="str">
        <f>IF('[1]P-GENERAL'!AE101="","",'[1]P-GENERAL'!AE101)</f>
        <v>QCH1W05660</v>
      </c>
    </row>
    <row r="102" spans="1:31" ht="20.25" x14ac:dyDescent="0.3">
      <c r="A102" s="11" t="str">
        <f>IF('[1]P-GENERAL'!A102="","",'[1]P-GENERAL'!A102)</f>
        <v>Chanitos Premium EUA Tarima Americana</v>
      </c>
      <c r="B102" s="11" t="str">
        <f>IF('[1]P-GENERAL'!B102="","",'[1]P-GENERAL'!B102)</f>
        <v>CPR01104</v>
      </c>
      <c r="C102" t="str">
        <f>IF('[1]P-GENERAL'!C102="","",'[1]P-GENERAL'!C102)</f>
        <v>A06043-360409-1</v>
      </c>
      <c r="D102" t="str">
        <f>IF('[1]P-GENERAL'!D102="","",'[1]P-GENERAL'!D102)</f>
        <v>A06 043 Nuestra señora</v>
      </c>
      <c r="E102" s="8" t="str">
        <f>IF('[1]P-GENERAL'!E102="","",'[1]P-GENERAL'!E102)</f>
        <v>McAllen</v>
      </c>
      <c r="F102" s="12">
        <f>IF('[1]P-GENERAL'!F102="","",'[1]P-GENERAL'!F102)</f>
        <v>384</v>
      </c>
      <c r="G102" s="13">
        <f>IF('[1]P-GENERAL'!G102="","",'[1]P-GENERAL'!G102)</f>
        <v>8</v>
      </c>
      <c r="H102" s="14">
        <f>IF('[1]P-GENERAL'!H102="","",'[1]P-GENERAL'!H102)</f>
        <v>46269</v>
      </c>
      <c r="I102">
        <f>IF('[1]P-GENERAL'!I102="","",'[1]P-GENERAL'!I102)</f>
        <v>36</v>
      </c>
      <c r="J102" s="15">
        <f>IF('[1]P-GENERAL'!J102="","",'[1]P-GENERAL'!J102)</f>
        <v>46274</v>
      </c>
      <c r="K102" s="14" t="str">
        <f>IF('[1]P-GENERAL'!K102="","",'[1]P-GENERAL'!K102)</f>
        <v/>
      </c>
      <c r="L102" s="14" t="str">
        <f>IF('[1]P-GENERAL'!L102="","",'[1]P-GENERAL'!L102)</f>
        <v>DIRECTO SIN PREENFRIO</v>
      </c>
      <c r="M102">
        <f>IF('[1]P-GENERAL'!M102="","",'[1]P-GENERAL'!M102)</f>
        <v>3</v>
      </c>
      <c r="N102">
        <f>IF('[1]P-GENERAL'!N102="","",'[1]P-GENERAL'!N102)</f>
        <v>72</v>
      </c>
      <c r="O102" s="14">
        <f>IF('[1]P-GENERAL'!O102="","",'[1]P-GENERAL'!O102)</f>
        <v>46269</v>
      </c>
      <c r="P102" s="16">
        <f>IF('[1]P-GENERAL'!P102="","",'[1]P-GENERAL'!P102)</f>
        <v>0.625</v>
      </c>
      <c r="Q102" t="str">
        <f>IF('[1]P-GENERAL'!Q102="","",'[1]P-GENERAL'!Q102)</f>
        <v/>
      </c>
      <c r="R102" s="14" t="str">
        <f>IF('[1]P-GENERAL'!R102="","",'[1]P-GENERAL'!R102)</f>
        <v/>
      </c>
      <c r="S102" s="16" t="str">
        <f>IF('[1]P-GENERAL'!S102="","",'[1]P-GENERAL'!S102)</f>
        <v/>
      </c>
      <c r="T102" s="16" t="str">
        <f>IF('[1]P-GENERAL'!T102="","",'[1]P-GENERAL'!T102)</f>
        <v/>
      </c>
      <c r="U102" s="17" t="str">
        <f>IF('[1]P-GENERAL'!U102="","",'[1]P-GENERAL'!U102)</f>
        <v/>
      </c>
      <c r="V102" s="14">
        <f>IF('[1]P-GENERAL'!V102="","",'[1]P-GENERAL'!V102)</f>
        <v>46267</v>
      </c>
      <c r="W102" s="16">
        <f>IF('[1]P-GENERAL'!W102="","",'[1]P-GENERAL'!W102)</f>
        <v>0.24305555555555555</v>
      </c>
      <c r="X102" s="14" t="str">
        <f>IF('[1]P-GENERAL'!X102="","",'[1]P-GENERAL'!X102)</f>
        <v/>
      </c>
      <c r="Y102" s="14" t="str">
        <f>IF('[1]P-GENERAL'!Y102="","",'[1]P-GENERAL'!Y102)</f>
        <v>SI CUMPLE</v>
      </c>
      <c r="Z102" s="14" t="str">
        <f>IF('[1]P-GENERAL'!Z102="","",'[1]P-GENERAL'!Z102)</f>
        <v/>
      </c>
      <c r="AA102" s="14" t="str">
        <f>IF('[1]P-GENERAL'!AA102="","",'[1]P-GENERAL'!AA102)</f>
        <v>DESPACHADO</v>
      </c>
      <c r="AB102" s="8" t="str">
        <f>IF('[1]P-GENERAL'!AB102="","",'[1]P-GENERAL'!AB102)</f>
        <v>AUTO EXPRESS SEGOVIA</v>
      </c>
      <c r="AC102" s="8" t="str">
        <f>IF('[1]P-GENERAL'!AC102="","",'[1]P-GENERAL'!AC102)</f>
        <v xml:space="preserve">MUEVE LA CARGA A FORTALEZA VICTOR MORGA </v>
      </c>
      <c r="AD102">
        <f>IF('[1]P-GENERAL'!AD102="","",'[1]P-GENERAL'!AD102)</f>
        <v>47802</v>
      </c>
      <c r="AE102" t="str">
        <f>IF('[1]P-GENERAL'!AE102="","",'[1]P-GENERAL'!AE102)</f>
        <v>QCH1W04BQ0</v>
      </c>
    </row>
    <row r="103" spans="1:31" ht="20.25" x14ac:dyDescent="0.3">
      <c r="A103" s="11" t="str">
        <f>IF('[1]P-GENERAL'!A103="","",'[1]P-GENERAL'!A103)</f>
        <v>Chanitos Premium EUA Tarima Americana</v>
      </c>
      <c r="B103" s="11" t="str">
        <f>IF('[1]P-GENERAL'!B103="","",'[1]P-GENERAL'!B103)</f>
        <v>CPR01104</v>
      </c>
      <c r="C103" t="str">
        <f>IF('[1]P-GENERAL'!C103="","",'[1]P-GENERAL'!C103)</f>
        <v>A04084-360409-1</v>
      </c>
      <c r="D103" t="str">
        <f>IF('[1]P-GENERAL'!D103="","",'[1]P-GENERAL'!D103)</f>
        <v>A04 084 Lisboa</v>
      </c>
      <c r="E103" s="8" t="str">
        <f>IF('[1]P-GENERAL'!E103="","",'[1]P-GENERAL'!E103)</f>
        <v>McAllen</v>
      </c>
      <c r="F103" s="12">
        <f>IF('[1]P-GENERAL'!F103="","",'[1]P-GENERAL'!F103)</f>
        <v>960</v>
      </c>
      <c r="G103" s="13">
        <f>IF('[1]P-GENERAL'!G103="","",'[1]P-GENERAL'!G103)</f>
        <v>20</v>
      </c>
      <c r="H103" s="14">
        <f>IF('[1]P-GENERAL'!H103="","",'[1]P-GENERAL'!H103)</f>
        <v>46269</v>
      </c>
      <c r="I103">
        <f>IF('[1]P-GENERAL'!I103="","",'[1]P-GENERAL'!I103)</f>
        <v>36</v>
      </c>
      <c r="J103" s="15">
        <f>IF('[1]P-GENERAL'!J103="","",'[1]P-GENERAL'!J103)</f>
        <v>46274</v>
      </c>
      <c r="K103" s="14" t="str">
        <f>IF('[1]P-GENERAL'!K103="","",'[1]P-GENERAL'!K103)</f>
        <v/>
      </c>
      <c r="L103" s="14" t="str">
        <f>IF('[1]P-GENERAL'!L103="","",'[1]P-GENERAL'!L103)</f>
        <v>DIRECTO SIN PREENFRIO</v>
      </c>
      <c r="M103">
        <f>IF('[1]P-GENERAL'!M103="","",'[1]P-GENERAL'!M103)</f>
        <v>3</v>
      </c>
      <c r="N103">
        <f>IF('[1]P-GENERAL'!N103="","",'[1]P-GENERAL'!N103)</f>
        <v>72</v>
      </c>
      <c r="O103" s="14">
        <f>IF('[1]P-GENERAL'!O103="","",'[1]P-GENERAL'!O103)</f>
        <v>46271</v>
      </c>
      <c r="P103" s="16">
        <f>IF('[1]P-GENERAL'!P103="","",'[1]P-GENERAL'!P103)</f>
        <v>0.58333333333333337</v>
      </c>
      <c r="Q103" t="str">
        <f>IF('[1]P-GENERAL'!Q103="","",'[1]P-GENERAL'!Q103)</f>
        <v>NORMAL</v>
      </c>
      <c r="R103" s="14" t="str">
        <f>IF('[1]P-GENERAL'!R103="","",'[1]P-GENERAL'!R103)</f>
        <v/>
      </c>
      <c r="S103" s="16" t="str">
        <f>IF('[1]P-GENERAL'!S103="","",'[1]P-GENERAL'!S103)</f>
        <v/>
      </c>
      <c r="T103" s="16" t="str">
        <f>IF('[1]P-GENERAL'!T103="","",'[1]P-GENERAL'!T103)</f>
        <v/>
      </c>
      <c r="U103" s="17" t="str">
        <f>IF('[1]P-GENERAL'!U103="","",'[1]P-GENERAL'!U103)</f>
        <v/>
      </c>
      <c r="V103" s="14">
        <f>IF('[1]P-GENERAL'!V103="","",'[1]P-GENERAL'!V103)</f>
        <v>46272</v>
      </c>
      <c r="W103" s="16">
        <f>IF('[1]P-GENERAL'!W103="","",'[1]P-GENERAL'!W103)</f>
        <v>0.67361111111111116</v>
      </c>
      <c r="X103" s="14" t="str">
        <f>IF('[1]P-GENERAL'!X103="","",'[1]P-GENERAL'!X103)</f>
        <v/>
      </c>
      <c r="Y103" s="14" t="str">
        <f>IF('[1]P-GENERAL'!Y103="","",'[1]P-GENERAL'!Y103)</f>
        <v>NO CUMPLE</v>
      </c>
      <c r="Z103" s="14" t="str">
        <f>IF('[1]P-GENERAL'!Z103="","",'[1]P-GENERAL'!Z103)</f>
        <v>EMPAQUE TARDIO</v>
      </c>
      <c r="AA103" s="14" t="str">
        <f>IF('[1]P-GENERAL'!AA103="","",'[1]P-GENERAL'!AA103)</f>
        <v>DESPACHADO</v>
      </c>
      <c r="AB103" s="8" t="str">
        <f>IF('[1]P-GENERAL'!AB103="","",'[1]P-GENERAL'!AB103)</f>
        <v>TRANSPORTES TOMATITOS</v>
      </c>
      <c r="AC103" s="8" t="str">
        <f>IF('[1]P-GENERAL'!AC103="","",'[1]P-GENERAL'!AC103)</f>
        <v xml:space="preserve">HUGO ALEXIS RODRIGUEZ RODRIGUEZ </v>
      </c>
      <c r="AD103">
        <f>IF('[1]P-GENERAL'!AD103="","",'[1]P-GENERAL'!AD103)</f>
        <v>15131</v>
      </c>
      <c r="AE103" t="str">
        <f>IF('[1]P-GENERAL'!AE103="","",'[1]P-GENERAL'!AE103)</f>
        <v>QCH1W04C10</v>
      </c>
    </row>
    <row r="104" spans="1:31" ht="20.25" x14ac:dyDescent="0.3">
      <c r="A104" s="11" t="str">
        <f>IF('[1]P-GENERAL'!A104="","",'[1]P-GENERAL'!A104)</f>
        <v>Chanitos Premium Tarima Chep</v>
      </c>
      <c r="B104" s="11" t="str">
        <f>IF('[1]P-GENERAL'!B104="","",'[1]P-GENERAL'!B104)</f>
        <v>CPR01102</v>
      </c>
      <c r="C104" t="str">
        <f>IF('[1]P-GENERAL'!C104="","",'[1]P-GENERAL'!C104)</f>
        <v>A01001-360409-1</v>
      </c>
      <c r="D104" t="str">
        <f>IF('[1]P-GENERAL'!D104="","",'[1]P-GENERAL'!D104)</f>
        <v>A01 001 Marbella</v>
      </c>
      <c r="E104" s="8" t="str">
        <f>IF('[1]P-GENERAL'!E104="","",'[1]P-GENERAL'!E104)</f>
        <v>Chalco</v>
      </c>
      <c r="F104" s="12">
        <f>IF('[1]P-GENERAL'!F104="","",'[1]P-GENERAL'!F104)</f>
        <v>1056</v>
      </c>
      <c r="G104" s="13">
        <f>IF('[1]P-GENERAL'!G104="","",'[1]P-GENERAL'!G104)</f>
        <v>22</v>
      </c>
      <c r="H104" s="14">
        <f>IF('[1]P-GENERAL'!H104="","",'[1]P-GENERAL'!H104)</f>
        <v>46269</v>
      </c>
      <c r="I104">
        <f>IF('[1]P-GENERAL'!I104="","",'[1]P-GENERAL'!I104)</f>
        <v>36</v>
      </c>
      <c r="J104" s="15">
        <f>IF('[1]P-GENERAL'!J104="","",'[1]P-GENERAL'!J104)</f>
        <v>46274</v>
      </c>
      <c r="K104" s="14" t="str">
        <f>IF('[1]P-GENERAL'!K104="","",'[1]P-GENERAL'!K104)</f>
        <v/>
      </c>
      <c r="L104" s="14" t="str">
        <f>IF('[1]P-GENERAL'!L104="","",'[1]P-GENERAL'!L104)</f>
        <v>PREENFRIO FORTALEZA</v>
      </c>
      <c r="M104">
        <f>IF('[1]P-GENERAL'!M104="","",'[1]P-GENERAL'!M104)</f>
        <v>1</v>
      </c>
      <c r="N104">
        <f>IF('[1]P-GENERAL'!N104="","",'[1]P-GENERAL'!N104)</f>
        <v>24</v>
      </c>
      <c r="O104" s="14">
        <f>IF('[1]P-GENERAL'!O104="","",'[1]P-GENERAL'!O104)</f>
        <v>46269</v>
      </c>
      <c r="P104" s="16">
        <f>IF('[1]P-GENERAL'!P104="","",'[1]P-GENERAL'!P104)</f>
        <v>0.8354166666666667</v>
      </c>
      <c r="Q104" t="str">
        <f>IF('[1]P-GENERAL'!Q104="","",'[1]P-GENERAL'!Q104)</f>
        <v>NORMAL</v>
      </c>
      <c r="R104" s="14">
        <f>IF('[1]P-GENERAL'!R104="","",'[1]P-GENERAL'!R104)</f>
        <v>46271</v>
      </c>
      <c r="S104" s="16">
        <f>IF('[1]P-GENERAL'!S104="","",'[1]P-GENERAL'!S104)</f>
        <v>0.9</v>
      </c>
      <c r="T104" s="16">
        <f>IF('[1]P-GENERAL'!T104="","",'[1]P-GENERAL'!T104)</f>
        <v>0.625</v>
      </c>
      <c r="U104" s="17">
        <f>IF('[1]P-GENERAL'!U104="","",'[1]P-GENERAL'!U104)</f>
        <v>46272.525000000001</v>
      </c>
      <c r="V104" s="14">
        <f>IF('[1]P-GENERAL'!V104="","",'[1]P-GENERAL'!V104)</f>
        <v>46272</v>
      </c>
      <c r="W104" s="16">
        <f>IF('[1]P-GENERAL'!W104="","",'[1]P-GENERAL'!W104)</f>
        <v>0.47222222222222221</v>
      </c>
      <c r="X104" s="14" t="str">
        <f>IF('[1]P-GENERAL'!X104="","",'[1]P-GENERAL'!X104)</f>
        <v>SI CUMPLE</v>
      </c>
      <c r="Y104" s="14" t="str">
        <f>IF('[1]P-GENERAL'!Y104="","",'[1]P-GENERAL'!Y104)</f>
        <v>SI CUMPLE</v>
      </c>
      <c r="Z104" s="14" t="str">
        <f>IF('[1]P-GENERAL'!Z104="","",'[1]P-GENERAL'!Z104)</f>
        <v/>
      </c>
      <c r="AA104" s="14" t="str">
        <f>IF('[1]P-GENERAL'!AA104="","",'[1]P-GENERAL'!AA104)</f>
        <v>DESPACHADO</v>
      </c>
      <c r="AB104" s="8" t="str">
        <f>IF('[1]P-GENERAL'!AB104="","",'[1]P-GENERAL'!AB104)</f>
        <v>DANIEL CARRILLO GODINEZ</v>
      </c>
      <c r="AC104" s="8" t="str">
        <f>IF('[1]P-GENERAL'!AC104="","",'[1]P-GENERAL'!AC104)</f>
        <v>EDUARDO FLORES ZAMORA</v>
      </c>
      <c r="AD104">
        <f>IF('[1]P-GENERAL'!AD104="","",'[1]P-GENERAL'!AD104)</f>
        <v>90211</v>
      </c>
      <c r="AE104" t="str">
        <f>IF('[1]P-GENERAL'!AE104="","",'[1]P-GENERAL'!AE104)</f>
        <v>QCH1W056Y0</v>
      </c>
    </row>
    <row r="105" spans="1:31" ht="20.25" x14ac:dyDescent="0.3">
      <c r="A105" s="11" t="str">
        <f>IF('[1]P-GENERAL'!A105="","",'[1]P-GENERAL'!A105)</f>
        <v>Platano de Chiapas BAE UPC 3237</v>
      </c>
      <c r="B105" s="11" t="str">
        <f>IF('[1]P-GENERAL'!B105="","",'[1]P-GENERAL'!B105)</f>
        <v>CPR01114</v>
      </c>
      <c r="C105" t="str">
        <f>IF('[1]P-GENERAL'!C105="","",'[1]P-GENERAL'!C105)</f>
        <v>A01001-360409-1</v>
      </c>
      <c r="D105" t="str">
        <f>IF('[1]P-GENERAL'!D105="","",'[1]P-GENERAL'!D105)</f>
        <v>A01 001 Marbella</v>
      </c>
      <c r="E105" s="8" t="str">
        <f>IF('[1]P-GENERAL'!E105="","",'[1]P-GENERAL'!E105)</f>
        <v>Chalco</v>
      </c>
      <c r="F105" s="12">
        <f>IF('[1]P-GENERAL'!F105="","",'[1]P-GENERAL'!F105)</f>
        <v>48</v>
      </c>
      <c r="G105" s="13">
        <f>IF('[1]P-GENERAL'!G105="","",'[1]P-GENERAL'!G105)</f>
        <v>1.125</v>
      </c>
      <c r="H105" s="14">
        <f>IF('[1]P-GENERAL'!H105="","",'[1]P-GENERAL'!H105)</f>
        <v>46269</v>
      </c>
      <c r="I105">
        <f>IF('[1]P-GENERAL'!I105="","",'[1]P-GENERAL'!I105)</f>
        <v>36</v>
      </c>
      <c r="J105" s="15">
        <f>IF('[1]P-GENERAL'!J105="","",'[1]P-GENERAL'!J105)</f>
        <v>46274</v>
      </c>
      <c r="K105" s="14" t="str">
        <f>IF('[1]P-GENERAL'!K105="","",'[1]P-GENERAL'!K105)</f>
        <v/>
      </c>
      <c r="L105" s="14" t="str">
        <f>IF('[1]P-GENERAL'!L105="","",'[1]P-GENERAL'!L105)</f>
        <v>PREENFRIO FORTALEZA</v>
      </c>
      <c r="M105">
        <f>IF('[1]P-GENERAL'!M105="","",'[1]P-GENERAL'!M105)</f>
        <v>1</v>
      </c>
      <c r="N105">
        <f>IF('[1]P-GENERAL'!N105="","",'[1]P-GENERAL'!N105)</f>
        <v>24</v>
      </c>
      <c r="O105" s="14">
        <f>IF('[1]P-GENERAL'!O105="","",'[1]P-GENERAL'!O105)</f>
        <v>46269</v>
      </c>
      <c r="P105" s="16">
        <f>IF('[1]P-GENERAL'!P105="","",'[1]P-GENERAL'!P105)</f>
        <v>0.8354166666666667</v>
      </c>
      <c r="Q105" t="str">
        <f>IF('[1]P-GENERAL'!Q105="","",'[1]P-GENERAL'!Q105)</f>
        <v>NORMAL</v>
      </c>
      <c r="R105" s="14">
        <f>IF('[1]P-GENERAL'!R105="","",'[1]P-GENERAL'!R105)</f>
        <v>46271</v>
      </c>
      <c r="S105" s="16">
        <f>IF('[1]P-GENERAL'!S105="","",'[1]P-GENERAL'!S105)</f>
        <v>0.9</v>
      </c>
      <c r="T105" s="16">
        <f>IF('[1]P-GENERAL'!T105="","",'[1]P-GENERAL'!T105)</f>
        <v>0.625</v>
      </c>
      <c r="U105" s="17">
        <f>IF('[1]P-GENERAL'!U105="","",'[1]P-GENERAL'!U105)</f>
        <v>46272.525000000001</v>
      </c>
      <c r="V105" s="14">
        <f>IF('[1]P-GENERAL'!V105="","",'[1]P-GENERAL'!V105)</f>
        <v>46272</v>
      </c>
      <c r="W105" s="16">
        <f>IF('[1]P-GENERAL'!W105="","",'[1]P-GENERAL'!W105)</f>
        <v>0.47222222222222221</v>
      </c>
      <c r="X105" s="14" t="str">
        <f>IF('[1]P-GENERAL'!X105="","",'[1]P-GENERAL'!X105)</f>
        <v>SI CUMPLE</v>
      </c>
      <c r="Y105" s="14" t="str">
        <f>IF('[1]P-GENERAL'!Y105="","",'[1]P-GENERAL'!Y105)</f>
        <v>SI CUMPLE</v>
      </c>
      <c r="Z105" s="14" t="str">
        <f>IF('[1]P-GENERAL'!Z105="","",'[1]P-GENERAL'!Z105)</f>
        <v/>
      </c>
      <c r="AA105" s="14" t="str">
        <f>IF('[1]P-GENERAL'!AA105="","",'[1]P-GENERAL'!AA105)</f>
        <v>DESPACHADO</v>
      </c>
      <c r="AB105" s="8" t="str">
        <f>IF('[1]P-GENERAL'!AB105="","",'[1]P-GENERAL'!AB105)</f>
        <v>DANIEL CARRILLO GODINEZ</v>
      </c>
      <c r="AC105" s="8" t="str">
        <f>IF('[1]P-GENERAL'!AC105="","",'[1]P-GENERAL'!AC105)</f>
        <v>EDUARDO FLORES ZAMORA</v>
      </c>
      <c r="AD105">
        <f>IF('[1]P-GENERAL'!AD105="","",'[1]P-GENERAL'!AD105)</f>
        <v>90211</v>
      </c>
      <c r="AE105" t="str">
        <f>IF('[1]P-GENERAL'!AE105="","",'[1]P-GENERAL'!AE105)</f>
        <v>QCH1W056Y0</v>
      </c>
    </row>
    <row r="106" spans="1:31" ht="20.25" x14ac:dyDescent="0.3">
      <c r="A106" s="11" t="str">
        <f>IF('[1]P-GENERAL'!A106="","",'[1]P-GENERAL'!A106)</f>
        <v>Chanitos Premium Tarima Chep</v>
      </c>
      <c r="B106" s="11" t="str">
        <f>IF('[1]P-GENERAL'!B106="","",'[1]P-GENERAL'!B106)</f>
        <v>CPR01102</v>
      </c>
      <c r="C106" t="str">
        <f>IF('[1]P-GENERAL'!C106="","",'[1]P-GENERAL'!C106)</f>
        <v>A01002-360409-1</v>
      </c>
      <c r="D106" t="str">
        <f>IF('[1]P-GENERAL'!D106="","",'[1]P-GENERAL'!D106)</f>
        <v>A01 002 Fortaleza</v>
      </c>
      <c r="E106" s="8" t="str">
        <f>IF('[1]P-GENERAL'!E106="","",'[1]P-GENERAL'!E106)</f>
        <v>MTY</v>
      </c>
      <c r="F106" s="12">
        <f>IF('[1]P-GENERAL'!F106="","",'[1]P-GENERAL'!F106)</f>
        <v>528</v>
      </c>
      <c r="G106" s="13">
        <f>IF('[1]P-GENERAL'!G106="","",'[1]P-GENERAL'!G106)</f>
        <v>11</v>
      </c>
      <c r="H106" s="14">
        <f>IF('[1]P-GENERAL'!H106="","",'[1]P-GENERAL'!H106)</f>
        <v>46269</v>
      </c>
      <c r="I106">
        <f>IF('[1]P-GENERAL'!I106="","",'[1]P-GENERAL'!I106)</f>
        <v>36</v>
      </c>
      <c r="J106" s="15">
        <f>IF('[1]P-GENERAL'!J106="","",'[1]P-GENERAL'!J106)</f>
        <v>46274</v>
      </c>
      <c r="K106" s="14" t="str">
        <f>IF('[1]P-GENERAL'!K106="","",'[1]P-GENERAL'!K106)</f>
        <v/>
      </c>
      <c r="L106" s="14" t="str">
        <f>IF('[1]P-GENERAL'!L106="","",'[1]P-GENERAL'!L106)</f>
        <v>PREENFRIO FORTALEZA</v>
      </c>
      <c r="M106">
        <f>IF('[1]P-GENERAL'!M106="","",'[1]P-GENERAL'!M106)</f>
        <v>2.5</v>
      </c>
      <c r="N106">
        <f>IF('[1]P-GENERAL'!N106="","",'[1]P-GENERAL'!N106)</f>
        <v>60</v>
      </c>
      <c r="O106" s="14">
        <f>IF('[1]P-GENERAL'!O106="","",'[1]P-GENERAL'!O106)</f>
        <v>46269</v>
      </c>
      <c r="P106" s="16">
        <f>IF('[1]P-GENERAL'!P106="","",'[1]P-GENERAL'!P106)</f>
        <v>0.70833333333333337</v>
      </c>
      <c r="Q106" t="str">
        <f>IF('[1]P-GENERAL'!Q106="","",'[1]P-GENERAL'!Q106)</f>
        <v>NORMAL</v>
      </c>
      <c r="R106" s="14">
        <f>IF('[1]P-GENERAL'!R106="","",'[1]P-GENERAL'!R106)</f>
        <v>46270</v>
      </c>
      <c r="S106" s="16">
        <f>IF('[1]P-GENERAL'!S106="","",'[1]P-GENERAL'!S106)</f>
        <v>0.46388888888888891</v>
      </c>
      <c r="T106" s="16">
        <f>IF('[1]P-GENERAL'!T106="","",'[1]P-GENERAL'!T106)</f>
        <v>0.25</v>
      </c>
      <c r="U106" s="17">
        <f>IF('[1]P-GENERAL'!U106="","",'[1]P-GENERAL'!U106)</f>
        <v>46270.713888888888</v>
      </c>
      <c r="V106" s="14">
        <f>IF('[1]P-GENERAL'!V106="","",'[1]P-GENERAL'!V106)</f>
        <v>46271</v>
      </c>
      <c r="W106" s="16">
        <f>IF('[1]P-GENERAL'!W106="","",'[1]P-GENERAL'!W106)</f>
        <v>0.22708333333333333</v>
      </c>
      <c r="X106" s="14" t="str">
        <f>IF('[1]P-GENERAL'!X106="","",'[1]P-GENERAL'!X106)</f>
        <v>SI CUMPLE</v>
      </c>
      <c r="Y106" s="14" t="str">
        <f>IF('[1]P-GENERAL'!Y106="","",'[1]P-GENERAL'!Y106)</f>
        <v>SI CUMPLE</v>
      </c>
      <c r="Z106" s="14" t="str">
        <f>IF('[1]P-GENERAL'!Z106="","",'[1]P-GENERAL'!Z106)</f>
        <v/>
      </c>
      <c r="AA106" s="14" t="str">
        <f>IF('[1]P-GENERAL'!AA106="","",'[1]P-GENERAL'!AA106)</f>
        <v>DESPACHADO</v>
      </c>
      <c r="AB106" s="8" t="str">
        <f>IF('[1]P-GENERAL'!AB106="","",'[1]P-GENERAL'!AB106)</f>
        <v>AUTO EXPRESS SEGOVIA</v>
      </c>
      <c r="AC106" s="8" t="str">
        <f>IF('[1]P-GENERAL'!AC106="","",'[1]P-GENERAL'!AC106)</f>
        <v>ABEL USCANGA REYES</v>
      </c>
      <c r="AD106">
        <f>IF('[1]P-GENERAL'!AD106="","",'[1]P-GENERAL'!AD106)</f>
        <v>29440</v>
      </c>
      <c r="AE106" t="str">
        <f>IF('[1]P-GENERAL'!AE106="","",'[1]P-GENERAL'!AE106)</f>
        <v>QCH1W04BZ0</v>
      </c>
    </row>
    <row r="107" spans="1:31" ht="20.25" x14ac:dyDescent="0.3">
      <c r="A107" s="11" t="str">
        <f>IF('[1]P-GENERAL'!A107="","",'[1]P-GENERAL'!A107)</f>
        <v>Chanitos Premium Tarima Americana</v>
      </c>
      <c r="B107" s="11" t="str">
        <f>IF('[1]P-GENERAL'!B107="","",'[1]P-GENERAL'!B107)</f>
        <v>CPR01103</v>
      </c>
      <c r="C107" t="str">
        <f>IF('[1]P-GENERAL'!C107="","",'[1]P-GENERAL'!C107)</f>
        <v>A25022-360409-1</v>
      </c>
      <c r="D107" t="str">
        <f>IF('[1]P-GENERAL'!D107="","",'[1]P-GENERAL'!D107)</f>
        <v>A25 022 Doña Mildred</v>
      </c>
      <c r="E107" s="8" t="str">
        <f>IF('[1]P-GENERAL'!E107="","",'[1]P-GENERAL'!E107)</f>
        <v>S-MTY</v>
      </c>
      <c r="F107" s="12">
        <f>IF('[1]P-GENERAL'!F107="","",'[1]P-GENERAL'!F107)</f>
        <v>960</v>
      </c>
      <c r="G107" s="13">
        <f>IF('[1]P-GENERAL'!G107="","",'[1]P-GENERAL'!G107)</f>
        <v>20</v>
      </c>
      <c r="H107" s="14">
        <f>IF('[1]P-GENERAL'!H107="","",'[1]P-GENERAL'!H107)</f>
        <v>46269</v>
      </c>
      <c r="I107">
        <f>IF('[1]P-GENERAL'!I107="","",'[1]P-GENERAL'!I107)</f>
        <v>36</v>
      </c>
      <c r="J107" s="15">
        <f>IF('[1]P-GENERAL'!J107="","",'[1]P-GENERAL'!J107)</f>
        <v>46275</v>
      </c>
      <c r="K107" s="14">
        <f>IF('[1]P-GENERAL'!K107="","",'[1]P-GENERAL'!K107)</f>
        <v>0.25</v>
      </c>
      <c r="L107" s="14" t="str">
        <f>IF('[1]P-GENERAL'!L107="","",'[1]P-GENERAL'!L107)</f>
        <v>PREENFRIO NELLY</v>
      </c>
      <c r="M107">
        <f>IF('[1]P-GENERAL'!M107="","",'[1]P-GENERAL'!M107)</f>
        <v>3</v>
      </c>
      <c r="N107">
        <f>IF('[1]P-GENERAL'!N107="","",'[1]P-GENERAL'!N107)</f>
        <v>72</v>
      </c>
      <c r="O107" s="14">
        <f>IF('[1]P-GENERAL'!O107="","",'[1]P-GENERAL'!O107)</f>
        <v>46269</v>
      </c>
      <c r="P107" s="16">
        <f>IF('[1]P-GENERAL'!P107="","",'[1]P-GENERAL'!P107)</f>
        <v>0.90972222222222221</v>
      </c>
      <c r="Q107" t="str">
        <f>IF('[1]P-GENERAL'!Q107="","",'[1]P-GENERAL'!Q107)</f>
        <v>ALTA</v>
      </c>
      <c r="R107" s="14">
        <f>IF('[1]P-GENERAL'!R107="","",'[1]P-GENERAL'!R107)</f>
        <v>46271</v>
      </c>
      <c r="S107" s="16">
        <f>IF('[1]P-GENERAL'!S107="","",'[1]P-GENERAL'!S107)</f>
        <v>0.78819444444444442</v>
      </c>
      <c r="T107" s="16">
        <f>IF('[1]P-GENERAL'!T107="","",'[1]P-GENERAL'!T107)</f>
        <v>0.4375</v>
      </c>
      <c r="U107" s="17">
        <f>IF('[1]P-GENERAL'!U107="","",'[1]P-GENERAL'!U107)</f>
        <v>46272.225694444445</v>
      </c>
      <c r="V107" s="14">
        <f>IF('[1]P-GENERAL'!V107="","",'[1]P-GENERAL'!V107)</f>
        <v>46272</v>
      </c>
      <c r="W107" s="16">
        <f>IF('[1]P-GENERAL'!W107="","",'[1]P-GENERAL'!W107)</f>
        <v>0.27083333333333331</v>
      </c>
      <c r="X107" s="14" t="str">
        <f>IF('[1]P-GENERAL'!X107="","",'[1]P-GENERAL'!X107)</f>
        <v>SI CUMPLE</v>
      </c>
      <c r="Y107" s="14" t="str">
        <f>IF('[1]P-GENERAL'!Y107="","",'[1]P-GENERAL'!Y107)</f>
        <v>NO CUMPLE</v>
      </c>
      <c r="Z107" s="14" t="str">
        <f>IF('[1]P-GENERAL'!Z107="","",'[1]P-GENERAL'!Z107)</f>
        <v/>
      </c>
      <c r="AA107" s="14" t="str">
        <f>IF('[1]P-GENERAL'!AA107="","",'[1]P-GENERAL'!AA107)</f>
        <v>DESPACHADO</v>
      </c>
      <c r="AB107" s="8" t="str">
        <f>IF('[1]P-GENERAL'!AB107="","",'[1]P-GENERAL'!AB107)</f>
        <v>AUTO EXPRESS SEGOVIA</v>
      </c>
      <c r="AC107" s="8" t="str">
        <f>IF('[1]P-GENERAL'!AC107="","",'[1]P-GENERAL'!AC107)</f>
        <v>Osvalo martinez leo</v>
      </c>
      <c r="AD107">
        <f>IF('[1]P-GENERAL'!AD107="","",'[1]P-GENERAL'!AD107)</f>
        <v>52601</v>
      </c>
      <c r="AE107" t="str">
        <f>IF('[1]P-GENERAL'!AE107="","",'[1]P-GENERAL'!AE107)</f>
        <v/>
      </c>
    </row>
    <row r="108" spans="1:31" ht="20.25" x14ac:dyDescent="0.3">
      <c r="A108" s="11" t="str">
        <f>IF('[1]P-GENERAL'!A108="","",'[1]P-GENERAL'!A108)</f>
        <v>Chanitos Premium Tarima Chep</v>
      </c>
      <c r="B108" s="11" t="str">
        <f>IF('[1]P-GENERAL'!B108="","",'[1]P-GENERAL'!B108)</f>
        <v>CPR01102</v>
      </c>
      <c r="C108" t="str">
        <f>IF('[1]P-GENERAL'!C108="","",'[1]P-GENERAL'!C108)</f>
        <v>A04083-360509-1</v>
      </c>
      <c r="D108" t="str">
        <f>IF('[1]P-GENERAL'!D108="","",'[1]P-GENERAL'!D108)</f>
        <v>A04 083 Santa Maria</v>
      </c>
      <c r="E108" s="8" t="str">
        <f>IF('[1]P-GENERAL'!E108="","",'[1]P-GENERAL'!E108)</f>
        <v>Chalco</v>
      </c>
      <c r="F108" s="12">
        <f>IF('[1]P-GENERAL'!F108="","",'[1]P-GENERAL'!F108)</f>
        <v>48</v>
      </c>
      <c r="G108" s="13">
        <f>IF('[1]P-GENERAL'!G108="","",'[1]P-GENERAL'!G108)</f>
        <v>1</v>
      </c>
      <c r="H108" s="14">
        <f>IF('[1]P-GENERAL'!H108="","",'[1]P-GENERAL'!H108)</f>
        <v>46270</v>
      </c>
      <c r="I108">
        <f>IF('[1]P-GENERAL'!I108="","",'[1]P-GENERAL'!I108)</f>
        <v>36</v>
      </c>
      <c r="J108" s="15">
        <f>IF('[1]P-GENERAL'!J108="","",'[1]P-GENERAL'!J108)</f>
        <v>46274</v>
      </c>
      <c r="K108" s="14" t="str">
        <f>IF('[1]P-GENERAL'!K108="","",'[1]P-GENERAL'!K108)</f>
        <v/>
      </c>
      <c r="L108" s="14" t="str">
        <f>IF('[1]P-GENERAL'!L108="","",'[1]P-GENERAL'!L108)</f>
        <v>PREENFRIO FORTALEZA</v>
      </c>
      <c r="M108">
        <f>IF('[1]P-GENERAL'!M108="","",'[1]P-GENERAL'!M108)</f>
        <v>1</v>
      </c>
      <c r="N108">
        <f>IF('[1]P-GENERAL'!N108="","",'[1]P-GENERAL'!N108)</f>
        <v>24</v>
      </c>
      <c r="O108" s="14">
        <f>IF('[1]P-GENERAL'!O108="","",'[1]P-GENERAL'!O108)</f>
        <v>46270</v>
      </c>
      <c r="P108" s="16">
        <f>IF('[1]P-GENERAL'!P108="","",'[1]P-GENERAL'!P108)</f>
        <v>0.74305555555555558</v>
      </c>
      <c r="Q108" t="str">
        <f>IF('[1]P-GENERAL'!Q108="","",'[1]P-GENERAL'!Q108)</f>
        <v>NORMAL</v>
      </c>
      <c r="R108" s="14">
        <f>IF('[1]P-GENERAL'!R108="","",'[1]P-GENERAL'!R108)</f>
        <v>46271</v>
      </c>
      <c r="S108" s="16">
        <f>IF('[1]P-GENERAL'!S108="","",'[1]P-GENERAL'!S108)</f>
        <v>0.9</v>
      </c>
      <c r="T108" s="16">
        <f>IF('[1]P-GENERAL'!T108="","",'[1]P-GENERAL'!T108)</f>
        <v>0.625</v>
      </c>
      <c r="U108" s="17">
        <f>IF('[1]P-GENERAL'!U108="","",'[1]P-GENERAL'!U108)</f>
        <v>46272.525000000001</v>
      </c>
      <c r="V108" s="14">
        <f>IF('[1]P-GENERAL'!V108="","",'[1]P-GENERAL'!V108)</f>
        <v>46272</v>
      </c>
      <c r="W108" s="16">
        <f>IF('[1]P-GENERAL'!W108="","",'[1]P-GENERAL'!W108)</f>
        <v>0.47222222222222221</v>
      </c>
      <c r="X108" s="14" t="str">
        <f>IF('[1]P-GENERAL'!X108="","",'[1]P-GENERAL'!X108)</f>
        <v>SI CUMPLE</v>
      </c>
      <c r="Y108" s="14" t="str">
        <f>IF('[1]P-GENERAL'!Y108="","",'[1]P-GENERAL'!Y108)</f>
        <v>SI CUMPLE</v>
      </c>
      <c r="Z108" s="14" t="str">
        <f>IF('[1]P-GENERAL'!Z108="","",'[1]P-GENERAL'!Z108)</f>
        <v/>
      </c>
      <c r="AA108" s="14" t="str">
        <f>IF('[1]P-GENERAL'!AA108="","",'[1]P-GENERAL'!AA108)</f>
        <v>DESPACHADO</v>
      </c>
      <c r="AB108" s="8" t="str">
        <f>IF('[1]P-GENERAL'!AB108="","",'[1]P-GENERAL'!AB108)</f>
        <v>DANIEL CARRILLO GODINEZ</v>
      </c>
      <c r="AC108" s="8" t="str">
        <f>IF('[1]P-GENERAL'!AC108="","",'[1]P-GENERAL'!AC108)</f>
        <v>EDUARDO FLORES ZAMORA</v>
      </c>
      <c r="AD108">
        <f>IF('[1]P-GENERAL'!AD108="","",'[1]P-GENERAL'!AD108)</f>
        <v>90211</v>
      </c>
      <c r="AE108" t="str">
        <f>IF('[1]P-GENERAL'!AE108="","",'[1]P-GENERAL'!AE108)</f>
        <v>QCH1W056Y0</v>
      </c>
    </row>
    <row r="109" spans="1:31" ht="20.25" x14ac:dyDescent="0.3">
      <c r="A109" s="11" t="str">
        <f>IF('[1]P-GENERAL'!A109="","",'[1]P-GENERAL'!A109)</f>
        <v>Chanitos Organic Banded Market Side Mexico</v>
      </c>
      <c r="B109" s="11" t="str">
        <f>IF('[1]P-GENERAL'!B109="","",'[1]P-GENERAL'!B109)</f>
        <v>CRG07128</v>
      </c>
      <c r="C109" t="str">
        <f>IF('[1]P-GENERAL'!C109="","",'[1]P-GENERAL'!C109)</f>
        <v>A01002-360509-1</v>
      </c>
      <c r="D109" t="str">
        <f>IF('[1]P-GENERAL'!D109="","",'[1]P-GENERAL'!D109)</f>
        <v>A01 002 Fortaleza</v>
      </c>
      <c r="E109" s="8" t="str">
        <f>IF('[1]P-GENERAL'!E109="","",'[1]P-GENERAL'!E109)</f>
        <v>MTY</v>
      </c>
      <c r="F109" s="12">
        <f>IF('[1]P-GENERAL'!F109="","",'[1]P-GENERAL'!F109)</f>
        <v>96</v>
      </c>
      <c r="G109" s="13">
        <f>IF('[1]P-GENERAL'!G109="","",'[1]P-GENERAL'!G109)</f>
        <v>2</v>
      </c>
      <c r="H109" s="14">
        <f>IF('[1]P-GENERAL'!H109="","",'[1]P-GENERAL'!H109)</f>
        <v>46270</v>
      </c>
      <c r="I109">
        <f>IF('[1]P-GENERAL'!I109="","",'[1]P-GENERAL'!I109)</f>
        <v>36</v>
      </c>
      <c r="J109" s="15">
        <f>IF('[1]P-GENERAL'!J109="","",'[1]P-GENERAL'!J109)</f>
        <v>46274</v>
      </c>
      <c r="K109" s="14" t="str">
        <f>IF('[1]P-GENERAL'!K109="","",'[1]P-GENERAL'!K109)</f>
        <v/>
      </c>
      <c r="L109" s="14" t="str">
        <f>IF('[1]P-GENERAL'!L109="","",'[1]P-GENERAL'!L109)</f>
        <v>PREENFRIO FORTALEZA</v>
      </c>
      <c r="M109">
        <f>IF('[1]P-GENERAL'!M109="","",'[1]P-GENERAL'!M109)</f>
        <v>2.5</v>
      </c>
      <c r="N109">
        <f>IF('[1]P-GENERAL'!N109="","",'[1]P-GENERAL'!N109)</f>
        <v>60</v>
      </c>
      <c r="O109" s="14">
        <f>IF('[1]P-GENERAL'!O109="","",'[1]P-GENERAL'!O109)</f>
        <v>46270</v>
      </c>
      <c r="P109" s="16">
        <f>IF('[1]P-GENERAL'!P109="","",'[1]P-GENERAL'!P109)</f>
        <v>0.74305555555555558</v>
      </c>
      <c r="Q109" t="str">
        <f>IF('[1]P-GENERAL'!Q109="","",'[1]P-GENERAL'!Q109)</f>
        <v>NORMAL</v>
      </c>
      <c r="R109" s="14">
        <f>IF('[1]P-GENERAL'!R109="","",'[1]P-GENERAL'!R109)</f>
        <v>46271</v>
      </c>
      <c r="S109" s="16">
        <f>IF('[1]P-GENERAL'!S109="","",'[1]P-GENERAL'!S109)</f>
        <v>2.5000000000000001E-2</v>
      </c>
      <c r="T109" s="16">
        <f>IF('[1]P-GENERAL'!T109="","",'[1]P-GENERAL'!T109)</f>
        <v>0.20833333333333334</v>
      </c>
      <c r="U109" s="17">
        <f>IF('[1]P-GENERAL'!U109="","",'[1]P-GENERAL'!U109)</f>
        <v>46271.233333333337</v>
      </c>
      <c r="V109" s="14">
        <f>IF('[1]P-GENERAL'!V109="","",'[1]P-GENERAL'!V109)</f>
        <v>46271</v>
      </c>
      <c r="W109" s="16">
        <f>IF('[1]P-GENERAL'!W109="","",'[1]P-GENERAL'!W109)</f>
        <v>0.22708333333333333</v>
      </c>
      <c r="X109" s="14" t="str">
        <f>IF('[1]P-GENERAL'!X109="","",'[1]P-GENERAL'!X109)</f>
        <v>SI CUMPLE</v>
      </c>
      <c r="Y109" s="14" t="str">
        <f>IF('[1]P-GENERAL'!Y109="","",'[1]P-GENERAL'!Y109)</f>
        <v>SI CUMPLE</v>
      </c>
      <c r="Z109" s="14" t="str">
        <f>IF('[1]P-GENERAL'!Z109="","",'[1]P-GENERAL'!Z109)</f>
        <v/>
      </c>
      <c r="AA109" s="14" t="str">
        <f>IF('[1]P-GENERAL'!AA109="","",'[1]P-GENERAL'!AA109)</f>
        <v>DESPACHADO</v>
      </c>
      <c r="AB109" s="8" t="str">
        <f>IF('[1]P-GENERAL'!AB109="","",'[1]P-GENERAL'!AB109)</f>
        <v>AUTO EXPRESS SEGOVIA</v>
      </c>
      <c r="AC109" s="8" t="str">
        <f>IF('[1]P-GENERAL'!AC109="","",'[1]P-GENERAL'!AC109)</f>
        <v>ABEL USCANGA REYES</v>
      </c>
      <c r="AD109">
        <f>IF('[1]P-GENERAL'!AD109="","",'[1]P-GENERAL'!AD109)</f>
        <v>29440</v>
      </c>
      <c r="AE109" t="str">
        <f>IF('[1]P-GENERAL'!AE109="","",'[1]P-GENERAL'!AE109)</f>
        <v>QCH1W04BZ0</v>
      </c>
    </row>
    <row r="110" spans="1:31" ht="20.25" x14ac:dyDescent="0.3">
      <c r="A110" s="11" t="str">
        <f>IF('[1]P-GENERAL'!A110="","",'[1]P-GENERAL'!A110)</f>
        <v>Chanitos Organic Banded Market Side Mexico</v>
      </c>
      <c r="B110" s="11" t="str">
        <f>IF('[1]P-GENERAL'!B110="","",'[1]P-GENERAL'!B110)</f>
        <v>CRG07128</v>
      </c>
      <c r="C110" t="str">
        <f>IF('[1]P-GENERAL'!C110="","",'[1]P-GENERAL'!C110)</f>
        <v>A01002-360509-1</v>
      </c>
      <c r="D110" t="str">
        <f>IF('[1]P-GENERAL'!D110="","",'[1]P-GENERAL'!D110)</f>
        <v>A01 002 Fortaleza</v>
      </c>
      <c r="E110" s="8" t="str">
        <f>IF('[1]P-GENERAL'!E110="","",'[1]P-GENERAL'!E110)</f>
        <v>QRO</v>
      </c>
      <c r="F110" s="12">
        <f>IF('[1]P-GENERAL'!F110="","",'[1]P-GENERAL'!F110)</f>
        <v>96</v>
      </c>
      <c r="G110" s="13">
        <f>IF('[1]P-GENERAL'!G110="","",'[1]P-GENERAL'!G110)</f>
        <v>2</v>
      </c>
      <c r="H110" s="14">
        <f>IF('[1]P-GENERAL'!H110="","",'[1]P-GENERAL'!H110)</f>
        <v>46270</v>
      </c>
      <c r="I110">
        <f>IF('[1]P-GENERAL'!I110="","",'[1]P-GENERAL'!I110)</f>
        <v>36</v>
      </c>
      <c r="J110" s="15">
        <f>IF('[1]P-GENERAL'!J110="","",'[1]P-GENERAL'!J110)</f>
        <v>46274</v>
      </c>
      <c r="K110" s="14" t="str">
        <f>IF('[1]P-GENERAL'!K110="","",'[1]P-GENERAL'!K110)</f>
        <v/>
      </c>
      <c r="L110" s="14" t="str">
        <f>IF('[1]P-GENERAL'!L110="","",'[1]P-GENERAL'!L110)</f>
        <v>PREENFRIO FORTALEZA</v>
      </c>
      <c r="M110">
        <f>IF('[1]P-GENERAL'!M110="","",'[1]P-GENERAL'!M110)</f>
        <v>1.5</v>
      </c>
      <c r="N110">
        <f>IF('[1]P-GENERAL'!N110="","",'[1]P-GENERAL'!N110)</f>
        <v>36</v>
      </c>
      <c r="O110" s="14">
        <f>IF('[1]P-GENERAL'!O110="","",'[1]P-GENERAL'!O110)</f>
        <v>46270</v>
      </c>
      <c r="P110" s="16">
        <f>IF('[1]P-GENERAL'!P110="","",'[1]P-GENERAL'!P110)</f>
        <v>0.74305555555555558</v>
      </c>
      <c r="Q110" t="str">
        <f>IF('[1]P-GENERAL'!Q110="","",'[1]P-GENERAL'!Q110)</f>
        <v>NORMAL</v>
      </c>
      <c r="R110" s="14">
        <f>IF('[1]P-GENERAL'!R110="","",'[1]P-GENERAL'!R110)</f>
        <v>46271</v>
      </c>
      <c r="S110" s="16">
        <f>IF('[1]P-GENERAL'!S110="","",'[1]P-GENERAL'!S110)</f>
        <v>0.25416666666666665</v>
      </c>
      <c r="T110" s="16">
        <f>IF('[1]P-GENERAL'!T110="","",'[1]P-GENERAL'!T110)</f>
        <v>0.625</v>
      </c>
      <c r="U110" s="17">
        <f>IF('[1]P-GENERAL'!U110="","",'[1]P-GENERAL'!U110)</f>
        <v>46271.879166666666</v>
      </c>
      <c r="V110" s="14">
        <f>IF('[1]P-GENERAL'!V110="","",'[1]P-GENERAL'!V110)</f>
        <v>46271</v>
      </c>
      <c r="W110" s="16">
        <f>IF('[1]P-GENERAL'!W110="","",'[1]P-GENERAL'!W110)</f>
        <v>0.83333333333333337</v>
      </c>
      <c r="X110" s="14" t="str">
        <f>IF('[1]P-GENERAL'!X110="","",'[1]P-GENERAL'!X110)</f>
        <v>SI CUMPLE</v>
      </c>
      <c r="Y110" s="14" t="str">
        <f>IF('[1]P-GENERAL'!Y110="","",'[1]P-GENERAL'!Y110)</f>
        <v>SI CUMPLE</v>
      </c>
      <c r="Z110" s="14" t="str">
        <f>IF('[1]P-GENERAL'!Z110="","",'[1]P-GENERAL'!Z110)</f>
        <v/>
      </c>
      <c r="AA110" s="14" t="str">
        <f>IF('[1]P-GENERAL'!AA110="","",'[1]P-GENERAL'!AA110)</f>
        <v>DESPACHADO</v>
      </c>
      <c r="AB110" s="8" t="str">
        <f>IF('[1]P-GENERAL'!AB110="","",'[1]P-GENERAL'!AB110)</f>
        <v>EMECAN</v>
      </c>
      <c r="AC110" s="8" t="str">
        <f>IF('[1]P-GENERAL'!AC110="","",'[1]P-GENERAL'!AC110)</f>
        <v>JESUS SANTANA GONZALES</v>
      </c>
      <c r="AD110">
        <f>IF('[1]P-GENERAL'!AD110="","",'[1]P-GENERAL'!AD110)</f>
        <v>55359</v>
      </c>
      <c r="AE110" t="str">
        <f>IF('[1]P-GENERAL'!AE110="","",'[1]P-GENERAL'!AE110)</f>
        <v>QCH1W05660</v>
      </c>
    </row>
    <row r="111" spans="1:31" ht="20.25" x14ac:dyDescent="0.3">
      <c r="A111" s="11" t="str">
        <f>IF('[1]P-GENERAL'!A111="","",'[1]P-GENERAL'!A111)</f>
        <v>Chanitos Premium EUA Tarima Americana</v>
      </c>
      <c r="B111" s="11" t="str">
        <f>IF('[1]P-GENERAL'!B111="","",'[1]P-GENERAL'!B111)</f>
        <v>CPR01104</v>
      </c>
      <c r="C111" t="str">
        <f>IF('[1]P-GENERAL'!C111="","",'[1]P-GENERAL'!C111)</f>
        <v>A11045-360409-1</v>
      </c>
      <c r="D111" t="str">
        <f>IF('[1]P-GENERAL'!D111="","",'[1]P-GENERAL'!D111)</f>
        <v>A11 Sector Mazatan</v>
      </c>
      <c r="E111" s="8" t="str">
        <f>IF('[1]P-GENERAL'!E111="","",'[1]P-GENERAL'!E111)</f>
        <v>McAllen</v>
      </c>
      <c r="F111" s="12">
        <f>IF('[1]P-GENERAL'!F111="","",'[1]P-GENERAL'!F111)</f>
        <v>192</v>
      </c>
      <c r="G111" s="13">
        <f>IF('[1]P-GENERAL'!G111="","",'[1]P-GENERAL'!G111)</f>
        <v>4</v>
      </c>
      <c r="H111" s="14">
        <f>IF('[1]P-GENERAL'!H111="","",'[1]P-GENERAL'!H111)</f>
        <v>46269</v>
      </c>
      <c r="I111">
        <f>IF('[1]P-GENERAL'!I111="","",'[1]P-GENERAL'!I111)</f>
        <v>36</v>
      </c>
      <c r="J111" s="15">
        <f>IF('[1]P-GENERAL'!J111="","",'[1]P-GENERAL'!J111)</f>
        <v>46275</v>
      </c>
      <c r="K111" s="14" t="str">
        <f>IF('[1]P-GENERAL'!K111="","",'[1]P-GENERAL'!K111)</f>
        <v/>
      </c>
      <c r="L111" s="14" t="str">
        <f>IF('[1]P-GENERAL'!L111="","",'[1]P-GENERAL'!L111)</f>
        <v>DIRECTO SIN PREENFRIO</v>
      </c>
      <c r="M111">
        <f>IF('[1]P-GENERAL'!M111="","",'[1]P-GENERAL'!M111)</f>
        <v>3</v>
      </c>
      <c r="N111">
        <f>IF('[1]P-GENERAL'!N111="","",'[1]P-GENERAL'!N111)</f>
        <v>72</v>
      </c>
      <c r="O111" s="14">
        <f>IF('[1]P-GENERAL'!O111="","",'[1]P-GENERAL'!O111)</f>
        <v>46270</v>
      </c>
      <c r="P111" s="16">
        <f>IF('[1]P-GENERAL'!P111="","",'[1]P-GENERAL'!P111)</f>
        <v>0.83333333333333337</v>
      </c>
      <c r="Q111" t="str">
        <f>IF('[1]P-GENERAL'!Q111="","",'[1]P-GENERAL'!Q111)</f>
        <v/>
      </c>
      <c r="R111" s="14" t="str">
        <f>IF('[1]P-GENERAL'!R111="","",'[1]P-GENERAL'!R111)</f>
        <v/>
      </c>
      <c r="S111" s="16" t="str">
        <f>IF('[1]P-GENERAL'!S111="","",'[1]P-GENERAL'!S111)</f>
        <v/>
      </c>
      <c r="T111" s="16" t="str">
        <f>IF('[1]P-GENERAL'!T111="","",'[1]P-GENERAL'!T111)</f>
        <v/>
      </c>
      <c r="U111" s="17" t="str">
        <f>IF('[1]P-GENERAL'!U111="","",'[1]P-GENERAL'!U111)</f>
        <v/>
      </c>
      <c r="V111" s="14">
        <f>IF('[1]P-GENERAL'!V111="","",'[1]P-GENERAL'!V111)</f>
        <v>46271</v>
      </c>
      <c r="W111" s="16">
        <f>IF('[1]P-GENERAL'!W111="","",'[1]P-GENERAL'!W111)</f>
        <v>0.33333333333333331</v>
      </c>
      <c r="X111" s="14" t="str">
        <f>IF('[1]P-GENERAL'!X111="","",'[1]P-GENERAL'!X111)</f>
        <v/>
      </c>
      <c r="Y111" s="14" t="str">
        <f>IF('[1]P-GENERAL'!Y111="","",'[1]P-GENERAL'!Y111)</f>
        <v>SI CUMPLE</v>
      </c>
      <c r="Z111" s="14" t="str">
        <f>IF('[1]P-GENERAL'!Z111="","",'[1]P-GENERAL'!Z111)</f>
        <v/>
      </c>
      <c r="AA111" s="14" t="str">
        <f>IF('[1]P-GENERAL'!AA111="","",'[1]P-GENERAL'!AA111)</f>
        <v>DESPACHADO</v>
      </c>
      <c r="AB111" s="8" t="str">
        <f>IF('[1]P-GENERAL'!AB111="","",'[1]P-GENERAL'!AB111)</f>
        <v>AUTO EXPRESS SEGOVIA</v>
      </c>
      <c r="AC111" s="8" t="str">
        <f>IF('[1]P-GENERAL'!AC111="","",'[1]P-GENERAL'!AC111)</f>
        <v>EDILBERTO MORA RAMIREZ</v>
      </c>
      <c r="AD111">
        <f>IF('[1]P-GENERAL'!AD111="","",'[1]P-GENERAL'!AD111)</f>
        <v>83564</v>
      </c>
      <c r="AE111" t="str">
        <f>IF('[1]P-GENERAL'!AE111="","",'[1]P-GENERAL'!AE111)</f>
        <v>QCH1W04730</v>
      </c>
    </row>
    <row r="112" spans="1:31" ht="20.25" x14ac:dyDescent="0.3">
      <c r="A112" s="11" t="str">
        <f>IF('[1]P-GENERAL'!A112="","",'[1]P-GENERAL'!A112)</f>
        <v>Chanitos Premium EUA Tarima Americana</v>
      </c>
      <c r="B112" s="11" t="str">
        <f>IF('[1]P-GENERAL'!B112="","",'[1]P-GENERAL'!B112)</f>
        <v>CPR01104</v>
      </c>
      <c r="C112" t="str">
        <f>IF('[1]P-GENERAL'!C112="","",'[1]P-GENERAL'!C112)</f>
        <v>A11092-360409-1</v>
      </c>
      <c r="D112" t="str">
        <f>IF('[1]P-GENERAL'!D112="","",'[1]P-GENERAL'!D112)</f>
        <v>COMPOSTA</v>
      </c>
      <c r="E112" s="8" t="str">
        <f>IF('[1]P-GENERAL'!E112="","",'[1]P-GENERAL'!E112)</f>
        <v>McAllen</v>
      </c>
      <c r="F112" s="12">
        <f>IF('[1]P-GENERAL'!F112="","",'[1]P-GENERAL'!F112)</f>
        <v>768</v>
      </c>
      <c r="G112" s="13">
        <f>IF('[1]P-GENERAL'!G112="","",'[1]P-GENERAL'!G112)</f>
        <v>16</v>
      </c>
      <c r="H112" s="14">
        <f>IF('[1]P-GENERAL'!H112="","",'[1]P-GENERAL'!H112)</f>
        <v>46269</v>
      </c>
      <c r="I112">
        <f>IF('[1]P-GENERAL'!I112="","",'[1]P-GENERAL'!I112)</f>
        <v>36</v>
      </c>
      <c r="J112" s="15">
        <f>IF('[1]P-GENERAL'!J112="","",'[1]P-GENERAL'!J112)</f>
        <v>46275</v>
      </c>
      <c r="K112" s="14" t="str">
        <f>IF('[1]P-GENERAL'!K112="","",'[1]P-GENERAL'!K112)</f>
        <v/>
      </c>
      <c r="L112" s="14" t="str">
        <f>IF('[1]P-GENERAL'!L112="","",'[1]P-GENERAL'!L112)</f>
        <v>DIRECTO SIN PREENFRIO</v>
      </c>
      <c r="M112">
        <f>IF('[1]P-GENERAL'!M112="","",'[1]P-GENERAL'!M112)</f>
        <v>3</v>
      </c>
      <c r="N112">
        <f>IF('[1]P-GENERAL'!N112="","",'[1]P-GENERAL'!N112)</f>
        <v>72</v>
      </c>
      <c r="O112" s="14">
        <f>IF('[1]P-GENERAL'!O112="","",'[1]P-GENERAL'!O112)</f>
        <v>46270</v>
      </c>
      <c r="P112" s="16">
        <f>IF('[1]P-GENERAL'!P112="","",'[1]P-GENERAL'!P112)</f>
        <v>0.83333333333333337</v>
      </c>
      <c r="Q112" t="str">
        <f>IF('[1]P-GENERAL'!Q112="","",'[1]P-GENERAL'!Q112)</f>
        <v/>
      </c>
      <c r="R112" s="14" t="str">
        <f>IF('[1]P-GENERAL'!R112="","",'[1]P-GENERAL'!R112)</f>
        <v/>
      </c>
      <c r="S112" s="16" t="str">
        <f>IF('[1]P-GENERAL'!S112="","",'[1]P-GENERAL'!S112)</f>
        <v/>
      </c>
      <c r="T112" s="16" t="str">
        <f>IF('[1]P-GENERAL'!T112="","",'[1]P-GENERAL'!T112)</f>
        <v/>
      </c>
      <c r="U112" s="17" t="str">
        <f>IF('[1]P-GENERAL'!U112="","",'[1]P-GENERAL'!U112)</f>
        <v/>
      </c>
      <c r="V112" s="14">
        <f>IF('[1]P-GENERAL'!V112="","",'[1]P-GENERAL'!V112)</f>
        <v>46271</v>
      </c>
      <c r="W112" s="16">
        <f>IF('[1]P-GENERAL'!W112="","",'[1]P-GENERAL'!W112)</f>
        <v>0.33333333333333331</v>
      </c>
      <c r="X112" s="14" t="str">
        <f>IF('[1]P-GENERAL'!X112="","",'[1]P-GENERAL'!X112)</f>
        <v/>
      </c>
      <c r="Y112" s="14" t="str">
        <f>IF('[1]P-GENERAL'!Y112="","",'[1]P-GENERAL'!Y112)</f>
        <v>SI CUMPLE</v>
      </c>
      <c r="Z112" s="14" t="str">
        <f>IF('[1]P-GENERAL'!Z112="","",'[1]P-GENERAL'!Z112)</f>
        <v/>
      </c>
      <c r="AA112" s="14" t="str">
        <f>IF('[1]P-GENERAL'!AA112="","",'[1]P-GENERAL'!AA112)</f>
        <v>DESPACHADO</v>
      </c>
      <c r="AB112" s="8" t="str">
        <f>IF('[1]P-GENERAL'!AB112="","",'[1]P-GENERAL'!AB112)</f>
        <v>AUTO EXPRESS SEGOVIA</v>
      </c>
      <c r="AC112" s="8" t="str">
        <f>IF('[1]P-GENERAL'!AC112="","",'[1]P-GENERAL'!AC112)</f>
        <v>EDILBERTO MORA RAMIREZ</v>
      </c>
      <c r="AD112">
        <f>IF('[1]P-GENERAL'!AD112="","",'[1]P-GENERAL'!AD112)</f>
        <v>83564</v>
      </c>
      <c r="AE112" t="str">
        <f>IF('[1]P-GENERAL'!AE112="","",'[1]P-GENERAL'!AE112)</f>
        <v>QCH1W04730</v>
      </c>
    </row>
    <row r="113" spans="1:31" ht="20.25" x14ac:dyDescent="0.3">
      <c r="A113" s="11" t="str">
        <f>IF('[1]P-GENERAL'!A113="","",'[1]P-GENERAL'!A113)</f>
        <v>Chanitos Premium Tarima Chep</v>
      </c>
      <c r="B113" s="11" t="str">
        <f>IF('[1]P-GENERAL'!B113="","",'[1]P-GENERAL'!B113)</f>
        <v>CPR01102</v>
      </c>
      <c r="C113" t="str">
        <f>IF('[1]P-GENERAL'!C113="","",'[1]P-GENERAL'!C113)</f>
        <v>A01001-360409-1</v>
      </c>
      <c r="D113" t="str">
        <f>IF('[1]P-GENERAL'!D113="","",'[1]P-GENERAL'!D113)</f>
        <v>A01 001 Marbella</v>
      </c>
      <c r="E113" s="8" t="str">
        <f>IF('[1]P-GENERAL'!E113="","",'[1]P-GENERAL'!E113)</f>
        <v>Chalco</v>
      </c>
      <c r="F113" s="12">
        <f>IF('[1]P-GENERAL'!F113="","",'[1]P-GENERAL'!F113)</f>
        <v>42</v>
      </c>
      <c r="G113" s="13">
        <f>IF('[1]P-GENERAL'!G113="","",'[1]P-GENERAL'!G113)</f>
        <v>1</v>
      </c>
      <c r="H113" s="14">
        <f>IF('[1]P-GENERAL'!H113="","",'[1]P-GENERAL'!H113)</f>
        <v>46269</v>
      </c>
      <c r="I113">
        <f>IF('[1]P-GENERAL'!I113="","",'[1]P-GENERAL'!I113)</f>
        <v>36</v>
      </c>
      <c r="J113" s="15">
        <f>IF('[1]P-GENERAL'!J113="","",'[1]P-GENERAL'!J113)</f>
        <v>46275</v>
      </c>
      <c r="K113" s="14" t="str">
        <f>IF('[1]P-GENERAL'!K113="","",'[1]P-GENERAL'!K113)</f>
        <v/>
      </c>
      <c r="L113" s="14" t="str">
        <f>IF('[1]P-GENERAL'!L113="","",'[1]P-GENERAL'!L113)</f>
        <v>PREENFRIO FORTALEZA</v>
      </c>
      <c r="M113">
        <f>IF('[1]P-GENERAL'!M113="","",'[1]P-GENERAL'!M113)</f>
        <v>1</v>
      </c>
      <c r="N113">
        <f>IF('[1]P-GENERAL'!N113="","",'[1]P-GENERAL'!N113)</f>
        <v>24</v>
      </c>
      <c r="O113" s="14">
        <f>IF('[1]P-GENERAL'!O113="","",'[1]P-GENERAL'!O113)</f>
        <v>46269</v>
      </c>
      <c r="P113" s="16">
        <f>IF('[1]P-GENERAL'!P113="","",'[1]P-GENERAL'!P113)</f>
        <v>0.8354166666666667</v>
      </c>
      <c r="Q113" t="str">
        <f>IF('[1]P-GENERAL'!Q113="","",'[1]P-GENERAL'!Q113)</f>
        <v>NORMAL</v>
      </c>
      <c r="R113" s="14">
        <f>IF('[1]P-GENERAL'!R113="","",'[1]P-GENERAL'!R113)</f>
        <v>46272</v>
      </c>
      <c r="S113" s="16">
        <f>IF('[1]P-GENERAL'!S113="","",'[1]P-GENERAL'!S113)</f>
        <v>0.23819444444444443</v>
      </c>
      <c r="T113" s="16">
        <f>IF('[1]P-GENERAL'!T113="","",'[1]P-GENERAL'!T113)</f>
        <v>0.20833333333333334</v>
      </c>
      <c r="U113" s="17">
        <f>IF('[1]P-GENERAL'!U113="","",'[1]P-GENERAL'!U113)</f>
        <v>46272.446527777778</v>
      </c>
      <c r="V113" s="14">
        <f>IF('[1]P-GENERAL'!V113="","",'[1]P-GENERAL'!V113)</f>
        <v>46272</v>
      </c>
      <c r="W113" s="16">
        <f>IF('[1]P-GENERAL'!W113="","",'[1]P-GENERAL'!W113)</f>
        <v>0.98819444444444449</v>
      </c>
      <c r="X113" s="14" t="str">
        <f>IF('[1]P-GENERAL'!X113="","",'[1]P-GENERAL'!X113)</f>
        <v>SI CUMPLE</v>
      </c>
      <c r="Y113" s="14" t="str">
        <f>IF('[1]P-GENERAL'!Y113="","",'[1]P-GENERAL'!Y113)</f>
        <v>SI CUMPLE</v>
      </c>
      <c r="Z113" s="14" t="str">
        <f>IF('[1]P-GENERAL'!Z113="","",'[1]P-GENERAL'!Z113)</f>
        <v/>
      </c>
      <c r="AA113" s="14" t="str">
        <f>IF('[1]P-GENERAL'!AA113="","",'[1]P-GENERAL'!AA113)</f>
        <v>DESPACHADO</v>
      </c>
      <c r="AB113" s="8" t="str">
        <f>IF('[1]P-GENERAL'!AB113="","",'[1]P-GENERAL'!AB113)</f>
        <v xml:space="preserve">EDUARDO ROSALES </v>
      </c>
      <c r="AC113" s="8" t="str">
        <f>IF('[1]P-GENERAL'!AC113="","",'[1]P-GENERAL'!AC113)</f>
        <v>JESUS EDUARDO ROSALES PEREZ</v>
      </c>
      <c r="AD113">
        <f>IF('[1]P-GENERAL'!AD113="","",'[1]P-GENERAL'!AD113)</f>
        <v>10357</v>
      </c>
      <c r="AE113" t="str">
        <f>IF('[1]P-GENERAL'!AE113="","",'[1]P-GENERAL'!AE113)</f>
        <v>QCH1W05610</v>
      </c>
    </row>
    <row r="114" spans="1:31" ht="20.25" x14ac:dyDescent="0.3">
      <c r="A114" s="11" t="str">
        <f>IF('[1]P-GENERAL'!A114="","",'[1]P-GENERAL'!A114)</f>
        <v>Platano de Chiapas BAE UPC 3237</v>
      </c>
      <c r="B114" s="11" t="str">
        <f>IF('[1]P-GENERAL'!B114="","",'[1]P-GENERAL'!B114)</f>
        <v>CPR01114</v>
      </c>
      <c r="C114" t="str">
        <f>IF('[1]P-GENERAL'!C114="","",'[1]P-GENERAL'!C114)</f>
        <v>A01001-360409-1</v>
      </c>
      <c r="D114" t="str">
        <f>IF('[1]P-GENERAL'!D114="","",'[1]P-GENERAL'!D114)</f>
        <v>A01 001 Marbella</v>
      </c>
      <c r="E114" s="8" t="str">
        <f>IF('[1]P-GENERAL'!E114="","",'[1]P-GENERAL'!E114)</f>
        <v>Chalco</v>
      </c>
      <c r="F114" s="12">
        <f>IF('[1]P-GENERAL'!F114="","",'[1]P-GENERAL'!F114)</f>
        <v>6</v>
      </c>
      <c r="G114" s="13">
        <f>IF('[1]P-GENERAL'!G114="","",'[1]P-GENERAL'!G114)</f>
        <v>0</v>
      </c>
      <c r="H114" s="14">
        <f>IF('[1]P-GENERAL'!H114="","",'[1]P-GENERAL'!H114)</f>
        <v>46269</v>
      </c>
      <c r="I114">
        <f>IF('[1]P-GENERAL'!I114="","",'[1]P-GENERAL'!I114)</f>
        <v>36</v>
      </c>
      <c r="J114" s="15">
        <f>IF('[1]P-GENERAL'!J114="","",'[1]P-GENERAL'!J114)</f>
        <v>46275</v>
      </c>
      <c r="K114" s="14" t="str">
        <f>IF('[1]P-GENERAL'!K114="","",'[1]P-GENERAL'!K114)</f>
        <v/>
      </c>
      <c r="L114" s="14" t="str">
        <f>IF('[1]P-GENERAL'!L114="","",'[1]P-GENERAL'!L114)</f>
        <v>PREENFRIO FORTALEZA</v>
      </c>
      <c r="M114">
        <f>IF('[1]P-GENERAL'!M114="","",'[1]P-GENERAL'!M114)</f>
        <v>1</v>
      </c>
      <c r="N114">
        <f>IF('[1]P-GENERAL'!N114="","",'[1]P-GENERAL'!N114)</f>
        <v>24</v>
      </c>
      <c r="O114" s="14">
        <f>IF('[1]P-GENERAL'!O114="","",'[1]P-GENERAL'!O114)</f>
        <v>46269</v>
      </c>
      <c r="P114" s="16">
        <f>IF('[1]P-GENERAL'!P114="","",'[1]P-GENERAL'!P114)</f>
        <v>0.8354166666666667</v>
      </c>
      <c r="Q114" t="str">
        <f>IF('[1]P-GENERAL'!Q114="","",'[1]P-GENERAL'!Q114)</f>
        <v>NORMAL</v>
      </c>
      <c r="R114" s="14">
        <f>IF('[1]P-GENERAL'!R114="","",'[1]P-GENERAL'!R114)</f>
        <v>46272</v>
      </c>
      <c r="S114" s="16">
        <f>IF('[1]P-GENERAL'!S114="","",'[1]P-GENERAL'!S114)</f>
        <v>0.23819444444444443</v>
      </c>
      <c r="T114" s="16">
        <f>IF('[1]P-GENERAL'!T114="","",'[1]P-GENERAL'!T114)</f>
        <v>0.20833333333333334</v>
      </c>
      <c r="U114" s="17">
        <f>IF('[1]P-GENERAL'!U114="","",'[1]P-GENERAL'!U114)</f>
        <v>46272.446527777778</v>
      </c>
      <c r="V114" s="14">
        <f>IF('[1]P-GENERAL'!V114="","",'[1]P-GENERAL'!V114)</f>
        <v>46272</v>
      </c>
      <c r="W114" s="16">
        <f>IF('[1]P-GENERAL'!W114="","",'[1]P-GENERAL'!W114)</f>
        <v>0.98819444444444449</v>
      </c>
      <c r="X114" s="14" t="str">
        <f>IF('[1]P-GENERAL'!X114="","",'[1]P-GENERAL'!X114)</f>
        <v>SI CUMPLE</v>
      </c>
      <c r="Y114" s="14" t="str">
        <f>IF('[1]P-GENERAL'!Y114="","",'[1]P-GENERAL'!Y114)</f>
        <v>SI CUMPLE</v>
      </c>
      <c r="Z114" s="14" t="str">
        <f>IF('[1]P-GENERAL'!Z114="","",'[1]P-GENERAL'!Z114)</f>
        <v/>
      </c>
      <c r="AA114" s="14" t="str">
        <f>IF('[1]P-GENERAL'!AA114="","",'[1]P-GENERAL'!AA114)</f>
        <v>DESPACHADO</v>
      </c>
      <c r="AB114" s="8" t="str">
        <f>IF('[1]P-GENERAL'!AB114="","",'[1]P-GENERAL'!AB114)</f>
        <v xml:space="preserve">EDUARDO ROSALES </v>
      </c>
      <c r="AC114" s="8" t="str">
        <f>IF('[1]P-GENERAL'!AC114="","",'[1]P-GENERAL'!AC114)</f>
        <v>JESUS EDUARDO ROSALES PEREZ</v>
      </c>
      <c r="AD114">
        <f>IF('[1]P-GENERAL'!AD114="","",'[1]P-GENERAL'!AD114)</f>
        <v>10357</v>
      </c>
      <c r="AE114" t="str">
        <f>IF('[1]P-GENERAL'!AE114="","",'[1]P-GENERAL'!AE114)</f>
        <v>QCH1W05610</v>
      </c>
    </row>
    <row r="115" spans="1:31" ht="20.25" x14ac:dyDescent="0.3">
      <c r="A115" s="11" t="str">
        <f>IF('[1]P-GENERAL'!A115="","",'[1]P-GENERAL'!A115)</f>
        <v>Chanitos Premium Tarima Chep</v>
      </c>
      <c r="B115" s="11" t="str">
        <f>IF('[1]P-GENERAL'!B115="","",'[1]P-GENERAL'!B115)</f>
        <v>CPR01102</v>
      </c>
      <c r="C115" t="str">
        <f>IF('[1]P-GENERAL'!C115="","",'[1]P-GENERAL'!C115)</f>
        <v>A01 002 Fortaleza</v>
      </c>
      <c r="D115" t="str">
        <f>IF('[1]P-GENERAL'!D115="","",'[1]P-GENERAL'!D115)</f>
        <v>A01 002 Fortaleza</v>
      </c>
      <c r="E115" s="8" t="str">
        <f>IF('[1]P-GENERAL'!E115="","",'[1]P-GENERAL'!E115)</f>
        <v>Chalco</v>
      </c>
      <c r="F115" s="12">
        <f>IF('[1]P-GENERAL'!F115="","",'[1]P-GENERAL'!F115)</f>
        <v>336</v>
      </c>
      <c r="G115" s="13">
        <f>IF('[1]P-GENERAL'!G115="","",'[1]P-GENERAL'!G115)</f>
        <v>7</v>
      </c>
      <c r="H115" s="14">
        <f>IF('[1]P-GENERAL'!H115="","",'[1]P-GENERAL'!H115)</f>
        <v>46269</v>
      </c>
      <c r="I115">
        <f>IF('[1]P-GENERAL'!I115="","",'[1]P-GENERAL'!I115)</f>
        <v>36</v>
      </c>
      <c r="J115" s="15">
        <f>IF('[1]P-GENERAL'!J115="","",'[1]P-GENERAL'!J115)</f>
        <v>46275</v>
      </c>
      <c r="K115" s="14" t="str">
        <f>IF('[1]P-GENERAL'!K115="","",'[1]P-GENERAL'!K115)</f>
        <v/>
      </c>
      <c r="L115" s="14" t="str">
        <f>IF('[1]P-GENERAL'!L115="","",'[1]P-GENERAL'!L115)</f>
        <v>PREENFRIO FORTALEZA</v>
      </c>
      <c r="M115">
        <f>IF('[1]P-GENERAL'!M115="","",'[1]P-GENERAL'!M115)</f>
        <v>1</v>
      </c>
      <c r="N115">
        <f>IF('[1]P-GENERAL'!N115="","",'[1]P-GENERAL'!N115)</f>
        <v>24</v>
      </c>
      <c r="O115" s="14">
        <f>IF('[1]P-GENERAL'!O115="","",'[1]P-GENERAL'!O115)</f>
        <v>46269</v>
      </c>
      <c r="P115" s="16">
        <f>IF('[1]P-GENERAL'!P115="","",'[1]P-GENERAL'!P115)</f>
        <v>0.70833333333333337</v>
      </c>
      <c r="Q115" t="str">
        <f>IF('[1]P-GENERAL'!Q115="","",'[1]P-GENERAL'!Q115)</f>
        <v>NORMAL</v>
      </c>
      <c r="R115" s="14">
        <f>IF('[1]P-GENERAL'!R115="","",'[1]P-GENERAL'!R115)</f>
        <v>46272</v>
      </c>
      <c r="S115" s="16">
        <f>IF('[1]P-GENERAL'!S115="","",'[1]P-GENERAL'!S115)</f>
        <v>0.88958333333333328</v>
      </c>
      <c r="T115" s="16">
        <f>IF('[1]P-GENERAL'!T115="","",'[1]P-GENERAL'!T115)</f>
        <v>0.20833333333333334</v>
      </c>
      <c r="U115" s="17">
        <f>IF('[1]P-GENERAL'!U115="","",'[1]P-GENERAL'!U115)</f>
        <v>46273.097916666666</v>
      </c>
      <c r="V115" s="14">
        <f>IF('[1]P-GENERAL'!V115="","",'[1]P-GENERAL'!V115)</f>
        <v>46272</v>
      </c>
      <c r="W115" s="16">
        <f>IF('[1]P-GENERAL'!W115="","",'[1]P-GENERAL'!W115)</f>
        <v>0.98819444444444449</v>
      </c>
      <c r="X115" s="14" t="str">
        <f>IF('[1]P-GENERAL'!X115="","",'[1]P-GENERAL'!X115)</f>
        <v>SI CUMPLE</v>
      </c>
      <c r="Y115" s="14" t="str">
        <f>IF('[1]P-GENERAL'!Y115="","",'[1]P-GENERAL'!Y115)</f>
        <v>SI CUMPLE</v>
      </c>
      <c r="Z115" s="14" t="str">
        <f>IF('[1]P-GENERAL'!Z115="","",'[1]P-GENERAL'!Z115)</f>
        <v/>
      </c>
      <c r="AA115" s="14" t="str">
        <f>IF('[1]P-GENERAL'!AA115="","",'[1]P-GENERAL'!AA115)</f>
        <v>DESPACHADO</v>
      </c>
      <c r="AB115" s="8" t="str">
        <f>IF('[1]P-GENERAL'!AB115="","",'[1]P-GENERAL'!AB115)</f>
        <v xml:space="preserve">EDUARDO ROSALES </v>
      </c>
      <c r="AC115" s="8" t="str">
        <f>IF('[1]P-GENERAL'!AC115="","",'[1]P-GENERAL'!AC115)</f>
        <v>JESUS EDUARDO ROSALES PEREZ</v>
      </c>
      <c r="AD115">
        <f>IF('[1]P-GENERAL'!AD115="","",'[1]P-GENERAL'!AD115)</f>
        <v>10357</v>
      </c>
      <c r="AE115" t="str">
        <f>IF('[1]P-GENERAL'!AE115="","",'[1]P-GENERAL'!AE115)</f>
        <v>QCH1W05610</v>
      </c>
    </row>
    <row r="116" spans="1:31" ht="20.25" x14ac:dyDescent="0.3">
      <c r="A116" s="11" t="str">
        <f>IF('[1]P-GENERAL'!A116="","",'[1]P-GENERAL'!A116)</f>
        <v>Chanitos Premium Tarima Chep</v>
      </c>
      <c r="B116" s="11" t="str">
        <f>IF('[1]P-GENERAL'!B116="","",'[1]P-GENERAL'!B116)</f>
        <v>CPR01102</v>
      </c>
      <c r="C116" t="str">
        <f>IF('[1]P-GENERAL'!C116="","",'[1]P-GENERAL'!C116)</f>
        <v>A01002-360409-1</v>
      </c>
      <c r="D116" t="str">
        <f>IF('[1]P-GENERAL'!D116="","",'[1]P-GENERAL'!D116)</f>
        <v>A01 002 Fortaleza</v>
      </c>
      <c r="E116" s="8" t="str">
        <f>IF('[1]P-GENERAL'!E116="","",'[1]P-GENERAL'!E116)</f>
        <v>VSA</v>
      </c>
      <c r="F116" s="12">
        <f>IF('[1]P-GENERAL'!F116="","",'[1]P-GENERAL'!F116)</f>
        <v>240</v>
      </c>
      <c r="G116" s="13">
        <f>IF('[1]P-GENERAL'!G116="","",'[1]P-GENERAL'!G116)</f>
        <v>5</v>
      </c>
      <c r="H116" s="14">
        <f>IF('[1]P-GENERAL'!H116="","",'[1]P-GENERAL'!H116)</f>
        <v>46269</v>
      </c>
      <c r="I116">
        <f>IF('[1]P-GENERAL'!I116="","",'[1]P-GENERAL'!I116)</f>
        <v>36</v>
      </c>
      <c r="J116" s="15">
        <f>IF('[1]P-GENERAL'!J116="","",'[1]P-GENERAL'!J116)</f>
        <v>46275</v>
      </c>
      <c r="K116" s="14" t="str">
        <f>IF('[1]P-GENERAL'!K116="","",'[1]P-GENERAL'!K116)</f>
        <v/>
      </c>
      <c r="L116" s="14" t="str">
        <f>IF('[1]P-GENERAL'!L116="","",'[1]P-GENERAL'!L116)</f>
        <v>PREENFRIO FORTALEZA</v>
      </c>
      <c r="M116">
        <f>IF('[1]P-GENERAL'!M116="","",'[1]P-GENERAL'!M116)</f>
        <v>1</v>
      </c>
      <c r="N116">
        <f>IF('[1]P-GENERAL'!N116="","",'[1]P-GENERAL'!N116)</f>
        <v>24</v>
      </c>
      <c r="O116" s="14">
        <f>IF('[1]P-GENERAL'!O116="","",'[1]P-GENERAL'!O116)</f>
        <v>46269</v>
      </c>
      <c r="P116" s="16">
        <f>IF('[1]P-GENERAL'!P116="","",'[1]P-GENERAL'!P116)</f>
        <v>0.70833333333333337</v>
      </c>
      <c r="Q116" t="str">
        <f>IF('[1]P-GENERAL'!Q116="","",'[1]P-GENERAL'!Q116)</f>
        <v>NORMAL</v>
      </c>
      <c r="R116" s="14">
        <f>IF('[1]P-GENERAL'!R116="","",'[1]P-GENERAL'!R116)</f>
        <v>46272</v>
      </c>
      <c r="S116" s="16">
        <f>IF('[1]P-GENERAL'!S116="","",'[1]P-GENERAL'!S116)</f>
        <v>0.88958333333333328</v>
      </c>
      <c r="T116" s="16">
        <f>IF('[1]P-GENERAL'!T116="","",'[1]P-GENERAL'!T116)</f>
        <v>0.20833333333333334</v>
      </c>
      <c r="U116" s="17">
        <f>IF('[1]P-GENERAL'!U116="","",'[1]P-GENERAL'!U116)</f>
        <v>46273.097916666666</v>
      </c>
      <c r="V116" s="14">
        <f>IF('[1]P-GENERAL'!V116="","",'[1]P-GENERAL'!V116)</f>
        <v>46273</v>
      </c>
      <c r="W116" s="16">
        <f>IF('[1]P-GENERAL'!W116="","",'[1]P-GENERAL'!W116)</f>
        <v>0.58333333333333337</v>
      </c>
      <c r="X116" s="14" t="str">
        <f>IF('[1]P-GENERAL'!X116="","",'[1]P-GENERAL'!X116)</f>
        <v>SI CUMPLE</v>
      </c>
      <c r="Y116" s="14" t="str">
        <f>IF('[1]P-GENERAL'!Y116="","",'[1]P-GENERAL'!Y116)</f>
        <v>SI CUMPLE</v>
      </c>
      <c r="Z116" s="14" t="str">
        <f>IF('[1]P-GENERAL'!Z116="","",'[1]P-GENERAL'!Z116)</f>
        <v/>
      </c>
      <c r="AA116" s="14" t="str">
        <f>IF('[1]P-GENERAL'!AA116="","",'[1]P-GENERAL'!AA116)</f>
        <v>DESPACHADO</v>
      </c>
      <c r="AB116" s="8" t="str">
        <f>IF('[1]P-GENERAL'!AB116="","",'[1]P-GENERAL'!AB116)</f>
        <v>BACKHAUL</v>
      </c>
      <c r="AC116" s="8" t="str">
        <f>IF('[1]P-GENERAL'!AC116="","",'[1]P-GENERAL'!AC116)</f>
        <v>Eliud Hernandez Chable</v>
      </c>
      <c r="AD116">
        <f>IF('[1]P-GENERAL'!AD116="","",'[1]P-GENERAL'!AD116)</f>
        <v>66119</v>
      </c>
      <c r="AE116" t="str">
        <f>IF('[1]P-GENERAL'!AE116="","",'[1]P-GENERAL'!AE116)</f>
        <v>QCH1W04D20</v>
      </c>
    </row>
    <row r="117" spans="1:31" ht="20.25" x14ac:dyDescent="0.3">
      <c r="A117" s="11" t="str">
        <f>IF('[1]P-GENERAL'!A117="","",'[1]P-GENERAL'!A117)</f>
        <v>Chanitos Premium Tarima Americana</v>
      </c>
      <c r="B117" s="11" t="str">
        <f>IF('[1]P-GENERAL'!B117="","",'[1]P-GENERAL'!B117)</f>
        <v>CPR01103</v>
      </c>
      <c r="C117" t="str">
        <f>IF('[1]P-GENERAL'!C117="","",'[1]P-GENERAL'!C117)</f>
        <v>A11092-360409-1</v>
      </c>
      <c r="D117" t="str">
        <f>IF('[1]P-GENERAL'!D117="","",'[1]P-GENERAL'!D117)</f>
        <v>A11 092 Composta</v>
      </c>
      <c r="E117" s="8" t="str">
        <f>IF('[1]P-GENERAL'!E117="","",'[1]P-GENERAL'!E117)</f>
        <v>S-MTY</v>
      </c>
      <c r="F117" s="12">
        <f>IF('[1]P-GENERAL'!F117="","",'[1]P-GENERAL'!F117)</f>
        <v>960</v>
      </c>
      <c r="G117" s="13">
        <f>IF('[1]P-GENERAL'!G117="","",'[1]P-GENERAL'!G117)</f>
        <v>20</v>
      </c>
      <c r="H117" s="14">
        <f>IF('[1]P-GENERAL'!H117="","",'[1]P-GENERAL'!H117)</f>
        <v>46270</v>
      </c>
      <c r="I117">
        <f>IF('[1]P-GENERAL'!I117="","",'[1]P-GENERAL'!I117)</f>
        <v>36</v>
      </c>
      <c r="J117" s="15">
        <f>IF('[1]P-GENERAL'!J117="","",'[1]P-GENERAL'!J117)</f>
        <v>46275</v>
      </c>
      <c r="K117" s="14">
        <f>IF('[1]P-GENERAL'!K117="","",'[1]P-GENERAL'!K117)</f>
        <v>0.25</v>
      </c>
      <c r="L117" s="14" t="str">
        <f>IF('[1]P-GENERAL'!L117="","",'[1]P-GENERAL'!L117)</f>
        <v>PREENFRIO NELLY</v>
      </c>
      <c r="M117">
        <f>IF('[1]P-GENERAL'!M117="","",'[1]P-GENERAL'!M117)</f>
        <v>3</v>
      </c>
      <c r="N117">
        <f>IF('[1]P-GENERAL'!N117="","",'[1]P-GENERAL'!N117)</f>
        <v>72</v>
      </c>
      <c r="O117" s="14">
        <f>IF('[1]P-GENERAL'!O117="","",'[1]P-GENERAL'!O117)</f>
        <v>46270</v>
      </c>
      <c r="P117" s="16">
        <f>IF('[1]P-GENERAL'!P117="","",'[1]P-GENERAL'!P117)</f>
        <v>0.98958333333333337</v>
      </c>
      <c r="Q117" t="str">
        <f>IF('[1]P-GENERAL'!Q117="","",'[1]P-GENERAL'!Q117)</f>
        <v>ALTA</v>
      </c>
      <c r="R117" s="14">
        <f>IF('[1]P-GENERAL'!R117="","",'[1]P-GENERAL'!R117)</f>
        <v>46271</v>
      </c>
      <c r="S117" s="16">
        <f>IF('[1]P-GENERAL'!S117="","",'[1]P-GENERAL'!S117)</f>
        <v>0.95486111111111116</v>
      </c>
      <c r="T117" s="16">
        <f>IF('[1]P-GENERAL'!T117="","",'[1]P-GENERAL'!T117)</f>
        <v>0.4375</v>
      </c>
      <c r="U117" s="17">
        <f>IF('[1]P-GENERAL'!U117="","",'[1]P-GENERAL'!U117)</f>
        <v>46272.392361111109</v>
      </c>
      <c r="V117" s="14">
        <f>IF('[1]P-GENERAL'!V117="","",'[1]P-GENERAL'!V117)</f>
        <v>46272</v>
      </c>
      <c r="W117" s="16">
        <f>IF('[1]P-GENERAL'!W117="","",'[1]P-GENERAL'!W117)</f>
        <v>0.27083333333333331</v>
      </c>
      <c r="X117" s="14" t="str">
        <f>IF('[1]P-GENERAL'!X117="","",'[1]P-GENERAL'!X117)</f>
        <v>NO CUMPLE</v>
      </c>
      <c r="Y117" s="14" t="str">
        <f>IF('[1]P-GENERAL'!Y117="","",'[1]P-GENERAL'!Y117)</f>
        <v>NO CUMPLE</v>
      </c>
      <c r="Z117" s="14" t="str">
        <f>IF('[1]P-GENERAL'!Z117="","",'[1]P-GENERAL'!Z117)</f>
        <v>MANIOBRA</v>
      </c>
      <c r="AA117" s="14" t="str">
        <f>IF('[1]P-GENERAL'!AA117="","",'[1]P-GENERAL'!AA117)</f>
        <v>DESPACHADO</v>
      </c>
      <c r="AB117" s="8" t="str">
        <f>IF('[1]P-GENERAL'!AB117="","",'[1]P-GENERAL'!AB117)</f>
        <v>AUTO EXPRESS SEGOVIA</v>
      </c>
      <c r="AC117" s="8" t="str">
        <f>IF('[1]P-GENERAL'!AC117="","",'[1]P-GENERAL'!AC117)</f>
        <v>Osvalo martinez leo</v>
      </c>
      <c r="AD117">
        <f>IF('[1]P-GENERAL'!AD117="","",'[1]P-GENERAL'!AD117)</f>
        <v>10388</v>
      </c>
      <c r="AE117" t="str">
        <f>IF('[1]P-GENERAL'!AE117="","",'[1]P-GENERAL'!AE117)</f>
        <v/>
      </c>
    </row>
    <row r="118" spans="1:31" ht="20.25" x14ac:dyDescent="0.3">
      <c r="A118" s="11" t="str">
        <f>IF('[1]P-GENERAL'!A118="","",'[1]P-GENERAL'!A118)</f>
        <v>Chanitos Premium EUA Tarima Americana</v>
      </c>
      <c r="B118" s="11" t="str">
        <f>IF('[1]P-GENERAL'!B118="","",'[1]P-GENERAL'!B118)</f>
        <v>CPR01104</v>
      </c>
      <c r="C118" t="str">
        <f>IF('[1]P-GENERAL'!C118="","",'[1]P-GENERAL'!C118)</f>
        <v>A04084-360509-1</v>
      </c>
      <c r="D118" t="str">
        <f>IF('[1]P-GENERAL'!D118="","",'[1]P-GENERAL'!D118)</f>
        <v>A04 084 Lisboa</v>
      </c>
      <c r="E118" s="8" t="str">
        <f>IF('[1]P-GENERAL'!E118="","",'[1]P-GENERAL'!E118)</f>
        <v>McAllen</v>
      </c>
      <c r="F118" s="12">
        <f>IF('[1]P-GENERAL'!F118="","",'[1]P-GENERAL'!F118)</f>
        <v>720</v>
      </c>
      <c r="G118" s="13">
        <f>IF('[1]P-GENERAL'!G118="","",'[1]P-GENERAL'!G118)</f>
        <v>15</v>
      </c>
      <c r="H118" s="14">
        <f>IF('[1]P-GENERAL'!H118="","",'[1]P-GENERAL'!H118)</f>
        <v>46270</v>
      </c>
      <c r="I118">
        <f>IF('[1]P-GENERAL'!I118="","",'[1]P-GENERAL'!I118)</f>
        <v>36</v>
      </c>
      <c r="J118" s="15">
        <f>IF('[1]P-GENERAL'!J118="","",'[1]P-GENERAL'!J118)</f>
        <v>46275</v>
      </c>
      <c r="K118" s="14" t="str">
        <f>IF('[1]P-GENERAL'!K118="","",'[1]P-GENERAL'!K118)</f>
        <v/>
      </c>
      <c r="L118" s="14" t="str">
        <f>IF('[1]P-GENERAL'!L118="","",'[1]P-GENERAL'!L118)</f>
        <v>DIRECTO SIN PREENFRIO</v>
      </c>
      <c r="M118">
        <f>IF('[1]P-GENERAL'!M118="","",'[1]P-GENERAL'!M118)</f>
        <v>3</v>
      </c>
      <c r="N118">
        <f>IF('[1]P-GENERAL'!N118="","",'[1]P-GENERAL'!N118)</f>
        <v>72</v>
      </c>
      <c r="O118" s="14">
        <f>IF('[1]P-GENERAL'!O118="","",'[1]P-GENERAL'!O118)</f>
        <v>46271</v>
      </c>
      <c r="P118" s="16">
        <f>IF('[1]P-GENERAL'!P118="","",'[1]P-GENERAL'!P118)</f>
        <v>0.58333333333333337</v>
      </c>
      <c r="Q118" t="str">
        <f>IF('[1]P-GENERAL'!Q118="","",'[1]P-GENERAL'!Q118)</f>
        <v>NORMAL</v>
      </c>
      <c r="R118" s="14" t="str">
        <f>IF('[1]P-GENERAL'!R118="","",'[1]P-GENERAL'!R118)</f>
        <v/>
      </c>
      <c r="S118" s="16" t="str">
        <f>IF('[1]P-GENERAL'!S118="","",'[1]P-GENERAL'!S118)</f>
        <v/>
      </c>
      <c r="T118" s="16" t="str">
        <f>IF('[1]P-GENERAL'!T118="","",'[1]P-GENERAL'!T118)</f>
        <v/>
      </c>
      <c r="U118" s="17" t="str">
        <f>IF('[1]P-GENERAL'!U118="","",'[1]P-GENERAL'!U118)</f>
        <v/>
      </c>
      <c r="V118" s="14">
        <f>IF('[1]P-GENERAL'!V118="","",'[1]P-GENERAL'!V118)</f>
        <v>46272</v>
      </c>
      <c r="W118" s="16">
        <f>IF('[1]P-GENERAL'!W118="","",'[1]P-GENERAL'!W118)</f>
        <v>0.67361111111111116</v>
      </c>
      <c r="X118" s="14" t="str">
        <f>IF('[1]P-GENERAL'!X118="","",'[1]P-GENERAL'!X118)</f>
        <v/>
      </c>
      <c r="Y118" s="14" t="str">
        <f>IF('[1]P-GENERAL'!Y118="","",'[1]P-GENERAL'!Y118)</f>
        <v>NO CUMPLE</v>
      </c>
      <c r="Z118" s="14" t="str">
        <f>IF('[1]P-GENERAL'!Z118="","",'[1]P-GENERAL'!Z118)</f>
        <v>EMPAQUE TARDIO</v>
      </c>
      <c r="AA118" s="14" t="str">
        <f>IF('[1]P-GENERAL'!AA118="","",'[1]P-GENERAL'!AA118)</f>
        <v>DESPACHADO</v>
      </c>
      <c r="AB118" s="8" t="str">
        <f>IF('[1]P-GENERAL'!AB118="","",'[1]P-GENERAL'!AB118)</f>
        <v>TRANSPORTES TOMATITOS</v>
      </c>
      <c r="AC118" s="8" t="str">
        <f>IF('[1]P-GENERAL'!AC118="","",'[1]P-GENERAL'!AC118)</f>
        <v xml:space="preserve">HUGO ALEXIS RODRIGUEZ RODRIGUEZ </v>
      </c>
      <c r="AD118">
        <f>IF('[1]P-GENERAL'!AD118="","",'[1]P-GENERAL'!AD118)</f>
        <v>14216</v>
      </c>
      <c r="AE118" t="str">
        <f>IF('[1]P-GENERAL'!AE118="","",'[1]P-GENERAL'!AE118)</f>
        <v>QCH1W056M0</v>
      </c>
    </row>
    <row r="119" spans="1:31" ht="20.25" x14ac:dyDescent="0.3">
      <c r="A119" s="11" t="str">
        <f>IF('[1]P-GENERAL'!A119="","",'[1]P-GENERAL'!A119)</f>
        <v>Chanitos Premium Tarima Chep</v>
      </c>
      <c r="B119" s="11" t="str">
        <f>IF('[1]P-GENERAL'!B119="","",'[1]P-GENERAL'!B119)</f>
        <v>CPR01102</v>
      </c>
      <c r="C119" t="str">
        <f>IF('[1]P-GENERAL'!C119="","",'[1]P-GENERAL'!C119)</f>
        <v>A04083-360509-1</v>
      </c>
      <c r="D119" t="str">
        <f>IF('[1]P-GENERAL'!D119="","",'[1]P-GENERAL'!D119)</f>
        <v>A04 083 Santa Maria</v>
      </c>
      <c r="E119" s="8" t="str">
        <f>IF('[1]P-GENERAL'!E119="","",'[1]P-GENERAL'!E119)</f>
        <v>Chalco</v>
      </c>
      <c r="F119" s="12">
        <f>IF('[1]P-GENERAL'!F119="","",'[1]P-GENERAL'!F119)</f>
        <v>1056</v>
      </c>
      <c r="G119" s="13">
        <f>IF('[1]P-GENERAL'!G119="","",'[1]P-GENERAL'!G119)</f>
        <v>22</v>
      </c>
      <c r="H119" s="14">
        <f>IF('[1]P-GENERAL'!H119="","",'[1]P-GENERAL'!H119)</f>
        <v>46270</v>
      </c>
      <c r="I119">
        <f>IF('[1]P-GENERAL'!I119="","",'[1]P-GENERAL'!I119)</f>
        <v>36</v>
      </c>
      <c r="J119" s="15">
        <f>IF('[1]P-GENERAL'!J119="","",'[1]P-GENERAL'!J119)</f>
        <v>46275</v>
      </c>
      <c r="K119" s="14" t="str">
        <f>IF('[1]P-GENERAL'!K119="","",'[1]P-GENERAL'!K119)</f>
        <v/>
      </c>
      <c r="L119" s="14" t="str">
        <f>IF('[1]P-GENERAL'!L119="","",'[1]P-GENERAL'!L119)</f>
        <v>PREENFRIO FORTALEZA</v>
      </c>
      <c r="M119">
        <f>IF('[1]P-GENERAL'!M119="","",'[1]P-GENERAL'!M119)</f>
        <v>1</v>
      </c>
      <c r="N119">
        <f>IF('[1]P-GENERAL'!N119="","",'[1]P-GENERAL'!N119)</f>
        <v>24</v>
      </c>
      <c r="O119" s="14">
        <f>IF('[1]P-GENERAL'!O119="","",'[1]P-GENERAL'!O119)</f>
        <v>46270</v>
      </c>
      <c r="P119" s="16">
        <f>IF('[1]P-GENERAL'!P119="","",'[1]P-GENERAL'!P119)</f>
        <v>0.74305555555555558</v>
      </c>
      <c r="Q119" t="str">
        <f>IF('[1]P-GENERAL'!Q119="","",'[1]P-GENERAL'!Q119)</f>
        <v>NORMAL</v>
      </c>
      <c r="R119" s="14">
        <f>IF('[1]P-GENERAL'!R119="","",'[1]P-GENERAL'!R119)</f>
        <v>46272</v>
      </c>
      <c r="S119" s="16">
        <f>IF('[1]P-GENERAL'!S119="","",'[1]P-GENERAL'!S119)</f>
        <v>0.23819444444444443</v>
      </c>
      <c r="T119" s="16">
        <f>IF('[1]P-GENERAL'!T119="","",'[1]P-GENERAL'!T119)</f>
        <v>0.625</v>
      </c>
      <c r="U119" s="17">
        <f>IF('[1]P-GENERAL'!U119="","",'[1]P-GENERAL'!U119)</f>
        <v>46272.863194444442</v>
      </c>
      <c r="V119" s="14">
        <f>IF('[1]P-GENERAL'!V119="","",'[1]P-GENERAL'!V119)</f>
        <v>46272</v>
      </c>
      <c r="W119" s="16">
        <f>IF('[1]P-GENERAL'!W119="","",'[1]P-GENERAL'!W119)</f>
        <v>0.98819444444444449</v>
      </c>
      <c r="X119" s="14" t="str">
        <f>IF('[1]P-GENERAL'!X119="","",'[1]P-GENERAL'!X119)</f>
        <v>SI CUMPLE</v>
      </c>
      <c r="Y119" s="14" t="str">
        <f>IF('[1]P-GENERAL'!Y119="","",'[1]P-GENERAL'!Y119)</f>
        <v>SI CUMPLE</v>
      </c>
      <c r="Z119" s="14" t="str">
        <f>IF('[1]P-GENERAL'!Z119="","",'[1]P-GENERAL'!Z119)</f>
        <v/>
      </c>
      <c r="AA119" s="14" t="str">
        <f>IF('[1]P-GENERAL'!AA119="","",'[1]P-GENERAL'!AA119)</f>
        <v>DESPACHADO</v>
      </c>
      <c r="AB119" s="8" t="str">
        <f>IF('[1]P-GENERAL'!AB119="","",'[1]P-GENERAL'!AB119)</f>
        <v xml:space="preserve">EDUARDO ROSALES </v>
      </c>
      <c r="AC119" s="8" t="str">
        <f>IF('[1]P-GENERAL'!AC119="","",'[1]P-GENERAL'!AC119)</f>
        <v>JESUS EDUARDO ROSALES PEREZ</v>
      </c>
      <c r="AD119">
        <f>IF('[1]P-GENERAL'!AD119="","",'[1]P-GENERAL'!AD119)</f>
        <v>10357</v>
      </c>
      <c r="AE119" t="str">
        <f>IF('[1]P-GENERAL'!AE119="","",'[1]P-GENERAL'!AE119)</f>
        <v>QCH1W05610</v>
      </c>
    </row>
    <row r="120" spans="1:31" ht="20.25" x14ac:dyDescent="0.3">
      <c r="A120" s="11" t="str">
        <f>IF('[1]P-GENERAL'!A120="","",'[1]P-GENERAL'!A120)</f>
        <v>Platano de Chiapas BAE UPC 3237</v>
      </c>
      <c r="B120" s="11" t="str">
        <f>IF('[1]P-GENERAL'!B120="","",'[1]P-GENERAL'!B120)</f>
        <v>CPR01114</v>
      </c>
      <c r="C120" t="str">
        <f>IF('[1]P-GENERAL'!C120="","",'[1]P-GENERAL'!C120)</f>
        <v>A04083-360509-1</v>
      </c>
      <c r="D120" t="str">
        <f>IF('[1]P-GENERAL'!D120="","",'[1]P-GENERAL'!D120)</f>
        <v>A04 083 Santa Maria</v>
      </c>
      <c r="E120" s="8" t="str">
        <f>IF('[1]P-GENERAL'!E120="","",'[1]P-GENERAL'!E120)</f>
        <v>Chalco</v>
      </c>
      <c r="F120" s="12">
        <f>IF('[1]P-GENERAL'!F120="","",'[1]P-GENERAL'!F120)</f>
        <v>48</v>
      </c>
      <c r="G120" s="13">
        <f>IF('[1]P-GENERAL'!G120="","",'[1]P-GENERAL'!G120)</f>
        <v>1</v>
      </c>
      <c r="H120" s="14">
        <f>IF('[1]P-GENERAL'!H120="","",'[1]P-GENERAL'!H120)</f>
        <v>46270</v>
      </c>
      <c r="I120">
        <f>IF('[1]P-GENERAL'!I120="","",'[1]P-GENERAL'!I120)</f>
        <v>36</v>
      </c>
      <c r="J120" s="15">
        <f>IF('[1]P-GENERAL'!J120="","",'[1]P-GENERAL'!J120)</f>
        <v>46275</v>
      </c>
      <c r="K120" s="14" t="str">
        <f>IF('[1]P-GENERAL'!K120="","",'[1]P-GENERAL'!K120)</f>
        <v/>
      </c>
      <c r="L120" s="14" t="str">
        <f>IF('[1]P-GENERAL'!L120="","",'[1]P-GENERAL'!L120)</f>
        <v>PREENFRIO FORTALEZA</v>
      </c>
      <c r="M120">
        <f>IF('[1]P-GENERAL'!M120="","",'[1]P-GENERAL'!M120)</f>
        <v>1</v>
      </c>
      <c r="N120">
        <f>IF('[1]P-GENERAL'!N120="","",'[1]P-GENERAL'!N120)</f>
        <v>24</v>
      </c>
      <c r="O120" s="14">
        <f>IF('[1]P-GENERAL'!O120="","",'[1]P-GENERAL'!O120)</f>
        <v>46270</v>
      </c>
      <c r="P120" s="16">
        <f>IF('[1]P-GENERAL'!P120="","",'[1]P-GENERAL'!P120)</f>
        <v>0.74305555555555558</v>
      </c>
      <c r="Q120" t="str">
        <f>IF('[1]P-GENERAL'!Q120="","",'[1]P-GENERAL'!Q120)</f>
        <v>NORMAL</v>
      </c>
      <c r="R120" s="14">
        <f>IF('[1]P-GENERAL'!R120="","",'[1]P-GENERAL'!R120)</f>
        <v>46272</v>
      </c>
      <c r="S120" s="16">
        <f>IF('[1]P-GENERAL'!S120="","",'[1]P-GENERAL'!S120)</f>
        <v>0.23819444444444443</v>
      </c>
      <c r="T120" s="16">
        <f>IF('[1]P-GENERAL'!T120="","",'[1]P-GENERAL'!T120)</f>
        <v>0.625</v>
      </c>
      <c r="U120" s="17">
        <f>IF('[1]P-GENERAL'!U120="","",'[1]P-GENERAL'!U120)</f>
        <v>46272.863194444442</v>
      </c>
      <c r="V120" s="14">
        <f>IF('[1]P-GENERAL'!V120="","",'[1]P-GENERAL'!V120)</f>
        <v>46272</v>
      </c>
      <c r="W120" s="16">
        <f>IF('[1]P-GENERAL'!W120="","",'[1]P-GENERAL'!W120)</f>
        <v>0.98819444444444449</v>
      </c>
      <c r="X120" s="14" t="str">
        <f>IF('[1]P-GENERAL'!X120="","",'[1]P-GENERAL'!X120)</f>
        <v>SI CUMPLE</v>
      </c>
      <c r="Y120" s="14" t="str">
        <f>IF('[1]P-GENERAL'!Y120="","",'[1]P-GENERAL'!Y120)</f>
        <v>SI CUMPLE</v>
      </c>
      <c r="Z120" s="14" t="str">
        <f>IF('[1]P-GENERAL'!Z120="","",'[1]P-GENERAL'!Z120)</f>
        <v/>
      </c>
      <c r="AA120" s="14" t="str">
        <f>IF('[1]P-GENERAL'!AA120="","",'[1]P-GENERAL'!AA120)</f>
        <v>DESPACHADO</v>
      </c>
      <c r="AB120" s="8" t="str">
        <f>IF('[1]P-GENERAL'!AB120="","",'[1]P-GENERAL'!AB120)</f>
        <v xml:space="preserve">EDUARDO ROSALES </v>
      </c>
      <c r="AC120" s="8" t="str">
        <f>IF('[1]P-GENERAL'!AC120="","",'[1]P-GENERAL'!AC120)</f>
        <v>JESUS EDUARDO ROSALES PEREZ</v>
      </c>
      <c r="AD120">
        <f>IF('[1]P-GENERAL'!AD120="","",'[1]P-GENERAL'!AD120)</f>
        <v>10357</v>
      </c>
      <c r="AE120" t="str">
        <f>IF('[1]P-GENERAL'!AE120="","",'[1]P-GENERAL'!AE120)</f>
        <v>QCH1W05610</v>
      </c>
    </row>
    <row r="121" spans="1:31" ht="20.25" x14ac:dyDescent="0.3">
      <c r="A121" s="11" t="str">
        <f>IF('[1]P-GENERAL'!A121="","",'[1]P-GENERAL'!A121)</f>
        <v>Chanitos Premium Tarima Chep</v>
      </c>
      <c r="B121" s="11" t="str">
        <f>IF('[1]P-GENERAL'!B121="","",'[1]P-GENERAL'!B121)</f>
        <v>CPR01102</v>
      </c>
      <c r="C121" t="str">
        <f>IF('[1]P-GENERAL'!C121="","",'[1]P-GENERAL'!C121)</f>
        <v/>
      </c>
      <c r="D121" t="str">
        <f>IF('[1]P-GENERAL'!D121="","",'[1]P-GENERAL'!D121)</f>
        <v>A04 083 Santa Maria</v>
      </c>
      <c r="E121" s="8" t="str">
        <f>IF('[1]P-GENERAL'!E121="","",'[1]P-GENERAL'!E121)</f>
        <v>VSA</v>
      </c>
      <c r="F121" s="12">
        <f>IF('[1]P-GENERAL'!F121="","",'[1]P-GENERAL'!F121)</f>
        <v>336</v>
      </c>
      <c r="G121" s="13">
        <f>IF('[1]P-GENERAL'!G121="","",'[1]P-GENERAL'!G121)</f>
        <v>7</v>
      </c>
      <c r="H121" s="14">
        <f>IF('[1]P-GENERAL'!H121="","",'[1]P-GENERAL'!H121)</f>
        <v>46270</v>
      </c>
      <c r="I121">
        <f>IF('[1]P-GENERAL'!I121="","",'[1]P-GENERAL'!I121)</f>
        <v>36</v>
      </c>
      <c r="J121" s="15">
        <f>IF('[1]P-GENERAL'!J121="","",'[1]P-GENERAL'!J121)</f>
        <v>46275</v>
      </c>
      <c r="K121" s="14" t="str">
        <f>IF('[1]P-GENERAL'!K121="","",'[1]P-GENERAL'!K121)</f>
        <v/>
      </c>
      <c r="L121" s="14" t="str">
        <f>IF('[1]P-GENERAL'!L121="","",'[1]P-GENERAL'!L121)</f>
        <v>PREENFRIO FORTALEZA</v>
      </c>
      <c r="M121">
        <f>IF('[1]P-GENERAL'!M121="","",'[1]P-GENERAL'!M121)</f>
        <v>1</v>
      </c>
      <c r="N121">
        <f>IF('[1]P-GENERAL'!N121="","",'[1]P-GENERAL'!N121)</f>
        <v>24</v>
      </c>
      <c r="O121" s="14">
        <f>IF('[1]P-GENERAL'!O121="","",'[1]P-GENERAL'!O121)</f>
        <v>46270</v>
      </c>
      <c r="P121" s="16">
        <f>IF('[1]P-GENERAL'!P121="","",'[1]P-GENERAL'!P121)</f>
        <v>0.74305555555555558</v>
      </c>
      <c r="Q121" t="str">
        <f>IF('[1]P-GENERAL'!Q121="","",'[1]P-GENERAL'!Q121)</f>
        <v>NORMAL</v>
      </c>
      <c r="R121" s="14">
        <f>IF('[1]P-GENERAL'!R121="","",'[1]P-GENERAL'!R121)</f>
        <v>46272</v>
      </c>
      <c r="S121" s="16">
        <f>IF('[1]P-GENERAL'!S121="","",'[1]P-GENERAL'!S121)</f>
        <v>0.23819444444444443</v>
      </c>
      <c r="T121" s="16">
        <f>IF('[1]P-GENERAL'!T121="","",'[1]P-GENERAL'!T121)</f>
        <v>0.625</v>
      </c>
      <c r="U121" s="17">
        <f>IF('[1]P-GENERAL'!U121="","",'[1]P-GENERAL'!U121)</f>
        <v>46272.863194444442</v>
      </c>
      <c r="V121" s="14">
        <f>IF('[1]P-GENERAL'!V121="","",'[1]P-GENERAL'!V121)</f>
        <v>46273</v>
      </c>
      <c r="W121" s="16">
        <f>IF('[1]P-GENERAL'!W121="","",'[1]P-GENERAL'!W121)</f>
        <v>0.58333333333333337</v>
      </c>
      <c r="X121" s="14" t="str">
        <f>IF('[1]P-GENERAL'!X121="","",'[1]P-GENERAL'!X121)</f>
        <v>SI CUMPLE</v>
      </c>
      <c r="Y121" s="14" t="str">
        <f>IF('[1]P-GENERAL'!Y121="","",'[1]P-GENERAL'!Y121)</f>
        <v>SI CUMPLE</v>
      </c>
      <c r="Z121" s="14" t="str">
        <f>IF('[1]P-GENERAL'!Z121="","",'[1]P-GENERAL'!Z121)</f>
        <v/>
      </c>
      <c r="AA121" s="14" t="str">
        <f>IF('[1]P-GENERAL'!AA121="","",'[1]P-GENERAL'!AA121)</f>
        <v>DESPACHADO</v>
      </c>
      <c r="AB121" s="8" t="str">
        <f>IF('[1]P-GENERAL'!AB121="","",'[1]P-GENERAL'!AB121)</f>
        <v>BACKHAUL</v>
      </c>
      <c r="AC121" s="8" t="str">
        <f>IF('[1]P-GENERAL'!AC121="","",'[1]P-GENERAL'!AC121)</f>
        <v>Eliud Hernandez Chable</v>
      </c>
      <c r="AD121">
        <f>IF('[1]P-GENERAL'!AD121="","",'[1]P-GENERAL'!AD121)</f>
        <v>66119</v>
      </c>
      <c r="AE121" t="str">
        <f>IF('[1]P-GENERAL'!AE121="","",'[1]P-GENERAL'!AE121)</f>
        <v>QCH1W04D20</v>
      </c>
    </row>
    <row r="122" spans="1:31" ht="20.25" x14ac:dyDescent="0.3">
      <c r="A122" s="11" t="str">
        <f>IF('[1]P-GENERAL'!A122="","",'[1]P-GENERAL'!A122)</f>
        <v>Chanitos Organic Banded Market Side Mexico</v>
      </c>
      <c r="B122" s="11" t="str">
        <f>IF('[1]P-GENERAL'!B122="","",'[1]P-GENERAL'!B122)</f>
        <v>CRG07128</v>
      </c>
      <c r="C122" t="str">
        <f>IF('[1]P-GENERAL'!C122="","",'[1]P-GENERAL'!C122)</f>
        <v>A01002-360509-1</v>
      </c>
      <c r="D122" t="str">
        <f>IF('[1]P-GENERAL'!D122="","",'[1]P-GENERAL'!D122)</f>
        <v>A01 002 Fortaleza</v>
      </c>
      <c r="E122" s="8" t="str">
        <f>IF('[1]P-GENERAL'!E122="","",'[1]P-GENERAL'!E122)</f>
        <v>VSA</v>
      </c>
      <c r="F122" s="12">
        <f>IF('[1]P-GENERAL'!F122="","",'[1]P-GENERAL'!F122)</f>
        <v>240</v>
      </c>
      <c r="G122" s="13">
        <f>IF('[1]P-GENERAL'!G122="","",'[1]P-GENERAL'!G122)</f>
        <v>5</v>
      </c>
      <c r="H122" s="14">
        <f>IF('[1]P-GENERAL'!H122="","",'[1]P-GENERAL'!H122)</f>
        <v>46270</v>
      </c>
      <c r="I122">
        <f>IF('[1]P-GENERAL'!I122="","",'[1]P-GENERAL'!I122)</f>
        <v>36</v>
      </c>
      <c r="J122" s="15">
        <f>IF('[1]P-GENERAL'!J122="","",'[1]P-GENERAL'!J122)</f>
        <v>46275</v>
      </c>
      <c r="K122" s="14" t="str">
        <f>IF('[1]P-GENERAL'!K122="","",'[1]P-GENERAL'!K122)</f>
        <v/>
      </c>
      <c r="L122" s="14" t="str">
        <f>IF('[1]P-GENERAL'!L122="","",'[1]P-GENERAL'!L122)</f>
        <v>PREENFRIO FORTALEZA</v>
      </c>
      <c r="M122">
        <f>IF('[1]P-GENERAL'!M122="","",'[1]P-GENERAL'!M122)</f>
        <v>1</v>
      </c>
      <c r="N122">
        <f>IF('[1]P-GENERAL'!N122="","",'[1]P-GENERAL'!N122)</f>
        <v>24</v>
      </c>
      <c r="O122" s="14">
        <f>IF('[1]P-GENERAL'!O122="","",'[1]P-GENERAL'!O122)</f>
        <v>46270</v>
      </c>
      <c r="P122" s="16">
        <f>IF('[1]P-GENERAL'!P122="","",'[1]P-GENERAL'!P122)</f>
        <v>0.74305555555555558</v>
      </c>
      <c r="Q122" t="str">
        <f>IF('[1]P-GENERAL'!Q122="","",'[1]P-GENERAL'!Q122)</f>
        <v>NORMAL</v>
      </c>
      <c r="R122" s="14">
        <f>IF('[1]P-GENERAL'!R122="","",'[1]P-GENERAL'!R122)</f>
        <v>46272</v>
      </c>
      <c r="S122" s="16">
        <f>IF('[1]P-GENERAL'!S122="","",'[1]P-GENERAL'!S122)</f>
        <v>0.98611111111111116</v>
      </c>
      <c r="T122" s="16">
        <f>IF('[1]P-GENERAL'!T122="","",'[1]P-GENERAL'!T122)</f>
        <v>0.625</v>
      </c>
      <c r="U122" s="17">
        <f>IF('[1]P-GENERAL'!U122="","",'[1]P-GENERAL'!U122)</f>
        <v>46273.611111111109</v>
      </c>
      <c r="V122" s="14">
        <f>IF('[1]P-GENERAL'!V122="","",'[1]P-GENERAL'!V122)</f>
        <v>46273</v>
      </c>
      <c r="W122" s="16">
        <f>IF('[1]P-GENERAL'!W122="","",'[1]P-GENERAL'!W122)</f>
        <v>0.58333333333333337</v>
      </c>
      <c r="X122" s="14" t="str">
        <f>IF('[1]P-GENERAL'!X122="","",'[1]P-GENERAL'!X122)</f>
        <v>SI CUMPLE</v>
      </c>
      <c r="Y122" s="14" t="str">
        <f>IF('[1]P-GENERAL'!Y122="","",'[1]P-GENERAL'!Y122)</f>
        <v>SI CUMPLE</v>
      </c>
      <c r="Z122" s="14" t="str">
        <f>IF('[1]P-GENERAL'!Z122="","",'[1]P-GENERAL'!Z122)</f>
        <v/>
      </c>
      <c r="AA122" s="14" t="str">
        <f>IF('[1]P-GENERAL'!AA122="","",'[1]P-GENERAL'!AA122)</f>
        <v>DESPACHADO</v>
      </c>
      <c r="AB122" s="8" t="str">
        <f>IF('[1]P-GENERAL'!AB122="","",'[1]P-GENERAL'!AB122)</f>
        <v>BACKHAUL</v>
      </c>
      <c r="AC122" s="8" t="str">
        <f>IF('[1]P-GENERAL'!AC122="","",'[1]P-GENERAL'!AC122)</f>
        <v>Eliud Hernandez Chable</v>
      </c>
      <c r="AD122">
        <f>IF('[1]P-GENERAL'!AD122="","",'[1]P-GENERAL'!AD122)</f>
        <v>66119</v>
      </c>
      <c r="AE122" t="str">
        <f>IF('[1]P-GENERAL'!AE122="","",'[1]P-GENERAL'!AE122)</f>
        <v>QCH1W04D20</v>
      </c>
    </row>
    <row r="123" spans="1:31" ht="20.25" x14ac:dyDescent="0.3">
      <c r="A123" s="11" t="str">
        <f>IF('[1]P-GENERAL'!A123="","",'[1]P-GENERAL'!A123)</f>
        <v>Chanitos Premium Tarima Chep</v>
      </c>
      <c r="B123" s="11" t="str">
        <f>IF('[1]P-GENERAL'!B123="","",'[1]P-GENERAL'!B123)</f>
        <v>CPR01102</v>
      </c>
      <c r="C123" t="str">
        <f>IF('[1]P-GENERAL'!C123="","",'[1]P-GENERAL'!C123)</f>
        <v>A01002-360509-1</v>
      </c>
      <c r="D123" t="str">
        <f>IF('[1]P-GENERAL'!D123="","",'[1]P-GENERAL'!D123)</f>
        <v>A01 002 Fortaleza</v>
      </c>
      <c r="E123" s="8" t="str">
        <f>IF('[1]P-GENERAL'!E123="","",'[1]P-GENERAL'!E123)</f>
        <v>VSA</v>
      </c>
      <c r="F123" s="12">
        <f>IF('[1]P-GENERAL'!F123="","",'[1]P-GENERAL'!F123)</f>
        <v>288</v>
      </c>
      <c r="G123" s="13">
        <f>IF('[1]P-GENERAL'!G123="","",'[1]P-GENERAL'!G123)</f>
        <v>6</v>
      </c>
      <c r="H123" s="14">
        <f>IF('[1]P-GENERAL'!H123="","",'[1]P-GENERAL'!H123)</f>
        <v>46270</v>
      </c>
      <c r="I123">
        <f>IF('[1]P-GENERAL'!I123="","",'[1]P-GENERAL'!I123)</f>
        <v>36</v>
      </c>
      <c r="J123" s="15">
        <f>IF('[1]P-GENERAL'!J123="","",'[1]P-GENERAL'!J123)</f>
        <v>46275</v>
      </c>
      <c r="K123" s="14" t="str">
        <f>IF('[1]P-GENERAL'!K123="","",'[1]P-GENERAL'!K123)</f>
        <v/>
      </c>
      <c r="L123" s="14" t="str">
        <f>IF('[1]P-GENERAL'!L123="","",'[1]P-GENERAL'!L123)</f>
        <v>PREENFRIO FORTALEZA</v>
      </c>
      <c r="M123">
        <f>IF('[1]P-GENERAL'!M123="","",'[1]P-GENERAL'!M123)</f>
        <v>1</v>
      </c>
      <c r="N123">
        <f>IF('[1]P-GENERAL'!N123="","",'[1]P-GENERAL'!N123)</f>
        <v>24</v>
      </c>
      <c r="O123" s="14">
        <f>IF('[1]P-GENERAL'!O123="","",'[1]P-GENERAL'!O123)</f>
        <v>46270</v>
      </c>
      <c r="P123" s="16">
        <f>IF('[1]P-GENERAL'!P123="","",'[1]P-GENERAL'!P123)</f>
        <v>0.74305555555555558</v>
      </c>
      <c r="Q123" t="str">
        <f>IF('[1]P-GENERAL'!Q123="","",'[1]P-GENERAL'!Q123)</f>
        <v>NORMAL</v>
      </c>
      <c r="R123" s="14">
        <f>IF('[1]P-GENERAL'!R123="","",'[1]P-GENERAL'!R123)</f>
        <v>46272</v>
      </c>
      <c r="S123" s="16">
        <f>IF('[1]P-GENERAL'!S123="","",'[1]P-GENERAL'!S123)</f>
        <v>0.98611111111111116</v>
      </c>
      <c r="T123" s="16">
        <f>IF('[1]P-GENERAL'!T123="","",'[1]P-GENERAL'!T123)</f>
        <v>0.625</v>
      </c>
      <c r="U123" s="17">
        <f>IF('[1]P-GENERAL'!U123="","",'[1]P-GENERAL'!U123)</f>
        <v>46273.611111111109</v>
      </c>
      <c r="V123" s="14">
        <f>IF('[1]P-GENERAL'!V123="","",'[1]P-GENERAL'!V123)</f>
        <v>46273</v>
      </c>
      <c r="W123" s="16">
        <f>IF('[1]P-GENERAL'!W123="","",'[1]P-GENERAL'!W123)</f>
        <v>0.58333333333333337</v>
      </c>
      <c r="X123" s="14" t="str">
        <f>IF('[1]P-GENERAL'!X123="","",'[1]P-GENERAL'!X123)</f>
        <v>SI CUMPLE</v>
      </c>
      <c r="Y123" s="14" t="str">
        <f>IF('[1]P-GENERAL'!Y123="","",'[1]P-GENERAL'!Y123)</f>
        <v>SI CUMPLE</v>
      </c>
      <c r="Z123" s="14" t="str">
        <f>IF('[1]P-GENERAL'!Z123="","",'[1]P-GENERAL'!Z123)</f>
        <v/>
      </c>
      <c r="AA123" s="14" t="str">
        <f>IF('[1]P-GENERAL'!AA123="","",'[1]P-GENERAL'!AA123)</f>
        <v>DESPACHADO</v>
      </c>
      <c r="AB123" s="8" t="str">
        <f>IF('[1]P-GENERAL'!AB123="","",'[1]P-GENERAL'!AB123)</f>
        <v>BACKHAUL</v>
      </c>
      <c r="AC123" s="8" t="str">
        <f>IF('[1]P-GENERAL'!AC123="","",'[1]P-GENERAL'!AC123)</f>
        <v>Eliud Hernandez Chable</v>
      </c>
      <c r="AD123">
        <f>IF('[1]P-GENERAL'!AD123="","",'[1]P-GENERAL'!AD123)</f>
        <v>66119</v>
      </c>
      <c r="AE123" t="str">
        <f>IF('[1]P-GENERAL'!AE123="","",'[1]P-GENERAL'!AE123)</f>
        <v>QCH1W04D20</v>
      </c>
    </row>
    <row r="124" spans="1:31" ht="20.25" x14ac:dyDescent="0.3">
      <c r="A124" s="11" t="str">
        <f>IF('[1]P-GENERAL'!A124="","",'[1]P-GENERAL'!A124)</f>
        <v>Chanitos Premium Tarima Chep</v>
      </c>
      <c r="B124" s="11" t="str">
        <f>IF('[1]P-GENERAL'!B124="","",'[1]P-GENERAL'!B124)</f>
        <v>CPR01102</v>
      </c>
      <c r="C124" t="str">
        <f>IF('[1]P-GENERAL'!C124="","",'[1]P-GENERAL'!C124)</f>
        <v>A01004-360509-1</v>
      </c>
      <c r="D124" t="str">
        <f>IF('[1]P-GENERAL'!D124="","",'[1]P-GENERAL'!D124)</f>
        <v>A01 004 La Ceiba</v>
      </c>
      <c r="E124" s="8" t="str">
        <f>IF('[1]P-GENERAL'!E124="","",'[1]P-GENERAL'!E124)</f>
        <v>Chalco</v>
      </c>
      <c r="F124" s="12">
        <f>IF('[1]P-GENERAL'!F124="","",'[1]P-GENERAL'!F124)</f>
        <v>240</v>
      </c>
      <c r="G124" s="13">
        <f>IF('[1]P-GENERAL'!G124="","",'[1]P-GENERAL'!G124)</f>
        <v>5</v>
      </c>
      <c r="H124" s="14">
        <f>IF('[1]P-GENERAL'!H124="","",'[1]P-GENERAL'!H124)</f>
        <v>46270</v>
      </c>
      <c r="I124">
        <f>IF('[1]P-GENERAL'!I124="","",'[1]P-GENERAL'!I124)</f>
        <v>36</v>
      </c>
      <c r="J124" s="15">
        <f>IF('[1]P-GENERAL'!J124="","",'[1]P-GENERAL'!J124)</f>
        <v>46276</v>
      </c>
      <c r="K124" s="14" t="str">
        <f>IF('[1]P-GENERAL'!K124="","",'[1]P-GENERAL'!K124)</f>
        <v/>
      </c>
      <c r="L124" s="14" t="str">
        <f>IF('[1]P-GENERAL'!L124="","",'[1]P-GENERAL'!L124)</f>
        <v>PREENFRIO NELLY</v>
      </c>
      <c r="M124">
        <f>IF('[1]P-GENERAL'!M124="","",'[1]P-GENERAL'!M124)</f>
        <v>1</v>
      </c>
      <c r="N124">
        <f>IF('[1]P-GENERAL'!N124="","",'[1]P-GENERAL'!N124)</f>
        <v>24</v>
      </c>
      <c r="O124" s="14">
        <f>IF('[1]P-GENERAL'!O124="","",'[1]P-GENERAL'!O124)</f>
        <v>46270</v>
      </c>
      <c r="P124" s="16">
        <f>IF('[1]P-GENERAL'!P124="","",'[1]P-GENERAL'!P124)</f>
        <v>0.91319444444444442</v>
      </c>
      <c r="Q124" t="str">
        <f>IF('[1]P-GENERAL'!Q124="","",'[1]P-GENERAL'!Q124)</f>
        <v>ALTA</v>
      </c>
      <c r="R124" s="14">
        <f>IF('[1]P-GENERAL'!R124="","",'[1]P-GENERAL'!R124)</f>
        <v>46272</v>
      </c>
      <c r="S124" s="16">
        <f>IF('[1]P-GENERAL'!S124="","",'[1]P-GENERAL'!S124)</f>
        <v>0.54166666666666663</v>
      </c>
      <c r="T124" s="16">
        <f>IF('[1]P-GENERAL'!T124="","",'[1]P-GENERAL'!T124)</f>
        <v>0.35416666666666669</v>
      </c>
      <c r="U124" s="17">
        <f>IF('[1]P-GENERAL'!U124="","",'[1]P-GENERAL'!U124)</f>
        <v>46272.895833333328</v>
      </c>
      <c r="V124" s="14">
        <f>IF('[1]P-GENERAL'!V124="","",'[1]P-GENERAL'!V124)</f>
        <v>46274</v>
      </c>
      <c r="W124" s="16">
        <f>IF('[1]P-GENERAL'!W124="","",'[1]P-GENERAL'!W124)</f>
        <v>0.11874999999999999</v>
      </c>
      <c r="X124" s="14" t="str">
        <f>IF('[1]P-GENERAL'!X124="","",'[1]P-GENERAL'!X124)</f>
        <v>SI CUMPLE</v>
      </c>
      <c r="Y124" s="14" t="str">
        <f>IF('[1]P-GENERAL'!Y124="","",'[1]P-GENERAL'!Y124)</f>
        <v>SI CUMPLE</v>
      </c>
      <c r="Z124" s="14" t="str">
        <f>IF('[1]P-GENERAL'!Z124="","",'[1]P-GENERAL'!Z124)</f>
        <v/>
      </c>
      <c r="AA124" s="14" t="str">
        <f>IF('[1]P-GENERAL'!AA124="","",'[1]P-GENERAL'!AA124)</f>
        <v>DESPACHADO</v>
      </c>
      <c r="AB124" s="8" t="str">
        <f>IF('[1]P-GENERAL'!AB124="","",'[1]P-GENERAL'!AB124)</f>
        <v>GENARO IBAÑEZ</v>
      </c>
      <c r="AC124" s="8" t="str">
        <f>IF('[1]P-GENERAL'!AC124="","",'[1]P-GENERAL'!AC124)</f>
        <v>RAUL PEREZ SANCHEZ</v>
      </c>
      <c r="AD124">
        <f>IF('[1]P-GENERAL'!AD124="","",'[1]P-GENERAL'!AD124)</f>
        <v>73686</v>
      </c>
      <c r="AE124" t="str">
        <f>IF('[1]P-GENERAL'!AE124="","",'[1]P-GENERAL'!AE124)</f>
        <v>PUESTO EN FORTALEZA</v>
      </c>
    </row>
    <row r="125" spans="1:31" ht="20.25" x14ac:dyDescent="0.3">
      <c r="A125" s="11" t="str">
        <f>IF('[1]P-GENERAL'!A125="","",'[1]P-GENERAL'!A125)</f>
        <v>Chanitos Premium EUA Tarima Americana</v>
      </c>
      <c r="B125" s="11" t="str">
        <f>IF('[1]P-GENERAL'!B125="","",'[1]P-GENERAL'!B125)</f>
        <v>CPR01104</v>
      </c>
      <c r="C125" t="str">
        <f>IF('[1]P-GENERAL'!C125="","",'[1]P-GENERAL'!C125)</f>
        <v>A01002-370709-1</v>
      </c>
      <c r="D125" t="str">
        <f>IF('[1]P-GENERAL'!D125="","",'[1]P-GENERAL'!D125)</f>
        <v>A01 002 Fortaleza</v>
      </c>
      <c r="E125" s="8" t="str">
        <f>IF('[1]P-GENERAL'!E125="","",'[1]P-GENERAL'!E125)</f>
        <v>McAllen</v>
      </c>
      <c r="F125" s="12">
        <f>IF('[1]P-GENERAL'!F125="","",'[1]P-GENERAL'!F125)</f>
        <v>240</v>
      </c>
      <c r="G125" s="13">
        <f>IF('[1]P-GENERAL'!G125="","",'[1]P-GENERAL'!G125)</f>
        <v>5</v>
      </c>
      <c r="H125" s="14">
        <f>IF('[1]P-GENERAL'!H125="","",'[1]P-GENERAL'!H125)</f>
        <v>46272</v>
      </c>
      <c r="I125">
        <f>IF('[1]P-GENERAL'!I125="","",'[1]P-GENERAL'!I125)</f>
        <v>37</v>
      </c>
      <c r="J125" s="15">
        <f>IF('[1]P-GENERAL'!J125="","",'[1]P-GENERAL'!J125)</f>
        <v>46275</v>
      </c>
      <c r="K125" s="14" t="str">
        <f>IF('[1]P-GENERAL'!K125="","",'[1]P-GENERAL'!K125)</f>
        <v/>
      </c>
      <c r="L125" s="14" t="str">
        <f>IF('[1]P-GENERAL'!L125="","",'[1]P-GENERAL'!L125)</f>
        <v>DIRECTO SIN PREENFRIO</v>
      </c>
      <c r="M125">
        <f>IF('[1]P-GENERAL'!M125="","",'[1]P-GENERAL'!M125)</f>
        <v>3</v>
      </c>
      <c r="N125">
        <f>IF('[1]P-GENERAL'!N125="","",'[1]P-GENERAL'!N125)</f>
        <v>72</v>
      </c>
      <c r="O125" s="14">
        <f>IF('[1]P-GENERAL'!O125="","",'[1]P-GENERAL'!O125)</f>
        <v>46272</v>
      </c>
      <c r="P125" s="16">
        <f>IF('[1]P-GENERAL'!P125="","",'[1]P-GENERAL'!P125)</f>
        <v>0.54166666666666663</v>
      </c>
      <c r="Q125" t="str">
        <f>IF('[1]P-GENERAL'!Q125="","",'[1]P-GENERAL'!Q125)</f>
        <v/>
      </c>
      <c r="R125" s="14" t="str">
        <f>IF('[1]P-GENERAL'!R125="","",'[1]P-GENERAL'!R125)</f>
        <v/>
      </c>
      <c r="S125" s="16" t="str">
        <f>IF('[1]P-GENERAL'!S125="","",'[1]P-GENERAL'!S125)</f>
        <v/>
      </c>
      <c r="T125" s="16" t="str">
        <f>IF('[1]P-GENERAL'!T125="","",'[1]P-GENERAL'!T125)</f>
        <v/>
      </c>
      <c r="U125" s="17" t="str">
        <f>IF('[1]P-GENERAL'!U125="","",'[1]P-GENERAL'!U125)</f>
        <v/>
      </c>
      <c r="V125" s="14">
        <f>IF('[1]P-GENERAL'!V125="","",'[1]P-GENERAL'!V125)</f>
        <v>46272</v>
      </c>
      <c r="W125" s="16">
        <f>IF('[1]P-GENERAL'!W125="","",'[1]P-GENERAL'!W125)</f>
        <v>0.67361111111111116</v>
      </c>
      <c r="X125" s="14" t="str">
        <f>IF('[1]P-GENERAL'!X125="","",'[1]P-GENERAL'!X125)</f>
        <v/>
      </c>
      <c r="Y125" s="14" t="str">
        <f>IF('[1]P-GENERAL'!Y125="","",'[1]P-GENERAL'!Y125)</f>
        <v>NO CUMPLE</v>
      </c>
      <c r="Z125" s="14" t="str">
        <f>IF('[1]P-GENERAL'!Z125="","",'[1]P-GENERAL'!Z125)</f>
        <v>EMPAQUE TARDIO</v>
      </c>
      <c r="AA125" s="14" t="str">
        <f>IF('[1]P-GENERAL'!AA125="","",'[1]P-GENERAL'!AA125)</f>
        <v>DESPACHADO</v>
      </c>
      <c r="AB125" s="8" t="str">
        <f>IF('[1]P-GENERAL'!AB125="","",'[1]P-GENERAL'!AB125)</f>
        <v>TRANSPORTES TOMATITOS</v>
      </c>
      <c r="AC125" s="8" t="str">
        <f>IF('[1]P-GENERAL'!AC125="","",'[1]P-GENERAL'!AC125)</f>
        <v xml:space="preserve">HUGO ALEXIS RODRIGUEZ RODRIGUEZ </v>
      </c>
      <c r="AD125">
        <f>IF('[1]P-GENERAL'!AD125="","",'[1]P-GENERAL'!AD125)</f>
        <v>14216</v>
      </c>
      <c r="AE125" t="str">
        <f>IF('[1]P-GENERAL'!AE125="","",'[1]P-GENERAL'!AE125)</f>
        <v>QCH1W056M0</v>
      </c>
    </row>
    <row r="126" spans="1:31" ht="20.25" x14ac:dyDescent="0.3">
      <c r="A126" s="11" t="str">
        <f>IF('[1]P-GENERAL'!A126="","",'[1]P-GENERAL'!A126)</f>
        <v>Chanitos Organic Banded Market Side Mexico</v>
      </c>
      <c r="B126" s="11" t="str">
        <f>IF('[1]P-GENERAL'!B126="","",'[1]P-GENERAL'!B126)</f>
        <v>CRG07128</v>
      </c>
      <c r="C126" t="str">
        <f>IF('[1]P-GENERAL'!C126="","",'[1]P-GENERAL'!C126)</f>
        <v/>
      </c>
      <c r="D126" t="str">
        <f>IF('[1]P-GENERAL'!D126="","",'[1]P-GENERAL'!D126)</f>
        <v>A01 002 Fortaleza</v>
      </c>
      <c r="E126" s="8" t="str">
        <f>IF('[1]P-GENERAL'!E126="","",'[1]P-GENERAL'!E126)</f>
        <v>VSA</v>
      </c>
      <c r="F126" s="12">
        <f>IF('[1]P-GENERAL'!F126="","",'[1]P-GENERAL'!F126)</f>
        <v>48</v>
      </c>
      <c r="G126" s="13">
        <f>IF('[1]P-GENERAL'!G126="","",'[1]P-GENERAL'!G126)</f>
        <v>1</v>
      </c>
      <c r="H126" s="14">
        <f>IF('[1]P-GENERAL'!H126="","",'[1]P-GENERAL'!H126)</f>
        <v>46272</v>
      </c>
      <c r="I126">
        <f>IF('[1]P-GENERAL'!I126="","",'[1]P-GENERAL'!I126)</f>
        <v>37</v>
      </c>
      <c r="J126" s="15">
        <f>IF('[1]P-GENERAL'!J126="","",'[1]P-GENERAL'!J126)</f>
        <v>46275</v>
      </c>
      <c r="K126" s="14" t="str">
        <f>IF('[1]P-GENERAL'!K126="","",'[1]P-GENERAL'!K126)</f>
        <v/>
      </c>
      <c r="L126" s="14" t="str">
        <f>IF('[1]P-GENERAL'!L126="","",'[1]P-GENERAL'!L126)</f>
        <v>PREENFRIO FORTALEZA</v>
      </c>
      <c r="M126">
        <f>IF('[1]P-GENERAL'!M126="","",'[1]P-GENERAL'!M126)</f>
        <v>1</v>
      </c>
      <c r="N126">
        <f>IF('[1]P-GENERAL'!N126="","",'[1]P-GENERAL'!N126)</f>
        <v>24</v>
      </c>
      <c r="O126" s="14">
        <f>IF('[1]P-GENERAL'!O126="","",'[1]P-GENERAL'!O126)</f>
        <v>46272</v>
      </c>
      <c r="P126" s="16">
        <f>IF('[1]P-GENERAL'!P126="","",'[1]P-GENERAL'!P126)</f>
        <v>0.72916666666666663</v>
      </c>
      <c r="Q126" t="str">
        <f>IF('[1]P-GENERAL'!Q126="","",'[1]P-GENERAL'!Q126)</f>
        <v>NORMAL</v>
      </c>
      <c r="R126" s="14">
        <f>IF('[1]P-GENERAL'!R126="","",'[1]P-GENERAL'!R126)</f>
        <v>46272</v>
      </c>
      <c r="S126" s="16">
        <f>IF('[1]P-GENERAL'!S126="","",'[1]P-GENERAL'!S126)</f>
        <v>0.98611111111111116</v>
      </c>
      <c r="T126" s="16">
        <f>IF('[1]P-GENERAL'!T126="","",'[1]P-GENERAL'!T126)</f>
        <v>0.625</v>
      </c>
      <c r="U126" s="17">
        <f>IF('[1]P-GENERAL'!U126="","",'[1]P-GENERAL'!U126)</f>
        <v>46273.611111111109</v>
      </c>
      <c r="V126" s="14">
        <f>IF('[1]P-GENERAL'!V126="","",'[1]P-GENERAL'!V126)</f>
        <v>46273</v>
      </c>
      <c r="W126" s="16">
        <f>IF('[1]P-GENERAL'!W126="","",'[1]P-GENERAL'!W126)</f>
        <v>0.58333333333333337</v>
      </c>
      <c r="X126" s="14" t="str">
        <f>IF('[1]P-GENERAL'!X126="","",'[1]P-GENERAL'!X126)</f>
        <v>SI CUMPLE</v>
      </c>
      <c r="Y126" s="14" t="str">
        <f>IF('[1]P-GENERAL'!Y126="","",'[1]P-GENERAL'!Y126)</f>
        <v>SI CUMPLE</v>
      </c>
      <c r="Z126" s="14" t="str">
        <f>IF('[1]P-GENERAL'!Z126="","",'[1]P-GENERAL'!Z126)</f>
        <v/>
      </c>
      <c r="AA126" s="14" t="str">
        <f>IF('[1]P-GENERAL'!AA126="","",'[1]P-GENERAL'!AA126)</f>
        <v>DESPACHADO</v>
      </c>
      <c r="AB126" s="8" t="str">
        <f>IF('[1]P-GENERAL'!AB126="","",'[1]P-GENERAL'!AB126)</f>
        <v>BACKHAUL</v>
      </c>
      <c r="AC126" s="8" t="str">
        <f>IF('[1]P-GENERAL'!AC126="","",'[1]P-GENERAL'!AC126)</f>
        <v>Eliud Hernandez Chable</v>
      </c>
      <c r="AD126">
        <f>IF('[1]P-GENERAL'!AD126="","",'[1]P-GENERAL'!AD126)</f>
        <v>66119</v>
      </c>
      <c r="AE126" t="str">
        <f>IF('[1]P-GENERAL'!AE126="","",'[1]P-GENERAL'!AE126)</f>
        <v>QCH1W04D20</v>
      </c>
    </row>
    <row r="127" spans="1:31" ht="20.25" x14ac:dyDescent="0.3">
      <c r="A127" s="11" t="str">
        <f>IF('[1]P-GENERAL'!A127="","",'[1]P-GENERAL'!A127)</f>
        <v>Chanitos Premium Tarima Chep</v>
      </c>
      <c r="B127" s="11" t="str">
        <f>IF('[1]P-GENERAL'!B127="","",'[1]P-GENERAL'!B127)</f>
        <v>CPR01102</v>
      </c>
      <c r="C127" t="str">
        <f>IF('[1]P-GENERAL'!C127="","",'[1]P-GENERAL'!C127)</f>
        <v>A01002-360509-1</v>
      </c>
      <c r="D127" t="str">
        <f>IF('[1]P-GENERAL'!D127="","",'[1]P-GENERAL'!D127)</f>
        <v>A01 002 Fortaleza</v>
      </c>
      <c r="E127" s="8" t="str">
        <f>IF('[1]P-GENERAL'!E127="","",'[1]P-GENERAL'!E127)</f>
        <v>Chalco</v>
      </c>
      <c r="F127" s="12">
        <f>IF('[1]P-GENERAL'!F127="","",'[1]P-GENERAL'!F127)</f>
        <v>624</v>
      </c>
      <c r="G127" s="13">
        <f>IF('[1]P-GENERAL'!G127="","",'[1]P-GENERAL'!G127)</f>
        <v>13</v>
      </c>
      <c r="H127" s="14">
        <f>IF('[1]P-GENERAL'!H127="","",'[1]P-GENERAL'!H127)</f>
        <v>46270</v>
      </c>
      <c r="I127">
        <f>IF('[1]P-GENERAL'!I127="","",'[1]P-GENERAL'!I127)</f>
        <v>36</v>
      </c>
      <c r="J127" s="15">
        <f>IF('[1]P-GENERAL'!J127="","",'[1]P-GENERAL'!J127)</f>
        <v>46276</v>
      </c>
      <c r="K127" s="14" t="str">
        <f>IF('[1]P-GENERAL'!K127="","",'[1]P-GENERAL'!K127)</f>
        <v/>
      </c>
      <c r="L127" s="14" t="str">
        <f>IF('[1]P-GENERAL'!L127="","",'[1]P-GENERAL'!L127)</f>
        <v>PREENFRIO FORTALEZA</v>
      </c>
      <c r="M127">
        <f>IF('[1]P-GENERAL'!M127="","",'[1]P-GENERAL'!M127)</f>
        <v>1</v>
      </c>
      <c r="N127">
        <f>IF('[1]P-GENERAL'!N127="","",'[1]P-GENERAL'!N127)</f>
        <v>24</v>
      </c>
      <c r="O127" s="14">
        <f>IF('[1]P-GENERAL'!O127="","",'[1]P-GENERAL'!O127)</f>
        <v>46270</v>
      </c>
      <c r="P127" s="16">
        <f>IF('[1]P-GENERAL'!P127="","",'[1]P-GENERAL'!P127)</f>
        <v>0.74305555555555558</v>
      </c>
      <c r="Q127" t="str">
        <f>IF('[1]P-GENERAL'!Q127="","",'[1]P-GENERAL'!Q127)</f>
        <v>NORMAL</v>
      </c>
      <c r="R127" s="14">
        <f>IF('[1]P-GENERAL'!R127="","",'[1]P-GENERAL'!R127)</f>
        <v>46272</v>
      </c>
      <c r="S127" s="16">
        <f>IF('[1]P-GENERAL'!S127="","",'[1]P-GENERAL'!S127)</f>
        <v>0.98611111111111116</v>
      </c>
      <c r="T127" s="16">
        <f>IF('[1]P-GENERAL'!T127="","",'[1]P-GENERAL'!T127)</f>
        <v>0.625</v>
      </c>
      <c r="U127" s="17">
        <f>IF('[1]P-GENERAL'!U127="","",'[1]P-GENERAL'!U127)</f>
        <v>46273.611111111109</v>
      </c>
      <c r="V127" s="14">
        <f>IF('[1]P-GENERAL'!V127="","",'[1]P-GENERAL'!V127)</f>
        <v>46273</v>
      </c>
      <c r="W127" s="16">
        <f>IF('[1]P-GENERAL'!W127="","",'[1]P-GENERAL'!W127)</f>
        <v>0.84722222222222221</v>
      </c>
      <c r="X127" s="14" t="str">
        <f>IF('[1]P-GENERAL'!X127="","",'[1]P-GENERAL'!X127)</f>
        <v>SI CUMPLE</v>
      </c>
      <c r="Y127" s="14" t="str">
        <f>IF('[1]P-GENERAL'!Y127="","",'[1]P-GENERAL'!Y127)</f>
        <v>SI CUMPLE</v>
      </c>
      <c r="Z127" s="14" t="str">
        <f>IF('[1]P-GENERAL'!Z127="","",'[1]P-GENERAL'!Z127)</f>
        <v/>
      </c>
      <c r="AA127" s="14" t="str">
        <f>IF('[1]P-GENERAL'!AA127="","",'[1]P-GENERAL'!AA127)</f>
        <v>DESPACHADO</v>
      </c>
      <c r="AB127" s="8" t="str">
        <f>IF('[1]P-GENERAL'!AB127="","",'[1]P-GENERAL'!AB127)</f>
        <v>GENARO IBAÑEZ</v>
      </c>
      <c r="AC127" s="8" t="str">
        <f>IF('[1]P-GENERAL'!AC127="","",'[1]P-GENERAL'!AC127)</f>
        <v>Raul Perez Sanchez</v>
      </c>
      <c r="AD127">
        <f>IF('[1]P-GENERAL'!AD127="","",'[1]P-GENERAL'!AD127)</f>
        <v>54482</v>
      </c>
      <c r="AE127" t="str">
        <f>IF('[1]P-GENERAL'!AE127="","",'[1]P-GENERAL'!AE127)</f>
        <v>QCH1W056B0</v>
      </c>
    </row>
    <row r="128" spans="1:31" ht="20.25" x14ac:dyDescent="0.3">
      <c r="A128" s="11" t="str">
        <f>IF('[1]P-GENERAL'!A128="","",'[1]P-GENERAL'!A128)</f>
        <v>Chanitos Premium Tarima Americana</v>
      </c>
      <c r="B128" s="11" t="str">
        <f>IF('[1]P-GENERAL'!B128="","",'[1]P-GENERAL'!B128)</f>
        <v>CPR01103</v>
      </c>
      <c r="C128" t="str">
        <f>IF('[1]P-GENERAL'!C128="","",'[1]P-GENERAL'!C128)</f>
        <v>A04017-360409-1</v>
      </c>
      <c r="D128" t="str">
        <f>IF('[1]P-GENERAL'!D128="","",'[1]P-GENERAL'!D128)</f>
        <v>A04 017 Rancho Nuevo</v>
      </c>
      <c r="E128" s="8" t="str">
        <f>IF('[1]P-GENERAL'!E128="","",'[1]P-GENERAL'!E128)</f>
        <v>Ciudad Juarez</v>
      </c>
      <c r="F128" s="12">
        <f>IF('[1]P-GENERAL'!F128="","",'[1]P-GENERAL'!F128)</f>
        <v>960</v>
      </c>
      <c r="G128" s="13">
        <f>IF('[1]P-GENERAL'!G128="","",'[1]P-GENERAL'!G128)</f>
        <v>20</v>
      </c>
      <c r="H128" s="14">
        <f>IF('[1]P-GENERAL'!H128="","",'[1]P-GENERAL'!H128)</f>
        <v>46269</v>
      </c>
      <c r="I128">
        <f>IF('[1]P-GENERAL'!I128="","",'[1]P-GENERAL'!I128)</f>
        <v>36</v>
      </c>
      <c r="J128" s="15">
        <f>IF('[1]P-GENERAL'!J128="","",'[1]P-GENERAL'!J128)</f>
        <v>46277</v>
      </c>
      <c r="K128" s="14">
        <f>IF('[1]P-GENERAL'!K128="","",'[1]P-GENERAL'!K128)</f>
        <v>0.25</v>
      </c>
      <c r="L128" s="14" t="str">
        <f>IF('[1]P-GENERAL'!L128="","",'[1]P-GENERAL'!L128)</f>
        <v>PREENFRIO NELLY</v>
      </c>
      <c r="M128">
        <f>IF('[1]P-GENERAL'!M128="","",'[1]P-GENERAL'!M128)</f>
        <v>4</v>
      </c>
      <c r="N128">
        <f>IF('[1]P-GENERAL'!N128="","",'[1]P-GENERAL'!N128)</f>
        <v>96</v>
      </c>
      <c r="O128" s="14">
        <f>IF('[1]P-GENERAL'!O128="","",'[1]P-GENERAL'!O128)</f>
        <v>46270</v>
      </c>
      <c r="P128" s="16">
        <f>IF('[1]P-GENERAL'!P128="","",'[1]P-GENERAL'!P128)</f>
        <v>0.5</v>
      </c>
      <c r="Q128" t="str">
        <f>IF('[1]P-GENERAL'!Q128="","",'[1]P-GENERAL'!Q128)</f>
        <v>ALTA</v>
      </c>
      <c r="R128" s="14">
        <f>IF('[1]P-GENERAL'!R128="","",'[1]P-GENERAL'!R128)</f>
        <v>46271</v>
      </c>
      <c r="S128" s="16">
        <f>IF('[1]P-GENERAL'!S128="","",'[1]P-GENERAL'!S128)</f>
        <v>0.3263888888888889</v>
      </c>
      <c r="T128" s="16">
        <f>IF('[1]P-GENERAL'!T128="","",'[1]P-GENERAL'!T128)</f>
        <v>0.4375</v>
      </c>
      <c r="U128" s="17">
        <f>IF('[1]P-GENERAL'!U128="","",'[1]P-GENERAL'!U128)</f>
        <v>46271.763888888891</v>
      </c>
      <c r="V128" s="14">
        <f>IF('[1]P-GENERAL'!V128="","",'[1]P-GENERAL'!V128)</f>
        <v>46272</v>
      </c>
      <c r="W128" s="16">
        <f>IF('[1]P-GENERAL'!W128="","",'[1]P-GENERAL'!W128)</f>
        <v>0.65138888888888891</v>
      </c>
      <c r="X128" s="14" t="str">
        <f>IF('[1]P-GENERAL'!X128="","",'[1]P-GENERAL'!X128)</f>
        <v>SI CUMPLE</v>
      </c>
      <c r="Y128" s="14" t="str">
        <f>IF('[1]P-GENERAL'!Y128="","",'[1]P-GENERAL'!Y128)</f>
        <v>SI CUMPLE</v>
      </c>
      <c r="Z128" s="14" t="str">
        <f>IF('[1]P-GENERAL'!Z128="","",'[1]P-GENERAL'!Z128)</f>
        <v>MANIOBRA</v>
      </c>
      <c r="AA128" s="14" t="str">
        <f>IF('[1]P-GENERAL'!AA128="","",'[1]P-GENERAL'!AA128)</f>
        <v>DESPACHADO</v>
      </c>
      <c r="AB128" s="8" t="str">
        <f>IF('[1]P-GENERAL'!AB128="","",'[1]P-GENERAL'!AB128)</f>
        <v>AUTO EXPRESS SEGOVIA</v>
      </c>
      <c r="AC128" s="8" t="str">
        <f>IF('[1]P-GENERAL'!AC128="","",'[1]P-GENERAL'!AC128)</f>
        <v>Cesar Antonio Cardenas</v>
      </c>
      <c r="AD128">
        <f>IF('[1]P-GENERAL'!AD128="","",'[1]P-GENERAL'!AD128)</f>
        <v>63556</v>
      </c>
      <c r="AE128" t="str">
        <f>IF('[1]P-GENERAL'!AE128="","",'[1]P-GENERAL'!AE128)</f>
        <v/>
      </c>
    </row>
    <row r="129" spans="1:31" ht="20.25" x14ac:dyDescent="0.3">
      <c r="A129" s="11" t="str">
        <f>IF('[1]P-GENERAL'!A129="","",'[1]P-GENERAL'!A129)</f>
        <v>Chanitos Premium EUA Tarima Americana</v>
      </c>
      <c r="B129" s="11" t="str">
        <f>IF('[1]P-GENERAL'!B129="","",'[1]P-GENERAL'!B129)</f>
        <v>CPR01104</v>
      </c>
      <c r="C129" t="str">
        <f>IF('[1]P-GENERAL'!C129="","",'[1]P-GENERAL'!C129)</f>
        <v>A11 045 Sector Mazatan</v>
      </c>
      <c r="D129" t="str">
        <f>IF('[1]P-GENERAL'!D129="","",'[1]P-GENERAL'!D129)</f>
        <v>A11 045 Sector Mazatan</v>
      </c>
      <c r="E129" s="8" t="str">
        <f>IF('[1]P-GENERAL'!E129="","",'[1]P-GENERAL'!E129)</f>
        <v>McAllen</v>
      </c>
      <c r="F129" s="12">
        <f>IF('[1]P-GENERAL'!F129="","",'[1]P-GENERAL'!F129)</f>
        <v>384</v>
      </c>
      <c r="G129" s="13">
        <f>IF('[1]P-GENERAL'!G129="","",'[1]P-GENERAL'!G129)</f>
        <v>8</v>
      </c>
      <c r="H129" s="14">
        <f>IF('[1]P-GENERAL'!H129="","",'[1]P-GENERAL'!H129)</f>
        <v>46272</v>
      </c>
      <c r="I129">
        <f>IF('[1]P-GENERAL'!I129="","",'[1]P-GENERAL'!I129)</f>
        <v>37</v>
      </c>
      <c r="J129" s="15">
        <f>IF('[1]P-GENERAL'!J129="","",'[1]P-GENERAL'!J129)</f>
        <v>46276</v>
      </c>
      <c r="K129" s="14" t="str">
        <f>IF('[1]P-GENERAL'!K129="","",'[1]P-GENERAL'!K129)</f>
        <v/>
      </c>
      <c r="L129" s="14" t="str">
        <f>IF('[1]P-GENERAL'!L129="","",'[1]P-GENERAL'!L129)</f>
        <v>DIRECTO SIN PREENFRIO</v>
      </c>
      <c r="M129">
        <f>IF('[1]P-GENERAL'!M129="","",'[1]P-GENERAL'!M129)</f>
        <v>3</v>
      </c>
      <c r="N129">
        <f>IF('[1]P-GENERAL'!N129="","",'[1]P-GENERAL'!N129)</f>
        <v>72</v>
      </c>
      <c r="O129" s="14">
        <f>IF('[1]P-GENERAL'!O129="","",'[1]P-GENERAL'!O129)</f>
        <v>46273</v>
      </c>
      <c r="P129" s="16">
        <f>IF('[1]P-GENERAL'!P129="","",'[1]P-GENERAL'!P129)</f>
        <v>0.6875</v>
      </c>
      <c r="Q129" t="str">
        <f>IF('[1]P-GENERAL'!Q129="","",'[1]P-GENERAL'!Q129)</f>
        <v>NORMAL</v>
      </c>
      <c r="R129" s="14" t="str">
        <f>IF('[1]P-GENERAL'!R129="","",'[1]P-GENERAL'!R129)</f>
        <v/>
      </c>
      <c r="S129" s="16" t="str">
        <f>IF('[1]P-GENERAL'!S129="","",'[1]P-GENERAL'!S129)</f>
        <v/>
      </c>
      <c r="T129" s="16" t="str">
        <f>IF('[1]P-GENERAL'!T129="","",'[1]P-GENERAL'!T129)</f>
        <v/>
      </c>
      <c r="U129" s="17" t="str">
        <f>IF('[1]P-GENERAL'!U129="","",'[1]P-GENERAL'!U129)</f>
        <v/>
      </c>
      <c r="V129" s="14">
        <f>IF('[1]P-GENERAL'!V129="","",'[1]P-GENERAL'!V129)</f>
        <v>46273</v>
      </c>
      <c r="W129" s="16">
        <f>IF('[1]P-GENERAL'!W129="","",'[1]P-GENERAL'!W129)</f>
        <v>0.98263888888888884</v>
      </c>
      <c r="X129" s="14" t="str">
        <f>IF('[1]P-GENERAL'!X129="","",'[1]P-GENERAL'!X129)</f>
        <v/>
      </c>
      <c r="Y129" s="14" t="str">
        <f>IF('[1]P-GENERAL'!Y129="","",'[1]P-GENERAL'!Y129)</f>
        <v>NO CUMPLE</v>
      </c>
      <c r="Z129" s="14" t="str">
        <f>IF('[1]P-GENERAL'!Z129="","",'[1]P-GENERAL'!Z129)</f>
        <v/>
      </c>
      <c r="AA129" s="14" t="str">
        <f>IF('[1]P-GENERAL'!AA129="","",'[1]P-GENERAL'!AA129)</f>
        <v>DESPACHADO</v>
      </c>
      <c r="AB129" s="8" t="str">
        <f>IF('[1]P-GENERAL'!AB129="","",'[1]P-GENERAL'!AB129)</f>
        <v>TRANSPORTES ALGEZA</v>
      </c>
      <c r="AC129" s="8" t="str">
        <f>IF('[1]P-GENERAL'!AC129="","",'[1]P-GENERAL'!AC129)</f>
        <v>RODOLFO HUERTA SOTO</v>
      </c>
      <c r="AD129">
        <f>IF('[1]P-GENERAL'!AD129="","",'[1]P-GENERAL'!AD129)</f>
        <v>60183</v>
      </c>
      <c r="AE129" t="str">
        <f>IF('[1]P-GENERAL'!AE129="","",'[1]P-GENERAL'!AE129)</f>
        <v>QCH1W05600</v>
      </c>
    </row>
    <row r="130" spans="1:31" ht="20.25" x14ac:dyDescent="0.3">
      <c r="A130" s="11" t="str">
        <f>IF('[1]P-GENERAL'!A130="","",'[1]P-GENERAL'!A130)</f>
        <v>Platano de Chiapas BAE UPC 3237</v>
      </c>
      <c r="B130" s="11" t="str">
        <f>IF('[1]P-GENERAL'!B130="","",'[1]P-GENERAL'!B130)</f>
        <v>CPR01114</v>
      </c>
      <c r="C130" t="str">
        <f>IF('[1]P-GENERAL'!C130="","",'[1]P-GENERAL'!C130)</f>
        <v/>
      </c>
      <c r="D130" t="str">
        <f>IF('[1]P-GENERAL'!D130="","",'[1]P-GENERAL'!D130)</f>
        <v>A01 002 Fortaleza</v>
      </c>
      <c r="E130" s="8" t="str">
        <f>IF('[1]P-GENERAL'!E130="","",'[1]P-GENERAL'!E130)</f>
        <v>Chalco</v>
      </c>
      <c r="F130" s="12">
        <f>IF('[1]P-GENERAL'!F130="","",'[1]P-GENERAL'!F130)</f>
        <v>84</v>
      </c>
      <c r="G130" s="13">
        <f>IF('[1]P-GENERAL'!G130="","",'[1]P-GENERAL'!G130)</f>
        <v>1.75</v>
      </c>
      <c r="H130" s="14">
        <f>IF('[1]P-GENERAL'!H130="","",'[1]P-GENERAL'!H130)</f>
        <v>46272</v>
      </c>
      <c r="I130">
        <f>IF('[1]P-GENERAL'!I130="","",'[1]P-GENERAL'!I130)</f>
        <v>37</v>
      </c>
      <c r="J130" s="15">
        <f>IF('[1]P-GENERAL'!J130="","",'[1]P-GENERAL'!J130)</f>
        <v>46276</v>
      </c>
      <c r="K130" s="14" t="str">
        <f>IF('[1]P-GENERAL'!K130="","",'[1]P-GENERAL'!K130)</f>
        <v/>
      </c>
      <c r="L130" s="14" t="str">
        <f>IF('[1]P-GENERAL'!L130="","",'[1]P-GENERAL'!L130)</f>
        <v>PREENFRIO FORTALEZA</v>
      </c>
      <c r="M130">
        <f>IF('[1]P-GENERAL'!M130="","",'[1]P-GENERAL'!M130)</f>
        <v>1</v>
      </c>
      <c r="N130">
        <f>IF('[1]P-GENERAL'!N130="","",'[1]P-GENERAL'!N130)</f>
        <v>24</v>
      </c>
      <c r="O130" s="14">
        <f>IF('[1]P-GENERAL'!O130="","",'[1]P-GENERAL'!O130)</f>
        <v>46272</v>
      </c>
      <c r="P130" s="16">
        <f>IF('[1]P-GENERAL'!P130="","",'[1]P-GENERAL'!P130)</f>
        <v>0.72916666666666663</v>
      </c>
      <c r="Q130" t="str">
        <f>IF('[1]P-GENERAL'!Q130="","",'[1]P-GENERAL'!Q130)</f>
        <v>NORMAL</v>
      </c>
      <c r="R130" s="14">
        <f>IF('[1]P-GENERAL'!R130="","",'[1]P-GENERAL'!R130)</f>
        <v>46273</v>
      </c>
      <c r="S130" s="16">
        <f>IF('[1]P-GENERAL'!S130="","",'[1]P-GENERAL'!S130)</f>
        <v>0.63541666666666663</v>
      </c>
      <c r="T130" s="16">
        <f>IF('[1]P-GENERAL'!T130="","",'[1]P-GENERAL'!T130)</f>
        <v>0.20833333333333334</v>
      </c>
      <c r="U130" s="17">
        <f>IF('[1]P-GENERAL'!U130="","",'[1]P-GENERAL'!U130)</f>
        <v>46273.84375</v>
      </c>
      <c r="V130" s="14">
        <f>IF('[1]P-GENERAL'!V130="","",'[1]P-GENERAL'!V130)</f>
        <v>46273</v>
      </c>
      <c r="W130" s="16">
        <f>IF('[1]P-GENERAL'!W130="","",'[1]P-GENERAL'!W130)</f>
        <v>0.84722222222222221</v>
      </c>
      <c r="X130" s="14" t="str">
        <f>IF('[1]P-GENERAL'!X130="","",'[1]P-GENERAL'!X130)</f>
        <v>SI CUMPLE</v>
      </c>
      <c r="Y130" s="14" t="str">
        <f>IF('[1]P-GENERAL'!Y130="","",'[1]P-GENERAL'!Y130)</f>
        <v>SI CUMPLE</v>
      </c>
      <c r="Z130" s="14" t="str">
        <f>IF('[1]P-GENERAL'!Z130="","",'[1]P-GENERAL'!Z130)</f>
        <v/>
      </c>
      <c r="AA130" s="14" t="str">
        <f>IF('[1]P-GENERAL'!AA130="","",'[1]P-GENERAL'!AA130)</f>
        <v>DESPACHADO</v>
      </c>
      <c r="AB130" s="8" t="str">
        <f>IF('[1]P-GENERAL'!AB130="","",'[1]P-GENERAL'!AB130)</f>
        <v>GENARO IBAÑEZ</v>
      </c>
      <c r="AC130" s="8" t="str">
        <f>IF('[1]P-GENERAL'!AC130="","",'[1]P-GENERAL'!AC130)</f>
        <v>Raul Perez Sanchez</v>
      </c>
      <c r="AD130">
        <f>IF('[1]P-GENERAL'!AD130="","",'[1]P-GENERAL'!AD130)</f>
        <v>54482</v>
      </c>
      <c r="AE130" t="str">
        <f>IF('[1]P-GENERAL'!AE130="","",'[1]P-GENERAL'!AE130)</f>
        <v>QCH1W056B0</v>
      </c>
    </row>
    <row r="131" spans="1:31" ht="20.25" x14ac:dyDescent="0.3">
      <c r="A131" s="11" t="str">
        <f>IF('[1]P-GENERAL'!A131="","",'[1]P-GENERAL'!A131)</f>
        <v>Chanitos Premium Tarima Chep</v>
      </c>
      <c r="B131" s="11" t="str">
        <f>IF('[1]P-GENERAL'!B131="","",'[1]P-GENERAL'!B131)</f>
        <v>CPR01102</v>
      </c>
      <c r="C131" t="str">
        <f>IF('[1]P-GENERAL'!C131="","",'[1]P-GENERAL'!C131)</f>
        <v/>
      </c>
      <c r="D131" t="str">
        <f>IF('[1]P-GENERAL'!D131="","",'[1]P-GENERAL'!D131)</f>
        <v>A01 002 Fortaleza</v>
      </c>
      <c r="E131" s="8" t="str">
        <f>IF('[1]P-GENERAL'!E131="","",'[1]P-GENERAL'!E131)</f>
        <v>Chalco</v>
      </c>
      <c r="F131" s="12">
        <f>IF('[1]P-GENERAL'!F131="","",'[1]P-GENERAL'!F131)</f>
        <v>204</v>
      </c>
      <c r="G131" s="13">
        <f>IF('[1]P-GENERAL'!G131="","",'[1]P-GENERAL'!G131)</f>
        <v>4.25</v>
      </c>
      <c r="H131" s="14">
        <f>IF('[1]P-GENERAL'!H131="","",'[1]P-GENERAL'!H131)</f>
        <v>46272</v>
      </c>
      <c r="I131">
        <f>IF('[1]P-GENERAL'!I131="","",'[1]P-GENERAL'!I131)</f>
        <v>37</v>
      </c>
      <c r="J131" s="15">
        <f>IF('[1]P-GENERAL'!J131="","",'[1]P-GENERAL'!J131)</f>
        <v>46276</v>
      </c>
      <c r="K131" s="14" t="str">
        <f>IF('[1]P-GENERAL'!K131="","",'[1]P-GENERAL'!K131)</f>
        <v/>
      </c>
      <c r="L131" s="14" t="str">
        <f>IF('[1]P-GENERAL'!L131="","",'[1]P-GENERAL'!L131)</f>
        <v>PREENFRIO FORTALEZA</v>
      </c>
      <c r="M131">
        <f>IF('[1]P-GENERAL'!M131="","",'[1]P-GENERAL'!M131)</f>
        <v>1</v>
      </c>
      <c r="N131">
        <f>IF('[1]P-GENERAL'!N131="","",'[1]P-GENERAL'!N131)</f>
        <v>24</v>
      </c>
      <c r="O131" s="14">
        <f>IF('[1]P-GENERAL'!O131="","",'[1]P-GENERAL'!O131)</f>
        <v>46272</v>
      </c>
      <c r="P131" s="16">
        <f>IF('[1]P-GENERAL'!P131="","",'[1]P-GENERAL'!P131)</f>
        <v>0.72916666666666663</v>
      </c>
      <c r="Q131" t="str">
        <f>IF('[1]P-GENERAL'!Q131="","",'[1]P-GENERAL'!Q131)</f>
        <v>NORMAL</v>
      </c>
      <c r="R131" s="14">
        <f>IF('[1]P-GENERAL'!R131="","",'[1]P-GENERAL'!R131)</f>
        <v>46273</v>
      </c>
      <c r="S131" s="16">
        <f>IF('[1]P-GENERAL'!S131="","",'[1]P-GENERAL'!S131)</f>
        <v>0.63541666666666663</v>
      </c>
      <c r="T131" s="16">
        <f>IF('[1]P-GENERAL'!T131="","",'[1]P-GENERAL'!T131)</f>
        <v>0.20833333333333334</v>
      </c>
      <c r="U131" s="17">
        <f>IF('[1]P-GENERAL'!U131="","",'[1]P-GENERAL'!U131)</f>
        <v>46273.84375</v>
      </c>
      <c r="V131" s="14">
        <f>IF('[1]P-GENERAL'!V131="","",'[1]P-GENERAL'!V131)</f>
        <v>46273</v>
      </c>
      <c r="W131" s="16">
        <f>IF('[1]P-GENERAL'!W131="","",'[1]P-GENERAL'!W131)</f>
        <v>0.84722222222222221</v>
      </c>
      <c r="X131" s="14" t="str">
        <f>IF('[1]P-GENERAL'!X131="","",'[1]P-GENERAL'!X131)</f>
        <v>SI CUMPLE</v>
      </c>
      <c r="Y131" s="14" t="str">
        <f>IF('[1]P-GENERAL'!Y131="","",'[1]P-GENERAL'!Y131)</f>
        <v>SI CUMPLE</v>
      </c>
      <c r="Z131" s="14" t="str">
        <f>IF('[1]P-GENERAL'!Z131="","",'[1]P-GENERAL'!Z131)</f>
        <v/>
      </c>
      <c r="AA131" s="14" t="str">
        <f>IF('[1]P-GENERAL'!AA131="","",'[1]P-GENERAL'!AA131)</f>
        <v>DESPACHADO</v>
      </c>
      <c r="AB131" s="8" t="str">
        <f>IF('[1]P-GENERAL'!AB131="","",'[1]P-GENERAL'!AB131)</f>
        <v>GENARO IBAÑEZ</v>
      </c>
      <c r="AC131" s="8" t="str">
        <f>IF('[1]P-GENERAL'!AC131="","",'[1]P-GENERAL'!AC131)</f>
        <v>Raul Perez Sanchez</v>
      </c>
      <c r="AD131">
        <f>IF('[1]P-GENERAL'!AD131="","",'[1]P-GENERAL'!AD131)</f>
        <v>54482</v>
      </c>
      <c r="AE131" t="str">
        <f>IF('[1]P-GENERAL'!AE131="","",'[1]P-GENERAL'!AE131)</f>
        <v>QCH1W056B0</v>
      </c>
    </row>
    <row r="132" spans="1:31" ht="20.25" x14ac:dyDescent="0.3">
      <c r="A132" s="11" t="str">
        <f>IF('[1]P-GENERAL'!A132="","",'[1]P-GENERAL'!A132)</f>
        <v>Chanitos Premium EUA Tarima Americana</v>
      </c>
      <c r="B132" s="11" t="str">
        <f>IF('[1]P-GENERAL'!B132="","",'[1]P-GENERAL'!B132)</f>
        <v>CPR01104</v>
      </c>
      <c r="C132" t="str">
        <f>IF('[1]P-GENERAL'!C132="","",'[1]P-GENERAL'!C132)</f>
        <v/>
      </c>
      <c r="D132" t="str">
        <f>IF('[1]P-GENERAL'!D132="","",'[1]P-GENERAL'!D132)</f>
        <v>A11 045 Sector Mazatan</v>
      </c>
      <c r="E132" s="8" t="str">
        <f>IF('[1]P-GENERAL'!E132="","",'[1]P-GENERAL'!E132)</f>
        <v>McAllen</v>
      </c>
      <c r="F132" s="12">
        <f>IF('[1]P-GENERAL'!F132="","",'[1]P-GENERAL'!F132)</f>
        <v>960</v>
      </c>
      <c r="G132" s="13">
        <f>IF('[1]P-GENERAL'!G132="","",'[1]P-GENERAL'!G132)</f>
        <v>20</v>
      </c>
      <c r="H132" s="14">
        <f>IF('[1]P-GENERAL'!H132="","",'[1]P-GENERAL'!H132)</f>
        <v>46272</v>
      </c>
      <c r="I132">
        <f>IF('[1]P-GENERAL'!I132="","",'[1]P-GENERAL'!I132)</f>
        <v>37</v>
      </c>
      <c r="J132" s="15">
        <f>IF('[1]P-GENERAL'!J132="","",'[1]P-GENERAL'!J132)</f>
        <v>46276</v>
      </c>
      <c r="K132" s="14" t="str">
        <f>IF('[1]P-GENERAL'!K132="","",'[1]P-GENERAL'!K132)</f>
        <v/>
      </c>
      <c r="L132" s="14" t="str">
        <f>IF('[1]P-GENERAL'!L132="","",'[1]P-GENERAL'!L132)</f>
        <v>PREENFRIO FORTALEZA</v>
      </c>
      <c r="M132">
        <f>IF('[1]P-GENERAL'!M132="","",'[1]P-GENERAL'!M132)</f>
        <v>3</v>
      </c>
      <c r="N132">
        <f>IF('[1]P-GENERAL'!N132="","",'[1]P-GENERAL'!N132)</f>
        <v>72</v>
      </c>
      <c r="O132" s="14">
        <f>IF('[1]P-GENERAL'!O132="","",'[1]P-GENERAL'!O132)</f>
        <v>46272</v>
      </c>
      <c r="P132" s="16">
        <f>IF('[1]P-GENERAL'!P132="","",'[1]P-GENERAL'!P132)</f>
        <v>0.75</v>
      </c>
      <c r="Q132" t="str">
        <f>IF('[1]P-GENERAL'!Q132="","",'[1]P-GENERAL'!Q132)</f>
        <v>NORMAL</v>
      </c>
      <c r="R132" s="14">
        <f>IF('[1]P-GENERAL'!R132="","",'[1]P-GENERAL'!R132)</f>
        <v>46274</v>
      </c>
      <c r="S132" s="16">
        <f>IF('[1]P-GENERAL'!S132="","",'[1]P-GENERAL'!S132)</f>
        <v>9.7222222222222224E-2</v>
      </c>
      <c r="T132" s="16">
        <f>IF('[1]P-GENERAL'!T132="","",'[1]P-GENERAL'!T132)</f>
        <v>0.25</v>
      </c>
      <c r="U132" s="17">
        <f>IF('[1]P-GENERAL'!U132="","",'[1]P-GENERAL'!U132)</f>
        <v>46274.347222222219</v>
      </c>
      <c r="V132" s="14">
        <f>IF('[1]P-GENERAL'!V132="","",'[1]P-GENERAL'!V132)</f>
        <v>46274</v>
      </c>
      <c r="W132" s="16">
        <f>IF('[1]P-GENERAL'!W132="","",'[1]P-GENERAL'!W132)</f>
        <v>0.29166666666666669</v>
      </c>
      <c r="X132" s="14" t="str">
        <f>IF('[1]P-GENERAL'!X132="","",'[1]P-GENERAL'!X132)</f>
        <v>NO CUMPLE</v>
      </c>
      <c r="Y132" s="14" t="str">
        <f>IF('[1]P-GENERAL'!Y132="","",'[1]P-GENERAL'!Y132)</f>
        <v>NO CUMPLE</v>
      </c>
      <c r="Z132" s="14" t="str">
        <f>IF('[1]P-GENERAL'!Z132="","",'[1]P-GENERAL'!Z132)</f>
        <v/>
      </c>
      <c r="AA132" s="14" t="str">
        <f>IF('[1]P-GENERAL'!AA132="","",'[1]P-GENERAL'!AA132)</f>
        <v>DESPACHADO</v>
      </c>
      <c r="AB132" s="8" t="str">
        <f>IF('[1]P-GENERAL'!AB132="","",'[1]P-GENERAL'!AB132)</f>
        <v>TRANSPORTES ALGEZA</v>
      </c>
      <c r="AC132" s="8" t="str">
        <f>IF('[1]P-GENERAL'!AC132="","",'[1]P-GENERAL'!AC132)</f>
        <v>RODOLFO HUERTA SOTO</v>
      </c>
      <c r="AD132">
        <f>IF('[1]P-GENERAL'!AD132="","",'[1]P-GENERAL'!AD132)</f>
        <v>76982</v>
      </c>
      <c r="AE132">
        <f>IF('[1]P-GENERAL'!AE132="","",'[1]P-GENERAL'!AE132)</f>
        <v>100000914989</v>
      </c>
    </row>
    <row r="133" spans="1:31" ht="20.25" x14ac:dyDescent="0.3">
      <c r="A133" s="11" t="str">
        <f>IF('[1]P-GENERAL'!A133="","",'[1]P-GENERAL'!A133)</f>
        <v>Chanitos Organic Banded Market Side Mexico</v>
      </c>
      <c r="B133" s="11" t="str">
        <f>IF('[1]P-GENERAL'!B133="","",'[1]P-GENERAL'!B133)</f>
        <v>CRG07128</v>
      </c>
      <c r="C133" t="str">
        <f>IF('[1]P-GENERAL'!C133="","",'[1]P-GENERAL'!C133)</f>
        <v/>
      </c>
      <c r="D133" t="str">
        <f>IF('[1]P-GENERAL'!D133="","",'[1]P-GENERAL'!D133)</f>
        <v>A01 002 Fortaleza</v>
      </c>
      <c r="E133" s="8" t="str">
        <f>IF('[1]P-GENERAL'!E133="","",'[1]P-GENERAL'!E133)</f>
        <v>QRO</v>
      </c>
      <c r="F133" s="12">
        <f>IF('[1]P-GENERAL'!F133="","",'[1]P-GENERAL'!F133)</f>
        <v>96</v>
      </c>
      <c r="G133" s="13">
        <f>IF('[1]P-GENERAL'!G133="","",'[1]P-GENERAL'!G133)</f>
        <v>2</v>
      </c>
      <c r="H133" s="14">
        <f>IF('[1]P-GENERAL'!H133="","",'[1]P-GENERAL'!H133)</f>
        <v>46272</v>
      </c>
      <c r="I133">
        <f>IF('[1]P-GENERAL'!I133="","",'[1]P-GENERAL'!I133)</f>
        <v>37</v>
      </c>
      <c r="J133" s="15">
        <f>IF('[1]P-GENERAL'!J133="","",'[1]P-GENERAL'!J133)</f>
        <v>46276</v>
      </c>
      <c r="K133" s="14" t="str">
        <f>IF('[1]P-GENERAL'!K133="","",'[1]P-GENERAL'!K133)</f>
        <v/>
      </c>
      <c r="L133" s="14" t="str">
        <f>IF('[1]P-GENERAL'!L133="","",'[1]P-GENERAL'!L133)</f>
        <v>PREENFRIO FORTALEZA</v>
      </c>
      <c r="M133">
        <f>IF('[1]P-GENERAL'!M133="","",'[1]P-GENERAL'!M133)</f>
        <v>1.5</v>
      </c>
      <c r="N133">
        <f>IF('[1]P-GENERAL'!N133="","",'[1]P-GENERAL'!N133)</f>
        <v>36</v>
      </c>
      <c r="O133" s="14">
        <f>IF('[1]P-GENERAL'!O133="","",'[1]P-GENERAL'!O133)</f>
        <v>46272</v>
      </c>
      <c r="P133" s="16">
        <f>IF('[1]P-GENERAL'!P133="","",'[1]P-GENERAL'!P133)</f>
        <v>0.72916666666666663</v>
      </c>
      <c r="Q133" t="str">
        <f>IF('[1]P-GENERAL'!Q133="","",'[1]P-GENERAL'!Q133)</f>
        <v>NORMAL</v>
      </c>
      <c r="R133" s="14">
        <f>IF('[1]P-GENERAL'!R133="","",'[1]P-GENERAL'!R133)</f>
        <v>46273</v>
      </c>
      <c r="S133" s="16">
        <f>IF('[1]P-GENERAL'!S133="","",'[1]P-GENERAL'!S133)</f>
        <v>0.63541666666666663</v>
      </c>
      <c r="T133" s="16">
        <f>IF('[1]P-GENERAL'!T133="","",'[1]P-GENERAL'!T133)</f>
        <v>0.20833333333333334</v>
      </c>
      <c r="U133" s="17">
        <f>IF('[1]P-GENERAL'!U133="","",'[1]P-GENERAL'!U133)</f>
        <v>46273.84375</v>
      </c>
      <c r="V133" s="14">
        <f>IF('[1]P-GENERAL'!V133="","",'[1]P-GENERAL'!V133)</f>
        <v>46274</v>
      </c>
      <c r="W133" s="16">
        <f>IF('[1]P-GENERAL'!W133="","",'[1]P-GENERAL'!W133)</f>
        <v>0.42708333333333331</v>
      </c>
      <c r="X133" s="14" t="str">
        <f>IF('[1]P-GENERAL'!X133="","",'[1]P-GENERAL'!X133)</f>
        <v>SI CUMPLE</v>
      </c>
      <c r="Y133" s="14" t="str">
        <f>IF('[1]P-GENERAL'!Y133="","",'[1]P-GENERAL'!Y133)</f>
        <v>SI CUMPLE</v>
      </c>
      <c r="Z133" s="14" t="str">
        <f>IF('[1]P-GENERAL'!Z133="","",'[1]P-GENERAL'!Z133)</f>
        <v/>
      </c>
      <c r="AA133" s="14" t="str">
        <f>IF('[1]P-GENERAL'!AA133="","",'[1]P-GENERAL'!AA133)</f>
        <v>DESPACHADO</v>
      </c>
      <c r="AB133" s="8" t="str">
        <f>IF('[1]P-GENERAL'!AB133="","",'[1]P-GENERAL'!AB133)</f>
        <v>JONATHAN CARRILLO GODINEZ</v>
      </c>
      <c r="AC133" s="8" t="str">
        <f>IF('[1]P-GENERAL'!AC133="","",'[1]P-GENERAL'!AC133)</f>
        <v>ESTEBAN ALEJANDRO OLIVA</v>
      </c>
      <c r="AD133">
        <f>IF('[1]P-GENERAL'!AD133="","",'[1]P-GENERAL'!AD133)</f>
        <v>83028</v>
      </c>
      <c r="AE133" t="str">
        <f>IF('[1]P-GENERAL'!AE133="","",'[1]P-GENERAL'!AE133)</f>
        <v>QCH1W03H80</v>
      </c>
    </row>
    <row r="134" spans="1:31" ht="20.25" x14ac:dyDescent="0.3">
      <c r="A134" s="11" t="str">
        <f>IF('[1]P-GENERAL'!A134="","",'[1]P-GENERAL'!A134)</f>
        <v>Chanitos Premium Tarima Chep</v>
      </c>
      <c r="B134" s="11" t="str">
        <f>IF('[1]P-GENERAL'!B134="","",'[1]P-GENERAL'!B134)</f>
        <v>CPR01102</v>
      </c>
      <c r="C134" t="str">
        <f>IF('[1]P-GENERAL'!C134="","",'[1]P-GENERAL'!C134)</f>
        <v/>
      </c>
      <c r="D134" t="str">
        <f>IF('[1]P-GENERAL'!D134="","",'[1]P-GENERAL'!D134)</f>
        <v>A01 002 Fortaleza</v>
      </c>
      <c r="E134" s="8" t="str">
        <f>IF('[1]P-GENERAL'!E134="","",'[1]P-GENERAL'!E134)</f>
        <v>QRO</v>
      </c>
      <c r="F134" s="12">
        <f>IF('[1]P-GENERAL'!F134="","",'[1]P-GENERAL'!F134)</f>
        <v>480</v>
      </c>
      <c r="G134" s="13">
        <f>IF('[1]P-GENERAL'!G134="","",'[1]P-GENERAL'!G134)</f>
        <v>10</v>
      </c>
      <c r="H134" s="14">
        <f>IF('[1]P-GENERAL'!H134="","",'[1]P-GENERAL'!H134)</f>
        <v>46272</v>
      </c>
      <c r="I134">
        <f>IF('[1]P-GENERAL'!I134="","",'[1]P-GENERAL'!I134)</f>
        <v>37</v>
      </c>
      <c r="J134" s="15">
        <f>IF('[1]P-GENERAL'!J134="","",'[1]P-GENERAL'!J134)</f>
        <v>46276</v>
      </c>
      <c r="K134" s="14" t="str">
        <f>IF('[1]P-GENERAL'!K134="","",'[1]P-GENERAL'!K134)</f>
        <v/>
      </c>
      <c r="L134" s="14" t="str">
        <f>IF('[1]P-GENERAL'!L134="","",'[1]P-GENERAL'!L134)</f>
        <v>PREENFRIO FORTALEZA</v>
      </c>
      <c r="M134">
        <f>IF('[1]P-GENERAL'!M134="","",'[1]P-GENERAL'!M134)</f>
        <v>1.5</v>
      </c>
      <c r="N134">
        <f>IF('[1]P-GENERAL'!N134="","",'[1]P-GENERAL'!N134)</f>
        <v>36</v>
      </c>
      <c r="O134" s="14">
        <f>IF('[1]P-GENERAL'!O134="","",'[1]P-GENERAL'!O134)</f>
        <v>46272</v>
      </c>
      <c r="P134" s="16">
        <f>IF('[1]P-GENERAL'!P134="","",'[1]P-GENERAL'!P134)</f>
        <v>0.72916666666666663</v>
      </c>
      <c r="Q134" t="str">
        <f>IF('[1]P-GENERAL'!Q134="","",'[1]P-GENERAL'!Q134)</f>
        <v>NORMAL</v>
      </c>
      <c r="R134" s="14">
        <f>IF('[1]P-GENERAL'!R134="","",'[1]P-GENERAL'!R134)</f>
        <v>46273</v>
      </c>
      <c r="S134" s="16">
        <f>IF('[1]P-GENERAL'!S134="","",'[1]P-GENERAL'!S134)</f>
        <v>0.86458333333333337</v>
      </c>
      <c r="T134" s="16">
        <f>IF('[1]P-GENERAL'!T134="","",'[1]P-GENERAL'!T134)</f>
        <v>0.20833333333333334</v>
      </c>
      <c r="U134" s="17">
        <f>IF('[1]P-GENERAL'!U134="","",'[1]P-GENERAL'!U134)</f>
        <v>46274.072916666672</v>
      </c>
      <c r="V134" s="14">
        <f>IF('[1]P-GENERAL'!V134="","",'[1]P-GENERAL'!V134)</f>
        <v>46274</v>
      </c>
      <c r="W134" s="16">
        <f>IF('[1]P-GENERAL'!W134="","",'[1]P-GENERAL'!W134)</f>
        <v>0.42708333333333331</v>
      </c>
      <c r="X134" s="14" t="str">
        <f>IF('[1]P-GENERAL'!X134="","",'[1]P-GENERAL'!X134)</f>
        <v>SI CUMPLE</v>
      </c>
      <c r="Y134" s="14" t="str">
        <f>IF('[1]P-GENERAL'!Y134="","",'[1]P-GENERAL'!Y134)</f>
        <v>SI CUMPLE</v>
      </c>
      <c r="Z134" s="14" t="str">
        <f>IF('[1]P-GENERAL'!Z134="","",'[1]P-GENERAL'!Z134)</f>
        <v/>
      </c>
      <c r="AA134" s="14" t="str">
        <f>IF('[1]P-GENERAL'!AA134="","",'[1]P-GENERAL'!AA134)</f>
        <v>DESPACHADO</v>
      </c>
      <c r="AB134" s="8" t="str">
        <f>IF('[1]P-GENERAL'!AB134="","",'[1]P-GENERAL'!AB134)</f>
        <v>JONATHAN CARRILLO GODINEZ</v>
      </c>
      <c r="AC134" s="8" t="str">
        <f>IF('[1]P-GENERAL'!AC134="","",'[1]P-GENERAL'!AC134)</f>
        <v>ESTEBAN ALEJANDRO OLIVA</v>
      </c>
      <c r="AD134">
        <f>IF('[1]P-GENERAL'!AD134="","",'[1]P-GENERAL'!AD134)</f>
        <v>83028</v>
      </c>
      <c r="AE134" t="str">
        <f>IF('[1]P-GENERAL'!AE134="","",'[1]P-GENERAL'!AE134)</f>
        <v>QCH1W03H80</v>
      </c>
    </row>
    <row r="135" spans="1:31" ht="20.25" x14ac:dyDescent="0.3">
      <c r="A135" s="11" t="str">
        <f>IF('[1]P-GENERAL'!A135="","",'[1]P-GENERAL'!A135)</f>
        <v>Chanitos Premium EUA Tarima Americana</v>
      </c>
      <c r="B135" s="11" t="str">
        <f>IF('[1]P-GENERAL'!B135="","",'[1]P-GENERAL'!B135)</f>
        <v>CPR01104</v>
      </c>
      <c r="C135" t="str">
        <f>IF('[1]P-GENERAL'!C135="","",'[1]P-GENERAL'!C135)</f>
        <v/>
      </c>
      <c r="D135" t="str">
        <f>IF('[1]P-GENERAL'!D135="","",'[1]P-GENERAL'!D135)</f>
        <v>A11 045 Sector Mazatan</v>
      </c>
      <c r="E135" s="8" t="str">
        <f>IF('[1]P-GENERAL'!E135="","",'[1]P-GENERAL'!E135)</f>
        <v>McAllen</v>
      </c>
      <c r="F135" s="12">
        <f>IF('[1]P-GENERAL'!F135="","",'[1]P-GENERAL'!F135)</f>
        <v>576</v>
      </c>
      <c r="G135" s="13">
        <f>IF('[1]P-GENERAL'!G135="","",'[1]P-GENERAL'!G135)</f>
        <v>12</v>
      </c>
      <c r="H135" s="14">
        <f>IF('[1]P-GENERAL'!H135="","",'[1]P-GENERAL'!H135)</f>
        <v>46273</v>
      </c>
      <c r="I135">
        <f>IF('[1]P-GENERAL'!I135="","",'[1]P-GENERAL'!I135)</f>
        <v>37</v>
      </c>
      <c r="J135" s="15">
        <f>IF('[1]P-GENERAL'!J135="","",'[1]P-GENERAL'!J135)</f>
        <v>46276</v>
      </c>
      <c r="K135" s="14" t="str">
        <f>IF('[1]P-GENERAL'!K135="","",'[1]P-GENERAL'!K135)</f>
        <v/>
      </c>
      <c r="L135" s="14" t="str">
        <f>IF('[1]P-GENERAL'!L135="","",'[1]P-GENERAL'!L135)</f>
        <v>DIRECTO SIN PREENFRIO</v>
      </c>
      <c r="M135">
        <f>IF('[1]P-GENERAL'!M135="","",'[1]P-GENERAL'!M135)</f>
        <v>3</v>
      </c>
      <c r="N135">
        <f>IF('[1]P-GENERAL'!N135="","",'[1]P-GENERAL'!N135)</f>
        <v>72</v>
      </c>
      <c r="O135" s="14">
        <f>IF('[1]P-GENERAL'!O135="","",'[1]P-GENERAL'!O135)</f>
        <v>46273</v>
      </c>
      <c r="P135" s="16">
        <f>IF('[1]P-GENERAL'!P135="","",'[1]P-GENERAL'!P135)</f>
        <v>0.6875</v>
      </c>
      <c r="Q135" t="str">
        <f>IF('[1]P-GENERAL'!Q135="","",'[1]P-GENERAL'!Q135)</f>
        <v>NORMAL</v>
      </c>
      <c r="R135" s="14" t="str">
        <f>IF('[1]P-GENERAL'!R135="","",'[1]P-GENERAL'!R135)</f>
        <v/>
      </c>
      <c r="S135" s="16" t="str">
        <f>IF('[1]P-GENERAL'!S135="","",'[1]P-GENERAL'!S135)</f>
        <v/>
      </c>
      <c r="T135" s="16" t="str">
        <f>IF('[1]P-GENERAL'!T135="","",'[1]P-GENERAL'!T135)</f>
        <v/>
      </c>
      <c r="U135" s="17" t="str">
        <f>IF('[1]P-GENERAL'!U135="","",'[1]P-GENERAL'!U135)</f>
        <v/>
      </c>
      <c r="V135" s="14">
        <f>IF('[1]P-GENERAL'!V135="","",'[1]P-GENERAL'!V135)</f>
        <v>46273</v>
      </c>
      <c r="W135" s="16">
        <f>IF('[1]P-GENERAL'!W135="","",'[1]P-GENERAL'!W135)</f>
        <v>0.98263888888888884</v>
      </c>
      <c r="X135" s="14" t="str">
        <f>IF('[1]P-GENERAL'!X135="","",'[1]P-GENERAL'!X135)</f>
        <v/>
      </c>
      <c r="Y135" s="14" t="str">
        <f>IF('[1]P-GENERAL'!Y135="","",'[1]P-GENERAL'!Y135)</f>
        <v>NO CUMPLE</v>
      </c>
      <c r="Z135" s="14" t="str">
        <f>IF('[1]P-GENERAL'!Z135="","",'[1]P-GENERAL'!Z135)</f>
        <v/>
      </c>
      <c r="AA135" s="14" t="str">
        <f>IF('[1]P-GENERAL'!AA135="","",'[1]P-GENERAL'!AA135)</f>
        <v>DESPACHADO</v>
      </c>
      <c r="AB135" s="8" t="str">
        <f>IF('[1]P-GENERAL'!AB135="","",'[1]P-GENERAL'!AB135)</f>
        <v>TRANSPORTES ALGEZA</v>
      </c>
      <c r="AC135" s="8" t="str">
        <f>IF('[1]P-GENERAL'!AC135="","",'[1]P-GENERAL'!AC135)</f>
        <v>RODOLFO HUERTA SOTO</v>
      </c>
      <c r="AD135">
        <f>IF('[1]P-GENERAL'!AD135="","",'[1]P-GENERAL'!AD135)</f>
        <v>60183</v>
      </c>
      <c r="AE135" t="str">
        <f>IF('[1]P-GENERAL'!AE135="","",'[1]P-GENERAL'!AE135)</f>
        <v>QCH1W05600</v>
      </c>
    </row>
    <row r="136" spans="1:31" ht="20.25" x14ac:dyDescent="0.3">
      <c r="A136" s="11" t="str">
        <f>IF('[1]P-GENERAL'!A136="","",'[1]P-GENERAL'!A136)</f>
        <v>Chanitos Premium Tarima Americana</v>
      </c>
      <c r="B136" s="11" t="str">
        <f>IF('[1]P-GENERAL'!B136="","",'[1]P-GENERAL'!B136)</f>
        <v>CPR01103</v>
      </c>
      <c r="C136" t="str">
        <f>IF('[1]P-GENERAL'!C136="","",'[1]P-GENERAL'!C136)</f>
        <v>A01004-360509-1</v>
      </c>
      <c r="D136" t="str">
        <f>IF('[1]P-GENERAL'!D136="","",'[1]P-GENERAL'!D136)</f>
        <v>A01 004 La Ceiba</v>
      </c>
      <c r="E136" s="8" t="str">
        <f>IF('[1]P-GENERAL'!E136="","",'[1]P-GENERAL'!E136)</f>
        <v>Ciudad Juarez</v>
      </c>
      <c r="F136" s="12">
        <f>IF('[1]P-GENERAL'!F136="","",'[1]P-GENERAL'!F136)</f>
        <v>816</v>
      </c>
      <c r="G136" s="13">
        <f>IF('[1]P-GENERAL'!G136="","",'[1]P-GENERAL'!G136)</f>
        <v>17</v>
      </c>
      <c r="H136" s="14">
        <f>IF('[1]P-GENERAL'!H136="","",'[1]P-GENERAL'!H136)</f>
        <v>46270</v>
      </c>
      <c r="I136">
        <f>IF('[1]P-GENERAL'!I136="","",'[1]P-GENERAL'!I136)</f>
        <v>36</v>
      </c>
      <c r="J136" s="15">
        <f>IF('[1]P-GENERAL'!J136="","",'[1]P-GENERAL'!J136)</f>
        <v>46277</v>
      </c>
      <c r="K136" s="14">
        <f>IF('[1]P-GENERAL'!K136="","",'[1]P-GENERAL'!K136)</f>
        <v>0.25</v>
      </c>
      <c r="L136" s="14" t="str">
        <f>IF('[1]P-GENERAL'!L136="","",'[1]P-GENERAL'!L136)</f>
        <v>PREENFRIO NELLY</v>
      </c>
      <c r="M136">
        <f>IF('[1]P-GENERAL'!M136="","",'[1]P-GENERAL'!M136)</f>
        <v>4</v>
      </c>
      <c r="N136">
        <f>IF('[1]P-GENERAL'!N136="","",'[1]P-GENERAL'!N136)</f>
        <v>96</v>
      </c>
      <c r="O136" s="14">
        <f>IF('[1]P-GENERAL'!O136="","",'[1]P-GENERAL'!O136)</f>
        <v>46270</v>
      </c>
      <c r="P136" s="16">
        <f>IF('[1]P-GENERAL'!P136="","",'[1]P-GENERAL'!P136)</f>
        <v>0.91319444444444442</v>
      </c>
      <c r="Q136" t="str">
        <f>IF('[1]P-GENERAL'!Q136="","",'[1]P-GENERAL'!Q136)</f>
        <v>ALTA</v>
      </c>
      <c r="R136" s="14">
        <f>IF('[1]P-GENERAL'!R136="","",'[1]P-GENERAL'!R136)</f>
        <v>46272</v>
      </c>
      <c r="S136" s="16">
        <f>IF('[1]P-GENERAL'!S136="","",'[1]P-GENERAL'!S136)</f>
        <v>0.31041666666666667</v>
      </c>
      <c r="T136" s="16">
        <f>IF('[1]P-GENERAL'!T136="","",'[1]P-GENERAL'!T136)</f>
        <v>0.4375</v>
      </c>
      <c r="U136" s="17">
        <f>IF('[1]P-GENERAL'!U136="","",'[1]P-GENERAL'!U136)</f>
        <v>46272.747916666667</v>
      </c>
      <c r="V136" s="14">
        <f>IF('[1]P-GENERAL'!V136="","",'[1]P-GENERAL'!V136)</f>
        <v>46272</v>
      </c>
      <c r="W136" s="16">
        <f>IF('[1]P-GENERAL'!W136="","",'[1]P-GENERAL'!W136)</f>
        <v>0.65138888888888891</v>
      </c>
      <c r="X136" s="14" t="str">
        <f>IF('[1]P-GENERAL'!X136="","",'[1]P-GENERAL'!X136)</f>
        <v>SI CUMPLE</v>
      </c>
      <c r="Y136" s="14" t="str">
        <f>IF('[1]P-GENERAL'!Y136="","",'[1]P-GENERAL'!Y136)</f>
        <v>SI CUMPLE</v>
      </c>
      <c r="Z136" s="14" t="str">
        <f>IF('[1]P-GENERAL'!Z136="","",'[1]P-GENERAL'!Z136)</f>
        <v/>
      </c>
      <c r="AA136" s="14" t="str">
        <f>IF('[1]P-GENERAL'!AA136="","",'[1]P-GENERAL'!AA136)</f>
        <v>DESPACHADO</v>
      </c>
      <c r="AB136" s="8" t="str">
        <f>IF('[1]P-GENERAL'!AB136="","",'[1]P-GENERAL'!AB136)</f>
        <v>AUTO EXPRESS SEGOVIA</v>
      </c>
      <c r="AC136" s="8" t="str">
        <f>IF('[1]P-GENERAL'!AC136="","",'[1]P-GENERAL'!AC136)</f>
        <v>Cesar Antonio Cardenas</v>
      </c>
      <c r="AD136">
        <f>IF('[1]P-GENERAL'!AD136="","",'[1]P-GENERAL'!AD136)</f>
        <v>59616</v>
      </c>
      <c r="AE136" t="str">
        <f>IF('[1]P-GENERAL'!AE136="","",'[1]P-GENERAL'!AE136)</f>
        <v/>
      </c>
    </row>
    <row r="137" spans="1:31" ht="20.25" x14ac:dyDescent="0.3">
      <c r="A137" s="11" t="str">
        <f>IF('[1]P-GENERAL'!A137="","",'[1]P-GENERAL'!A137)</f>
        <v>Chanitos Premium Tarima Chep</v>
      </c>
      <c r="B137" s="11" t="str">
        <f>IF('[1]P-GENERAL'!B137="","",'[1]P-GENERAL'!B137)</f>
        <v>CPR01102</v>
      </c>
      <c r="C137" t="str">
        <f>IF('[1]P-GENERAL'!C137="","",'[1]P-GENERAL'!C137)</f>
        <v>A01001-370909-1</v>
      </c>
      <c r="D137" t="str">
        <f>IF('[1]P-GENERAL'!D137="","",'[1]P-GENERAL'!D137)</f>
        <v>A01 001 Marbella</v>
      </c>
      <c r="E137" s="8" t="str">
        <f>IF('[1]P-GENERAL'!E137="","",'[1]P-GENERAL'!E137)</f>
        <v>CEDA</v>
      </c>
      <c r="F137" s="12">
        <f>IF('[1]P-GENERAL'!F137="","",'[1]P-GENERAL'!F137)</f>
        <v>96</v>
      </c>
      <c r="G137" s="13">
        <f>IF('[1]P-GENERAL'!G137="","",'[1]P-GENERAL'!G137)</f>
        <v>2</v>
      </c>
      <c r="H137" s="14">
        <f>IF('[1]P-GENERAL'!H137="","",'[1]P-GENERAL'!H137)</f>
        <v>46274</v>
      </c>
      <c r="I137">
        <f>IF('[1]P-GENERAL'!I137="","",'[1]P-GENERAL'!I137)</f>
        <v>37</v>
      </c>
      <c r="J137" s="15">
        <f>IF('[1]P-GENERAL'!J137="","",'[1]P-GENERAL'!J137)</f>
        <v>46276</v>
      </c>
      <c r="K137" s="14" t="str">
        <f>IF('[1]P-GENERAL'!K137="","",'[1]P-GENERAL'!K137)</f>
        <v/>
      </c>
      <c r="L137" s="14" t="str">
        <f>IF('[1]P-GENERAL'!L137="","",'[1]P-GENERAL'!L137)</f>
        <v>PREENFRIO FORTALEZA</v>
      </c>
      <c r="M137">
        <f>IF('[1]P-GENERAL'!M137="","",'[1]P-GENERAL'!M137)</f>
        <v>1.5</v>
      </c>
      <c r="N137">
        <f>IF('[1]P-GENERAL'!N137="","",'[1]P-GENERAL'!N137)</f>
        <v>36</v>
      </c>
      <c r="O137" s="14">
        <f>IF('[1]P-GENERAL'!O137="","",'[1]P-GENERAL'!O137)</f>
        <v>46274</v>
      </c>
      <c r="P137" s="16">
        <f>IF('[1]P-GENERAL'!P137="","",'[1]P-GENERAL'!P137)</f>
        <v>0.8125</v>
      </c>
      <c r="Q137" t="str">
        <f>IF('[1]P-GENERAL'!Q137="","",'[1]P-GENERAL'!Q137)</f>
        <v>NORMAL</v>
      </c>
      <c r="R137" s="14">
        <f>IF('[1]P-GENERAL'!R137="","",'[1]P-GENERAL'!R137)</f>
        <v>46275</v>
      </c>
      <c r="S137" s="16">
        <f>IF('[1]P-GENERAL'!S137="","",'[1]P-GENERAL'!S137)</f>
        <v>0.15138888888888888</v>
      </c>
      <c r="T137" s="16">
        <f>IF('[1]P-GENERAL'!T137="","",'[1]P-GENERAL'!T137)</f>
        <v>0.25</v>
      </c>
      <c r="U137" s="17">
        <f>IF('[1]P-GENERAL'!U137="","",'[1]P-GENERAL'!U137)</f>
        <v>46275.401388888888</v>
      </c>
      <c r="V137" s="14">
        <f>IF('[1]P-GENERAL'!V137="","",'[1]P-GENERAL'!V137)</f>
        <v>46275</v>
      </c>
      <c r="W137" s="16">
        <f>IF('[1]P-GENERAL'!W137="","",'[1]P-GENERAL'!W137)</f>
        <v>0.85416666666666663</v>
      </c>
      <c r="X137" s="14" t="str">
        <f>IF('[1]P-GENERAL'!X137="","",'[1]P-GENERAL'!X137)</f>
        <v>NO CUMPLE</v>
      </c>
      <c r="Y137" s="14" t="str">
        <f>IF('[1]P-GENERAL'!Y137="","",'[1]P-GENERAL'!Y137)</f>
        <v/>
      </c>
      <c r="Z137" s="14" t="str">
        <f>IF('[1]P-GENERAL'!Z137="","",'[1]P-GENERAL'!Z137)</f>
        <v>CAPACIDAD INSTALADA</v>
      </c>
      <c r="AA137" s="14" t="str">
        <f>IF('[1]P-GENERAL'!AA137="","",'[1]P-GENERAL'!AA137)</f>
        <v>DESPACHADO</v>
      </c>
      <c r="AB137" s="8" t="str">
        <f>IF('[1]P-GENERAL'!AB137="","",'[1]P-GENERAL'!AB137)</f>
        <v>CARRILLO</v>
      </c>
      <c r="AC137" s="8" t="str">
        <f>IF('[1]P-GENERAL'!AC137="","",'[1]P-GENERAL'!AC137)</f>
        <v>URIEL  ALI CARRILLO CRUZ</v>
      </c>
      <c r="AD137">
        <f>IF('[1]P-GENERAL'!AD137="","",'[1]P-GENERAL'!AD137)</f>
        <v>52328</v>
      </c>
      <c r="AE137" t="str">
        <f>IF('[1]P-GENERAL'!AE137="","",'[1]P-GENERAL'!AE137)</f>
        <v>N/A</v>
      </c>
    </row>
    <row r="138" spans="1:31" ht="20.25" x14ac:dyDescent="0.3">
      <c r="A138" s="11" t="str">
        <f>IF('[1]P-GENERAL'!A138="","",'[1]P-GENERAL'!A138)</f>
        <v>Chanitos Plantain 20Kg Tarima Americana</v>
      </c>
      <c r="B138" s="11" t="str">
        <f>IF('[1]P-GENERAL'!B138="","",'[1]P-GENERAL'!B138)</f>
        <v>CPL08134</v>
      </c>
      <c r="C138" t="str">
        <f>IF('[1]P-GENERAL'!C138="","",'[1]P-GENERAL'!C138)</f>
        <v>A41088-360409-1</v>
      </c>
      <c r="D138" t="str">
        <f>IF('[1]P-GENERAL'!D138="","",'[1]P-GENERAL'!D138)</f>
        <v>A25 088 Doña Lupe</v>
      </c>
      <c r="E138" s="8" t="str">
        <f>IF('[1]P-GENERAL'!E138="","",'[1]P-GENERAL'!E138)</f>
        <v>Ciudad Juarez</v>
      </c>
      <c r="F138" s="12">
        <f>IF('[1]P-GENERAL'!F138="","",'[1]P-GENERAL'!F138)</f>
        <v>144</v>
      </c>
      <c r="G138" s="13">
        <f>IF('[1]P-GENERAL'!G138="","",'[1]P-GENERAL'!G138)</f>
        <v>3</v>
      </c>
      <c r="H138" s="14">
        <f>IF('[1]P-GENERAL'!H138="","",'[1]P-GENERAL'!H138)</f>
        <v>46269</v>
      </c>
      <c r="I138">
        <f>IF('[1]P-GENERAL'!I138="","",'[1]P-GENERAL'!I138)</f>
        <v>36</v>
      </c>
      <c r="J138" s="15">
        <f>IF('[1]P-GENERAL'!J138="","",'[1]P-GENERAL'!J138)</f>
        <v>46277</v>
      </c>
      <c r="K138" s="14" t="str">
        <f>IF('[1]P-GENERAL'!K138="","",'[1]P-GENERAL'!K138)</f>
        <v/>
      </c>
      <c r="L138" s="14" t="str">
        <f>IF('[1]P-GENERAL'!L138="","",'[1]P-GENERAL'!L138)</f>
        <v>PREENFRIO FORTALEZA</v>
      </c>
      <c r="M138">
        <f>IF('[1]P-GENERAL'!M138="","",'[1]P-GENERAL'!M138)</f>
        <v>4</v>
      </c>
      <c r="N138">
        <f>IF('[1]P-GENERAL'!N138="","",'[1]P-GENERAL'!N138)</f>
        <v>96</v>
      </c>
      <c r="O138" s="14">
        <f>IF('[1]P-GENERAL'!O138="","",'[1]P-GENERAL'!O138)</f>
        <v>46269</v>
      </c>
      <c r="P138" s="16">
        <f>IF('[1]P-GENERAL'!P138="","",'[1]P-GENERAL'!P138)</f>
        <v>0.9243055555555556</v>
      </c>
      <c r="Q138" t="str">
        <f>IF('[1]P-GENERAL'!Q138="","",'[1]P-GENERAL'!Q138)</f>
        <v>NORMAL</v>
      </c>
      <c r="R138" s="14">
        <f>IF('[1]P-GENERAL'!R138="","",'[1]P-GENERAL'!R138)</f>
        <v>46270</v>
      </c>
      <c r="S138" s="16">
        <f>IF('[1]P-GENERAL'!S138="","",'[1]P-GENERAL'!S138)</f>
        <v>0.75416666666666665</v>
      </c>
      <c r="T138" s="16">
        <f>IF('[1]P-GENERAL'!T138="","",'[1]P-GENERAL'!T138)</f>
        <v>0.25</v>
      </c>
      <c r="U138" s="17">
        <f>IF('[1]P-GENERAL'!U138="","",'[1]P-GENERAL'!U138)</f>
        <v>46271.004166666666</v>
      </c>
      <c r="V138" s="14">
        <f>IF('[1]P-GENERAL'!V138="","",'[1]P-GENERAL'!V138)</f>
        <v>46271</v>
      </c>
      <c r="W138" s="16">
        <f>IF('[1]P-GENERAL'!W138="","",'[1]P-GENERAL'!W138)</f>
        <v>0.97222222222222221</v>
      </c>
      <c r="X138" s="14" t="str">
        <f>IF('[1]P-GENERAL'!X138="","",'[1]P-GENERAL'!X138)</f>
        <v>SI CUMPLE</v>
      </c>
      <c r="Y138" s="14" t="str">
        <f>IF('[1]P-GENERAL'!Y138="","",'[1]P-GENERAL'!Y138)</f>
        <v>SI CUMPLE</v>
      </c>
      <c r="Z138" s="14" t="str">
        <f>IF('[1]P-GENERAL'!Z138="","",'[1]P-GENERAL'!Z138)</f>
        <v>MUEVE A NELLY</v>
      </c>
      <c r="AA138" s="14" t="str">
        <f>IF('[1]P-GENERAL'!AA138="","",'[1]P-GENERAL'!AA138)</f>
        <v>DESPACHADO</v>
      </c>
      <c r="AB138" s="8" t="str">
        <f>IF('[1]P-GENERAL'!AB138="","",'[1]P-GENERAL'!AB138)</f>
        <v>SOLIS</v>
      </c>
      <c r="AC138" s="8" t="str">
        <f>IF('[1]P-GENERAL'!AC138="","",'[1]P-GENERAL'!AC138)</f>
        <v>MAURO PEREZ RAMIREZ</v>
      </c>
      <c r="AD138">
        <f>IF('[1]P-GENERAL'!AD138="","",'[1]P-GENERAL'!AD138)</f>
        <v>90913</v>
      </c>
      <c r="AE138" t="str">
        <f>IF('[1]P-GENERAL'!AE138="","",'[1]P-GENERAL'!AE138)</f>
        <v>N/A</v>
      </c>
    </row>
    <row r="139" spans="1:31" ht="20.25" x14ac:dyDescent="0.3">
      <c r="A139" s="11" t="str">
        <f>IF('[1]P-GENERAL'!A139="","",'[1]P-GENERAL'!A139)</f>
        <v>Chanitos Premium Tarima Chep</v>
      </c>
      <c r="B139" s="11" t="str">
        <f>IF('[1]P-GENERAL'!B139="","",'[1]P-GENERAL'!B139)</f>
        <v>CPR01102</v>
      </c>
      <c r="C139" t="str">
        <f>IF('[1]P-GENERAL'!C139="","",'[1]P-GENERAL'!C139)</f>
        <v/>
      </c>
      <c r="D139" t="str">
        <f>IF('[1]P-GENERAL'!D139="","",'[1]P-GENERAL'!D139)</f>
        <v>A01 003 Doña Nelly</v>
      </c>
      <c r="E139" s="8" t="str">
        <f>IF('[1]P-GENERAL'!E139="","",'[1]P-GENERAL'!E139)</f>
        <v>QRO</v>
      </c>
      <c r="F139" s="12">
        <f>IF('[1]P-GENERAL'!F139="","",'[1]P-GENERAL'!F139)</f>
        <v>432</v>
      </c>
      <c r="G139" s="13">
        <f>IF('[1]P-GENERAL'!G139="","",'[1]P-GENERAL'!G139)</f>
        <v>9</v>
      </c>
      <c r="H139" s="14">
        <f>IF('[1]P-GENERAL'!H139="","",'[1]P-GENERAL'!H139)</f>
        <v>46272</v>
      </c>
      <c r="I139">
        <f>IF('[1]P-GENERAL'!I139="","",'[1]P-GENERAL'!I139)</f>
        <v>37</v>
      </c>
      <c r="J139" s="15">
        <f>IF('[1]P-GENERAL'!J139="","",'[1]P-GENERAL'!J139)</f>
        <v>0</v>
      </c>
      <c r="K139" s="14" t="str">
        <f>IF('[1]P-GENERAL'!K139="","",'[1]P-GENERAL'!K139)</f>
        <v/>
      </c>
      <c r="L139" s="14" t="str">
        <f>IF('[1]P-GENERAL'!L139="","",'[1]P-GENERAL'!L139)</f>
        <v>PREENFRIO NELLY</v>
      </c>
      <c r="M139">
        <f>IF('[1]P-GENERAL'!M139="","",'[1]P-GENERAL'!M139)</f>
        <v>1.5</v>
      </c>
      <c r="N139">
        <f>IF('[1]P-GENERAL'!N139="","",'[1]P-GENERAL'!N139)</f>
        <v>36</v>
      </c>
      <c r="O139" s="14">
        <f>IF('[1]P-GENERAL'!O139="","",'[1]P-GENERAL'!O139)</f>
        <v>46272</v>
      </c>
      <c r="P139" s="16">
        <f>IF('[1]P-GENERAL'!P139="","",'[1]P-GENERAL'!P139)</f>
        <v>0.76736111111111116</v>
      </c>
      <c r="Q139" t="str">
        <f>IF('[1]P-GENERAL'!Q139="","",'[1]P-GENERAL'!Q139)</f>
        <v>ALTA</v>
      </c>
      <c r="R139" s="14">
        <f>IF('[1]P-GENERAL'!R139="","",'[1]P-GENERAL'!R139)</f>
        <v>46272</v>
      </c>
      <c r="S139" s="16">
        <f>IF('[1]P-GENERAL'!S139="","",'[1]P-GENERAL'!S139)</f>
        <v>0.49513888888888891</v>
      </c>
      <c r="T139" s="16">
        <f>IF('[1]P-GENERAL'!T139="","",'[1]P-GENERAL'!T139)</f>
        <v>0.35416666666666669</v>
      </c>
      <c r="U139" s="17">
        <f>IF('[1]P-GENERAL'!U139="","",'[1]P-GENERAL'!U139)</f>
        <v>46272.849305555552</v>
      </c>
      <c r="V139" s="14">
        <f>IF('[1]P-GENERAL'!V139="","",'[1]P-GENERAL'!V139)</f>
        <v>46273</v>
      </c>
      <c r="W139" s="16">
        <f>IF('[1]P-GENERAL'!W139="","",'[1]P-GENERAL'!W139)</f>
        <v>0.95833333333333337</v>
      </c>
      <c r="X139" s="14" t="str">
        <f>IF('[1]P-GENERAL'!X139="","",'[1]P-GENERAL'!X139)</f>
        <v>NO CUMPLE</v>
      </c>
      <c r="Y139" s="14" t="str">
        <f>IF('[1]P-GENERAL'!Y139="","",'[1]P-GENERAL'!Y139)</f>
        <v>NO CUMPLE</v>
      </c>
      <c r="Z139" s="14" t="str">
        <f>IF('[1]P-GENERAL'!Z139="","",'[1]P-GENERAL'!Z139)</f>
        <v/>
      </c>
      <c r="AA139" s="14" t="str">
        <f>IF('[1]P-GENERAL'!AA139="","",'[1]P-GENERAL'!AA139)</f>
        <v>DESPACHADO</v>
      </c>
      <c r="AB139" s="8" t="str">
        <f>IF('[1]P-GENERAL'!AB139="","",'[1]P-GENERAL'!AB139)</f>
        <v>JONATHAN CARRILLO GODINEZ</v>
      </c>
      <c r="AC139" s="8" t="str">
        <f>IF('[1]P-GENERAL'!AC139="","",'[1]P-GENERAL'!AC139)</f>
        <v>ESTEBAN ALEJANDRO OLIVA</v>
      </c>
      <c r="AD139">
        <f>IF('[1]P-GENERAL'!AD139="","",'[1]P-GENERAL'!AD139)</f>
        <v>16632</v>
      </c>
      <c r="AE139" t="str">
        <f>IF('[1]P-GENERAL'!AE139="","",'[1]P-GENERAL'!AE139)</f>
        <v>QCH1W03H80</v>
      </c>
    </row>
    <row r="140" spans="1:31" ht="20.25" x14ac:dyDescent="0.3">
      <c r="A140" s="11" t="str">
        <f>IF('[1]P-GENERAL'!A140="","",'[1]P-GENERAL'!A140)</f>
        <v>Platano de Chiapas BAE UPC 3237</v>
      </c>
      <c r="B140" s="11" t="str">
        <f>IF('[1]P-GENERAL'!B140="","",'[1]P-GENERAL'!B140)</f>
        <v>CPR01114</v>
      </c>
      <c r="C140" t="str">
        <f>IF('[1]P-GENERAL'!C140="","",'[1]P-GENERAL'!C140)</f>
        <v/>
      </c>
      <c r="D140" t="str">
        <f>IF('[1]P-GENERAL'!D140="","",'[1]P-GENERAL'!D140)</f>
        <v>A01 001 Marbella</v>
      </c>
      <c r="E140" s="8" t="str">
        <f>IF('[1]P-GENERAL'!E140="","",'[1]P-GENERAL'!E140)</f>
        <v>Chalco</v>
      </c>
      <c r="F140" s="12">
        <f>IF('[1]P-GENERAL'!F140="","",'[1]P-GENERAL'!F140)</f>
        <v>84</v>
      </c>
      <c r="G140" s="13">
        <f>IF('[1]P-GENERAL'!G140="","",'[1]P-GENERAL'!G140)</f>
        <v>1.375</v>
      </c>
      <c r="H140" s="14">
        <f>IF('[1]P-GENERAL'!H140="","",'[1]P-GENERAL'!H140)</f>
        <v>46272</v>
      </c>
      <c r="I140">
        <f>IF('[1]P-GENERAL'!I140="","",'[1]P-GENERAL'!I140)</f>
        <v>37</v>
      </c>
      <c r="J140" s="15">
        <f>IF('[1]P-GENERAL'!J140="","",'[1]P-GENERAL'!J140)</f>
        <v>46277</v>
      </c>
      <c r="K140" s="14" t="str">
        <f>IF('[1]P-GENERAL'!K140="","",'[1]P-GENERAL'!K140)</f>
        <v/>
      </c>
      <c r="L140" s="14" t="str">
        <f>IF('[1]P-GENERAL'!L140="","",'[1]P-GENERAL'!L140)</f>
        <v>PREENFRIO NELLY</v>
      </c>
      <c r="M140">
        <f>IF('[1]P-GENERAL'!M140="","",'[1]P-GENERAL'!M140)</f>
        <v>1</v>
      </c>
      <c r="N140">
        <f>IF('[1]P-GENERAL'!N140="","",'[1]P-GENERAL'!N140)</f>
        <v>24</v>
      </c>
      <c r="O140" s="14">
        <f>IF('[1]P-GENERAL'!O140="","",'[1]P-GENERAL'!O140)</f>
        <v>46272</v>
      </c>
      <c r="P140" s="16">
        <f>IF('[1]P-GENERAL'!P140="","",'[1]P-GENERAL'!P140)</f>
        <v>0.79166666666666663</v>
      </c>
      <c r="Q140" t="str">
        <f>IF('[1]P-GENERAL'!Q140="","",'[1]P-GENERAL'!Q140)</f>
        <v>ALTA</v>
      </c>
      <c r="R140" s="14">
        <f>IF('[1]P-GENERAL'!R140="","",'[1]P-GENERAL'!R140)</f>
        <v>46273</v>
      </c>
      <c r="S140" s="16">
        <f>IF('[1]P-GENERAL'!S140="","",'[1]P-GENERAL'!S140)</f>
        <v>0.14097222222222222</v>
      </c>
      <c r="T140" s="16">
        <f>IF('[1]P-GENERAL'!T140="","",'[1]P-GENERAL'!T140)</f>
        <v>0.35416666666666669</v>
      </c>
      <c r="U140" s="17">
        <f>IF('[1]P-GENERAL'!U140="","",'[1]P-GENERAL'!U140)</f>
        <v>46273.495138888888</v>
      </c>
      <c r="V140" s="14" t="str">
        <f>IF('[1]P-GENERAL'!V140="","",'[1]P-GENERAL'!V140)</f>
        <v/>
      </c>
      <c r="W140" s="16" t="str">
        <f>IF('[1]P-GENERAL'!W140="","",'[1]P-GENERAL'!W140)</f>
        <v/>
      </c>
      <c r="X140" s="14" t="str">
        <f>IF('[1]P-GENERAL'!X140="","",'[1]P-GENERAL'!X140)</f>
        <v>SI CUMPLE</v>
      </c>
      <c r="Y140" s="14" t="str">
        <f>IF('[1]P-GENERAL'!Y140="","",'[1]P-GENERAL'!Y140)</f>
        <v/>
      </c>
      <c r="Z140" s="14" t="str">
        <f>IF('[1]P-GENERAL'!Z140="","",'[1]P-GENERAL'!Z140)</f>
        <v/>
      </c>
      <c r="AA140" s="14" t="str">
        <f>IF('[1]P-GENERAL'!AA140="","",'[1]P-GENERAL'!AA140)</f>
        <v>DESPACHADO</v>
      </c>
      <c r="AB140" s="8" t="str">
        <f>IF('[1]P-GENERAL'!AB140="","",'[1]P-GENERAL'!AB140)</f>
        <v>MARIBEL DE LA ROSA FERNANDEZ</v>
      </c>
      <c r="AC140" s="8" t="str">
        <f>IF('[1]P-GENERAL'!AC140="","",'[1]P-GENERAL'!AC140)</f>
        <v>ENRIQUE TREJO SANCHEZ</v>
      </c>
      <c r="AD140">
        <f>IF('[1]P-GENERAL'!AD140="","",'[1]P-GENERAL'!AD140)</f>
        <v>65277</v>
      </c>
      <c r="AE140" t="str">
        <f>IF('[1]P-GENERAL'!AE140="","",'[1]P-GENERAL'!AE140)</f>
        <v/>
      </c>
    </row>
    <row r="141" spans="1:31" ht="20.25" x14ac:dyDescent="0.3">
      <c r="A141" s="11" t="str">
        <f>IF('[1]P-GENERAL'!A141="","",'[1]P-GENERAL'!A141)</f>
        <v>Chanitos Premium Tarima Chep</v>
      </c>
      <c r="B141" s="11" t="str">
        <f>IF('[1]P-GENERAL'!B141="","",'[1]P-GENERAL'!B141)</f>
        <v>CPR01102</v>
      </c>
      <c r="C141" t="str">
        <f>IF('[1]P-GENERAL'!C141="","",'[1]P-GENERAL'!C141)</f>
        <v>A01002-370709-1</v>
      </c>
      <c r="D141" t="str">
        <f>IF('[1]P-GENERAL'!D141="","",'[1]P-GENERAL'!D141)</f>
        <v>A01 002 Fortaleza</v>
      </c>
      <c r="E141" s="8" t="str">
        <f>IF('[1]P-GENERAL'!E141="","",'[1]P-GENERAL'!E141)</f>
        <v>VSA</v>
      </c>
      <c r="F141" s="12">
        <f>IF('[1]P-GENERAL'!F141="","",'[1]P-GENERAL'!F141)</f>
        <v>96</v>
      </c>
      <c r="G141" s="13">
        <f>IF('[1]P-GENERAL'!G141="","",'[1]P-GENERAL'!G141)</f>
        <v>2</v>
      </c>
      <c r="H141" s="14">
        <f>IF('[1]P-GENERAL'!H141="","",'[1]P-GENERAL'!H141)</f>
        <v>46272</v>
      </c>
      <c r="I141">
        <f>IF('[1]P-GENERAL'!I141="","",'[1]P-GENERAL'!I141)</f>
        <v>37</v>
      </c>
      <c r="J141" s="15">
        <f>IF('[1]P-GENERAL'!J141="","",'[1]P-GENERAL'!J141)</f>
        <v>46277</v>
      </c>
      <c r="K141" s="14" t="str">
        <f>IF('[1]P-GENERAL'!K141="","",'[1]P-GENERAL'!K141)</f>
        <v/>
      </c>
      <c r="L141" s="14" t="str">
        <f>IF('[1]P-GENERAL'!L141="","",'[1]P-GENERAL'!L141)</f>
        <v>PREENFRIO FORTALEZA</v>
      </c>
      <c r="M141">
        <f>IF('[1]P-GENERAL'!M141="","",'[1]P-GENERAL'!M141)</f>
        <v>1</v>
      </c>
      <c r="N141">
        <f>IF('[1]P-GENERAL'!N141="","",'[1]P-GENERAL'!N141)</f>
        <v>24</v>
      </c>
      <c r="O141" s="14">
        <f>IF('[1]P-GENERAL'!O141="","",'[1]P-GENERAL'!O141)</f>
        <v>46272</v>
      </c>
      <c r="P141" s="16">
        <f>IF('[1]P-GENERAL'!P141="","",'[1]P-GENERAL'!P141)</f>
        <v>0.72916666666666663</v>
      </c>
      <c r="Q141" t="str">
        <f>IF('[1]P-GENERAL'!Q141="","",'[1]P-GENERAL'!Q141)</f>
        <v>NORMAL</v>
      </c>
      <c r="R141" s="14">
        <f>IF('[1]P-GENERAL'!R141="","",'[1]P-GENERAL'!R141)</f>
        <v>46274</v>
      </c>
      <c r="S141" s="16">
        <f>IF('[1]P-GENERAL'!S141="","",'[1]P-GENERAL'!S141)</f>
        <v>0.50555555555555554</v>
      </c>
      <c r="T141" s="16">
        <f>IF('[1]P-GENERAL'!T141="","",'[1]P-GENERAL'!T141)</f>
        <v>0.20833333333333334</v>
      </c>
      <c r="U141" s="17">
        <f>IF('[1]P-GENERAL'!U141="","",'[1]P-GENERAL'!U141)</f>
        <v>46274.713888888895</v>
      </c>
      <c r="V141" s="14">
        <f>IF('[1]P-GENERAL'!V141="","",'[1]P-GENERAL'!V141)</f>
        <v>46275</v>
      </c>
      <c r="W141" s="16">
        <f>IF('[1]P-GENERAL'!W141="","",'[1]P-GENERAL'!W141)</f>
        <v>0.6875</v>
      </c>
      <c r="X141" s="14" t="str">
        <f>IF('[1]P-GENERAL'!X141="","",'[1]P-GENERAL'!X141)</f>
        <v>SI CUMPLE</v>
      </c>
      <c r="Y141" s="14" t="str">
        <f>IF('[1]P-GENERAL'!Y141="","",'[1]P-GENERAL'!Y141)</f>
        <v>SI CUMPLE</v>
      </c>
      <c r="Z141" s="14" t="str">
        <f>IF('[1]P-GENERAL'!Z141="","",'[1]P-GENERAL'!Z141)</f>
        <v/>
      </c>
      <c r="AA141" s="14" t="str">
        <f>IF('[1]P-GENERAL'!AA141="","",'[1]P-GENERAL'!AA141)</f>
        <v>DESPACHADO</v>
      </c>
      <c r="AB141" s="8" t="str">
        <f>IF('[1]P-GENERAL'!AB141="","",'[1]P-GENERAL'!AB141)</f>
        <v>BACKHAUL</v>
      </c>
      <c r="AC141" s="8" t="str">
        <f>IF('[1]P-GENERAL'!AC141="","",'[1]P-GENERAL'!AC141)</f>
        <v>Luis Angel  Cordova Segura</v>
      </c>
      <c r="AD141">
        <f>IF('[1]P-GENERAL'!AD141="","",'[1]P-GENERAL'!AD141)</f>
        <v>17285</v>
      </c>
      <c r="AE141" t="str">
        <f>IF('[1]P-GENERAL'!AE141="","",'[1]P-GENERAL'!AE141)</f>
        <v>QCH1W056Q0</v>
      </c>
    </row>
    <row r="142" spans="1:31" ht="20.25" x14ac:dyDescent="0.3">
      <c r="A142" s="11" t="str">
        <f>IF('[1]P-GENERAL'!A142="","",'[1]P-GENERAL'!A142)</f>
        <v>Chanitos Premium Tarima Chep</v>
      </c>
      <c r="B142" s="11" t="str">
        <f>IF('[1]P-GENERAL'!B142="","",'[1]P-GENERAL'!B142)</f>
        <v>CPR01102</v>
      </c>
      <c r="C142" t="str">
        <f>IF('[1]P-GENERAL'!C142="","",'[1]P-GENERAL'!C142)</f>
        <v>A01001-370709-1</v>
      </c>
      <c r="D142" t="str">
        <f>IF('[1]P-GENERAL'!D142="","",'[1]P-GENERAL'!D142)</f>
        <v>A01 001 Marbella</v>
      </c>
      <c r="E142" s="8" t="str">
        <f>IF('[1]P-GENERAL'!E142="","",'[1]P-GENERAL'!E142)</f>
        <v>VSA</v>
      </c>
      <c r="F142" s="12">
        <f>IF('[1]P-GENERAL'!F142="","",'[1]P-GENERAL'!F142)</f>
        <v>48</v>
      </c>
      <c r="G142" s="13">
        <f>IF('[1]P-GENERAL'!G142="","",'[1]P-GENERAL'!G142)</f>
        <v>1</v>
      </c>
      <c r="H142" s="14">
        <f>IF('[1]P-GENERAL'!H142="","",'[1]P-GENERAL'!H142)</f>
        <v>46272</v>
      </c>
      <c r="I142">
        <f>IF('[1]P-GENERAL'!I142="","",'[1]P-GENERAL'!I142)</f>
        <v>37</v>
      </c>
      <c r="J142" s="15">
        <f>IF('[1]P-GENERAL'!J142="","",'[1]P-GENERAL'!J142)</f>
        <v>46277</v>
      </c>
      <c r="K142" s="14" t="str">
        <f>IF('[1]P-GENERAL'!K142="","",'[1]P-GENERAL'!K142)</f>
        <v/>
      </c>
      <c r="L142" s="14" t="str">
        <f>IF('[1]P-GENERAL'!L142="","",'[1]P-GENERAL'!L142)</f>
        <v>PREENFRIO FORTALEZA</v>
      </c>
      <c r="M142">
        <f>IF('[1]P-GENERAL'!M142="","",'[1]P-GENERAL'!M142)</f>
        <v>1</v>
      </c>
      <c r="N142">
        <f>IF('[1]P-GENERAL'!N142="","",'[1]P-GENERAL'!N142)</f>
        <v>24</v>
      </c>
      <c r="O142" s="14">
        <f>IF('[1]P-GENERAL'!O142="","",'[1]P-GENERAL'!O142)</f>
        <v>46274</v>
      </c>
      <c r="P142" s="16">
        <f>IF('[1]P-GENERAL'!P142="","",'[1]P-GENERAL'!P142)</f>
        <v>0.8125</v>
      </c>
      <c r="Q142" t="str">
        <f>IF('[1]P-GENERAL'!Q142="","",'[1]P-GENERAL'!Q142)</f>
        <v>NORMAL</v>
      </c>
      <c r="R142" s="14">
        <f>IF('[1]P-GENERAL'!R142="","",'[1]P-GENERAL'!R142)</f>
        <v>46275</v>
      </c>
      <c r="S142" s="16">
        <f>IF('[1]P-GENERAL'!S142="","",'[1]P-GENERAL'!S142)</f>
        <v>0.15138888888888888</v>
      </c>
      <c r="T142" s="16">
        <f>IF('[1]P-GENERAL'!T142="","",'[1]P-GENERAL'!T142)</f>
        <v>0.25</v>
      </c>
      <c r="U142" s="17">
        <f>IF('[1]P-GENERAL'!U142="","",'[1]P-GENERAL'!U142)</f>
        <v>46275.401388888888</v>
      </c>
      <c r="V142" s="14">
        <f>IF('[1]P-GENERAL'!V142="","",'[1]P-GENERAL'!V142)</f>
        <v>46275</v>
      </c>
      <c r="W142" s="16">
        <f>IF('[1]P-GENERAL'!W142="","",'[1]P-GENERAL'!W142)</f>
        <v>0.6875</v>
      </c>
      <c r="X142" s="14" t="str">
        <f>IF('[1]P-GENERAL'!X142="","",'[1]P-GENERAL'!X142)</f>
        <v>SI CUMPLE</v>
      </c>
      <c r="Y142" s="14" t="str">
        <f>IF('[1]P-GENERAL'!Y142="","",'[1]P-GENERAL'!Y142)</f>
        <v>SI CUMPLE</v>
      </c>
      <c r="Z142" s="14" t="str">
        <f>IF('[1]P-GENERAL'!Z142="","",'[1]P-GENERAL'!Z142)</f>
        <v/>
      </c>
      <c r="AA142" s="14" t="str">
        <f>IF('[1]P-GENERAL'!AA142="","",'[1]P-GENERAL'!AA142)</f>
        <v>DESPACHADO</v>
      </c>
      <c r="AB142" s="8" t="str">
        <f>IF('[1]P-GENERAL'!AB142="","",'[1]P-GENERAL'!AB142)</f>
        <v>BACKHAUL</v>
      </c>
      <c r="AC142" s="8" t="str">
        <f>IF('[1]P-GENERAL'!AC142="","",'[1]P-GENERAL'!AC142)</f>
        <v>Luis Angel  Cordova Segura</v>
      </c>
      <c r="AD142">
        <f>IF('[1]P-GENERAL'!AD142="","",'[1]P-GENERAL'!AD142)</f>
        <v>17285</v>
      </c>
      <c r="AE142" t="str">
        <f>IF('[1]P-GENERAL'!AE142="","",'[1]P-GENERAL'!AE142)</f>
        <v>QCH1W056Q0</v>
      </c>
    </row>
    <row r="143" spans="1:31" ht="20.25" x14ac:dyDescent="0.3">
      <c r="A143" s="11" t="str">
        <f>IF('[1]P-GENERAL'!A143="","",'[1]P-GENERAL'!A143)</f>
        <v>Chanitos Premium Tarima Chep</v>
      </c>
      <c r="B143" s="11" t="str">
        <f>IF('[1]P-GENERAL'!B143="","",'[1]P-GENERAL'!B143)</f>
        <v>CPR01102</v>
      </c>
      <c r="C143" t="str">
        <f>IF('[1]P-GENERAL'!C143="","",'[1]P-GENERAL'!C143)</f>
        <v/>
      </c>
      <c r="D143" t="str">
        <f>IF('[1]P-GENERAL'!D143="","",'[1]P-GENERAL'!D143)</f>
        <v>A01 001 Marbella</v>
      </c>
      <c r="E143" s="8" t="str">
        <f>IF('[1]P-GENERAL'!E143="","",'[1]P-GENERAL'!E143)</f>
        <v>Chalco</v>
      </c>
      <c r="F143" s="12">
        <f>IF('[1]P-GENERAL'!F143="","",'[1]P-GENERAL'!F143)</f>
        <v>1068</v>
      </c>
      <c r="G143" s="13">
        <f>IF('[1]P-GENERAL'!G143="","",'[1]P-GENERAL'!G143)</f>
        <v>22.625</v>
      </c>
      <c r="H143" s="14">
        <f>IF('[1]P-GENERAL'!H143="","",'[1]P-GENERAL'!H143)</f>
        <v>46272</v>
      </c>
      <c r="I143">
        <f>IF('[1]P-GENERAL'!I143="","",'[1]P-GENERAL'!I143)</f>
        <v>37</v>
      </c>
      <c r="J143" s="15">
        <f>IF('[1]P-GENERAL'!J143="","",'[1]P-GENERAL'!J143)</f>
        <v>46277</v>
      </c>
      <c r="K143" s="14" t="str">
        <f>IF('[1]P-GENERAL'!K143="","",'[1]P-GENERAL'!K143)</f>
        <v/>
      </c>
      <c r="L143" s="14" t="str">
        <f>IF('[1]P-GENERAL'!L143="","",'[1]P-GENERAL'!L143)</f>
        <v>PREENFRIO NELLY</v>
      </c>
      <c r="M143">
        <f>IF('[1]P-GENERAL'!M143="","",'[1]P-GENERAL'!M143)</f>
        <v>1</v>
      </c>
      <c r="N143">
        <f>IF('[1]P-GENERAL'!N143="","",'[1]P-GENERAL'!N143)</f>
        <v>24</v>
      </c>
      <c r="O143" s="14">
        <f>IF('[1]P-GENERAL'!O143="","",'[1]P-GENERAL'!O143)</f>
        <v>46272</v>
      </c>
      <c r="P143" s="16">
        <f>IF('[1]P-GENERAL'!P143="","",'[1]P-GENERAL'!P143)</f>
        <v>0.79166666666666663</v>
      </c>
      <c r="Q143" t="str">
        <f>IF('[1]P-GENERAL'!Q143="","",'[1]P-GENERAL'!Q143)</f>
        <v>ALTA</v>
      </c>
      <c r="R143" s="14">
        <f>IF('[1]P-GENERAL'!R143="","",'[1]P-GENERAL'!R143)</f>
        <v>46273</v>
      </c>
      <c r="S143" s="16">
        <f>IF('[1]P-GENERAL'!S143="","",'[1]P-GENERAL'!S143)</f>
        <v>0.14097222222222222</v>
      </c>
      <c r="T143" s="16">
        <f>IF('[1]P-GENERAL'!T143="","",'[1]P-GENERAL'!T143)</f>
        <v>0.35416666666666669</v>
      </c>
      <c r="U143" s="17">
        <f>IF('[1]P-GENERAL'!U143="","",'[1]P-GENERAL'!U143)</f>
        <v>46273.495138888888</v>
      </c>
      <c r="V143" s="14" t="str">
        <f>IF('[1]P-GENERAL'!V143="","",'[1]P-GENERAL'!V143)</f>
        <v/>
      </c>
      <c r="W143" s="16" t="str">
        <f>IF('[1]P-GENERAL'!W143="","",'[1]P-GENERAL'!W143)</f>
        <v/>
      </c>
      <c r="X143" s="14" t="str">
        <f>IF('[1]P-GENERAL'!X143="","",'[1]P-GENERAL'!X143)</f>
        <v>SI CUMPLE</v>
      </c>
      <c r="Y143" s="14" t="str">
        <f>IF('[1]P-GENERAL'!Y143="","",'[1]P-GENERAL'!Y143)</f>
        <v/>
      </c>
      <c r="Z143" s="14" t="str">
        <f>IF('[1]P-GENERAL'!Z143="","",'[1]P-GENERAL'!Z143)</f>
        <v/>
      </c>
      <c r="AA143" s="14" t="str">
        <f>IF('[1]P-GENERAL'!AA143="","",'[1]P-GENERAL'!AA143)</f>
        <v>DESPACHADO</v>
      </c>
      <c r="AB143" s="8" t="str">
        <f>IF('[1]P-GENERAL'!AB143="","",'[1]P-GENERAL'!AB143)</f>
        <v>MARIBEL DE LA ROSA FERNANDEZ</v>
      </c>
      <c r="AC143" s="8" t="str">
        <f>IF('[1]P-GENERAL'!AC143="","",'[1]P-GENERAL'!AC143)</f>
        <v>ENRIQUE TREJO SANCHEZ</v>
      </c>
      <c r="AD143">
        <f>IF('[1]P-GENERAL'!AD143="","",'[1]P-GENERAL'!AD143)</f>
        <v>65277</v>
      </c>
      <c r="AE143" t="str">
        <f>IF('[1]P-GENERAL'!AE143="","",'[1]P-GENERAL'!AE143)</f>
        <v/>
      </c>
    </row>
    <row r="144" spans="1:31" ht="20.25" x14ac:dyDescent="0.3">
      <c r="A144" s="11" t="str">
        <f>IF('[1]P-GENERAL'!A144="","",'[1]P-GENERAL'!A144)</f>
        <v>Chanitos Premium EUA Tarima Americana</v>
      </c>
      <c r="B144" s="11" t="str">
        <f>IF('[1]P-GENERAL'!B144="","",'[1]P-GENERAL'!B144)</f>
        <v>CPR01104</v>
      </c>
      <c r="C144" t="str">
        <f>IF('[1]P-GENERAL'!C144="","",'[1]P-GENERAL'!C144)</f>
        <v/>
      </c>
      <c r="D144" t="str">
        <f>IF('[1]P-GENERAL'!D144="","",'[1]P-GENERAL'!D144)</f>
        <v>A01 003 Doña Nelly</v>
      </c>
      <c r="E144" s="8" t="str">
        <f>IF('[1]P-GENERAL'!E144="","",'[1]P-GENERAL'!E144)</f>
        <v>McAllen</v>
      </c>
      <c r="F144" s="12">
        <f>IF('[1]P-GENERAL'!F144="","",'[1]P-GENERAL'!F144)</f>
        <v>960</v>
      </c>
      <c r="G144" s="13">
        <f>IF('[1]P-GENERAL'!G144="","",'[1]P-GENERAL'!G144)</f>
        <v>20</v>
      </c>
      <c r="H144" s="14">
        <f>IF('[1]P-GENERAL'!H144="","",'[1]P-GENERAL'!H144)</f>
        <v>46272</v>
      </c>
      <c r="I144">
        <f>IF('[1]P-GENERAL'!I144="","",'[1]P-GENERAL'!I144)</f>
        <v>37</v>
      </c>
      <c r="J144" s="15">
        <f>IF('[1]P-GENERAL'!J144="","",'[1]P-GENERAL'!J144)</f>
        <v>46277</v>
      </c>
      <c r="K144" s="14" t="str">
        <f>IF('[1]P-GENERAL'!K144="","",'[1]P-GENERAL'!K144)</f>
        <v/>
      </c>
      <c r="L144" s="14" t="str">
        <f>IF('[1]P-GENERAL'!L144="","",'[1]P-GENERAL'!L144)</f>
        <v>PREENFRIO NELLY</v>
      </c>
      <c r="M144">
        <f>IF('[1]P-GENERAL'!M144="","",'[1]P-GENERAL'!M144)</f>
        <v>3</v>
      </c>
      <c r="N144">
        <f>IF('[1]P-GENERAL'!N144="","",'[1]P-GENERAL'!N144)</f>
        <v>72</v>
      </c>
      <c r="O144" s="14">
        <f>IF('[1]P-GENERAL'!O144="","",'[1]P-GENERAL'!O144)</f>
        <v>46272</v>
      </c>
      <c r="P144" s="16">
        <f>IF('[1]P-GENERAL'!P144="","",'[1]P-GENERAL'!P144)</f>
        <v>0.76736111111111116</v>
      </c>
      <c r="Q144" t="str">
        <f>IF('[1]P-GENERAL'!Q144="","",'[1]P-GENERAL'!Q144)</f>
        <v>ALTA</v>
      </c>
      <c r="R144" s="14">
        <f>IF('[1]P-GENERAL'!R144="","",'[1]P-GENERAL'!R144)</f>
        <v>46272</v>
      </c>
      <c r="S144" s="16">
        <f>IF('[1]P-GENERAL'!S144="","",'[1]P-GENERAL'!S144)</f>
        <v>0.70486111111111116</v>
      </c>
      <c r="T144" s="16">
        <f>IF('[1]P-GENERAL'!T144="","",'[1]P-GENERAL'!T144)</f>
        <v>0.35416666666666669</v>
      </c>
      <c r="U144" s="17">
        <f>IF('[1]P-GENERAL'!U144="","",'[1]P-GENERAL'!U144)</f>
        <v>46273.059027777774</v>
      </c>
      <c r="V144" s="14">
        <f>IF('[1]P-GENERAL'!V144="","",'[1]P-GENERAL'!V144)</f>
        <v>46273</v>
      </c>
      <c r="W144" s="16">
        <f>IF('[1]P-GENERAL'!W144="","",'[1]P-GENERAL'!W144)</f>
        <v>0.2013888888888889</v>
      </c>
      <c r="X144" s="14" t="str">
        <f>IF('[1]P-GENERAL'!X144="","",'[1]P-GENERAL'!X144)</f>
        <v>SI CUMPLE</v>
      </c>
      <c r="Y144" s="14" t="str">
        <f>IF('[1]P-GENERAL'!Y144="","",'[1]P-GENERAL'!Y144)</f>
        <v>SI CUMPLE</v>
      </c>
      <c r="Z144" s="14" t="str">
        <f>IF('[1]P-GENERAL'!Z144="","",'[1]P-GENERAL'!Z144)</f>
        <v/>
      </c>
      <c r="AA144" s="14" t="str">
        <f>IF('[1]P-GENERAL'!AA144="","",'[1]P-GENERAL'!AA144)</f>
        <v>DESPACHADO</v>
      </c>
      <c r="AB144" s="8" t="str">
        <f>IF('[1]P-GENERAL'!AB144="","",'[1]P-GENERAL'!AB144)</f>
        <v>TRANSPORTES DELTA DE MTY</v>
      </c>
      <c r="AC144" s="8" t="str">
        <f>IF('[1]P-GENERAL'!AC144="","",'[1]P-GENERAL'!AC144)</f>
        <v>Andres Guzman Montero</v>
      </c>
      <c r="AD144">
        <f>IF('[1]P-GENERAL'!AD144="","",'[1]P-GENERAL'!AD144)</f>
        <v>90637</v>
      </c>
      <c r="AE144">
        <f>IF('[1]P-GENERAL'!AE144="","",'[1]P-GENERAL'!AE144)</f>
        <v>100000913442</v>
      </c>
    </row>
    <row r="145" spans="1:31" ht="20.25" x14ac:dyDescent="0.3">
      <c r="A145" s="11" t="str">
        <f>IF('[1]P-GENERAL'!A145="","",'[1]P-GENERAL'!A145)</f>
        <v>Chanitos Premium Tarima Chep</v>
      </c>
      <c r="B145" s="11" t="str">
        <f>IF('[1]P-GENERAL'!B145="","",'[1]P-GENERAL'!B145)</f>
        <v>CPR01102</v>
      </c>
      <c r="C145" t="str">
        <f>IF('[1]P-GENERAL'!C145="","",'[1]P-GENERAL'!C145)</f>
        <v/>
      </c>
      <c r="D145" t="str">
        <f>IF('[1]P-GENERAL'!D145="","",'[1]P-GENERAL'!D145)</f>
        <v>A01 003 Doña Nelly</v>
      </c>
      <c r="E145" s="8" t="str">
        <f>IF('[1]P-GENERAL'!E145="","",'[1]P-GENERAL'!E145)</f>
        <v>QRO</v>
      </c>
      <c r="F145" s="12">
        <f>IF('[1]P-GENERAL'!F145="","",'[1]P-GENERAL'!F145)</f>
        <v>144</v>
      </c>
      <c r="G145" s="13">
        <f>IF('[1]P-GENERAL'!G145="","",'[1]P-GENERAL'!G145)</f>
        <v>3</v>
      </c>
      <c r="H145" s="14">
        <f>IF('[1]P-GENERAL'!H145="","",'[1]P-GENERAL'!H145)</f>
        <v>46273</v>
      </c>
      <c r="I145">
        <f>IF('[1]P-GENERAL'!I145="","",'[1]P-GENERAL'!I145)</f>
        <v>37</v>
      </c>
      <c r="J145" s="15">
        <f>IF('[1]P-GENERAL'!J145="","",'[1]P-GENERAL'!J145)</f>
        <v>46276</v>
      </c>
      <c r="K145" s="14" t="str">
        <f>IF('[1]P-GENERAL'!K145="","",'[1]P-GENERAL'!K145)</f>
        <v/>
      </c>
      <c r="L145" s="14" t="str">
        <f>IF('[1]P-GENERAL'!L145="","",'[1]P-GENERAL'!L145)</f>
        <v>PREENFRIO NELLY</v>
      </c>
      <c r="M145">
        <f>IF('[1]P-GENERAL'!M145="","",'[1]P-GENERAL'!M145)</f>
        <v>1.5</v>
      </c>
      <c r="N145">
        <f>IF('[1]P-GENERAL'!N145="","",'[1]P-GENERAL'!N145)</f>
        <v>36</v>
      </c>
      <c r="O145" s="14">
        <f>IF('[1]P-GENERAL'!O145="","",'[1]P-GENERAL'!O145)</f>
        <v>46273</v>
      </c>
      <c r="P145" s="16">
        <f>IF('[1]P-GENERAL'!P145="","",'[1]P-GENERAL'!P145)</f>
        <v>0.77083333333333337</v>
      </c>
      <c r="Q145" t="str">
        <f>IF('[1]P-GENERAL'!Q145="","",'[1]P-GENERAL'!Q145)</f>
        <v>ALTA</v>
      </c>
      <c r="R145" s="14">
        <f>IF('[1]P-GENERAL'!R145="","",'[1]P-GENERAL'!R145)</f>
        <v>46273</v>
      </c>
      <c r="S145" s="16">
        <f>IF('[1]P-GENERAL'!S145="","",'[1]P-GENERAL'!S145)</f>
        <v>0.50486111111111109</v>
      </c>
      <c r="T145" s="16">
        <f>IF('[1]P-GENERAL'!T145="","",'[1]P-GENERAL'!T145)</f>
        <v>0.35416666666666669</v>
      </c>
      <c r="U145" s="17">
        <f>IF('[1]P-GENERAL'!U145="","",'[1]P-GENERAL'!U145)</f>
        <v>46273.859027777777</v>
      </c>
      <c r="V145" s="14">
        <f>IF('[1]P-GENERAL'!V145="","",'[1]P-GENERAL'!V145)</f>
        <v>46273</v>
      </c>
      <c r="W145" s="16">
        <f>IF('[1]P-GENERAL'!W145="","",'[1]P-GENERAL'!W145)</f>
        <v>0.95833333333333337</v>
      </c>
      <c r="X145" s="14" t="str">
        <f>IF('[1]P-GENERAL'!X145="","",'[1]P-GENERAL'!X145)</f>
        <v>SI CUMPLE</v>
      </c>
      <c r="Y145" s="14" t="str">
        <f>IF('[1]P-GENERAL'!Y145="","",'[1]P-GENERAL'!Y145)</f>
        <v>SI CUMPLE</v>
      </c>
      <c r="Z145" s="14" t="str">
        <f>IF('[1]P-GENERAL'!Z145="","",'[1]P-GENERAL'!Z145)</f>
        <v/>
      </c>
      <c r="AA145" s="14" t="str">
        <f>IF('[1]P-GENERAL'!AA145="","",'[1]P-GENERAL'!AA145)</f>
        <v>DESPACHADO</v>
      </c>
      <c r="AB145" s="8" t="str">
        <f>IF('[1]P-GENERAL'!AB145="","",'[1]P-GENERAL'!AB145)</f>
        <v>JONATHAN CARRILLO GODINEZ</v>
      </c>
      <c r="AC145" s="8" t="str">
        <f>IF('[1]P-GENERAL'!AC145="","",'[1]P-GENERAL'!AC145)</f>
        <v>ESTEBAN ALEJANDRO OLIVA</v>
      </c>
      <c r="AD145">
        <f>IF('[1]P-GENERAL'!AD145="","",'[1]P-GENERAL'!AD145)</f>
        <v>16632</v>
      </c>
      <c r="AE145" t="str">
        <f>IF('[1]P-GENERAL'!AE145="","",'[1]P-GENERAL'!AE145)</f>
        <v>QCH1W03H80</v>
      </c>
    </row>
    <row r="146" spans="1:31" ht="20.25" x14ac:dyDescent="0.3">
      <c r="A146" s="11" t="str">
        <f>IF('[1]P-GENERAL'!A146="","",'[1]P-GENERAL'!A146)</f>
        <v>Chanitos Premium Tarima Chep</v>
      </c>
      <c r="B146" s="11" t="str">
        <f>IF('[1]P-GENERAL'!B146="","",'[1]P-GENERAL'!B146)</f>
        <v>CPR01102</v>
      </c>
      <c r="C146" t="str">
        <f>IF('[1]P-GENERAL'!C146="","",'[1]P-GENERAL'!C146)</f>
        <v>A01002-370809-1</v>
      </c>
      <c r="D146" t="str">
        <f>IF('[1]P-GENERAL'!D146="","",'[1]P-GENERAL'!D146)</f>
        <v>A01 002 Fortaleza</v>
      </c>
      <c r="E146" s="8" t="str">
        <f>IF('[1]P-GENERAL'!E146="","",'[1]P-GENERAL'!E146)</f>
        <v>SMO</v>
      </c>
      <c r="F146" s="12">
        <f>IF('[1]P-GENERAL'!F146="","",'[1]P-GENERAL'!F146)</f>
        <v>624</v>
      </c>
      <c r="G146" s="13">
        <f>IF('[1]P-GENERAL'!G146="","",'[1]P-GENERAL'!G146)</f>
        <v>13</v>
      </c>
      <c r="H146" s="14">
        <f>IF('[1]P-GENERAL'!H146="","",'[1]P-GENERAL'!H146)</f>
        <v>46273</v>
      </c>
      <c r="I146">
        <f>IF('[1]P-GENERAL'!I146="","",'[1]P-GENERAL'!I146)</f>
        <v>37</v>
      </c>
      <c r="J146" s="15">
        <f>IF('[1]P-GENERAL'!J146="","",'[1]P-GENERAL'!J146)</f>
        <v>46277</v>
      </c>
      <c r="K146" s="14" t="str">
        <f>IF('[1]P-GENERAL'!K146="","",'[1]P-GENERAL'!K146)</f>
        <v/>
      </c>
      <c r="L146" s="14" t="str">
        <f>IF('[1]P-GENERAL'!L146="","",'[1]P-GENERAL'!L146)</f>
        <v>PREENFRIO FORTALEZA</v>
      </c>
      <c r="M146">
        <f>IF('[1]P-GENERAL'!M146="","",'[1]P-GENERAL'!M146)</f>
        <v>1.5</v>
      </c>
      <c r="N146">
        <f>IF('[1]P-GENERAL'!N146="","",'[1]P-GENERAL'!N146)</f>
        <v>36</v>
      </c>
      <c r="O146" s="14">
        <f>IF('[1]P-GENERAL'!O146="","",'[1]P-GENERAL'!O146)</f>
        <v>46273</v>
      </c>
      <c r="P146" s="16">
        <f>IF('[1]P-GENERAL'!P146="","",'[1]P-GENERAL'!P146)</f>
        <v>0.70833333333333337</v>
      </c>
      <c r="Q146" t="str">
        <f>IF('[1]P-GENERAL'!Q146="","",'[1]P-GENERAL'!Q146)</f>
        <v>NORMAL</v>
      </c>
      <c r="R146" s="14">
        <f>IF('[1]P-GENERAL'!R146="","",'[1]P-GENERAL'!R146)</f>
        <v>46274</v>
      </c>
      <c r="S146" s="16">
        <f>IF('[1]P-GENERAL'!S146="","",'[1]P-GENERAL'!S146)</f>
        <v>0.50555555555555554</v>
      </c>
      <c r="T146" s="16">
        <f>IF('[1]P-GENERAL'!T146="","",'[1]P-GENERAL'!T146)</f>
        <v>0.41666666666666669</v>
      </c>
      <c r="U146" s="17">
        <f>IF('[1]P-GENERAL'!U146="","",'[1]P-GENERAL'!U146)</f>
        <v>46274.922222222223</v>
      </c>
      <c r="V146" s="14">
        <f>IF('[1]P-GENERAL'!V146="","",'[1]P-GENERAL'!V146)</f>
        <v>46274</v>
      </c>
      <c r="W146" s="16">
        <f>IF('[1]P-GENERAL'!W146="","",'[1]P-GENERAL'!W146)</f>
        <v>0.95833333333333337</v>
      </c>
      <c r="X146" s="14" t="str">
        <f>IF('[1]P-GENERAL'!X146="","",'[1]P-GENERAL'!X146)</f>
        <v>SI CUMPLE</v>
      </c>
      <c r="Y146" s="14" t="str">
        <f>IF('[1]P-GENERAL'!Y146="","",'[1]P-GENERAL'!Y146)</f>
        <v>SI CUMPLE</v>
      </c>
      <c r="Z146" s="14" t="str">
        <f>IF('[1]P-GENERAL'!Z146="","",'[1]P-GENERAL'!Z146)</f>
        <v/>
      </c>
      <c r="AA146" s="14" t="str">
        <f>IF('[1]P-GENERAL'!AA146="","",'[1]P-GENERAL'!AA146)</f>
        <v>DESPACHADO</v>
      </c>
      <c r="AB146" s="8" t="str">
        <f>IF('[1]P-GENERAL'!AB146="","",'[1]P-GENERAL'!AB146)</f>
        <v>MARIBEL DE LA ROSA FERNANDEZ</v>
      </c>
      <c r="AC146" s="8" t="str">
        <f>IF('[1]P-GENERAL'!AC146="","",'[1]P-GENERAL'!AC146)</f>
        <v>JACINTO RAMIREZ</v>
      </c>
      <c r="AD146">
        <f>IF('[1]P-GENERAL'!AD146="","",'[1]P-GENERAL'!AD146)</f>
        <v>26309</v>
      </c>
      <c r="AE146" t="str">
        <f>IF('[1]P-GENERAL'!AE146="","",'[1]P-GENERAL'!AE146)</f>
        <v>QCH1W055R0</v>
      </c>
    </row>
    <row r="147" spans="1:31" ht="20.25" x14ac:dyDescent="0.3">
      <c r="A147" s="11" t="str">
        <f>IF('[1]P-GENERAL'!A147="","",'[1]P-GENERAL'!A147)</f>
        <v>Chanitos Organic Banded Market Side Mexico</v>
      </c>
      <c r="B147" s="11" t="str">
        <f>IF('[1]P-GENERAL'!B147="","",'[1]P-GENERAL'!B147)</f>
        <v>CRG07128</v>
      </c>
      <c r="C147" t="str">
        <f>IF('[1]P-GENERAL'!C147="","",'[1]P-GENERAL'!C147)</f>
        <v>A01002-370809-1</v>
      </c>
      <c r="D147" t="str">
        <f>IF('[1]P-GENERAL'!D147="","",'[1]P-GENERAL'!D147)</f>
        <v>A01 002 Fortaleza</v>
      </c>
      <c r="E147" s="8" t="str">
        <f>IF('[1]P-GENERAL'!E147="","",'[1]P-GENERAL'!E147)</f>
        <v>VSA</v>
      </c>
      <c r="F147" s="12">
        <f>IF('[1]P-GENERAL'!F147="","",'[1]P-GENERAL'!F147)</f>
        <v>288</v>
      </c>
      <c r="G147" s="13">
        <f>IF('[1]P-GENERAL'!G147="","",'[1]P-GENERAL'!G147)</f>
        <v>6</v>
      </c>
      <c r="H147" s="14">
        <f>IF('[1]P-GENERAL'!H147="","",'[1]P-GENERAL'!H147)</f>
        <v>46273</v>
      </c>
      <c r="I147">
        <f>IF('[1]P-GENERAL'!I147="","",'[1]P-GENERAL'!I147)</f>
        <v>37</v>
      </c>
      <c r="J147" s="15">
        <f>IF('[1]P-GENERAL'!J147="","",'[1]P-GENERAL'!J147)</f>
        <v>46277</v>
      </c>
      <c r="K147" s="14" t="str">
        <f>IF('[1]P-GENERAL'!K147="","",'[1]P-GENERAL'!K147)</f>
        <v/>
      </c>
      <c r="L147" s="14" t="str">
        <f>IF('[1]P-GENERAL'!L147="","",'[1]P-GENERAL'!L147)</f>
        <v>PREENFRIO FORTALEZA</v>
      </c>
      <c r="M147">
        <f>IF('[1]P-GENERAL'!M147="","",'[1]P-GENERAL'!M147)</f>
        <v>1</v>
      </c>
      <c r="N147">
        <f>IF('[1]P-GENERAL'!N147="","",'[1]P-GENERAL'!N147)</f>
        <v>24</v>
      </c>
      <c r="O147" s="14">
        <f>IF('[1]P-GENERAL'!O147="","",'[1]P-GENERAL'!O147)</f>
        <v>46273</v>
      </c>
      <c r="P147" s="16">
        <f>IF('[1]P-GENERAL'!P147="","",'[1]P-GENERAL'!P147)</f>
        <v>0.70833333333333337</v>
      </c>
      <c r="Q147" t="str">
        <f>IF('[1]P-GENERAL'!Q147="","",'[1]P-GENERAL'!Q147)</f>
        <v>NORMAL</v>
      </c>
      <c r="R147" s="14">
        <f>IF('[1]P-GENERAL'!R147="","",'[1]P-GENERAL'!R147)</f>
        <v>46274</v>
      </c>
      <c r="S147" s="16">
        <f>IF('[1]P-GENERAL'!S147="","",'[1]P-GENERAL'!S147)</f>
        <v>0.7416666666666667</v>
      </c>
      <c r="T147" s="16">
        <f>IF('[1]P-GENERAL'!T147="","",'[1]P-GENERAL'!T147)</f>
        <v>0.18055555555555555</v>
      </c>
      <c r="U147" s="17">
        <f>IF('[1]P-GENERAL'!U147="","",'[1]P-GENERAL'!U147)</f>
        <v>46274.922222222223</v>
      </c>
      <c r="V147" s="14">
        <f>IF('[1]P-GENERAL'!V147="","",'[1]P-GENERAL'!V147)</f>
        <v>46275</v>
      </c>
      <c r="W147" s="16">
        <f>IF('[1]P-GENERAL'!W147="","",'[1]P-GENERAL'!W147)</f>
        <v>0.6875</v>
      </c>
      <c r="X147" s="14" t="str">
        <f>IF('[1]P-GENERAL'!X147="","",'[1]P-GENERAL'!X147)</f>
        <v>SI CUMPLE</v>
      </c>
      <c r="Y147" s="14" t="str">
        <f>IF('[1]P-GENERAL'!Y147="","",'[1]P-GENERAL'!Y147)</f>
        <v>SI CUMPLE</v>
      </c>
      <c r="Z147" s="14" t="str">
        <f>IF('[1]P-GENERAL'!Z147="","",'[1]P-GENERAL'!Z147)</f>
        <v/>
      </c>
      <c r="AA147" s="14" t="str">
        <f>IF('[1]P-GENERAL'!AA147="","",'[1]P-GENERAL'!AA147)</f>
        <v>DESPACHADO</v>
      </c>
      <c r="AB147" s="8" t="str">
        <f>IF('[1]P-GENERAL'!AB147="","",'[1]P-GENERAL'!AB147)</f>
        <v>BACKHAUL</v>
      </c>
      <c r="AC147" s="8" t="str">
        <f>IF('[1]P-GENERAL'!AC147="","",'[1]P-GENERAL'!AC147)</f>
        <v>Luis Angel  Cordova Segura</v>
      </c>
      <c r="AD147">
        <f>IF('[1]P-GENERAL'!AD147="","",'[1]P-GENERAL'!AD147)</f>
        <v>17285</v>
      </c>
      <c r="AE147" t="str">
        <f>IF('[1]P-GENERAL'!AE147="","",'[1]P-GENERAL'!AE147)</f>
        <v>QCH1W056Q0</v>
      </c>
    </row>
    <row r="148" spans="1:31" ht="20.25" x14ac:dyDescent="0.3">
      <c r="A148" s="11" t="str">
        <f>IF('[1]P-GENERAL'!A148="","",'[1]P-GENERAL'!A148)</f>
        <v>Chanitos Premium Tarima Chep</v>
      </c>
      <c r="B148" s="11" t="str">
        <f>IF('[1]P-GENERAL'!B148="","",'[1]P-GENERAL'!B148)</f>
        <v>CPR01102</v>
      </c>
      <c r="C148" t="str">
        <f>IF('[1]P-GENERAL'!C148="","",'[1]P-GENERAL'!C148)</f>
        <v>A01002-370809-1</v>
      </c>
      <c r="D148" t="str">
        <f>IF('[1]P-GENERAL'!D148="","",'[1]P-GENERAL'!D148)</f>
        <v>A01 002 Fortaleza</v>
      </c>
      <c r="E148" s="8" t="str">
        <f>IF('[1]P-GENERAL'!E148="","",'[1]P-GENERAL'!E148)</f>
        <v>VSA</v>
      </c>
      <c r="F148" s="12">
        <f>IF('[1]P-GENERAL'!F148="","",'[1]P-GENERAL'!F148)</f>
        <v>432</v>
      </c>
      <c r="G148" s="13">
        <f>IF('[1]P-GENERAL'!G148="","",'[1]P-GENERAL'!G148)</f>
        <v>9</v>
      </c>
      <c r="H148" s="14">
        <f>IF('[1]P-GENERAL'!H148="","",'[1]P-GENERAL'!H148)</f>
        <v>46273</v>
      </c>
      <c r="I148">
        <f>IF('[1]P-GENERAL'!I148="","",'[1]P-GENERAL'!I148)</f>
        <v>37</v>
      </c>
      <c r="J148" s="15">
        <f>IF('[1]P-GENERAL'!J148="","",'[1]P-GENERAL'!J148)</f>
        <v>46277</v>
      </c>
      <c r="K148" s="14" t="str">
        <f>IF('[1]P-GENERAL'!K148="","",'[1]P-GENERAL'!K148)</f>
        <v/>
      </c>
      <c r="L148" s="14" t="str">
        <f>IF('[1]P-GENERAL'!L148="","",'[1]P-GENERAL'!L148)</f>
        <v>PREENFRIO FORTALEZA</v>
      </c>
      <c r="M148">
        <f>IF('[1]P-GENERAL'!M148="","",'[1]P-GENERAL'!M148)</f>
        <v>1</v>
      </c>
      <c r="N148">
        <f>IF('[1]P-GENERAL'!N148="","",'[1]P-GENERAL'!N148)</f>
        <v>24</v>
      </c>
      <c r="O148" s="14">
        <f>IF('[1]P-GENERAL'!O148="","",'[1]P-GENERAL'!O148)</f>
        <v>46273</v>
      </c>
      <c r="P148" s="16">
        <f>IF('[1]P-GENERAL'!P148="","",'[1]P-GENERAL'!P148)</f>
        <v>0.70833333333333337</v>
      </c>
      <c r="Q148" t="str">
        <f>IF('[1]P-GENERAL'!Q148="","",'[1]P-GENERAL'!Q148)</f>
        <v>NORMAL</v>
      </c>
      <c r="R148" s="14">
        <f>IF('[1]P-GENERAL'!R148="","",'[1]P-GENERAL'!R148)</f>
        <v>46274</v>
      </c>
      <c r="S148" s="16">
        <f>IF('[1]P-GENERAL'!S148="","",'[1]P-GENERAL'!S148)</f>
        <v>0.91597222222222219</v>
      </c>
      <c r="T148" s="16">
        <f>IF('[1]P-GENERAL'!T148="","",'[1]P-GENERAL'!T148)</f>
        <v>0.20833333333333334</v>
      </c>
      <c r="U148" s="17">
        <f>IF('[1]P-GENERAL'!U148="","",'[1]P-GENERAL'!U148)</f>
        <v>46275.124305555561</v>
      </c>
      <c r="V148" s="14">
        <f>IF('[1]P-GENERAL'!V148="","",'[1]P-GENERAL'!V148)</f>
        <v>46275</v>
      </c>
      <c r="W148" s="16">
        <f>IF('[1]P-GENERAL'!W148="","",'[1]P-GENERAL'!W148)</f>
        <v>0.6875</v>
      </c>
      <c r="X148" s="14" t="str">
        <f>IF('[1]P-GENERAL'!X148="","",'[1]P-GENERAL'!X148)</f>
        <v>SI CUMPLE</v>
      </c>
      <c r="Y148" s="14" t="str">
        <f>IF('[1]P-GENERAL'!Y148="","",'[1]P-GENERAL'!Y148)</f>
        <v>SI CUMPLE</v>
      </c>
      <c r="Z148" s="14" t="str">
        <f>IF('[1]P-GENERAL'!Z148="","",'[1]P-GENERAL'!Z148)</f>
        <v/>
      </c>
      <c r="AA148" s="14" t="str">
        <f>IF('[1]P-GENERAL'!AA148="","",'[1]P-GENERAL'!AA148)</f>
        <v>DESPACHADO</v>
      </c>
      <c r="AB148" s="8" t="str">
        <f>IF('[1]P-GENERAL'!AB148="","",'[1]P-GENERAL'!AB148)</f>
        <v>BACKHAUL</v>
      </c>
      <c r="AC148" s="8" t="str">
        <f>IF('[1]P-GENERAL'!AC148="","",'[1]P-GENERAL'!AC148)</f>
        <v>Luis Angel  Cordova Segura</v>
      </c>
      <c r="AD148">
        <f>IF('[1]P-GENERAL'!AD148="","",'[1]P-GENERAL'!AD148)</f>
        <v>17285</v>
      </c>
      <c r="AE148" t="str">
        <f>IF('[1]P-GENERAL'!AE148="","",'[1]P-GENERAL'!AE148)</f>
        <v>QCH1W056Q0</v>
      </c>
    </row>
    <row r="149" spans="1:31" ht="20.25" x14ac:dyDescent="0.3">
      <c r="A149" s="11" t="str">
        <f>IF('[1]P-GENERAL'!A149="","",'[1]P-GENERAL'!A149)</f>
        <v>Chanitos Premium Tarima Chep</v>
      </c>
      <c r="B149" s="11" t="str">
        <f>IF('[1]P-GENERAL'!B149="","",'[1]P-GENERAL'!B149)</f>
        <v>CPR01102</v>
      </c>
      <c r="C149" t="str">
        <f>IF('[1]P-GENERAL'!C149="","",'[1]P-GENERAL'!C149)</f>
        <v>A01001-370809-1</v>
      </c>
      <c r="D149" t="str">
        <f>IF('[1]P-GENERAL'!D149="","",'[1]P-GENERAL'!D149)</f>
        <v>A01 001 Marbella</v>
      </c>
      <c r="E149" s="8" t="str">
        <f>IF('[1]P-GENERAL'!E149="","",'[1]P-GENERAL'!E149)</f>
        <v>VSA</v>
      </c>
      <c r="F149" s="12">
        <f>IF('[1]P-GENERAL'!F149="","",'[1]P-GENERAL'!F149)</f>
        <v>288</v>
      </c>
      <c r="G149" s="13">
        <f>IF('[1]P-GENERAL'!G149="","",'[1]P-GENERAL'!G149)</f>
        <v>6</v>
      </c>
      <c r="H149" s="14">
        <f>IF('[1]P-GENERAL'!H149="","",'[1]P-GENERAL'!H149)</f>
        <v>46273</v>
      </c>
      <c r="I149">
        <f>IF('[1]P-GENERAL'!I149="","",'[1]P-GENERAL'!I149)</f>
        <v>37</v>
      </c>
      <c r="J149" s="15">
        <f>IF('[1]P-GENERAL'!J149="","",'[1]P-GENERAL'!J149)</f>
        <v>46277</v>
      </c>
      <c r="K149" s="14" t="str">
        <f>IF('[1]P-GENERAL'!K149="","",'[1]P-GENERAL'!K149)</f>
        <v/>
      </c>
      <c r="L149" s="14" t="str">
        <f>IF('[1]P-GENERAL'!L149="","",'[1]P-GENERAL'!L149)</f>
        <v>PREENFRIO FORTALEZA</v>
      </c>
      <c r="M149">
        <f>IF('[1]P-GENERAL'!M149="","",'[1]P-GENERAL'!M149)</f>
        <v>1</v>
      </c>
      <c r="N149">
        <f>IF('[1]P-GENERAL'!N149="","",'[1]P-GENERAL'!N149)</f>
        <v>24</v>
      </c>
      <c r="O149" s="14">
        <f>IF('[1]P-GENERAL'!O149="","",'[1]P-GENERAL'!O149)</f>
        <v>46274</v>
      </c>
      <c r="P149" s="16">
        <f>IF('[1]P-GENERAL'!P149="","",'[1]P-GENERAL'!P149)</f>
        <v>0.8125</v>
      </c>
      <c r="Q149" t="str">
        <f>IF('[1]P-GENERAL'!Q149="","",'[1]P-GENERAL'!Q149)</f>
        <v>NORMAL</v>
      </c>
      <c r="R149" s="14">
        <f>IF('[1]P-GENERAL'!R149="","",'[1]P-GENERAL'!R149)</f>
        <v>46275</v>
      </c>
      <c r="S149" s="16">
        <f>IF('[1]P-GENERAL'!S149="","",'[1]P-GENERAL'!S149)</f>
        <v>0.15138888888888888</v>
      </c>
      <c r="T149" s="16">
        <f>IF('[1]P-GENERAL'!T149="","",'[1]P-GENERAL'!T149)</f>
        <v>0.25</v>
      </c>
      <c r="U149" s="17">
        <f>IF('[1]P-GENERAL'!U149="","",'[1]P-GENERAL'!U149)</f>
        <v>46275.401388888888</v>
      </c>
      <c r="V149" s="14">
        <f>IF('[1]P-GENERAL'!V149="","",'[1]P-GENERAL'!V149)</f>
        <v>46275</v>
      </c>
      <c r="W149" s="16">
        <f>IF('[1]P-GENERAL'!W149="","",'[1]P-GENERAL'!W149)</f>
        <v>0.6875</v>
      </c>
      <c r="X149" s="14" t="str">
        <f>IF('[1]P-GENERAL'!X149="","",'[1]P-GENERAL'!X149)</f>
        <v>SI CUMPLE</v>
      </c>
      <c r="Y149" s="14" t="str">
        <f>IF('[1]P-GENERAL'!Y149="","",'[1]P-GENERAL'!Y149)</f>
        <v>SI CUMPLE</v>
      </c>
      <c r="Z149" s="14" t="str">
        <f>IF('[1]P-GENERAL'!Z149="","",'[1]P-GENERAL'!Z149)</f>
        <v/>
      </c>
      <c r="AA149" s="14" t="str">
        <f>IF('[1]P-GENERAL'!AA149="","",'[1]P-GENERAL'!AA149)</f>
        <v>DESPACHADO</v>
      </c>
      <c r="AB149" s="8" t="str">
        <f>IF('[1]P-GENERAL'!AB149="","",'[1]P-GENERAL'!AB149)</f>
        <v>BACKHAUL</v>
      </c>
      <c r="AC149" s="8" t="str">
        <f>IF('[1]P-GENERAL'!AC149="","",'[1]P-GENERAL'!AC149)</f>
        <v>Luis Angel  Cordova Segura</v>
      </c>
      <c r="AD149">
        <f>IF('[1]P-GENERAL'!AD149="","",'[1]P-GENERAL'!AD149)</f>
        <v>17285</v>
      </c>
      <c r="AE149" t="str">
        <f>IF('[1]P-GENERAL'!AE149="","",'[1]P-GENERAL'!AE149)</f>
        <v>QCH1W056Q0</v>
      </c>
    </row>
    <row r="150" spans="1:31" ht="20.25" x14ac:dyDescent="0.3">
      <c r="A150" s="11" t="str">
        <f>IF('[1]P-GENERAL'!A150="","",'[1]P-GENERAL'!A150)</f>
        <v>Chanitos Premium EUA Tarima Americana</v>
      </c>
      <c r="B150" s="11" t="str">
        <f>IF('[1]P-GENERAL'!B150="","",'[1]P-GENERAL'!B150)</f>
        <v>CPR01104</v>
      </c>
      <c r="C150" t="str">
        <f>IF('[1]P-GENERAL'!C150="","",'[1]P-GENERAL'!C150)</f>
        <v>A01002-370809-1</v>
      </c>
      <c r="D150" t="str">
        <f>IF('[1]P-GENERAL'!D150="","",'[1]P-GENERAL'!D150)</f>
        <v>A04 084 Lisboa</v>
      </c>
      <c r="E150" s="8" t="str">
        <f>IF('[1]P-GENERAL'!E150="","",'[1]P-GENERAL'!E150)</f>
        <v>McAllen</v>
      </c>
      <c r="F150" s="12">
        <f>IF('[1]P-GENERAL'!F150="","",'[1]P-GENERAL'!F150)</f>
        <v>960</v>
      </c>
      <c r="G150" s="13">
        <f>IF('[1]P-GENERAL'!G150="","",'[1]P-GENERAL'!G150)</f>
        <v>20</v>
      </c>
      <c r="H150" s="14">
        <f>IF('[1]P-GENERAL'!H150="","",'[1]P-GENERAL'!H150)</f>
        <v>46273</v>
      </c>
      <c r="I150">
        <f>IF('[1]P-GENERAL'!I150="","",'[1]P-GENERAL'!I150)</f>
        <v>37</v>
      </c>
      <c r="J150" s="15">
        <f>IF('[1]P-GENERAL'!J150="","",'[1]P-GENERAL'!J150)</f>
        <v>46277</v>
      </c>
      <c r="K150" s="14" t="str">
        <f>IF('[1]P-GENERAL'!K150="","",'[1]P-GENERAL'!K150)</f>
        <v/>
      </c>
      <c r="L150" s="14" t="str">
        <f>IF('[1]P-GENERAL'!L150="","",'[1]P-GENERAL'!L150)</f>
        <v>PREENFRIO NELLY</v>
      </c>
      <c r="M150">
        <f>IF('[1]P-GENERAL'!M150="","",'[1]P-GENERAL'!M150)</f>
        <v>3</v>
      </c>
      <c r="N150">
        <f>IF('[1]P-GENERAL'!N150="","",'[1]P-GENERAL'!N150)</f>
        <v>72</v>
      </c>
      <c r="O150" s="14">
        <f>IF('[1]P-GENERAL'!O150="","",'[1]P-GENERAL'!O150)</f>
        <v>46273</v>
      </c>
      <c r="P150" s="16">
        <f>IF('[1]P-GENERAL'!P150="","",'[1]P-GENERAL'!P150)</f>
        <v>0.77083333333333337</v>
      </c>
      <c r="Q150" t="str">
        <f>IF('[1]P-GENERAL'!Q150="","",'[1]P-GENERAL'!Q150)</f>
        <v>NORMAL</v>
      </c>
      <c r="R150" s="14">
        <f>IF('[1]P-GENERAL'!R150="","",'[1]P-GENERAL'!R150)</f>
        <v>46273</v>
      </c>
      <c r="S150" s="16">
        <f>IF('[1]P-GENERAL'!S150="","",'[1]P-GENERAL'!S150)</f>
        <v>0.92361111111111116</v>
      </c>
      <c r="T150" s="16">
        <f>IF('[1]P-GENERAL'!T150="","",'[1]P-GENERAL'!T150)</f>
        <v>0.35416666666666669</v>
      </c>
      <c r="U150" s="17">
        <f>IF('[1]P-GENERAL'!U150="","",'[1]P-GENERAL'!U150)</f>
        <v>46274.277777777774</v>
      </c>
      <c r="V150" s="14">
        <f>IF('[1]P-GENERAL'!V150="","",'[1]P-GENERAL'!V150)</f>
        <v>46274</v>
      </c>
      <c r="W150" s="16">
        <f>IF('[1]P-GENERAL'!W150="","",'[1]P-GENERAL'!W150)</f>
        <v>0.27083333333333331</v>
      </c>
      <c r="X150" s="14" t="str">
        <f>IF('[1]P-GENERAL'!X150="","",'[1]P-GENERAL'!X150)</f>
        <v>NO CUMPLE</v>
      </c>
      <c r="Y150" s="14" t="str">
        <f>IF('[1]P-GENERAL'!Y150="","",'[1]P-GENERAL'!Y150)</f>
        <v>NO CUMPLE</v>
      </c>
      <c r="Z150" s="14" t="str">
        <f>IF('[1]P-GENERAL'!Z150="","",'[1]P-GENERAL'!Z150)</f>
        <v/>
      </c>
      <c r="AA150" s="14" t="str">
        <f>IF('[1]P-GENERAL'!AA150="","",'[1]P-GENERAL'!AA150)</f>
        <v>DESPACHADO</v>
      </c>
      <c r="AB150" s="8" t="str">
        <f>IF('[1]P-GENERAL'!AB150="","",'[1]P-GENERAL'!AB150)</f>
        <v>ALGEZA</v>
      </c>
      <c r="AC150" s="8" t="str">
        <f>IF('[1]P-GENERAL'!AC150="","",'[1]P-GENERAL'!AC150)</f>
        <v>Jesus manuel gomez sanchez</v>
      </c>
      <c r="AD150">
        <f>IF('[1]P-GENERAL'!AD150="","",'[1]P-GENERAL'!AD150)</f>
        <v>15103</v>
      </c>
      <c r="AE150" t="str">
        <f>IF('[1]P-GENERAL'!AE150="","",'[1]P-GENERAL'!AE150)</f>
        <v>QCH1W03SE0</v>
      </c>
    </row>
    <row r="151" spans="1:31" ht="20.25" x14ac:dyDescent="0.3">
      <c r="A151" s="11" t="str">
        <f>IF('[1]P-GENERAL'!A151="","",'[1]P-GENERAL'!A151)</f>
        <v>Chanitos Premium Tarima Chep</v>
      </c>
      <c r="B151" s="11" t="str">
        <f>IF('[1]P-GENERAL'!B151="","",'[1]P-GENERAL'!B151)</f>
        <v>CPR01102</v>
      </c>
      <c r="C151" t="str">
        <f>IF('[1]P-GENERAL'!C151="","",'[1]P-GENERAL'!C151)</f>
        <v/>
      </c>
      <c r="D151" t="str">
        <f>IF('[1]P-GENERAL'!D151="","",'[1]P-GENERAL'!D151)</f>
        <v>A01 003 Doña Nelly</v>
      </c>
      <c r="E151" s="8" t="str">
        <f>IF('[1]P-GENERAL'!E151="","",'[1]P-GENERAL'!E151)</f>
        <v>SMO</v>
      </c>
      <c r="F151" s="12">
        <f>IF('[1]P-GENERAL'!F151="","",'[1]P-GENERAL'!F151)</f>
        <v>528</v>
      </c>
      <c r="G151" s="13">
        <f>IF('[1]P-GENERAL'!G151="","",'[1]P-GENERAL'!G151)</f>
        <v>11</v>
      </c>
      <c r="H151" s="14">
        <f>IF('[1]P-GENERAL'!H151="","",'[1]P-GENERAL'!H151)</f>
        <v>46273</v>
      </c>
      <c r="I151">
        <f>IF('[1]P-GENERAL'!I151="","",'[1]P-GENERAL'!I151)</f>
        <v>37</v>
      </c>
      <c r="J151" s="15">
        <f>IF('[1]P-GENERAL'!J151="","",'[1]P-GENERAL'!J151)</f>
        <v>46277</v>
      </c>
      <c r="K151" s="14" t="str">
        <f>IF('[1]P-GENERAL'!K151="","",'[1]P-GENERAL'!K151)</f>
        <v/>
      </c>
      <c r="L151" s="14" t="str">
        <f>IF('[1]P-GENERAL'!L151="","",'[1]P-GENERAL'!L151)</f>
        <v>PREENFRIO NELLY</v>
      </c>
      <c r="M151">
        <f>IF('[1]P-GENERAL'!M151="","",'[1]P-GENERAL'!M151)</f>
        <v>1.5</v>
      </c>
      <c r="N151">
        <f>IF('[1]P-GENERAL'!N151="","",'[1]P-GENERAL'!N151)</f>
        <v>36</v>
      </c>
      <c r="O151" s="14">
        <f>IF('[1]P-GENERAL'!O151="","",'[1]P-GENERAL'!O151)</f>
        <v>46273</v>
      </c>
      <c r="P151" s="16">
        <f>IF('[1]P-GENERAL'!P151="","",'[1]P-GENERAL'!P151)</f>
        <v>0.77083333333333337</v>
      </c>
      <c r="Q151" t="str">
        <f>IF('[1]P-GENERAL'!Q151="","",'[1]P-GENERAL'!Q151)</f>
        <v>NORMAL</v>
      </c>
      <c r="R151" s="14">
        <f>IF('[1]P-GENERAL'!R151="","",'[1]P-GENERAL'!R151)</f>
        <v>46273</v>
      </c>
      <c r="S151" s="16">
        <f>IF('[1]P-GENERAL'!S151="","",'[1]P-GENERAL'!S151)</f>
        <v>0.79861111111111116</v>
      </c>
      <c r="T151" s="16">
        <f>IF('[1]P-GENERAL'!T151="","",'[1]P-GENERAL'!T151)</f>
        <v>0.35416666666666669</v>
      </c>
      <c r="U151" s="17">
        <f>IF('[1]P-GENERAL'!U151="","",'[1]P-GENERAL'!U151)</f>
        <v>46274.152777777774</v>
      </c>
      <c r="V151" s="14">
        <f>IF('[1]P-GENERAL'!V151="","",'[1]P-GENERAL'!V151)</f>
        <v>46274</v>
      </c>
      <c r="W151" s="16">
        <f>IF('[1]P-GENERAL'!W151="","",'[1]P-GENERAL'!W151)</f>
        <v>0.63194444444444442</v>
      </c>
      <c r="X151" s="14" t="str">
        <f>IF('[1]P-GENERAL'!X151="","",'[1]P-GENERAL'!X151)</f>
        <v>SI CUMPLE</v>
      </c>
      <c r="Y151" s="14" t="str">
        <f>IF('[1]P-GENERAL'!Y151="","",'[1]P-GENERAL'!Y151)</f>
        <v>SI CUMPLE</v>
      </c>
      <c r="Z151" s="14" t="str">
        <f>IF('[1]P-GENERAL'!Z151="","",'[1]P-GENERAL'!Z151)</f>
        <v/>
      </c>
      <c r="AA151" s="14" t="str">
        <f>IF('[1]P-GENERAL'!AA151="","",'[1]P-GENERAL'!AA151)</f>
        <v>DESPACHADO</v>
      </c>
      <c r="AB151" s="8" t="str">
        <f>IF('[1]P-GENERAL'!AB151="","",'[1]P-GENERAL'!AB151)</f>
        <v>MARIBEL DE LA ROSA FERNANDEZ</v>
      </c>
      <c r="AC151" s="8" t="str">
        <f>IF('[1]P-GENERAL'!AC151="","",'[1]P-GENERAL'!AC151)</f>
        <v>JACINTO RAMIREZ</v>
      </c>
      <c r="AD151">
        <f>IF('[1]P-GENERAL'!AD151="","",'[1]P-GENERAL'!AD151)</f>
        <v>11891</v>
      </c>
      <c r="AE151" t="str">
        <f>IF('[1]P-GENERAL'!AE151="","",'[1]P-GENERAL'!AE151)</f>
        <v>QCH1W055R0</v>
      </c>
    </row>
    <row r="152" spans="1:31" ht="20.25" x14ac:dyDescent="0.3">
      <c r="A152" s="11" t="str">
        <f>IF('[1]P-GENERAL'!A152="","",'[1]P-GENERAL'!A152)</f>
        <v>Chanitos Plantain 20Kg Tarima Chep</v>
      </c>
      <c r="B152" s="11" t="str">
        <f>IF('[1]P-GENERAL'!B152="","",'[1]P-GENERAL'!B152)</f>
        <v>CPL08141</v>
      </c>
      <c r="C152" t="str">
        <f>IF('[1]P-GENERAL'!C152="","",'[1]P-GENERAL'!C152)</f>
        <v/>
      </c>
      <c r="D152" t="str">
        <f>IF('[1]P-GENERAL'!D152="","",'[1]P-GENERAL'!D152)</f>
        <v>A41 100 Doña Lupe JV</v>
      </c>
      <c r="E152" s="8" t="str">
        <f>IF('[1]P-GENERAL'!E152="","",'[1]P-GENERAL'!E152)</f>
        <v>CEDA</v>
      </c>
      <c r="F152" s="12">
        <f>IF('[1]P-GENERAL'!F152="","",'[1]P-GENERAL'!F152)</f>
        <v>336</v>
      </c>
      <c r="G152" s="13">
        <f>IF('[1]P-GENERAL'!G152="","",'[1]P-GENERAL'!G152)</f>
        <v>7</v>
      </c>
      <c r="H152" s="14">
        <f>IF('[1]P-GENERAL'!H152="","",'[1]P-GENERAL'!H152)</f>
        <v>46273</v>
      </c>
      <c r="I152">
        <f>IF('[1]P-GENERAL'!I152="","",'[1]P-GENERAL'!I152)</f>
        <v>37</v>
      </c>
      <c r="J152" s="15">
        <f>IF('[1]P-GENERAL'!J152="","",'[1]P-GENERAL'!J152)</f>
        <v>46278</v>
      </c>
      <c r="K152" s="14" t="str">
        <f>IF('[1]P-GENERAL'!K152="","",'[1]P-GENERAL'!K152)</f>
        <v/>
      </c>
      <c r="L152" s="14" t="str">
        <f>IF('[1]P-GENERAL'!L152="","",'[1]P-GENERAL'!L152)</f>
        <v>PREENFRIO FORTALEZA</v>
      </c>
      <c r="M152">
        <f>IF('[1]P-GENERAL'!M152="","",'[1]P-GENERAL'!M152)</f>
        <v>1.5</v>
      </c>
      <c r="N152">
        <f>IF('[1]P-GENERAL'!N152="","",'[1]P-GENERAL'!N152)</f>
        <v>36</v>
      </c>
      <c r="O152" s="14">
        <f>IF('[1]P-GENERAL'!O152="","",'[1]P-GENERAL'!O152)</f>
        <v>46273</v>
      </c>
      <c r="P152" s="16">
        <f>IF('[1]P-GENERAL'!P152="","",'[1]P-GENERAL'!P152)</f>
        <v>0.83333333333333337</v>
      </c>
      <c r="Q152" t="str">
        <f>IF('[1]P-GENERAL'!Q152="","",'[1]P-GENERAL'!Q152)</f>
        <v>NORMAL</v>
      </c>
      <c r="R152" s="14">
        <f>IF('[1]P-GENERAL'!R152="","",'[1]P-GENERAL'!R152)</f>
        <v>46274</v>
      </c>
      <c r="S152" s="16">
        <f>IF('[1]P-GENERAL'!S152="","",'[1]P-GENERAL'!S152)</f>
        <v>0.29583333333333334</v>
      </c>
      <c r="T152" s="16">
        <f>IF('[1]P-GENERAL'!T152="","",'[1]P-GENERAL'!T152)</f>
        <v>0.20833333333333334</v>
      </c>
      <c r="U152" s="17">
        <f>IF('[1]P-GENERAL'!U152="","",'[1]P-GENERAL'!U152)</f>
        <v>46274.504166666666</v>
      </c>
      <c r="V152" s="14">
        <f>IF('[1]P-GENERAL'!V152="","",'[1]P-GENERAL'!V152)</f>
        <v>46274</v>
      </c>
      <c r="W152" s="16">
        <f>IF('[1]P-GENERAL'!W152="","",'[1]P-GENERAL'!W152)</f>
        <v>0.78472222222222221</v>
      </c>
      <c r="X152" s="14" t="str">
        <f>IF('[1]P-GENERAL'!X152="","",'[1]P-GENERAL'!X152)</f>
        <v>SI CUMPLE</v>
      </c>
      <c r="Y152" s="14" t="str">
        <f>IF('[1]P-GENERAL'!Y152="","",'[1]P-GENERAL'!Y152)</f>
        <v>SI CUMPLE</v>
      </c>
      <c r="Z152" s="14" t="str">
        <f>IF('[1]P-GENERAL'!Z152="","",'[1]P-GENERAL'!Z152)</f>
        <v/>
      </c>
      <c r="AA152" s="14" t="str">
        <f>IF('[1]P-GENERAL'!AA152="","",'[1]P-GENERAL'!AA152)</f>
        <v>DESPACHADO</v>
      </c>
      <c r="AB152" s="8" t="str">
        <f>IF('[1]P-GENERAL'!AB152="","",'[1]P-GENERAL'!AB152)</f>
        <v>GENARO IBAÑEZ</v>
      </c>
      <c r="AC152" s="8" t="str">
        <f>IF('[1]P-GENERAL'!AC152="","",'[1]P-GENERAL'!AC152)</f>
        <v>VICENTE SANCHEZ</v>
      </c>
      <c r="AD152">
        <f>IF('[1]P-GENERAL'!AD152="","",'[1]P-GENERAL'!AD152)</f>
        <v>53355</v>
      </c>
      <c r="AE152" t="str">
        <f>IF('[1]P-GENERAL'!AE152="","",'[1]P-GENERAL'!AE152)</f>
        <v>N/A</v>
      </c>
    </row>
    <row r="153" spans="1:31" ht="20.25" x14ac:dyDescent="0.3">
      <c r="A153" s="11" t="str">
        <f>IF('[1]P-GENERAL'!A153="","",'[1]P-GENERAL'!A153)</f>
        <v>Chanitos Premium Tarima Chep</v>
      </c>
      <c r="B153" s="11" t="str">
        <f>IF('[1]P-GENERAL'!B153="","",'[1]P-GENERAL'!B153)</f>
        <v>CPR01102</v>
      </c>
      <c r="C153" t="str">
        <f>IF('[1]P-GENERAL'!C153="","",'[1]P-GENERAL'!C153)</f>
        <v/>
      </c>
      <c r="D153" t="str">
        <f>IF('[1]P-GENERAL'!D153="","",'[1]P-GENERAL'!D153)</f>
        <v>A01 003 Doña Nelly</v>
      </c>
      <c r="E153" s="8" t="str">
        <f>IF('[1]P-GENERAL'!E153="","",'[1]P-GENERAL'!E153)</f>
        <v>MTY</v>
      </c>
      <c r="F153" s="12">
        <f>IF('[1]P-GENERAL'!F153="","",'[1]P-GENERAL'!F153)</f>
        <v>480</v>
      </c>
      <c r="G153" s="13">
        <f>IF('[1]P-GENERAL'!G153="","",'[1]P-GENERAL'!G153)</f>
        <v>10</v>
      </c>
      <c r="H153" s="14">
        <f>IF('[1]P-GENERAL'!H153="","",'[1]P-GENERAL'!H153)</f>
        <v>46273</v>
      </c>
      <c r="I153">
        <f>IF('[1]P-GENERAL'!I153="","",'[1]P-GENERAL'!I153)</f>
        <v>37</v>
      </c>
      <c r="J153" s="15">
        <f>IF('[1]P-GENERAL'!J153="","",'[1]P-GENERAL'!J153)</f>
        <v>46279</v>
      </c>
      <c r="K153" s="14" t="str">
        <f>IF('[1]P-GENERAL'!K153="","",'[1]P-GENERAL'!K153)</f>
        <v/>
      </c>
      <c r="L153" s="14" t="str">
        <f>IF('[1]P-GENERAL'!L153="","",'[1]P-GENERAL'!L153)</f>
        <v>PREENFRIO NELLY</v>
      </c>
      <c r="M153">
        <f>IF('[1]P-GENERAL'!M153="","",'[1]P-GENERAL'!M153)</f>
        <v>2.5</v>
      </c>
      <c r="N153">
        <f>IF('[1]P-GENERAL'!N153="","",'[1]P-GENERAL'!N153)</f>
        <v>60</v>
      </c>
      <c r="O153" s="14">
        <f>IF('[1]P-GENERAL'!O153="","",'[1]P-GENERAL'!O153)</f>
        <v>46273</v>
      </c>
      <c r="P153" s="16">
        <f>IF('[1]P-GENERAL'!P153="","",'[1]P-GENERAL'!P153)</f>
        <v>0.77083333333333337</v>
      </c>
      <c r="Q153" t="str">
        <f>IF('[1]P-GENERAL'!Q153="","",'[1]P-GENERAL'!Q153)</f>
        <v>NORMAL</v>
      </c>
      <c r="R153" s="14">
        <f>IF('[1]P-GENERAL'!R153="","",'[1]P-GENERAL'!R153)</f>
        <v>46273</v>
      </c>
      <c r="S153" s="16">
        <f>IF('[1]P-GENERAL'!S153="","",'[1]P-GENERAL'!S153)</f>
        <v>0.64444444444444449</v>
      </c>
      <c r="T153" s="16">
        <f>IF('[1]P-GENERAL'!T153="","",'[1]P-GENERAL'!T153)</f>
        <v>0.35416666666666669</v>
      </c>
      <c r="U153" s="17">
        <f>IF('[1]P-GENERAL'!U153="","",'[1]P-GENERAL'!U153)</f>
        <v>46273.998611111107</v>
      </c>
      <c r="V153" s="14">
        <f>IF('[1]P-GENERAL'!V153="","",'[1]P-GENERAL'!V153)</f>
        <v>46276</v>
      </c>
      <c r="W153" s="16">
        <f>IF('[1]P-GENERAL'!W153="","",'[1]P-GENERAL'!W153)</f>
        <v>0.59027777777777779</v>
      </c>
      <c r="X153" s="14" t="str">
        <f>IF('[1]P-GENERAL'!X153="","",'[1]P-GENERAL'!X153)</f>
        <v>SI CUMPLE</v>
      </c>
      <c r="Y153" s="14" t="str">
        <f>IF('[1]P-GENERAL'!Y153="","",'[1]P-GENERAL'!Y153)</f>
        <v>NO CUMPLE</v>
      </c>
      <c r="Z153" s="14" t="str">
        <f>IF('[1]P-GENERAL'!Z153="","",'[1]P-GENERAL'!Z153)</f>
        <v>La fruta original era vsa</v>
      </c>
      <c r="AA153" s="14" t="str">
        <f>IF('[1]P-GENERAL'!AA153="","",'[1]P-GENERAL'!AA153)</f>
        <v>DESPACHADO</v>
      </c>
      <c r="AB153" s="8" t="str">
        <f>IF('[1]P-GENERAL'!AB153="","",'[1]P-GENERAL'!AB153)</f>
        <v>EXPRESS CAVASOS</v>
      </c>
      <c r="AC153" s="8" t="str">
        <f>IF('[1]P-GENERAL'!AC153="","",'[1]P-GENERAL'!AC153)</f>
        <v>ADRIAN_VILLALOBOS_GARCIA</v>
      </c>
      <c r="AD153">
        <f>IF('[1]P-GENERAL'!AD153="","",'[1]P-GENERAL'!AD153)</f>
        <v>87566</v>
      </c>
      <c r="AE153" t="str">
        <f>IF('[1]P-GENERAL'!AE153="","",'[1]P-GENERAL'!AE153)</f>
        <v>FORTALEZA</v>
      </c>
    </row>
    <row r="154" spans="1:31" ht="20.25" x14ac:dyDescent="0.3">
      <c r="A154" s="11" t="str">
        <f>IF('[1]P-GENERAL'!A154="","",'[1]P-GENERAL'!A154)</f>
        <v>Chanitos Premium Tarima Chep</v>
      </c>
      <c r="B154" s="11" t="str">
        <f>IF('[1]P-GENERAL'!B154="","",'[1]P-GENERAL'!B154)</f>
        <v>CPR01102</v>
      </c>
      <c r="C154" t="str">
        <f>IF('[1]P-GENERAL'!C154="","",'[1]P-GENERAL'!C154)</f>
        <v/>
      </c>
      <c r="D154" t="str">
        <f>IF('[1]P-GENERAL'!D154="","",'[1]P-GENERAL'!D154)</f>
        <v>A01 003 Doña Nelly</v>
      </c>
      <c r="E154" s="8" t="str">
        <f>IF('[1]P-GENERAL'!E154="","",'[1]P-GENERAL'!E154)</f>
        <v>VSA</v>
      </c>
      <c r="F154" s="12">
        <f>IF('[1]P-GENERAL'!F154="","",'[1]P-GENERAL'!F154)</f>
        <v>336</v>
      </c>
      <c r="G154" s="13">
        <f>IF('[1]P-GENERAL'!G154="","",'[1]P-GENERAL'!G154)</f>
        <v>7</v>
      </c>
      <c r="H154" s="14">
        <f>IF('[1]P-GENERAL'!H154="","",'[1]P-GENERAL'!H154)</f>
        <v>46273</v>
      </c>
      <c r="I154">
        <f>IF('[1]P-GENERAL'!I154="","",'[1]P-GENERAL'!I154)</f>
        <v>37</v>
      </c>
      <c r="J154" s="15">
        <f>IF('[1]P-GENERAL'!J154="","",'[1]P-GENERAL'!J154)</f>
        <v>46279</v>
      </c>
      <c r="K154" s="14">
        <f>IF('[1]P-GENERAL'!K154="","",'[1]P-GENERAL'!K154)</f>
        <v>0.25</v>
      </c>
      <c r="L154" s="14" t="str">
        <f>IF('[1]P-GENERAL'!L154="","",'[1]P-GENERAL'!L154)</f>
        <v>PREENFRIO NELLY</v>
      </c>
      <c r="M154">
        <f>IF('[1]P-GENERAL'!M154="","",'[1]P-GENERAL'!M154)</f>
        <v>1</v>
      </c>
      <c r="N154">
        <f>IF('[1]P-GENERAL'!N154="","",'[1]P-GENERAL'!N154)</f>
        <v>24</v>
      </c>
      <c r="O154" s="14">
        <f>IF('[1]P-GENERAL'!O154="","",'[1]P-GENERAL'!O154)</f>
        <v>46273</v>
      </c>
      <c r="P154" s="16">
        <f>IF('[1]P-GENERAL'!P154="","",'[1]P-GENERAL'!P154)</f>
        <v>0.77083333333333337</v>
      </c>
      <c r="Q154" t="str">
        <f>IF('[1]P-GENERAL'!Q154="","",'[1]P-GENERAL'!Q154)</f>
        <v>NORMAL</v>
      </c>
      <c r="R154" s="14">
        <f>IF('[1]P-GENERAL'!R154="","",'[1]P-GENERAL'!R154)</f>
        <v>46273</v>
      </c>
      <c r="S154" s="16">
        <f>IF('[1]P-GENERAL'!S154="","",'[1]P-GENERAL'!S154)</f>
        <v>0.64444444444444449</v>
      </c>
      <c r="T154" s="16">
        <f>IF('[1]P-GENERAL'!T154="","",'[1]P-GENERAL'!T154)</f>
        <v>0.35416666666666669</v>
      </c>
      <c r="U154" s="17">
        <f>IF('[1]P-GENERAL'!U154="","",'[1]P-GENERAL'!U154)</f>
        <v>46273.998611111107</v>
      </c>
      <c r="V154" s="14">
        <f>IF('[1]P-GENERAL'!V154="","",'[1]P-GENERAL'!V154)</f>
        <v>46277</v>
      </c>
      <c r="W154" s="16">
        <f>IF('[1]P-GENERAL'!W154="","",'[1]P-GENERAL'!W154)</f>
        <v>0.88888888888888884</v>
      </c>
      <c r="X154" s="14" t="str">
        <f>IF('[1]P-GENERAL'!X154="","",'[1]P-GENERAL'!X154)</f>
        <v>SI CUMPLE</v>
      </c>
      <c r="Y154" s="14" t="str">
        <f>IF('[1]P-GENERAL'!Y154="","",'[1]P-GENERAL'!Y154)</f>
        <v>SI CUMPLE</v>
      </c>
      <c r="Z154" s="14" t="str">
        <f>IF('[1]P-GENERAL'!Z154="","",'[1]P-GENERAL'!Z154)</f>
        <v/>
      </c>
      <c r="AA154" s="14" t="str">
        <f>IF('[1]P-GENERAL'!AA154="","",'[1]P-GENERAL'!AA154)</f>
        <v>DESPACHADO</v>
      </c>
      <c r="AB154" s="8" t="str">
        <f>IF('[1]P-GENERAL'!AB154="","",'[1]P-GENERAL'!AB154)</f>
        <v>GENARO IBAÑEZ</v>
      </c>
      <c r="AC154" s="8" t="str">
        <f>IF('[1]P-GENERAL'!AC154="","",'[1]P-GENERAL'!AC154)</f>
        <v>CAYETANO MENESES AVELINO</v>
      </c>
      <c r="AD154">
        <f>IF('[1]P-GENERAL'!AD154="","",'[1]P-GENERAL'!AD154)</f>
        <v>49155</v>
      </c>
      <c r="AE154" t="str">
        <f>IF('[1]P-GENERAL'!AE154="","",'[1]P-GENERAL'!AE154)</f>
        <v>QCH1W03N00</v>
      </c>
    </row>
    <row r="155" spans="1:31" ht="20.25" x14ac:dyDescent="0.3">
      <c r="A155" s="11" t="str">
        <f>IF('[1]P-GENERAL'!A155="","",'[1]P-GENERAL'!A155)</f>
        <v>Chanitos Premium EUA Tarima Americana</v>
      </c>
      <c r="B155" s="11" t="str">
        <f>IF('[1]P-GENERAL'!B155="","",'[1]P-GENERAL'!B155)</f>
        <v>CPR01104</v>
      </c>
      <c r="C155" t="str">
        <f>IF('[1]P-GENERAL'!C155="","",'[1]P-GENERAL'!C155)</f>
        <v/>
      </c>
      <c r="D155" t="str">
        <f>IF('[1]P-GENERAL'!D155="","",'[1]P-GENERAL'!D155)</f>
        <v>A04 039 San Jose Morelia Nava</v>
      </c>
      <c r="E155" s="8" t="str">
        <f>IF('[1]P-GENERAL'!E155="","",'[1]P-GENERAL'!E155)</f>
        <v>McAllen</v>
      </c>
      <c r="F155" s="12">
        <f>IF('[1]P-GENERAL'!F155="","",'[1]P-GENERAL'!F155)</f>
        <v>960</v>
      </c>
      <c r="G155" s="13">
        <f>IF('[1]P-GENERAL'!G155="","",'[1]P-GENERAL'!G155)</f>
        <v>20</v>
      </c>
      <c r="H155" s="14">
        <f>IF('[1]P-GENERAL'!H155="","",'[1]P-GENERAL'!H155)</f>
        <v>46273</v>
      </c>
      <c r="I155">
        <f>IF('[1]P-GENERAL'!I155="","",'[1]P-GENERAL'!I155)</f>
        <v>37</v>
      </c>
      <c r="J155" s="15">
        <f>IF('[1]P-GENERAL'!J155="","",'[1]P-GENERAL'!J155)</f>
        <v>46279</v>
      </c>
      <c r="K155" s="14" t="str">
        <f>IF('[1]P-GENERAL'!K155="","",'[1]P-GENERAL'!K155)</f>
        <v/>
      </c>
      <c r="L155" s="14" t="str">
        <f>IF('[1]P-GENERAL'!L155="","",'[1]P-GENERAL'!L155)</f>
        <v>DIRECTO SIN PREENFRIO</v>
      </c>
      <c r="M155">
        <f>IF('[1]P-GENERAL'!M155="","",'[1]P-GENERAL'!M155)</f>
        <v>3</v>
      </c>
      <c r="N155">
        <f>IF('[1]P-GENERAL'!N155="","",'[1]P-GENERAL'!N155)</f>
        <v>72</v>
      </c>
      <c r="O155" s="14">
        <f>IF('[1]P-GENERAL'!O155="","",'[1]P-GENERAL'!O155)</f>
        <v>46273</v>
      </c>
      <c r="P155" s="16">
        <f>IF('[1]P-GENERAL'!P155="","",'[1]P-GENERAL'!P155)</f>
        <v>0.77083333333333337</v>
      </c>
      <c r="Q155" t="str">
        <f>IF('[1]P-GENERAL'!Q155="","",'[1]P-GENERAL'!Q155)</f>
        <v>NORMAL</v>
      </c>
      <c r="R155" s="14" t="str">
        <f>IF('[1]P-GENERAL'!R155="","",'[1]P-GENERAL'!R155)</f>
        <v/>
      </c>
      <c r="S155" s="16" t="str">
        <f>IF('[1]P-GENERAL'!S155="","",'[1]P-GENERAL'!S155)</f>
        <v/>
      </c>
      <c r="T155" s="16" t="str">
        <f>IF('[1]P-GENERAL'!T155="","",'[1]P-GENERAL'!T155)</f>
        <v>N/A</v>
      </c>
      <c r="U155" s="17" t="str">
        <f>IF('[1]P-GENERAL'!U155="","",'[1]P-GENERAL'!U155)</f>
        <v/>
      </c>
      <c r="V155" s="14">
        <f>IF('[1]P-GENERAL'!V155="","",'[1]P-GENERAL'!V155)</f>
        <v>46274</v>
      </c>
      <c r="W155" s="16">
        <f>IF('[1]P-GENERAL'!W155="","",'[1]P-GENERAL'!W155)</f>
        <v>0.27083333333333331</v>
      </c>
      <c r="X155" s="14" t="str">
        <f>IF('[1]P-GENERAL'!X155="","",'[1]P-GENERAL'!X155)</f>
        <v/>
      </c>
      <c r="Y155" s="14" t="str">
        <f>IF('[1]P-GENERAL'!Y155="","",'[1]P-GENERAL'!Y155)</f>
        <v>SI CUMPLE</v>
      </c>
      <c r="Z155" s="14" t="str">
        <f>IF('[1]P-GENERAL'!Z155="","",'[1]P-GENERAL'!Z155)</f>
        <v/>
      </c>
      <c r="AA155" s="14" t="str">
        <f>IF('[1]P-GENERAL'!AA155="","",'[1]P-GENERAL'!AA155)</f>
        <v>DESPACHADO</v>
      </c>
      <c r="AB155" s="8" t="str">
        <f>IF('[1]P-GENERAL'!AB155="","",'[1]P-GENERAL'!AB155)</f>
        <v>ALGEZA</v>
      </c>
      <c r="AC155" s="8" t="str">
        <f>IF('[1]P-GENERAL'!AC155="","",'[1]P-GENERAL'!AC155)</f>
        <v>Jesus manuel gomez sanchez</v>
      </c>
      <c r="AD155">
        <f>IF('[1]P-GENERAL'!AD155="","",'[1]P-GENERAL'!AD155)</f>
        <v>58672</v>
      </c>
      <c r="AE155">
        <f>IF('[1]P-GENERAL'!AE155="","",'[1]P-GENERAL'!AE155)</f>
        <v>100000913440</v>
      </c>
    </row>
    <row r="156" spans="1:31" ht="20.25" x14ac:dyDescent="0.3">
      <c r="A156" s="11" t="str">
        <f>IF('[1]P-GENERAL'!A156="","",'[1]P-GENERAL'!A156)</f>
        <v>Chanitos Premium Tarima Chep</v>
      </c>
      <c r="B156" s="11" t="str">
        <f>IF('[1]P-GENERAL'!B156="","",'[1]P-GENERAL'!B156)</f>
        <v>CPR01102</v>
      </c>
      <c r="C156" t="str">
        <f>IF('[1]P-GENERAL'!C156="","",'[1]P-GENERAL'!C156)</f>
        <v/>
      </c>
      <c r="D156" t="str">
        <f>IF('[1]P-GENERAL'!D156="","",'[1]P-GENERAL'!D156)</f>
        <v>A01145 Sector Mazatan</v>
      </c>
      <c r="E156" s="8" t="str">
        <f>IF('[1]P-GENERAL'!E156="","",'[1]P-GENERAL'!E156)</f>
        <v>SMO</v>
      </c>
      <c r="F156" s="12">
        <f>IF('[1]P-GENERAL'!F156="","",'[1]P-GENERAL'!F156)</f>
        <v>624</v>
      </c>
      <c r="G156" s="13">
        <f>IF('[1]P-GENERAL'!G156="","",'[1]P-GENERAL'!G156)</f>
        <v>13</v>
      </c>
      <c r="H156" s="14">
        <f>IF('[1]P-GENERAL'!H156="","",'[1]P-GENERAL'!H156)</f>
        <v>46273</v>
      </c>
      <c r="I156">
        <f>IF('[1]P-GENERAL'!I156="","",'[1]P-GENERAL'!I156)</f>
        <v>37</v>
      </c>
      <c r="J156" s="15">
        <f>IF('[1]P-GENERAL'!J156="","",'[1]P-GENERAL'!J156)</f>
        <v>46278</v>
      </c>
      <c r="K156" s="14" t="str">
        <f>IF('[1]P-GENERAL'!K156="","",'[1]P-GENERAL'!K156)</f>
        <v/>
      </c>
      <c r="L156" s="14" t="str">
        <f>IF('[1]P-GENERAL'!L156="","",'[1]P-GENERAL'!L156)</f>
        <v>PREENFRIO NELLY</v>
      </c>
      <c r="M156">
        <f>IF('[1]P-GENERAL'!M156="","",'[1]P-GENERAL'!M156)</f>
        <v>1.5</v>
      </c>
      <c r="N156">
        <f>IF('[1]P-GENERAL'!N156="","",'[1]P-GENERAL'!N156)</f>
        <v>36</v>
      </c>
      <c r="O156" s="14">
        <f>IF('[1]P-GENERAL'!O156="","",'[1]P-GENERAL'!O156)</f>
        <v>46274</v>
      </c>
      <c r="P156" s="16">
        <f>IF('[1]P-GENERAL'!P156="","",'[1]P-GENERAL'!P156)</f>
        <v>0.83333333333333337</v>
      </c>
      <c r="Q156" t="str">
        <f>IF('[1]P-GENERAL'!Q156="","",'[1]P-GENERAL'!Q156)</f>
        <v>ALTA</v>
      </c>
      <c r="R156" s="14">
        <f>IF('[1]P-GENERAL'!R156="","",'[1]P-GENERAL'!R156)</f>
        <v>46274</v>
      </c>
      <c r="S156" s="16">
        <f>IF('[1]P-GENERAL'!S156="","",'[1]P-GENERAL'!S156)</f>
        <v>0.93541666666666667</v>
      </c>
      <c r="T156" s="16">
        <f>IF('[1]P-GENERAL'!T156="","",'[1]P-GENERAL'!T156)</f>
        <v>0.35416666666666669</v>
      </c>
      <c r="U156" s="17">
        <f>IF('[1]P-GENERAL'!U156="","",'[1]P-GENERAL'!U156)</f>
        <v>46275.289583333331</v>
      </c>
      <c r="V156" s="14">
        <f>IF('[1]P-GENERAL'!V156="","",'[1]P-GENERAL'!V156)</f>
        <v>46275</v>
      </c>
      <c r="W156" s="16">
        <f>IF('[1]P-GENERAL'!W156="","",'[1]P-GENERAL'!W156)</f>
        <v>0.27083333333333331</v>
      </c>
      <c r="X156" s="14" t="str">
        <f>IF('[1]P-GENERAL'!X156="","",'[1]P-GENERAL'!X156)</f>
        <v>SI CUMPLE</v>
      </c>
      <c r="Y156" s="14" t="str">
        <f>IF('[1]P-GENERAL'!Y156="","",'[1]P-GENERAL'!Y156)</f>
        <v>SI CUMPLE</v>
      </c>
      <c r="Z156" s="14" t="str">
        <f>IF('[1]P-GENERAL'!Z156="","",'[1]P-GENERAL'!Z156)</f>
        <v>EMPAQUE TARDIO</v>
      </c>
      <c r="AA156" s="14" t="str">
        <f>IF('[1]P-GENERAL'!AA156="","",'[1]P-GENERAL'!AA156)</f>
        <v>DESPACHADO</v>
      </c>
      <c r="AB156" s="8" t="str">
        <f>IF('[1]P-GENERAL'!AB156="","",'[1]P-GENERAL'!AB156)</f>
        <v>MARIBEL DE LA ROSA FERNANDEZ</v>
      </c>
      <c r="AC156" s="8" t="str">
        <f>IF('[1]P-GENERAL'!AC156="","",'[1]P-GENERAL'!AC156)</f>
        <v>ABEL HERNADEZ</v>
      </c>
      <c r="AD156">
        <f>IF('[1]P-GENERAL'!AD156="","",'[1]P-GENERAL'!AD156)</f>
        <v>96523</v>
      </c>
      <c r="AE156" t="str">
        <f>IF('[1]P-GENERAL'!AE156="","",'[1]P-GENERAL'!AE156)</f>
        <v>QCH1W04ZN0</v>
      </c>
    </row>
    <row r="157" spans="1:31" ht="20.25" x14ac:dyDescent="0.3">
      <c r="A157" s="11" t="str">
        <f>IF('[1]P-GENERAL'!A157="","",'[1]P-GENERAL'!A157)</f>
        <v>Chanitos Premium Tarima Chep</v>
      </c>
      <c r="B157" s="11" t="str">
        <f>IF('[1]P-GENERAL'!B157="","",'[1]P-GENERAL'!B157)</f>
        <v>CPR01102</v>
      </c>
      <c r="C157" t="str">
        <f>IF('[1]P-GENERAL'!C157="","",'[1]P-GENERAL'!C157)</f>
        <v/>
      </c>
      <c r="D157" t="str">
        <f>IF('[1]P-GENERAL'!D157="","",'[1]P-GENERAL'!D157)</f>
        <v>A11 045 Sector Mazatan</v>
      </c>
      <c r="E157" s="8" t="str">
        <f>IF('[1]P-GENERAL'!E157="","",'[1]P-GENERAL'!E157)</f>
        <v>SMO</v>
      </c>
      <c r="F157" s="12">
        <f>IF('[1]P-GENERAL'!F157="","",'[1]P-GENERAL'!F157)</f>
        <v>528</v>
      </c>
      <c r="G157" s="13">
        <f>IF('[1]P-GENERAL'!G157="","",'[1]P-GENERAL'!G157)</f>
        <v>11</v>
      </c>
      <c r="H157" s="14">
        <f>IF('[1]P-GENERAL'!H157="","",'[1]P-GENERAL'!H157)</f>
        <v>46274</v>
      </c>
      <c r="I157">
        <f>IF('[1]P-GENERAL'!I157="","",'[1]P-GENERAL'!I157)</f>
        <v>37</v>
      </c>
      <c r="J157" s="15">
        <f>IF('[1]P-GENERAL'!J157="","",'[1]P-GENERAL'!J157)</f>
        <v>46278</v>
      </c>
      <c r="K157" s="14" t="str">
        <f>IF('[1]P-GENERAL'!K157="","",'[1]P-GENERAL'!K157)</f>
        <v/>
      </c>
      <c r="L157" s="14" t="str">
        <f>IF('[1]P-GENERAL'!L157="","",'[1]P-GENERAL'!L157)</f>
        <v>PREENFRIO NELLY</v>
      </c>
      <c r="M157">
        <f>IF('[1]P-GENERAL'!M157="","",'[1]P-GENERAL'!M157)</f>
        <v>1.5</v>
      </c>
      <c r="N157">
        <f>IF('[1]P-GENERAL'!N157="","",'[1]P-GENERAL'!N157)</f>
        <v>36</v>
      </c>
      <c r="O157" s="14">
        <f>IF('[1]P-GENERAL'!O157="","",'[1]P-GENERAL'!O157)</f>
        <v>46274</v>
      </c>
      <c r="P157" s="16">
        <f>IF('[1]P-GENERAL'!P157="","",'[1]P-GENERAL'!P157)</f>
        <v>0.83333333333333337</v>
      </c>
      <c r="Q157" t="str">
        <f>IF('[1]P-GENERAL'!Q157="","",'[1]P-GENERAL'!Q157)</f>
        <v>ALTA</v>
      </c>
      <c r="R157" s="14">
        <f>IF('[1]P-GENERAL'!R157="","",'[1]P-GENERAL'!R157)</f>
        <v>46274</v>
      </c>
      <c r="S157" s="16">
        <f>IF('[1]P-GENERAL'!S157="","",'[1]P-GENERAL'!S157)</f>
        <v>0.93541666666666667</v>
      </c>
      <c r="T157" s="16">
        <f>IF('[1]P-GENERAL'!T157="","",'[1]P-GENERAL'!T157)</f>
        <v>0.35416666666666669</v>
      </c>
      <c r="U157" s="17">
        <f>IF('[1]P-GENERAL'!U157="","",'[1]P-GENERAL'!U157)</f>
        <v>46275.289583333331</v>
      </c>
      <c r="V157" s="14">
        <f>IF('[1]P-GENERAL'!V157="","",'[1]P-GENERAL'!V157)</f>
        <v>46275</v>
      </c>
      <c r="W157" s="16">
        <f>IF('[1]P-GENERAL'!W157="","",'[1]P-GENERAL'!W157)</f>
        <v>0.27083333333333331</v>
      </c>
      <c r="X157" s="14" t="str">
        <f>IF('[1]P-GENERAL'!X157="","",'[1]P-GENERAL'!X157)</f>
        <v>SI CUMPLE</v>
      </c>
      <c r="Y157" s="14" t="str">
        <f>IF('[1]P-GENERAL'!Y157="","",'[1]P-GENERAL'!Y157)</f>
        <v>SI CUMPLE</v>
      </c>
      <c r="Z157" s="14" t="str">
        <f>IF('[1]P-GENERAL'!Z157="","",'[1]P-GENERAL'!Z157)</f>
        <v/>
      </c>
      <c r="AA157" s="14" t="str">
        <f>IF('[1]P-GENERAL'!AA157="","",'[1]P-GENERAL'!AA157)</f>
        <v>DESPACHADO</v>
      </c>
      <c r="AB157" s="8" t="str">
        <f>IF('[1]P-GENERAL'!AB157="","",'[1]P-GENERAL'!AB157)</f>
        <v>MARIBEL DE LA ROSA FERNANDEZ</v>
      </c>
      <c r="AC157" s="8" t="str">
        <f>IF('[1]P-GENERAL'!AC157="","",'[1]P-GENERAL'!AC157)</f>
        <v>ABEL HERNADEZ</v>
      </c>
      <c r="AD157">
        <f>IF('[1]P-GENERAL'!AD157="","",'[1]P-GENERAL'!AD157)</f>
        <v>96523</v>
      </c>
      <c r="AE157" t="str">
        <f>IF('[1]P-GENERAL'!AE157="","",'[1]P-GENERAL'!AE157)</f>
        <v>QCH1W04ZN0</v>
      </c>
    </row>
    <row r="158" spans="1:31" ht="20.25" x14ac:dyDescent="0.3">
      <c r="A158" s="11" t="str">
        <f>IF('[1]P-GENERAL'!A158="","",'[1]P-GENERAL'!A158)</f>
        <v>Chanitos Premium EUA Tarima Americana</v>
      </c>
      <c r="B158" s="11" t="str">
        <f>IF('[1]P-GENERAL'!B158="","",'[1]P-GENERAL'!B158)</f>
        <v>CPR01104</v>
      </c>
      <c r="C158" t="str">
        <f>IF('[1]P-GENERAL'!C158="","",'[1]P-GENERAL'!C158)</f>
        <v>A04084-370909-1</v>
      </c>
      <c r="D158" t="str">
        <f>IF('[1]P-GENERAL'!D158="","",'[1]P-GENERAL'!D158)</f>
        <v>A04 084 Lisboa</v>
      </c>
      <c r="E158" s="8" t="str">
        <f>IF('[1]P-GENERAL'!E158="","",'[1]P-GENERAL'!E158)</f>
        <v>McAllen</v>
      </c>
      <c r="F158" s="12">
        <f>IF('[1]P-GENERAL'!F158="","",'[1]P-GENERAL'!F158)</f>
        <v>960</v>
      </c>
      <c r="G158" s="13">
        <f>IF('[1]P-GENERAL'!G158="","",'[1]P-GENERAL'!G158)</f>
        <v>20</v>
      </c>
      <c r="H158" s="14">
        <f>IF('[1]P-GENERAL'!H158="","",'[1]P-GENERAL'!H158)</f>
        <v>46274</v>
      </c>
      <c r="I158">
        <f>IF('[1]P-GENERAL'!I158="","",'[1]P-GENERAL'!I158)</f>
        <v>37</v>
      </c>
      <c r="J158" s="15">
        <f>IF('[1]P-GENERAL'!J158="","",'[1]P-GENERAL'!J158)</f>
        <v>46279</v>
      </c>
      <c r="K158" s="14" t="str">
        <f>IF('[1]P-GENERAL'!K158="","",'[1]P-GENERAL'!K158)</f>
        <v/>
      </c>
      <c r="L158" s="14" t="str">
        <f>IF('[1]P-GENERAL'!L158="","",'[1]P-GENERAL'!L158)</f>
        <v>PREENFRIO FORTALEZA</v>
      </c>
      <c r="M158">
        <f>IF('[1]P-GENERAL'!M158="","",'[1]P-GENERAL'!M158)</f>
        <v>3</v>
      </c>
      <c r="N158">
        <f>IF('[1]P-GENERAL'!N158="","",'[1]P-GENERAL'!N158)</f>
        <v>72</v>
      </c>
      <c r="O158" s="14">
        <f>IF('[1]P-GENERAL'!O158="","",'[1]P-GENERAL'!O158)</f>
        <v>46276</v>
      </c>
      <c r="P158" s="16">
        <f>IF('[1]P-GENERAL'!P158="","",'[1]P-GENERAL'!P158)</f>
        <v>0.95833333333333337</v>
      </c>
      <c r="Q158" t="str">
        <f>IF('[1]P-GENERAL'!Q158="","",'[1]P-GENERAL'!Q158)</f>
        <v>NORMAL</v>
      </c>
      <c r="R158" s="14" t="str">
        <f>IF('[1]P-GENERAL'!R158="","",'[1]P-GENERAL'!R158)</f>
        <v/>
      </c>
      <c r="S158" s="16" t="str">
        <f>IF('[1]P-GENERAL'!S158="","",'[1]P-GENERAL'!S158)</f>
        <v/>
      </c>
      <c r="T158" s="16" t="str">
        <f>IF('[1]P-GENERAL'!T158="","",'[1]P-GENERAL'!T158)</f>
        <v/>
      </c>
      <c r="U158" s="17" t="str">
        <f>IF('[1]P-GENERAL'!U158="","",'[1]P-GENERAL'!U158)</f>
        <v/>
      </c>
      <c r="V158" s="14">
        <f>IF('[1]P-GENERAL'!V158="","",'[1]P-GENERAL'!V158)</f>
        <v>46277</v>
      </c>
      <c r="W158" s="16">
        <f>IF('[1]P-GENERAL'!W158="","",'[1]P-GENERAL'!W158)</f>
        <v>8.3333333333333329E-2</v>
      </c>
      <c r="X158" s="14" t="str">
        <f>IF('[1]P-GENERAL'!X158="","",'[1]P-GENERAL'!X158)</f>
        <v/>
      </c>
      <c r="Y158" s="14" t="str">
        <f>IF('[1]P-GENERAL'!Y158="","",'[1]P-GENERAL'!Y158)</f>
        <v>NO CUMPLE</v>
      </c>
      <c r="Z158" s="14" t="str">
        <f>IF('[1]P-GENERAL'!Z158="","",'[1]P-GENERAL'!Z158)</f>
        <v/>
      </c>
      <c r="AA158" s="14" t="str">
        <f>IF('[1]P-GENERAL'!AA158="","",'[1]P-GENERAL'!AA158)</f>
        <v>DESPACHADO</v>
      </c>
      <c r="AB158" s="8" t="str">
        <f>IF('[1]P-GENERAL'!AB158="","",'[1]P-GENERAL'!AB158)</f>
        <v>AUTO EXPRESS SEGOVIA</v>
      </c>
      <c r="AC158" s="8" t="str">
        <f>IF('[1]P-GENERAL'!AC158="","",'[1]P-GENERAL'!AC158)</f>
        <v>CRISTIAN MOGUEL</v>
      </c>
      <c r="AD158">
        <f>IF('[1]P-GENERAL'!AD158="","",'[1]P-GENERAL'!AD158)</f>
        <v>10991</v>
      </c>
      <c r="AE158" t="str">
        <f>IF('[1]P-GENERAL'!AE158="","",'[1]P-GENERAL'!AE158)</f>
        <v>QCH1W049X0</v>
      </c>
    </row>
    <row r="159" spans="1:31" ht="20.25" x14ac:dyDescent="0.3">
      <c r="A159" s="11" t="str">
        <f>IF('[1]P-GENERAL'!A159="","",'[1]P-GENERAL'!A159)</f>
        <v>Chanitos Organic Banded Market Side Mexico</v>
      </c>
      <c r="B159" s="11" t="str">
        <f>IF('[1]P-GENERAL'!B159="","",'[1]P-GENERAL'!B159)</f>
        <v>CRG07128</v>
      </c>
      <c r="C159" t="str">
        <f>IF('[1]P-GENERAL'!C159="","",'[1]P-GENERAL'!C159)</f>
        <v>A01002-370909-1</v>
      </c>
      <c r="D159" t="str">
        <f>IF('[1]P-GENERAL'!D159="","",'[1]P-GENERAL'!D159)</f>
        <v>A01 002 Fortaleza</v>
      </c>
      <c r="E159" s="8" t="str">
        <f>IF('[1]P-GENERAL'!E159="","",'[1]P-GENERAL'!E159)</f>
        <v>QRO</v>
      </c>
      <c r="F159" s="12">
        <f>IF('[1]P-GENERAL'!F159="","",'[1]P-GENERAL'!F159)</f>
        <v>96</v>
      </c>
      <c r="G159" s="13">
        <f>IF('[1]P-GENERAL'!G159="","",'[1]P-GENERAL'!G159)</f>
        <v>2</v>
      </c>
      <c r="H159" s="14">
        <f>IF('[1]P-GENERAL'!H159="","",'[1]P-GENERAL'!H159)</f>
        <v>46274</v>
      </c>
      <c r="I159">
        <f>IF('[1]P-GENERAL'!I159="","",'[1]P-GENERAL'!I159)</f>
        <v>37</v>
      </c>
      <c r="J159" s="15">
        <f>IF('[1]P-GENERAL'!J159="","",'[1]P-GENERAL'!J159)</f>
        <v>46279</v>
      </c>
      <c r="K159" s="14" t="str">
        <f>IF('[1]P-GENERAL'!K159="","",'[1]P-GENERAL'!K159)</f>
        <v/>
      </c>
      <c r="L159" s="14" t="str">
        <f>IF('[1]P-GENERAL'!L159="","",'[1]P-GENERAL'!L159)</f>
        <v>PREENFRIO FORTALEZA</v>
      </c>
      <c r="M159">
        <f>IF('[1]P-GENERAL'!M159="","",'[1]P-GENERAL'!M159)</f>
        <v>1.5</v>
      </c>
      <c r="N159">
        <f>IF('[1]P-GENERAL'!N159="","",'[1]P-GENERAL'!N159)</f>
        <v>36</v>
      </c>
      <c r="O159" s="14">
        <f>IF('[1]P-GENERAL'!O159="","",'[1]P-GENERAL'!O159)</f>
        <v>46274</v>
      </c>
      <c r="P159" s="16">
        <f>IF('[1]P-GENERAL'!P159="","",'[1]P-GENERAL'!P159)</f>
        <v>0.68958333333333333</v>
      </c>
      <c r="Q159" t="str">
        <f>IF('[1]P-GENERAL'!Q159="","",'[1]P-GENERAL'!Q159)</f>
        <v>NORMAL</v>
      </c>
      <c r="R159" s="14">
        <f>IF('[1]P-GENERAL'!R159="","",'[1]P-GENERAL'!R159)</f>
        <v>46275</v>
      </c>
      <c r="S159" s="16">
        <f>IF('[1]P-GENERAL'!S159="","",'[1]P-GENERAL'!S159)</f>
        <v>0.38263888888888886</v>
      </c>
      <c r="T159" s="16">
        <f>IF('[1]P-GENERAL'!T159="","",'[1]P-GENERAL'!T159)</f>
        <v>0.20833333333333334</v>
      </c>
      <c r="U159" s="17">
        <f>IF('[1]P-GENERAL'!U159="","",'[1]P-GENERAL'!U159)</f>
        <v>46275.590972222228</v>
      </c>
      <c r="V159" s="14">
        <f>IF('[1]P-GENERAL'!V159="","",'[1]P-GENERAL'!V159)</f>
        <v>46276</v>
      </c>
      <c r="W159" s="16">
        <f>IF('[1]P-GENERAL'!W159="","",'[1]P-GENERAL'!W159)</f>
        <v>0.45833333333333331</v>
      </c>
      <c r="X159" s="14" t="str">
        <f>IF('[1]P-GENERAL'!X159="","",'[1]P-GENERAL'!X159)</f>
        <v>SI CUMPLE</v>
      </c>
      <c r="Y159" s="14" t="str">
        <f>IF('[1]P-GENERAL'!Y159="","",'[1]P-GENERAL'!Y159)</f>
        <v>SI CUMPLE</v>
      </c>
      <c r="Z159" s="14" t="str">
        <f>IF('[1]P-GENERAL'!Z159="","",'[1]P-GENERAL'!Z159)</f>
        <v/>
      </c>
      <c r="AA159" s="14" t="str">
        <f>IF('[1]P-GENERAL'!AA159="","",'[1]P-GENERAL'!AA159)</f>
        <v>DESPACHADO</v>
      </c>
      <c r="AB159" s="8" t="str">
        <f>IF('[1]P-GENERAL'!AB159="","",'[1]P-GENERAL'!AB159)</f>
        <v>EXPRESS_CAVAZOS_MUEVE_A_NELLY</v>
      </c>
      <c r="AC159" s="8" t="str">
        <f>IF('[1]P-GENERAL'!AC159="","",'[1]P-GENERAL'!AC159)</f>
        <v>ADRIAN_VILLALOBOS_GARCIA</v>
      </c>
      <c r="AD159">
        <f>IF('[1]P-GENERAL'!AD159="","",'[1]P-GENERAL'!AD159)</f>
        <v>92241</v>
      </c>
      <c r="AE159" t="str">
        <f>IF('[1]P-GENERAL'!AE159="","",'[1]P-GENERAL'!AE159)</f>
        <v>QCH1W048R0</v>
      </c>
    </row>
    <row r="160" spans="1:31" ht="20.25" x14ac:dyDescent="0.3">
      <c r="A160" s="11" t="str">
        <f>IF('[1]P-GENERAL'!A160="","",'[1]P-GENERAL'!A160)</f>
        <v>Chanitos Premium Tarima Chep</v>
      </c>
      <c r="B160" s="11" t="str">
        <f>IF('[1]P-GENERAL'!B160="","",'[1]P-GENERAL'!B160)</f>
        <v>CPR01102</v>
      </c>
      <c r="C160" t="str">
        <f>IF('[1]P-GENERAL'!C160="","",'[1]P-GENERAL'!C160)</f>
        <v>A01002-370909-1</v>
      </c>
      <c r="D160" t="str">
        <f>IF('[1]P-GENERAL'!D160="","",'[1]P-GENERAL'!D160)</f>
        <v>A01 002 Fortaleza</v>
      </c>
      <c r="E160" s="8" t="str">
        <f>IF('[1]P-GENERAL'!E160="","",'[1]P-GENERAL'!E160)</f>
        <v>SMO</v>
      </c>
      <c r="F160" s="12">
        <f>IF('[1]P-GENERAL'!F160="","",'[1]P-GENERAL'!F160)</f>
        <v>768</v>
      </c>
      <c r="G160" s="13">
        <f>IF('[1]P-GENERAL'!G160="","",'[1]P-GENERAL'!G160)</f>
        <v>16</v>
      </c>
      <c r="H160" s="14">
        <f>IF('[1]P-GENERAL'!H160="","",'[1]P-GENERAL'!H160)</f>
        <v>46274</v>
      </c>
      <c r="I160">
        <f>IF('[1]P-GENERAL'!I160="","",'[1]P-GENERAL'!I160)</f>
        <v>37</v>
      </c>
      <c r="J160" s="15">
        <f>IF('[1]P-GENERAL'!J160="","",'[1]P-GENERAL'!J160)</f>
        <v>46279</v>
      </c>
      <c r="K160" s="14" t="str">
        <f>IF('[1]P-GENERAL'!K160="","",'[1]P-GENERAL'!K160)</f>
        <v/>
      </c>
      <c r="L160" s="14" t="str">
        <f>IF('[1]P-GENERAL'!L160="","",'[1]P-GENERAL'!L160)</f>
        <v>PREENFRIO FORTALEZA</v>
      </c>
      <c r="M160">
        <f>IF('[1]P-GENERAL'!M160="","",'[1]P-GENERAL'!M160)</f>
        <v>1.5</v>
      </c>
      <c r="N160">
        <f>IF('[1]P-GENERAL'!N160="","",'[1]P-GENERAL'!N160)</f>
        <v>36</v>
      </c>
      <c r="O160" s="14">
        <f>IF('[1]P-GENERAL'!O160="","",'[1]P-GENERAL'!O160)</f>
        <v>46274</v>
      </c>
      <c r="P160" s="16">
        <f>IF('[1]P-GENERAL'!P160="","",'[1]P-GENERAL'!P160)</f>
        <v>0.68958333333333333</v>
      </c>
      <c r="Q160" t="str">
        <f>IF('[1]P-GENERAL'!Q160="","",'[1]P-GENERAL'!Q160)</f>
        <v>NORMAL</v>
      </c>
      <c r="R160" s="14">
        <f>IF('[1]P-GENERAL'!R160="","",'[1]P-GENERAL'!R160)</f>
        <v>46275</v>
      </c>
      <c r="S160" s="16">
        <f>IF('[1]P-GENERAL'!S160="","",'[1]P-GENERAL'!S160)</f>
        <v>0.38263888888888886</v>
      </c>
      <c r="T160" s="16">
        <f>IF('[1]P-GENERAL'!T160="","",'[1]P-GENERAL'!T160)</f>
        <v>0.625</v>
      </c>
      <c r="U160" s="17">
        <f>IF('[1]P-GENERAL'!U160="","",'[1]P-GENERAL'!U160)</f>
        <v>46276.007638888892</v>
      </c>
      <c r="V160" s="14">
        <f>IF('[1]P-GENERAL'!V160="","",'[1]P-GENERAL'!V160)</f>
        <v>46276</v>
      </c>
      <c r="W160" s="16">
        <f>IF('[1]P-GENERAL'!W160="","",'[1]P-GENERAL'!W160)</f>
        <v>7.8472222222222221E-2</v>
      </c>
      <c r="X160" s="14" t="str">
        <f>IF('[1]P-GENERAL'!X160="","",'[1]P-GENERAL'!X160)</f>
        <v>SI CUMPLE</v>
      </c>
      <c r="Y160" s="14" t="str">
        <f>IF('[1]P-GENERAL'!Y160="","",'[1]P-GENERAL'!Y160)</f>
        <v>SI CUMPLE</v>
      </c>
      <c r="Z160" s="14" t="str">
        <f>IF('[1]P-GENERAL'!Z160="","",'[1]P-GENERAL'!Z160)</f>
        <v/>
      </c>
      <c r="AA160" s="14" t="str">
        <f>IF('[1]P-GENERAL'!AA160="","",'[1]P-GENERAL'!AA160)</f>
        <v>DESPACHADO</v>
      </c>
      <c r="AB160" s="8" t="str">
        <f>IF('[1]P-GENERAL'!AB160="","",'[1]P-GENERAL'!AB160)</f>
        <v>FERNANDO JESUS ALVARADO</v>
      </c>
      <c r="AC160" s="8" t="str">
        <f>IF('[1]P-GENERAL'!AC160="","",'[1]P-GENERAL'!AC160)</f>
        <v>ALEJANDRO EDUARDO SANTOS</v>
      </c>
      <c r="AD160">
        <f>IF('[1]P-GENERAL'!AD160="","",'[1]P-GENERAL'!AD160)</f>
        <v>34528</v>
      </c>
      <c r="AE160" t="str">
        <f>IF('[1]P-GENERAL'!AE160="","",'[1]P-GENERAL'!AE160)</f>
        <v>QCH1W049Z0</v>
      </c>
    </row>
    <row r="161" spans="1:31" ht="20.25" x14ac:dyDescent="0.3">
      <c r="A161" s="11" t="str">
        <f>IF('[1]P-GENERAL'!A161="","",'[1]P-GENERAL'!A161)</f>
        <v>Chanitos Premium Tarima Chep</v>
      </c>
      <c r="B161" s="11" t="str">
        <f>IF('[1]P-GENERAL'!B161="","",'[1]P-GENERAL'!B161)</f>
        <v>CPR01102</v>
      </c>
      <c r="C161" t="str">
        <f>IF('[1]P-GENERAL'!C161="","",'[1]P-GENERAL'!C161)</f>
        <v>A01004-370909-1</v>
      </c>
      <c r="D161" t="str">
        <f>IF('[1]P-GENERAL'!D161="","",'[1]P-GENERAL'!D161)</f>
        <v>A01 004 La Ceiba</v>
      </c>
      <c r="E161" s="8" t="str">
        <f>IF('[1]P-GENERAL'!E161="","",'[1]P-GENERAL'!E161)</f>
        <v>SMO</v>
      </c>
      <c r="F161" s="12">
        <f>IF('[1]P-GENERAL'!F161="","",'[1]P-GENERAL'!F161)</f>
        <v>336</v>
      </c>
      <c r="G161" s="13">
        <f>IF('[1]P-GENERAL'!G161="","",'[1]P-GENERAL'!G161)</f>
        <v>7</v>
      </c>
      <c r="H161" s="14">
        <f>IF('[1]P-GENERAL'!H161="","",'[1]P-GENERAL'!H161)</f>
        <v>46274</v>
      </c>
      <c r="I161">
        <f>IF('[1]P-GENERAL'!I161="","",'[1]P-GENERAL'!I161)</f>
        <v>37</v>
      </c>
      <c r="J161" s="15">
        <f>IF('[1]P-GENERAL'!J161="","",'[1]P-GENERAL'!J161)</f>
        <v>46279</v>
      </c>
      <c r="K161" s="14" t="str">
        <f>IF('[1]P-GENERAL'!K161="","",'[1]P-GENERAL'!K161)</f>
        <v/>
      </c>
      <c r="L161" s="14" t="str">
        <f>IF('[1]P-GENERAL'!L161="","",'[1]P-GENERAL'!L161)</f>
        <v>PREENFRIO FORTALEZA</v>
      </c>
      <c r="M161">
        <f>IF('[1]P-GENERAL'!M161="","",'[1]P-GENERAL'!M161)</f>
        <v>1.5</v>
      </c>
      <c r="N161">
        <f>IF('[1]P-GENERAL'!N161="","",'[1]P-GENERAL'!N161)</f>
        <v>36</v>
      </c>
      <c r="O161" s="14">
        <f>IF('[1]P-GENERAL'!O161="","",'[1]P-GENERAL'!O161)</f>
        <v>46274</v>
      </c>
      <c r="P161" s="16">
        <f>IF('[1]P-GENERAL'!P161="","",'[1]P-GENERAL'!P161)</f>
        <v>0.74097222222222225</v>
      </c>
      <c r="Q161" t="str">
        <f>IF('[1]P-GENERAL'!Q161="","",'[1]P-GENERAL'!Q161)</f>
        <v>NORMAL</v>
      </c>
      <c r="R161" s="14">
        <f>IF('[1]P-GENERAL'!R161="","",'[1]P-GENERAL'!R161)</f>
        <v>46275</v>
      </c>
      <c r="S161" s="16">
        <f>IF('[1]P-GENERAL'!S161="","",'[1]P-GENERAL'!S161)</f>
        <v>0.38263888888888886</v>
      </c>
      <c r="T161" s="16">
        <f>IF('[1]P-GENERAL'!T161="","",'[1]P-GENERAL'!T161)</f>
        <v>0.625</v>
      </c>
      <c r="U161" s="17">
        <f>IF('[1]P-GENERAL'!U161="","",'[1]P-GENERAL'!U161)</f>
        <v>46276.007638888892</v>
      </c>
      <c r="V161" s="14">
        <f>IF('[1]P-GENERAL'!V161="","",'[1]P-GENERAL'!V161)</f>
        <v>46276</v>
      </c>
      <c r="W161" s="16">
        <f>IF('[1]P-GENERAL'!W161="","",'[1]P-GENERAL'!W161)</f>
        <v>7.8472222222222221E-2</v>
      </c>
      <c r="X161" s="14" t="str">
        <f>IF('[1]P-GENERAL'!X161="","",'[1]P-GENERAL'!X161)</f>
        <v>SI CUMPLE</v>
      </c>
      <c r="Y161" s="14" t="str">
        <f>IF('[1]P-GENERAL'!Y161="","",'[1]P-GENERAL'!Y161)</f>
        <v>SI CUMPLE</v>
      </c>
      <c r="Z161" s="14" t="str">
        <f>IF('[1]P-GENERAL'!Z161="","",'[1]P-GENERAL'!Z161)</f>
        <v/>
      </c>
      <c r="AA161" s="14" t="str">
        <f>IF('[1]P-GENERAL'!AA161="","",'[1]P-GENERAL'!AA161)</f>
        <v>DESPACHADO</v>
      </c>
      <c r="AB161" s="8" t="str">
        <f>IF('[1]P-GENERAL'!AB161="","",'[1]P-GENERAL'!AB161)</f>
        <v>FERNANDO JESUS ALVARADO</v>
      </c>
      <c r="AC161" s="8" t="str">
        <f>IF('[1]P-GENERAL'!AC161="","",'[1]P-GENERAL'!AC161)</f>
        <v>ALEJANDRO EDUARDO SANTOS</v>
      </c>
      <c r="AD161">
        <f>IF('[1]P-GENERAL'!AD161="","",'[1]P-GENERAL'!AD161)</f>
        <v>34528</v>
      </c>
      <c r="AE161" t="str">
        <f>IF('[1]P-GENERAL'!AE161="","",'[1]P-GENERAL'!AE161)</f>
        <v>QCH1W049Z0</v>
      </c>
    </row>
    <row r="162" spans="1:31" ht="20.25" x14ac:dyDescent="0.3">
      <c r="A162" s="11" t="str">
        <f>IF('[1]P-GENERAL'!A162="","",'[1]P-GENERAL'!A162)</f>
        <v>Chanitos Premium Tarima Chep</v>
      </c>
      <c r="B162" s="11" t="str">
        <f>IF('[1]P-GENERAL'!B162="","",'[1]P-GENERAL'!B162)</f>
        <v>CPR01102</v>
      </c>
      <c r="C162" t="str">
        <f>IF('[1]P-GENERAL'!C162="","",'[1]P-GENERAL'!C162)</f>
        <v>A01002-370909-1</v>
      </c>
      <c r="D162" t="str">
        <f>IF('[1]P-GENERAL'!D162="","",'[1]P-GENERAL'!D162)</f>
        <v>A01 002 Fortaleza</v>
      </c>
      <c r="E162" s="8" t="str">
        <f>IF('[1]P-GENERAL'!E162="","",'[1]P-GENERAL'!E162)</f>
        <v>VSA</v>
      </c>
      <c r="F162" s="12">
        <f>IF('[1]P-GENERAL'!F162="","",'[1]P-GENERAL'!F162)</f>
        <v>336</v>
      </c>
      <c r="G162" s="13">
        <f>IF('[1]P-GENERAL'!G162="","",'[1]P-GENERAL'!G162)</f>
        <v>7</v>
      </c>
      <c r="H162" s="14">
        <f>IF('[1]P-GENERAL'!H162="","",'[1]P-GENERAL'!H162)</f>
        <v>46274</v>
      </c>
      <c r="I162">
        <f>IF('[1]P-GENERAL'!I162="","",'[1]P-GENERAL'!I162)</f>
        <v>37</v>
      </c>
      <c r="J162" s="15">
        <f>IF('[1]P-GENERAL'!J162="","",'[1]P-GENERAL'!J162)</f>
        <v>46279</v>
      </c>
      <c r="K162" s="14" t="str">
        <f>IF('[1]P-GENERAL'!K162="","",'[1]P-GENERAL'!K162)</f>
        <v/>
      </c>
      <c r="L162" s="14" t="str">
        <f>IF('[1]P-GENERAL'!L162="","",'[1]P-GENERAL'!L162)</f>
        <v>PREENFRIO FORTALEZA</v>
      </c>
      <c r="M162">
        <f>IF('[1]P-GENERAL'!M162="","",'[1]P-GENERAL'!M162)</f>
        <v>1</v>
      </c>
      <c r="N162">
        <f>IF('[1]P-GENERAL'!N162="","",'[1]P-GENERAL'!N162)</f>
        <v>24</v>
      </c>
      <c r="O162" s="14">
        <f>IF('[1]P-GENERAL'!O162="","",'[1]P-GENERAL'!O162)</f>
        <v>46274</v>
      </c>
      <c r="P162" s="16">
        <f>IF('[1]P-GENERAL'!P162="","",'[1]P-GENERAL'!P162)</f>
        <v>0.68958333333333333</v>
      </c>
      <c r="Q162" t="str">
        <f>IF('[1]P-GENERAL'!Q162="","",'[1]P-GENERAL'!Q162)</f>
        <v>NORMAL</v>
      </c>
      <c r="R162" s="14">
        <f>IF('[1]P-GENERAL'!R162="","",'[1]P-GENERAL'!R162)</f>
        <v>46275</v>
      </c>
      <c r="S162" s="16">
        <f>IF('[1]P-GENERAL'!S162="","",'[1]P-GENERAL'!S162)</f>
        <v>0.38263888888888886</v>
      </c>
      <c r="T162" s="16">
        <f>IF('[1]P-GENERAL'!T162="","",'[1]P-GENERAL'!T162)</f>
        <v>0.20833333333333334</v>
      </c>
      <c r="U162" s="17">
        <f>IF('[1]P-GENERAL'!U162="","",'[1]P-GENERAL'!U162)</f>
        <v>46275.590972222228</v>
      </c>
      <c r="V162" s="14">
        <f>IF('[1]P-GENERAL'!V162="","",'[1]P-GENERAL'!V162)</f>
        <v>46277</v>
      </c>
      <c r="W162" s="16">
        <f>IF('[1]P-GENERAL'!W162="","",'[1]P-GENERAL'!W162)</f>
        <v>0.62152777777777779</v>
      </c>
      <c r="X162" s="14" t="str">
        <f>IF('[1]P-GENERAL'!X162="","",'[1]P-GENERAL'!X162)</f>
        <v>SI CUMPLE</v>
      </c>
      <c r="Y162" s="14" t="str">
        <f>IF('[1]P-GENERAL'!Y162="","",'[1]P-GENERAL'!Y162)</f>
        <v>SI CUMPLE</v>
      </c>
      <c r="Z162" s="14" t="str">
        <f>IF('[1]P-GENERAL'!Z162="","",'[1]P-GENERAL'!Z162)</f>
        <v/>
      </c>
      <c r="AA162" s="14" t="str">
        <f>IF('[1]P-GENERAL'!AA162="","",'[1]P-GENERAL'!AA162)</f>
        <v>DESPACHADO</v>
      </c>
      <c r="AB162" s="8" t="str">
        <f>IF('[1]P-GENERAL'!AB162="","",'[1]P-GENERAL'!AB162)</f>
        <v>GENARO IBAÑES</v>
      </c>
      <c r="AC162" s="8" t="str">
        <f>IF('[1]P-GENERAL'!AC162="","",'[1]P-GENERAL'!AC162)</f>
        <v>CAYETANO MENESES AVELINO</v>
      </c>
      <c r="AD162">
        <f>IF('[1]P-GENERAL'!AD162="","",'[1]P-GENERAL'!AD162)</f>
        <v>41863</v>
      </c>
      <c r="AE162" t="str">
        <f>IF('[1]P-GENERAL'!AE162="","",'[1]P-GENERAL'!AE162)</f>
        <v>N/A</v>
      </c>
    </row>
    <row r="163" spans="1:31" ht="20.25" x14ac:dyDescent="0.3">
      <c r="A163" s="11" t="str">
        <f>IF('[1]P-GENERAL'!A163="","",'[1]P-GENERAL'!A163)</f>
        <v>Chanitos Organic Banded Market Side Mexico</v>
      </c>
      <c r="B163" s="11" t="str">
        <f>IF('[1]P-GENERAL'!B163="","",'[1]P-GENERAL'!B163)</f>
        <v>CRG07128</v>
      </c>
      <c r="C163" t="str">
        <f>IF('[1]P-GENERAL'!C163="","",'[1]P-GENERAL'!C163)</f>
        <v>A01002-370909-1</v>
      </c>
      <c r="D163" t="str">
        <f>IF('[1]P-GENERAL'!D163="","",'[1]P-GENERAL'!D163)</f>
        <v>A01 002 Fortaleza</v>
      </c>
      <c r="E163" s="8" t="str">
        <f>IF('[1]P-GENERAL'!E163="","",'[1]P-GENERAL'!E163)</f>
        <v>VSA</v>
      </c>
      <c r="F163" s="12">
        <f>IF('[1]P-GENERAL'!F163="","",'[1]P-GENERAL'!F163)</f>
        <v>144</v>
      </c>
      <c r="G163" s="13">
        <f>IF('[1]P-GENERAL'!G163="","",'[1]P-GENERAL'!G163)</f>
        <v>3</v>
      </c>
      <c r="H163" s="14">
        <f>IF('[1]P-GENERAL'!H163="","",'[1]P-GENERAL'!H163)</f>
        <v>46274</v>
      </c>
      <c r="I163">
        <f>IF('[1]P-GENERAL'!I163="","",'[1]P-GENERAL'!I163)</f>
        <v>37</v>
      </c>
      <c r="J163" s="15">
        <f>IF('[1]P-GENERAL'!J163="","",'[1]P-GENERAL'!J163)</f>
        <v>46279</v>
      </c>
      <c r="K163" s="14" t="str">
        <f>IF('[1]P-GENERAL'!K163="","",'[1]P-GENERAL'!K163)</f>
        <v/>
      </c>
      <c r="L163" s="14" t="str">
        <f>IF('[1]P-GENERAL'!L163="","",'[1]P-GENERAL'!L163)</f>
        <v>PREENFRIO FORTALEZA</v>
      </c>
      <c r="M163">
        <f>IF('[1]P-GENERAL'!M163="","",'[1]P-GENERAL'!M163)</f>
        <v>1</v>
      </c>
      <c r="N163">
        <f>IF('[1]P-GENERAL'!N163="","",'[1]P-GENERAL'!N163)</f>
        <v>24</v>
      </c>
      <c r="O163" s="14">
        <f>IF('[1]P-GENERAL'!O163="","",'[1]P-GENERAL'!O163)</f>
        <v>46274</v>
      </c>
      <c r="P163" s="16">
        <f>IF('[1]P-GENERAL'!P163="","",'[1]P-GENERAL'!P163)</f>
        <v>0.68958333333333333</v>
      </c>
      <c r="Q163" t="str">
        <f>IF('[1]P-GENERAL'!Q163="","",'[1]P-GENERAL'!Q163)</f>
        <v>NORMAL</v>
      </c>
      <c r="R163" s="14">
        <f>IF('[1]P-GENERAL'!R163="","",'[1]P-GENERAL'!R163)</f>
        <v>46276</v>
      </c>
      <c r="S163" s="16">
        <f>IF('[1]P-GENERAL'!S163="","",'[1]P-GENERAL'!S163)</f>
        <v>4.791666666666667E-2</v>
      </c>
      <c r="T163" s="16">
        <f>IF('[1]P-GENERAL'!T163="","",'[1]P-GENERAL'!T163)</f>
        <v>0.625</v>
      </c>
      <c r="U163" s="17">
        <f>IF('[1]P-GENERAL'!U163="","",'[1]P-GENERAL'!U163)</f>
        <v>46276.67291666667</v>
      </c>
      <c r="V163" s="14">
        <f>IF('[1]P-GENERAL'!V163="","",'[1]P-GENERAL'!V163)</f>
        <v>46277</v>
      </c>
      <c r="W163" s="16">
        <f>IF('[1]P-GENERAL'!W163="","",'[1]P-GENERAL'!W163)</f>
        <v>0.60763888888888884</v>
      </c>
      <c r="X163" s="14" t="str">
        <f>IF('[1]P-GENERAL'!X163="","",'[1]P-GENERAL'!X163)</f>
        <v>SI CUMPLE</v>
      </c>
      <c r="Y163" s="14" t="str">
        <f>IF('[1]P-GENERAL'!Y163="","",'[1]P-GENERAL'!Y163)</f>
        <v>SI CUMPLE</v>
      </c>
      <c r="Z163" s="14" t="str">
        <f>IF('[1]P-GENERAL'!Z163="","",'[1]P-GENERAL'!Z163)</f>
        <v/>
      </c>
      <c r="AA163" s="14" t="str">
        <f>IF('[1]P-GENERAL'!AA163="","",'[1]P-GENERAL'!AA163)</f>
        <v>DESPACHADO</v>
      </c>
      <c r="AB163" s="8" t="str">
        <f>IF('[1]P-GENERAL'!AB163="","",'[1]P-GENERAL'!AB163)</f>
        <v>BACKHAUL</v>
      </c>
      <c r="AC163" s="8" t="str">
        <f>IF('[1]P-GENERAL'!AC163="","",'[1]P-GENERAL'!AC163)</f>
        <v>RAFAEL MARTINEZ LOPEZ</v>
      </c>
      <c r="AD163">
        <f>IF('[1]P-GENERAL'!AD163="","",'[1]P-GENERAL'!AD163)</f>
        <v>60186</v>
      </c>
      <c r="AE163" t="str">
        <f>IF('[1]P-GENERAL'!AE163="","",'[1]P-GENERAL'!AE163)</f>
        <v>QCH1W046Y0</v>
      </c>
    </row>
    <row r="164" spans="1:31" ht="20.25" x14ac:dyDescent="0.3">
      <c r="A164" s="11" t="str">
        <f>IF('[1]P-GENERAL'!A164="","",'[1]P-GENERAL'!A164)</f>
        <v>Chanitos Premium Tarima Chep</v>
      </c>
      <c r="B164" s="11" t="str">
        <f>IF('[1]P-GENERAL'!B164="","",'[1]P-GENERAL'!B164)</f>
        <v>CPR01102</v>
      </c>
      <c r="C164" t="str">
        <f>IF('[1]P-GENERAL'!C164="","",'[1]P-GENERAL'!C164)</f>
        <v>A01004-370909-1</v>
      </c>
      <c r="D164" t="str">
        <f>IF('[1]P-GENERAL'!D164="","",'[1]P-GENERAL'!D164)</f>
        <v>A01 004 La Ceiba</v>
      </c>
      <c r="E164" s="8" t="str">
        <f>IF('[1]P-GENERAL'!E164="","",'[1]P-GENERAL'!E164)</f>
        <v>VSA</v>
      </c>
      <c r="F164" s="12">
        <f>IF('[1]P-GENERAL'!F164="","",'[1]P-GENERAL'!F164)</f>
        <v>864</v>
      </c>
      <c r="G164" s="13">
        <f>IF('[1]P-GENERAL'!G164="","",'[1]P-GENERAL'!G164)</f>
        <v>18</v>
      </c>
      <c r="H164" s="14">
        <f>IF('[1]P-GENERAL'!H164="","",'[1]P-GENERAL'!H164)</f>
        <v>46274</v>
      </c>
      <c r="I164">
        <f>IF('[1]P-GENERAL'!I164="","",'[1]P-GENERAL'!I164)</f>
        <v>37</v>
      </c>
      <c r="J164" s="15">
        <f>IF('[1]P-GENERAL'!J164="","",'[1]P-GENERAL'!J164)</f>
        <v>46279</v>
      </c>
      <c r="K164" s="14" t="str">
        <f>IF('[1]P-GENERAL'!K164="","",'[1]P-GENERAL'!K164)</f>
        <v/>
      </c>
      <c r="L164" s="14" t="str">
        <f>IF('[1]P-GENERAL'!L164="","",'[1]P-GENERAL'!L164)</f>
        <v>PREENFRIO FORTALEZA</v>
      </c>
      <c r="M164">
        <f>IF('[1]P-GENERAL'!M164="","",'[1]P-GENERAL'!M164)</f>
        <v>1</v>
      </c>
      <c r="N164">
        <f>IF('[1]P-GENERAL'!N164="","",'[1]P-GENERAL'!N164)</f>
        <v>24</v>
      </c>
      <c r="O164" s="14">
        <f>IF('[1]P-GENERAL'!O164="","",'[1]P-GENERAL'!O164)</f>
        <v>46274</v>
      </c>
      <c r="P164" s="16">
        <f>IF('[1]P-GENERAL'!P164="","",'[1]P-GENERAL'!P164)</f>
        <v>0.74097222222222225</v>
      </c>
      <c r="Q164" t="str">
        <f>IF('[1]P-GENERAL'!Q164="","",'[1]P-GENERAL'!Q164)</f>
        <v>NORMAL</v>
      </c>
      <c r="R164" s="14">
        <f>IF('[1]P-GENERAL'!R164="","",'[1]P-GENERAL'!R164)</f>
        <v>46276</v>
      </c>
      <c r="S164" s="16">
        <f>IF('[1]P-GENERAL'!S164="","",'[1]P-GENERAL'!S164)</f>
        <v>4.791666666666667E-2</v>
      </c>
      <c r="T164" s="16">
        <f>IF('[1]P-GENERAL'!T164="","",'[1]P-GENERAL'!T164)</f>
        <v>0.625</v>
      </c>
      <c r="U164" s="17">
        <f>IF('[1]P-GENERAL'!U164="","",'[1]P-GENERAL'!U164)</f>
        <v>46276.67291666667</v>
      </c>
      <c r="V164" s="14">
        <f>IF('[1]P-GENERAL'!V164="","",'[1]P-GENERAL'!V164)</f>
        <v>46277</v>
      </c>
      <c r="W164" s="16">
        <f>IF('[1]P-GENERAL'!W164="","",'[1]P-GENERAL'!W164)</f>
        <v>0.60763888888888884</v>
      </c>
      <c r="X164" s="14" t="str">
        <f>IF('[1]P-GENERAL'!X164="","",'[1]P-GENERAL'!X164)</f>
        <v>SI CUMPLE</v>
      </c>
      <c r="Y164" s="14" t="str">
        <f>IF('[1]P-GENERAL'!Y164="","",'[1]P-GENERAL'!Y164)</f>
        <v>SI CUMPLE</v>
      </c>
      <c r="Z164" s="14" t="str">
        <f>IF('[1]P-GENERAL'!Z164="","",'[1]P-GENERAL'!Z164)</f>
        <v/>
      </c>
      <c r="AA164" s="14" t="str">
        <f>IF('[1]P-GENERAL'!AA164="","",'[1]P-GENERAL'!AA164)</f>
        <v>DESPACHADO</v>
      </c>
      <c r="AB164" s="8" t="str">
        <f>IF('[1]P-GENERAL'!AB164="","",'[1]P-GENERAL'!AB164)</f>
        <v>BACKHAUL</v>
      </c>
      <c r="AC164" s="8" t="str">
        <f>IF('[1]P-GENERAL'!AC164="","",'[1]P-GENERAL'!AC164)</f>
        <v>RAFAEL MARTINEZ LOPEZ</v>
      </c>
      <c r="AD164">
        <f>IF('[1]P-GENERAL'!AD164="","",'[1]P-GENERAL'!AD164)</f>
        <v>60186</v>
      </c>
      <c r="AE164" t="str">
        <f>IF('[1]P-GENERAL'!AE164="","",'[1]P-GENERAL'!AE164)</f>
        <v>QCH1W046Y0</v>
      </c>
    </row>
    <row r="165" spans="1:31" ht="20.25" x14ac:dyDescent="0.3">
      <c r="A165" s="11" t="str">
        <f>IF('[1]P-GENERAL'!A165="","",'[1]P-GENERAL'!A165)</f>
        <v>Chanitos Premium Tarima Chep</v>
      </c>
      <c r="B165" s="11" t="str">
        <f>IF('[1]P-GENERAL'!B165="","",'[1]P-GENERAL'!B165)</f>
        <v>CPR01102</v>
      </c>
      <c r="C165" t="str">
        <f>IF('[1]P-GENERAL'!C165="","",'[1]P-GENERAL'!C165)</f>
        <v/>
      </c>
      <c r="D165" t="str">
        <f>IF('[1]P-GENERAL'!D165="","",'[1]P-GENERAL'!D165)</f>
        <v>A01 001 Marbella</v>
      </c>
      <c r="E165" s="8" t="str">
        <f>IF('[1]P-GENERAL'!E165="","",'[1]P-GENERAL'!E165)</f>
        <v>Chalco</v>
      </c>
      <c r="F165" s="12">
        <f>IF('[1]P-GENERAL'!F165="","",'[1]P-GENERAL'!F165)</f>
        <v>1104</v>
      </c>
      <c r="G165" s="13">
        <f>IF('[1]P-GENERAL'!G165="","",'[1]P-GENERAL'!G165)</f>
        <v>23</v>
      </c>
      <c r="H165" s="14">
        <f>IF('[1]P-GENERAL'!H165="","",'[1]P-GENERAL'!H165)</f>
        <v>46274</v>
      </c>
      <c r="I165">
        <f>IF('[1]P-GENERAL'!I165="","",'[1]P-GENERAL'!I165)</f>
        <v>37</v>
      </c>
      <c r="J165" s="15">
        <f>IF('[1]P-GENERAL'!J165="","",'[1]P-GENERAL'!J165)</f>
        <v>46279</v>
      </c>
      <c r="K165" s="14" t="str">
        <f>IF('[1]P-GENERAL'!K165="","",'[1]P-GENERAL'!K165)</f>
        <v/>
      </c>
      <c r="L165" s="14" t="str">
        <f>IF('[1]P-GENERAL'!L165="","",'[1]P-GENERAL'!L165)</f>
        <v>PREENFRIO NELLY</v>
      </c>
      <c r="M165">
        <f>IF('[1]P-GENERAL'!M165="","",'[1]P-GENERAL'!M165)</f>
        <v>1</v>
      </c>
      <c r="N165">
        <f>IF('[1]P-GENERAL'!N165="","",'[1]P-GENERAL'!N165)</f>
        <v>24</v>
      </c>
      <c r="O165" s="14">
        <f>IF('[1]P-GENERAL'!O165="","",'[1]P-GENERAL'!O165)</f>
        <v>46274</v>
      </c>
      <c r="P165" s="16">
        <f>IF('[1]P-GENERAL'!P165="","",'[1]P-GENERAL'!P165)</f>
        <v>0.75</v>
      </c>
      <c r="Q165" t="str">
        <f>IF('[1]P-GENERAL'!Q165="","",'[1]P-GENERAL'!Q165)</f>
        <v>NORMAL</v>
      </c>
      <c r="R165" s="14">
        <f>IF('[1]P-GENERAL'!R165="","",'[1]P-GENERAL'!R165)</f>
        <v>46274</v>
      </c>
      <c r="S165" s="16">
        <f>IF('[1]P-GENERAL'!S165="","",'[1]P-GENERAL'!S165)</f>
        <v>0.75</v>
      </c>
      <c r="T165" s="16">
        <f>IF('[1]P-GENERAL'!T165="","",'[1]P-GENERAL'!T165)</f>
        <v>0.35416666666666669</v>
      </c>
      <c r="U165" s="17">
        <f>IF('[1]P-GENERAL'!U165="","",'[1]P-GENERAL'!U165)</f>
        <v>46275.104166666664</v>
      </c>
      <c r="V165" s="14">
        <f>IF('[1]P-GENERAL'!V165="","",'[1]P-GENERAL'!V165)</f>
        <v>46275</v>
      </c>
      <c r="W165" s="16">
        <f>IF('[1]P-GENERAL'!W165="","",'[1]P-GENERAL'!W165)</f>
        <v>0.9375</v>
      </c>
      <c r="X165" s="14" t="str">
        <f>IF('[1]P-GENERAL'!X165="","",'[1]P-GENERAL'!X165)</f>
        <v>SI CUMPLE</v>
      </c>
      <c r="Y165" s="14" t="str">
        <f>IF('[1]P-GENERAL'!Y165="","",'[1]P-GENERAL'!Y165)</f>
        <v>SI CUMPLE</v>
      </c>
      <c r="Z165" s="14" t="str">
        <f>IF('[1]P-GENERAL'!Z165="","",'[1]P-GENERAL'!Z165)</f>
        <v/>
      </c>
      <c r="AA165" s="14" t="str">
        <f>IF('[1]P-GENERAL'!AA165="","",'[1]P-GENERAL'!AA165)</f>
        <v>DESPACHADO</v>
      </c>
      <c r="AB165" s="8" t="str">
        <f>IF('[1]P-GENERAL'!AB165="","",'[1]P-GENERAL'!AB165)</f>
        <v xml:space="preserve">ROSA ANGELICA CONSUELO </v>
      </c>
      <c r="AC165" s="8" t="str">
        <f>IF('[1]P-GENERAL'!AC165="","",'[1]P-GENERAL'!AC165)</f>
        <v>CESAR AUGUSTO LOPEZ</v>
      </c>
      <c r="AD165" t="str">
        <f>IF('[1]P-GENERAL'!AD165="","",'[1]P-GENERAL'!AD165)</f>
        <v/>
      </c>
      <c r="AE165" t="str">
        <f>IF('[1]P-GENERAL'!AE165="","",'[1]P-GENERAL'!AE165)</f>
        <v/>
      </c>
    </row>
    <row r="166" spans="1:31" ht="20.25" x14ac:dyDescent="0.3">
      <c r="A166" s="11" t="str">
        <f>IF('[1]P-GENERAL'!A166="","",'[1]P-GENERAL'!A166)</f>
        <v>Platano de Chiapas BAE UPC 3237</v>
      </c>
      <c r="B166" s="11" t="str">
        <f>IF('[1]P-GENERAL'!B166="","",'[1]P-GENERAL'!B166)</f>
        <v>CPR01114</v>
      </c>
      <c r="C166" t="str">
        <f>IF('[1]P-GENERAL'!C166="","",'[1]P-GENERAL'!C166)</f>
        <v/>
      </c>
      <c r="D166" t="str">
        <f>IF('[1]P-GENERAL'!D166="","",'[1]P-GENERAL'!D166)</f>
        <v>A01 001 Marbella</v>
      </c>
      <c r="E166" s="8" t="str">
        <f>IF('[1]P-GENERAL'!E166="","",'[1]P-GENERAL'!E166)</f>
        <v>Chalco</v>
      </c>
      <c r="F166" s="12">
        <f>IF('[1]P-GENERAL'!F166="","",'[1]P-GENERAL'!F166)</f>
        <v>48</v>
      </c>
      <c r="G166" s="13">
        <f>IF('[1]P-GENERAL'!G166="","",'[1]P-GENERAL'!G166)</f>
        <v>1</v>
      </c>
      <c r="H166" s="14">
        <f>IF('[1]P-GENERAL'!H166="","",'[1]P-GENERAL'!H166)</f>
        <v>46274</v>
      </c>
      <c r="I166">
        <f>IF('[1]P-GENERAL'!I166="","",'[1]P-GENERAL'!I166)</f>
        <v>37</v>
      </c>
      <c r="J166" s="15">
        <f>IF('[1]P-GENERAL'!J166="","",'[1]P-GENERAL'!J166)</f>
        <v>46279</v>
      </c>
      <c r="K166" s="14" t="str">
        <f>IF('[1]P-GENERAL'!K166="","",'[1]P-GENERAL'!K166)</f>
        <v/>
      </c>
      <c r="L166" s="14" t="str">
        <f>IF('[1]P-GENERAL'!L166="","",'[1]P-GENERAL'!L166)</f>
        <v>PREENFRIO NELLY</v>
      </c>
      <c r="M166">
        <f>IF('[1]P-GENERAL'!M166="","",'[1]P-GENERAL'!M166)</f>
        <v>1</v>
      </c>
      <c r="N166">
        <f>IF('[1]P-GENERAL'!N166="","",'[1]P-GENERAL'!N166)</f>
        <v>24</v>
      </c>
      <c r="O166" s="14">
        <f>IF('[1]P-GENERAL'!O166="","",'[1]P-GENERAL'!O166)</f>
        <v>46274</v>
      </c>
      <c r="P166" s="16">
        <f>IF('[1]P-GENERAL'!P166="","",'[1]P-GENERAL'!P166)</f>
        <v>0.75</v>
      </c>
      <c r="Q166" t="str">
        <f>IF('[1]P-GENERAL'!Q166="","",'[1]P-GENERAL'!Q166)</f>
        <v>NORMAL</v>
      </c>
      <c r="R166" s="14">
        <f>IF('[1]P-GENERAL'!R166="","",'[1]P-GENERAL'!R166)</f>
        <v>46275</v>
      </c>
      <c r="S166" s="16">
        <f>IF('[1]P-GENERAL'!S166="","",'[1]P-GENERAL'!S166)</f>
        <v>0.74444444444444446</v>
      </c>
      <c r="T166" s="16">
        <f>IF('[1]P-GENERAL'!T166="","",'[1]P-GENERAL'!T166)</f>
        <v>0.35416666666666669</v>
      </c>
      <c r="U166" s="17">
        <f>IF('[1]P-GENERAL'!U166="","",'[1]P-GENERAL'!U166)</f>
        <v>46276.098611111105</v>
      </c>
      <c r="V166" s="14">
        <f>IF('[1]P-GENERAL'!V166="","",'[1]P-GENERAL'!V166)</f>
        <v>46275</v>
      </c>
      <c r="W166" s="16">
        <f>IF('[1]P-GENERAL'!W166="","",'[1]P-GENERAL'!W166)</f>
        <v>0.9375</v>
      </c>
      <c r="X166" s="14" t="str">
        <f>IF('[1]P-GENERAL'!X166="","",'[1]P-GENERAL'!X166)</f>
        <v>SI CUMPLE</v>
      </c>
      <c r="Y166" s="14" t="str">
        <f>IF('[1]P-GENERAL'!Y166="","",'[1]P-GENERAL'!Y166)</f>
        <v>SI CUMPLE</v>
      </c>
      <c r="Z166" s="14" t="str">
        <f>IF('[1]P-GENERAL'!Z166="","",'[1]P-GENERAL'!Z166)</f>
        <v/>
      </c>
      <c r="AA166" s="14" t="str">
        <f>IF('[1]P-GENERAL'!AA166="","",'[1]P-GENERAL'!AA166)</f>
        <v>DESPACHADO</v>
      </c>
      <c r="AB166" s="8" t="str">
        <f>IF('[1]P-GENERAL'!AB166="","",'[1]P-GENERAL'!AB166)</f>
        <v xml:space="preserve">ROSA ANGELICA CONSUELO </v>
      </c>
      <c r="AC166" s="8" t="str">
        <f>IF('[1]P-GENERAL'!AC166="","",'[1]P-GENERAL'!AC166)</f>
        <v>CESAR AUGUSTO LOPEZ</v>
      </c>
      <c r="AD166" t="str">
        <f>IF('[1]P-GENERAL'!AD166="","",'[1]P-GENERAL'!AD166)</f>
        <v/>
      </c>
      <c r="AE166" t="str">
        <f>IF('[1]P-GENERAL'!AE166="","",'[1]P-GENERAL'!AE166)</f>
        <v/>
      </c>
    </row>
    <row r="167" spans="1:31" ht="20.25" x14ac:dyDescent="0.3">
      <c r="A167" s="11" t="str">
        <f>IF('[1]P-GENERAL'!A167="","",'[1]P-GENERAL'!A167)</f>
        <v>Chanitos Premium Tarima Americana</v>
      </c>
      <c r="B167" s="11" t="str">
        <f>IF('[1]P-GENERAL'!B167="","",'[1]P-GENERAL'!B167)</f>
        <v>CPR01103</v>
      </c>
      <c r="C167" t="str">
        <f>IF('[1]P-GENERAL'!C167="","",'[1]P-GENERAL'!C167)</f>
        <v/>
      </c>
      <c r="D167" t="str">
        <f>IF('[1]P-GENERAL'!D167="","",'[1]P-GENERAL'!D167)</f>
        <v>A04 039 San Jose Morelia Nava</v>
      </c>
      <c r="E167" s="8" t="str">
        <f>IF('[1]P-GENERAL'!E167="","",'[1]P-GENERAL'!E167)</f>
        <v>S-MTY</v>
      </c>
      <c r="F167" s="12">
        <f>IF('[1]P-GENERAL'!F167="","",'[1]P-GENERAL'!F167)</f>
        <v>1152</v>
      </c>
      <c r="G167" s="13">
        <f>IF('[1]P-GENERAL'!G167="","",'[1]P-GENERAL'!G167)</f>
        <v>24</v>
      </c>
      <c r="H167" s="14">
        <f>IF('[1]P-GENERAL'!H167="","",'[1]P-GENERAL'!H167)</f>
        <v>46274</v>
      </c>
      <c r="I167">
        <f>IF('[1]P-GENERAL'!I167="","",'[1]P-GENERAL'!I167)</f>
        <v>37</v>
      </c>
      <c r="J167" s="15">
        <f>IF('[1]P-GENERAL'!J167="","",'[1]P-GENERAL'!J167)</f>
        <v>46279</v>
      </c>
      <c r="K167" s="14">
        <f>IF('[1]P-GENERAL'!K167="","",'[1]P-GENERAL'!K167)</f>
        <v>0.25</v>
      </c>
      <c r="L167" s="14" t="str">
        <f>IF('[1]P-GENERAL'!L167="","",'[1]P-GENERAL'!L167)</f>
        <v>PREENFRIO NELLY</v>
      </c>
      <c r="M167">
        <f>IF('[1]P-GENERAL'!M167="","",'[1]P-GENERAL'!M167)</f>
        <v>3</v>
      </c>
      <c r="N167">
        <f>IF('[1]P-GENERAL'!N167="","",'[1]P-GENERAL'!N167)</f>
        <v>72</v>
      </c>
      <c r="O167" s="14">
        <f>IF('[1]P-GENERAL'!O167="","",'[1]P-GENERAL'!O167)</f>
        <v>46275</v>
      </c>
      <c r="P167" s="16">
        <f>IF('[1]P-GENERAL'!P167="","",'[1]P-GENERAL'!P167)</f>
        <v>4.583333333333333E-2</v>
      </c>
      <c r="Q167" t="str">
        <f>IF('[1]P-GENERAL'!Q167="","",'[1]P-GENERAL'!Q167)</f>
        <v>ALTA</v>
      </c>
      <c r="R167" s="14">
        <f>IF('[1]P-GENERAL'!R167="","",'[1]P-GENERAL'!R167)</f>
        <v>46275</v>
      </c>
      <c r="S167" s="16">
        <f>IF('[1]P-GENERAL'!S167="","",'[1]P-GENERAL'!S167)</f>
        <v>0.3125</v>
      </c>
      <c r="T167" s="16">
        <f>IF('[1]P-GENERAL'!T167="","",'[1]P-GENERAL'!T167)</f>
        <v>0.4375</v>
      </c>
      <c r="U167" s="17">
        <f>IF('[1]P-GENERAL'!U167="","",'[1]P-GENERAL'!U167)</f>
        <v>46275.75</v>
      </c>
      <c r="V167" s="14">
        <f>IF('[1]P-GENERAL'!V167="","",'[1]P-GENERAL'!V167)</f>
        <v>46275</v>
      </c>
      <c r="W167" s="16">
        <f>IF('[1]P-GENERAL'!W167="","",'[1]P-GENERAL'!W167)</f>
        <v>0.73958333333333337</v>
      </c>
      <c r="X167" s="14" t="str">
        <f>IF('[1]P-GENERAL'!X167="","",'[1]P-GENERAL'!X167)</f>
        <v>SI CUMPLE</v>
      </c>
      <c r="Y167" s="14" t="str">
        <f>IF('[1]P-GENERAL'!Y167="","",'[1]P-GENERAL'!Y167)</f>
        <v>SI CUMPLE</v>
      </c>
      <c r="Z167" s="14" t="str">
        <f>IF('[1]P-GENERAL'!Z167="","",'[1]P-GENERAL'!Z167)</f>
        <v/>
      </c>
      <c r="AA167" s="14" t="str">
        <f>IF('[1]P-GENERAL'!AA167="","",'[1]P-GENERAL'!AA167)</f>
        <v>DESPACHADO</v>
      </c>
      <c r="AB167" s="8" t="str">
        <f>IF('[1]P-GENERAL'!AB167="","",'[1]P-GENERAL'!AB167)</f>
        <v>TOMATITOS</v>
      </c>
      <c r="AC167" s="8" t="str">
        <f>IF('[1]P-GENERAL'!AC167="","",'[1]P-GENERAL'!AC167)</f>
        <v>DANIEL REYES SANCHEZ</v>
      </c>
      <c r="AD167">
        <f>IF('[1]P-GENERAL'!AD167="","",'[1]P-GENERAL'!AD167)</f>
        <v>68045</v>
      </c>
      <c r="AE167" t="str">
        <f>IF('[1]P-GENERAL'!AE167="","",'[1]P-GENERAL'!AE167)</f>
        <v>QCH1W04D50</v>
      </c>
    </row>
    <row r="168" spans="1:31" ht="20.25" x14ac:dyDescent="0.3">
      <c r="A168" s="11" t="str">
        <f>IF('[1]P-GENERAL'!A168="","",'[1]P-GENERAL'!A168)</f>
        <v>Platano de Chiapas BAE UPC 3237</v>
      </c>
      <c r="B168" s="11" t="str">
        <f>IF('[1]P-GENERAL'!B168="","",'[1]P-GENERAL'!B168)</f>
        <v>CPR01114</v>
      </c>
      <c r="C168" t="str">
        <f>IF('[1]P-GENERAL'!C168="","",'[1]P-GENERAL'!C168)</f>
        <v>A01002-371009-1</v>
      </c>
      <c r="D168" t="str">
        <f>IF('[1]P-GENERAL'!D168="","",'[1]P-GENERAL'!D168)</f>
        <v>A01 002 Fortaleza</v>
      </c>
      <c r="E168" s="8" t="str">
        <f>IF('[1]P-GENERAL'!E168="","",'[1]P-GENERAL'!E168)</f>
        <v>MTY</v>
      </c>
      <c r="F168" s="12">
        <f>IF('[1]P-GENERAL'!F168="","",'[1]P-GENERAL'!F168)</f>
        <v>5</v>
      </c>
      <c r="G168" s="13">
        <f>IF('[1]P-GENERAL'!G168="","",'[1]P-GENERAL'!G168)</f>
        <v>0.10416666666666667</v>
      </c>
      <c r="H168" s="14">
        <f>IF('[1]P-GENERAL'!H168="","",'[1]P-GENERAL'!H168)</f>
        <v>46275</v>
      </c>
      <c r="I168">
        <f>IF('[1]P-GENERAL'!I168="","",'[1]P-GENERAL'!I168)</f>
        <v>37</v>
      </c>
      <c r="J168" s="15">
        <f>IF('[1]P-GENERAL'!J168="","",'[1]P-GENERAL'!J168)</f>
        <v>46279</v>
      </c>
      <c r="K168" s="14" t="str">
        <f>IF('[1]P-GENERAL'!K168="","",'[1]P-GENERAL'!K168)</f>
        <v/>
      </c>
      <c r="L168" s="14" t="str">
        <f>IF('[1]P-GENERAL'!L168="","",'[1]P-GENERAL'!L168)</f>
        <v>PREENFRIO FORTALEZA</v>
      </c>
      <c r="M168">
        <f>IF('[1]P-GENERAL'!M168="","",'[1]P-GENERAL'!M168)</f>
        <v>2.5</v>
      </c>
      <c r="N168">
        <f>IF('[1]P-GENERAL'!N168="","",'[1]P-GENERAL'!N168)</f>
        <v>60</v>
      </c>
      <c r="O168" s="14">
        <f>IF('[1]P-GENERAL'!O168="","",'[1]P-GENERAL'!O168)</f>
        <v>46275</v>
      </c>
      <c r="P168" s="16">
        <f>IF('[1]P-GENERAL'!P168="","",'[1]P-GENERAL'!P168)</f>
        <v>0.8208333333333333</v>
      </c>
      <c r="Q168" t="str">
        <f>IF('[1]P-GENERAL'!Q168="","",'[1]P-GENERAL'!Q168)</f>
        <v>NORMAL</v>
      </c>
      <c r="R168" s="14">
        <f>IF('[1]P-GENERAL'!R168="","",'[1]P-GENERAL'!R168)</f>
        <v>46276</v>
      </c>
      <c r="S168" s="16">
        <f>IF('[1]P-GENERAL'!S168="","",'[1]P-GENERAL'!S168)</f>
        <v>3.1944444444444442E-2</v>
      </c>
      <c r="T168" s="16">
        <f>IF('[1]P-GENERAL'!T168="","",'[1]P-GENERAL'!T168)</f>
        <v>0.41666666666666669</v>
      </c>
      <c r="U168" s="17">
        <f>IF('[1]P-GENERAL'!U168="","",'[1]P-GENERAL'!U168)</f>
        <v>46276.448611111111</v>
      </c>
      <c r="V168" s="14">
        <f>IF('[1]P-GENERAL'!V168="","",'[1]P-GENERAL'!V168)</f>
        <v>46276</v>
      </c>
      <c r="W168" s="16">
        <f>IF('[1]P-GENERAL'!W168="","",'[1]P-GENERAL'!W168)</f>
        <v>0.45833333333333331</v>
      </c>
      <c r="X168" s="14" t="str">
        <f>IF('[1]P-GENERAL'!X168="","",'[1]P-GENERAL'!X168)</f>
        <v>SI CUMPLE</v>
      </c>
      <c r="Y168" s="14" t="str">
        <f>IF('[1]P-GENERAL'!Y168="","",'[1]P-GENERAL'!Y168)</f>
        <v>SI CUMPLE</v>
      </c>
      <c r="Z168" s="14" t="str">
        <f>IF('[1]P-GENERAL'!Z168="","",'[1]P-GENERAL'!Z168)</f>
        <v/>
      </c>
      <c r="AA168" s="14" t="str">
        <f>IF('[1]P-GENERAL'!AA168="","",'[1]P-GENERAL'!AA168)</f>
        <v>DESPACHADO</v>
      </c>
      <c r="AB168" s="8" t="str">
        <f>IF('[1]P-GENERAL'!AB168="","",'[1]P-GENERAL'!AB168)</f>
        <v>EXPRESS CAVAZOS CANTU</v>
      </c>
      <c r="AC168" s="8" t="str">
        <f>IF('[1]P-GENERAL'!AC168="","",'[1]P-GENERAL'!AC168)</f>
        <v>Adrian_Villalobos_Garcia</v>
      </c>
      <c r="AD168">
        <f>IF('[1]P-GENERAL'!AD168="","",'[1]P-GENERAL'!AD168)</f>
        <v>51006</v>
      </c>
      <c r="AE168" t="str">
        <f>IF('[1]P-GENERAL'!AE168="","",'[1]P-GENERAL'!AE168)</f>
        <v>QCH1W048R0</v>
      </c>
    </row>
    <row r="169" spans="1:31" ht="20.25" x14ac:dyDescent="0.3">
      <c r="A169" s="11" t="str">
        <f>IF('[1]P-GENERAL'!A169="","",'[1]P-GENERAL'!A169)</f>
        <v>Chanitos Premium Tarima Chep</v>
      </c>
      <c r="B169" s="11" t="str">
        <f>IF('[1]P-GENERAL'!B169="","",'[1]P-GENERAL'!B169)</f>
        <v>CPR01102</v>
      </c>
      <c r="C169" t="str">
        <f>IF('[1]P-GENERAL'!C169="","",'[1]P-GENERAL'!C169)</f>
        <v>A01002-371009-1</v>
      </c>
      <c r="D169" t="str">
        <f>IF('[1]P-GENERAL'!D169="","",'[1]P-GENERAL'!D169)</f>
        <v>A01 002 Fortaleza</v>
      </c>
      <c r="E169" s="8" t="str">
        <f>IF('[1]P-GENERAL'!E169="","",'[1]P-GENERAL'!E169)</f>
        <v>MTY</v>
      </c>
      <c r="F169" s="12">
        <f>IF('[1]P-GENERAL'!F169="","",'[1]P-GENERAL'!F169)</f>
        <v>576</v>
      </c>
      <c r="G169" s="13">
        <f>IF('[1]P-GENERAL'!G169="","",'[1]P-GENERAL'!G169)</f>
        <v>12</v>
      </c>
      <c r="H169" s="14">
        <f>IF('[1]P-GENERAL'!H169="","",'[1]P-GENERAL'!H169)</f>
        <v>46275</v>
      </c>
      <c r="I169">
        <f>IF('[1]P-GENERAL'!I169="","",'[1]P-GENERAL'!I169)</f>
        <v>37</v>
      </c>
      <c r="J169" s="15">
        <f>IF('[1]P-GENERAL'!J169="","",'[1]P-GENERAL'!J169)</f>
        <v>46279</v>
      </c>
      <c r="K169" s="14" t="str">
        <f>IF('[1]P-GENERAL'!K169="","",'[1]P-GENERAL'!K169)</f>
        <v/>
      </c>
      <c r="L169" s="14" t="str">
        <f>IF('[1]P-GENERAL'!L169="","",'[1]P-GENERAL'!L169)</f>
        <v>PREENFRIO FORTALEZA</v>
      </c>
      <c r="M169">
        <f>IF('[1]P-GENERAL'!M169="","",'[1]P-GENERAL'!M169)</f>
        <v>2.5</v>
      </c>
      <c r="N169">
        <f>IF('[1]P-GENERAL'!N169="","",'[1]P-GENERAL'!N169)</f>
        <v>60</v>
      </c>
      <c r="O169" s="14">
        <f>IF('[1]P-GENERAL'!O169="","",'[1]P-GENERAL'!O169)</f>
        <v>46275</v>
      </c>
      <c r="P169" s="16">
        <f>IF('[1]P-GENERAL'!P169="","",'[1]P-GENERAL'!P169)</f>
        <v>0.8208333333333333</v>
      </c>
      <c r="Q169" t="str">
        <f>IF('[1]P-GENERAL'!Q169="","",'[1]P-GENERAL'!Q169)</f>
        <v>NORMAL</v>
      </c>
      <c r="R169" s="14">
        <f>IF('[1]P-GENERAL'!R169="","",'[1]P-GENERAL'!R169)</f>
        <v>46276</v>
      </c>
      <c r="S169" s="16">
        <f>IF('[1]P-GENERAL'!S169="","",'[1]P-GENERAL'!S169)</f>
        <v>3.1944444444444442E-2</v>
      </c>
      <c r="T169" s="16">
        <f>IF('[1]P-GENERAL'!T169="","",'[1]P-GENERAL'!T169)</f>
        <v>0.41666666666666669</v>
      </c>
      <c r="U169" s="17">
        <f>IF('[1]P-GENERAL'!U169="","",'[1]P-GENERAL'!U169)</f>
        <v>46276.448611111111</v>
      </c>
      <c r="V169" s="14">
        <f>IF('[1]P-GENERAL'!V169="","",'[1]P-GENERAL'!V169)</f>
        <v>46276</v>
      </c>
      <c r="W169" s="16">
        <f>IF('[1]P-GENERAL'!W169="","",'[1]P-GENERAL'!W169)</f>
        <v>0.45833333333333331</v>
      </c>
      <c r="X169" s="14" t="str">
        <f>IF('[1]P-GENERAL'!X169="","",'[1]P-GENERAL'!X169)</f>
        <v>SI CUMPLE</v>
      </c>
      <c r="Y169" s="14" t="str">
        <f>IF('[1]P-GENERAL'!Y169="","",'[1]P-GENERAL'!Y169)</f>
        <v>SI CUMPLE</v>
      </c>
      <c r="Z169" s="14" t="str">
        <f>IF('[1]P-GENERAL'!Z169="","",'[1]P-GENERAL'!Z169)</f>
        <v/>
      </c>
      <c r="AA169" s="14" t="str">
        <f>IF('[1]P-GENERAL'!AA169="","",'[1]P-GENERAL'!AA169)</f>
        <v>DESPACHADO</v>
      </c>
      <c r="AB169" s="8" t="str">
        <f>IF('[1]P-GENERAL'!AB169="","",'[1]P-GENERAL'!AB169)</f>
        <v>EXPRESS CAVAZOS CANTU</v>
      </c>
      <c r="AC169" s="8" t="str">
        <f>IF('[1]P-GENERAL'!AC169="","",'[1]P-GENERAL'!AC169)</f>
        <v>Adrian_Villalobos_Garcia</v>
      </c>
      <c r="AD169">
        <f>IF('[1]P-GENERAL'!AD169="","",'[1]P-GENERAL'!AD169)</f>
        <v>51006</v>
      </c>
      <c r="AE169" t="str">
        <f>IF('[1]P-GENERAL'!AE169="","",'[1]P-GENERAL'!AE169)</f>
        <v>QCH1W048R0</v>
      </c>
    </row>
    <row r="170" spans="1:31" ht="20.25" x14ac:dyDescent="0.3">
      <c r="A170" s="11" t="str">
        <f>IF('[1]P-GENERAL'!A170="","",'[1]P-GENERAL'!A170)</f>
        <v>Chanitos Organic Banded Market Side Mexico</v>
      </c>
      <c r="B170" s="11" t="str">
        <f>IF('[1]P-GENERAL'!B170="","",'[1]P-GENERAL'!B170)</f>
        <v>CRG07128</v>
      </c>
      <c r="C170" t="str">
        <f>IF('[1]P-GENERAL'!C170="","",'[1]P-GENERAL'!C170)</f>
        <v>A01002-371009-1</v>
      </c>
      <c r="D170" t="str">
        <f>IF('[1]P-GENERAL'!D170="","",'[1]P-GENERAL'!D170)</f>
        <v>A01 002 Fortaleza</v>
      </c>
      <c r="E170" s="8" t="str">
        <f>IF('[1]P-GENERAL'!E170="","",'[1]P-GENERAL'!E170)</f>
        <v>MTY</v>
      </c>
      <c r="F170" s="12">
        <f>IF('[1]P-GENERAL'!F170="","",'[1]P-GENERAL'!F170)</f>
        <v>96</v>
      </c>
      <c r="G170" s="13">
        <f>IF('[1]P-GENERAL'!G170="","",'[1]P-GENERAL'!G170)</f>
        <v>2</v>
      </c>
      <c r="H170" s="14">
        <f>IF('[1]P-GENERAL'!H170="","",'[1]P-GENERAL'!H170)</f>
        <v>46275</v>
      </c>
      <c r="I170">
        <f>IF('[1]P-GENERAL'!I170="","",'[1]P-GENERAL'!I170)</f>
        <v>37</v>
      </c>
      <c r="J170" s="15">
        <f>IF('[1]P-GENERAL'!J170="","",'[1]P-GENERAL'!J170)</f>
        <v>46279</v>
      </c>
      <c r="K170" s="14" t="str">
        <f>IF('[1]P-GENERAL'!K170="","",'[1]P-GENERAL'!K170)</f>
        <v/>
      </c>
      <c r="L170" s="14" t="str">
        <f>IF('[1]P-GENERAL'!L170="","",'[1]P-GENERAL'!L170)</f>
        <v>PREENFRIO FORTALEZA</v>
      </c>
      <c r="M170">
        <f>IF('[1]P-GENERAL'!M170="","",'[1]P-GENERAL'!M170)</f>
        <v>2.5</v>
      </c>
      <c r="N170">
        <f>IF('[1]P-GENERAL'!N170="","",'[1]P-GENERAL'!N170)</f>
        <v>60</v>
      </c>
      <c r="O170" s="14">
        <f>IF('[1]P-GENERAL'!O170="","",'[1]P-GENERAL'!O170)</f>
        <v>46275</v>
      </c>
      <c r="P170" s="16">
        <f>IF('[1]P-GENERAL'!P170="","",'[1]P-GENERAL'!P170)</f>
        <v>0.8208333333333333</v>
      </c>
      <c r="Q170" t="str">
        <f>IF('[1]P-GENERAL'!Q170="","",'[1]P-GENERAL'!Q170)</f>
        <v>NORMAL</v>
      </c>
      <c r="R170" s="14">
        <f>IF('[1]P-GENERAL'!R170="","",'[1]P-GENERAL'!R170)</f>
        <v>46276</v>
      </c>
      <c r="S170" s="16">
        <f>IF('[1]P-GENERAL'!S170="","",'[1]P-GENERAL'!S170)</f>
        <v>3.1944444444444442E-2</v>
      </c>
      <c r="T170" s="16">
        <f>IF('[1]P-GENERAL'!T170="","",'[1]P-GENERAL'!T170)</f>
        <v>0.41666666666666669</v>
      </c>
      <c r="U170" s="17">
        <f>IF('[1]P-GENERAL'!U170="","",'[1]P-GENERAL'!U170)</f>
        <v>46276.448611111111</v>
      </c>
      <c r="V170" s="14">
        <f>IF('[1]P-GENERAL'!V170="","",'[1]P-GENERAL'!V170)</f>
        <v>46276</v>
      </c>
      <c r="W170" s="16">
        <f>IF('[1]P-GENERAL'!W170="","",'[1]P-GENERAL'!W170)</f>
        <v>0.45833333333333331</v>
      </c>
      <c r="X170" s="14" t="str">
        <f>IF('[1]P-GENERAL'!X170="","",'[1]P-GENERAL'!X170)</f>
        <v>SI CUMPLE</v>
      </c>
      <c r="Y170" s="14" t="str">
        <f>IF('[1]P-GENERAL'!Y170="","",'[1]P-GENERAL'!Y170)</f>
        <v>SI CUMPLE</v>
      </c>
      <c r="Z170" s="14" t="str">
        <f>IF('[1]P-GENERAL'!Z170="","",'[1]P-GENERAL'!Z170)</f>
        <v/>
      </c>
      <c r="AA170" s="14" t="str">
        <f>IF('[1]P-GENERAL'!AA170="","",'[1]P-GENERAL'!AA170)</f>
        <v>DESPACHADO</v>
      </c>
      <c r="AB170" s="8" t="str">
        <f>IF('[1]P-GENERAL'!AB170="","",'[1]P-GENERAL'!AB170)</f>
        <v>EXPRESS CAVAZOS CANTU</v>
      </c>
      <c r="AC170" s="8" t="str">
        <f>IF('[1]P-GENERAL'!AC170="","",'[1]P-GENERAL'!AC170)</f>
        <v>Adrian_Villalobos_Garcia</v>
      </c>
      <c r="AD170">
        <f>IF('[1]P-GENERAL'!AD170="","",'[1]P-GENERAL'!AD170)</f>
        <v>51006</v>
      </c>
      <c r="AE170" t="str">
        <f>IF('[1]P-GENERAL'!AE170="","",'[1]P-GENERAL'!AE170)</f>
        <v>QCH1W048R0</v>
      </c>
    </row>
    <row r="171" spans="1:31" ht="20.25" x14ac:dyDescent="0.3">
      <c r="A171" s="11" t="str">
        <f>IF('[1]P-GENERAL'!A171="","",'[1]P-GENERAL'!A171)</f>
        <v>Chanitos Premium Tarima Chep</v>
      </c>
      <c r="B171" s="11" t="str">
        <f>IF('[1]P-GENERAL'!B171="","",'[1]P-GENERAL'!B171)</f>
        <v>CPR01102</v>
      </c>
      <c r="C171" t="str">
        <f>IF('[1]P-GENERAL'!C171="","",'[1]P-GENERAL'!C171)</f>
        <v>A01002-371009-1</v>
      </c>
      <c r="D171" t="str">
        <f>IF('[1]P-GENERAL'!D171="","",'[1]P-GENERAL'!D171)</f>
        <v>A01 002 Fortaleza</v>
      </c>
      <c r="E171" s="8" t="str">
        <f>IF('[1]P-GENERAL'!E171="","",'[1]P-GENERAL'!E171)</f>
        <v>SMO</v>
      </c>
      <c r="F171" s="12">
        <f>IF('[1]P-GENERAL'!F171="","",'[1]P-GENERAL'!F171)</f>
        <v>48</v>
      </c>
      <c r="G171" s="13">
        <f>IF('[1]P-GENERAL'!G171="","",'[1]P-GENERAL'!G171)</f>
        <v>1</v>
      </c>
      <c r="H171" s="14">
        <f>IF('[1]P-GENERAL'!H171="","",'[1]P-GENERAL'!H171)</f>
        <v>46275</v>
      </c>
      <c r="I171">
        <f>IF('[1]P-GENERAL'!I171="","",'[1]P-GENERAL'!I171)</f>
        <v>37</v>
      </c>
      <c r="J171" s="15">
        <f>IF('[1]P-GENERAL'!J171="","",'[1]P-GENERAL'!J171)</f>
        <v>46279</v>
      </c>
      <c r="K171" s="14" t="str">
        <f>IF('[1]P-GENERAL'!K171="","",'[1]P-GENERAL'!K171)</f>
        <v/>
      </c>
      <c r="L171" s="14" t="str">
        <f>IF('[1]P-GENERAL'!L171="","",'[1]P-GENERAL'!L171)</f>
        <v>PREENFRIO FORTALEZA</v>
      </c>
      <c r="M171">
        <f>IF('[1]P-GENERAL'!M171="","",'[1]P-GENERAL'!M171)</f>
        <v>1.5</v>
      </c>
      <c r="N171">
        <f>IF('[1]P-GENERAL'!N171="","",'[1]P-GENERAL'!N171)</f>
        <v>36</v>
      </c>
      <c r="O171" s="14">
        <f>IF('[1]P-GENERAL'!O171="","",'[1]P-GENERAL'!O171)</f>
        <v>46275</v>
      </c>
      <c r="P171" s="16">
        <f>IF('[1]P-GENERAL'!P171="","",'[1]P-GENERAL'!P171)</f>
        <v>0.8208333333333333</v>
      </c>
      <c r="Q171" t="str">
        <f>IF('[1]P-GENERAL'!Q171="","",'[1]P-GENERAL'!Q171)</f>
        <v>NORMAL</v>
      </c>
      <c r="R171" s="14">
        <f>IF('[1]P-GENERAL'!R171="","",'[1]P-GENERAL'!R171)</f>
        <v>46275</v>
      </c>
      <c r="S171" s="16">
        <f>IF('[1]P-GENERAL'!S171="","",'[1]P-GENERAL'!S171)</f>
        <v>0.7993055555555556</v>
      </c>
      <c r="T171" s="16">
        <f>IF('[1]P-GENERAL'!T171="","",'[1]P-GENERAL'!T171)</f>
        <v>0.20833333333333334</v>
      </c>
      <c r="U171" s="17">
        <f>IF('[1]P-GENERAL'!U171="","",'[1]P-GENERAL'!U171)</f>
        <v>46276.007638888892</v>
      </c>
      <c r="V171" s="14">
        <f>IF('[1]P-GENERAL'!V171="","",'[1]P-GENERAL'!V171)</f>
        <v>46276</v>
      </c>
      <c r="W171" s="16">
        <f>IF('[1]P-GENERAL'!W171="","",'[1]P-GENERAL'!W171)</f>
        <v>7.8472222222222221E-2</v>
      </c>
      <c r="X171" s="14" t="str">
        <f>IF('[1]P-GENERAL'!X171="","",'[1]P-GENERAL'!X171)</f>
        <v>SI CUMPLE</v>
      </c>
      <c r="Y171" s="14" t="str">
        <f>IF('[1]P-GENERAL'!Y171="","",'[1]P-GENERAL'!Y171)</f>
        <v>SI CUMPLE</v>
      </c>
      <c r="Z171" s="14" t="str">
        <f>IF('[1]P-GENERAL'!Z171="","",'[1]P-GENERAL'!Z171)</f>
        <v/>
      </c>
      <c r="AA171" s="14" t="str">
        <f>IF('[1]P-GENERAL'!AA171="","",'[1]P-GENERAL'!AA171)</f>
        <v>DESPACHADO</v>
      </c>
      <c r="AB171" s="8" t="str">
        <f>IF('[1]P-GENERAL'!AB171="","",'[1]P-GENERAL'!AB171)</f>
        <v>FERNANDO JESUS ALVARADO</v>
      </c>
      <c r="AC171" s="8" t="str">
        <f>IF('[1]P-GENERAL'!AC171="","",'[1]P-GENERAL'!AC171)</f>
        <v>ALEJANDRO EDUARDO SANTOS</v>
      </c>
      <c r="AD171">
        <f>IF('[1]P-GENERAL'!AD171="","",'[1]P-GENERAL'!AD171)</f>
        <v>34528</v>
      </c>
      <c r="AE171" t="str">
        <f>IF('[1]P-GENERAL'!AE171="","",'[1]P-GENERAL'!AE171)</f>
        <v>QCH1W049Z0</v>
      </c>
    </row>
    <row r="172" spans="1:31" ht="20.25" x14ac:dyDescent="0.3">
      <c r="A172" s="11" t="str">
        <f>IF('[1]P-GENERAL'!A172="","",'[1]P-GENERAL'!A172)</f>
        <v>Chanitos Organic Banded Market Side Mexico</v>
      </c>
      <c r="B172" s="11" t="str">
        <f>IF('[1]P-GENERAL'!B172="","",'[1]P-GENERAL'!B172)</f>
        <v>CRG07128</v>
      </c>
      <c r="C172" t="str">
        <f>IF('[1]P-GENERAL'!C172="","",'[1]P-GENERAL'!C172)</f>
        <v>A01002-371009-1</v>
      </c>
      <c r="D172" t="str">
        <f>IF('[1]P-GENERAL'!D172="","",'[1]P-GENERAL'!D172)</f>
        <v>A01 002 Fortaleza</v>
      </c>
      <c r="E172" s="8" t="str">
        <f>IF('[1]P-GENERAL'!E172="","",'[1]P-GENERAL'!E172)</f>
        <v>VSA</v>
      </c>
      <c r="F172" s="12">
        <f>IF('[1]P-GENERAL'!F172="","",'[1]P-GENERAL'!F172)</f>
        <v>144</v>
      </c>
      <c r="G172" s="13">
        <f>IF('[1]P-GENERAL'!G172="","",'[1]P-GENERAL'!G172)</f>
        <v>3</v>
      </c>
      <c r="H172" s="14">
        <f>IF('[1]P-GENERAL'!H172="","",'[1]P-GENERAL'!H172)</f>
        <v>46275</v>
      </c>
      <c r="I172">
        <f>IF('[1]P-GENERAL'!I172="","",'[1]P-GENERAL'!I172)</f>
        <v>37</v>
      </c>
      <c r="J172" s="15">
        <f>IF('[1]P-GENERAL'!J172="","",'[1]P-GENERAL'!J172)</f>
        <v>46279</v>
      </c>
      <c r="K172" s="14" t="str">
        <f>IF('[1]P-GENERAL'!K172="","",'[1]P-GENERAL'!K172)</f>
        <v/>
      </c>
      <c r="L172" s="14" t="str">
        <f>IF('[1]P-GENERAL'!L172="","",'[1]P-GENERAL'!L172)</f>
        <v>PREENFRIO FORTALEZA</v>
      </c>
      <c r="M172">
        <f>IF('[1]P-GENERAL'!M172="","",'[1]P-GENERAL'!M172)</f>
        <v>1</v>
      </c>
      <c r="N172">
        <f>IF('[1]P-GENERAL'!N172="","",'[1]P-GENERAL'!N172)</f>
        <v>24</v>
      </c>
      <c r="O172" s="14">
        <f>IF('[1]P-GENERAL'!O172="","",'[1]P-GENERAL'!O172)</f>
        <v>46275</v>
      </c>
      <c r="P172" s="16">
        <f>IF('[1]P-GENERAL'!P172="","",'[1]P-GENERAL'!P172)</f>
        <v>0.8208333333333333</v>
      </c>
      <c r="Q172" t="str">
        <f>IF('[1]P-GENERAL'!Q172="","",'[1]P-GENERAL'!Q172)</f>
        <v>NORMAL</v>
      </c>
      <c r="R172" s="14">
        <f>IF('[1]P-GENERAL'!R172="","",'[1]P-GENERAL'!R172)</f>
        <v>46276</v>
      </c>
      <c r="S172" s="16">
        <f>IF('[1]P-GENERAL'!S172="","",'[1]P-GENERAL'!S172)</f>
        <v>0.67291666666666672</v>
      </c>
      <c r="T172" s="16">
        <f>IF('[1]P-GENERAL'!T172="","",'[1]P-GENERAL'!T172)</f>
        <v>0.20833333333333334</v>
      </c>
      <c r="U172" s="17">
        <f>IF('[1]P-GENERAL'!U172="","",'[1]P-GENERAL'!U172)</f>
        <v>46276.881250000006</v>
      </c>
      <c r="V172" s="14">
        <f>IF('[1]P-GENERAL'!V172="","",'[1]P-GENERAL'!V172)</f>
        <v>46277</v>
      </c>
      <c r="W172" s="16">
        <f>IF('[1]P-GENERAL'!W172="","",'[1]P-GENERAL'!W172)</f>
        <v>0.60763888888888884</v>
      </c>
      <c r="X172" s="14" t="str">
        <f>IF('[1]P-GENERAL'!X172="","",'[1]P-GENERAL'!X172)</f>
        <v>SI CUMPLE</v>
      </c>
      <c r="Y172" s="14" t="str">
        <f>IF('[1]P-GENERAL'!Y172="","",'[1]P-GENERAL'!Y172)</f>
        <v>SI CUMPLE</v>
      </c>
      <c r="Z172" s="14" t="str">
        <f>IF('[1]P-GENERAL'!Z172="","",'[1]P-GENERAL'!Z172)</f>
        <v/>
      </c>
      <c r="AA172" s="14" t="str">
        <f>IF('[1]P-GENERAL'!AA172="","",'[1]P-GENERAL'!AA172)</f>
        <v>DESPACHADO</v>
      </c>
      <c r="AB172" s="8" t="str">
        <f>IF('[1]P-GENERAL'!AB172="","",'[1]P-GENERAL'!AB172)</f>
        <v>BACKHAUL</v>
      </c>
      <c r="AC172" s="8" t="str">
        <f>IF('[1]P-GENERAL'!AC172="","",'[1]P-GENERAL'!AC172)</f>
        <v>RAFAEL MARTINEZ LOPEZ</v>
      </c>
      <c r="AD172">
        <f>IF('[1]P-GENERAL'!AD172="","",'[1]P-GENERAL'!AD172)</f>
        <v>60186</v>
      </c>
      <c r="AE172" t="str">
        <f>IF('[1]P-GENERAL'!AE172="","",'[1]P-GENERAL'!AE172)</f>
        <v>QCH1W046Y0</v>
      </c>
    </row>
    <row r="173" spans="1:31" ht="20.25" x14ac:dyDescent="0.3">
      <c r="A173" s="11" t="str">
        <f>IF('[1]P-GENERAL'!A173="","",'[1]P-GENERAL'!A173)</f>
        <v>Chanitos Premium Tarima Chep</v>
      </c>
      <c r="B173" s="11" t="str">
        <f>IF('[1]P-GENERAL'!B173="","",'[1]P-GENERAL'!B173)</f>
        <v>CPR01102</v>
      </c>
      <c r="C173" t="str">
        <f>IF('[1]P-GENERAL'!C173="","",'[1]P-GENERAL'!C173)</f>
        <v>A04037-371009-1</v>
      </c>
      <c r="D173" t="str">
        <f>IF('[1]P-GENERAL'!D173="","",'[1]P-GENERAL'!D173)</f>
        <v>A04 037 Josefina Nava</v>
      </c>
      <c r="E173" s="8" t="str">
        <f>IF('[1]P-GENERAL'!E173="","",'[1]P-GENERAL'!E173)</f>
        <v>QRO</v>
      </c>
      <c r="F173" s="12">
        <f>IF('[1]P-GENERAL'!F173="","",'[1]P-GENERAL'!F173)</f>
        <v>1056</v>
      </c>
      <c r="G173" s="13">
        <f>IF('[1]P-GENERAL'!G173="","",'[1]P-GENERAL'!G173)</f>
        <v>22</v>
      </c>
      <c r="H173" s="14">
        <f>IF('[1]P-GENERAL'!H173="","",'[1]P-GENERAL'!H173)</f>
        <v>46275</v>
      </c>
      <c r="I173">
        <f>IF('[1]P-GENERAL'!I173="","",'[1]P-GENERAL'!I173)</f>
        <v>37</v>
      </c>
      <c r="J173" s="15">
        <f>IF('[1]P-GENERAL'!J173="","",'[1]P-GENERAL'!J173)</f>
        <v>46279</v>
      </c>
      <c r="K173" s="14" t="str">
        <f>IF('[1]P-GENERAL'!K173="","",'[1]P-GENERAL'!K173)</f>
        <v/>
      </c>
      <c r="L173" s="14" t="str">
        <f>IF('[1]P-GENERAL'!L173="","",'[1]P-GENERAL'!L173)</f>
        <v>PREENFRIO NELLY</v>
      </c>
      <c r="M173">
        <f>IF('[1]P-GENERAL'!M173="","",'[1]P-GENERAL'!M173)</f>
        <v>1.5</v>
      </c>
      <c r="N173">
        <f>IF('[1]P-GENERAL'!N173="","",'[1]P-GENERAL'!N173)</f>
        <v>36</v>
      </c>
      <c r="O173" s="14">
        <f>IF('[1]P-GENERAL'!O173="","",'[1]P-GENERAL'!O173)</f>
        <v>46275</v>
      </c>
      <c r="P173" s="16">
        <f>IF('[1]P-GENERAL'!P173="","",'[1]P-GENERAL'!P173)</f>
        <v>0.95833333333333337</v>
      </c>
      <c r="Q173" t="str">
        <f>IF('[1]P-GENERAL'!Q173="","",'[1]P-GENERAL'!Q173)</f>
        <v>ALTA</v>
      </c>
      <c r="R173" s="14">
        <f>IF('[1]P-GENERAL'!R173="","",'[1]P-GENERAL'!R173)</f>
        <v>46276</v>
      </c>
      <c r="S173" s="16">
        <f>IF('[1]P-GENERAL'!S173="","",'[1]P-GENERAL'!S173)</f>
        <v>0.73611111111111116</v>
      </c>
      <c r="T173" s="16">
        <f>IF('[1]P-GENERAL'!T173="","",'[1]P-GENERAL'!T173)</f>
        <v>0.35416666666666669</v>
      </c>
      <c r="U173" s="17">
        <f>IF('[1]P-GENERAL'!U173="","",'[1]P-GENERAL'!U173)</f>
        <v>46277.090277777774</v>
      </c>
      <c r="V173" s="14">
        <f>IF('[1]P-GENERAL'!V173="","",'[1]P-GENERAL'!V173)</f>
        <v>46277</v>
      </c>
      <c r="W173" s="16">
        <f>IF('[1]P-GENERAL'!W173="","",'[1]P-GENERAL'!W173)</f>
        <v>9.7222222222222224E-2</v>
      </c>
      <c r="X173" s="14" t="str">
        <f>IF('[1]P-GENERAL'!X173="","",'[1]P-GENERAL'!X173)</f>
        <v>SI CUMPLE</v>
      </c>
      <c r="Y173" s="14" t="str">
        <f>IF('[1]P-GENERAL'!Y173="","",'[1]P-GENERAL'!Y173)</f>
        <v>SI CUMPLE</v>
      </c>
      <c r="Z173" s="14" t="str">
        <f>IF('[1]P-GENERAL'!Z173="","",'[1]P-GENERAL'!Z173)</f>
        <v/>
      </c>
      <c r="AA173" s="14" t="str">
        <f>IF('[1]P-GENERAL'!AA173="","",'[1]P-GENERAL'!AA173)</f>
        <v>DESPACHADO</v>
      </c>
      <c r="AB173" s="8" t="str">
        <f>IF('[1]P-GENERAL'!AB173="","",'[1]P-GENERAL'!AB173)</f>
        <v>LEOPOLDO LEGORRETA LEGORRETA</v>
      </c>
      <c r="AC173" s="8" t="str">
        <f>IF('[1]P-GENERAL'!AC173="","",'[1]P-GENERAL'!AC173)</f>
        <v>ULISES MORALES</v>
      </c>
      <c r="AD173">
        <f>IF('[1]P-GENERAL'!AD173="","",'[1]P-GENERAL'!AD173)</f>
        <v>27102</v>
      </c>
      <c r="AE173" t="str">
        <f>IF('[1]P-GENERAL'!AE173="","",'[1]P-GENERAL'!AE173)</f>
        <v>QCH1W03SZ0</v>
      </c>
    </row>
    <row r="174" spans="1:31" ht="20.25" x14ac:dyDescent="0.3">
      <c r="A174" s="11" t="str">
        <f>IF('[1]P-GENERAL'!A174="","",'[1]P-GENERAL'!A174)</f>
        <v>Chanitos Premium Tarima Chep</v>
      </c>
      <c r="B174" s="11" t="str">
        <f>IF('[1]P-GENERAL'!B174="","",'[1]P-GENERAL'!B174)</f>
        <v>CPR01102</v>
      </c>
      <c r="C174" t="str">
        <f>IF('[1]P-GENERAL'!C174="","",'[1]P-GENERAL'!C174)</f>
        <v>A01003-371009-1</v>
      </c>
      <c r="D174" t="str">
        <f>IF('[1]P-GENERAL'!D174="","",'[1]P-GENERAL'!D174)</f>
        <v>A01 003 Doña Nelly</v>
      </c>
      <c r="E174" s="8" t="str">
        <f>IF('[1]P-GENERAL'!E174="","",'[1]P-GENERAL'!E174)</f>
        <v>VSA</v>
      </c>
      <c r="F174" s="12">
        <f>IF('[1]P-GENERAL'!F174="","",'[1]P-GENERAL'!F174)</f>
        <v>288</v>
      </c>
      <c r="G174" s="13">
        <f>IF('[1]P-GENERAL'!G174="","",'[1]P-GENERAL'!G174)</f>
        <v>6</v>
      </c>
      <c r="H174" s="14">
        <f>IF('[1]P-GENERAL'!H174="","",'[1]P-GENERAL'!H174)</f>
        <v>46275</v>
      </c>
      <c r="I174">
        <f>IF('[1]P-GENERAL'!I174="","",'[1]P-GENERAL'!I174)</f>
        <v>37</v>
      </c>
      <c r="J174" s="15">
        <f>IF('[1]P-GENERAL'!J174="","",'[1]P-GENERAL'!J174)</f>
        <v>46279</v>
      </c>
      <c r="K174" s="14" t="str">
        <f>IF('[1]P-GENERAL'!K174="","",'[1]P-GENERAL'!K174)</f>
        <v/>
      </c>
      <c r="L174" s="14" t="str">
        <f>IF('[1]P-GENERAL'!L174="","",'[1]P-GENERAL'!L174)</f>
        <v>PREENFRIO NELLY</v>
      </c>
      <c r="M174">
        <f>IF('[1]P-GENERAL'!M174="","",'[1]P-GENERAL'!M174)</f>
        <v>1</v>
      </c>
      <c r="N174">
        <f>IF('[1]P-GENERAL'!N174="","",'[1]P-GENERAL'!N174)</f>
        <v>24</v>
      </c>
      <c r="O174" s="14">
        <f>IF('[1]P-GENERAL'!O174="","",'[1]P-GENERAL'!O174)</f>
        <v>46275</v>
      </c>
      <c r="P174" s="16">
        <f>IF('[1]P-GENERAL'!P174="","",'[1]P-GENERAL'!P174)</f>
        <v>0.77083333333333337</v>
      </c>
      <c r="Q174" t="str">
        <f>IF('[1]P-GENERAL'!Q174="","",'[1]P-GENERAL'!Q174)</f>
        <v>ALTA</v>
      </c>
      <c r="R174" s="14">
        <f>IF('[1]P-GENERAL'!R174="","",'[1]P-GENERAL'!R174)</f>
        <v>46276</v>
      </c>
      <c r="S174" s="16">
        <f>IF('[1]P-GENERAL'!S174="","",'[1]P-GENERAL'!S174)</f>
        <v>0.52222222222222225</v>
      </c>
      <c r="T174" s="16">
        <f>IF('[1]P-GENERAL'!T174="","",'[1]P-GENERAL'!T174)</f>
        <v>0.35416666666666669</v>
      </c>
      <c r="U174" s="17">
        <f>IF('[1]P-GENERAL'!U174="","",'[1]P-GENERAL'!U174)</f>
        <v>46276.876388888886</v>
      </c>
      <c r="V174" s="14">
        <f>IF('[1]P-GENERAL'!V174="","",'[1]P-GENERAL'!V174)</f>
        <v>46277</v>
      </c>
      <c r="W174" s="16">
        <f>IF('[1]P-GENERAL'!W174="","",'[1]P-GENERAL'!W174)</f>
        <v>0.88888888888888884</v>
      </c>
      <c r="X174" s="14" t="str">
        <f>IF('[1]P-GENERAL'!X174="","",'[1]P-GENERAL'!X174)</f>
        <v>SI CUMPLE</v>
      </c>
      <c r="Y174" s="14" t="str">
        <f>IF('[1]P-GENERAL'!Y174="","",'[1]P-GENERAL'!Y174)</f>
        <v>SI CUMPLE</v>
      </c>
      <c r="Z174" s="14" t="str">
        <f>IF('[1]P-GENERAL'!Z174="","",'[1]P-GENERAL'!Z174)</f>
        <v/>
      </c>
      <c r="AA174" s="14" t="str">
        <f>IF('[1]P-GENERAL'!AA174="","",'[1]P-GENERAL'!AA174)</f>
        <v>DESPACHADO</v>
      </c>
      <c r="AB174" s="8" t="str">
        <f>IF('[1]P-GENERAL'!AB174="","",'[1]P-GENERAL'!AB174)</f>
        <v>GENARO IBAÑEZ</v>
      </c>
      <c r="AC174" s="8" t="str">
        <f>IF('[1]P-GENERAL'!AC174="","",'[1]P-GENERAL'!AC174)</f>
        <v>CAYETANO MENESES AVELINO</v>
      </c>
      <c r="AD174">
        <f>IF('[1]P-GENERAL'!AD174="","",'[1]P-GENERAL'!AD174)</f>
        <v>49155</v>
      </c>
      <c r="AE174" t="str">
        <f>IF('[1]P-GENERAL'!AE174="","",'[1]P-GENERAL'!AE174)</f>
        <v>QCH1W03N00</v>
      </c>
    </row>
    <row r="175" spans="1:31" ht="20.25" x14ac:dyDescent="0.3">
      <c r="A175" s="11" t="str">
        <f>IF('[1]P-GENERAL'!A175="","",'[1]P-GENERAL'!A175)</f>
        <v>Chanitos Premium Tarima Americana</v>
      </c>
      <c r="B175" s="11" t="str">
        <f>IF('[1]P-GENERAL'!B175="","",'[1]P-GENERAL'!B175)</f>
        <v>CPR01103</v>
      </c>
      <c r="C175" t="str">
        <f>IF('[1]P-GENERAL'!C175="","",'[1]P-GENERAL'!C175)</f>
        <v/>
      </c>
      <c r="D175" t="str">
        <f>IF('[1]P-GENERAL'!D175="","",'[1]P-GENERAL'!D175)</f>
        <v>A04 039 San Jose Morelia Nava</v>
      </c>
      <c r="E175" s="8" t="str">
        <f>IF('[1]P-GENERAL'!E175="","",'[1]P-GENERAL'!E175)</f>
        <v>S-MTY</v>
      </c>
      <c r="F175" s="12">
        <f>IF('[1]P-GENERAL'!F175="","",'[1]P-GENERAL'!F175)</f>
        <v>480</v>
      </c>
      <c r="G175" s="13">
        <f>IF('[1]P-GENERAL'!G175="","",'[1]P-GENERAL'!G175)</f>
        <v>10</v>
      </c>
      <c r="H175" s="14">
        <f>IF('[1]P-GENERAL'!H175="","",'[1]P-GENERAL'!H175)</f>
        <v>46273</v>
      </c>
      <c r="I175">
        <f>IF('[1]P-GENERAL'!I175="","",'[1]P-GENERAL'!I175)</f>
        <v>37</v>
      </c>
      <c r="J175" s="15">
        <f>IF('[1]P-GENERAL'!J175="","",'[1]P-GENERAL'!J175)</f>
        <v>46281</v>
      </c>
      <c r="K175" s="14">
        <f>IF('[1]P-GENERAL'!K175="","",'[1]P-GENERAL'!K175)</f>
        <v>0.25</v>
      </c>
      <c r="L175" s="14" t="str">
        <f>IF('[1]P-GENERAL'!L175="","",'[1]P-GENERAL'!L175)</f>
        <v>PREENFRIO NELLY</v>
      </c>
      <c r="M175">
        <f>IF('[1]P-GENERAL'!M175="","",'[1]P-GENERAL'!M175)</f>
        <v>3</v>
      </c>
      <c r="N175">
        <f>IF('[1]P-GENERAL'!N175="","",'[1]P-GENERAL'!N175)</f>
        <v>72</v>
      </c>
      <c r="O175" s="14">
        <f>IF('[1]P-GENERAL'!O175="","",'[1]P-GENERAL'!O175)</f>
        <v>46275</v>
      </c>
      <c r="P175" s="16">
        <f>IF('[1]P-GENERAL'!P175="","",'[1]P-GENERAL'!P175)</f>
        <v>4.583333333333333E-2</v>
      </c>
      <c r="Q175" t="str">
        <f>IF('[1]P-GENERAL'!Q175="","",'[1]P-GENERAL'!Q175)</f>
        <v>NORMAL</v>
      </c>
      <c r="R175" s="14">
        <f>IF('[1]P-GENERAL'!R175="","",'[1]P-GENERAL'!R175)</f>
        <v>46275</v>
      </c>
      <c r="S175" s="16">
        <f>IF('[1]P-GENERAL'!S175="","",'[1]P-GENERAL'!S175)</f>
        <v>0.95833333333333337</v>
      </c>
      <c r="T175" s="16">
        <f>IF('[1]P-GENERAL'!T175="","",'[1]P-GENERAL'!T175)</f>
        <v>0.4375</v>
      </c>
      <c r="U175" s="17">
        <f>IF('[1]P-GENERAL'!U175="","",'[1]P-GENERAL'!U175)</f>
        <v>46276.395833333336</v>
      </c>
      <c r="V175" s="14">
        <f>IF('[1]P-GENERAL'!V175="","",'[1]P-GENERAL'!V175)</f>
        <v>46276</v>
      </c>
      <c r="W175" s="16">
        <f>IF('[1]P-GENERAL'!W175="","",'[1]P-GENERAL'!W175)</f>
        <v>0.7680555555555556</v>
      </c>
      <c r="X175" s="14" t="str">
        <f>IF('[1]P-GENERAL'!X175="","",'[1]P-GENERAL'!X175)</f>
        <v>SI CUMPLE</v>
      </c>
      <c r="Y175" s="14" t="str">
        <f>IF('[1]P-GENERAL'!Y175="","",'[1]P-GENERAL'!Y175)</f>
        <v>SI CUMPLE</v>
      </c>
      <c r="Z175" s="14" t="str">
        <f>IF('[1]P-GENERAL'!Z175="","",'[1]P-GENERAL'!Z175)</f>
        <v/>
      </c>
      <c r="AA175" s="14" t="str">
        <f>IF('[1]P-GENERAL'!AA175="","",'[1]P-GENERAL'!AA175)</f>
        <v>DESPACHADO</v>
      </c>
      <c r="AB175" s="8" t="str">
        <f>IF('[1]P-GENERAL'!AB175="","",'[1]P-GENERAL'!AB175)</f>
        <v>AUTO EXPRESS SEGOVIA</v>
      </c>
      <c r="AC175" s="8" t="str">
        <f>IF('[1]P-GENERAL'!AC175="","",'[1]P-GENERAL'!AC175)</f>
        <v>MAURILIO LEON</v>
      </c>
      <c r="AD175">
        <f>IF('[1]P-GENERAL'!AD175="","",'[1]P-GENERAL'!AD175)</f>
        <v>86127</v>
      </c>
      <c r="AE175" t="str">
        <f>IF('[1]P-GENERAL'!AE175="","",'[1]P-GENERAL'!AE175)</f>
        <v>QCH1W04D40</v>
      </c>
    </row>
    <row r="176" spans="1:31" ht="20.25" x14ac:dyDescent="0.3">
      <c r="A176" s="11" t="str">
        <f>IF('[1]P-GENERAL'!A176="","",'[1]P-GENERAL'!A176)</f>
        <v>Chanitos Plantain 20Kg Tarima Chep</v>
      </c>
      <c r="B176" s="11" t="str">
        <f>IF('[1]P-GENERAL'!B176="","",'[1]P-GENERAL'!B176)</f>
        <v>CPL08141</v>
      </c>
      <c r="C176" t="str">
        <f>IF('[1]P-GENERAL'!C176="","",'[1]P-GENERAL'!C176)</f>
        <v/>
      </c>
      <c r="D176" t="str">
        <f>IF('[1]P-GENERAL'!D176="","",'[1]P-GENERAL'!D176)</f>
        <v>A41 100 Doña Lupe JV</v>
      </c>
      <c r="E176" s="8" t="str">
        <f>IF('[1]P-GENERAL'!E176="","",'[1]P-GENERAL'!E176)</f>
        <v>CEDA</v>
      </c>
      <c r="F176" s="12">
        <f>IF('[1]P-GENERAL'!F176="","",'[1]P-GENERAL'!F176)</f>
        <v>144</v>
      </c>
      <c r="G176" s="13">
        <f>IF('[1]P-GENERAL'!G176="","",'[1]P-GENERAL'!G176)</f>
        <v>3</v>
      </c>
      <c r="H176" s="14">
        <f>IF('[1]P-GENERAL'!H176="","",'[1]P-GENERAL'!H176)</f>
        <v>46273</v>
      </c>
      <c r="I176">
        <f>IF('[1]P-GENERAL'!I176="","",'[1]P-GENERAL'!I176)</f>
        <v>37</v>
      </c>
      <c r="J176" s="15">
        <f>IF('[1]P-GENERAL'!J176="","",'[1]P-GENERAL'!J176)</f>
        <v>46280</v>
      </c>
      <c r="K176" s="14" t="str">
        <f>IF('[1]P-GENERAL'!K176="","",'[1]P-GENERAL'!K176)</f>
        <v/>
      </c>
      <c r="L176" s="14" t="str">
        <f>IF('[1]P-GENERAL'!L176="","",'[1]P-GENERAL'!L176)</f>
        <v>PREENFRIO FORTALEZA</v>
      </c>
      <c r="M176">
        <f>IF('[1]P-GENERAL'!M176="","",'[1]P-GENERAL'!M176)</f>
        <v>1.5</v>
      </c>
      <c r="N176">
        <f>IF('[1]P-GENERAL'!N176="","",'[1]P-GENERAL'!N176)</f>
        <v>36</v>
      </c>
      <c r="O176" s="14">
        <f>IF('[1]P-GENERAL'!O176="","",'[1]P-GENERAL'!O176)</f>
        <v>46273</v>
      </c>
      <c r="P176" s="16">
        <f>IF('[1]P-GENERAL'!P176="","",'[1]P-GENERAL'!P176)</f>
        <v>0.83333333333333337</v>
      </c>
      <c r="Q176" t="str">
        <f>IF('[1]P-GENERAL'!Q176="","",'[1]P-GENERAL'!Q176)</f>
        <v>NORMAL</v>
      </c>
      <c r="R176" s="14">
        <f>IF('[1]P-GENERAL'!R176="","",'[1]P-GENERAL'!R176)</f>
        <v>46274</v>
      </c>
      <c r="S176" s="16">
        <f>IF('[1]P-GENERAL'!S176="","",'[1]P-GENERAL'!S176)</f>
        <v>0.29583333333333334</v>
      </c>
      <c r="T176" s="16">
        <f>IF('[1]P-GENERAL'!T176="","",'[1]P-GENERAL'!T176)</f>
        <v>0.20833333333333334</v>
      </c>
      <c r="U176" s="17">
        <f>IF('[1]P-GENERAL'!U176="","",'[1]P-GENERAL'!U176)</f>
        <v>46274.504166666666</v>
      </c>
      <c r="V176" s="14">
        <f>IF('[1]P-GENERAL'!V176="","",'[1]P-GENERAL'!V176)</f>
        <v>46274</v>
      </c>
      <c r="W176" s="16">
        <f>IF('[1]P-GENERAL'!W176="","",'[1]P-GENERAL'!W176)</f>
        <v>0.78472222222222221</v>
      </c>
      <c r="X176" s="14" t="str">
        <f>IF('[1]P-GENERAL'!X176="","",'[1]P-GENERAL'!X176)</f>
        <v>SI CUMPLE</v>
      </c>
      <c r="Y176" s="14" t="str">
        <f>IF('[1]P-GENERAL'!Y176="","",'[1]P-GENERAL'!Y176)</f>
        <v>SI CUMPLE</v>
      </c>
      <c r="Z176" s="14" t="str">
        <f>IF('[1]P-GENERAL'!Z176="","",'[1]P-GENERAL'!Z176)</f>
        <v/>
      </c>
      <c r="AA176" s="14" t="str">
        <f>IF('[1]P-GENERAL'!AA176="","",'[1]P-GENERAL'!AA176)</f>
        <v>DESPACHADO</v>
      </c>
      <c r="AB176" s="8" t="str">
        <f>IF('[1]P-GENERAL'!AB176="","",'[1]P-GENERAL'!AB176)</f>
        <v>GENARO IBAÑEZ</v>
      </c>
      <c r="AC176" s="8" t="str">
        <f>IF('[1]P-GENERAL'!AC176="","",'[1]P-GENERAL'!AC176)</f>
        <v>VICENTE SANCHEZ</v>
      </c>
      <c r="AD176">
        <f>IF('[1]P-GENERAL'!AD176="","",'[1]P-GENERAL'!AD176)</f>
        <v>53355</v>
      </c>
      <c r="AE176" t="str">
        <f>IF('[1]P-GENERAL'!AE176="","",'[1]P-GENERAL'!AE176)</f>
        <v>N/A</v>
      </c>
    </row>
    <row r="177" spans="1:31" ht="20.25" x14ac:dyDescent="0.3">
      <c r="A177" s="11" t="str">
        <f>IF('[1]P-GENERAL'!A177="","",'[1]P-GENERAL'!A177)</f>
        <v>Chanitos Premium Tarima Chep</v>
      </c>
      <c r="B177" s="11" t="str">
        <f>IF('[1]P-GENERAL'!B177="","",'[1]P-GENERAL'!B177)</f>
        <v>CPR01102</v>
      </c>
      <c r="C177" t="str">
        <f>IF('[1]P-GENERAL'!C177="","",'[1]P-GENERAL'!C177)</f>
        <v>A01001-371009-1</v>
      </c>
      <c r="D177" t="str">
        <f>IF('[1]P-GENERAL'!D177="","",'[1]P-GENERAL'!D177)</f>
        <v>A01 001 Marbella</v>
      </c>
      <c r="E177" s="8" t="str">
        <f>IF('[1]P-GENERAL'!E177="","",'[1]P-GENERAL'!E177)</f>
        <v>Chalco</v>
      </c>
      <c r="F177" s="12">
        <f>IF('[1]P-GENERAL'!F177="","",'[1]P-GENERAL'!F177)</f>
        <v>1104</v>
      </c>
      <c r="G177" s="13">
        <f>IF('[1]P-GENERAL'!G177="","",'[1]P-GENERAL'!G177)</f>
        <v>23</v>
      </c>
      <c r="H177" s="14">
        <f>IF('[1]P-GENERAL'!H177="","",'[1]P-GENERAL'!H177)</f>
        <v>46275</v>
      </c>
      <c r="I177">
        <f>IF('[1]P-GENERAL'!I177="","",'[1]P-GENERAL'!I177)</f>
        <v>37</v>
      </c>
      <c r="J177" s="15">
        <f>IF('[1]P-GENERAL'!J177="","",'[1]P-GENERAL'!J177)</f>
        <v>46280</v>
      </c>
      <c r="K177" s="14" t="str">
        <f>IF('[1]P-GENERAL'!K177="","",'[1]P-GENERAL'!K177)</f>
        <v/>
      </c>
      <c r="L177" s="14" t="str">
        <f>IF('[1]P-GENERAL'!L177="","",'[1]P-GENERAL'!L177)</f>
        <v>PREENFRIO FORTALEZA</v>
      </c>
      <c r="M177">
        <f>IF('[1]P-GENERAL'!M177="","",'[1]P-GENERAL'!M177)</f>
        <v>1</v>
      </c>
      <c r="N177">
        <f>IF('[1]P-GENERAL'!N177="","",'[1]P-GENERAL'!N177)</f>
        <v>24</v>
      </c>
      <c r="O177" s="14">
        <f>IF('[1]P-GENERAL'!O177="","",'[1]P-GENERAL'!O177)</f>
        <v>46275</v>
      </c>
      <c r="P177" s="16">
        <f>IF('[1]P-GENERAL'!P177="","",'[1]P-GENERAL'!P177)</f>
        <v>0.73958333333333337</v>
      </c>
      <c r="Q177" t="str">
        <f>IF('[1]P-GENERAL'!Q177="","",'[1]P-GENERAL'!Q177)</f>
        <v>NORMAL</v>
      </c>
      <c r="R177" s="14">
        <f>IF('[1]P-GENERAL'!R177="","",'[1]P-GENERAL'!R177)</f>
        <v>46276</v>
      </c>
      <c r="S177" s="16">
        <f>IF('[1]P-GENERAL'!S177="","",'[1]P-GENERAL'!S177)</f>
        <v>0.71458333333333335</v>
      </c>
      <c r="T177" s="16">
        <f>IF('[1]P-GENERAL'!T177="","",'[1]P-GENERAL'!T177)</f>
        <v>0.625</v>
      </c>
      <c r="U177" s="17">
        <f>IF('[1]P-GENERAL'!U177="","",'[1]P-GENERAL'!U177)</f>
        <v>46277.339583333334</v>
      </c>
      <c r="V177" s="14">
        <f>IF('[1]P-GENERAL'!V177="","",'[1]P-GENERAL'!V177)</f>
        <v>46277</v>
      </c>
      <c r="W177" s="16">
        <f>IF('[1]P-GENERAL'!W177="","",'[1]P-GENERAL'!W177)</f>
        <v>0.3888888888888889</v>
      </c>
      <c r="X177" s="14" t="str">
        <f>IF('[1]P-GENERAL'!X177="","",'[1]P-GENERAL'!X177)</f>
        <v>SI CUMPLE</v>
      </c>
      <c r="Y177" s="14" t="str">
        <f>IF('[1]P-GENERAL'!Y177="","",'[1]P-GENERAL'!Y177)</f>
        <v>SI CUMPLE</v>
      </c>
      <c r="Z177" s="14" t="str">
        <f>IF('[1]P-GENERAL'!Z177="","",'[1]P-GENERAL'!Z177)</f>
        <v/>
      </c>
      <c r="AA177" s="14" t="str">
        <f>IF('[1]P-GENERAL'!AA177="","",'[1]P-GENERAL'!AA177)</f>
        <v>DESPACHADO</v>
      </c>
      <c r="AB177" s="8" t="str">
        <f>IF('[1]P-GENERAL'!AB177="","",'[1]P-GENERAL'!AB177)</f>
        <v>MARIO ALFONSO GARCIA</v>
      </c>
      <c r="AC177" s="8" t="str">
        <f>IF('[1]P-GENERAL'!AC177="","",'[1]P-GENERAL'!AC177)</f>
        <v>EDGAR ALI</v>
      </c>
      <c r="AD177">
        <f>IF('[1]P-GENERAL'!AD177="","",'[1]P-GENERAL'!AD177)</f>
        <v>78627</v>
      </c>
      <c r="AE177" t="str">
        <f>IF('[1]P-GENERAL'!AE177="","",'[1]P-GENERAL'!AE177)</f>
        <v>QCH1W049K0</v>
      </c>
    </row>
    <row r="178" spans="1:31" ht="20.25" x14ac:dyDescent="0.3">
      <c r="A178" s="11" t="str">
        <f>IF('[1]P-GENERAL'!A178="","",'[1]P-GENERAL'!A178)</f>
        <v>Platano de Chiapas BAE UPC 3237</v>
      </c>
      <c r="B178" s="11" t="str">
        <f>IF('[1]P-GENERAL'!B178="","",'[1]P-GENERAL'!B178)</f>
        <v>CPR01114</v>
      </c>
      <c r="C178" t="str">
        <f>IF('[1]P-GENERAL'!C178="","",'[1]P-GENERAL'!C178)</f>
        <v>A01002-371009-1</v>
      </c>
      <c r="D178" t="str">
        <f>IF('[1]P-GENERAL'!D178="","",'[1]P-GENERAL'!D178)</f>
        <v>A01 002 Fortaleza</v>
      </c>
      <c r="E178" s="8" t="str">
        <f>IF('[1]P-GENERAL'!E178="","",'[1]P-GENERAL'!E178)</f>
        <v>Chalco</v>
      </c>
      <c r="F178" s="12">
        <f>IF('[1]P-GENERAL'!F178="","",'[1]P-GENERAL'!F178)</f>
        <v>48</v>
      </c>
      <c r="G178" s="13">
        <f>IF('[1]P-GENERAL'!G178="","",'[1]P-GENERAL'!G178)</f>
        <v>1</v>
      </c>
      <c r="H178" s="14">
        <f>IF('[1]P-GENERAL'!H178="","",'[1]P-GENERAL'!H178)</f>
        <v>46275</v>
      </c>
      <c r="I178">
        <f>IF('[1]P-GENERAL'!I178="","",'[1]P-GENERAL'!I178)</f>
        <v>37</v>
      </c>
      <c r="J178" s="15">
        <f>IF('[1]P-GENERAL'!J178="","",'[1]P-GENERAL'!J178)</f>
        <v>46280</v>
      </c>
      <c r="K178" s="14" t="str">
        <f>IF('[1]P-GENERAL'!K178="","",'[1]P-GENERAL'!K178)</f>
        <v/>
      </c>
      <c r="L178" s="14" t="str">
        <f>IF('[1]P-GENERAL'!L178="","",'[1]P-GENERAL'!L178)</f>
        <v>PREENFRIO FORTALEZA</v>
      </c>
      <c r="M178">
        <f>IF('[1]P-GENERAL'!M178="","",'[1]P-GENERAL'!M178)</f>
        <v>1</v>
      </c>
      <c r="N178">
        <f>IF('[1]P-GENERAL'!N178="","",'[1]P-GENERAL'!N178)</f>
        <v>24</v>
      </c>
      <c r="O178" s="14">
        <f>IF('[1]P-GENERAL'!O178="","",'[1]P-GENERAL'!O178)</f>
        <v>46275</v>
      </c>
      <c r="P178" s="16">
        <f>IF('[1]P-GENERAL'!P178="","",'[1]P-GENERAL'!P178)</f>
        <v>0.8208333333333333</v>
      </c>
      <c r="Q178" t="str">
        <f>IF('[1]P-GENERAL'!Q178="","",'[1]P-GENERAL'!Q178)</f>
        <v>NORMAL</v>
      </c>
      <c r="R178" s="14">
        <f>IF('[1]P-GENERAL'!R178="","",'[1]P-GENERAL'!R178)</f>
        <v>46276</v>
      </c>
      <c r="S178" s="16">
        <f>IF('[1]P-GENERAL'!S178="","",'[1]P-GENERAL'!S178)</f>
        <v>0.71458333333333335</v>
      </c>
      <c r="T178" s="16">
        <f>IF('[1]P-GENERAL'!T178="","",'[1]P-GENERAL'!T178)</f>
        <v>0.625</v>
      </c>
      <c r="U178" s="17">
        <f>IF('[1]P-GENERAL'!U178="","",'[1]P-GENERAL'!U178)</f>
        <v>46277.339583333334</v>
      </c>
      <c r="V178" s="14">
        <f>IF('[1]P-GENERAL'!V178="","",'[1]P-GENERAL'!V178)</f>
        <v>46277</v>
      </c>
      <c r="W178" s="16">
        <f>IF('[1]P-GENERAL'!W178="","",'[1]P-GENERAL'!W178)</f>
        <v>0.3888888888888889</v>
      </c>
      <c r="X178" s="14" t="str">
        <f>IF('[1]P-GENERAL'!X178="","",'[1]P-GENERAL'!X178)</f>
        <v>SI CUMPLE</v>
      </c>
      <c r="Y178" s="14" t="str">
        <f>IF('[1]P-GENERAL'!Y178="","",'[1]P-GENERAL'!Y178)</f>
        <v>SI CUMPLE</v>
      </c>
      <c r="Z178" s="14" t="str">
        <f>IF('[1]P-GENERAL'!Z178="","",'[1]P-GENERAL'!Z178)</f>
        <v/>
      </c>
      <c r="AA178" s="14" t="str">
        <f>IF('[1]P-GENERAL'!AA178="","",'[1]P-GENERAL'!AA178)</f>
        <v>DESPACHADO</v>
      </c>
      <c r="AB178" s="8" t="str">
        <f>IF('[1]P-GENERAL'!AB178="","",'[1]P-GENERAL'!AB178)</f>
        <v>MARIO ALFONSO GARCIA</v>
      </c>
      <c r="AC178" s="8" t="str">
        <f>IF('[1]P-GENERAL'!AC178="","",'[1]P-GENERAL'!AC178)</f>
        <v>EDGAR ALI</v>
      </c>
      <c r="AD178">
        <f>IF('[1]P-GENERAL'!AD178="","",'[1]P-GENERAL'!AD178)</f>
        <v>78627</v>
      </c>
      <c r="AE178" t="str">
        <f>IF('[1]P-GENERAL'!AE178="","",'[1]P-GENERAL'!AE178)</f>
        <v>QCH1W049K0</v>
      </c>
    </row>
    <row r="179" spans="1:31" ht="20.25" x14ac:dyDescent="0.3">
      <c r="A179" s="11" t="str">
        <f>IF('[1]P-GENERAL'!A179="","",'[1]P-GENERAL'!A179)</f>
        <v>Chanitos Premium EUA Tarima Americana</v>
      </c>
      <c r="B179" s="11" t="str">
        <f>IF('[1]P-GENERAL'!B179="","",'[1]P-GENERAL'!B179)</f>
        <v>CPR01104</v>
      </c>
      <c r="C179" t="str">
        <f>IF('[1]P-GENERAL'!C179="","",'[1]P-GENERAL'!C179)</f>
        <v>A04084-371009-1</v>
      </c>
      <c r="D179" t="str">
        <f>IF('[1]P-GENERAL'!D179="","",'[1]P-GENERAL'!D179)</f>
        <v>A04 084 Lisboa</v>
      </c>
      <c r="E179" s="8" t="str">
        <f>IF('[1]P-GENERAL'!E179="","",'[1]P-GENERAL'!E179)</f>
        <v>McAllen</v>
      </c>
      <c r="F179" s="12">
        <f>IF('[1]P-GENERAL'!F179="","",'[1]P-GENERAL'!F179)</f>
        <v>528</v>
      </c>
      <c r="G179" s="13">
        <f>IF('[1]P-GENERAL'!G179="","",'[1]P-GENERAL'!G179)</f>
        <v>11</v>
      </c>
      <c r="H179" s="14">
        <f>IF('[1]P-GENERAL'!H179="","",'[1]P-GENERAL'!H179)</f>
        <v>46275</v>
      </c>
      <c r="I179">
        <f>IF('[1]P-GENERAL'!I179="","",'[1]P-GENERAL'!I179)</f>
        <v>37</v>
      </c>
      <c r="J179" s="15">
        <f>IF('[1]P-GENERAL'!J179="","",'[1]P-GENERAL'!J179)</f>
        <v>46280</v>
      </c>
      <c r="K179" s="14" t="str">
        <f>IF('[1]P-GENERAL'!K179="","",'[1]P-GENERAL'!K179)</f>
        <v/>
      </c>
      <c r="L179" s="14" t="str">
        <f>IF('[1]P-GENERAL'!L179="","",'[1]P-GENERAL'!L179)</f>
        <v>PREENFRIO FORTALEZA</v>
      </c>
      <c r="M179">
        <f>IF('[1]P-GENERAL'!M179="","",'[1]P-GENERAL'!M179)</f>
        <v>3</v>
      </c>
      <c r="N179">
        <f>IF('[1]P-GENERAL'!N179="","",'[1]P-GENERAL'!N179)</f>
        <v>72</v>
      </c>
      <c r="O179" s="14" t="str">
        <f>IF('[1]P-GENERAL'!O179="","",'[1]P-GENERAL'!O179)</f>
        <v>PDT</v>
      </c>
      <c r="P179" s="16" t="str">
        <f>IF('[1]P-GENERAL'!P179="","",'[1]P-GENERAL'!P179)</f>
        <v/>
      </c>
      <c r="Q179" t="str">
        <f>IF('[1]P-GENERAL'!Q179="","",'[1]P-GENERAL'!Q179)</f>
        <v>NORMAL</v>
      </c>
      <c r="R179" s="14" t="str">
        <f>IF('[1]P-GENERAL'!R179="","",'[1]P-GENERAL'!R179)</f>
        <v/>
      </c>
      <c r="S179" s="16" t="str">
        <f>IF('[1]P-GENERAL'!S179="","",'[1]P-GENERAL'!S179)</f>
        <v/>
      </c>
      <c r="T179" s="16" t="str">
        <f>IF('[1]P-GENERAL'!T179="","",'[1]P-GENERAL'!T179)</f>
        <v/>
      </c>
      <c r="U179" s="17" t="str">
        <f>IF('[1]P-GENERAL'!U179="","",'[1]P-GENERAL'!U179)</f>
        <v/>
      </c>
      <c r="V179" s="14">
        <f>IF('[1]P-GENERAL'!V179="","",'[1]P-GENERAL'!V179)</f>
        <v>46277</v>
      </c>
      <c r="W179" s="16">
        <f>IF('[1]P-GENERAL'!W179="","",'[1]P-GENERAL'!W179)</f>
        <v>0.29166666666666669</v>
      </c>
      <c r="X179" s="14" t="str">
        <f>IF('[1]P-GENERAL'!X179="","",'[1]P-GENERAL'!X179)</f>
        <v/>
      </c>
      <c r="Y179" s="14" t="str">
        <f>IF('[1]P-GENERAL'!Y179="","",'[1]P-GENERAL'!Y179)</f>
        <v>NO CUMPLE</v>
      </c>
      <c r="Z179" s="14" t="str">
        <f>IF('[1]P-GENERAL'!Z179="","",'[1]P-GENERAL'!Z179)</f>
        <v/>
      </c>
      <c r="AA179" s="14" t="str">
        <f>IF('[1]P-GENERAL'!AA179="","",'[1]P-GENERAL'!AA179)</f>
        <v>DESPACHADO</v>
      </c>
      <c r="AB179" s="8" t="str">
        <f>IF('[1]P-GENERAL'!AB179="","",'[1]P-GENERAL'!AB179)</f>
        <v>AUTO EXPRESS SEGOVIA</v>
      </c>
      <c r="AC179" s="8" t="str">
        <f>IF('[1]P-GENERAL'!AC179="","",'[1]P-GENERAL'!AC179)</f>
        <v>CRISTIAN MOGEL VILLA</v>
      </c>
      <c r="AD179">
        <f>IF('[1]P-GENERAL'!AD179="","",'[1]P-GENERAL'!AD179)</f>
        <v>51227</v>
      </c>
      <c r="AE179" t="str">
        <f>IF('[1]P-GENERAL'!AE179="","",'[1]P-GENERAL'!AE179)</f>
        <v>QCH1W04740</v>
      </c>
    </row>
    <row r="180" spans="1:31" ht="20.25" x14ac:dyDescent="0.3">
      <c r="A180" s="11" t="str">
        <f>IF('[1]P-GENERAL'!A180="","",'[1]P-GENERAL'!A180)</f>
        <v>Chanitos Premium Tarima Americana</v>
      </c>
      <c r="B180" s="11" t="str">
        <f>IF('[1]P-GENERAL'!B180="","",'[1]P-GENERAL'!B180)</f>
        <v>CPR01103</v>
      </c>
      <c r="C180" t="str">
        <f>IF('[1]P-GENERAL'!C180="","",'[1]P-GENERAL'!C180)</f>
        <v/>
      </c>
      <c r="D180" t="str">
        <f>IF('[1]P-GENERAL'!D180="","",'[1]P-GENERAL'!D180)</f>
        <v>A04 039 San Jose Morelia Nava</v>
      </c>
      <c r="E180" s="8" t="str">
        <f>IF('[1]P-GENERAL'!E180="","",'[1]P-GENERAL'!E180)</f>
        <v>S-MTY</v>
      </c>
      <c r="F180" s="12">
        <f>IF('[1]P-GENERAL'!F180="","",'[1]P-GENERAL'!F180)</f>
        <v>288</v>
      </c>
      <c r="G180" s="13">
        <f>IF('[1]P-GENERAL'!G180="","",'[1]P-GENERAL'!G180)</f>
        <v>6</v>
      </c>
      <c r="H180" s="14">
        <f>IF('[1]P-GENERAL'!H180="","",'[1]P-GENERAL'!H180)</f>
        <v>46274</v>
      </c>
      <c r="I180">
        <f>IF('[1]P-GENERAL'!I180="","",'[1]P-GENERAL'!I180)</f>
        <v>37</v>
      </c>
      <c r="J180" s="15">
        <f>IF('[1]P-GENERAL'!J180="","",'[1]P-GENERAL'!J180)</f>
        <v>46281</v>
      </c>
      <c r="K180" s="14">
        <f>IF('[1]P-GENERAL'!K180="","",'[1]P-GENERAL'!K180)</f>
        <v>0.25</v>
      </c>
      <c r="L180" s="14" t="str">
        <f>IF('[1]P-GENERAL'!L180="","",'[1]P-GENERAL'!L180)</f>
        <v>PREENFRIO NELLY</v>
      </c>
      <c r="M180">
        <f>IF('[1]P-GENERAL'!M180="","",'[1]P-GENERAL'!M180)</f>
        <v>3</v>
      </c>
      <c r="N180">
        <f>IF('[1]P-GENERAL'!N180="","",'[1]P-GENERAL'!N180)</f>
        <v>72</v>
      </c>
      <c r="O180" s="14">
        <f>IF('[1]P-GENERAL'!O180="","",'[1]P-GENERAL'!O180)</f>
        <v>46275</v>
      </c>
      <c r="P180" s="16">
        <f>IF('[1]P-GENERAL'!P180="","",'[1]P-GENERAL'!P180)</f>
        <v>4.583333333333333E-2</v>
      </c>
      <c r="Q180" t="str">
        <f>IF('[1]P-GENERAL'!Q180="","",'[1]P-GENERAL'!Q180)</f>
        <v>NORMAL</v>
      </c>
      <c r="R180" s="14">
        <f>IF('[1]P-GENERAL'!R180="","",'[1]P-GENERAL'!R180)</f>
        <v>46276</v>
      </c>
      <c r="S180" s="16">
        <f>IF('[1]P-GENERAL'!S180="","",'[1]P-GENERAL'!S180)</f>
        <v>0.95833333333333337</v>
      </c>
      <c r="T180" s="16">
        <f>IF('[1]P-GENERAL'!T180="","",'[1]P-GENERAL'!T180)</f>
        <v>0.4375</v>
      </c>
      <c r="U180" s="17">
        <f>IF('[1]P-GENERAL'!U180="","",'[1]P-GENERAL'!U180)</f>
        <v>46277.395833333336</v>
      </c>
      <c r="V180" s="14">
        <f>IF('[1]P-GENERAL'!V180="","",'[1]P-GENERAL'!V180)</f>
        <v>46276</v>
      </c>
      <c r="W180" s="16">
        <f>IF('[1]P-GENERAL'!W180="","",'[1]P-GENERAL'!W180)</f>
        <v>0.7680555555555556</v>
      </c>
      <c r="X180" s="14" t="str">
        <f>IF('[1]P-GENERAL'!X180="","",'[1]P-GENERAL'!X180)</f>
        <v>SI CUMPLE</v>
      </c>
      <c r="Y180" s="14" t="str">
        <f>IF('[1]P-GENERAL'!Y180="","",'[1]P-GENERAL'!Y180)</f>
        <v>SI CUMPLE</v>
      </c>
      <c r="Z180" s="14" t="str">
        <f>IF('[1]P-GENERAL'!Z180="","",'[1]P-GENERAL'!Z180)</f>
        <v/>
      </c>
      <c r="AA180" s="14" t="str">
        <f>IF('[1]P-GENERAL'!AA180="","",'[1]P-GENERAL'!AA180)</f>
        <v>DESPACHADO</v>
      </c>
      <c r="AB180" s="8" t="str">
        <f>IF('[1]P-GENERAL'!AB180="","",'[1]P-GENERAL'!AB180)</f>
        <v>AUTO EXPRESS SEGOVIA</v>
      </c>
      <c r="AC180" s="8" t="str">
        <f>IF('[1]P-GENERAL'!AC180="","",'[1]P-GENERAL'!AC180)</f>
        <v>MAURILIO LEON</v>
      </c>
      <c r="AD180">
        <f>IF('[1]P-GENERAL'!AD180="","",'[1]P-GENERAL'!AD180)</f>
        <v>86127</v>
      </c>
      <c r="AE180" t="str">
        <f>IF('[1]P-GENERAL'!AE180="","",'[1]P-GENERAL'!AE180)</f>
        <v>QCH1W04D40</v>
      </c>
    </row>
    <row r="181" spans="1:31" ht="20.25" x14ac:dyDescent="0.3">
      <c r="A181" s="11" t="str">
        <f>IF('[1]P-GENERAL'!A181="","",'[1]P-GENERAL'!A181)</f>
        <v>Chanitos Plantain 50lb Tarima Americana</v>
      </c>
      <c r="B181" s="11" t="str">
        <f>IF('[1]P-GENERAL'!B181="","",'[1]P-GENERAL'!B181)</f>
        <v>CPL08133</v>
      </c>
      <c r="C181" t="str">
        <f>IF('[1]P-GENERAL'!C181="","",'[1]P-GENERAL'!C181)</f>
        <v>A27073-371109-1</v>
      </c>
      <c r="D181" t="str">
        <f>IF('[1]P-GENERAL'!D181="","",'[1]P-GENERAL'!D181)</f>
        <v>Plantacion</v>
      </c>
      <c r="E181" s="8" t="str">
        <f>IF('[1]P-GENERAL'!E181="","",'[1]P-GENERAL'!E181)</f>
        <v>McAllen</v>
      </c>
      <c r="F181" s="12">
        <f>IF('[1]P-GENERAL'!F181="","",'[1]P-GENERAL'!F181)</f>
        <v>144</v>
      </c>
      <c r="G181" s="13">
        <f>IF('[1]P-GENERAL'!G181="","",'[1]P-GENERAL'!G181)</f>
        <v>3</v>
      </c>
      <c r="H181" s="14">
        <f>IF('[1]P-GENERAL'!H181="","",'[1]P-GENERAL'!H181)</f>
        <v>46276</v>
      </c>
      <c r="I181">
        <f>IF('[1]P-GENERAL'!I181="","",'[1]P-GENERAL'!I181)</f>
        <v>37</v>
      </c>
      <c r="J181" s="15">
        <f>IF('[1]P-GENERAL'!J181="","",'[1]P-GENERAL'!J181)</f>
        <v>46280</v>
      </c>
      <c r="K181" s="14" t="str">
        <f>IF('[1]P-GENERAL'!K181="","",'[1]P-GENERAL'!K181)</f>
        <v/>
      </c>
      <c r="L181" s="14" t="str">
        <f>IF('[1]P-GENERAL'!L181="","",'[1]P-GENERAL'!L181)</f>
        <v>PREENFRIO FORTALEZA</v>
      </c>
      <c r="M181">
        <f>IF('[1]P-GENERAL'!M181="","",'[1]P-GENERAL'!M181)</f>
        <v>3</v>
      </c>
      <c r="N181">
        <f>IF('[1]P-GENERAL'!N181="","",'[1]P-GENERAL'!N181)</f>
        <v>72</v>
      </c>
      <c r="O181" s="14">
        <f>IF('[1]P-GENERAL'!O181="","",'[1]P-GENERAL'!O181)</f>
        <v>46277</v>
      </c>
      <c r="P181" s="16">
        <f>IF('[1]P-GENERAL'!P181="","",'[1]P-GENERAL'!P181)</f>
        <v>0.69236111111111109</v>
      </c>
      <c r="Q181" t="str">
        <f>IF('[1]P-GENERAL'!Q181="","",'[1]P-GENERAL'!Q181)</f>
        <v>NORMAL</v>
      </c>
      <c r="R181" s="14">
        <f>IF('[1]P-GENERAL'!R181="","",'[1]P-GENERAL'!R181)</f>
        <v>46278</v>
      </c>
      <c r="S181" s="16">
        <f>IF('[1]P-GENERAL'!S181="","",'[1]P-GENERAL'!S181)</f>
        <v>7.6388888888888886E-3</v>
      </c>
      <c r="T181" s="16">
        <f>IF('[1]P-GENERAL'!T181="","",'[1]P-GENERAL'!T181)</f>
        <v>0.25</v>
      </c>
      <c r="U181" s="17">
        <f>IF('[1]P-GENERAL'!U181="","",'[1]P-GENERAL'!U181)</f>
        <v>46278.257638888892</v>
      </c>
      <c r="V181" s="14">
        <f>IF('[1]P-GENERAL'!V181="","",'[1]P-GENERAL'!V181)</f>
        <v>46278</v>
      </c>
      <c r="W181" s="16">
        <f>IF('[1]P-GENERAL'!W181="","",'[1]P-GENERAL'!W181)</f>
        <v>0.21666666666666667</v>
      </c>
      <c r="X181" s="14" t="str">
        <f>IF('[1]P-GENERAL'!X181="","",'[1]P-GENERAL'!X181)</f>
        <v>NO CUMPLE</v>
      </c>
      <c r="Y181" s="14" t="str">
        <f>IF('[1]P-GENERAL'!Y181="","",'[1]P-GENERAL'!Y181)</f>
        <v>NO CUMPLE</v>
      </c>
      <c r="Z181" s="14" t="str">
        <f>IF('[1]P-GENERAL'!Z181="","",'[1]P-GENERAL'!Z181)</f>
        <v/>
      </c>
      <c r="AA181" s="14" t="str">
        <f>IF('[1]P-GENERAL'!AA181="","",'[1]P-GENERAL'!AA181)</f>
        <v>DESPACHADO</v>
      </c>
      <c r="AB181" s="8" t="str">
        <f>IF('[1]P-GENERAL'!AB181="","",'[1]P-GENERAL'!AB181)</f>
        <v>TRANSPORTES ASE</v>
      </c>
      <c r="AC181" s="8" t="str">
        <f>IF('[1]P-GENERAL'!AC181="","",'[1]P-GENERAL'!AC181)</f>
        <v>FILEMON CRUZ LUNA</v>
      </c>
      <c r="AD181">
        <f>IF('[1]P-GENERAL'!AD181="","",'[1]P-GENERAL'!AD181)</f>
        <v>84756</v>
      </c>
      <c r="AE181" t="str">
        <f>IF('[1]P-GENERAL'!AE181="","",'[1]P-GENERAL'!AE181)</f>
        <v>N/A</v>
      </c>
    </row>
    <row r="182" spans="1:31" ht="20.25" x14ac:dyDescent="0.3">
      <c r="A182" s="11" t="str">
        <f>IF('[1]P-GENERAL'!A182="","",'[1]P-GENERAL'!A182)</f>
        <v>Chanitos Premium EUA Tarima Americana</v>
      </c>
      <c r="B182" s="11" t="str">
        <f>IF('[1]P-GENERAL'!B182="","",'[1]P-GENERAL'!B182)</f>
        <v>CPR01104</v>
      </c>
      <c r="C182" t="str">
        <f>IF('[1]P-GENERAL'!C182="","",'[1]P-GENERAL'!C182)</f>
        <v>A04084-371109-1</v>
      </c>
      <c r="D182" t="str">
        <f>IF('[1]P-GENERAL'!D182="","",'[1]P-GENERAL'!D182)</f>
        <v>A04 084 Lisboa</v>
      </c>
      <c r="E182" s="8" t="str">
        <f>IF('[1]P-GENERAL'!E182="","",'[1]P-GENERAL'!E182)</f>
        <v>McAllen</v>
      </c>
      <c r="F182" s="12">
        <f>IF('[1]P-GENERAL'!F182="","",'[1]P-GENERAL'!F182)</f>
        <v>432</v>
      </c>
      <c r="G182" s="13">
        <f>IF('[1]P-GENERAL'!G182="","",'[1]P-GENERAL'!G182)</f>
        <v>9</v>
      </c>
      <c r="H182" s="14">
        <f>IF('[1]P-GENERAL'!H182="","",'[1]P-GENERAL'!H182)</f>
        <v>46276</v>
      </c>
      <c r="I182">
        <f>IF('[1]P-GENERAL'!I182="","",'[1]P-GENERAL'!I182)</f>
        <v>37</v>
      </c>
      <c r="J182" s="15">
        <f>IF('[1]P-GENERAL'!J182="","",'[1]P-GENERAL'!J182)</f>
        <v>46280</v>
      </c>
      <c r="K182" s="14" t="str">
        <f>IF('[1]P-GENERAL'!K182="","",'[1]P-GENERAL'!K182)</f>
        <v/>
      </c>
      <c r="L182" s="14" t="str">
        <f>IF('[1]P-GENERAL'!L182="","",'[1]P-GENERAL'!L182)</f>
        <v>PREENFRIO FORTALEZA</v>
      </c>
      <c r="M182">
        <f>IF('[1]P-GENERAL'!M182="","",'[1]P-GENERAL'!M182)</f>
        <v>3</v>
      </c>
      <c r="N182">
        <f>IF('[1]P-GENERAL'!N182="","",'[1]P-GENERAL'!N182)</f>
        <v>72</v>
      </c>
      <c r="O182" s="14" t="str">
        <f>IF('[1]P-GENERAL'!O182="","",'[1]P-GENERAL'!O182)</f>
        <v>PDT</v>
      </c>
      <c r="P182" s="16" t="str">
        <f>IF('[1]P-GENERAL'!P182="","",'[1]P-GENERAL'!P182)</f>
        <v/>
      </c>
      <c r="Q182" t="str">
        <f>IF('[1]P-GENERAL'!Q182="","",'[1]P-GENERAL'!Q182)</f>
        <v>NORMAL</v>
      </c>
      <c r="R182" s="14" t="str">
        <f>IF('[1]P-GENERAL'!R182="","",'[1]P-GENERAL'!R182)</f>
        <v/>
      </c>
      <c r="S182" s="16" t="str">
        <f>IF('[1]P-GENERAL'!S182="","",'[1]P-GENERAL'!S182)</f>
        <v/>
      </c>
      <c r="T182" s="16" t="str">
        <f>IF('[1]P-GENERAL'!T182="","",'[1]P-GENERAL'!T182)</f>
        <v/>
      </c>
      <c r="U182" s="17" t="str">
        <f>IF('[1]P-GENERAL'!U182="","",'[1]P-GENERAL'!U182)</f>
        <v/>
      </c>
      <c r="V182" s="14">
        <f>IF('[1]P-GENERAL'!V182="","",'[1]P-GENERAL'!V182)</f>
        <v>46277</v>
      </c>
      <c r="W182" s="16">
        <f>IF('[1]P-GENERAL'!W182="","",'[1]P-GENERAL'!W182)</f>
        <v>0.29166666666666669</v>
      </c>
      <c r="X182" s="14" t="str">
        <f>IF('[1]P-GENERAL'!X182="","",'[1]P-GENERAL'!X182)</f>
        <v/>
      </c>
      <c r="Y182" s="14" t="str">
        <f>IF('[1]P-GENERAL'!Y182="","",'[1]P-GENERAL'!Y182)</f>
        <v>NO CUMPLE</v>
      </c>
      <c r="Z182" s="14" t="str">
        <f>IF('[1]P-GENERAL'!Z182="","",'[1]P-GENERAL'!Z182)</f>
        <v/>
      </c>
      <c r="AA182" s="14" t="str">
        <f>IF('[1]P-GENERAL'!AA182="","",'[1]P-GENERAL'!AA182)</f>
        <v>DESPACHADO</v>
      </c>
      <c r="AB182" s="8" t="str">
        <f>IF('[1]P-GENERAL'!AB182="","",'[1]P-GENERAL'!AB182)</f>
        <v>AUTO EXPRESS SEGOVIA</v>
      </c>
      <c r="AC182" s="8" t="str">
        <f>IF('[1]P-GENERAL'!AC182="","",'[1]P-GENERAL'!AC182)</f>
        <v>CRISTIAN MOGEL VILLA</v>
      </c>
      <c r="AD182">
        <f>IF('[1]P-GENERAL'!AD182="","",'[1]P-GENERAL'!AD182)</f>
        <v>51227</v>
      </c>
      <c r="AE182" t="str">
        <f>IF('[1]P-GENERAL'!AE182="","",'[1]P-GENERAL'!AE182)</f>
        <v>QCH1W04740</v>
      </c>
    </row>
    <row r="183" spans="1:31" ht="20.25" x14ac:dyDescent="0.3">
      <c r="A183" s="11" t="str">
        <f>IF('[1]P-GENERAL'!A183="","",'[1]P-GENERAL'!A183)</f>
        <v>Chanitos Premium Tarima Americana</v>
      </c>
      <c r="B183" s="11" t="str">
        <f>IF('[1]P-GENERAL'!B183="","",'[1]P-GENERAL'!B183)</f>
        <v>CPR01103</v>
      </c>
      <c r="C183" t="str">
        <f>IF('[1]P-GENERAL'!C183="","",'[1]P-GENERAL'!C183)</f>
        <v>A01003-371009-1</v>
      </c>
      <c r="D183" t="str">
        <f>IF('[1]P-GENERAL'!D183="","",'[1]P-GENERAL'!D183)</f>
        <v>A01 003 Doña Nelly</v>
      </c>
      <c r="E183" s="8" t="str">
        <f>IF('[1]P-GENERAL'!E183="","",'[1]P-GENERAL'!E183)</f>
        <v>S-MTY</v>
      </c>
      <c r="F183" s="12">
        <f>IF('[1]P-GENERAL'!F183="","",'[1]P-GENERAL'!F183)</f>
        <v>192</v>
      </c>
      <c r="G183" s="13">
        <f>IF('[1]P-GENERAL'!G183="","",'[1]P-GENERAL'!G183)</f>
        <v>4</v>
      </c>
      <c r="H183" s="14">
        <f>IF('[1]P-GENERAL'!H183="","",'[1]P-GENERAL'!H183)</f>
        <v>46275</v>
      </c>
      <c r="I183">
        <f>IF('[1]P-GENERAL'!I183="","",'[1]P-GENERAL'!I183)</f>
        <v>37</v>
      </c>
      <c r="J183" s="15">
        <f>IF('[1]P-GENERAL'!J183="","",'[1]P-GENERAL'!J183)</f>
        <v>46281</v>
      </c>
      <c r="K183" s="14">
        <f>IF('[1]P-GENERAL'!K183="","",'[1]P-GENERAL'!K183)</f>
        <v>0.25</v>
      </c>
      <c r="L183" s="14" t="str">
        <f>IF('[1]P-GENERAL'!L183="","",'[1]P-GENERAL'!L183)</f>
        <v>PREENFRIO NELLY</v>
      </c>
      <c r="M183">
        <f>IF('[1]P-GENERAL'!M183="","",'[1]P-GENERAL'!M183)</f>
        <v>3</v>
      </c>
      <c r="N183">
        <f>IF('[1]P-GENERAL'!N183="","",'[1]P-GENERAL'!N183)</f>
        <v>72</v>
      </c>
      <c r="O183" s="14">
        <f>IF('[1]P-GENERAL'!O183="","",'[1]P-GENERAL'!O183)</f>
        <v>46275</v>
      </c>
      <c r="P183" s="16">
        <f>IF('[1]P-GENERAL'!P183="","",'[1]P-GENERAL'!P183)</f>
        <v>0.77083333333333337</v>
      </c>
      <c r="Q183" t="str">
        <f>IF('[1]P-GENERAL'!Q183="","",'[1]P-GENERAL'!Q183)</f>
        <v>NORMAL</v>
      </c>
      <c r="R183" s="14">
        <f>IF('[1]P-GENERAL'!R183="","",'[1]P-GENERAL'!R183)</f>
        <v>46275</v>
      </c>
      <c r="S183" s="16">
        <f>IF('[1]P-GENERAL'!S183="","",'[1]P-GENERAL'!S183)</f>
        <v>0.95833333333333337</v>
      </c>
      <c r="T183" s="16">
        <f>IF('[1]P-GENERAL'!T183="","",'[1]P-GENERAL'!T183)</f>
        <v>0.4375</v>
      </c>
      <c r="U183" s="17">
        <f>IF('[1]P-GENERAL'!U183="","",'[1]P-GENERAL'!U183)</f>
        <v>46276.395833333336</v>
      </c>
      <c r="V183" s="14">
        <f>IF('[1]P-GENERAL'!V183="","",'[1]P-GENERAL'!V183)</f>
        <v>46276</v>
      </c>
      <c r="W183" s="16">
        <f>IF('[1]P-GENERAL'!W183="","",'[1]P-GENERAL'!W183)</f>
        <v>0.7680555555555556</v>
      </c>
      <c r="X183" s="14" t="str">
        <f>IF('[1]P-GENERAL'!X183="","",'[1]P-GENERAL'!X183)</f>
        <v>SI CUMPLE</v>
      </c>
      <c r="Y183" s="14" t="str">
        <f>IF('[1]P-GENERAL'!Y183="","",'[1]P-GENERAL'!Y183)</f>
        <v>SI CUMPLE</v>
      </c>
      <c r="Z183" s="14" t="str">
        <f>IF('[1]P-GENERAL'!Z183="","",'[1]P-GENERAL'!Z183)</f>
        <v/>
      </c>
      <c r="AA183" s="14" t="str">
        <f>IF('[1]P-GENERAL'!AA183="","",'[1]P-GENERAL'!AA183)</f>
        <v>DESPACHADO</v>
      </c>
      <c r="AB183" s="8" t="str">
        <f>IF('[1]P-GENERAL'!AB183="","",'[1]P-GENERAL'!AB183)</f>
        <v>AUTO EXPRESS SEGOVIA</v>
      </c>
      <c r="AC183" s="8" t="str">
        <f>IF('[1]P-GENERAL'!AC183="","",'[1]P-GENERAL'!AC183)</f>
        <v>MAURILIO LEON</v>
      </c>
      <c r="AD183">
        <f>IF('[1]P-GENERAL'!AD183="","",'[1]P-GENERAL'!AD183)</f>
        <v>86127</v>
      </c>
      <c r="AE183" t="str">
        <f>IF('[1]P-GENERAL'!AE183="","",'[1]P-GENERAL'!AE183)</f>
        <v>QCH1W04D40</v>
      </c>
    </row>
    <row r="184" spans="1:31" ht="20.25" x14ac:dyDescent="0.3">
      <c r="A184" s="11" t="str">
        <f>IF('[1]P-GENERAL'!A184="","",'[1]P-GENERAL'!A184)</f>
        <v>Chanitos Plantain 20Kg Tarima Chep</v>
      </c>
      <c r="B184" s="11" t="str">
        <f>IF('[1]P-GENERAL'!B184="","",'[1]P-GENERAL'!B184)</f>
        <v>CPL08141</v>
      </c>
      <c r="C184" t="str">
        <f>IF('[1]P-GENERAL'!C184="","",'[1]P-GENERAL'!C184)</f>
        <v>A41100-371209-1</v>
      </c>
      <c r="D184" t="str">
        <f>IF('[1]P-GENERAL'!D184="","",'[1]P-GENERAL'!D184)</f>
        <v>A41 100 Doña Lupe JV</v>
      </c>
      <c r="E184" s="8" t="str">
        <f>IF('[1]P-GENERAL'!E184="","",'[1]P-GENERAL'!E184)</f>
        <v>CEDA</v>
      </c>
      <c r="F184" s="12">
        <f>IF('[1]P-GENERAL'!F184="","",'[1]P-GENERAL'!F184)</f>
        <v>384</v>
      </c>
      <c r="G184" s="13">
        <f>IF('[1]P-GENERAL'!G184="","",'[1]P-GENERAL'!G184)</f>
        <v>8</v>
      </c>
      <c r="H184" s="14">
        <f>IF('[1]P-GENERAL'!H184="","",'[1]P-GENERAL'!H184)</f>
        <v>46277</v>
      </c>
      <c r="I184">
        <f>IF('[1]P-GENERAL'!I184="","",'[1]P-GENERAL'!I184)</f>
        <v>37</v>
      </c>
      <c r="J184" s="15">
        <f>IF('[1]P-GENERAL'!J184="","",'[1]P-GENERAL'!J184)</f>
        <v>46280</v>
      </c>
      <c r="K184" s="14" t="str">
        <f>IF('[1]P-GENERAL'!K184="","",'[1]P-GENERAL'!K184)</f>
        <v/>
      </c>
      <c r="L184" s="14" t="str">
        <f>IF('[1]P-GENERAL'!L184="","",'[1]P-GENERAL'!L184)</f>
        <v>PREENFRIO FORTALEZA</v>
      </c>
      <c r="M184">
        <f>IF('[1]P-GENERAL'!M184="","",'[1]P-GENERAL'!M184)</f>
        <v>1.5</v>
      </c>
      <c r="N184">
        <f>IF('[1]P-GENERAL'!N184="","",'[1]P-GENERAL'!N184)</f>
        <v>36</v>
      </c>
      <c r="O184" s="14">
        <f>IF('[1]P-GENERAL'!O184="","",'[1]P-GENERAL'!O184)</f>
        <v>46277</v>
      </c>
      <c r="P184" s="16">
        <f>IF('[1]P-GENERAL'!P184="","",'[1]P-GENERAL'!P184)</f>
        <v>0.69236111111111109</v>
      </c>
      <c r="Q184" t="str">
        <f>IF('[1]P-GENERAL'!Q184="","",'[1]P-GENERAL'!Q184)</f>
        <v>NORMAL</v>
      </c>
      <c r="R184" s="14">
        <f>IF('[1]P-GENERAL'!R184="","",'[1]P-GENERAL'!R184)</f>
        <v>46278</v>
      </c>
      <c r="S184" s="16">
        <f>IF('[1]P-GENERAL'!S184="","",'[1]P-GENERAL'!S184)</f>
        <v>7.6388888888888886E-3</v>
      </c>
      <c r="T184" s="16">
        <f>IF('[1]P-GENERAL'!T184="","",'[1]P-GENERAL'!T184)</f>
        <v>0.25</v>
      </c>
      <c r="U184" s="17">
        <f>IF('[1]P-GENERAL'!U184="","",'[1]P-GENERAL'!U184)</f>
        <v>46278.257638888892</v>
      </c>
      <c r="V184" s="14">
        <f>IF('[1]P-GENERAL'!V184="","",'[1]P-GENERAL'!V184)</f>
        <v>46278</v>
      </c>
      <c r="W184" s="16">
        <f>IF('[1]P-GENERAL'!W184="","",'[1]P-GENERAL'!W184)</f>
        <v>0.21666666666666667</v>
      </c>
      <c r="X184" s="14" t="str">
        <f>IF('[1]P-GENERAL'!X184="","",'[1]P-GENERAL'!X184)</f>
        <v>SI CUMPLE</v>
      </c>
      <c r="Y184" s="14" t="str">
        <f>IF('[1]P-GENERAL'!Y184="","",'[1]P-GENERAL'!Y184)</f>
        <v>SI CUMPLE</v>
      </c>
      <c r="Z184" s="14" t="str">
        <f>IF('[1]P-GENERAL'!Z184="","",'[1]P-GENERAL'!Z184)</f>
        <v/>
      </c>
      <c r="AA184" s="14" t="str">
        <f>IF('[1]P-GENERAL'!AA184="","",'[1]P-GENERAL'!AA184)</f>
        <v>DESPACHADO</v>
      </c>
      <c r="AB184" s="8" t="str">
        <f>IF('[1]P-GENERAL'!AB184="","",'[1]P-GENERAL'!AB184)</f>
        <v>TRANSPORTES ASE</v>
      </c>
      <c r="AC184" s="8" t="str">
        <f>IF('[1]P-GENERAL'!AC184="","",'[1]P-GENERAL'!AC184)</f>
        <v>FILEMON CRUZ LUNA</v>
      </c>
      <c r="AD184">
        <f>IF('[1]P-GENERAL'!AD184="","",'[1]P-GENERAL'!AD184)</f>
        <v>33992</v>
      </c>
      <c r="AE184" t="str">
        <f>IF('[1]P-GENERAL'!AE184="","",'[1]P-GENERAL'!AE184)</f>
        <v>N/A</v>
      </c>
    </row>
    <row r="185" spans="1:31" ht="20.25" x14ac:dyDescent="0.3">
      <c r="A185" s="11" t="str">
        <f>IF('[1]P-GENERAL'!A185="","",'[1]P-GENERAL'!A185)</f>
        <v>Chanitos Premium Tarima Americana</v>
      </c>
      <c r="B185" s="11" t="str">
        <f>IF('[1]P-GENERAL'!B185="","",'[1]P-GENERAL'!B185)</f>
        <v>CPR01103</v>
      </c>
      <c r="C185" t="str">
        <f>IF('[1]P-GENERAL'!C185="","",'[1]P-GENERAL'!C185)</f>
        <v>A01003-371009-1</v>
      </c>
      <c r="D185" t="str">
        <f>IF('[1]P-GENERAL'!D185="","",'[1]P-GENERAL'!D185)</f>
        <v>A01 003 Doña Nelly</v>
      </c>
      <c r="E185" s="8" t="str">
        <f>IF('[1]P-GENERAL'!E185="","",'[1]P-GENERAL'!E185)</f>
        <v>S-MTY</v>
      </c>
      <c r="F185" s="12">
        <f>IF('[1]P-GENERAL'!F185="","",'[1]P-GENERAL'!F185)</f>
        <v>960</v>
      </c>
      <c r="G185" s="13">
        <f>IF('[1]P-GENERAL'!G185="","",'[1]P-GENERAL'!G185)</f>
        <v>20</v>
      </c>
      <c r="H185" s="14">
        <f>IF('[1]P-GENERAL'!H185="","",'[1]P-GENERAL'!H185)</f>
        <v>46275</v>
      </c>
      <c r="I185">
        <f>IF('[1]P-GENERAL'!I185="","",'[1]P-GENERAL'!I185)</f>
        <v>37</v>
      </c>
      <c r="J185" s="15">
        <f>IF('[1]P-GENERAL'!J185="","",'[1]P-GENERAL'!J185)</f>
        <v>46281</v>
      </c>
      <c r="K185" s="14">
        <f>IF('[1]P-GENERAL'!K185="","",'[1]P-GENERAL'!K185)</f>
        <v>0.25</v>
      </c>
      <c r="L185" s="14" t="str">
        <f>IF('[1]P-GENERAL'!L185="","",'[1]P-GENERAL'!L185)</f>
        <v>PREENFRIO NELLY</v>
      </c>
      <c r="M185">
        <f>IF('[1]P-GENERAL'!M185="","",'[1]P-GENERAL'!M185)</f>
        <v>3</v>
      </c>
      <c r="N185">
        <f>IF('[1]P-GENERAL'!N185="","",'[1]P-GENERAL'!N185)</f>
        <v>72</v>
      </c>
      <c r="O185" s="14">
        <f>IF('[1]P-GENERAL'!O185="","",'[1]P-GENERAL'!O185)</f>
        <v>46275</v>
      </c>
      <c r="P185" s="16">
        <f>IF('[1]P-GENERAL'!P185="","",'[1]P-GENERAL'!P185)</f>
        <v>0.77083333333333337</v>
      </c>
      <c r="Q185" t="str">
        <f>IF('[1]P-GENERAL'!Q185="","",'[1]P-GENERAL'!Q185)</f>
        <v>NORMAL</v>
      </c>
      <c r="R185" s="14">
        <f>IF('[1]P-GENERAL'!R185="","",'[1]P-GENERAL'!R185)</f>
        <v>46276</v>
      </c>
      <c r="S185" s="16">
        <f>IF('[1]P-GENERAL'!S185="","",'[1]P-GENERAL'!S185)</f>
        <v>0.3347222222222222</v>
      </c>
      <c r="T185" s="16">
        <f>IF('[1]P-GENERAL'!T185="","",'[1]P-GENERAL'!T185)</f>
        <v>0.4375</v>
      </c>
      <c r="U185" s="17">
        <f>IF('[1]P-GENERAL'!U185="","",'[1]P-GENERAL'!U185)</f>
        <v>46276.772222222222</v>
      </c>
      <c r="V185" s="14">
        <f>IF('[1]P-GENERAL'!V185="","",'[1]P-GENERAL'!V185)</f>
        <v>46276</v>
      </c>
      <c r="W185" s="16">
        <f>IF('[1]P-GENERAL'!W185="","",'[1]P-GENERAL'!W185)</f>
        <v>0.7680555555555556</v>
      </c>
      <c r="X185" s="14" t="str">
        <f>IF('[1]P-GENERAL'!X185="","",'[1]P-GENERAL'!X185)</f>
        <v>SI CUMPLE</v>
      </c>
      <c r="Y185" s="14" t="str">
        <f>IF('[1]P-GENERAL'!Y185="","",'[1]P-GENERAL'!Y185)</f>
        <v>SI CUMPLE</v>
      </c>
      <c r="Z185" s="14" t="str">
        <f>IF('[1]P-GENERAL'!Z185="","",'[1]P-GENERAL'!Z185)</f>
        <v/>
      </c>
      <c r="AA185" s="14" t="str">
        <f>IF('[1]P-GENERAL'!AA185="","",'[1]P-GENERAL'!AA185)</f>
        <v>DESPACHADO</v>
      </c>
      <c r="AB185" s="8" t="str">
        <f>IF('[1]P-GENERAL'!AB185="","",'[1]P-GENERAL'!AB185)</f>
        <v>AUTO EXPRESS SEGOVIA</v>
      </c>
      <c r="AC185" s="8" t="str">
        <f>IF('[1]P-GENERAL'!AC185="","",'[1]P-GENERAL'!AC185)</f>
        <v>MAURILIO LEON</v>
      </c>
      <c r="AD185">
        <f>IF('[1]P-GENERAL'!AD185="","",'[1]P-GENERAL'!AD185)</f>
        <v>10428</v>
      </c>
      <c r="AE185" t="str">
        <f>IF('[1]P-GENERAL'!AE185="","",'[1]P-GENERAL'!AE185)</f>
        <v>QCH1W04CY0</v>
      </c>
    </row>
    <row r="186" spans="1:31" ht="20.25" x14ac:dyDescent="0.3">
      <c r="A186" s="11" t="str">
        <f>IF('[1]P-GENERAL'!A186="","",'[1]P-GENERAL'!A186)</f>
        <v>Chanitos Premium Tarima Americana</v>
      </c>
      <c r="B186" s="11" t="str">
        <f>IF('[1]P-GENERAL'!B186="","",'[1]P-GENERAL'!B186)</f>
        <v>CPR01103</v>
      </c>
      <c r="C186" t="str">
        <f>IF('[1]P-GENERAL'!C186="","",'[1]P-GENERAL'!C186)</f>
        <v>A01002-371009-1</v>
      </c>
      <c r="D186" t="str">
        <f>IF('[1]P-GENERAL'!D186="","",'[1]P-GENERAL'!D186)</f>
        <v>A01 002 Fortaleza</v>
      </c>
      <c r="E186" s="8" t="str">
        <f>IF('[1]P-GENERAL'!E186="","",'[1]P-GENERAL'!E186)</f>
        <v>S-MTY</v>
      </c>
      <c r="F186" s="12">
        <f>IF('[1]P-GENERAL'!F186="","",'[1]P-GENERAL'!F186)</f>
        <v>480</v>
      </c>
      <c r="G186" s="13">
        <f>IF('[1]P-GENERAL'!G186="","",'[1]P-GENERAL'!G186)</f>
        <v>10</v>
      </c>
      <c r="H186" s="14">
        <f>IF('[1]P-GENERAL'!H186="","",'[1]P-GENERAL'!H186)</f>
        <v>46275</v>
      </c>
      <c r="I186">
        <f>IF('[1]P-GENERAL'!I186="","",'[1]P-GENERAL'!I186)</f>
        <v>37</v>
      </c>
      <c r="J186" s="15">
        <f>IF('[1]P-GENERAL'!J186="","",'[1]P-GENERAL'!J186)</f>
        <v>46283</v>
      </c>
      <c r="K186" s="14">
        <f>IF('[1]P-GENERAL'!K186="","",'[1]P-GENERAL'!K186)</f>
        <v>0.25</v>
      </c>
      <c r="L186" s="14" t="str">
        <f>IF('[1]P-GENERAL'!L186="","",'[1]P-GENERAL'!L186)</f>
        <v>PREENFRIO NELLY</v>
      </c>
      <c r="M186">
        <f>IF('[1]P-GENERAL'!M186="","",'[1]P-GENERAL'!M186)</f>
        <v>3</v>
      </c>
      <c r="N186">
        <f>IF('[1]P-GENERAL'!N186="","",'[1]P-GENERAL'!N186)</f>
        <v>72</v>
      </c>
      <c r="O186" s="14">
        <f>IF('[1]P-GENERAL'!O186="","",'[1]P-GENERAL'!O186)</f>
        <v>46275</v>
      </c>
      <c r="P186" s="16">
        <f>IF('[1]P-GENERAL'!P186="","",'[1]P-GENERAL'!P186)</f>
        <v>0.99305555555555558</v>
      </c>
      <c r="Q186" t="str">
        <f>IF('[1]P-GENERAL'!Q186="","",'[1]P-GENERAL'!Q186)</f>
        <v>NORMAL</v>
      </c>
      <c r="R186" s="14">
        <f>IF('[1]P-GENERAL'!R186="","",'[1]P-GENERAL'!R186)</f>
        <v>46276</v>
      </c>
      <c r="S186" s="16">
        <f>IF('[1]P-GENERAL'!S186="","",'[1]P-GENERAL'!S186)</f>
        <v>0.89444444444444449</v>
      </c>
      <c r="T186" s="16">
        <f>IF('[1]P-GENERAL'!T186="","",'[1]P-GENERAL'!T186)</f>
        <v>0.4375</v>
      </c>
      <c r="U186" s="17">
        <f>IF('[1]P-GENERAL'!U186="","",'[1]P-GENERAL'!U186)</f>
        <v>46277.331944444442</v>
      </c>
      <c r="V186" s="14">
        <f>IF('[1]P-GENERAL'!V186="","",'[1]P-GENERAL'!V186)</f>
        <v>46278</v>
      </c>
      <c r="W186" s="16">
        <f>IF('[1]P-GENERAL'!W186="","",'[1]P-GENERAL'!W186)</f>
        <v>0.75</v>
      </c>
      <c r="X186" s="14" t="str">
        <f>IF('[1]P-GENERAL'!X186="","",'[1]P-GENERAL'!X186)</f>
        <v>SI CUMPLE</v>
      </c>
      <c r="Y186" s="14" t="str">
        <f>IF('[1]P-GENERAL'!Y186="","",'[1]P-GENERAL'!Y186)</f>
        <v>SI CUMPLE</v>
      </c>
      <c r="Z186" s="14" t="str">
        <f>IF('[1]P-GENERAL'!Z186="","",'[1]P-GENERAL'!Z186)</f>
        <v/>
      </c>
      <c r="AA186" s="14" t="str">
        <f>IF('[1]P-GENERAL'!AA186="","",'[1]P-GENERAL'!AA186)</f>
        <v>DESPACHADO</v>
      </c>
      <c r="AB186" s="8" t="str">
        <f>IF('[1]P-GENERAL'!AB186="","",'[1]P-GENERAL'!AB186)</f>
        <v>AUTO EXPRESS SEGOVIA</v>
      </c>
      <c r="AC186" s="8" t="str">
        <f>IF('[1]P-GENERAL'!AC186="","",'[1]P-GENERAL'!AC186)</f>
        <v>JOEL PEREZ TRINIDAD</v>
      </c>
      <c r="AD186">
        <f>IF('[1]P-GENERAL'!AD186="","",'[1]P-GENERAL'!AD186)</f>
        <v>36211</v>
      </c>
      <c r="AE186" t="str">
        <f>IF('[1]P-GENERAL'!AE186="","",'[1]P-GENERAL'!AE186)</f>
        <v>QCH1W03N60</v>
      </c>
    </row>
    <row r="187" spans="1:31" ht="20.25" x14ac:dyDescent="0.3">
      <c r="A187" s="11" t="str">
        <f>IF('[1]P-GENERAL'!A187="","",'[1]P-GENERAL'!A187)</f>
        <v>Chanitos Premium Tarima Chep</v>
      </c>
      <c r="B187" s="11" t="str">
        <f>IF('[1]P-GENERAL'!B187="","",'[1]P-GENERAL'!B187)</f>
        <v>CPR01102</v>
      </c>
      <c r="C187" t="str">
        <f>IF('[1]P-GENERAL'!C187="","",'[1]P-GENERAL'!C187)</f>
        <v>A01003-371109-1</v>
      </c>
      <c r="D187" t="str">
        <f>IF('[1]P-GENERAL'!D187="","",'[1]P-GENERAL'!D187)</f>
        <v>A01 003 Doña Nelly</v>
      </c>
      <c r="E187" s="8" t="str">
        <f>IF('[1]P-GENERAL'!E187="","",'[1]P-GENERAL'!E187)</f>
        <v>VSA</v>
      </c>
      <c r="F187" s="12">
        <f>IF('[1]P-GENERAL'!F187="","",'[1]P-GENERAL'!F187)</f>
        <v>192</v>
      </c>
      <c r="G187" s="13">
        <f>IF('[1]P-GENERAL'!G187="","",'[1]P-GENERAL'!G187)</f>
        <v>4</v>
      </c>
      <c r="H187" s="14">
        <f>IF('[1]P-GENERAL'!H187="","",'[1]P-GENERAL'!H187)</f>
        <v>46276</v>
      </c>
      <c r="I187">
        <f>IF('[1]P-GENERAL'!I187="","",'[1]P-GENERAL'!I187)</f>
        <v>37</v>
      </c>
      <c r="J187" s="15">
        <f>IF('[1]P-GENERAL'!J187="","",'[1]P-GENERAL'!J187)</f>
        <v>46279</v>
      </c>
      <c r="K187" s="14" t="str">
        <f>IF('[1]P-GENERAL'!K187="","",'[1]P-GENERAL'!K187)</f>
        <v/>
      </c>
      <c r="L187" s="14" t="str">
        <f>IF('[1]P-GENERAL'!L187="","",'[1]P-GENERAL'!L187)</f>
        <v>PREENFRIO NELLY</v>
      </c>
      <c r="M187">
        <f>IF('[1]P-GENERAL'!M187="","",'[1]P-GENERAL'!M187)</f>
        <v>1</v>
      </c>
      <c r="N187">
        <f>IF('[1]P-GENERAL'!N187="","",'[1]P-GENERAL'!N187)</f>
        <v>24</v>
      </c>
      <c r="O187" s="14">
        <f>IF('[1]P-GENERAL'!O187="","",'[1]P-GENERAL'!O187)</f>
        <v>46276</v>
      </c>
      <c r="P187" s="16">
        <f>IF('[1]P-GENERAL'!P187="","",'[1]P-GENERAL'!P187)</f>
        <v>0.75</v>
      </c>
      <c r="Q187" t="str">
        <f>IF('[1]P-GENERAL'!Q187="","",'[1]P-GENERAL'!Q187)</f>
        <v>ALTA</v>
      </c>
      <c r="R187" s="14">
        <f>IF('[1]P-GENERAL'!R187="","",'[1]P-GENERAL'!R187)</f>
        <v>46277</v>
      </c>
      <c r="S187" s="16">
        <f>IF('[1]P-GENERAL'!S187="","",'[1]P-GENERAL'!S187)</f>
        <v>2.0833333333333332E-2</v>
      </c>
      <c r="T187" s="16">
        <f>IF('[1]P-GENERAL'!T187="","",'[1]P-GENERAL'!T187)</f>
        <v>0.35416666666666669</v>
      </c>
      <c r="U187" s="17">
        <f>IF('[1]P-GENERAL'!U187="","",'[1]P-GENERAL'!U187)</f>
        <v>46277.375</v>
      </c>
      <c r="V187" s="14">
        <f>IF('[1]P-GENERAL'!V187="","",'[1]P-GENERAL'!V187)</f>
        <v>46277</v>
      </c>
      <c r="W187" s="16">
        <f>IF('[1]P-GENERAL'!W187="","",'[1]P-GENERAL'!W187)</f>
        <v>0.88888888888888884</v>
      </c>
      <c r="X187" s="14" t="str">
        <f>IF('[1]P-GENERAL'!X187="","",'[1]P-GENERAL'!X187)</f>
        <v>SI CUMPLE</v>
      </c>
      <c r="Y187" s="14" t="str">
        <f>IF('[1]P-GENERAL'!Y187="","",'[1]P-GENERAL'!Y187)</f>
        <v>SI CUMPLE</v>
      </c>
      <c r="Z187" s="14" t="str">
        <f>IF('[1]P-GENERAL'!Z187="","",'[1]P-GENERAL'!Z187)</f>
        <v/>
      </c>
      <c r="AA187" s="14" t="str">
        <f>IF('[1]P-GENERAL'!AA187="","",'[1]P-GENERAL'!AA187)</f>
        <v>DESPACHADO</v>
      </c>
      <c r="AB187" s="8" t="str">
        <f>IF('[1]P-GENERAL'!AB187="","",'[1]P-GENERAL'!AB187)</f>
        <v>GENARO IBAÑEZ</v>
      </c>
      <c r="AC187" s="8" t="str">
        <f>IF('[1]P-GENERAL'!AC187="","",'[1]P-GENERAL'!AC187)</f>
        <v>CAYETANO MENESES AVELINO</v>
      </c>
      <c r="AD187">
        <f>IF('[1]P-GENERAL'!AD187="","",'[1]P-GENERAL'!AD187)</f>
        <v>49155</v>
      </c>
      <c r="AE187" t="str">
        <f>IF('[1]P-GENERAL'!AE187="","",'[1]P-GENERAL'!AE187)</f>
        <v>QCH1W03N00</v>
      </c>
    </row>
    <row r="188" spans="1:31" ht="20.25" x14ac:dyDescent="0.3">
      <c r="A188" s="11" t="str">
        <f>IF('[1]P-GENERAL'!A188="","",'[1]P-GENERAL'!A188)</f>
        <v>Chanitos Premium Tarima Chep</v>
      </c>
      <c r="B188" s="11" t="str">
        <f>IF('[1]P-GENERAL'!B188="","",'[1]P-GENERAL'!B188)</f>
        <v>CPR01102</v>
      </c>
      <c r="C188" t="str">
        <f>IF('[1]P-GENERAL'!C188="","",'[1]P-GENERAL'!C188)</f>
        <v>A01002-371009-1</v>
      </c>
      <c r="D188" t="str">
        <f>IF('[1]P-GENERAL'!D188="","",'[1]P-GENERAL'!D188)</f>
        <v>A01 002 Fortaleza</v>
      </c>
      <c r="E188" s="8" t="str">
        <f>IF('[1]P-GENERAL'!E188="","",'[1]P-GENERAL'!E188)</f>
        <v>SMO</v>
      </c>
      <c r="F188" s="12">
        <f>IF('[1]P-GENERAL'!F188="","",'[1]P-GENERAL'!F188)</f>
        <v>96</v>
      </c>
      <c r="G188" s="13">
        <f>IF('[1]P-GENERAL'!G188="","",'[1]P-GENERAL'!G188)</f>
        <v>2</v>
      </c>
      <c r="H188" s="14">
        <f>IF('[1]P-GENERAL'!H188="","",'[1]P-GENERAL'!H188)</f>
        <v>46275</v>
      </c>
      <c r="I188">
        <f>IF('[1]P-GENERAL'!I188="","",'[1]P-GENERAL'!I188)</f>
        <v>37</v>
      </c>
      <c r="J188" s="15">
        <f>IF('[1]P-GENERAL'!J188="","",'[1]P-GENERAL'!J188)</f>
        <v>46281</v>
      </c>
      <c r="K188" s="14">
        <f>IF('[1]P-GENERAL'!K188="","",'[1]P-GENERAL'!K188)</f>
        <v>0.41666666666666669</v>
      </c>
      <c r="L188" s="14" t="str">
        <f>IF('[1]P-GENERAL'!L188="","",'[1]P-GENERAL'!L188)</f>
        <v>PREENFRIO FORTALEZA</v>
      </c>
      <c r="M188">
        <f>IF('[1]P-GENERAL'!M188="","",'[1]P-GENERAL'!M188)</f>
        <v>1.5</v>
      </c>
      <c r="N188">
        <f>IF('[1]P-GENERAL'!N188="","",'[1]P-GENERAL'!N188)</f>
        <v>36</v>
      </c>
      <c r="O188" s="14">
        <f>IF('[1]P-GENERAL'!O188="","",'[1]P-GENERAL'!O188)</f>
        <v>46275</v>
      </c>
      <c r="P188" s="16">
        <f>IF('[1]P-GENERAL'!P188="","",'[1]P-GENERAL'!P188)</f>
        <v>0.8208333333333333</v>
      </c>
      <c r="Q188" t="str">
        <f>IF('[1]P-GENERAL'!Q188="","",'[1]P-GENERAL'!Q188)</f>
        <v>NORMAL</v>
      </c>
      <c r="R188" s="14">
        <f>IF('[1]P-GENERAL'!R188="","",'[1]P-GENERAL'!R188)</f>
        <v>46277</v>
      </c>
      <c r="S188" s="16">
        <f>IF('[1]P-GENERAL'!S188="","",'[1]P-GENERAL'!S188)</f>
        <v>0.38055555555555554</v>
      </c>
      <c r="T188" s="16">
        <f>IF('[1]P-GENERAL'!T188="","",'[1]P-GENERAL'!T188)</f>
        <v>0.20833333333333334</v>
      </c>
      <c r="U188" s="17">
        <f>IF('[1]P-GENERAL'!U188="","",'[1]P-GENERAL'!U188)</f>
        <v>46277.588888888895</v>
      </c>
      <c r="V188" s="14">
        <f>IF('[1]P-GENERAL'!V188="","",'[1]P-GENERAL'!V188)</f>
        <v>46279</v>
      </c>
      <c r="W188" s="16">
        <f>IF('[1]P-GENERAL'!W188="","",'[1]P-GENERAL'!W188)</f>
        <v>0.62777777777777777</v>
      </c>
      <c r="X188" s="14" t="str">
        <f>IF('[1]P-GENERAL'!X188="","",'[1]P-GENERAL'!X188)</f>
        <v>SI CUMPLE</v>
      </c>
      <c r="Y188" s="14" t="str">
        <f>IF('[1]P-GENERAL'!Y188="","",'[1]P-GENERAL'!Y188)</f>
        <v>SI CUMPLE</v>
      </c>
      <c r="Z188" s="14" t="str">
        <f>IF('[1]P-GENERAL'!Z188="","",'[1]P-GENERAL'!Z188)</f>
        <v>COMPLETA EN NELLY</v>
      </c>
      <c r="AA188" s="14" t="str">
        <f>IF('[1]P-GENERAL'!AA188="","",'[1]P-GENERAL'!AA188)</f>
        <v xml:space="preserve">DESPACHADO  </v>
      </c>
      <c r="AB188" s="8" t="str">
        <f>IF('[1]P-GENERAL'!AB188="","",'[1]P-GENERAL'!AB188)</f>
        <v>TRANSPORTES SUAREZ</v>
      </c>
      <c r="AC188" s="8" t="str">
        <f>IF('[1]P-GENERAL'!AC188="","",'[1]P-GENERAL'!AC188)</f>
        <v>CANDIDO SUAREZ SANCHEZ</v>
      </c>
      <c r="AD188">
        <f>IF('[1]P-GENERAL'!AD188="","",'[1]P-GENERAL'!AD188)</f>
        <v>80764</v>
      </c>
      <c r="AE188" t="str">
        <f>IF('[1]P-GENERAL'!AE188="","",'[1]P-GENERAL'!AE188)</f>
        <v>N/A</v>
      </c>
    </row>
    <row r="189" spans="1:31" ht="20.25" x14ac:dyDescent="0.3">
      <c r="A189" s="11" t="str">
        <f>IF('[1]P-GENERAL'!A189="","",'[1]P-GENERAL'!A189)</f>
        <v>Chanitos Premium EUA Tarima Americana</v>
      </c>
      <c r="B189" s="11" t="str">
        <f>IF('[1]P-GENERAL'!B189="","",'[1]P-GENERAL'!B189)</f>
        <v>CPR01104</v>
      </c>
      <c r="C189" t="str">
        <f>IF('[1]P-GENERAL'!C189="","",'[1]P-GENERAL'!C189)</f>
        <v>A04039-371009-1</v>
      </c>
      <c r="D189" t="str">
        <f>IF('[1]P-GENERAL'!D189="","",'[1]P-GENERAL'!D189)</f>
        <v>A04 039 San Jose Morelia Nava</v>
      </c>
      <c r="E189" s="8" t="str">
        <f>IF('[1]P-GENERAL'!E189="","",'[1]P-GENERAL'!E189)</f>
        <v>McAllen</v>
      </c>
      <c r="F189" s="12">
        <f>IF('[1]P-GENERAL'!F189="","",'[1]P-GENERAL'!F189)</f>
        <v>960</v>
      </c>
      <c r="G189" s="13">
        <f>IF('[1]P-GENERAL'!G189="","",'[1]P-GENERAL'!G189)</f>
        <v>20</v>
      </c>
      <c r="H189" s="14">
        <f>IF('[1]P-GENERAL'!H189="","",'[1]P-GENERAL'!H189)</f>
        <v>46275</v>
      </c>
      <c r="I189">
        <f>IF('[1]P-GENERAL'!I189="","",'[1]P-GENERAL'!I189)</f>
        <v>37</v>
      </c>
      <c r="J189" s="15">
        <f>IF('[1]P-GENERAL'!J189="","",'[1]P-GENERAL'!J189)</f>
        <v>46280</v>
      </c>
      <c r="K189" s="14" t="str">
        <f>IF('[1]P-GENERAL'!K189="","",'[1]P-GENERAL'!K189)</f>
        <v/>
      </c>
      <c r="L189" s="14" t="str">
        <f>IF('[1]P-GENERAL'!L189="","",'[1]P-GENERAL'!L189)</f>
        <v>PREENFRIO NELLY</v>
      </c>
      <c r="M189" t="str">
        <f>IF('[1]P-GENERAL'!M189="","",'[1]P-GENERAL'!M189)</f>
        <v>SIN PRE</v>
      </c>
      <c r="N189" t="str">
        <f>IF('[1]P-GENERAL'!N189="","",'[1]P-GENERAL'!N189)</f>
        <v>SIN PRE</v>
      </c>
      <c r="O189" s="14">
        <f>IF('[1]P-GENERAL'!O189="","",'[1]P-GENERAL'!O189)</f>
        <v>46276</v>
      </c>
      <c r="P189" s="16">
        <f>IF('[1]P-GENERAL'!P189="","",'[1]P-GENERAL'!P189)</f>
        <v>0.875</v>
      </c>
      <c r="Q189" t="str">
        <f>IF('[1]P-GENERAL'!Q189="","",'[1]P-GENERAL'!Q189)</f>
        <v>NORMAL</v>
      </c>
      <c r="R189" s="14" t="str">
        <f>IF('[1]P-GENERAL'!R189="","",'[1]P-GENERAL'!R189)</f>
        <v>N/A</v>
      </c>
      <c r="S189" s="16" t="str">
        <f>IF('[1]P-GENERAL'!S189="","",'[1]P-GENERAL'!S189)</f>
        <v>SIN PRENFRIO</v>
      </c>
      <c r="T189" s="16" t="str">
        <f>IF('[1]P-GENERAL'!T189="","",'[1]P-GENERAL'!T189)</f>
        <v/>
      </c>
      <c r="U189" s="17" t="str">
        <f>IF('[1]P-GENERAL'!U189="","",'[1]P-GENERAL'!U189)</f>
        <v/>
      </c>
      <c r="V189" s="14">
        <f>IF('[1]P-GENERAL'!V189="","",'[1]P-GENERAL'!V189)</f>
        <v>46277</v>
      </c>
      <c r="W189" s="16">
        <f>IF('[1]P-GENERAL'!W189="","",'[1]P-GENERAL'!W189)</f>
        <v>0.33333333333333331</v>
      </c>
      <c r="X189" s="14" t="str">
        <f>IF('[1]P-GENERAL'!X189="","",'[1]P-GENERAL'!X189)</f>
        <v/>
      </c>
      <c r="Y189" s="14" t="str">
        <f>IF('[1]P-GENERAL'!Y189="","",'[1]P-GENERAL'!Y189)</f>
        <v/>
      </c>
      <c r="Z189" s="14" t="str">
        <f>IF('[1]P-GENERAL'!Z189="","",'[1]P-GENERAL'!Z189)</f>
        <v/>
      </c>
      <c r="AA189" s="14" t="str">
        <f>IF('[1]P-GENERAL'!AA189="","",'[1]P-GENERAL'!AA189)</f>
        <v>DESPACHADO</v>
      </c>
      <c r="AB189" s="8" t="str">
        <f>IF('[1]P-GENERAL'!AB189="","",'[1]P-GENERAL'!AB189)</f>
        <v>TRANSPORTES ALGEZA</v>
      </c>
      <c r="AC189" s="8" t="str">
        <f>IF('[1]P-GENERAL'!AC189="","",'[1]P-GENERAL'!AC189)</f>
        <v>Ismael Acosta</v>
      </c>
      <c r="AD189">
        <f>IF('[1]P-GENERAL'!AD189="","",'[1]P-GENERAL'!AD189)</f>
        <v>84476</v>
      </c>
      <c r="AE189" t="str">
        <f>IF('[1]P-GENERAL'!AE189="","",'[1]P-GENERAL'!AE189)</f>
        <v>QCH1W03MT0</v>
      </c>
    </row>
    <row r="190" spans="1:31" ht="20.25" x14ac:dyDescent="0.3">
      <c r="A190" s="11" t="str">
        <f>IF('[1]P-GENERAL'!A190="","",'[1]P-GENERAL'!A190)</f>
        <v>Chanitos Plantain 50lb Tarima Americana</v>
      </c>
      <c r="B190" s="11" t="str">
        <f>IF('[1]P-GENERAL'!B190="","",'[1]P-GENERAL'!B190)</f>
        <v>CPL08133</v>
      </c>
      <c r="C190" t="str">
        <f>IF('[1]P-GENERAL'!C190="","",'[1]P-GENERAL'!C190)</f>
        <v>A27073-371109-1</v>
      </c>
      <c r="D190" t="str">
        <f>IF('[1]P-GENERAL'!D190="","",'[1]P-GENERAL'!D190)</f>
        <v>A27 073 Plantacion</v>
      </c>
      <c r="E190" s="8" t="str">
        <f>IF('[1]P-GENERAL'!E190="","",'[1]P-GENERAL'!E190)</f>
        <v>McAllen</v>
      </c>
      <c r="F190" s="12">
        <f>IF('[1]P-GENERAL'!F190="","",'[1]P-GENERAL'!F190)</f>
        <v>882</v>
      </c>
      <c r="G190" s="13">
        <f>IF('[1]P-GENERAL'!G190="","",'[1]P-GENERAL'!G190)</f>
        <v>21</v>
      </c>
      <c r="H190" s="14">
        <f>IF('[1]P-GENERAL'!H190="","",'[1]P-GENERAL'!H190)</f>
        <v>46276</v>
      </c>
      <c r="I190">
        <f>IF('[1]P-GENERAL'!I190="","",'[1]P-GENERAL'!I190)</f>
        <v>37</v>
      </c>
      <c r="J190" s="15">
        <f>IF('[1]P-GENERAL'!J190="","",'[1]P-GENERAL'!J190)</f>
        <v>46280</v>
      </c>
      <c r="K190" s="14" t="str">
        <f>IF('[1]P-GENERAL'!K190="","",'[1]P-GENERAL'!K190)</f>
        <v/>
      </c>
      <c r="L190" s="14" t="str">
        <f>IF('[1]P-GENERAL'!L190="","",'[1]P-GENERAL'!L190)</f>
        <v>PREENFRIO NELLY</v>
      </c>
      <c r="M190">
        <f>IF('[1]P-GENERAL'!M190="","",'[1]P-GENERAL'!M190)</f>
        <v>3</v>
      </c>
      <c r="N190">
        <f>IF('[1]P-GENERAL'!N190="","",'[1]P-GENERAL'!N190)</f>
        <v>72</v>
      </c>
      <c r="O190" s="14">
        <f>IF('[1]P-GENERAL'!O190="","",'[1]P-GENERAL'!O190)</f>
        <v>46276</v>
      </c>
      <c r="P190" s="16">
        <f>IF('[1]P-GENERAL'!P190="","",'[1]P-GENERAL'!P190)</f>
        <v>0.88888888888888884</v>
      </c>
      <c r="Q190" t="str">
        <f>IF('[1]P-GENERAL'!Q190="","",'[1]P-GENERAL'!Q190)</f>
        <v>NORMAL</v>
      </c>
      <c r="R190" s="14">
        <f>IF('[1]P-GENERAL'!R190="","",'[1]P-GENERAL'!R190)</f>
        <v>46277</v>
      </c>
      <c r="S190" s="16">
        <f>IF('[1]P-GENERAL'!S190="","",'[1]P-GENERAL'!S190)</f>
        <v>0.27777777777777779</v>
      </c>
      <c r="T190" s="16">
        <f>IF('[1]P-GENERAL'!T190="","",'[1]P-GENERAL'!T190)</f>
        <v>0.35416666666666669</v>
      </c>
      <c r="U190" s="17">
        <f>IF('[1]P-GENERAL'!U190="","",'[1]P-GENERAL'!U190)</f>
        <v>46277.631944444445</v>
      </c>
      <c r="V190" s="14">
        <f>IF('[1]P-GENERAL'!V190="","",'[1]P-GENERAL'!V190)</f>
        <v>46279</v>
      </c>
      <c r="W190" s="16">
        <f>IF('[1]P-GENERAL'!W190="","",'[1]P-GENERAL'!W190)</f>
        <v>0.57708333333333328</v>
      </c>
      <c r="X190" s="14" t="str">
        <f>IF('[1]P-GENERAL'!X190="","",'[1]P-GENERAL'!X190)</f>
        <v>NO CUMPLE</v>
      </c>
      <c r="Y190" s="14" t="str">
        <f>IF('[1]P-GENERAL'!Y190="","",'[1]P-GENERAL'!Y190)</f>
        <v>NO CUMPLE</v>
      </c>
      <c r="Z190" s="14" t="str">
        <f>IF('[1]P-GENERAL'!Z190="","",'[1]P-GENERAL'!Z190)</f>
        <v xml:space="preserve">Empaque Tardio </v>
      </c>
      <c r="AA190" s="14" t="str">
        <f>IF('[1]P-GENERAL'!AA190="","",'[1]P-GENERAL'!AA190)</f>
        <v>DESPACHADO</v>
      </c>
      <c r="AB190" s="8" t="str">
        <f>IF('[1]P-GENERAL'!AB190="","",'[1]P-GENERAL'!AB190)</f>
        <v>EXPRESS CAVAZOS CANTU</v>
      </c>
      <c r="AC190" s="8" t="str">
        <f>IF('[1]P-GENERAL'!AC190="","",'[1]P-GENERAL'!AC190)</f>
        <v>SANTO CRUZ DE LA CRUZ</v>
      </c>
      <c r="AD190">
        <f>IF('[1]P-GENERAL'!AD190="","",'[1]P-GENERAL'!AD190)</f>
        <v>88086</v>
      </c>
      <c r="AE190" t="str">
        <f>IF('[1]P-GENERAL'!AE190="","",'[1]P-GENERAL'!AE190)</f>
        <v>QCH1W03N90</v>
      </c>
    </row>
    <row r="191" spans="1:31" ht="20.25" x14ac:dyDescent="0.3">
      <c r="A191" s="11" t="str">
        <f>IF('[1]P-GENERAL'!A191="","",'[1]P-GENERAL'!A191)</f>
        <v>Chanitos Plantain 50lb Tarima Americana</v>
      </c>
      <c r="B191" s="11" t="str">
        <f>IF('[1]P-GENERAL'!B191="","",'[1]P-GENERAL'!B191)</f>
        <v>CPL08133</v>
      </c>
      <c r="C191" t="str">
        <f>IF('[1]P-GENERAL'!C191="","",'[1]P-GENERAL'!C191)</f>
        <v>A27073-371109-1</v>
      </c>
      <c r="D191" t="str">
        <f>IF('[1]P-GENERAL'!D191="","",'[1]P-GENERAL'!D191)</f>
        <v>A27 073 Plantacion</v>
      </c>
      <c r="E191" s="8" t="str">
        <f>IF('[1]P-GENERAL'!E191="","",'[1]P-GENERAL'!E191)</f>
        <v>McAllen</v>
      </c>
      <c r="F191" s="12">
        <f>IF('[1]P-GENERAL'!F191="","",'[1]P-GENERAL'!F191)</f>
        <v>126</v>
      </c>
      <c r="G191" s="13">
        <f>IF('[1]P-GENERAL'!G191="","",'[1]P-GENERAL'!G191)</f>
        <v>3</v>
      </c>
      <c r="H191" s="14">
        <f>IF('[1]P-GENERAL'!H191="","",'[1]P-GENERAL'!H191)</f>
        <v>46277</v>
      </c>
      <c r="I191">
        <f>IF('[1]P-GENERAL'!I191="","",'[1]P-GENERAL'!I191)</f>
        <v>37</v>
      </c>
      <c r="J191" s="15">
        <f>IF('[1]P-GENERAL'!J191="","",'[1]P-GENERAL'!J191)</f>
        <v>46280</v>
      </c>
      <c r="K191" s="14" t="str">
        <f>IF('[1]P-GENERAL'!K191="","",'[1]P-GENERAL'!K191)</f>
        <v/>
      </c>
      <c r="L191" s="14" t="str">
        <f>IF('[1]P-GENERAL'!L191="","",'[1]P-GENERAL'!L191)</f>
        <v>PREENFRIO NELLY</v>
      </c>
      <c r="M191">
        <f>IF('[1]P-GENERAL'!M191="","",'[1]P-GENERAL'!M191)</f>
        <v>3</v>
      </c>
      <c r="N191">
        <f>IF('[1]P-GENERAL'!N191="","",'[1]P-GENERAL'!N191)</f>
        <v>72</v>
      </c>
      <c r="O191" s="14">
        <f>IF('[1]P-GENERAL'!O191="","",'[1]P-GENERAL'!O191)</f>
        <v>46276</v>
      </c>
      <c r="P191" s="16">
        <f>IF('[1]P-GENERAL'!P191="","",'[1]P-GENERAL'!P191)</f>
        <v>0.88888888888888884</v>
      </c>
      <c r="Q191" t="str">
        <f>IF('[1]P-GENERAL'!Q191="","",'[1]P-GENERAL'!Q191)</f>
        <v>NORMAL</v>
      </c>
      <c r="R191" s="14">
        <f>IF('[1]P-GENERAL'!R191="","",'[1]P-GENERAL'!R191)</f>
        <v>46278</v>
      </c>
      <c r="S191" s="16">
        <f>IF('[1]P-GENERAL'!S191="","",'[1]P-GENERAL'!S191)</f>
        <v>6.9444444444444448E-2</v>
      </c>
      <c r="T191" s="16">
        <f>IF('[1]P-GENERAL'!T191="","",'[1]P-GENERAL'!T191)</f>
        <v>0.35416666666666669</v>
      </c>
      <c r="U191" s="17">
        <f>IF('[1]P-GENERAL'!U191="","",'[1]P-GENERAL'!U191)</f>
        <v>46278.423611111109</v>
      </c>
      <c r="V191" s="14">
        <f>IF('[1]P-GENERAL'!V191="","",'[1]P-GENERAL'!V191)</f>
        <v>46279</v>
      </c>
      <c r="W191" s="16">
        <f>IF('[1]P-GENERAL'!W191="","",'[1]P-GENERAL'!W191)</f>
        <v>0.57708333333333328</v>
      </c>
      <c r="X191" s="14" t="str">
        <f>IF('[1]P-GENERAL'!X191="","",'[1]P-GENERAL'!X191)</f>
        <v>NO CUMPLE</v>
      </c>
      <c r="Y191" s="14" t="str">
        <f>IF('[1]P-GENERAL'!Y191="","",'[1]P-GENERAL'!Y191)</f>
        <v>NO CUMPLE</v>
      </c>
      <c r="Z191" s="14" t="str">
        <f>IF('[1]P-GENERAL'!Z191="","",'[1]P-GENERAL'!Z191)</f>
        <v xml:space="preserve">Empaque Tardio </v>
      </c>
      <c r="AA191" s="14" t="str">
        <f>IF('[1]P-GENERAL'!AA191="","",'[1]P-GENERAL'!AA191)</f>
        <v>DESPACHADO</v>
      </c>
      <c r="AB191" s="8" t="str">
        <f>IF('[1]P-GENERAL'!AB191="","",'[1]P-GENERAL'!AB191)</f>
        <v>EXPRESS CAVAZOS CANTU</v>
      </c>
      <c r="AC191" s="8" t="str">
        <f>IF('[1]P-GENERAL'!AC191="","",'[1]P-GENERAL'!AC191)</f>
        <v>SANTO CRUZ DE LA CRUZ</v>
      </c>
      <c r="AD191">
        <f>IF('[1]P-GENERAL'!AD191="","",'[1]P-GENERAL'!AD191)</f>
        <v>88086</v>
      </c>
      <c r="AE191" t="str">
        <f>IF('[1]P-GENERAL'!AE191="","",'[1]P-GENERAL'!AE191)</f>
        <v>QCH1W03N90</v>
      </c>
    </row>
    <row r="192" spans="1:31" ht="20.25" x14ac:dyDescent="0.3">
      <c r="A192" s="11" t="str">
        <f>IF('[1]P-GENERAL'!A192="","",'[1]P-GENERAL'!A192)</f>
        <v>Chanitos Premium Tarima Chep</v>
      </c>
      <c r="B192" s="11" t="str">
        <f>IF('[1]P-GENERAL'!B192="","",'[1]P-GENERAL'!B192)</f>
        <v>CPR01102</v>
      </c>
      <c r="C192" t="str">
        <f>IF('[1]P-GENERAL'!C192="","",'[1]P-GENERAL'!C192)</f>
        <v>A01002-371109-1</v>
      </c>
      <c r="D192" t="str">
        <f>IF('[1]P-GENERAL'!D192="","",'[1]P-GENERAL'!D192)</f>
        <v>A01 001 Marbella</v>
      </c>
      <c r="E192" s="8" t="str">
        <f>IF('[1]P-GENERAL'!E192="","",'[1]P-GENERAL'!E192)</f>
        <v>Chalco</v>
      </c>
      <c r="F192" s="12">
        <f>IF('[1]P-GENERAL'!F192="","",'[1]P-GENERAL'!F192)</f>
        <v>1152</v>
      </c>
      <c r="G192" s="13">
        <f>IF('[1]P-GENERAL'!G192="","",'[1]P-GENERAL'!G192)</f>
        <v>24</v>
      </c>
      <c r="H192" s="14">
        <f>IF('[1]P-GENERAL'!H192="","",'[1]P-GENERAL'!H192)</f>
        <v>46276</v>
      </c>
      <c r="I192">
        <f>IF('[1]P-GENERAL'!I192="","",'[1]P-GENERAL'!I192)</f>
        <v>37</v>
      </c>
      <c r="J192" s="15">
        <f>IF('[1]P-GENERAL'!J192="","",'[1]P-GENERAL'!J192)</f>
        <v>46281</v>
      </c>
      <c r="K192" s="14" t="str">
        <f>IF('[1]P-GENERAL'!K192="","",'[1]P-GENERAL'!K192)</f>
        <v/>
      </c>
      <c r="L192" s="14" t="str">
        <f>IF('[1]P-GENERAL'!L192="","",'[1]P-GENERAL'!L192)</f>
        <v>PREENFRIO FORTALEZA</v>
      </c>
      <c r="M192">
        <f>IF('[1]P-GENERAL'!M192="","",'[1]P-GENERAL'!M192)</f>
        <v>1</v>
      </c>
      <c r="N192">
        <f>IF('[1]P-GENERAL'!N192="","",'[1]P-GENERAL'!N192)</f>
        <v>24</v>
      </c>
      <c r="O192" s="14">
        <f>IF('[1]P-GENERAL'!O192="","",'[1]P-GENERAL'!O192)</f>
        <v>46276</v>
      </c>
      <c r="P192" s="16">
        <f>IF('[1]P-GENERAL'!P192="","",'[1]P-GENERAL'!P192)</f>
        <v>0.83333333333333337</v>
      </c>
      <c r="Q192" t="str">
        <f>IF('[1]P-GENERAL'!Q192="","",'[1]P-GENERAL'!Q192)</f>
        <v>NORMAL</v>
      </c>
      <c r="R192" s="14">
        <f>IF('[1]P-GENERAL'!R192="","",'[1]P-GENERAL'!R192)</f>
        <v>46277</v>
      </c>
      <c r="S192" s="16">
        <f>IF('[1]P-GENERAL'!S192="","",'[1]P-GENERAL'!S192)</f>
        <v>0.60763888888888884</v>
      </c>
      <c r="T192" s="16">
        <f>IF('[1]P-GENERAL'!T192="","",'[1]P-GENERAL'!T192)</f>
        <v>0.83333333333333337</v>
      </c>
      <c r="U192" s="17">
        <f>IF('[1]P-GENERAL'!U192="","",'[1]P-GENERAL'!U192)</f>
        <v>46278.440972222226</v>
      </c>
      <c r="V192" s="14">
        <f>IF('[1]P-GENERAL'!V192="","",'[1]P-GENERAL'!V192)</f>
        <v>46278</v>
      </c>
      <c r="W192" s="16">
        <f>IF('[1]P-GENERAL'!W192="","",'[1]P-GENERAL'!W192)</f>
        <v>0.57638888888888884</v>
      </c>
      <c r="X192" s="14" t="str">
        <f>IF('[1]P-GENERAL'!X192="","",'[1]P-GENERAL'!X192)</f>
        <v>SI CUMPLE</v>
      </c>
      <c r="Y192" s="14" t="str">
        <f>IF('[1]P-GENERAL'!Y192="","",'[1]P-GENERAL'!Y192)</f>
        <v>SI CUMPLE</v>
      </c>
      <c r="Z192" s="14" t="str">
        <f>IF('[1]P-GENERAL'!Z192="","",'[1]P-GENERAL'!Z192)</f>
        <v/>
      </c>
      <c r="AA192" s="14" t="str">
        <f>IF('[1]P-GENERAL'!AA192="","",'[1]P-GENERAL'!AA192)</f>
        <v>DESPACHADO</v>
      </c>
      <c r="AB192" s="8" t="str">
        <f>IF('[1]P-GENERAL'!AB192="","",'[1]P-GENERAL'!AB192)</f>
        <v>ANTONIO MEJIA GRANADOS</v>
      </c>
      <c r="AC192" s="8" t="str">
        <f>IF('[1]P-GENERAL'!AC192="","",'[1]P-GENERAL'!AC192)</f>
        <v>ELADIO VEGA</v>
      </c>
      <c r="AD192">
        <f>IF('[1]P-GENERAL'!AD192="","",'[1]P-GENERAL'!AD192)</f>
        <v>62759</v>
      </c>
      <c r="AE192" t="str">
        <f>IF('[1]P-GENERAL'!AE192="","",'[1]P-GENERAL'!AE192)</f>
        <v>QCH1W045T0</v>
      </c>
    </row>
    <row r="193" spans="1:31" ht="20.25" x14ac:dyDescent="0.3">
      <c r="A193" s="11" t="str">
        <f>IF('[1]P-GENERAL'!A193="","",'[1]P-GENERAL'!A193)</f>
        <v>Chanitos Premium EUA Tarima Americana</v>
      </c>
      <c r="B193" s="11" t="str">
        <f>IF('[1]P-GENERAL'!B193="","",'[1]P-GENERAL'!B193)</f>
        <v>CPR01104</v>
      </c>
      <c r="C193" t="str">
        <f>IF('[1]P-GENERAL'!C193="","",'[1]P-GENERAL'!C193)</f>
        <v>A01003-371109-1</v>
      </c>
      <c r="D193" t="str">
        <f>IF('[1]P-GENERAL'!D193="","",'[1]P-GENERAL'!D193)</f>
        <v>A05 040 Plataneros Unidos 1</v>
      </c>
      <c r="E193" s="8" t="str">
        <f>IF('[1]P-GENERAL'!E193="","",'[1]P-GENERAL'!E193)</f>
        <v>McAllen</v>
      </c>
      <c r="F193" s="12">
        <f>IF('[1]P-GENERAL'!F193="","",'[1]P-GENERAL'!F193)</f>
        <v>960</v>
      </c>
      <c r="G193" s="13">
        <f>IF('[1]P-GENERAL'!G193="","",'[1]P-GENERAL'!G193)</f>
        <v>20</v>
      </c>
      <c r="H193" s="14">
        <f>IF('[1]P-GENERAL'!H193="","",'[1]P-GENERAL'!H193)</f>
        <v>46276</v>
      </c>
      <c r="I193">
        <f>IF('[1]P-GENERAL'!I193="","",'[1]P-GENERAL'!I193)</f>
        <v>37</v>
      </c>
      <c r="J193" s="15">
        <f>IF('[1]P-GENERAL'!J193="","",'[1]P-GENERAL'!J193)</f>
        <v>46281</v>
      </c>
      <c r="K193" s="14" t="str">
        <f>IF('[1]P-GENERAL'!K193="","",'[1]P-GENERAL'!K193)</f>
        <v/>
      </c>
      <c r="L193" s="14" t="str">
        <f>IF('[1]P-GENERAL'!L193="","",'[1]P-GENERAL'!L193)</f>
        <v>PREENFRIO FORTALEZA</v>
      </c>
      <c r="M193">
        <f>IF('[1]P-GENERAL'!M193="","",'[1]P-GENERAL'!M193)</f>
        <v>3</v>
      </c>
      <c r="N193">
        <f>IF('[1]P-GENERAL'!N193="","",'[1]P-GENERAL'!N193)</f>
        <v>72</v>
      </c>
      <c r="O193" s="14">
        <f>IF('[1]P-GENERAL'!O193="","",'[1]P-GENERAL'!O193)</f>
        <v>46276</v>
      </c>
      <c r="P193" s="16">
        <f>IF('[1]P-GENERAL'!P193="","",'[1]P-GENERAL'!P193)</f>
        <v>0.74305555555555558</v>
      </c>
      <c r="Q193" t="str">
        <f>IF('[1]P-GENERAL'!Q193="","",'[1]P-GENERAL'!Q193)</f>
        <v/>
      </c>
      <c r="R193" s="14" t="str">
        <f>IF('[1]P-GENERAL'!R193="","",'[1]P-GENERAL'!R193)</f>
        <v/>
      </c>
      <c r="S193" s="16" t="str">
        <f>IF('[1]P-GENERAL'!S193="","",'[1]P-GENERAL'!S193)</f>
        <v/>
      </c>
      <c r="T193" s="16" t="str">
        <f>IF('[1]P-GENERAL'!T193="","",'[1]P-GENERAL'!T193)</f>
        <v/>
      </c>
      <c r="U193" s="17" t="str">
        <f>IF('[1]P-GENERAL'!U193="","",'[1]P-GENERAL'!U193)</f>
        <v/>
      </c>
      <c r="V193" s="14">
        <f>IF('[1]P-GENERAL'!V193="","",'[1]P-GENERAL'!V193)</f>
        <v>46278</v>
      </c>
      <c r="W193" s="16">
        <f>IF('[1]P-GENERAL'!W193="","",'[1]P-GENERAL'!W193)</f>
        <v>1.0416666666666666E-2</v>
      </c>
      <c r="X193" s="14" t="str">
        <f>IF('[1]P-GENERAL'!X193="","",'[1]P-GENERAL'!X193)</f>
        <v/>
      </c>
      <c r="Y193" s="14" t="str">
        <f>IF('[1]P-GENERAL'!Y193="","",'[1]P-GENERAL'!Y193)</f>
        <v>NO CUMPLE</v>
      </c>
      <c r="Z193" s="14" t="str">
        <f>IF('[1]P-GENERAL'!Z193="","",'[1]P-GENERAL'!Z193)</f>
        <v/>
      </c>
      <c r="AA193" s="14" t="str">
        <f>IF('[1]P-GENERAL'!AA193="","",'[1]P-GENERAL'!AA193)</f>
        <v>DESPACHADO</v>
      </c>
      <c r="AB193" s="8" t="str">
        <f>IF('[1]P-GENERAL'!AB193="","",'[1]P-GENERAL'!AB193)</f>
        <v>SEGOVIA</v>
      </c>
      <c r="AC193" s="8" t="str">
        <f>IF('[1]P-GENERAL'!AC193="","",'[1]P-GENERAL'!AC193)</f>
        <v>SAUL SANTIAGO</v>
      </c>
      <c r="AD193">
        <f>IF('[1]P-GENERAL'!AD193="","",'[1]P-GENERAL'!AD193)</f>
        <v>95062</v>
      </c>
      <c r="AE193" t="str">
        <f>IF('[1]P-GENERAL'!AE193="","",'[1]P-GENERAL'!AE193)</f>
        <v>QCH1W048G0</v>
      </c>
    </row>
    <row r="194" spans="1:31" ht="20.25" x14ac:dyDescent="0.3">
      <c r="A194" s="11" t="str">
        <f>IF('[1]P-GENERAL'!A194="","",'[1]P-GENERAL'!A194)</f>
        <v>Chanitos Premium Tarima Chep</v>
      </c>
      <c r="B194" s="11" t="str">
        <f>IF('[1]P-GENERAL'!B194="","",'[1]P-GENERAL'!B194)</f>
        <v>CPR01102</v>
      </c>
      <c r="C194" t="str">
        <f>IF('[1]P-GENERAL'!C194="","",'[1]P-GENERAL'!C194)</f>
        <v>A01002-371109-1</v>
      </c>
      <c r="D194" t="str">
        <f>IF('[1]P-GENERAL'!D194="","",'[1]P-GENERAL'!D194)</f>
        <v>A01 002 Fortaleza</v>
      </c>
      <c r="E194" s="8" t="str">
        <f>IF('[1]P-GENERAL'!E194="","",'[1]P-GENERAL'!E194)</f>
        <v>QRO</v>
      </c>
      <c r="F194" s="12">
        <f>IF('[1]P-GENERAL'!F194="","",'[1]P-GENERAL'!F194)</f>
        <v>1056</v>
      </c>
      <c r="G194" s="13">
        <f>IF('[1]P-GENERAL'!G194="","",'[1]P-GENERAL'!G194)</f>
        <v>22</v>
      </c>
      <c r="H194" s="14">
        <f>IF('[1]P-GENERAL'!H194="","",'[1]P-GENERAL'!H194)</f>
        <v>46276</v>
      </c>
      <c r="I194">
        <f>IF('[1]P-GENERAL'!I194="","",'[1]P-GENERAL'!I194)</f>
        <v>37</v>
      </c>
      <c r="J194" s="15">
        <f>IF('[1]P-GENERAL'!J194="","",'[1]P-GENERAL'!J194)</f>
        <v>46281</v>
      </c>
      <c r="K194" s="14" t="str">
        <f>IF('[1]P-GENERAL'!K194="","",'[1]P-GENERAL'!K194)</f>
        <v/>
      </c>
      <c r="L194" s="14" t="str">
        <f>IF('[1]P-GENERAL'!L194="","",'[1]P-GENERAL'!L194)</f>
        <v>PREENFRIO FORTALEZA</v>
      </c>
      <c r="M194">
        <f>IF('[1]P-GENERAL'!M194="","",'[1]P-GENERAL'!M194)</f>
        <v>1.5</v>
      </c>
      <c r="N194">
        <f>IF('[1]P-GENERAL'!N194="","",'[1]P-GENERAL'!N194)</f>
        <v>36</v>
      </c>
      <c r="O194" s="14">
        <f>IF('[1]P-GENERAL'!O194="","",'[1]P-GENERAL'!O194)</f>
        <v>46276</v>
      </c>
      <c r="P194" s="16">
        <f>IF('[1]P-GENERAL'!P194="","",'[1]P-GENERAL'!P194)</f>
        <v>0.70833333333333337</v>
      </c>
      <c r="Q194" t="str">
        <f>IF('[1]P-GENERAL'!Q194="","",'[1]P-GENERAL'!Q194)</f>
        <v>NORMAL</v>
      </c>
      <c r="R194" s="14">
        <f>IF('[1]P-GENERAL'!R194="","",'[1]P-GENERAL'!R194)</f>
        <v>46278</v>
      </c>
      <c r="S194" s="16">
        <f>IF('[1]P-GENERAL'!S194="","",'[1]P-GENERAL'!S194)</f>
        <v>0.25694444444444442</v>
      </c>
      <c r="T194" s="16">
        <f>IF('[1]P-GENERAL'!T194="","",'[1]P-GENERAL'!T194)</f>
        <v>0.625</v>
      </c>
      <c r="U194" s="17">
        <f>IF('[1]P-GENERAL'!U194="","",'[1]P-GENERAL'!U194)</f>
        <v>46278.881944444445</v>
      </c>
      <c r="V194" s="14">
        <f>IF('[1]P-GENERAL'!V194="","",'[1]P-GENERAL'!V194)</f>
        <v>46278</v>
      </c>
      <c r="W194" s="16">
        <f>IF('[1]P-GENERAL'!W194="","",'[1]P-GENERAL'!W194)</f>
        <v>0.9375</v>
      </c>
      <c r="X194" s="14" t="str">
        <f>IF('[1]P-GENERAL'!X194="","",'[1]P-GENERAL'!X194)</f>
        <v>SI CUMPLE</v>
      </c>
      <c r="Y194" s="14" t="str">
        <f>IF('[1]P-GENERAL'!Y194="","",'[1]P-GENERAL'!Y194)</f>
        <v>SI CUMPLE</v>
      </c>
      <c r="Z194" s="14" t="str">
        <f>IF('[1]P-GENERAL'!Z194="","",'[1]P-GENERAL'!Z194)</f>
        <v/>
      </c>
      <c r="AA194" s="14" t="str">
        <f>IF('[1]P-GENERAL'!AA194="","",'[1]P-GENERAL'!AA194)</f>
        <v>DESPACHADO</v>
      </c>
      <c r="AB194" s="8" t="str">
        <f>IF('[1]P-GENERAL'!AB194="","",'[1]P-GENERAL'!AB194)</f>
        <v>LEOPOLDO LEGORRETA LEGORRETA</v>
      </c>
      <c r="AC194" s="8" t="str">
        <f>IF('[1]P-GENERAL'!AC194="","",'[1]P-GENERAL'!AC194)</f>
        <v>EZEQUIEL GARDUÑO</v>
      </c>
      <c r="AD194">
        <f>IF('[1]P-GENERAL'!AD194="","",'[1]P-GENERAL'!AD194)</f>
        <v>80352</v>
      </c>
      <c r="AE194" t="str">
        <f>IF('[1]P-GENERAL'!AE194="","",'[1]P-GENERAL'!AE194)</f>
        <v>N/A</v>
      </c>
    </row>
    <row r="195" spans="1:31" ht="20.25" x14ac:dyDescent="0.3">
      <c r="A195" s="11" t="str">
        <f>IF('[1]P-GENERAL'!A195="","",'[1]P-GENERAL'!A195)</f>
        <v>Chanitos Organic Banded Market Side Mexico</v>
      </c>
      <c r="B195" s="11" t="str">
        <f>IF('[1]P-GENERAL'!B195="","",'[1]P-GENERAL'!B195)</f>
        <v>CRG07128</v>
      </c>
      <c r="C195" t="str">
        <f>IF('[1]P-GENERAL'!C195="","",'[1]P-GENERAL'!C195)</f>
        <v>A01002-371109-1</v>
      </c>
      <c r="D195" t="str">
        <f>IF('[1]P-GENERAL'!D195="","",'[1]P-GENERAL'!D195)</f>
        <v>A01 002 Fortaleza</v>
      </c>
      <c r="E195" s="8" t="str">
        <f>IF('[1]P-GENERAL'!E195="","",'[1]P-GENERAL'!E195)</f>
        <v>QRO</v>
      </c>
      <c r="F195" s="12">
        <f>IF('[1]P-GENERAL'!F195="","",'[1]P-GENERAL'!F195)</f>
        <v>96</v>
      </c>
      <c r="G195" s="13">
        <f>IF('[1]P-GENERAL'!G195="","",'[1]P-GENERAL'!G195)</f>
        <v>2</v>
      </c>
      <c r="H195" s="14">
        <f>IF('[1]P-GENERAL'!H195="","",'[1]P-GENERAL'!H195)</f>
        <v>46276</v>
      </c>
      <c r="I195">
        <f>IF('[1]P-GENERAL'!I195="","",'[1]P-GENERAL'!I195)</f>
        <v>37</v>
      </c>
      <c r="J195" s="15">
        <f>IF('[1]P-GENERAL'!J195="","",'[1]P-GENERAL'!J195)</f>
        <v>46281</v>
      </c>
      <c r="K195" s="14" t="str">
        <f>IF('[1]P-GENERAL'!K195="","",'[1]P-GENERAL'!K195)</f>
        <v/>
      </c>
      <c r="L195" s="14" t="str">
        <f>IF('[1]P-GENERAL'!L195="","",'[1]P-GENERAL'!L195)</f>
        <v>PREENFRIO FORTALEZA</v>
      </c>
      <c r="M195">
        <f>IF('[1]P-GENERAL'!M195="","",'[1]P-GENERAL'!M195)</f>
        <v>1.5</v>
      </c>
      <c r="N195">
        <f>IF('[1]P-GENERAL'!N195="","",'[1]P-GENERAL'!N195)</f>
        <v>36</v>
      </c>
      <c r="O195" s="14">
        <f>IF('[1]P-GENERAL'!O195="","",'[1]P-GENERAL'!O195)</f>
        <v>46276</v>
      </c>
      <c r="P195" s="16">
        <f>IF('[1]P-GENERAL'!P195="","",'[1]P-GENERAL'!P195)</f>
        <v>0.70833333333333337</v>
      </c>
      <c r="Q195" t="str">
        <f>IF('[1]P-GENERAL'!Q195="","",'[1]P-GENERAL'!Q195)</f>
        <v>NORMAL</v>
      </c>
      <c r="R195" s="14">
        <f>IF('[1]P-GENERAL'!R195="","",'[1]P-GENERAL'!R195)</f>
        <v>46278</v>
      </c>
      <c r="S195" s="16">
        <f>IF('[1]P-GENERAL'!S195="","",'[1]P-GENERAL'!S195)</f>
        <v>0.25694444444444442</v>
      </c>
      <c r="T195" s="16">
        <f>IF('[1]P-GENERAL'!T195="","",'[1]P-GENERAL'!T195)</f>
        <v>0.625</v>
      </c>
      <c r="U195" s="17">
        <f>IF('[1]P-GENERAL'!U195="","",'[1]P-GENERAL'!U195)</f>
        <v>46278.881944444445</v>
      </c>
      <c r="V195" s="14">
        <f>IF('[1]P-GENERAL'!V195="","",'[1]P-GENERAL'!V195)</f>
        <v>46278</v>
      </c>
      <c r="W195" s="16">
        <f>IF('[1]P-GENERAL'!W195="","",'[1]P-GENERAL'!W195)</f>
        <v>0.9375</v>
      </c>
      <c r="X195" s="14" t="str">
        <f>IF('[1]P-GENERAL'!X195="","",'[1]P-GENERAL'!X195)</f>
        <v>SI CUMPLE</v>
      </c>
      <c r="Y195" s="14" t="str">
        <f>IF('[1]P-GENERAL'!Y195="","",'[1]P-GENERAL'!Y195)</f>
        <v>SI CUMPLE</v>
      </c>
      <c r="Z195" s="14" t="str">
        <f>IF('[1]P-GENERAL'!Z195="","",'[1]P-GENERAL'!Z195)</f>
        <v/>
      </c>
      <c r="AA195" s="14" t="str">
        <f>IF('[1]P-GENERAL'!AA195="","",'[1]P-GENERAL'!AA195)</f>
        <v>DESPACHADO</v>
      </c>
      <c r="AB195" s="8" t="str">
        <f>IF('[1]P-GENERAL'!AB195="","",'[1]P-GENERAL'!AB195)</f>
        <v>LEOPOLDO LEGORRETA LEGORRETA</v>
      </c>
      <c r="AC195" s="8" t="str">
        <f>IF('[1]P-GENERAL'!AC195="","",'[1]P-GENERAL'!AC195)</f>
        <v>EZEQUIEL GARDUÑO</v>
      </c>
      <c r="AD195">
        <f>IF('[1]P-GENERAL'!AD195="","",'[1]P-GENERAL'!AD195)</f>
        <v>80352</v>
      </c>
      <c r="AE195" t="str">
        <f>IF('[1]P-GENERAL'!AE195="","",'[1]P-GENERAL'!AE195)</f>
        <v>N/A</v>
      </c>
    </row>
    <row r="196" spans="1:31" ht="20.25" x14ac:dyDescent="0.3">
      <c r="A196" s="11" t="str">
        <f>IF('[1]P-GENERAL'!A196="","",'[1]P-GENERAL'!A196)</f>
        <v>Chanitos Premium Tarima Chep</v>
      </c>
      <c r="B196" s="11" t="str">
        <f>IF('[1]P-GENERAL'!B196="","",'[1]P-GENERAL'!B196)</f>
        <v>CPR01102</v>
      </c>
      <c r="C196" t="str">
        <f>IF('[1]P-GENERAL'!C196="","",'[1]P-GENERAL'!C196)</f>
        <v>A01002-371109-1</v>
      </c>
      <c r="D196" t="str">
        <f>IF('[1]P-GENERAL'!D196="","",'[1]P-GENERAL'!D196)</f>
        <v>A01 002 Fortaleza</v>
      </c>
      <c r="E196" s="8" t="str">
        <f>IF('[1]P-GENERAL'!E196="","",'[1]P-GENERAL'!E196)</f>
        <v>SMO</v>
      </c>
      <c r="F196" s="12">
        <f>IF('[1]P-GENERAL'!F196="","",'[1]P-GENERAL'!F196)</f>
        <v>144</v>
      </c>
      <c r="G196" s="13">
        <f>IF('[1]P-GENERAL'!G196="","",'[1]P-GENERAL'!G196)</f>
        <v>3</v>
      </c>
      <c r="H196" s="14">
        <f>IF('[1]P-GENERAL'!H196="","",'[1]P-GENERAL'!H196)</f>
        <v>46276</v>
      </c>
      <c r="I196">
        <f>IF('[1]P-GENERAL'!I196="","",'[1]P-GENERAL'!I196)</f>
        <v>37</v>
      </c>
      <c r="J196" s="15">
        <f>IF('[1]P-GENERAL'!J196="","",'[1]P-GENERAL'!J196)</f>
        <v>46281</v>
      </c>
      <c r="K196" s="14">
        <f>IF('[1]P-GENERAL'!K196="","",'[1]P-GENERAL'!K196)</f>
        <v>0.41666666666666669</v>
      </c>
      <c r="L196" s="14" t="str">
        <f>IF('[1]P-GENERAL'!L196="","",'[1]P-GENERAL'!L196)</f>
        <v>PREENFRIO FORTALEZA</v>
      </c>
      <c r="M196">
        <f>IF('[1]P-GENERAL'!M196="","",'[1]P-GENERAL'!M196)</f>
        <v>1.5</v>
      </c>
      <c r="N196">
        <f>IF('[1]P-GENERAL'!N196="","",'[1]P-GENERAL'!N196)</f>
        <v>36</v>
      </c>
      <c r="O196" s="14">
        <f>IF('[1]P-GENERAL'!O196="","",'[1]P-GENERAL'!O196)</f>
        <v>46276</v>
      </c>
      <c r="P196" s="16">
        <f>IF('[1]P-GENERAL'!P196="","",'[1]P-GENERAL'!P196)</f>
        <v>0.70833333333333337</v>
      </c>
      <c r="Q196" t="str">
        <f>IF('[1]P-GENERAL'!Q196="","",'[1]P-GENERAL'!Q196)</f>
        <v>NORMAL</v>
      </c>
      <c r="R196" s="14">
        <f>IF('[1]P-GENERAL'!R196="","",'[1]P-GENERAL'!R196)</f>
        <v>46277</v>
      </c>
      <c r="S196" s="16">
        <f>IF('[1]P-GENERAL'!S196="","",'[1]P-GENERAL'!S196)</f>
        <v>0.38055555555555554</v>
      </c>
      <c r="T196" s="16">
        <f>IF('[1]P-GENERAL'!T196="","",'[1]P-GENERAL'!T196)</f>
        <v>0.20833333333333334</v>
      </c>
      <c r="U196" s="17">
        <f>IF('[1]P-GENERAL'!U196="","",'[1]P-GENERAL'!U196)</f>
        <v>46277.588888888895</v>
      </c>
      <c r="V196" s="14">
        <f>IF('[1]P-GENERAL'!V196="","",'[1]P-GENERAL'!V196)</f>
        <v>46279</v>
      </c>
      <c r="W196" s="16">
        <f>IF('[1]P-GENERAL'!W196="","",'[1]P-GENERAL'!W196)</f>
        <v>0.62777777777777777</v>
      </c>
      <c r="X196" s="14" t="str">
        <f>IF('[1]P-GENERAL'!X196="","",'[1]P-GENERAL'!X196)</f>
        <v>SI CUMPLE</v>
      </c>
      <c r="Y196" s="14" t="str">
        <f>IF('[1]P-GENERAL'!Y196="","",'[1]P-GENERAL'!Y196)</f>
        <v>SI CUMPLE</v>
      </c>
      <c r="Z196" s="14" t="str">
        <f>IF('[1]P-GENERAL'!Z196="","",'[1]P-GENERAL'!Z196)</f>
        <v>COMPLETA EN NELLY</v>
      </c>
      <c r="AA196" s="14" t="str">
        <f>IF('[1]P-GENERAL'!AA196="","",'[1]P-GENERAL'!AA196)</f>
        <v xml:space="preserve">DESPACHADO  </v>
      </c>
      <c r="AB196" s="8" t="str">
        <f>IF('[1]P-GENERAL'!AB196="","",'[1]P-GENERAL'!AB196)</f>
        <v>TRANSPORTES SUAREZ</v>
      </c>
      <c r="AC196" s="8" t="str">
        <f>IF('[1]P-GENERAL'!AC196="","",'[1]P-GENERAL'!AC196)</f>
        <v>CANDIDO SUAREZ SANCHEZ</v>
      </c>
      <c r="AD196">
        <f>IF('[1]P-GENERAL'!AD196="","",'[1]P-GENERAL'!AD196)</f>
        <v>80764</v>
      </c>
      <c r="AE196" t="str">
        <f>IF('[1]P-GENERAL'!AE196="","",'[1]P-GENERAL'!AE196)</f>
        <v>N/A</v>
      </c>
    </row>
    <row r="197" spans="1:31" ht="20.25" x14ac:dyDescent="0.3">
      <c r="A197" s="11" t="str">
        <f>IF('[1]P-GENERAL'!A197="","",'[1]P-GENERAL'!A197)</f>
        <v>Chanitos Premium Tarima Chep</v>
      </c>
      <c r="B197" s="11" t="str">
        <f>IF('[1]P-GENERAL'!B197="","",'[1]P-GENERAL'!B197)</f>
        <v>CPR01102</v>
      </c>
      <c r="C197" t="str">
        <f>IF('[1]P-GENERAL'!C197="","",'[1]P-GENERAL'!C197)</f>
        <v>A01001-371109-1</v>
      </c>
      <c r="D197" t="str">
        <f>IF('[1]P-GENERAL'!D197="","",'[1]P-GENERAL'!D197)</f>
        <v>A01 001 Marbella</v>
      </c>
      <c r="E197" s="8" t="str">
        <f>IF('[1]P-GENERAL'!E197="","",'[1]P-GENERAL'!E197)</f>
        <v>SMO</v>
      </c>
      <c r="F197" s="12">
        <f>IF('[1]P-GENERAL'!F197="","",'[1]P-GENERAL'!F197)</f>
        <v>192</v>
      </c>
      <c r="G197" s="13">
        <f>IF('[1]P-GENERAL'!G197="","",'[1]P-GENERAL'!G197)</f>
        <v>4</v>
      </c>
      <c r="H197" s="14">
        <f>IF('[1]P-GENERAL'!H197="","",'[1]P-GENERAL'!H197)</f>
        <v>46276</v>
      </c>
      <c r="I197">
        <f>IF('[1]P-GENERAL'!I197="","",'[1]P-GENERAL'!I197)</f>
        <v>37</v>
      </c>
      <c r="J197" s="15">
        <f>IF('[1]P-GENERAL'!J197="","",'[1]P-GENERAL'!J197)</f>
        <v>46281</v>
      </c>
      <c r="K197" s="14">
        <f>IF('[1]P-GENERAL'!K197="","",'[1]P-GENERAL'!K197)</f>
        <v>0.41666666666666669</v>
      </c>
      <c r="L197" s="14" t="str">
        <f>IF('[1]P-GENERAL'!L197="","",'[1]P-GENERAL'!L197)</f>
        <v>PREENFRIO FORTALEZA</v>
      </c>
      <c r="M197">
        <f>IF('[1]P-GENERAL'!M197="","",'[1]P-GENERAL'!M197)</f>
        <v>1.5</v>
      </c>
      <c r="N197">
        <f>IF('[1]P-GENERAL'!N197="","",'[1]P-GENERAL'!N197)</f>
        <v>36</v>
      </c>
      <c r="O197" s="14">
        <f>IF('[1]P-GENERAL'!O197="","",'[1]P-GENERAL'!O197)</f>
        <v>46276</v>
      </c>
      <c r="P197" s="16">
        <f>IF('[1]P-GENERAL'!P197="","",'[1]P-GENERAL'!P197)</f>
        <v>0.83333333333333337</v>
      </c>
      <c r="Q197" t="str">
        <f>IF('[1]P-GENERAL'!Q197="","",'[1]P-GENERAL'!Q197)</f>
        <v>NORMAL</v>
      </c>
      <c r="R197" s="14">
        <f>IF('[1]P-GENERAL'!R197="","",'[1]P-GENERAL'!R197)</f>
        <v>46277</v>
      </c>
      <c r="S197" s="16">
        <f>IF('[1]P-GENERAL'!S197="","",'[1]P-GENERAL'!S197)</f>
        <v>0.60763888888888884</v>
      </c>
      <c r="T197" s="16">
        <f>IF('[1]P-GENERAL'!T197="","",'[1]P-GENERAL'!T197)</f>
        <v>0.83333333333333337</v>
      </c>
      <c r="U197" s="17">
        <f>IF('[1]P-GENERAL'!U197="","",'[1]P-GENERAL'!U197)</f>
        <v>46278.440972222226</v>
      </c>
      <c r="V197" s="14">
        <f>IF('[1]P-GENERAL'!V197="","",'[1]P-GENERAL'!V197)</f>
        <v>46279</v>
      </c>
      <c r="W197" s="16">
        <f>IF('[1]P-GENERAL'!W197="","",'[1]P-GENERAL'!W197)</f>
        <v>0.62777777777777777</v>
      </c>
      <c r="X197" s="14" t="str">
        <f>IF('[1]P-GENERAL'!X197="","",'[1]P-GENERAL'!X197)</f>
        <v>SI CUMPLE</v>
      </c>
      <c r="Y197" s="14" t="str">
        <f>IF('[1]P-GENERAL'!Y197="","",'[1]P-GENERAL'!Y197)</f>
        <v>SI CUMPLE</v>
      </c>
      <c r="Z197" s="14" t="str">
        <f>IF('[1]P-GENERAL'!Z197="","",'[1]P-GENERAL'!Z197)</f>
        <v>COMPLETA EN NELLY</v>
      </c>
      <c r="AA197" s="14" t="str">
        <f>IF('[1]P-GENERAL'!AA197="","",'[1]P-GENERAL'!AA197)</f>
        <v xml:space="preserve">DESPACHADO  </v>
      </c>
      <c r="AB197" s="8" t="str">
        <f>IF('[1]P-GENERAL'!AB197="","",'[1]P-GENERAL'!AB197)</f>
        <v>TRANSPORTES SUAREZ</v>
      </c>
      <c r="AC197" s="8" t="str">
        <f>IF('[1]P-GENERAL'!AC197="","",'[1]P-GENERAL'!AC197)</f>
        <v>CANDIDO SUAREZ SANCHEZ</v>
      </c>
      <c r="AD197">
        <f>IF('[1]P-GENERAL'!AD197="","",'[1]P-GENERAL'!AD197)</f>
        <v>80764</v>
      </c>
      <c r="AE197" t="str">
        <f>IF('[1]P-GENERAL'!AE197="","",'[1]P-GENERAL'!AE197)</f>
        <v>N/A</v>
      </c>
    </row>
    <row r="198" spans="1:31" ht="20.25" x14ac:dyDescent="0.3">
      <c r="A198" s="11" t="str">
        <f>IF('[1]P-GENERAL'!A198="","",'[1]P-GENERAL'!A198)</f>
        <v>Chanitos Premium EUA Tarima Americana</v>
      </c>
      <c r="B198" s="11" t="str">
        <f>IF('[1]P-GENERAL'!B198="","",'[1]P-GENERAL'!B198)</f>
        <v>CPR01104</v>
      </c>
      <c r="C198" t="str">
        <f>IF('[1]P-GENERAL'!C198="","",'[1]P-GENERAL'!C198)</f>
        <v>A06043-371009-1</v>
      </c>
      <c r="D198" t="str">
        <f>IF('[1]P-GENERAL'!D198="","",'[1]P-GENERAL'!D198)</f>
        <v>A06 043 Nuestra señora</v>
      </c>
      <c r="E198" s="8" t="str">
        <f>IF('[1]P-GENERAL'!E198="","",'[1]P-GENERAL'!E198)</f>
        <v>McAllen</v>
      </c>
      <c r="F198" s="12">
        <f>IF('[1]P-GENERAL'!F198="","",'[1]P-GENERAL'!F198)</f>
        <v>576</v>
      </c>
      <c r="G198" s="13">
        <f>IF('[1]P-GENERAL'!G198="","",'[1]P-GENERAL'!G198)</f>
        <v>12</v>
      </c>
      <c r="H198" s="14">
        <f>IF('[1]P-GENERAL'!H198="","",'[1]P-GENERAL'!H198)</f>
        <v>46275</v>
      </c>
      <c r="I198">
        <f>IF('[1]P-GENERAL'!I198="","",'[1]P-GENERAL'!I198)</f>
        <v>37</v>
      </c>
      <c r="J198" s="15">
        <f>IF('[1]P-GENERAL'!J198="","",'[1]P-GENERAL'!J198)</f>
        <v>46281</v>
      </c>
      <c r="K198" s="14" t="str">
        <f>IF('[1]P-GENERAL'!K198="","",'[1]P-GENERAL'!K198)</f>
        <v/>
      </c>
      <c r="L198" s="14" t="str">
        <f>IF('[1]P-GENERAL'!L198="","",'[1]P-GENERAL'!L198)</f>
        <v>PREENFRIO NELLY</v>
      </c>
      <c r="M198" t="str">
        <f>IF('[1]P-GENERAL'!M198="","",'[1]P-GENERAL'!M198)</f>
        <v>SIN PRE</v>
      </c>
      <c r="N198" t="str">
        <f>IF('[1]P-GENERAL'!N198="","",'[1]P-GENERAL'!N198)</f>
        <v>SIN PRE</v>
      </c>
      <c r="O198" s="14">
        <f>IF('[1]P-GENERAL'!O198="","",'[1]P-GENERAL'!O198)</f>
        <v>46276</v>
      </c>
      <c r="P198" s="16">
        <f>IF('[1]P-GENERAL'!P198="","",'[1]P-GENERAL'!P198)</f>
        <v>0.875</v>
      </c>
      <c r="Q198" t="str">
        <f>IF('[1]P-GENERAL'!Q198="","",'[1]P-GENERAL'!Q198)</f>
        <v>NORMAL</v>
      </c>
      <c r="R198" s="14" t="str">
        <f>IF('[1]P-GENERAL'!R198="","",'[1]P-GENERAL'!R198)</f>
        <v>N/A</v>
      </c>
      <c r="S198" s="16" t="str">
        <f>IF('[1]P-GENERAL'!S198="","",'[1]P-GENERAL'!S198)</f>
        <v>SIN PRENFRIO</v>
      </c>
      <c r="T198" s="16" t="str">
        <f>IF('[1]P-GENERAL'!T198="","",'[1]P-GENERAL'!T198)</f>
        <v/>
      </c>
      <c r="U198" s="17" t="str">
        <f>IF('[1]P-GENERAL'!U198="","",'[1]P-GENERAL'!U198)</f>
        <v/>
      </c>
      <c r="V198" s="14">
        <f>IF('[1]P-GENERAL'!V198="","",'[1]P-GENERAL'!V198)</f>
        <v>46277</v>
      </c>
      <c r="W198" s="16">
        <f>IF('[1]P-GENERAL'!W198="","",'[1]P-GENERAL'!W198)</f>
        <v>0.3611111111111111</v>
      </c>
      <c r="X198" s="14" t="str">
        <f>IF('[1]P-GENERAL'!X198="","",'[1]P-GENERAL'!X198)</f>
        <v/>
      </c>
      <c r="Y198" s="14" t="str">
        <f>IF('[1]P-GENERAL'!Y198="","",'[1]P-GENERAL'!Y198)</f>
        <v/>
      </c>
      <c r="Z198" s="14" t="str">
        <f>IF('[1]P-GENERAL'!Z198="","",'[1]P-GENERAL'!Z198)</f>
        <v/>
      </c>
      <c r="AA198" s="14" t="str">
        <f>IF('[1]P-GENERAL'!AA198="","",'[1]P-GENERAL'!AA198)</f>
        <v>DESPACHADO</v>
      </c>
      <c r="AB198" s="8" t="str">
        <f>IF('[1]P-GENERAL'!AB198="","",'[1]P-GENERAL'!AB198)</f>
        <v>TRANSPORTES ALGEZA</v>
      </c>
      <c r="AC198" s="8" t="str">
        <f>IF('[1]P-GENERAL'!AC198="","",'[1]P-GENERAL'!AC198)</f>
        <v>Ismael Acosta</v>
      </c>
      <c r="AD198">
        <f>IF('[1]P-GENERAL'!AD198="","",'[1]P-GENERAL'!AD198)</f>
        <v>39177</v>
      </c>
      <c r="AE198" t="str">
        <f>IF('[1]P-GENERAL'!AE198="","",'[1]P-GENERAL'!AE198)</f>
        <v>QCH1W03SD0</v>
      </c>
    </row>
    <row r="199" spans="1:31" ht="20.25" x14ac:dyDescent="0.3">
      <c r="A199" s="11" t="str">
        <f>IF('[1]P-GENERAL'!A199="","",'[1]P-GENERAL'!A199)</f>
        <v>Chanitos Premium EUA Tarima Americana</v>
      </c>
      <c r="B199" s="11" t="str">
        <f>IF('[1]P-GENERAL'!B199="","",'[1]P-GENERAL'!B199)</f>
        <v>CPR01104</v>
      </c>
      <c r="C199" t="str">
        <f>IF('[1]P-GENERAL'!C199="","",'[1]P-GENERAL'!C199)</f>
        <v>A27073-371109-1</v>
      </c>
      <c r="D199" t="str">
        <f>IF('[1]P-GENERAL'!D199="","",'[1]P-GENERAL'!D199)</f>
        <v>A06 043 Nuestra señora</v>
      </c>
      <c r="E199" s="8" t="str">
        <f>IF('[1]P-GENERAL'!E199="","",'[1]P-GENERAL'!E199)</f>
        <v>McAllen</v>
      </c>
      <c r="F199" s="12">
        <f>IF('[1]P-GENERAL'!F199="","",'[1]P-GENERAL'!F199)</f>
        <v>384</v>
      </c>
      <c r="G199" s="13">
        <f>IF('[1]P-GENERAL'!G199="","",'[1]P-GENERAL'!G199)</f>
        <v>8</v>
      </c>
      <c r="H199" s="14">
        <f>IF('[1]P-GENERAL'!H199="","",'[1]P-GENERAL'!H199)</f>
        <v>46276</v>
      </c>
      <c r="I199">
        <f>IF('[1]P-GENERAL'!I199="","",'[1]P-GENERAL'!I199)</f>
        <v>37</v>
      </c>
      <c r="J199" s="15">
        <f>IF('[1]P-GENERAL'!J199="","",'[1]P-GENERAL'!J199)</f>
        <v>46281</v>
      </c>
      <c r="K199" s="14" t="str">
        <f>IF('[1]P-GENERAL'!K199="","",'[1]P-GENERAL'!K199)</f>
        <v/>
      </c>
      <c r="L199" s="14" t="str">
        <f>IF('[1]P-GENERAL'!L199="","",'[1]P-GENERAL'!L199)</f>
        <v>PREENFRIO NELLY</v>
      </c>
      <c r="M199" t="str">
        <f>IF('[1]P-GENERAL'!M199="","",'[1]P-GENERAL'!M199)</f>
        <v>SIN PRE</v>
      </c>
      <c r="N199" t="str">
        <f>IF('[1]P-GENERAL'!N199="","",'[1]P-GENERAL'!N199)</f>
        <v>SIN PRE</v>
      </c>
      <c r="O199" s="14">
        <f>IF('[1]P-GENERAL'!O199="","",'[1]P-GENERAL'!O199)</f>
        <v>46276</v>
      </c>
      <c r="P199" s="16">
        <f>IF('[1]P-GENERAL'!P199="","",'[1]P-GENERAL'!P199)</f>
        <v>0.875</v>
      </c>
      <c r="Q199" t="str">
        <f>IF('[1]P-GENERAL'!Q199="","",'[1]P-GENERAL'!Q199)</f>
        <v>NORMAL</v>
      </c>
      <c r="R199" s="14" t="str">
        <f>IF('[1]P-GENERAL'!R199="","",'[1]P-GENERAL'!R199)</f>
        <v>N/A</v>
      </c>
      <c r="S199" s="16" t="str">
        <f>IF('[1]P-GENERAL'!S199="","",'[1]P-GENERAL'!S199)</f>
        <v>SIN PRENFRIO</v>
      </c>
      <c r="T199" s="16" t="str">
        <f>IF('[1]P-GENERAL'!T199="","",'[1]P-GENERAL'!T199)</f>
        <v/>
      </c>
      <c r="U199" s="17" t="str">
        <f>IF('[1]P-GENERAL'!U199="","",'[1]P-GENERAL'!U199)</f>
        <v/>
      </c>
      <c r="V199" s="14">
        <f>IF('[1]P-GENERAL'!V199="","",'[1]P-GENERAL'!V199)</f>
        <v>46277</v>
      </c>
      <c r="W199" s="16">
        <f>IF('[1]P-GENERAL'!W199="","",'[1]P-GENERAL'!W199)</f>
        <v>0.3611111111111111</v>
      </c>
      <c r="X199" s="14" t="str">
        <f>IF('[1]P-GENERAL'!X199="","",'[1]P-GENERAL'!X199)</f>
        <v/>
      </c>
      <c r="Y199" s="14" t="str">
        <f>IF('[1]P-GENERAL'!Y199="","",'[1]P-GENERAL'!Y199)</f>
        <v/>
      </c>
      <c r="Z199" s="14" t="str">
        <f>IF('[1]P-GENERAL'!Z199="","",'[1]P-GENERAL'!Z199)</f>
        <v/>
      </c>
      <c r="AA199" s="14" t="str">
        <f>IF('[1]P-GENERAL'!AA199="","",'[1]P-GENERAL'!AA199)</f>
        <v>DESPACHADO</v>
      </c>
      <c r="AB199" s="8" t="str">
        <f>IF('[1]P-GENERAL'!AB199="","",'[1]P-GENERAL'!AB199)</f>
        <v>TRANSPORTES ALGEZA</v>
      </c>
      <c r="AC199" s="8" t="str">
        <f>IF('[1]P-GENERAL'!AC199="","",'[1]P-GENERAL'!AC199)</f>
        <v>Ismael Acosta</v>
      </c>
      <c r="AD199">
        <f>IF('[1]P-GENERAL'!AD199="","",'[1]P-GENERAL'!AD199)</f>
        <v>39177</v>
      </c>
      <c r="AE199" t="str">
        <f>IF('[1]P-GENERAL'!AE199="","",'[1]P-GENERAL'!AE199)</f>
        <v>QCH1W03SD0</v>
      </c>
    </row>
    <row r="200" spans="1:31" ht="20.25" x14ac:dyDescent="0.3">
      <c r="A200" s="11" t="str">
        <f>IF('[1]P-GENERAL'!A200="","",'[1]P-GENERAL'!A200)</f>
        <v>Chanitos Premium Tarima Chep</v>
      </c>
      <c r="B200" s="11" t="str">
        <f>IF('[1]P-GENERAL'!B200="","",'[1]P-GENERAL'!B200)</f>
        <v>CPR01102</v>
      </c>
      <c r="C200" t="str">
        <f>IF('[1]P-GENERAL'!C200="","",'[1]P-GENERAL'!C200)</f>
        <v>A01001-371209-1</v>
      </c>
      <c r="D200" t="str">
        <f>IF('[1]P-GENERAL'!D200="","",'[1]P-GENERAL'!D200)</f>
        <v>A01 001 Marbella</v>
      </c>
      <c r="E200" s="8" t="str">
        <f>IF('[1]P-GENERAL'!E200="","",'[1]P-GENERAL'!E200)</f>
        <v>Chalco</v>
      </c>
      <c r="F200" s="12">
        <f>IF('[1]P-GENERAL'!F200="","",'[1]P-GENERAL'!F200)</f>
        <v>1056</v>
      </c>
      <c r="G200" s="13">
        <f>IF('[1]P-GENERAL'!G200="","",'[1]P-GENERAL'!G200)</f>
        <v>22</v>
      </c>
      <c r="H200" s="14">
        <f>IF('[1]P-GENERAL'!H200="","",'[1]P-GENERAL'!H200)</f>
        <v>46277</v>
      </c>
      <c r="I200">
        <f>IF('[1]P-GENERAL'!I200="","",'[1]P-GENERAL'!I200)</f>
        <v>37</v>
      </c>
      <c r="J200" s="15">
        <f>IF('[1]P-GENERAL'!J200="","",'[1]P-GENERAL'!J200)</f>
        <v>46282</v>
      </c>
      <c r="K200" s="14" t="str">
        <f>IF('[1]P-GENERAL'!K200="","",'[1]P-GENERAL'!K200)</f>
        <v/>
      </c>
      <c r="L200" s="14" t="str">
        <f>IF('[1]P-GENERAL'!L200="","",'[1]P-GENERAL'!L200)</f>
        <v>PREENFRIO FORTALEZA</v>
      </c>
      <c r="M200">
        <f>IF('[1]P-GENERAL'!M200="","",'[1]P-GENERAL'!M200)</f>
        <v>1</v>
      </c>
      <c r="N200">
        <f>IF('[1]P-GENERAL'!N200="","",'[1]P-GENERAL'!N200)</f>
        <v>24</v>
      </c>
      <c r="O200" s="14">
        <f>IF('[1]P-GENERAL'!O200="","",'[1]P-GENERAL'!O200)</f>
        <v>46278</v>
      </c>
      <c r="P200" s="16">
        <f>IF('[1]P-GENERAL'!P200="","",'[1]P-GENERAL'!P200)</f>
        <v>0.85833333333333328</v>
      </c>
      <c r="Q200" t="str">
        <f>IF('[1]P-GENERAL'!Q200="","",'[1]P-GENERAL'!Q200)</f>
        <v>NORMAL</v>
      </c>
      <c r="R200" s="14">
        <f>IF('[1]P-GENERAL'!R200="","",'[1]P-GENERAL'!R200)</f>
        <v>46278</v>
      </c>
      <c r="S200" s="16">
        <f>IF('[1]P-GENERAL'!S200="","",'[1]P-GENERAL'!S200)</f>
        <v>0.92500000000000004</v>
      </c>
      <c r="T200" s="16">
        <f>IF('[1]P-GENERAL'!T200="","",'[1]P-GENERAL'!T200)</f>
        <v>0.625</v>
      </c>
      <c r="U200" s="17">
        <f>IF('[1]P-GENERAL'!U200="","",'[1]P-GENERAL'!U200)</f>
        <v>46279.55</v>
      </c>
      <c r="V200" s="14">
        <f>IF('[1]P-GENERAL'!V200="","",'[1]P-GENERAL'!V200)</f>
        <v>46279</v>
      </c>
      <c r="W200" s="16">
        <f>IF('[1]P-GENERAL'!W200="","",'[1]P-GENERAL'!W200)</f>
        <v>0.55902777777777779</v>
      </c>
      <c r="X200" s="14" t="str">
        <f>IF('[1]P-GENERAL'!X200="","",'[1]P-GENERAL'!X200)</f>
        <v>SI CUMPLE</v>
      </c>
      <c r="Y200" s="14" t="str">
        <f>IF('[1]P-GENERAL'!Y200="","",'[1]P-GENERAL'!Y200)</f>
        <v>SI CUMPLE</v>
      </c>
      <c r="Z200" s="14" t="str">
        <f>IF('[1]P-GENERAL'!Z200="","",'[1]P-GENERAL'!Z200)</f>
        <v/>
      </c>
      <c r="AA200" s="14" t="str">
        <f>IF('[1]P-GENERAL'!AA200="","",'[1]P-GENERAL'!AA200)</f>
        <v>DESPACHADO</v>
      </c>
      <c r="AB200" s="8" t="str">
        <f>IF('[1]P-GENERAL'!AB200="","",'[1]P-GENERAL'!AB200)</f>
        <v>REFRIGERADOS CARRILLO</v>
      </c>
      <c r="AC200" s="8" t="str">
        <f>IF('[1]P-GENERAL'!AC200="","",'[1]P-GENERAL'!AC200)</f>
        <v>EDUARDO FUENTES ALTAMIRANO</v>
      </c>
      <c r="AD200">
        <f>IF('[1]P-GENERAL'!AD200="","",'[1]P-GENERAL'!AD200)</f>
        <v>84938</v>
      </c>
      <c r="AE200" t="str">
        <f>IF('[1]P-GENERAL'!AE200="","",'[1]P-GENERAL'!AE200)</f>
        <v>QCH1W046A0</v>
      </c>
    </row>
    <row r="201" spans="1:31" ht="20.25" x14ac:dyDescent="0.3">
      <c r="A201" s="11" t="str">
        <f>IF('[1]P-GENERAL'!A201="","",'[1]P-GENERAL'!A201)</f>
        <v>Platano de Chiapas BAE UPC 3237</v>
      </c>
      <c r="B201" s="11" t="str">
        <f>IF('[1]P-GENERAL'!B201="","",'[1]P-GENERAL'!B201)</f>
        <v>CPR01114</v>
      </c>
      <c r="C201" t="str">
        <f>IF('[1]P-GENERAL'!C201="","",'[1]P-GENERAL'!C201)</f>
        <v>A01001-371209-1</v>
      </c>
      <c r="D201" t="str">
        <f>IF('[1]P-GENERAL'!D201="","",'[1]P-GENERAL'!D201)</f>
        <v>A01 001 Marbella</v>
      </c>
      <c r="E201" s="8" t="str">
        <f>IF('[1]P-GENERAL'!E201="","",'[1]P-GENERAL'!E201)</f>
        <v>Chalco</v>
      </c>
      <c r="F201" s="12">
        <f>IF('[1]P-GENERAL'!F201="","",'[1]P-GENERAL'!F201)</f>
        <v>96</v>
      </c>
      <c r="G201" s="13">
        <f>IF('[1]P-GENERAL'!G201="","",'[1]P-GENERAL'!G201)</f>
        <v>2</v>
      </c>
      <c r="H201" s="14">
        <f>IF('[1]P-GENERAL'!H201="","",'[1]P-GENERAL'!H201)</f>
        <v>46277</v>
      </c>
      <c r="I201">
        <f>IF('[1]P-GENERAL'!I201="","",'[1]P-GENERAL'!I201)</f>
        <v>37</v>
      </c>
      <c r="J201" s="15">
        <f>IF('[1]P-GENERAL'!J201="","",'[1]P-GENERAL'!J201)</f>
        <v>46282</v>
      </c>
      <c r="K201" s="14" t="str">
        <f>IF('[1]P-GENERAL'!K201="","",'[1]P-GENERAL'!K201)</f>
        <v/>
      </c>
      <c r="L201" s="14" t="str">
        <f>IF('[1]P-GENERAL'!L201="","",'[1]P-GENERAL'!L201)</f>
        <v>PREENFRIO FORTALEZA</v>
      </c>
      <c r="M201">
        <f>IF('[1]P-GENERAL'!M201="","",'[1]P-GENERAL'!M201)</f>
        <v>1</v>
      </c>
      <c r="N201">
        <f>IF('[1]P-GENERAL'!N201="","",'[1]P-GENERAL'!N201)</f>
        <v>24</v>
      </c>
      <c r="O201" s="14">
        <f>IF('[1]P-GENERAL'!O201="","",'[1]P-GENERAL'!O201)</f>
        <v>46278</v>
      </c>
      <c r="P201" s="16">
        <f>IF('[1]P-GENERAL'!P201="","",'[1]P-GENERAL'!P201)</f>
        <v>0.85833333333333328</v>
      </c>
      <c r="Q201" t="str">
        <f>IF('[1]P-GENERAL'!Q201="","",'[1]P-GENERAL'!Q201)</f>
        <v>NORMAL</v>
      </c>
      <c r="R201" s="14">
        <f>IF('[1]P-GENERAL'!R201="","",'[1]P-GENERAL'!R201)</f>
        <v>46278</v>
      </c>
      <c r="S201" s="16">
        <f>IF('[1]P-GENERAL'!S201="","",'[1]P-GENERAL'!S201)</f>
        <v>0.92500000000000004</v>
      </c>
      <c r="T201" s="16">
        <f>IF('[1]P-GENERAL'!T201="","",'[1]P-GENERAL'!T201)</f>
        <v>0.625</v>
      </c>
      <c r="U201" s="17">
        <f>IF('[1]P-GENERAL'!U201="","",'[1]P-GENERAL'!U201)</f>
        <v>46279.55</v>
      </c>
      <c r="V201" s="14">
        <f>IF('[1]P-GENERAL'!V201="","",'[1]P-GENERAL'!V201)</f>
        <v>46279</v>
      </c>
      <c r="W201" s="16">
        <f>IF('[1]P-GENERAL'!W201="","",'[1]P-GENERAL'!W201)</f>
        <v>0.55902777777777779</v>
      </c>
      <c r="X201" s="14" t="str">
        <f>IF('[1]P-GENERAL'!X201="","",'[1]P-GENERAL'!X201)</f>
        <v>SI CUMPLE</v>
      </c>
      <c r="Y201" s="14" t="str">
        <f>IF('[1]P-GENERAL'!Y201="","",'[1]P-GENERAL'!Y201)</f>
        <v>SI CUMPLE</v>
      </c>
      <c r="Z201" s="14" t="str">
        <f>IF('[1]P-GENERAL'!Z201="","",'[1]P-GENERAL'!Z201)</f>
        <v/>
      </c>
      <c r="AA201" s="14" t="str">
        <f>IF('[1]P-GENERAL'!AA201="","",'[1]P-GENERAL'!AA201)</f>
        <v>DESPACHADO</v>
      </c>
      <c r="AB201" s="8" t="str">
        <f>IF('[1]P-GENERAL'!AB201="","",'[1]P-GENERAL'!AB201)</f>
        <v>REFRIGERADOS CARRILLO</v>
      </c>
      <c r="AC201" s="8" t="str">
        <f>IF('[1]P-GENERAL'!AC201="","",'[1]P-GENERAL'!AC201)</f>
        <v>EDUARDO FUENTES ALTAMIRANO</v>
      </c>
      <c r="AD201">
        <f>IF('[1]P-GENERAL'!AD201="","",'[1]P-GENERAL'!AD201)</f>
        <v>84938</v>
      </c>
      <c r="AE201" t="str">
        <f>IF('[1]P-GENERAL'!AE201="","",'[1]P-GENERAL'!AE201)</f>
        <v>QCH1W046A0</v>
      </c>
    </row>
    <row r="202" spans="1:31" ht="20.25" x14ac:dyDescent="0.3">
      <c r="A202" s="11" t="str">
        <f>IF('[1]P-GENERAL'!A202="","",'[1]P-GENERAL'!A202)</f>
        <v>Chanitos Organic Banded Market Side Mexico</v>
      </c>
      <c r="B202" s="11" t="str">
        <f>IF('[1]P-GENERAL'!B202="","",'[1]P-GENERAL'!B202)</f>
        <v>CRG07128</v>
      </c>
      <c r="C202" t="str">
        <f>IF('[1]P-GENERAL'!C202="","",'[1]P-GENERAL'!C202)</f>
        <v>A01002-371209-1</v>
      </c>
      <c r="D202" t="str">
        <f>IF('[1]P-GENERAL'!D202="","",'[1]P-GENERAL'!D202)</f>
        <v>A01 002 Fortaleza</v>
      </c>
      <c r="E202" s="8" t="str">
        <f>IF('[1]P-GENERAL'!E202="","",'[1]P-GENERAL'!E202)</f>
        <v>VSA</v>
      </c>
      <c r="F202" s="12">
        <f>IF('[1]P-GENERAL'!F202="","",'[1]P-GENERAL'!F202)</f>
        <v>288</v>
      </c>
      <c r="G202" s="13">
        <f>IF('[1]P-GENERAL'!G202="","",'[1]P-GENERAL'!G202)</f>
        <v>6</v>
      </c>
      <c r="H202" s="14">
        <f>IF('[1]P-GENERAL'!H202="","",'[1]P-GENERAL'!H202)</f>
        <v>46277</v>
      </c>
      <c r="I202">
        <f>IF('[1]P-GENERAL'!I202="","",'[1]P-GENERAL'!I202)</f>
        <v>37</v>
      </c>
      <c r="J202" s="15">
        <f>IF('[1]P-GENERAL'!J202="","",'[1]P-GENERAL'!J202)</f>
        <v>46282</v>
      </c>
      <c r="K202" s="14" t="str">
        <f>IF('[1]P-GENERAL'!K202="","",'[1]P-GENERAL'!K202)</f>
        <v/>
      </c>
      <c r="L202" s="14" t="str">
        <f>IF('[1]P-GENERAL'!L202="","",'[1]P-GENERAL'!L202)</f>
        <v>PREENFRIO FORTALEZA</v>
      </c>
      <c r="M202">
        <f>IF('[1]P-GENERAL'!M202="","",'[1]P-GENERAL'!M202)</f>
        <v>1</v>
      </c>
      <c r="N202">
        <f>IF('[1]P-GENERAL'!N202="","",'[1]P-GENERAL'!N202)</f>
        <v>24</v>
      </c>
      <c r="O202" s="14">
        <f>IF('[1]P-GENERAL'!O202="","",'[1]P-GENERAL'!O202)</f>
        <v>46277</v>
      </c>
      <c r="P202" s="16">
        <f>IF('[1]P-GENERAL'!P202="","",'[1]P-GENERAL'!P202)</f>
        <v>0.62708333333333333</v>
      </c>
      <c r="Q202" t="str">
        <f>IF('[1]P-GENERAL'!Q202="","",'[1]P-GENERAL'!Q202)</f>
        <v>NORMAL</v>
      </c>
      <c r="R202" s="14">
        <f>IF('[1]P-GENERAL'!R202="","",'[1]P-GENERAL'!R202)</f>
        <v>46279</v>
      </c>
      <c r="S202" s="16">
        <f>IF('[1]P-GENERAL'!S202="","",'[1]P-GENERAL'!S202)</f>
        <v>0.56388888888888888</v>
      </c>
      <c r="T202" s="16">
        <f>IF('[1]P-GENERAL'!T202="","",'[1]P-GENERAL'!T202)</f>
        <v>0.41666666666666669</v>
      </c>
      <c r="U202" s="17">
        <f>IF('[1]P-GENERAL'!U202="","",'[1]P-GENERAL'!U202)</f>
        <v>46279.98055555555</v>
      </c>
      <c r="V202" s="14">
        <f>IF('[1]P-GENERAL'!V202="","",'[1]P-GENERAL'!V202)</f>
        <v>46280</v>
      </c>
      <c r="W202" s="16">
        <f>IF('[1]P-GENERAL'!W202="","",'[1]P-GENERAL'!W202)</f>
        <v>0.60069444444444442</v>
      </c>
      <c r="X202" s="14" t="str">
        <f>IF('[1]P-GENERAL'!X202="","",'[1]P-GENERAL'!X202)</f>
        <v>SI CUMPLE</v>
      </c>
      <c r="Y202" s="14" t="str">
        <f>IF('[1]P-GENERAL'!Y202="","",'[1]P-GENERAL'!Y202)</f>
        <v>SI CUMPLE</v>
      </c>
      <c r="Z202" s="14" t="str">
        <f>IF('[1]P-GENERAL'!Z202="","",'[1]P-GENERAL'!Z202)</f>
        <v/>
      </c>
      <c r="AA202" s="14" t="str">
        <f>IF('[1]P-GENERAL'!AA202="","",'[1]P-GENERAL'!AA202)</f>
        <v>DESPACHADO</v>
      </c>
      <c r="AB202" s="8" t="str">
        <f>IF('[1]P-GENERAL'!AB202="","",'[1]P-GENERAL'!AB202)</f>
        <v>BACKHAUL</v>
      </c>
      <c r="AC202" s="8" t="str">
        <f>IF('[1]P-GENERAL'!AC202="","",'[1]P-GENERAL'!AC202)</f>
        <v>CANDELARIO ARIAS LOPEZ</v>
      </c>
      <c r="AD202">
        <f>IF('[1]P-GENERAL'!AD202="","",'[1]P-GENERAL'!AD202)</f>
        <v>18103</v>
      </c>
      <c r="AE202" t="str">
        <f>IF('[1]P-GENERAL'!AE202="","",'[1]P-GENERAL'!AE202)</f>
        <v>QCH1W045R0</v>
      </c>
    </row>
    <row r="203" spans="1:31" ht="20.25" x14ac:dyDescent="0.3">
      <c r="A203" s="11" t="str">
        <f>IF('[1]P-GENERAL'!A203="","",'[1]P-GENERAL'!A203)</f>
        <v>Chanitos Premium Tarima Chep</v>
      </c>
      <c r="B203" s="11" t="str">
        <f>IF('[1]P-GENERAL'!B203="","",'[1]P-GENERAL'!B203)</f>
        <v>CPR01102</v>
      </c>
      <c r="C203" t="str">
        <f>IF('[1]P-GENERAL'!C203="","",'[1]P-GENERAL'!C203)</f>
        <v>A01002-371209-1</v>
      </c>
      <c r="D203" t="str">
        <f>IF('[1]P-GENERAL'!D203="","",'[1]P-GENERAL'!D203)</f>
        <v>A01 002 Fortaleza</v>
      </c>
      <c r="E203" s="8" t="str">
        <f>IF('[1]P-GENERAL'!E203="","",'[1]P-GENERAL'!E203)</f>
        <v>VSA</v>
      </c>
      <c r="F203" s="12">
        <f>IF('[1]P-GENERAL'!F203="","",'[1]P-GENERAL'!F203)</f>
        <v>864</v>
      </c>
      <c r="G203" s="13">
        <f>IF('[1]P-GENERAL'!G203="","",'[1]P-GENERAL'!G203)</f>
        <v>18</v>
      </c>
      <c r="H203" s="14">
        <f>IF('[1]P-GENERAL'!H203="","",'[1]P-GENERAL'!H203)</f>
        <v>46277</v>
      </c>
      <c r="I203">
        <f>IF('[1]P-GENERAL'!I203="","",'[1]P-GENERAL'!I203)</f>
        <v>37</v>
      </c>
      <c r="J203" s="15">
        <f>IF('[1]P-GENERAL'!J203="","",'[1]P-GENERAL'!J203)</f>
        <v>46282</v>
      </c>
      <c r="K203" s="14" t="str">
        <f>IF('[1]P-GENERAL'!K203="","",'[1]P-GENERAL'!K203)</f>
        <v/>
      </c>
      <c r="L203" s="14" t="str">
        <f>IF('[1]P-GENERAL'!L203="","",'[1]P-GENERAL'!L203)</f>
        <v>PREENFRIO FORTALEZA</v>
      </c>
      <c r="M203">
        <f>IF('[1]P-GENERAL'!M203="","",'[1]P-GENERAL'!M203)</f>
        <v>1</v>
      </c>
      <c r="N203">
        <f>IF('[1]P-GENERAL'!N203="","",'[1]P-GENERAL'!N203)</f>
        <v>24</v>
      </c>
      <c r="O203" s="14">
        <f>IF('[1]P-GENERAL'!O203="","",'[1]P-GENERAL'!O203)</f>
        <v>46277</v>
      </c>
      <c r="P203" s="16">
        <f>IF('[1]P-GENERAL'!P203="","",'[1]P-GENERAL'!P203)</f>
        <v>0.62708333333333333</v>
      </c>
      <c r="Q203" t="str">
        <f>IF('[1]P-GENERAL'!Q203="","",'[1]P-GENERAL'!Q203)</f>
        <v>NORMAL</v>
      </c>
      <c r="R203" s="14">
        <f>IF('[1]P-GENERAL'!R203="","",'[1]P-GENERAL'!R203)</f>
        <v>46279</v>
      </c>
      <c r="S203" s="16">
        <f>IF('[1]P-GENERAL'!S203="","",'[1]P-GENERAL'!S203)</f>
        <v>0.56388888888888888</v>
      </c>
      <c r="T203" s="16">
        <f>IF('[1]P-GENERAL'!T203="","",'[1]P-GENERAL'!T203)</f>
        <v>0.41666666666666669</v>
      </c>
      <c r="U203" s="17">
        <f>IF('[1]P-GENERAL'!U203="","",'[1]P-GENERAL'!U203)</f>
        <v>46279.98055555555</v>
      </c>
      <c r="V203" s="14">
        <f>IF('[1]P-GENERAL'!V203="","",'[1]P-GENERAL'!V203)</f>
        <v>46280</v>
      </c>
      <c r="W203" s="16">
        <f>IF('[1]P-GENERAL'!W203="","",'[1]P-GENERAL'!W203)</f>
        <v>0.60069444444444442</v>
      </c>
      <c r="X203" s="14" t="str">
        <f>IF('[1]P-GENERAL'!X203="","",'[1]P-GENERAL'!X203)</f>
        <v>SI CUMPLE</v>
      </c>
      <c r="Y203" s="14" t="str">
        <f>IF('[1]P-GENERAL'!Y203="","",'[1]P-GENERAL'!Y203)</f>
        <v>SI CUMPLE</v>
      </c>
      <c r="Z203" s="14" t="str">
        <f>IF('[1]P-GENERAL'!Z203="","",'[1]P-GENERAL'!Z203)</f>
        <v/>
      </c>
      <c r="AA203" s="14" t="str">
        <f>IF('[1]P-GENERAL'!AA203="","",'[1]P-GENERAL'!AA203)</f>
        <v>DESPACHADO</v>
      </c>
      <c r="AB203" s="8" t="str">
        <f>IF('[1]P-GENERAL'!AB203="","",'[1]P-GENERAL'!AB203)</f>
        <v>BACKHAUL</v>
      </c>
      <c r="AC203" s="8" t="str">
        <f>IF('[1]P-GENERAL'!AC203="","",'[1]P-GENERAL'!AC203)</f>
        <v>CANDELARIO ARIAS LOPEZ</v>
      </c>
      <c r="AD203">
        <f>IF('[1]P-GENERAL'!AD203="","",'[1]P-GENERAL'!AD203)</f>
        <v>18103</v>
      </c>
      <c r="AE203" t="str">
        <f>IF('[1]P-GENERAL'!AE203="","",'[1]P-GENERAL'!AE203)</f>
        <v>QCH1W045R0</v>
      </c>
    </row>
    <row r="204" spans="1:31" ht="20.25" x14ac:dyDescent="0.3">
      <c r="A204" s="11" t="str">
        <f>IF('[1]P-GENERAL'!A204="","",'[1]P-GENERAL'!A204)</f>
        <v>Chanitos Premium Tarima Chep</v>
      </c>
      <c r="B204" s="11" t="str">
        <f>IF('[1]P-GENERAL'!B204="","",'[1]P-GENERAL'!B204)</f>
        <v>CPR01102</v>
      </c>
      <c r="C204" t="str">
        <f>IF('[1]P-GENERAL'!C204="","",'[1]P-GENERAL'!C204)</f>
        <v>A01003-371109-1</v>
      </c>
      <c r="D204" t="str">
        <f>IF('[1]P-GENERAL'!D204="","",'[1]P-GENERAL'!D204)</f>
        <v>A01 003 Doña Nelly</v>
      </c>
      <c r="E204" s="8" t="str">
        <f>IF('[1]P-GENERAL'!E204="","",'[1]P-GENERAL'!E204)</f>
        <v>SMO</v>
      </c>
      <c r="F204" s="12">
        <f>IF('[1]P-GENERAL'!F204="","",'[1]P-GENERAL'!F204)</f>
        <v>720</v>
      </c>
      <c r="G204" s="13">
        <f>IF('[1]P-GENERAL'!G204="","",'[1]P-GENERAL'!G204)</f>
        <v>15</v>
      </c>
      <c r="H204" s="14">
        <f>IF('[1]P-GENERAL'!H204="","",'[1]P-GENERAL'!H204)</f>
        <v>46276</v>
      </c>
      <c r="I204">
        <f>IF('[1]P-GENERAL'!I204="","",'[1]P-GENERAL'!I204)</f>
        <v>37</v>
      </c>
      <c r="J204" s="15">
        <f>IF('[1]P-GENERAL'!J204="","",'[1]P-GENERAL'!J204)</f>
        <v>46281</v>
      </c>
      <c r="K204" s="14" t="str">
        <f>IF('[1]P-GENERAL'!K204="","",'[1]P-GENERAL'!K204)</f>
        <v/>
      </c>
      <c r="L204" s="14" t="str">
        <f>IF('[1]P-GENERAL'!L204="","",'[1]P-GENERAL'!L204)</f>
        <v>PREENFRIO NELLY</v>
      </c>
      <c r="M204">
        <f>IF('[1]P-GENERAL'!M204="","",'[1]P-GENERAL'!M204)</f>
        <v>1.5</v>
      </c>
      <c r="N204">
        <f>IF('[1]P-GENERAL'!N204="","",'[1]P-GENERAL'!N204)</f>
        <v>36</v>
      </c>
      <c r="O204" s="14">
        <f>IF('[1]P-GENERAL'!O204="","",'[1]P-GENERAL'!O204)</f>
        <v>46276</v>
      </c>
      <c r="P204" s="16">
        <f>IF('[1]P-GENERAL'!P204="","",'[1]P-GENERAL'!P204)</f>
        <v>0.75</v>
      </c>
      <c r="Q204" t="str">
        <f>IF('[1]P-GENERAL'!Q204="","",'[1]P-GENERAL'!Q204)</f>
        <v>NORMAL</v>
      </c>
      <c r="R204" s="14">
        <f>IF('[1]P-GENERAL'!R204="","",'[1]P-GENERAL'!R204)</f>
        <v>46277</v>
      </c>
      <c r="S204" s="16">
        <f>IF('[1]P-GENERAL'!S204="","",'[1]P-GENERAL'!S204)</f>
        <v>0.63194444444444442</v>
      </c>
      <c r="T204" s="16">
        <f>IF('[1]P-GENERAL'!T204="","",'[1]P-GENERAL'!T204)</f>
        <v>0.35416666666666669</v>
      </c>
      <c r="U204" s="17">
        <f>IF('[1]P-GENERAL'!U204="","",'[1]P-GENERAL'!U204)</f>
        <v>46277.986111111109</v>
      </c>
      <c r="V204" s="14">
        <f>IF('[1]P-GENERAL'!V204="","",'[1]P-GENERAL'!V204)</f>
        <v>46279</v>
      </c>
      <c r="W204" s="16">
        <f>IF('[1]P-GENERAL'!W204="","",'[1]P-GENERAL'!W204)</f>
        <v>0.76388888888888884</v>
      </c>
      <c r="X204" s="14" t="str">
        <f>IF('[1]P-GENERAL'!X204="","",'[1]P-GENERAL'!X204)</f>
        <v>SI CUMPLE</v>
      </c>
      <c r="Y204" s="14" t="str">
        <f>IF('[1]P-GENERAL'!Y204="","",'[1]P-GENERAL'!Y204)</f>
        <v>NO CUMPLE</v>
      </c>
      <c r="Z204" s="14" t="str">
        <f>IF('[1]P-GENERAL'!Z204="","",'[1]P-GENERAL'!Z204)</f>
        <v>POSICIONAMIENTO DE TRANSPORTE</v>
      </c>
      <c r="AA204" s="14" t="str">
        <f>IF('[1]P-GENERAL'!AA204="","",'[1]P-GENERAL'!AA204)</f>
        <v>DESPACHADO</v>
      </c>
      <c r="AB204" s="8" t="str">
        <f>IF('[1]P-GENERAL'!AB204="","",'[1]P-GENERAL'!AB204)</f>
        <v>TRANSPORTES SUAREZ</v>
      </c>
      <c r="AC204" s="8" t="str">
        <f>IF('[1]P-GENERAL'!AC204="","",'[1]P-GENERAL'!AC204)</f>
        <v>CANDIDO SUAREZ SANCHEZ</v>
      </c>
      <c r="AD204">
        <f>IF('[1]P-GENERAL'!AD204="","",'[1]P-GENERAL'!AD204)</f>
        <v>64225</v>
      </c>
      <c r="AE204" t="str">
        <f>IF('[1]P-GENERAL'!AE204="","",'[1]P-GENERAL'!AE204)</f>
        <v>QCH1W03NA0</v>
      </c>
    </row>
    <row r="205" spans="1:31" ht="20.25" x14ac:dyDescent="0.3">
      <c r="A205" s="11" t="str">
        <f>IF('[1]P-GENERAL'!A205="","",'[1]P-GENERAL'!A205)</f>
        <v>Chanitos Premium Tarima Americana</v>
      </c>
      <c r="B205" s="11" t="str">
        <f>IF('[1]P-GENERAL'!B205="","",'[1]P-GENERAL'!B205)</f>
        <v>CPR01103</v>
      </c>
      <c r="C205" t="str">
        <f>IF('[1]P-GENERAL'!C205="","",'[1]P-GENERAL'!C205)</f>
        <v>A01003-371109-1</v>
      </c>
      <c r="D205" t="str">
        <f>IF('[1]P-GENERAL'!D205="","",'[1]P-GENERAL'!D205)</f>
        <v>A01 003 Doña Nelly</v>
      </c>
      <c r="E205" s="8" t="str">
        <f>IF('[1]P-GENERAL'!E205="","",'[1]P-GENERAL'!E205)</f>
        <v>S-MTY</v>
      </c>
      <c r="F205" s="12">
        <f>IF('[1]P-GENERAL'!F205="","",'[1]P-GENERAL'!F205)</f>
        <v>480</v>
      </c>
      <c r="G205" s="13">
        <f>IF('[1]P-GENERAL'!G205="","",'[1]P-GENERAL'!G205)</f>
        <v>10</v>
      </c>
      <c r="H205" s="14">
        <f>IF('[1]P-GENERAL'!H205="","",'[1]P-GENERAL'!H205)</f>
        <v>46276</v>
      </c>
      <c r="I205">
        <f>IF('[1]P-GENERAL'!I205="","",'[1]P-GENERAL'!I205)</f>
        <v>37</v>
      </c>
      <c r="J205" s="15">
        <f>IF('[1]P-GENERAL'!J205="","",'[1]P-GENERAL'!J205)</f>
        <v>46283</v>
      </c>
      <c r="K205" s="14" t="str">
        <f>IF('[1]P-GENERAL'!K205="","",'[1]P-GENERAL'!K205)</f>
        <v/>
      </c>
      <c r="L205" s="14" t="str">
        <f>IF('[1]P-GENERAL'!L205="","",'[1]P-GENERAL'!L205)</f>
        <v>PREENFRIO NELLY</v>
      </c>
      <c r="M205">
        <f>IF('[1]P-GENERAL'!M205="","",'[1]P-GENERAL'!M205)</f>
        <v>3</v>
      </c>
      <c r="N205">
        <f>IF('[1]P-GENERAL'!N205="","",'[1]P-GENERAL'!N205)</f>
        <v>72</v>
      </c>
      <c r="O205" s="14">
        <f>IF('[1]P-GENERAL'!O205="","",'[1]P-GENERAL'!O205)</f>
        <v>46276</v>
      </c>
      <c r="P205" s="16">
        <f>IF('[1]P-GENERAL'!P205="","",'[1]P-GENERAL'!P205)</f>
        <v>0.75</v>
      </c>
      <c r="Q205" t="str">
        <f>IF('[1]P-GENERAL'!Q205="","",'[1]P-GENERAL'!Q205)</f>
        <v>NORMAL</v>
      </c>
      <c r="R205" s="14">
        <f>IF('[1]P-GENERAL'!R205="","",'[1]P-GENERAL'!R205)</f>
        <v>46277</v>
      </c>
      <c r="S205" s="16">
        <f>IF('[1]P-GENERAL'!S205="","",'[1]P-GENERAL'!S205)</f>
        <v>0.63194444444444442</v>
      </c>
      <c r="T205" s="16">
        <f>IF('[1]P-GENERAL'!T205="","",'[1]P-GENERAL'!T205)</f>
        <v>0.4375</v>
      </c>
      <c r="U205" s="17">
        <f>IF('[1]P-GENERAL'!U205="","",'[1]P-GENERAL'!U205)</f>
        <v>46278.069444444445</v>
      </c>
      <c r="V205" s="14">
        <f>IF('[1]P-GENERAL'!V205="","",'[1]P-GENERAL'!V205)</f>
        <v>46278</v>
      </c>
      <c r="W205" s="16">
        <f>IF('[1]P-GENERAL'!W205="","",'[1]P-GENERAL'!W205)</f>
        <v>0.75</v>
      </c>
      <c r="X205" s="14" t="str">
        <f>IF('[1]P-GENERAL'!X205="","",'[1]P-GENERAL'!X205)</f>
        <v>SI CUMPLE</v>
      </c>
      <c r="Y205" s="14" t="str">
        <f>IF('[1]P-GENERAL'!Y205="","",'[1]P-GENERAL'!Y205)</f>
        <v>SI CUMPLE</v>
      </c>
      <c r="Z205" s="14" t="str">
        <f>IF('[1]P-GENERAL'!Z205="","",'[1]P-GENERAL'!Z205)</f>
        <v/>
      </c>
      <c r="AA205" s="14" t="str">
        <f>IF('[1]P-GENERAL'!AA205="","",'[1]P-GENERAL'!AA205)</f>
        <v>DESPACHADO</v>
      </c>
      <c r="AB205" s="8" t="str">
        <f>IF('[1]P-GENERAL'!AB205="","",'[1]P-GENERAL'!AB205)</f>
        <v>AUTO EXPRESS SEGOVIA</v>
      </c>
      <c r="AC205" s="8" t="str">
        <f>IF('[1]P-GENERAL'!AC205="","",'[1]P-GENERAL'!AC205)</f>
        <v>JOEL PEREZ TRINIDAD</v>
      </c>
      <c r="AD205">
        <f>IF('[1]P-GENERAL'!AD205="","",'[1]P-GENERAL'!AD205)</f>
        <v>36211</v>
      </c>
      <c r="AE205" t="str">
        <f>IF('[1]P-GENERAL'!AE205="","",'[1]P-GENERAL'!AE205)</f>
        <v>QCH1W03N60</v>
      </c>
    </row>
    <row r="206" spans="1:31" ht="20.25" x14ac:dyDescent="0.3">
      <c r="A206" s="11" t="str">
        <f>IF('[1]P-GENERAL'!A206="","",'[1]P-GENERAL'!A206)</f>
        <v>Chanitos Premium EUA Tarima Americana</v>
      </c>
      <c r="B206" s="11" t="str">
        <f>IF('[1]P-GENERAL'!B206="","",'[1]P-GENERAL'!B206)</f>
        <v>CPR01104</v>
      </c>
      <c r="C206" t="str">
        <f>IF('[1]P-GENERAL'!C206="","",'[1]P-GENERAL'!C206)</f>
        <v>A04037-371209-1</v>
      </c>
      <c r="D206" t="str">
        <f>IF('[1]P-GENERAL'!D206="","",'[1]P-GENERAL'!D206)</f>
        <v>A04 037 Josefina Nava</v>
      </c>
      <c r="E206" s="8" t="str">
        <f>IF('[1]P-GENERAL'!E206="","",'[1]P-GENERAL'!E206)</f>
        <v>McAllen</v>
      </c>
      <c r="F206" s="12">
        <f>IF('[1]P-GENERAL'!F206="","",'[1]P-GENERAL'!F206)</f>
        <v>960</v>
      </c>
      <c r="G206" s="13">
        <f>IF('[1]P-GENERAL'!G206="","",'[1]P-GENERAL'!G206)</f>
        <v>20</v>
      </c>
      <c r="H206" s="14">
        <f>IF('[1]P-GENERAL'!H206="","",'[1]P-GENERAL'!H206)</f>
        <v>46277</v>
      </c>
      <c r="I206">
        <f>IF('[1]P-GENERAL'!I206="","",'[1]P-GENERAL'!I206)</f>
        <v>37</v>
      </c>
      <c r="J206" s="15">
        <f>IF('[1]P-GENERAL'!J206="","",'[1]P-GENERAL'!J206)</f>
        <v>46282</v>
      </c>
      <c r="K206" s="14" t="str">
        <f>IF('[1]P-GENERAL'!K206="","",'[1]P-GENERAL'!K206)</f>
        <v/>
      </c>
      <c r="L206" s="14" t="str">
        <f>IF('[1]P-GENERAL'!L206="","",'[1]P-GENERAL'!L206)</f>
        <v>PREENFRIO NELLY</v>
      </c>
      <c r="M206">
        <f>IF('[1]P-GENERAL'!M206="","",'[1]P-GENERAL'!M206)</f>
        <v>3</v>
      </c>
      <c r="N206">
        <f>IF('[1]P-GENERAL'!N206="","",'[1]P-GENERAL'!N206)</f>
        <v>72</v>
      </c>
      <c r="O206" s="14">
        <f>IF('[1]P-GENERAL'!O206="","",'[1]P-GENERAL'!O206)</f>
        <v>46277</v>
      </c>
      <c r="P206" s="16">
        <f>IF('[1]P-GENERAL'!P206="","",'[1]P-GENERAL'!P206)</f>
        <v>0.75</v>
      </c>
      <c r="Q206" t="str">
        <f>IF('[1]P-GENERAL'!Q206="","",'[1]P-GENERAL'!Q206)</f>
        <v>NORMAL</v>
      </c>
      <c r="R206" s="14">
        <f>IF('[1]P-GENERAL'!R206="","",'[1]P-GENERAL'!R206)</f>
        <v>46278</v>
      </c>
      <c r="S206" s="16">
        <f>IF('[1]P-GENERAL'!S206="","",'[1]P-GENERAL'!S206)</f>
        <v>0.86111111111111116</v>
      </c>
      <c r="T206" s="16">
        <f>IF('[1]P-GENERAL'!T206="","",'[1]P-GENERAL'!T206)</f>
        <v>0.35416666666666669</v>
      </c>
      <c r="U206" s="17">
        <f>IF('[1]P-GENERAL'!U206="","",'[1]P-GENERAL'!U206)</f>
        <v>46279.215277777774</v>
      </c>
      <c r="V206" s="14">
        <f>IF('[1]P-GENERAL'!V206="","",'[1]P-GENERAL'!V206)</f>
        <v>46279</v>
      </c>
      <c r="W206" s="16">
        <f>IF('[1]P-GENERAL'!W206="","",'[1]P-GENERAL'!W206)</f>
        <v>0.70486111111111116</v>
      </c>
      <c r="X206" s="14" t="str">
        <f>IF('[1]P-GENERAL'!X206="","",'[1]P-GENERAL'!X206)</f>
        <v>NO CUMPLE</v>
      </c>
      <c r="Y206" s="14" t="str">
        <f>IF('[1]P-GENERAL'!Y206="","",'[1]P-GENERAL'!Y206)</f>
        <v>NO CUMPLE</v>
      </c>
      <c r="Z206" s="14" t="str">
        <f>IF('[1]P-GENERAL'!Z206="","",'[1]P-GENERAL'!Z206)</f>
        <v/>
      </c>
      <c r="AA206" s="14" t="str">
        <f>IF('[1]P-GENERAL'!AA206="","",'[1]P-GENERAL'!AA206)</f>
        <v>DESPACHADO</v>
      </c>
      <c r="AB206" s="8" t="str">
        <f>IF('[1]P-GENERAL'!AB206="","",'[1]P-GENERAL'!AB206)</f>
        <v>ALGEZA</v>
      </c>
      <c r="AC206" s="8" t="str">
        <f>IF('[1]P-GENERAL'!AC206="","",'[1]P-GENERAL'!AC206)</f>
        <v>LIMBETH YOHANNI</v>
      </c>
      <c r="AD206" t="str">
        <f>IF('[1]P-GENERAL'!AD206="","",'[1]P-GENERAL'!AD206)</f>
        <v/>
      </c>
      <c r="AE206" t="str">
        <f>IF('[1]P-GENERAL'!AE206="","",'[1]P-GENERAL'!AE206)</f>
        <v/>
      </c>
    </row>
    <row r="207" spans="1:31" ht="20.25" x14ac:dyDescent="0.3">
      <c r="A207" s="11" t="str">
        <f>IF('[1]P-GENERAL'!A207="","",'[1]P-GENERAL'!A207)</f>
        <v>Chanitos Premium Tarima Chep</v>
      </c>
      <c r="B207" s="11" t="str">
        <f>IF('[1]P-GENERAL'!B207="","",'[1]P-GENERAL'!B207)</f>
        <v>CPR01102</v>
      </c>
      <c r="C207" t="str">
        <f>IF('[1]P-GENERAL'!C207="","",'[1]P-GENERAL'!C207)</f>
        <v>A01002-371109-1</v>
      </c>
      <c r="D207" t="str">
        <f>IF('[1]P-GENERAL'!D207="","",'[1]P-GENERAL'!D207)</f>
        <v>A01 002 Fortaleza</v>
      </c>
      <c r="E207" s="8" t="str">
        <f>IF('[1]P-GENERAL'!E207="","",'[1]P-GENERAL'!E207)</f>
        <v>QRO</v>
      </c>
      <c r="F207" s="12">
        <f>IF('[1]P-GENERAL'!F207="","",'[1]P-GENERAL'!F207)</f>
        <v>144</v>
      </c>
      <c r="G207" s="13">
        <f>IF('[1]P-GENERAL'!G207="","",'[1]P-GENERAL'!G207)</f>
        <v>3</v>
      </c>
      <c r="H207" s="14">
        <f>IF('[1]P-GENERAL'!H207="","",'[1]P-GENERAL'!H207)</f>
        <v>46276</v>
      </c>
      <c r="I207">
        <f>IF('[1]P-GENERAL'!I207="","",'[1]P-GENERAL'!I207)</f>
        <v>37</v>
      </c>
      <c r="J207" s="15">
        <f>IF('[1]P-GENERAL'!J207="","",'[1]P-GENERAL'!J207)</f>
        <v>46283</v>
      </c>
      <c r="K207" s="14" t="str">
        <f>IF('[1]P-GENERAL'!K207="","",'[1]P-GENERAL'!K207)</f>
        <v/>
      </c>
      <c r="L207" s="14" t="str">
        <f>IF('[1]P-GENERAL'!L207="","",'[1]P-GENERAL'!L207)</f>
        <v>PREENFRIO FORTALEZA</v>
      </c>
      <c r="M207">
        <f>IF('[1]P-GENERAL'!M207="","",'[1]P-GENERAL'!M207)</f>
        <v>1.5</v>
      </c>
      <c r="N207">
        <f>IF('[1]P-GENERAL'!N207="","",'[1]P-GENERAL'!N207)</f>
        <v>36</v>
      </c>
      <c r="O207" s="14">
        <f>IF('[1]P-GENERAL'!O207="","",'[1]P-GENERAL'!O207)</f>
        <v>46276</v>
      </c>
      <c r="P207" s="16">
        <f>IF('[1]P-GENERAL'!P207="","",'[1]P-GENERAL'!P207)</f>
        <v>0.75</v>
      </c>
      <c r="Q207" t="str">
        <f>IF('[1]P-GENERAL'!Q207="","",'[1]P-GENERAL'!Q207)</f>
        <v>NORMAL</v>
      </c>
      <c r="R207" s="14">
        <f>IF('[1]P-GENERAL'!R207="","",'[1]P-GENERAL'!R207)</f>
        <v>46279</v>
      </c>
      <c r="S207" s="16">
        <f>IF('[1]P-GENERAL'!S207="","",'[1]P-GENERAL'!S207)</f>
        <v>0.93958333333333333</v>
      </c>
      <c r="T207" s="16">
        <f>IF('[1]P-GENERAL'!T207="","",'[1]P-GENERAL'!T207)</f>
        <v>0.625</v>
      </c>
      <c r="U207" s="17">
        <f>IF('[1]P-GENERAL'!U207="","",'[1]P-GENERAL'!U207)</f>
        <v>46280.564583333333</v>
      </c>
      <c r="V207" s="14">
        <f>IF('[1]P-GENERAL'!V207="","",'[1]P-GENERAL'!V207)</f>
        <v>46280</v>
      </c>
      <c r="W207" s="16">
        <f>IF('[1]P-GENERAL'!W207="","",'[1]P-GENERAL'!W207)</f>
        <v>0.72569444444444442</v>
      </c>
      <c r="X207" s="14" t="str">
        <f>IF('[1]P-GENERAL'!X207="","",'[1]P-GENERAL'!X207)</f>
        <v>SI CUMPLE</v>
      </c>
      <c r="Y207" s="14" t="str">
        <f>IF('[1]P-GENERAL'!Y207="","",'[1]P-GENERAL'!Y207)</f>
        <v>SI CUMPLE</v>
      </c>
      <c r="Z207" s="14" t="str">
        <f>IF('[1]P-GENERAL'!Z207="","",'[1]P-GENERAL'!Z207)</f>
        <v/>
      </c>
      <c r="AA207" s="14" t="str">
        <f>IF('[1]P-GENERAL'!AA207="","",'[1]P-GENERAL'!AA207)</f>
        <v>DESPACHADO</v>
      </c>
      <c r="AB207" s="8" t="str">
        <f>IF('[1]P-GENERAL'!AB207="","",'[1]P-GENERAL'!AB207)</f>
        <v>MARIBEL TORRES CASTILLO</v>
      </c>
      <c r="AC207" s="8" t="str">
        <f>IF('[1]P-GENERAL'!AC207="","",'[1]P-GENERAL'!AC207)</f>
        <v>JESUS SANTANA</v>
      </c>
      <c r="AD207">
        <f>IF('[1]P-GENERAL'!AD207="","",'[1]P-GENERAL'!AD207)</f>
        <v>21535</v>
      </c>
      <c r="AE207" t="str">
        <f>IF('[1]P-GENERAL'!AE207="","",'[1]P-GENERAL'!AE207)</f>
        <v>QCH1W046M0</v>
      </c>
    </row>
    <row r="208" spans="1:31" ht="20.25" x14ac:dyDescent="0.3">
      <c r="A208" s="11" t="str">
        <f>IF('[1]P-GENERAL'!A208="","",'[1]P-GENERAL'!A208)</f>
        <v>Chanitos Premium EUA Tarima Americana</v>
      </c>
      <c r="B208" s="11" t="str">
        <f>IF('[1]P-GENERAL'!B208="","",'[1]P-GENERAL'!B208)</f>
        <v>CPR01104</v>
      </c>
      <c r="C208" t="str">
        <f>IF('[1]P-GENERAL'!C208="","",'[1]P-GENERAL'!C208)</f>
        <v>A04083-371209-1</v>
      </c>
      <c r="D208" t="str">
        <f>IF('[1]P-GENERAL'!D208="","",'[1]P-GENERAL'!D208)</f>
        <v>A04 083 Santa Maria</v>
      </c>
      <c r="E208" s="8" t="str">
        <f>IF('[1]P-GENERAL'!E208="","",'[1]P-GENERAL'!E208)</f>
        <v>McAllen</v>
      </c>
      <c r="F208" s="12">
        <f>IF('[1]P-GENERAL'!F208="","",'[1]P-GENERAL'!F208)</f>
        <v>960</v>
      </c>
      <c r="G208" s="13">
        <f>IF('[1]P-GENERAL'!G208="","",'[1]P-GENERAL'!G208)</f>
        <v>20</v>
      </c>
      <c r="H208" s="14">
        <f>IF('[1]P-GENERAL'!H208="","",'[1]P-GENERAL'!H208)</f>
        <v>46277</v>
      </c>
      <c r="I208">
        <f>IF('[1]P-GENERAL'!I208="","",'[1]P-GENERAL'!I208)</f>
        <v>37</v>
      </c>
      <c r="J208" s="15">
        <f>IF('[1]P-GENERAL'!J208="","",'[1]P-GENERAL'!J208)</f>
        <v>46282</v>
      </c>
      <c r="K208" s="14" t="str">
        <f>IF('[1]P-GENERAL'!K208="","",'[1]P-GENERAL'!K208)</f>
        <v/>
      </c>
      <c r="L208" s="14" t="str">
        <f>IF('[1]P-GENERAL'!L208="","",'[1]P-GENERAL'!L208)</f>
        <v>PREENFRIO NELLY</v>
      </c>
      <c r="M208">
        <f>IF('[1]P-GENERAL'!M208="","",'[1]P-GENERAL'!M208)</f>
        <v>3</v>
      </c>
      <c r="N208">
        <f>IF('[1]P-GENERAL'!N208="","",'[1]P-GENERAL'!N208)</f>
        <v>72</v>
      </c>
      <c r="O208" s="14">
        <f>IF('[1]P-GENERAL'!O208="","",'[1]P-GENERAL'!O208)</f>
        <v>46277</v>
      </c>
      <c r="P208" s="16">
        <f>IF('[1]P-GENERAL'!P208="","",'[1]P-GENERAL'!P208)</f>
        <v>0.75</v>
      </c>
      <c r="Q208" t="str">
        <f>IF('[1]P-GENERAL'!Q208="","",'[1]P-GENERAL'!Q208)</f>
        <v>NORMAL</v>
      </c>
      <c r="R208" s="14">
        <f>IF('[1]P-GENERAL'!R208="","",'[1]P-GENERAL'!R208)</f>
        <v>46279</v>
      </c>
      <c r="S208" s="16">
        <f>IF('[1]P-GENERAL'!S208="","",'[1]P-GENERAL'!S208)</f>
        <v>0.28472222222222221</v>
      </c>
      <c r="T208" s="16">
        <f>IF('[1]P-GENERAL'!T208="","",'[1]P-GENERAL'!T208)</f>
        <v>0.35416666666666669</v>
      </c>
      <c r="U208" s="17">
        <f>IF('[1]P-GENERAL'!U208="","",'[1]P-GENERAL'!U208)</f>
        <v>46279.638888888883</v>
      </c>
      <c r="V208" s="14">
        <f>IF('[1]P-GENERAL'!V208="","",'[1]P-GENERAL'!V208)</f>
        <v>46279</v>
      </c>
      <c r="W208" s="16">
        <f>IF('[1]P-GENERAL'!W208="","",'[1]P-GENERAL'!W208)</f>
        <v>0.70486111111111116</v>
      </c>
      <c r="X208" s="14" t="str">
        <f>IF('[1]P-GENERAL'!X208="","",'[1]P-GENERAL'!X208)</f>
        <v>NO CUMPLE</v>
      </c>
      <c r="Y208" s="14" t="str">
        <f>IF('[1]P-GENERAL'!Y208="","",'[1]P-GENERAL'!Y208)</f>
        <v>NO CUMPLE</v>
      </c>
      <c r="Z208" s="14" t="str">
        <f>IF('[1]P-GENERAL'!Z208="","",'[1]P-GENERAL'!Z208)</f>
        <v/>
      </c>
      <c r="AA208" s="14" t="str">
        <f>IF('[1]P-GENERAL'!AA208="","",'[1]P-GENERAL'!AA208)</f>
        <v>DESPACHADO</v>
      </c>
      <c r="AB208" s="8" t="str">
        <f>IF('[1]P-GENERAL'!AB208="","",'[1]P-GENERAL'!AB208)</f>
        <v>ALGEZA</v>
      </c>
      <c r="AC208" s="8" t="str">
        <f>IF('[1]P-GENERAL'!AC208="","",'[1]P-GENERAL'!AC208)</f>
        <v>LIMBETH YOHANNI</v>
      </c>
      <c r="AD208" t="str">
        <f>IF('[1]P-GENERAL'!AD208="","",'[1]P-GENERAL'!AD208)</f>
        <v/>
      </c>
      <c r="AE208" t="str">
        <f>IF('[1]P-GENERAL'!AE208="","",'[1]P-GENERAL'!AE208)</f>
        <v/>
      </c>
    </row>
    <row r="209" spans="1:31" ht="20.25" x14ac:dyDescent="0.3">
      <c r="A209" s="11" t="str">
        <f>IF('[1]P-GENERAL'!A209="","",'[1]P-GENERAL'!A209)</f>
        <v>Chanitos Premium Tarima Americana</v>
      </c>
      <c r="B209" s="11" t="str">
        <f>IF('[1]P-GENERAL'!B209="","",'[1]P-GENERAL'!B209)</f>
        <v>CPR01103</v>
      </c>
      <c r="C209" t="str">
        <f>IF('[1]P-GENERAL'!C209="","",'[1]P-GENERAL'!C209)</f>
        <v>A05040-371109-1</v>
      </c>
      <c r="D209" t="str">
        <f>IF('[1]P-GENERAL'!D209="","",'[1]P-GENERAL'!D209)</f>
        <v>A11 Sector Mazatan</v>
      </c>
      <c r="E209" s="8" t="str">
        <f>IF('[1]P-GENERAL'!E209="","",'[1]P-GENERAL'!E209)</f>
        <v>S-MTY</v>
      </c>
      <c r="F209" s="12">
        <f>IF('[1]P-GENERAL'!F209="","",'[1]P-GENERAL'!F209)</f>
        <v>480</v>
      </c>
      <c r="G209" s="13">
        <f>IF('[1]P-GENERAL'!G209="","",'[1]P-GENERAL'!G209)</f>
        <v>10</v>
      </c>
      <c r="H209" s="14">
        <f>IF('[1]P-GENERAL'!H209="","",'[1]P-GENERAL'!H209)</f>
        <v>46276</v>
      </c>
      <c r="I209">
        <f>IF('[1]P-GENERAL'!I209="","",'[1]P-GENERAL'!I209)</f>
        <v>37</v>
      </c>
      <c r="J209" s="15">
        <f>IF('[1]P-GENERAL'!J209="","",'[1]P-GENERAL'!J209)</f>
        <v>46283</v>
      </c>
      <c r="K209" s="14" t="str">
        <f>IF('[1]P-GENERAL'!K209="","",'[1]P-GENERAL'!K209)</f>
        <v/>
      </c>
      <c r="L209" s="14" t="str">
        <f>IF('[1]P-GENERAL'!L209="","",'[1]P-GENERAL'!L209)</f>
        <v>PREENFRIO NELLY</v>
      </c>
      <c r="M209">
        <f>IF('[1]P-GENERAL'!M209="","",'[1]P-GENERAL'!M209)</f>
        <v>3</v>
      </c>
      <c r="N209">
        <f>IF('[1]P-GENERAL'!N209="","",'[1]P-GENERAL'!N209)</f>
        <v>72</v>
      </c>
      <c r="O209" s="14">
        <f>IF('[1]P-GENERAL'!O209="","",'[1]P-GENERAL'!O209)</f>
        <v>46277</v>
      </c>
      <c r="P209" s="16">
        <f>IF('[1]P-GENERAL'!P209="","",'[1]P-GENERAL'!P209)</f>
        <v>0.85069444444444442</v>
      </c>
      <c r="Q209" t="str">
        <f>IF('[1]P-GENERAL'!Q209="","",'[1]P-GENERAL'!Q209)</f>
        <v>NORMAL</v>
      </c>
      <c r="R209" s="14">
        <f>IF('[1]P-GENERAL'!R209="","",'[1]P-GENERAL'!R209)</f>
        <v>46278</v>
      </c>
      <c r="S209" s="16">
        <f>IF('[1]P-GENERAL'!S209="","",'[1]P-GENERAL'!S209)</f>
        <v>6.9444444444444448E-2</v>
      </c>
      <c r="T209" s="16">
        <f>IF('[1]P-GENERAL'!T209="","",'[1]P-GENERAL'!T209)</f>
        <v>0.4375</v>
      </c>
      <c r="U209" s="17">
        <f>IF('[1]P-GENERAL'!U209="","",'[1]P-GENERAL'!U209)</f>
        <v>46278.506944444445</v>
      </c>
      <c r="V209" s="14">
        <f>IF('[1]P-GENERAL'!V209="","",'[1]P-GENERAL'!V209)</f>
        <v>46278</v>
      </c>
      <c r="W209" s="16">
        <f>IF('[1]P-GENERAL'!W209="","",'[1]P-GENERAL'!W209)</f>
        <v>0.75</v>
      </c>
      <c r="X209" s="14" t="str">
        <f>IF('[1]P-GENERAL'!X209="","",'[1]P-GENERAL'!X209)</f>
        <v>SI CUMPLE</v>
      </c>
      <c r="Y209" s="14" t="str">
        <f>IF('[1]P-GENERAL'!Y209="","",'[1]P-GENERAL'!Y209)</f>
        <v>SI CUMPLE</v>
      </c>
      <c r="Z209" s="14" t="str">
        <f>IF('[1]P-GENERAL'!Z209="","",'[1]P-GENERAL'!Z209)</f>
        <v/>
      </c>
      <c r="AA209" s="14" t="str">
        <f>IF('[1]P-GENERAL'!AA209="","",'[1]P-GENERAL'!AA209)</f>
        <v>DESPACHADO</v>
      </c>
      <c r="AB209" s="8" t="str">
        <f>IF('[1]P-GENERAL'!AB209="","",'[1]P-GENERAL'!AB209)</f>
        <v>AUTO EXPRESS SEGOVIA</v>
      </c>
      <c r="AC209" s="8" t="str">
        <f>IF('[1]P-GENERAL'!AC209="","",'[1]P-GENERAL'!AC209)</f>
        <v>JOEL PEREZ TRINIDAD</v>
      </c>
      <c r="AD209">
        <f>IF('[1]P-GENERAL'!AD209="","",'[1]P-GENERAL'!AD209)</f>
        <v>88667</v>
      </c>
      <c r="AE209" t="str">
        <f>IF('[1]P-GENERAL'!AE209="","",'[1]P-GENERAL'!AE209)</f>
        <v>QCH1W03N10</v>
      </c>
    </row>
    <row r="210" spans="1:31" ht="20.25" x14ac:dyDescent="0.3">
      <c r="A210" s="11" t="str">
        <f>IF('[1]P-GENERAL'!A210="","",'[1]P-GENERAL'!A210)</f>
        <v>Chanitos Premium EUA Tarima Americana</v>
      </c>
      <c r="B210" s="11" t="str">
        <f>IF('[1]P-GENERAL'!B210="","",'[1]P-GENERAL'!B210)</f>
        <v>CPR01104</v>
      </c>
      <c r="C210" t="str">
        <f>IF('[1]P-GENERAL'!C210="","",'[1]P-GENERAL'!C210)</f>
        <v>A01004-371209-1</v>
      </c>
      <c r="D210" t="str">
        <f>IF('[1]P-GENERAL'!D210="","",'[1]P-GENERAL'!D210)</f>
        <v>A01 004 La Ceiba</v>
      </c>
      <c r="E210" s="8" t="str">
        <f>IF('[1]P-GENERAL'!E210="","",'[1]P-GENERAL'!E210)</f>
        <v>McAllen</v>
      </c>
      <c r="F210" s="12">
        <f>IF('[1]P-GENERAL'!F210="","",'[1]P-GENERAL'!F210)</f>
        <v>960</v>
      </c>
      <c r="G210" s="13">
        <f>IF('[1]P-GENERAL'!G210="","",'[1]P-GENERAL'!G210)</f>
        <v>20</v>
      </c>
      <c r="H210" s="14">
        <f>IF('[1]P-GENERAL'!H210="","",'[1]P-GENERAL'!H210)</f>
        <v>46277</v>
      </c>
      <c r="I210">
        <f>IF('[1]P-GENERAL'!I210="","",'[1]P-GENERAL'!I210)</f>
        <v>37</v>
      </c>
      <c r="J210" s="15">
        <f>IF('[1]P-GENERAL'!J210="","",'[1]P-GENERAL'!J210)</f>
        <v>46283</v>
      </c>
      <c r="K210" s="14" t="str">
        <f>IF('[1]P-GENERAL'!K210="","",'[1]P-GENERAL'!K210)</f>
        <v/>
      </c>
      <c r="L210" s="14" t="str">
        <f>IF('[1]P-GENERAL'!L210="","",'[1]P-GENERAL'!L210)</f>
        <v>PREENFRIO FORTALEZA</v>
      </c>
      <c r="M210">
        <f>IF('[1]P-GENERAL'!M210="","",'[1]P-GENERAL'!M210)</f>
        <v>3</v>
      </c>
      <c r="N210">
        <f>IF('[1]P-GENERAL'!N210="","",'[1]P-GENERAL'!N210)</f>
        <v>72</v>
      </c>
      <c r="O210" s="14">
        <f>IF('[1]P-GENERAL'!O210="","",'[1]P-GENERAL'!O210)</f>
        <v>46277</v>
      </c>
      <c r="P210" s="16">
        <f>IF('[1]P-GENERAL'!P210="","",'[1]P-GENERAL'!P210)</f>
        <v>0.74097222222222225</v>
      </c>
      <c r="Q210" t="str">
        <f>IF('[1]P-GENERAL'!Q210="","",'[1]P-GENERAL'!Q210)</f>
        <v/>
      </c>
      <c r="R210" s="14" t="str">
        <f>IF('[1]P-GENERAL'!R210="","",'[1]P-GENERAL'!R210)</f>
        <v/>
      </c>
      <c r="S210" s="16" t="str">
        <f>IF('[1]P-GENERAL'!S210="","",'[1]P-GENERAL'!S210)</f>
        <v/>
      </c>
      <c r="T210" s="16" t="str">
        <f>IF('[1]P-GENERAL'!T210="","",'[1]P-GENERAL'!T210)</f>
        <v/>
      </c>
      <c r="U210" s="17" t="str">
        <f>IF('[1]P-GENERAL'!U210="","",'[1]P-GENERAL'!U210)</f>
        <v/>
      </c>
      <c r="V210" s="14">
        <f>IF('[1]P-GENERAL'!V210="","",'[1]P-GENERAL'!V210)</f>
        <v>46277</v>
      </c>
      <c r="W210" s="16">
        <f>IF('[1]P-GENERAL'!W210="","",'[1]P-GENERAL'!W210)</f>
        <v>0.86319444444444449</v>
      </c>
      <c r="X210" s="14" t="str">
        <f>IF('[1]P-GENERAL'!X210="","",'[1]P-GENERAL'!X210)</f>
        <v/>
      </c>
      <c r="Y210" s="14" t="str">
        <f>IF('[1]P-GENERAL'!Y210="","",'[1]P-GENERAL'!Y210)</f>
        <v>SI CUMPLE</v>
      </c>
      <c r="Z210" s="14" t="str">
        <f>IF('[1]P-GENERAL'!Z210="","",'[1]P-GENERAL'!Z210)</f>
        <v/>
      </c>
      <c r="AA210" s="14" t="str">
        <f>IF('[1]P-GENERAL'!AA210="","",'[1]P-GENERAL'!AA210)</f>
        <v>DESPACHADO</v>
      </c>
      <c r="AB210" s="8" t="str">
        <f>IF('[1]P-GENERAL'!AB210="","",'[1]P-GENERAL'!AB210)</f>
        <v>SEGOVIA</v>
      </c>
      <c r="AC210" s="8" t="str">
        <f>IF('[1]P-GENERAL'!AC210="","",'[1]P-GENERAL'!AC210)</f>
        <v>SAUL SANTIAGO</v>
      </c>
      <c r="AD210">
        <f>IF('[1]P-GENERAL'!AD210="","",'[1]P-GENERAL'!AD210)</f>
        <v>82292</v>
      </c>
      <c r="AE210" t="str">
        <f>IF('[1]P-GENERAL'!AE210="","",'[1]P-GENERAL'!AE210)</f>
        <v>QCH1W048K0</v>
      </c>
    </row>
    <row r="211" spans="1:31" ht="20.25" x14ac:dyDescent="0.3">
      <c r="A211" s="11" t="str">
        <f>IF('[1]P-GENERAL'!A211="","",'[1]P-GENERAL'!A211)</f>
        <v>Chanitos Premium Tarima Chep</v>
      </c>
      <c r="B211" s="11" t="str">
        <f>IF('[1]P-GENERAL'!B211="","",'[1]P-GENERAL'!B211)</f>
        <v>CPR01102</v>
      </c>
      <c r="C211" t="str">
        <f>IF('[1]P-GENERAL'!C211="","",'[1]P-GENERAL'!C211)</f>
        <v>A01002-371209-1</v>
      </c>
      <c r="D211" t="str">
        <f>IF('[1]P-GENERAL'!D211="","",'[1]P-GENERAL'!D211)</f>
        <v>A01 002 Fortaleza</v>
      </c>
      <c r="E211" s="8" t="str">
        <f>IF('[1]P-GENERAL'!E211="","",'[1]P-GENERAL'!E211)</f>
        <v>QRO</v>
      </c>
      <c r="F211" s="12">
        <f>IF('[1]P-GENERAL'!F211="","",'[1]P-GENERAL'!F211)</f>
        <v>48</v>
      </c>
      <c r="G211" s="13">
        <f>IF('[1]P-GENERAL'!G211="","",'[1]P-GENERAL'!G211)</f>
        <v>1</v>
      </c>
      <c r="H211" s="14">
        <f>IF('[1]P-GENERAL'!H211="","",'[1]P-GENERAL'!H211)</f>
        <v>46277</v>
      </c>
      <c r="I211">
        <f>IF('[1]P-GENERAL'!I211="","",'[1]P-GENERAL'!I211)</f>
        <v>37</v>
      </c>
      <c r="J211" s="15">
        <f>IF('[1]P-GENERAL'!J211="","",'[1]P-GENERAL'!J211)</f>
        <v>46283</v>
      </c>
      <c r="K211" s="14" t="str">
        <f>IF('[1]P-GENERAL'!K211="","",'[1]P-GENERAL'!K211)</f>
        <v/>
      </c>
      <c r="L211" s="14" t="str">
        <f>IF('[1]P-GENERAL'!L211="","",'[1]P-GENERAL'!L211)</f>
        <v>PREENFRIO FORTALEZA</v>
      </c>
      <c r="M211">
        <f>IF('[1]P-GENERAL'!M211="","",'[1]P-GENERAL'!M211)</f>
        <v>1.5</v>
      </c>
      <c r="N211">
        <f>IF('[1]P-GENERAL'!N211="","",'[1]P-GENERAL'!N211)</f>
        <v>36</v>
      </c>
      <c r="O211" s="14">
        <f>IF('[1]P-GENERAL'!O211="","",'[1]P-GENERAL'!O211)</f>
        <v>46277</v>
      </c>
      <c r="P211" s="16">
        <f>IF('[1]P-GENERAL'!P211="","",'[1]P-GENERAL'!P211)</f>
        <v>0.75</v>
      </c>
      <c r="Q211" t="str">
        <f>IF('[1]P-GENERAL'!Q211="","",'[1]P-GENERAL'!Q211)</f>
        <v>NORMAL</v>
      </c>
      <c r="R211" s="14">
        <f>IF('[1]P-GENERAL'!R211="","",'[1]P-GENERAL'!R211)</f>
        <v>46279</v>
      </c>
      <c r="S211" s="16">
        <f>IF('[1]P-GENERAL'!S211="","",'[1]P-GENERAL'!S211)</f>
        <v>0.93958333333333333</v>
      </c>
      <c r="T211" s="16">
        <f>IF('[1]P-GENERAL'!T211="","",'[1]P-GENERAL'!T211)</f>
        <v>0.625</v>
      </c>
      <c r="U211" s="17">
        <f>IF('[1]P-GENERAL'!U211="","",'[1]P-GENERAL'!U211)</f>
        <v>46280.564583333333</v>
      </c>
      <c r="V211" s="14">
        <f>IF('[1]P-GENERAL'!V211="","",'[1]P-GENERAL'!V211)</f>
        <v>46280</v>
      </c>
      <c r="W211" s="16">
        <f>IF('[1]P-GENERAL'!W211="","",'[1]P-GENERAL'!W211)</f>
        <v>0.72569444444444442</v>
      </c>
      <c r="X211" s="14" t="str">
        <f>IF('[1]P-GENERAL'!X211="","",'[1]P-GENERAL'!X211)</f>
        <v>SI CUMPLE</v>
      </c>
      <c r="Y211" s="14" t="str">
        <f>IF('[1]P-GENERAL'!Y211="","",'[1]P-GENERAL'!Y211)</f>
        <v>SI CUMPLE</v>
      </c>
      <c r="Z211" s="14" t="str">
        <f>IF('[1]P-GENERAL'!Z211="","",'[1]P-GENERAL'!Z211)</f>
        <v/>
      </c>
      <c r="AA211" s="14" t="str">
        <f>IF('[1]P-GENERAL'!AA211="","",'[1]P-GENERAL'!AA211)</f>
        <v>DESPACHADO</v>
      </c>
      <c r="AB211" s="8" t="str">
        <f>IF('[1]P-GENERAL'!AB211="","",'[1]P-GENERAL'!AB211)</f>
        <v>MARIBEL TORRES CASTILLO</v>
      </c>
      <c r="AC211" s="8" t="str">
        <f>IF('[1]P-GENERAL'!AC211="","",'[1]P-GENERAL'!AC211)</f>
        <v>JESUS SANTANA</v>
      </c>
      <c r="AD211">
        <f>IF('[1]P-GENERAL'!AD211="","",'[1]P-GENERAL'!AD211)</f>
        <v>21535</v>
      </c>
      <c r="AE211" t="str">
        <f>IF('[1]P-GENERAL'!AE211="","",'[1]P-GENERAL'!AE211)</f>
        <v>QCH1W046M0</v>
      </c>
    </row>
    <row r="212" spans="1:31" ht="20.25" x14ac:dyDescent="0.3">
      <c r="A212" s="11" t="str">
        <f>IF('[1]P-GENERAL'!A212="","",'[1]P-GENERAL'!A212)</f>
        <v>Chanitos Premium EUA Tarima Americana</v>
      </c>
      <c r="B212" s="11" t="str">
        <f>IF('[1]P-GENERAL'!B212="","",'[1]P-GENERAL'!B212)</f>
        <v>CPR01104</v>
      </c>
      <c r="C212" t="str">
        <f>IF('[1]P-GENERAL'!C212="","",'[1]P-GENERAL'!C212)</f>
        <v>A11045-371209-1</v>
      </c>
      <c r="D212" t="str">
        <f>IF('[1]P-GENERAL'!D212="","",'[1]P-GENERAL'!D212)</f>
        <v>A11 045 Sector Mazatan</v>
      </c>
      <c r="E212" s="8" t="str">
        <f>IF('[1]P-GENERAL'!E212="","",'[1]P-GENERAL'!E212)</f>
        <v>McAllen</v>
      </c>
      <c r="F212" s="12">
        <f>IF('[1]P-GENERAL'!F212="","",'[1]P-GENERAL'!F212)</f>
        <v>960</v>
      </c>
      <c r="G212" s="13">
        <f>IF('[1]P-GENERAL'!G212="","",'[1]P-GENERAL'!G212)</f>
        <v>20</v>
      </c>
      <c r="H212" s="14">
        <f>IF('[1]P-GENERAL'!H212="","",'[1]P-GENERAL'!H212)</f>
        <v>46277</v>
      </c>
      <c r="I212">
        <f>IF('[1]P-GENERAL'!I212="","",'[1]P-GENERAL'!I212)</f>
        <v>37</v>
      </c>
      <c r="J212" s="15">
        <f>IF('[1]P-GENERAL'!J212="","",'[1]P-GENERAL'!J212)</f>
        <v>46283</v>
      </c>
      <c r="K212" s="14" t="str">
        <f>IF('[1]P-GENERAL'!K212="","",'[1]P-GENERAL'!K212)</f>
        <v/>
      </c>
      <c r="L212" s="14" t="str">
        <f>IF('[1]P-GENERAL'!L212="","",'[1]P-GENERAL'!L212)</f>
        <v>PREENFRIO NELLY</v>
      </c>
      <c r="M212">
        <f>IF('[1]P-GENERAL'!M212="","",'[1]P-GENERAL'!M212)</f>
        <v>3</v>
      </c>
      <c r="N212">
        <f>IF('[1]P-GENERAL'!N212="","",'[1]P-GENERAL'!N212)</f>
        <v>72</v>
      </c>
      <c r="O212" s="14">
        <f>IF('[1]P-GENERAL'!O212="","",'[1]P-GENERAL'!O212)</f>
        <v>46277</v>
      </c>
      <c r="P212" s="16">
        <f>IF('[1]P-GENERAL'!P212="","",'[1]P-GENERAL'!P212)</f>
        <v>0.75</v>
      </c>
      <c r="Q212" t="str">
        <f>IF('[1]P-GENERAL'!Q212="","",'[1]P-GENERAL'!Q212)</f>
        <v>NORMAL</v>
      </c>
      <c r="R212" s="14">
        <f>IF('[1]P-GENERAL'!R212="","",'[1]P-GENERAL'!R212)</f>
        <v>46278</v>
      </c>
      <c r="S212" s="16">
        <f>IF('[1]P-GENERAL'!S212="","",'[1]P-GENERAL'!S212)</f>
        <v>0.50694444444444442</v>
      </c>
      <c r="T212" s="16">
        <f>IF('[1]P-GENERAL'!T212="","",'[1]P-GENERAL'!T212)</f>
        <v>0.35416666666666669</v>
      </c>
      <c r="U212" s="17">
        <f>IF('[1]P-GENERAL'!U212="","",'[1]P-GENERAL'!U212)</f>
        <v>46278.861111111109</v>
      </c>
      <c r="V212" s="14">
        <f>IF('[1]P-GENERAL'!V212="","",'[1]P-GENERAL'!V212)</f>
        <v>46279</v>
      </c>
      <c r="W212" s="16">
        <f>IF('[1]P-GENERAL'!W212="","",'[1]P-GENERAL'!W212)</f>
        <v>0.125</v>
      </c>
      <c r="X212" s="14" t="str">
        <f>IF('[1]P-GENERAL'!X212="","",'[1]P-GENERAL'!X212)</f>
        <v>SI CUMPLE</v>
      </c>
      <c r="Y212" s="14" t="str">
        <f>IF('[1]P-GENERAL'!Y212="","",'[1]P-GENERAL'!Y212)</f>
        <v>SI CUMPLE</v>
      </c>
      <c r="Z212" s="14" t="str">
        <f>IF('[1]P-GENERAL'!Z212="","",'[1]P-GENERAL'!Z212)</f>
        <v/>
      </c>
      <c r="AA212" s="14" t="str">
        <f>IF('[1]P-GENERAL'!AA212="","",'[1]P-GENERAL'!AA212)</f>
        <v>DESPACHADO</v>
      </c>
      <c r="AB212" s="8" t="str">
        <f>IF('[1]P-GENERAL'!AB212="","",'[1]P-GENERAL'!AB212)</f>
        <v>TOMATITOS</v>
      </c>
      <c r="AC212" s="8" t="str">
        <f>IF('[1]P-GENERAL'!AC212="","",'[1]P-GENERAL'!AC212)</f>
        <v>Jaime Alberto Rojas Salazar</v>
      </c>
      <c r="AD212">
        <f>IF('[1]P-GENERAL'!AD212="","",'[1]P-GENERAL'!AD212)</f>
        <v>92985</v>
      </c>
      <c r="AE212" t="str">
        <f>IF('[1]P-GENERAL'!AE212="","",'[1]P-GENERAL'!AE212)</f>
        <v/>
      </c>
    </row>
    <row r="213" spans="1:31" ht="20.25" x14ac:dyDescent="0.3">
      <c r="A213" s="11" t="str">
        <f>IF('[1]P-GENERAL'!A213="","",'[1]P-GENERAL'!A213)</f>
        <v>Chanitos Premium Tarima Americana</v>
      </c>
      <c r="B213" s="11" t="str">
        <f>IF('[1]P-GENERAL'!B213="","",'[1]P-GENERAL'!B213)</f>
        <v>CPR01103</v>
      </c>
      <c r="C213" t="str">
        <f>IF('[1]P-GENERAL'!C213="","",'[1]P-GENERAL'!C213)</f>
        <v>A11087-371209-1</v>
      </c>
      <c r="D213" t="str">
        <f>IF('[1]P-GENERAL'!D213="","",'[1]P-GENERAL'!D213)</f>
        <v>A11 087 19 de Abril</v>
      </c>
      <c r="E213" s="8" t="str">
        <f>IF('[1]P-GENERAL'!E213="","",'[1]P-GENERAL'!E213)</f>
        <v>S-MTY</v>
      </c>
      <c r="F213" s="12">
        <f>IF('[1]P-GENERAL'!F213="","",'[1]P-GENERAL'!F213)</f>
        <v>480</v>
      </c>
      <c r="G213" s="13">
        <f>IF('[1]P-GENERAL'!G213="","",'[1]P-GENERAL'!G213)</f>
        <v>10</v>
      </c>
      <c r="H213" s="14">
        <f>IF('[1]P-GENERAL'!H213="","",'[1]P-GENERAL'!H213)</f>
        <v>46277</v>
      </c>
      <c r="I213">
        <f>IF('[1]P-GENERAL'!I213="","",'[1]P-GENERAL'!I213)</f>
        <v>37</v>
      </c>
      <c r="J213" s="15">
        <f>IF('[1]P-GENERAL'!J213="","",'[1]P-GENERAL'!J213)</f>
        <v>46283</v>
      </c>
      <c r="K213" s="14" t="str">
        <f>IF('[1]P-GENERAL'!K213="","",'[1]P-GENERAL'!K213)</f>
        <v/>
      </c>
      <c r="L213" s="14" t="str">
        <f>IF('[1]P-GENERAL'!L213="","",'[1]P-GENERAL'!L213)</f>
        <v>PREENFRIO NELLY</v>
      </c>
      <c r="M213">
        <f>IF('[1]P-GENERAL'!M213="","",'[1]P-GENERAL'!M213)</f>
        <v>3</v>
      </c>
      <c r="N213">
        <f>IF('[1]P-GENERAL'!N213="","",'[1]P-GENERAL'!N213)</f>
        <v>72</v>
      </c>
      <c r="O213" s="14">
        <f>IF('[1]P-GENERAL'!O213="","",'[1]P-GENERAL'!O213)</f>
        <v>46277</v>
      </c>
      <c r="P213" s="16">
        <f>IF('[1]P-GENERAL'!P213="","",'[1]P-GENERAL'!P213)</f>
        <v>0.85069444444444442</v>
      </c>
      <c r="Q213" t="str">
        <f>IF('[1]P-GENERAL'!Q213="","",'[1]P-GENERAL'!Q213)</f>
        <v>NORMAL</v>
      </c>
      <c r="R213" s="14">
        <f>IF('[1]P-GENERAL'!R213="","",'[1]P-GENERAL'!R213)</f>
        <v>46278</v>
      </c>
      <c r="S213" s="16">
        <f>IF('[1]P-GENERAL'!S213="","",'[1]P-GENERAL'!S213)</f>
        <v>6.9444444444444448E-2</v>
      </c>
      <c r="T213" s="16">
        <f>IF('[1]P-GENERAL'!T213="","",'[1]P-GENERAL'!T213)</f>
        <v>0.4375</v>
      </c>
      <c r="U213" s="17">
        <f>IF('[1]P-GENERAL'!U213="","",'[1]P-GENERAL'!U213)</f>
        <v>46278.506944444445</v>
      </c>
      <c r="V213" s="14">
        <f>IF('[1]P-GENERAL'!V213="","",'[1]P-GENERAL'!V213)</f>
        <v>46278</v>
      </c>
      <c r="W213" s="16">
        <f>IF('[1]P-GENERAL'!W213="","",'[1]P-GENERAL'!W213)</f>
        <v>0.75</v>
      </c>
      <c r="X213" s="14" t="str">
        <f>IF('[1]P-GENERAL'!X213="","",'[1]P-GENERAL'!X213)</f>
        <v>SI CUMPLE</v>
      </c>
      <c r="Y213" s="14" t="str">
        <f>IF('[1]P-GENERAL'!Y213="","",'[1]P-GENERAL'!Y213)</f>
        <v>SI CUMPLE</v>
      </c>
      <c r="Z213" s="14" t="str">
        <f>IF('[1]P-GENERAL'!Z213="","",'[1]P-GENERAL'!Z213)</f>
        <v/>
      </c>
      <c r="AA213" s="14" t="str">
        <f>IF('[1]P-GENERAL'!AA213="","",'[1]P-GENERAL'!AA213)</f>
        <v>DESPACHADO</v>
      </c>
      <c r="AB213" s="8" t="str">
        <f>IF('[1]P-GENERAL'!AB213="","",'[1]P-GENERAL'!AB213)</f>
        <v>AUTO EXPRESS SEGOVIA</v>
      </c>
      <c r="AC213" s="8" t="str">
        <f>IF('[1]P-GENERAL'!AC213="","",'[1]P-GENERAL'!AC213)</f>
        <v>JOEL PEREZ TRINIDAD</v>
      </c>
      <c r="AD213">
        <f>IF('[1]P-GENERAL'!AD213="","",'[1]P-GENERAL'!AD213)</f>
        <v>88667</v>
      </c>
      <c r="AE213" t="str">
        <f>IF('[1]P-GENERAL'!AE213="","",'[1]P-GENERAL'!AE213)</f>
        <v>QCH1W03N10</v>
      </c>
    </row>
    <row r="214" spans="1:31" ht="20.25" x14ac:dyDescent="0.3">
      <c r="A214" s="11" t="str">
        <f>IF('[1]P-GENERAL'!A214="","",'[1]P-GENERAL'!A214)</f>
        <v>Chanitos Premium Tarima Chep</v>
      </c>
      <c r="B214" s="11" t="str">
        <f>IF('[1]P-GENERAL'!B214="","",'[1]P-GENERAL'!B214)</f>
        <v>CPR01102</v>
      </c>
      <c r="C214" t="str">
        <f>IF('[1]P-GENERAL'!C214="","",'[1]P-GENERAL'!C214)</f>
        <v>A01002-381409-1</v>
      </c>
      <c r="D214" t="str">
        <f>IF('[1]P-GENERAL'!D214="","",'[1]P-GENERAL'!D214)</f>
        <v>A01 002 Fortaleza</v>
      </c>
      <c r="E214" s="8" t="str">
        <f>IF('[1]P-GENERAL'!E214="","",'[1]P-GENERAL'!E214)</f>
        <v>QRO</v>
      </c>
      <c r="F214" s="12">
        <f>IF('[1]P-GENERAL'!F214="","",'[1]P-GENERAL'!F214)</f>
        <v>912</v>
      </c>
      <c r="G214" s="13">
        <f>IF('[1]P-GENERAL'!G214="","",'[1]P-GENERAL'!G214)</f>
        <v>19</v>
      </c>
      <c r="H214" s="14">
        <f>IF('[1]P-GENERAL'!H214="","",'[1]P-GENERAL'!H214)</f>
        <v>46279</v>
      </c>
      <c r="I214">
        <f>IF('[1]P-GENERAL'!I214="","",'[1]P-GENERAL'!I214)</f>
        <v>38</v>
      </c>
      <c r="J214" s="15">
        <f>IF('[1]P-GENERAL'!J214="","",'[1]P-GENERAL'!J214)</f>
        <v>46283</v>
      </c>
      <c r="K214" s="14" t="str">
        <f>IF('[1]P-GENERAL'!K214="","",'[1]P-GENERAL'!K214)</f>
        <v/>
      </c>
      <c r="L214" s="14" t="str">
        <f>IF('[1]P-GENERAL'!L214="","",'[1]P-GENERAL'!L214)</f>
        <v>PREENFRIO FORTALEZA</v>
      </c>
      <c r="M214">
        <f>IF('[1]P-GENERAL'!M214="","",'[1]P-GENERAL'!M214)</f>
        <v>1.5</v>
      </c>
      <c r="N214">
        <f>IF('[1]P-GENERAL'!N214="","",'[1]P-GENERAL'!N214)</f>
        <v>36</v>
      </c>
      <c r="O214" s="14">
        <f>IF('[1]P-GENERAL'!O214="","",'[1]P-GENERAL'!O214)</f>
        <v>46279</v>
      </c>
      <c r="P214" s="16">
        <f>IF('[1]P-GENERAL'!P214="","",'[1]P-GENERAL'!P214)</f>
        <v>0.72222222222222221</v>
      </c>
      <c r="Q214" t="str">
        <f>IF('[1]P-GENERAL'!Q214="","",'[1]P-GENERAL'!Q214)</f>
        <v>NORMAL</v>
      </c>
      <c r="R214" s="14">
        <f>IF('[1]P-GENERAL'!R214="","",'[1]P-GENERAL'!R214)</f>
        <v>46279</v>
      </c>
      <c r="S214" s="16">
        <f>IF('[1]P-GENERAL'!S214="","",'[1]P-GENERAL'!S214)</f>
        <v>0.93958333333333333</v>
      </c>
      <c r="T214" s="16">
        <f>IF('[1]P-GENERAL'!T214="","",'[1]P-GENERAL'!T214)</f>
        <v>0.625</v>
      </c>
      <c r="U214" s="17">
        <f>IF('[1]P-GENERAL'!U214="","",'[1]P-GENERAL'!U214)</f>
        <v>46280.564583333333</v>
      </c>
      <c r="V214" s="14">
        <f>IF('[1]P-GENERAL'!V214="","",'[1]P-GENERAL'!V214)</f>
        <v>46280</v>
      </c>
      <c r="W214" s="16">
        <f>IF('[1]P-GENERAL'!W214="","",'[1]P-GENERAL'!W214)</f>
        <v>0.72569444444444442</v>
      </c>
      <c r="X214" s="14" t="str">
        <f>IF('[1]P-GENERAL'!X214="","",'[1]P-GENERAL'!X214)</f>
        <v>SI CUMPLE</v>
      </c>
      <c r="Y214" s="14" t="str">
        <f>IF('[1]P-GENERAL'!Y214="","",'[1]P-GENERAL'!Y214)</f>
        <v>SI CUMPLE</v>
      </c>
      <c r="Z214" s="14" t="str">
        <f>IF('[1]P-GENERAL'!Z214="","",'[1]P-GENERAL'!Z214)</f>
        <v/>
      </c>
      <c r="AA214" s="14" t="str">
        <f>IF('[1]P-GENERAL'!AA214="","",'[1]P-GENERAL'!AA214)</f>
        <v>DESPACHADO</v>
      </c>
      <c r="AB214" s="8" t="str">
        <f>IF('[1]P-GENERAL'!AB214="","",'[1]P-GENERAL'!AB214)</f>
        <v>MARIBEL TORRES CASTILLO</v>
      </c>
      <c r="AC214" s="8" t="str">
        <f>IF('[1]P-GENERAL'!AC214="","",'[1]P-GENERAL'!AC214)</f>
        <v>JESUS SANTANA</v>
      </c>
      <c r="AD214">
        <f>IF('[1]P-GENERAL'!AD214="","",'[1]P-GENERAL'!AD214)</f>
        <v>21535</v>
      </c>
      <c r="AE214" t="str">
        <f>IF('[1]P-GENERAL'!AE214="","",'[1]P-GENERAL'!AE214)</f>
        <v>QCH1W046M0</v>
      </c>
    </row>
    <row r="215" spans="1:31" ht="20.25" x14ac:dyDescent="0.3">
      <c r="A215" s="11" t="str">
        <f>IF('[1]P-GENERAL'!A215="","",'[1]P-GENERAL'!A215)</f>
        <v>Chanitos Organic Banded Market Side Mexico</v>
      </c>
      <c r="B215" s="11" t="str">
        <f>IF('[1]P-GENERAL'!B215="","",'[1]P-GENERAL'!B215)</f>
        <v>CRG07128</v>
      </c>
      <c r="C215" t="str">
        <f>IF('[1]P-GENERAL'!C215="","",'[1]P-GENERAL'!C215)</f>
        <v>A01002-381409-1</v>
      </c>
      <c r="D215" t="str">
        <f>IF('[1]P-GENERAL'!D215="","",'[1]P-GENERAL'!D215)</f>
        <v>A01 002 Fortaleza</v>
      </c>
      <c r="E215" s="8" t="str">
        <f>IF('[1]P-GENERAL'!E215="","",'[1]P-GENERAL'!E215)</f>
        <v>QRO</v>
      </c>
      <c r="F215" s="12">
        <f>IF('[1]P-GENERAL'!F215="","",'[1]P-GENERAL'!F215)</f>
        <v>48</v>
      </c>
      <c r="G215" s="13">
        <f>IF('[1]P-GENERAL'!G215="","",'[1]P-GENERAL'!G215)</f>
        <v>1</v>
      </c>
      <c r="H215" s="14">
        <f>IF('[1]P-GENERAL'!H215="","",'[1]P-GENERAL'!H215)</f>
        <v>46279</v>
      </c>
      <c r="I215">
        <f>IF('[1]P-GENERAL'!I215="","",'[1]P-GENERAL'!I215)</f>
        <v>38</v>
      </c>
      <c r="J215" s="15">
        <f>IF('[1]P-GENERAL'!J215="","",'[1]P-GENERAL'!J215)</f>
        <v>46283</v>
      </c>
      <c r="K215" s="14" t="str">
        <f>IF('[1]P-GENERAL'!K215="","",'[1]P-GENERAL'!K215)</f>
        <v/>
      </c>
      <c r="L215" s="14" t="str">
        <f>IF('[1]P-GENERAL'!L215="","",'[1]P-GENERAL'!L215)</f>
        <v>PREENFRIO FORTALEZA</v>
      </c>
      <c r="M215">
        <f>IF('[1]P-GENERAL'!M215="","",'[1]P-GENERAL'!M215)</f>
        <v>1.5</v>
      </c>
      <c r="N215">
        <f>IF('[1]P-GENERAL'!N215="","",'[1]P-GENERAL'!N215)</f>
        <v>36</v>
      </c>
      <c r="O215" s="14">
        <f>IF('[1]P-GENERAL'!O215="","",'[1]P-GENERAL'!O215)</f>
        <v>46279</v>
      </c>
      <c r="P215" s="16">
        <f>IF('[1]P-GENERAL'!P215="","",'[1]P-GENERAL'!P215)</f>
        <v>0.72222222222222221</v>
      </c>
      <c r="Q215" t="str">
        <f>IF('[1]P-GENERAL'!Q215="","",'[1]P-GENERAL'!Q215)</f>
        <v>NORMAL</v>
      </c>
      <c r="R215" s="14">
        <f>IF('[1]P-GENERAL'!R215="","",'[1]P-GENERAL'!R215)</f>
        <v>46279</v>
      </c>
      <c r="S215" s="16">
        <f>IF('[1]P-GENERAL'!S215="","",'[1]P-GENERAL'!S215)</f>
        <v>0.93958333333333333</v>
      </c>
      <c r="T215" s="16">
        <f>IF('[1]P-GENERAL'!T215="","",'[1]P-GENERAL'!T215)</f>
        <v>0.625</v>
      </c>
      <c r="U215" s="17">
        <f>IF('[1]P-GENERAL'!U215="","",'[1]P-GENERAL'!U215)</f>
        <v>46280.564583333333</v>
      </c>
      <c r="V215" s="14">
        <f>IF('[1]P-GENERAL'!V215="","",'[1]P-GENERAL'!V215)</f>
        <v>46280</v>
      </c>
      <c r="W215" s="16">
        <f>IF('[1]P-GENERAL'!W215="","",'[1]P-GENERAL'!W215)</f>
        <v>0.72569444444444442</v>
      </c>
      <c r="X215" s="14" t="str">
        <f>IF('[1]P-GENERAL'!X215="","",'[1]P-GENERAL'!X215)</f>
        <v>SI CUMPLE</v>
      </c>
      <c r="Y215" s="14" t="str">
        <f>IF('[1]P-GENERAL'!Y215="","",'[1]P-GENERAL'!Y215)</f>
        <v>SI CUMPLE</v>
      </c>
      <c r="Z215" s="14" t="str">
        <f>IF('[1]P-GENERAL'!Z215="","",'[1]P-GENERAL'!Z215)</f>
        <v/>
      </c>
      <c r="AA215" s="14" t="str">
        <f>IF('[1]P-GENERAL'!AA215="","",'[1]P-GENERAL'!AA215)</f>
        <v>DESPACHADO</v>
      </c>
      <c r="AB215" s="8" t="str">
        <f>IF('[1]P-GENERAL'!AB215="","",'[1]P-GENERAL'!AB215)</f>
        <v>MARIBEL TORRES CASTILLO</v>
      </c>
      <c r="AC215" s="8" t="str">
        <f>IF('[1]P-GENERAL'!AC215="","",'[1]P-GENERAL'!AC215)</f>
        <v>JESUS SANTANA</v>
      </c>
      <c r="AD215">
        <f>IF('[1]P-GENERAL'!AD215="","",'[1]P-GENERAL'!AD215)</f>
        <v>21535</v>
      </c>
      <c r="AE215" t="str">
        <f>IF('[1]P-GENERAL'!AE215="","",'[1]P-GENERAL'!AE215)</f>
        <v>QCH1W046M0</v>
      </c>
    </row>
    <row r="216" spans="1:31" ht="20.25" x14ac:dyDescent="0.3">
      <c r="A216" s="11" t="str">
        <f>IF('[1]P-GENERAL'!A216="","",'[1]P-GENERAL'!A216)</f>
        <v>Chanitos Premium Tarima Chep</v>
      </c>
      <c r="B216" s="11" t="str">
        <f>IF('[1]P-GENERAL'!B216="","",'[1]P-GENERAL'!B216)</f>
        <v>CPR01102</v>
      </c>
      <c r="C216" t="str">
        <f>IF('[1]P-GENERAL'!C216="","",'[1]P-GENERAL'!C216)</f>
        <v>A01003-381409-1</v>
      </c>
      <c r="D216" t="str">
        <f>IF('[1]P-GENERAL'!D216="","",'[1]P-GENERAL'!D216)</f>
        <v>A01 003 Doña Nelly</v>
      </c>
      <c r="E216" s="8" t="str">
        <f>IF('[1]P-GENERAL'!E216="","",'[1]P-GENERAL'!E216)</f>
        <v>MTY</v>
      </c>
      <c r="F216" s="12">
        <f>IF('[1]P-GENERAL'!F216="","",'[1]P-GENERAL'!F216)</f>
        <v>1099</v>
      </c>
      <c r="G216" s="13">
        <f>IF('[1]P-GENERAL'!G216="","",'[1]P-GENERAL'!G216)</f>
        <v>22.895833333333332</v>
      </c>
      <c r="H216" s="14">
        <f>IF('[1]P-GENERAL'!H216="","",'[1]P-GENERAL'!H216)</f>
        <v>46279</v>
      </c>
      <c r="I216">
        <f>IF('[1]P-GENERAL'!I216="","",'[1]P-GENERAL'!I216)</f>
        <v>38</v>
      </c>
      <c r="J216" s="15">
        <f>IF('[1]P-GENERAL'!J216="","",'[1]P-GENERAL'!J216)</f>
        <v>46283</v>
      </c>
      <c r="K216" s="14" t="str">
        <f>IF('[1]P-GENERAL'!K216="","",'[1]P-GENERAL'!K216)</f>
        <v/>
      </c>
      <c r="L216" s="14" t="str">
        <f>IF('[1]P-GENERAL'!L216="","",'[1]P-GENERAL'!L216)</f>
        <v>PREENFRIO NELLY</v>
      </c>
      <c r="M216">
        <f>IF('[1]P-GENERAL'!M216="","",'[1]P-GENERAL'!M216)</f>
        <v>2.5</v>
      </c>
      <c r="N216">
        <f>IF('[1]P-GENERAL'!N216="","",'[1]P-GENERAL'!N216)</f>
        <v>60</v>
      </c>
      <c r="O216" s="14">
        <f>IF('[1]P-GENERAL'!O216="","",'[1]P-GENERAL'!O216)</f>
        <v>46279</v>
      </c>
      <c r="P216" s="16">
        <f>IF('[1]P-GENERAL'!P216="","",'[1]P-GENERAL'!P216)</f>
        <v>0.75</v>
      </c>
      <c r="Q216" t="str">
        <f>IF('[1]P-GENERAL'!Q216="","",'[1]P-GENERAL'!Q216)</f>
        <v>NORMAL</v>
      </c>
      <c r="R216" s="14">
        <f>IF('[1]P-GENERAL'!R216="","",'[1]P-GENERAL'!R216)</f>
        <v>46279</v>
      </c>
      <c r="S216" s="16">
        <f>IF('[1]P-GENERAL'!S216="","",'[1]P-GENERAL'!S216)</f>
        <v>0.65972222222222221</v>
      </c>
      <c r="T216" s="16">
        <f>IF('[1]P-GENERAL'!T216="","",'[1]P-GENERAL'!T216)</f>
        <v>0.35416666666666669</v>
      </c>
      <c r="U216" s="17">
        <f>IF('[1]P-GENERAL'!U216="","",'[1]P-GENERAL'!U216)</f>
        <v>46280.013888888883</v>
      </c>
      <c r="V216" s="14">
        <f>IF('[1]P-GENERAL'!V216="","",'[1]P-GENERAL'!V216)</f>
        <v>46280</v>
      </c>
      <c r="W216" s="16">
        <f>IF('[1]P-GENERAL'!W216="","",'[1]P-GENERAL'!W216)</f>
        <v>0.34722222222222221</v>
      </c>
      <c r="X216" s="14" t="str">
        <f>IF('[1]P-GENERAL'!X216="","",'[1]P-GENERAL'!X216)</f>
        <v>SI CUMPLE</v>
      </c>
      <c r="Y216" s="14" t="str">
        <f>IF('[1]P-GENERAL'!Y216="","",'[1]P-GENERAL'!Y216)</f>
        <v>SI CUMPLE</v>
      </c>
      <c r="Z216" s="14" t="str">
        <f>IF('[1]P-GENERAL'!Z216="","",'[1]P-GENERAL'!Z216)</f>
        <v/>
      </c>
      <c r="AA216" s="14" t="str">
        <f>IF('[1]P-GENERAL'!AA216="","",'[1]P-GENERAL'!AA216)</f>
        <v>DESPACHADO</v>
      </c>
      <c r="AB216" s="8" t="str">
        <f>IF('[1]P-GENERAL'!AB216="","",'[1]P-GENERAL'!AB216)</f>
        <v>EXPRESS CAVAZOS CANTU</v>
      </c>
      <c r="AC216" s="8" t="str">
        <f>IF('[1]P-GENERAL'!AC216="","",'[1]P-GENERAL'!AC216)</f>
        <v>JERESARET BARTOLO RUIZ</v>
      </c>
      <c r="AD216">
        <f>IF('[1]P-GENERAL'!AD216="","",'[1]P-GENERAL'!AD216)</f>
        <v>12828</v>
      </c>
      <c r="AE216" t="str">
        <f>IF('[1]P-GENERAL'!AE216="","",'[1]P-GENERAL'!AE216)</f>
        <v>QCH1W03ND0</v>
      </c>
    </row>
    <row r="217" spans="1:31" ht="20.25" x14ac:dyDescent="0.3">
      <c r="A217" s="11" t="str">
        <f>IF('[1]P-GENERAL'!A217="","",'[1]P-GENERAL'!A217)</f>
        <v>Platano de Chiapas BAE UPC 3237</v>
      </c>
      <c r="B217" s="11" t="str">
        <f>IF('[1]P-GENERAL'!B217="","",'[1]P-GENERAL'!B217)</f>
        <v>CPR01114</v>
      </c>
      <c r="C217" t="str">
        <f>IF('[1]P-GENERAL'!C217="","",'[1]P-GENERAL'!C217)</f>
        <v>A01003-381409-1</v>
      </c>
      <c r="D217" t="str">
        <f>IF('[1]P-GENERAL'!D217="","",'[1]P-GENERAL'!D217)</f>
        <v>A01 003 Doña Nelly</v>
      </c>
      <c r="E217" s="8" t="str">
        <f>IF('[1]P-GENERAL'!E217="","",'[1]P-GENERAL'!E217)</f>
        <v>MTY</v>
      </c>
      <c r="F217" s="12">
        <f>IF('[1]P-GENERAL'!F217="","",'[1]P-GENERAL'!F217)</f>
        <v>5</v>
      </c>
      <c r="G217" s="13">
        <f>IF('[1]P-GENERAL'!G217="","",'[1]P-GENERAL'!G217)</f>
        <v>0.10416666666666667</v>
      </c>
      <c r="H217" s="14">
        <f>IF('[1]P-GENERAL'!H217="","",'[1]P-GENERAL'!H217)</f>
        <v>46279</v>
      </c>
      <c r="I217">
        <f>IF('[1]P-GENERAL'!I217="","",'[1]P-GENERAL'!I217)</f>
        <v>38</v>
      </c>
      <c r="J217" s="15">
        <f>IF('[1]P-GENERAL'!J217="","",'[1]P-GENERAL'!J217)</f>
        <v>46283</v>
      </c>
      <c r="K217" s="14" t="str">
        <f>IF('[1]P-GENERAL'!K217="","",'[1]P-GENERAL'!K217)</f>
        <v/>
      </c>
      <c r="L217" s="14" t="str">
        <f>IF('[1]P-GENERAL'!L217="","",'[1]P-GENERAL'!L217)</f>
        <v>PREENFRIO NELLY</v>
      </c>
      <c r="M217">
        <f>IF('[1]P-GENERAL'!M217="","",'[1]P-GENERAL'!M217)</f>
        <v>2.5</v>
      </c>
      <c r="N217">
        <f>IF('[1]P-GENERAL'!N217="","",'[1]P-GENERAL'!N217)</f>
        <v>60</v>
      </c>
      <c r="O217" s="14">
        <f>IF('[1]P-GENERAL'!O217="","",'[1]P-GENERAL'!O217)</f>
        <v>46279</v>
      </c>
      <c r="P217" s="16">
        <f>IF('[1]P-GENERAL'!P217="","",'[1]P-GENERAL'!P217)</f>
        <v>0.75</v>
      </c>
      <c r="Q217" t="str">
        <f>IF('[1]P-GENERAL'!Q217="","",'[1]P-GENERAL'!Q217)</f>
        <v>NORMAL</v>
      </c>
      <c r="R217" s="14">
        <f>IF('[1]P-GENERAL'!R217="","",'[1]P-GENERAL'!R217)</f>
        <v>46279</v>
      </c>
      <c r="S217" s="16">
        <f>IF('[1]P-GENERAL'!S217="","",'[1]P-GENERAL'!S217)</f>
        <v>0.65972222222222221</v>
      </c>
      <c r="T217" s="16">
        <f>IF('[1]P-GENERAL'!T217="","",'[1]P-GENERAL'!T217)</f>
        <v>0.35416666666666669</v>
      </c>
      <c r="U217" s="17">
        <f>IF('[1]P-GENERAL'!U217="","",'[1]P-GENERAL'!U217)</f>
        <v>46280.013888888883</v>
      </c>
      <c r="V217" s="14">
        <f>IF('[1]P-GENERAL'!V217="","",'[1]P-GENERAL'!V217)</f>
        <v>46280</v>
      </c>
      <c r="W217" s="16">
        <f>IF('[1]P-GENERAL'!W217="","",'[1]P-GENERAL'!W217)</f>
        <v>0.34722222222222221</v>
      </c>
      <c r="X217" s="14" t="str">
        <f>IF('[1]P-GENERAL'!X217="","",'[1]P-GENERAL'!X217)</f>
        <v>SI CUMPLE</v>
      </c>
      <c r="Y217" s="14" t="str">
        <f>IF('[1]P-GENERAL'!Y217="","",'[1]P-GENERAL'!Y217)</f>
        <v>SI CUMPLE</v>
      </c>
      <c r="Z217" s="14" t="str">
        <f>IF('[1]P-GENERAL'!Z217="","",'[1]P-GENERAL'!Z217)</f>
        <v/>
      </c>
      <c r="AA217" s="14" t="str">
        <f>IF('[1]P-GENERAL'!AA217="","",'[1]P-GENERAL'!AA217)</f>
        <v>DESPACHADO</v>
      </c>
      <c r="AB217" s="8" t="str">
        <f>IF('[1]P-GENERAL'!AB217="","",'[1]P-GENERAL'!AB217)</f>
        <v>EXPRESS CAVAZOS CANTU</v>
      </c>
      <c r="AC217" s="8" t="str">
        <f>IF('[1]P-GENERAL'!AC217="","",'[1]P-GENERAL'!AC217)</f>
        <v>JERESARET BARTOLO RUIZ</v>
      </c>
      <c r="AD217">
        <f>IF('[1]P-GENERAL'!AD217="","",'[1]P-GENERAL'!AD217)</f>
        <v>12828</v>
      </c>
      <c r="AE217" t="str">
        <f>IF('[1]P-GENERAL'!AE217="","",'[1]P-GENERAL'!AE217)</f>
        <v>QCH1W03ND0</v>
      </c>
    </row>
    <row r="218" spans="1:31" ht="20.25" x14ac:dyDescent="0.3">
      <c r="A218" s="11" t="str">
        <f>IF('[1]P-GENERAL'!A218="","",'[1]P-GENERAL'!A218)</f>
        <v>Chanitos Organic Banded Market Side Mexico</v>
      </c>
      <c r="B218" s="11" t="str">
        <f>IF('[1]P-GENERAL'!B218="","",'[1]P-GENERAL'!B218)</f>
        <v>CRG07128</v>
      </c>
      <c r="C218" t="str">
        <f>IF('[1]P-GENERAL'!C218="","",'[1]P-GENERAL'!C218)</f>
        <v>A01003-381409-1</v>
      </c>
      <c r="D218" t="str">
        <f>IF('[1]P-GENERAL'!D218="","",'[1]P-GENERAL'!D218)</f>
        <v>A01 003 Doña Nelly</v>
      </c>
      <c r="E218" s="8" t="str">
        <f>IF('[1]P-GENERAL'!E218="","",'[1]P-GENERAL'!E218)</f>
        <v>MTY</v>
      </c>
      <c r="F218" s="12">
        <f>IF('[1]P-GENERAL'!F218="","",'[1]P-GENERAL'!F218)</f>
        <v>48</v>
      </c>
      <c r="G218" s="13">
        <f>IF('[1]P-GENERAL'!G218="","",'[1]P-GENERAL'!G218)</f>
        <v>1</v>
      </c>
      <c r="H218" s="14">
        <f>IF('[1]P-GENERAL'!H218="","",'[1]P-GENERAL'!H218)</f>
        <v>46279</v>
      </c>
      <c r="I218">
        <f>IF('[1]P-GENERAL'!I218="","",'[1]P-GENERAL'!I218)</f>
        <v>38</v>
      </c>
      <c r="J218" s="15">
        <f>IF('[1]P-GENERAL'!J218="","",'[1]P-GENERAL'!J218)</f>
        <v>46283</v>
      </c>
      <c r="K218" s="14" t="str">
        <f>IF('[1]P-GENERAL'!K218="","",'[1]P-GENERAL'!K218)</f>
        <v/>
      </c>
      <c r="L218" s="14" t="str">
        <f>IF('[1]P-GENERAL'!L218="","",'[1]P-GENERAL'!L218)</f>
        <v>PREENFRIO NELLY</v>
      </c>
      <c r="M218">
        <f>IF('[1]P-GENERAL'!M218="","",'[1]P-GENERAL'!M218)</f>
        <v>2.5</v>
      </c>
      <c r="N218">
        <f>IF('[1]P-GENERAL'!N218="","",'[1]P-GENERAL'!N218)</f>
        <v>60</v>
      </c>
      <c r="O218" s="14">
        <f>IF('[1]P-GENERAL'!O218="","",'[1]P-GENERAL'!O218)</f>
        <v>46279</v>
      </c>
      <c r="P218" s="16">
        <f>IF('[1]P-GENERAL'!P218="","",'[1]P-GENERAL'!P218)</f>
        <v>0.75</v>
      </c>
      <c r="Q218" t="str">
        <f>IF('[1]P-GENERAL'!Q218="","",'[1]P-GENERAL'!Q218)</f>
        <v>NORMAL</v>
      </c>
      <c r="R218" s="14">
        <f>IF('[1]P-GENERAL'!R218="","",'[1]P-GENERAL'!R218)</f>
        <v>46279</v>
      </c>
      <c r="S218" s="16">
        <f>IF('[1]P-GENERAL'!S218="","",'[1]P-GENERAL'!S218)</f>
        <v>0.65972222222222221</v>
      </c>
      <c r="T218" s="16">
        <f>IF('[1]P-GENERAL'!T218="","",'[1]P-GENERAL'!T218)</f>
        <v>0.35416666666666669</v>
      </c>
      <c r="U218" s="17">
        <f>IF('[1]P-GENERAL'!U218="","",'[1]P-GENERAL'!U218)</f>
        <v>46280.013888888883</v>
      </c>
      <c r="V218" s="14">
        <f>IF('[1]P-GENERAL'!V218="","",'[1]P-GENERAL'!V218)</f>
        <v>46280</v>
      </c>
      <c r="W218" s="16">
        <f>IF('[1]P-GENERAL'!W218="","",'[1]P-GENERAL'!W218)</f>
        <v>0.34722222222222221</v>
      </c>
      <c r="X218" s="14" t="str">
        <f>IF('[1]P-GENERAL'!X218="","",'[1]P-GENERAL'!X218)</f>
        <v>SI CUMPLE</v>
      </c>
      <c r="Y218" s="14" t="str">
        <f>IF('[1]P-GENERAL'!Y218="","",'[1]P-GENERAL'!Y218)</f>
        <v>SI CUMPLE</v>
      </c>
      <c r="Z218" s="14" t="str">
        <f>IF('[1]P-GENERAL'!Z218="","",'[1]P-GENERAL'!Z218)</f>
        <v/>
      </c>
      <c r="AA218" s="14" t="str">
        <f>IF('[1]P-GENERAL'!AA218="","",'[1]P-GENERAL'!AA218)</f>
        <v>DESPACHADO</v>
      </c>
      <c r="AB218" s="8" t="str">
        <f>IF('[1]P-GENERAL'!AB218="","",'[1]P-GENERAL'!AB218)</f>
        <v>EXPRESS CAVAZOS CANTU</v>
      </c>
      <c r="AC218" s="8" t="str">
        <f>IF('[1]P-GENERAL'!AC218="","",'[1]P-GENERAL'!AC218)</f>
        <v>JERESARET BARTOLO RUIZ</v>
      </c>
      <c r="AD218">
        <f>IF('[1]P-GENERAL'!AD218="","",'[1]P-GENERAL'!AD218)</f>
        <v>12828</v>
      </c>
      <c r="AE218" t="str">
        <f>IF('[1]P-GENERAL'!AE218="","",'[1]P-GENERAL'!AE218)</f>
        <v>QCH1W03ND0</v>
      </c>
    </row>
    <row r="219" spans="1:31" ht="20.25" x14ac:dyDescent="0.3">
      <c r="A219" s="11" t="str">
        <f>IF('[1]P-GENERAL'!A219="","",'[1]P-GENERAL'!A219)</f>
        <v>Chanitos Premium EUA Tarima Americana</v>
      </c>
      <c r="B219" s="11" t="str">
        <f>IF('[1]P-GENERAL'!B219="","",'[1]P-GENERAL'!B219)</f>
        <v>CPR01104</v>
      </c>
      <c r="C219" t="str">
        <f>IF('[1]P-GENERAL'!C219="","",'[1]P-GENERAL'!C219)</f>
        <v>A11056-381409-1</v>
      </c>
      <c r="D219" t="str">
        <f>IF('[1]P-GENERAL'!D219="","",'[1]P-GENERAL'!D219)</f>
        <v>A11 056 San Isidro</v>
      </c>
      <c r="E219" s="8" t="str">
        <f>IF('[1]P-GENERAL'!E219="","",'[1]P-GENERAL'!E219)</f>
        <v>McAllen</v>
      </c>
      <c r="F219" s="12">
        <f>IF('[1]P-GENERAL'!F219="","",'[1]P-GENERAL'!F219)</f>
        <v>960</v>
      </c>
      <c r="G219" s="13">
        <f>IF('[1]P-GENERAL'!G219="","",'[1]P-GENERAL'!G219)</f>
        <v>20</v>
      </c>
      <c r="H219" s="14">
        <f>IF('[1]P-GENERAL'!H219="","",'[1]P-GENERAL'!H219)</f>
        <v>46279</v>
      </c>
      <c r="I219">
        <f>IF('[1]P-GENERAL'!I219="","",'[1]P-GENERAL'!I219)</f>
        <v>38</v>
      </c>
      <c r="J219" s="15">
        <f>IF('[1]P-GENERAL'!J219="","",'[1]P-GENERAL'!J219)</f>
        <v>46284</v>
      </c>
      <c r="K219" s="14" t="str">
        <f>IF('[1]P-GENERAL'!K219="","",'[1]P-GENERAL'!K219)</f>
        <v/>
      </c>
      <c r="L219" s="14" t="str">
        <f>IF('[1]P-GENERAL'!L219="","",'[1]P-GENERAL'!L219)</f>
        <v>PREENFRIO FORTALEZA</v>
      </c>
      <c r="M219">
        <f>IF('[1]P-GENERAL'!M219="","",'[1]P-GENERAL'!M219)</f>
        <v>3</v>
      </c>
      <c r="N219">
        <f>IF('[1]P-GENERAL'!N219="","",'[1]P-GENERAL'!N219)</f>
        <v>72</v>
      </c>
      <c r="O219" s="14">
        <f>IF('[1]P-GENERAL'!O219="","",'[1]P-GENERAL'!O219)</f>
        <v>46280</v>
      </c>
      <c r="P219" s="16">
        <f>IF('[1]P-GENERAL'!P219="","",'[1]P-GENERAL'!P219)</f>
        <v>0.42222222222222222</v>
      </c>
      <c r="Q219" t="str">
        <f>IF('[1]P-GENERAL'!Q219="","",'[1]P-GENERAL'!Q219)</f>
        <v>NORMAL</v>
      </c>
      <c r="R219" s="14">
        <f>IF('[1]P-GENERAL'!R219="","",'[1]P-GENERAL'!R219)</f>
        <v>46280</v>
      </c>
      <c r="S219" s="16">
        <f>IF('[1]P-GENERAL'!S219="","",'[1]P-GENERAL'!S219)</f>
        <v>0.58680555555555558</v>
      </c>
      <c r="T219" s="16">
        <f>IF('[1]P-GENERAL'!T219="","",'[1]P-GENERAL'!T219)</f>
        <v>0.29166666666666669</v>
      </c>
      <c r="U219" s="17">
        <f>IF('[1]P-GENERAL'!U219="","",'[1]P-GENERAL'!U219)</f>
        <v>46280.878472222219</v>
      </c>
      <c r="V219" s="14">
        <f>IF('[1]P-GENERAL'!V219="","",'[1]P-GENERAL'!V219)</f>
        <v>46281</v>
      </c>
      <c r="W219" s="16">
        <f>IF('[1]P-GENERAL'!W219="","",'[1]P-GENERAL'!W219)</f>
        <v>0.375</v>
      </c>
      <c r="X219" s="14" t="str">
        <f>IF('[1]P-GENERAL'!X219="","",'[1]P-GENERAL'!X219)</f>
        <v>SI CUMPLE</v>
      </c>
      <c r="Y219" s="14" t="str">
        <f>IF('[1]P-GENERAL'!Y219="","",'[1]P-GENERAL'!Y219)</f>
        <v>NO CUMPLE</v>
      </c>
      <c r="Z219" s="14" t="str">
        <f>IF('[1]P-GENERAL'!Z219="","",'[1]P-GENERAL'!Z219)</f>
        <v/>
      </c>
      <c r="AA219" s="14" t="str">
        <f>IF('[1]P-GENERAL'!AA219="","",'[1]P-GENERAL'!AA219)</f>
        <v>DESPACHADO</v>
      </c>
      <c r="AB219" s="8" t="str">
        <f>IF('[1]P-GENERAL'!AB219="","",'[1]P-GENERAL'!AB219)</f>
        <v>TRANSPORTES ALGEZA</v>
      </c>
      <c r="AC219" s="8" t="str">
        <f>IF('[1]P-GENERAL'!AC219="","",'[1]P-GENERAL'!AC219)</f>
        <v>JESUS ANTONIO HEREDIA HIGUERA</v>
      </c>
      <c r="AD219">
        <f>IF('[1]P-GENERAL'!AD219="","",'[1]P-GENERAL'!AD219)</f>
        <v>62079</v>
      </c>
      <c r="AE219">
        <f>IF('[1]P-GENERAL'!AE219="","",'[1]P-GENERAL'!AE219)</f>
        <v>100000914996</v>
      </c>
    </row>
    <row r="220" spans="1:31" ht="20.25" x14ac:dyDescent="0.3">
      <c r="A220" s="11" t="str">
        <f>IF('[1]P-GENERAL'!A220="","",'[1]P-GENERAL'!A220)</f>
        <v>Chanitos Premium EUA Tarima Americana</v>
      </c>
      <c r="B220" s="11" t="str">
        <f>IF('[1]P-GENERAL'!B220="","",'[1]P-GENERAL'!B220)</f>
        <v>CPR01104</v>
      </c>
      <c r="C220" t="str">
        <f>IF('[1]P-GENERAL'!C220="","",'[1]P-GENERAL'!C220)</f>
        <v>A11045-381409-1</v>
      </c>
      <c r="D220" t="str">
        <f>IF('[1]P-GENERAL'!D220="","",'[1]P-GENERAL'!D220)</f>
        <v>A11 045 Sector Mazatan</v>
      </c>
      <c r="E220" s="8" t="str">
        <f>IF('[1]P-GENERAL'!E220="","",'[1]P-GENERAL'!E220)</f>
        <v>McAllen</v>
      </c>
      <c r="F220" s="12">
        <f>IF('[1]P-GENERAL'!F220="","",'[1]P-GENERAL'!F220)</f>
        <v>480</v>
      </c>
      <c r="G220" s="13">
        <f>IF('[1]P-GENERAL'!G220="","",'[1]P-GENERAL'!G220)</f>
        <v>10</v>
      </c>
      <c r="H220" s="14">
        <f>IF('[1]P-GENERAL'!H220="","",'[1]P-GENERAL'!H220)</f>
        <v>46279</v>
      </c>
      <c r="I220">
        <f>IF('[1]P-GENERAL'!I220="","",'[1]P-GENERAL'!I220)</f>
        <v>38</v>
      </c>
      <c r="J220" s="15">
        <f>IF('[1]P-GENERAL'!J220="","",'[1]P-GENERAL'!J220)</f>
        <v>46284</v>
      </c>
      <c r="K220" s="14" t="str">
        <f>IF('[1]P-GENERAL'!K220="","",'[1]P-GENERAL'!K220)</f>
        <v/>
      </c>
      <c r="L220" s="14" t="str">
        <f>IF('[1]P-GENERAL'!L220="","",'[1]P-GENERAL'!L220)</f>
        <v>PREENFRIO FORTALEZA</v>
      </c>
      <c r="M220">
        <f>IF('[1]P-GENERAL'!M220="","",'[1]P-GENERAL'!M220)</f>
        <v>3</v>
      </c>
      <c r="N220">
        <f>IF('[1]P-GENERAL'!N220="","",'[1]P-GENERAL'!N220)</f>
        <v>72</v>
      </c>
      <c r="O220" s="14">
        <f>IF('[1]P-GENERAL'!O220="","",'[1]P-GENERAL'!O220)</f>
        <v>46280</v>
      </c>
      <c r="P220" s="16">
        <f>IF('[1]P-GENERAL'!P220="","",'[1]P-GENERAL'!P220)</f>
        <v>0.59583333333333333</v>
      </c>
      <c r="Q220" t="str">
        <f>IF('[1]P-GENERAL'!Q220="","",'[1]P-GENERAL'!Q220)</f>
        <v>NORMAL</v>
      </c>
      <c r="R220" s="14">
        <f>IF('[1]P-GENERAL'!R220="","",'[1]P-GENERAL'!R220)</f>
        <v>46280</v>
      </c>
      <c r="S220" s="16">
        <f>IF('[1]P-GENERAL'!S220="","",'[1]P-GENERAL'!S220)</f>
        <v>0.89930555555555558</v>
      </c>
      <c r="T220" s="16">
        <f>IF('[1]P-GENERAL'!T220="","",'[1]P-GENERAL'!T220)</f>
        <v>0.29166666666666669</v>
      </c>
      <c r="U220" s="17">
        <f>IF('[1]P-GENERAL'!U220="","",'[1]P-GENERAL'!U220)</f>
        <v>46281.190972222219</v>
      </c>
      <c r="V220" s="14">
        <f>IF('[1]P-GENERAL'!V220="","",'[1]P-GENERAL'!V220)</f>
        <v>46281</v>
      </c>
      <c r="W220" s="16">
        <f>IF('[1]P-GENERAL'!W220="","",'[1]P-GENERAL'!W220)</f>
        <v>0.375</v>
      </c>
      <c r="X220" s="14" t="str">
        <f>IF('[1]P-GENERAL'!X220="","",'[1]P-GENERAL'!X220)</f>
        <v>NO CUMPLE</v>
      </c>
      <c r="Y220" s="14" t="str">
        <f>IF('[1]P-GENERAL'!Y220="","",'[1]P-GENERAL'!Y220)</f>
        <v>NO CUMPLE</v>
      </c>
      <c r="Z220" s="14" t="str">
        <f>IF('[1]P-GENERAL'!Z220="","",'[1]P-GENERAL'!Z220)</f>
        <v/>
      </c>
      <c r="AA220" s="14" t="str">
        <f>IF('[1]P-GENERAL'!AA220="","",'[1]P-GENERAL'!AA220)</f>
        <v>DESPACHADO</v>
      </c>
      <c r="AB220" s="8" t="str">
        <f>IF('[1]P-GENERAL'!AB220="","",'[1]P-GENERAL'!AB220)</f>
        <v>TRANSPORTES ALGEZA</v>
      </c>
      <c r="AC220" s="8" t="str">
        <f>IF('[1]P-GENERAL'!AC220="","",'[1]P-GENERAL'!AC220)</f>
        <v>JESUS ANTONIO HEREDIA HIGUERA</v>
      </c>
      <c r="AD220">
        <f>IF('[1]P-GENERAL'!AD220="","",'[1]P-GENERAL'!AD220)</f>
        <v>15234</v>
      </c>
      <c r="AE220">
        <f>IF('[1]P-GENERAL'!AE220="","",'[1]P-GENERAL'!AE220)</f>
        <v>100000914998</v>
      </c>
    </row>
    <row r="221" spans="1:31" ht="20.25" x14ac:dyDescent="0.3">
      <c r="A221" s="11" t="str">
        <f>IF('[1]P-GENERAL'!A221="","",'[1]P-GENERAL'!A221)</f>
        <v>Chanitos Premium Tarima Chep</v>
      </c>
      <c r="B221" s="11" t="str">
        <f>IF('[1]P-GENERAL'!B221="","",'[1]P-GENERAL'!B221)</f>
        <v>CPR01102</v>
      </c>
      <c r="C221" t="str">
        <f>IF('[1]P-GENERAL'!C221="","",'[1]P-GENERAL'!C221)</f>
        <v>A01002-381409-1</v>
      </c>
      <c r="D221" t="str">
        <f>IF('[1]P-GENERAL'!D221="","",'[1]P-GENERAL'!D221)</f>
        <v>A01 002 Fortaleza</v>
      </c>
      <c r="E221" s="8" t="str">
        <f>IF('[1]P-GENERAL'!E221="","",'[1]P-GENERAL'!E221)</f>
        <v>SMO</v>
      </c>
      <c r="F221" s="12">
        <f>IF('[1]P-GENERAL'!F221="","",'[1]P-GENERAL'!F221)</f>
        <v>288</v>
      </c>
      <c r="G221" s="13">
        <f>IF('[1]P-GENERAL'!G221="","",'[1]P-GENERAL'!G221)</f>
        <v>6</v>
      </c>
      <c r="H221" s="14">
        <f>IF('[1]P-GENERAL'!H221="","",'[1]P-GENERAL'!H221)</f>
        <v>46279</v>
      </c>
      <c r="I221">
        <f>IF('[1]P-GENERAL'!I221="","",'[1]P-GENERAL'!I221)</f>
        <v>38</v>
      </c>
      <c r="J221" s="15">
        <f>IF('[1]P-GENERAL'!J221="","",'[1]P-GENERAL'!J221)</f>
        <v>46284</v>
      </c>
      <c r="K221" s="14" t="str">
        <f>IF('[1]P-GENERAL'!K221="","",'[1]P-GENERAL'!K221)</f>
        <v/>
      </c>
      <c r="L221" s="14" t="str">
        <f>IF('[1]P-GENERAL'!L221="","",'[1]P-GENERAL'!L221)</f>
        <v>PREENFRIO FORTALEZA</v>
      </c>
      <c r="M221">
        <f>IF('[1]P-GENERAL'!M221="","",'[1]P-GENERAL'!M221)</f>
        <v>1.5</v>
      </c>
      <c r="N221">
        <f>IF('[1]P-GENERAL'!N221="","",'[1]P-GENERAL'!N221)</f>
        <v>36</v>
      </c>
      <c r="O221" s="14">
        <f>IF('[1]P-GENERAL'!O221="","",'[1]P-GENERAL'!O221)</f>
        <v>46279</v>
      </c>
      <c r="P221" s="16">
        <f>IF('[1]P-GENERAL'!P221="","",'[1]P-GENERAL'!P221)</f>
        <v>0.72222222222222221</v>
      </c>
      <c r="Q221" t="str">
        <f>IF('[1]P-GENERAL'!Q221="","",'[1]P-GENERAL'!Q221)</f>
        <v>NORMAL</v>
      </c>
      <c r="R221" s="14">
        <f>IF('[1]P-GENERAL'!R221="","",'[1]P-GENERAL'!R221)</f>
        <v>46279</v>
      </c>
      <c r="S221" s="16">
        <f>IF('[1]P-GENERAL'!S221="","",'[1]P-GENERAL'!S221)</f>
        <v>0.93958333333333333</v>
      </c>
      <c r="T221" s="16">
        <f>IF('[1]P-GENERAL'!T221="","",'[1]P-GENERAL'!T221)</f>
        <v>0.625</v>
      </c>
      <c r="U221" s="17">
        <f>IF('[1]P-GENERAL'!U221="","",'[1]P-GENERAL'!U221)</f>
        <v>46280.564583333333</v>
      </c>
      <c r="V221" s="14">
        <f>IF('[1]P-GENERAL'!V221="","",'[1]P-GENERAL'!V221)</f>
        <v>46281</v>
      </c>
      <c r="W221" s="16">
        <f>IF('[1]P-GENERAL'!W221="","",'[1]P-GENERAL'!W221)</f>
        <v>0.38263888888888886</v>
      </c>
      <c r="X221" s="14" t="str">
        <f>IF('[1]P-GENERAL'!X221="","",'[1]P-GENERAL'!X221)</f>
        <v>SI CUMPLE</v>
      </c>
      <c r="Y221" s="14" t="str">
        <f>IF('[1]P-GENERAL'!Y221="","",'[1]P-GENERAL'!Y221)</f>
        <v>SI CUMPLE</v>
      </c>
      <c r="Z221" s="14" t="str">
        <f>IF('[1]P-GENERAL'!Z221="","",'[1]P-GENERAL'!Z221)</f>
        <v/>
      </c>
      <c r="AA221" s="14" t="str">
        <f>IF('[1]P-GENERAL'!AA221="","",'[1]P-GENERAL'!AA221)</f>
        <v>DESPACHADO</v>
      </c>
      <c r="AB221" s="8" t="str">
        <f>IF('[1]P-GENERAL'!AB221="","",'[1]P-GENERAL'!AB221)</f>
        <v>TRANSPORTES SANCHEZ</v>
      </c>
      <c r="AC221" s="8" t="str">
        <f>IF('[1]P-GENERAL'!AC221="","",'[1]P-GENERAL'!AC221)</f>
        <v>ENRIQUE TREJO SANCHEZ</v>
      </c>
      <c r="AD221">
        <f>IF('[1]P-GENERAL'!AD221="","",'[1]P-GENERAL'!AD221)</f>
        <v>23787</v>
      </c>
      <c r="AE221" t="str">
        <f>IF('[1]P-GENERAL'!AE221="","",'[1]P-GENERAL'!AE221)</f>
        <v>N/A</v>
      </c>
    </row>
    <row r="222" spans="1:31" ht="20.25" x14ac:dyDescent="0.3">
      <c r="A222" s="11" t="str">
        <f>IF('[1]P-GENERAL'!A222="","",'[1]P-GENERAL'!A222)</f>
        <v>Chanitos Premium Tarima Chep</v>
      </c>
      <c r="B222" s="11" t="str">
        <f>IF('[1]P-GENERAL'!B222="","",'[1]P-GENERAL'!B222)</f>
        <v>CPR01102</v>
      </c>
      <c r="C222" t="str">
        <f>IF('[1]P-GENERAL'!C222="","",'[1]P-GENERAL'!C222)</f>
        <v>A01002-381409-1</v>
      </c>
      <c r="D222" t="str">
        <f>IF('[1]P-GENERAL'!D222="","",'[1]P-GENERAL'!D222)</f>
        <v>A01 002 Fortaleza</v>
      </c>
      <c r="E222" s="8" t="str">
        <f>IF('[1]P-GENERAL'!E222="","",'[1]P-GENERAL'!E222)</f>
        <v>VSA</v>
      </c>
      <c r="F222" s="12">
        <f>IF('[1]P-GENERAL'!F222="","",'[1]P-GENERAL'!F222)</f>
        <v>240</v>
      </c>
      <c r="G222" s="13">
        <f>IF('[1]P-GENERAL'!G222="","",'[1]P-GENERAL'!G222)</f>
        <v>5</v>
      </c>
      <c r="H222" s="14">
        <f>IF('[1]P-GENERAL'!H222="","",'[1]P-GENERAL'!H222)</f>
        <v>46279</v>
      </c>
      <c r="I222">
        <f>IF('[1]P-GENERAL'!I222="","",'[1]P-GENERAL'!I222)</f>
        <v>38</v>
      </c>
      <c r="J222" s="15">
        <f>IF('[1]P-GENERAL'!J222="","",'[1]P-GENERAL'!J222)</f>
        <v>46284</v>
      </c>
      <c r="K222" s="14" t="str">
        <f>IF('[1]P-GENERAL'!K222="","",'[1]P-GENERAL'!K222)</f>
        <v/>
      </c>
      <c r="L222" s="14" t="str">
        <f>IF('[1]P-GENERAL'!L222="","",'[1]P-GENERAL'!L222)</f>
        <v>PREENFRIO FORTALEZA</v>
      </c>
      <c r="M222">
        <f>IF('[1]P-GENERAL'!M222="","",'[1]P-GENERAL'!M222)</f>
        <v>1</v>
      </c>
      <c r="N222">
        <f>IF('[1]P-GENERAL'!N222="","",'[1]P-GENERAL'!N222)</f>
        <v>24</v>
      </c>
      <c r="O222" s="14">
        <f>IF('[1]P-GENERAL'!O222="","",'[1]P-GENERAL'!O222)</f>
        <v>46279</v>
      </c>
      <c r="P222" s="16">
        <f>IF('[1]P-GENERAL'!P222="","",'[1]P-GENERAL'!P222)</f>
        <v>0.72222222222222221</v>
      </c>
      <c r="Q222" t="str">
        <f>IF('[1]P-GENERAL'!Q222="","",'[1]P-GENERAL'!Q222)</f>
        <v>NORMAL</v>
      </c>
      <c r="R222" s="14">
        <f>IF('[1]P-GENERAL'!R222="","",'[1]P-GENERAL'!R222)</f>
        <v>46279</v>
      </c>
      <c r="S222" s="16">
        <f>IF('[1]P-GENERAL'!S222="","",'[1]P-GENERAL'!S222)</f>
        <v>0.93958333333333333</v>
      </c>
      <c r="T222" s="16">
        <f>IF('[1]P-GENERAL'!T222="","",'[1]P-GENERAL'!T222)</f>
        <v>0.625</v>
      </c>
      <c r="U222" s="17">
        <f>IF('[1]P-GENERAL'!U222="","",'[1]P-GENERAL'!U222)</f>
        <v>46280.564583333333</v>
      </c>
      <c r="V222" s="14">
        <f>IF('[1]P-GENERAL'!V222="","",'[1]P-GENERAL'!V222)</f>
        <v>46282</v>
      </c>
      <c r="W222" s="16">
        <f>IF('[1]P-GENERAL'!W222="","",'[1]P-GENERAL'!W222)</f>
        <v>0.67361111111111116</v>
      </c>
      <c r="X222" s="14" t="str">
        <f>IF('[1]P-GENERAL'!X222="","",'[1]P-GENERAL'!X222)</f>
        <v>SI CUMPLE</v>
      </c>
      <c r="Y222" s="14" t="str">
        <f>IF('[1]P-GENERAL'!Y222="","",'[1]P-GENERAL'!Y222)</f>
        <v>SI CUMPLE</v>
      </c>
      <c r="Z222" s="14" t="str">
        <f>IF('[1]P-GENERAL'!Z222="","",'[1]P-GENERAL'!Z222)</f>
        <v/>
      </c>
      <c r="AA222" s="14" t="str">
        <f>IF('[1]P-GENERAL'!AA222="","",'[1]P-GENERAL'!AA222)</f>
        <v>DESPACHADO</v>
      </c>
      <c r="AB222" s="8" t="str">
        <f>IF('[1]P-GENERAL'!AB222="","",'[1]P-GENERAL'!AB222)</f>
        <v>BACKHAUL</v>
      </c>
      <c r="AC222" s="8" t="str">
        <f>IF('[1]P-GENERAL'!AC222="","",'[1]P-GENERAL'!AC222)</f>
        <v>RAUL ANGEL MEDINA JAIMES</v>
      </c>
      <c r="AD222">
        <f>IF('[1]P-GENERAL'!AD222="","",'[1]P-GENERAL'!AD222)</f>
        <v>62561</v>
      </c>
      <c r="AE222" t="str">
        <f>IF('[1]P-GENERAL'!AE222="","",'[1]P-GENERAL'!AE222)</f>
        <v>QCH1W046B0</v>
      </c>
    </row>
    <row r="223" spans="1:31" ht="20.25" x14ac:dyDescent="0.3">
      <c r="A223" s="11" t="str">
        <f>IF('[1]P-GENERAL'!A223="","",'[1]P-GENERAL'!A223)</f>
        <v>Chanitos Premium Tarima Chep</v>
      </c>
      <c r="B223" s="11" t="str">
        <f>IF('[1]P-GENERAL'!B223="","",'[1]P-GENERAL'!B223)</f>
        <v>CPR01102</v>
      </c>
      <c r="C223" t="str">
        <f>IF('[1]P-GENERAL'!C223="","",'[1]P-GENERAL'!C223)</f>
        <v>A01001-381409-1</v>
      </c>
      <c r="D223" t="str">
        <f>IF('[1]P-GENERAL'!D223="","",'[1]P-GENERAL'!D223)</f>
        <v>A01 001 Marbella</v>
      </c>
      <c r="E223" s="8" t="str">
        <f>IF('[1]P-GENERAL'!E223="","",'[1]P-GENERAL'!E223)</f>
        <v>VSA</v>
      </c>
      <c r="F223" s="12">
        <f>IF('[1]P-GENERAL'!F223="","",'[1]P-GENERAL'!F223)</f>
        <v>288</v>
      </c>
      <c r="G223" s="13">
        <f>IF('[1]P-GENERAL'!G223="","",'[1]P-GENERAL'!G223)</f>
        <v>6</v>
      </c>
      <c r="H223" s="14">
        <f>IF('[1]P-GENERAL'!H223="","",'[1]P-GENERAL'!H223)</f>
        <v>46279</v>
      </c>
      <c r="I223">
        <f>IF('[1]P-GENERAL'!I223="","",'[1]P-GENERAL'!I223)</f>
        <v>38</v>
      </c>
      <c r="J223" s="15">
        <f>IF('[1]P-GENERAL'!J223="","",'[1]P-GENERAL'!J223)</f>
        <v>46284</v>
      </c>
      <c r="K223" s="14" t="str">
        <f>IF('[1]P-GENERAL'!K223="","",'[1]P-GENERAL'!K223)</f>
        <v/>
      </c>
      <c r="L223" s="14" t="str">
        <f>IF('[1]P-GENERAL'!L223="","",'[1]P-GENERAL'!L223)</f>
        <v>PREENFRIO FORTALEZA</v>
      </c>
      <c r="M223">
        <f>IF('[1]P-GENERAL'!M223="","",'[1]P-GENERAL'!M223)</f>
        <v>1</v>
      </c>
      <c r="N223">
        <f>IF('[1]P-GENERAL'!N223="","",'[1]P-GENERAL'!N223)</f>
        <v>24</v>
      </c>
      <c r="O223" s="14">
        <f>IF('[1]P-GENERAL'!O223="","",'[1]P-GENERAL'!O223)</f>
        <v>46280</v>
      </c>
      <c r="P223" s="16">
        <f>IF('[1]P-GENERAL'!P223="","",'[1]P-GENERAL'!P223)</f>
        <v>0.83333333333333337</v>
      </c>
      <c r="Q223" t="str">
        <f>IF('[1]P-GENERAL'!Q223="","",'[1]P-GENERAL'!Q223)</f>
        <v>NORMAL</v>
      </c>
      <c r="R223" s="14">
        <f>IF('[1]P-GENERAL'!R223="","",'[1]P-GENERAL'!R223)</f>
        <v>46281</v>
      </c>
      <c r="S223" s="16">
        <f>IF('[1]P-GENERAL'!S223="","",'[1]P-GENERAL'!S223)</f>
        <v>0.3527777777777778</v>
      </c>
      <c r="T223" s="16">
        <f>IF('[1]P-GENERAL'!T223="","",'[1]P-GENERAL'!T223)</f>
        <v>0.41666666666666669</v>
      </c>
      <c r="U223" s="17">
        <f>IF('[1]P-GENERAL'!U223="","",'[1]P-GENERAL'!U223)</f>
        <v>46281.769444444442</v>
      </c>
      <c r="V223" s="14">
        <f>IF('[1]P-GENERAL'!V223="","",'[1]P-GENERAL'!V223)</f>
        <v>46282</v>
      </c>
      <c r="W223" s="16">
        <f>IF('[1]P-GENERAL'!W223="","",'[1]P-GENERAL'!W223)</f>
        <v>0.67361111111111116</v>
      </c>
      <c r="X223" s="14" t="str">
        <f>IF('[1]P-GENERAL'!X223="","",'[1]P-GENERAL'!X223)</f>
        <v>SI CUMPLE</v>
      </c>
      <c r="Y223" s="14" t="str">
        <f>IF('[1]P-GENERAL'!Y223="","",'[1]P-GENERAL'!Y223)</f>
        <v>SI CUMPLE</v>
      </c>
      <c r="Z223" s="14" t="str">
        <f>IF('[1]P-GENERAL'!Z223="","",'[1]P-GENERAL'!Z223)</f>
        <v/>
      </c>
      <c r="AA223" s="14" t="str">
        <f>IF('[1]P-GENERAL'!AA223="","",'[1]P-GENERAL'!AA223)</f>
        <v>DESPACHADO</v>
      </c>
      <c r="AB223" s="8" t="str">
        <f>IF('[1]P-GENERAL'!AB223="","",'[1]P-GENERAL'!AB223)</f>
        <v>BACKHAUL</v>
      </c>
      <c r="AC223" s="8" t="str">
        <f>IF('[1]P-GENERAL'!AC223="","",'[1]P-GENERAL'!AC223)</f>
        <v>RAUL ANGEL MEDINA JAIMES</v>
      </c>
      <c r="AD223">
        <f>IF('[1]P-GENERAL'!AD223="","",'[1]P-GENERAL'!AD223)</f>
        <v>62561</v>
      </c>
      <c r="AE223" t="str">
        <f>IF('[1]P-GENERAL'!AE223="","",'[1]P-GENERAL'!AE223)</f>
        <v>QCH1W046B0</v>
      </c>
    </row>
    <row r="224" spans="1:31" ht="20.25" x14ac:dyDescent="0.3">
      <c r="A224" s="11" t="str">
        <f>IF('[1]P-GENERAL'!A224="","",'[1]P-GENERAL'!A224)</f>
        <v>Chanitos Premium Tarima Chep</v>
      </c>
      <c r="B224" s="11" t="str">
        <f>IF('[1]P-GENERAL'!B224="","",'[1]P-GENERAL'!B224)</f>
        <v>CPR01102</v>
      </c>
      <c r="C224" t="str">
        <f>IF('[1]P-GENERAL'!C224="","",'[1]P-GENERAL'!C224)</f>
        <v>A01001-381409-1</v>
      </c>
      <c r="D224" t="str">
        <f>IF('[1]P-GENERAL'!D224="","",'[1]P-GENERAL'!D224)</f>
        <v>A01 001 Marbella</v>
      </c>
      <c r="E224" s="8" t="str">
        <f>IF('[1]P-GENERAL'!E224="","",'[1]P-GENERAL'!E224)</f>
        <v>Chalco</v>
      </c>
      <c r="F224" s="12">
        <f>IF('[1]P-GENERAL'!F224="","",'[1]P-GENERAL'!F224)</f>
        <v>1104</v>
      </c>
      <c r="G224" s="13">
        <f>IF('[1]P-GENERAL'!G224="","",'[1]P-GENERAL'!G224)</f>
        <v>23</v>
      </c>
      <c r="H224" s="14">
        <f>IF('[1]P-GENERAL'!H224="","",'[1]P-GENERAL'!H224)</f>
        <v>46279</v>
      </c>
      <c r="I224">
        <f>IF('[1]P-GENERAL'!I224="","",'[1]P-GENERAL'!I224)</f>
        <v>38</v>
      </c>
      <c r="J224" s="15">
        <f>IF('[1]P-GENERAL'!J224="","",'[1]P-GENERAL'!J224)</f>
        <v>46284</v>
      </c>
      <c r="K224" s="14" t="str">
        <f>IF('[1]P-GENERAL'!K224="","",'[1]P-GENERAL'!K224)</f>
        <v/>
      </c>
      <c r="L224" s="14" t="str">
        <f>IF('[1]P-GENERAL'!L224="","",'[1]P-GENERAL'!L224)</f>
        <v>PREENFRIO NELLY</v>
      </c>
      <c r="M224">
        <f>IF('[1]P-GENERAL'!M224="","",'[1]P-GENERAL'!M224)</f>
        <v>1</v>
      </c>
      <c r="N224">
        <f>IF('[1]P-GENERAL'!N224="","",'[1]P-GENERAL'!N224)</f>
        <v>24</v>
      </c>
      <c r="O224" s="14">
        <f>IF('[1]P-GENERAL'!O224="","",'[1]P-GENERAL'!O224)</f>
        <v>46279</v>
      </c>
      <c r="P224" s="16">
        <f>IF('[1]P-GENERAL'!P224="","",'[1]P-GENERAL'!P224)</f>
        <v>0.75</v>
      </c>
      <c r="Q224" t="str">
        <f>IF('[1]P-GENERAL'!Q224="","",'[1]P-GENERAL'!Q224)</f>
        <v>NORMAL</v>
      </c>
      <c r="R224" s="14">
        <f>IF('[1]P-GENERAL'!R224="","",'[1]P-GENERAL'!R224)</f>
        <v>46280</v>
      </c>
      <c r="S224" s="16">
        <f>IF('[1]P-GENERAL'!S224="","",'[1]P-GENERAL'!S224)</f>
        <v>1.3888888888888888E-2</v>
      </c>
      <c r="T224" s="16">
        <f>IF('[1]P-GENERAL'!T224="","",'[1]P-GENERAL'!T224)</f>
        <v>0.35416666666666669</v>
      </c>
      <c r="U224" s="17">
        <f>IF('[1]P-GENERAL'!U224="","",'[1]P-GENERAL'!U224)</f>
        <v>46280.368055555555</v>
      </c>
      <c r="V224" s="14">
        <f>IF('[1]P-GENERAL'!V224="","",'[1]P-GENERAL'!V224)</f>
        <v>46280</v>
      </c>
      <c r="W224" s="16">
        <f>IF('[1]P-GENERAL'!W224="","",'[1]P-GENERAL'!W224)</f>
        <v>0.82986111111111116</v>
      </c>
      <c r="X224" s="14" t="str">
        <f>IF('[1]P-GENERAL'!X224="","",'[1]P-GENERAL'!X224)</f>
        <v>SI CUMPLE</v>
      </c>
      <c r="Y224" s="14" t="str">
        <f>IF('[1]P-GENERAL'!Y224="","",'[1]P-GENERAL'!Y224)</f>
        <v>SI CUMPLE</v>
      </c>
      <c r="Z224" s="14" t="str">
        <f>IF('[1]P-GENERAL'!Z224="","",'[1]P-GENERAL'!Z224)</f>
        <v/>
      </c>
      <c r="AA224" s="14" t="str">
        <f>IF('[1]P-GENERAL'!AA224="","",'[1]P-GENERAL'!AA224)</f>
        <v>DESPACHADO</v>
      </c>
      <c r="AB224" s="8" t="str">
        <f>IF('[1]P-GENERAL'!AB224="","",'[1]P-GENERAL'!AB224)</f>
        <v>ALICIA CRUZ FUENTES</v>
      </c>
      <c r="AC224" s="8" t="str">
        <f>IF('[1]P-GENERAL'!AC224="","",'[1]P-GENERAL'!AC224)</f>
        <v>EDGAR CARRILLO CRUZ</v>
      </c>
      <c r="AD224">
        <f>IF('[1]P-GENERAL'!AD224="","",'[1]P-GENERAL'!AD224)</f>
        <v>84190</v>
      </c>
      <c r="AE224" t="str">
        <f>IF('[1]P-GENERAL'!AE224="","",'[1]P-GENERAL'!AE224)</f>
        <v>QCH1W03RR0</v>
      </c>
    </row>
    <row r="225" spans="1:31" ht="20.25" x14ac:dyDescent="0.3">
      <c r="A225" s="11" t="str">
        <f>IF('[1]P-GENERAL'!A225="","",'[1]P-GENERAL'!A225)</f>
        <v>Platano de Chiapas BAE UPC 3237</v>
      </c>
      <c r="B225" s="11" t="str">
        <f>IF('[1]P-GENERAL'!B225="","",'[1]P-GENERAL'!B225)</f>
        <v>CPR01114</v>
      </c>
      <c r="C225" t="str">
        <f>IF('[1]P-GENERAL'!C225="","",'[1]P-GENERAL'!C225)</f>
        <v>A01001-381409-1</v>
      </c>
      <c r="D225" t="str">
        <f>IF('[1]P-GENERAL'!D225="","",'[1]P-GENERAL'!D225)</f>
        <v>A01 001 Marbella</v>
      </c>
      <c r="E225" s="8" t="str">
        <f>IF('[1]P-GENERAL'!E225="","",'[1]P-GENERAL'!E225)</f>
        <v>Chalco</v>
      </c>
      <c r="F225" s="12">
        <f>IF('[1]P-GENERAL'!F225="","",'[1]P-GENERAL'!F225)</f>
        <v>48</v>
      </c>
      <c r="G225" s="13">
        <f>IF('[1]P-GENERAL'!G225="","",'[1]P-GENERAL'!G225)</f>
        <v>1</v>
      </c>
      <c r="H225" s="14">
        <f>IF('[1]P-GENERAL'!H225="","",'[1]P-GENERAL'!H225)</f>
        <v>46279</v>
      </c>
      <c r="I225">
        <f>IF('[1]P-GENERAL'!I225="","",'[1]P-GENERAL'!I225)</f>
        <v>38</v>
      </c>
      <c r="J225" s="15">
        <f>IF('[1]P-GENERAL'!J225="","",'[1]P-GENERAL'!J225)</f>
        <v>46284</v>
      </c>
      <c r="K225" s="14" t="str">
        <f>IF('[1]P-GENERAL'!K225="","",'[1]P-GENERAL'!K225)</f>
        <v/>
      </c>
      <c r="L225" s="14" t="str">
        <f>IF('[1]P-GENERAL'!L225="","",'[1]P-GENERAL'!L225)</f>
        <v>PREENFRIO NELLY</v>
      </c>
      <c r="M225">
        <f>IF('[1]P-GENERAL'!M225="","",'[1]P-GENERAL'!M225)</f>
        <v>1</v>
      </c>
      <c r="N225">
        <f>IF('[1]P-GENERAL'!N225="","",'[1]P-GENERAL'!N225)</f>
        <v>24</v>
      </c>
      <c r="O225" s="14">
        <f>IF('[1]P-GENERAL'!O225="","",'[1]P-GENERAL'!O225)</f>
        <v>46279</v>
      </c>
      <c r="P225" s="16">
        <f>IF('[1]P-GENERAL'!P225="","",'[1]P-GENERAL'!P225)</f>
        <v>0.75</v>
      </c>
      <c r="Q225" t="str">
        <f>IF('[1]P-GENERAL'!Q225="","",'[1]P-GENERAL'!Q225)</f>
        <v>NORMAL</v>
      </c>
      <c r="R225" s="14">
        <f>IF('[1]P-GENERAL'!R225="","",'[1]P-GENERAL'!R225)</f>
        <v>46280</v>
      </c>
      <c r="S225" s="16">
        <f>IF('[1]P-GENERAL'!S225="","",'[1]P-GENERAL'!S225)</f>
        <v>1.3888888888888888E-2</v>
      </c>
      <c r="T225" s="16">
        <f>IF('[1]P-GENERAL'!T225="","",'[1]P-GENERAL'!T225)</f>
        <v>0.35416666666666669</v>
      </c>
      <c r="U225" s="17">
        <f>IF('[1]P-GENERAL'!U225="","",'[1]P-GENERAL'!U225)</f>
        <v>46280.368055555555</v>
      </c>
      <c r="V225" s="14">
        <f>IF('[1]P-GENERAL'!V225="","",'[1]P-GENERAL'!V225)</f>
        <v>46280</v>
      </c>
      <c r="W225" s="16">
        <f>IF('[1]P-GENERAL'!W225="","",'[1]P-GENERAL'!W225)</f>
        <v>0.82986111111111116</v>
      </c>
      <c r="X225" s="14" t="str">
        <f>IF('[1]P-GENERAL'!X225="","",'[1]P-GENERAL'!X225)</f>
        <v>SI CUMPLE</v>
      </c>
      <c r="Y225" s="14" t="str">
        <f>IF('[1]P-GENERAL'!Y225="","",'[1]P-GENERAL'!Y225)</f>
        <v>SI CUMPLE</v>
      </c>
      <c r="Z225" s="14" t="str">
        <f>IF('[1]P-GENERAL'!Z225="","",'[1]P-GENERAL'!Z225)</f>
        <v/>
      </c>
      <c r="AA225" s="14" t="str">
        <f>IF('[1]P-GENERAL'!AA225="","",'[1]P-GENERAL'!AA225)</f>
        <v>DESPACHADO</v>
      </c>
      <c r="AB225" s="8" t="str">
        <f>IF('[1]P-GENERAL'!AB225="","",'[1]P-GENERAL'!AB225)</f>
        <v>ALICIA CRUZ FUENTES</v>
      </c>
      <c r="AC225" s="8" t="str">
        <f>IF('[1]P-GENERAL'!AC225="","",'[1]P-GENERAL'!AC225)</f>
        <v>EDGAR CARRILLO CRUZ</v>
      </c>
      <c r="AD225">
        <f>IF('[1]P-GENERAL'!AD225="","",'[1]P-GENERAL'!AD225)</f>
        <v>84190</v>
      </c>
      <c r="AE225" t="str">
        <f>IF('[1]P-GENERAL'!AE225="","",'[1]P-GENERAL'!AE225)</f>
        <v>QCH1W03RR0</v>
      </c>
    </row>
    <row r="226" spans="1:31" ht="20.25" x14ac:dyDescent="0.3">
      <c r="A226" s="11" t="str">
        <f>IF('[1]P-GENERAL'!A226="","",'[1]P-GENERAL'!A226)</f>
        <v>Chanitos Premium Tarima Chep</v>
      </c>
      <c r="B226" s="11" t="str">
        <f>IF('[1]P-GENERAL'!B226="","",'[1]P-GENERAL'!B226)</f>
        <v>CPR01102</v>
      </c>
      <c r="C226" t="str">
        <f>IF('[1]P-GENERAL'!C226="","",'[1]P-GENERAL'!C226)</f>
        <v>A01003-381409-1</v>
      </c>
      <c r="D226" t="str">
        <f>IF('[1]P-GENERAL'!D226="","",'[1]P-GENERAL'!D226)</f>
        <v>A01 003 Doña Nelly</v>
      </c>
      <c r="E226" s="8" t="str">
        <f>IF('[1]P-GENERAL'!E226="","",'[1]P-GENERAL'!E226)</f>
        <v>SMO</v>
      </c>
      <c r="F226" s="12">
        <f>IF('[1]P-GENERAL'!F226="","",'[1]P-GENERAL'!F226)</f>
        <v>192</v>
      </c>
      <c r="G226" s="13">
        <f>IF('[1]P-GENERAL'!G226="","",'[1]P-GENERAL'!G226)</f>
        <v>4</v>
      </c>
      <c r="H226" s="14">
        <f>IF('[1]P-GENERAL'!H226="","",'[1]P-GENERAL'!H226)</f>
        <v>46279</v>
      </c>
      <c r="I226">
        <f>IF('[1]P-GENERAL'!I226="","",'[1]P-GENERAL'!I226)</f>
        <v>38</v>
      </c>
      <c r="J226" s="15">
        <f>IF('[1]P-GENERAL'!J226="","",'[1]P-GENERAL'!J226)</f>
        <v>46284</v>
      </c>
      <c r="K226" s="14" t="str">
        <f>IF('[1]P-GENERAL'!K226="","",'[1]P-GENERAL'!K226)</f>
        <v/>
      </c>
      <c r="L226" s="14" t="str">
        <f>IF('[1]P-GENERAL'!L226="","",'[1]P-GENERAL'!L226)</f>
        <v>PREENFRIO NELLY</v>
      </c>
      <c r="M226">
        <f>IF('[1]P-GENERAL'!M226="","",'[1]P-GENERAL'!M226)</f>
        <v>1.5</v>
      </c>
      <c r="N226">
        <f>IF('[1]P-GENERAL'!N226="","",'[1]P-GENERAL'!N226)</f>
        <v>36</v>
      </c>
      <c r="O226" s="14">
        <f>IF('[1]P-GENERAL'!O226="","",'[1]P-GENERAL'!O226)</f>
        <v>46279</v>
      </c>
      <c r="P226" s="16">
        <f>IF('[1]P-GENERAL'!P226="","",'[1]P-GENERAL'!P226)</f>
        <v>0.70833333333333337</v>
      </c>
      <c r="Q226" t="str">
        <f>IF('[1]P-GENERAL'!Q226="","",'[1]P-GENERAL'!Q226)</f>
        <v>NORMAL</v>
      </c>
      <c r="R226" s="14">
        <f>IF('[1]P-GENERAL'!R226="","",'[1]P-GENERAL'!R226)</f>
        <v>46279</v>
      </c>
      <c r="S226" s="16">
        <f>IF('[1]P-GENERAL'!S226="","",'[1]P-GENERAL'!S226)</f>
        <v>0.48888888888888887</v>
      </c>
      <c r="T226" s="16">
        <f>IF('[1]P-GENERAL'!T226="","",'[1]P-GENERAL'!T226)</f>
        <v>0.35416666666666669</v>
      </c>
      <c r="U226" s="17">
        <f>IF('[1]P-GENERAL'!U226="","",'[1]P-GENERAL'!U226)</f>
        <v>46279.843055555553</v>
      </c>
      <c r="V226" s="14">
        <f>IF('[1]P-GENERAL'!V226="","",'[1]P-GENERAL'!V226)</f>
        <v>46281</v>
      </c>
      <c r="W226" s="16">
        <f>IF('[1]P-GENERAL'!W226="","",'[1]P-GENERAL'!W226)</f>
        <v>0.53611111111111109</v>
      </c>
      <c r="X226" s="14" t="str">
        <f>IF('[1]P-GENERAL'!X226="","",'[1]P-GENERAL'!X226)</f>
        <v>SI CUMPLE</v>
      </c>
      <c r="Y226" s="14" t="str">
        <f>IF('[1]P-GENERAL'!Y226="","",'[1]P-GENERAL'!Y226)</f>
        <v>SI CUMPLE</v>
      </c>
      <c r="Z226" s="14" t="str">
        <f>IF('[1]P-GENERAL'!Z226="","",'[1]P-GENERAL'!Z226)</f>
        <v/>
      </c>
      <c r="AA226" s="14" t="str">
        <f>IF('[1]P-GENERAL'!AA226="","",'[1]P-GENERAL'!AA226)</f>
        <v>DESPACHADO</v>
      </c>
      <c r="AB226" s="8" t="str">
        <f>IF('[1]P-GENERAL'!AB226="","",'[1]P-GENERAL'!AB226)</f>
        <v>MARIBEL DE LA ROSA FERNANDEZ</v>
      </c>
      <c r="AC226" s="8" t="str">
        <f>IF('[1]P-GENERAL'!AC226="","",'[1]P-GENERAL'!AC226)</f>
        <v>ENRIQUE TREJO</v>
      </c>
      <c r="AD226">
        <f>IF('[1]P-GENERAL'!AD226="","",'[1]P-GENERAL'!AD226)</f>
        <v>76329</v>
      </c>
      <c r="AE226" t="str">
        <f>IF('[1]P-GENERAL'!AE226="","",'[1]P-GENERAL'!AE226)</f>
        <v>QCH1W03SG0</v>
      </c>
    </row>
    <row r="227" spans="1:31" ht="20.25" x14ac:dyDescent="0.3">
      <c r="A227" s="11" t="str">
        <f>IF('[1]P-GENERAL'!A227="","",'[1]P-GENERAL'!A227)</f>
        <v>Chanitos Premium EUA Tarima Americana</v>
      </c>
      <c r="B227" s="11" t="str">
        <f>IF('[1]P-GENERAL'!B227="","",'[1]P-GENERAL'!B227)</f>
        <v>CPR01104</v>
      </c>
      <c r="C227" t="str">
        <f>IF('[1]P-GENERAL'!C227="","",'[1]P-GENERAL'!C227)</f>
        <v>A11045-381509-1</v>
      </c>
      <c r="D227" t="str">
        <f>IF('[1]P-GENERAL'!D227="","",'[1]P-GENERAL'!D227)</f>
        <v>A11 045 Sector Mazatan</v>
      </c>
      <c r="E227" s="8" t="str">
        <f>IF('[1]P-GENERAL'!E227="","",'[1]P-GENERAL'!E227)</f>
        <v>McAllen</v>
      </c>
      <c r="F227" s="12">
        <f>IF('[1]P-GENERAL'!F227="","",'[1]P-GENERAL'!F227)</f>
        <v>480</v>
      </c>
      <c r="G227" s="13">
        <f>IF('[1]P-GENERAL'!G227="","",'[1]P-GENERAL'!G227)</f>
        <v>10</v>
      </c>
      <c r="H227" s="14">
        <f>IF('[1]P-GENERAL'!H227="","",'[1]P-GENERAL'!H227)</f>
        <v>46280</v>
      </c>
      <c r="I227">
        <f>IF('[1]P-GENERAL'!I227="","",'[1]P-GENERAL'!I227)</f>
        <v>38</v>
      </c>
      <c r="J227" s="15">
        <f>IF('[1]P-GENERAL'!J227="","",'[1]P-GENERAL'!J227)</f>
        <v>46284</v>
      </c>
      <c r="K227" s="14" t="str">
        <f>IF('[1]P-GENERAL'!K227="","",'[1]P-GENERAL'!K227)</f>
        <v/>
      </c>
      <c r="L227" s="14" t="str">
        <f>IF('[1]P-GENERAL'!L227="","",'[1]P-GENERAL'!L227)</f>
        <v>PREENFRIO FORTALEZA</v>
      </c>
      <c r="M227">
        <f>IF('[1]P-GENERAL'!M227="","",'[1]P-GENERAL'!M227)</f>
        <v>3</v>
      </c>
      <c r="N227">
        <f>IF('[1]P-GENERAL'!N227="","",'[1]P-GENERAL'!N227)</f>
        <v>72</v>
      </c>
      <c r="O227" s="14">
        <f>IF('[1]P-GENERAL'!O227="","",'[1]P-GENERAL'!O227)</f>
        <v>46280</v>
      </c>
      <c r="P227" s="16">
        <f>IF('[1]P-GENERAL'!P227="","",'[1]P-GENERAL'!P227)</f>
        <v>0.70833333333333337</v>
      </c>
      <c r="Q227" t="str">
        <f>IF('[1]P-GENERAL'!Q227="","",'[1]P-GENERAL'!Q227)</f>
        <v>NORMAL</v>
      </c>
      <c r="R227" s="14">
        <f>IF('[1]P-GENERAL'!R227="","",'[1]P-GENERAL'!R227)</f>
        <v>46280</v>
      </c>
      <c r="S227" s="16">
        <f>IF('[1]P-GENERAL'!S227="","",'[1]P-GENERAL'!S227)</f>
        <v>0.89930555555555558</v>
      </c>
      <c r="T227" s="16">
        <f>IF('[1]P-GENERAL'!T227="","",'[1]P-GENERAL'!T227)</f>
        <v>0.29166666666666669</v>
      </c>
      <c r="U227" s="17">
        <f>IF('[1]P-GENERAL'!U227="","",'[1]P-GENERAL'!U227)</f>
        <v>46281.190972222219</v>
      </c>
      <c r="V227" s="14">
        <f>IF('[1]P-GENERAL'!V227="","",'[1]P-GENERAL'!V227)</f>
        <v>46281</v>
      </c>
      <c r="W227" s="16">
        <f>IF('[1]P-GENERAL'!W227="","",'[1]P-GENERAL'!W227)</f>
        <v>0.375</v>
      </c>
      <c r="X227" s="14" t="str">
        <f>IF('[1]P-GENERAL'!X227="","",'[1]P-GENERAL'!X227)</f>
        <v>NO CUMPLE</v>
      </c>
      <c r="Y227" s="14" t="str">
        <f>IF('[1]P-GENERAL'!Y227="","",'[1]P-GENERAL'!Y227)</f>
        <v>NO CUMPLE</v>
      </c>
      <c r="Z227" s="14" t="str">
        <f>IF('[1]P-GENERAL'!Z227="","",'[1]P-GENERAL'!Z227)</f>
        <v/>
      </c>
      <c r="AA227" s="14" t="str">
        <f>IF('[1]P-GENERAL'!AA227="","",'[1]P-GENERAL'!AA227)</f>
        <v>DESPACHADO</v>
      </c>
      <c r="AB227" s="8" t="str">
        <f>IF('[1]P-GENERAL'!AB227="","",'[1]P-GENERAL'!AB227)</f>
        <v>TRANSPORTES ALGEZA</v>
      </c>
      <c r="AC227" s="8" t="str">
        <f>IF('[1]P-GENERAL'!AC227="","",'[1]P-GENERAL'!AC227)</f>
        <v>JESUS ANTONIO HEREDIA HIGUERA</v>
      </c>
      <c r="AD227">
        <f>IF('[1]P-GENERAL'!AD227="","",'[1]P-GENERAL'!AD227)</f>
        <v>15234</v>
      </c>
      <c r="AE227">
        <f>IF('[1]P-GENERAL'!AE227="","",'[1]P-GENERAL'!AE227)</f>
        <v>100000914998</v>
      </c>
    </row>
    <row r="228" spans="1:31" ht="20.25" x14ac:dyDescent="0.3">
      <c r="A228" s="11" t="str">
        <f>IF('[1]P-GENERAL'!A228="","",'[1]P-GENERAL'!A228)</f>
        <v>Chanitos Premium Tarima Chep</v>
      </c>
      <c r="B228" s="11" t="str">
        <f>IF('[1]P-GENERAL'!B228="","",'[1]P-GENERAL'!B228)</f>
        <v>CPR01102</v>
      </c>
      <c r="C228" t="str">
        <f>IF('[1]P-GENERAL'!C228="","",'[1]P-GENERAL'!C228)</f>
        <v>A01002-381509-1</v>
      </c>
      <c r="D228" t="str">
        <f>IF('[1]P-GENERAL'!D228="","",'[1]P-GENERAL'!D228)</f>
        <v>A01 002 Fortaleza</v>
      </c>
      <c r="E228" s="8" t="str">
        <f>IF('[1]P-GENERAL'!E228="","",'[1]P-GENERAL'!E228)</f>
        <v>VSA</v>
      </c>
      <c r="F228" s="12">
        <f>IF('[1]P-GENERAL'!F228="","",'[1]P-GENERAL'!F228)</f>
        <v>336</v>
      </c>
      <c r="G228" s="13">
        <f>IF('[1]P-GENERAL'!G228="","",'[1]P-GENERAL'!G228)</f>
        <v>7</v>
      </c>
      <c r="H228" s="14">
        <f>IF('[1]P-GENERAL'!H228="","",'[1]P-GENERAL'!H228)</f>
        <v>46280</v>
      </c>
      <c r="I228">
        <f>IF('[1]P-GENERAL'!I228="","",'[1]P-GENERAL'!I228)</f>
        <v>38</v>
      </c>
      <c r="J228" s="15">
        <f>IF('[1]P-GENERAL'!J228="","",'[1]P-GENERAL'!J228)</f>
        <v>46284</v>
      </c>
      <c r="K228" s="14" t="str">
        <f>IF('[1]P-GENERAL'!K228="","",'[1]P-GENERAL'!K228)</f>
        <v/>
      </c>
      <c r="L228" s="14" t="str">
        <f>IF('[1]P-GENERAL'!L228="","",'[1]P-GENERAL'!L228)</f>
        <v>PREENFRIO FORTALEZA</v>
      </c>
      <c r="M228">
        <f>IF('[1]P-GENERAL'!M228="","",'[1]P-GENERAL'!M228)</f>
        <v>1</v>
      </c>
      <c r="N228">
        <f>IF('[1]P-GENERAL'!N228="","",'[1]P-GENERAL'!N228)</f>
        <v>24</v>
      </c>
      <c r="O228" s="14">
        <f>IF('[1]P-GENERAL'!O228="","",'[1]P-GENERAL'!O228)</f>
        <v>46280</v>
      </c>
      <c r="P228" s="16">
        <f>IF('[1]P-GENERAL'!P228="","",'[1]P-GENERAL'!P228)</f>
        <v>0.75624999999999998</v>
      </c>
      <c r="Q228" t="str">
        <f>IF('[1]P-GENERAL'!Q228="","",'[1]P-GENERAL'!Q228)</f>
        <v>NORMAL</v>
      </c>
      <c r="R228" s="14">
        <f>IF('[1]P-GENERAL'!R228="","",'[1]P-GENERAL'!R228)</f>
        <v>46281</v>
      </c>
      <c r="S228" s="16">
        <f>IF('[1]P-GENERAL'!S228="","",'[1]P-GENERAL'!S228)</f>
        <v>0.54166666666666663</v>
      </c>
      <c r="T228" s="16">
        <f>IF('[1]P-GENERAL'!T228="","",'[1]P-GENERAL'!T228)</f>
        <v>0.20833333333333334</v>
      </c>
      <c r="U228" s="17">
        <f>IF('[1]P-GENERAL'!U228="","",'[1]P-GENERAL'!U228)</f>
        <v>46281.75</v>
      </c>
      <c r="V228" s="14">
        <f>IF('[1]P-GENERAL'!V228="","",'[1]P-GENERAL'!V228)</f>
        <v>46282</v>
      </c>
      <c r="W228" s="16">
        <f>IF('[1]P-GENERAL'!W228="","",'[1]P-GENERAL'!W228)</f>
        <v>0.67361111111111116</v>
      </c>
      <c r="X228" s="14" t="str">
        <f>IF('[1]P-GENERAL'!X228="","",'[1]P-GENERAL'!X228)</f>
        <v>SI CUMPLE</v>
      </c>
      <c r="Y228" s="14" t="str">
        <f>IF('[1]P-GENERAL'!Y228="","",'[1]P-GENERAL'!Y228)</f>
        <v>SI CUMPLE</v>
      </c>
      <c r="Z228" s="14" t="str">
        <f>IF('[1]P-GENERAL'!Z228="","",'[1]P-GENERAL'!Z228)</f>
        <v/>
      </c>
      <c r="AA228" s="14" t="str">
        <f>IF('[1]P-GENERAL'!AA228="","",'[1]P-GENERAL'!AA228)</f>
        <v>DESPACHADO</v>
      </c>
      <c r="AB228" s="8" t="str">
        <f>IF('[1]P-GENERAL'!AB228="","",'[1]P-GENERAL'!AB228)</f>
        <v>BACKHAUL</v>
      </c>
      <c r="AC228" s="8" t="str">
        <f>IF('[1]P-GENERAL'!AC228="","",'[1]P-GENERAL'!AC228)</f>
        <v>RAUL ANGEL MEDINA JAIMES</v>
      </c>
      <c r="AD228">
        <f>IF('[1]P-GENERAL'!AD228="","",'[1]P-GENERAL'!AD228)</f>
        <v>62561</v>
      </c>
      <c r="AE228" t="str">
        <f>IF('[1]P-GENERAL'!AE228="","",'[1]P-GENERAL'!AE228)</f>
        <v>QCH1W046B0</v>
      </c>
    </row>
    <row r="229" spans="1:31" ht="20.25" x14ac:dyDescent="0.3">
      <c r="A229" s="11" t="str">
        <f>IF('[1]P-GENERAL'!A229="","",'[1]P-GENERAL'!A229)</f>
        <v>Chanitos Organic Banded Market Side Mexico</v>
      </c>
      <c r="B229" s="11" t="str">
        <f>IF('[1]P-GENERAL'!B229="","",'[1]P-GENERAL'!B229)</f>
        <v>CRG07128</v>
      </c>
      <c r="C229" t="str">
        <f>IF('[1]P-GENERAL'!C229="","",'[1]P-GENERAL'!C229)</f>
        <v>A01002-381509-1</v>
      </c>
      <c r="D229" t="str">
        <f>IF('[1]P-GENERAL'!D229="","",'[1]P-GENERAL'!D229)</f>
        <v>A01 002 Fortaleza</v>
      </c>
      <c r="E229" s="8" t="str">
        <f>IF('[1]P-GENERAL'!E229="","",'[1]P-GENERAL'!E229)</f>
        <v>VSA</v>
      </c>
      <c r="F229" s="12">
        <f>IF('[1]P-GENERAL'!F229="","",'[1]P-GENERAL'!F229)</f>
        <v>288</v>
      </c>
      <c r="G229" s="13">
        <f>IF('[1]P-GENERAL'!G229="","",'[1]P-GENERAL'!G229)</f>
        <v>6</v>
      </c>
      <c r="H229" s="14">
        <f>IF('[1]P-GENERAL'!H229="","",'[1]P-GENERAL'!H229)</f>
        <v>46280</v>
      </c>
      <c r="I229">
        <f>IF('[1]P-GENERAL'!I229="","",'[1]P-GENERAL'!I229)</f>
        <v>38</v>
      </c>
      <c r="J229" s="15">
        <f>IF('[1]P-GENERAL'!J229="","",'[1]P-GENERAL'!J229)</f>
        <v>46284</v>
      </c>
      <c r="K229" s="14" t="str">
        <f>IF('[1]P-GENERAL'!K229="","",'[1]P-GENERAL'!K229)</f>
        <v/>
      </c>
      <c r="L229" s="14" t="str">
        <f>IF('[1]P-GENERAL'!L229="","",'[1]P-GENERAL'!L229)</f>
        <v>PREENFRIO FORTALEZA</v>
      </c>
      <c r="M229">
        <f>IF('[1]P-GENERAL'!M229="","",'[1]P-GENERAL'!M229)</f>
        <v>1</v>
      </c>
      <c r="N229">
        <f>IF('[1]P-GENERAL'!N229="","",'[1]P-GENERAL'!N229)</f>
        <v>24</v>
      </c>
      <c r="O229" s="14">
        <f>IF('[1]P-GENERAL'!O229="","",'[1]P-GENERAL'!O229)</f>
        <v>46280</v>
      </c>
      <c r="P229" s="16">
        <f>IF('[1]P-GENERAL'!P229="","",'[1]P-GENERAL'!P229)</f>
        <v>0.75624999999999998</v>
      </c>
      <c r="Q229" t="str">
        <f>IF('[1]P-GENERAL'!Q229="","",'[1]P-GENERAL'!Q229)</f>
        <v>NORMAL</v>
      </c>
      <c r="R229" s="14">
        <f>IF('[1]P-GENERAL'!R229="","",'[1]P-GENERAL'!R229)</f>
        <v>46281</v>
      </c>
      <c r="S229" s="16">
        <f>IF('[1]P-GENERAL'!S229="","",'[1]P-GENERAL'!S229)</f>
        <v>0.78125</v>
      </c>
      <c r="T229" s="16">
        <f>IF('[1]P-GENERAL'!T229="","",'[1]P-GENERAL'!T229)</f>
        <v>0.625</v>
      </c>
      <c r="U229" s="17">
        <f>IF('[1]P-GENERAL'!U229="","",'[1]P-GENERAL'!U229)</f>
        <v>46282.40625</v>
      </c>
      <c r="V229" s="14">
        <f>IF('[1]P-GENERAL'!V229="","",'[1]P-GENERAL'!V229)</f>
        <v>46282</v>
      </c>
      <c r="W229" s="16">
        <f>IF('[1]P-GENERAL'!W229="","",'[1]P-GENERAL'!W229)</f>
        <v>0.67361111111111116</v>
      </c>
      <c r="X229" s="14" t="str">
        <f>IF('[1]P-GENERAL'!X229="","",'[1]P-GENERAL'!X229)</f>
        <v>SI CUMPLE</v>
      </c>
      <c r="Y229" s="14" t="str">
        <f>IF('[1]P-GENERAL'!Y229="","",'[1]P-GENERAL'!Y229)</f>
        <v>SI CUMPLE</v>
      </c>
      <c r="Z229" s="14" t="str">
        <f>IF('[1]P-GENERAL'!Z229="","",'[1]P-GENERAL'!Z229)</f>
        <v/>
      </c>
      <c r="AA229" s="14" t="str">
        <f>IF('[1]P-GENERAL'!AA229="","",'[1]P-GENERAL'!AA229)</f>
        <v>DESPACHADO</v>
      </c>
      <c r="AB229" s="8" t="str">
        <f>IF('[1]P-GENERAL'!AB229="","",'[1]P-GENERAL'!AB229)</f>
        <v>BACKHAUL</v>
      </c>
      <c r="AC229" s="8" t="str">
        <f>IF('[1]P-GENERAL'!AC229="","",'[1]P-GENERAL'!AC229)</f>
        <v>RAUL ANGEL MEDINA JAIMES</v>
      </c>
      <c r="AD229">
        <f>IF('[1]P-GENERAL'!AD229="","",'[1]P-GENERAL'!AD229)</f>
        <v>62561</v>
      </c>
      <c r="AE229" t="str">
        <f>IF('[1]P-GENERAL'!AE229="","",'[1]P-GENERAL'!AE229)</f>
        <v>QCH1W046B0</v>
      </c>
    </row>
    <row r="230" spans="1:31" ht="20.25" x14ac:dyDescent="0.3">
      <c r="A230" s="11" t="str">
        <f>IF('[1]P-GENERAL'!A230="","",'[1]P-GENERAL'!A230)</f>
        <v>Chanitos Premium Tarima Chep</v>
      </c>
      <c r="B230" s="11" t="str">
        <f>IF('[1]P-GENERAL'!B230="","",'[1]P-GENERAL'!B230)</f>
        <v>CPR01102</v>
      </c>
      <c r="C230" t="str">
        <f>IF('[1]P-GENERAL'!C230="","",'[1]P-GENERAL'!C230)</f>
        <v>A01003-381509-1</v>
      </c>
      <c r="D230" t="str">
        <f>IF('[1]P-GENERAL'!D230="","",'[1]P-GENERAL'!D230)</f>
        <v>A01 003 Doña Nelly</v>
      </c>
      <c r="E230" s="8" t="str">
        <f>IF('[1]P-GENERAL'!E230="","",'[1]P-GENERAL'!E230)</f>
        <v>SMO</v>
      </c>
      <c r="F230" s="12">
        <f>IF('[1]P-GENERAL'!F230="","",'[1]P-GENERAL'!F230)</f>
        <v>672</v>
      </c>
      <c r="G230" s="13">
        <f>IF('[1]P-GENERAL'!G230="","",'[1]P-GENERAL'!G230)</f>
        <v>14</v>
      </c>
      <c r="H230" s="14">
        <f>IF('[1]P-GENERAL'!H230="","",'[1]P-GENERAL'!H230)</f>
        <v>46280</v>
      </c>
      <c r="I230">
        <f>IF('[1]P-GENERAL'!I230="","",'[1]P-GENERAL'!I230)</f>
        <v>38</v>
      </c>
      <c r="J230" s="15">
        <f>IF('[1]P-GENERAL'!J230="","",'[1]P-GENERAL'!J230)</f>
        <v>46284</v>
      </c>
      <c r="K230" s="14">
        <f>IF('[1]P-GENERAL'!K230="","",'[1]P-GENERAL'!K230)</f>
        <v>0.25</v>
      </c>
      <c r="L230" s="14" t="str">
        <f>IF('[1]P-GENERAL'!L230="","",'[1]P-GENERAL'!L230)</f>
        <v>PREENFRIO NELLY</v>
      </c>
      <c r="M230">
        <f>IF('[1]P-GENERAL'!M230="","",'[1]P-GENERAL'!M230)</f>
        <v>1.5</v>
      </c>
      <c r="N230">
        <f>IF('[1]P-GENERAL'!N230="","",'[1]P-GENERAL'!N230)</f>
        <v>36</v>
      </c>
      <c r="O230" s="14">
        <f>IF('[1]P-GENERAL'!O230="","",'[1]P-GENERAL'!O230)</f>
        <v>46280</v>
      </c>
      <c r="P230" s="16">
        <f>IF('[1]P-GENERAL'!P230="","",'[1]P-GENERAL'!P230)</f>
        <v>0.70833333333333337</v>
      </c>
      <c r="Q230" t="str">
        <f>IF('[1]P-GENERAL'!Q230="","",'[1]P-GENERAL'!Q230)</f>
        <v>NORMAL</v>
      </c>
      <c r="R230" s="14">
        <f>IF('[1]P-GENERAL'!R230="","",'[1]P-GENERAL'!R230)</f>
        <v>46280</v>
      </c>
      <c r="S230" s="16">
        <f>IF('[1]P-GENERAL'!S230="","",'[1]P-GENERAL'!S230)</f>
        <v>0.72916666666666663</v>
      </c>
      <c r="T230" s="16">
        <f>IF('[1]P-GENERAL'!T230="","",'[1]P-GENERAL'!T230)</f>
        <v>0.35416666666666669</v>
      </c>
      <c r="U230" s="17">
        <f>IF('[1]P-GENERAL'!U230="","",'[1]P-GENERAL'!U230)</f>
        <v>46281.083333333328</v>
      </c>
      <c r="V230" s="14">
        <f>IF('[1]P-GENERAL'!V230="","",'[1]P-GENERAL'!V230)</f>
        <v>46281</v>
      </c>
      <c r="W230" s="16">
        <f>IF('[1]P-GENERAL'!W230="","",'[1]P-GENERAL'!W230)</f>
        <v>0.53611111111111109</v>
      </c>
      <c r="X230" s="14" t="str">
        <f>IF('[1]P-GENERAL'!X230="","",'[1]P-GENERAL'!X230)</f>
        <v>SI CUMPLE</v>
      </c>
      <c r="Y230" s="14" t="str">
        <f>IF('[1]P-GENERAL'!Y230="","",'[1]P-GENERAL'!Y230)</f>
        <v>SI CUMPLE</v>
      </c>
      <c r="Z230" s="14" t="str">
        <f>IF('[1]P-GENERAL'!Z230="","",'[1]P-GENERAL'!Z230)</f>
        <v/>
      </c>
      <c r="AA230" s="14" t="str">
        <f>IF('[1]P-GENERAL'!AA230="","",'[1]P-GENERAL'!AA230)</f>
        <v>DESPACHADO</v>
      </c>
      <c r="AB230" s="8" t="str">
        <f>IF('[1]P-GENERAL'!AB230="","",'[1]P-GENERAL'!AB230)</f>
        <v>MARIBEL DE LA ROSA FERNANDEZ</v>
      </c>
      <c r="AC230" s="8" t="str">
        <f>IF('[1]P-GENERAL'!AC230="","",'[1]P-GENERAL'!AC230)</f>
        <v>ENRIQUE TREJO</v>
      </c>
      <c r="AD230">
        <f>IF('[1]P-GENERAL'!AD230="","",'[1]P-GENERAL'!AD230)</f>
        <v>76329</v>
      </c>
      <c r="AE230" t="str">
        <f>IF('[1]P-GENERAL'!AE230="","",'[1]P-GENERAL'!AE230)</f>
        <v>QCH1W03SG0</v>
      </c>
    </row>
    <row r="231" spans="1:31" ht="20.25" x14ac:dyDescent="0.3">
      <c r="A231" s="11" t="str">
        <f>IF('[1]P-GENERAL'!A231="","",'[1]P-GENERAL'!A231)</f>
        <v>Chanitos Plantain 20Kg Tarima Chep</v>
      </c>
      <c r="B231" s="11" t="str">
        <f>IF('[1]P-GENERAL'!B231="","",'[1]P-GENERAL'!B231)</f>
        <v>CPL08141</v>
      </c>
      <c r="C231" t="str">
        <f>IF('[1]P-GENERAL'!C231="","",'[1]P-GENERAL'!C231)</f>
        <v>A41100-381709-1</v>
      </c>
      <c r="D231" t="str">
        <f>IF('[1]P-GENERAL'!D231="","",'[1]P-GENERAL'!D231)</f>
        <v>A41 100 Doña Lupe JV</v>
      </c>
      <c r="E231" s="8" t="str">
        <f>IF('[1]P-GENERAL'!E231="","",'[1]P-GENERAL'!E231)</f>
        <v>CEDA</v>
      </c>
      <c r="F231" s="12">
        <f>IF('[1]P-GENERAL'!F231="","",'[1]P-GENERAL'!F231)</f>
        <v>384</v>
      </c>
      <c r="G231" s="13">
        <f>IF('[1]P-GENERAL'!G231="","",'[1]P-GENERAL'!G231)</f>
        <v>8</v>
      </c>
      <c r="H231" s="14">
        <f>IF('[1]P-GENERAL'!H231="","",'[1]P-GENERAL'!H231)</f>
        <v>46282</v>
      </c>
      <c r="I231">
        <f>IF('[1]P-GENERAL'!I231="","",'[1]P-GENERAL'!I231)</f>
        <v>38</v>
      </c>
      <c r="J231" s="15">
        <f>IF('[1]P-GENERAL'!J231="","",'[1]P-GENERAL'!J231)</f>
        <v>46284</v>
      </c>
      <c r="K231" s="14" t="str">
        <f>IF('[1]P-GENERAL'!K231="","",'[1]P-GENERAL'!K231)</f>
        <v/>
      </c>
      <c r="L231" s="14" t="str">
        <f>IF('[1]P-GENERAL'!L231="","",'[1]P-GENERAL'!L231)</f>
        <v>PREENFRIO FORTALEZA</v>
      </c>
      <c r="M231">
        <f>IF('[1]P-GENERAL'!M231="","",'[1]P-GENERAL'!M231)</f>
        <v>1.5</v>
      </c>
      <c r="N231">
        <f>IF('[1]P-GENERAL'!N231="","",'[1]P-GENERAL'!N231)</f>
        <v>36</v>
      </c>
      <c r="O231" s="14">
        <f>IF('[1]P-GENERAL'!O231="","",'[1]P-GENERAL'!O231)</f>
        <v>46282</v>
      </c>
      <c r="P231" s="16">
        <f>IF('[1]P-GENERAL'!P231="","",'[1]P-GENERAL'!P231)</f>
        <v>0.70138888888888884</v>
      </c>
      <c r="Q231" t="str">
        <f>IF('[1]P-GENERAL'!Q231="","",'[1]P-GENERAL'!Q231)</f>
        <v>NORMAL</v>
      </c>
      <c r="R231" s="14">
        <f>IF('[1]P-GENERAL'!R231="","",'[1]P-GENERAL'!R231)</f>
        <v>46282</v>
      </c>
      <c r="S231" s="16">
        <f>IF('[1]P-GENERAL'!S231="","",'[1]P-GENERAL'!S231)</f>
        <v>0.73819444444444449</v>
      </c>
      <c r="T231" s="16">
        <f>IF('[1]P-GENERAL'!T231="","",'[1]P-GENERAL'!T231)</f>
        <v>0.25</v>
      </c>
      <c r="U231" s="17">
        <f>IF('[1]P-GENERAL'!U231="","",'[1]P-GENERAL'!U231)</f>
        <v>46282.988194444442</v>
      </c>
      <c r="V231" s="14">
        <f>IF('[1]P-GENERAL'!V231="","",'[1]P-GENERAL'!V231)</f>
        <v>46283</v>
      </c>
      <c r="W231" s="16">
        <f>IF('[1]P-GENERAL'!W231="","",'[1]P-GENERAL'!W231)</f>
        <v>0.4236111111111111</v>
      </c>
      <c r="X231" s="14" t="str">
        <f>IF('[1]P-GENERAL'!X231="","",'[1]P-GENERAL'!X231)</f>
        <v>NO CUMPLE</v>
      </c>
      <c r="Y231" s="14" t="str">
        <f>IF('[1]P-GENERAL'!Y231="","",'[1]P-GENERAL'!Y231)</f>
        <v>NO CUMPLE</v>
      </c>
      <c r="Z231" s="14" t="str">
        <f>IF('[1]P-GENERAL'!Z231="","",'[1]P-GENERAL'!Z231)</f>
        <v/>
      </c>
      <c r="AA231" s="14" t="str">
        <f>IF('[1]P-GENERAL'!AA231="","",'[1]P-GENERAL'!AA231)</f>
        <v>DESPACHADO</v>
      </c>
      <c r="AB231" s="8" t="str">
        <f>IF('[1]P-GENERAL'!AB231="","",'[1]P-GENERAL'!AB231)</f>
        <v>KAREN AMADO HUERTA</v>
      </c>
      <c r="AC231" s="8" t="str">
        <f>IF('[1]P-GENERAL'!AC231="","",'[1]P-GENERAL'!AC231)</f>
        <v>DONATO GAZCA FLORES</v>
      </c>
      <c r="AD231">
        <f>IF('[1]P-GENERAL'!AD231="","",'[1]P-GENERAL'!AD231)</f>
        <v>74318</v>
      </c>
      <c r="AE231" t="str">
        <f>IF('[1]P-GENERAL'!AE231="","",'[1]P-GENERAL'!AE231)</f>
        <v>N/A</v>
      </c>
    </row>
    <row r="232" spans="1:31" ht="20.25" x14ac:dyDescent="0.3">
      <c r="A232" s="11" t="str">
        <f>IF('[1]P-GENERAL'!A232="","",'[1]P-GENERAL'!A232)</f>
        <v>Chanitos Premium Tarima Chep</v>
      </c>
      <c r="B232" s="11" t="str">
        <f>IF('[1]P-GENERAL'!B232="","",'[1]P-GENERAL'!B232)</f>
        <v>CPR01102</v>
      </c>
      <c r="C232" t="str">
        <f>IF('[1]P-GENERAL'!C232="","",'[1]P-GENERAL'!C232)</f>
        <v>A01001-381509-1</v>
      </c>
      <c r="D232" t="str">
        <f>IF('[1]P-GENERAL'!D232="","",'[1]P-GENERAL'!D232)</f>
        <v>A01 001 Marbella</v>
      </c>
      <c r="E232" s="8" t="str">
        <f>IF('[1]P-GENERAL'!E232="","",'[1]P-GENERAL'!E232)</f>
        <v>SMO</v>
      </c>
      <c r="F232" s="12">
        <f>IF('[1]P-GENERAL'!F232="","",'[1]P-GENERAL'!F232)</f>
        <v>96</v>
      </c>
      <c r="G232" s="13">
        <f>IF('[1]P-GENERAL'!G232="","",'[1]P-GENERAL'!G232)</f>
        <v>2</v>
      </c>
      <c r="H232" s="14">
        <f>IF('[1]P-GENERAL'!H232="","",'[1]P-GENERAL'!H232)</f>
        <v>46280</v>
      </c>
      <c r="I232">
        <f>IF('[1]P-GENERAL'!I232="","",'[1]P-GENERAL'!I232)</f>
        <v>38</v>
      </c>
      <c r="J232" s="15">
        <f>IF('[1]P-GENERAL'!J232="","",'[1]P-GENERAL'!J232)</f>
        <v>46285</v>
      </c>
      <c r="K232" s="14" t="str">
        <f>IF('[1]P-GENERAL'!K232="","",'[1]P-GENERAL'!K232)</f>
        <v/>
      </c>
      <c r="L232" s="14" t="str">
        <f>IF('[1]P-GENERAL'!L232="","",'[1]P-GENERAL'!L232)</f>
        <v>PREENFRIO FORTALEZA</v>
      </c>
      <c r="M232">
        <f>IF('[1]P-GENERAL'!M232="","",'[1]P-GENERAL'!M232)</f>
        <v>1.5</v>
      </c>
      <c r="N232">
        <f>IF('[1]P-GENERAL'!N232="","",'[1]P-GENERAL'!N232)</f>
        <v>36</v>
      </c>
      <c r="O232" s="14">
        <f>IF('[1]P-GENERAL'!O232="","",'[1]P-GENERAL'!O232)</f>
        <v>46280</v>
      </c>
      <c r="P232" s="16">
        <f>IF('[1]P-GENERAL'!P232="","",'[1]P-GENERAL'!P232)</f>
        <v>0.83333333333333337</v>
      </c>
      <c r="Q232" t="str">
        <f>IF('[1]P-GENERAL'!Q232="","",'[1]P-GENERAL'!Q232)</f>
        <v>NORMAL</v>
      </c>
      <c r="R232" s="14">
        <f>IF('[1]P-GENERAL'!R232="","",'[1]P-GENERAL'!R232)</f>
        <v>46281</v>
      </c>
      <c r="S232" s="16">
        <f>IF('[1]P-GENERAL'!S232="","",'[1]P-GENERAL'!S232)</f>
        <v>0.3527777777777778</v>
      </c>
      <c r="T232" s="16">
        <f>IF('[1]P-GENERAL'!T232="","",'[1]P-GENERAL'!T232)</f>
        <v>0.41666666666666669</v>
      </c>
      <c r="U232" s="17">
        <f>IF('[1]P-GENERAL'!U232="","",'[1]P-GENERAL'!U232)</f>
        <v>46281.769444444442</v>
      </c>
      <c r="V232" s="14">
        <f>IF('[1]P-GENERAL'!V232="","",'[1]P-GENERAL'!V232)</f>
        <v>46283</v>
      </c>
      <c r="W232" s="16">
        <f>IF('[1]P-GENERAL'!W232="","",'[1]P-GENERAL'!W232)</f>
        <v>6.25E-2</v>
      </c>
      <c r="X232" s="14" t="str">
        <f>IF('[1]P-GENERAL'!X232="","",'[1]P-GENERAL'!X232)</f>
        <v>SI CUMPLE</v>
      </c>
      <c r="Y232" s="14" t="str">
        <f>IF('[1]P-GENERAL'!Y232="","",'[1]P-GENERAL'!Y232)</f>
        <v>SI CUMPLE</v>
      </c>
      <c r="Z232" s="14" t="str">
        <f>IF('[1]P-GENERAL'!Z232="","",'[1]P-GENERAL'!Z232)</f>
        <v/>
      </c>
      <c r="AA232" s="14" t="str">
        <f>IF('[1]P-GENERAL'!AA232="","",'[1]P-GENERAL'!AA232)</f>
        <v>DESPACHADO</v>
      </c>
      <c r="AB232" s="8" t="str">
        <f>IF('[1]P-GENERAL'!AB232="","",'[1]P-GENERAL'!AB232)</f>
        <v>JESUS GUDIÑO</v>
      </c>
      <c r="AC232" s="8" t="str">
        <f>IF('[1]P-GENERAL'!AC232="","",'[1]P-GENERAL'!AC232)</f>
        <v>EDUARDO VARGAS</v>
      </c>
      <c r="AD232">
        <f>IF('[1]P-GENERAL'!AD232="","",'[1]P-GENERAL'!AD232)</f>
        <v>33669</v>
      </c>
      <c r="AE232" t="str">
        <f>IF('[1]P-GENERAL'!AE232="","",'[1]P-GENERAL'!AE232)</f>
        <v>QCH1W04620</v>
      </c>
    </row>
    <row r="233" spans="1:31" ht="20.25" x14ac:dyDescent="0.3">
      <c r="A233" s="11" t="str">
        <f>IF('[1]P-GENERAL'!A233="","",'[1]P-GENERAL'!A233)</f>
        <v>Chanitos Premium Tarima Chep</v>
      </c>
      <c r="B233" s="11" t="str">
        <f>IF('[1]P-GENERAL'!B233="","",'[1]P-GENERAL'!B233)</f>
        <v>CPR01102</v>
      </c>
      <c r="C233" t="str">
        <f>IF('[1]P-GENERAL'!C233="","",'[1]P-GENERAL'!C233)</f>
        <v>A01002-381509-1</v>
      </c>
      <c r="D233" t="str">
        <f>IF('[1]P-GENERAL'!D233="","",'[1]P-GENERAL'!D233)</f>
        <v>A01 002 Fortaleza</v>
      </c>
      <c r="E233" s="8" t="str">
        <f>IF('[1]P-GENERAL'!E233="","",'[1]P-GENERAL'!E233)</f>
        <v>SMO</v>
      </c>
      <c r="F233" s="12">
        <f>IF('[1]P-GENERAL'!F233="","",'[1]P-GENERAL'!F233)</f>
        <v>1056</v>
      </c>
      <c r="G233" s="13">
        <f>IF('[1]P-GENERAL'!G233="","",'[1]P-GENERAL'!G233)</f>
        <v>22</v>
      </c>
      <c r="H233" s="14">
        <f>IF('[1]P-GENERAL'!H233="","",'[1]P-GENERAL'!H233)</f>
        <v>46280</v>
      </c>
      <c r="I233">
        <f>IF('[1]P-GENERAL'!I233="","",'[1]P-GENERAL'!I233)</f>
        <v>38</v>
      </c>
      <c r="J233" s="15">
        <f>IF('[1]P-GENERAL'!J233="","",'[1]P-GENERAL'!J233)</f>
        <v>46285</v>
      </c>
      <c r="K233" s="14" t="str">
        <f>IF('[1]P-GENERAL'!K233="","",'[1]P-GENERAL'!K233)</f>
        <v/>
      </c>
      <c r="L233" s="14" t="str">
        <f>IF('[1]P-GENERAL'!L233="","",'[1]P-GENERAL'!L233)</f>
        <v>PREENFRIO FORTALEZA</v>
      </c>
      <c r="M233">
        <f>IF('[1]P-GENERAL'!M233="","",'[1]P-GENERAL'!M233)</f>
        <v>1.5</v>
      </c>
      <c r="N233">
        <f>IF('[1]P-GENERAL'!N233="","",'[1]P-GENERAL'!N233)</f>
        <v>36</v>
      </c>
      <c r="O233" s="14">
        <f>IF('[1]P-GENERAL'!O233="","",'[1]P-GENERAL'!O233)</f>
        <v>46280</v>
      </c>
      <c r="P233" s="16">
        <f>IF('[1]P-GENERAL'!P233="","",'[1]P-GENERAL'!P233)</f>
        <v>0.75624999999999998</v>
      </c>
      <c r="Q233" t="str">
        <f>IF('[1]P-GENERAL'!Q233="","",'[1]P-GENERAL'!Q233)</f>
        <v>NORMAL</v>
      </c>
      <c r="R233" s="14">
        <f>IF('[1]P-GENERAL'!R233="","",'[1]P-GENERAL'!R233)</f>
        <v>46281</v>
      </c>
      <c r="S233" s="16">
        <f>IF('[1]P-GENERAL'!S233="","",'[1]P-GENERAL'!S233)</f>
        <v>0.78125</v>
      </c>
      <c r="T233" s="16">
        <f>IF('[1]P-GENERAL'!T233="","",'[1]P-GENERAL'!T233)</f>
        <v>0.625</v>
      </c>
      <c r="U233" s="17">
        <f>IF('[1]P-GENERAL'!U233="","",'[1]P-GENERAL'!U233)</f>
        <v>46282.40625</v>
      </c>
      <c r="V233" s="14">
        <f>IF('[1]P-GENERAL'!V233="","",'[1]P-GENERAL'!V233)</f>
        <v>46283</v>
      </c>
      <c r="W233" s="16">
        <f>IF('[1]P-GENERAL'!W233="","",'[1]P-GENERAL'!W233)</f>
        <v>6.25E-2</v>
      </c>
      <c r="X233" s="14" t="str">
        <f>IF('[1]P-GENERAL'!X233="","",'[1]P-GENERAL'!X233)</f>
        <v>SI CUMPLE</v>
      </c>
      <c r="Y233" s="14" t="str">
        <f>IF('[1]P-GENERAL'!Y233="","",'[1]P-GENERAL'!Y233)</f>
        <v>SI CUMPLE</v>
      </c>
      <c r="Z233" s="14" t="str">
        <f>IF('[1]P-GENERAL'!Z233="","",'[1]P-GENERAL'!Z233)</f>
        <v/>
      </c>
      <c r="AA233" s="14" t="str">
        <f>IF('[1]P-GENERAL'!AA233="","",'[1]P-GENERAL'!AA233)</f>
        <v>DESPACHADO</v>
      </c>
      <c r="AB233" s="8" t="str">
        <f>IF('[1]P-GENERAL'!AB233="","",'[1]P-GENERAL'!AB233)</f>
        <v>JESUS GUDIÑO</v>
      </c>
      <c r="AC233" s="8" t="str">
        <f>IF('[1]P-GENERAL'!AC233="","",'[1]P-GENERAL'!AC233)</f>
        <v>EDUARDO VARGAS</v>
      </c>
      <c r="AD233">
        <f>IF('[1]P-GENERAL'!AD233="","",'[1]P-GENERAL'!AD233)</f>
        <v>33669</v>
      </c>
      <c r="AE233" t="str">
        <f>IF('[1]P-GENERAL'!AE233="","",'[1]P-GENERAL'!AE233)</f>
        <v>QCH1W04620</v>
      </c>
    </row>
    <row r="234" spans="1:31" ht="20.25" x14ac:dyDescent="0.3">
      <c r="A234" s="11" t="str">
        <f>IF('[1]P-GENERAL'!A234="","",'[1]P-GENERAL'!A234)</f>
        <v>Chanitos Premium Tarima Chep</v>
      </c>
      <c r="B234" s="11" t="str">
        <f>IF('[1]P-GENERAL'!B234="","",'[1]P-GENERAL'!B234)</f>
        <v>CPR01102</v>
      </c>
      <c r="C234" t="str">
        <f>IF('[1]P-GENERAL'!C234="","",'[1]P-GENERAL'!C234)</f>
        <v>A01002-381509-1</v>
      </c>
      <c r="D234" t="str">
        <f>IF('[1]P-GENERAL'!D234="","",'[1]P-GENERAL'!D234)</f>
        <v>A01 002 Fortaleza</v>
      </c>
      <c r="E234" s="8" t="str">
        <f>IF('[1]P-GENERAL'!E234="","",'[1]P-GENERAL'!E234)</f>
        <v>QRO</v>
      </c>
      <c r="F234" s="12">
        <f>IF('[1]P-GENERAL'!F234="","",'[1]P-GENERAL'!F234)</f>
        <v>48</v>
      </c>
      <c r="G234" s="13">
        <f>IF('[1]P-GENERAL'!G234="","",'[1]P-GENERAL'!G234)</f>
        <v>0.75</v>
      </c>
      <c r="H234" s="14">
        <f>IF('[1]P-GENERAL'!H234="","",'[1]P-GENERAL'!H234)</f>
        <v>46280</v>
      </c>
      <c r="I234">
        <f>IF('[1]P-GENERAL'!I234="","",'[1]P-GENERAL'!I234)</f>
        <v>38</v>
      </c>
      <c r="J234" s="15">
        <f>IF('[1]P-GENERAL'!J234="","",'[1]P-GENERAL'!J234)</f>
        <v>46286</v>
      </c>
      <c r="K234" s="14" t="str">
        <f>IF('[1]P-GENERAL'!K234="","",'[1]P-GENERAL'!K234)</f>
        <v/>
      </c>
      <c r="L234" s="14" t="str">
        <f>IF('[1]P-GENERAL'!L234="","",'[1]P-GENERAL'!L234)</f>
        <v>PREENFRIO FORTALEZA</v>
      </c>
      <c r="M234">
        <f>IF('[1]P-GENERAL'!M234="","",'[1]P-GENERAL'!M234)</f>
        <v>1.5</v>
      </c>
      <c r="N234">
        <f>IF('[1]P-GENERAL'!N234="","",'[1]P-GENERAL'!N234)</f>
        <v>36</v>
      </c>
      <c r="O234" s="14">
        <f>IF('[1]P-GENERAL'!O234="","",'[1]P-GENERAL'!O234)</f>
        <v>46280</v>
      </c>
      <c r="P234" s="16">
        <f>IF('[1]P-GENERAL'!P234="","",'[1]P-GENERAL'!P234)</f>
        <v>0.75624999999999998</v>
      </c>
      <c r="Q234" t="str">
        <f>IF('[1]P-GENERAL'!Q234="","",'[1]P-GENERAL'!Q234)</f>
        <v>NORMAL</v>
      </c>
      <c r="R234" s="14">
        <f>IF('[1]P-GENERAL'!R234="","",'[1]P-GENERAL'!R234)</f>
        <v>46281</v>
      </c>
      <c r="S234" s="16">
        <f>IF('[1]P-GENERAL'!S234="","",'[1]P-GENERAL'!S234)</f>
        <v>0.125</v>
      </c>
      <c r="T234" s="16">
        <f>IF('[1]P-GENERAL'!T234="","",'[1]P-GENERAL'!T234)</f>
        <v>0.625</v>
      </c>
      <c r="U234" s="17">
        <f>IF('[1]P-GENERAL'!U234="","",'[1]P-GENERAL'!U234)</f>
        <v>46281.75</v>
      </c>
      <c r="V234" s="14">
        <f>IF('[1]P-GENERAL'!V234="","",'[1]P-GENERAL'!V234)</f>
        <v>46283</v>
      </c>
      <c r="W234" s="16">
        <f>IF('[1]P-GENERAL'!W234="","",'[1]P-GENERAL'!W234)</f>
        <v>0.73958333333333337</v>
      </c>
      <c r="X234" s="14" t="str">
        <f>IF('[1]P-GENERAL'!X234="","",'[1]P-GENERAL'!X234)</f>
        <v>SI CUMPLE</v>
      </c>
      <c r="Y234" s="14" t="str">
        <f>IF('[1]P-GENERAL'!Y234="","",'[1]P-GENERAL'!Y234)</f>
        <v>SI CUMPLE</v>
      </c>
      <c r="Z234" s="14" t="str">
        <f>IF('[1]P-GENERAL'!Z234="","",'[1]P-GENERAL'!Z234)</f>
        <v/>
      </c>
      <c r="AA234" s="14" t="str">
        <f>IF('[1]P-GENERAL'!AA234="","",'[1]P-GENERAL'!AA234)</f>
        <v>DESPACHADO</v>
      </c>
      <c r="AB234" s="8" t="str">
        <f>IF('[1]P-GENERAL'!AB234="","",'[1]P-GENERAL'!AB234)</f>
        <v>MARIBEL DE LA ROSA FERNANDEZ</v>
      </c>
      <c r="AC234" s="8" t="str">
        <f>IF('[1]P-GENERAL'!AC234="","",'[1]P-GENERAL'!AC234)</f>
        <v>JACINTO RAMIREZ LOPEZ</v>
      </c>
      <c r="AD234">
        <f>IF('[1]P-GENERAL'!AD234="","",'[1]P-GENERAL'!AD234)</f>
        <v>90178</v>
      </c>
      <c r="AE234" t="str">
        <f>IF('[1]P-GENERAL'!AE234="","",'[1]P-GENERAL'!AE234)</f>
        <v>QCH1W04KP0</v>
      </c>
    </row>
    <row r="235" spans="1:31" ht="20.25" x14ac:dyDescent="0.3">
      <c r="A235" s="11" t="str">
        <f>IF('[1]P-GENERAL'!A235="","",'[1]P-GENERAL'!A235)</f>
        <v>Chanitos Premium Tarima Chep</v>
      </c>
      <c r="B235" s="11" t="str">
        <f>IF('[1]P-GENERAL'!B235="","",'[1]P-GENERAL'!B235)</f>
        <v>CPR01102</v>
      </c>
      <c r="C235" t="str">
        <f>IF('[1]P-GENERAL'!C235="","",'[1]P-GENERAL'!C235)</f>
        <v>A01001-381509-1</v>
      </c>
      <c r="D235" t="str">
        <f>IF('[1]P-GENERAL'!D235="","",'[1]P-GENERAL'!D235)</f>
        <v>A01 001 Marbella</v>
      </c>
      <c r="E235" s="8" t="str">
        <f>IF('[1]P-GENERAL'!E235="","",'[1]P-GENERAL'!E235)</f>
        <v>SMO</v>
      </c>
      <c r="F235" s="12">
        <f>IF('[1]P-GENERAL'!F235="","",'[1]P-GENERAL'!F235)</f>
        <v>288</v>
      </c>
      <c r="G235" s="13">
        <f>IF('[1]P-GENERAL'!G235="","",'[1]P-GENERAL'!G235)</f>
        <v>6</v>
      </c>
      <c r="H235" s="14">
        <f>IF('[1]P-GENERAL'!H235="","",'[1]P-GENERAL'!H235)</f>
        <v>46280</v>
      </c>
      <c r="I235">
        <f>IF('[1]P-GENERAL'!I235="","",'[1]P-GENERAL'!I235)</f>
        <v>38</v>
      </c>
      <c r="J235" s="15">
        <f>IF('[1]P-GENERAL'!J235="","",'[1]P-GENERAL'!J235)</f>
        <v>46286</v>
      </c>
      <c r="K235" s="14" t="str">
        <f>IF('[1]P-GENERAL'!K235="","",'[1]P-GENERAL'!K235)</f>
        <v/>
      </c>
      <c r="L235" s="14" t="str">
        <f>IF('[1]P-GENERAL'!L235="","",'[1]P-GENERAL'!L235)</f>
        <v>PREENFRIO FORTALEZA</v>
      </c>
      <c r="M235">
        <f>IF('[1]P-GENERAL'!M235="","",'[1]P-GENERAL'!M235)</f>
        <v>1.5</v>
      </c>
      <c r="N235">
        <f>IF('[1]P-GENERAL'!N235="","",'[1]P-GENERAL'!N235)</f>
        <v>36</v>
      </c>
      <c r="O235" s="14">
        <f>IF('[1]P-GENERAL'!O235="","",'[1]P-GENERAL'!O235)</f>
        <v>46280</v>
      </c>
      <c r="P235" s="16">
        <f>IF('[1]P-GENERAL'!P235="","",'[1]P-GENERAL'!P235)</f>
        <v>0.83333333333333337</v>
      </c>
      <c r="Q235" t="str">
        <f>IF('[1]P-GENERAL'!Q235="","",'[1]P-GENERAL'!Q235)</f>
        <v>NORMAL</v>
      </c>
      <c r="R235" s="14">
        <f>IF('[1]P-GENERAL'!R235="","",'[1]P-GENERAL'!R235)</f>
        <v>46281</v>
      </c>
      <c r="S235" s="16">
        <f>IF('[1]P-GENERAL'!S235="","",'[1]P-GENERAL'!S235)</f>
        <v>0.3527777777777778</v>
      </c>
      <c r="T235" s="16">
        <f>IF('[1]P-GENERAL'!T235="","",'[1]P-GENERAL'!T235)</f>
        <v>0.41666666666666669</v>
      </c>
      <c r="U235" s="17">
        <f>IF('[1]P-GENERAL'!U235="","",'[1]P-GENERAL'!U235)</f>
        <v>46281.769444444442</v>
      </c>
      <c r="V235" s="14">
        <f>IF('[1]P-GENERAL'!V235="","",'[1]P-GENERAL'!V235)</f>
        <v>46283</v>
      </c>
      <c r="W235" s="16">
        <f>IF('[1]P-GENERAL'!W235="","",'[1]P-GENERAL'!W235)</f>
        <v>0.55902777777777779</v>
      </c>
      <c r="X235" s="14" t="str">
        <f>IF('[1]P-GENERAL'!X235="","",'[1]P-GENERAL'!X235)</f>
        <v>SI CUMPLE</v>
      </c>
      <c r="Y235" s="14" t="str">
        <f>IF('[1]P-GENERAL'!Y235="","",'[1]P-GENERAL'!Y235)</f>
        <v>SI CUMPLE</v>
      </c>
      <c r="Z235" s="14" t="str">
        <f>IF('[1]P-GENERAL'!Z235="","",'[1]P-GENERAL'!Z235)</f>
        <v/>
      </c>
      <c r="AA235" s="14" t="str">
        <f>IF('[1]P-GENERAL'!AA235="","",'[1]P-GENERAL'!AA235)</f>
        <v>DESPACHADO</v>
      </c>
      <c r="AB235" s="8" t="str">
        <f>IF('[1]P-GENERAL'!AB235="","",'[1]P-GENERAL'!AB235)</f>
        <v>ALICIA CRUZ FUENTES</v>
      </c>
      <c r="AC235" s="8" t="str">
        <f>IF('[1]P-GENERAL'!AC235="","",'[1]P-GENERAL'!AC235)</f>
        <v>YONATAN GOMEZ ORTIZ</v>
      </c>
      <c r="AD235">
        <f>IF('[1]P-GENERAL'!AD235="","",'[1]P-GENERAL'!AD235)</f>
        <v>76055</v>
      </c>
      <c r="AE235" t="str">
        <f>IF('[1]P-GENERAL'!AE235="","",'[1]P-GENERAL'!AE235)</f>
        <v>QCH1W04HW0</v>
      </c>
    </row>
    <row r="236" spans="1:31" ht="20.25" x14ac:dyDescent="0.3">
      <c r="A236" s="11" t="str">
        <f>IF('[1]P-GENERAL'!A236="","",'[1]P-GENERAL'!A236)</f>
        <v>Chanitos Premium Tarima Americana</v>
      </c>
      <c r="B236" s="11" t="str">
        <f>IF('[1]P-GENERAL'!B236="","",'[1]P-GENERAL'!B236)</f>
        <v>CPR01103</v>
      </c>
      <c r="C236" t="str">
        <f>IF('[1]P-GENERAL'!C236="","",'[1]P-GENERAL'!C236)</f>
        <v>A01003-381509-1</v>
      </c>
      <c r="D236" t="str">
        <f>IF('[1]P-GENERAL'!D236="","",'[1]P-GENERAL'!D236)</f>
        <v>A01 003 Doña Nelly</v>
      </c>
      <c r="E236" s="8" t="str">
        <f>IF('[1]P-GENERAL'!E236="","",'[1]P-GENERAL'!E236)</f>
        <v>Ciudad Juarez</v>
      </c>
      <c r="F236" s="12">
        <f>IF('[1]P-GENERAL'!F236="","",'[1]P-GENERAL'!F236)</f>
        <v>816</v>
      </c>
      <c r="G236" s="13">
        <f>IF('[1]P-GENERAL'!G236="","",'[1]P-GENERAL'!G236)</f>
        <v>17</v>
      </c>
      <c r="H236" s="14">
        <f>IF('[1]P-GENERAL'!H236="","",'[1]P-GENERAL'!H236)</f>
        <v>46280</v>
      </c>
      <c r="I236">
        <f>IF('[1]P-GENERAL'!I236="","",'[1]P-GENERAL'!I236)</f>
        <v>38</v>
      </c>
      <c r="J236" s="15">
        <f>IF('[1]P-GENERAL'!J236="","",'[1]P-GENERAL'!J236)</f>
        <v>46287</v>
      </c>
      <c r="K236" s="14">
        <f>IF('[1]P-GENERAL'!K236="","",'[1]P-GENERAL'!K236)</f>
        <v>0.25</v>
      </c>
      <c r="L236" s="14" t="str">
        <f>IF('[1]P-GENERAL'!L236="","",'[1]P-GENERAL'!L236)</f>
        <v>PREENFRIO NELLY</v>
      </c>
      <c r="M236">
        <f>IF('[1]P-GENERAL'!M236="","",'[1]P-GENERAL'!M236)</f>
        <v>4</v>
      </c>
      <c r="N236">
        <f>IF('[1]P-GENERAL'!N236="","",'[1]P-GENERAL'!N236)</f>
        <v>96</v>
      </c>
      <c r="O236" s="14">
        <f>IF('[1]P-GENERAL'!O236="","",'[1]P-GENERAL'!O236)</f>
        <v>46280</v>
      </c>
      <c r="P236" s="16">
        <f>IF('[1]P-GENERAL'!P236="","",'[1]P-GENERAL'!P236)</f>
        <v>0.70833333333333337</v>
      </c>
      <c r="Q236" t="str">
        <f>IF('[1]P-GENERAL'!Q236="","",'[1]P-GENERAL'!Q236)</f>
        <v>NORMAL</v>
      </c>
      <c r="R236" s="14">
        <f>IF('[1]P-GENERAL'!R236="","",'[1]P-GENERAL'!R236)</f>
        <v>46280</v>
      </c>
      <c r="S236" s="16">
        <f>IF('[1]P-GENERAL'!S236="","",'[1]P-GENERAL'!S236)</f>
        <v>0.50972222222222219</v>
      </c>
      <c r="T236" s="16">
        <f>IF('[1]P-GENERAL'!T236="","",'[1]P-GENERAL'!T236)</f>
        <v>0.4375</v>
      </c>
      <c r="U236" s="17">
        <f>IF('[1]P-GENERAL'!U236="","",'[1]P-GENERAL'!U236)</f>
        <v>46280.947222222225</v>
      </c>
      <c r="V236" s="14">
        <f>IF('[1]P-GENERAL'!V236="","",'[1]P-GENERAL'!V236)</f>
        <v>46283</v>
      </c>
      <c r="W236" s="16">
        <f>IF('[1]P-GENERAL'!W236="","",'[1]P-GENERAL'!W236)</f>
        <v>0.33263888888888887</v>
      </c>
      <c r="X236" s="14" t="str">
        <f>IF('[1]P-GENERAL'!X236="","",'[1]P-GENERAL'!X236)</f>
        <v>SI CUMPLE</v>
      </c>
      <c r="Y236" s="14" t="str">
        <f>IF('[1]P-GENERAL'!Y236="","",'[1]P-GENERAL'!Y236)</f>
        <v>NO CUMPLE</v>
      </c>
      <c r="Z236" s="14" t="str">
        <f>IF('[1]P-GENERAL'!Z236="","",'[1]P-GENERAL'!Z236)</f>
        <v/>
      </c>
      <c r="AA236" s="14" t="str">
        <f>IF('[1]P-GENERAL'!AA236="","",'[1]P-GENERAL'!AA236)</f>
        <v>DESPACHADO</v>
      </c>
      <c r="AB236" s="8" t="str">
        <f>IF('[1]P-GENERAL'!AB236="","",'[1]P-GENERAL'!AB236)</f>
        <v>AUTO EXPRESS SEGOVIA</v>
      </c>
      <c r="AC236" s="8" t="str">
        <f>IF('[1]P-GENERAL'!AC236="","",'[1]P-GENERAL'!AC236)</f>
        <v>LUIS MIGUEL RAMIREZ RIVERA</v>
      </c>
      <c r="AD236">
        <f>IF('[1]P-GENERAL'!AD236="","",'[1]P-GENERAL'!AD236)</f>
        <v>21381</v>
      </c>
      <c r="AE236" t="str">
        <f>IF('[1]P-GENERAL'!AE236="","",'[1]P-GENERAL'!AE236)</f>
        <v>QCH1W04Z30</v>
      </c>
    </row>
    <row r="237" spans="1:31" ht="20.25" x14ac:dyDescent="0.3">
      <c r="A237" s="11" t="str">
        <f>IF('[1]P-GENERAL'!A237="","",'[1]P-GENERAL'!A237)</f>
        <v>Chanitos Premium Tarima Chep</v>
      </c>
      <c r="B237" s="11" t="str">
        <f>IF('[1]P-GENERAL'!B237="","",'[1]P-GENERAL'!B237)</f>
        <v>CPR01102</v>
      </c>
      <c r="C237" t="str">
        <f>IF('[1]P-GENERAL'!C237="","",'[1]P-GENERAL'!C237)</f>
        <v>A04084-381609-1</v>
      </c>
      <c r="D237" t="str">
        <f>IF('[1]P-GENERAL'!D237="","",'[1]P-GENERAL'!D237)</f>
        <v>A04 084 Lisboa</v>
      </c>
      <c r="E237" s="8" t="str">
        <f>IF('[1]P-GENERAL'!E237="","",'[1]P-GENERAL'!E237)</f>
        <v>SMO</v>
      </c>
      <c r="F237" s="12">
        <f>IF('[1]P-GENERAL'!F237="","",'[1]P-GENERAL'!F237)</f>
        <v>480</v>
      </c>
      <c r="G237" s="13">
        <f>IF('[1]P-GENERAL'!G237="","",'[1]P-GENERAL'!G237)</f>
        <v>10</v>
      </c>
      <c r="H237" s="14">
        <f>IF('[1]P-GENERAL'!H237="","",'[1]P-GENERAL'!H237)</f>
        <v>46281</v>
      </c>
      <c r="I237">
        <f>IF('[1]P-GENERAL'!I237="","",'[1]P-GENERAL'!I237)</f>
        <v>38</v>
      </c>
      <c r="J237" s="15">
        <f>IF('[1]P-GENERAL'!J237="","",'[1]P-GENERAL'!J237)</f>
        <v>46286</v>
      </c>
      <c r="K237" s="14" t="str">
        <f>IF('[1]P-GENERAL'!K237="","",'[1]P-GENERAL'!K237)</f>
        <v/>
      </c>
      <c r="L237" s="14" t="str">
        <f>IF('[1]P-GENERAL'!L237="","",'[1]P-GENERAL'!L237)</f>
        <v>PREENFRIO FORTALEZA</v>
      </c>
      <c r="M237">
        <f>IF('[1]P-GENERAL'!M237="","",'[1]P-GENERAL'!M237)</f>
        <v>1.5</v>
      </c>
      <c r="N237">
        <f>IF('[1]P-GENERAL'!N237="","",'[1]P-GENERAL'!N237)</f>
        <v>36</v>
      </c>
      <c r="O237" s="14">
        <f>IF('[1]P-GENERAL'!O237="","",'[1]P-GENERAL'!O237)</f>
        <v>46282</v>
      </c>
      <c r="P237" s="16">
        <f>IF('[1]P-GENERAL'!P237="","",'[1]P-GENERAL'!P237)</f>
        <v>0.75763888888888886</v>
      </c>
      <c r="Q237" t="str">
        <f>IF('[1]P-GENERAL'!Q237="","",'[1]P-GENERAL'!Q237)</f>
        <v>NORMAL</v>
      </c>
      <c r="R237" s="14">
        <f>IF('[1]P-GENERAL'!R237="","",'[1]P-GENERAL'!R237)</f>
        <v>46283</v>
      </c>
      <c r="S237" s="16">
        <f>IF('[1]P-GENERAL'!S237="","",'[1]P-GENERAL'!S237)</f>
        <v>5.1388888888888887E-2</v>
      </c>
      <c r="T237" s="16">
        <f>IF('[1]P-GENERAL'!T237="","",'[1]P-GENERAL'!T237)</f>
        <v>0.41666666666666669</v>
      </c>
      <c r="U237" s="17">
        <f>IF('[1]P-GENERAL'!U237="","",'[1]P-GENERAL'!U237)</f>
        <v>46283.468055555553</v>
      </c>
      <c r="V237" s="14">
        <f>IF('[1]P-GENERAL'!V237="","",'[1]P-GENERAL'!V237)</f>
        <v>46283</v>
      </c>
      <c r="W237" s="16">
        <f>IF('[1]P-GENERAL'!W237="","",'[1]P-GENERAL'!W237)</f>
        <v>0.55902777777777779</v>
      </c>
      <c r="X237" s="14" t="str">
        <f>IF('[1]P-GENERAL'!X237="","",'[1]P-GENERAL'!X237)</f>
        <v>SI CUMPLE</v>
      </c>
      <c r="Y237" s="14" t="str">
        <f>IF('[1]P-GENERAL'!Y237="","",'[1]P-GENERAL'!Y237)</f>
        <v>SI CUMPLE</v>
      </c>
      <c r="Z237" s="14" t="str">
        <f>IF('[1]P-GENERAL'!Z237="","",'[1]P-GENERAL'!Z237)</f>
        <v/>
      </c>
      <c r="AA237" s="14" t="str">
        <f>IF('[1]P-GENERAL'!AA237="","",'[1]P-GENERAL'!AA237)</f>
        <v>DESPACHADO</v>
      </c>
      <c r="AB237" s="8" t="str">
        <f>IF('[1]P-GENERAL'!AB237="","",'[1]P-GENERAL'!AB237)</f>
        <v>ALICIA CRUZ FUENTES</v>
      </c>
      <c r="AC237" s="8" t="str">
        <f>IF('[1]P-GENERAL'!AC237="","",'[1]P-GENERAL'!AC237)</f>
        <v>YONATAN GOMEZ ORTIZ</v>
      </c>
      <c r="AD237">
        <f>IF('[1]P-GENERAL'!AD237="","",'[1]P-GENERAL'!AD237)</f>
        <v>76055</v>
      </c>
      <c r="AE237" t="str">
        <f>IF('[1]P-GENERAL'!AE237="","",'[1]P-GENERAL'!AE237)</f>
        <v>QCH1W04HW0</v>
      </c>
    </row>
    <row r="238" spans="1:31" ht="20.25" x14ac:dyDescent="0.3">
      <c r="A238" s="11" t="str">
        <f>IF('[1]P-GENERAL'!A238="","",'[1]P-GENERAL'!A238)</f>
        <v>Chanitos Plantain 20Kg Tarima Americana</v>
      </c>
      <c r="B238" s="11" t="str">
        <f>IF('[1]P-GENERAL'!B238="","",'[1]P-GENERAL'!B238)</f>
        <v>CPL08134</v>
      </c>
      <c r="C238" t="str">
        <f>IF('[1]P-GENERAL'!C238="","",'[1]P-GENERAL'!C238)</f>
        <v>A41100-381509-1</v>
      </c>
      <c r="D238" t="str">
        <f>IF('[1]P-GENERAL'!D238="","",'[1]P-GENERAL'!D238)</f>
        <v>A41 100 Doña Lupe JV</v>
      </c>
      <c r="E238" s="8" t="str">
        <f>IF('[1]P-GENERAL'!E238="","",'[1]P-GENERAL'!E238)</f>
        <v>Ciudad Juarez</v>
      </c>
      <c r="F238" s="12">
        <f>IF('[1]P-GENERAL'!F238="","",'[1]P-GENERAL'!F238)</f>
        <v>144</v>
      </c>
      <c r="G238" s="13">
        <f>IF('[1]P-GENERAL'!G238="","",'[1]P-GENERAL'!G238)</f>
        <v>3</v>
      </c>
      <c r="H238" s="14">
        <f>IF('[1]P-GENERAL'!H238="","",'[1]P-GENERAL'!H238)</f>
        <v>46280</v>
      </c>
      <c r="I238">
        <f>IF('[1]P-GENERAL'!I238="","",'[1]P-GENERAL'!I238)</f>
        <v>38</v>
      </c>
      <c r="J238" s="15">
        <f>IF('[1]P-GENERAL'!J238="","",'[1]P-GENERAL'!J238)</f>
        <v>46287</v>
      </c>
      <c r="K238" s="14">
        <f>IF('[1]P-GENERAL'!K238="","",'[1]P-GENERAL'!K238)</f>
        <v>0.25</v>
      </c>
      <c r="L238" s="14" t="str">
        <f>IF('[1]P-GENERAL'!L238="","",'[1]P-GENERAL'!L238)</f>
        <v>PREENFRIO NELLY</v>
      </c>
      <c r="M238">
        <f>IF('[1]P-GENERAL'!M238="","",'[1]P-GENERAL'!M238)</f>
        <v>4</v>
      </c>
      <c r="N238">
        <f>IF('[1]P-GENERAL'!N238="","",'[1]P-GENERAL'!N238)</f>
        <v>96</v>
      </c>
      <c r="O238" s="14">
        <f>IF('[1]P-GENERAL'!O238="","",'[1]P-GENERAL'!O238)</f>
        <v>46280</v>
      </c>
      <c r="P238" s="16">
        <f>IF('[1]P-GENERAL'!P238="","",'[1]P-GENERAL'!P238)</f>
        <v>0.73958333333333337</v>
      </c>
      <c r="Q238" t="str">
        <f>IF('[1]P-GENERAL'!Q238="","",'[1]P-GENERAL'!Q238)</f>
        <v>NORMAL</v>
      </c>
      <c r="R238" s="14">
        <f>IF('[1]P-GENERAL'!R238="","",'[1]P-GENERAL'!R238)</f>
        <v>46280</v>
      </c>
      <c r="S238" s="16">
        <f>IF('[1]P-GENERAL'!S238="","",'[1]P-GENERAL'!S238)</f>
        <v>0.72916666666666663</v>
      </c>
      <c r="T238" s="16">
        <f>IF('[1]P-GENERAL'!T238="","",'[1]P-GENERAL'!T238)</f>
        <v>0.4375</v>
      </c>
      <c r="U238" s="17">
        <f>IF('[1]P-GENERAL'!U238="","",'[1]P-GENERAL'!U238)</f>
        <v>46281.166666666664</v>
      </c>
      <c r="V238" s="14">
        <f>IF('[1]P-GENERAL'!V238="","",'[1]P-GENERAL'!V238)</f>
        <v>46283</v>
      </c>
      <c r="W238" s="16">
        <f>IF('[1]P-GENERAL'!W238="","",'[1]P-GENERAL'!W238)</f>
        <v>0.33263888888888887</v>
      </c>
      <c r="X238" s="14" t="str">
        <f>IF('[1]P-GENERAL'!X238="","",'[1]P-GENERAL'!X238)</f>
        <v>SI CUMPLE</v>
      </c>
      <c r="Y238" s="14" t="str">
        <f>IF('[1]P-GENERAL'!Y238="","",'[1]P-GENERAL'!Y238)</f>
        <v>NO CUMPLE</v>
      </c>
      <c r="Z238" s="14" t="str">
        <f>IF('[1]P-GENERAL'!Z238="","",'[1]P-GENERAL'!Z238)</f>
        <v/>
      </c>
      <c r="AA238" s="14" t="str">
        <f>IF('[1]P-GENERAL'!AA238="","",'[1]P-GENERAL'!AA238)</f>
        <v>DESPACHADO</v>
      </c>
      <c r="AB238" s="8" t="str">
        <f>IF('[1]P-GENERAL'!AB238="","",'[1]P-GENERAL'!AB238)</f>
        <v>AUTO EXPRESS SEGOVIA</v>
      </c>
      <c r="AC238" s="8" t="str">
        <f>IF('[1]P-GENERAL'!AC238="","",'[1]P-GENERAL'!AC238)</f>
        <v>LUIS MIGUEL RAMIREZ RIVERA</v>
      </c>
      <c r="AD238">
        <f>IF('[1]P-GENERAL'!AD238="","",'[1]P-GENERAL'!AD238)</f>
        <v>21381</v>
      </c>
      <c r="AE238" t="str">
        <f>IF('[1]P-GENERAL'!AE238="","",'[1]P-GENERAL'!AE238)</f>
        <v>QCH1W04Z30</v>
      </c>
    </row>
    <row r="239" spans="1:31" ht="20.25" x14ac:dyDescent="0.3">
      <c r="A239" s="11" t="str">
        <f>IF('[1]P-GENERAL'!A239="","",'[1]P-GENERAL'!A239)</f>
        <v>Chanitos Premium Tarima Chep</v>
      </c>
      <c r="B239" s="11" t="str">
        <f>IF('[1]P-GENERAL'!B239="","",'[1]P-GENERAL'!B239)</f>
        <v>CPR01102</v>
      </c>
      <c r="C239" t="str">
        <f>IF('[1]P-GENERAL'!C239="","",'[1]P-GENERAL'!C239)</f>
        <v>A01001-381709-1</v>
      </c>
      <c r="D239" t="str">
        <f>IF('[1]P-GENERAL'!D239="","",'[1]P-GENERAL'!D239)</f>
        <v>A01 001 Marbella</v>
      </c>
      <c r="E239" s="8" t="str">
        <f>IF('[1]P-GENERAL'!E239="","",'[1]P-GENERAL'!E239)</f>
        <v>Chalco</v>
      </c>
      <c r="F239" s="12">
        <f>IF('[1]P-GENERAL'!F239="","",'[1]P-GENERAL'!F239)</f>
        <v>1104</v>
      </c>
      <c r="G239" s="13">
        <f>IF('[1]P-GENERAL'!G239="","",'[1]P-GENERAL'!G239)</f>
        <v>23</v>
      </c>
      <c r="H239" s="14">
        <f>IF('[1]P-GENERAL'!H239="","",'[1]P-GENERAL'!H239)</f>
        <v>46282</v>
      </c>
      <c r="I239">
        <f>IF('[1]P-GENERAL'!I239="","",'[1]P-GENERAL'!I239)</f>
        <v>38</v>
      </c>
      <c r="J239" s="15">
        <f>IF('[1]P-GENERAL'!J239="","",'[1]P-GENERAL'!J239)</f>
        <v>46286</v>
      </c>
      <c r="K239" s="14" t="str">
        <f>IF('[1]P-GENERAL'!K239="","",'[1]P-GENERAL'!K239)</f>
        <v/>
      </c>
      <c r="L239" s="14" t="str">
        <f>IF('[1]P-GENERAL'!L239="","",'[1]P-GENERAL'!L239)</f>
        <v>PREENFRIO FORTALEZA</v>
      </c>
      <c r="M239">
        <f>IF('[1]P-GENERAL'!M239="","",'[1]P-GENERAL'!M239)</f>
        <v>1</v>
      </c>
      <c r="N239">
        <f>IF('[1]P-GENERAL'!N239="","",'[1]P-GENERAL'!N239)</f>
        <v>24</v>
      </c>
      <c r="O239" s="14">
        <f>IF('[1]P-GENERAL'!O239="","",'[1]P-GENERAL'!O239)</f>
        <v>46282</v>
      </c>
      <c r="P239" s="16">
        <f>IF('[1]P-GENERAL'!P239="","",'[1]P-GENERAL'!P239)</f>
        <v>0.78402777777777777</v>
      </c>
      <c r="Q239" t="str">
        <f>IF('[1]P-GENERAL'!Q239="","",'[1]P-GENERAL'!Q239)</f>
        <v>NORMAL</v>
      </c>
      <c r="R239" s="14">
        <f>IF('[1]P-GENERAL'!R239="","",'[1]P-GENERAL'!R239)</f>
        <v>46283</v>
      </c>
      <c r="S239" s="16">
        <f>IF('[1]P-GENERAL'!S239="","",'[1]P-GENERAL'!S239)</f>
        <v>0.73888888888888893</v>
      </c>
      <c r="T239" s="16">
        <f>IF('[1]P-GENERAL'!T239="","",'[1]P-GENERAL'!T239)</f>
        <v>0.625</v>
      </c>
      <c r="U239" s="17">
        <f>IF('[1]P-GENERAL'!U239="","",'[1]P-GENERAL'!U239)</f>
        <v>46284.363888888889</v>
      </c>
      <c r="V239" s="14">
        <f>IF('[1]P-GENERAL'!V239="","",'[1]P-GENERAL'!V239)</f>
        <v>46284</v>
      </c>
      <c r="W239" s="16">
        <f>IF('[1]P-GENERAL'!W239="","",'[1]P-GENERAL'!W239)</f>
        <v>0.46180555555555558</v>
      </c>
      <c r="X239" s="14" t="str">
        <f>IF('[1]P-GENERAL'!X239="","",'[1]P-GENERAL'!X239)</f>
        <v>SI CUMPLE</v>
      </c>
      <c r="Y239" s="14" t="str">
        <f>IF('[1]P-GENERAL'!Y239="","",'[1]P-GENERAL'!Y239)</f>
        <v>SI CUMPLE</v>
      </c>
      <c r="Z239" s="14" t="str">
        <f>IF('[1]P-GENERAL'!Z239="","",'[1]P-GENERAL'!Z239)</f>
        <v/>
      </c>
      <c r="AA239" s="14" t="str">
        <f>IF('[1]P-GENERAL'!AA239="","",'[1]P-GENERAL'!AA239)</f>
        <v>DESPACHADO</v>
      </c>
      <c r="AB239" s="8" t="str">
        <f>IF('[1]P-GENERAL'!AB239="","",'[1]P-GENERAL'!AB239)</f>
        <v>MARIBEL DE LA ROSA FERNANDEZ</v>
      </c>
      <c r="AC239" s="8" t="str">
        <f>IF('[1]P-GENERAL'!AC239="","",'[1]P-GENERAL'!AC239)</f>
        <v>ABEL HERNANDEZ LOPEZ</v>
      </c>
      <c r="AD239">
        <f>IF('[1]P-GENERAL'!AD239="","",'[1]P-GENERAL'!AD239)</f>
        <v>55653</v>
      </c>
      <c r="AE239" t="str">
        <f>IF('[1]P-GENERAL'!AE239="","",'[1]P-GENERAL'!AE239)</f>
        <v>QCH1W04MX0</v>
      </c>
    </row>
    <row r="240" spans="1:31" ht="20.25" x14ac:dyDescent="0.3">
      <c r="A240" s="11" t="str">
        <f>IF('[1]P-GENERAL'!A240="","",'[1]P-GENERAL'!A240)</f>
        <v>Platano de Chiapas BAE UPC 3237</v>
      </c>
      <c r="B240" s="11" t="str">
        <f>IF('[1]P-GENERAL'!B240="","",'[1]P-GENERAL'!B240)</f>
        <v>CPR01114</v>
      </c>
      <c r="C240" t="str">
        <f>IF('[1]P-GENERAL'!C240="","",'[1]P-GENERAL'!C240)</f>
        <v>A01001-381709-1</v>
      </c>
      <c r="D240" t="str">
        <f>IF('[1]P-GENERAL'!D240="","",'[1]P-GENERAL'!D240)</f>
        <v>A01 001 Marbella</v>
      </c>
      <c r="E240" s="8" t="str">
        <f>IF('[1]P-GENERAL'!E240="","",'[1]P-GENERAL'!E240)</f>
        <v>Chalco</v>
      </c>
      <c r="F240" s="12">
        <f>IF('[1]P-GENERAL'!F240="","",'[1]P-GENERAL'!F240)</f>
        <v>48</v>
      </c>
      <c r="G240" s="13">
        <f>IF('[1]P-GENERAL'!G240="","",'[1]P-GENERAL'!G240)</f>
        <v>1</v>
      </c>
      <c r="H240" s="14">
        <f>IF('[1]P-GENERAL'!H240="","",'[1]P-GENERAL'!H240)</f>
        <v>46282</v>
      </c>
      <c r="I240">
        <f>IF('[1]P-GENERAL'!I240="","",'[1]P-GENERAL'!I240)</f>
        <v>38</v>
      </c>
      <c r="J240" s="15">
        <f>IF('[1]P-GENERAL'!J240="","",'[1]P-GENERAL'!J240)</f>
        <v>46286</v>
      </c>
      <c r="K240" s="14" t="str">
        <f>IF('[1]P-GENERAL'!K240="","",'[1]P-GENERAL'!K240)</f>
        <v/>
      </c>
      <c r="L240" s="14" t="str">
        <f>IF('[1]P-GENERAL'!L240="","",'[1]P-GENERAL'!L240)</f>
        <v>PREENFRIO FORTALEZA</v>
      </c>
      <c r="M240">
        <f>IF('[1]P-GENERAL'!M240="","",'[1]P-GENERAL'!M240)</f>
        <v>1</v>
      </c>
      <c r="N240">
        <f>IF('[1]P-GENERAL'!N240="","",'[1]P-GENERAL'!N240)</f>
        <v>24</v>
      </c>
      <c r="O240" s="14">
        <f>IF('[1]P-GENERAL'!O240="","",'[1]P-GENERAL'!O240)</f>
        <v>46282</v>
      </c>
      <c r="P240" s="16">
        <f>IF('[1]P-GENERAL'!P240="","",'[1]P-GENERAL'!P240)</f>
        <v>0.78402777777777777</v>
      </c>
      <c r="Q240" t="str">
        <f>IF('[1]P-GENERAL'!Q240="","",'[1]P-GENERAL'!Q240)</f>
        <v>NORMAL</v>
      </c>
      <c r="R240" s="14">
        <f>IF('[1]P-GENERAL'!R240="","",'[1]P-GENERAL'!R240)</f>
        <v>46283</v>
      </c>
      <c r="S240" s="16">
        <f>IF('[1]P-GENERAL'!S240="","",'[1]P-GENERAL'!S240)</f>
        <v>0.73888888888888893</v>
      </c>
      <c r="T240" s="16">
        <f>IF('[1]P-GENERAL'!T240="","",'[1]P-GENERAL'!T240)</f>
        <v>0.625</v>
      </c>
      <c r="U240" s="17">
        <f>IF('[1]P-GENERAL'!U240="","",'[1]P-GENERAL'!U240)</f>
        <v>46284.363888888889</v>
      </c>
      <c r="V240" s="14">
        <f>IF('[1]P-GENERAL'!V240="","",'[1]P-GENERAL'!V240)</f>
        <v>46284</v>
      </c>
      <c r="W240" s="16">
        <f>IF('[1]P-GENERAL'!W240="","",'[1]P-GENERAL'!W240)</f>
        <v>0.46180555555555558</v>
      </c>
      <c r="X240" s="14" t="str">
        <f>IF('[1]P-GENERAL'!X240="","",'[1]P-GENERAL'!X240)</f>
        <v>SI CUMPLE</v>
      </c>
      <c r="Y240" s="14" t="str">
        <f>IF('[1]P-GENERAL'!Y240="","",'[1]P-GENERAL'!Y240)</f>
        <v>SI CUMPLE</v>
      </c>
      <c r="Z240" s="14" t="str">
        <f>IF('[1]P-GENERAL'!Z240="","",'[1]P-GENERAL'!Z240)</f>
        <v/>
      </c>
      <c r="AA240" s="14" t="str">
        <f>IF('[1]P-GENERAL'!AA240="","",'[1]P-GENERAL'!AA240)</f>
        <v>DESPACHADO</v>
      </c>
      <c r="AB240" s="8" t="str">
        <f>IF('[1]P-GENERAL'!AB240="","",'[1]P-GENERAL'!AB240)</f>
        <v>MARIBEL DE LA ROSA FERNANDEZ</v>
      </c>
      <c r="AC240" s="8" t="str">
        <f>IF('[1]P-GENERAL'!AC240="","",'[1]P-GENERAL'!AC240)</f>
        <v>ABEL HERNANDEZ LOPEZ</v>
      </c>
      <c r="AD240">
        <f>IF('[1]P-GENERAL'!AD240="","",'[1]P-GENERAL'!AD240)</f>
        <v>55653</v>
      </c>
      <c r="AE240" t="str">
        <f>IF('[1]P-GENERAL'!AE240="","",'[1]P-GENERAL'!AE240)</f>
        <v>QCH1W04MX0</v>
      </c>
    </row>
    <row r="241" spans="1:31" ht="20.25" x14ac:dyDescent="0.3">
      <c r="A241" s="11" t="str">
        <f>IF('[1]P-GENERAL'!A241="","",'[1]P-GENERAL'!A241)</f>
        <v>Chanitos Premium EUA Tarima Americana</v>
      </c>
      <c r="B241" s="11" t="str">
        <f>IF('[1]P-GENERAL'!B241="","",'[1]P-GENERAL'!B241)</f>
        <v>CPR01104</v>
      </c>
      <c r="C241" t="str">
        <f>IF('[1]P-GENERAL'!C241="","",'[1]P-GENERAL'!C241)</f>
        <v>A04084-381709-1</v>
      </c>
      <c r="D241" t="str">
        <f>IF('[1]P-GENERAL'!D241="","",'[1]P-GENERAL'!D241)</f>
        <v>A04 084 Lisboa</v>
      </c>
      <c r="E241" s="8" t="str">
        <f>IF('[1]P-GENERAL'!E241="","",'[1]P-GENERAL'!E241)</f>
        <v>McAllen</v>
      </c>
      <c r="F241" s="12">
        <f>IF('[1]P-GENERAL'!F241="","",'[1]P-GENERAL'!F241)</f>
        <v>624</v>
      </c>
      <c r="G241" s="13">
        <f>IF('[1]P-GENERAL'!G241="","",'[1]P-GENERAL'!G241)</f>
        <v>13</v>
      </c>
      <c r="H241" s="14">
        <f>IF('[1]P-GENERAL'!H241="","",'[1]P-GENERAL'!H241)</f>
        <v>46282</v>
      </c>
      <c r="I241">
        <f>IF('[1]P-GENERAL'!I241="","",'[1]P-GENERAL'!I241)</f>
        <v>38</v>
      </c>
      <c r="J241" s="15">
        <f>IF('[1]P-GENERAL'!J241="","",'[1]P-GENERAL'!J241)</f>
        <v>46286</v>
      </c>
      <c r="K241" s="14" t="str">
        <f>IF('[1]P-GENERAL'!K241="","",'[1]P-GENERAL'!K241)</f>
        <v/>
      </c>
      <c r="L241" s="14" t="str">
        <f>IF('[1]P-GENERAL'!L241="","",'[1]P-GENERAL'!L241)</f>
        <v>PREENFRIO FORTALEZA</v>
      </c>
      <c r="M241">
        <f>IF('[1]P-GENERAL'!M241="","",'[1]P-GENERAL'!M241)</f>
        <v>3</v>
      </c>
      <c r="N241">
        <f>IF('[1]P-GENERAL'!N241="","",'[1]P-GENERAL'!N241)</f>
        <v>72</v>
      </c>
      <c r="O241" s="14">
        <f>IF('[1]P-GENERAL'!O241="","",'[1]P-GENERAL'!O241)</f>
        <v>46284</v>
      </c>
      <c r="P241" s="16">
        <f>IF('[1]P-GENERAL'!P241="","",'[1]P-GENERAL'!P241)</f>
        <v>0.50347222222222221</v>
      </c>
      <c r="Q241" t="str">
        <f>IF('[1]P-GENERAL'!Q241="","",'[1]P-GENERAL'!Q241)</f>
        <v>NORMAL</v>
      </c>
      <c r="R241" s="14" t="str">
        <f>IF('[1]P-GENERAL'!R241="","",'[1]P-GENERAL'!R241)</f>
        <v/>
      </c>
      <c r="S241" s="16" t="str">
        <f>IF('[1]P-GENERAL'!S241="","",'[1]P-GENERAL'!S241)</f>
        <v/>
      </c>
      <c r="T241" s="16" t="str">
        <f>IF('[1]P-GENERAL'!T241="","",'[1]P-GENERAL'!T241)</f>
        <v/>
      </c>
      <c r="U241" s="17" t="str">
        <f>IF('[1]P-GENERAL'!U241="","",'[1]P-GENERAL'!U241)</f>
        <v/>
      </c>
      <c r="V241" s="14">
        <f>IF('[1]P-GENERAL'!V241="","",'[1]P-GENERAL'!V241)</f>
        <v>46284</v>
      </c>
      <c r="W241" s="16">
        <f>IF('[1]P-GENERAL'!W241="","",'[1]P-GENERAL'!W241)</f>
        <v>0.60416666666666663</v>
      </c>
      <c r="X241" s="14" t="str">
        <f>IF('[1]P-GENERAL'!X241="","",'[1]P-GENERAL'!X241)</f>
        <v/>
      </c>
      <c r="Y241" s="14" t="str">
        <f>IF('[1]P-GENERAL'!Y241="","",'[1]P-GENERAL'!Y241)</f>
        <v>NO CUMPLE</v>
      </c>
      <c r="Z241" s="14" t="str">
        <f>IF('[1]P-GENERAL'!Z241="","",'[1]P-GENERAL'!Z241)</f>
        <v/>
      </c>
      <c r="AA241" s="14" t="str">
        <f>IF('[1]P-GENERAL'!AA241="","",'[1]P-GENERAL'!AA241)</f>
        <v>DESPACHADO</v>
      </c>
      <c r="AB241" s="8" t="str">
        <f>IF('[1]P-GENERAL'!AB241="","",'[1]P-GENERAL'!AB241)</f>
        <v>AUTO EXPRESS SEGOVIA</v>
      </c>
      <c r="AC241" s="8" t="str">
        <f>IF('[1]P-GENERAL'!AC241="","",'[1]P-GENERAL'!AC241)</f>
        <v>SANTIAGO HERRERA</v>
      </c>
      <c r="AD241">
        <f>IF('[1]P-GENERAL'!AD241="","",'[1]P-GENERAL'!AD241)</f>
        <v>56792</v>
      </c>
      <c r="AE241" t="str">
        <f>IF('[1]P-GENERAL'!AE241="","",'[1]P-GENERAL'!AE241)</f>
        <v>QCH1W04NG0</v>
      </c>
    </row>
    <row r="242" spans="1:31" ht="20.25" x14ac:dyDescent="0.3">
      <c r="A242" s="11" t="str">
        <f>IF('[1]P-GENERAL'!A242="","",'[1]P-GENERAL'!A242)</f>
        <v>Chanitos Premium Tarima Chep</v>
      </c>
      <c r="B242" s="11" t="str">
        <f>IF('[1]P-GENERAL'!B242="","",'[1]P-GENERAL'!B242)</f>
        <v>CPR01102</v>
      </c>
      <c r="C242" t="str">
        <f>IF('[1]P-GENERAL'!C242="","",'[1]P-GENERAL'!C242)</f>
        <v>A01002-381709-1</v>
      </c>
      <c r="D242" t="str">
        <f>IF('[1]P-GENERAL'!D242="","",'[1]P-GENERAL'!D242)</f>
        <v>A01 002 Fortaleza</v>
      </c>
      <c r="E242" s="8" t="str">
        <f>IF('[1]P-GENERAL'!E242="","",'[1]P-GENERAL'!E242)</f>
        <v>QRO</v>
      </c>
      <c r="F242" s="12">
        <f>IF('[1]P-GENERAL'!F242="","",'[1]P-GENERAL'!F242)</f>
        <v>1008</v>
      </c>
      <c r="G242" s="13">
        <f>IF('[1]P-GENERAL'!G242="","",'[1]P-GENERAL'!G242)</f>
        <v>21</v>
      </c>
      <c r="H242" s="14">
        <f>IF('[1]P-GENERAL'!H242="","",'[1]P-GENERAL'!H242)</f>
        <v>46282</v>
      </c>
      <c r="I242">
        <f>IF('[1]P-GENERAL'!I242="","",'[1]P-GENERAL'!I242)</f>
        <v>38</v>
      </c>
      <c r="J242" s="15">
        <f>IF('[1]P-GENERAL'!J242="","",'[1]P-GENERAL'!J242)</f>
        <v>46286</v>
      </c>
      <c r="K242" s="14" t="str">
        <f>IF('[1]P-GENERAL'!K242="","",'[1]P-GENERAL'!K242)</f>
        <v/>
      </c>
      <c r="L242" s="14" t="str">
        <f>IF('[1]P-GENERAL'!L242="","",'[1]P-GENERAL'!L242)</f>
        <v>PREENFRIO FORTALEZA</v>
      </c>
      <c r="M242">
        <f>IF('[1]P-GENERAL'!M242="","",'[1]P-GENERAL'!M242)</f>
        <v>1.5</v>
      </c>
      <c r="N242">
        <f>IF('[1]P-GENERAL'!N242="","",'[1]P-GENERAL'!N242)</f>
        <v>36</v>
      </c>
      <c r="O242" s="14">
        <f>IF('[1]P-GENERAL'!O242="","",'[1]P-GENERAL'!O242)</f>
        <v>46282</v>
      </c>
      <c r="P242" s="16">
        <f>IF('[1]P-GENERAL'!P242="","",'[1]P-GENERAL'!P242)</f>
        <v>0.76527777777777772</v>
      </c>
      <c r="Q242" t="str">
        <f>IF('[1]P-GENERAL'!Q242="","",'[1]P-GENERAL'!Q242)</f>
        <v>NORMAL</v>
      </c>
      <c r="R242" s="14">
        <f>IF('[1]P-GENERAL'!R242="","",'[1]P-GENERAL'!R242)</f>
        <v>46283</v>
      </c>
      <c r="S242" s="16">
        <f>IF('[1]P-GENERAL'!S242="","",'[1]P-GENERAL'!S242)</f>
        <v>0.125</v>
      </c>
      <c r="T242" s="16">
        <f>IF('[1]P-GENERAL'!T242="","",'[1]P-GENERAL'!T242)</f>
        <v>0.625</v>
      </c>
      <c r="U242" s="17">
        <f>IF('[1]P-GENERAL'!U242="","",'[1]P-GENERAL'!U242)</f>
        <v>46283.75</v>
      </c>
      <c r="V242" s="14">
        <f>IF('[1]P-GENERAL'!V242="","",'[1]P-GENERAL'!V242)</f>
        <v>46283</v>
      </c>
      <c r="W242" s="16">
        <f>IF('[1]P-GENERAL'!W242="","",'[1]P-GENERAL'!W242)</f>
        <v>0.73958333333333337</v>
      </c>
      <c r="X242" s="14" t="str">
        <f>IF('[1]P-GENERAL'!X242="","",'[1]P-GENERAL'!X242)</f>
        <v>SI CUMPLE</v>
      </c>
      <c r="Y242" s="14" t="str">
        <f>IF('[1]P-GENERAL'!Y242="","",'[1]P-GENERAL'!Y242)</f>
        <v>SI CUMPLE</v>
      </c>
      <c r="Z242" s="14" t="str">
        <f>IF('[1]P-GENERAL'!Z242="","",'[1]P-GENERAL'!Z242)</f>
        <v/>
      </c>
      <c r="AA242" s="14" t="str">
        <f>IF('[1]P-GENERAL'!AA242="","",'[1]P-GENERAL'!AA242)</f>
        <v>DESPACHADO</v>
      </c>
      <c r="AB242" s="8" t="str">
        <f>IF('[1]P-GENERAL'!AB242="","",'[1]P-GENERAL'!AB242)</f>
        <v>MARIBEL DE LA ROSA FERNANDEZ</v>
      </c>
      <c r="AC242" s="8" t="str">
        <f>IF('[1]P-GENERAL'!AC242="","",'[1]P-GENERAL'!AC242)</f>
        <v>JACINTO RAMIREZ LOPEZ</v>
      </c>
      <c r="AD242">
        <f>IF('[1]P-GENERAL'!AD242="","",'[1]P-GENERAL'!AD242)</f>
        <v>90178</v>
      </c>
      <c r="AE242" t="str">
        <f>IF('[1]P-GENERAL'!AE242="","",'[1]P-GENERAL'!AE242)</f>
        <v>QCH1W04KP0</v>
      </c>
    </row>
    <row r="243" spans="1:31" ht="20.25" x14ac:dyDescent="0.3">
      <c r="A243" s="11" t="str">
        <f>IF('[1]P-GENERAL'!A243="","",'[1]P-GENERAL'!A243)</f>
        <v>Chanitos Organic Banded Market Side Mexico</v>
      </c>
      <c r="B243" s="11" t="str">
        <f>IF('[1]P-GENERAL'!B243="","",'[1]P-GENERAL'!B243)</f>
        <v>CRG07128</v>
      </c>
      <c r="C243" t="str">
        <f>IF('[1]P-GENERAL'!C243="","",'[1]P-GENERAL'!C243)</f>
        <v>A01002-381709-1</v>
      </c>
      <c r="D243" t="str">
        <f>IF('[1]P-GENERAL'!D243="","",'[1]P-GENERAL'!D243)</f>
        <v>A01 002 Fortaleza</v>
      </c>
      <c r="E243" s="8" t="str">
        <f>IF('[1]P-GENERAL'!E243="","",'[1]P-GENERAL'!E243)</f>
        <v>QRO</v>
      </c>
      <c r="F243" s="12">
        <f>IF('[1]P-GENERAL'!F243="","",'[1]P-GENERAL'!F243)</f>
        <v>96</v>
      </c>
      <c r="G243" s="13">
        <f>IF('[1]P-GENERAL'!G243="","",'[1]P-GENERAL'!G243)</f>
        <v>2</v>
      </c>
      <c r="H243" s="14">
        <f>IF('[1]P-GENERAL'!H243="","",'[1]P-GENERAL'!H243)</f>
        <v>46282</v>
      </c>
      <c r="I243">
        <f>IF('[1]P-GENERAL'!I243="","",'[1]P-GENERAL'!I243)</f>
        <v>38</v>
      </c>
      <c r="J243" s="15">
        <f>IF('[1]P-GENERAL'!J243="","",'[1]P-GENERAL'!J243)</f>
        <v>46286</v>
      </c>
      <c r="K243" s="14" t="str">
        <f>IF('[1]P-GENERAL'!K243="","",'[1]P-GENERAL'!K243)</f>
        <v/>
      </c>
      <c r="L243" s="14" t="str">
        <f>IF('[1]P-GENERAL'!L243="","",'[1]P-GENERAL'!L243)</f>
        <v>PREENFRIO FORTALEZA</v>
      </c>
      <c r="M243">
        <f>IF('[1]P-GENERAL'!M243="","",'[1]P-GENERAL'!M243)</f>
        <v>1.5</v>
      </c>
      <c r="N243">
        <f>IF('[1]P-GENERAL'!N243="","",'[1]P-GENERAL'!N243)</f>
        <v>36</v>
      </c>
      <c r="O243" s="14">
        <f>IF('[1]P-GENERAL'!O243="","",'[1]P-GENERAL'!O243)</f>
        <v>46282</v>
      </c>
      <c r="P243" s="16">
        <f>IF('[1]P-GENERAL'!P243="","",'[1]P-GENERAL'!P243)</f>
        <v>0.76527777777777772</v>
      </c>
      <c r="Q243" t="str">
        <f>IF('[1]P-GENERAL'!Q243="","",'[1]P-GENERAL'!Q243)</f>
        <v>NORMAL</v>
      </c>
      <c r="R243" s="14">
        <f>IF('[1]P-GENERAL'!R243="","",'[1]P-GENERAL'!R243)</f>
        <v>46283</v>
      </c>
      <c r="S243" s="16">
        <f>IF('[1]P-GENERAL'!S243="","",'[1]P-GENERAL'!S243)</f>
        <v>0.125</v>
      </c>
      <c r="T243" s="16">
        <f>IF('[1]P-GENERAL'!T243="","",'[1]P-GENERAL'!T243)</f>
        <v>0.625</v>
      </c>
      <c r="U243" s="17">
        <f>IF('[1]P-GENERAL'!U243="","",'[1]P-GENERAL'!U243)</f>
        <v>46283.75</v>
      </c>
      <c r="V243" s="14">
        <f>IF('[1]P-GENERAL'!V243="","",'[1]P-GENERAL'!V243)</f>
        <v>46283</v>
      </c>
      <c r="W243" s="16">
        <f>IF('[1]P-GENERAL'!W243="","",'[1]P-GENERAL'!W243)</f>
        <v>0.73958333333333337</v>
      </c>
      <c r="X243" s="14" t="str">
        <f>IF('[1]P-GENERAL'!X243="","",'[1]P-GENERAL'!X243)</f>
        <v>SI CUMPLE</v>
      </c>
      <c r="Y243" s="14" t="str">
        <f>IF('[1]P-GENERAL'!Y243="","",'[1]P-GENERAL'!Y243)</f>
        <v>SI CUMPLE</v>
      </c>
      <c r="Z243" s="14" t="str">
        <f>IF('[1]P-GENERAL'!Z243="","",'[1]P-GENERAL'!Z243)</f>
        <v/>
      </c>
      <c r="AA243" s="14" t="str">
        <f>IF('[1]P-GENERAL'!AA243="","",'[1]P-GENERAL'!AA243)</f>
        <v>DESPACHADO</v>
      </c>
      <c r="AB243" s="8" t="str">
        <f>IF('[1]P-GENERAL'!AB243="","",'[1]P-GENERAL'!AB243)</f>
        <v>MARIBEL DE LA ROSA FERNANDEZ</v>
      </c>
      <c r="AC243" s="8" t="str">
        <f>IF('[1]P-GENERAL'!AC243="","",'[1]P-GENERAL'!AC243)</f>
        <v>JACINTO RAMIREZ LOPEZ</v>
      </c>
      <c r="AD243">
        <f>IF('[1]P-GENERAL'!AD243="","",'[1]P-GENERAL'!AD243)</f>
        <v>90178</v>
      </c>
      <c r="AE243" t="str">
        <f>IF('[1]P-GENERAL'!AE243="","",'[1]P-GENERAL'!AE243)</f>
        <v>QCH1W04KP0</v>
      </c>
    </row>
    <row r="244" spans="1:31" ht="20.25" x14ac:dyDescent="0.3">
      <c r="A244" s="11" t="str">
        <f>IF('[1]P-GENERAL'!A244="","",'[1]P-GENERAL'!A244)</f>
        <v>Chanitos Premium Tarima Chep</v>
      </c>
      <c r="B244" s="11" t="str">
        <f>IF('[1]P-GENERAL'!B244="","",'[1]P-GENERAL'!B244)</f>
        <v>CPR01102</v>
      </c>
      <c r="C244" t="str">
        <f>IF('[1]P-GENERAL'!C244="","",'[1]P-GENERAL'!C244)</f>
        <v>A04039-381709-1</v>
      </c>
      <c r="D244" t="str">
        <f>IF('[1]P-GENERAL'!D244="","",'[1]P-GENERAL'!D244)</f>
        <v>A04 039 San Jose Morelia Nava</v>
      </c>
      <c r="E244" s="8" t="str">
        <f>IF('[1]P-GENERAL'!E244="","",'[1]P-GENERAL'!E244)</f>
        <v>SMO</v>
      </c>
      <c r="F244" s="12">
        <f>IF('[1]P-GENERAL'!F244="","",'[1]P-GENERAL'!F244)</f>
        <v>192</v>
      </c>
      <c r="G244" s="13">
        <f>IF('[1]P-GENERAL'!G244="","",'[1]P-GENERAL'!G244)</f>
        <v>4</v>
      </c>
      <c r="H244" s="14">
        <f>IF('[1]P-GENERAL'!H244="","",'[1]P-GENERAL'!H244)</f>
        <v>46282</v>
      </c>
      <c r="I244">
        <f>IF('[1]P-GENERAL'!I244="","",'[1]P-GENERAL'!I244)</f>
        <v>38</v>
      </c>
      <c r="J244" s="15">
        <f>IF('[1]P-GENERAL'!J244="","",'[1]P-GENERAL'!J244)</f>
        <v>46286</v>
      </c>
      <c r="K244" s="14" t="str">
        <f>IF('[1]P-GENERAL'!K244="","",'[1]P-GENERAL'!K244)</f>
        <v/>
      </c>
      <c r="L244" s="14" t="str">
        <f>IF('[1]P-GENERAL'!L244="","",'[1]P-GENERAL'!L244)</f>
        <v>PREENFRIO FORTALEZA</v>
      </c>
      <c r="M244">
        <f>IF('[1]P-GENERAL'!M244="","",'[1]P-GENERAL'!M244)</f>
        <v>1.5</v>
      </c>
      <c r="N244">
        <f>IF('[1]P-GENERAL'!N244="","",'[1]P-GENERAL'!N244)</f>
        <v>36</v>
      </c>
      <c r="O244" s="14">
        <f>IF('[1]P-GENERAL'!O244="","",'[1]P-GENERAL'!O244)</f>
        <v>46282</v>
      </c>
      <c r="P244" s="16">
        <f>IF('[1]P-GENERAL'!P244="","",'[1]P-GENERAL'!P244)</f>
        <v>0.75763888888888886</v>
      </c>
      <c r="Q244" t="str">
        <f>IF('[1]P-GENERAL'!Q244="","",'[1]P-GENERAL'!Q244)</f>
        <v>NORMAL</v>
      </c>
      <c r="R244" s="14">
        <f>IF('[1]P-GENERAL'!R244="","",'[1]P-GENERAL'!R244)</f>
        <v>46283</v>
      </c>
      <c r="S244" s="16">
        <f>IF('[1]P-GENERAL'!S244="","",'[1]P-GENERAL'!S244)</f>
        <v>5.1388888888888887E-2</v>
      </c>
      <c r="T244" s="16">
        <f>IF('[1]P-GENERAL'!T244="","",'[1]P-GENERAL'!T244)</f>
        <v>0.41666666666666669</v>
      </c>
      <c r="U244" s="17">
        <f>IF('[1]P-GENERAL'!U244="","",'[1]P-GENERAL'!U244)</f>
        <v>46283.468055555553</v>
      </c>
      <c r="V244" s="14">
        <f>IF('[1]P-GENERAL'!V244="","",'[1]P-GENERAL'!V244)</f>
        <v>46283</v>
      </c>
      <c r="W244" s="16">
        <f>IF('[1]P-GENERAL'!W244="","",'[1]P-GENERAL'!W244)</f>
        <v>0.55902777777777779</v>
      </c>
      <c r="X244" s="14" t="str">
        <f>IF('[1]P-GENERAL'!X244="","",'[1]P-GENERAL'!X244)</f>
        <v>SI CUMPLE</v>
      </c>
      <c r="Y244" s="14" t="str">
        <f>IF('[1]P-GENERAL'!Y244="","",'[1]P-GENERAL'!Y244)</f>
        <v>SI CUMPLE</v>
      </c>
      <c r="Z244" s="14" t="str">
        <f>IF('[1]P-GENERAL'!Z244="","",'[1]P-GENERAL'!Z244)</f>
        <v/>
      </c>
      <c r="AA244" s="14" t="str">
        <f>IF('[1]P-GENERAL'!AA244="","",'[1]P-GENERAL'!AA244)</f>
        <v>DESPACHADO</v>
      </c>
      <c r="AB244" s="8" t="str">
        <f>IF('[1]P-GENERAL'!AB244="","",'[1]P-GENERAL'!AB244)</f>
        <v>ALICIA CRUZ FUENTES</v>
      </c>
      <c r="AC244" s="8" t="str">
        <f>IF('[1]P-GENERAL'!AC244="","",'[1]P-GENERAL'!AC244)</f>
        <v>YONATAN GOMEZ ORTIZ</v>
      </c>
      <c r="AD244">
        <f>IF('[1]P-GENERAL'!AD244="","",'[1]P-GENERAL'!AD244)</f>
        <v>76055</v>
      </c>
      <c r="AE244" t="str">
        <f>IF('[1]P-GENERAL'!AE244="","",'[1]P-GENERAL'!AE244)</f>
        <v>QCH1W04HW0</v>
      </c>
    </row>
    <row r="245" spans="1:31" ht="20.25" x14ac:dyDescent="0.3">
      <c r="A245" s="11" t="str">
        <f>IF('[1]P-GENERAL'!A245="","",'[1]P-GENERAL'!A245)</f>
        <v>Chanitos Premium Tarima Chep</v>
      </c>
      <c r="B245" s="11" t="str">
        <f>IF('[1]P-GENERAL'!B245="","",'[1]P-GENERAL'!B245)</f>
        <v>CPR01102</v>
      </c>
      <c r="C245" t="str">
        <f>IF('[1]P-GENERAL'!C245="","",'[1]P-GENERAL'!C245)</f>
        <v>A01002-381709-1</v>
      </c>
      <c r="D245" t="str">
        <f>IF('[1]P-GENERAL'!D245="","",'[1]P-GENERAL'!D245)</f>
        <v>A01 002 Fortaleza</v>
      </c>
      <c r="E245" s="8" t="str">
        <f>IF('[1]P-GENERAL'!E245="","",'[1]P-GENERAL'!E245)</f>
        <v>SMO</v>
      </c>
      <c r="F245" s="12">
        <f>IF('[1]P-GENERAL'!F245="","",'[1]P-GENERAL'!F245)</f>
        <v>192</v>
      </c>
      <c r="G245" s="13">
        <f>IF('[1]P-GENERAL'!G245="","",'[1]P-GENERAL'!G245)</f>
        <v>4</v>
      </c>
      <c r="H245" s="14">
        <f>IF('[1]P-GENERAL'!H245="","",'[1]P-GENERAL'!H245)</f>
        <v>46282</v>
      </c>
      <c r="I245">
        <f>IF('[1]P-GENERAL'!I245="","",'[1]P-GENERAL'!I245)</f>
        <v>38</v>
      </c>
      <c r="J245" s="15">
        <f>IF('[1]P-GENERAL'!J245="","",'[1]P-GENERAL'!J245)</f>
        <v>46286</v>
      </c>
      <c r="K245" s="14" t="str">
        <f>IF('[1]P-GENERAL'!K245="","",'[1]P-GENERAL'!K245)</f>
        <v/>
      </c>
      <c r="L245" s="14" t="str">
        <f>IF('[1]P-GENERAL'!L245="","",'[1]P-GENERAL'!L245)</f>
        <v>PREENFRIO FORTALEZA</v>
      </c>
      <c r="M245">
        <f>IF('[1]P-GENERAL'!M245="","",'[1]P-GENERAL'!M245)</f>
        <v>1.5</v>
      </c>
      <c r="N245">
        <f>IF('[1]P-GENERAL'!N245="","",'[1]P-GENERAL'!N245)</f>
        <v>36</v>
      </c>
      <c r="O245" s="14">
        <f>IF('[1]P-GENERAL'!O245="","",'[1]P-GENERAL'!O245)</f>
        <v>46282</v>
      </c>
      <c r="P245" s="16">
        <f>IF('[1]P-GENERAL'!P245="","",'[1]P-GENERAL'!P245)</f>
        <v>0.76527777777777772</v>
      </c>
      <c r="Q245" t="str">
        <f>IF('[1]P-GENERAL'!Q245="","",'[1]P-GENERAL'!Q245)</f>
        <v>NORMAL</v>
      </c>
      <c r="R245" s="14">
        <f>IF('[1]P-GENERAL'!R245="","",'[1]P-GENERAL'!R245)</f>
        <v>46283</v>
      </c>
      <c r="S245" s="16">
        <f>IF('[1]P-GENERAL'!S245="","",'[1]P-GENERAL'!S245)</f>
        <v>0.28472222222222221</v>
      </c>
      <c r="T245" s="16">
        <f>IF('[1]P-GENERAL'!T245="","",'[1]P-GENERAL'!T245)</f>
        <v>0.20833333333333334</v>
      </c>
      <c r="U245" s="17">
        <f>IF('[1]P-GENERAL'!U245="","",'[1]P-GENERAL'!U245)</f>
        <v>46283.493055555555</v>
      </c>
      <c r="V245" s="14">
        <f>IF('[1]P-GENERAL'!V245="","",'[1]P-GENERAL'!V245)</f>
        <v>46283</v>
      </c>
      <c r="W245" s="16">
        <f>IF('[1]P-GENERAL'!W245="","",'[1]P-GENERAL'!W245)</f>
        <v>0.55902777777777779</v>
      </c>
      <c r="X245" s="14" t="str">
        <f>IF('[1]P-GENERAL'!X245="","",'[1]P-GENERAL'!X245)</f>
        <v>SI CUMPLE</v>
      </c>
      <c r="Y245" s="14" t="str">
        <f>IF('[1]P-GENERAL'!Y245="","",'[1]P-GENERAL'!Y245)</f>
        <v>SI CUMPLE</v>
      </c>
      <c r="Z245" s="14" t="str">
        <f>IF('[1]P-GENERAL'!Z245="","",'[1]P-GENERAL'!Z245)</f>
        <v/>
      </c>
      <c r="AA245" s="14" t="str">
        <f>IF('[1]P-GENERAL'!AA245="","",'[1]P-GENERAL'!AA245)</f>
        <v>DESPACHADO</v>
      </c>
      <c r="AB245" s="8" t="str">
        <f>IF('[1]P-GENERAL'!AB245="","",'[1]P-GENERAL'!AB245)</f>
        <v>ALICIA CRUZ FUENTES</v>
      </c>
      <c r="AC245" s="8" t="str">
        <f>IF('[1]P-GENERAL'!AC245="","",'[1]P-GENERAL'!AC245)</f>
        <v>YONATAN GOMEZ ORTIZ</v>
      </c>
      <c r="AD245">
        <f>IF('[1]P-GENERAL'!AD245="","",'[1]P-GENERAL'!AD245)</f>
        <v>76055</v>
      </c>
      <c r="AE245" t="str">
        <f>IF('[1]P-GENERAL'!AE245="","",'[1]P-GENERAL'!AE245)</f>
        <v>QCH1W04HW0</v>
      </c>
    </row>
    <row r="246" spans="1:31" ht="20.25" x14ac:dyDescent="0.3">
      <c r="A246" s="11" t="str">
        <f>IF('[1]P-GENERAL'!A246="","",'[1]P-GENERAL'!A246)</f>
        <v>Chanitos Organic Banded Market Side Mexico</v>
      </c>
      <c r="B246" s="11" t="str">
        <f>IF('[1]P-GENERAL'!B246="","",'[1]P-GENERAL'!B246)</f>
        <v>CRG07128</v>
      </c>
      <c r="C246" t="str">
        <f>IF('[1]P-GENERAL'!C246="","",'[1]P-GENERAL'!C246)</f>
        <v>A01002-381709-1</v>
      </c>
      <c r="D246" t="str">
        <f>IF('[1]P-GENERAL'!D246="","",'[1]P-GENERAL'!D246)</f>
        <v>A01 002 Fortaleza</v>
      </c>
      <c r="E246" s="8" t="str">
        <f>IF('[1]P-GENERAL'!E246="","",'[1]P-GENERAL'!E246)</f>
        <v>VSA</v>
      </c>
      <c r="F246" s="12">
        <f>IF('[1]P-GENERAL'!F246="","",'[1]P-GENERAL'!F246)</f>
        <v>288</v>
      </c>
      <c r="G246" s="13">
        <f>IF('[1]P-GENERAL'!G246="","",'[1]P-GENERAL'!G246)</f>
        <v>6</v>
      </c>
      <c r="H246" s="14">
        <f>IF('[1]P-GENERAL'!H246="","",'[1]P-GENERAL'!H246)</f>
        <v>46282</v>
      </c>
      <c r="I246">
        <f>IF('[1]P-GENERAL'!I246="","",'[1]P-GENERAL'!I246)</f>
        <v>38</v>
      </c>
      <c r="J246" s="15">
        <f>IF('[1]P-GENERAL'!J246="","",'[1]P-GENERAL'!J246)</f>
        <v>46286</v>
      </c>
      <c r="K246" s="14" t="str">
        <f>IF('[1]P-GENERAL'!K246="","",'[1]P-GENERAL'!K246)</f>
        <v/>
      </c>
      <c r="L246" s="14" t="str">
        <f>IF('[1]P-GENERAL'!L246="","",'[1]P-GENERAL'!L246)</f>
        <v>PREENFRIO FORTALEZA</v>
      </c>
      <c r="M246">
        <f>IF('[1]P-GENERAL'!M246="","",'[1]P-GENERAL'!M246)</f>
        <v>1</v>
      </c>
      <c r="N246">
        <f>IF('[1]P-GENERAL'!N246="","",'[1]P-GENERAL'!N246)</f>
        <v>24</v>
      </c>
      <c r="O246" s="14">
        <f>IF('[1]P-GENERAL'!O246="","",'[1]P-GENERAL'!O246)</f>
        <v>46282</v>
      </c>
      <c r="P246" s="16">
        <f>IF('[1]P-GENERAL'!P246="","",'[1]P-GENERAL'!P246)</f>
        <v>0.76527777777777772</v>
      </c>
      <c r="Q246" t="str">
        <f>IF('[1]P-GENERAL'!Q246="","",'[1]P-GENERAL'!Q246)</f>
        <v>NORMAL</v>
      </c>
      <c r="R246" s="14">
        <f>IF('[1]P-GENERAL'!R246="","",'[1]P-GENERAL'!R246)</f>
        <v>46283</v>
      </c>
      <c r="S246" s="16">
        <f>IF('[1]P-GENERAL'!S246="","",'[1]P-GENERAL'!S246)</f>
        <v>0.73888888888888893</v>
      </c>
      <c r="T246" s="16">
        <f>IF('[1]P-GENERAL'!T246="","",'[1]P-GENERAL'!T246)</f>
        <v>0.20833333333333334</v>
      </c>
      <c r="U246" s="17">
        <f>IF('[1]P-GENERAL'!U246="","",'[1]P-GENERAL'!U246)</f>
        <v>46283.947222222225</v>
      </c>
      <c r="V246" s="14">
        <f>IF('[1]P-GENERAL'!V246="","",'[1]P-GENERAL'!V246)</f>
        <v>46284</v>
      </c>
      <c r="W246" s="16">
        <f>IF('[1]P-GENERAL'!W246="","",'[1]P-GENERAL'!W246)</f>
        <v>0.66666666666666663</v>
      </c>
      <c r="X246" s="14" t="str">
        <f>IF('[1]P-GENERAL'!X246="","",'[1]P-GENERAL'!X246)</f>
        <v>SI CUMPLE</v>
      </c>
      <c r="Y246" s="14" t="str">
        <f>IF('[1]P-GENERAL'!Y246="","",'[1]P-GENERAL'!Y246)</f>
        <v>SI CUMPLE</v>
      </c>
      <c r="Z246" s="14" t="str">
        <f>IF('[1]P-GENERAL'!Z246="","",'[1]P-GENERAL'!Z246)</f>
        <v/>
      </c>
      <c r="AA246" s="14" t="str">
        <f>IF('[1]P-GENERAL'!AA246="","",'[1]P-GENERAL'!AA246)</f>
        <v>DESPACHADO</v>
      </c>
      <c r="AB246" s="8" t="str">
        <f>IF('[1]P-GENERAL'!AB246="","",'[1]P-GENERAL'!AB246)</f>
        <v>GENARO IBAÑEZ</v>
      </c>
      <c r="AC246" s="8" t="str">
        <f>IF('[1]P-GENERAL'!AC246="","",'[1]P-GENERAL'!AC246)</f>
        <v>ALEJANDRO BARRALES</v>
      </c>
      <c r="AD246">
        <f>IF('[1]P-GENERAL'!AD246="","",'[1]P-GENERAL'!AD246)</f>
        <v>85689</v>
      </c>
      <c r="AE246" t="str">
        <f>IF('[1]P-GENERAL'!AE246="","",'[1]P-GENERAL'!AE246)</f>
        <v>N/A</v>
      </c>
    </row>
    <row r="247" spans="1:31" ht="20.25" x14ac:dyDescent="0.3">
      <c r="A247" s="11" t="str">
        <f>IF('[1]P-GENERAL'!A247="","",'[1]P-GENERAL'!A247)</f>
        <v>Chanitos Premium EUA Tarima Americana</v>
      </c>
      <c r="B247" s="11" t="str">
        <f>IF('[1]P-GENERAL'!B247="","",'[1]P-GENERAL'!B247)</f>
        <v>CPR01104</v>
      </c>
      <c r="C247" t="str">
        <f>IF('[1]P-GENERAL'!C247="","",'[1]P-GENERAL'!C247)</f>
        <v>A04084-381509-1</v>
      </c>
      <c r="D247" t="str">
        <f>IF('[1]P-GENERAL'!D247="","",'[1]P-GENERAL'!D247)</f>
        <v>A04 084 Lisboa</v>
      </c>
      <c r="E247" s="8" t="str">
        <f>IF('[1]P-GENERAL'!E247="","",'[1]P-GENERAL'!E247)</f>
        <v>McAllen</v>
      </c>
      <c r="F247" s="12">
        <f>IF('[1]P-GENERAL'!F247="","",'[1]P-GENERAL'!F247)</f>
        <v>528</v>
      </c>
      <c r="G247" s="13">
        <f>IF('[1]P-GENERAL'!G247="","",'[1]P-GENERAL'!G247)</f>
        <v>11</v>
      </c>
      <c r="H247" s="14">
        <f>IF('[1]P-GENERAL'!H247="","",'[1]P-GENERAL'!H247)</f>
        <v>46280</v>
      </c>
      <c r="I247">
        <f>IF('[1]P-GENERAL'!I247="","",'[1]P-GENERAL'!I247)</f>
        <v>38</v>
      </c>
      <c r="J247" s="15">
        <f>IF('[1]P-GENERAL'!J247="","",'[1]P-GENERAL'!J247)</f>
        <v>46286</v>
      </c>
      <c r="K247" s="14">
        <f>IF('[1]P-GENERAL'!K247="","",'[1]P-GENERAL'!K247)</f>
        <v>0.25</v>
      </c>
      <c r="L247" s="14" t="str">
        <f>IF('[1]P-GENERAL'!L247="","",'[1]P-GENERAL'!L247)</f>
        <v>PREENFRIO NELLY</v>
      </c>
      <c r="M247">
        <f>IF('[1]P-GENERAL'!M247="","",'[1]P-GENERAL'!M247)</f>
        <v>3</v>
      </c>
      <c r="N247">
        <f>IF('[1]P-GENERAL'!N247="","",'[1]P-GENERAL'!N247)</f>
        <v>72</v>
      </c>
      <c r="O247" s="14">
        <f>IF('[1]P-GENERAL'!O247="","",'[1]P-GENERAL'!O247)</f>
        <v>46281</v>
      </c>
      <c r="P247" s="16">
        <f>IF('[1]P-GENERAL'!P247="","",'[1]P-GENERAL'!P247)</f>
        <v>0.62152777777777779</v>
      </c>
      <c r="Q247" t="str">
        <f>IF('[1]P-GENERAL'!Q247="","",'[1]P-GENERAL'!Q247)</f>
        <v>NORMAL</v>
      </c>
      <c r="R247" s="14">
        <f>IF('[1]P-GENERAL'!R247="","",'[1]P-GENERAL'!R247)</f>
        <v>46281</v>
      </c>
      <c r="S247" s="16">
        <f>IF('[1]P-GENERAL'!S247="","",'[1]P-GENERAL'!S247)</f>
        <v>0.67569444444444449</v>
      </c>
      <c r="T247" s="16">
        <f>IF('[1]P-GENERAL'!T247="","",'[1]P-GENERAL'!T247)</f>
        <v>0.35416666666666669</v>
      </c>
      <c r="U247" s="17">
        <f>IF('[1]P-GENERAL'!U247="","",'[1]P-GENERAL'!U247)</f>
        <v>46282.029861111107</v>
      </c>
      <c r="V247" s="14">
        <f>IF('[1]P-GENERAL'!V247="","",'[1]P-GENERAL'!V247)</f>
        <v>46281</v>
      </c>
      <c r="W247" s="16">
        <f>IF('[1]P-GENERAL'!W247="","",'[1]P-GENERAL'!W247)</f>
        <v>0.83402777777777781</v>
      </c>
      <c r="X247" s="14" t="str">
        <f>IF('[1]P-GENERAL'!X247="","",'[1]P-GENERAL'!X247)</f>
        <v>SI CUMPLE</v>
      </c>
      <c r="Y247" s="14" t="str">
        <f>IF('[1]P-GENERAL'!Y247="","",'[1]P-GENERAL'!Y247)</f>
        <v>SI CUMPLE</v>
      </c>
      <c r="Z247" s="14" t="str">
        <f>IF('[1]P-GENERAL'!Z247="","",'[1]P-GENERAL'!Z247)</f>
        <v/>
      </c>
      <c r="AA247" s="14" t="str">
        <f>IF('[1]P-GENERAL'!AA247="","",'[1]P-GENERAL'!AA247)</f>
        <v>DESPACHADO</v>
      </c>
      <c r="AB247" s="8" t="str">
        <f>IF('[1]P-GENERAL'!AB247="","",'[1]P-GENERAL'!AB247)</f>
        <v>TRANSPORTES TOMATITOS</v>
      </c>
      <c r="AC247" s="8" t="str">
        <f>IF('[1]P-GENERAL'!AC247="","",'[1]P-GENERAL'!AC247)</f>
        <v>JUAN CARLOS TAMEZ CRUZ</v>
      </c>
      <c r="AD247">
        <f>IF('[1]P-GENERAL'!AD247="","",'[1]P-GENERAL'!AD247)</f>
        <v>62032</v>
      </c>
      <c r="AE247">
        <f>IF('[1]P-GENERAL'!AE247="","",'[1]P-GENERAL'!AE247)</f>
        <v>100000913552</v>
      </c>
    </row>
    <row r="248" spans="1:31" ht="20.25" x14ac:dyDescent="0.3">
      <c r="A248" s="11" t="str">
        <f>IF('[1]P-GENERAL'!A248="","",'[1]P-GENERAL'!A248)</f>
        <v>Chanitos Premium EUA Tarima Americana</v>
      </c>
      <c r="B248" s="11" t="str">
        <f>IF('[1]P-GENERAL'!B248="","",'[1]P-GENERAL'!B248)</f>
        <v>CPR01104</v>
      </c>
      <c r="C248" t="str">
        <f>IF('[1]P-GENERAL'!C248="","",'[1]P-GENERAL'!C248)</f>
        <v>A04084-381809-1</v>
      </c>
      <c r="D248" t="str">
        <f>IF('[1]P-GENERAL'!D248="","",'[1]P-GENERAL'!D248)</f>
        <v>A04 084 Lisboa</v>
      </c>
      <c r="E248" s="8" t="str">
        <f>IF('[1]P-GENERAL'!E248="","",'[1]P-GENERAL'!E248)</f>
        <v>McAllen</v>
      </c>
      <c r="F248" s="12">
        <f>IF('[1]P-GENERAL'!F248="","",'[1]P-GENERAL'!F248)</f>
        <v>336</v>
      </c>
      <c r="G248" s="13">
        <f>IF('[1]P-GENERAL'!G248="","",'[1]P-GENERAL'!G248)</f>
        <v>7</v>
      </c>
      <c r="H248" s="14">
        <f>IF('[1]P-GENERAL'!H248="","",'[1]P-GENERAL'!H248)</f>
        <v>46283</v>
      </c>
      <c r="I248">
        <f>IF('[1]P-GENERAL'!I248="","",'[1]P-GENERAL'!I248)</f>
        <v>38</v>
      </c>
      <c r="J248" s="15">
        <f>IF('[1]P-GENERAL'!J248="","",'[1]P-GENERAL'!J248)</f>
        <v>46286</v>
      </c>
      <c r="K248" s="14" t="str">
        <f>IF('[1]P-GENERAL'!K248="","",'[1]P-GENERAL'!K248)</f>
        <v/>
      </c>
      <c r="L248" s="14" t="str">
        <f>IF('[1]P-GENERAL'!L248="","",'[1]P-GENERAL'!L248)</f>
        <v>PREENFRIO FORTALEZA</v>
      </c>
      <c r="M248">
        <f>IF('[1]P-GENERAL'!M248="","",'[1]P-GENERAL'!M248)</f>
        <v>3</v>
      </c>
      <c r="N248">
        <f>IF('[1]P-GENERAL'!N248="","",'[1]P-GENERAL'!N248)</f>
        <v>72</v>
      </c>
      <c r="O248" s="14">
        <f>IF('[1]P-GENERAL'!O248="","",'[1]P-GENERAL'!O248)</f>
        <v>46284</v>
      </c>
      <c r="P248" s="16">
        <f>IF('[1]P-GENERAL'!P248="","",'[1]P-GENERAL'!P248)</f>
        <v>0.50347222222222221</v>
      </c>
      <c r="Q248" t="str">
        <f>IF('[1]P-GENERAL'!Q248="","",'[1]P-GENERAL'!Q248)</f>
        <v>NORMAL</v>
      </c>
      <c r="R248" s="14" t="str">
        <f>IF('[1]P-GENERAL'!R248="","",'[1]P-GENERAL'!R248)</f>
        <v/>
      </c>
      <c r="S248" s="16" t="str">
        <f>IF('[1]P-GENERAL'!S248="","",'[1]P-GENERAL'!S248)</f>
        <v/>
      </c>
      <c r="T248" s="16" t="str">
        <f>IF('[1]P-GENERAL'!T248="","",'[1]P-GENERAL'!T248)</f>
        <v/>
      </c>
      <c r="U248" s="17" t="str">
        <f>IF('[1]P-GENERAL'!U248="","",'[1]P-GENERAL'!U248)</f>
        <v/>
      </c>
      <c r="V248" s="14">
        <f>IF('[1]P-GENERAL'!V248="","",'[1]P-GENERAL'!V248)</f>
        <v>46284</v>
      </c>
      <c r="W248" s="16">
        <f>IF('[1]P-GENERAL'!W248="","",'[1]P-GENERAL'!W248)</f>
        <v>0.60416666666666663</v>
      </c>
      <c r="X248" s="14" t="str">
        <f>IF('[1]P-GENERAL'!X248="","",'[1]P-GENERAL'!X248)</f>
        <v/>
      </c>
      <c r="Y248" s="14" t="str">
        <f>IF('[1]P-GENERAL'!Y248="","",'[1]P-GENERAL'!Y248)</f>
        <v>NO CUMPLE</v>
      </c>
      <c r="Z248" s="14" t="str">
        <f>IF('[1]P-GENERAL'!Z248="","",'[1]P-GENERAL'!Z248)</f>
        <v/>
      </c>
      <c r="AA248" s="14" t="str">
        <f>IF('[1]P-GENERAL'!AA248="","",'[1]P-GENERAL'!AA248)</f>
        <v>DESPACHADO</v>
      </c>
      <c r="AB248" s="8" t="str">
        <f>IF('[1]P-GENERAL'!AB248="","",'[1]P-GENERAL'!AB248)</f>
        <v>AUTO EXPRESS SEGOVIA</v>
      </c>
      <c r="AC248" s="8" t="str">
        <f>IF('[1]P-GENERAL'!AC248="","",'[1]P-GENERAL'!AC248)</f>
        <v>SANTIAGO HERRERA</v>
      </c>
      <c r="AD248">
        <f>IF('[1]P-GENERAL'!AD248="","",'[1]P-GENERAL'!AD248)</f>
        <v>56792</v>
      </c>
      <c r="AE248" t="str">
        <f>IF('[1]P-GENERAL'!AE248="","",'[1]P-GENERAL'!AE248)</f>
        <v>QCH1W04NG0</v>
      </c>
    </row>
    <row r="249" spans="1:31" ht="20.25" x14ac:dyDescent="0.3">
      <c r="A249" s="11" t="str">
        <f>IF('[1]P-GENERAL'!A249="","",'[1]P-GENERAL'!A249)</f>
        <v>Chanitos Premium Tarima Chep</v>
      </c>
      <c r="B249" s="11" t="str">
        <f>IF('[1]P-GENERAL'!B249="","",'[1]P-GENERAL'!B249)</f>
        <v>CPR01102</v>
      </c>
      <c r="C249" t="str">
        <f>IF('[1]P-GENERAL'!C249="","",'[1]P-GENERAL'!C249)</f>
        <v>A01001-381809-1</v>
      </c>
      <c r="D249" t="str">
        <f>IF('[1]P-GENERAL'!D249="","",'[1]P-GENERAL'!D249)</f>
        <v>A01 001 Marbella</v>
      </c>
      <c r="E249" s="8" t="str">
        <f>IF('[1]P-GENERAL'!E249="","",'[1]P-GENERAL'!E249)</f>
        <v>VSA</v>
      </c>
      <c r="F249" s="12">
        <f>IF('[1]P-GENERAL'!F249="","",'[1]P-GENERAL'!F249)</f>
        <v>288</v>
      </c>
      <c r="G249" s="13">
        <f>IF('[1]P-GENERAL'!G249="","",'[1]P-GENERAL'!G249)</f>
        <v>6</v>
      </c>
      <c r="H249" s="14">
        <f>IF('[1]P-GENERAL'!H249="","",'[1]P-GENERAL'!H249)</f>
        <v>46283</v>
      </c>
      <c r="I249">
        <f>IF('[1]P-GENERAL'!I249="","",'[1]P-GENERAL'!I249)</f>
        <v>38</v>
      </c>
      <c r="J249" s="15">
        <f>IF('[1]P-GENERAL'!J249="","",'[1]P-GENERAL'!J249)</f>
        <v>46286</v>
      </c>
      <c r="K249" s="14" t="str">
        <f>IF('[1]P-GENERAL'!K249="","",'[1]P-GENERAL'!K249)</f>
        <v/>
      </c>
      <c r="L249" s="14" t="str">
        <f>IF('[1]P-GENERAL'!L249="","",'[1]P-GENERAL'!L249)</f>
        <v>PREENFRIO FORTALEZA</v>
      </c>
      <c r="M249">
        <f>IF('[1]P-GENERAL'!M249="","",'[1]P-GENERAL'!M249)</f>
        <v>1</v>
      </c>
      <c r="N249">
        <f>IF('[1]P-GENERAL'!N249="","",'[1]P-GENERAL'!N249)</f>
        <v>24</v>
      </c>
      <c r="O249" s="14">
        <f>IF('[1]P-GENERAL'!O249="","",'[1]P-GENERAL'!O249)</f>
        <v>46283</v>
      </c>
      <c r="P249" s="16">
        <f>IF('[1]P-GENERAL'!P249="","",'[1]P-GENERAL'!P249)</f>
        <v>0.74722222222222223</v>
      </c>
      <c r="Q249" t="str">
        <f>IF('[1]P-GENERAL'!Q249="","",'[1]P-GENERAL'!Q249)</f>
        <v>NORMAL</v>
      </c>
      <c r="R249" s="14">
        <f>IF('[1]P-GENERAL'!R249="","",'[1]P-GENERAL'!R249)</f>
        <v>46284</v>
      </c>
      <c r="S249" s="16">
        <f>IF('[1]P-GENERAL'!S249="","",'[1]P-GENERAL'!S249)</f>
        <v>0.38541666666666669</v>
      </c>
      <c r="T249" s="16">
        <f>IF('[1]P-GENERAL'!T249="","",'[1]P-GENERAL'!T249)</f>
        <v>0.20833333333333334</v>
      </c>
      <c r="U249" s="17">
        <f>IF('[1]P-GENERAL'!U249="","",'[1]P-GENERAL'!U249)</f>
        <v>46284.59375</v>
      </c>
      <c r="V249" s="14">
        <f>IF('[1]P-GENERAL'!V249="","",'[1]P-GENERAL'!V249)</f>
        <v>46284</v>
      </c>
      <c r="W249" s="16">
        <f>IF('[1]P-GENERAL'!W249="","",'[1]P-GENERAL'!W249)</f>
        <v>0.66666666666666663</v>
      </c>
      <c r="X249" s="14" t="str">
        <f>IF('[1]P-GENERAL'!X249="","",'[1]P-GENERAL'!X249)</f>
        <v>SI CUMPLE</v>
      </c>
      <c r="Y249" s="14" t="str">
        <f>IF('[1]P-GENERAL'!Y249="","",'[1]P-GENERAL'!Y249)</f>
        <v>SI CUMPLE</v>
      </c>
      <c r="Z249" s="14" t="str">
        <f>IF('[1]P-GENERAL'!Z249="","",'[1]P-GENERAL'!Z249)</f>
        <v/>
      </c>
      <c r="AA249" s="14" t="str">
        <f>IF('[1]P-GENERAL'!AA249="","",'[1]P-GENERAL'!AA249)</f>
        <v>DESPACHADO</v>
      </c>
      <c r="AB249" s="8" t="str">
        <f>IF('[1]P-GENERAL'!AB249="","",'[1]P-GENERAL'!AB249)</f>
        <v>GENARO IBAÑEZ</v>
      </c>
      <c r="AC249" s="8" t="str">
        <f>IF('[1]P-GENERAL'!AC249="","",'[1]P-GENERAL'!AC249)</f>
        <v>ALEJANDRO BARRALES</v>
      </c>
      <c r="AD249">
        <f>IF('[1]P-GENERAL'!AD249="","",'[1]P-GENERAL'!AD249)</f>
        <v>85689</v>
      </c>
      <c r="AE249" t="str">
        <f>IF('[1]P-GENERAL'!AE249="","",'[1]P-GENERAL'!AE249)</f>
        <v>N/A</v>
      </c>
    </row>
    <row r="250" spans="1:31" ht="20.25" x14ac:dyDescent="0.3">
      <c r="A250" s="11" t="str">
        <f>IF('[1]P-GENERAL'!A250="","",'[1]P-GENERAL'!A250)</f>
        <v>Chanitos Premium EUA Tarima Americana</v>
      </c>
      <c r="B250" s="11" t="str">
        <f>IF('[1]P-GENERAL'!B250="","",'[1]P-GENERAL'!B250)</f>
        <v>CPR01104</v>
      </c>
      <c r="C250" t="str">
        <f>IF('[1]P-GENERAL'!C250="","",'[1]P-GENERAL'!C250)</f>
        <v>A04084-381609-1</v>
      </c>
      <c r="D250" t="str">
        <f>IF('[1]P-GENERAL'!D250="","",'[1]P-GENERAL'!D250)</f>
        <v>A04 084 Lisboa</v>
      </c>
      <c r="E250" s="8" t="str">
        <f>IF('[1]P-GENERAL'!E250="","",'[1]P-GENERAL'!E250)</f>
        <v>McAllen</v>
      </c>
      <c r="F250" s="12">
        <f>IF('[1]P-GENERAL'!F250="","",'[1]P-GENERAL'!F250)</f>
        <v>432</v>
      </c>
      <c r="G250" s="13">
        <f>IF('[1]P-GENERAL'!G250="","",'[1]P-GENERAL'!G250)</f>
        <v>9</v>
      </c>
      <c r="H250" s="14">
        <f>IF('[1]P-GENERAL'!H250="","",'[1]P-GENERAL'!H250)</f>
        <v>46281</v>
      </c>
      <c r="I250">
        <f>IF('[1]P-GENERAL'!I250="","",'[1]P-GENERAL'!I250)</f>
        <v>38</v>
      </c>
      <c r="J250" s="15">
        <f>IF('[1]P-GENERAL'!J250="","",'[1]P-GENERAL'!J250)</f>
        <v>46286</v>
      </c>
      <c r="K250" s="14">
        <f>IF('[1]P-GENERAL'!K250="","",'[1]P-GENERAL'!K250)</f>
        <v>0.25</v>
      </c>
      <c r="L250" s="14" t="str">
        <f>IF('[1]P-GENERAL'!L250="","",'[1]P-GENERAL'!L250)</f>
        <v>PREENFRIO NELLY</v>
      </c>
      <c r="M250">
        <f>IF('[1]P-GENERAL'!M250="","",'[1]P-GENERAL'!M250)</f>
        <v>3</v>
      </c>
      <c r="N250">
        <f>IF('[1]P-GENERAL'!N250="","",'[1]P-GENERAL'!N250)</f>
        <v>72</v>
      </c>
      <c r="O250" s="14">
        <f>IF('[1]P-GENERAL'!O250="","",'[1]P-GENERAL'!O250)</f>
        <v>46281</v>
      </c>
      <c r="P250" s="16">
        <f>IF('[1]P-GENERAL'!P250="","",'[1]P-GENERAL'!P250)</f>
        <v>0.78472222222222221</v>
      </c>
      <c r="Q250" t="str">
        <f>IF('[1]P-GENERAL'!Q250="","",'[1]P-GENERAL'!Q250)</f>
        <v>NORMAL</v>
      </c>
      <c r="R250" s="14">
        <f>IF('[1]P-GENERAL'!R250="","",'[1]P-GENERAL'!R250)</f>
        <v>46281</v>
      </c>
      <c r="S250" s="16">
        <f>IF('[1]P-GENERAL'!S250="","",'[1]P-GENERAL'!S250)</f>
        <v>0.67569444444444449</v>
      </c>
      <c r="T250" s="16">
        <f>IF('[1]P-GENERAL'!T250="","",'[1]P-GENERAL'!T250)</f>
        <v>0.35416666666666669</v>
      </c>
      <c r="U250" s="17">
        <f>IF('[1]P-GENERAL'!U250="","",'[1]P-GENERAL'!U250)</f>
        <v>46282.029861111107</v>
      </c>
      <c r="V250" s="14">
        <f>IF('[1]P-GENERAL'!V250="","",'[1]P-GENERAL'!V250)</f>
        <v>46281</v>
      </c>
      <c r="W250" s="16">
        <f>IF('[1]P-GENERAL'!W250="","",'[1]P-GENERAL'!W250)</f>
        <v>0.83402777777777781</v>
      </c>
      <c r="X250" s="14" t="str">
        <f>IF('[1]P-GENERAL'!X250="","",'[1]P-GENERAL'!X250)</f>
        <v>SI CUMPLE</v>
      </c>
      <c r="Y250" s="14" t="str">
        <f>IF('[1]P-GENERAL'!Y250="","",'[1]P-GENERAL'!Y250)</f>
        <v>SI CUMPLE</v>
      </c>
      <c r="Z250" s="14" t="str">
        <f>IF('[1]P-GENERAL'!Z250="","",'[1]P-GENERAL'!Z250)</f>
        <v/>
      </c>
      <c r="AA250" s="14" t="str">
        <f>IF('[1]P-GENERAL'!AA250="","",'[1]P-GENERAL'!AA250)</f>
        <v>DESPACHADO</v>
      </c>
      <c r="AB250" s="8" t="str">
        <f>IF('[1]P-GENERAL'!AB250="","",'[1]P-GENERAL'!AB250)</f>
        <v>TRANSPORTES TOMATITOS</v>
      </c>
      <c r="AC250" s="8" t="str">
        <f>IF('[1]P-GENERAL'!AC250="","",'[1]P-GENERAL'!AC250)</f>
        <v>JUAN CARLOS TAMEZ CRUZ</v>
      </c>
      <c r="AD250">
        <f>IF('[1]P-GENERAL'!AD250="","",'[1]P-GENERAL'!AD250)</f>
        <v>62032</v>
      </c>
      <c r="AE250">
        <f>IF('[1]P-GENERAL'!AE250="","",'[1]P-GENERAL'!AE250)</f>
        <v>100000913552</v>
      </c>
    </row>
    <row r="251" spans="1:31" ht="20.25" x14ac:dyDescent="0.3">
      <c r="A251" s="11" t="str">
        <f>IF('[1]P-GENERAL'!A251="","",'[1]P-GENERAL'!A251)</f>
        <v>Chanitos Premium Tarima Chep</v>
      </c>
      <c r="B251" s="11" t="str">
        <f>IF('[1]P-GENERAL'!B251="","",'[1]P-GENERAL'!B251)</f>
        <v>CPR01102</v>
      </c>
      <c r="C251" t="str">
        <f>IF('[1]P-GENERAL'!C251="","",'[1]P-GENERAL'!C251)</f>
        <v>A01003-381709-1</v>
      </c>
      <c r="D251" t="str">
        <f>IF('[1]P-GENERAL'!D251="","",'[1]P-GENERAL'!D251)</f>
        <v>A01 003 Doña Nelly</v>
      </c>
      <c r="E251" s="8" t="str">
        <f>IF('[1]P-GENERAL'!E251="","",'[1]P-GENERAL'!E251)</f>
        <v>VSA</v>
      </c>
      <c r="F251" s="12">
        <f>IF('[1]P-GENERAL'!F251="","",'[1]P-GENERAL'!F251)</f>
        <v>576</v>
      </c>
      <c r="G251" s="13">
        <f>IF('[1]P-GENERAL'!G251="","",'[1]P-GENERAL'!G251)</f>
        <v>12</v>
      </c>
      <c r="H251" s="14">
        <f>IF('[1]P-GENERAL'!H251="","",'[1]P-GENERAL'!H251)</f>
        <v>46282</v>
      </c>
      <c r="I251">
        <f>IF('[1]P-GENERAL'!I251="","",'[1]P-GENERAL'!I251)</f>
        <v>38</v>
      </c>
      <c r="J251" s="15">
        <f>IF('[1]P-GENERAL'!J251="","",'[1]P-GENERAL'!J251)</f>
        <v>46286</v>
      </c>
      <c r="K251" s="14" t="str">
        <f>IF('[1]P-GENERAL'!K251="","",'[1]P-GENERAL'!K251)</f>
        <v/>
      </c>
      <c r="L251" s="14" t="str">
        <f>IF('[1]P-GENERAL'!L251="","",'[1]P-GENERAL'!L251)</f>
        <v>PREENFRIO NELLY</v>
      </c>
      <c r="M251">
        <f>IF('[1]P-GENERAL'!M251="","",'[1]P-GENERAL'!M251)</f>
        <v>1</v>
      </c>
      <c r="N251">
        <f>IF('[1]P-GENERAL'!N251="","",'[1]P-GENERAL'!N251)</f>
        <v>24</v>
      </c>
      <c r="O251" s="14">
        <f>IF('[1]P-GENERAL'!O251="","",'[1]P-GENERAL'!O251)</f>
        <v>46282</v>
      </c>
      <c r="P251" s="16">
        <f>IF('[1]P-GENERAL'!P251="","",'[1]P-GENERAL'!P251)</f>
        <v>0.72569444444444442</v>
      </c>
      <c r="Q251" t="str">
        <f>IF('[1]P-GENERAL'!Q251="","",'[1]P-GENERAL'!Q251)</f>
        <v>NORMAL</v>
      </c>
      <c r="R251" s="14">
        <f>IF('[1]P-GENERAL'!R251="","",'[1]P-GENERAL'!R251)</f>
        <v>46282</v>
      </c>
      <c r="S251" s="16">
        <f>IF('[1]P-GENERAL'!S251="","",'[1]P-GENERAL'!S251)</f>
        <v>0.76388888888888884</v>
      </c>
      <c r="T251" s="16">
        <f>IF('[1]P-GENERAL'!T251="","",'[1]P-GENERAL'!T251)</f>
        <v>0.35416666666666669</v>
      </c>
      <c r="U251" s="17">
        <f>IF('[1]P-GENERAL'!U251="","",'[1]P-GENERAL'!U251)</f>
        <v>46283.118055555555</v>
      </c>
      <c r="V251" s="14" t="str">
        <f>IF('[1]P-GENERAL'!V251="","",'[1]P-GENERAL'!V251)</f>
        <v/>
      </c>
      <c r="W251" s="16" t="str">
        <f>IF('[1]P-GENERAL'!W251="","",'[1]P-GENERAL'!W251)</f>
        <v/>
      </c>
      <c r="X251" s="14" t="str">
        <f>IF('[1]P-GENERAL'!X251="","",'[1]P-GENERAL'!X251)</f>
        <v>SI CUMPLE</v>
      </c>
      <c r="Y251" s="14" t="str">
        <f>IF('[1]P-GENERAL'!Y251="","",'[1]P-GENERAL'!Y251)</f>
        <v/>
      </c>
      <c r="Z251" s="14" t="str">
        <f>IF('[1]P-GENERAL'!Z251="","",'[1]P-GENERAL'!Z251)</f>
        <v/>
      </c>
      <c r="AA251" s="14" t="str">
        <f>IF('[1]P-GENERAL'!AA251="","",'[1]P-GENERAL'!AA251)</f>
        <v>DESPACHADO</v>
      </c>
      <c r="AB251" s="8" t="str">
        <f>IF('[1]P-GENERAL'!AB251="","",'[1]P-GENERAL'!AB251)</f>
        <v>GENARO IBAÑEZ</v>
      </c>
      <c r="AC251" s="8" t="str">
        <f>IF('[1]P-GENERAL'!AC251="","",'[1]P-GENERAL'!AC251)</f>
        <v>ALEJANDRO BARRALES</v>
      </c>
      <c r="AD251">
        <f>IF('[1]P-GENERAL'!AD251="","",'[1]P-GENERAL'!AD251)</f>
        <v>17112</v>
      </c>
      <c r="AE251" t="str">
        <f>IF('[1]P-GENERAL'!AE251="","",'[1]P-GENERAL'!AE251)</f>
        <v>QCH1W049P0</v>
      </c>
    </row>
    <row r="252" spans="1:31" ht="20.25" x14ac:dyDescent="0.3">
      <c r="A252" s="11" t="str">
        <f>IF('[1]P-GENERAL'!A252="","",'[1]P-GENERAL'!A252)</f>
        <v>Chanitos Premium Tarima Americana</v>
      </c>
      <c r="B252" s="11" t="str">
        <f>IF('[1]P-GENERAL'!B252="","",'[1]P-GENERAL'!B252)</f>
        <v>CPR01103</v>
      </c>
      <c r="C252" t="str">
        <f>IF('[1]P-GENERAL'!C252="","",'[1]P-GENERAL'!C252)</f>
        <v>A01003-381709-1</v>
      </c>
      <c r="D252" t="str">
        <f>IF('[1]P-GENERAL'!D252="","",'[1]P-GENERAL'!D252)</f>
        <v>A01 003 Doña Nelly</v>
      </c>
      <c r="E252" s="8" t="str">
        <f>IF('[1]P-GENERAL'!E252="","",'[1]P-GENERAL'!E252)</f>
        <v>Ciudad Juarez</v>
      </c>
      <c r="F252" s="12">
        <f>IF('[1]P-GENERAL'!F252="","",'[1]P-GENERAL'!F252)</f>
        <v>960</v>
      </c>
      <c r="G252" s="13">
        <f>IF('[1]P-GENERAL'!G252="","",'[1]P-GENERAL'!G252)</f>
        <v>20</v>
      </c>
      <c r="H252" s="14">
        <f>IF('[1]P-GENERAL'!H252="","",'[1]P-GENERAL'!H252)</f>
        <v>46282</v>
      </c>
      <c r="I252">
        <f>IF('[1]P-GENERAL'!I252="","",'[1]P-GENERAL'!I252)</f>
        <v>38</v>
      </c>
      <c r="J252" s="15">
        <f>IF('[1]P-GENERAL'!J252="","",'[1]P-GENERAL'!J252)</f>
        <v>46287</v>
      </c>
      <c r="K252" s="14">
        <f>IF('[1]P-GENERAL'!K252="","",'[1]P-GENERAL'!K252)</f>
        <v>0.25</v>
      </c>
      <c r="L252" s="14" t="str">
        <f>IF('[1]P-GENERAL'!L252="","",'[1]P-GENERAL'!L252)</f>
        <v>PREENFRIO NELLY</v>
      </c>
      <c r="M252">
        <f>IF('[1]P-GENERAL'!M252="","",'[1]P-GENERAL'!M252)</f>
        <v>4</v>
      </c>
      <c r="N252">
        <f>IF('[1]P-GENERAL'!N252="","",'[1]P-GENERAL'!N252)</f>
        <v>96</v>
      </c>
      <c r="O252" s="14">
        <f>IF('[1]P-GENERAL'!O252="","",'[1]P-GENERAL'!O252)</f>
        <v>46282</v>
      </c>
      <c r="P252" s="16">
        <f>IF('[1]P-GENERAL'!P252="","",'[1]P-GENERAL'!P252)</f>
        <v>0.72569444444444442</v>
      </c>
      <c r="Q252" t="str">
        <f>IF('[1]P-GENERAL'!Q252="","",'[1]P-GENERAL'!Q252)</f>
        <v>ALTA</v>
      </c>
      <c r="R252" s="14">
        <f>IF('[1]P-GENERAL'!R252="","",'[1]P-GENERAL'!R252)</f>
        <v>46282</v>
      </c>
      <c r="S252" s="16">
        <f>IF('[1]P-GENERAL'!S252="","",'[1]P-GENERAL'!S252)</f>
        <v>0.49652777777777779</v>
      </c>
      <c r="T252" s="16">
        <f>IF('[1]P-GENERAL'!T252="","",'[1]P-GENERAL'!T252)</f>
        <v>0.4375</v>
      </c>
      <c r="U252" s="17">
        <f>IF('[1]P-GENERAL'!U252="","",'[1]P-GENERAL'!U252)</f>
        <v>46282.934027777781</v>
      </c>
      <c r="V252" s="14">
        <f>IF('[1]P-GENERAL'!V252="","",'[1]P-GENERAL'!V252)</f>
        <v>46283</v>
      </c>
      <c r="W252" s="16">
        <f>IF('[1]P-GENERAL'!W252="","",'[1]P-GENERAL'!W252)</f>
        <v>0.33263888888888887</v>
      </c>
      <c r="X252" s="14" t="str">
        <f>IF('[1]P-GENERAL'!X252="","",'[1]P-GENERAL'!X252)</f>
        <v>SI CUMPLE</v>
      </c>
      <c r="Y252" s="14" t="str">
        <f>IF('[1]P-GENERAL'!Y252="","",'[1]P-GENERAL'!Y252)</f>
        <v>NO CUMPLE</v>
      </c>
      <c r="Z252" s="14" t="str">
        <f>IF('[1]P-GENERAL'!Z252="","",'[1]P-GENERAL'!Z252)</f>
        <v/>
      </c>
      <c r="AA252" s="14" t="str">
        <f>IF('[1]P-GENERAL'!AA252="","",'[1]P-GENERAL'!AA252)</f>
        <v>DESPACHADO</v>
      </c>
      <c r="AB252" s="8" t="str">
        <f>IF('[1]P-GENERAL'!AB252="","",'[1]P-GENERAL'!AB252)</f>
        <v>AUTO EXPRESS SEGOVIA</v>
      </c>
      <c r="AC252" s="8" t="str">
        <f>IF('[1]P-GENERAL'!AC252="","",'[1]P-GENERAL'!AC252)</f>
        <v>LUIS MIGUEL RAMIREZ RIVERA</v>
      </c>
      <c r="AD252">
        <f>IF('[1]P-GENERAL'!AD252="","",'[1]P-GENERAL'!AD252)</f>
        <v>89056</v>
      </c>
      <c r="AE252" t="str">
        <f>IF('[1]P-GENERAL'!AE252="","",'[1]P-GENERAL'!AE252)</f>
        <v>QCH1W04Z60</v>
      </c>
    </row>
    <row r="253" spans="1:31" ht="20.25" x14ac:dyDescent="0.3">
      <c r="A253" s="11" t="str">
        <f>IF('[1]P-GENERAL'!A253="","",'[1]P-GENERAL'!A253)</f>
        <v>Chanitos Plantain 50lb Tarima Americana</v>
      </c>
      <c r="B253" s="11" t="str">
        <f>IF('[1]P-GENERAL'!B253="","",'[1]P-GENERAL'!B253)</f>
        <v>CPL08133</v>
      </c>
      <c r="C253" t="str">
        <f>IF('[1]P-GENERAL'!C253="","",'[1]P-GENERAL'!C253)</f>
        <v>A27073-381809-1</v>
      </c>
      <c r="D253" t="str">
        <f>IF('[1]P-GENERAL'!D253="","",'[1]P-GENERAL'!D253)</f>
        <v>A27 073 Plantacion</v>
      </c>
      <c r="E253" s="8" t="str">
        <f>IF('[1]P-GENERAL'!E253="","",'[1]P-GENERAL'!E253)</f>
        <v>McAllen</v>
      </c>
      <c r="F253" s="12">
        <f>IF('[1]P-GENERAL'!F253="","",'[1]P-GENERAL'!F253)</f>
        <v>504</v>
      </c>
      <c r="G253" s="13">
        <f>IF('[1]P-GENERAL'!G253="","",'[1]P-GENERAL'!G253)</f>
        <v>12</v>
      </c>
      <c r="H253" s="14">
        <f>IF('[1]P-GENERAL'!H253="","",'[1]P-GENERAL'!H253)</f>
        <v>46283</v>
      </c>
      <c r="I253">
        <f>IF('[1]P-GENERAL'!I253="","",'[1]P-GENERAL'!I253)</f>
        <v>38</v>
      </c>
      <c r="J253" s="15">
        <f>IF('[1]P-GENERAL'!J253="","",'[1]P-GENERAL'!J253)</f>
        <v>46287</v>
      </c>
      <c r="K253" s="14" t="str">
        <f>IF('[1]P-GENERAL'!K253="","",'[1]P-GENERAL'!K253)</f>
        <v/>
      </c>
      <c r="L253" s="14" t="str">
        <f>IF('[1]P-GENERAL'!L253="","",'[1]P-GENERAL'!L253)</f>
        <v>PREENFRIO NELLY</v>
      </c>
      <c r="M253">
        <f>IF('[1]P-GENERAL'!M253="","",'[1]P-GENERAL'!M253)</f>
        <v>3</v>
      </c>
      <c r="N253">
        <f>IF('[1]P-GENERAL'!N253="","",'[1]P-GENERAL'!N253)</f>
        <v>72</v>
      </c>
      <c r="O253" s="14">
        <f>IF('[1]P-GENERAL'!O253="","",'[1]P-GENERAL'!O253)</f>
        <v>46283</v>
      </c>
      <c r="P253" s="16">
        <f>IF('[1]P-GENERAL'!P253="","",'[1]P-GENERAL'!P253)</f>
        <v>0.99305555555555558</v>
      </c>
      <c r="Q253" t="str">
        <f>IF('[1]P-GENERAL'!Q253="","",'[1]P-GENERAL'!Q253)</f>
        <v>ALTA</v>
      </c>
      <c r="R253" s="14">
        <f>IF('[1]P-GENERAL'!R253="","",'[1]P-GENERAL'!R253)</f>
        <v>46284</v>
      </c>
      <c r="S253" s="16">
        <f>IF('[1]P-GENERAL'!S253="","",'[1]P-GENERAL'!S253)</f>
        <v>0.20833333333333334</v>
      </c>
      <c r="T253" s="16">
        <f>IF('[1]P-GENERAL'!T253="","",'[1]P-GENERAL'!T253)</f>
        <v>0.35416666666666669</v>
      </c>
      <c r="U253" s="17">
        <f>IF('[1]P-GENERAL'!U253="","",'[1]P-GENERAL'!U253)</f>
        <v>46284.5625</v>
      </c>
      <c r="V253" s="14" t="str">
        <f>IF('[1]P-GENERAL'!V253="","",'[1]P-GENERAL'!V253)</f>
        <v/>
      </c>
      <c r="W253" s="16" t="str">
        <f>IF('[1]P-GENERAL'!W253="","",'[1]P-GENERAL'!W253)</f>
        <v/>
      </c>
      <c r="X253" s="14" t="str">
        <f>IF('[1]P-GENERAL'!X253="","",'[1]P-GENERAL'!X253)</f>
        <v>NO CUMPLE</v>
      </c>
      <c r="Y253" s="14" t="str">
        <f>IF('[1]P-GENERAL'!Y253="","",'[1]P-GENERAL'!Y253)</f>
        <v/>
      </c>
      <c r="Z253" s="14" t="str">
        <f>IF('[1]P-GENERAL'!Z253="","",'[1]P-GENERAL'!Z253)</f>
        <v/>
      </c>
      <c r="AA253" s="14" t="str">
        <f>IF('[1]P-GENERAL'!AA253="","",'[1]P-GENERAL'!AA253)</f>
        <v>DESPACHADO</v>
      </c>
      <c r="AB253" s="8" t="str">
        <f>IF('[1]P-GENERAL'!AB253="","",'[1]P-GENERAL'!AB253)</f>
        <v>EXPRESS CAVAZOS CANTU</v>
      </c>
      <c r="AC253" s="8" t="str">
        <f>IF('[1]P-GENERAL'!AC253="","",'[1]P-GENERAL'!AC253)</f>
        <v>HUGO HERNAN REYES MORALES</v>
      </c>
      <c r="AD253" t="str">
        <f>IF('[1]P-GENERAL'!AD253="","",'[1]P-GENERAL'!AD253)</f>
        <v/>
      </c>
      <c r="AE253" t="str">
        <f>IF('[1]P-GENERAL'!AE253="","",'[1]P-GENERAL'!AE253)</f>
        <v>QCH1W04Z10</v>
      </c>
    </row>
    <row r="254" spans="1:31" ht="20.25" x14ac:dyDescent="0.3">
      <c r="A254" s="11" t="str">
        <f>IF('[1]P-GENERAL'!A254="","",'[1]P-GENERAL'!A254)</f>
        <v>Chanitos Plantain 50lb Tarima Americana</v>
      </c>
      <c r="B254" s="11" t="str">
        <f>IF('[1]P-GENERAL'!B254="","",'[1]P-GENERAL'!B254)</f>
        <v>CPL08133</v>
      </c>
      <c r="C254" t="str">
        <f>IF('[1]P-GENERAL'!C254="","",'[1]P-GENERAL'!C254)</f>
        <v>A41100-381809-1</v>
      </c>
      <c r="D254" t="str">
        <f>IF('[1]P-GENERAL'!D254="","",'[1]P-GENERAL'!D254)</f>
        <v>A41 100 Doña Lupe JV</v>
      </c>
      <c r="E254" s="8" t="str">
        <f>IF('[1]P-GENERAL'!E254="","",'[1]P-GENERAL'!E254)</f>
        <v>McAllen</v>
      </c>
      <c r="F254" s="12">
        <f>IF('[1]P-GENERAL'!F254="","",'[1]P-GENERAL'!F254)</f>
        <v>504</v>
      </c>
      <c r="G254" s="13">
        <f>IF('[1]P-GENERAL'!G254="","",'[1]P-GENERAL'!G254)</f>
        <v>12</v>
      </c>
      <c r="H254" s="14">
        <f>IF('[1]P-GENERAL'!H254="","",'[1]P-GENERAL'!H254)</f>
        <v>46283</v>
      </c>
      <c r="I254">
        <f>IF('[1]P-GENERAL'!I254="","",'[1]P-GENERAL'!I254)</f>
        <v>38</v>
      </c>
      <c r="J254" s="15">
        <f>IF('[1]P-GENERAL'!J254="","",'[1]P-GENERAL'!J254)</f>
        <v>46287</v>
      </c>
      <c r="K254" s="14" t="str">
        <f>IF('[1]P-GENERAL'!K254="","",'[1]P-GENERAL'!K254)</f>
        <v/>
      </c>
      <c r="L254" s="14" t="str">
        <f>IF('[1]P-GENERAL'!L254="","",'[1]P-GENERAL'!L254)</f>
        <v>PREENFRIO NELLY</v>
      </c>
      <c r="M254">
        <f>IF('[1]P-GENERAL'!M254="","",'[1]P-GENERAL'!M254)</f>
        <v>3</v>
      </c>
      <c r="N254">
        <f>IF('[1]P-GENERAL'!N254="","",'[1]P-GENERAL'!N254)</f>
        <v>72</v>
      </c>
      <c r="O254" s="14">
        <f>IF('[1]P-GENERAL'!O254="","",'[1]P-GENERAL'!O254)</f>
        <v>46283</v>
      </c>
      <c r="P254" s="16">
        <f>IF('[1]P-GENERAL'!P254="","",'[1]P-GENERAL'!P254)</f>
        <v>0.99305555555555558</v>
      </c>
      <c r="Q254" t="str">
        <f>IF('[1]P-GENERAL'!Q254="","",'[1]P-GENERAL'!Q254)</f>
        <v>ALTA</v>
      </c>
      <c r="R254" s="14">
        <f>IF('[1]P-GENERAL'!R254="","",'[1]P-GENERAL'!R254)</f>
        <v>46284</v>
      </c>
      <c r="S254" s="16">
        <f>IF('[1]P-GENERAL'!S254="","",'[1]P-GENERAL'!S254)</f>
        <v>0.20833333333333334</v>
      </c>
      <c r="T254" s="16">
        <f>IF('[1]P-GENERAL'!T254="","",'[1]P-GENERAL'!T254)</f>
        <v>0.35416666666666669</v>
      </c>
      <c r="U254" s="17">
        <f>IF('[1]P-GENERAL'!U254="","",'[1]P-GENERAL'!U254)</f>
        <v>46284.5625</v>
      </c>
      <c r="V254" s="14" t="str">
        <f>IF('[1]P-GENERAL'!V254="","",'[1]P-GENERAL'!V254)</f>
        <v/>
      </c>
      <c r="W254" s="16" t="str">
        <f>IF('[1]P-GENERAL'!W254="","",'[1]P-GENERAL'!W254)</f>
        <v/>
      </c>
      <c r="X254" s="14" t="str">
        <f>IF('[1]P-GENERAL'!X254="","",'[1]P-GENERAL'!X254)</f>
        <v>NO CUMPLE</v>
      </c>
      <c r="Y254" s="14" t="str">
        <f>IF('[1]P-GENERAL'!Y254="","",'[1]P-GENERAL'!Y254)</f>
        <v/>
      </c>
      <c r="Z254" s="14" t="str">
        <f>IF('[1]P-GENERAL'!Z254="","",'[1]P-GENERAL'!Z254)</f>
        <v/>
      </c>
      <c r="AA254" s="14" t="str">
        <f>IF('[1]P-GENERAL'!AA254="","",'[1]P-GENERAL'!AA254)</f>
        <v>DESPACHADO</v>
      </c>
      <c r="AB254" s="8" t="str">
        <f>IF('[1]P-GENERAL'!AB254="","",'[1]P-GENERAL'!AB254)</f>
        <v>EXPRESS CAVAZOS CANTU</v>
      </c>
      <c r="AC254" s="8" t="str">
        <f>IF('[1]P-GENERAL'!AC254="","",'[1]P-GENERAL'!AC254)</f>
        <v>HUGO HERNAN REYES MORALES</v>
      </c>
      <c r="AD254" t="str">
        <f>IF('[1]P-GENERAL'!AD254="","",'[1]P-GENERAL'!AD254)</f>
        <v/>
      </c>
      <c r="AE254" t="str">
        <f>IF('[1]P-GENERAL'!AE254="","",'[1]P-GENERAL'!AE254)</f>
        <v>QCH1W04Z10</v>
      </c>
    </row>
    <row r="255" spans="1:31" ht="20.25" x14ac:dyDescent="0.3">
      <c r="A255" s="11" t="str">
        <f>IF('[1]P-GENERAL'!A255="","",'[1]P-GENERAL'!A255)</f>
        <v>Chanitos Premium Tarima Chep</v>
      </c>
      <c r="B255" s="11" t="str">
        <f>IF('[1]P-GENERAL'!B255="","",'[1]P-GENERAL'!B255)</f>
        <v>CPR01102</v>
      </c>
      <c r="C255" t="str">
        <f>IF('[1]P-GENERAL'!C255="","",'[1]P-GENERAL'!C255)</f>
        <v>A04039-381809-1</v>
      </c>
      <c r="D255" t="str">
        <f>IF('[1]P-GENERAL'!D255="","",'[1]P-GENERAL'!D255)</f>
        <v>A04 039 San Jose Morelia Nava</v>
      </c>
      <c r="E255" s="8" t="str">
        <f>IF('[1]P-GENERAL'!E255="","",'[1]P-GENERAL'!E255)</f>
        <v>SMO</v>
      </c>
      <c r="F255" s="12">
        <f>IF('[1]P-GENERAL'!F255="","",'[1]P-GENERAL'!F255)</f>
        <v>1152</v>
      </c>
      <c r="G255" s="13">
        <f>IF('[1]P-GENERAL'!G255="","",'[1]P-GENERAL'!G255)</f>
        <v>24</v>
      </c>
      <c r="H255" s="14">
        <f>IF('[1]P-GENERAL'!H255="","",'[1]P-GENERAL'!H255)</f>
        <v>46283</v>
      </c>
      <c r="I255">
        <f>IF('[1]P-GENERAL'!I255="","",'[1]P-GENERAL'!I255)</f>
        <v>38</v>
      </c>
      <c r="J255" s="15">
        <f>IF('[1]P-GENERAL'!J255="","",'[1]P-GENERAL'!J255)</f>
        <v>46287</v>
      </c>
      <c r="K255" s="14" t="str">
        <f>IF('[1]P-GENERAL'!K255="","",'[1]P-GENERAL'!K255)</f>
        <v/>
      </c>
      <c r="L255" s="14" t="str">
        <f>IF('[1]P-GENERAL'!L255="","",'[1]P-GENERAL'!L255)</f>
        <v>PREENFRIO NELLY</v>
      </c>
      <c r="M255">
        <f>IF('[1]P-GENERAL'!M255="","",'[1]P-GENERAL'!M255)</f>
        <v>1.5</v>
      </c>
      <c r="N255">
        <f>IF('[1]P-GENERAL'!N255="","",'[1]P-GENERAL'!N255)</f>
        <v>36</v>
      </c>
      <c r="O255" s="14">
        <f>IF('[1]P-GENERAL'!O255="","",'[1]P-GENERAL'!O255)</f>
        <v>46283</v>
      </c>
      <c r="P255" s="16">
        <f>IF('[1]P-GENERAL'!P255="","",'[1]P-GENERAL'!P255)</f>
        <v>0.90972222222222221</v>
      </c>
      <c r="Q255" t="str">
        <f>IF('[1]P-GENERAL'!Q255="","",'[1]P-GENERAL'!Q255)</f>
        <v>ALTA</v>
      </c>
      <c r="R255" s="14">
        <f>IF('[1]P-GENERAL'!R255="","",'[1]P-GENERAL'!R255)</f>
        <v>46284</v>
      </c>
      <c r="S255" s="16">
        <f>IF('[1]P-GENERAL'!S255="","",'[1]P-GENERAL'!S255)</f>
        <v>0.875</v>
      </c>
      <c r="T255" s="16">
        <f>IF('[1]P-GENERAL'!T255="","",'[1]P-GENERAL'!T255)</f>
        <v>0.35416666666666669</v>
      </c>
      <c r="U255" s="17">
        <f>IF('[1]P-GENERAL'!U255="","",'[1]P-GENERAL'!U255)</f>
        <v>46285.229166666664</v>
      </c>
      <c r="V255" s="14">
        <f>IF('[1]P-GENERAL'!V255="","",'[1]P-GENERAL'!V255)</f>
        <v>46285</v>
      </c>
      <c r="W255" s="16">
        <f>IF('[1]P-GENERAL'!W255="","",'[1]P-GENERAL'!W255)</f>
        <v>8.3333333333333329E-2</v>
      </c>
      <c r="X255" s="14" t="str">
        <f>IF('[1]P-GENERAL'!X255="","",'[1]P-GENERAL'!X255)</f>
        <v>SI CUMPLE</v>
      </c>
      <c r="Y255" s="14" t="str">
        <f>IF('[1]P-GENERAL'!Y255="","",'[1]P-GENERAL'!Y255)</f>
        <v>SI CUMPLE</v>
      </c>
      <c r="Z255" s="14" t="str">
        <f>IF('[1]P-GENERAL'!Z255="","",'[1]P-GENERAL'!Z255)</f>
        <v/>
      </c>
      <c r="AA255" s="14" t="str">
        <f>IF('[1]P-GENERAL'!AA255="","",'[1]P-GENERAL'!AA255)</f>
        <v>DESPACHADO</v>
      </c>
      <c r="AB255" s="8" t="str">
        <f>IF('[1]P-GENERAL'!AB255="","",'[1]P-GENERAL'!AB255)</f>
        <v>GUILLERMO PEREZ PEREZ</v>
      </c>
      <c r="AC255" s="8" t="str">
        <f>IF('[1]P-GENERAL'!AC255="","",'[1]P-GENERAL'!AC255)</f>
        <v>FRANCISCO HUERTA</v>
      </c>
      <c r="AD255">
        <f>IF('[1]P-GENERAL'!AD255="","",'[1]P-GENERAL'!AD255)</f>
        <v>64900</v>
      </c>
      <c r="AE255" t="str">
        <f>IF('[1]P-GENERAL'!AE255="","",'[1]P-GENERAL'!AE255)</f>
        <v/>
      </c>
    </row>
    <row r="256" spans="1:31" ht="20.25" x14ac:dyDescent="0.3">
      <c r="A256" s="11" t="str">
        <f>IF('[1]P-GENERAL'!A256="","",'[1]P-GENERAL'!A256)</f>
        <v>Chanitos Premium Tarima Americana</v>
      </c>
      <c r="B256" s="11" t="str">
        <f>IF('[1]P-GENERAL'!B256="","",'[1]P-GENERAL'!B256)</f>
        <v>CPR01103</v>
      </c>
      <c r="C256" t="str">
        <f>IF('[1]P-GENERAL'!C256="","",'[1]P-GENERAL'!C256)</f>
        <v>A04039-381609-1</v>
      </c>
      <c r="D256" t="str">
        <f>IF('[1]P-GENERAL'!D256="","",'[1]P-GENERAL'!D256)</f>
        <v>A04 039 San Jose Morelia Nava</v>
      </c>
      <c r="E256" s="8" t="str">
        <f>IF('[1]P-GENERAL'!E256="","",'[1]P-GENERAL'!E256)</f>
        <v>S-MTY</v>
      </c>
      <c r="F256" s="12">
        <f>IF('[1]P-GENERAL'!F256="","",'[1]P-GENERAL'!F256)</f>
        <v>768</v>
      </c>
      <c r="G256" s="13">
        <f>IF('[1]P-GENERAL'!G256="","",'[1]P-GENERAL'!G256)</f>
        <v>16</v>
      </c>
      <c r="H256" s="14">
        <f>IF('[1]P-GENERAL'!H256="","",'[1]P-GENERAL'!H256)</f>
        <v>46281</v>
      </c>
      <c r="I256">
        <f>IF('[1]P-GENERAL'!I256="","",'[1]P-GENERAL'!I256)</f>
        <v>38</v>
      </c>
      <c r="J256" s="15">
        <f>IF('[1]P-GENERAL'!J256="","",'[1]P-GENERAL'!J256)</f>
        <v>46288</v>
      </c>
      <c r="K256" s="14">
        <f>IF('[1]P-GENERAL'!K256="","",'[1]P-GENERAL'!K256)</f>
        <v>0.25</v>
      </c>
      <c r="L256" s="14" t="str">
        <f>IF('[1]P-GENERAL'!L256="","",'[1]P-GENERAL'!L256)</f>
        <v>PREENFRIO NELLY</v>
      </c>
      <c r="M256">
        <f>IF('[1]P-GENERAL'!M256="","",'[1]P-GENERAL'!M256)</f>
        <v>3</v>
      </c>
      <c r="N256">
        <f>IF('[1]P-GENERAL'!N256="","",'[1]P-GENERAL'!N256)</f>
        <v>72</v>
      </c>
      <c r="O256" s="14">
        <f>IF('[1]P-GENERAL'!O256="","",'[1]P-GENERAL'!O256)</f>
        <v>46283</v>
      </c>
      <c r="P256" s="16">
        <f>IF('[1]P-GENERAL'!P256="","",'[1]P-GENERAL'!P256)</f>
        <v>0.2076388888888889</v>
      </c>
      <c r="Q256" t="str">
        <f>IF('[1]P-GENERAL'!Q256="","",'[1]P-GENERAL'!Q256)</f>
        <v>ALTA</v>
      </c>
      <c r="R256" s="14">
        <f>IF('[1]P-GENERAL'!R256="","",'[1]P-GENERAL'!R256)</f>
        <v>18</v>
      </c>
      <c r="S256" s="16">
        <f>IF('[1]P-GENERAL'!S256="","",'[1]P-GENERAL'!S256)</f>
        <v>0.25</v>
      </c>
      <c r="T256" s="16">
        <f>IF('[1]P-GENERAL'!T256="","",'[1]P-GENERAL'!T256)</f>
        <v>0.4375</v>
      </c>
      <c r="U256" s="17">
        <f>IF('[1]P-GENERAL'!U256="","",'[1]P-GENERAL'!U256)</f>
        <v>18.6875</v>
      </c>
      <c r="V256" s="14">
        <f>IF('[1]P-GENERAL'!V256="","",'[1]P-GENERAL'!V256)</f>
        <v>46283</v>
      </c>
      <c r="W256" s="16">
        <f>IF('[1]P-GENERAL'!W256="","",'[1]P-GENERAL'!W256)</f>
        <v>0.98958333333333337</v>
      </c>
      <c r="X256" s="14" t="str">
        <f>IF('[1]P-GENERAL'!X256="","",'[1]P-GENERAL'!X256)</f>
        <v>SI CUMPLE</v>
      </c>
      <c r="Y256" s="14" t="str">
        <f>IF('[1]P-GENERAL'!Y256="","",'[1]P-GENERAL'!Y256)</f>
        <v>SI CUMPLE</v>
      </c>
      <c r="Z256" s="14" t="str">
        <f>IF('[1]P-GENERAL'!Z256="","",'[1]P-GENERAL'!Z256)</f>
        <v/>
      </c>
      <c r="AA256" s="14" t="str">
        <f>IF('[1]P-GENERAL'!AA256="","",'[1]P-GENERAL'!AA256)</f>
        <v>DESPACHADO</v>
      </c>
      <c r="AB256" s="8" t="str">
        <f>IF('[1]P-GENERAL'!AB256="","",'[1]P-GENERAL'!AB256)</f>
        <v>AUTO EXPRESS SEGOVIA</v>
      </c>
      <c r="AC256" s="8" t="str">
        <f>IF('[1]P-GENERAL'!AC256="","",'[1]P-GENERAL'!AC256)</f>
        <v>MIGUEL ANGEL LOPEZ CERVANTES</v>
      </c>
      <c r="AD256">
        <f>IF('[1]P-GENERAL'!AD256="","",'[1]P-GENERAL'!AD256)</f>
        <v>31269</v>
      </c>
      <c r="AE256" t="str">
        <f>IF('[1]P-GENERAL'!AE256="","",'[1]P-GENERAL'!AE256)</f>
        <v/>
      </c>
    </row>
    <row r="257" spans="1:31" ht="20.25" x14ac:dyDescent="0.3">
      <c r="A257" s="11" t="str">
        <f>IF('[1]P-GENERAL'!A257="","",'[1]P-GENERAL'!A257)</f>
        <v>Chanitos Premium Tarima Chep</v>
      </c>
      <c r="B257" s="11" t="str">
        <f>IF('[1]P-GENERAL'!B257="","",'[1]P-GENERAL'!B257)</f>
        <v>CPR01102</v>
      </c>
      <c r="C257" t="str">
        <f>IF('[1]P-GENERAL'!C257="","",'[1]P-GENERAL'!C257)</f>
        <v>A01002-381709-1</v>
      </c>
      <c r="D257" t="str">
        <f>IF('[1]P-GENERAL'!D257="","",'[1]P-GENERAL'!D257)</f>
        <v>A01 002 Fortaleza</v>
      </c>
      <c r="E257" s="8" t="str">
        <f>IF('[1]P-GENERAL'!E257="","",'[1]P-GENERAL'!E257)</f>
        <v>QRO</v>
      </c>
      <c r="F257" s="12">
        <f>IF('[1]P-GENERAL'!F257="","",'[1]P-GENERAL'!F257)</f>
        <v>48</v>
      </c>
      <c r="G257" s="13">
        <f>IF('[1]P-GENERAL'!G257="","",'[1]P-GENERAL'!G257)</f>
        <v>1</v>
      </c>
      <c r="H257" s="14">
        <f>IF('[1]P-GENERAL'!H257="","",'[1]P-GENERAL'!H257)</f>
        <v>46282</v>
      </c>
      <c r="I257">
        <f>IF('[1]P-GENERAL'!I257="","",'[1]P-GENERAL'!I257)</f>
        <v>38</v>
      </c>
      <c r="J257" s="15">
        <f>IF('[1]P-GENERAL'!J257="","",'[1]P-GENERAL'!J257)</f>
        <v>46288</v>
      </c>
      <c r="K257" s="14" t="str">
        <f>IF('[1]P-GENERAL'!K257="","",'[1]P-GENERAL'!K257)</f>
        <v/>
      </c>
      <c r="L257" s="14" t="str">
        <f>IF('[1]P-GENERAL'!L257="","",'[1]P-GENERAL'!L257)</f>
        <v>PREENFRIO FORTALEZA</v>
      </c>
      <c r="M257">
        <f>IF('[1]P-GENERAL'!M257="","",'[1]P-GENERAL'!M257)</f>
        <v>1.5</v>
      </c>
      <c r="N257">
        <f>IF('[1]P-GENERAL'!N257="","",'[1]P-GENERAL'!N257)</f>
        <v>36</v>
      </c>
      <c r="O257" s="14">
        <f>IF('[1]P-GENERAL'!O257="","",'[1]P-GENERAL'!O257)</f>
        <v>46282</v>
      </c>
      <c r="P257" s="16">
        <f>IF('[1]P-GENERAL'!P257="","",'[1]P-GENERAL'!P257)</f>
        <v>0.75</v>
      </c>
      <c r="Q257" t="str">
        <f>IF('[1]P-GENERAL'!Q257="","",'[1]P-GENERAL'!Q257)</f>
        <v>NORMAL</v>
      </c>
      <c r="R257" s="14">
        <f>IF('[1]P-GENERAL'!R257="","",'[1]P-GENERAL'!R257)</f>
        <v>46283</v>
      </c>
      <c r="S257" s="16">
        <f>IF('[1]P-GENERAL'!S257="","",'[1]P-GENERAL'!S257)</f>
        <v>0.5444444444444444</v>
      </c>
      <c r="T257" s="16">
        <f>IF('[1]P-GENERAL'!T257="","",'[1]P-GENERAL'!T257)</f>
        <v>0.20833333333333334</v>
      </c>
      <c r="U257" s="17">
        <f>IF('[1]P-GENERAL'!U257="","",'[1]P-GENERAL'!U257)</f>
        <v>46283.75277777778</v>
      </c>
      <c r="V257" s="14">
        <f>IF('[1]P-GENERAL'!V257="","",'[1]P-GENERAL'!V257)</f>
        <v>46285</v>
      </c>
      <c r="W257" s="16">
        <f>IF('[1]P-GENERAL'!W257="","",'[1]P-GENERAL'!W257)</f>
        <v>0.10416666666666667</v>
      </c>
      <c r="X257" s="14" t="str">
        <f>IF('[1]P-GENERAL'!X257="","",'[1]P-GENERAL'!X257)</f>
        <v>SI CUMPLE</v>
      </c>
      <c r="Y257" s="14" t="str">
        <f>IF('[1]P-GENERAL'!Y257="","",'[1]P-GENERAL'!Y257)</f>
        <v>SI CUMPLE</v>
      </c>
      <c r="Z257" s="14" t="str">
        <f>IF('[1]P-GENERAL'!Z257="","",'[1]P-GENERAL'!Z257)</f>
        <v/>
      </c>
      <c r="AA257" s="14" t="str">
        <f>IF('[1]P-GENERAL'!AA257="","",'[1]P-GENERAL'!AA257)</f>
        <v>DESPACHADO</v>
      </c>
      <c r="AB257" s="8" t="str">
        <f>IF('[1]P-GENERAL'!AB257="","",'[1]P-GENERAL'!AB257)</f>
        <v>JONATHAN ALVAREZ VIVANCO</v>
      </c>
      <c r="AC257" s="8" t="str">
        <f>IF('[1]P-GENERAL'!AC257="","",'[1]P-GENERAL'!AC257)</f>
        <v>RAFAEL RIOS HERNANDEZ</v>
      </c>
      <c r="AD257">
        <f>IF('[1]P-GENERAL'!AD257="","",'[1]P-GENERAL'!AD257)</f>
        <v>77520</v>
      </c>
      <c r="AE257" t="str">
        <f>IF('[1]P-GENERAL'!AE257="","",'[1]P-GENERAL'!AE257)</f>
        <v>QCH1W04NX0</v>
      </c>
    </row>
    <row r="258" spans="1:31" ht="20.25" x14ac:dyDescent="0.3">
      <c r="A258" s="11" t="str">
        <f>IF('[1]P-GENERAL'!A258="","",'[1]P-GENERAL'!A258)</f>
        <v>Chanitos Premium Tarima Americana</v>
      </c>
      <c r="B258" s="11" t="str">
        <f>IF('[1]P-GENERAL'!B258="","",'[1]P-GENERAL'!B258)</f>
        <v>CPR01103</v>
      </c>
      <c r="C258" t="str">
        <f>IF('[1]P-GENERAL'!C258="","",'[1]P-GENERAL'!C258)</f>
        <v>A04039-381709-1</v>
      </c>
      <c r="D258" t="str">
        <f>IF('[1]P-GENERAL'!D258="","",'[1]P-GENERAL'!D258)</f>
        <v>A04 039 San Jose Morelia Nava</v>
      </c>
      <c r="E258" s="8" t="str">
        <f>IF('[1]P-GENERAL'!E258="","",'[1]P-GENERAL'!E258)</f>
        <v>S-MTY</v>
      </c>
      <c r="F258" s="12">
        <f>IF('[1]P-GENERAL'!F258="","",'[1]P-GENERAL'!F258)</f>
        <v>192</v>
      </c>
      <c r="G258" s="13">
        <f>IF('[1]P-GENERAL'!G258="","",'[1]P-GENERAL'!G258)</f>
        <v>4</v>
      </c>
      <c r="H258" s="14">
        <f>IF('[1]P-GENERAL'!H258="","",'[1]P-GENERAL'!H258)</f>
        <v>46282</v>
      </c>
      <c r="I258">
        <f>IF('[1]P-GENERAL'!I258="","",'[1]P-GENERAL'!I258)</f>
        <v>38</v>
      </c>
      <c r="J258" s="15">
        <f>IF('[1]P-GENERAL'!J258="","",'[1]P-GENERAL'!J258)</f>
        <v>46288</v>
      </c>
      <c r="K258" s="14">
        <f>IF('[1]P-GENERAL'!K258="","",'[1]P-GENERAL'!K258)</f>
        <v>0.25</v>
      </c>
      <c r="L258" s="14" t="str">
        <f>IF('[1]P-GENERAL'!L258="","",'[1]P-GENERAL'!L258)</f>
        <v>PREENFRIO NELLY</v>
      </c>
      <c r="M258">
        <f>IF('[1]P-GENERAL'!M258="","",'[1]P-GENERAL'!M258)</f>
        <v>3</v>
      </c>
      <c r="N258">
        <f>IF('[1]P-GENERAL'!N258="","",'[1]P-GENERAL'!N258)</f>
        <v>72</v>
      </c>
      <c r="O258" s="14">
        <f>IF('[1]P-GENERAL'!O258="","",'[1]P-GENERAL'!O258)</f>
        <v>46283</v>
      </c>
      <c r="P258" s="16">
        <f>IF('[1]P-GENERAL'!P258="","",'[1]P-GENERAL'!P258)</f>
        <v>0.2076388888888889</v>
      </c>
      <c r="Q258" t="str">
        <f>IF('[1]P-GENERAL'!Q258="","",'[1]P-GENERAL'!Q258)</f>
        <v>ALTA</v>
      </c>
      <c r="R258" s="14">
        <f>IF('[1]P-GENERAL'!R258="","",'[1]P-GENERAL'!R258)</f>
        <v>18</v>
      </c>
      <c r="S258" s="16">
        <f>IF('[1]P-GENERAL'!S258="","",'[1]P-GENERAL'!S258)</f>
        <v>0.64930555555555558</v>
      </c>
      <c r="T258" s="16">
        <f>IF('[1]P-GENERAL'!T258="","",'[1]P-GENERAL'!T258)</f>
        <v>0.4375</v>
      </c>
      <c r="U258" s="17">
        <f>IF('[1]P-GENERAL'!U258="","",'[1]P-GENERAL'!U258)</f>
        <v>19.086805555555557</v>
      </c>
      <c r="V258" s="14">
        <f>IF('[1]P-GENERAL'!V258="","",'[1]P-GENERAL'!V258)</f>
        <v>46283</v>
      </c>
      <c r="W258" s="16">
        <f>IF('[1]P-GENERAL'!W258="","",'[1]P-GENERAL'!W258)</f>
        <v>0.98958333333333337</v>
      </c>
      <c r="X258" s="14" t="str">
        <f>IF('[1]P-GENERAL'!X258="","",'[1]P-GENERAL'!X258)</f>
        <v>SI CUMPLE</v>
      </c>
      <c r="Y258" s="14" t="str">
        <f>IF('[1]P-GENERAL'!Y258="","",'[1]P-GENERAL'!Y258)</f>
        <v>SI CUMPLE</v>
      </c>
      <c r="Z258" s="14" t="str">
        <f>IF('[1]P-GENERAL'!Z258="","",'[1]P-GENERAL'!Z258)</f>
        <v/>
      </c>
      <c r="AA258" s="14" t="str">
        <f>IF('[1]P-GENERAL'!AA258="","",'[1]P-GENERAL'!AA258)</f>
        <v>DESPACHADO</v>
      </c>
      <c r="AB258" s="8" t="str">
        <f>IF('[1]P-GENERAL'!AB258="","",'[1]P-GENERAL'!AB258)</f>
        <v>AUTO EXPRESS SEGOVIA</v>
      </c>
      <c r="AC258" s="8" t="str">
        <f>IF('[1]P-GENERAL'!AC258="","",'[1]P-GENERAL'!AC258)</f>
        <v>MIGUEL ANGEL LOPEZ CERVANTES</v>
      </c>
      <c r="AD258">
        <f>IF('[1]P-GENERAL'!AD258="","",'[1]P-GENERAL'!AD258)</f>
        <v>31269</v>
      </c>
      <c r="AE258" t="str">
        <f>IF('[1]P-GENERAL'!AE258="","",'[1]P-GENERAL'!AE258)</f>
        <v/>
      </c>
    </row>
    <row r="259" spans="1:31" ht="20.25" x14ac:dyDescent="0.3">
      <c r="A259" s="11" t="str">
        <f>IF('[1]P-GENERAL'!A259="","",'[1]P-GENERAL'!A259)</f>
        <v>Chanitos Premium Tarima Americana</v>
      </c>
      <c r="B259" s="11" t="str">
        <f>IF('[1]P-GENERAL'!B259="","",'[1]P-GENERAL'!B259)</f>
        <v>CPR01103</v>
      </c>
      <c r="C259" t="str">
        <f>IF('[1]P-GENERAL'!C259="","",'[1]P-GENERAL'!C259)</f>
        <v>A04039-381709-1</v>
      </c>
      <c r="D259" t="str">
        <f>IF('[1]P-GENERAL'!D259="","",'[1]P-GENERAL'!D259)</f>
        <v>A04 039 San Jose Morelia Nava</v>
      </c>
      <c r="E259" s="8" t="str">
        <f>IF('[1]P-GENERAL'!E259="","",'[1]P-GENERAL'!E259)</f>
        <v>S-MTY</v>
      </c>
      <c r="F259" s="12">
        <f>IF('[1]P-GENERAL'!F259="","",'[1]P-GENERAL'!F259)</f>
        <v>960</v>
      </c>
      <c r="G259" s="13">
        <f>IF('[1]P-GENERAL'!G259="","",'[1]P-GENERAL'!G259)</f>
        <v>20</v>
      </c>
      <c r="H259" s="14">
        <f>IF('[1]P-GENERAL'!H259="","",'[1]P-GENERAL'!H259)</f>
        <v>46282</v>
      </c>
      <c r="I259">
        <f>IF('[1]P-GENERAL'!I259="","",'[1]P-GENERAL'!I259)</f>
        <v>38</v>
      </c>
      <c r="J259" s="15">
        <f>IF('[1]P-GENERAL'!J259="","",'[1]P-GENERAL'!J259)</f>
        <v>46288</v>
      </c>
      <c r="K259" s="14">
        <f>IF('[1]P-GENERAL'!K259="","",'[1]P-GENERAL'!K259)</f>
        <v>0.25</v>
      </c>
      <c r="L259" s="14" t="str">
        <f>IF('[1]P-GENERAL'!L259="","",'[1]P-GENERAL'!L259)</f>
        <v>PREENFRIO NELLY</v>
      </c>
      <c r="M259">
        <f>IF('[1]P-GENERAL'!M259="","",'[1]P-GENERAL'!M259)</f>
        <v>3</v>
      </c>
      <c r="N259">
        <f>IF('[1]P-GENERAL'!N259="","",'[1]P-GENERAL'!N259)</f>
        <v>72</v>
      </c>
      <c r="O259" s="14">
        <f>IF('[1]P-GENERAL'!O259="","",'[1]P-GENERAL'!O259)</f>
        <v>46283</v>
      </c>
      <c r="P259" s="16">
        <f>IF('[1]P-GENERAL'!P259="","",'[1]P-GENERAL'!P259)</f>
        <v>0.2076388888888889</v>
      </c>
      <c r="Q259" t="str">
        <f>IF('[1]P-GENERAL'!Q259="","",'[1]P-GENERAL'!Q259)</f>
        <v>ALTA</v>
      </c>
      <c r="R259" s="14">
        <f>IF('[1]P-GENERAL'!R259="","",'[1]P-GENERAL'!R259)</f>
        <v>46283</v>
      </c>
      <c r="S259" s="16">
        <f>IF('[1]P-GENERAL'!S259="","",'[1]P-GENERAL'!S259)</f>
        <v>0.64930555555555558</v>
      </c>
      <c r="T259" s="16">
        <f>IF('[1]P-GENERAL'!T259="","",'[1]P-GENERAL'!T259)</f>
        <v>0.4375</v>
      </c>
      <c r="U259" s="17">
        <f>IF('[1]P-GENERAL'!U259="","",'[1]P-GENERAL'!U259)</f>
        <v>46284.086805555555</v>
      </c>
      <c r="V259" s="14">
        <f>IF('[1]P-GENERAL'!V259="","",'[1]P-GENERAL'!V259)</f>
        <v>46283</v>
      </c>
      <c r="W259" s="16">
        <f>IF('[1]P-GENERAL'!W259="","",'[1]P-GENERAL'!W259)</f>
        <v>0.98958333333333337</v>
      </c>
      <c r="X259" s="14" t="str">
        <f>IF('[1]P-GENERAL'!X259="","",'[1]P-GENERAL'!X259)</f>
        <v>SI CUMPLE</v>
      </c>
      <c r="Y259" s="14" t="str">
        <f>IF('[1]P-GENERAL'!Y259="","",'[1]P-GENERAL'!Y259)</f>
        <v>SI CUMPLE</v>
      </c>
      <c r="Z259" s="14" t="str">
        <f>IF('[1]P-GENERAL'!Z259="","",'[1]P-GENERAL'!Z259)</f>
        <v/>
      </c>
      <c r="AA259" s="14" t="str">
        <f>IF('[1]P-GENERAL'!AA259="","",'[1]P-GENERAL'!AA259)</f>
        <v>DESPACHADO</v>
      </c>
      <c r="AB259" s="8" t="str">
        <f>IF('[1]P-GENERAL'!AB259="","",'[1]P-GENERAL'!AB259)</f>
        <v>AUTO EXPRESS SEGOVIA</v>
      </c>
      <c r="AC259" s="8" t="str">
        <f>IF('[1]P-GENERAL'!AC259="","",'[1]P-GENERAL'!AC259)</f>
        <v>MIGUEL ANGEL LOPEZ CERVANTES</v>
      </c>
      <c r="AD259">
        <f>IF('[1]P-GENERAL'!AD259="","",'[1]P-GENERAL'!AD259)</f>
        <v>22428</v>
      </c>
      <c r="AE259" t="str">
        <f>IF('[1]P-GENERAL'!AE259="","",'[1]P-GENERAL'!AE259)</f>
        <v/>
      </c>
    </row>
    <row r="260" spans="1:31" ht="20.25" x14ac:dyDescent="0.3">
      <c r="A260" s="11" t="str">
        <f>IF('[1]P-GENERAL'!A260="","",'[1]P-GENERAL'!A260)</f>
        <v>Chanitos Premium EUA Tarima Americana</v>
      </c>
      <c r="B260" s="11" t="str">
        <f>IF('[1]P-GENERAL'!B260="","",'[1]P-GENERAL'!B260)</f>
        <v>CPR01104</v>
      </c>
      <c r="C260" t="str">
        <f>IF('[1]P-GENERAL'!C260="","",'[1]P-GENERAL'!C260)</f>
        <v>A01004-381809-1</v>
      </c>
      <c r="D260" t="str">
        <f>IF('[1]P-GENERAL'!D260="","",'[1]P-GENERAL'!D260)</f>
        <v>A01 004 La Ceiba</v>
      </c>
      <c r="E260" s="8" t="str">
        <f>IF('[1]P-GENERAL'!E260="","",'[1]P-GENERAL'!E260)</f>
        <v>McAllen</v>
      </c>
      <c r="F260" s="12">
        <f>IF('[1]P-GENERAL'!F260="","",'[1]P-GENERAL'!F260)</f>
        <v>960</v>
      </c>
      <c r="G260" s="13">
        <f>IF('[1]P-GENERAL'!G260="","",'[1]P-GENERAL'!G260)</f>
        <v>20</v>
      </c>
      <c r="H260" s="14">
        <f>IF('[1]P-GENERAL'!H260="","",'[1]P-GENERAL'!H260)</f>
        <v>46283</v>
      </c>
      <c r="I260">
        <f>IF('[1]P-GENERAL'!I260="","",'[1]P-GENERAL'!I260)</f>
        <v>38</v>
      </c>
      <c r="J260" s="15">
        <f>IF('[1]P-GENERAL'!J260="","",'[1]P-GENERAL'!J260)</f>
        <v>46288</v>
      </c>
      <c r="K260" s="14" t="str">
        <f>IF('[1]P-GENERAL'!K260="","",'[1]P-GENERAL'!K260)</f>
        <v/>
      </c>
      <c r="L260" s="14" t="str">
        <f>IF('[1]P-GENERAL'!L260="","",'[1]P-GENERAL'!L260)</f>
        <v>DIRECTO SIN PREENFRIO</v>
      </c>
      <c r="M260">
        <f>IF('[1]P-GENERAL'!M260="","",'[1]P-GENERAL'!M260)</f>
        <v>3</v>
      </c>
      <c r="N260">
        <f>IF('[1]P-GENERAL'!N260="","",'[1]P-GENERAL'!N260)</f>
        <v>72</v>
      </c>
      <c r="O260" s="14" t="str">
        <f>IF('[1]P-GENERAL'!O260="","",'[1]P-GENERAL'!O260)</f>
        <v/>
      </c>
      <c r="P260" s="16" t="str">
        <f>IF('[1]P-GENERAL'!P260="","",'[1]P-GENERAL'!P260)</f>
        <v/>
      </c>
      <c r="Q260" t="str">
        <f>IF('[1]P-GENERAL'!Q260="","",'[1]P-GENERAL'!Q260)</f>
        <v/>
      </c>
      <c r="R260" s="14" t="str">
        <f>IF('[1]P-GENERAL'!R260="","",'[1]P-GENERAL'!R260)</f>
        <v/>
      </c>
      <c r="S260" s="16" t="str">
        <f>IF('[1]P-GENERAL'!S260="","",'[1]P-GENERAL'!S260)</f>
        <v/>
      </c>
      <c r="T260" s="16" t="str">
        <f>IF('[1]P-GENERAL'!T260="","",'[1]P-GENERAL'!T260)</f>
        <v/>
      </c>
      <c r="U260" s="17" t="str">
        <f>IF('[1]P-GENERAL'!U260="","",'[1]P-GENERAL'!U260)</f>
        <v/>
      </c>
      <c r="V260" s="14">
        <f>IF('[1]P-GENERAL'!V260="","",'[1]P-GENERAL'!V260)</f>
        <v>46284</v>
      </c>
      <c r="W260" s="16">
        <f>IF('[1]P-GENERAL'!W260="","",'[1]P-GENERAL'!W260)</f>
        <v>0.60416666666666663</v>
      </c>
      <c r="X260" s="14" t="str">
        <f>IF('[1]P-GENERAL'!X260="","",'[1]P-GENERAL'!X260)</f>
        <v/>
      </c>
      <c r="Y260" s="14" t="str">
        <f>IF('[1]P-GENERAL'!Y260="","",'[1]P-GENERAL'!Y260)</f>
        <v>SI CUMPLE</v>
      </c>
      <c r="Z260" s="14" t="str">
        <f>IF('[1]P-GENERAL'!Z260="","",'[1]P-GENERAL'!Z260)</f>
        <v/>
      </c>
      <c r="AA260" s="14" t="str">
        <f>IF('[1]P-GENERAL'!AA260="","",'[1]P-GENERAL'!AA260)</f>
        <v>DESPACHADO</v>
      </c>
      <c r="AB260" s="8" t="str">
        <f>IF('[1]P-GENERAL'!AB260="","",'[1]P-GENERAL'!AB260)</f>
        <v>AUTO EXPRESS SEGOVIA</v>
      </c>
      <c r="AC260" s="8" t="str">
        <f>IF('[1]P-GENERAL'!AC260="","",'[1]P-GENERAL'!AC260)</f>
        <v>SANTIAGO HERRERA</v>
      </c>
      <c r="AD260">
        <f>IF('[1]P-GENERAL'!AD260="","",'[1]P-GENERAL'!AD260)</f>
        <v>89759</v>
      </c>
      <c r="AE260" t="str">
        <f>IF('[1]P-GENERAL'!AE260="","",'[1]P-GENERAL'!AE260)</f>
        <v/>
      </c>
    </row>
    <row r="261" spans="1:31" ht="20.25" x14ac:dyDescent="0.3">
      <c r="A261" s="11" t="str">
        <f>IF('[1]P-GENERAL'!A261="","",'[1]P-GENERAL'!A261)</f>
        <v>Chanitos Organic Banded Market Side Mexico</v>
      </c>
      <c r="B261" s="11" t="str">
        <f>IF('[1]P-GENERAL'!B261="","",'[1]P-GENERAL'!B261)</f>
        <v>CRG07128</v>
      </c>
      <c r="C261" t="str">
        <f>IF('[1]P-GENERAL'!C261="","",'[1]P-GENERAL'!C261)</f>
        <v>A01002-381809-1</v>
      </c>
      <c r="D261" t="str">
        <f>IF('[1]P-GENERAL'!D261="","",'[1]P-GENERAL'!D261)</f>
        <v>A01 002 Fortaleza</v>
      </c>
      <c r="E261" s="8" t="str">
        <f>IF('[1]P-GENERAL'!E261="","",'[1]P-GENERAL'!E261)</f>
        <v>QRO</v>
      </c>
      <c r="F261" s="12">
        <f>IF('[1]P-GENERAL'!F261="","",'[1]P-GENERAL'!F261)</f>
        <v>96</v>
      </c>
      <c r="G261" s="13">
        <f>IF('[1]P-GENERAL'!G261="","",'[1]P-GENERAL'!G261)</f>
        <v>2</v>
      </c>
      <c r="H261" s="14">
        <f>IF('[1]P-GENERAL'!H261="","",'[1]P-GENERAL'!H261)</f>
        <v>46283</v>
      </c>
      <c r="I261">
        <f>IF('[1]P-GENERAL'!I261="","",'[1]P-GENERAL'!I261)</f>
        <v>38</v>
      </c>
      <c r="J261" s="15">
        <f>IF('[1]P-GENERAL'!J261="","",'[1]P-GENERAL'!J261)</f>
        <v>46288</v>
      </c>
      <c r="K261" s="14" t="str">
        <f>IF('[1]P-GENERAL'!K261="","",'[1]P-GENERAL'!K261)</f>
        <v/>
      </c>
      <c r="L261" s="14" t="str">
        <f>IF('[1]P-GENERAL'!L261="","",'[1]P-GENERAL'!L261)</f>
        <v>PREENFRIO FORTALEZA</v>
      </c>
      <c r="M261">
        <f>IF('[1]P-GENERAL'!M261="","",'[1]P-GENERAL'!M261)</f>
        <v>1.5</v>
      </c>
      <c r="N261">
        <f>IF('[1]P-GENERAL'!N261="","",'[1]P-GENERAL'!N261)</f>
        <v>36</v>
      </c>
      <c r="O261" s="14">
        <f>IF('[1]P-GENERAL'!O261="","",'[1]P-GENERAL'!O261)</f>
        <v>46283</v>
      </c>
      <c r="P261" s="16">
        <f>IF('[1]P-GENERAL'!P261="","",'[1]P-GENERAL'!P261)</f>
        <v>0.72847222222222219</v>
      </c>
      <c r="Q261" t="str">
        <f>IF('[1]P-GENERAL'!Q261="","",'[1]P-GENERAL'!Q261)</f>
        <v>NORMAL</v>
      </c>
      <c r="R261" s="14">
        <f>IF('[1]P-GENERAL'!R261="","",'[1]P-GENERAL'!R261)</f>
        <v>46284</v>
      </c>
      <c r="S261" s="16">
        <f>IF('[1]P-GENERAL'!S261="","",'[1]P-GENERAL'!S261)</f>
        <v>0.38541666666666669</v>
      </c>
      <c r="T261" s="16">
        <f>IF('[1]P-GENERAL'!T261="","",'[1]P-GENERAL'!T261)</f>
        <v>0.625</v>
      </c>
      <c r="U261" s="17">
        <f>IF('[1]P-GENERAL'!U261="","",'[1]P-GENERAL'!U261)</f>
        <v>46285.010416666664</v>
      </c>
      <c r="V261" s="14">
        <f>IF('[1]P-GENERAL'!V261="","",'[1]P-GENERAL'!V261)</f>
        <v>46285</v>
      </c>
      <c r="W261" s="16">
        <f>IF('[1]P-GENERAL'!W261="","",'[1]P-GENERAL'!W261)</f>
        <v>0.10416666666666667</v>
      </c>
      <c r="X261" s="14" t="str">
        <f>IF('[1]P-GENERAL'!X261="","",'[1]P-GENERAL'!X261)</f>
        <v>SI CUMPLE</v>
      </c>
      <c r="Y261" s="14" t="str">
        <f>IF('[1]P-GENERAL'!Y261="","",'[1]P-GENERAL'!Y261)</f>
        <v>SI CUMPLE</v>
      </c>
      <c r="Z261" s="14" t="str">
        <f>IF('[1]P-GENERAL'!Z261="","",'[1]P-GENERAL'!Z261)</f>
        <v/>
      </c>
      <c r="AA261" s="14" t="str">
        <f>IF('[1]P-GENERAL'!AA261="","",'[1]P-GENERAL'!AA261)</f>
        <v>DESPACHADO</v>
      </c>
      <c r="AB261" s="8" t="str">
        <f>IF('[1]P-GENERAL'!AB261="","",'[1]P-GENERAL'!AB261)</f>
        <v>JONATHAN ALVAREZ VIVANCO</v>
      </c>
      <c r="AC261" s="8" t="str">
        <f>IF('[1]P-GENERAL'!AC261="","",'[1]P-GENERAL'!AC261)</f>
        <v>RAFAEL RIOS HERNANDEZ</v>
      </c>
      <c r="AD261">
        <f>IF('[1]P-GENERAL'!AD261="","",'[1]P-GENERAL'!AD261)</f>
        <v>77520</v>
      </c>
      <c r="AE261" t="str">
        <f>IF('[1]P-GENERAL'!AE261="","",'[1]P-GENERAL'!AE261)</f>
        <v>QCH1W04NX0</v>
      </c>
    </row>
    <row r="262" spans="1:31" ht="20.25" x14ac:dyDescent="0.3">
      <c r="A262" s="11" t="str">
        <f>IF('[1]P-GENERAL'!A262="","",'[1]P-GENERAL'!A262)</f>
        <v>Chanitos Premium Tarima Chep</v>
      </c>
      <c r="B262" s="11" t="str">
        <f>IF('[1]P-GENERAL'!B262="","",'[1]P-GENERAL'!B262)</f>
        <v>CPR01102</v>
      </c>
      <c r="C262" t="str">
        <f>IF('[1]P-GENERAL'!C262="","",'[1]P-GENERAL'!C262)</f>
        <v>A01002-381809-1</v>
      </c>
      <c r="D262" t="str">
        <f>IF('[1]P-GENERAL'!D262="","",'[1]P-GENERAL'!D262)</f>
        <v>A01 002 Fortaleza</v>
      </c>
      <c r="E262" s="8" t="str">
        <f>IF('[1]P-GENERAL'!E262="","",'[1]P-GENERAL'!E262)</f>
        <v>QRO</v>
      </c>
      <c r="F262" s="12">
        <f>IF('[1]P-GENERAL'!F262="","",'[1]P-GENERAL'!F262)</f>
        <v>1056</v>
      </c>
      <c r="G262" s="13">
        <f>IF('[1]P-GENERAL'!G262="","",'[1]P-GENERAL'!G262)</f>
        <v>21</v>
      </c>
      <c r="H262" s="14">
        <f>IF('[1]P-GENERAL'!H262="","",'[1]P-GENERAL'!H262)</f>
        <v>46283</v>
      </c>
      <c r="I262">
        <f>IF('[1]P-GENERAL'!I262="","",'[1]P-GENERAL'!I262)</f>
        <v>38</v>
      </c>
      <c r="J262" s="15">
        <f>IF('[1]P-GENERAL'!J262="","",'[1]P-GENERAL'!J262)</f>
        <v>46288</v>
      </c>
      <c r="K262" s="14" t="str">
        <f>IF('[1]P-GENERAL'!K262="","",'[1]P-GENERAL'!K262)</f>
        <v/>
      </c>
      <c r="L262" s="14" t="str">
        <f>IF('[1]P-GENERAL'!L262="","",'[1]P-GENERAL'!L262)</f>
        <v>PREENFRIO FORTALEZA</v>
      </c>
      <c r="M262">
        <f>IF('[1]P-GENERAL'!M262="","",'[1]P-GENERAL'!M262)</f>
        <v>1.5</v>
      </c>
      <c r="N262">
        <f>IF('[1]P-GENERAL'!N262="","",'[1]P-GENERAL'!N262)</f>
        <v>36</v>
      </c>
      <c r="O262" s="14">
        <f>IF('[1]P-GENERAL'!O262="","",'[1]P-GENERAL'!O262)</f>
        <v>46283</v>
      </c>
      <c r="P262" s="16">
        <f>IF('[1]P-GENERAL'!P262="","",'[1]P-GENERAL'!P262)</f>
        <v>0.72847222222222219</v>
      </c>
      <c r="Q262" t="str">
        <f>IF('[1]P-GENERAL'!Q262="","",'[1]P-GENERAL'!Q262)</f>
        <v>NORMAL</v>
      </c>
      <c r="R262" s="14">
        <f>IF('[1]P-GENERAL'!R262="","",'[1]P-GENERAL'!R262)</f>
        <v>46284</v>
      </c>
      <c r="S262" s="16">
        <f>IF('[1]P-GENERAL'!S262="","",'[1]P-GENERAL'!S262)</f>
        <v>0.38541666666666669</v>
      </c>
      <c r="T262" s="16">
        <f>IF('[1]P-GENERAL'!T262="","",'[1]P-GENERAL'!T262)</f>
        <v>0.625</v>
      </c>
      <c r="U262" s="17">
        <f>IF('[1]P-GENERAL'!U262="","",'[1]P-GENERAL'!U262)</f>
        <v>46285.010416666664</v>
      </c>
      <c r="V262" s="14">
        <f>IF('[1]P-GENERAL'!V262="","",'[1]P-GENERAL'!V262)</f>
        <v>46285</v>
      </c>
      <c r="W262" s="16">
        <f>IF('[1]P-GENERAL'!W262="","",'[1]P-GENERAL'!W262)</f>
        <v>0.10416666666666667</v>
      </c>
      <c r="X262" s="14" t="str">
        <f>IF('[1]P-GENERAL'!X262="","",'[1]P-GENERAL'!X262)</f>
        <v>SI CUMPLE</v>
      </c>
      <c r="Y262" s="14" t="str">
        <f>IF('[1]P-GENERAL'!Y262="","",'[1]P-GENERAL'!Y262)</f>
        <v>SI CUMPLE</v>
      </c>
      <c r="Z262" s="14" t="str">
        <f>IF('[1]P-GENERAL'!Z262="","",'[1]P-GENERAL'!Z262)</f>
        <v/>
      </c>
      <c r="AA262" s="14" t="str">
        <f>IF('[1]P-GENERAL'!AA262="","",'[1]P-GENERAL'!AA262)</f>
        <v>DESPACHADO</v>
      </c>
      <c r="AB262" s="8" t="str">
        <f>IF('[1]P-GENERAL'!AB262="","",'[1]P-GENERAL'!AB262)</f>
        <v>JONATHAN ALVAREZ VIVANCO</v>
      </c>
      <c r="AC262" s="8" t="str">
        <f>IF('[1]P-GENERAL'!AC262="","",'[1]P-GENERAL'!AC262)</f>
        <v>RAFAEL RIOS HERNANDEZ</v>
      </c>
      <c r="AD262">
        <f>IF('[1]P-GENERAL'!AD262="","",'[1]P-GENERAL'!AD262)</f>
        <v>77520</v>
      </c>
      <c r="AE262" t="str">
        <f>IF('[1]P-GENERAL'!AE262="","",'[1]P-GENERAL'!AE262)</f>
        <v>QCH1W04NX0</v>
      </c>
    </row>
    <row r="263" spans="1:31" ht="20.25" x14ac:dyDescent="0.3">
      <c r="A263" s="11" t="str">
        <f>IF('[1]P-GENERAL'!A263="","",'[1]P-GENERAL'!A263)</f>
        <v>Chanitos Premium EUA Tarima Americana</v>
      </c>
      <c r="B263" s="11" t="str">
        <f>IF('[1]P-GENERAL'!B263="","",'[1]P-GENERAL'!B263)</f>
        <v>CPR01104</v>
      </c>
      <c r="C263" t="str">
        <f>IF('[1]P-GENERAL'!C263="","",'[1]P-GENERAL'!C263)</f>
        <v>A06043-381709-1</v>
      </c>
      <c r="D263" t="str">
        <f>IF('[1]P-GENERAL'!D263="","",'[1]P-GENERAL'!D263)</f>
        <v>A06 043 Nuestra señora</v>
      </c>
      <c r="E263" s="8" t="str">
        <f>IF('[1]P-GENERAL'!E263="","",'[1]P-GENERAL'!E263)</f>
        <v>McAllen</v>
      </c>
      <c r="F263" s="12">
        <f>IF('[1]P-GENERAL'!F263="","",'[1]P-GENERAL'!F263)</f>
        <v>480</v>
      </c>
      <c r="G263" s="13">
        <f>IF('[1]P-GENERAL'!G263="","",'[1]P-GENERAL'!G263)</f>
        <v>10</v>
      </c>
      <c r="H263" s="14">
        <f>IF('[1]P-GENERAL'!H263="","",'[1]P-GENERAL'!H263)</f>
        <v>46282</v>
      </c>
      <c r="I263">
        <f>IF('[1]P-GENERAL'!I263="","",'[1]P-GENERAL'!I263)</f>
        <v>38</v>
      </c>
      <c r="J263" s="15">
        <f>IF('[1]P-GENERAL'!J263="","",'[1]P-GENERAL'!J263)</f>
        <v>46289</v>
      </c>
      <c r="K263" s="14" t="str">
        <f>IF('[1]P-GENERAL'!K263="","",'[1]P-GENERAL'!K263)</f>
        <v/>
      </c>
      <c r="L263" s="14" t="str">
        <f>IF('[1]P-GENERAL'!L263="","",'[1]P-GENERAL'!L263)</f>
        <v>PREENFRIO NELLY</v>
      </c>
      <c r="M263">
        <f>IF('[1]P-GENERAL'!M263="","",'[1]P-GENERAL'!M263)</f>
        <v>3</v>
      </c>
      <c r="N263">
        <f>IF('[1]P-GENERAL'!N263="","",'[1]P-GENERAL'!N263)</f>
        <v>72</v>
      </c>
      <c r="O263" s="14">
        <f>IF('[1]P-GENERAL'!O263="","",'[1]P-GENERAL'!O263)</f>
        <v>46283</v>
      </c>
      <c r="P263" s="16">
        <f>IF('[1]P-GENERAL'!P263="","",'[1]P-GENERAL'!P263)</f>
        <v>0.66319444444444442</v>
      </c>
      <c r="Q263" t="str">
        <f>IF('[1]P-GENERAL'!Q263="","",'[1]P-GENERAL'!Q263)</f>
        <v>NORMAL</v>
      </c>
      <c r="R263" s="14">
        <f>IF('[1]P-GENERAL'!R263="","",'[1]P-GENERAL'!R263)</f>
        <v>46283</v>
      </c>
      <c r="S263" s="16">
        <f>IF('[1]P-GENERAL'!S263="","",'[1]P-GENERAL'!S263)</f>
        <v>0.77083333333333337</v>
      </c>
      <c r="T263" s="16">
        <f>IF('[1]P-GENERAL'!T263="","",'[1]P-GENERAL'!T263)</f>
        <v>0.35416666666666669</v>
      </c>
      <c r="U263" s="17">
        <f>IF('[1]P-GENERAL'!U263="","",'[1]P-GENERAL'!U263)</f>
        <v>46284.125</v>
      </c>
      <c r="V263" s="14">
        <f>IF('[1]P-GENERAL'!V263="","",'[1]P-GENERAL'!V263)</f>
        <v>46286</v>
      </c>
      <c r="W263" s="16">
        <f>IF('[1]P-GENERAL'!W263="","",'[1]P-GENERAL'!W263)</f>
        <v>0.33333333333333331</v>
      </c>
      <c r="X263" s="14" t="str">
        <f>IF('[1]P-GENERAL'!X263="","",'[1]P-GENERAL'!X263)</f>
        <v>SI CUMPLE</v>
      </c>
      <c r="Y263" s="14" t="str">
        <f>IF('[1]P-GENERAL'!Y263="","",'[1]P-GENERAL'!Y263)</f>
        <v>NO CUMPLE</v>
      </c>
      <c r="Z263" s="14" t="str">
        <f>IF('[1]P-GENERAL'!Z263="","",'[1]P-GENERAL'!Z263)</f>
        <v/>
      </c>
      <c r="AA263" s="14" t="str">
        <f>IF('[1]P-GENERAL'!AA263="","",'[1]P-GENERAL'!AA263)</f>
        <v>DESPACHADO</v>
      </c>
      <c r="AB263" s="8" t="str">
        <f>IF('[1]P-GENERAL'!AB263="","",'[1]P-GENERAL'!AB263)</f>
        <v>AUTO EXPRESS SEGOVIA</v>
      </c>
      <c r="AC263" s="8" t="str">
        <f>IF('[1]P-GENERAL'!AC263="","",'[1]P-GENERAL'!AC263)</f>
        <v/>
      </c>
      <c r="AD263" t="str">
        <f>IF('[1]P-GENERAL'!AD263="","",'[1]P-GENERAL'!AD263)</f>
        <v/>
      </c>
      <c r="AE263" t="str">
        <f>IF('[1]P-GENERAL'!AE263="","",'[1]P-GENERAL'!AE263)</f>
        <v/>
      </c>
    </row>
    <row r="264" spans="1:31" ht="20.25" x14ac:dyDescent="0.3">
      <c r="A264" s="11" t="str">
        <f>IF('[1]P-GENERAL'!A264="","",'[1]P-GENERAL'!A264)</f>
        <v>Chanitos Premium Tarima Chep</v>
      </c>
      <c r="B264" s="11" t="str">
        <f>IF('[1]P-GENERAL'!B264="","",'[1]P-GENERAL'!B264)</f>
        <v>CPR01102</v>
      </c>
      <c r="C264" t="str">
        <f>IF('[1]P-GENERAL'!C264="","",'[1]P-GENERAL'!C264)</f>
        <v>A01002-381909-1</v>
      </c>
      <c r="D264" t="str">
        <f>IF('[1]P-GENERAL'!D264="","",'[1]P-GENERAL'!D264)</f>
        <v>A01 002 Fortaleza</v>
      </c>
      <c r="E264" s="8" t="str">
        <f>IF('[1]P-GENERAL'!E264="","",'[1]P-GENERAL'!E264)</f>
        <v>Chalco</v>
      </c>
      <c r="F264" s="12">
        <f>IF('[1]P-GENERAL'!F264="","",'[1]P-GENERAL'!F264)</f>
        <v>810</v>
      </c>
      <c r="G264" s="13">
        <f>IF('[1]P-GENERAL'!G264="","",'[1]P-GENERAL'!G264)</f>
        <v>16.875</v>
      </c>
      <c r="H264" s="14">
        <f>IF('[1]P-GENERAL'!H264="","",'[1]P-GENERAL'!H264)</f>
        <v>46284</v>
      </c>
      <c r="I264">
        <f>IF('[1]P-GENERAL'!I264="","",'[1]P-GENERAL'!I264)</f>
        <v>38</v>
      </c>
      <c r="J264" s="15">
        <f>IF('[1]P-GENERAL'!J264="","",'[1]P-GENERAL'!J264)</f>
        <v>46288</v>
      </c>
      <c r="K264" s="14" t="str">
        <f>IF('[1]P-GENERAL'!K264="","",'[1]P-GENERAL'!K264)</f>
        <v/>
      </c>
      <c r="L264" s="14" t="str">
        <f>IF('[1]P-GENERAL'!L264="","",'[1]P-GENERAL'!L264)</f>
        <v>PREENFRIO FORTALEZA</v>
      </c>
      <c r="M264">
        <f>IF('[1]P-GENERAL'!M264="","",'[1]P-GENERAL'!M264)</f>
        <v>1</v>
      </c>
      <c r="N264">
        <f>IF('[1]P-GENERAL'!N264="","",'[1]P-GENERAL'!N264)</f>
        <v>24</v>
      </c>
      <c r="O264" s="14">
        <f>IF('[1]P-GENERAL'!O264="","",'[1]P-GENERAL'!O264)</f>
        <v>46284</v>
      </c>
      <c r="P264" s="16">
        <f>IF('[1]P-GENERAL'!P264="","",'[1]P-GENERAL'!P264)</f>
        <v>0.64930555555555558</v>
      </c>
      <c r="Q264" t="str">
        <f>IF('[1]P-GENERAL'!Q264="","",'[1]P-GENERAL'!Q264)</f>
        <v>NORMAL</v>
      </c>
      <c r="R264" s="14">
        <f>IF('[1]P-GENERAL'!R264="","",'[1]P-GENERAL'!R264)</f>
        <v>46285</v>
      </c>
      <c r="S264" s="16">
        <f>IF('[1]P-GENERAL'!S264="","",'[1]P-GENERAL'!S264)</f>
        <v>8.3333333333333329E-2</v>
      </c>
      <c r="T264" s="16">
        <f>IF('[1]P-GENERAL'!T264="","",'[1]P-GENERAL'!T264)</f>
        <v>0.41666666666666669</v>
      </c>
      <c r="U264" s="17">
        <f>IF('[1]P-GENERAL'!U264="","",'[1]P-GENERAL'!U264)</f>
        <v>46285.5</v>
      </c>
      <c r="V264" s="14">
        <f>IF('[1]P-GENERAL'!V264="","",'[1]P-GENERAL'!V264)</f>
        <v>46285</v>
      </c>
      <c r="W264" s="16">
        <f>IF('[1]P-GENERAL'!W264="","",'[1]P-GENERAL'!W264)</f>
        <v>0.73958333333333337</v>
      </c>
      <c r="X264" s="14" t="str">
        <f>IF('[1]P-GENERAL'!X264="","",'[1]P-GENERAL'!X264)</f>
        <v>SI CUMPLE</v>
      </c>
      <c r="Y264" s="14" t="str">
        <f>IF('[1]P-GENERAL'!Y264="","",'[1]P-GENERAL'!Y264)</f>
        <v>SI CUMPLE</v>
      </c>
      <c r="Z264" s="14" t="str">
        <f>IF('[1]P-GENERAL'!Z264="","",'[1]P-GENERAL'!Z264)</f>
        <v/>
      </c>
      <c r="AA264" s="14" t="str">
        <f>IF('[1]P-GENERAL'!AA264="","",'[1]P-GENERAL'!AA264)</f>
        <v>DESPACHADO</v>
      </c>
      <c r="AB264" s="8" t="str">
        <f>IF('[1]P-GENERAL'!AB264="","",'[1]P-GENERAL'!AB264)</f>
        <v>JONATHAN CARRILLO</v>
      </c>
      <c r="AC264" s="8" t="str">
        <f>IF('[1]P-GENERAL'!AC264="","",'[1]P-GENERAL'!AC264)</f>
        <v>GEOVANI ESPINO</v>
      </c>
      <c r="AD264">
        <f>IF('[1]P-GENERAL'!AD264="","",'[1]P-GENERAL'!AD264)</f>
        <v>47153</v>
      </c>
      <c r="AE264" t="str">
        <f>IF('[1]P-GENERAL'!AE264="","",'[1]P-GENERAL'!AE264)</f>
        <v>QCH1W04HY0</v>
      </c>
    </row>
    <row r="265" spans="1:31" ht="20.25" x14ac:dyDescent="0.3">
      <c r="A265" s="11" t="str">
        <f>IF('[1]P-GENERAL'!A265="","",'[1]P-GENERAL'!A265)</f>
        <v>Platano de Chiapas BAE UPC 3237</v>
      </c>
      <c r="B265" s="11" t="str">
        <f>IF('[1]P-GENERAL'!B265="","",'[1]P-GENERAL'!B265)</f>
        <v>CPR01114</v>
      </c>
      <c r="C265" t="str">
        <f>IF('[1]P-GENERAL'!C265="","",'[1]P-GENERAL'!C265)</f>
        <v>A01002-381909-1</v>
      </c>
      <c r="D265" t="str">
        <f>IF('[1]P-GENERAL'!D265="","",'[1]P-GENERAL'!D265)</f>
        <v>A01 002 Fortaleza</v>
      </c>
      <c r="E265" s="8" t="str">
        <f>IF('[1]P-GENERAL'!E265="","",'[1]P-GENERAL'!E265)</f>
        <v>Chalco</v>
      </c>
      <c r="F265" s="12">
        <f>IF('[1]P-GENERAL'!F265="","",'[1]P-GENERAL'!F265)</f>
        <v>54</v>
      </c>
      <c r="G265" s="13">
        <f>IF('[1]P-GENERAL'!G265="","",'[1]P-GENERAL'!G265)</f>
        <v>1.125</v>
      </c>
      <c r="H265" s="14">
        <f>IF('[1]P-GENERAL'!H265="","",'[1]P-GENERAL'!H265)</f>
        <v>46284</v>
      </c>
      <c r="I265">
        <f>IF('[1]P-GENERAL'!I265="","",'[1]P-GENERAL'!I265)</f>
        <v>38</v>
      </c>
      <c r="J265" s="15">
        <f>IF('[1]P-GENERAL'!J265="","",'[1]P-GENERAL'!J265)</f>
        <v>46288</v>
      </c>
      <c r="K265" s="14" t="str">
        <f>IF('[1]P-GENERAL'!K265="","",'[1]P-GENERAL'!K265)</f>
        <v/>
      </c>
      <c r="L265" s="14" t="str">
        <f>IF('[1]P-GENERAL'!L265="","",'[1]P-GENERAL'!L265)</f>
        <v>PREENFRIO FORTALEZA</v>
      </c>
      <c r="M265">
        <f>IF('[1]P-GENERAL'!M265="","",'[1]P-GENERAL'!M265)</f>
        <v>1</v>
      </c>
      <c r="N265">
        <f>IF('[1]P-GENERAL'!N265="","",'[1]P-GENERAL'!N265)</f>
        <v>24</v>
      </c>
      <c r="O265" s="14">
        <f>IF('[1]P-GENERAL'!O265="","",'[1]P-GENERAL'!O265)</f>
        <v>46284</v>
      </c>
      <c r="P265" s="16">
        <f>IF('[1]P-GENERAL'!P265="","",'[1]P-GENERAL'!P265)</f>
        <v>0.64930555555555558</v>
      </c>
      <c r="Q265" t="str">
        <f>IF('[1]P-GENERAL'!Q265="","",'[1]P-GENERAL'!Q265)</f>
        <v>NORMAL</v>
      </c>
      <c r="R265" s="14">
        <f>IF('[1]P-GENERAL'!R265="","",'[1]P-GENERAL'!R265)</f>
        <v>46285</v>
      </c>
      <c r="S265" s="16">
        <f>IF('[1]P-GENERAL'!S265="","",'[1]P-GENERAL'!S265)</f>
        <v>8.3333333333333329E-2</v>
      </c>
      <c r="T265" s="16">
        <f>IF('[1]P-GENERAL'!T265="","",'[1]P-GENERAL'!T265)</f>
        <v>0.41666666666666669</v>
      </c>
      <c r="U265" s="17">
        <f>IF('[1]P-GENERAL'!U265="","",'[1]P-GENERAL'!U265)</f>
        <v>46285.5</v>
      </c>
      <c r="V265" s="14">
        <f>IF('[1]P-GENERAL'!V265="","",'[1]P-GENERAL'!V265)</f>
        <v>46285</v>
      </c>
      <c r="W265" s="16">
        <f>IF('[1]P-GENERAL'!W265="","",'[1]P-GENERAL'!W265)</f>
        <v>0.73958333333333337</v>
      </c>
      <c r="X265" s="14" t="str">
        <f>IF('[1]P-GENERAL'!X265="","",'[1]P-GENERAL'!X265)</f>
        <v>SI CUMPLE</v>
      </c>
      <c r="Y265" s="14" t="str">
        <f>IF('[1]P-GENERAL'!Y265="","",'[1]P-GENERAL'!Y265)</f>
        <v>SI CUMPLE</v>
      </c>
      <c r="Z265" s="14" t="str">
        <f>IF('[1]P-GENERAL'!Z265="","",'[1]P-GENERAL'!Z265)</f>
        <v/>
      </c>
      <c r="AA265" s="14" t="str">
        <f>IF('[1]P-GENERAL'!AA265="","",'[1]P-GENERAL'!AA265)</f>
        <v>DESPACHADO</v>
      </c>
      <c r="AB265" s="8" t="str">
        <f>IF('[1]P-GENERAL'!AB265="","",'[1]P-GENERAL'!AB265)</f>
        <v>JONATHAN CARRILLO</v>
      </c>
      <c r="AC265" s="8" t="str">
        <f>IF('[1]P-GENERAL'!AC265="","",'[1]P-GENERAL'!AC265)</f>
        <v>GEOVANI ESPINO</v>
      </c>
      <c r="AD265">
        <f>IF('[1]P-GENERAL'!AD265="","",'[1]P-GENERAL'!AD265)</f>
        <v>47153</v>
      </c>
      <c r="AE265" t="str">
        <f>IF('[1]P-GENERAL'!AE265="","",'[1]P-GENERAL'!AE265)</f>
        <v>QCH1W04HY0</v>
      </c>
    </row>
    <row r="266" spans="1:31" ht="20.25" x14ac:dyDescent="0.3">
      <c r="A266" s="11" t="str">
        <f>IF('[1]P-GENERAL'!A266="","",'[1]P-GENERAL'!A266)</f>
        <v>Chanitos Premium EUA Tarima Americana</v>
      </c>
      <c r="B266" s="11" t="str">
        <f>IF('[1]P-GENERAL'!B266="","",'[1]P-GENERAL'!B266)</f>
        <v>CPR01104</v>
      </c>
      <c r="C266" t="str">
        <f>IF('[1]P-GENERAL'!C266="","",'[1]P-GENERAL'!C266)</f>
        <v>A06043-381809-1</v>
      </c>
      <c r="D266" t="str">
        <f>IF('[1]P-GENERAL'!D266="","",'[1]P-GENERAL'!D266)</f>
        <v>A06 043 Nuestra señora</v>
      </c>
      <c r="E266" s="8" t="str">
        <f>IF('[1]P-GENERAL'!E266="","",'[1]P-GENERAL'!E266)</f>
        <v>McAllen</v>
      </c>
      <c r="F266" s="12">
        <f>IF('[1]P-GENERAL'!F266="","",'[1]P-GENERAL'!F266)</f>
        <v>480</v>
      </c>
      <c r="G266" s="13">
        <f>IF('[1]P-GENERAL'!G266="","",'[1]P-GENERAL'!G266)</f>
        <v>10</v>
      </c>
      <c r="H266" s="14">
        <f>IF('[1]P-GENERAL'!H266="","",'[1]P-GENERAL'!H266)</f>
        <v>46283</v>
      </c>
      <c r="I266">
        <f>IF('[1]P-GENERAL'!I266="","",'[1]P-GENERAL'!I266)</f>
        <v>38</v>
      </c>
      <c r="J266" s="15">
        <f>IF('[1]P-GENERAL'!J266="","",'[1]P-GENERAL'!J266)</f>
        <v>46289</v>
      </c>
      <c r="K266" s="14" t="str">
        <f>IF('[1]P-GENERAL'!K266="","",'[1]P-GENERAL'!K266)</f>
        <v/>
      </c>
      <c r="L266" s="14" t="str">
        <f>IF('[1]P-GENERAL'!L266="","",'[1]P-GENERAL'!L266)</f>
        <v>PREENFRIO NELLY</v>
      </c>
      <c r="M266">
        <f>IF('[1]P-GENERAL'!M266="","",'[1]P-GENERAL'!M266)</f>
        <v>3</v>
      </c>
      <c r="N266">
        <f>IF('[1]P-GENERAL'!N266="","",'[1]P-GENERAL'!N266)</f>
        <v>72</v>
      </c>
      <c r="O266" s="14">
        <f>IF('[1]P-GENERAL'!O266="","",'[1]P-GENERAL'!O266)</f>
        <v>46283</v>
      </c>
      <c r="P266" s="16">
        <f>IF('[1]P-GENERAL'!P266="","",'[1]P-GENERAL'!P266)</f>
        <v>0.66319444444444442</v>
      </c>
      <c r="Q266" t="str">
        <f>IF('[1]P-GENERAL'!Q266="","",'[1]P-GENERAL'!Q266)</f>
        <v>NORMAL</v>
      </c>
      <c r="R266" s="14">
        <f>IF('[1]P-GENERAL'!R266="","",'[1]P-GENERAL'!R266)</f>
        <v>46283</v>
      </c>
      <c r="S266" s="16">
        <f>IF('[1]P-GENERAL'!S266="","",'[1]P-GENERAL'!S266)</f>
        <v>0.77083333333333337</v>
      </c>
      <c r="T266" s="16">
        <f>IF('[1]P-GENERAL'!T266="","",'[1]P-GENERAL'!T266)</f>
        <v>0.35416666666666669</v>
      </c>
      <c r="U266" s="17">
        <f>IF('[1]P-GENERAL'!U266="","",'[1]P-GENERAL'!U266)</f>
        <v>46284.125</v>
      </c>
      <c r="V266" s="14">
        <f>IF('[1]P-GENERAL'!V266="","",'[1]P-GENERAL'!V266)</f>
        <v>46286</v>
      </c>
      <c r="W266" s="16">
        <f>IF('[1]P-GENERAL'!W266="","",'[1]P-GENERAL'!W266)</f>
        <v>0.33333333333333331</v>
      </c>
      <c r="X266" s="14" t="str">
        <f>IF('[1]P-GENERAL'!X266="","",'[1]P-GENERAL'!X266)</f>
        <v>SI CUMPLE</v>
      </c>
      <c r="Y266" s="14" t="str">
        <f>IF('[1]P-GENERAL'!Y266="","",'[1]P-GENERAL'!Y266)</f>
        <v>NO CUMPLE</v>
      </c>
      <c r="Z266" s="14" t="str">
        <f>IF('[1]P-GENERAL'!Z266="","",'[1]P-GENERAL'!Z266)</f>
        <v/>
      </c>
      <c r="AA266" s="14" t="str">
        <f>IF('[1]P-GENERAL'!AA266="","",'[1]P-GENERAL'!AA266)</f>
        <v>DESPACHADO</v>
      </c>
      <c r="AB266" s="8" t="str">
        <f>IF('[1]P-GENERAL'!AB266="","",'[1]P-GENERAL'!AB266)</f>
        <v>AUTO EXPRESS SEGOVIA</v>
      </c>
      <c r="AC266" s="8" t="str">
        <f>IF('[1]P-GENERAL'!AC266="","",'[1]P-GENERAL'!AC266)</f>
        <v/>
      </c>
      <c r="AD266" t="str">
        <f>IF('[1]P-GENERAL'!AD266="","",'[1]P-GENERAL'!AD266)</f>
        <v/>
      </c>
      <c r="AE266" t="str">
        <f>IF('[1]P-GENERAL'!AE266="","",'[1]P-GENERAL'!AE266)</f>
        <v/>
      </c>
    </row>
    <row r="267" spans="1:31" ht="20.25" x14ac:dyDescent="0.3">
      <c r="A267" s="11" t="str">
        <f>IF('[1]P-GENERAL'!A267="","",'[1]P-GENERAL'!A267)</f>
        <v>Chanitos Premium Tarima Chep</v>
      </c>
      <c r="B267" s="11" t="str">
        <f>IF('[1]P-GENERAL'!B267="","",'[1]P-GENERAL'!B267)</f>
        <v>CPR01102</v>
      </c>
      <c r="C267" t="str">
        <f>IF('[1]P-GENERAL'!C267="","",'[1]P-GENERAL'!C267)</f>
        <v>A01003-381909-1</v>
      </c>
      <c r="D267" t="str">
        <f>IF('[1]P-GENERAL'!D267="","",'[1]P-GENERAL'!D267)</f>
        <v>A01 003 Doña Nelly</v>
      </c>
      <c r="E267" s="8" t="str">
        <f>IF('[1]P-GENERAL'!E267="","",'[1]P-GENERAL'!E267)</f>
        <v>Chalco</v>
      </c>
      <c r="F267" s="12">
        <f>IF('[1]P-GENERAL'!F267="","",'[1]P-GENERAL'!F267)</f>
        <v>288</v>
      </c>
      <c r="G267" s="13">
        <f>IF('[1]P-GENERAL'!G267="","",'[1]P-GENERAL'!G267)</f>
        <v>6</v>
      </c>
      <c r="H267" s="14">
        <f>IF('[1]P-GENERAL'!H267="","",'[1]P-GENERAL'!H267)</f>
        <v>46284</v>
      </c>
      <c r="I267">
        <f>IF('[1]P-GENERAL'!I267="","",'[1]P-GENERAL'!I267)</f>
        <v>38</v>
      </c>
      <c r="J267" s="15">
        <f>IF('[1]P-GENERAL'!J267="","",'[1]P-GENERAL'!J267)</f>
        <v>46288</v>
      </c>
      <c r="K267" s="14" t="str">
        <f>IF('[1]P-GENERAL'!K267="","",'[1]P-GENERAL'!K267)</f>
        <v/>
      </c>
      <c r="L267" s="14" t="str">
        <f>IF('[1]P-GENERAL'!L267="","",'[1]P-GENERAL'!L267)</f>
        <v>PREENFRIO NELLY</v>
      </c>
      <c r="M267">
        <f>IF('[1]P-GENERAL'!M267="","",'[1]P-GENERAL'!M267)</f>
        <v>1</v>
      </c>
      <c r="N267">
        <f>IF('[1]P-GENERAL'!N267="","",'[1]P-GENERAL'!N267)</f>
        <v>24</v>
      </c>
      <c r="O267" s="14">
        <f>IF('[1]P-GENERAL'!O267="","",'[1]P-GENERAL'!O267)</f>
        <v>46284</v>
      </c>
      <c r="P267" s="16">
        <f>IF('[1]P-GENERAL'!P267="","",'[1]P-GENERAL'!P267)</f>
        <v>0.68402777777777779</v>
      </c>
      <c r="Q267" t="str">
        <f>IF('[1]P-GENERAL'!Q267="","",'[1]P-GENERAL'!Q267)</f>
        <v>ALTA</v>
      </c>
      <c r="R267" s="14">
        <f>IF('[1]P-GENERAL'!R267="","",'[1]P-GENERAL'!R267)</f>
        <v>46285</v>
      </c>
      <c r="S267" s="16">
        <f>IF('[1]P-GENERAL'!S267="","",'[1]P-GENERAL'!S267)</f>
        <v>0.64583333333333337</v>
      </c>
      <c r="T267" s="16">
        <f>IF('[1]P-GENERAL'!T267="","",'[1]P-GENERAL'!T267)</f>
        <v>0.35416666666666669</v>
      </c>
      <c r="U267" s="17">
        <f>IF('[1]P-GENERAL'!U267="","",'[1]P-GENERAL'!U267)</f>
        <v>46286</v>
      </c>
      <c r="V267" s="14">
        <f>IF('[1]P-GENERAL'!V267="","",'[1]P-GENERAL'!V267)</f>
        <v>46285</v>
      </c>
      <c r="W267" s="16">
        <f>IF('[1]P-GENERAL'!W267="","",'[1]P-GENERAL'!W267)</f>
        <v>0.95833333333333337</v>
      </c>
      <c r="X267" s="14" t="str">
        <f>IF('[1]P-GENERAL'!X267="","",'[1]P-GENERAL'!X267)</f>
        <v>SI CUMPLE</v>
      </c>
      <c r="Y267" s="14" t="str">
        <f>IF('[1]P-GENERAL'!Y267="","",'[1]P-GENERAL'!Y267)</f>
        <v>SI CUMPLE</v>
      </c>
      <c r="Z267" s="14" t="str">
        <f>IF('[1]P-GENERAL'!Z267="","",'[1]P-GENERAL'!Z267)</f>
        <v/>
      </c>
      <c r="AA267" s="14" t="str">
        <f>IF('[1]P-GENERAL'!AA267="","",'[1]P-GENERAL'!AA267)</f>
        <v>DESPACHADO</v>
      </c>
      <c r="AB267" s="8" t="str">
        <f>IF('[1]P-GENERAL'!AB267="","",'[1]P-GENERAL'!AB267)</f>
        <v>JONATHAN CARRILLO</v>
      </c>
      <c r="AC267" s="8" t="str">
        <f>IF('[1]P-GENERAL'!AC267="","",'[1]P-GENERAL'!AC267)</f>
        <v>GEOVANI ESPINO</v>
      </c>
      <c r="AD267">
        <f>IF('[1]P-GENERAL'!AD267="","",'[1]P-GENERAL'!AD267)</f>
        <v>23678</v>
      </c>
      <c r="AE267" t="str">
        <f>IF('[1]P-GENERAL'!AE267="","",'[1]P-GENERAL'!AE267)</f>
        <v>QCH1W04HY0</v>
      </c>
    </row>
    <row r="268" spans="1:31" ht="20.25" x14ac:dyDescent="0.3">
      <c r="A268" s="11" t="str">
        <f>IF('[1]P-GENERAL'!A268="","",'[1]P-GENERAL'!A268)</f>
        <v>Chanitos Plantain 20Kg Tarima Americana</v>
      </c>
      <c r="B268" s="11" t="str">
        <f>IF('[1]P-GENERAL'!B268="","",'[1]P-GENERAL'!B268)</f>
        <v>CPL08134</v>
      </c>
      <c r="C268" t="str">
        <f>IF('[1]P-GENERAL'!C268="","",'[1]P-GENERAL'!C268)</f>
        <v>A15063-392209-1</v>
      </c>
      <c r="D268" t="str">
        <f>IF('[1]P-GENERAL'!D268="","",'[1]P-GENERAL'!D268)</f>
        <v xml:space="preserve">A15 063 Zaragoza </v>
      </c>
      <c r="E268" s="8" t="str">
        <f>IF('[1]P-GENERAL'!E268="","",'[1]P-GENERAL'!E268)</f>
        <v>CEDA</v>
      </c>
      <c r="F268" s="12">
        <f>IF('[1]P-GENERAL'!F268="","",'[1]P-GENERAL'!F268)</f>
        <v>240</v>
      </c>
      <c r="G268" s="13">
        <f>IF('[1]P-GENERAL'!G268="","",'[1]P-GENERAL'!G268)</f>
        <v>5</v>
      </c>
      <c r="H268" s="14">
        <f>IF('[1]P-GENERAL'!H268="","",'[1]P-GENERAL'!H268)</f>
        <v>46287</v>
      </c>
      <c r="I268">
        <f>IF('[1]P-GENERAL'!I268="","",'[1]P-GENERAL'!I268)</f>
        <v>39</v>
      </c>
      <c r="J268" s="15">
        <f>IF('[1]P-GENERAL'!J268="","",'[1]P-GENERAL'!J268)</f>
        <v>46288</v>
      </c>
      <c r="K268" s="14" t="str">
        <f>IF('[1]P-GENERAL'!K268="","",'[1]P-GENERAL'!K268)</f>
        <v/>
      </c>
      <c r="L268" s="14" t="str">
        <f>IF('[1]P-GENERAL'!L268="","",'[1]P-GENERAL'!L268)</f>
        <v>PREENFRIO FORTALEZA</v>
      </c>
      <c r="M268">
        <f>IF('[1]P-GENERAL'!M268="","",'[1]P-GENERAL'!M268)</f>
        <v>1.5</v>
      </c>
      <c r="N268">
        <f>IF('[1]P-GENERAL'!N268="","",'[1]P-GENERAL'!N268)</f>
        <v>36</v>
      </c>
      <c r="O268" s="14">
        <f>IF('[1]P-GENERAL'!O268="","",'[1]P-GENERAL'!O268)</f>
        <v>46288</v>
      </c>
      <c r="P268" s="16">
        <f>IF('[1]P-GENERAL'!P268="","",'[1]P-GENERAL'!P268)</f>
        <v>0.83333333333333337</v>
      </c>
      <c r="Q268" t="str">
        <f>IF('[1]P-GENERAL'!Q268="","",'[1]P-GENERAL'!Q268)</f>
        <v>NORMAL</v>
      </c>
      <c r="R268" s="14">
        <f>IF('[1]P-GENERAL'!R268="","",'[1]P-GENERAL'!R268)</f>
        <v>46288</v>
      </c>
      <c r="S268" s="16">
        <f>IF('[1]P-GENERAL'!S268="","",'[1]P-GENERAL'!S268)</f>
        <v>0.87986111111111109</v>
      </c>
      <c r="T268" s="16">
        <f>IF('[1]P-GENERAL'!T268="","",'[1]P-GENERAL'!T268)</f>
        <v>0.41666666666666669</v>
      </c>
      <c r="U268" s="17">
        <f>IF('[1]P-GENERAL'!U268="","",'[1]P-GENERAL'!U268)</f>
        <v>46289.296527777777</v>
      </c>
      <c r="V268" s="14">
        <f>IF('[1]P-GENERAL'!V268="","",'[1]P-GENERAL'!V268)</f>
        <v>46289</v>
      </c>
      <c r="W268" s="16">
        <f>IF('[1]P-GENERAL'!W268="","",'[1]P-GENERAL'!W268)</f>
        <v>0.4861111111111111</v>
      </c>
      <c r="X268" s="14" t="str">
        <f>IF('[1]P-GENERAL'!X268="","",'[1]P-GENERAL'!X268)</f>
        <v>NO CUMPLE</v>
      </c>
      <c r="Y268" s="14" t="str">
        <f>IF('[1]P-GENERAL'!Y268="","",'[1]P-GENERAL'!Y268)</f>
        <v>NO CUMPLE</v>
      </c>
      <c r="Z268" s="14" t="str">
        <f>IF('[1]P-GENERAL'!Z268="","",'[1]P-GENERAL'!Z268)</f>
        <v/>
      </c>
      <c r="AA268" s="14" t="str">
        <f>IF('[1]P-GENERAL'!AA268="","",'[1]P-GENERAL'!AA268)</f>
        <v>DESPACHADO</v>
      </c>
      <c r="AB268" s="8" t="str">
        <f>IF('[1]P-GENERAL'!AB268="","",'[1]P-GENERAL'!AB268)</f>
        <v>EDUARDO ROSALES</v>
      </c>
      <c r="AC268" s="8" t="str">
        <f>IF('[1]P-GENERAL'!AC268="","",'[1]P-GENERAL'!AC268)</f>
        <v>EDUARDO ROSALES</v>
      </c>
      <c r="AD268">
        <f>IF('[1]P-GENERAL'!AD268="","",'[1]P-GENERAL'!AD268)</f>
        <v>73448</v>
      </c>
      <c r="AE268" t="str">
        <f>IF('[1]P-GENERAL'!AE268="","",'[1]P-GENERAL'!AE268)</f>
        <v>N/A</v>
      </c>
    </row>
    <row r="269" spans="1:31" ht="20.25" x14ac:dyDescent="0.3">
      <c r="A269" s="11" t="str">
        <f>IF('[1]P-GENERAL'!A269="","",'[1]P-GENERAL'!A269)</f>
        <v>Chanitos Plantain 20Kg Tarima Americana</v>
      </c>
      <c r="B269" s="11" t="str">
        <f>IF('[1]P-GENERAL'!B269="","",'[1]P-GENERAL'!B269)</f>
        <v>CPL08134</v>
      </c>
      <c r="C269" t="str">
        <f>IF('[1]P-GENERAL'!C269="","",'[1]P-GENERAL'!C269)</f>
        <v>A15063-392209-1</v>
      </c>
      <c r="D269" t="str">
        <f>IF('[1]P-GENERAL'!D269="","",'[1]P-GENERAL'!D269)</f>
        <v xml:space="preserve">A15 063 Zaragoza </v>
      </c>
      <c r="E269" s="8" t="str">
        <f>IF('[1]P-GENERAL'!E269="","",'[1]P-GENERAL'!E269)</f>
        <v>CEDA</v>
      </c>
      <c r="F269" s="12">
        <f>IF('[1]P-GENERAL'!F269="","",'[1]P-GENERAL'!F269)</f>
        <v>240</v>
      </c>
      <c r="G269" s="13">
        <f>IF('[1]P-GENERAL'!G269="","",'[1]P-GENERAL'!G269)</f>
        <v>5</v>
      </c>
      <c r="H269" s="14">
        <f>IF('[1]P-GENERAL'!H269="","",'[1]P-GENERAL'!H269)</f>
        <v>46288</v>
      </c>
      <c r="I269">
        <f>IF('[1]P-GENERAL'!I269="","",'[1]P-GENERAL'!I269)</f>
        <v>39</v>
      </c>
      <c r="J269" s="15">
        <f>IF('[1]P-GENERAL'!J269="","",'[1]P-GENERAL'!J269)</f>
        <v>46288</v>
      </c>
      <c r="K269" s="14" t="str">
        <f>IF('[1]P-GENERAL'!K269="","",'[1]P-GENERAL'!K269)</f>
        <v/>
      </c>
      <c r="L269" s="14" t="str">
        <f>IF('[1]P-GENERAL'!L269="","",'[1]P-GENERAL'!L269)</f>
        <v>PREENFRIO FORTALEZA</v>
      </c>
      <c r="M269">
        <f>IF('[1]P-GENERAL'!M269="","",'[1]P-GENERAL'!M269)</f>
        <v>1.5</v>
      </c>
      <c r="N269">
        <f>IF('[1]P-GENERAL'!N269="","",'[1]P-GENERAL'!N269)</f>
        <v>36</v>
      </c>
      <c r="O269" s="14">
        <f>IF('[1]P-GENERAL'!O269="","",'[1]P-GENERAL'!O269)</f>
        <v>46288</v>
      </c>
      <c r="P269" s="16">
        <f>IF('[1]P-GENERAL'!P269="","",'[1]P-GENERAL'!P269)</f>
        <v>0.83333333333333337</v>
      </c>
      <c r="Q269" t="str">
        <f>IF('[1]P-GENERAL'!Q269="","",'[1]P-GENERAL'!Q269)</f>
        <v>NORMAL</v>
      </c>
      <c r="R269" s="14">
        <f>IF('[1]P-GENERAL'!R269="","",'[1]P-GENERAL'!R269)</f>
        <v>46289</v>
      </c>
      <c r="S269" s="16">
        <f>IF('[1]P-GENERAL'!S269="","",'[1]P-GENERAL'!S269)</f>
        <v>0.33541666666666664</v>
      </c>
      <c r="T269" s="16">
        <f>IF('[1]P-GENERAL'!T269="","",'[1]P-GENERAL'!T269)</f>
        <v>0.25</v>
      </c>
      <c r="U269" s="17">
        <f>IF('[1]P-GENERAL'!U269="","",'[1]P-GENERAL'!U269)</f>
        <v>46289.585416666669</v>
      </c>
      <c r="V269" s="14">
        <f>IF('[1]P-GENERAL'!V269="","",'[1]P-GENERAL'!V269)</f>
        <v>46289</v>
      </c>
      <c r="W269" s="16">
        <f>IF('[1]P-GENERAL'!W269="","",'[1]P-GENERAL'!W269)</f>
        <v>0.4861111111111111</v>
      </c>
      <c r="X269" s="14" t="str">
        <f>IF('[1]P-GENERAL'!X269="","",'[1]P-GENERAL'!X269)</f>
        <v>NO CUMPLE</v>
      </c>
      <c r="Y269" s="14" t="str">
        <f>IF('[1]P-GENERAL'!Y269="","",'[1]P-GENERAL'!Y269)</f>
        <v>NO CUMPLE</v>
      </c>
      <c r="Z269" s="14" t="str">
        <f>IF('[1]P-GENERAL'!Z269="","",'[1]P-GENERAL'!Z269)</f>
        <v/>
      </c>
      <c r="AA269" s="14" t="str">
        <f>IF('[1]P-GENERAL'!AA269="","",'[1]P-GENERAL'!AA269)</f>
        <v>DESPACHADO</v>
      </c>
      <c r="AB269" s="8" t="str">
        <f>IF('[1]P-GENERAL'!AB269="","",'[1]P-GENERAL'!AB269)</f>
        <v>EDUARDO ROSALES</v>
      </c>
      <c r="AC269" s="8" t="str">
        <f>IF('[1]P-GENERAL'!AC269="","",'[1]P-GENERAL'!AC269)</f>
        <v>EDUARDO ROSALES</v>
      </c>
      <c r="AD269">
        <f>IF('[1]P-GENERAL'!AD269="","",'[1]P-GENERAL'!AD269)</f>
        <v>73448</v>
      </c>
      <c r="AE269" t="str">
        <f>IF('[1]P-GENERAL'!AE269="","",'[1]P-GENERAL'!AE269)</f>
        <v>N/A</v>
      </c>
    </row>
    <row r="270" spans="1:31" ht="20.25" x14ac:dyDescent="0.3">
      <c r="A270" s="11" t="str">
        <f>IF('[1]P-GENERAL'!A270="","",'[1]P-GENERAL'!A270)</f>
        <v>Chanitos Premium EUA Tarima Americana</v>
      </c>
      <c r="B270" s="11" t="str">
        <f>IF('[1]P-GENERAL'!B270="","",'[1]P-GENERAL'!B270)</f>
        <v>CPR01104</v>
      </c>
      <c r="C270" t="str">
        <f>IF('[1]P-GENERAL'!C270="","",'[1]P-GENERAL'!C270)</f>
        <v>A01001-381909-1</v>
      </c>
      <c r="D270" t="str">
        <f>IF('[1]P-GENERAL'!D270="","",'[1]P-GENERAL'!D270)</f>
        <v>A01 001 Marbella</v>
      </c>
      <c r="E270" s="8" t="str">
        <f>IF('[1]P-GENERAL'!E270="","",'[1]P-GENERAL'!E270)</f>
        <v>McAllen</v>
      </c>
      <c r="F270" s="12">
        <f>IF('[1]P-GENERAL'!F270="","",'[1]P-GENERAL'!F270)</f>
        <v>960</v>
      </c>
      <c r="G270" s="13">
        <f>IF('[1]P-GENERAL'!G270="","",'[1]P-GENERAL'!G270)</f>
        <v>20</v>
      </c>
      <c r="H270" s="14">
        <f>IF('[1]P-GENERAL'!H270="","",'[1]P-GENERAL'!H270)</f>
        <v>46284</v>
      </c>
      <c r="I270">
        <f>IF('[1]P-GENERAL'!I270="","",'[1]P-GENERAL'!I270)</f>
        <v>38</v>
      </c>
      <c r="J270" s="15">
        <f>IF('[1]P-GENERAL'!J270="","",'[1]P-GENERAL'!J270)</f>
        <v>46289</v>
      </c>
      <c r="K270" s="14" t="str">
        <f>IF('[1]P-GENERAL'!K270="","",'[1]P-GENERAL'!K270)</f>
        <v/>
      </c>
      <c r="L270" s="14" t="str">
        <f>IF('[1]P-GENERAL'!L270="","",'[1]P-GENERAL'!L270)</f>
        <v>PREENFRIO NELLY</v>
      </c>
      <c r="M270">
        <f>IF('[1]P-GENERAL'!M270="","",'[1]P-GENERAL'!M270)</f>
        <v>3</v>
      </c>
      <c r="N270">
        <f>IF('[1]P-GENERAL'!N270="","",'[1]P-GENERAL'!N270)</f>
        <v>72</v>
      </c>
      <c r="O270" s="14">
        <f>IF('[1]P-GENERAL'!O270="","",'[1]P-GENERAL'!O270)</f>
        <v>46284</v>
      </c>
      <c r="P270" s="16">
        <f>IF('[1]P-GENERAL'!P270="","",'[1]P-GENERAL'!P270)</f>
        <v>0.82291666666666663</v>
      </c>
      <c r="Q270" t="str">
        <f>IF('[1]P-GENERAL'!Q270="","",'[1]P-GENERAL'!Q270)</f>
        <v>NORMAL</v>
      </c>
      <c r="R270" s="14">
        <f>IF('[1]P-GENERAL'!R270="","",'[1]P-GENERAL'!R270)</f>
        <v>46285</v>
      </c>
      <c r="S270" s="16">
        <f>IF('[1]P-GENERAL'!S270="","",'[1]P-GENERAL'!S270)</f>
        <v>0.81597222222222221</v>
      </c>
      <c r="T270" s="16">
        <f>IF('[1]P-GENERAL'!T270="","",'[1]P-GENERAL'!T270)</f>
        <v>0.35416666666666669</v>
      </c>
      <c r="U270" s="17">
        <f>IF('[1]P-GENERAL'!U270="","",'[1]P-GENERAL'!U270)</f>
        <v>46286.170138888883</v>
      </c>
      <c r="V270" s="14">
        <f>IF('[1]P-GENERAL'!V270="","",'[1]P-GENERAL'!V270)</f>
        <v>46286</v>
      </c>
      <c r="W270" s="16">
        <f>IF('[1]P-GENERAL'!W270="","",'[1]P-GENERAL'!W270)</f>
        <v>0.33333333333333331</v>
      </c>
      <c r="X270" s="14" t="str">
        <f>IF('[1]P-GENERAL'!X270="","",'[1]P-GENERAL'!X270)</f>
        <v>NO CUMPLE</v>
      </c>
      <c r="Y270" s="14" t="str">
        <f>IF('[1]P-GENERAL'!Y270="","",'[1]P-GENERAL'!Y270)</f>
        <v>NO CUMPLE</v>
      </c>
      <c r="Z270" s="14" t="str">
        <f>IF('[1]P-GENERAL'!Z270="","",'[1]P-GENERAL'!Z270)</f>
        <v/>
      </c>
      <c r="AA270" s="14" t="str">
        <f>IF('[1]P-GENERAL'!AA270="","",'[1]P-GENERAL'!AA270)</f>
        <v>DESPACHADO</v>
      </c>
      <c r="AB270" s="8" t="str">
        <f>IF('[1]P-GENERAL'!AB270="","",'[1]P-GENERAL'!AB270)</f>
        <v>AUTO EXPRESS SEGOVIA</v>
      </c>
      <c r="AC270" s="8" t="str">
        <f>IF('[1]P-GENERAL'!AC270="","",'[1]P-GENERAL'!AC270)</f>
        <v/>
      </c>
      <c r="AD270" t="str">
        <f>IF('[1]P-GENERAL'!AD270="","",'[1]P-GENERAL'!AD270)</f>
        <v/>
      </c>
      <c r="AE270" t="str">
        <f>IF('[1]P-GENERAL'!AE270="","",'[1]P-GENERAL'!AE270)</f>
        <v/>
      </c>
    </row>
    <row r="271" spans="1:31" ht="20.25" x14ac:dyDescent="0.3">
      <c r="A271" s="11" t="str">
        <f>IF('[1]P-GENERAL'!A271="","",'[1]P-GENERAL'!A271)</f>
        <v>Chanitos Premium Tarima Chep</v>
      </c>
      <c r="B271" s="11" t="str">
        <f>IF('[1]P-GENERAL'!B271="","",'[1]P-GENERAL'!B271)</f>
        <v>CPR01102</v>
      </c>
      <c r="C271" t="str">
        <f>IF('[1]P-GENERAL'!C271="","",'[1]P-GENERAL'!C271)</f>
        <v>A01001-381809-1</v>
      </c>
      <c r="D271" t="str">
        <f>IF('[1]P-GENERAL'!D271="","",'[1]P-GENERAL'!D271)</f>
        <v>A01 001 Marbella</v>
      </c>
      <c r="E271" s="8" t="str">
        <f>IF('[1]P-GENERAL'!E271="","",'[1]P-GENERAL'!E271)</f>
        <v>SMO</v>
      </c>
      <c r="F271" s="12">
        <f>IF('[1]P-GENERAL'!F271="","",'[1]P-GENERAL'!F271)</f>
        <v>96</v>
      </c>
      <c r="G271" s="13">
        <f>IF('[1]P-GENERAL'!G271="","",'[1]P-GENERAL'!G271)</f>
        <v>2</v>
      </c>
      <c r="H271" s="14">
        <f>IF('[1]P-GENERAL'!H271="","",'[1]P-GENERAL'!H271)</f>
        <v>46283</v>
      </c>
      <c r="I271">
        <f>IF('[1]P-GENERAL'!I271="","",'[1]P-GENERAL'!I271)</f>
        <v>38</v>
      </c>
      <c r="J271" s="15">
        <f>IF('[1]P-GENERAL'!J271="","",'[1]P-GENERAL'!J271)</f>
        <v>46289</v>
      </c>
      <c r="K271" s="14" t="str">
        <f>IF('[1]P-GENERAL'!K271="","",'[1]P-GENERAL'!K271)</f>
        <v/>
      </c>
      <c r="L271" s="14" t="str">
        <f>IF('[1]P-GENERAL'!L271="","",'[1]P-GENERAL'!L271)</f>
        <v>PREENFRIO FORTALEZA</v>
      </c>
      <c r="M271">
        <f>IF('[1]P-GENERAL'!M271="","",'[1]P-GENERAL'!M271)</f>
        <v>1.5</v>
      </c>
      <c r="N271">
        <f>IF('[1]P-GENERAL'!N271="","",'[1]P-GENERAL'!N271)</f>
        <v>36</v>
      </c>
      <c r="O271" s="14">
        <f>IF('[1]P-GENERAL'!O271="","",'[1]P-GENERAL'!O271)</f>
        <v>46283</v>
      </c>
      <c r="P271" s="16">
        <f>IF('[1]P-GENERAL'!P271="","",'[1]P-GENERAL'!P271)</f>
        <v>0.74722222222222223</v>
      </c>
      <c r="Q271" t="str">
        <f>IF('[1]P-GENERAL'!Q271="","",'[1]P-GENERAL'!Q271)</f>
        <v>NORMAL</v>
      </c>
      <c r="R271" s="14">
        <f>IF('[1]P-GENERAL'!R271="","",'[1]P-GENERAL'!R271)</f>
        <v>46285</v>
      </c>
      <c r="S271" s="16">
        <f>IF('[1]P-GENERAL'!S271="","",'[1]P-GENERAL'!S271)</f>
        <v>0.7631944444444444</v>
      </c>
      <c r="T271" s="16">
        <f>IF('[1]P-GENERAL'!T271="","",'[1]P-GENERAL'!T271)</f>
        <v>0.20833333333333334</v>
      </c>
      <c r="U271" s="17">
        <f>IF('[1]P-GENERAL'!U271="","",'[1]P-GENERAL'!U271)</f>
        <v>46285.97152777778</v>
      </c>
      <c r="V271" s="14">
        <f>IF('[1]P-GENERAL'!V271="","",'[1]P-GENERAL'!V271)</f>
        <v>46287</v>
      </c>
      <c r="W271" s="16">
        <f>IF('[1]P-GENERAL'!W271="","",'[1]P-GENERAL'!W271)</f>
        <v>0.31180555555555556</v>
      </c>
      <c r="X271" s="14" t="str">
        <f>IF('[1]P-GENERAL'!X271="","",'[1]P-GENERAL'!X271)</f>
        <v>SI CUMPLE</v>
      </c>
      <c r="Y271" s="14" t="str">
        <f>IF('[1]P-GENERAL'!Y271="","",'[1]P-GENERAL'!Y271)</f>
        <v>SI CUMPLE</v>
      </c>
      <c r="Z271" s="14" t="str">
        <f>IF('[1]P-GENERAL'!Z271="","",'[1]P-GENERAL'!Z271)</f>
        <v/>
      </c>
      <c r="AA271" s="14" t="str">
        <f>IF('[1]P-GENERAL'!AA271="","",'[1]P-GENERAL'!AA271)</f>
        <v>DESPACHADO</v>
      </c>
      <c r="AB271" s="8" t="str">
        <f>IF('[1]P-GENERAL'!AB271="","",'[1]P-GENERAL'!AB271)</f>
        <v>GUILLERMO PEREZ PEREZ</v>
      </c>
      <c r="AC271" s="8" t="str">
        <f>IF('[1]P-GENERAL'!AC271="","",'[1]P-GENERAL'!AC271)</f>
        <v>ERICK RUBEN SANCHEZ</v>
      </c>
      <c r="AD271">
        <f>IF('[1]P-GENERAL'!AD271="","",'[1]P-GENERAL'!AD271)</f>
        <v>16271</v>
      </c>
      <c r="AE271" t="str">
        <f>IF('[1]P-GENERAL'!AE271="","",'[1]P-GENERAL'!AE271)</f>
        <v>QCH1W04JB0</v>
      </c>
    </row>
    <row r="272" spans="1:31" ht="20.25" x14ac:dyDescent="0.3">
      <c r="A272" s="11" t="str">
        <f>IF('[1]P-GENERAL'!A272="","",'[1]P-GENERAL'!A272)</f>
        <v>Chanitos Organic Banded Market Side Mexico</v>
      </c>
      <c r="B272" s="11" t="str">
        <f>IF('[1]P-GENERAL'!B272="","",'[1]P-GENERAL'!B272)</f>
        <v>CRG07128</v>
      </c>
      <c r="C272" t="str">
        <f>IF('[1]P-GENERAL'!C272="","",'[1]P-GENERAL'!C272)</f>
        <v>A01002-381809-1</v>
      </c>
      <c r="D272" t="str">
        <f>IF('[1]P-GENERAL'!D272="","",'[1]P-GENERAL'!D272)</f>
        <v>A01 002 Fortaleza</v>
      </c>
      <c r="E272" s="8" t="str">
        <f>IF('[1]P-GENERAL'!E272="","",'[1]P-GENERAL'!E272)</f>
        <v>SMO</v>
      </c>
      <c r="F272" s="12">
        <f>IF('[1]P-GENERAL'!F272="","",'[1]P-GENERAL'!F272)</f>
        <v>288</v>
      </c>
      <c r="G272" s="13">
        <f>IF('[1]P-GENERAL'!G272="","",'[1]P-GENERAL'!G272)</f>
        <v>6</v>
      </c>
      <c r="H272" s="14">
        <f>IF('[1]P-GENERAL'!H272="","",'[1]P-GENERAL'!H272)</f>
        <v>46283</v>
      </c>
      <c r="I272">
        <f>IF('[1]P-GENERAL'!I272="","",'[1]P-GENERAL'!I272)</f>
        <v>38</v>
      </c>
      <c r="J272" s="15">
        <f>IF('[1]P-GENERAL'!J272="","",'[1]P-GENERAL'!J272)</f>
        <v>46289</v>
      </c>
      <c r="K272" s="14" t="str">
        <f>IF('[1]P-GENERAL'!K272="","",'[1]P-GENERAL'!K272)</f>
        <v/>
      </c>
      <c r="L272" s="14" t="str">
        <f>IF('[1]P-GENERAL'!L272="","",'[1]P-GENERAL'!L272)</f>
        <v>PREENFRIO FORTALEZA</v>
      </c>
      <c r="M272">
        <f>IF('[1]P-GENERAL'!M272="","",'[1]P-GENERAL'!M272)</f>
        <v>1.5</v>
      </c>
      <c r="N272">
        <f>IF('[1]P-GENERAL'!N272="","",'[1]P-GENERAL'!N272)</f>
        <v>36</v>
      </c>
      <c r="O272" s="14">
        <f>IF('[1]P-GENERAL'!O272="","",'[1]P-GENERAL'!O272)</f>
        <v>46283</v>
      </c>
      <c r="P272" s="16">
        <f>IF('[1]P-GENERAL'!P272="","",'[1]P-GENERAL'!P272)</f>
        <v>0.72847222222222219</v>
      </c>
      <c r="Q272" t="str">
        <f>IF('[1]P-GENERAL'!Q272="","",'[1]P-GENERAL'!Q272)</f>
        <v>NORMAL</v>
      </c>
      <c r="R272" s="14">
        <f>IF('[1]P-GENERAL'!R272="","",'[1]P-GENERAL'!R272)</f>
        <v>46285</v>
      </c>
      <c r="S272" s="16">
        <f>IF('[1]P-GENERAL'!S272="","",'[1]P-GENERAL'!S272)</f>
        <v>0.7631944444444444</v>
      </c>
      <c r="T272" s="16">
        <f>IF('[1]P-GENERAL'!T272="","",'[1]P-GENERAL'!T272)</f>
        <v>0.20833333333333334</v>
      </c>
      <c r="U272" s="17">
        <f>IF('[1]P-GENERAL'!U272="","",'[1]P-GENERAL'!U272)</f>
        <v>46285.97152777778</v>
      </c>
      <c r="V272" s="14">
        <f>IF('[1]P-GENERAL'!V272="","",'[1]P-GENERAL'!V272)</f>
        <v>46287</v>
      </c>
      <c r="W272" s="16">
        <f>IF('[1]P-GENERAL'!W272="","",'[1]P-GENERAL'!W272)</f>
        <v>0.31180555555555556</v>
      </c>
      <c r="X272" s="14" t="str">
        <f>IF('[1]P-GENERAL'!X272="","",'[1]P-GENERAL'!X272)</f>
        <v>SI CUMPLE</v>
      </c>
      <c r="Y272" s="14" t="str">
        <f>IF('[1]P-GENERAL'!Y272="","",'[1]P-GENERAL'!Y272)</f>
        <v>SI CUMPLE</v>
      </c>
      <c r="Z272" s="14" t="str">
        <f>IF('[1]P-GENERAL'!Z272="","",'[1]P-GENERAL'!Z272)</f>
        <v/>
      </c>
      <c r="AA272" s="14" t="str">
        <f>IF('[1]P-GENERAL'!AA272="","",'[1]P-GENERAL'!AA272)</f>
        <v>DESPACHADO</v>
      </c>
      <c r="AB272" s="8" t="str">
        <f>IF('[1]P-GENERAL'!AB272="","",'[1]P-GENERAL'!AB272)</f>
        <v>GUILLERMO PEREZ PEREZ</v>
      </c>
      <c r="AC272" s="8" t="str">
        <f>IF('[1]P-GENERAL'!AC272="","",'[1]P-GENERAL'!AC272)</f>
        <v>ERICK RUBEN SANCHEZ</v>
      </c>
      <c r="AD272">
        <f>IF('[1]P-GENERAL'!AD272="","",'[1]P-GENERAL'!AD272)</f>
        <v>16271</v>
      </c>
      <c r="AE272" t="str">
        <f>IF('[1]P-GENERAL'!AE272="","",'[1]P-GENERAL'!AE272)</f>
        <v>QCH1W04JB0</v>
      </c>
    </row>
    <row r="273" spans="1:31" ht="20.25" x14ac:dyDescent="0.3">
      <c r="A273" s="11" t="str">
        <f>IF('[1]P-GENERAL'!A273="","",'[1]P-GENERAL'!A273)</f>
        <v>Chanitos Organic Banded Market Side Mexico</v>
      </c>
      <c r="B273" s="11" t="str">
        <f>IF('[1]P-GENERAL'!B273="","",'[1]P-GENERAL'!B273)</f>
        <v>CRG07128</v>
      </c>
      <c r="C273" t="str">
        <f>IF('[1]P-GENERAL'!C273="","",'[1]P-GENERAL'!C273)</f>
        <v>A01002-381809-1</v>
      </c>
      <c r="D273" t="str">
        <f>IF('[1]P-GENERAL'!D273="","",'[1]P-GENERAL'!D273)</f>
        <v>A01 002 Fortaleza</v>
      </c>
      <c r="E273" s="8" t="str">
        <f>IF('[1]P-GENERAL'!E273="","",'[1]P-GENERAL'!E273)</f>
        <v>VSA</v>
      </c>
      <c r="F273" s="12">
        <f>IF('[1]P-GENERAL'!F273="","",'[1]P-GENERAL'!F273)</f>
        <v>240</v>
      </c>
      <c r="G273" s="13">
        <f>IF('[1]P-GENERAL'!G273="","",'[1]P-GENERAL'!G273)</f>
        <v>5</v>
      </c>
      <c r="H273" s="14">
        <f>IF('[1]P-GENERAL'!H273="","",'[1]P-GENERAL'!H273)</f>
        <v>46283</v>
      </c>
      <c r="I273">
        <f>IF('[1]P-GENERAL'!I273="","",'[1]P-GENERAL'!I273)</f>
        <v>38</v>
      </c>
      <c r="J273" s="15">
        <f>IF('[1]P-GENERAL'!J273="","",'[1]P-GENERAL'!J273)</f>
        <v>46289</v>
      </c>
      <c r="K273" s="14" t="str">
        <f>IF('[1]P-GENERAL'!K273="","",'[1]P-GENERAL'!K273)</f>
        <v/>
      </c>
      <c r="L273" s="14" t="str">
        <f>IF('[1]P-GENERAL'!L273="","",'[1]P-GENERAL'!L273)</f>
        <v>PREENFRIO FORTALEZA</v>
      </c>
      <c r="M273">
        <f>IF('[1]P-GENERAL'!M273="","",'[1]P-GENERAL'!M273)</f>
        <v>1</v>
      </c>
      <c r="N273">
        <f>IF('[1]P-GENERAL'!N273="","",'[1]P-GENERAL'!N273)</f>
        <v>24</v>
      </c>
      <c r="O273" s="14">
        <f>IF('[1]P-GENERAL'!O273="","",'[1]P-GENERAL'!O273)</f>
        <v>46283</v>
      </c>
      <c r="P273" s="16">
        <f>IF('[1]P-GENERAL'!P273="","",'[1]P-GENERAL'!P273)</f>
        <v>0.72847222222222219</v>
      </c>
      <c r="Q273" t="str">
        <f>IF('[1]P-GENERAL'!Q273="","",'[1]P-GENERAL'!Q273)</f>
        <v>NORMAL</v>
      </c>
      <c r="R273" s="14">
        <f>IF('[1]P-GENERAL'!R273="","",'[1]P-GENERAL'!R273)</f>
        <v>46285</v>
      </c>
      <c r="S273" s="16">
        <f>IF('[1]P-GENERAL'!S273="","",'[1]P-GENERAL'!S273)</f>
        <v>0.5395833333333333</v>
      </c>
      <c r="T273" s="16">
        <f>IF('[1]P-GENERAL'!T273="","",'[1]P-GENERAL'!T273)</f>
        <v>0.20833333333333334</v>
      </c>
      <c r="U273" s="17">
        <f>IF('[1]P-GENERAL'!U273="","",'[1]P-GENERAL'!U273)</f>
        <v>46285.747916666667</v>
      </c>
      <c r="V273" s="14">
        <f>IF('[1]P-GENERAL'!V273="","",'[1]P-GENERAL'!V273)</f>
        <v>46287</v>
      </c>
      <c r="W273" s="16">
        <f>IF('[1]P-GENERAL'!W273="","",'[1]P-GENERAL'!W273)</f>
        <v>0.59722222222222221</v>
      </c>
      <c r="X273" s="14" t="str">
        <f>IF('[1]P-GENERAL'!X273="","",'[1]P-GENERAL'!X273)</f>
        <v>SI CUMPLE</v>
      </c>
      <c r="Y273" s="14" t="str">
        <f>IF('[1]P-GENERAL'!Y273="","",'[1]P-GENERAL'!Y273)</f>
        <v>SI CUMPLE</v>
      </c>
      <c r="Z273" s="14" t="str">
        <f>IF('[1]P-GENERAL'!Z273="","",'[1]P-GENERAL'!Z273)</f>
        <v/>
      </c>
      <c r="AA273" s="14" t="str">
        <f>IF('[1]P-GENERAL'!AA273="","",'[1]P-GENERAL'!AA273)</f>
        <v>DESPACHADO</v>
      </c>
      <c r="AB273" s="8" t="str">
        <f>IF('[1]P-GENERAL'!AB273="","",'[1]P-GENERAL'!AB273)</f>
        <v>BACKHAUL</v>
      </c>
      <c r="AC273" s="8" t="str">
        <f>IF('[1]P-GENERAL'!AC273="","",'[1]P-GENERAL'!AC273)</f>
        <v>BRAULIO CORTAZAR BAREZ</v>
      </c>
      <c r="AD273">
        <f>IF('[1]P-GENERAL'!AD273="","",'[1]P-GENERAL'!AD273)</f>
        <v>18198</v>
      </c>
      <c r="AE273" t="str">
        <f>IF('[1]P-GENERAL'!AE273="","",'[1]P-GENERAL'!AE273)</f>
        <v>QCH1W04N10</v>
      </c>
    </row>
    <row r="274" spans="1:31" ht="20.25" x14ac:dyDescent="0.3">
      <c r="A274" s="11" t="str">
        <f>IF('[1]P-GENERAL'!A274="","",'[1]P-GENERAL'!A274)</f>
        <v>Chanitos Premium Tarima Chep</v>
      </c>
      <c r="B274" s="11" t="str">
        <f>IF('[1]P-GENERAL'!B274="","",'[1]P-GENERAL'!B274)</f>
        <v>CPR01102</v>
      </c>
      <c r="C274" t="str">
        <f>IF('[1]P-GENERAL'!C274="","",'[1]P-GENERAL'!C274)</f>
        <v>A01001-381809-1</v>
      </c>
      <c r="D274" t="str">
        <f>IF('[1]P-GENERAL'!D274="","",'[1]P-GENERAL'!D274)</f>
        <v>A01 001 Marbella</v>
      </c>
      <c r="E274" s="8" t="str">
        <f>IF('[1]P-GENERAL'!E274="","",'[1]P-GENERAL'!E274)</f>
        <v>VSA</v>
      </c>
      <c r="F274" s="12">
        <f>IF('[1]P-GENERAL'!F274="","",'[1]P-GENERAL'!F274)</f>
        <v>576</v>
      </c>
      <c r="G274" s="13">
        <f>IF('[1]P-GENERAL'!G274="","",'[1]P-GENERAL'!G274)</f>
        <v>12</v>
      </c>
      <c r="H274" s="14">
        <f>IF('[1]P-GENERAL'!H274="","",'[1]P-GENERAL'!H274)</f>
        <v>46283</v>
      </c>
      <c r="I274">
        <f>IF('[1]P-GENERAL'!I274="","",'[1]P-GENERAL'!I274)</f>
        <v>38</v>
      </c>
      <c r="J274" s="15">
        <f>IF('[1]P-GENERAL'!J274="","",'[1]P-GENERAL'!J274)</f>
        <v>46289</v>
      </c>
      <c r="K274" s="14" t="str">
        <f>IF('[1]P-GENERAL'!K274="","",'[1]P-GENERAL'!K274)</f>
        <v/>
      </c>
      <c r="L274" s="14" t="str">
        <f>IF('[1]P-GENERAL'!L274="","",'[1]P-GENERAL'!L274)</f>
        <v>PREENFRIO FORTALEZA</v>
      </c>
      <c r="M274">
        <f>IF('[1]P-GENERAL'!M274="","",'[1]P-GENERAL'!M274)</f>
        <v>1</v>
      </c>
      <c r="N274">
        <f>IF('[1]P-GENERAL'!N274="","",'[1]P-GENERAL'!N274)</f>
        <v>24</v>
      </c>
      <c r="O274" s="14">
        <f>IF('[1]P-GENERAL'!O274="","",'[1]P-GENERAL'!O274)</f>
        <v>46283</v>
      </c>
      <c r="P274" s="16">
        <f>IF('[1]P-GENERAL'!P274="","",'[1]P-GENERAL'!P274)</f>
        <v>0.74722222222222223</v>
      </c>
      <c r="Q274" t="str">
        <f>IF('[1]P-GENERAL'!Q274="","",'[1]P-GENERAL'!Q274)</f>
        <v>NORMAL</v>
      </c>
      <c r="R274" s="14">
        <f>IF('[1]P-GENERAL'!R274="","",'[1]P-GENERAL'!R274)</f>
        <v>46285</v>
      </c>
      <c r="S274" s="16">
        <f>IF('[1]P-GENERAL'!S274="","",'[1]P-GENERAL'!S274)</f>
        <v>0.94444444444444442</v>
      </c>
      <c r="T274" s="16">
        <f>IF('[1]P-GENERAL'!T274="","",'[1]P-GENERAL'!T274)</f>
        <v>0.20833333333333334</v>
      </c>
      <c r="U274" s="17">
        <f>IF('[1]P-GENERAL'!U274="","",'[1]P-GENERAL'!U274)</f>
        <v>46286.152777777781</v>
      </c>
      <c r="V274" s="14">
        <f>IF('[1]P-GENERAL'!V274="","",'[1]P-GENERAL'!V274)</f>
        <v>46287</v>
      </c>
      <c r="W274" s="16">
        <f>IF('[1]P-GENERAL'!W274="","",'[1]P-GENERAL'!W274)</f>
        <v>0.59722222222222221</v>
      </c>
      <c r="X274" s="14" t="str">
        <f>IF('[1]P-GENERAL'!X274="","",'[1]P-GENERAL'!X274)</f>
        <v>SI CUMPLE</v>
      </c>
      <c r="Y274" s="14" t="str">
        <f>IF('[1]P-GENERAL'!Y274="","",'[1]P-GENERAL'!Y274)</f>
        <v>SI CUMPLE</v>
      </c>
      <c r="Z274" s="14" t="str">
        <f>IF('[1]P-GENERAL'!Z274="","",'[1]P-GENERAL'!Z274)</f>
        <v/>
      </c>
      <c r="AA274" s="14" t="str">
        <f>IF('[1]P-GENERAL'!AA274="","",'[1]P-GENERAL'!AA274)</f>
        <v>DESPACHADO</v>
      </c>
      <c r="AB274" s="8" t="str">
        <f>IF('[1]P-GENERAL'!AB274="","",'[1]P-GENERAL'!AB274)</f>
        <v>BACKHAUL</v>
      </c>
      <c r="AC274" s="8" t="str">
        <f>IF('[1]P-GENERAL'!AC274="","",'[1]P-GENERAL'!AC274)</f>
        <v>BRAULIO CORTAZAR BAREZ</v>
      </c>
      <c r="AD274">
        <f>IF('[1]P-GENERAL'!AD274="","",'[1]P-GENERAL'!AD274)</f>
        <v>18198</v>
      </c>
      <c r="AE274" t="str">
        <f>IF('[1]P-GENERAL'!AE274="","",'[1]P-GENERAL'!AE274)</f>
        <v>QCH1W04N10</v>
      </c>
    </row>
    <row r="275" spans="1:31" ht="20.25" x14ac:dyDescent="0.3">
      <c r="A275" s="11" t="str">
        <f>IF('[1]P-GENERAL'!A275="","",'[1]P-GENERAL'!A275)</f>
        <v>Chanitos Premium Tarima Chep</v>
      </c>
      <c r="B275" s="11" t="str">
        <f>IF('[1]P-GENERAL'!B275="","",'[1]P-GENERAL'!B275)</f>
        <v>CPR01102</v>
      </c>
      <c r="C275" t="str">
        <f>IF('[1]P-GENERAL'!C275="","",'[1]P-GENERAL'!C275)</f>
        <v>A01003-381909-1</v>
      </c>
      <c r="D275" t="str">
        <f>IF('[1]P-GENERAL'!D275="","",'[1]P-GENERAL'!D275)</f>
        <v>A01 003 Doña Nelly</v>
      </c>
      <c r="E275" s="8" t="str">
        <f>IF('[1]P-GENERAL'!E275="","",'[1]P-GENERAL'!E275)</f>
        <v>SMO</v>
      </c>
      <c r="F275" s="12">
        <f>IF('[1]P-GENERAL'!F275="","",'[1]P-GENERAL'!F275)</f>
        <v>384</v>
      </c>
      <c r="G275" s="13">
        <f>IF('[1]P-GENERAL'!G275="","",'[1]P-GENERAL'!G275)</f>
        <v>8</v>
      </c>
      <c r="H275" s="14">
        <f>IF('[1]P-GENERAL'!H275="","",'[1]P-GENERAL'!H275)</f>
        <v>46284</v>
      </c>
      <c r="I275">
        <f>IF('[1]P-GENERAL'!I275="","",'[1]P-GENERAL'!I275)</f>
        <v>38</v>
      </c>
      <c r="J275" s="15">
        <f>IF('[1]P-GENERAL'!J275="","",'[1]P-GENERAL'!J275)</f>
        <v>46289</v>
      </c>
      <c r="K275" s="14" t="str">
        <f>IF('[1]P-GENERAL'!K275="","",'[1]P-GENERAL'!K275)</f>
        <v/>
      </c>
      <c r="L275" s="14" t="str">
        <f>IF('[1]P-GENERAL'!L275="","",'[1]P-GENERAL'!L275)</f>
        <v>PREENFRIO NELLY</v>
      </c>
      <c r="M275">
        <f>IF('[1]P-GENERAL'!M275="","",'[1]P-GENERAL'!M275)</f>
        <v>1.5</v>
      </c>
      <c r="N275">
        <f>IF('[1]P-GENERAL'!N275="","",'[1]P-GENERAL'!N275)</f>
        <v>36</v>
      </c>
      <c r="O275" s="14">
        <f>IF('[1]P-GENERAL'!O275="","",'[1]P-GENERAL'!O275)</f>
        <v>46284</v>
      </c>
      <c r="P275" s="16">
        <f>IF('[1]P-GENERAL'!P275="","",'[1]P-GENERAL'!P275)</f>
        <v>0.68402777777777779</v>
      </c>
      <c r="Q275" t="str">
        <f>IF('[1]P-GENERAL'!Q275="","",'[1]P-GENERAL'!Q275)</f>
        <v>ALTA</v>
      </c>
      <c r="R275" s="14">
        <f>IF('[1]P-GENERAL'!R275="","",'[1]P-GENERAL'!R275)</f>
        <v>46285</v>
      </c>
      <c r="S275" s="16">
        <f>IF('[1]P-GENERAL'!S275="","",'[1]P-GENERAL'!S275)</f>
        <v>0.76458333333333328</v>
      </c>
      <c r="T275" s="16">
        <f>IF('[1]P-GENERAL'!T275="","",'[1]P-GENERAL'!T275)</f>
        <v>0.35416666666666669</v>
      </c>
      <c r="U275" s="17">
        <f>IF('[1]P-GENERAL'!U275="","",'[1]P-GENERAL'!U275)</f>
        <v>46286.118749999994</v>
      </c>
      <c r="V275" s="14">
        <f>IF('[1]P-GENERAL'!V275="","",'[1]P-GENERAL'!V275)</f>
        <v>46287</v>
      </c>
      <c r="W275" s="16">
        <f>IF('[1]P-GENERAL'!W275="","",'[1]P-GENERAL'!W275)</f>
        <v>0.5625</v>
      </c>
      <c r="X275" s="14" t="str">
        <f>IF('[1]P-GENERAL'!X275="","",'[1]P-GENERAL'!X275)</f>
        <v>SI CUMPLE</v>
      </c>
      <c r="Y275" s="14" t="str">
        <f>IF('[1]P-GENERAL'!Y275="","",'[1]P-GENERAL'!Y275)</f>
        <v>NO CUMPLE</v>
      </c>
      <c r="Z275" s="14" t="str">
        <f>IF('[1]P-GENERAL'!Z275="","",'[1]P-GENERAL'!Z275)</f>
        <v/>
      </c>
      <c r="AA275" s="14" t="str">
        <f>IF('[1]P-GENERAL'!AA275="","",'[1]P-GENERAL'!AA275)</f>
        <v>DESPACHADO</v>
      </c>
      <c r="AB275" s="8" t="str">
        <f>IF('[1]P-GENERAL'!AB275="","",'[1]P-GENERAL'!AB275)</f>
        <v>Transportes Përez</v>
      </c>
      <c r="AC275" s="8" t="str">
        <f>IF('[1]P-GENERAL'!AC275="","",'[1]P-GENERAL'!AC275)</f>
        <v>ERICK RUBEN SANCHEZ</v>
      </c>
      <c r="AD275">
        <f>IF('[1]P-GENERAL'!AD275="","",'[1]P-GENERAL'!AD275)</f>
        <v>96958</v>
      </c>
      <c r="AE275" t="str">
        <f>IF('[1]P-GENERAL'!AE275="","",'[1]P-GENERAL'!AE275)</f>
        <v>FORTALEZA</v>
      </c>
    </row>
    <row r="276" spans="1:31" ht="20.25" x14ac:dyDescent="0.3">
      <c r="A276" s="11" t="str">
        <f>IF('[1]P-GENERAL'!A276="","",'[1]P-GENERAL'!A276)</f>
        <v>Chanitos Premium Tarima Chep</v>
      </c>
      <c r="B276" s="11" t="str">
        <f>IF('[1]P-GENERAL'!B276="","",'[1]P-GENERAL'!B276)</f>
        <v>CPR01102</v>
      </c>
      <c r="C276" t="str">
        <f>IF('[1]P-GENERAL'!C276="","",'[1]P-GENERAL'!C276)</f>
        <v>A01002-381909-1</v>
      </c>
      <c r="D276" t="str">
        <f>IF('[1]P-GENERAL'!D276="","",'[1]P-GENERAL'!D276)</f>
        <v>A01 002 Fortaleza</v>
      </c>
      <c r="E276" s="8" t="str">
        <f>IF('[1]P-GENERAL'!E276="","",'[1]P-GENERAL'!E276)</f>
        <v>SMO</v>
      </c>
      <c r="F276" s="12">
        <f>IF('[1]P-GENERAL'!F276="","",'[1]P-GENERAL'!F276)</f>
        <v>48</v>
      </c>
      <c r="G276" s="13">
        <f>IF('[1]P-GENERAL'!G276="","",'[1]P-GENERAL'!G276)</f>
        <v>1</v>
      </c>
      <c r="H276" s="14">
        <f>IF('[1]P-GENERAL'!H276="","",'[1]P-GENERAL'!H276)</f>
        <v>46284</v>
      </c>
      <c r="I276">
        <f>IF('[1]P-GENERAL'!I276="","",'[1]P-GENERAL'!I276)</f>
        <v>38</v>
      </c>
      <c r="J276" s="15">
        <f>IF('[1]P-GENERAL'!J276="","",'[1]P-GENERAL'!J276)</f>
        <v>46289</v>
      </c>
      <c r="K276" s="14" t="str">
        <f>IF('[1]P-GENERAL'!K276="","",'[1]P-GENERAL'!K276)</f>
        <v/>
      </c>
      <c r="L276" s="14" t="str">
        <f>IF('[1]P-GENERAL'!L276="","",'[1]P-GENERAL'!L276)</f>
        <v>PREENFRIO FORTALEZA</v>
      </c>
      <c r="M276">
        <f>IF('[1]P-GENERAL'!M276="","",'[1]P-GENERAL'!M276)</f>
        <v>1.5</v>
      </c>
      <c r="N276">
        <f>IF('[1]P-GENERAL'!N276="","",'[1]P-GENERAL'!N276)</f>
        <v>36</v>
      </c>
      <c r="O276" s="14">
        <f>IF('[1]P-GENERAL'!O276="","",'[1]P-GENERAL'!O276)</f>
        <v>46284</v>
      </c>
      <c r="P276" s="16">
        <f>IF('[1]P-GENERAL'!P276="","",'[1]P-GENERAL'!P276)</f>
        <v>0.64930555555555558</v>
      </c>
      <c r="Q276" t="str">
        <f>IF('[1]P-GENERAL'!Q276="","",'[1]P-GENERAL'!Q276)</f>
        <v>NORMAL</v>
      </c>
      <c r="R276" s="14">
        <f>IF('[1]P-GENERAL'!R276="","",'[1]P-GENERAL'!R276)</f>
        <v>46285</v>
      </c>
      <c r="S276" s="16">
        <f>IF('[1]P-GENERAL'!S276="","",'[1]P-GENERAL'!S276)</f>
        <v>0.5395833333333333</v>
      </c>
      <c r="T276" s="16">
        <f>IF('[1]P-GENERAL'!T276="","",'[1]P-GENERAL'!T276)</f>
        <v>0.20833333333333334</v>
      </c>
      <c r="U276" s="17">
        <f>IF('[1]P-GENERAL'!U276="","",'[1]P-GENERAL'!U276)</f>
        <v>46285.747916666667</v>
      </c>
      <c r="V276" s="14">
        <f>IF('[1]P-GENERAL'!V276="","",'[1]P-GENERAL'!V276)</f>
        <v>46287</v>
      </c>
      <c r="W276" s="16">
        <f>IF('[1]P-GENERAL'!W276="","",'[1]P-GENERAL'!W276)</f>
        <v>0.31180555555555556</v>
      </c>
      <c r="X276" s="14" t="str">
        <f>IF('[1]P-GENERAL'!X276="","",'[1]P-GENERAL'!X276)</f>
        <v>SI CUMPLE</v>
      </c>
      <c r="Y276" s="14" t="str">
        <f>IF('[1]P-GENERAL'!Y276="","",'[1]P-GENERAL'!Y276)</f>
        <v>SI CUMPLE</v>
      </c>
      <c r="Z276" s="14" t="str">
        <f>IF('[1]P-GENERAL'!Z276="","",'[1]P-GENERAL'!Z276)</f>
        <v/>
      </c>
      <c r="AA276" s="14" t="str">
        <f>IF('[1]P-GENERAL'!AA276="","",'[1]P-GENERAL'!AA276)</f>
        <v>DESPACHADO</v>
      </c>
      <c r="AB276" s="8" t="str">
        <f>IF('[1]P-GENERAL'!AB276="","",'[1]P-GENERAL'!AB276)</f>
        <v>GUILLERMO PEREZ PEREZ</v>
      </c>
      <c r="AC276" s="8" t="str">
        <f>IF('[1]P-GENERAL'!AC276="","",'[1]P-GENERAL'!AC276)</f>
        <v>ERICK RUBEN SANCHEZ</v>
      </c>
      <c r="AD276">
        <f>IF('[1]P-GENERAL'!AD276="","",'[1]P-GENERAL'!AD276)</f>
        <v>16271</v>
      </c>
      <c r="AE276" t="str">
        <f>IF('[1]P-GENERAL'!AE276="","",'[1]P-GENERAL'!AE276)</f>
        <v>QCH1W04JB0</v>
      </c>
    </row>
    <row r="277" spans="1:31" ht="20.25" x14ac:dyDescent="0.3">
      <c r="A277" s="11" t="str">
        <f>IF('[1]P-GENERAL'!A277="","",'[1]P-GENERAL'!A277)</f>
        <v>Chanitos Premium Tarima Chep</v>
      </c>
      <c r="B277" s="11" t="str">
        <f>IF('[1]P-GENERAL'!B277="","",'[1]P-GENERAL'!B277)</f>
        <v>CPR01102</v>
      </c>
      <c r="C277" t="str">
        <f>IF('[1]P-GENERAL'!C277="","",'[1]P-GENERAL'!C277)</f>
        <v>A01002-381909-1</v>
      </c>
      <c r="D277" t="str">
        <f>IF('[1]P-GENERAL'!D277="","",'[1]P-GENERAL'!D277)</f>
        <v>A01 002 Fortaleza</v>
      </c>
      <c r="E277" s="8" t="str">
        <f>IF('[1]P-GENERAL'!E277="","",'[1]P-GENERAL'!E277)</f>
        <v>VSA</v>
      </c>
      <c r="F277" s="12">
        <f>IF('[1]P-GENERAL'!F277="","",'[1]P-GENERAL'!F277)</f>
        <v>336</v>
      </c>
      <c r="G277" s="13">
        <f>IF('[1]P-GENERAL'!G277="","",'[1]P-GENERAL'!G277)</f>
        <v>7</v>
      </c>
      <c r="H277" s="14">
        <f>IF('[1]P-GENERAL'!H277="","",'[1]P-GENERAL'!H277)</f>
        <v>46284</v>
      </c>
      <c r="I277">
        <f>IF('[1]P-GENERAL'!I277="","",'[1]P-GENERAL'!I277)</f>
        <v>38</v>
      </c>
      <c r="J277" s="15">
        <f>IF('[1]P-GENERAL'!J277="","",'[1]P-GENERAL'!J277)</f>
        <v>46289</v>
      </c>
      <c r="K277" s="14" t="str">
        <f>IF('[1]P-GENERAL'!K277="","",'[1]P-GENERAL'!K277)</f>
        <v/>
      </c>
      <c r="L277" s="14" t="str">
        <f>IF('[1]P-GENERAL'!L277="","",'[1]P-GENERAL'!L277)</f>
        <v>PREENFRIO FORTALEZA</v>
      </c>
      <c r="M277">
        <f>IF('[1]P-GENERAL'!M277="","",'[1]P-GENERAL'!M277)</f>
        <v>1</v>
      </c>
      <c r="N277">
        <f>IF('[1]P-GENERAL'!N277="","",'[1]P-GENERAL'!N277)</f>
        <v>24</v>
      </c>
      <c r="O277" s="14">
        <f>IF('[1]P-GENERAL'!O277="","",'[1]P-GENERAL'!O277)</f>
        <v>46284</v>
      </c>
      <c r="P277" s="16">
        <f>IF('[1]P-GENERAL'!P277="","",'[1]P-GENERAL'!P277)</f>
        <v>0.64930555555555558</v>
      </c>
      <c r="Q277" t="str">
        <f>IF('[1]P-GENERAL'!Q277="","",'[1]P-GENERAL'!Q277)</f>
        <v>NORMAL</v>
      </c>
      <c r="R277" s="14">
        <f>IF('[1]P-GENERAL'!R277="","",'[1]P-GENERAL'!R277)</f>
        <v>46285</v>
      </c>
      <c r="S277" s="16">
        <f>IF('[1]P-GENERAL'!S277="","",'[1]P-GENERAL'!S277)</f>
        <v>0.5395833333333333</v>
      </c>
      <c r="T277" s="16">
        <f>IF('[1]P-GENERAL'!T277="","",'[1]P-GENERAL'!T277)</f>
        <v>0.20833333333333334</v>
      </c>
      <c r="U277" s="17">
        <f>IF('[1]P-GENERAL'!U277="","",'[1]P-GENERAL'!U277)</f>
        <v>46285.747916666667</v>
      </c>
      <c r="V277" s="14">
        <f>IF('[1]P-GENERAL'!V277="","",'[1]P-GENERAL'!V277)</f>
        <v>46287</v>
      </c>
      <c r="W277" s="16">
        <f>IF('[1]P-GENERAL'!W277="","",'[1]P-GENERAL'!W277)</f>
        <v>0.59722222222222221</v>
      </c>
      <c r="X277" s="14" t="str">
        <f>IF('[1]P-GENERAL'!X277="","",'[1]P-GENERAL'!X277)</f>
        <v>SI CUMPLE</v>
      </c>
      <c r="Y277" s="14" t="str">
        <f>IF('[1]P-GENERAL'!Y277="","",'[1]P-GENERAL'!Y277)</f>
        <v>SI CUMPLE</v>
      </c>
      <c r="Z277" s="14" t="str">
        <f>IF('[1]P-GENERAL'!Z277="","",'[1]P-GENERAL'!Z277)</f>
        <v/>
      </c>
      <c r="AA277" s="14" t="str">
        <f>IF('[1]P-GENERAL'!AA277="","",'[1]P-GENERAL'!AA277)</f>
        <v>DESPACHADO</v>
      </c>
      <c r="AB277" s="8" t="str">
        <f>IF('[1]P-GENERAL'!AB277="","",'[1]P-GENERAL'!AB277)</f>
        <v>BACKHAUL</v>
      </c>
      <c r="AC277" s="8" t="str">
        <f>IF('[1]P-GENERAL'!AC277="","",'[1]P-GENERAL'!AC277)</f>
        <v>BRAULIO CORTAZAR BAREZ</v>
      </c>
      <c r="AD277">
        <f>IF('[1]P-GENERAL'!AD277="","",'[1]P-GENERAL'!AD277)</f>
        <v>18198</v>
      </c>
      <c r="AE277" t="str">
        <f>IF('[1]P-GENERAL'!AE277="","",'[1]P-GENERAL'!AE277)</f>
        <v>QCH1W04N10</v>
      </c>
    </row>
    <row r="278" spans="1:31" ht="20.25" x14ac:dyDescent="0.3">
      <c r="A278" s="11" t="str">
        <f>IF('[1]P-GENERAL'!A278="","",'[1]P-GENERAL'!A278)</f>
        <v>Chanitos Premium Tarima Americana</v>
      </c>
      <c r="B278" s="11" t="str">
        <f>IF('[1]P-GENERAL'!B278="","",'[1]P-GENERAL'!B278)</f>
        <v>CPR01103</v>
      </c>
      <c r="C278" t="str">
        <f>IF('[1]P-GENERAL'!C278="","",'[1]P-GENERAL'!C278)</f>
        <v>A04039-381909-1</v>
      </c>
      <c r="D278" t="str">
        <f>IF('[1]P-GENERAL'!D278="","",'[1]P-GENERAL'!D278)</f>
        <v>A04 039 San Jose Morelia Nava</v>
      </c>
      <c r="E278" s="8" t="str">
        <f>IF('[1]P-GENERAL'!E278="","",'[1]P-GENERAL'!E278)</f>
        <v>S-MTY</v>
      </c>
      <c r="F278" s="12">
        <f>IF('[1]P-GENERAL'!F278="","",'[1]P-GENERAL'!F278)</f>
        <v>960</v>
      </c>
      <c r="G278" s="13">
        <f>IF('[1]P-GENERAL'!G278="","",'[1]P-GENERAL'!G278)</f>
        <v>20</v>
      </c>
      <c r="H278" s="14">
        <f>IF('[1]P-GENERAL'!H278="","",'[1]P-GENERAL'!H278)</f>
        <v>46284</v>
      </c>
      <c r="I278">
        <f>IF('[1]P-GENERAL'!I278="","",'[1]P-GENERAL'!I278)</f>
        <v>38</v>
      </c>
      <c r="J278" s="15">
        <f>IF('[1]P-GENERAL'!J278="","",'[1]P-GENERAL'!J278)</f>
        <v>46290</v>
      </c>
      <c r="K278" s="14">
        <f>IF('[1]P-GENERAL'!K278="","",'[1]P-GENERAL'!K278)</f>
        <v>0.25</v>
      </c>
      <c r="L278" s="14" t="str">
        <f>IF('[1]P-GENERAL'!L278="","",'[1]P-GENERAL'!L278)</f>
        <v>PREENFRIO NELLY</v>
      </c>
      <c r="M278">
        <f>IF('[1]P-GENERAL'!M278="","",'[1]P-GENERAL'!M278)</f>
        <v>3</v>
      </c>
      <c r="N278">
        <f>IF('[1]P-GENERAL'!N278="","",'[1]P-GENERAL'!N278)</f>
        <v>72</v>
      </c>
      <c r="O278" s="14">
        <f>IF('[1]P-GENERAL'!O278="","",'[1]P-GENERAL'!O278)</f>
        <v>46284</v>
      </c>
      <c r="P278" s="16">
        <f>IF('[1]P-GENERAL'!P278="","",'[1]P-GENERAL'!P278)</f>
        <v>0.87152777777777779</v>
      </c>
      <c r="Q278" t="str">
        <f>IF('[1]P-GENERAL'!Q278="","",'[1]P-GENERAL'!Q278)</f>
        <v>NORMAL</v>
      </c>
      <c r="R278" s="14">
        <f>IF('[1]P-GENERAL'!R278="","",'[1]P-GENERAL'!R278)</f>
        <v>46285</v>
      </c>
      <c r="S278" s="16">
        <f>IF('[1]P-GENERAL'!S278="","",'[1]P-GENERAL'!S278)</f>
        <v>0.20833333333333334</v>
      </c>
      <c r="T278" s="16">
        <f>IF('[1]P-GENERAL'!T278="","",'[1]P-GENERAL'!T278)</f>
        <v>0.4375</v>
      </c>
      <c r="U278" s="17">
        <f>IF('[1]P-GENERAL'!U278="","",'[1]P-GENERAL'!U278)</f>
        <v>46285.645833333336</v>
      </c>
      <c r="V278" s="14">
        <f>IF('[1]P-GENERAL'!V278="","",'[1]P-GENERAL'!V278)</f>
        <v>46286</v>
      </c>
      <c r="W278" s="16">
        <f>IF('[1]P-GENERAL'!W278="","",'[1]P-GENERAL'!W278)</f>
        <v>0.95833333333333337</v>
      </c>
      <c r="X278" s="14" t="str">
        <f>IF('[1]P-GENERAL'!X278="","",'[1]P-GENERAL'!X278)</f>
        <v>SI CUMPLE</v>
      </c>
      <c r="Y278" s="14" t="str">
        <f>IF('[1]P-GENERAL'!Y278="","",'[1]P-GENERAL'!Y278)</f>
        <v>SI CUMPLE</v>
      </c>
      <c r="Z278" s="14" t="str">
        <f>IF('[1]P-GENERAL'!Z278="","",'[1]P-GENERAL'!Z278)</f>
        <v/>
      </c>
      <c r="AA278" s="14" t="str">
        <f>IF('[1]P-GENERAL'!AA278="","",'[1]P-GENERAL'!AA278)</f>
        <v>DESPACHADO</v>
      </c>
      <c r="AB278" s="8" t="str">
        <f>IF('[1]P-GENERAL'!AB278="","",'[1]P-GENERAL'!AB278)</f>
        <v>TRANSPORTES ALGEZA</v>
      </c>
      <c r="AC278" s="8" t="str">
        <f>IF('[1]P-GENERAL'!AC278="","",'[1]P-GENERAL'!AC278)</f>
        <v>ERICK ALBERTO RUSTILLO ACOSTA</v>
      </c>
      <c r="AD278" t="str">
        <f>IF('[1]P-GENERAL'!AD278="","",'[1]P-GENERAL'!AD278)</f>
        <v/>
      </c>
      <c r="AE278" t="str">
        <f>IF('[1]P-GENERAL'!AE278="","",'[1]P-GENERAL'!AE278)</f>
        <v/>
      </c>
    </row>
    <row r="279" spans="1:31" ht="20.25" x14ac:dyDescent="0.3">
      <c r="A279" s="11" t="str">
        <f>IF('[1]P-GENERAL'!A279="","",'[1]P-GENERAL'!A279)</f>
        <v>Chanitos Premium Tarima Americana</v>
      </c>
      <c r="B279" s="11" t="str">
        <f>IF('[1]P-GENERAL'!B279="","",'[1]P-GENERAL'!B279)</f>
        <v>CPR01103</v>
      </c>
      <c r="C279" t="str">
        <f>IF('[1]P-GENERAL'!C279="","",'[1]P-GENERAL'!C279)</f>
        <v>A01003-381909-1</v>
      </c>
      <c r="D279" t="str">
        <f>IF('[1]P-GENERAL'!D279="","",'[1]P-GENERAL'!D279)</f>
        <v>A01 003 Doña Nelly</v>
      </c>
      <c r="E279" s="8" t="str">
        <f>IF('[1]P-GENERAL'!E279="","",'[1]P-GENERAL'!E279)</f>
        <v>S-MTY</v>
      </c>
      <c r="F279" s="12">
        <f>IF('[1]P-GENERAL'!F279="","",'[1]P-GENERAL'!F279)</f>
        <v>384</v>
      </c>
      <c r="G279" s="13">
        <f>IF('[1]P-GENERAL'!G279="","",'[1]P-GENERAL'!G279)</f>
        <v>8</v>
      </c>
      <c r="H279" s="14">
        <f>IF('[1]P-GENERAL'!H279="","",'[1]P-GENERAL'!H279)</f>
        <v>46284</v>
      </c>
      <c r="I279">
        <f>IF('[1]P-GENERAL'!I279="","",'[1]P-GENERAL'!I279)</f>
        <v>38</v>
      </c>
      <c r="J279" s="15">
        <f>IF('[1]P-GENERAL'!J279="","",'[1]P-GENERAL'!J279)</f>
        <v>46290</v>
      </c>
      <c r="K279" s="14">
        <f>IF('[1]P-GENERAL'!K279="","",'[1]P-GENERAL'!K279)</f>
        <v>0.25</v>
      </c>
      <c r="L279" s="14" t="str">
        <f>IF('[1]P-GENERAL'!L279="","",'[1]P-GENERAL'!L279)</f>
        <v>PREENFRIO NELLY</v>
      </c>
      <c r="M279">
        <f>IF('[1]P-GENERAL'!M279="","",'[1]P-GENERAL'!M279)</f>
        <v>3</v>
      </c>
      <c r="N279">
        <f>IF('[1]P-GENERAL'!N279="","",'[1]P-GENERAL'!N279)</f>
        <v>72</v>
      </c>
      <c r="O279" s="14">
        <f>IF('[1]P-GENERAL'!O279="","",'[1]P-GENERAL'!O279)</f>
        <v>46284</v>
      </c>
      <c r="P279" s="16">
        <f>IF('[1]P-GENERAL'!P279="","",'[1]P-GENERAL'!P279)</f>
        <v>0.68402777777777779</v>
      </c>
      <c r="Q279" t="str">
        <f>IF('[1]P-GENERAL'!Q279="","",'[1]P-GENERAL'!Q279)</f>
        <v>NORMAL</v>
      </c>
      <c r="R279" s="14">
        <f>IF('[1]P-GENERAL'!R279="","",'[1]P-GENERAL'!R279)</f>
        <v>46285</v>
      </c>
      <c r="S279" s="16">
        <f>IF('[1]P-GENERAL'!S279="","",'[1]P-GENERAL'!S279)</f>
        <v>0.64583333333333337</v>
      </c>
      <c r="T279" s="16">
        <f>IF('[1]P-GENERAL'!T279="","",'[1]P-GENERAL'!T279)</f>
        <v>0.4375</v>
      </c>
      <c r="U279" s="17">
        <f>IF('[1]P-GENERAL'!U279="","",'[1]P-GENERAL'!U279)</f>
        <v>46286.083333333336</v>
      </c>
      <c r="V279" s="14">
        <f>IF('[1]P-GENERAL'!V279="","",'[1]P-GENERAL'!V279)</f>
        <v>46286</v>
      </c>
      <c r="W279" s="16">
        <f>IF('[1]P-GENERAL'!W279="","",'[1]P-GENERAL'!W279)</f>
        <v>0.95833333333333337</v>
      </c>
      <c r="X279" s="14" t="str">
        <f>IF('[1]P-GENERAL'!X279="","",'[1]P-GENERAL'!X279)</f>
        <v>SI CUMPLE</v>
      </c>
      <c r="Y279" s="14" t="str">
        <f>IF('[1]P-GENERAL'!Y279="","",'[1]P-GENERAL'!Y279)</f>
        <v>SI CUMPLE</v>
      </c>
      <c r="Z279" s="14" t="str">
        <f>IF('[1]P-GENERAL'!Z279="","",'[1]P-GENERAL'!Z279)</f>
        <v/>
      </c>
      <c r="AA279" s="14" t="str">
        <f>IF('[1]P-GENERAL'!AA279="","",'[1]P-GENERAL'!AA279)</f>
        <v>DESPACHADO</v>
      </c>
      <c r="AB279" s="8" t="str">
        <f>IF('[1]P-GENERAL'!AB279="","",'[1]P-GENERAL'!AB279)</f>
        <v>TRANSPORTES ALGEZA</v>
      </c>
      <c r="AC279" s="8" t="str">
        <f>IF('[1]P-GENERAL'!AC279="","",'[1]P-GENERAL'!AC279)</f>
        <v>ERICK ALBERTO RUSTILLO ACOSTA</v>
      </c>
      <c r="AD279">
        <f>IF('[1]P-GENERAL'!AD279="","",'[1]P-GENERAL'!AD279)</f>
        <v>99365</v>
      </c>
      <c r="AE279" t="str">
        <f>IF('[1]P-GENERAL'!AE279="","",'[1]P-GENERAL'!AE279)</f>
        <v/>
      </c>
    </row>
    <row r="280" spans="1:31" ht="20.25" x14ac:dyDescent="0.3">
      <c r="A280" s="11" t="str">
        <f>IF('[1]P-GENERAL'!A280="","",'[1]P-GENERAL'!A280)</f>
        <v>Chanitos Premium Tarima Chep</v>
      </c>
      <c r="B280" s="11" t="str">
        <f>IF('[1]P-GENERAL'!B280="","",'[1]P-GENERAL'!B280)</f>
        <v>CPR01102</v>
      </c>
      <c r="C280" t="str">
        <f>IF('[1]P-GENERAL'!C280="","",'[1]P-GENERAL'!C280)</f>
        <v>A01002-392109-1</v>
      </c>
      <c r="D280" t="str">
        <f>IF('[1]P-GENERAL'!D280="","",'[1]P-GENERAL'!D280)</f>
        <v>A01 002 Fortaleza</v>
      </c>
      <c r="E280" s="8" t="str">
        <f>IF('[1]P-GENERAL'!E280="","",'[1]P-GENERAL'!E280)</f>
        <v>SMO</v>
      </c>
      <c r="F280" s="12">
        <f>IF('[1]P-GENERAL'!F280="","",'[1]P-GENERAL'!F280)</f>
        <v>144</v>
      </c>
      <c r="G280" s="13">
        <f>IF('[1]P-GENERAL'!G280="","",'[1]P-GENERAL'!G280)</f>
        <v>3</v>
      </c>
      <c r="H280" s="14">
        <f>IF('[1]P-GENERAL'!H280="","",'[1]P-GENERAL'!H280)</f>
        <v>46286</v>
      </c>
      <c r="I280">
        <f>IF('[1]P-GENERAL'!I280="","",'[1]P-GENERAL'!I280)</f>
        <v>39</v>
      </c>
      <c r="J280" s="15">
        <f>IF('[1]P-GENERAL'!J280="","",'[1]P-GENERAL'!J280)</f>
        <v>46289</v>
      </c>
      <c r="K280" s="14" t="str">
        <f>IF('[1]P-GENERAL'!K280="","",'[1]P-GENERAL'!K280)</f>
        <v/>
      </c>
      <c r="L280" s="14" t="str">
        <f>IF('[1]P-GENERAL'!L280="","",'[1]P-GENERAL'!L280)</f>
        <v>PREENFRIO FORTALEZA</v>
      </c>
      <c r="M280">
        <f>IF('[1]P-GENERAL'!M280="","",'[1]P-GENERAL'!M280)</f>
        <v>1.5</v>
      </c>
      <c r="N280">
        <f>IF('[1]P-GENERAL'!N280="","",'[1]P-GENERAL'!N280)</f>
        <v>36</v>
      </c>
      <c r="O280" s="14">
        <f>IF('[1]P-GENERAL'!O280="","",'[1]P-GENERAL'!O280)</f>
        <v>46286</v>
      </c>
      <c r="P280" s="16">
        <f>IF('[1]P-GENERAL'!P280="","",'[1]P-GENERAL'!P280)</f>
        <v>0.68819444444444444</v>
      </c>
      <c r="Q280" t="str">
        <f>IF('[1]P-GENERAL'!Q280="","",'[1]P-GENERAL'!Q280)</f>
        <v>NORMAL</v>
      </c>
      <c r="R280" s="14">
        <f>IF('[1]P-GENERAL'!R280="","",'[1]P-GENERAL'!R280)</f>
        <v>46286</v>
      </c>
      <c r="S280" s="16">
        <f>IF('[1]P-GENERAL'!S280="","",'[1]P-GENERAL'!S280)</f>
        <v>0.44791666666666669</v>
      </c>
      <c r="T280" s="16">
        <f>IF('[1]P-GENERAL'!T280="","",'[1]P-GENERAL'!T280)</f>
        <v>0.20833333333333334</v>
      </c>
      <c r="U280" s="17">
        <f>IF('[1]P-GENERAL'!U280="","",'[1]P-GENERAL'!U280)</f>
        <v>46286.65625</v>
      </c>
      <c r="V280" s="14">
        <f>IF('[1]P-GENERAL'!V280="","",'[1]P-GENERAL'!V280)</f>
        <v>46287</v>
      </c>
      <c r="W280" s="16">
        <f>IF('[1]P-GENERAL'!W280="","",'[1]P-GENERAL'!W280)</f>
        <v>0.31180555555555556</v>
      </c>
      <c r="X280" s="14" t="str">
        <f>IF('[1]P-GENERAL'!X280="","",'[1]P-GENERAL'!X280)</f>
        <v>SI CUMPLE</v>
      </c>
      <c r="Y280" s="14" t="str">
        <f>IF('[1]P-GENERAL'!Y280="","",'[1]P-GENERAL'!Y280)</f>
        <v>SI CUMPLE</v>
      </c>
      <c r="Z280" s="14" t="str">
        <f>IF('[1]P-GENERAL'!Z280="","",'[1]P-GENERAL'!Z280)</f>
        <v/>
      </c>
      <c r="AA280" s="14" t="str">
        <f>IF('[1]P-GENERAL'!AA280="","",'[1]P-GENERAL'!AA280)</f>
        <v>DESPACHADO</v>
      </c>
      <c r="AB280" s="8" t="str">
        <f>IF('[1]P-GENERAL'!AB280="","",'[1]P-GENERAL'!AB280)</f>
        <v>GUILLERMO PEREZ PEREZ</v>
      </c>
      <c r="AC280" s="8" t="str">
        <f>IF('[1]P-GENERAL'!AC280="","",'[1]P-GENERAL'!AC280)</f>
        <v>ERICK RUBEN SANCHEZ</v>
      </c>
      <c r="AD280">
        <f>IF('[1]P-GENERAL'!AD280="","",'[1]P-GENERAL'!AD280)</f>
        <v>16271</v>
      </c>
      <c r="AE280" t="str">
        <f>IF('[1]P-GENERAL'!AE280="","",'[1]P-GENERAL'!AE280)</f>
        <v>QCH1W04JB0</v>
      </c>
    </row>
    <row r="281" spans="1:31" ht="20.25" x14ac:dyDescent="0.3">
      <c r="A281" s="11" t="str">
        <f>IF('[1]P-GENERAL'!A281="","",'[1]P-GENERAL'!A281)</f>
        <v>Chanitos Premium Tarima Americana</v>
      </c>
      <c r="B281" s="11" t="str">
        <f>IF('[1]P-GENERAL'!B281="","",'[1]P-GENERAL'!B281)</f>
        <v>CPR01103</v>
      </c>
      <c r="C281" t="str">
        <f>IF('[1]P-GENERAL'!C281="","",'[1]P-GENERAL'!C281)</f>
        <v>A04039-381909-1</v>
      </c>
      <c r="D281" t="str">
        <f>IF('[1]P-GENERAL'!D281="","",'[1]P-GENERAL'!D281)</f>
        <v>A04 039 San Jose Morelia Nava</v>
      </c>
      <c r="E281" s="8" t="str">
        <f>IF('[1]P-GENERAL'!E281="","",'[1]P-GENERAL'!E281)</f>
        <v>S-MTY</v>
      </c>
      <c r="F281" s="12">
        <f>IF('[1]P-GENERAL'!F281="","",'[1]P-GENERAL'!F281)</f>
        <v>96</v>
      </c>
      <c r="G281" s="13">
        <f>IF('[1]P-GENERAL'!G281="","",'[1]P-GENERAL'!G281)</f>
        <v>2</v>
      </c>
      <c r="H281" s="14">
        <f>IF('[1]P-GENERAL'!H281="","",'[1]P-GENERAL'!H281)</f>
        <v>46284</v>
      </c>
      <c r="I281">
        <f>IF('[1]P-GENERAL'!I281="","",'[1]P-GENERAL'!I281)</f>
        <v>38</v>
      </c>
      <c r="J281" s="15">
        <f>IF('[1]P-GENERAL'!J281="","",'[1]P-GENERAL'!J281)</f>
        <v>46290</v>
      </c>
      <c r="K281" s="14">
        <f>IF('[1]P-GENERAL'!K281="","",'[1]P-GENERAL'!K281)</f>
        <v>0.25</v>
      </c>
      <c r="L281" s="14" t="str">
        <f>IF('[1]P-GENERAL'!L281="","",'[1]P-GENERAL'!L281)</f>
        <v>PREENFRIO NELLY</v>
      </c>
      <c r="M281">
        <f>IF('[1]P-GENERAL'!M281="","",'[1]P-GENERAL'!M281)</f>
        <v>3</v>
      </c>
      <c r="N281">
        <f>IF('[1]P-GENERAL'!N281="","",'[1]P-GENERAL'!N281)</f>
        <v>72</v>
      </c>
      <c r="O281" s="14">
        <f>IF('[1]P-GENERAL'!O281="","",'[1]P-GENERAL'!O281)</f>
        <v>46284</v>
      </c>
      <c r="P281" s="16">
        <f>IF('[1]P-GENERAL'!P281="","",'[1]P-GENERAL'!P281)</f>
        <v>0.87152777777777779</v>
      </c>
      <c r="Q281" t="str">
        <f>IF('[1]P-GENERAL'!Q281="","",'[1]P-GENERAL'!Q281)</f>
        <v>NORMAL</v>
      </c>
      <c r="R281" s="14">
        <f>IF('[1]P-GENERAL'!R281="","",'[1]P-GENERAL'!R281)</f>
        <v>46285</v>
      </c>
      <c r="S281" s="16">
        <f>IF('[1]P-GENERAL'!S281="","",'[1]P-GENERAL'!S281)</f>
        <v>0.64583333333333337</v>
      </c>
      <c r="T281" s="16">
        <f>IF('[1]P-GENERAL'!T281="","",'[1]P-GENERAL'!T281)</f>
        <v>0.4375</v>
      </c>
      <c r="U281" s="17">
        <f>IF('[1]P-GENERAL'!U281="","",'[1]P-GENERAL'!U281)</f>
        <v>46286.083333333336</v>
      </c>
      <c r="V281" s="14">
        <f>IF('[1]P-GENERAL'!V281="","",'[1]P-GENERAL'!V281)</f>
        <v>46286</v>
      </c>
      <c r="W281" s="16">
        <f>IF('[1]P-GENERAL'!W281="","",'[1]P-GENERAL'!W281)</f>
        <v>0.95833333333333337</v>
      </c>
      <c r="X281" s="14" t="str">
        <f>IF('[1]P-GENERAL'!X281="","",'[1]P-GENERAL'!X281)</f>
        <v>SI CUMPLE</v>
      </c>
      <c r="Y281" s="14" t="str">
        <f>IF('[1]P-GENERAL'!Y281="","",'[1]P-GENERAL'!Y281)</f>
        <v>SI CUMPLE</v>
      </c>
      <c r="Z281" s="14" t="str">
        <f>IF('[1]P-GENERAL'!Z281="","",'[1]P-GENERAL'!Z281)</f>
        <v/>
      </c>
      <c r="AA281" s="14" t="str">
        <f>IF('[1]P-GENERAL'!AA281="","",'[1]P-GENERAL'!AA281)</f>
        <v>DESPACHADO</v>
      </c>
      <c r="AB281" s="8" t="str">
        <f>IF('[1]P-GENERAL'!AB281="","",'[1]P-GENERAL'!AB281)</f>
        <v>TRANSPORTES ALGEZA</v>
      </c>
      <c r="AC281" s="8" t="str">
        <f>IF('[1]P-GENERAL'!AC281="","",'[1]P-GENERAL'!AC281)</f>
        <v>ERICK ALBERTO RUSTILLO ACOSTA</v>
      </c>
      <c r="AD281">
        <f>IF('[1]P-GENERAL'!AD281="","",'[1]P-GENERAL'!AD281)</f>
        <v>99365</v>
      </c>
      <c r="AE281" t="str">
        <f>IF('[1]P-GENERAL'!AE281="","",'[1]P-GENERAL'!AE281)</f>
        <v/>
      </c>
    </row>
    <row r="282" spans="1:31" ht="20.25" x14ac:dyDescent="0.3">
      <c r="A282" s="11" t="str">
        <f>IF('[1]P-GENERAL'!A282="","",'[1]P-GENERAL'!A282)</f>
        <v>Chanitos Premium EUA Tarima Americana</v>
      </c>
      <c r="B282" s="11" t="str">
        <f>IF('[1]P-GENERAL'!B282="","",'[1]P-GENERAL'!B282)</f>
        <v>CPR01104</v>
      </c>
      <c r="C282" t="str">
        <f>IF('[1]P-GENERAL'!C282="","",'[1]P-GENERAL'!C282)</f>
        <v>A04083-381909-1</v>
      </c>
      <c r="D282" t="str">
        <f>IF('[1]P-GENERAL'!D282="","",'[1]P-GENERAL'!D282)</f>
        <v>A04 083 Santa Maria</v>
      </c>
      <c r="E282" s="8" t="str">
        <f>IF('[1]P-GENERAL'!E282="","",'[1]P-GENERAL'!E282)</f>
        <v>McAllen</v>
      </c>
      <c r="F282" s="12">
        <f>IF('[1]P-GENERAL'!F282="","",'[1]P-GENERAL'!F282)</f>
        <v>960</v>
      </c>
      <c r="G282" s="13">
        <f>IF('[1]P-GENERAL'!G282="","",'[1]P-GENERAL'!G282)</f>
        <v>20</v>
      </c>
      <c r="H282" s="14">
        <f>IF('[1]P-GENERAL'!H282="","",'[1]P-GENERAL'!H282)</f>
        <v>46284</v>
      </c>
      <c r="I282">
        <f>IF('[1]P-GENERAL'!I282="","",'[1]P-GENERAL'!I282)</f>
        <v>38</v>
      </c>
      <c r="J282" s="15">
        <f>IF('[1]P-GENERAL'!J282="","",'[1]P-GENERAL'!J282)</f>
        <v>46288</v>
      </c>
      <c r="K282" s="14" t="str">
        <f>IF('[1]P-GENERAL'!K282="","",'[1]P-GENERAL'!K282)</f>
        <v/>
      </c>
      <c r="L282" s="14" t="str">
        <f>IF('[1]P-GENERAL'!L282="","",'[1]P-GENERAL'!L282)</f>
        <v>PREENFRIO NELLY</v>
      </c>
      <c r="M282">
        <f>IF('[1]P-GENERAL'!M282="","",'[1]P-GENERAL'!M282)</f>
        <v>3</v>
      </c>
      <c r="N282">
        <f>IF('[1]P-GENERAL'!N282="","",'[1]P-GENERAL'!N282)</f>
        <v>72</v>
      </c>
      <c r="O282" s="14">
        <f>IF('[1]P-GENERAL'!O282="","",'[1]P-GENERAL'!O282)</f>
        <v>46285</v>
      </c>
      <c r="P282" s="16">
        <f>IF('[1]P-GENERAL'!P282="","",'[1]P-GENERAL'!P282)</f>
        <v>0.23958333333333334</v>
      </c>
      <c r="Q282" t="str">
        <f>IF('[1]P-GENERAL'!Q282="","",'[1]P-GENERAL'!Q282)</f>
        <v>ALTA</v>
      </c>
      <c r="R282" s="14">
        <f>IF('[1]P-GENERAL'!R282="","",'[1]P-GENERAL'!R282)</f>
        <v>46286</v>
      </c>
      <c r="S282" s="16">
        <f>IF('[1]P-GENERAL'!S282="","",'[1]P-GENERAL'!S282)</f>
        <v>0.3298611111111111</v>
      </c>
      <c r="T282" s="16">
        <f>IF('[1]P-GENERAL'!T282="","",'[1]P-GENERAL'!T282)</f>
        <v>0.35416666666666669</v>
      </c>
      <c r="U282" s="17">
        <f>IF('[1]P-GENERAL'!U282="","",'[1]P-GENERAL'!U282)</f>
        <v>46286.684027777774</v>
      </c>
      <c r="V282" s="14">
        <f>IF('[1]P-GENERAL'!V282="","",'[1]P-GENERAL'!V282)</f>
        <v>46287</v>
      </c>
      <c r="W282" s="16">
        <f>IF('[1]P-GENERAL'!W282="","",'[1]P-GENERAL'!W282)</f>
        <v>0.79166666666666663</v>
      </c>
      <c r="X282" s="14" t="str">
        <f>IF('[1]P-GENERAL'!X282="","",'[1]P-GENERAL'!X282)</f>
        <v>NO CUMPLE</v>
      </c>
      <c r="Y282" s="14" t="str">
        <f>IF('[1]P-GENERAL'!Y282="","",'[1]P-GENERAL'!Y282)</f>
        <v>NO CUMPLE</v>
      </c>
      <c r="Z282" s="14" t="str">
        <f>IF('[1]P-GENERAL'!Z282="","",'[1]P-GENERAL'!Z282)</f>
        <v/>
      </c>
      <c r="AA282" s="14" t="str">
        <f>IF('[1]P-GENERAL'!AA282="","",'[1]P-GENERAL'!AA282)</f>
        <v>DESPACHADO</v>
      </c>
      <c r="AB282" s="8" t="str">
        <f>IF('[1]P-GENERAL'!AB282="","",'[1]P-GENERAL'!AB282)</f>
        <v>AUTO EXPRESS SEGOVIA</v>
      </c>
      <c r="AC282" s="8" t="str">
        <f>IF('[1]P-GENERAL'!AC282="","",'[1]P-GENERAL'!AC282)</f>
        <v>SANTIAGO ANTONIO HERRERA</v>
      </c>
      <c r="AD282">
        <f>IF('[1]P-GENERAL'!AD282="","",'[1]P-GENERAL'!AD282)</f>
        <v>75529</v>
      </c>
      <c r="AE282">
        <f>IF('[1]P-GENERAL'!AE282="","",'[1]P-GENERAL'!AE282)</f>
        <v>100000913545</v>
      </c>
    </row>
    <row r="283" spans="1:31" ht="20.25" x14ac:dyDescent="0.3">
      <c r="A283" s="11" t="str">
        <f>IF('[1]P-GENERAL'!A283="","",'[1]P-GENERAL'!A283)</f>
        <v>Chanitos Premium EUA Tarima Americana</v>
      </c>
      <c r="B283" s="11" t="str">
        <f>IF('[1]P-GENERAL'!B283="","",'[1]P-GENERAL'!B283)</f>
        <v>CPR01104</v>
      </c>
      <c r="C283" t="str">
        <f>IF('[1]P-GENERAL'!C283="","",'[1]P-GENERAL'!C283)</f>
        <v>A01004-392109-1</v>
      </c>
      <c r="D283" t="str">
        <f>IF('[1]P-GENERAL'!D283="","",'[1]P-GENERAL'!D283)</f>
        <v>A01 004 La Ceiba</v>
      </c>
      <c r="E283" s="8" t="str">
        <f>IF('[1]P-GENERAL'!E283="","",'[1]P-GENERAL'!E283)</f>
        <v>McAllen</v>
      </c>
      <c r="F283" s="12">
        <f>IF('[1]P-GENERAL'!F283="","",'[1]P-GENERAL'!F283)</f>
        <v>480</v>
      </c>
      <c r="G283" s="13">
        <f>IF('[1]P-GENERAL'!G283="","",'[1]P-GENERAL'!G283)</f>
        <v>10.333333333333334</v>
      </c>
      <c r="H283" s="14">
        <f>IF('[1]P-GENERAL'!H283="","",'[1]P-GENERAL'!H283)</f>
        <v>46286</v>
      </c>
      <c r="I283">
        <f>IF('[1]P-GENERAL'!I283="","",'[1]P-GENERAL'!I283)</f>
        <v>39</v>
      </c>
      <c r="J283" s="15">
        <f>IF('[1]P-GENERAL'!J283="","",'[1]P-GENERAL'!J283)</f>
        <v>46290</v>
      </c>
      <c r="K283" s="14" t="str">
        <f>IF('[1]P-GENERAL'!K283="","",'[1]P-GENERAL'!K283)</f>
        <v/>
      </c>
      <c r="L283" s="14" t="str">
        <f>IF('[1]P-GENERAL'!L283="","",'[1]P-GENERAL'!L283)</f>
        <v>PREENFRIO NELLY</v>
      </c>
      <c r="M283">
        <f>IF('[1]P-GENERAL'!M283="","",'[1]P-GENERAL'!M283)</f>
        <v>3</v>
      </c>
      <c r="N283">
        <f>IF('[1]P-GENERAL'!N283="","",'[1]P-GENERAL'!N283)</f>
        <v>72</v>
      </c>
      <c r="O283" s="14">
        <f>IF('[1]P-GENERAL'!O283="","",'[1]P-GENERAL'!O283)</f>
        <v>46286</v>
      </c>
      <c r="P283" s="16">
        <f>IF('[1]P-GENERAL'!P283="","",'[1]P-GENERAL'!P283)</f>
        <v>0.75694444444444442</v>
      </c>
      <c r="Q283" t="str">
        <f>IF('[1]P-GENERAL'!Q283="","",'[1]P-GENERAL'!Q283)</f>
        <v>NORMAL</v>
      </c>
      <c r="R283" s="14">
        <f>IF('[1]P-GENERAL'!R283="","",'[1]P-GENERAL'!R283)</f>
        <v>46286</v>
      </c>
      <c r="S283" s="16">
        <f>IF('[1]P-GENERAL'!S283="","",'[1]P-GENERAL'!S283)</f>
        <v>0.77708333333333335</v>
      </c>
      <c r="T283" s="16">
        <f>IF('[1]P-GENERAL'!T283="","",'[1]P-GENERAL'!T283)</f>
        <v>0.35416666666666669</v>
      </c>
      <c r="U283" s="17">
        <f>IF('[1]P-GENERAL'!U283="","",'[1]P-GENERAL'!U283)</f>
        <v>46287.131249999999</v>
      </c>
      <c r="V283" s="14">
        <f>IF('[1]P-GENERAL'!V283="","",'[1]P-GENERAL'!V283)</f>
        <v>46287</v>
      </c>
      <c r="W283" s="16">
        <f>IF('[1]P-GENERAL'!W283="","",'[1]P-GENERAL'!W283)</f>
        <v>0.79166666666666663</v>
      </c>
      <c r="X283" s="14" t="str">
        <f>IF('[1]P-GENERAL'!X283="","",'[1]P-GENERAL'!X283)</f>
        <v>NO CUMPLE</v>
      </c>
      <c r="Y283" s="14" t="str">
        <f>IF('[1]P-GENERAL'!Y283="","",'[1]P-GENERAL'!Y283)</f>
        <v>NO CUMPLE</v>
      </c>
      <c r="Z283" s="14" t="str">
        <f>IF('[1]P-GENERAL'!Z283="","",'[1]P-GENERAL'!Z283)</f>
        <v/>
      </c>
      <c r="AA283" s="14" t="str">
        <f>IF('[1]P-GENERAL'!AA283="","",'[1]P-GENERAL'!AA283)</f>
        <v>DESPACHADO</v>
      </c>
      <c r="AB283" s="8" t="str">
        <f>IF('[1]P-GENERAL'!AB283="","",'[1]P-GENERAL'!AB283)</f>
        <v>AUTO EXPRESS SEGOVIA</v>
      </c>
      <c r="AC283" s="8" t="str">
        <f>IF('[1]P-GENERAL'!AC283="","",'[1]P-GENERAL'!AC283)</f>
        <v>SANTIAGO ANTONIO HERRERA</v>
      </c>
      <c r="AD283">
        <f>IF('[1]P-GENERAL'!AD283="","",'[1]P-GENERAL'!AD283)</f>
        <v>83981</v>
      </c>
      <c r="AE283">
        <f>IF('[1]P-GENERAL'!AE283="","",'[1]P-GENERAL'!AE283)</f>
        <v>100000913546</v>
      </c>
    </row>
    <row r="284" spans="1:31" ht="20.25" x14ac:dyDescent="0.3">
      <c r="A284" s="11" t="str">
        <f>IF('[1]P-GENERAL'!A284="","",'[1]P-GENERAL'!A284)</f>
        <v>Chanitos Organic Banded Market Side Mexico</v>
      </c>
      <c r="B284" s="11" t="str">
        <f>IF('[1]P-GENERAL'!B284="","",'[1]P-GENERAL'!B284)</f>
        <v>CRG07128</v>
      </c>
      <c r="C284" t="str">
        <f>IF('[1]P-GENERAL'!C284="","",'[1]P-GENERAL'!C284)</f>
        <v>A01002-392109-1</v>
      </c>
      <c r="D284" t="str">
        <f>IF('[1]P-GENERAL'!D284="","",'[1]P-GENERAL'!D284)</f>
        <v>A01 002 Fortaleza</v>
      </c>
      <c r="E284" s="8" t="str">
        <f>IF('[1]P-GENERAL'!E284="","",'[1]P-GENERAL'!E284)</f>
        <v>MTY</v>
      </c>
      <c r="F284" s="12">
        <f>IF('[1]P-GENERAL'!F284="","",'[1]P-GENERAL'!F284)</f>
        <v>48</v>
      </c>
      <c r="G284" s="13">
        <f>IF('[1]P-GENERAL'!G284="","",'[1]P-GENERAL'!G284)</f>
        <v>1</v>
      </c>
      <c r="H284" s="14">
        <f>IF('[1]P-GENERAL'!H284="","",'[1]P-GENERAL'!H284)</f>
        <v>46286</v>
      </c>
      <c r="I284">
        <f>IF('[1]P-GENERAL'!I284="","",'[1]P-GENERAL'!I284)</f>
        <v>39</v>
      </c>
      <c r="J284" s="15">
        <f>IF('[1]P-GENERAL'!J284="","",'[1]P-GENERAL'!J284)</f>
        <v>46290</v>
      </c>
      <c r="K284" s="14" t="str">
        <f>IF('[1]P-GENERAL'!K284="","",'[1]P-GENERAL'!K284)</f>
        <v/>
      </c>
      <c r="L284" s="14" t="str">
        <f>IF('[1]P-GENERAL'!L284="","",'[1]P-GENERAL'!L284)</f>
        <v>PREENFRIO FORTALEZA</v>
      </c>
      <c r="M284">
        <f>IF('[1]P-GENERAL'!M284="","",'[1]P-GENERAL'!M284)</f>
        <v>2.5</v>
      </c>
      <c r="N284">
        <f>IF('[1]P-GENERAL'!N284="","",'[1]P-GENERAL'!N284)</f>
        <v>60</v>
      </c>
      <c r="O284" s="14">
        <f>IF('[1]P-GENERAL'!O284="","",'[1]P-GENERAL'!O284)</f>
        <v>46286</v>
      </c>
      <c r="P284" s="16">
        <f>IF('[1]P-GENERAL'!P284="","",'[1]P-GENERAL'!P284)</f>
        <v>0.68819444444444444</v>
      </c>
      <c r="Q284" t="str">
        <f>IF('[1]P-GENERAL'!Q284="","",'[1]P-GENERAL'!Q284)</f>
        <v>NORMAL</v>
      </c>
      <c r="R284" s="14">
        <f>IF('[1]P-GENERAL'!R284="","",'[1]P-GENERAL'!R284)</f>
        <v>46286</v>
      </c>
      <c r="S284" s="16">
        <f>IF('[1]P-GENERAL'!S284="","",'[1]P-GENERAL'!S284)</f>
        <v>0.44791666666666669</v>
      </c>
      <c r="T284" s="16">
        <f>IF('[1]P-GENERAL'!T284="","",'[1]P-GENERAL'!T284)</f>
        <v>0.625</v>
      </c>
      <c r="U284" s="17">
        <f>IF('[1]P-GENERAL'!U284="","",'[1]P-GENERAL'!U284)</f>
        <v>46287.072916666664</v>
      </c>
      <c r="V284" s="14">
        <f>IF('[1]P-GENERAL'!V284="","",'[1]P-GENERAL'!V284)</f>
        <v>46286</v>
      </c>
      <c r="W284" s="16">
        <f>IF('[1]P-GENERAL'!W284="","",'[1]P-GENERAL'!W284)</f>
        <v>0.97916666666666663</v>
      </c>
      <c r="X284" s="14" t="str">
        <f>IF('[1]P-GENERAL'!X284="","",'[1]P-GENERAL'!X284)</f>
        <v>SI CUMPLE</v>
      </c>
      <c r="Y284" s="14" t="str">
        <f>IF('[1]P-GENERAL'!Y284="","",'[1]P-GENERAL'!Y284)</f>
        <v>SI CUMPLE</v>
      </c>
      <c r="Z284" s="14" t="str">
        <f>IF('[1]P-GENERAL'!Z284="","",'[1]P-GENERAL'!Z284)</f>
        <v/>
      </c>
      <c r="AA284" s="14" t="str">
        <f>IF('[1]P-GENERAL'!AA284="","",'[1]P-GENERAL'!AA284)</f>
        <v>DESPACHADO</v>
      </c>
      <c r="AB284" s="8" t="str">
        <f>IF('[1]P-GENERAL'!AB284="","",'[1]P-GENERAL'!AB284)</f>
        <v>EXPRESS CAVAZOS CANTÚ</v>
      </c>
      <c r="AC284" s="8" t="str">
        <f>IF('[1]P-GENERAL'!AC284="","",'[1]P-GENERAL'!AC284)</f>
        <v>SANTO CRUZ DE LA CRUZ</v>
      </c>
      <c r="AD284">
        <f>IF('[1]P-GENERAL'!AD284="","",'[1]P-GENERAL'!AD284)</f>
        <v>15991</v>
      </c>
      <c r="AE284" t="str">
        <f>IF('[1]P-GENERAL'!AE284="","",'[1]P-GENERAL'!AE284)</f>
        <v>QCH1W04NT0</v>
      </c>
    </row>
    <row r="285" spans="1:31" ht="20.25" x14ac:dyDescent="0.3">
      <c r="A285" s="11" t="str">
        <f>IF('[1]P-GENERAL'!A285="","",'[1]P-GENERAL'!A285)</f>
        <v>Platano de Chiapas BAE UPC 3237</v>
      </c>
      <c r="B285" s="11" t="str">
        <f>IF('[1]P-GENERAL'!B285="","",'[1]P-GENERAL'!B285)</f>
        <v>CPR01114</v>
      </c>
      <c r="C285" t="str">
        <f>IF('[1]P-GENERAL'!C285="","",'[1]P-GENERAL'!C285)</f>
        <v>A01002-392109-1</v>
      </c>
      <c r="D285" t="str">
        <f>IF('[1]P-GENERAL'!D285="","",'[1]P-GENERAL'!D285)</f>
        <v>A01 002 Fortaleza</v>
      </c>
      <c r="E285" s="8" t="str">
        <f>IF('[1]P-GENERAL'!E285="","",'[1]P-GENERAL'!E285)</f>
        <v>MTY</v>
      </c>
      <c r="F285" s="12">
        <f>IF('[1]P-GENERAL'!F285="","",'[1]P-GENERAL'!F285)</f>
        <v>5</v>
      </c>
      <c r="G285" s="13">
        <f>IF('[1]P-GENERAL'!G285="","",'[1]P-GENERAL'!G285)</f>
        <v>0.10416666666666667</v>
      </c>
      <c r="H285" s="14">
        <f>IF('[1]P-GENERAL'!H285="","",'[1]P-GENERAL'!H285)</f>
        <v>46286</v>
      </c>
      <c r="I285">
        <f>IF('[1]P-GENERAL'!I285="","",'[1]P-GENERAL'!I285)</f>
        <v>39</v>
      </c>
      <c r="J285" s="15">
        <f>IF('[1]P-GENERAL'!J285="","",'[1]P-GENERAL'!J285)</f>
        <v>46290</v>
      </c>
      <c r="K285" s="14" t="str">
        <f>IF('[1]P-GENERAL'!K285="","",'[1]P-GENERAL'!K285)</f>
        <v/>
      </c>
      <c r="L285" s="14" t="str">
        <f>IF('[1]P-GENERAL'!L285="","",'[1]P-GENERAL'!L285)</f>
        <v>PREENFRIO FORTALEZA</v>
      </c>
      <c r="M285">
        <f>IF('[1]P-GENERAL'!M285="","",'[1]P-GENERAL'!M285)</f>
        <v>2.5</v>
      </c>
      <c r="N285">
        <f>IF('[1]P-GENERAL'!N285="","",'[1]P-GENERAL'!N285)</f>
        <v>60</v>
      </c>
      <c r="O285" s="14">
        <f>IF('[1]P-GENERAL'!O285="","",'[1]P-GENERAL'!O285)</f>
        <v>46286</v>
      </c>
      <c r="P285" s="16">
        <f>IF('[1]P-GENERAL'!P285="","",'[1]P-GENERAL'!P285)</f>
        <v>0.68819444444444444</v>
      </c>
      <c r="Q285" t="str">
        <f>IF('[1]P-GENERAL'!Q285="","",'[1]P-GENERAL'!Q285)</f>
        <v>NORMAL</v>
      </c>
      <c r="R285" s="14">
        <f>IF('[1]P-GENERAL'!R285="","",'[1]P-GENERAL'!R285)</f>
        <v>46286</v>
      </c>
      <c r="S285" s="16">
        <f>IF('[1]P-GENERAL'!S285="","",'[1]P-GENERAL'!S285)</f>
        <v>0.44791666666666669</v>
      </c>
      <c r="T285" s="16">
        <f>IF('[1]P-GENERAL'!T285="","",'[1]P-GENERAL'!T285)</f>
        <v>0.625</v>
      </c>
      <c r="U285" s="17">
        <f>IF('[1]P-GENERAL'!U285="","",'[1]P-GENERAL'!U285)</f>
        <v>46287.072916666664</v>
      </c>
      <c r="V285" s="14">
        <f>IF('[1]P-GENERAL'!V285="","",'[1]P-GENERAL'!V285)</f>
        <v>46286</v>
      </c>
      <c r="W285" s="16">
        <f>IF('[1]P-GENERAL'!W285="","",'[1]P-GENERAL'!W285)</f>
        <v>0.97916666666666663</v>
      </c>
      <c r="X285" s="14" t="str">
        <f>IF('[1]P-GENERAL'!X285="","",'[1]P-GENERAL'!X285)</f>
        <v>SI CUMPLE</v>
      </c>
      <c r="Y285" s="14" t="str">
        <f>IF('[1]P-GENERAL'!Y285="","",'[1]P-GENERAL'!Y285)</f>
        <v>SI CUMPLE</v>
      </c>
      <c r="Z285" s="14" t="str">
        <f>IF('[1]P-GENERAL'!Z285="","",'[1]P-GENERAL'!Z285)</f>
        <v/>
      </c>
      <c r="AA285" s="14" t="str">
        <f>IF('[1]P-GENERAL'!AA285="","",'[1]P-GENERAL'!AA285)</f>
        <v>DESPACHADO</v>
      </c>
      <c r="AB285" s="8" t="str">
        <f>IF('[1]P-GENERAL'!AB285="","",'[1]P-GENERAL'!AB285)</f>
        <v>EXPRESS CAVAZOS CANTÚ</v>
      </c>
      <c r="AC285" s="8" t="str">
        <f>IF('[1]P-GENERAL'!AC285="","",'[1]P-GENERAL'!AC285)</f>
        <v>SANTO CRUZ DE LA CRUZ</v>
      </c>
      <c r="AD285">
        <f>IF('[1]P-GENERAL'!AD285="","",'[1]P-GENERAL'!AD285)</f>
        <v>15991</v>
      </c>
      <c r="AE285" t="str">
        <f>IF('[1]P-GENERAL'!AE285="","",'[1]P-GENERAL'!AE285)</f>
        <v>QCH1W04NT0</v>
      </c>
    </row>
    <row r="286" spans="1:31" ht="20.25" x14ac:dyDescent="0.3">
      <c r="A286" s="11" t="str">
        <f>IF('[1]P-GENERAL'!A286="","",'[1]P-GENERAL'!A286)</f>
        <v>Chanitos Premium Tarima Chep</v>
      </c>
      <c r="B286" s="11" t="str">
        <f>IF('[1]P-GENERAL'!B286="","",'[1]P-GENERAL'!B286)</f>
        <v>CPR01102</v>
      </c>
      <c r="C286" t="str">
        <f>IF('[1]P-GENERAL'!C286="","",'[1]P-GENERAL'!C286)</f>
        <v>A01002-392109-1</v>
      </c>
      <c r="D286" t="str">
        <f>IF('[1]P-GENERAL'!D286="","",'[1]P-GENERAL'!D286)</f>
        <v>A01 002 Fortaleza</v>
      </c>
      <c r="E286" s="8" t="str">
        <f>IF('[1]P-GENERAL'!E286="","",'[1]P-GENERAL'!E286)</f>
        <v>MTY</v>
      </c>
      <c r="F286" s="12">
        <f>IF('[1]P-GENERAL'!F286="","",'[1]P-GENERAL'!F286)</f>
        <v>859</v>
      </c>
      <c r="G286" s="13">
        <f>IF('[1]P-GENERAL'!G286="","",'[1]P-GENERAL'!G286)</f>
        <v>17.895833333333332</v>
      </c>
      <c r="H286" s="14">
        <f>IF('[1]P-GENERAL'!H286="","",'[1]P-GENERAL'!H286)</f>
        <v>46286</v>
      </c>
      <c r="I286">
        <f>IF('[1]P-GENERAL'!I286="","",'[1]P-GENERAL'!I286)</f>
        <v>39</v>
      </c>
      <c r="J286" s="15">
        <f>IF('[1]P-GENERAL'!J286="","",'[1]P-GENERAL'!J286)</f>
        <v>46290</v>
      </c>
      <c r="K286" s="14" t="str">
        <f>IF('[1]P-GENERAL'!K286="","",'[1]P-GENERAL'!K286)</f>
        <v/>
      </c>
      <c r="L286" s="14" t="str">
        <f>IF('[1]P-GENERAL'!L286="","",'[1]P-GENERAL'!L286)</f>
        <v>PREENFRIO FORTALEZA</v>
      </c>
      <c r="M286">
        <f>IF('[1]P-GENERAL'!M286="","",'[1]P-GENERAL'!M286)</f>
        <v>2.5</v>
      </c>
      <c r="N286">
        <f>IF('[1]P-GENERAL'!N286="","",'[1]P-GENERAL'!N286)</f>
        <v>60</v>
      </c>
      <c r="O286" s="14">
        <f>IF('[1]P-GENERAL'!O286="","",'[1]P-GENERAL'!O286)</f>
        <v>46286</v>
      </c>
      <c r="P286" s="16">
        <f>IF('[1]P-GENERAL'!P286="","",'[1]P-GENERAL'!P286)</f>
        <v>0.68819444444444444</v>
      </c>
      <c r="Q286" t="str">
        <f>IF('[1]P-GENERAL'!Q286="","",'[1]P-GENERAL'!Q286)</f>
        <v>NORMAL</v>
      </c>
      <c r="R286" s="14">
        <f>IF('[1]P-GENERAL'!R286="","",'[1]P-GENERAL'!R286)</f>
        <v>46286</v>
      </c>
      <c r="S286" s="16">
        <f>IF('[1]P-GENERAL'!S286="","",'[1]P-GENERAL'!S286)</f>
        <v>0.44791666666666669</v>
      </c>
      <c r="T286" s="16">
        <f>IF('[1]P-GENERAL'!T286="","",'[1]P-GENERAL'!T286)</f>
        <v>0.625</v>
      </c>
      <c r="U286" s="17">
        <f>IF('[1]P-GENERAL'!U286="","",'[1]P-GENERAL'!U286)</f>
        <v>46287.072916666664</v>
      </c>
      <c r="V286" s="14">
        <f>IF('[1]P-GENERAL'!V286="","",'[1]P-GENERAL'!V286)</f>
        <v>46286</v>
      </c>
      <c r="W286" s="16">
        <f>IF('[1]P-GENERAL'!W286="","",'[1]P-GENERAL'!W286)</f>
        <v>0.97916666666666663</v>
      </c>
      <c r="X286" s="14" t="str">
        <f>IF('[1]P-GENERAL'!X286="","",'[1]P-GENERAL'!X286)</f>
        <v>SI CUMPLE</v>
      </c>
      <c r="Y286" s="14" t="str">
        <f>IF('[1]P-GENERAL'!Y286="","",'[1]P-GENERAL'!Y286)</f>
        <v>SI CUMPLE</v>
      </c>
      <c r="Z286" s="14" t="str">
        <f>IF('[1]P-GENERAL'!Z286="","",'[1]P-GENERAL'!Z286)</f>
        <v/>
      </c>
      <c r="AA286" s="14" t="str">
        <f>IF('[1]P-GENERAL'!AA286="","",'[1]P-GENERAL'!AA286)</f>
        <v>DESPACHADO</v>
      </c>
      <c r="AB286" s="8" t="str">
        <f>IF('[1]P-GENERAL'!AB286="","",'[1]P-GENERAL'!AB286)</f>
        <v>EXPRESS CAVAZOS CANTÚ</v>
      </c>
      <c r="AC286" s="8" t="str">
        <f>IF('[1]P-GENERAL'!AC286="","",'[1]P-GENERAL'!AC286)</f>
        <v>SANTO CRUZ DE LA CRUZ</v>
      </c>
      <c r="AD286">
        <f>IF('[1]P-GENERAL'!AD286="","",'[1]P-GENERAL'!AD286)</f>
        <v>15991</v>
      </c>
      <c r="AE286" t="str">
        <f>IF('[1]P-GENERAL'!AE286="","",'[1]P-GENERAL'!AE286)</f>
        <v>QCH1W04NT0</v>
      </c>
    </row>
    <row r="287" spans="1:31" ht="20.25" x14ac:dyDescent="0.3">
      <c r="A287" s="11" t="str">
        <f>IF('[1]P-GENERAL'!A287="","",'[1]P-GENERAL'!A287)</f>
        <v>Chanitos Premium Tarima Chep</v>
      </c>
      <c r="B287" s="11" t="str">
        <f>IF('[1]P-GENERAL'!B287="","",'[1]P-GENERAL'!B287)</f>
        <v>CPR01102</v>
      </c>
      <c r="C287" t="str">
        <f>IF('[1]P-GENERAL'!C287="","",'[1]P-GENERAL'!C287)</f>
        <v>A01001-392109-1</v>
      </c>
      <c r="D287" t="str">
        <f>IF('[1]P-GENERAL'!D287="","",'[1]P-GENERAL'!D287)</f>
        <v>A01 001 Marbella</v>
      </c>
      <c r="E287" s="8" t="str">
        <f>IF('[1]P-GENERAL'!E287="","",'[1]P-GENERAL'!E287)</f>
        <v>QRO</v>
      </c>
      <c r="F287" s="12">
        <f>IF('[1]P-GENERAL'!F287="","",'[1]P-GENERAL'!F287)</f>
        <v>1104</v>
      </c>
      <c r="G287" s="13">
        <f>IF('[1]P-GENERAL'!G287="","",'[1]P-GENERAL'!G287)</f>
        <v>23</v>
      </c>
      <c r="H287" s="14">
        <f>IF('[1]P-GENERAL'!H287="","",'[1]P-GENERAL'!H287)</f>
        <v>46286</v>
      </c>
      <c r="I287">
        <f>IF('[1]P-GENERAL'!I287="","",'[1]P-GENERAL'!I287)</f>
        <v>39</v>
      </c>
      <c r="J287" s="15">
        <f>IF('[1]P-GENERAL'!J287="","",'[1]P-GENERAL'!J287)</f>
        <v>46290</v>
      </c>
      <c r="K287" s="14" t="str">
        <f>IF('[1]P-GENERAL'!K287="","",'[1]P-GENERAL'!K287)</f>
        <v/>
      </c>
      <c r="L287" s="14" t="str">
        <f>IF('[1]P-GENERAL'!L287="","",'[1]P-GENERAL'!L287)</f>
        <v>PREENFRIO FORTALEZA</v>
      </c>
      <c r="M287">
        <f>IF('[1]P-GENERAL'!M287="","",'[1]P-GENERAL'!M287)</f>
        <v>1.5</v>
      </c>
      <c r="N287">
        <f>IF('[1]P-GENERAL'!N287="","",'[1]P-GENERAL'!N287)</f>
        <v>36</v>
      </c>
      <c r="O287" s="14">
        <f>IF('[1]P-GENERAL'!O287="","",'[1]P-GENERAL'!O287)</f>
        <v>46286</v>
      </c>
      <c r="P287" s="16">
        <f>IF('[1]P-GENERAL'!P287="","",'[1]P-GENERAL'!P287)</f>
        <v>0.90277777777777779</v>
      </c>
      <c r="Q287" t="str">
        <f>IF('[1]P-GENERAL'!Q287="","",'[1]P-GENERAL'!Q287)</f>
        <v>NORMAL</v>
      </c>
      <c r="R287" s="14">
        <f>IF('[1]P-GENERAL'!R287="","",'[1]P-GENERAL'!R287)</f>
        <v>46287</v>
      </c>
      <c r="S287" s="16">
        <f>IF('[1]P-GENERAL'!S287="","",'[1]P-GENERAL'!S287)</f>
        <v>9.7222222222222224E-2</v>
      </c>
      <c r="T287" s="16">
        <f>IF('[1]P-GENERAL'!T287="","",'[1]P-GENERAL'!T287)</f>
        <v>0.625</v>
      </c>
      <c r="U287" s="17">
        <f>IF('[1]P-GENERAL'!U287="","",'[1]P-GENERAL'!U287)</f>
        <v>46287.722222222219</v>
      </c>
      <c r="V287" s="14">
        <f>IF('[1]P-GENERAL'!V287="","",'[1]P-GENERAL'!V287)</f>
        <v>46287</v>
      </c>
      <c r="W287" s="16">
        <f>IF('[1]P-GENERAL'!W287="","",'[1]P-GENERAL'!W287)</f>
        <v>0.72916666666666663</v>
      </c>
      <c r="X287" s="14" t="str">
        <f>IF('[1]P-GENERAL'!X287="","",'[1]P-GENERAL'!X287)</f>
        <v>SI CUMPLE</v>
      </c>
      <c r="Y287" s="14" t="str">
        <f>IF('[1]P-GENERAL'!Y287="","",'[1]P-GENERAL'!Y287)</f>
        <v>SI CUMPLE</v>
      </c>
      <c r="Z287" s="14" t="str">
        <f>IF('[1]P-GENERAL'!Z287="","",'[1]P-GENERAL'!Z287)</f>
        <v/>
      </c>
      <c r="AA287" s="14" t="str">
        <f>IF('[1]P-GENERAL'!AA287="","",'[1]P-GENERAL'!AA287)</f>
        <v>DESPACHADO</v>
      </c>
      <c r="AB287" s="8" t="str">
        <f>IF('[1]P-GENERAL'!AB287="","",'[1]P-GENERAL'!AB287)</f>
        <v>JOSE LUIS PATIÑO</v>
      </c>
      <c r="AC287" s="8" t="str">
        <f>IF('[1]P-GENERAL'!AC287="","",'[1]P-GENERAL'!AC287)</f>
        <v>ALEJANDRO NAVARRO PARRA</v>
      </c>
      <c r="AD287">
        <f>IF('[1]P-GENERAL'!AD287="","",'[1]P-GENERAL'!AD287)</f>
        <v>76833</v>
      </c>
      <c r="AE287" t="str">
        <f>IF('[1]P-GENERAL'!AE287="","",'[1]P-GENERAL'!AE287)</f>
        <v>QCH1W04MF0</v>
      </c>
    </row>
    <row r="288" spans="1:31" ht="20.25" x14ac:dyDescent="0.3">
      <c r="A288" s="11" t="str">
        <f>IF('[1]P-GENERAL'!A288="","",'[1]P-GENERAL'!A288)</f>
        <v>Chanitos Organic Banded Market Side Mexico</v>
      </c>
      <c r="B288" s="11" t="str">
        <f>IF('[1]P-GENERAL'!B288="","",'[1]P-GENERAL'!B288)</f>
        <v>CRG07128</v>
      </c>
      <c r="C288" t="str">
        <f>IF('[1]P-GENERAL'!C288="","",'[1]P-GENERAL'!C288)</f>
        <v>A01002-392109-1</v>
      </c>
      <c r="D288" t="str">
        <f>IF('[1]P-GENERAL'!D288="","",'[1]P-GENERAL'!D288)</f>
        <v>A01 002 Fortaleza</v>
      </c>
      <c r="E288" s="8" t="str">
        <f>IF('[1]P-GENERAL'!E288="","",'[1]P-GENERAL'!E288)</f>
        <v>QRO</v>
      </c>
      <c r="F288" s="12">
        <f>IF('[1]P-GENERAL'!F288="","",'[1]P-GENERAL'!F288)</f>
        <v>48</v>
      </c>
      <c r="G288" s="13">
        <f>IF('[1]P-GENERAL'!G288="","",'[1]P-GENERAL'!G288)</f>
        <v>1</v>
      </c>
      <c r="H288" s="14">
        <f>IF('[1]P-GENERAL'!H288="","",'[1]P-GENERAL'!H288)</f>
        <v>46286</v>
      </c>
      <c r="I288">
        <f>IF('[1]P-GENERAL'!I288="","",'[1]P-GENERAL'!I288)</f>
        <v>39</v>
      </c>
      <c r="J288" s="15">
        <f>IF('[1]P-GENERAL'!J288="","",'[1]P-GENERAL'!J288)</f>
        <v>46290</v>
      </c>
      <c r="K288" s="14" t="str">
        <f>IF('[1]P-GENERAL'!K288="","",'[1]P-GENERAL'!K288)</f>
        <v/>
      </c>
      <c r="L288" s="14" t="str">
        <f>IF('[1]P-GENERAL'!L288="","",'[1]P-GENERAL'!L288)</f>
        <v>PREENFRIO FORTALEZA</v>
      </c>
      <c r="M288">
        <f>IF('[1]P-GENERAL'!M288="","",'[1]P-GENERAL'!M288)</f>
        <v>1.5</v>
      </c>
      <c r="N288">
        <f>IF('[1]P-GENERAL'!N288="","",'[1]P-GENERAL'!N288)</f>
        <v>36</v>
      </c>
      <c r="O288" s="14">
        <f>IF('[1]P-GENERAL'!O288="","",'[1]P-GENERAL'!O288)</f>
        <v>46286</v>
      </c>
      <c r="P288" s="16">
        <f>IF('[1]P-GENERAL'!P288="","",'[1]P-GENERAL'!P288)</f>
        <v>0.68819444444444444</v>
      </c>
      <c r="Q288" t="str">
        <f>IF('[1]P-GENERAL'!Q288="","",'[1]P-GENERAL'!Q288)</f>
        <v>NORMAL</v>
      </c>
      <c r="R288" s="14">
        <f>IF('[1]P-GENERAL'!R288="","",'[1]P-GENERAL'!R288)</f>
        <v>46287</v>
      </c>
      <c r="S288" s="16">
        <f>IF('[1]P-GENERAL'!S288="","",'[1]P-GENERAL'!S288)</f>
        <v>9.7222222222222224E-2</v>
      </c>
      <c r="T288" s="16">
        <f>IF('[1]P-GENERAL'!T288="","",'[1]P-GENERAL'!T288)</f>
        <v>0.625</v>
      </c>
      <c r="U288" s="17">
        <f>IF('[1]P-GENERAL'!U288="","",'[1]P-GENERAL'!U288)</f>
        <v>46287.722222222219</v>
      </c>
      <c r="V288" s="14">
        <f>IF('[1]P-GENERAL'!V288="","",'[1]P-GENERAL'!V288)</f>
        <v>46287</v>
      </c>
      <c r="W288" s="16">
        <f>IF('[1]P-GENERAL'!W288="","",'[1]P-GENERAL'!W288)</f>
        <v>0.72916666666666663</v>
      </c>
      <c r="X288" s="14" t="str">
        <f>IF('[1]P-GENERAL'!X288="","",'[1]P-GENERAL'!X288)</f>
        <v>SI CUMPLE</v>
      </c>
      <c r="Y288" s="14" t="str">
        <f>IF('[1]P-GENERAL'!Y288="","",'[1]P-GENERAL'!Y288)</f>
        <v>SI CUMPLE</v>
      </c>
      <c r="Z288" s="14" t="str">
        <f>IF('[1]P-GENERAL'!Z288="","",'[1]P-GENERAL'!Z288)</f>
        <v/>
      </c>
      <c r="AA288" s="14" t="str">
        <f>IF('[1]P-GENERAL'!AA288="","",'[1]P-GENERAL'!AA288)</f>
        <v>DESPACHADO</v>
      </c>
      <c r="AB288" s="8" t="str">
        <f>IF('[1]P-GENERAL'!AB288="","",'[1]P-GENERAL'!AB288)</f>
        <v>JOSE LUIS PATIÑO</v>
      </c>
      <c r="AC288" s="8" t="str">
        <f>IF('[1]P-GENERAL'!AC288="","",'[1]P-GENERAL'!AC288)</f>
        <v>ALEJANDRO NAVARRO PARRA</v>
      </c>
      <c r="AD288">
        <f>IF('[1]P-GENERAL'!AD288="","",'[1]P-GENERAL'!AD288)</f>
        <v>76833</v>
      </c>
      <c r="AE288" t="str">
        <f>IF('[1]P-GENERAL'!AE288="","",'[1]P-GENERAL'!AE288)</f>
        <v>QCH1W04MF0</v>
      </c>
    </row>
    <row r="289" spans="1:31" ht="20.25" x14ac:dyDescent="0.3">
      <c r="A289" s="11" t="str">
        <f>IF('[1]P-GENERAL'!A289="","",'[1]P-GENERAL'!A289)</f>
        <v>Chanitos Premium Tarima Chep</v>
      </c>
      <c r="B289" s="11" t="str">
        <f>IF('[1]P-GENERAL'!B289="","",'[1]P-GENERAL'!B289)</f>
        <v>CPR01102</v>
      </c>
      <c r="C289" t="str">
        <f>IF('[1]P-GENERAL'!C289="","",'[1]P-GENERAL'!C289)</f>
        <v>A01004-392109-1</v>
      </c>
      <c r="D289" t="str">
        <f>IF('[1]P-GENERAL'!D289="","",'[1]P-GENERAL'!D289)</f>
        <v>A01 004 La Ceiba</v>
      </c>
      <c r="E289" s="8" t="str">
        <f>IF('[1]P-GENERAL'!E289="","",'[1]P-GENERAL'!E289)</f>
        <v>MTY</v>
      </c>
      <c r="F289" s="12">
        <f>IF('[1]P-GENERAL'!F289="","",'[1]P-GENERAL'!F289)</f>
        <v>240</v>
      </c>
      <c r="G289" s="13">
        <f>IF('[1]P-GENERAL'!G289="","",'[1]P-GENERAL'!G289)</f>
        <v>5</v>
      </c>
      <c r="H289" s="14">
        <f>IF('[1]P-GENERAL'!H289="","",'[1]P-GENERAL'!H289)</f>
        <v>46286</v>
      </c>
      <c r="I289">
        <f>IF('[1]P-GENERAL'!I289="","",'[1]P-GENERAL'!I289)</f>
        <v>39</v>
      </c>
      <c r="J289" s="15">
        <f>IF('[1]P-GENERAL'!J289="","",'[1]P-GENERAL'!J289)</f>
        <v>46290</v>
      </c>
      <c r="K289" s="14" t="str">
        <f>IF('[1]P-GENERAL'!K289="","",'[1]P-GENERAL'!K289)</f>
        <v/>
      </c>
      <c r="L289" s="14" t="str">
        <f>IF('[1]P-GENERAL'!L289="","",'[1]P-GENERAL'!L289)</f>
        <v>PREENFRIO NELLY</v>
      </c>
      <c r="M289">
        <f>IF('[1]P-GENERAL'!M289="","",'[1]P-GENERAL'!M289)</f>
        <v>2.5</v>
      </c>
      <c r="N289">
        <f>IF('[1]P-GENERAL'!N289="","",'[1]P-GENERAL'!N289)</f>
        <v>60</v>
      </c>
      <c r="O289" s="14">
        <f>IF('[1]P-GENERAL'!O289="","",'[1]P-GENERAL'!O289)</f>
        <v>46286</v>
      </c>
      <c r="P289" s="16">
        <f>IF('[1]P-GENERAL'!P289="","",'[1]P-GENERAL'!P289)</f>
        <v>0.75694444444444442</v>
      </c>
      <c r="Q289" t="str">
        <f>IF('[1]P-GENERAL'!Q289="","",'[1]P-GENERAL'!Q289)</f>
        <v>NORMAL</v>
      </c>
      <c r="R289" s="14">
        <f>IF('[1]P-GENERAL'!R289="","",'[1]P-GENERAL'!R289)</f>
        <v>46286</v>
      </c>
      <c r="S289" s="16">
        <f>IF('[1]P-GENERAL'!S289="","",'[1]P-GENERAL'!S289)</f>
        <v>0.77708333333333335</v>
      </c>
      <c r="T289" s="16">
        <f>IF('[1]P-GENERAL'!T289="","",'[1]P-GENERAL'!T289)</f>
        <v>0.35416666666666669</v>
      </c>
      <c r="U289" s="17">
        <f>IF('[1]P-GENERAL'!U289="","",'[1]P-GENERAL'!U289)</f>
        <v>46287.131249999999</v>
      </c>
      <c r="V289" s="14">
        <f>IF('[1]P-GENERAL'!V289="","",'[1]P-GENERAL'!V289)</f>
        <v>46287</v>
      </c>
      <c r="W289" s="16">
        <f>IF('[1]P-GENERAL'!W289="","",'[1]P-GENERAL'!W289)</f>
        <v>0.35069444444444442</v>
      </c>
      <c r="X289" s="14" t="str">
        <f>IF('[1]P-GENERAL'!X289="","",'[1]P-GENERAL'!X289)</f>
        <v>SI CUMPLE</v>
      </c>
      <c r="Y289" s="14" t="str">
        <f>IF('[1]P-GENERAL'!Y289="","",'[1]P-GENERAL'!Y289)</f>
        <v>SI CUMPLE</v>
      </c>
      <c r="Z289" s="14" t="str">
        <f>IF('[1]P-GENERAL'!Z289="","",'[1]P-GENERAL'!Z289)</f>
        <v/>
      </c>
      <c r="AA289" s="14" t="str">
        <f>IF('[1]P-GENERAL'!AA289="","",'[1]P-GENERAL'!AA289)</f>
        <v>DESPACHADO</v>
      </c>
      <c r="AB289" s="8" t="str">
        <f>IF('[1]P-GENERAL'!AB289="","",'[1]P-GENERAL'!AB289)</f>
        <v>EXPRESS CAVAZOS CANTÚ</v>
      </c>
      <c r="AC289" s="8" t="str">
        <f>IF('[1]P-GENERAL'!AC289="","",'[1]P-GENERAL'!AC289)</f>
        <v>SANTO CRUZ DE LA CRUZ</v>
      </c>
      <c r="AD289" t="str">
        <f>IF('[1]P-GENERAL'!AD289="","",'[1]P-GENERAL'!AD289)</f>
        <v/>
      </c>
      <c r="AE289" t="str">
        <f>IF('[1]P-GENERAL'!AE289="","",'[1]P-GENERAL'!AE289)</f>
        <v/>
      </c>
    </row>
    <row r="290" spans="1:31" ht="20.25" x14ac:dyDescent="0.3">
      <c r="A290" s="11" t="str">
        <f>IF('[1]P-GENERAL'!A290="","",'[1]P-GENERAL'!A290)</f>
        <v>Chanitos Premium Tarima Americana</v>
      </c>
      <c r="B290" s="11" t="str">
        <f>IF('[1]P-GENERAL'!B290="","",'[1]P-GENERAL'!B290)</f>
        <v>CPR01103</v>
      </c>
      <c r="C290" t="str">
        <f>IF('[1]P-GENERAL'!C290="","",'[1]P-GENERAL'!C290)</f>
        <v>A01004-392109-1</v>
      </c>
      <c r="D290" t="str">
        <f>IF('[1]P-GENERAL'!D290="","",'[1]P-GENERAL'!D290)</f>
        <v>A01 004 La Ceiba</v>
      </c>
      <c r="E290" s="8" t="str">
        <f>IF('[1]P-GENERAL'!E290="","",'[1]P-GENERAL'!E290)</f>
        <v>S-MTY</v>
      </c>
      <c r="F290" s="12">
        <f>IF('[1]P-GENERAL'!F290="","",'[1]P-GENERAL'!F290)</f>
        <v>480</v>
      </c>
      <c r="G290" s="13">
        <f>IF('[1]P-GENERAL'!G290="","",'[1]P-GENERAL'!G290)</f>
        <v>9.6666666666666661</v>
      </c>
      <c r="H290" s="14">
        <f>IF('[1]P-GENERAL'!H290="","",'[1]P-GENERAL'!H290)</f>
        <v>46286</v>
      </c>
      <c r="I290">
        <f>IF('[1]P-GENERAL'!I290="","",'[1]P-GENERAL'!I290)</f>
        <v>39</v>
      </c>
      <c r="J290" s="15">
        <f>IF('[1]P-GENERAL'!J290="","",'[1]P-GENERAL'!J290)</f>
        <v>46290</v>
      </c>
      <c r="K290" s="14">
        <f>IF('[1]P-GENERAL'!K290="","",'[1]P-GENERAL'!K290)</f>
        <v>0.25</v>
      </c>
      <c r="L290" s="14" t="str">
        <f>IF('[1]P-GENERAL'!L290="","",'[1]P-GENERAL'!L290)</f>
        <v>PREENFRIO NELLY</v>
      </c>
      <c r="M290">
        <f>IF('[1]P-GENERAL'!M290="","",'[1]P-GENERAL'!M290)</f>
        <v>3</v>
      </c>
      <c r="N290">
        <f>IF('[1]P-GENERAL'!N290="","",'[1]P-GENERAL'!N290)</f>
        <v>72</v>
      </c>
      <c r="O290" s="14">
        <f>IF('[1]P-GENERAL'!O290="","",'[1]P-GENERAL'!O290)</f>
        <v>46286</v>
      </c>
      <c r="P290" s="16">
        <f>IF('[1]P-GENERAL'!P290="","",'[1]P-GENERAL'!P290)</f>
        <v>0.75694444444444442</v>
      </c>
      <c r="Q290" t="str">
        <f>IF('[1]P-GENERAL'!Q290="","",'[1]P-GENERAL'!Q290)</f>
        <v>ALTA</v>
      </c>
      <c r="R290" s="14">
        <f>IF('[1]P-GENERAL'!R290="","",'[1]P-GENERAL'!R290)</f>
        <v>46286</v>
      </c>
      <c r="S290" s="16">
        <f>IF('[1]P-GENERAL'!S290="","",'[1]P-GENERAL'!S290)</f>
        <v>0.77708333333333335</v>
      </c>
      <c r="T290" s="16">
        <f>IF('[1]P-GENERAL'!T290="","",'[1]P-GENERAL'!T290)</f>
        <v>0.4375</v>
      </c>
      <c r="U290" s="17">
        <f>IF('[1]P-GENERAL'!U290="","",'[1]P-GENERAL'!U290)</f>
        <v>46287.214583333334</v>
      </c>
      <c r="V290" s="14">
        <f>IF('[1]P-GENERAL'!V290="","",'[1]P-GENERAL'!V290)</f>
        <v>46286</v>
      </c>
      <c r="W290" s="16">
        <f>IF('[1]P-GENERAL'!W290="","",'[1]P-GENERAL'!W290)</f>
        <v>0.95833333333333337</v>
      </c>
      <c r="X290" s="14" t="str">
        <f>IF('[1]P-GENERAL'!X290="","",'[1]P-GENERAL'!X290)</f>
        <v>SI CUMPLE</v>
      </c>
      <c r="Y290" s="14" t="str">
        <f>IF('[1]P-GENERAL'!Y290="","",'[1]P-GENERAL'!Y290)</f>
        <v>SI CUMPLE</v>
      </c>
      <c r="Z290" s="14" t="str">
        <f>IF('[1]P-GENERAL'!Z290="","",'[1]P-GENERAL'!Z290)</f>
        <v/>
      </c>
      <c r="AA290" s="14" t="str">
        <f>IF('[1]P-GENERAL'!AA290="","",'[1]P-GENERAL'!AA290)</f>
        <v>DESPACHADO</v>
      </c>
      <c r="AB290" s="8" t="str">
        <f>IF('[1]P-GENERAL'!AB290="","",'[1]P-GENERAL'!AB290)</f>
        <v>TRANSPORTES ALGEZA</v>
      </c>
      <c r="AC290" s="8" t="str">
        <f>IF('[1]P-GENERAL'!AC290="","",'[1]P-GENERAL'!AC290)</f>
        <v>ERICK ALBERTO RUSTILLO ACOSTA</v>
      </c>
      <c r="AD290">
        <f>IF('[1]P-GENERAL'!AD290="","",'[1]P-GENERAL'!AD290)</f>
        <v>99365</v>
      </c>
      <c r="AE290" t="str">
        <f>IF('[1]P-GENERAL'!AE290="","",'[1]P-GENERAL'!AE290)</f>
        <v/>
      </c>
    </row>
    <row r="291" spans="1:31" ht="20.25" x14ac:dyDescent="0.3">
      <c r="A291" s="11" t="str">
        <f>IF('[1]P-GENERAL'!A291="","",'[1]P-GENERAL'!A291)</f>
        <v>Chanitos Premium EUA Tarima Americana</v>
      </c>
      <c r="B291" s="11" t="str">
        <f>IF('[1]P-GENERAL'!B291="","",'[1]P-GENERAL'!B291)</f>
        <v>CPR01104</v>
      </c>
      <c r="C291" t="str">
        <f>IF('[1]P-GENERAL'!C291="","",'[1]P-GENERAL'!C291)</f>
        <v>A01003-392209-1</v>
      </c>
      <c r="D291" t="str">
        <f>IF('[1]P-GENERAL'!D291="","",'[1]P-GENERAL'!D291)</f>
        <v>A01 003 Doña Nelly</v>
      </c>
      <c r="E291" s="8" t="str">
        <f>IF('[1]P-GENERAL'!E291="","",'[1]P-GENERAL'!E291)</f>
        <v>McAllen</v>
      </c>
      <c r="F291" s="12">
        <f>IF('[1]P-GENERAL'!F291="","",'[1]P-GENERAL'!F291)</f>
        <v>480</v>
      </c>
      <c r="G291" s="13">
        <f>IF('[1]P-GENERAL'!G291="","",'[1]P-GENERAL'!G291)</f>
        <v>10</v>
      </c>
      <c r="H291" s="14">
        <f>IF('[1]P-GENERAL'!H291="","",'[1]P-GENERAL'!H291)</f>
        <v>46287</v>
      </c>
      <c r="I291">
        <f>IF('[1]P-GENERAL'!I291="","",'[1]P-GENERAL'!I291)</f>
        <v>39</v>
      </c>
      <c r="J291" s="15">
        <f>IF('[1]P-GENERAL'!J291="","",'[1]P-GENERAL'!J291)</f>
        <v>46290</v>
      </c>
      <c r="K291" s="14" t="str">
        <f>IF('[1]P-GENERAL'!K291="","",'[1]P-GENERAL'!K291)</f>
        <v/>
      </c>
      <c r="L291" s="14" t="str">
        <f>IF('[1]P-GENERAL'!L291="","",'[1]P-GENERAL'!L291)</f>
        <v>PREENFRIO NELLY</v>
      </c>
      <c r="M291">
        <f>IF('[1]P-GENERAL'!M291="","",'[1]P-GENERAL'!M291)</f>
        <v>3</v>
      </c>
      <c r="N291">
        <f>IF('[1]P-GENERAL'!N291="","",'[1]P-GENERAL'!N291)</f>
        <v>72</v>
      </c>
      <c r="O291" s="14">
        <f>IF('[1]P-GENERAL'!O291="","",'[1]P-GENERAL'!O291)</f>
        <v>46287</v>
      </c>
      <c r="P291" s="16">
        <f>IF('[1]P-GENERAL'!P291="","",'[1]P-GENERAL'!P291)</f>
        <v>0.75</v>
      </c>
      <c r="Q291" t="str">
        <f>IF('[1]P-GENERAL'!Q291="","",'[1]P-GENERAL'!Q291)</f>
        <v>NORMAL</v>
      </c>
      <c r="R291" s="14">
        <f>IF('[1]P-GENERAL'!R291="","",'[1]P-GENERAL'!R291)</f>
        <v>46287</v>
      </c>
      <c r="S291" s="16">
        <f>IF('[1]P-GENERAL'!S291="","",'[1]P-GENERAL'!S291)</f>
        <v>0.47986111111111113</v>
      </c>
      <c r="T291" s="16">
        <f>IF('[1]P-GENERAL'!T291="","",'[1]P-GENERAL'!T291)</f>
        <v>0.35416666666666669</v>
      </c>
      <c r="U291" s="17">
        <f>IF('[1]P-GENERAL'!U291="","",'[1]P-GENERAL'!U291)</f>
        <v>46287.834027777775</v>
      </c>
      <c r="V291" s="14">
        <f>IF('[1]P-GENERAL'!V291="","",'[1]P-GENERAL'!V291)</f>
        <v>46287</v>
      </c>
      <c r="W291" s="16">
        <f>IF('[1]P-GENERAL'!W291="","",'[1]P-GENERAL'!W291)</f>
        <v>0.79166666666666663</v>
      </c>
      <c r="X291" s="14" t="str">
        <f>IF('[1]P-GENERAL'!X291="","",'[1]P-GENERAL'!X291)</f>
        <v>NO CUMPLE</v>
      </c>
      <c r="Y291" s="14" t="str">
        <f>IF('[1]P-GENERAL'!Y291="","",'[1]P-GENERAL'!Y291)</f>
        <v>NO CUMPLE</v>
      </c>
      <c r="Z291" s="14" t="str">
        <f>IF('[1]P-GENERAL'!Z291="","",'[1]P-GENERAL'!Z291)</f>
        <v/>
      </c>
      <c r="AA291" s="14" t="str">
        <f>IF('[1]P-GENERAL'!AA291="","",'[1]P-GENERAL'!AA291)</f>
        <v>DESPACHADO</v>
      </c>
      <c r="AB291" s="8" t="str">
        <f>IF('[1]P-GENERAL'!AB291="","",'[1]P-GENERAL'!AB291)</f>
        <v>AUTO EXPRESS SEGOVIA</v>
      </c>
      <c r="AC291" s="8" t="str">
        <f>IF('[1]P-GENERAL'!AC291="","",'[1]P-GENERAL'!AC291)</f>
        <v>SANTIAGO ANTONIO HERRERA</v>
      </c>
      <c r="AD291">
        <f>IF('[1]P-GENERAL'!AD291="","",'[1]P-GENERAL'!AD291)</f>
        <v>83981</v>
      </c>
      <c r="AE291">
        <f>IF('[1]P-GENERAL'!AE291="","",'[1]P-GENERAL'!AE291)</f>
        <v>100000913546</v>
      </c>
    </row>
    <row r="292" spans="1:31" ht="20.25" x14ac:dyDescent="0.3">
      <c r="A292" s="11" t="str">
        <f>IF('[1]P-GENERAL'!A292="","",'[1]P-GENERAL'!A292)</f>
        <v>Chanitos Premium EUA Tarima Americana</v>
      </c>
      <c r="B292" s="11" t="str">
        <f>IF('[1]P-GENERAL'!B292="","",'[1]P-GENERAL'!B292)</f>
        <v>CPR01104</v>
      </c>
      <c r="C292" t="str">
        <f>IF('[1]P-GENERAL'!C292="","",'[1]P-GENERAL'!C292)</f>
        <v>A01003-392209-1</v>
      </c>
      <c r="D292" t="str">
        <f>IF('[1]P-GENERAL'!D292="","",'[1]P-GENERAL'!D292)</f>
        <v>A01 003 Doña Nelly</v>
      </c>
      <c r="E292" s="8" t="str">
        <f>IF('[1]P-GENERAL'!E292="","",'[1]P-GENERAL'!E292)</f>
        <v>McAllen</v>
      </c>
      <c r="F292" s="12">
        <f>IF('[1]P-GENERAL'!F292="","",'[1]P-GENERAL'!F292)</f>
        <v>480</v>
      </c>
      <c r="G292" s="13">
        <f>IF('[1]P-GENERAL'!G292="","",'[1]P-GENERAL'!G292)</f>
        <v>10</v>
      </c>
      <c r="H292" s="14">
        <f>IF('[1]P-GENERAL'!H292="","",'[1]P-GENERAL'!H292)</f>
        <v>46287</v>
      </c>
      <c r="I292">
        <f>IF('[1]P-GENERAL'!I292="","",'[1]P-GENERAL'!I292)</f>
        <v>39</v>
      </c>
      <c r="J292" s="15">
        <f>IF('[1]P-GENERAL'!J292="","",'[1]P-GENERAL'!J292)</f>
        <v>46290</v>
      </c>
      <c r="K292" s="14" t="str">
        <f>IF('[1]P-GENERAL'!K292="","",'[1]P-GENERAL'!K292)</f>
        <v/>
      </c>
      <c r="L292" s="14" t="str">
        <f>IF('[1]P-GENERAL'!L292="","",'[1]P-GENERAL'!L292)</f>
        <v>PREENFRIO NELLY</v>
      </c>
      <c r="M292">
        <f>IF('[1]P-GENERAL'!M292="","",'[1]P-GENERAL'!M292)</f>
        <v>3</v>
      </c>
      <c r="N292">
        <f>IF('[1]P-GENERAL'!N292="","",'[1]P-GENERAL'!N292)</f>
        <v>72</v>
      </c>
      <c r="O292" s="14">
        <f>IF('[1]P-GENERAL'!O292="","",'[1]P-GENERAL'!O292)</f>
        <v>46287</v>
      </c>
      <c r="P292" s="16">
        <f>IF('[1]P-GENERAL'!P292="","",'[1]P-GENERAL'!P292)</f>
        <v>0.75</v>
      </c>
      <c r="Q292" t="str">
        <f>IF('[1]P-GENERAL'!Q292="","",'[1]P-GENERAL'!Q292)</f>
        <v>NORMAL</v>
      </c>
      <c r="R292" s="14">
        <f>IF('[1]P-GENERAL'!R292="","",'[1]P-GENERAL'!R292)</f>
        <v>46287</v>
      </c>
      <c r="S292" s="16">
        <f>IF('[1]P-GENERAL'!S292="","",'[1]P-GENERAL'!S292)</f>
        <v>0.47986111111111113</v>
      </c>
      <c r="T292" s="16">
        <f>IF('[1]P-GENERAL'!T292="","",'[1]P-GENERAL'!T292)</f>
        <v>0.35416666666666669</v>
      </c>
      <c r="U292" s="17">
        <f>IF('[1]P-GENERAL'!U292="","",'[1]P-GENERAL'!U292)</f>
        <v>46287.834027777775</v>
      </c>
      <c r="V292" s="14">
        <f>IF('[1]P-GENERAL'!V292="","",'[1]P-GENERAL'!V292)</f>
        <v>46288</v>
      </c>
      <c r="W292" s="16">
        <f>IF('[1]P-GENERAL'!W292="","",'[1]P-GENERAL'!W292)</f>
        <v>0.99305555555555558</v>
      </c>
      <c r="X292" s="14" t="str">
        <f>IF('[1]P-GENERAL'!X292="","",'[1]P-GENERAL'!X292)</f>
        <v>NO CUMPLE</v>
      </c>
      <c r="Y292" s="14" t="str">
        <f>IF('[1]P-GENERAL'!Y292="","",'[1]P-GENERAL'!Y292)</f>
        <v>NO CUMPLE</v>
      </c>
      <c r="Z292" s="14" t="str">
        <f>IF('[1]P-GENERAL'!Z292="","",'[1]P-GENERAL'!Z292)</f>
        <v/>
      </c>
      <c r="AA292" s="14" t="str">
        <f>IF('[1]P-GENERAL'!AA292="","",'[1]P-GENERAL'!AA292)</f>
        <v>DESPACHADO</v>
      </c>
      <c r="AB292" s="8" t="str">
        <f>IF('[1]P-GENERAL'!AB292="","",'[1]P-GENERAL'!AB292)</f>
        <v>TRANSPORTES ALGEZA</v>
      </c>
      <c r="AC292" s="8" t="str">
        <f>IF('[1]P-GENERAL'!AC292="","",'[1]P-GENERAL'!AC292)</f>
        <v>Michael Lomeli Cardenas</v>
      </c>
      <c r="AD292">
        <f>IF('[1]P-GENERAL'!AD292="","",'[1]P-GENERAL'!AD292)</f>
        <v>19096</v>
      </c>
      <c r="AE292">
        <f>IF('[1]P-GENERAL'!AE292="","",'[1]P-GENERAL'!AE292)</f>
        <v>100000913525</v>
      </c>
    </row>
    <row r="293" spans="1:31" ht="20.25" x14ac:dyDescent="0.3">
      <c r="A293" s="11" t="str">
        <f>IF('[1]P-GENERAL'!A293="","",'[1]P-GENERAL'!A293)</f>
        <v>Chanitos Premium EUA Tarima Americana</v>
      </c>
      <c r="B293" s="11" t="str">
        <f>IF('[1]P-GENERAL'!B293="","",'[1]P-GENERAL'!B293)</f>
        <v>CPR01104</v>
      </c>
      <c r="C293" t="str">
        <f>IF('[1]P-GENERAL'!C293="","",'[1]P-GENERAL'!C293)</f>
        <v>A04084-392109-1</v>
      </c>
      <c r="D293" t="str">
        <f>IF('[1]P-GENERAL'!D293="","",'[1]P-GENERAL'!D293)</f>
        <v>A04 084 Lisboa</v>
      </c>
      <c r="E293" s="8" t="str">
        <f>IF('[1]P-GENERAL'!E293="","",'[1]P-GENERAL'!E293)</f>
        <v>McAllen</v>
      </c>
      <c r="F293" s="12">
        <f>IF('[1]P-GENERAL'!F293="","",'[1]P-GENERAL'!F293)</f>
        <v>720</v>
      </c>
      <c r="G293" s="13">
        <f>IF('[1]P-GENERAL'!G293="","",'[1]P-GENERAL'!G293)</f>
        <v>15</v>
      </c>
      <c r="H293" s="14">
        <f>IF('[1]P-GENERAL'!H293="","",'[1]P-GENERAL'!H293)</f>
        <v>46286</v>
      </c>
      <c r="I293">
        <f>IF('[1]P-GENERAL'!I293="","",'[1]P-GENERAL'!I293)</f>
        <v>39</v>
      </c>
      <c r="J293" s="15">
        <f>IF('[1]P-GENERAL'!J293="","",'[1]P-GENERAL'!J293)</f>
        <v>46291</v>
      </c>
      <c r="K293" s="14" t="str">
        <f>IF('[1]P-GENERAL'!K293="","",'[1]P-GENERAL'!K293)</f>
        <v/>
      </c>
      <c r="L293" s="14" t="str">
        <f>IF('[1]P-GENERAL'!L293="","",'[1]P-GENERAL'!L293)</f>
        <v>PREENFRIO NELLY</v>
      </c>
      <c r="M293">
        <f>IF('[1]P-GENERAL'!M293="","",'[1]P-GENERAL'!M293)</f>
        <v>3</v>
      </c>
      <c r="N293">
        <f>IF('[1]P-GENERAL'!N293="","",'[1]P-GENERAL'!N293)</f>
        <v>72</v>
      </c>
      <c r="O293" s="14">
        <f>IF('[1]P-GENERAL'!O293="","",'[1]P-GENERAL'!O293)</f>
        <v>46287</v>
      </c>
      <c r="P293" s="16">
        <f>IF('[1]P-GENERAL'!P293="","",'[1]P-GENERAL'!P293)</f>
        <v>0.70833333333333337</v>
      </c>
      <c r="Q293" t="str">
        <f>IF('[1]P-GENERAL'!Q293="","",'[1]P-GENERAL'!Q293)</f>
        <v>ALTA</v>
      </c>
      <c r="R293" s="14">
        <f>IF('[1]P-GENERAL'!R293="","",'[1]P-GENERAL'!R293)</f>
        <v>46288</v>
      </c>
      <c r="S293" s="16">
        <f>IF('[1]P-GENERAL'!S293="","",'[1]P-GENERAL'!S293)</f>
        <v>0.80902777777777779</v>
      </c>
      <c r="T293" s="16">
        <f>IF('[1]P-GENERAL'!T293="","",'[1]P-GENERAL'!T293)</f>
        <v>0.35416666666666669</v>
      </c>
      <c r="U293" s="17">
        <f>IF('[1]P-GENERAL'!U293="","",'[1]P-GENERAL'!U293)</f>
        <v>46289.163194444445</v>
      </c>
      <c r="V293" s="14">
        <f>IF('[1]P-GENERAL'!V293="","",'[1]P-GENERAL'!V293)</f>
        <v>46288</v>
      </c>
      <c r="W293" s="16">
        <f>IF('[1]P-GENERAL'!W293="","",'[1]P-GENERAL'!W293)</f>
        <v>0.99305555555555558</v>
      </c>
      <c r="X293" s="14" t="str">
        <f>IF('[1]P-GENERAL'!X293="","",'[1]P-GENERAL'!X293)</f>
        <v>NO CUMPLE</v>
      </c>
      <c r="Y293" s="14" t="str">
        <f>IF('[1]P-GENERAL'!Y293="","",'[1]P-GENERAL'!Y293)</f>
        <v>NO CUMPLE</v>
      </c>
      <c r="Z293" s="14" t="str">
        <f>IF('[1]P-GENERAL'!Z293="","",'[1]P-GENERAL'!Z293)</f>
        <v/>
      </c>
      <c r="AA293" s="14" t="str">
        <f>IF('[1]P-GENERAL'!AA293="","",'[1]P-GENERAL'!AA293)</f>
        <v>DESPACHADO</v>
      </c>
      <c r="AB293" s="8" t="str">
        <f>IF('[1]P-GENERAL'!AB293="","",'[1]P-GENERAL'!AB293)</f>
        <v>TRANSPORTES ALGEZA</v>
      </c>
      <c r="AC293" s="8" t="str">
        <f>IF('[1]P-GENERAL'!AC293="","",'[1]P-GENERAL'!AC293)</f>
        <v>Michael Lomeli Cardenas</v>
      </c>
      <c r="AD293">
        <f>IF('[1]P-GENERAL'!AD293="","",'[1]P-GENERAL'!AD293)</f>
        <v>19096</v>
      </c>
      <c r="AE293">
        <f>IF('[1]P-GENERAL'!AE293="","",'[1]P-GENERAL'!AE293)</f>
        <v>100000913525</v>
      </c>
    </row>
    <row r="294" spans="1:31" ht="20.25" x14ac:dyDescent="0.3">
      <c r="A294" s="11" t="str">
        <f>IF('[1]P-GENERAL'!A294="","",'[1]P-GENERAL'!A294)</f>
        <v>Chanitos Premium Tarima Chep</v>
      </c>
      <c r="B294" s="11" t="str">
        <f>IF('[1]P-GENERAL'!B294="","",'[1]P-GENERAL'!B294)</f>
        <v>CPR01102</v>
      </c>
      <c r="C294" t="str">
        <f>IF('[1]P-GENERAL'!C294="","",'[1]P-GENERAL'!C294)</f>
        <v>A01002-392209-1</v>
      </c>
      <c r="D294" t="str">
        <f>IF('[1]P-GENERAL'!D294="","",'[1]P-GENERAL'!D294)</f>
        <v>A01 002 Fortaleza</v>
      </c>
      <c r="E294" s="8" t="str">
        <f>IF('[1]P-GENERAL'!E294="","",'[1]P-GENERAL'!E294)</f>
        <v>SMO</v>
      </c>
      <c r="F294" s="12">
        <f>IF('[1]P-GENERAL'!F294="","",'[1]P-GENERAL'!F294)</f>
        <v>96</v>
      </c>
      <c r="G294" s="13">
        <f>IF('[1]P-GENERAL'!G294="","",'[1]P-GENERAL'!G294)</f>
        <v>2</v>
      </c>
      <c r="H294" s="14">
        <f>IF('[1]P-GENERAL'!H294="","",'[1]P-GENERAL'!H294)</f>
        <v>46286</v>
      </c>
      <c r="I294">
        <f>IF('[1]P-GENERAL'!I294="","",'[1]P-GENERAL'!I294)</f>
        <v>39</v>
      </c>
      <c r="J294" s="15">
        <f>IF('[1]P-GENERAL'!J294="","",'[1]P-GENERAL'!J294)</f>
        <v>46291</v>
      </c>
      <c r="K294" s="14" t="str">
        <f>IF('[1]P-GENERAL'!K294="","",'[1]P-GENERAL'!K294)</f>
        <v>PREENFRIO FORTALEZA</v>
      </c>
      <c r="L294" s="14" t="str">
        <f>IF('[1]P-GENERAL'!L294="","",'[1]P-GENERAL'!L294)</f>
        <v>PREENFRIO FORTALEZA</v>
      </c>
      <c r="M294">
        <f>IF('[1]P-GENERAL'!M294="","",'[1]P-GENERAL'!M294)</f>
        <v>1.5</v>
      </c>
      <c r="N294">
        <f>IF('[1]P-GENERAL'!N294="","",'[1]P-GENERAL'!N294)</f>
        <v>36</v>
      </c>
      <c r="O294" s="14">
        <f>IF('[1]P-GENERAL'!O294="","",'[1]P-GENERAL'!O294)</f>
        <v>46287</v>
      </c>
      <c r="P294" s="16">
        <f>IF('[1]P-GENERAL'!P294="","",'[1]P-GENERAL'!P294)</f>
        <v>0.71111111111111114</v>
      </c>
      <c r="Q294" t="str">
        <f>IF('[1]P-GENERAL'!Q294="","",'[1]P-GENERAL'!Q294)</f>
        <v>NORMAL</v>
      </c>
      <c r="R294" s="14">
        <f>IF('[1]P-GENERAL'!R294="","",'[1]P-GENERAL'!R294)</f>
        <v>46287</v>
      </c>
      <c r="S294" s="16">
        <f>IF('[1]P-GENERAL'!S294="","",'[1]P-GENERAL'!S294)</f>
        <v>0.72916666666666663</v>
      </c>
      <c r="T294" s="16">
        <f>IF('[1]P-GENERAL'!T294="","",'[1]P-GENERAL'!T294)</f>
        <v>0.625</v>
      </c>
      <c r="U294" s="17">
        <f>IF('[1]P-GENERAL'!U294="","",'[1]P-GENERAL'!U294)</f>
        <v>46288.354166666664</v>
      </c>
      <c r="V294" s="14">
        <f>IF('[1]P-GENERAL'!V294="","",'[1]P-GENERAL'!V294)</f>
        <v>46289</v>
      </c>
      <c r="W294" s="16">
        <f>IF('[1]P-GENERAL'!W294="","",'[1]P-GENERAL'!W294)</f>
        <v>9.375E-2</v>
      </c>
      <c r="X294" s="14" t="str">
        <f>IF('[1]P-GENERAL'!X294="","",'[1]P-GENERAL'!X294)</f>
        <v>SI CUMPLE</v>
      </c>
      <c r="Y294" s="14" t="str">
        <f>IF('[1]P-GENERAL'!Y294="","",'[1]P-GENERAL'!Y294)</f>
        <v>SI CUMPLE</v>
      </c>
      <c r="Z294" s="14" t="str">
        <f>IF('[1]P-GENERAL'!Z294="","",'[1]P-GENERAL'!Z294)</f>
        <v>COMPLETA EN NELLY</v>
      </c>
      <c r="AA294" s="14" t="str">
        <f>IF('[1]P-GENERAL'!AA294="","",'[1]P-GENERAL'!AA294)</f>
        <v xml:space="preserve">DESPACHADO  </v>
      </c>
      <c r="AB294" s="8" t="str">
        <f>IF('[1]P-GENERAL'!AB294="","",'[1]P-GENERAL'!AB294)</f>
        <v xml:space="preserve">MARIBEL DE LA ROSA </v>
      </c>
      <c r="AC294" s="8" t="str">
        <f>IF('[1]P-GENERAL'!AC294="","",'[1]P-GENERAL'!AC294)</f>
        <v>ENRIQUE TREJO SANCHEZ</v>
      </c>
      <c r="AD294">
        <f>IF('[1]P-GENERAL'!AD294="","",'[1]P-GENERAL'!AD294)</f>
        <v>91613</v>
      </c>
      <c r="AE294" t="str">
        <f>IF('[1]P-GENERAL'!AE294="","",'[1]P-GENERAL'!AE294)</f>
        <v>N/A</v>
      </c>
    </row>
    <row r="295" spans="1:31" ht="20.25" x14ac:dyDescent="0.3">
      <c r="A295" s="11" t="str">
        <f>IF('[1]P-GENERAL'!A295="","",'[1]P-GENERAL'!A295)</f>
        <v>Chanitos Premium Tarima Chep</v>
      </c>
      <c r="B295" s="11" t="str">
        <f>IF('[1]P-GENERAL'!B295="","",'[1]P-GENERAL'!B295)</f>
        <v>CPR01102</v>
      </c>
      <c r="C295" t="str">
        <f>IF('[1]P-GENERAL'!C295="","",'[1]P-GENERAL'!C295)</f>
        <v>A01003-392209-1</v>
      </c>
      <c r="D295" t="str">
        <f>IF('[1]P-GENERAL'!D295="","",'[1]P-GENERAL'!D295)</f>
        <v>A01 003 Doña Nelly</v>
      </c>
      <c r="E295" s="8" t="str">
        <f>IF('[1]P-GENERAL'!E295="","",'[1]P-GENERAL'!E295)</f>
        <v>CEDA</v>
      </c>
      <c r="F295" s="12">
        <f>IF('[1]P-GENERAL'!F295="","",'[1]P-GENERAL'!F295)</f>
        <v>192</v>
      </c>
      <c r="G295" s="13">
        <f>IF('[1]P-GENERAL'!G295="","",'[1]P-GENERAL'!G295)</f>
        <v>4</v>
      </c>
      <c r="H295" s="14">
        <f>IF('[1]P-GENERAL'!H295="","",'[1]P-GENERAL'!H295)</f>
        <v>46287</v>
      </c>
      <c r="I295">
        <f>IF('[1]P-GENERAL'!I295="","",'[1]P-GENERAL'!I295)</f>
        <v>39</v>
      </c>
      <c r="J295" s="15">
        <f>IF('[1]P-GENERAL'!J295="","",'[1]P-GENERAL'!J295)</f>
        <v>46291</v>
      </c>
      <c r="K295" s="14" t="str">
        <f>IF('[1]P-GENERAL'!K295="","",'[1]P-GENERAL'!K295)</f>
        <v/>
      </c>
      <c r="L295" s="14" t="str">
        <f>IF('[1]P-GENERAL'!L295="","",'[1]P-GENERAL'!L295)</f>
        <v>PREENFRIO NELLY</v>
      </c>
      <c r="M295" t="str">
        <f>IF('[1]P-GENERAL'!M295="","",'[1]P-GENERAL'!M295)</f>
        <v>SIN PRE</v>
      </c>
      <c r="N295" t="str">
        <f>IF('[1]P-GENERAL'!N295="","",'[1]P-GENERAL'!N295)</f>
        <v>SIN PRE</v>
      </c>
      <c r="O295" s="14">
        <f>IF('[1]P-GENERAL'!O295="","",'[1]P-GENERAL'!O295)</f>
        <v>46287</v>
      </c>
      <c r="P295" s="16">
        <f>IF('[1]P-GENERAL'!P295="","",'[1]P-GENERAL'!P295)</f>
        <v>0.75</v>
      </c>
      <c r="Q295" t="str">
        <f>IF('[1]P-GENERAL'!Q295="","",'[1]P-GENERAL'!Q295)</f>
        <v>NORMAL</v>
      </c>
      <c r="R295" s="14">
        <f>IF('[1]P-GENERAL'!R295="","",'[1]P-GENERAL'!R295)</f>
        <v>46287</v>
      </c>
      <c r="S295" s="16" t="str">
        <f>IF('[1]P-GENERAL'!S295="","",'[1]P-GENERAL'!S295)</f>
        <v>SIN PRE</v>
      </c>
      <c r="T295" s="16" t="str">
        <f>IF('[1]P-GENERAL'!T295="","",'[1]P-GENERAL'!T295)</f>
        <v>SIN PRE</v>
      </c>
      <c r="U295" s="17" t="str">
        <f>IF('[1]P-GENERAL'!U295="","",'[1]P-GENERAL'!U295)</f>
        <v>SIN PRE</v>
      </c>
      <c r="V295" s="14" t="str">
        <f>IF('[1]P-GENERAL'!V295="","",'[1]P-GENERAL'!V295)</f>
        <v/>
      </c>
      <c r="W295" s="16" t="str">
        <f>IF('[1]P-GENERAL'!W295="","",'[1]P-GENERAL'!W295)</f>
        <v/>
      </c>
      <c r="X295" s="14" t="str">
        <f>IF('[1]P-GENERAL'!X295="","",'[1]P-GENERAL'!X295)</f>
        <v/>
      </c>
      <c r="Y295" s="14" t="str">
        <f>IF('[1]P-GENERAL'!Y295="","",'[1]P-GENERAL'!Y295)</f>
        <v/>
      </c>
      <c r="Z295" s="14" t="str">
        <f>IF('[1]P-GENERAL'!Z295="","",'[1]P-GENERAL'!Z295)</f>
        <v/>
      </c>
      <c r="AA295" s="14" t="str">
        <f>IF('[1]P-GENERAL'!AA295="","",'[1]P-GENERAL'!AA295)</f>
        <v>DESPACHADO</v>
      </c>
      <c r="AB295" s="8" t="str">
        <f>IF('[1]P-GENERAL'!AB295="","",'[1]P-GENERAL'!AB295)</f>
        <v>AGUILAR</v>
      </c>
      <c r="AC295" s="8" t="str">
        <f>IF('[1]P-GENERAL'!AC295="","",'[1]P-GENERAL'!AC295)</f>
        <v>EMANUEL RODRIGUEZ C</v>
      </c>
      <c r="AD295" t="str">
        <f>IF('[1]P-GENERAL'!AD295="","",'[1]P-GENERAL'!AD295)</f>
        <v/>
      </c>
      <c r="AE295" t="str">
        <f>IF('[1]P-GENERAL'!AE295="","",'[1]P-GENERAL'!AE295)</f>
        <v/>
      </c>
    </row>
    <row r="296" spans="1:31" ht="20.25" x14ac:dyDescent="0.3">
      <c r="A296" s="11" t="str">
        <f>IF('[1]P-GENERAL'!A296="","",'[1]P-GENERAL'!A296)</f>
        <v>Chanitos Premium Tarima Chep</v>
      </c>
      <c r="B296" s="11" t="str">
        <f>IF('[1]P-GENERAL'!B296="","",'[1]P-GENERAL'!B296)</f>
        <v>CPR01102</v>
      </c>
      <c r="C296" t="str">
        <f>IF('[1]P-GENERAL'!C296="","",'[1]P-GENERAL'!C296)</f>
        <v>A01002-392209-1</v>
      </c>
      <c r="D296" t="str">
        <f>IF('[1]P-GENERAL'!D296="","",'[1]P-GENERAL'!D296)</f>
        <v>A01 002 Fortaleza</v>
      </c>
      <c r="E296" s="8" t="str">
        <f>IF('[1]P-GENERAL'!E296="","",'[1]P-GENERAL'!E296)</f>
        <v>SMO</v>
      </c>
      <c r="F296" s="12">
        <f>IF('[1]P-GENERAL'!F296="","",'[1]P-GENERAL'!F296)</f>
        <v>384</v>
      </c>
      <c r="G296" s="13">
        <f>IF('[1]P-GENERAL'!G296="","",'[1]P-GENERAL'!G296)</f>
        <v>8</v>
      </c>
      <c r="H296" s="14">
        <f>IF('[1]P-GENERAL'!H296="","",'[1]P-GENERAL'!H296)</f>
        <v>46287</v>
      </c>
      <c r="I296">
        <f>IF('[1]P-GENERAL'!I296="","",'[1]P-GENERAL'!I296)</f>
        <v>39</v>
      </c>
      <c r="J296" s="15">
        <f>IF('[1]P-GENERAL'!J296="","",'[1]P-GENERAL'!J296)</f>
        <v>46291</v>
      </c>
      <c r="K296" s="14" t="str">
        <f>IF('[1]P-GENERAL'!K296="","",'[1]P-GENERAL'!K296)</f>
        <v/>
      </c>
      <c r="L296" s="14" t="str">
        <f>IF('[1]P-GENERAL'!L296="","",'[1]P-GENERAL'!L296)</f>
        <v>PREENFRIO FORTALEZA</v>
      </c>
      <c r="M296">
        <f>IF('[1]P-GENERAL'!M296="","",'[1]P-GENERAL'!M296)</f>
        <v>1.5</v>
      </c>
      <c r="N296">
        <f>IF('[1]P-GENERAL'!N296="","",'[1]P-GENERAL'!N296)</f>
        <v>36</v>
      </c>
      <c r="O296" s="14">
        <f>IF('[1]P-GENERAL'!O296="","",'[1]P-GENERAL'!O296)</f>
        <v>46287</v>
      </c>
      <c r="P296" s="16">
        <f>IF('[1]P-GENERAL'!P296="","",'[1]P-GENERAL'!P296)</f>
        <v>0.71111111111111114</v>
      </c>
      <c r="Q296" t="str">
        <f>IF('[1]P-GENERAL'!Q296="","",'[1]P-GENERAL'!Q296)</f>
        <v>NORMAL</v>
      </c>
      <c r="R296" s="14">
        <f>IF('[1]P-GENERAL'!R296="","",'[1]P-GENERAL'!R296)</f>
        <v>46287</v>
      </c>
      <c r="S296" s="16">
        <f>IF('[1]P-GENERAL'!S296="","",'[1]P-GENERAL'!S296)</f>
        <v>0.72916666666666663</v>
      </c>
      <c r="T296" s="16">
        <f>IF('[1]P-GENERAL'!T296="","",'[1]P-GENERAL'!T296)</f>
        <v>0.625</v>
      </c>
      <c r="U296" s="17">
        <f>IF('[1]P-GENERAL'!U296="","",'[1]P-GENERAL'!U296)</f>
        <v>46288.354166666664</v>
      </c>
      <c r="V296" s="14">
        <f>IF('[1]P-GENERAL'!V296="","",'[1]P-GENERAL'!V296)</f>
        <v>46289</v>
      </c>
      <c r="W296" s="16">
        <f>IF('[1]P-GENERAL'!W296="","",'[1]P-GENERAL'!W296)</f>
        <v>9.375E-2</v>
      </c>
      <c r="X296" s="14" t="str">
        <f>IF('[1]P-GENERAL'!X296="","",'[1]P-GENERAL'!X296)</f>
        <v>SI CUMPLE</v>
      </c>
      <c r="Y296" s="14" t="str">
        <f>IF('[1]P-GENERAL'!Y296="","",'[1]P-GENERAL'!Y296)</f>
        <v>SI CUMPLE</v>
      </c>
      <c r="Z296" s="14" t="str">
        <f>IF('[1]P-GENERAL'!Z296="","",'[1]P-GENERAL'!Z296)</f>
        <v>COMPLETA EN NELLY</v>
      </c>
      <c r="AA296" s="14" t="str">
        <f>IF('[1]P-GENERAL'!AA296="","",'[1]P-GENERAL'!AA296)</f>
        <v xml:space="preserve">DESPACHADO  </v>
      </c>
      <c r="AB296" s="8" t="str">
        <f>IF('[1]P-GENERAL'!AB296="","",'[1]P-GENERAL'!AB296)</f>
        <v xml:space="preserve">MARIBEL DE LA ROSA </v>
      </c>
      <c r="AC296" s="8" t="str">
        <f>IF('[1]P-GENERAL'!AC296="","",'[1]P-GENERAL'!AC296)</f>
        <v>ENRIQUE TREJO SANCHEZ</v>
      </c>
      <c r="AD296">
        <f>IF('[1]P-GENERAL'!AD296="","",'[1]P-GENERAL'!AD296)</f>
        <v>91613</v>
      </c>
      <c r="AE296" t="str">
        <f>IF('[1]P-GENERAL'!AE296="","",'[1]P-GENERAL'!AE296)</f>
        <v>N/A</v>
      </c>
    </row>
    <row r="297" spans="1:31" ht="20.25" x14ac:dyDescent="0.3">
      <c r="A297" s="11" t="str">
        <f>IF('[1]P-GENERAL'!A297="","",'[1]P-GENERAL'!A297)</f>
        <v>Chanitos Premium Tarima Chep</v>
      </c>
      <c r="B297" s="11" t="str">
        <f>IF('[1]P-GENERAL'!B297="","",'[1]P-GENERAL'!B297)</f>
        <v>CPR01102</v>
      </c>
      <c r="C297" t="str">
        <f>IF('[1]P-GENERAL'!C297="","",'[1]P-GENERAL'!C297)</f>
        <v>A01002-392209-1</v>
      </c>
      <c r="D297" t="str">
        <f>IF('[1]P-GENERAL'!D297="","",'[1]P-GENERAL'!D297)</f>
        <v>A01 002 Fortaleza</v>
      </c>
      <c r="E297" s="8" t="str">
        <f>IF('[1]P-GENERAL'!E297="","",'[1]P-GENERAL'!E297)</f>
        <v>VSA</v>
      </c>
      <c r="F297" s="12">
        <f>IF('[1]P-GENERAL'!F297="","",'[1]P-GENERAL'!F297)</f>
        <v>912</v>
      </c>
      <c r="G297" s="13">
        <f>IF('[1]P-GENERAL'!G297="","",'[1]P-GENERAL'!G297)</f>
        <v>19</v>
      </c>
      <c r="H297" s="14">
        <f>IF('[1]P-GENERAL'!H297="","",'[1]P-GENERAL'!H297)</f>
        <v>46287</v>
      </c>
      <c r="I297">
        <f>IF('[1]P-GENERAL'!I297="","",'[1]P-GENERAL'!I297)</f>
        <v>39</v>
      </c>
      <c r="J297" s="15">
        <f>IF('[1]P-GENERAL'!J297="","",'[1]P-GENERAL'!J297)</f>
        <v>46291</v>
      </c>
      <c r="K297" s="14" t="str">
        <f>IF('[1]P-GENERAL'!K297="","",'[1]P-GENERAL'!K297)</f>
        <v/>
      </c>
      <c r="L297" s="14" t="str">
        <f>IF('[1]P-GENERAL'!L297="","",'[1]P-GENERAL'!L297)</f>
        <v>PREENFRIO FORTALEZA</v>
      </c>
      <c r="M297">
        <f>IF('[1]P-GENERAL'!M297="","",'[1]P-GENERAL'!M297)</f>
        <v>1</v>
      </c>
      <c r="N297">
        <f>IF('[1]P-GENERAL'!N297="","",'[1]P-GENERAL'!N297)</f>
        <v>24</v>
      </c>
      <c r="O297" s="14">
        <f>IF('[1]P-GENERAL'!O297="","",'[1]P-GENERAL'!O297)</f>
        <v>46287</v>
      </c>
      <c r="P297" s="16">
        <f>IF('[1]P-GENERAL'!P297="","",'[1]P-GENERAL'!P297)</f>
        <v>0.71111111111111114</v>
      </c>
      <c r="Q297" t="str">
        <f>IF('[1]P-GENERAL'!Q297="","",'[1]P-GENERAL'!Q297)</f>
        <v>NORMAL</v>
      </c>
      <c r="R297" s="14">
        <f>IF('[1]P-GENERAL'!R297="","",'[1]P-GENERAL'!R297)</f>
        <v>46287</v>
      </c>
      <c r="S297" s="16">
        <f>IF('[1]P-GENERAL'!S297="","",'[1]P-GENERAL'!S297)</f>
        <v>0.72916666666666663</v>
      </c>
      <c r="T297" s="16">
        <f>IF('[1]P-GENERAL'!T297="","",'[1]P-GENERAL'!T297)</f>
        <v>0.625</v>
      </c>
      <c r="U297" s="17">
        <f>IF('[1]P-GENERAL'!U297="","",'[1]P-GENERAL'!U297)</f>
        <v>46288.354166666664</v>
      </c>
      <c r="V297" s="14">
        <f>IF('[1]P-GENERAL'!V297="","",'[1]P-GENERAL'!V297)</f>
        <v>46289</v>
      </c>
      <c r="W297" s="16">
        <f>IF('[1]P-GENERAL'!W297="","",'[1]P-GENERAL'!W297)</f>
        <v>0.59027777777777779</v>
      </c>
      <c r="X297" s="14" t="str">
        <f>IF('[1]P-GENERAL'!X297="","",'[1]P-GENERAL'!X297)</f>
        <v>SI CUMPLE</v>
      </c>
      <c r="Y297" s="14" t="str">
        <f>IF('[1]P-GENERAL'!Y297="","",'[1]P-GENERAL'!Y297)</f>
        <v>SI CUMPLE</v>
      </c>
      <c r="Z297" s="14" t="str">
        <f>IF('[1]P-GENERAL'!Z297="","",'[1]P-GENERAL'!Z297)</f>
        <v/>
      </c>
      <c r="AA297" s="14" t="str">
        <f>IF('[1]P-GENERAL'!AA297="","",'[1]P-GENERAL'!AA297)</f>
        <v>DESPACHADO</v>
      </c>
      <c r="AB297" s="8" t="str">
        <f>IF('[1]P-GENERAL'!AB297="","",'[1]P-GENERAL'!AB297)</f>
        <v>BACKHAUL</v>
      </c>
      <c r="AC297" s="8" t="str">
        <f>IF('[1]P-GENERAL'!AC297="","",'[1]P-GENERAL'!AC297)</f>
        <v>AARON MONTEJO COLLI</v>
      </c>
      <c r="AD297">
        <f>IF('[1]P-GENERAL'!AD297="","",'[1]P-GENERAL'!AD297)</f>
        <v>32888</v>
      </c>
      <c r="AE297" t="str">
        <f>IF('[1]P-GENERAL'!AE297="","",'[1]P-GENERAL'!AE297)</f>
        <v>QCH1W04MP0</v>
      </c>
    </row>
    <row r="298" spans="1:31" ht="20.25" x14ac:dyDescent="0.3">
      <c r="A298" s="11" t="str">
        <f>IF('[1]P-GENERAL'!A298="","",'[1]P-GENERAL'!A298)</f>
        <v>Chanitos Organic Banded Market Side Mexico</v>
      </c>
      <c r="B298" s="11" t="str">
        <f>IF('[1]P-GENERAL'!B298="","",'[1]P-GENERAL'!B298)</f>
        <v>CRG07128</v>
      </c>
      <c r="C298" t="str">
        <f>IF('[1]P-GENERAL'!C298="","",'[1]P-GENERAL'!C298)</f>
        <v>A01002-392209-1</v>
      </c>
      <c r="D298" t="str">
        <f>IF('[1]P-GENERAL'!D298="","",'[1]P-GENERAL'!D298)</f>
        <v>A01 002 Fortaleza</v>
      </c>
      <c r="E298" s="8" t="str">
        <f>IF('[1]P-GENERAL'!E298="","",'[1]P-GENERAL'!E298)</f>
        <v>VSA</v>
      </c>
      <c r="F298" s="12">
        <f>IF('[1]P-GENERAL'!F298="","",'[1]P-GENERAL'!F298)</f>
        <v>240</v>
      </c>
      <c r="G298" s="13">
        <f>IF('[1]P-GENERAL'!G298="","",'[1]P-GENERAL'!G298)</f>
        <v>5</v>
      </c>
      <c r="H298" s="14">
        <f>IF('[1]P-GENERAL'!H298="","",'[1]P-GENERAL'!H298)</f>
        <v>46287</v>
      </c>
      <c r="I298">
        <f>IF('[1]P-GENERAL'!I298="","",'[1]P-GENERAL'!I298)</f>
        <v>39</v>
      </c>
      <c r="J298" s="15">
        <f>IF('[1]P-GENERAL'!J298="","",'[1]P-GENERAL'!J298)</f>
        <v>46291</v>
      </c>
      <c r="K298" s="14" t="str">
        <f>IF('[1]P-GENERAL'!K298="","",'[1]P-GENERAL'!K298)</f>
        <v/>
      </c>
      <c r="L298" s="14" t="str">
        <f>IF('[1]P-GENERAL'!L298="","",'[1]P-GENERAL'!L298)</f>
        <v>PREENFRIO FORTALEZA</v>
      </c>
      <c r="M298">
        <f>IF('[1]P-GENERAL'!M298="","",'[1]P-GENERAL'!M298)</f>
        <v>1</v>
      </c>
      <c r="N298">
        <f>IF('[1]P-GENERAL'!N298="","",'[1]P-GENERAL'!N298)</f>
        <v>24</v>
      </c>
      <c r="O298" s="14">
        <f>IF('[1]P-GENERAL'!O298="","",'[1]P-GENERAL'!O298)</f>
        <v>46287</v>
      </c>
      <c r="P298" s="16">
        <f>IF('[1]P-GENERAL'!P298="","",'[1]P-GENERAL'!P298)</f>
        <v>0.71111111111111114</v>
      </c>
      <c r="Q298" t="str">
        <f>IF('[1]P-GENERAL'!Q298="","",'[1]P-GENERAL'!Q298)</f>
        <v>NORMAL</v>
      </c>
      <c r="R298" s="14">
        <f>IF('[1]P-GENERAL'!R298="","",'[1]P-GENERAL'!R298)</f>
        <v>46287</v>
      </c>
      <c r="S298" s="16">
        <f>IF('[1]P-GENERAL'!S298="","",'[1]P-GENERAL'!S298)</f>
        <v>0.72916666666666663</v>
      </c>
      <c r="T298" s="16">
        <f>IF('[1]P-GENERAL'!T298="","",'[1]P-GENERAL'!T298)</f>
        <v>0.625</v>
      </c>
      <c r="U298" s="17">
        <f>IF('[1]P-GENERAL'!U298="","",'[1]P-GENERAL'!U298)</f>
        <v>46288.354166666664</v>
      </c>
      <c r="V298" s="14">
        <f>IF('[1]P-GENERAL'!V298="","",'[1]P-GENERAL'!V298)</f>
        <v>46289</v>
      </c>
      <c r="W298" s="16">
        <f>IF('[1]P-GENERAL'!W298="","",'[1]P-GENERAL'!W298)</f>
        <v>0.59027777777777779</v>
      </c>
      <c r="X298" s="14" t="str">
        <f>IF('[1]P-GENERAL'!X298="","",'[1]P-GENERAL'!X298)</f>
        <v>SI CUMPLE</v>
      </c>
      <c r="Y298" s="14" t="str">
        <f>IF('[1]P-GENERAL'!Y298="","",'[1]P-GENERAL'!Y298)</f>
        <v>SI CUMPLE</v>
      </c>
      <c r="Z298" s="14" t="str">
        <f>IF('[1]P-GENERAL'!Z298="","",'[1]P-GENERAL'!Z298)</f>
        <v/>
      </c>
      <c r="AA298" s="14" t="str">
        <f>IF('[1]P-GENERAL'!AA298="","",'[1]P-GENERAL'!AA298)</f>
        <v>DESPACHADO</v>
      </c>
      <c r="AB298" s="8" t="str">
        <f>IF('[1]P-GENERAL'!AB298="","",'[1]P-GENERAL'!AB298)</f>
        <v>BACKHAUL</v>
      </c>
      <c r="AC298" s="8" t="str">
        <f>IF('[1]P-GENERAL'!AC298="","",'[1]P-GENERAL'!AC298)</f>
        <v>AARON MONTEJO COLLI</v>
      </c>
      <c r="AD298">
        <f>IF('[1]P-GENERAL'!AD298="","",'[1]P-GENERAL'!AD298)</f>
        <v>32888</v>
      </c>
      <c r="AE298" t="str">
        <f>IF('[1]P-GENERAL'!AE298="","",'[1]P-GENERAL'!AE298)</f>
        <v>QCH1W04MP0</v>
      </c>
    </row>
    <row r="299" spans="1:31" ht="20.25" x14ac:dyDescent="0.3">
      <c r="A299" s="11" t="str">
        <f>IF('[1]P-GENERAL'!A299="","",'[1]P-GENERAL'!A299)</f>
        <v>Chanitos Premium Tarima Chep</v>
      </c>
      <c r="B299" s="11" t="str">
        <f>IF('[1]P-GENERAL'!B299="","",'[1]P-GENERAL'!B299)</f>
        <v>CPR01102</v>
      </c>
      <c r="C299" t="str">
        <f>IF('[1]P-GENERAL'!C299="","",'[1]P-GENERAL'!C299)</f>
        <v>A01003-392209-1</v>
      </c>
      <c r="D299" t="str">
        <f>IF('[1]P-GENERAL'!D299="","",'[1]P-GENERAL'!D299)</f>
        <v>A01 003 Doña Nelly</v>
      </c>
      <c r="E299" s="8" t="str">
        <f>IF('[1]P-GENERAL'!E299="","",'[1]P-GENERAL'!E299)</f>
        <v>SMO</v>
      </c>
      <c r="F299" s="12">
        <f>IF('[1]P-GENERAL'!F299="","",'[1]P-GENERAL'!F299)</f>
        <v>672</v>
      </c>
      <c r="G299" s="13">
        <f>IF('[1]P-GENERAL'!G299="","",'[1]P-GENERAL'!G299)</f>
        <v>14</v>
      </c>
      <c r="H299" s="14">
        <f>IF('[1]P-GENERAL'!H299="","",'[1]P-GENERAL'!H299)</f>
        <v>46287</v>
      </c>
      <c r="I299">
        <f>IF('[1]P-GENERAL'!I299="","",'[1]P-GENERAL'!I299)</f>
        <v>39</v>
      </c>
      <c r="J299" s="15">
        <f>IF('[1]P-GENERAL'!J299="","",'[1]P-GENERAL'!J299)</f>
        <v>46291</v>
      </c>
      <c r="K299" s="14" t="str">
        <f>IF('[1]P-GENERAL'!K299="","",'[1]P-GENERAL'!K299)</f>
        <v/>
      </c>
      <c r="L299" s="14" t="str">
        <f>IF('[1]P-GENERAL'!L299="","",'[1]P-GENERAL'!L299)</f>
        <v>PREENFRIO NELLY</v>
      </c>
      <c r="M299">
        <f>IF('[1]P-GENERAL'!M299="","",'[1]P-GENERAL'!M299)</f>
        <v>1.5</v>
      </c>
      <c r="N299">
        <f>IF('[1]P-GENERAL'!N299="","",'[1]P-GENERAL'!N299)</f>
        <v>36</v>
      </c>
      <c r="O299" s="14">
        <f>IF('[1]P-GENERAL'!O299="","",'[1]P-GENERAL'!O299)</f>
        <v>46287</v>
      </c>
      <c r="P299" s="16">
        <f>IF('[1]P-GENERAL'!P299="","",'[1]P-GENERAL'!P299)</f>
        <v>0.75</v>
      </c>
      <c r="Q299" t="str">
        <f>IF('[1]P-GENERAL'!Q299="","",'[1]P-GENERAL'!Q299)</f>
        <v>NORMAL</v>
      </c>
      <c r="R299" s="14">
        <f>IF('[1]P-GENERAL'!R299="","",'[1]P-GENERAL'!R299)</f>
        <v>46287</v>
      </c>
      <c r="S299" s="16">
        <f>IF('[1]P-GENERAL'!S299="","",'[1]P-GENERAL'!S299)</f>
        <v>0.79861111111111116</v>
      </c>
      <c r="T299" s="16">
        <f>IF('[1]P-GENERAL'!T299="","",'[1]P-GENERAL'!T299)</f>
        <v>0.35416666666666669</v>
      </c>
      <c r="U299" s="17">
        <f>IF('[1]P-GENERAL'!U299="","",'[1]P-GENERAL'!U299)</f>
        <v>46288.152777777774</v>
      </c>
      <c r="V299" s="14">
        <f>IF('[1]P-GENERAL'!V299="","",'[1]P-GENERAL'!V299)</f>
        <v>46289</v>
      </c>
      <c r="W299" s="16">
        <f>IF('[1]P-GENERAL'!W299="","",'[1]P-GENERAL'!W299)</f>
        <v>0.5</v>
      </c>
      <c r="X299" s="14" t="str">
        <f>IF('[1]P-GENERAL'!X299="","",'[1]P-GENERAL'!X299)</f>
        <v>SI CUMPLE</v>
      </c>
      <c r="Y299" s="14" t="str">
        <f>IF('[1]P-GENERAL'!Y299="","",'[1]P-GENERAL'!Y299)</f>
        <v>SI CUMPLE</v>
      </c>
      <c r="Z299" s="14" t="str">
        <f>IF('[1]P-GENERAL'!Z299="","",'[1]P-GENERAL'!Z299)</f>
        <v/>
      </c>
      <c r="AA299" s="14" t="str">
        <f>IF('[1]P-GENERAL'!AA299="","",'[1]P-GENERAL'!AA299)</f>
        <v>DESPACHADO</v>
      </c>
      <c r="AB299" s="8" t="str">
        <f>IF('[1]P-GENERAL'!AB299="","",'[1]P-GENERAL'!AB299)</f>
        <v xml:space="preserve">MARIBEL DE LA ROSA </v>
      </c>
      <c r="AC299" s="8" t="str">
        <f>IF('[1]P-GENERAL'!AC299="","",'[1]P-GENERAL'!AC299)</f>
        <v>ENRIQUE TREJO SANCHEZ</v>
      </c>
      <c r="AD299">
        <f>IF('[1]P-GENERAL'!AD299="","",'[1]P-GENERAL'!AD299)</f>
        <v>31415</v>
      </c>
      <c r="AE299" t="str">
        <f>IF('[1]P-GENERAL'!AE299="","",'[1]P-GENERAL'!AE299)</f>
        <v/>
      </c>
    </row>
    <row r="300" spans="1:31" ht="20.25" x14ac:dyDescent="0.3">
      <c r="A300" s="11" t="str">
        <f>IF('[1]P-GENERAL'!A300="","",'[1]P-GENERAL'!A300)</f>
        <v>Chanitos Premium EUA Tarima Americana</v>
      </c>
      <c r="B300" s="11" t="str">
        <f>IF('[1]P-GENERAL'!B300="","",'[1]P-GENERAL'!B300)</f>
        <v>CPR01104</v>
      </c>
      <c r="C300" t="str">
        <f>IF('[1]P-GENERAL'!C300="","",'[1]P-GENERAL'!C300)</f>
        <v>A04084-392209-1</v>
      </c>
      <c r="D300" t="str">
        <f>IF('[1]P-GENERAL'!D300="","",'[1]P-GENERAL'!D300)</f>
        <v>A04 084 Lisboa</v>
      </c>
      <c r="E300" s="8" t="str">
        <f>IF('[1]P-GENERAL'!E300="","",'[1]P-GENERAL'!E300)</f>
        <v>McAllen</v>
      </c>
      <c r="F300" s="12">
        <f>IF('[1]P-GENERAL'!F300="","",'[1]P-GENERAL'!F300)</f>
        <v>240</v>
      </c>
      <c r="G300" s="13">
        <f>IF('[1]P-GENERAL'!G300="","",'[1]P-GENERAL'!G300)</f>
        <v>5</v>
      </c>
      <c r="H300" s="14">
        <f>IF('[1]P-GENERAL'!H300="","",'[1]P-GENERAL'!H300)</f>
        <v>46287</v>
      </c>
      <c r="I300">
        <f>IF('[1]P-GENERAL'!I300="","",'[1]P-GENERAL'!I300)</f>
        <v>39</v>
      </c>
      <c r="J300" s="15">
        <f>IF('[1]P-GENERAL'!J300="","",'[1]P-GENERAL'!J300)</f>
        <v>46291</v>
      </c>
      <c r="K300" s="14" t="str">
        <f>IF('[1]P-GENERAL'!K300="","",'[1]P-GENERAL'!K300)</f>
        <v/>
      </c>
      <c r="L300" s="14" t="str">
        <f>IF('[1]P-GENERAL'!L300="","",'[1]P-GENERAL'!L300)</f>
        <v>PREENFRIO NELLY</v>
      </c>
      <c r="M300">
        <f>IF('[1]P-GENERAL'!M300="","",'[1]P-GENERAL'!M300)</f>
        <v>3</v>
      </c>
      <c r="N300">
        <f>IF('[1]P-GENERAL'!N300="","",'[1]P-GENERAL'!N300)</f>
        <v>72</v>
      </c>
      <c r="O300" s="14">
        <f>IF('[1]P-GENERAL'!O300="","",'[1]P-GENERAL'!O300)</f>
        <v>46287</v>
      </c>
      <c r="P300" s="16">
        <f>IF('[1]P-GENERAL'!P300="","",'[1]P-GENERAL'!P300)</f>
        <v>0.70833333333333337</v>
      </c>
      <c r="Q300" t="str">
        <f>IF('[1]P-GENERAL'!Q300="","",'[1]P-GENERAL'!Q300)</f>
        <v>NORMAL</v>
      </c>
      <c r="R300" s="14">
        <f>IF('[1]P-GENERAL'!R300="","",'[1]P-GENERAL'!R300)</f>
        <v>46288</v>
      </c>
      <c r="S300" s="16">
        <f>IF('[1]P-GENERAL'!S300="","",'[1]P-GENERAL'!S300)</f>
        <v>0.80902777777777779</v>
      </c>
      <c r="T300" s="16">
        <f>IF('[1]P-GENERAL'!T300="","",'[1]P-GENERAL'!T300)</f>
        <v>0.35416666666666669</v>
      </c>
      <c r="U300" s="17">
        <f>IF('[1]P-GENERAL'!U300="","",'[1]P-GENERAL'!U300)</f>
        <v>46289.163194444445</v>
      </c>
      <c r="V300" s="14">
        <f>IF('[1]P-GENERAL'!V300="","",'[1]P-GENERAL'!V300)</f>
        <v>46288</v>
      </c>
      <c r="W300" s="16">
        <f>IF('[1]P-GENERAL'!W300="","",'[1]P-GENERAL'!W300)</f>
        <v>0.99305555555555558</v>
      </c>
      <c r="X300" s="14" t="str">
        <f>IF('[1]P-GENERAL'!X300="","",'[1]P-GENERAL'!X300)</f>
        <v>NO CUMPLE</v>
      </c>
      <c r="Y300" s="14" t="str">
        <f>IF('[1]P-GENERAL'!Y300="","",'[1]P-GENERAL'!Y300)</f>
        <v>NO CUMPLE</v>
      </c>
      <c r="Z300" s="14" t="str">
        <f>IF('[1]P-GENERAL'!Z300="","",'[1]P-GENERAL'!Z300)</f>
        <v/>
      </c>
      <c r="AA300" s="14" t="str">
        <f>IF('[1]P-GENERAL'!AA300="","",'[1]P-GENERAL'!AA300)</f>
        <v>DESPACHADO</v>
      </c>
      <c r="AB300" s="8" t="str">
        <f>IF('[1]P-GENERAL'!AB300="","",'[1]P-GENERAL'!AB300)</f>
        <v>TRANSPORTES ALGEZA</v>
      </c>
      <c r="AC300" s="8" t="str">
        <f>IF('[1]P-GENERAL'!AC300="","",'[1]P-GENERAL'!AC300)</f>
        <v>Michael Lomeli Cardenas</v>
      </c>
      <c r="AD300">
        <f>IF('[1]P-GENERAL'!AD300="","",'[1]P-GENERAL'!AD300)</f>
        <v>21011</v>
      </c>
      <c r="AE300" t="str">
        <f>IF('[1]P-GENERAL'!AE300="","",'[1]P-GENERAL'!AE300)</f>
        <v>QCH1W04VV0</v>
      </c>
    </row>
    <row r="301" spans="1:31" ht="20.25" x14ac:dyDescent="0.3">
      <c r="A301" s="11" t="str">
        <f>IF('[1]P-GENERAL'!A301="","",'[1]P-GENERAL'!A301)</f>
        <v>Chanitos Premium Tarima Americana</v>
      </c>
      <c r="B301" s="11" t="str">
        <f>IF('[1]P-GENERAL'!B301="","",'[1]P-GENERAL'!B301)</f>
        <v>CPR01103</v>
      </c>
      <c r="C301" t="str">
        <f>IF('[1]P-GENERAL'!C301="","",'[1]P-GENERAL'!C301)</f>
        <v>A11045-392209-1</v>
      </c>
      <c r="D301" t="str">
        <f>IF('[1]P-GENERAL'!D301="","",'[1]P-GENERAL'!D301)</f>
        <v>A11 045 Sector Mazatan</v>
      </c>
      <c r="E301" s="8" t="str">
        <f>IF('[1]P-GENERAL'!E301="","",'[1]P-GENERAL'!E301)</f>
        <v>S-MTY</v>
      </c>
      <c r="F301" s="12">
        <f>IF('[1]P-GENERAL'!F301="","",'[1]P-GENERAL'!F301)</f>
        <v>960</v>
      </c>
      <c r="G301" s="13">
        <f>IF('[1]P-GENERAL'!G301="","",'[1]P-GENERAL'!G301)</f>
        <v>20</v>
      </c>
      <c r="H301" s="14">
        <f>IF('[1]P-GENERAL'!H301="","",'[1]P-GENERAL'!H301)</f>
        <v>46287</v>
      </c>
      <c r="I301">
        <f>IF('[1]P-GENERAL'!I301="","",'[1]P-GENERAL'!I301)</f>
        <v>39</v>
      </c>
      <c r="J301" s="15">
        <f>IF('[1]P-GENERAL'!J301="","",'[1]P-GENERAL'!J301)</f>
        <v>46291</v>
      </c>
      <c r="K301" s="14" t="str">
        <f>IF('[1]P-GENERAL'!K301="","",'[1]P-GENERAL'!K301)</f>
        <v/>
      </c>
      <c r="L301" s="14" t="str">
        <f>IF('[1]P-GENERAL'!L301="","",'[1]P-GENERAL'!L301)</f>
        <v>PREENFRIO NELLY</v>
      </c>
      <c r="M301">
        <f>IF('[1]P-GENERAL'!M301="","",'[1]P-GENERAL'!M301)</f>
        <v>3</v>
      </c>
      <c r="N301">
        <f>IF('[1]P-GENERAL'!N301="","",'[1]P-GENERAL'!N301)</f>
        <v>72</v>
      </c>
      <c r="O301" s="14">
        <f>IF('[1]P-GENERAL'!O301="","",'[1]P-GENERAL'!O301)</f>
        <v>46287</v>
      </c>
      <c r="P301" s="16">
        <f>IF('[1]P-GENERAL'!P301="","",'[1]P-GENERAL'!P301)</f>
        <v>0.86805555555555558</v>
      </c>
      <c r="Q301" t="str">
        <f>IF('[1]P-GENERAL'!Q301="","",'[1]P-GENERAL'!Q301)</f>
        <v>NORMAL</v>
      </c>
      <c r="R301" s="14">
        <f>IF('[1]P-GENERAL'!R301="","",'[1]P-GENERAL'!R301)</f>
        <v>46287</v>
      </c>
      <c r="S301" s="16">
        <f>IF('[1]P-GENERAL'!S301="","",'[1]P-GENERAL'!S301)</f>
        <v>0.91666666666666663</v>
      </c>
      <c r="T301" s="16">
        <f>IF('[1]P-GENERAL'!T301="","",'[1]P-GENERAL'!T301)</f>
        <v>0.4375</v>
      </c>
      <c r="U301" s="17">
        <f>IF('[1]P-GENERAL'!U301="","",'[1]P-GENERAL'!U301)</f>
        <v>46288.354166666664</v>
      </c>
      <c r="V301" s="14">
        <f>IF('[1]P-GENERAL'!V301="","",'[1]P-GENERAL'!V301)</f>
        <v>46288</v>
      </c>
      <c r="W301" s="16">
        <f>IF('[1]P-GENERAL'!W301="","",'[1]P-GENERAL'!W301)</f>
        <v>0.66666666666666663</v>
      </c>
      <c r="X301" s="14" t="str">
        <f>IF('[1]P-GENERAL'!X301="","",'[1]P-GENERAL'!X301)</f>
        <v>NO CUMPLE</v>
      </c>
      <c r="Y301" s="14" t="str">
        <f>IF('[1]P-GENERAL'!Y301="","",'[1]P-GENERAL'!Y301)</f>
        <v>NO CUMPLE</v>
      </c>
      <c r="Z301" s="14" t="str">
        <f>IF('[1]P-GENERAL'!Z301="","",'[1]P-GENERAL'!Z301)</f>
        <v/>
      </c>
      <c r="AA301" s="14" t="str">
        <f>IF('[1]P-GENERAL'!AA301="","",'[1]P-GENERAL'!AA301)</f>
        <v>DESPACHADO</v>
      </c>
      <c r="AB301" s="8" t="str">
        <f>IF('[1]P-GENERAL'!AB301="","",'[1]P-GENERAL'!AB301)</f>
        <v>TRANSPORTES ALGEZA</v>
      </c>
      <c r="AC301" s="8" t="str">
        <f>IF('[1]P-GENERAL'!AC301="","",'[1]P-GENERAL'!AC301)</f>
        <v>JUAN JOSE VALDEZ ROCHA</v>
      </c>
      <c r="AD301">
        <f>IF('[1]P-GENERAL'!AD301="","",'[1]P-GENERAL'!AD301)</f>
        <v>84428</v>
      </c>
      <c r="AE301" t="str">
        <f>IF('[1]P-GENERAL'!AE301="","",'[1]P-GENERAL'!AE301)</f>
        <v>QCH1Q04K40</v>
      </c>
    </row>
    <row r="302" spans="1:31" ht="20.25" x14ac:dyDescent="0.3">
      <c r="A302" s="11" t="str">
        <f>IF('[1]P-GENERAL'!A302="","",'[1]P-GENERAL'!A302)</f>
        <v>Chanitos Premium Tarima Americana</v>
      </c>
      <c r="B302" s="11" t="str">
        <f>IF('[1]P-GENERAL'!B302="","",'[1]P-GENERAL'!B302)</f>
        <v>CPR01103</v>
      </c>
      <c r="C302" t="str">
        <f>IF('[1]P-GENERAL'!C302="","",'[1]P-GENERAL'!C302)</f>
        <v>A04039-392209-1</v>
      </c>
      <c r="D302" t="str">
        <f>IF('[1]P-GENERAL'!D302="","",'[1]P-GENERAL'!D302)</f>
        <v>A04 039 San Jose Morelia Nava</v>
      </c>
      <c r="E302" s="8" t="str">
        <f>IF('[1]P-GENERAL'!E302="","",'[1]P-GENERAL'!E302)</f>
        <v>S-MTY</v>
      </c>
      <c r="F302" s="12">
        <f>IF('[1]P-GENERAL'!F302="","",'[1]P-GENERAL'!F302)</f>
        <v>960</v>
      </c>
      <c r="G302" s="13">
        <f>IF('[1]P-GENERAL'!G302="","",'[1]P-GENERAL'!G302)</f>
        <v>20</v>
      </c>
      <c r="H302" s="14">
        <f>IF('[1]P-GENERAL'!H302="","",'[1]P-GENERAL'!H302)</f>
        <v>46287</v>
      </c>
      <c r="I302">
        <f>IF('[1]P-GENERAL'!I302="","",'[1]P-GENERAL'!I302)</f>
        <v>39</v>
      </c>
      <c r="J302" s="15">
        <f>IF('[1]P-GENERAL'!J302="","",'[1]P-GENERAL'!J302)</f>
        <v>46291</v>
      </c>
      <c r="K302" s="14" t="str">
        <f>IF('[1]P-GENERAL'!K302="","",'[1]P-GENERAL'!K302)</f>
        <v/>
      </c>
      <c r="L302" s="14" t="str">
        <f>IF('[1]P-GENERAL'!L302="","",'[1]P-GENERAL'!L302)</f>
        <v>PREENFRIO NELLY</v>
      </c>
      <c r="M302">
        <f>IF('[1]P-GENERAL'!M302="","",'[1]P-GENERAL'!M302)</f>
        <v>3</v>
      </c>
      <c r="N302">
        <f>IF('[1]P-GENERAL'!N302="","",'[1]P-GENERAL'!N302)</f>
        <v>72</v>
      </c>
      <c r="O302" s="14">
        <f>IF('[1]P-GENERAL'!O302="","",'[1]P-GENERAL'!O302)</f>
        <v>46287</v>
      </c>
      <c r="P302" s="16">
        <f>IF('[1]P-GENERAL'!P302="","",'[1]P-GENERAL'!P302)</f>
        <v>0.86805555555555558</v>
      </c>
      <c r="Q302" t="str">
        <f>IF('[1]P-GENERAL'!Q302="","",'[1]P-GENERAL'!Q302)</f>
        <v>NORMAL</v>
      </c>
      <c r="R302" s="14">
        <f>IF('[1]P-GENERAL'!R302="","",'[1]P-GENERAL'!R302)</f>
        <v>46288</v>
      </c>
      <c r="S302" s="16">
        <f>IF('[1]P-GENERAL'!S302="","",'[1]P-GENERAL'!S302)</f>
        <v>0.29166666666666669</v>
      </c>
      <c r="T302" s="16">
        <f>IF('[1]P-GENERAL'!T302="","",'[1]P-GENERAL'!T302)</f>
        <v>0.4375</v>
      </c>
      <c r="U302" s="17">
        <f>IF('[1]P-GENERAL'!U302="","",'[1]P-GENERAL'!U302)</f>
        <v>46288.729166666664</v>
      </c>
      <c r="V302" s="14">
        <f>IF('[1]P-GENERAL'!V302="","",'[1]P-GENERAL'!V302)</f>
        <v>46288</v>
      </c>
      <c r="W302" s="16">
        <f>IF('[1]P-GENERAL'!W302="","",'[1]P-GENERAL'!W302)</f>
        <v>0.66666666666666663</v>
      </c>
      <c r="X302" s="14" t="str">
        <f>IF('[1]P-GENERAL'!X302="","",'[1]P-GENERAL'!X302)</f>
        <v>NO CUMPLE</v>
      </c>
      <c r="Y302" s="14" t="str">
        <f>IF('[1]P-GENERAL'!Y302="","",'[1]P-GENERAL'!Y302)</f>
        <v>NO CUMPLE</v>
      </c>
      <c r="Z302" s="14" t="str">
        <f>IF('[1]P-GENERAL'!Z302="","",'[1]P-GENERAL'!Z302)</f>
        <v/>
      </c>
      <c r="AA302" s="14" t="str">
        <f>IF('[1]P-GENERAL'!AA302="","",'[1]P-GENERAL'!AA302)</f>
        <v>DESPACHADO</v>
      </c>
      <c r="AB302" s="8" t="str">
        <f>IF('[1]P-GENERAL'!AB302="","",'[1]P-GENERAL'!AB302)</f>
        <v>TRANSPORTES ALGEZA</v>
      </c>
      <c r="AC302" s="8" t="str">
        <f>IF('[1]P-GENERAL'!AC302="","",'[1]P-GENERAL'!AC302)</f>
        <v>JUAN JOSE VALDEZ ROCHA</v>
      </c>
      <c r="AD302">
        <f>IF('[1]P-GENERAL'!AD302="","",'[1]P-GENERAL'!AD302)</f>
        <v>54679</v>
      </c>
      <c r="AE302" t="str">
        <f>IF('[1]P-GENERAL'!AE302="","",'[1]P-GENERAL'!AE302)</f>
        <v/>
      </c>
    </row>
    <row r="303" spans="1:31" ht="20.25" x14ac:dyDescent="0.3">
      <c r="A303" s="11" t="str">
        <f>IF('[1]P-GENERAL'!A303="","",'[1]P-GENERAL'!A303)</f>
        <v>Chanitos Premium EUA Tarima Americana</v>
      </c>
      <c r="B303" s="11" t="str">
        <f>IF('[1]P-GENERAL'!B303="","",'[1]P-GENERAL'!B303)</f>
        <v>CPR01104</v>
      </c>
      <c r="C303" t="str">
        <f>IF('[1]P-GENERAL'!C303="","",'[1]P-GENERAL'!C303)</f>
        <v>A04084-392209-1</v>
      </c>
      <c r="D303" t="str">
        <f>IF('[1]P-GENERAL'!D303="","",'[1]P-GENERAL'!D303)</f>
        <v>A04 084 Lisboa</v>
      </c>
      <c r="E303" s="8" t="str">
        <f>IF('[1]P-GENERAL'!E303="","",'[1]P-GENERAL'!E303)</f>
        <v>McAllen</v>
      </c>
      <c r="F303" s="12">
        <f>IF('[1]P-GENERAL'!F303="","",'[1]P-GENERAL'!F303)</f>
        <v>480</v>
      </c>
      <c r="G303" s="13">
        <f>IF('[1]P-GENERAL'!G303="","",'[1]P-GENERAL'!G303)</f>
        <v>10</v>
      </c>
      <c r="H303" s="14">
        <f>IF('[1]P-GENERAL'!H303="","",'[1]P-GENERAL'!H303)</f>
        <v>46287</v>
      </c>
      <c r="I303">
        <f>IF('[1]P-GENERAL'!I303="","",'[1]P-GENERAL'!I303)</f>
        <v>39</v>
      </c>
      <c r="J303" s="15">
        <f>IF('[1]P-GENERAL'!J303="","",'[1]P-GENERAL'!J303)</f>
        <v>46291</v>
      </c>
      <c r="K303" s="14" t="str">
        <f>IF('[1]P-GENERAL'!K303="","",'[1]P-GENERAL'!K303)</f>
        <v/>
      </c>
      <c r="L303" s="14" t="str">
        <f>IF('[1]P-GENERAL'!L303="","",'[1]P-GENERAL'!L303)</f>
        <v>PREENFRIO NELLY</v>
      </c>
      <c r="M303">
        <f>IF('[1]P-GENERAL'!M303="","",'[1]P-GENERAL'!M303)</f>
        <v>3</v>
      </c>
      <c r="N303">
        <f>IF('[1]P-GENERAL'!N303="","",'[1]P-GENERAL'!N303)</f>
        <v>72</v>
      </c>
      <c r="O303" s="14">
        <f>IF('[1]P-GENERAL'!O303="","",'[1]P-GENERAL'!O303)</f>
        <v>46288</v>
      </c>
      <c r="P303" s="16">
        <f>IF('[1]P-GENERAL'!P303="","",'[1]P-GENERAL'!P303)</f>
        <v>0.70833333333333337</v>
      </c>
      <c r="Q303" t="str">
        <f>IF('[1]P-GENERAL'!Q303="","",'[1]P-GENERAL'!Q303)</f>
        <v>NORMAL</v>
      </c>
      <c r="R303" s="14" t="str">
        <f>IF('[1]P-GENERAL'!R303="","",'[1]P-GENERAL'!R303)</f>
        <v>SIN PRE</v>
      </c>
      <c r="S303" s="16" t="str">
        <f>IF('[1]P-GENERAL'!S303="","",'[1]P-GENERAL'!S303)</f>
        <v>SIN PRE</v>
      </c>
      <c r="T303" s="16" t="str">
        <f>IF('[1]P-GENERAL'!T303="","",'[1]P-GENERAL'!T303)</f>
        <v>SIN PRE</v>
      </c>
      <c r="U303" s="17" t="str">
        <f>IF('[1]P-GENERAL'!U303="","",'[1]P-GENERAL'!U303)</f>
        <v>SIN PRE</v>
      </c>
      <c r="V303" s="14">
        <f>IF('[1]P-GENERAL'!V303="","",'[1]P-GENERAL'!V303)</f>
        <v>46288</v>
      </c>
      <c r="W303" s="16">
        <f>IF('[1]P-GENERAL'!W303="","",'[1]P-GENERAL'!W303)</f>
        <v>0.99305555555555558</v>
      </c>
      <c r="X303" s="14" t="str">
        <f>IF('[1]P-GENERAL'!X303="","",'[1]P-GENERAL'!X303)</f>
        <v>NO CUMPLE</v>
      </c>
      <c r="Y303" s="14" t="str">
        <f>IF('[1]P-GENERAL'!Y303="","",'[1]P-GENERAL'!Y303)</f>
        <v>NO CUMPLE</v>
      </c>
      <c r="Z303" s="14" t="str">
        <f>IF('[1]P-GENERAL'!Z303="","",'[1]P-GENERAL'!Z303)</f>
        <v/>
      </c>
      <c r="AA303" s="14" t="str">
        <f>IF('[1]P-GENERAL'!AA303="","",'[1]P-GENERAL'!AA303)</f>
        <v>DESPACHADO</v>
      </c>
      <c r="AB303" s="8" t="str">
        <f>IF('[1]P-GENERAL'!AB303="","",'[1]P-GENERAL'!AB303)</f>
        <v>TRANSPORTES ALGEZA</v>
      </c>
      <c r="AC303" s="8" t="str">
        <f>IF('[1]P-GENERAL'!AC303="","",'[1]P-GENERAL'!AC303)</f>
        <v>Michael Lomeli Cardenas</v>
      </c>
      <c r="AD303">
        <f>IF('[1]P-GENERAL'!AD303="","",'[1]P-GENERAL'!AD303)</f>
        <v>21011</v>
      </c>
      <c r="AE303" t="str">
        <f>IF('[1]P-GENERAL'!AE303="","",'[1]P-GENERAL'!AE303)</f>
        <v>QCH1W04VV0</v>
      </c>
    </row>
    <row r="304" spans="1:31" ht="20.25" x14ac:dyDescent="0.3">
      <c r="A304" s="11" t="str">
        <f>IF('[1]P-GENERAL'!A304="","",'[1]P-GENERAL'!A304)</f>
        <v>Chanitos Premium Tarima Chep</v>
      </c>
      <c r="B304" s="11" t="str">
        <f>IF('[1]P-GENERAL'!B304="","",'[1]P-GENERAL'!B304)</f>
        <v>CPR01102</v>
      </c>
      <c r="C304" t="str">
        <f>IF('[1]P-GENERAL'!C304="","",'[1]P-GENERAL'!C304)</f>
        <v>A01003-392309-1</v>
      </c>
      <c r="D304" t="str">
        <f>IF('[1]P-GENERAL'!D304="","",'[1]P-GENERAL'!D304)</f>
        <v>A01 003 Doña Nelly</v>
      </c>
      <c r="E304" s="8" t="str">
        <f>IF('[1]P-GENERAL'!E304="","",'[1]P-GENERAL'!E304)</f>
        <v>SMO</v>
      </c>
      <c r="F304" s="12">
        <f>IF('[1]P-GENERAL'!F304="","",'[1]P-GENERAL'!F304)</f>
        <v>480</v>
      </c>
      <c r="G304" s="13">
        <f>IF('[1]P-GENERAL'!G304="","",'[1]P-GENERAL'!G304)</f>
        <v>10</v>
      </c>
      <c r="H304" s="14">
        <f>IF('[1]P-GENERAL'!H304="","",'[1]P-GENERAL'!H304)</f>
        <v>46288</v>
      </c>
      <c r="I304">
        <f>IF('[1]P-GENERAL'!I304="","",'[1]P-GENERAL'!I304)</f>
        <v>39</v>
      </c>
      <c r="J304" s="15">
        <f>IF('[1]P-GENERAL'!J304="","",'[1]P-GENERAL'!J304)</f>
        <v>46293</v>
      </c>
      <c r="K304" s="14" t="str">
        <f>IF('[1]P-GENERAL'!K304="","",'[1]P-GENERAL'!K304)</f>
        <v/>
      </c>
      <c r="L304" s="14" t="str">
        <f>IF('[1]P-GENERAL'!L304="","",'[1]P-GENERAL'!L304)</f>
        <v>PREENFRIO NELLY</v>
      </c>
      <c r="M304">
        <f>IF('[1]P-GENERAL'!M304="","",'[1]P-GENERAL'!M304)</f>
        <v>1.5</v>
      </c>
      <c r="N304">
        <f>IF('[1]P-GENERAL'!N304="","",'[1]P-GENERAL'!N304)</f>
        <v>36</v>
      </c>
      <c r="O304" s="14">
        <f>IF('[1]P-GENERAL'!O304="","",'[1]P-GENERAL'!O304)</f>
        <v>46288</v>
      </c>
      <c r="P304" s="16">
        <f>IF('[1]P-GENERAL'!P304="","",'[1]P-GENERAL'!P304)</f>
        <v>0.79166666666666663</v>
      </c>
      <c r="Q304" t="str">
        <f>IF('[1]P-GENERAL'!Q304="","",'[1]P-GENERAL'!Q304)</f>
        <v>ALTA</v>
      </c>
      <c r="R304" s="14">
        <f>IF('[1]P-GENERAL'!R304="","",'[1]P-GENERAL'!R304)</f>
        <v>46289</v>
      </c>
      <c r="S304" s="16">
        <f>IF('[1]P-GENERAL'!S304="","",'[1]P-GENERAL'!S304)</f>
        <v>0.59027777777777779</v>
      </c>
      <c r="T304" s="16">
        <f>IF('[1]P-GENERAL'!T304="","",'[1]P-GENERAL'!T304)</f>
        <v>0.35416666666666669</v>
      </c>
      <c r="U304" s="17">
        <f>IF('[1]P-GENERAL'!U304="","",'[1]P-GENERAL'!U304)</f>
        <v>46289.944444444445</v>
      </c>
      <c r="V304" s="14">
        <f>IF('[1]P-GENERAL'!V304="","",'[1]P-GENERAL'!V304)</f>
        <v>46292</v>
      </c>
      <c r="W304" s="16">
        <f>IF('[1]P-GENERAL'!W304="","",'[1]P-GENERAL'!W304)</f>
        <v>0.15625</v>
      </c>
      <c r="X304" s="14" t="str">
        <f>IF('[1]P-GENERAL'!X304="","",'[1]P-GENERAL'!X304)</f>
        <v>SI CUMPLE</v>
      </c>
      <c r="Y304" s="14" t="str">
        <f>IF('[1]P-GENERAL'!Y304="","",'[1]P-GENERAL'!Y304)</f>
        <v>NO CUMPLE</v>
      </c>
      <c r="Z304" s="14" t="str">
        <f>IF('[1]P-GENERAL'!Z304="","",'[1]P-GENERAL'!Z304)</f>
        <v/>
      </c>
      <c r="AA304" s="14" t="str">
        <f>IF('[1]P-GENERAL'!AA304="","",'[1]P-GENERAL'!AA304)</f>
        <v>DESPACHADO</v>
      </c>
      <c r="AB304" s="8" t="str">
        <f>IF('[1]P-GENERAL'!AB304="","",'[1]P-GENERAL'!AB304)</f>
        <v>ALICIA CRUZ FUENTES</v>
      </c>
      <c r="AC304" s="8" t="str">
        <f>IF('[1]P-GENERAL'!AC304="","",'[1]P-GENERAL'!AC304)</f>
        <v>ISIDRO PARDO PULIDO</v>
      </c>
      <c r="AD304">
        <f>IF('[1]P-GENERAL'!AD304="","",'[1]P-GENERAL'!AD304)</f>
        <v>13034</v>
      </c>
      <c r="AE304" t="str">
        <f>IF('[1]P-GENERAL'!AE304="","",'[1]P-GENERAL'!AE304)</f>
        <v/>
      </c>
    </row>
    <row r="305" spans="1:31" ht="20.25" x14ac:dyDescent="0.3">
      <c r="A305" s="11" t="str">
        <f>IF('[1]P-GENERAL'!A305="","",'[1]P-GENERAL'!A305)</f>
        <v>Chanitos Premium EUA Tarima Americana</v>
      </c>
      <c r="B305" s="11" t="str">
        <f>IF('[1]P-GENERAL'!B305="","",'[1]P-GENERAL'!B305)</f>
        <v>CPR01104</v>
      </c>
      <c r="C305" t="str">
        <f>IF('[1]P-GENERAL'!C305="","",'[1]P-GENERAL'!C305)</f>
        <v>A04038-392309-1</v>
      </c>
      <c r="D305" t="str">
        <f>IF('[1]P-GENERAL'!D305="","",'[1]P-GENERAL'!D305)</f>
        <v>A04 038 El Triunfo Nava</v>
      </c>
      <c r="E305" s="8" t="str">
        <f>IF('[1]P-GENERAL'!E305="","",'[1]P-GENERAL'!E305)</f>
        <v>McAllen</v>
      </c>
      <c r="F305" s="12">
        <f>IF('[1]P-GENERAL'!F305="","",'[1]P-GENERAL'!F305)</f>
        <v>960</v>
      </c>
      <c r="G305" s="13">
        <f>IF('[1]P-GENERAL'!G305="","",'[1]P-GENERAL'!G305)</f>
        <v>20</v>
      </c>
      <c r="H305" s="14">
        <f>IF('[1]P-GENERAL'!H305="","",'[1]P-GENERAL'!H305)</f>
        <v>46288</v>
      </c>
      <c r="I305">
        <f>IF('[1]P-GENERAL'!I305="","",'[1]P-GENERAL'!I305)</f>
        <v>39</v>
      </c>
      <c r="J305" s="15">
        <f>IF('[1]P-GENERAL'!J305="","",'[1]P-GENERAL'!J305)</f>
        <v>46291</v>
      </c>
      <c r="K305" s="14" t="str">
        <f>IF('[1]P-GENERAL'!K305="","",'[1]P-GENERAL'!K305)</f>
        <v/>
      </c>
      <c r="L305" s="14" t="str">
        <f>IF('[1]P-GENERAL'!L305="","",'[1]P-GENERAL'!L305)</f>
        <v>PREENFRIO FORTALEZA</v>
      </c>
      <c r="M305">
        <f>IF('[1]P-GENERAL'!M305="","",'[1]P-GENERAL'!M305)</f>
        <v>3</v>
      </c>
      <c r="N305">
        <f>IF('[1]P-GENERAL'!N305="","",'[1]P-GENERAL'!N305)</f>
        <v>72</v>
      </c>
      <c r="O305" s="14">
        <f>IF('[1]P-GENERAL'!O305="","",'[1]P-GENERAL'!O305)</f>
        <v>46289</v>
      </c>
      <c r="P305" s="16">
        <f>IF('[1]P-GENERAL'!P305="","",'[1]P-GENERAL'!P305)</f>
        <v>0.83472222222222225</v>
      </c>
      <c r="Q305" t="str">
        <f>IF('[1]P-GENERAL'!Q305="","",'[1]P-GENERAL'!Q305)</f>
        <v>NORMAL</v>
      </c>
      <c r="R305" s="14" t="str">
        <f>IF('[1]P-GENERAL'!R305="","",'[1]P-GENERAL'!R305)</f>
        <v/>
      </c>
      <c r="S305" s="16" t="str">
        <f>IF('[1]P-GENERAL'!S305="","",'[1]P-GENERAL'!S305)</f>
        <v/>
      </c>
      <c r="T305" s="16" t="str">
        <f>IF('[1]P-GENERAL'!T305="","",'[1]P-GENERAL'!T305)</f>
        <v/>
      </c>
      <c r="U305" s="17" t="str">
        <f>IF('[1]P-GENERAL'!U305="","",'[1]P-GENERAL'!U305)</f>
        <v/>
      </c>
      <c r="V305" s="14">
        <f>IF('[1]P-GENERAL'!V305="","",'[1]P-GENERAL'!V305)</f>
        <v>46289</v>
      </c>
      <c r="W305" s="16">
        <f>IF('[1]P-GENERAL'!W305="","",'[1]P-GENERAL'!W305)</f>
        <v>0.89583333333333337</v>
      </c>
      <c r="X305" s="14" t="str">
        <f>IF('[1]P-GENERAL'!X305="","",'[1]P-GENERAL'!X305)</f>
        <v/>
      </c>
      <c r="Y305" s="14" t="str">
        <f>IF('[1]P-GENERAL'!Y305="","",'[1]P-GENERAL'!Y305)</f>
        <v>NO CUMPLE</v>
      </c>
      <c r="Z305" s="14" t="str">
        <f>IF('[1]P-GENERAL'!Z305="","",'[1]P-GENERAL'!Z305)</f>
        <v/>
      </c>
      <c r="AA305" s="14" t="str">
        <f>IF('[1]P-GENERAL'!AA305="","",'[1]P-GENERAL'!AA305)</f>
        <v>DESPACHADO</v>
      </c>
      <c r="AB305" s="8" t="str">
        <f>IF('[1]P-GENERAL'!AB305="","",'[1]P-GENERAL'!AB305)</f>
        <v>AUTO EXPRESS SEGOVIA</v>
      </c>
      <c r="AC305" s="8" t="str">
        <f>IF('[1]P-GENERAL'!AC305="","",'[1]P-GENERAL'!AC305)</f>
        <v>ROSENDO HERRERA</v>
      </c>
      <c r="AD305">
        <f>IF('[1]P-GENERAL'!AD305="","",'[1]P-GENERAL'!AD305)</f>
        <v>66658</v>
      </c>
      <c r="AE305" t="str">
        <f>IF('[1]P-GENERAL'!AE305="","",'[1]P-GENERAL'!AE305)</f>
        <v>QCH1W04NH0</v>
      </c>
    </row>
    <row r="306" spans="1:31" ht="20.25" x14ac:dyDescent="0.3">
      <c r="A306" s="11" t="str">
        <f>IF('[1]P-GENERAL'!A306="","",'[1]P-GENERAL'!A306)</f>
        <v>Chanitos Premium Tarima Chep</v>
      </c>
      <c r="B306" s="11" t="str">
        <f>IF('[1]P-GENERAL'!B306="","",'[1]P-GENERAL'!B306)</f>
        <v>CPR01102</v>
      </c>
      <c r="C306" t="str">
        <f>IF('[1]P-GENERAL'!C306="","",'[1]P-GENERAL'!C306)</f>
        <v>A01002-392309-1</v>
      </c>
      <c r="D306" t="str">
        <f>IF('[1]P-GENERAL'!D306="","",'[1]P-GENERAL'!D306)</f>
        <v>A01 002 Fortaleza</v>
      </c>
      <c r="E306" s="8" t="str">
        <f>IF('[1]P-GENERAL'!E306="","",'[1]P-GENERAL'!E306)</f>
        <v>SMO</v>
      </c>
      <c r="F306" s="12">
        <f>IF('[1]P-GENERAL'!F306="","",'[1]P-GENERAL'!F306)</f>
        <v>48</v>
      </c>
      <c r="G306" s="13">
        <f>IF('[1]P-GENERAL'!G306="","",'[1]P-GENERAL'!G306)</f>
        <v>1</v>
      </c>
      <c r="H306" s="14">
        <f>IF('[1]P-GENERAL'!H306="","",'[1]P-GENERAL'!H306)</f>
        <v>46287</v>
      </c>
      <c r="I306">
        <f>IF('[1]P-GENERAL'!I306="","",'[1]P-GENERAL'!I306)</f>
        <v>39</v>
      </c>
      <c r="J306" s="15">
        <f>IF('[1]P-GENERAL'!J306="","",'[1]P-GENERAL'!J306)</f>
        <v>46292</v>
      </c>
      <c r="K306" s="14" t="str">
        <f>IF('[1]P-GENERAL'!K306="","",'[1]P-GENERAL'!K306)</f>
        <v/>
      </c>
      <c r="L306" s="14" t="str">
        <f>IF('[1]P-GENERAL'!L306="","",'[1]P-GENERAL'!L306)</f>
        <v>PREENFRIO FORTALEZA</v>
      </c>
      <c r="M306">
        <f>IF('[1]P-GENERAL'!M306="","",'[1]P-GENERAL'!M306)</f>
        <v>1.5</v>
      </c>
      <c r="N306">
        <f>IF('[1]P-GENERAL'!N306="","",'[1]P-GENERAL'!N306)</f>
        <v>36</v>
      </c>
      <c r="O306" s="14">
        <f>IF('[1]P-GENERAL'!O306="","",'[1]P-GENERAL'!O306)</f>
        <v>46288</v>
      </c>
      <c r="P306" s="16">
        <f>IF('[1]P-GENERAL'!P306="","",'[1]P-GENERAL'!P306)</f>
        <v>0.70833333333333337</v>
      </c>
      <c r="Q306" t="str">
        <f>IF('[1]P-GENERAL'!Q306="","",'[1]P-GENERAL'!Q306)</f>
        <v>NORMAL</v>
      </c>
      <c r="R306" s="14">
        <f>IF('[1]P-GENERAL'!R306="","",'[1]P-GENERAL'!R306)</f>
        <v>46288</v>
      </c>
      <c r="S306" s="16">
        <f>IF('[1]P-GENERAL'!S306="","",'[1]P-GENERAL'!S306)</f>
        <v>0.3888888888888889</v>
      </c>
      <c r="T306" s="16">
        <f>IF('[1]P-GENERAL'!T306="","",'[1]P-GENERAL'!T306)</f>
        <v>0.90763888888888888</v>
      </c>
      <c r="U306" s="17">
        <f>IF('[1]P-GENERAL'!U306="","",'[1]P-GENERAL'!U306)</f>
        <v>46289.296527777777</v>
      </c>
      <c r="V306" s="14">
        <f>IF('[1]P-GENERAL'!V306="","",'[1]P-GENERAL'!V306)</f>
        <v>46289</v>
      </c>
      <c r="W306" s="16">
        <f>IF('[1]P-GENERAL'!W306="","",'[1]P-GENERAL'!W306)</f>
        <v>0.29166666666666669</v>
      </c>
      <c r="X306" s="14" t="str">
        <f>IF('[1]P-GENERAL'!X306="","",'[1]P-GENERAL'!X306)</f>
        <v>SI CUMPLE</v>
      </c>
      <c r="Y306" s="14" t="str">
        <f>IF('[1]P-GENERAL'!Y306="","",'[1]P-GENERAL'!Y306)</f>
        <v>SI CUMPLE</v>
      </c>
      <c r="Z306" s="14" t="str">
        <f>IF('[1]P-GENERAL'!Z306="","",'[1]P-GENERAL'!Z306)</f>
        <v/>
      </c>
      <c r="AA306" s="14" t="str">
        <f>IF('[1]P-GENERAL'!AA306="","",'[1]P-GENERAL'!AA306)</f>
        <v>DESPACHADO</v>
      </c>
      <c r="AB306" s="8" t="str">
        <f>IF('[1]P-GENERAL'!AB306="","",'[1]P-GENERAL'!AB306)</f>
        <v xml:space="preserve">MARIBEL DE LA ROSA </v>
      </c>
      <c r="AC306" s="8" t="str">
        <f>IF('[1]P-GENERAL'!AC306="","",'[1]P-GENERAL'!AC306)</f>
        <v>JACINTO RAMIREZ LOPEZ</v>
      </c>
      <c r="AD306">
        <f>IF('[1]P-GENERAL'!AD306="","",'[1]P-GENERAL'!AD306)</f>
        <v>43874</v>
      </c>
      <c r="AE306" t="str">
        <f>IF('[1]P-GENERAL'!AE306="","",'[1]P-GENERAL'!AE306)</f>
        <v>QCH1W04MN0</v>
      </c>
    </row>
    <row r="307" spans="1:31" ht="20.25" x14ac:dyDescent="0.3">
      <c r="A307" s="11" t="str">
        <f>IF('[1]P-GENERAL'!A307="","",'[1]P-GENERAL'!A307)</f>
        <v>Chanitos Premium Tarima Chep</v>
      </c>
      <c r="B307" s="11" t="str">
        <f>IF('[1]P-GENERAL'!B307="","",'[1]P-GENERAL'!B307)</f>
        <v>CPR01102</v>
      </c>
      <c r="C307" t="str">
        <f>IF('[1]P-GENERAL'!C307="","",'[1]P-GENERAL'!C307)</f>
        <v>A01001-392309-1</v>
      </c>
      <c r="D307" t="str">
        <f>IF('[1]P-GENERAL'!D307="","",'[1]P-GENERAL'!D307)</f>
        <v>A01 001 Marbella</v>
      </c>
      <c r="E307" s="8" t="str">
        <f>IF('[1]P-GENERAL'!E307="","",'[1]P-GENERAL'!E307)</f>
        <v>VSA</v>
      </c>
      <c r="F307" s="12">
        <f>IF('[1]P-GENERAL'!F307="","",'[1]P-GENERAL'!F307)</f>
        <v>48</v>
      </c>
      <c r="G307" s="13">
        <f>IF('[1]P-GENERAL'!G307="","",'[1]P-GENERAL'!G307)</f>
        <v>1</v>
      </c>
      <c r="H307" s="14">
        <f>IF('[1]P-GENERAL'!H307="","",'[1]P-GENERAL'!H307)</f>
        <v>46287</v>
      </c>
      <c r="I307">
        <f>IF('[1]P-GENERAL'!I307="","",'[1]P-GENERAL'!I307)</f>
        <v>39</v>
      </c>
      <c r="J307" s="15">
        <f>IF('[1]P-GENERAL'!J307="","",'[1]P-GENERAL'!J307)</f>
        <v>46292</v>
      </c>
      <c r="K307" s="14" t="str">
        <f>IF('[1]P-GENERAL'!K307="","",'[1]P-GENERAL'!K307)</f>
        <v/>
      </c>
      <c r="L307" s="14" t="str">
        <f>IF('[1]P-GENERAL'!L307="","",'[1]P-GENERAL'!L307)</f>
        <v>PREENFRIO FORTALEZA</v>
      </c>
      <c r="M307">
        <f>IF('[1]P-GENERAL'!M307="","",'[1]P-GENERAL'!M307)</f>
        <v>1</v>
      </c>
      <c r="N307">
        <f>IF('[1]P-GENERAL'!N307="","",'[1]P-GENERAL'!N307)</f>
        <v>24</v>
      </c>
      <c r="O307" s="14">
        <f>IF('[1]P-GENERAL'!O307="","",'[1]P-GENERAL'!O307)</f>
        <v>46288</v>
      </c>
      <c r="P307" s="16">
        <f>IF('[1]P-GENERAL'!P307="","",'[1]P-GENERAL'!P307)</f>
        <v>0.75</v>
      </c>
      <c r="Q307" t="str">
        <f>IF('[1]P-GENERAL'!Q307="","",'[1]P-GENERAL'!Q307)</f>
        <v>NORMAL</v>
      </c>
      <c r="R307" s="14">
        <f>IF('[1]P-GENERAL'!R307="","",'[1]P-GENERAL'!R307)</f>
        <v>46289</v>
      </c>
      <c r="S307" s="16">
        <f>IF('[1]P-GENERAL'!S307="","",'[1]P-GENERAL'!S307)</f>
        <v>0.49861111111111112</v>
      </c>
      <c r="T307" s="16">
        <f>IF('[1]P-GENERAL'!T307="","",'[1]P-GENERAL'!T307)</f>
        <v>0.625</v>
      </c>
      <c r="U307" s="17">
        <f>IF('[1]P-GENERAL'!U307="","",'[1]P-GENERAL'!U307)</f>
        <v>46290.123611111114</v>
      </c>
      <c r="V307" s="14">
        <f>IF('[1]P-GENERAL'!V307="","",'[1]P-GENERAL'!V307)</f>
        <v>46290</v>
      </c>
      <c r="W307" s="16">
        <f>IF('[1]P-GENERAL'!W307="","",'[1]P-GENERAL'!W307)</f>
        <v>0.61111111111111116</v>
      </c>
      <c r="X307" s="14" t="str">
        <f>IF('[1]P-GENERAL'!X307="","",'[1]P-GENERAL'!X307)</f>
        <v>SI CUMPLE</v>
      </c>
      <c r="Y307" s="14" t="str">
        <f>IF('[1]P-GENERAL'!Y307="","",'[1]P-GENERAL'!Y307)</f>
        <v>SI CUMPLE</v>
      </c>
      <c r="Z307" s="14" t="str">
        <f>IF('[1]P-GENERAL'!Z307="","",'[1]P-GENERAL'!Z307)</f>
        <v/>
      </c>
      <c r="AA307" s="14" t="str">
        <f>IF('[1]P-GENERAL'!AA307="","",'[1]P-GENERAL'!AA307)</f>
        <v>DESPACHADO</v>
      </c>
      <c r="AB307" s="8" t="str">
        <f>IF('[1]P-GENERAL'!AB307="","",'[1]P-GENERAL'!AB307)</f>
        <v>BACKHAUL</v>
      </c>
      <c r="AC307" s="8" t="str">
        <f>IF('[1]P-GENERAL'!AC307="","",'[1]P-GENERAL'!AC307)</f>
        <v>DANIEL MORALES SANCHEZ</v>
      </c>
      <c r="AD307">
        <f>IF('[1]P-GENERAL'!AD307="","",'[1]P-GENERAL'!AD307)</f>
        <v>74420</v>
      </c>
      <c r="AE307" t="str">
        <f>IF('[1]P-GENERAL'!AE307="","",'[1]P-GENERAL'!AE307)</f>
        <v>QCH1W04NM0</v>
      </c>
    </row>
    <row r="308" spans="1:31" ht="20.25" x14ac:dyDescent="0.3">
      <c r="A308" s="11" t="str">
        <f>IF('[1]P-GENERAL'!A308="","",'[1]P-GENERAL'!A308)</f>
        <v>Chanitos Premium Tarima Chep</v>
      </c>
      <c r="B308" s="11" t="str">
        <f>IF('[1]P-GENERAL'!B308="","",'[1]P-GENERAL'!B308)</f>
        <v>CPR01102</v>
      </c>
      <c r="C308" t="str">
        <f>IF('[1]P-GENERAL'!C308="","",'[1]P-GENERAL'!C308)</f>
        <v>A01002-392309-1</v>
      </c>
      <c r="D308" t="str">
        <f>IF('[1]P-GENERAL'!D308="","",'[1]P-GENERAL'!D308)</f>
        <v>A01 002 Fortaleza</v>
      </c>
      <c r="E308" s="8" t="str">
        <f>IF('[1]P-GENERAL'!E308="","",'[1]P-GENERAL'!E308)</f>
        <v>SMO</v>
      </c>
      <c r="F308" s="12">
        <f>IF('[1]P-GENERAL'!F308="","",'[1]P-GENERAL'!F308)</f>
        <v>1104</v>
      </c>
      <c r="G308" s="13">
        <f>IF('[1]P-GENERAL'!G308="","",'[1]P-GENERAL'!G308)</f>
        <v>23</v>
      </c>
      <c r="H308" s="14">
        <f>IF('[1]P-GENERAL'!H308="","",'[1]P-GENERAL'!H308)</f>
        <v>46288</v>
      </c>
      <c r="I308">
        <f>IF('[1]P-GENERAL'!I308="","",'[1]P-GENERAL'!I308)</f>
        <v>39</v>
      </c>
      <c r="J308" s="15">
        <f>IF('[1]P-GENERAL'!J308="","",'[1]P-GENERAL'!J308)</f>
        <v>46292</v>
      </c>
      <c r="K308" s="14" t="str">
        <f>IF('[1]P-GENERAL'!K308="","",'[1]P-GENERAL'!K308)</f>
        <v/>
      </c>
      <c r="L308" s="14" t="str">
        <f>IF('[1]P-GENERAL'!L308="","",'[1]P-GENERAL'!L308)</f>
        <v>PREENFRIO FORTALEZA</v>
      </c>
      <c r="M308">
        <f>IF('[1]P-GENERAL'!M308="","",'[1]P-GENERAL'!M308)</f>
        <v>1.5</v>
      </c>
      <c r="N308">
        <f>IF('[1]P-GENERAL'!N308="","",'[1]P-GENERAL'!N308)</f>
        <v>36</v>
      </c>
      <c r="O308" s="14">
        <f>IF('[1]P-GENERAL'!O308="","",'[1]P-GENERAL'!O308)</f>
        <v>46288</v>
      </c>
      <c r="P308" s="16">
        <f>IF('[1]P-GENERAL'!P308="","",'[1]P-GENERAL'!P308)</f>
        <v>0.70833333333333337</v>
      </c>
      <c r="Q308" t="str">
        <f>IF('[1]P-GENERAL'!Q308="","",'[1]P-GENERAL'!Q308)</f>
        <v>NORMAL</v>
      </c>
      <c r="R308" s="14">
        <f>IF('[1]P-GENERAL'!R308="","",'[1]P-GENERAL'!R308)</f>
        <v>46288</v>
      </c>
      <c r="S308" s="16">
        <f>IF('[1]P-GENERAL'!S308="","",'[1]P-GENERAL'!S308)</f>
        <v>0.3888888888888889</v>
      </c>
      <c r="T308" s="16">
        <f>IF('[1]P-GENERAL'!T308="","",'[1]P-GENERAL'!T308)</f>
        <v>0.90763888888888888</v>
      </c>
      <c r="U308" s="17">
        <f>IF('[1]P-GENERAL'!U308="","",'[1]P-GENERAL'!U308)</f>
        <v>46289.296527777777</v>
      </c>
      <c r="V308" s="14">
        <f>IF('[1]P-GENERAL'!V308="","",'[1]P-GENERAL'!V308)</f>
        <v>46289</v>
      </c>
      <c r="W308" s="16">
        <f>IF('[1]P-GENERAL'!W308="","",'[1]P-GENERAL'!W308)</f>
        <v>0.29166666666666669</v>
      </c>
      <c r="X308" s="14" t="str">
        <f>IF('[1]P-GENERAL'!X308="","",'[1]P-GENERAL'!X308)</f>
        <v>SI CUMPLE</v>
      </c>
      <c r="Y308" s="14" t="str">
        <f>IF('[1]P-GENERAL'!Y308="","",'[1]P-GENERAL'!Y308)</f>
        <v>SI CUMPLE</v>
      </c>
      <c r="Z308" s="14" t="str">
        <f>IF('[1]P-GENERAL'!Z308="","",'[1]P-GENERAL'!Z308)</f>
        <v/>
      </c>
      <c r="AA308" s="14" t="str">
        <f>IF('[1]P-GENERAL'!AA308="","",'[1]P-GENERAL'!AA308)</f>
        <v>DESPACHADO</v>
      </c>
      <c r="AB308" s="8" t="str">
        <f>IF('[1]P-GENERAL'!AB308="","",'[1]P-GENERAL'!AB308)</f>
        <v xml:space="preserve">MARIBEL DE LA ROSA </v>
      </c>
      <c r="AC308" s="8" t="str">
        <f>IF('[1]P-GENERAL'!AC308="","",'[1]P-GENERAL'!AC308)</f>
        <v>JACINTO RAMIREZ LOPEZ</v>
      </c>
      <c r="AD308">
        <f>IF('[1]P-GENERAL'!AD308="","",'[1]P-GENERAL'!AD308)</f>
        <v>43874</v>
      </c>
      <c r="AE308" t="str">
        <f>IF('[1]P-GENERAL'!AE308="","",'[1]P-GENERAL'!AE308)</f>
        <v>QCH1W04MN0</v>
      </c>
    </row>
    <row r="309" spans="1:31" ht="20.25" x14ac:dyDescent="0.3">
      <c r="A309" s="11" t="str">
        <f>IF('[1]P-GENERAL'!A309="","",'[1]P-GENERAL'!A309)</f>
        <v>Chanitos Premium Tarima Chep</v>
      </c>
      <c r="B309" s="11" t="str">
        <f>IF('[1]P-GENERAL'!B309="","",'[1]P-GENERAL'!B309)</f>
        <v>CPR01102</v>
      </c>
      <c r="C309" t="str">
        <f>IF('[1]P-GENERAL'!C309="","",'[1]P-GENERAL'!C309)</f>
        <v>A01001-392309-1</v>
      </c>
      <c r="D309" t="str">
        <f>IF('[1]P-GENERAL'!D309="","",'[1]P-GENERAL'!D309)</f>
        <v>A01 001 Marbella</v>
      </c>
      <c r="E309" s="8" t="str">
        <f>IF('[1]P-GENERAL'!E309="","",'[1]P-GENERAL'!E309)</f>
        <v>VSA</v>
      </c>
      <c r="F309" s="12">
        <f>IF('[1]P-GENERAL'!F309="","",'[1]P-GENERAL'!F309)</f>
        <v>1104</v>
      </c>
      <c r="G309" s="13">
        <f>IF('[1]P-GENERAL'!G309="","",'[1]P-GENERAL'!G309)</f>
        <v>23</v>
      </c>
      <c r="H309" s="14">
        <f>IF('[1]P-GENERAL'!H309="","",'[1]P-GENERAL'!H309)</f>
        <v>46288</v>
      </c>
      <c r="I309">
        <f>IF('[1]P-GENERAL'!I309="","",'[1]P-GENERAL'!I309)</f>
        <v>39</v>
      </c>
      <c r="J309" s="15">
        <f>IF('[1]P-GENERAL'!J309="","",'[1]P-GENERAL'!J309)</f>
        <v>46292</v>
      </c>
      <c r="K309" s="14" t="str">
        <f>IF('[1]P-GENERAL'!K309="","",'[1]P-GENERAL'!K309)</f>
        <v/>
      </c>
      <c r="L309" s="14" t="str">
        <f>IF('[1]P-GENERAL'!L309="","",'[1]P-GENERAL'!L309)</f>
        <v>PREENFRIO FORTALEZA</v>
      </c>
      <c r="M309">
        <f>IF('[1]P-GENERAL'!M309="","",'[1]P-GENERAL'!M309)</f>
        <v>1</v>
      </c>
      <c r="N309">
        <f>IF('[1]P-GENERAL'!N309="","",'[1]P-GENERAL'!N309)</f>
        <v>24</v>
      </c>
      <c r="O309" s="14">
        <f>IF('[1]P-GENERAL'!O309="","",'[1]P-GENERAL'!O309)</f>
        <v>46288</v>
      </c>
      <c r="P309" s="16">
        <f>IF('[1]P-GENERAL'!P309="","",'[1]P-GENERAL'!P309)</f>
        <v>0.75</v>
      </c>
      <c r="Q309" t="str">
        <f>IF('[1]P-GENERAL'!Q309="","",'[1]P-GENERAL'!Q309)</f>
        <v>NORMAL</v>
      </c>
      <c r="R309" s="14">
        <f>IF('[1]P-GENERAL'!R309="","",'[1]P-GENERAL'!R309)</f>
        <v>46289</v>
      </c>
      <c r="S309" s="16">
        <f>IF('[1]P-GENERAL'!S309="","",'[1]P-GENERAL'!S309)</f>
        <v>0.49861111111111112</v>
      </c>
      <c r="T309" s="16">
        <f>IF('[1]P-GENERAL'!T309="","",'[1]P-GENERAL'!T309)</f>
        <v>0.625</v>
      </c>
      <c r="U309" s="17">
        <f>IF('[1]P-GENERAL'!U309="","",'[1]P-GENERAL'!U309)</f>
        <v>46290.123611111114</v>
      </c>
      <c r="V309" s="14">
        <f>IF('[1]P-GENERAL'!V309="","",'[1]P-GENERAL'!V309)</f>
        <v>46290</v>
      </c>
      <c r="W309" s="16">
        <f>IF('[1]P-GENERAL'!W309="","",'[1]P-GENERAL'!W309)</f>
        <v>0.61111111111111116</v>
      </c>
      <c r="X309" s="14" t="str">
        <f>IF('[1]P-GENERAL'!X309="","",'[1]P-GENERAL'!X309)</f>
        <v>SI CUMPLE</v>
      </c>
      <c r="Y309" s="14" t="str">
        <f>IF('[1]P-GENERAL'!Y309="","",'[1]P-GENERAL'!Y309)</f>
        <v>SI CUMPLE</v>
      </c>
      <c r="Z309" s="14" t="str">
        <f>IF('[1]P-GENERAL'!Z309="","",'[1]P-GENERAL'!Z309)</f>
        <v/>
      </c>
      <c r="AA309" s="14" t="str">
        <f>IF('[1]P-GENERAL'!AA309="","",'[1]P-GENERAL'!AA309)</f>
        <v>DESPACHADO</v>
      </c>
      <c r="AB309" s="8" t="str">
        <f>IF('[1]P-GENERAL'!AB309="","",'[1]P-GENERAL'!AB309)</f>
        <v>BACKHAUL</v>
      </c>
      <c r="AC309" s="8" t="str">
        <f>IF('[1]P-GENERAL'!AC309="","",'[1]P-GENERAL'!AC309)</f>
        <v>DANIEL MORALES SANCHEZ</v>
      </c>
      <c r="AD309">
        <f>IF('[1]P-GENERAL'!AD309="","",'[1]P-GENERAL'!AD309)</f>
        <v>74420</v>
      </c>
      <c r="AE309" t="str">
        <f>IF('[1]P-GENERAL'!AE309="","",'[1]P-GENERAL'!AE309)</f>
        <v>QCH1W04NM0</v>
      </c>
    </row>
    <row r="310" spans="1:31" ht="20.25" x14ac:dyDescent="0.3">
      <c r="A310" s="11" t="str">
        <f>IF('[1]P-GENERAL'!A310="","",'[1]P-GENERAL'!A310)</f>
        <v>Chanitos Premium Tarima Americana</v>
      </c>
      <c r="B310" s="11" t="str">
        <f>IF('[1]P-GENERAL'!B310="","",'[1]P-GENERAL'!B310)</f>
        <v>CPR01103</v>
      </c>
      <c r="C310" t="str">
        <f>IF('[1]P-GENERAL'!C310="","",'[1]P-GENERAL'!C310)</f>
        <v>A11045-392309-1</v>
      </c>
      <c r="D310" t="str">
        <f>IF('[1]P-GENERAL'!D310="","",'[1]P-GENERAL'!D310)</f>
        <v>A11 045 Sector Mazatan</v>
      </c>
      <c r="E310" s="8" t="str">
        <f>IF('[1]P-GENERAL'!E310="","",'[1]P-GENERAL'!E310)</f>
        <v>S-MTY</v>
      </c>
      <c r="F310" s="12">
        <f>IF('[1]P-GENERAL'!F310="","",'[1]P-GENERAL'!F310)</f>
        <v>480</v>
      </c>
      <c r="G310" s="13">
        <f>IF('[1]P-GENERAL'!G310="","",'[1]P-GENERAL'!G310)</f>
        <v>10</v>
      </c>
      <c r="H310" s="14">
        <f>IF('[1]P-GENERAL'!H310="","",'[1]P-GENERAL'!H310)</f>
        <v>46288</v>
      </c>
      <c r="I310">
        <f>IF('[1]P-GENERAL'!I310="","",'[1]P-GENERAL'!I310)</f>
        <v>39</v>
      </c>
      <c r="J310" s="15">
        <f>IF('[1]P-GENERAL'!J310="","",'[1]P-GENERAL'!J310)</f>
        <v>46293</v>
      </c>
      <c r="K310" s="14">
        <f>IF('[1]P-GENERAL'!K310="","",'[1]P-GENERAL'!K310)</f>
        <v>0.25</v>
      </c>
      <c r="L310" s="14" t="str">
        <f>IF('[1]P-GENERAL'!L310="","",'[1]P-GENERAL'!L310)</f>
        <v>PREENFRIO NELLY</v>
      </c>
      <c r="M310">
        <f>IF('[1]P-GENERAL'!M310="","",'[1]P-GENERAL'!M310)</f>
        <v>3</v>
      </c>
      <c r="N310">
        <f>IF('[1]P-GENERAL'!N310="","",'[1]P-GENERAL'!N310)</f>
        <v>72</v>
      </c>
      <c r="O310" s="14">
        <f>IF('[1]P-GENERAL'!O310="","",'[1]P-GENERAL'!O310)</f>
        <v>46288</v>
      </c>
      <c r="P310" s="16">
        <f>IF('[1]P-GENERAL'!P310="","",'[1]P-GENERAL'!P310)</f>
        <v>0.70833333333333337</v>
      </c>
      <c r="Q310" t="str">
        <f>IF('[1]P-GENERAL'!Q310="","",'[1]P-GENERAL'!Q310)</f>
        <v>ALTA</v>
      </c>
      <c r="R310" s="14">
        <f>IF('[1]P-GENERAL'!R310="","",'[1]P-GENERAL'!R310)</f>
        <v>46289</v>
      </c>
      <c r="S310" s="16">
        <f>IF('[1]P-GENERAL'!S310="","",'[1]P-GENERAL'!S310)</f>
        <v>0.59027777777777779</v>
      </c>
      <c r="T310" s="16">
        <f>IF('[1]P-GENERAL'!T310="","",'[1]P-GENERAL'!T310)</f>
        <v>0.4375</v>
      </c>
      <c r="U310" s="17">
        <f>IF('[1]P-GENERAL'!U310="","",'[1]P-GENERAL'!U310)</f>
        <v>46290</v>
      </c>
      <c r="V310" s="14">
        <f>IF('[1]P-GENERAL'!V310="","",'[1]P-GENERAL'!V310)</f>
        <v>46290</v>
      </c>
      <c r="W310" s="16">
        <f>IF('[1]P-GENERAL'!W310="","",'[1]P-GENERAL'!W310)</f>
        <v>0.5</v>
      </c>
      <c r="X310" s="14" t="str">
        <f>IF('[1]P-GENERAL'!X310="","",'[1]P-GENERAL'!X310)</f>
        <v>SI CUMPLE</v>
      </c>
      <c r="Y310" s="14" t="str">
        <f>IF('[1]P-GENERAL'!Y310="","",'[1]P-GENERAL'!Y310)</f>
        <v>NO CUMPLE</v>
      </c>
      <c r="Z310" s="14" t="str">
        <f>IF('[1]P-GENERAL'!Z310="","",'[1]P-GENERAL'!Z310)</f>
        <v/>
      </c>
      <c r="AA310" s="14" t="str">
        <f>IF('[1]P-GENERAL'!AA310="","",'[1]P-GENERAL'!AA310)</f>
        <v>DESPACHADO</v>
      </c>
      <c r="AB310" s="8" t="str">
        <f>IF('[1]P-GENERAL'!AB310="","",'[1]P-GENERAL'!AB310)</f>
        <v>AUTO EXPRESS SEGOVIA</v>
      </c>
      <c r="AC310" s="8" t="str">
        <f>IF('[1]P-GENERAL'!AC310="","",'[1]P-GENERAL'!AC310)</f>
        <v>Edgar Adrian castillo Trejo</v>
      </c>
      <c r="AD310">
        <f>IF('[1]P-GENERAL'!AD310="","",'[1]P-GENERAL'!AD310)</f>
        <v>42632</v>
      </c>
      <c r="AE310" t="str">
        <f>IF('[1]P-GENERAL'!AE310="","",'[1]P-GENERAL'!AE310)</f>
        <v/>
      </c>
    </row>
    <row r="311" spans="1:31" ht="20.25" x14ac:dyDescent="0.3">
      <c r="A311" s="11" t="str">
        <f>IF('[1]P-GENERAL'!A311="","",'[1]P-GENERAL'!A311)</f>
        <v>Chanitos Plantain 20Kg Tarima Americana</v>
      </c>
      <c r="B311" s="11" t="str">
        <f>IF('[1]P-GENERAL'!B311="","",'[1]P-GENERAL'!B311)</f>
        <v>CPL08134</v>
      </c>
      <c r="C311" t="str">
        <f>IF('[1]P-GENERAL'!C311="","",'[1]P-GENERAL'!C311)</f>
        <v>A15063-392209-1</v>
      </c>
      <c r="D311" t="str">
        <f>IF('[1]P-GENERAL'!D311="","",'[1]P-GENERAL'!D311)</f>
        <v xml:space="preserve">A15 063 Zaragoza </v>
      </c>
      <c r="E311" s="8" t="str">
        <f>IF('[1]P-GENERAL'!E311="","",'[1]P-GENERAL'!E311)</f>
        <v>S-MTY</v>
      </c>
      <c r="F311" s="12">
        <f>IF('[1]P-GENERAL'!F311="","",'[1]P-GENERAL'!F311)</f>
        <v>96</v>
      </c>
      <c r="G311" s="13">
        <f>IF('[1]P-GENERAL'!G311="","",'[1]P-GENERAL'!G311)</f>
        <v>2</v>
      </c>
      <c r="H311" s="14">
        <f>IF('[1]P-GENERAL'!H311="","",'[1]P-GENERAL'!H311)</f>
        <v>46287</v>
      </c>
      <c r="I311">
        <f>IF('[1]P-GENERAL'!I311="","",'[1]P-GENERAL'!I311)</f>
        <v>39</v>
      </c>
      <c r="J311" s="15">
        <f>IF('[1]P-GENERAL'!J311="","",'[1]P-GENERAL'!J311)</f>
        <v>46293</v>
      </c>
      <c r="K311" s="14" t="str">
        <f>IF('[1]P-GENERAL'!K311="","",'[1]P-GENERAL'!K311)</f>
        <v/>
      </c>
      <c r="L311" s="14" t="str">
        <f>IF('[1]P-GENERAL'!L311="","",'[1]P-GENERAL'!L311)</f>
        <v>PREENFRIO FORTALEZA</v>
      </c>
      <c r="M311">
        <f>IF('[1]P-GENERAL'!M311="","",'[1]P-GENERAL'!M311)</f>
        <v>3</v>
      </c>
      <c r="N311">
        <f>IF('[1]P-GENERAL'!N311="","",'[1]P-GENERAL'!N311)</f>
        <v>72</v>
      </c>
      <c r="O311" s="14">
        <f>IF('[1]P-GENERAL'!O311="","",'[1]P-GENERAL'!O311)</f>
        <v>46288</v>
      </c>
      <c r="P311" s="16">
        <f>IF('[1]P-GENERAL'!P311="","",'[1]P-GENERAL'!P311)</f>
        <v>0.83333333333333337</v>
      </c>
      <c r="Q311" t="str">
        <f>IF('[1]P-GENERAL'!Q311="","",'[1]P-GENERAL'!Q311)</f>
        <v>NORMAL</v>
      </c>
      <c r="R311" s="14">
        <f>IF('[1]P-GENERAL'!R311="","",'[1]P-GENERAL'!R311)</f>
        <v>46289</v>
      </c>
      <c r="S311" s="16">
        <f>IF('[1]P-GENERAL'!S311="","",'[1]P-GENERAL'!S311)</f>
        <v>0.33541666666666664</v>
      </c>
      <c r="T311" s="16">
        <f>IF('[1]P-GENERAL'!T311="","",'[1]P-GENERAL'!T311)</f>
        <v>0.25</v>
      </c>
      <c r="U311" s="17">
        <f>IF('[1]P-GENERAL'!U311="","",'[1]P-GENERAL'!U311)</f>
        <v>46289.585416666669</v>
      </c>
      <c r="V311" s="14">
        <f>IF('[1]P-GENERAL'!V311="","",'[1]P-GENERAL'!V311)</f>
        <v>46289</v>
      </c>
      <c r="W311" s="16">
        <f>IF('[1]P-GENERAL'!W311="","",'[1]P-GENERAL'!W311)</f>
        <v>0.4861111111111111</v>
      </c>
      <c r="X311" s="14" t="str">
        <f>IF('[1]P-GENERAL'!X311="","",'[1]P-GENERAL'!X311)</f>
        <v>SI CUMPLE</v>
      </c>
      <c r="Y311" s="14" t="str">
        <f>IF('[1]P-GENERAL'!Y311="","",'[1]P-GENERAL'!Y311)</f>
        <v>SI CUMPLE</v>
      </c>
      <c r="Z311" s="14" t="str">
        <f>IF('[1]P-GENERAL'!Z311="","",'[1]P-GENERAL'!Z311)</f>
        <v>MUEVE A NELLY</v>
      </c>
      <c r="AA311" s="14" t="str">
        <f>IF('[1]P-GENERAL'!AA311="","",'[1]P-GENERAL'!AA311)</f>
        <v xml:space="preserve">DESPACHADO  </v>
      </c>
      <c r="AB311" s="8" t="str">
        <f>IF('[1]P-GENERAL'!AB311="","",'[1]P-GENERAL'!AB311)</f>
        <v>EDUARDO ROSALES</v>
      </c>
      <c r="AC311" s="8" t="str">
        <f>IF('[1]P-GENERAL'!AC311="","",'[1]P-GENERAL'!AC311)</f>
        <v>EDUARDO ROSALES</v>
      </c>
      <c r="AD311">
        <f>IF('[1]P-GENERAL'!AD311="","",'[1]P-GENERAL'!AD311)</f>
        <v>78072</v>
      </c>
      <c r="AE311" t="str">
        <f>IF('[1]P-GENERAL'!AE311="","",'[1]P-GENERAL'!AE311)</f>
        <v>N/A</v>
      </c>
    </row>
    <row r="312" spans="1:31" ht="20.25" x14ac:dyDescent="0.3">
      <c r="A312" s="11" t="str">
        <f>IF('[1]P-GENERAL'!A312="","",'[1]P-GENERAL'!A312)</f>
        <v>Chanitos Premium Tarima Americana</v>
      </c>
      <c r="B312" s="11" t="str">
        <f>IF('[1]P-GENERAL'!B312="","",'[1]P-GENERAL'!B312)</f>
        <v>CPR01103</v>
      </c>
      <c r="C312" t="str">
        <f>IF('[1]P-GENERAL'!C312="","",'[1]P-GENERAL'!C312)</f>
        <v>A11045-392209-1</v>
      </c>
      <c r="D312" t="str">
        <f>IF('[1]P-GENERAL'!D312="","",'[1]P-GENERAL'!D312)</f>
        <v>A11 045 Sector Mazatan</v>
      </c>
      <c r="E312" s="8" t="str">
        <f>IF('[1]P-GENERAL'!E312="","",'[1]P-GENERAL'!E312)</f>
        <v>Ciudad Juarez</v>
      </c>
      <c r="F312" s="12">
        <f>IF('[1]P-GENERAL'!F312="","",'[1]P-GENERAL'!F312)</f>
        <v>288</v>
      </c>
      <c r="G312" s="13">
        <f>IF('[1]P-GENERAL'!G312="","",'[1]P-GENERAL'!G312)</f>
        <v>6</v>
      </c>
      <c r="H312" s="14">
        <f>IF('[1]P-GENERAL'!H312="","",'[1]P-GENERAL'!H312)</f>
        <v>46287</v>
      </c>
      <c r="I312">
        <f>IF('[1]P-GENERAL'!I312="","",'[1]P-GENERAL'!I312)</f>
        <v>39</v>
      </c>
      <c r="J312" s="15">
        <f>IF('[1]P-GENERAL'!J312="","",'[1]P-GENERAL'!J312)</f>
        <v>46294</v>
      </c>
      <c r="K312" s="14" t="str">
        <f>IF('[1]P-GENERAL'!K312="","",'[1]P-GENERAL'!K312)</f>
        <v/>
      </c>
      <c r="L312" s="14" t="str">
        <f>IF('[1]P-GENERAL'!L312="","",'[1]P-GENERAL'!L312)</f>
        <v>PREENFRIO NELLY</v>
      </c>
      <c r="M312">
        <f>IF('[1]P-GENERAL'!M312="","",'[1]P-GENERAL'!M312)</f>
        <v>4</v>
      </c>
      <c r="N312">
        <f>IF('[1]P-GENERAL'!N312="","",'[1]P-GENERAL'!N312)</f>
        <v>96</v>
      </c>
      <c r="O312" s="14">
        <f>IF('[1]P-GENERAL'!O312="","",'[1]P-GENERAL'!O312)</f>
        <v>46288</v>
      </c>
      <c r="P312" s="16">
        <f>IF('[1]P-GENERAL'!P312="","",'[1]P-GENERAL'!P312)</f>
        <v>0.70833333333333337</v>
      </c>
      <c r="Q312" t="str">
        <f>IF('[1]P-GENERAL'!Q312="","",'[1]P-GENERAL'!Q312)</f>
        <v>ALTA</v>
      </c>
      <c r="R312" s="14">
        <f>IF('[1]P-GENERAL'!R312="","",'[1]P-GENERAL'!R312)</f>
        <v>46290</v>
      </c>
      <c r="S312" s="16">
        <f>IF('[1]P-GENERAL'!S312="","",'[1]P-GENERAL'!S312)</f>
        <v>0.125</v>
      </c>
      <c r="T312" s="16">
        <f>IF('[1]P-GENERAL'!T312="","",'[1]P-GENERAL'!T312)</f>
        <v>0.4375</v>
      </c>
      <c r="U312" s="17">
        <f>IF('[1]P-GENERAL'!U312="","",'[1]P-GENERAL'!U312)</f>
        <v>46290.5625</v>
      </c>
      <c r="V312" s="14">
        <f>IF('[1]P-GENERAL'!V312="","",'[1]P-GENERAL'!V312)</f>
        <v>46289</v>
      </c>
      <c r="W312" s="16">
        <f>IF('[1]P-GENERAL'!W312="","",'[1]P-GENERAL'!W312)</f>
        <v>0.59027777777777779</v>
      </c>
      <c r="X312" s="14" t="str">
        <f>IF('[1]P-GENERAL'!X312="","",'[1]P-GENERAL'!X312)</f>
        <v>NO CUMPLE</v>
      </c>
      <c r="Y312" s="14" t="str">
        <f>IF('[1]P-GENERAL'!Y312="","",'[1]P-GENERAL'!Y312)</f>
        <v>SI CUMPLE</v>
      </c>
      <c r="Z312" s="14" t="str">
        <f>IF('[1]P-GENERAL'!Z312="","",'[1]P-GENERAL'!Z312)</f>
        <v/>
      </c>
      <c r="AA312" s="14" t="str">
        <f>IF('[1]P-GENERAL'!AA312="","",'[1]P-GENERAL'!AA312)</f>
        <v>DESPACHADO</v>
      </c>
      <c r="AB312" s="8" t="str">
        <f>IF('[1]P-GENERAL'!AB312="","",'[1]P-GENERAL'!AB312)</f>
        <v>AUTO EXPRESS SEGOVIA</v>
      </c>
      <c r="AC312" s="8" t="str">
        <f>IF('[1]P-GENERAL'!AC312="","",'[1]P-GENERAL'!AC312)</f>
        <v>MARIO GALLARDO GOMEZ</v>
      </c>
      <c r="AD312">
        <f>IF('[1]P-GENERAL'!AD312="","",'[1]P-GENERAL'!AD312)</f>
        <v>37324</v>
      </c>
      <c r="AE312" t="str">
        <f>IF('[1]P-GENERAL'!AE312="","",'[1]P-GENERAL'!AE312)</f>
        <v/>
      </c>
    </row>
    <row r="313" spans="1:31" ht="20.25" x14ac:dyDescent="0.3">
      <c r="A313" s="11" t="str">
        <f>IF('[1]P-GENERAL'!A313="","",'[1]P-GENERAL'!A313)</f>
        <v>Chanitos Premium Tarima Chep</v>
      </c>
      <c r="B313" s="11" t="str">
        <f>IF('[1]P-GENERAL'!B313="","",'[1]P-GENERAL'!B313)</f>
        <v>CPR01102</v>
      </c>
      <c r="C313" t="str">
        <f>IF('[1]P-GENERAL'!C313="","",'[1]P-GENERAL'!C313)</f>
        <v>A01002-392309-1</v>
      </c>
      <c r="D313" t="str">
        <f>IF('[1]P-GENERAL'!D313="","",'[1]P-GENERAL'!D313)</f>
        <v>A01 002 Fortaleza</v>
      </c>
      <c r="E313" s="8" t="str">
        <f>IF('[1]P-GENERAL'!E313="","",'[1]P-GENERAL'!E313)</f>
        <v>Chalco</v>
      </c>
      <c r="F313" s="12">
        <f>IF('[1]P-GENERAL'!F313="","",'[1]P-GENERAL'!F313)</f>
        <v>354</v>
      </c>
      <c r="G313" s="13">
        <f>IF('[1]P-GENERAL'!G313="","",'[1]P-GENERAL'!G313)</f>
        <v>7.375</v>
      </c>
      <c r="H313" s="14">
        <f>IF('[1]P-GENERAL'!H313="","",'[1]P-GENERAL'!H313)</f>
        <v>46288</v>
      </c>
      <c r="I313">
        <f>IF('[1]P-GENERAL'!I313="","",'[1]P-GENERAL'!I313)</f>
        <v>39</v>
      </c>
      <c r="J313" s="15">
        <f>IF('[1]P-GENERAL'!J313="","",'[1]P-GENERAL'!J313)</f>
        <v>46293</v>
      </c>
      <c r="K313" s="14" t="str">
        <f>IF('[1]P-GENERAL'!K313="","",'[1]P-GENERAL'!K313)</f>
        <v/>
      </c>
      <c r="L313" s="14" t="str">
        <f>IF('[1]P-GENERAL'!L313="","",'[1]P-GENERAL'!L313)</f>
        <v>PREENFRIO FORTALEZA</v>
      </c>
      <c r="M313">
        <f>IF('[1]P-GENERAL'!M313="","",'[1]P-GENERAL'!M313)</f>
        <v>1</v>
      </c>
      <c r="N313">
        <f>IF('[1]P-GENERAL'!N313="","",'[1]P-GENERAL'!N313)</f>
        <v>24</v>
      </c>
      <c r="O313" s="14">
        <f>IF('[1]P-GENERAL'!O313="","",'[1]P-GENERAL'!O313)</f>
        <v>46288</v>
      </c>
      <c r="P313" s="16">
        <f>IF('[1]P-GENERAL'!P313="","",'[1]P-GENERAL'!P313)</f>
        <v>0.70833333333333337</v>
      </c>
      <c r="Q313" t="str">
        <f>IF('[1]P-GENERAL'!Q313="","",'[1]P-GENERAL'!Q313)</f>
        <v>NORMAL</v>
      </c>
      <c r="R313" s="14">
        <f>IF('[1]P-GENERAL'!R313="","",'[1]P-GENERAL'!R313)</f>
        <v>46289</v>
      </c>
      <c r="S313" s="16">
        <f>IF('[1]P-GENERAL'!S313="","",'[1]P-GENERAL'!S313)</f>
        <v>0.9194444444444444</v>
      </c>
      <c r="T313" s="16">
        <f>IF('[1]P-GENERAL'!T313="","",'[1]P-GENERAL'!T313)</f>
        <v>0.625</v>
      </c>
      <c r="U313" s="17">
        <f>IF('[1]P-GENERAL'!U313="","",'[1]P-GENERAL'!U313)</f>
        <v>46290.544444444444</v>
      </c>
      <c r="V313" s="14">
        <f>IF('[1]P-GENERAL'!V313="","",'[1]P-GENERAL'!V313)</f>
        <v>46290</v>
      </c>
      <c r="W313" s="16">
        <f>IF('[1]P-GENERAL'!W313="","",'[1]P-GENERAL'!W313)</f>
        <v>0.8256944444444444</v>
      </c>
      <c r="X313" s="14" t="str">
        <f>IF('[1]P-GENERAL'!X313="","",'[1]P-GENERAL'!X313)</f>
        <v>SI CUMPLE</v>
      </c>
      <c r="Y313" s="14" t="str">
        <f>IF('[1]P-GENERAL'!Y313="","",'[1]P-GENERAL'!Y313)</f>
        <v>SI CUMPLE</v>
      </c>
      <c r="Z313" s="14" t="str">
        <f>IF('[1]P-GENERAL'!Z313="","",'[1]P-GENERAL'!Z313)</f>
        <v/>
      </c>
      <c r="AA313" s="14" t="str">
        <f>IF('[1]P-GENERAL'!AA313="","",'[1]P-GENERAL'!AA313)</f>
        <v>DESPACHADO</v>
      </c>
      <c r="AB313" s="8" t="str">
        <f>IF('[1]P-GENERAL'!AB313="","",'[1]P-GENERAL'!AB313)</f>
        <v>FERNANDO JESUS ALVARADO</v>
      </c>
      <c r="AC313" s="8" t="str">
        <f>IF('[1]P-GENERAL'!AC313="","",'[1]P-GENERAL'!AC313)</f>
        <v>EDUARDO ALVARADO</v>
      </c>
      <c r="AD313">
        <f>IF('[1]P-GENERAL'!AD313="","",'[1]P-GENERAL'!AD313)</f>
        <v>19243</v>
      </c>
      <c r="AE313" t="str">
        <f>IF('[1]P-GENERAL'!AE313="","",'[1]P-GENERAL'!AE313)</f>
        <v>QCH1W04ND0</v>
      </c>
    </row>
    <row r="314" spans="1:31" ht="20.25" x14ac:dyDescent="0.3">
      <c r="A314" s="11" t="str">
        <f>IF('[1]P-GENERAL'!A314="","",'[1]P-GENERAL'!A314)</f>
        <v>Platano de Chiapas BAE UPC 3237</v>
      </c>
      <c r="B314" s="11" t="str">
        <f>IF('[1]P-GENERAL'!B314="","",'[1]P-GENERAL'!B314)</f>
        <v>CPR01114</v>
      </c>
      <c r="C314" t="str">
        <f>IF('[1]P-GENERAL'!C314="","",'[1]P-GENERAL'!C314)</f>
        <v>A01002-392309-1</v>
      </c>
      <c r="D314" t="str">
        <f>IF('[1]P-GENERAL'!D314="","",'[1]P-GENERAL'!D314)</f>
        <v>A01 002 Fortaleza</v>
      </c>
      <c r="E314" s="8" t="str">
        <f>IF('[1]P-GENERAL'!E314="","",'[1]P-GENERAL'!E314)</f>
        <v>Chalco</v>
      </c>
      <c r="F314" s="12">
        <f>IF('[1]P-GENERAL'!F314="","",'[1]P-GENERAL'!F314)</f>
        <v>78</v>
      </c>
      <c r="G314" s="13">
        <f>IF('[1]P-GENERAL'!G314="","",'[1]P-GENERAL'!G314)</f>
        <v>1.625</v>
      </c>
      <c r="H314" s="14">
        <f>IF('[1]P-GENERAL'!H314="","",'[1]P-GENERAL'!H314)</f>
        <v>46288</v>
      </c>
      <c r="I314">
        <f>IF('[1]P-GENERAL'!I314="","",'[1]P-GENERAL'!I314)</f>
        <v>39</v>
      </c>
      <c r="J314" s="15">
        <f>IF('[1]P-GENERAL'!J314="","",'[1]P-GENERAL'!J314)</f>
        <v>46293</v>
      </c>
      <c r="K314" s="14" t="str">
        <f>IF('[1]P-GENERAL'!K314="","",'[1]P-GENERAL'!K314)</f>
        <v/>
      </c>
      <c r="L314" s="14" t="str">
        <f>IF('[1]P-GENERAL'!L314="","",'[1]P-GENERAL'!L314)</f>
        <v>PREENFRIO FORTALEZA</v>
      </c>
      <c r="M314">
        <f>IF('[1]P-GENERAL'!M314="","",'[1]P-GENERAL'!M314)</f>
        <v>1</v>
      </c>
      <c r="N314">
        <f>IF('[1]P-GENERAL'!N314="","",'[1]P-GENERAL'!N314)</f>
        <v>24</v>
      </c>
      <c r="O314" s="14">
        <f>IF('[1]P-GENERAL'!O314="","",'[1]P-GENERAL'!O314)</f>
        <v>46288</v>
      </c>
      <c r="P314" s="16">
        <f>IF('[1]P-GENERAL'!P314="","",'[1]P-GENERAL'!P314)</f>
        <v>0.70833333333333337</v>
      </c>
      <c r="Q314" t="str">
        <f>IF('[1]P-GENERAL'!Q314="","",'[1]P-GENERAL'!Q314)</f>
        <v>NORMAL</v>
      </c>
      <c r="R314" s="14">
        <f>IF('[1]P-GENERAL'!R314="","",'[1]P-GENERAL'!R314)</f>
        <v>46289</v>
      </c>
      <c r="S314" s="16">
        <f>IF('[1]P-GENERAL'!S314="","",'[1]P-GENERAL'!S314)</f>
        <v>0.9194444444444444</v>
      </c>
      <c r="T314" s="16">
        <f>IF('[1]P-GENERAL'!T314="","",'[1]P-GENERAL'!T314)</f>
        <v>0.625</v>
      </c>
      <c r="U314" s="17">
        <f>IF('[1]P-GENERAL'!U314="","",'[1]P-GENERAL'!U314)</f>
        <v>46290.544444444444</v>
      </c>
      <c r="V314" s="14">
        <f>IF('[1]P-GENERAL'!V314="","",'[1]P-GENERAL'!V314)</f>
        <v>46290</v>
      </c>
      <c r="W314" s="16">
        <f>IF('[1]P-GENERAL'!W314="","",'[1]P-GENERAL'!W314)</f>
        <v>0.8256944444444444</v>
      </c>
      <c r="X314" s="14" t="str">
        <f>IF('[1]P-GENERAL'!X314="","",'[1]P-GENERAL'!X314)</f>
        <v>SI CUMPLE</v>
      </c>
      <c r="Y314" s="14" t="str">
        <f>IF('[1]P-GENERAL'!Y314="","",'[1]P-GENERAL'!Y314)</f>
        <v>SI CUMPLE</v>
      </c>
      <c r="Z314" s="14" t="str">
        <f>IF('[1]P-GENERAL'!Z314="","",'[1]P-GENERAL'!Z314)</f>
        <v/>
      </c>
      <c r="AA314" s="14" t="str">
        <f>IF('[1]P-GENERAL'!AA314="","",'[1]P-GENERAL'!AA314)</f>
        <v>DESPACHADO</v>
      </c>
      <c r="AB314" s="8" t="str">
        <f>IF('[1]P-GENERAL'!AB314="","",'[1]P-GENERAL'!AB314)</f>
        <v>FERNANDO JESUS ALVARADO</v>
      </c>
      <c r="AC314" s="8" t="str">
        <f>IF('[1]P-GENERAL'!AC314="","",'[1]P-GENERAL'!AC314)</f>
        <v>EDUARDO ALVARADO</v>
      </c>
      <c r="AD314">
        <f>IF('[1]P-GENERAL'!AD314="","",'[1]P-GENERAL'!AD314)</f>
        <v>19243</v>
      </c>
      <c r="AE314" t="str">
        <f>IF('[1]P-GENERAL'!AE314="","",'[1]P-GENERAL'!AE314)</f>
        <v>QCH1W04ND0</v>
      </c>
    </row>
    <row r="315" spans="1:31" ht="20.25" x14ac:dyDescent="0.3">
      <c r="A315" s="11" t="str">
        <f>IF('[1]P-GENERAL'!A315="","",'[1]P-GENERAL'!A315)</f>
        <v>Chanitos Premium EUA Tarima Americana</v>
      </c>
      <c r="B315" s="11" t="str">
        <f>IF('[1]P-GENERAL'!B315="","",'[1]P-GENERAL'!B315)</f>
        <v>CPR01104</v>
      </c>
      <c r="C315" t="str">
        <f>IF('[1]P-GENERAL'!C315="","",'[1]P-GENERAL'!C315)</f>
        <v>A04084-392309-1</v>
      </c>
      <c r="D315" t="str">
        <f>IF('[1]P-GENERAL'!D315="","",'[1]P-GENERAL'!D315)</f>
        <v>A04 084 Lisboa</v>
      </c>
      <c r="E315" s="8" t="str">
        <f>IF('[1]P-GENERAL'!E315="","",'[1]P-GENERAL'!E315)</f>
        <v>McAllen</v>
      </c>
      <c r="F315" s="12">
        <f>IF('[1]P-GENERAL'!F315="","",'[1]P-GENERAL'!F315)</f>
        <v>288</v>
      </c>
      <c r="G315" s="13">
        <f>IF('[1]P-GENERAL'!G315="","",'[1]P-GENERAL'!G315)</f>
        <v>6</v>
      </c>
      <c r="H315" s="14">
        <f>IF('[1]P-GENERAL'!H315="","",'[1]P-GENERAL'!H315)</f>
        <v>46287</v>
      </c>
      <c r="I315">
        <f>IF('[1]P-GENERAL'!I315="","",'[1]P-GENERAL'!I315)</f>
        <v>39</v>
      </c>
      <c r="J315" s="15">
        <f>IF('[1]P-GENERAL'!J315="","",'[1]P-GENERAL'!J315)</f>
        <v>46294</v>
      </c>
      <c r="K315" s="14" t="str">
        <f>IF('[1]P-GENERAL'!K315="","",'[1]P-GENERAL'!K315)</f>
        <v/>
      </c>
      <c r="L315" s="14" t="str">
        <f>IF('[1]P-GENERAL'!L315="","",'[1]P-GENERAL'!L315)</f>
        <v>PREENFRIO NELLY</v>
      </c>
      <c r="M315" t="str">
        <f>IF('[1]P-GENERAL'!M315="","",'[1]P-GENERAL'!M315)</f>
        <v>SIN PRE</v>
      </c>
      <c r="N315" t="str">
        <f>IF('[1]P-GENERAL'!N315="","",'[1]P-GENERAL'!N315)</f>
        <v>SIN PRE</v>
      </c>
      <c r="O315" s="14">
        <f>IF('[1]P-GENERAL'!O315="","",'[1]P-GENERAL'!O315)</f>
        <v>46288</v>
      </c>
      <c r="P315" s="16">
        <f>IF('[1]P-GENERAL'!P315="","",'[1]P-GENERAL'!P315)</f>
        <v>0.75</v>
      </c>
      <c r="Q315" t="str">
        <f>IF('[1]P-GENERAL'!Q315="","",'[1]P-GENERAL'!Q315)</f>
        <v>NORMAL</v>
      </c>
      <c r="R315" s="14" t="str">
        <f>IF('[1]P-GENERAL'!R315="","",'[1]P-GENERAL'!R315)</f>
        <v>SIN PRENFRIO</v>
      </c>
      <c r="S315" s="16" t="str">
        <f>IF('[1]P-GENERAL'!S315="","",'[1]P-GENERAL'!S315)</f>
        <v>SIN PRENFRIO</v>
      </c>
      <c r="T315" s="16" t="str">
        <f>IF('[1]P-GENERAL'!T315="","",'[1]P-GENERAL'!T315)</f>
        <v>SIN PRENFRIO</v>
      </c>
      <c r="U315" s="17" t="str">
        <f>IF('[1]P-GENERAL'!U315="","",'[1]P-GENERAL'!U315)</f>
        <v>SIN PRENFRIO</v>
      </c>
      <c r="V315" s="14">
        <f>IF('[1]P-GENERAL'!V315="","",'[1]P-GENERAL'!V315)</f>
        <v>46290</v>
      </c>
      <c r="W315" s="16">
        <f>IF('[1]P-GENERAL'!W315="","",'[1]P-GENERAL'!W315)</f>
        <v>0.66666666666666663</v>
      </c>
      <c r="X315" s="14" t="str">
        <f>IF('[1]P-GENERAL'!X315="","",'[1]P-GENERAL'!X315)</f>
        <v/>
      </c>
      <c r="Y315" s="14" t="str">
        <f>IF('[1]P-GENERAL'!Y315="","",'[1]P-GENERAL'!Y315)</f>
        <v>NO CUMPLE</v>
      </c>
      <c r="Z315" s="14" t="str">
        <f>IF('[1]P-GENERAL'!Z315="","",'[1]P-GENERAL'!Z315)</f>
        <v/>
      </c>
      <c r="AA315" s="14" t="str">
        <f>IF('[1]P-GENERAL'!AA315="","",'[1]P-GENERAL'!AA315)</f>
        <v>DESPACHADO</v>
      </c>
      <c r="AB315" s="8" t="str">
        <f>IF('[1]P-GENERAL'!AB315="","",'[1]P-GENERAL'!AB315)</f>
        <v>AUTO EXPRESS SEGOVIA</v>
      </c>
      <c r="AC315" s="8" t="str">
        <f>IF('[1]P-GENERAL'!AC315="","",'[1]P-GENERAL'!AC315)</f>
        <v>CARLOS ALBERTO DOMINGUEZ</v>
      </c>
      <c r="AD315">
        <f>IF('[1]P-GENERAL'!AD315="","",'[1]P-GENERAL'!AD315)</f>
        <v>98491</v>
      </c>
      <c r="AE315" t="str">
        <f>IF('[1]P-GENERAL'!AE315="","",'[1]P-GENERAL'!AE315)</f>
        <v/>
      </c>
    </row>
    <row r="316" spans="1:31" ht="20.25" x14ac:dyDescent="0.3">
      <c r="A316" s="11" t="str">
        <f>IF('[1]P-GENERAL'!A316="","",'[1]P-GENERAL'!A316)</f>
        <v>Chanitos Premium Tarima Americana</v>
      </c>
      <c r="B316" s="11" t="str">
        <f>IF('[1]P-GENERAL'!B316="","",'[1]P-GENERAL'!B316)</f>
        <v>CPR01103</v>
      </c>
      <c r="C316" t="str">
        <f>IF('[1]P-GENERAL'!C316="","",'[1]P-GENERAL'!C316)</f>
        <v>A01003-392309-1</v>
      </c>
      <c r="D316" t="str">
        <f>IF('[1]P-GENERAL'!D316="","",'[1]P-GENERAL'!D316)</f>
        <v>A01 003 Doña Nelly</v>
      </c>
      <c r="E316" s="8" t="str">
        <f>IF('[1]P-GENERAL'!E316="","",'[1]P-GENERAL'!E316)</f>
        <v>Ciudad Juarez</v>
      </c>
      <c r="F316" s="12">
        <f>IF('[1]P-GENERAL'!F316="","",'[1]P-GENERAL'!F316)</f>
        <v>960</v>
      </c>
      <c r="G316" s="13">
        <f>IF('[1]P-GENERAL'!G316="","",'[1]P-GENERAL'!G316)</f>
        <v>20</v>
      </c>
      <c r="H316" s="14">
        <f>IF('[1]P-GENERAL'!H316="","",'[1]P-GENERAL'!H316)</f>
        <v>46288</v>
      </c>
      <c r="I316">
        <f>IF('[1]P-GENERAL'!I316="","",'[1]P-GENERAL'!I316)</f>
        <v>39</v>
      </c>
      <c r="J316" s="15">
        <f>IF('[1]P-GENERAL'!J316="","",'[1]P-GENERAL'!J316)</f>
        <v>46294</v>
      </c>
      <c r="K316" s="14" t="str">
        <f>IF('[1]P-GENERAL'!K316="","",'[1]P-GENERAL'!K316)</f>
        <v/>
      </c>
      <c r="L316" s="14" t="str">
        <f>IF('[1]P-GENERAL'!L316="","",'[1]P-GENERAL'!L316)</f>
        <v>PREENFRIO NELLY</v>
      </c>
      <c r="M316">
        <f>IF('[1]P-GENERAL'!M316="","",'[1]P-GENERAL'!M316)</f>
        <v>4</v>
      </c>
      <c r="N316">
        <f>IF('[1]P-GENERAL'!N316="","",'[1]P-GENERAL'!N316)</f>
        <v>96</v>
      </c>
      <c r="O316" s="14">
        <f>IF('[1]P-GENERAL'!O316="","",'[1]P-GENERAL'!O316)</f>
        <v>46288</v>
      </c>
      <c r="P316" s="16">
        <f>IF('[1]P-GENERAL'!P316="","",'[1]P-GENERAL'!P316)</f>
        <v>0.79166666666666663</v>
      </c>
      <c r="Q316" t="str">
        <f>IF('[1]P-GENERAL'!Q316="","",'[1]P-GENERAL'!Q316)</f>
        <v>ALTA</v>
      </c>
      <c r="R316" s="14">
        <f>IF('[1]P-GENERAL'!R316="","",'[1]P-GENERAL'!R316)</f>
        <v>46288</v>
      </c>
      <c r="S316" s="16">
        <f>IF('[1]P-GENERAL'!S316="","",'[1]P-GENERAL'!S316)</f>
        <v>0.875</v>
      </c>
      <c r="T316" s="16">
        <f>IF('[1]P-GENERAL'!T316="","",'[1]P-GENERAL'!T316)</f>
        <v>0.4375</v>
      </c>
      <c r="U316" s="17">
        <f>IF('[1]P-GENERAL'!U316="","",'[1]P-GENERAL'!U316)</f>
        <v>46289.3125</v>
      </c>
      <c r="V316" s="14">
        <f>IF('[1]P-GENERAL'!V316="","",'[1]P-GENERAL'!V316)</f>
        <v>46289</v>
      </c>
      <c r="W316" s="16">
        <f>IF('[1]P-GENERAL'!W316="","",'[1]P-GENERAL'!W316)</f>
        <v>0.59027777777777779</v>
      </c>
      <c r="X316" s="14" t="str">
        <f>IF('[1]P-GENERAL'!X316="","",'[1]P-GENERAL'!X316)</f>
        <v>SI CUMPLE</v>
      </c>
      <c r="Y316" s="14" t="str">
        <f>IF('[1]P-GENERAL'!Y316="","",'[1]P-GENERAL'!Y316)</f>
        <v>SI CUMPLE</v>
      </c>
      <c r="Z316" s="14" t="str">
        <f>IF('[1]P-GENERAL'!Z316="","",'[1]P-GENERAL'!Z316)</f>
        <v/>
      </c>
      <c r="AA316" s="14" t="str">
        <f>IF('[1]P-GENERAL'!AA316="","",'[1]P-GENERAL'!AA316)</f>
        <v>DESPACHADO</v>
      </c>
      <c r="AB316" s="8" t="str">
        <f>IF('[1]P-GENERAL'!AB316="","",'[1]P-GENERAL'!AB316)</f>
        <v>AUTO EXPRESS SEGOVIA</v>
      </c>
      <c r="AC316" s="8" t="str">
        <f>IF('[1]P-GENERAL'!AC316="","",'[1]P-GENERAL'!AC316)</f>
        <v>MARIO GALLARDO GOMEZ</v>
      </c>
      <c r="AD316">
        <f>IF('[1]P-GENERAL'!AD316="","",'[1]P-GENERAL'!AD316)</f>
        <v>38544</v>
      </c>
      <c r="AE316" t="str">
        <f>IF('[1]P-GENERAL'!AE316="","",'[1]P-GENERAL'!AE316)</f>
        <v/>
      </c>
    </row>
    <row r="317" spans="1:31" ht="20.25" x14ac:dyDescent="0.3">
      <c r="A317" s="11" t="str">
        <f>IF('[1]P-GENERAL'!A317="","",'[1]P-GENERAL'!A317)</f>
        <v>Chanitos Premium Tarima Americana</v>
      </c>
      <c r="B317" s="11" t="str">
        <f>IF('[1]P-GENERAL'!B317="","",'[1]P-GENERAL'!B317)</f>
        <v>CPR01103</v>
      </c>
      <c r="C317" t="str">
        <f>IF('[1]P-GENERAL'!C317="","",'[1]P-GENERAL'!C317)</f>
        <v>A01003-392309-1</v>
      </c>
      <c r="D317" t="str">
        <f>IF('[1]P-GENERAL'!D317="","",'[1]P-GENERAL'!D317)</f>
        <v>A01 003 Doña Nelly</v>
      </c>
      <c r="E317" s="8" t="str">
        <f>IF('[1]P-GENERAL'!E317="","",'[1]P-GENERAL'!E317)</f>
        <v>Ciudad Juarez</v>
      </c>
      <c r="F317" s="12">
        <f>IF('[1]P-GENERAL'!F317="","",'[1]P-GENERAL'!F317)</f>
        <v>336</v>
      </c>
      <c r="G317" s="13">
        <f>IF('[1]P-GENERAL'!G317="","",'[1]P-GENERAL'!G317)</f>
        <v>7</v>
      </c>
      <c r="H317" s="14">
        <f>IF('[1]P-GENERAL'!H317="","",'[1]P-GENERAL'!H317)</f>
        <v>46288</v>
      </c>
      <c r="I317">
        <f>IF('[1]P-GENERAL'!I317="","",'[1]P-GENERAL'!I317)</f>
        <v>39</v>
      </c>
      <c r="J317" s="15">
        <f>IF('[1]P-GENERAL'!J317="","",'[1]P-GENERAL'!J317)</f>
        <v>46294</v>
      </c>
      <c r="K317" s="14" t="str">
        <f>IF('[1]P-GENERAL'!K317="","",'[1]P-GENERAL'!K317)</f>
        <v/>
      </c>
      <c r="L317" s="14" t="str">
        <f>IF('[1]P-GENERAL'!L317="","",'[1]P-GENERAL'!L317)</f>
        <v>PREENFRIO NELLY</v>
      </c>
      <c r="M317">
        <f>IF('[1]P-GENERAL'!M317="","",'[1]P-GENERAL'!M317)</f>
        <v>4</v>
      </c>
      <c r="N317">
        <f>IF('[1]P-GENERAL'!N317="","",'[1]P-GENERAL'!N317)</f>
        <v>96</v>
      </c>
      <c r="O317" s="14">
        <f>IF('[1]P-GENERAL'!O317="","",'[1]P-GENERAL'!O317)</f>
        <v>46288</v>
      </c>
      <c r="P317" s="16">
        <f>IF('[1]P-GENERAL'!P317="","",'[1]P-GENERAL'!P317)</f>
        <v>0.79166666666666663</v>
      </c>
      <c r="Q317" t="str">
        <f>IF('[1]P-GENERAL'!Q317="","",'[1]P-GENERAL'!Q317)</f>
        <v>ALTA</v>
      </c>
      <c r="R317" s="14">
        <f>IF('[1]P-GENERAL'!R317="","",'[1]P-GENERAL'!R317)</f>
        <v>46289</v>
      </c>
      <c r="S317" s="16">
        <f>IF('[1]P-GENERAL'!S317="","",'[1]P-GENERAL'!S317)</f>
        <v>0.125</v>
      </c>
      <c r="T317" s="16">
        <f>IF('[1]P-GENERAL'!T317="","",'[1]P-GENERAL'!T317)</f>
        <v>0.4375</v>
      </c>
      <c r="U317" s="17">
        <f>IF('[1]P-GENERAL'!U317="","",'[1]P-GENERAL'!U317)</f>
        <v>46289.5625</v>
      </c>
      <c r="V317" s="14">
        <f>IF('[1]P-GENERAL'!V317="","",'[1]P-GENERAL'!V317)</f>
        <v>46289</v>
      </c>
      <c r="W317" s="16">
        <f>IF('[1]P-GENERAL'!W317="","",'[1]P-GENERAL'!W317)</f>
        <v>0.59027777777777779</v>
      </c>
      <c r="X317" s="14" t="str">
        <f>IF('[1]P-GENERAL'!X317="","",'[1]P-GENERAL'!X317)</f>
        <v>SI CUMPLE</v>
      </c>
      <c r="Y317" s="14" t="str">
        <f>IF('[1]P-GENERAL'!Y317="","",'[1]P-GENERAL'!Y317)</f>
        <v>SI CUMPLE</v>
      </c>
      <c r="Z317" s="14" t="str">
        <f>IF('[1]P-GENERAL'!Z317="","",'[1]P-GENERAL'!Z317)</f>
        <v/>
      </c>
      <c r="AA317" s="14" t="str">
        <f>IF('[1]P-GENERAL'!AA317="","",'[1]P-GENERAL'!AA317)</f>
        <v>DESPACHADO</v>
      </c>
      <c r="AB317" s="8" t="str">
        <f>IF('[1]P-GENERAL'!AB317="","",'[1]P-GENERAL'!AB317)</f>
        <v>AUTO EXPRESS SEGOVIA</v>
      </c>
      <c r="AC317" s="8" t="str">
        <f>IF('[1]P-GENERAL'!AC317="","",'[1]P-GENERAL'!AC317)</f>
        <v>MARIO GALLARDO GOMEZ</v>
      </c>
      <c r="AD317">
        <f>IF('[1]P-GENERAL'!AD317="","",'[1]P-GENERAL'!AD317)</f>
        <v>37324</v>
      </c>
      <c r="AE317" t="str">
        <f>IF('[1]P-GENERAL'!AE317="","",'[1]P-GENERAL'!AE317)</f>
        <v/>
      </c>
    </row>
    <row r="318" spans="1:31" ht="20.25" x14ac:dyDescent="0.3">
      <c r="A318" s="11" t="str">
        <f>IF('[1]P-GENERAL'!A318="","",'[1]P-GENERAL'!A318)</f>
        <v>Chanitos Premium Tarima Americana</v>
      </c>
      <c r="B318" s="11" t="str">
        <f>IF('[1]P-GENERAL'!B318="","",'[1]P-GENERAL'!B318)</f>
        <v>CPR01103</v>
      </c>
      <c r="C318" t="str">
        <f>IF('[1]P-GENERAL'!C318="","",'[1]P-GENERAL'!C318)</f>
        <v>A11087-392309-1</v>
      </c>
      <c r="D318" t="str">
        <f>IF('[1]P-GENERAL'!D318="","",'[1]P-GENERAL'!D318)</f>
        <v>A11 087 19 de Abril</v>
      </c>
      <c r="E318" s="8" t="str">
        <f>IF('[1]P-GENERAL'!E318="","",'[1]P-GENERAL'!E318)</f>
        <v>Ciudad Juarez</v>
      </c>
      <c r="F318" s="12">
        <f>IF('[1]P-GENERAL'!F318="","",'[1]P-GENERAL'!F318)</f>
        <v>192</v>
      </c>
      <c r="G318" s="13">
        <f>IF('[1]P-GENERAL'!G318="","",'[1]P-GENERAL'!G318)</f>
        <v>4</v>
      </c>
      <c r="H318" s="14">
        <f>IF('[1]P-GENERAL'!H318="","",'[1]P-GENERAL'!H318)</f>
        <v>46288</v>
      </c>
      <c r="I318">
        <f>IF('[1]P-GENERAL'!I318="","",'[1]P-GENERAL'!I318)</f>
        <v>39</v>
      </c>
      <c r="J318" s="15">
        <f>IF('[1]P-GENERAL'!J318="","",'[1]P-GENERAL'!J318)</f>
        <v>46294</v>
      </c>
      <c r="K318" s="14" t="str">
        <f>IF('[1]P-GENERAL'!K318="","",'[1]P-GENERAL'!K318)</f>
        <v/>
      </c>
      <c r="L318" s="14" t="str">
        <f>IF('[1]P-GENERAL'!L318="","",'[1]P-GENERAL'!L318)</f>
        <v>PREENFRIO NELLY</v>
      </c>
      <c r="M318">
        <f>IF('[1]P-GENERAL'!M318="","",'[1]P-GENERAL'!M318)</f>
        <v>4</v>
      </c>
      <c r="N318">
        <f>IF('[1]P-GENERAL'!N318="","",'[1]P-GENERAL'!N318)</f>
        <v>96</v>
      </c>
      <c r="O318" s="14">
        <f>IF('[1]P-GENERAL'!O318="","",'[1]P-GENERAL'!O318)</f>
        <v>46288</v>
      </c>
      <c r="P318" s="16">
        <f>IF('[1]P-GENERAL'!P318="","",'[1]P-GENERAL'!P318)</f>
        <v>0.70833333333333337</v>
      </c>
      <c r="Q318" t="str">
        <f>IF('[1]P-GENERAL'!Q318="","",'[1]P-GENERAL'!Q318)</f>
        <v>ALTA</v>
      </c>
      <c r="R318" s="14">
        <f>IF('[1]P-GENERAL'!R318="","",'[1]P-GENERAL'!R318)</f>
        <v>46289</v>
      </c>
      <c r="S318" s="16">
        <f>IF('[1]P-GENERAL'!S318="","",'[1]P-GENERAL'!S318)</f>
        <v>0.125</v>
      </c>
      <c r="T318" s="16">
        <f>IF('[1]P-GENERAL'!T318="","",'[1]P-GENERAL'!T318)</f>
        <v>0.4375</v>
      </c>
      <c r="U318" s="17">
        <f>IF('[1]P-GENERAL'!U318="","",'[1]P-GENERAL'!U318)</f>
        <v>46290.125</v>
      </c>
      <c r="V318" s="14">
        <f>IF('[1]P-GENERAL'!V318="","",'[1]P-GENERAL'!V318)</f>
        <v>46289</v>
      </c>
      <c r="W318" s="16">
        <f>IF('[1]P-GENERAL'!W318="","",'[1]P-GENERAL'!W318)</f>
        <v>0.59027777777777779</v>
      </c>
      <c r="X318" s="14" t="str">
        <f>IF('[1]P-GENERAL'!X318="","",'[1]P-GENERAL'!X318)</f>
        <v>SI CUMPLE</v>
      </c>
      <c r="Y318" s="14" t="str">
        <f>IF('[1]P-GENERAL'!Y318="","",'[1]P-GENERAL'!Y318)</f>
        <v>SI CUMPLE</v>
      </c>
      <c r="Z318" s="14" t="str">
        <f>IF('[1]P-GENERAL'!Z318="","",'[1]P-GENERAL'!Z318)</f>
        <v/>
      </c>
      <c r="AA318" s="14" t="str">
        <f>IF('[1]P-GENERAL'!AA318="","",'[1]P-GENERAL'!AA318)</f>
        <v>DESPACHADO</v>
      </c>
      <c r="AB318" s="8" t="str">
        <f>IF('[1]P-GENERAL'!AB318="","",'[1]P-GENERAL'!AB318)</f>
        <v>AUTO EXPRESS SEGOVIA</v>
      </c>
      <c r="AC318" s="8" t="str">
        <f>IF('[1]P-GENERAL'!AC318="","",'[1]P-GENERAL'!AC318)</f>
        <v>MARIO GALLARDO GOMEZ</v>
      </c>
      <c r="AD318">
        <f>IF('[1]P-GENERAL'!AD318="","",'[1]P-GENERAL'!AD318)</f>
        <v>37324</v>
      </c>
      <c r="AE318" t="str">
        <f>IF('[1]P-GENERAL'!AE318="","",'[1]P-GENERAL'!AE318)</f>
        <v/>
      </c>
    </row>
    <row r="319" spans="1:31" ht="20.25" x14ac:dyDescent="0.3">
      <c r="A319" s="11" t="str">
        <f>IF('[1]P-GENERAL'!A319="","",'[1]P-GENERAL'!A319)</f>
        <v>Chanitos Premium EUA Tarima Americana</v>
      </c>
      <c r="B319" s="11" t="str">
        <f>IF('[1]P-GENERAL'!B319="","",'[1]P-GENERAL'!B319)</f>
        <v>CPR01104</v>
      </c>
      <c r="C319" t="str">
        <f>IF('[1]P-GENERAL'!C319="","",'[1]P-GENERAL'!C319)</f>
        <v>A04084-392309-1</v>
      </c>
      <c r="D319" t="str">
        <f>IF('[1]P-GENERAL'!D319="","",'[1]P-GENERAL'!D319)</f>
        <v>A04 084 Lisboa</v>
      </c>
      <c r="E319" s="8" t="str">
        <f>IF('[1]P-GENERAL'!E319="","",'[1]P-GENERAL'!E319)</f>
        <v>McAllen</v>
      </c>
      <c r="F319" s="12">
        <f>IF('[1]P-GENERAL'!F319="","",'[1]P-GENERAL'!F319)</f>
        <v>192</v>
      </c>
      <c r="G319" s="13">
        <f>IF('[1]P-GENERAL'!G319="","",'[1]P-GENERAL'!G319)</f>
        <v>4</v>
      </c>
      <c r="H319" s="14">
        <f>IF('[1]P-GENERAL'!H319="","",'[1]P-GENERAL'!H319)</f>
        <v>46288</v>
      </c>
      <c r="I319">
        <f>IF('[1]P-GENERAL'!I319="","",'[1]P-GENERAL'!I319)</f>
        <v>39</v>
      </c>
      <c r="J319" s="15">
        <f>IF('[1]P-GENERAL'!J319="","",'[1]P-GENERAL'!J319)</f>
        <v>46294</v>
      </c>
      <c r="K319" s="14" t="str">
        <f>IF('[1]P-GENERAL'!K319="","",'[1]P-GENERAL'!K319)</f>
        <v/>
      </c>
      <c r="L319" s="14" t="str">
        <f>IF('[1]P-GENERAL'!L319="","",'[1]P-GENERAL'!L319)</f>
        <v>PREENFRIO NELLY</v>
      </c>
      <c r="M319" t="str">
        <f>IF('[1]P-GENERAL'!M319="","",'[1]P-GENERAL'!M319)</f>
        <v>SIN PRE</v>
      </c>
      <c r="N319" t="str">
        <f>IF('[1]P-GENERAL'!N319="","",'[1]P-GENERAL'!N319)</f>
        <v>SIN PRE</v>
      </c>
      <c r="O319" s="14">
        <f>IF('[1]P-GENERAL'!O319="","",'[1]P-GENERAL'!O319)</f>
        <v>46288</v>
      </c>
      <c r="P319" s="16">
        <f>IF('[1]P-GENERAL'!P319="","",'[1]P-GENERAL'!P319)</f>
        <v>0.75</v>
      </c>
      <c r="Q319" t="str">
        <f>IF('[1]P-GENERAL'!Q319="","",'[1]P-GENERAL'!Q319)</f>
        <v>NORMAL</v>
      </c>
      <c r="R319" s="14" t="str">
        <f>IF('[1]P-GENERAL'!R319="","",'[1]P-GENERAL'!R319)</f>
        <v>SIN PRENFRIO</v>
      </c>
      <c r="S319" s="16" t="str">
        <f>IF('[1]P-GENERAL'!S319="","",'[1]P-GENERAL'!S319)</f>
        <v>SIN PRENFRIO</v>
      </c>
      <c r="T319" s="16" t="str">
        <f>IF('[1]P-GENERAL'!T319="","",'[1]P-GENERAL'!T319)</f>
        <v>SIN PRENFRIO</v>
      </c>
      <c r="U319" s="17" t="str">
        <f>IF('[1]P-GENERAL'!U319="","",'[1]P-GENERAL'!U319)</f>
        <v>SIN PRENFRIO</v>
      </c>
      <c r="V319" s="14">
        <f>IF('[1]P-GENERAL'!V319="","",'[1]P-GENERAL'!V319)</f>
        <v>46290</v>
      </c>
      <c r="W319" s="16">
        <f>IF('[1]P-GENERAL'!W319="","",'[1]P-GENERAL'!W319)</f>
        <v>0.66666666666666663</v>
      </c>
      <c r="X319" s="14" t="str">
        <f>IF('[1]P-GENERAL'!X319="","",'[1]P-GENERAL'!X319)</f>
        <v/>
      </c>
      <c r="Y319" s="14" t="str">
        <f>IF('[1]P-GENERAL'!Y319="","",'[1]P-GENERAL'!Y319)</f>
        <v>NO CUMPLE</v>
      </c>
      <c r="Z319" s="14" t="str">
        <f>IF('[1]P-GENERAL'!Z319="","",'[1]P-GENERAL'!Z319)</f>
        <v/>
      </c>
      <c r="AA319" s="14" t="str">
        <f>IF('[1]P-GENERAL'!AA319="","",'[1]P-GENERAL'!AA319)</f>
        <v>DESPACHADO</v>
      </c>
      <c r="AB319" s="8" t="str">
        <f>IF('[1]P-GENERAL'!AB319="","",'[1]P-GENERAL'!AB319)</f>
        <v>AUTO EXPRESS SEGOVIA</v>
      </c>
      <c r="AC319" s="8" t="str">
        <f>IF('[1]P-GENERAL'!AC319="","",'[1]P-GENERAL'!AC319)</f>
        <v>CARLOS ALBERTO DOMINGUEZ</v>
      </c>
      <c r="AD319">
        <f>IF('[1]P-GENERAL'!AD319="","",'[1]P-GENERAL'!AD319)</f>
        <v>98491</v>
      </c>
      <c r="AE319" t="str">
        <f>IF('[1]P-GENERAL'!AE319="","",'[1]P-GENERAL'!AE319)</f>
        <v/>
      </c>
    </row>
    <row r="320" spans="1:31" ht="20.25" x14ac:dyDescent="0.3">
      <c r="A320" s="11" t="str">
        <f>IF('[1]P-GENERAL'!A320="","",'[1]P-GENERAL'!A320)</f>
        <v>Chanitos Premium Tarima Chep</v>
      </c>
      <c r="B320" s="11" t="str">
        <f>IF('[1]P-GENERAL'!B320="","",'[1]P-GENERAL'!B320)</f>
        <v>CPR01102</v>
      </c>
      <c r="C320" t="str">
        <f>IF('[1]P-GENERAL'!C320="","",'[1]P-GENERAL'!C320)</f>
        <v>A01001-392409-1</v>
      </c>
      <c r="D320" t="str">
        <f>IF('[1]P-GENERAL'!D320="","",'[1]P-GENERAL'!D320)</f>
        <v>A01 001 Marbella</v>
      </c>
      <c r="E320" s="8" t="str">
        <f>IF('[1]P-GENERAL'!E320="","",'[1]P-GENERAL'!E320)</f>
        <v>QRO</v>
      </c>
      <c r="F320" s="12">
        <f>IF('[1]P-GENERAL'!F320="","",'[1]P-GENERAL'!F320)</f>
        <v>1056</v>
      </c>
      <c r="G320" s="13">
        <f>IF('[1]P-GENERAL'!G320="","",'[1]P-GENERAL'!G320)</f>
        <v>22</v>
      </c>
      <c r="H320" s="14">
        <f>IF('[1]P-GENERAL'!H320="","",'[1]P-GENERAL'!H320)</f>
        <v>46289</v>
      </c>
      <c r="I320">
        <f>IF('[1]P-GENERAL'!I320="","",'[1]P-GENERAL'!I320)</f>
        <v>39</v>
      </c>
      <c r="J320" s="15">
        <f>IF('[1]P-GENERAL'!J320="","",'[1]P-GENERAL'!J320)</f>
        <v>46293</v>
      </c>
      <c r="K320" s="14">
        <f>IF('[1]P-GENERAL'!K320="","",'[1]P-GENERAL'!K320)</f>
        <v>0.45833333333333331</v>
      </c>
      <c r="L320" s="14" t="str">
        <f>IF('[1]P-GENERAL'!L320="","",'[1]P-GENERAL'!L320)</f>
        <v>PREENFRIO FORTALEZA</v>
      </c>
      <c r="M320">
        <f>IF('[1]P-GENERAL'!M320="","",'[1]P-GENERAL'!M320)</f>
        <v>1.5</v>
      </c>
      <c r="N320">
        <f>IF('[1]P-GENERAL'!N320="","",'[1]P-GENERAL'!N320)</f>
        <v>36</v>
      </c>
      <c r="O320" s="14">
        <f>IF('[1]P-GENERAL'!O320="","",'[1]P-GENERAL'!O320)</f>
        <v>46289</v>
      </c>
      <c r="P320" s="16">
        <f>IF('[1]P-GENERAL'!P320="","",'[1]P-GENERAL'!P320)</f>
        <v>0.9194444444444444</v>
      </c>
      <c r="Q320" t="str">
        <f>IF('[1]P-GENERAL'!Q320="","",'[1]P-GENERAL'!Q320)</f>
        <v>NORMAL</v>
      </c>
      <c r="R320" s="14">
        <f>IF('[1]P-GENERAL'!R320="","",'[1]P-GENERAL'!R320)</f>
        <v>46290</v>
      </c>
      <c r="S320" s="16">
        <f>IF('[1]P-GENERAL'!S320="","",'[1]P-GENERAL'!S320)</f>
        <v>0.96388888888888891</v>
      </c>
      <c r="T320" s="16">
        <f>IF('[1]P-GENERAL'!T320="","",'[1]P-GENERAL'!T320)</f>
        <v>0.45833333333333331</v>
      </c>
      <c r="U320" s="17">
        <f>IF('[1]P-GENERAL'!U320="","",'[1]P-GENERAL'!U320)</f>
        <v>46291.422222222223</v>
      </c>
      <c r="V320" s="14">
        <f>IF('[1]P-GENERAL'!V320="","",'[1]P-GENERAL'!V320)</f>
        <v>46291</v>
      </c>
      <c r="W320" s="16">
        <f>IF('[1]P-GENERAL'!W320="","",'[1]P-GENERAL'!W320)</f>
        <v>0.45833333333333331</v>
      </c>
      <c r="X320" s="14" t="str">
        <f>IF('[1]P-GENERAL'!X320="","",'[1]P-GENERAL'!X320)</f>
        <v>SI CUMPLE</v>
      </c>
      <c r="Y320" s="14" t="str">
        <f>IF('[1]P-GENERAL'!Y320="","",'[1]P-GENERAL'!Y320)</f>
        <v>SI CUMPLE</v>
      </c>
      <c r="Z320" s="14" t="str">
        <f>IF('[1]P-GENERAL'!Z320="","",'[1]P-GENERAL'!Z320)</f>
        <v/>
      </c>
      <c r="AA320" s="14" t="str">
        <f>IF('[1]P-GENERAL'!AA320="","",'[1]P-GENERAL'!AA320)</f>
        <v>DESPACHADO</v>
      </c>
      <c r="AB320" s="8" t="str">
        <f>IF('[1]P-GENERAL'!AB320="","",'[1]P-GENERAL'!AB320)</f>
        <v>DANIEL CARRILLO GODINEZ</v>
      </c>
      <c r="AC320" s="8" t="str">
        <f>IF('[1]P-GENERAL'!AC320="","",'[1]P-GENERAL'!AC320)</f>
        <v>EDUARDO FLORES</v>
      </c>
      <c r="AD320">
        <f>IF('[1]P-GENERAL'!AD320="","",'[1]P-GENERAL'!AD320)</f>
        <v>73834</v>
      </c>
      <c r="AE320" t="str">
        <f>IF('[1]P-GENERAL'!AE320="","",'[1]P-GENERAL'!AE320)</f>
        <v>QEP1W00XH0</v>
      </c>
    </row>
    <row r="321" spans="1:31" ht="20.25" x14ac:dyDescent="0.3">
      <c r="A321" s="11" t="str">
        <f>IF('[1]P-GENERAL'!A321="","",'[1]P-GENERAL'!A321)</f>
        <v>Chanitos Premium Tarima Chep</v>
      </c>
      <c r="B321" s="11" t="str">
        <f>IF('[1]P-GENERAL'!B321="","",'[1]P-GENERAL'!B321)</f>
        <v>CPR01102</v>
      </c>
      <c r="C321" t="str">
        <f>IF('[1]P-GENERAL'!C321="","",'[1]P-GENERAL'!C321)</f>
        <v>A01002-392409-1</v>
      </c>
      <c r="D321" t="str">
        <f>IF('[1]P-GENERAL'!D321="","",'[1]P-GENERAL'!D321)</f>
        <v>A01 002 Fortaleza</v>
      </c>
      <c r="E321" s="8" t="str">
        <f>IF('[1]P-GENERAL'!E321="","",'[1]P-GENERAL'!E321)</f>
        <v>Chalco</v>
      </c>
      <c r="F321" s="12">
        <f>IF('[1]P-GENERAL'!F321="","",'[1]P-GENERAL'!F321)</f>
        <v>720</v>
      </c>
      <c r="G321" s="13">
        <f>IF('[1]P-GENERAL'!G321="","",'[1]P-GENERAL'!G321)</f>
        <v>15</v>
      </c>
      <c r="H321" s="14">
        <f>IF('[1]P-GENERAL'!H321="","",'[1]P-GENERAL'!H321)</f>
        <v>46289</v>
      </c>
      <c r="I321">
        <f>IF('[1]P-GENERAL'!I321="","",'[1]P-GENERAL'!I321)</f>
        <v>39</v>
      </c>
      <c r="J321" s="15">
        <f>IF('[1]P-GENERAL'!J321="","",'[1]P-GENERAL'!J321)</f>
        <v>46293</v>
      </c>
      <c r="K321" s="14" t="str">
        <f>IF('[1]P-GENERAL'!K321="","",'[1]P-GENERAL'!K321)</f>
        <v/>
      </c>
      <c r="L321" s="14" t="str">
        <f>IF('[1]P-GENERAL'!L321="","",'[1]P-GENERAL'!L321)</f>
        <v>PREENFRIO FORTALEZA</v>
      </c>
      <c r="M321">
        <f>IF('[1]P-GENERAL'!M321="","",'[1]P-GENERAL'!M321)</f>
        <v>1</v>
      </c>
      <c r="N321">
        <f>IF('[1]P-GENERAL'!N321="","",'[1]P-GENERAL'!N321)</f>
        <v>24</v>
      </c>
      <c r="O321" s="14">
        <f>IF('[1]P-GENERAL'!O321="","",'[1]P-GENERAL'!O321)</f>
        <v>46289</v>
      </c>
      <c r="P321" s="16">
        <f>IF('[1]P-GENERAL'!P321="","",'[1]P-GENERAL'!P321)</f>
        <v>0.7416666666666667</v>
      </c>
      <c r="Q321" t="str">
        <f>IF('[1]P-GENERAL'!Q321="","",'[1]P-GENERAL'!Q321)</f>
        <v>NORMAL</v>
      </c>
      <c r="R321" s="14">
        <f>IF('[1]P-GENERAL'!R321="","",'[1]P-GENERAL'!R321)</f>
        <v>46289</v>
      </c>
      <c r="S321" s="16">
        <f>IF('[1]P-GENERAL'!S321="","",'[1]P-GENERAL'!S321)</f>
        <v>0.9194444444444444</v>
      </c>
      <c r="T321" s="16">
        <f>IF('[1]P-GENERAL'!T321="","",'[1]P-GENERAL'!T321)</f>
        <v>0.625</v>
      </c>
      <c r="U321" s="17">
        <f>IF('[1]P-GENERAL'!U321="","",'[1]P-GENERAL'!U321)</f>
        <v>46290.544444444444</v>
      </c>
      <c r="V321" s="14">
        <f>IF('[1]P-GENERAL'!V321="","",'[1]P-GENERAL'!V321)</f>
        <v>46290</v>
      </c>
      <c r="W321" s="16">
        <f>IF('[1]P-GENERAL'!W321="","",'[1]P-GENERAL'!W321)</f>
        <v>0.8256944444444444</v>
      </c>
      <c r="X321" s="14" t="str">
        <f>IF('[1]P-GENERAL'!X321="","",'[1]P-GENERAL'!X321)</f>
        <v>SI CUMPLE</v>
      </c>
      <c r="Y321" s="14" t="str">
        <f>IF('[1]P-GENERAL'!Y321="","",'[1]P-GENERAL'!Y321)</f>
        <v>SI CUMPLE</v>
      </c>
      <c r="Z321" s="14" t="str">
        <f>IF('[1]P-GENERAL'!Z321="","",'[1]P-GENERAL'!Z321)</f>
        <v/>
      </c>
      <c r="AA321" s="14" t="str">
        <f>IF('[1]P-GENERAL'!AA321="","",'[1]P-GENERAL'!AA321)</f>
        <v>DESPACHADO</v>
      </c>
      <c r="AB321" s="8" t="str">
        <f>IF('[1]P-GENERAL'!AB321="","",'[1]P-GENERAL'!AB321)</f>
        <v>FERNANDO JESUS ALVARADO</v>
      </c>
      <c r="AC321" s="8" t="str">
        <f>IF('[1]P-GENERAL'!AC321="","",'[1]P-GENERAL'!AC321)</f>
        <v>EDUARDO ALVARADO</v>
      </c>
      <c r="AD321">
        <f>IF('[1]P-GENERAL'!AD321="","",'[1]P-GENERAL'!AD321)</f>
        <v>19243</v>
      </c>
      <c r="AE321" t="str">
        <f>IF('[1]P-GENERAL'!AE321="","",'[1]P-GENERAL'!AE321)</f>
        <v>QCH1W04ND0</v>
      </c>
    </row>
    <row r="322" spans="1:31" ht="20.25" x14ac:dyDescent="0.3">
      <c r="A322" s="11" t="str">
        <f>IF('[1]P-GENERAL'!A322="","",'[1]P-GENERAL'!A322)</f>
        <v>Chanitos Organic Banded Market Side Mexico</v>
      </c>
      <c r="B322" s="11" t="str">
        <f>IF('[1]P-GENERAL'!B322="","",'[1]P-GENERAL'!B322)</f>
        <v>CRG07128</v>
      </c>
      <c r="C322" t="str">
        <f>IF('[1]P-GENERAL'!C322="","",'[1]P-GENERAL'!C322)</f>
        <v>A01002-392409-1</v>
      </c>
      <c r="D322" t="str">
        <f>IF('[1]P-GENERAL'!D322="","",'[1]P-GENERAL'!D322)</f>
        <v>A01 002 Fortaleza</v>
      </c>
      <c r="E322" s="8" t="str">
        <f>IF('[1]P-GENERAL'!E322="","",'[1]P-GENERAL'!E322)</f>
        <v>QRO</v>
      </c>
      <c r="F322" s="12">
        <f>IF('[1]P-GENERAL'!F322="","",'[1]P-GENERAL'!F322)</f>
        <v>96</v>
      </c>
      <c r="G322" s="13">
        <f>IF('[1]P-GENERAL'!G322="","",'[1]P-GENERAL'!G322)</f>
        <v>2</v>
      </c>
      <c r="H322" s="14">
        <f>IF('[1]P-GENERAL'!H322="","",'[1]P-GENERAL'!H322)</f>
        <v>46289</v>
      </c>
      <c r="I322">
        <f>IF('[1]P-GENERAL'!I322="","",'[1]P-GENERAL'!I322)</f>
        <v>39</v>
      </c>
      <c r="J322" s="15">
        <f>IF('[1]P-GENERAL'!J322="","",'[1]P-GENERAL'!J322)</f>
        <v>46293</v>
      </c>
      <c r="K322" s="14" t="str">
        <f>IF('[1]P-GENERAL'!K322="","",'[1]P-GENERAL'!K322)</f>
        <v/>
      </c>
      <c r="L322" s="14" t="str">
        <f>IF('[1]P-GENERAL'!L322="","",'[1]P-GENERAL'!L322)</f>
        <v>PREENFRIO FORTALEZA</v>
      </c>
      <c r="M322">
        <f>IF('[1]P-GENERAL'!M322="","",'[1]P-GENERAL'!M322)</f>
        <v>1.5</v>
      </c>
      <c r="N322">
        <f>IF('[1]P-GENERAL'!N322="","",'[1]P-GENERAL'!N322)</f>
        <v>36</v>
      </c>
      <c r="O322" s="14">
        <f>IF('[1]P-GENERAL'!O322="","",'[1]P-GENERAL'!O322)</f>
        <v>46289</v>
      </c>
      <c r="P322" s="16">
        <f>IF('[1]P-GENERAL'!P322="","",'[1]P-GENERAL'!P322)</f>
        <v>0.7416666666666667</v>
      </c>
      <c r="Q322" t="str">
        <f>IF('[1]P-GENERAL'!Q322="","",'[1]P-GENERAL'!Q322)</f>
        <v>NORMAL</v>
      </c>
      <c r="R322" s="14">
        <f>IF('[1]P-GENERAL'!R322="","",'[1]P-GENERAL'!R322)</f>
        <v>46290</v>
      </c>
      <c r="S322" s="16">
        <f>IF('[1]P-GENERAL'!S322="","",'[1]P-GENERAL'!S322)</f>
        <v>0.96388888888888891</v>
      </c>
      <c r="T322" s="16">
        <f>IF('[1]P-GENERAL'!T322="","",'[1]P-GENERAL'!T322)</f>
        <v>0.45833333333333331</v>
      </c>
      <c r="U322" s="17">
        <f>IF('[1]P-GENERAL'!U322="","",'[1]P-GENERAL'!U322)</f>
        <v>46291.422222222223</v>
      </c>
      <c r="V322" s="14">
        <f>IF('[1]P-GENERAL'!V322="","",'[1]P-GENERAL'!V322)</f>
        <v>46291</v>
      </c>
      <c r="W322" s="16">
        <f>IF('[1]P-GENERAL'!W322="","",'[1]P-GENERAL'!W322)</f>
        <v>0.45833333333333331</v>
      </c>
      <c r="X322" s="14" t="str">
        <f>IF('[1]P-GENERAL'!X322="","",'[1]P-GENERAL'!X322)</f>
        <v>SI CUMPLE</v>
      </c>
      <c r="Y322" s="14" t="str">
        <f>IF('[1]P-GENERAL'!Y322="","",'[1]P-GENERAL'!Y322)</f>
        <v>SI CUMPLE</v>
      </c>
      <c r="Z322" s="14" t="str">
        <f>IF('[1]P-GENERAL'!Z322="","",'[1]P-GENERAL'!Z322)</f>
        <v/>
      </c>
      <c r="AA322" s="14" t="str">
        <f>IF('[1]P-GENERAL'!AA322="","",'[1]P-GENERAL'!AA322)</f>
        <v>DESPACHADO</v>
      </c>
      <c r="AB322" s="8" t="str">
        <f>IF('[1]P-GENERAL'!AB322="","",'[1]P-GENERAL'!AB322)</f>
        <v>DANIEL CARRILLO GODINEZ</v>
      </c>
      <c r="AC322" s="8" t="str">
        <f>IF('[1]P-GENERAL'!AC322="","",'[1]P-GENERAL'!AC322)</f>
        <v>EDUARDO FLORES</v>
      </c>
      <c r="AD322">
        <f>IF('[1]P-GENERAL'!AD322="","",'[1]P-GENERAL'!AD322)</f>
        <v>73834</v>
      </c>
      <c r="AE322" t="str">
        <f>IF('[1]P-GENERAL'!AE322="","",'[1]P-GENERAL'!AE322)</f>
        <v>QEP1W00XH0</v>
      </c>
    </row>
    <row r="323" spans="1:31" ht="20.25" x14ac:dyDescent="0.3">
      <c r="A323" s="11" t="str">
        <f>IF('[1]P-GENERAL'!A323="","",'[1]P-GENERAL'!A323)</f>
        <v>Chanitos Organic Banded Market Side Mexico</v>
      </c>
      <c r="B323" s="11" t="str">
        <f>IF('[1]P-GENERAL'!B323="","",'[1]P-GENERAL'!B323)</f>
        <v>CRG07128</v>
      </c>
      <c r="C323" t="str">
        <f>IF('[1]P-GENERAL'!C323="","",'[1]P-GENERAL'!C323)</f>
        <v>A01002-392409-1</v>
      </c>
      <c r="D323" t="str">
        <f>IF('[1]P-GENERAL'!D323="","",'[1]P-GENERAL'!D323)</f>
        <v>A01 002 Fortaleza</v>
      </c>
      <c r="E323" s="8" t="str">
        <f>IF('[1]P-GENERAL'!E323="","",'[1]P-GENERAL'!E323)</f>
        <v>VSA</v>
      </c>
      <c r="F323" s="12">
        <f>IF('[1]P-GENERAL'!F323="","",'[1]P-GENERAL'!F323)</f>
        <v>288</v>
      </c>
      <c r="G323" s="13">
        <f>IF('[1]P-GENERAL'!G323="","",'[1]P-GENERAL'!G323)</f>
        <v>6</v>
      </c>
      <c r="H323" s="14">
        <f>IF('[1]P-GENERAL'!H323="","",'[1]P-GENERAL'!H323)</f>
        <v>46289</v>
      </c>
      <c r="I323">
        <f>IF('[1]P-GENERAL'!I323="","",'[1]P-GENERAL'!I323)</f>
        <v>39</v>
      </c>
      <c r="J323" s="15">
        <f>IF('[1]P-GENERAL'!J323="","",'[1]P-GENERAL'!J323)</f>
        <v>46293</v>
      </c>
      <c r="K323" s="14">
        <f>IF('[1]P-GENERAL'!K323="","",'[1]P-GENERAL'!K323)</f>
        <v>0.25</v>
      </c>
      <c r="L323" s="14" t="str">
        <f>IF('[1]P-GENERAL'!L323="","",'[1]P-GENERAL'!L323)</f>
        <v>PREENFRIO FORTALEZA</v>
      </c>
      <c r="M323">
        <f>IF('[1]P-GENERAL'!M323="","",'[1]P-GENERAL'!M323)</f>
        <v>1</v>
      </c>
      <c r="N323">
        <f>IF('[1]P-GENERAL'!N323="","",'[1]P-GENERAL'!N323)</f>
        <v>24</v>
      </c>
      <c r="O323" s="14">
        <f>IF('[1]P-GENERAL'!O323="","",'[1]P-GENERAL'!O323)</f>
        <v>46289</v>
      </c>
      <c r="P323" s="16">
        <f>IF('[1]P-GENERAL'!P323="","",'[1]P-GENERAL'!P323)</f>
        <v>0.7416666666666667</v>
      </c>
      <c r="Q323" t="str">
        <f>IF('[1]P-GENERAL'!Q323="","",'[1]P-GENERAL'!Q323)</f>
        <v>NORMAL</v>
      </c>
      <c r="R323" s="14">
        <f>IF('[1]P-GENERAL'!R323="","",'[1]P-GENERAL'!R323)</f>
        <v>46291</v>
      </c>
      <c r="S323" s="16">
        <f>IF('[1]P-GENERAL'!S323="","",'[1]P-GENERAL'!S323)</f>
        <v>0.44791666666666669</v>
      </c>
      <c r="T323" s="16">
        <f>IF('[1]P-GENERAL'!T323="","",'[1]P-GENERAL'!T323)</f>
        <v>0.625</v>
      </c>
      <c r="U323" s="17">
        <f>IF('[1]P-GENERAL'!U323="","",'[1]P-GENERAL'!U323)</f>
        <v>46292.072916666664</v>
      </c>
      <c r="V323" s="14">
        <f>IF('[1]P-GENERAL'!V323="","",'[1]P-GENERAL'!V323)</f>
        <v>46292</v>
      </c>
      <c r="W323" s="16">
        <f>IF('[1]P-GENERAL'!W323="","",'[1]P-GENERAL'!W323)</f>
        <v>7.4999999999999997E-2</v>
      </c>
      <c r="X323" s="14" t="str">
        <f>IF('[1]P-GENERAL'!X323="","",'[1]P-GENERAL'!X323)</f>
        <v>SI CUMPLE</v>
      </c>
      <c r="Y323" s="14" t="str">
        <f>IF('[1]P-GENERAL'!Y323="","",'[1]P-GENERAL'!Y323)</f>
        <v>SI CUMPLE</v>
      </c>
      <c r="Z323" s="14" t="str">
        <f>IF('[1]P-GENERAL'!Z323="","",'[1]P-GENERAL'!Z323)</f>
        <v>EMPAQUE TARDIO</v>
      </c>
      <c r="AA323" s="14" t="str">
        <f>IF('[1]P-GENERAL'!AA323="","",'[1]P-GENERAL'!AA323)</f>
        <v>DESPACHADO</v>
      </c>
      <c r="AB323" s="8" t="str">
        <f>IF('[1]P-GENERAL'!AB323="","",'[1]P-GENERAL'!AB323)</f>
        <v>GENARO IBAÑEZ</v>
      </c>
      <c r="AC323" s="8" t="str">
        <f>IF('[1]P-GENERAL'!AC323="","",'[1]P-GENERAL'!AC323)</f>
        <v>CAYETANO MENESES</v>
      </c>
      <c r="AD323">
        <f>IF('[1]P-GENERAL'!AD323="","",'[1]P-GENERAL'!AD323)</f>
        <v>90259</v>
      </c>
      <c r="AE323" t="str">
        <f>IF('[1]P-GENERAL'!AE323="","",'[1]P-GENERAL'!AE323)</f>
        <v>QEP1W00X40</v>
      </c>
    </row>
    <row r="324" spans="1:31" ht="20.25" x14ac:dyDescent="0.3">
      <c r="A324" s="11" t="str">
        <f>IF('[1]P-GENERAL'!A324="","",'[1]P-GENERAL'!A324)</f>
        <v>Chanitos Premium Tarima Chep</v>
      </c>
      <c r="B324" s="11" t="str">
        <f>IF('[1]P-GENERAL'!B324="","",'[1]P-GENERAL'!B324)</f>
        <v>CPR01102</v>
      </c>
      <c r="C324" t="str">
        <f>IF('[1]P-GENERAL'!C324="","",'[1]P-GENERAL'!C324)</f>
        <v>A01002-392409-1</v>
      </c>
      <c r="D324" t="str">
        <f>IF('[1]P-GENERAL'!D324="","",'[1]P-GENERAL'!D324)</f>
        <v>A01 002 Fortaleza</v>
      </c>
      <c r="E324" s="8" t="str">
        <f>IF('[1]P-GENERAL'!E324="","",'[1]P-GENERAL'!E324)</f>
        <v>VSA</v>
      </c>
      <c r="F324" s="12">
        <f>IF('[1]P-GENERAL'!F324="","",'[1]P-GENERAL'!F324)</f>
        <v>480</v>
      </c>
      <c r="G324" s="13">
        <f>IF('[1]P-GENERAL'!G324="","",'[1]P-GENERAL'!G324)</f>
        <v>10</v>
      </c>
      <c r="H324" s="14">
        <f>IF('[1]P-GENERAL'!H324="","",'[1]P-GENERAL'!H324)</f>
        <v>46289</v>
      </c>
      <c r="I324">
        <f>IF('[1]P-GENERAL'!I324="","",'[1]P-GENERAL'!I324)</f>
        <v>39</v>
      </c>
      <c r="J324" s="15">
        <f>IF('[1]P-GENERAL'!J324="","",'[1]P-GENERAL'!J324)</f>
        <v>46293</v>
      </c>
      <c r="K324" s="14">
        <f>IF('[1]P-GENERAL'!K324="","",'[1]P-GENERAL'!K324)</f>
        <v>0.25</v>
      </c>
      <c r="L324" s="14" t="str">
        <f>IF('[1]P-GENERAL'!L324="","",'[1]P-GENERAL'!L324)</f>
        <v>PREENFRIO FORTALEZA</v>
      </c>
      <c r="M324">
        <f>IF('[1]P-GENERAL'!M324="","",'[1]P-GENERAL'!M324)</f>
        <v>1</v>
      </c>
      <c r="N324">
        <f>IF('[1]P-GENERAL'!N324="","",'[1]P-GENERAL'!N324)</f>
        <v>24</v>
      </c>
      <c r="O324" s="14">
        <f>IF('[1]P-GENERAL'!O324="","",'[1]P-GENERAL'!O324)</f>
        <v>46289</v>
      </c>
      <c r="P324" s="16">
        <f>IF('[1]P-GENERAL'!P324="","",'[1]P-GENERAL'!P324)</f>
        <v>0.7416666666666667</v>
      </c>
      <c r="Q324" t="str">
        <f>IF('[1]P-GENERAL'!Q324="","",'[1]P-GENERAL'!Q324)</f>
        <v>NORMAL</v>
      </c>
      <c r="R324" s="14">
        <f>IF('[1]P-GENERAL'!R324="","",'[1]P-GENERAL'!R324)</f>
        <v>46291</v>
      </c>
      <c r="S324" s="16">
        <f>IF('[1]P-GENERAL'!S324="","",'[1]P-GENERAL'!S324)</f>
        <v>0.44791666666666669</v>
      </c>
      <c r="T324" s="16">
        <f>IF('[1]P-GENERAL'!T324="","",'[1]P-GENERAL'!T324)</f>
        <v>0.625</v>
      </c>
      <c r="U324" s="17">
        <f>IF('[1]P-GENERAL'!U324="","",'[1]P-GENERAL'!U324)</f>
        <v>46292.072916666664</v>
      </c>
      <c r="V324" s="14">
        <f>IF('[1]P-GENERAL'!V324="","",'[1]P-GENERAL'!V324)</f>
        <v>46292</v>
      </c>
      <c r="W324" s="16">
        <f>IF('[1]P-GENERAL'!W324="","",'[1]P-GENERAL'!W324)</f>
        <v>7.4999999999999997E-2</v>
      </c>
      <c r="X324" s="14" t="str">
        <f>IF('[1]P-GENERAL'!X324="","",'[1]P-GENERAL'!X324)</f>
        <v>SI CUMPLE</v>
      </c>
      <c r="Y324" s="14" t="str">
        <f>IF('[1]P-GENERAL'!Y324="","",'[1]P-GENERAL'!Y324)</f>
        <v>SI CUMPLE</v>
      </c>
      <c r="Z324" s="14" t="str">
        <f>IF('[1]P-GENERAL'!Z324="","",'[1]P-GENERAL'!Z324)</f>
        <v>EMPAQUE TARDIO</v>
      </c>
      <c r="AA324" s="14" t="str">
        <f>IF('[1]P-GENERAL'!AA324="","",'[1]P-GENERAL'!AA324)</f>
        <v>DESPACHADO</v>
      </c>
      <c r="AB324" s="8" t="str">
        <f>IF('[1]P-GENERAL'!AB324="","",'[1]P-GENERAL'!AB324)</f>
        <v>GENARO IBAÑEZ</v>
      </c>
      <c r="AC324" s="8" t="str">
        <f>IF('[1]P-GENERAL'!AC324="","",'[1]P-GENERAL'!AC324)</f>
        <v>CAYETANO MENESES</v>
      </c>
      <c r="AD324">
        <f>IF('[1]P-GENERAL'!AD324="","",'[1]P-GENERAL'!AD324)</f>
        <v>90259</v>
      </c>
      <c r="AE324" t="str">
        <f>IF('[1]P-GENERAL'!AE324="","",'[1]P-GENERAL'!AE324)</f>
        <v>QEP1W00X40</v>
      </c>
    </row>
    <row r="325" spans="1:31" ht="20.25" x14ac:dyDescent="0.3">
      <c r="A325" s="11" t="str">
        <f>IF('[1]P-GENERAL'!A325="","",'[1]P-GENERAL'!A325)</f>
        <v>Chanitos Premium Tarima Chep</v>
      </c>
      <c r="B325" s="11" t="str">
        <f>IF('[1]P-GENERAL'!B325="","",'[1]P-GENERAL'!B325)</f>
        <v>CPR01102</v>
      </c>
      <c r="C325" t="str">
        <f>IF('[1]P-GENERAL'!C325="","",'[1]P-GENERAL'!C325)</f>
        <v>A01002-392509-1</v>
      </c>
      <c r="D325" t="str">
        <f>IF('[1]P-GENERAL'!D325="","",'[1]P-GENERAL'!D325)</f>
        <v>A01 002 Fortaleza</v>
      </c>
      <c r="E325" s="8" t="str">
        <f>IF('[1]P-GENERAL'!E325="","",'[1]P-GENERAL'!E325)</f>
        <v>VSA</v>
      </c>
      <c r="F325" s="12">
        <f>IF('[1]P-GENERAL'!F325="","",'[1]P-GENERAL'!F325)</f>
        <v>384</v>
      </c>
      <c r="G325" s="13">
        <f>IF('[1]P-GENERAL'!G325="","",'[1]P-GENERAL'!G325)</f>
        <v>8</v>
      </c>
      <c r="H325" s="14">
        <f>IF('[1]P-GENERAL'!H325="","",'[1]P-GENERAL'!H325)</f>
        <v>46290</v>
      </c>
      <c r="I325">
        <f>IF('[1]P-GENERAL'!I325="","",'[1]P-GENERAL'!I325)</f>
        <v>39</v>
      </c>
      <c r="J325" s="15">
        <f>IF('[1]P-GENERAL'!J325="","",'[1]P-GENERAL'!J325)</f>
        <v>46293</v>
      </c>
      <c r="K325" s="14">
        <f>IF('[1]P-GENERAL'!K325="","",'[1]P-GENERAL'!K325)</f>
        <v>0.25</v>
      </c>
      <c r="L325" s="14" t="str">
        <f>IF('[1]P-GENERAL'!L325="","",'[1]P-GENERAL'!L325)</f>
        <v>PREENFRIO FORTALEZA</v>
      </c>
      <c r="M325">
        <f>IF('[1]P-GENERAL'!M325="","",'[1]P-GENERAL'!M325)</f>
        <v>1</v>
      </c>
      <c r="N325">
        <f>IF('[1]P-GENERAL'!N325="","",'[1]P-GENERAL'!N325)</f>
        <v>24</v>
      </c>
      <c r="O325" s="14">
        <f>IF('[1]P-GENERAL'!O325="","",'[1]P-GENERAL'!O325)</f>
        <v>46290</v>
      </c>
      <c r="P325" s="16">
        <f>IF('[1]P-GENERAL'!P325="","",'[1]P-GENERAL'!P325)</f>
        <v>0.68472222222222223</v>
      </c>
      <c r="Q325" t="str">
        <f>IF('[1]P-GENERAL'!Q325="","",'[1]P-GENERAL'!Q325)</f>
        <v>NORMAL</v>
      </c>
      <c r="R325" s="14">
        <f>IF('[1]P-GENERAL'!R325="","",'[1]P-GENERAL'!R325)</f>
        <v>46291</v>
      </c>
      <c r="S325" s="16">
        <f>IF('[1]P-GENERAL'!S325="","",'[1]P-GENERAL'!S325)</f>
        <v>0.44791666666666669</v>
      </c>
      <c r="T325" s="16">
        <f>IF('[1]P-GENERAL'!T325="","",'[1]P-GENERAL'!T325)</f>
        <v>0.625</v>
      </c>
      <c r="U325" s="17">
        <f>IF('[1]P-GENERAL'!U325="","",'[1]P-GENERAL'!U325)</f>
        <v>46292.072916666664</v>
      </c>
      <c r="V325" s="14">
        <f>IF('[1]P-GENERAL'!V325="","",'[1]P-GENERAL'!V325)</f>
        <v>46292</v>
      </c>
      <c r="W325" s="16">
        <f>IF('[1]P-GENERAL'!W325="","",'[1]P-GENERAL'!W325)</f>
        <v>7.4999999999999997E-2</v>
      </c>
      <c r="X325" s="14" t="str">
        <f>IF('[1]P-GENERAL'!X325="","",'[1]P-GENERAL'!X325)</f>
        <v>SI CUMPLE</v>
      </c>
      <c r="Y325" s="14" t="str">
        <f>IF('[1]P-GENERAL'!Y325="","",'[1]P-GENERAL'!Y325)</f>
        <v>SI CUMPLE</v>
      </c>
      <c r="Z325" s="14" t="str">
        <f>IF('[1]P-GENERAL'!Z325="","",'[1]P-GENERAL'!Z325)</f>
        <v>EMPAQUE TARDIO</v>
      </c>
      <c r="AA325" s="14" t="str">
        <f>IF('[1]P-GENERAL'!AA325="","",'[1]P-GENERAL'!AA325)</f>
        <v>DESPACHADO</v>
      </c>
      <c r="AB325" s="8" t="str">
        <f>IF('[1]P-GENERAL'!AB325="","",'[1]P-GENERAL'!AB325)</f>
        <v>GENARO IBAÑEZ</v>
      </c>
      <c r="AC325" s="8" t="str">
        <f>IF('[1]P-GENERAL'!AC325="","",'[1]P-GENERAL'!AC325)</f>
        <v>CAYETANO MENESES</v>
      </c>
      <c r="AD325">
        <f>IF('[1]P-GENERAL'!AD325="","",'[1]P-GENERAL'!AD325)</f>
        <v>90259</v>
      </c>
      <c r="AE325" t="str">
        <f>IF('[1]P-GENERAL'!AE325="","",'[1]P-GENERAL'!AE325)</f>
        <v>QEP1W00X40</v>
      </c>
    </row>
    <row r="326" spans="1:31" ht="20.25" x14ac:dyDescent="0.3">
      <c r="A326" s="11" t="str">
        <f>IF('[1]P-GENERAL'!A326="","",'[1]P-GENERAL'!A326)</f>
        <v>Chanitos Plantain 20Kg Tarima Americana</v>
      </c>
      <c r="B326" s="11" t="str">
        <f>IF('[1]P-GENERAL'!B326="","",'[1]P-GENERAL'!B326)</f>
        <v>CPL08134</v>
      </c>
      <c r="C326" t="str">
        <f>IF('[1]P-GENERAL'!C326="","",'[1]P-GENERAL'!C326)</f>
        <v>A15063-392209-1</v>
      </c>
      <c r="D326" t="str">
        <f>IF('[1]P-GENERAL'!D326="","",'[1]P-GENERAL'!D326)</f>
        <v xml:space="preserve">A15 063 Zaragoza </v>
      </c>
      <c r="E326" s="8" t="str">
        <f>IF('[1]P-GENERAL'!E326="","",'[1]P-GENERAL'!E326)</f>
        <v>Ciudad Juarez</v>
      </c>
      <c r="F326" s="12">
        <f>IF('[1]P-GENERAL'!F326="","",'[1]P-GENERAL'!F326)</f>
        <v>144</v>
      </c>
      <c r="G326" s="13">
        <f>IF('[1]P-GENERAL'!G326="","",'[1]P-GENERAL'!G326)</f>
        <v>3</v>
      </c>
      <c r="H326" s="14">
        <f>IF('[1]P-GENERAL'!H326="","",'[1]P-GENERAL'!H326)</f>
        <v>46287</v>
      </c>
      <c r="I326">
        <f>IF('[1]P-GENERAL'!I326="","",'[1]P-GENERAL'!I326)</f>
        <v>39</v>
      </c>
      <c r="J326" s="15">
        <f>IF('[1]P-GENERAL'!J326="","",'[1]P-GENERAL'!J326)</f>
        <v>46294</v>
      </c>
      <c r="K326" s="14" t="str">
        <f>IF('[1]P-GENERAL'!K326="","",'[1]P-GENERAL'!K326)</f>
        <v/>
      </c>
      <c r="L326" s="14" t="str">
        <f>IF('[1]P-GENERAL'!L326="","",'[1]P-GENERAL'!L326)</f>
        <v>PREENFRIO FORTALEZA</v>
      </c>
      <c r="M326">
        <f>IF('[1]P-GENERAL'!M326="","",'[1]P-GENERAL'!M326)</f>
        <v>4</v>
      </c>
      <c r="N326">
        <f>IF('[1]P-GENERAL'!N326="","",'[1]P-GENERAL'!N326)</f>
        <v>96</v>
      </c>
      <c r="O326" s="14">
        <f>IF('[1]P-GENERAL'!O326="","",'[1]P-GENERAL'!O326)</f>
        <v>46288</v>
      </c>
      <c r="P326" s="16">
        <f>IF('[1]P-GENERAL'!P326="","",'[1]P-GENERAL'!P326)</f>
        <v>0.83333333333333337</v>
      </c>
      <c r="Q326" t="str">
        <f>IF('[1]P-GENERAL'!Q326="","",'[1]P-GENERAL'!Q326)</f>
        <v>NORMAL</v>
      </c>
      <c r="R326" s="14">
        <f>IF('[1]P-GENERAL'!R326="","",'[1]P-GENERAL'!R326)</f>
        <v>46289</v>
      </c>
      <c r="S326" s="16">
        <f>IF('[1]P-GENERAL'!S326="","",'[1]P-GENERAL'!S326)</f>
        <v>0.33541666666666664</v>
      </c>
      <c r="T326" s="16">
        <f>IF('[1]P-GENERAL'!T326="","",'[1]P-GENERAL'!T326)</f>
        <v>0.25</v>
      </c>
      <c r="U326" s="17">
        <f>IF('[1]P-GENERAL'!U326="","",'[1]P-GENERAL'!U326)</f>
        <v>46289.585416666669</v>
      </c>
      <c r="V326" s="14">
        <f>IF('[1]P-GENERAL'!V326="","",'[1]P-GENERAL'!V326)</f>
        <v>46289</v>
      </c>
      <c r="W326" s="16">
        <f>IF('[1]P-GENERAL'!W326="","",'[1]P-GENERAL'!W326)</f>
        <v>0.4861111111111111</v>
      </c>
      <c r="X326" s="14" t="str">
        <f>IF('[1]P-GENERAL'!X326="","",'[1]P-GENERAL'!X326)</f>
        <v>SI CUMPLE</v>
      </c>
      <c r="Y326" s="14" t="str">
        <f>IF('[1]P-GENERAL'!Y326="","",'[1]P-GENERAL'!Y326)</f>
        <v>SI CUMPLE</v>
      </c>
      <c r="Z326" s="14" t="str">
        <f>IF('[1]P-GENERAL'!Z326="","",'[1]P-GENERAL'!Z326)</f>
        <v>MUEVE A NELLY</v>
      </c>
      <c r="AA326" s="14" t="str">
        <f>IF('[1]P-GENERAL'!AA326="","",'[1]P-GENERAL'!AA326)</f>
        <v xml:space="preserve">DESPACHADO  </v>
      </c>
      <c r="AB326" s="8" t="str">
        <f>IF('[1]P-GENERAL'!AB326="","",'[1]P-GENERAL'!AB326)</f>
        <v>EDUARDO ROSALES</v>
      </c>
      <c r="AC326" s="8" t="str">
        <f>IF('[1]P-GENERAL'!AC326="","",'[1]P-GENERAL'!AC326)</f>
        <v>EDUARDO ROSALES</v>
      </c>
      <c r="AD326">
        <f>IF('[1]P-GENERAL'!AD326="","",'[1]P-GENERAL'!AD326)</f>
        <v>78072</v>
      </c>
      <c r="AE326" t="str">
        <f>IF('[1]P-GENERAL'!AE326="","",'[1]P-GENERAL'!AE326)</f>
        <v>N/A</v>
      </c>
    </row>
    <row r="327" spans="1:31" ht="20.25" x14ac:dyDescent="0.3">
      <c r="A327" s="11" t="str">
        <f>IF('[1]P-GENERAL'!A327="","",'[1]P-GENERAL'!A327)</f>
        <v>Chanitos Premium Tarima Americana</v>
      </c>
      <c r="B327" s="11" t="str">
        <f>IF('[1]P-GENERAL'!B327="","",'[1]P-GENERAL'!B327)</f>
        <v>CPR01103</v>
      </c>
      <c r="C327" t="str">
        <f>IF('[1]P-GENERAL'!C327="","",'[1]P-GENERAL'!C327)</f>
        <v>A04039-392209-1</v>
      </c>
      <c r="D327" t="str">
        <f>IF('[1]P-GENERAL'!D327="","",'[1]P-GENERAL'!D327)</f>
        <v>A04 039 San Jose Morelia Nava</v>
      </c>
      <c r="E327" s="8" t="str">
        <f>IF('[1]P-GENERAL'!E327="","",'[1]P-GENERAL'!E327)</f>
        <v>S-MTY</v>
      </c>
      <c r="F327" s="12">
        <f>IF('[1]P-GENERAL'!F327="","",'[1]P-GENERAL'!F327)</f>
        <v>144</v>
      </c>
      <c r="G327" s="13">
        <f>IF('[1]P-GENERAL'!G327="","",'[1]P-GENERAL'!G327)</f>
        <v>3</v>
      </c>
      <c r="H327" s="14">
        <f>IF('[1]P-GENERAL'!H327="","",'[1]P-GENERAL'!H327)</f>
        <v>46287</v>
      </c>
      <c r="I327">
        <f>IF('[1]P-GENERAL'!I327="","",'[1]P-GENERAL'!I327)</f>
        <v>39</v>
      </c>
      <c r="J327" s="15">
        <f>IF('[1]P-GENERAL'!J327="","",'[1]P-GENERAL'!J327)</f>
        <v>46293</v>
      </c>
      <c r="K327" s="14">
        <f>IF('[1]P-GENERAL'!K327="","",'[1]P-GENERAL'!K327)</f>
        <v>0.25</v>
      </c>
      <c r="L327" s="14" t="str">
        <f>IF('[1]P-GENERAL'!L327="","",'[1]P-GENERAL'!L327)</f>
        <v>PREENFRIO NELLY</v>
      </c>
      <c r="M327">
        <f>IF('[1]P-GENERAL'!M327="","",'[1]P-GENERAL'!M327)</f>
        <v>3</v>
      </c>
      <c r="N327">
        <f>IF('[1]P-GENERAL'!N327="","",'[1]P-GENERAL'!N327)</f>
        <v>72</v>
      </c>
      <c r="O327" s="14">
        <f>IF('[1]P-GENERAL'!O327="","",'[1]P-GENERAL'!O327)</f>
        <v>46289</v>
      </c>
      <c r="P327" s="16">
        <f>IF('[1]P-GENERAL'!P327="","",'[1]P-GENERAL'!P327)</f>
        <v>0.83333333333333337</v>
      </c>
      <c r="Q327" t="str">
        <f>IF('[1]P-GENERAL'!Q327="","",'[1]P-GENERAL'!Q327)</f>
        <v>ALTA</v>
      </c>
      <c r="R327" s="14">
        <f>IF('[1]P-GENERAL'!R327="","",'[1]P-GENERAL'!R327)</f>
        <v>46290</v>
      </c>
      <c r="S327" s="16">
        <f>IF('[1]P-GENERAL'!S327="","",'[1]P-GENERAL'!S327)</f>
        <v>0.27083333333333331</v>
      </c>
      <c r="T327" s="16">
        <f>IF('[1]P-GENERAL'!T327="","",'[1]P-GENERAL'!T327)</f>
        <v>0.4375</v>
      </c>
      <c r="U327" s="17">
        <f>IF('[1]P-GENERAL'!U327="","",'[1]P-GENERAL'!U327)</f>
        <v>46290.708333333336</v>
      </c>
      <c r="V327" s="14">
        <f>IF('[1]P-GENERAL'!V327="","",'[1]P-GENERAL'!V327)</f>
        <v>46290</v>
      </c>
      <c r="W327" s="16">
        <f>IF('[1]P-GENERAL'!W327="","",'[1]P-GENERAL'!W327)</f>
        <v>0.5</v>
      </c>
      <c r="X327" s="14" t="str">
        <f>IF('[1]P-GENERAL'!X327="","",'[1]P-GENERAL'!X327)</f>
        <v>NO CUMPLE</v>
      </c>
      <c r="Y327" s="14" t="str">
        <f>IF('[1]P-GENERAL'!Y327="","",'[1]P-GENERAL'!Y327)</f>
        <v>NO CUMPLE</v>
      </c>
      <c r="Z327" s="14" t="str">
        <f>IF('[1]P-GENERAL'!Z327="","",'[1]P-GENERAL'!Z327)</f>
        <v>EMPAQUE TARDIO</v>
      </c>
      <c r="AA327" s="14" t="str">
        <f>IF('[1]P-GENERAL'!AA327="","",'[1]P-GENERAL'!AA327)</f>
        <v>DESPACHADO</v>
      </c>
      <c r="AB327" s="8" t="str">
        <f>IF('[1]P-GENERAL'!AB327="","",'[1]P-GENERAL'!AB327)</f>
        <v>AUTO EXPRESS SEGOVIA</v>
      </c>
      <c r="AC327" s="8" t="str">
        <f>IF('[1]P-GENERAL'!AC327="","",'[1]P-GENERAL'!AC327)</f>
        <v>Edgar Adrian castillo Trejo</v>
      </c>
      <c r="AD327">
        <f>IF('[1]P-GENERAL'!AD327="","",'[1]P-GENERAL'!AD327)</f>
        <v>42632</v>
      </c>
      <c r="AE327" t="str">
        <f>IF('[1]P-GENERAL'!AE327="","",'[1]P-GENERAL'!AE327)</f>
        <v/>
      </c>
    </row>
    <row r="328" spans="1:31" ht="20.25" x14ac:dyDescent="0.3">
      <c r="A328" s="11" t="str">
        <f>IF('[1]P-GENERAL'!A328="","",'[1]P-GENERAL'!A328)</f>
        <v>Chanitos Premium Tarima Americana</v>
      </c>
      <c r="B328" s="11" t="str">
        <f>IF('[1]P-GENERAL'!B328="","",'[1]P-GENERAL'!B328)</f>
        <v>CPR01103</v>
      </c>
      <c r="C328" t="str">
        <f>IF('[1]P-GENERAL'!C328="","",'[1]P-GENERAL'!C328)</f>
        <v>A04039-392309-1</v>
      </c>
      <c r="D328" t="str">
        <f>IF('[1]P-GENERAL'!D328="","",'[1]P-GENERAL'!D328)</f>
        <v>A04 039 San Jose Morelia Nava</v>
      </c>
      <c r="E328" s="8" t="str">
        <f>IF('[1]P-GENERAL'!E328="","",'[1]P-GENERAL'!E328)</f>
        <v>S-MTY</v>
      </c>
      <c r="F328" s="12">
        <f>IF('[1]P-GENERAL'!F328="","",'[1]P-GENERAL'!F328)</f>
        <v>960</v>
      </c>
      <c r="G328" s="13">
        <f>IF('[1]P-GENERAL'!G328="","",'[1]P-GENERAL'!G328)</f>
        <v>20</v>
      </c>
      <c r="H328" s="14">
        <f>IF('[1]P-GENERAL'!H328="","",'[1]P-GENERAL'!H328)</f>
        <v>46288</v>
      </c>
      <c r="I328">
        <f>IF('[1]P-GENERAL'!I328="","",'[1]P-GENERAL'!I328)</f>
        <v>39</v>
      </c>
      <c r="J328" s="15">
        <f>IF('[1]P-GENERAL'!J328="","",'[1]P-GENERAL'!J328)</f>
        <v>46293</v>
      </c>
      <c r="K328" s="14">
        <f>IF('[1]P-GENERAL'!K328="","",'[1]P-GENERAL'!K328)</f>
        <v>0.25</v>
      </c>
      <c r="L328" s="14" t="str">
        <f>IF('[1]P-GENERAL'!L328="","",'[1]P-GENERAL'!L328)</f>
        <v>PREENFRIO NELLY</v>
      </c>
      <c r="M328">
        <f>IF('[1]P-GENERAL'!M328="","",'[1]P-GENERAL'!M328)</f>
        <v>3</v>
      </c>
      <c r="N328">
        <f>IF('[1]P-GENERAL'!N328="","",'[1]P-GENERAL'!N328)</f>
        <v>72</v>
      </c>
      <c r="O328" s="14">
        <f>IF('[1]P-GENERAL'!O328="","",'[1]P-GENERAL'!O328)</f>
        <v>46289</v>
      </c>
      <c r="P328" s="16">
        <f>IF('[1]P-GENERAL'!P328="","",'[1]P-GENERAL'!P328)</f>
        <v>0.83333333333333337</v>
      </c>
      <c r="Q328" t="str">
        <f>IF('[1]P-GENERAL'!Q328="","",'[1]P-GENERAL'!Q328)</f>
        <v>ALTA</v>
      </c>
      <c r="R328" s="14">
        <f>IF('[1]P-GENERAL'!R328="","",'[1]P-GENERAL'!R328)</f>
        <v>46289</v>
      </c>
      <c r="S328" s="16">
        <f>IF('[1]P-GENERAL'!S328="","",'[1]P-GENERAL'!S328)</f>
        <v>0.83333333333333337</v>
      </c>
      <c r="T328" s="16">
        <f>IF('[1]P-GENERAL'!T328="","",'[1]P-GENERAL'!T328)</f>
        <v>0.4375</v>
      </c>
      <c r="U328" s="17">
        <f>IF('[1]P-GENERAL'!U328="","",'[1]P-GENERAL'!U328)</f>
        <v>46290.270833333336</v>
      </c>
      <c r="V328" s="14">
        <f>IF('[1]P-GENERAL'!V328="","",'[1]P-GENERAL'!V328)</f>
        <v>46290</v>
      </c>
      <c r="W328" s="16">
        <f>IF('[1]P-GENERAL'!W328="","",'[1]P-GENERAL'!W328)</f>
        <v>0.5</v>
      </c>
      <c r="X328" s="14" t="str">
        <f>IF('[1]P-GENERAL'!X328="","",'[1]P-GENERAL'!X328)</f>
        <v>NO CUMPLE</v>
      </c>
      <c r="Y328" s="14" t="str">
        <f>IF('[1]P-GENERAL'!Y328="","",'[1]P-GENERAL'!Y328)</f>
        <v>NO CUMPLE</v>
      </c>
      <c r="Z328" s="14" t="str">
        <f>IF('[1]P-GENERAL'!Z328="","",'[1]P-GENERAL'!Z328)</f>
        <v>EMPAQUE TARDIO</v>
      </c>
      <c r="AA328" s="14" t="str">
        <f>IF('[1]P-GENERAL'!AA328="","",'[1]P-GENERAL'!AA328)</f>
        <v>DESPACHADO</v>
      </c>
      <c r="AB328" s="8" t="str">
        <f>IF('[1]P-GENERAL'!AB328="","",'[1]P-GENERAL'!AB328)</f>
        <v>AUTO EXPRESS SEGOVIA</v>
      </c>
      <c r="AC328" s="8" t="str">
        <f>IF('[1]P-GENERAL'!AC328="","",'[1]P-GENERAL'!AC328)</f>
        <v>Edgar Adrian castillo Trejo</v>
      </c>
      <c r="AD328">
        <f>IF('[1]P-GENERAL'!AD328="","",'[1]P-GENERAL'!AD328)</f>
        <v>40701</v>
      </c>
      <c r="AE328" t="str">
        <f>IF('[1]P-GENERAL'!AE328="","",'[1]P-GENERAL'!AE328)</f>
        <v/>
      </c>
    </row>
    <row r="329" spans="1:31" ht="20.25" x14ac:dyDescent="0.3">
      <c r="A329" s="11" t="str">
        <f>IF('[1]P-GENERAL'!A329="","",'[1]P-GENERAL'!A329)</f>
        <v>Chanitos Premium Tarima Americana</v>
      </c>
      <c r="B329" s="11" t="str">
        <f>IF('[1]P-GENERAL'!B329="","",'[1]P-GENERAL'!B329)</f>
        <v>CPR01103</v>
      </c>
      <c r="C329" t="str">
        <f>IF('[1]P-GENERAL'!C329="","",'[1]P-GENERAL'!C329)</f>
        <v>A04039-392309-1</v>
      </c>
      <c r="D329" t="str">
        <f>IF('[1]P-GENERAL'!D329="","",'[1]P-GENERAL'!D329)</f>
        <v>A04 039 San Jose Morelia Nava</v>
      </c>
      <c r="E329" s="8" t="str">
        <f>IF('[1]P-GENERAL'!E329="","",'[1]P-GENERAL'!E329)</f>
        <v>S-MTY</v>
      </c>
      <c r="F329" s="12">
        <f>IF('[1]P-GENERAL'!F329="","",'[1]P-GENERAL'!F329)</f>
        <v>336</v>
      </c>
      <c r="G329" s="13">
        <f>IF('[1]P-GENERAL'!G329="","",'[1]P-GENERAL'!G329)</f>
        <v>7</v>
      </c>
      <c r="H329" s="14">
        <f>IF('[1]P-GENERAL'!H329="","",'[1]P-GENERAL'!H329)</f>
        <v>46288</v>
      </c>
      <c r="I329">
        <f>IF('[1]P-GENERAL'!I329="","",'[1]P-GENERAL'!I329)</f>
        <v>39</v>
      </c>
      <c r="J329" s="15">
        <f>IF('[1]P-GENERAL'!J329="","",'[1]P-GENERAL'!J329)</f>
        <v>46293</v>
      </c>
      <c r="K329" s="14">
        <f>IF('[1]P-GENERAL'!K329="","",'[1]P-GENERAL'!K329)</f>
        <v>0.25</v>
      </c>
      <c r="L329" s="14" t="str">
        <f>IF('[1]P-GENERAL'!L329="","",'[1]P-GENERAL'!L329)</f>
        <v>PREENFRIO NELLY</v>
      </c>
      <c r="M329">
        <f>IF('[1]P-GENERAL'!M329="","",'[1]P-GENERAL'!M329)</f>
        <v>3</v>
      </c>
      <c r="N329">
        <f>IF('[1]P-GENERAL'!N329="","",'[1]P-GENERAL'!N329)</f>
        <v>72</v>
      </c>
      <c r="O329" s="14">
        <f>IF('[1]P-GENERAL'!O329="","",'[1]P-GENERAL'!O329)</f>
        <v>46289</v>
      </c>
      <c r="P329" s="16">
        <f>IF('[1]P-GENERAL'!P329="","",'[1]P-GENERAL'!P329)</f>
        <v>0.83333333333333337</v>
      </c>
      <c r="Q329" t="str">
        <f>IF('[1]P-GENERAL'!Q329="","",'[1]P-GENERAL'!Q329)</f>
        <v>ALTA</v>
      </c>
      <c r="R329" s="14">
        <f>IF('[1]P-GENERAL'!R329="","",'[1]P-GENERAL'!R329)</f>
        <v>46290</v>
      </c>
      <c r="S329" s="16">
        <f>IF('[1]P-GENERAL'!S329="","",'[1]P-GENERAL'!S329)</f>
        <v>8.3333333333333329E-2</v>
      </c>
      <c r="T329" s="16">
        <f>IF('[1]P-GENERAL'!T329="","",'[1]P-GENERAL'!T329)</f>
        <v>0.4375</v>
      </c>
      <c r="U329" s="17">
        <f>IF('[1]P-GENERAL'!U329="","",'[1]P-GENERAL'!U329)</f>
        <v>46290.520833333336</v>
      </c>
      <c r="V329" s="14">
        <f>IF('[1]P-GENERAL'!V329="","",'[1]P-GENERAL'!V329)</f>
        <v>46290</v>
      </c>
      <c r="W329" s="16">
        <f>IF('[1]P-GENERAL'!W329="","",'[1]P-GENERAL'!W329)</f>
        <v>0.5</v>
      </c>
      <c r="X329" s="14" t="str">
        <f>IF('[1]P-GENERAL'!X329="","",'[1]P-GENERAL'!X329)</f>
        <v>NO CUMPLE</v>
      </c>
      <c r="Y329" s="14" t="str">
        <f>IF('[1]P-GENERAL'!Y329="","",'[1]P-GENERAL'!Y329)</f>
        <v>NO CUMPLE</v>
      </c>
      <c r="Z329" s="14" t="str">
        <f>IF('[1]P-GENERAL'!Z329="","",'[1]P-GENERAL'!Z329)</f>
        <v>EMPAQUE TARDIO</v>
      </c>
      <c r="AA329" s="14" t="str">
        <f>IF('[1]P-GENERAL'!AA329="","",'[1]P-GENERAL'!AA329)</f>
        <v>DESPACHADO</v>
      </c>
      <c r="AB329" s="8" t="str">
        <f>IF('[1]P-GENERAL'!AB329="","",'[1]P-GENERAL'!AB329)</f>
        <v>AUTO EXPRESS SEGOVIA</v>
      </c>
      <c r="AC329" s="8" t="str">
        <f>IF('[1]P-GENERAL'!AC329="","",'[1]P-GENERAL'!AC329)</f>
        <v>Edgar Adrian castillo Trejo</v>
      </c>
      <c r="AD329">
        <f>IF('[1]P-GENERAL'!AD329="","",'[1]P-GENERAL'!AD329)</f>
        <v>42632</v>
      </c>
      <c r="AE329" t="str">
        <f>IF('[1]P-GENERAL'!AE329="","",'[1]P-GENERAL'!AE329)</f>
        <v/>
      </c>
    </row>
    <row r="330" spans="1:31" ht="20.25" x14ac:dyDescent="0.3">
      <c r="A330" s="11" t="str">
        <f>IF('[1]P-GENERAL'!A330="","",'[1]P-GENERAL'!A330)</f>
        <v>Chanitos Premium Tarima Chep</v>
      </c>
      <c r="B330" s="11" t="str">
        <f>IF('[1]P-GENERAL'!B330="","",'[1]P-GENERAL'!B330)</f>
        <v>CPR01102</v>
      </c>
      <c r="C330" t="str">
        <f>IF('[1]P-GENERAL'!C330="","",'[1]P-GENERAL'!C330)</f>
        <v>A01003-392409-1</v>
      </c>
      <c r="D330" t="str">
        <f>IF('[1]P-GENERAL'!D330="","",'[1]P-GENERAL'!D330)</f>
        <v>A01 003 Doña Nelly</v>
      </c>
      <c r="E330" s="8" t="str">
        <f>IF('[1]P-GENERAL'!E330="","",'[1]P-GENERAL'!E330)</f>
        <v>SMO</v>
      </c>
      <c r="F330" s="12">
        <f>IF('[1]P-GENERAL'!F330="","",'[1]P-GENERAL'!F330)</f>
        <v>672</v>
      </c>
      <c r="G330" s="13">
        <f>IF('[1]P-GENERAL'!G330="","",'[1]P-GENERAL'!G330)</f>
        <v>14</v>
      </c>
      <c r="H330" s="14">
        <f>IF('[1]P-GENERAL'!H330="","",'[1]P-GENERAL'!H330)</f>
        <v>46289</v>
      </c>
      <c r="I330">
        <f>IF('[1]P-GENERAL'!I330="","",'[1]P-GENERAL'!I330)</f>
        <v>39</v>
      </c>
      <c r="J330" s="15">
        <f>IF('[1]P-GENERAL'!J330="","",'[1]P-GENERAL'!J330)</f>
        <v>46293</v>
      </c>
      <c r="K330" s="14" t="str">
        <f>IF('[1]P-GENERAL'!K330="","",'[1]P-GENERAL'!K330)</f>
        <v/>
      </c>
      <c r="L330" s="14" t="str">
        <f>IF('[1]P-GENERAL'!L330="","",'[1]P-GENERAL'!L330)</f>
        <v>PREENFRIO NELLY</v>
      </c>
      <c r="M330">
        <f>IF('[1]P-GENERAL'!M330="","",'[1]P-GENERAL'!M330)</f>
        <v>1.5</v>
      </c>
      <c r="N330">
        <f>IF('[1]P-GENERAL'!N330="","",'[1]P-GENERAL'!N330)</f>
        <v>36</v>
      </c>
      <c r="O330" s="14">
        <f>IF('[1]P-GENERAL'!O330="","",'[1]P-GENERAL'!O330)</f>
        <v>46289</v>
      </c>
      <c r="P330" s="16">
        <f>IF('[1]P-GENERAL'!P330="","",'[1]P-GENERAL'!P330)</f>
        <v>0.75</v>
      </c>
      <c r="Q330" t="str">
        <f>IF('[1]P-GENERAL'!Q330="","",'[1]P-GENERAL'!Q330)</f>
        <v>ALTA</v>
      </c>
      <c r="R330" s="14">
        <f>IF('[1]P-GENERAL'!R330="","",'[1]P-GENERAL'!R330)</f>
        <v>46290</v>
      </c>
      <c r="S330" s="16">
        <f>IF('[1]P-GENERAL'!S330="","",'[1]P-GENERAL'!S330)</f>
        <v>0.5493055555555556</v>
      </c>
      <c r="T330" s="16">
        <f>IF('[1]P-GENERAL'!T330="","",'[1]P-GENERAL'!T330)</f>
        <v>0.35416666666666669</v>
      </c>
      <c r="U330" s="17">
        <f>IF('[1]P-GENERAL'!U330="","",'[1]P-GENERAL'!U330)</f>
        <v>46290.90347222222</v>
      </c>
      <c r="V330" s="14">
        <f>IF('[1]P-GENERAL'!V330="","",'[1]P-GENERAL'!V330)</f>
        <v>46292</v>
      </c>
      <c r="W330" s="16">
        <f>IF('[1]P-GENERAL'!W330="","",'[1]P-GENERAL'!W330)</f>
        <v>0.15625</v>
      </c>
      <c r="X330" s="14" t="str">
        <f>IF('[1]P-GENERAL'!X330="","",'[1]P-GENERAL'!X330)</f>
        <v>SI CUMPLE</v>
      </c>
      <c r="Y330" s="14" t="str">
        <f>IF('[1]P-GENERAL'!Y330="","",'[1]P-GENERAL'!Y330)</f>
        <v>NO CUMPLE</v>
      </c>
      <c r="Z330" s="14" t="str">
        <f>IF('[1]P-GENERAL'!Z330="","",'[1]P-GENERAL'!Z330)</f>
        <v/>
      </c>
      <c r="AA330" s="14" t="str">
        <f>IF('[1]P-GENERAL'!AA330="","",'[1]P-GENERAL'!AA330)</f>
        <v>DESPACHADO</v>
      </c>
      <c r="AB330" s="8" t="str">
        <f>IF('[1]P-GENERAL'!AB330="","",'[1]P-GENERAL'!AB330)</f>
        <v>ALICIA CRUZ FUENTES</v>
      </c>
      <c r="AC330" s="8" t="str">
        <f>IF('[1]P-GENERAL'!AC330="","",'[1]P-GENERAL'!AC330)</f>
        <v>ISIDRO PARDO PULIDO</v>
      </c>
      <c r="AD330">
        <f>IF('[1]P-GENERAL'!AD330="","",'[1]P-GENERAL'!AD330)</f>
        <v>13034</v>
      </c>
      <c r="AE330" t="str">
        <f>IF('[1]P-GENERAL'!AE330="","",'[1]P-GENERAL'!AE330)</f>
        <v/>
      </c>
    </row>
    <row r="331" spans="1:31" ht="20.25" x14ac:dyDescent="0.3">
      <c r="A331" s="11" t="str">
        <f>IF('[1]P-GENERAL'!A331="","",'[1]P-GENERAL'!A331)</f>
        <v>Chanitos Premium EUA Tarima Americana</v>
      </c>
      <c r="B331" s="11" t="str">
        <f>IF('[1]P-GENERAL'!B331="","",'[1]P-GENERAL'!B331)</f>
        <v>CPR01104</v>
      </c>
      <c r="C331" t="str">
        <f>IF('[1]P-GENERAL'!C331="","",'[1]P-GENERAL'!C331)</f>
        <v>A01003-392409-1</v>
      </c>
      <c r="D331" t="str">
        <f>IF('[1]P-GENERAL'!D331="","",'[1]P-GENERAL'!D331)</f>
        <v>A01 003 Doña Nelly</v>
      </c>
      <c r="E331" s="8" t="str">
        <f>IF('[1]P-GENERAL'!E331="","",'[1]P-GENERAL'!E331)</f>
        <v>McAllen</v>
      </c>
      <c r="F331" s="12">
        <f>IF('[1]P-GENERAL'!F331="","",'[1]P-GENERAL'!F331)</f>
        <v>960</v>
      </c>
      <c r="G331" s="13">
        <f>IF('[1]P-GENERAL'!G331="","",'[1]P-GENERAL'!G331)</f>
        <v>20</v>
      </c>
      <c r="H331" s="14">
        <f>IF('[1]P-GENERAL'!H331="","",'[1]P-GENERAL'!H331)</f>
        <v>46289</v>
      </c>
      <c r="I331">
        <f>IF('[1]P-GENERAL'!I331="","",'[1]P-GENERAL'!I331)</f>
        <v>39</v>
      </c>
      <c r="J331" s="15">
        <f>IF('[1]P-GENERAL'!J331="","",'[1]P-GENERAL'!J331)</f>
        <v>46294</v>
      </c>
      <c r="K331" s="14" t="str">
        <f>IF('[1]P-GENERAL'!K331="","",'[1]P-GENERAL'!K331)</f>
        <v/>
      </c>
      <c r="L331" s="14" t="str">
        <f>IF('[1]P-GENERAL'!L331="","",'[1]P-GENERAL'!L331)</f>
        <v>PREENFRIO NELLY</v>
      </c>
      <c r="M331" t="str">
        <f>IF('[1]P-GENERAL'!M331="","",'[1]P-GENERAL'!M331)</f>
        <v>SIN PRE</v>
      </c>
      <c r="N331" t="str">
        <f>IF('[1]P-GENERAL'!N331="","",'[1]P-GENERAL'!N331)</f>
        <v>SIN PRE</v>
      </c>
      <c r="O331" s="14">
        <f>IF('[1]P-GENERAL'!O331="","",'[1]P-GENERAL'!O331)</f>
        <v>46289</v>
      </c>
      <c r="P331" s="16">
        <f>IF('[1]P-GENERAL'!P331="","",'[1]P-GENERAL'!P331)</f>
        <v>0.75</v>
      </c>
      <c r="Q331" t="str">
        <f>IF('[1]P-GENERAL'!Q331="","",'[1]P-GENERAL'!Q331)</f>
        <v>ALTA</v>
      </c>
      <c r="R331" s="14" t="str">
        <f>IF('[1]P-GENERAL'!R331="","",'[1]P-GENERAL'!R331)</f>
        <v>SIN PRENFRIO</v>
      </c>
      <c r="S331" s="16" t="str">
        <f>IF('[1]P-GENERAL'!S331="","",'[1]P-GENERAL'!S331)</f>
        <v>SIN PRENFRIO</v>
      </c>
      <c r="T331" s="16" t="str">
        <f>IF('[1]P-GENERAL'!T331="","",'[1]P-GENERAL'!T331)</f>
        <v>SIN PRENFRIO</v>
      </c>
      <c r="U331" s="17" t="str">
        <f>IF('[1]P-GENERAL'!U331="","",'[1]P-GENERAL'!U331)</f>
        <v>SIN PRENFRIO</v>
      </c>
      <c r="V331" s="14">
        <f>IF('[1]P-GENERAL'!V331="","",'[1]P-GENERAL'!V331)</f>
        <v>46290</v>
      </c>
      <c r="W331" s="16">
        <f>IF('[1]P-GENERAL'!W331="","",'[1]P-GENERAL'!W331)</f>
        <v>0.66666666666666663</v>
      </c>
      <c r="X331" s="14" t="str">
        <f>IF('[1]P-GENERAL'!X331="","",'[1]P-GENERAL'!X331)</f>
        <v/>
      </c>
      <c r="Y331" s="14" t="str">
        <f>IF('[1]P-GENERAL'!Y331="","",'[1]P-GENERAL'!Y331)</f>
        <v>NO CUMPLE</v>
      </c>
      <c r="Z331" s="14" t="str">
        <f>IF('[1]P-GENERAL'!Z331="","",'[1]P-GENERAL'!Z331)</f>
        <v/>
      </c>
      <c r="AA331" s="14" t="str">
        <f>IF('[1]P-GENERAL'!AA331="","",'[1]P-GENERAL'!AA331)</f>
        <v>DESPACHADO</v>
      </c>
      <c r="AB331" s="8" t="str">
        <f>IF('[1]P-GENERAL'!AB331="","",'[1]P-GENERAL'!AB331)</f>
        <v>AUTO EXPRESS SEGOVIA</v>
      </c>
      <c r="AC331" s="8" t="str">
        <f>IF('[1]P-GENERAL'!AC331="","",'[1]P-GENERAL'!AC331)</f>
        <v>CARLOS ALBERTO DOMINGUEZ</v>
      </c>
      <c r="AD331">
        <f>IF('[1]P-GENERAL'!AD331="","",'[1]P-GENERAL'!AD331)</f>
        <v>25512</v>
      </c>
      <c r="AE331" t="str">
        <f>IF('[1]P-GENERAL'!AE331="","",'[1]P-GENERAL'!AE331)</f>
        <v/>
      </c>
    </row>
    <row r="332" spans="1:31" ht="20.25" x14ac:dyDescent="0.3">
      <c r="A332" s="11" t="str">
        <f>IF('[1]P-GENERAL'!A332="","",'[1]P-GENERAL'!A332)</f>
        <v>Chanitos Premium Tarima Americana</v>
      </c>
      <c r="B332" s="11" t="str">
        <f>IF('[1]P-GENERAL'!B332="","",'[1]P-GENERAL'!B332)</f>
        <v>CPR01103</v>
      </c>
      <c r="C332" t="str">
        <f>IF('[1]P-GENERAL'!C332="","",'[1]P-GENERAL'!C332)</f>
        <v>A04039-392309-1</v>
      </c>
      <c r="D332" t="str">
        <f>IF('[1]P-GENERAL'!D332="","",'[1]P-GENERAL'!D332)</f>
        <v>A04 039 San Jose Morelia Nava</v>
      </c>
      <c r="E332" s="8" t="str">
        <f>IF('[1]P-GENERAL'!E332="","",'[1]P-GENERAL'!E332)</f>
        <v>S-MTY</v>
      </c>
      <c r="F332" s="12">
        <f>IF('[1]P-GENERAL'!F332="","",'[1]P-GENERAL'!F332)</f>
        <v>240</v>
      </c>
      <c r="G332" s="13">
        <f>IF('[1]P-GENERAL'!G332="","",'[1]P-GENERAL'!G332)</f>
        <v>4</v>
      </c>
      <c r="H332" s="14">
        <f>IF('[1]P-GENERAL'!H332="","",'[1]P-GENERAL'!H332)</f>
        <v>46288</v>
      </c>
      <c r="I332">
        <f>IF('[1]P-GENERAL'!I332="","",'[1]P-GENERAL'!I332)</f>
        <v>39</v>
      </c>
      <c r="J332" s="15">
        <f>IF('[1]P-GENERAL'!J332="","",'[1]P-GENERAL'!J332)</f>
        <v>46295</v>
      </c>
      <c r="K332" s="14">
        <f>IF('[1]P-GENERAL'!K332="","",'[1]P-GENERAL'!K332)</f>
        <v>0.25</v>
      </c>
      <c r="L332" s="14" t="str">
        <f>IF('[1]P-GENERAL'!L332="","",'[1]P-GENERAL'!L332)</f>
        <v>PREENFRIO NELLY</v>
      </c>
      <c r="M332">
        <f>IF('[1]P-GENERAL'!M332="","",'[1]P-GENERAL'!M332)</f>
        <v>3</v>
      </c>
      <c r="N332">
        <f>IF('[1]P-GENERAL'!N332="","",'[1]P-GENERAL'!N332)</f>
        <v>72</v>
      </c>
      <c r="O332" s="14">
        <f>IF('[1]P-GENERAL'!O332="","",'[1]P-GENERAL'!O332)</f>
        <v>46289</v>
      </c>
      <c r="P332" s="16">
        <f>IF('[1]P-GENERAL'!P332="","",'[1]P-GENERAL'!P332)</f>
        <v>0.83333333333333337</v>
      </c>
      <c r="Q332" t="str">
        <f>IF('[1]P-GENERAL'!Q332="","",'[1]P-GENERAL'!Q332)</f>
        <v>ALTA</v>
      </c>
      <c r="R332" s="14">
        <f>IF('[1]P-GENERAL'!R332="","",'[1]P-GENERAL'!R332)</f>
        <v>46290</v>
      </c>
      <c r="S332" s="16">
        <f>IF('[1]P-GENERAL'!S332="","",'[1]P-GENERAL'!S332)</f>
        <v>0.70833333333333337</v>
      </c>
      <c r="T332" s="16">
        <f>IF('[1]P-GENERAL'!T332="","",'[1]P-GENERAL'!T332)</f>
        <v>0.4375</v>
      </c>
      <c r="U332" s="17">
        <f>IF('[1]P-GENERAL'!U332="","",'[1]P-GENERAL'!U332)</f>
        <v>46291.145833333336</v>
      </c>
      <c r="V332" s="14">
        <f>IF('[1]P-GENERAL'!V332="","",'[1]P-GENERAL'!V332)</f>
        <v>46291</v>
      </c>
      <c r="W332" s="16">
        <f>IF('[1]P-GENERAL'!W332="","",'[1]P-GENERAL'!W332)</f>
        <v>0.71527777777777779</v>
      </c>
      <c r="X332" s="14" t="str">
        <f>IF('[1]P-GENERAL'!X332="","",'[1]P-GENERAL'!X332)</f>
        <v>SI CUMPLE</v>
      </c>
      <c r="Y332" s="14" t="str">
        <f>IF('[1]P-GENERAL'!Y332="","",'[1]P-GENERAL'!Y332)</f>
        <v>SI CUMPLE</v>
      </c>
      <c r="Z332" s="14" t="str">
        <f>IF('[1]P-GENERAL'!Z332="","",'[1]P-GENERAL'!Z332)</f>
        <v>EMPAQUE TARDIO</v>
      </c>
      <c r="AA332" s="14" t="str">
        <f>IF('[1]P-GENERAL'!AA332="","",'[1]P-GENERAL'!AA332)</f>
        <v>DESPACHADO</v>
      </c>
      <c r="AB332" s="8" t="str">
        <f>IF('[1]P-GENERAL'!AB332="","",'[1]P-GENERAL'!AB332)</f>
        <v>TRANSPORTES ALGEZA</v>
      </c>
      <c r="AC332" s="8" t="str">
        <f>IF('[1]P-GENERAL'!AC332="","",'[1]P-GENERAL'!AC332)</f>
        <v>JESUS MANUEL GOMEZ SANCHEZ</v>
      </c>
      <c r="AD332">
        <f>IF('[1]P-GENERAL'!AD332="","",'[1]P-GENERAL'!AD332)</f>
        <v>59712</v>
      </c>
      <c r="AE332" t="str">
        <f>IF('[1]P-GENERAL'!AE332="","",'[1]P-GENERAL'!AE332)</f>
        <v/>
      </c>
    </row>
    <row r="333" spans="1:31" ht="20.25" x14ac:dyDescent="0.3">
      <c r="A333" s="11" t="str">
        <f>IF('[1]P-GENERAL'!A333="","",'[1]P-GENERAL'!A333)</f>
        <v>Chanitos Premium EUA Tarima Americana</v>
      </c>
      <c r="B333" s="11" t="str">
        <f>IF('[1]P-GENERAL'!B333="","",'[1]P-GENERAL'!B333)</f>
        <v>CPR01104</v>
      </c>
      <c r="C333" t="str">
        <f>IF('[1]P-GENERAL'!C333="","",'[1]P-GENERAL'!C333)</f>
        <v>A06043-392409-1</v>
      </c>
      <c r="D333" t="str">
        <f>IF('[1]P-GENERAL'!D333="","",'[1]P-GENERAL'!D333)</f>
        <v>A06 043 Nuestra señora</v>
      </c>
      <c r="E333" s="8" t="str">
        <f>IF('[1]P-GENERAL'!E333="","",'[1]P-GENERAL'!E333)</f>
        <v>McAllen</v>
      </c>
      <c r="F333" s="12">
        <f>IF('[1]P-GENERAL'!F333="","",'[1]P-GENERAL'!F333)</f>
        <v>480</v>
      </c>
      <c r="G333" s="13">
        <f>IF('[1]P-GENERAL'!G333="","",'[1]P-GENERAL'!G333)</f>
        <v>10</v>
      </c>
      <c r="H333" s="14">
        <f>IF('[1]P-GENERAL'!H333="","",'[1]P-GENERAL'!H333)</f>
        <v>46289</v>
      </c>
      <c r="I333">
        <f>IF('[1]P-GENERAL'!I333="","",'[1]P-GENERAL'!I333)</f>
        <v>39</v>
      </c>
      <c r="J333" s="15">
        <f>IF('[1]P-GENERAL'!J333="","",'[1]P-GENERAL'!J333)</f>
        <v>46295</v>
      </c>
      <c r="K333" s="14" t="str">
        <f>IF('[1]P-GENERAL'!K333="","",'[1]P-GENERAL'!K333)</f>
        <v/>
      </c>
      <c r="L333" s="14" t="str">
        <f>IF('[1]P-GENERAL'!L333="","",'[1]P-GENERAL'!L333)</f>
        <v>PREENFRIO NELLY</v>
      </c>
      <c r="M333" t="str">
        <f>IF('[1]P-GENERAL'!M333="","",'[1]P-GENERAL'!M333)</f>
        <v>SIN PRE</v>
      </c>
      <c r="N333" t="str">
        <f>IF('[1]P-GENERAL'!N333="","",'[1]P-GENERAL'!N333)</f>
        <v>SIN PRE</v>
      </c>
      <c r="O333" s="14">
        <f>IF('[1]P-GENERAL'!O333="","",'[1]P-GENERAL'!O333)</f>
        <v>46289</v>
      </c>
      <c r="P333" s="16">
        <f>IF('[1]P-GENERAL'!P333="","",'[1]P-GENERAL'!P333)</f>
        <v>0.75</v>
      </c>
      <c r="Q333" t="str">
        <f>IF('[1]P-GENERAL'!Q333="","",'[1]P-GENERAL'!Q333)</f>
        <v>ALTA</v>
      </c>
      <c r="R333" s="14" t="str">
        <f>IF('[1]P-GENERAL'!R333="","",'[1]P-GENERAL'!R333)</f>
        <v>SIN PRENFRIO</v>
      </c>
      <c r="S333" s="16" t="str">
        <f>IF('[1]P-GENERAL'!S333="","",'[1]P-GENERAL'!S333)</f>
        <v>SIN PRENFRIO</v>
      </c>
      <c r="T333" s="16" t="str">
        <f>IF('[1]P-GENERAL'!T333="","",'[1]P-GENERAL'!T333)</f>
        <v>SIN PRENFRIO</v>
      </c>
      <c r="U333" s="17" t="str">
        <f>IF('[1]P-GENERAL'!U333="","",'[1]P-GENERAL'!U333)</f>
        <v>SIN PRENFRIO</v>
      </c>
      <c r="V333" s="14">
        <f>IF('[1]P-GENERAL'!V333="","",'[1]P-GENERAL'!V333)</f>
        <v>46290</v>
      </c>
      <c r="W333" s="16">
        <f>IF('[1]P-GENERAL'!W333="","",'[1]P-GENERAL'!W333)</f>
        <v>0.66666666666666663</v>
      </c>
      <c r="X333" s="14" t="str">
        <f>IF('[1]P-GENERAL'!X333="","",'[1]P-GENERAL'!X333)</f>
        <v/>
      </c>
      <c r="Y333" s="14" t="str">
        <f>IF('[1]P-GENERAL'!Y333="","",'[1]P-GENERAL'!Y333)</f>
        <v>NO CUMPLE</v>
      </c>
      <c r="Z333" s="14" t="str">
        <f>IF('[1]P-GENERAL'!Z333="","",'[1]P-GENERAL'!Z333)</f>
        <v/>
      </c>
      <c r="AA333" s="14" t="str">
        <f>IF('[1]P-GENERAL'!AA333="","",'[1]P-GENERAL'!AA333)</f>
        <v>DESPACHADO</v>
      </c>
      <c r="AB333" s="8" t="str">
        <f>IF('[1]P-GENERAL'!AB333="","",'[1]P-GENERAL'!AB333)</f>
        <v>AUTO EXPRESS SEGOVIA</v>
      </c>
      <c r="AC333" s="8" t="str">
        <f>IF('[1]P-GENERAL'!AC333="","",'[1]P-GENERAL'!AC333)</f>
        <v>CARLOS ALBERTO DOMINGUEZ</v>
      </c>
      <c r="AD333">
        <f>IF('[1]P-GENERAL'!AD333="","",'[1]P-GENERAL'!AD333)</f>
        <v>98491</v>
      </c>
      <c r="AE333" t="str">
        <f>IF('[1]P-GENERAL'!AE333="","",'[1]P-GENERAL'!AE333)</f>
        <v/>
      </c>
    </row>
    <row r="334" spans="1:31" ht="20.25" x14ac:dyDescent="0.3">
      <c r="A334" s="11" t="str">
        <f>IF('[1]P-GENERAL'!A334="","",'[1]P-GENERAL'!A334)</f>
        <v>Chanitos Premium Tarima Americana</v>
      </c>
      <c r="B334" s="11" t="str">
        <f>IF('[1]P-GENERAL'!B334="","",'[1]P-GENERAL'!B334)</f>
        <v>CPR01103</v>
      </c>
      <c r="C334" t="str">
        <f>IF('[1]P-GENERAL'!C334="","",'[1]P-GENERAL'!C334)</f>
        <v>A04039-392409-1</v>
      </c>
      <c r="D334" t="str">
        <f>IF('[1]P-GENERAL'!D334="","",'[1]P-GENERAL'!D334)</f>
        <v>A04 039 San Jose Morelia Nava</v>
      </c>
      <c r="E334" s="8" t="str">
        <f>IF('[1]P-GENERAL'!E334="","",'[1]P-GENERAL'!E334)</f>
        <v>S-MTY</v>
      </c>
      <c r="F334" s="12">
        <f>IF('[1]P-GENERAL'!F334="","",'[1]P-GENERAL'!F334)</f>
        <v>336</v>
      </c>
      <c r="G334" s="13">
        <f>IF('[1]P-GENERAL'!G334="","",'[1]P-GENERAL'!G334)</f>
        <v>7</v>
      </c>
      <c r="H334" s="14">
        <f>IF('[1]P-GENERAL'!H334="","",'[1]P-GENERAL'!H334)</f>
        <v>46289</v>
      </c>
      <c r="I334">
        <f>IF('[1]P-GENERAL'!I334="","",'[1]P-GENERAL'!I334)</f>
        <v>39</v>
      </c>
      <c r="J334" s="15">
        <f>IF('[1]P-GENERAL'!J334="","",'[1]P-GENERAL'!J334)</f>
        <v>46295</v>
      </c>
      <c r="K334" s="14">
        <f>IF('[1]P-GENERAL'!K334="","",'[1]P-GENERAL'!K334)</f>
        <v>0.25</v>
      </c>
      <c r="L334" s="14" t="str">
        <f>IF('[1]P-GENERAL'!L334="","",'[1]P-GENERAL'!L334)</f>
        <v>PREENFRIO NELLY</v>
      </c>
      <c r="M334">
        <f>IF('[1]P-GENERAL'!M334="","",'[1]P-GENERAL'!M334)</f>
        <v>3</v>
      </c>
      <c r="N334">
        <f>IF('[1]P-GENERAL'!N334="","",'[1]P-GENERAL'!N334)</f>
        <v>72</v>
      </c>
      <c r="O334" s="14">
        <f>IF('[1]P-GENERAL'!O334="","",'[1]P-GENERAL'!O334)</f>
        <v>46289</v>
      </c>
      <c r="P334" s="16">
        <f>IF('[1]P-GENERAL'!P334="","",'[1]P-GENERAL'!P334)</f>
        <v>0.83333333333333337</v>
      </c>
      <c r="Q334" t="str">
        <f>IF('[1]P-GENERAL'!Q334="","",'[1]P-GENERAL'!Q334)</f>
        <v>ALTA</v>
      </c>
      <c r="R334" s="14">
        <f>IF('[1]P-GENERAL'!R334="","",'[1]P-GENERAL'!R334)</f>
        <v>46290</v>
      </c>
      <c r="S334" s="16">
        <f>IF('[1]P-GENERAL'!S334="","",'[1]P-GENERAL'!S334)</f>
        <v>0.70833333333333337</v>
      </c>
      <c r="T334" s="16">
        <f>IF('[1]P-GENERAL'!T334="","",'[1]P-GENERAL'!T334)</f>
        <v>0.4375</v>
      </c>
      <c r="U334" s="17">
        <f>IF('[1]P-GENERAL'!U334="","",'[1]P-GENERAL'!U334)</f>
        <v>46291.145833333336</v>
      </c>
      <c r="V334" s="14">
        <f>IF('[1]P-GENERAL'!V334="","",'[1]P-GENERAL'!V334)</f>
        <v>46291</v>
      </c>
      <c r="W334" s="16">
        <f>IF('[1]P-GENERAL'!W334="","",'[1]P-GENERAL'!W334)</f>
        <v>0.71527777777777779</v>
      </c>
      <c r="X334" s="14" t="str">
        <f>IF('[1]P-GENERAL'!X334="","",'[1]P-GENERAL'!X334)</f>
        <v>SI CUMPLE</v>
      </c>
      <c r="Y334" s="14" t="str">
        <f>IF('[1]P-GENERAL'!Y334="","",'[1]P-GENERAL'!Y334)</f>
        <v>SI CUMPLE</v>
      </c>
      <c r="Z334" s="14" t="str">
        <f>IF('[1]P-GENERAL'!Z334="","",'[1]P-GENERAL'!Z334)</f>
        <v>EMPAQUE TARDIO</v>
      </c>
      <c r="AA334" s="14" t="str">
        <f>IF('[1]P-GENERAL'!AA334="","",'[1]P-GENERAL'!AA334)</f>
        <v>DESPACHADO</v>
      </c>
      <c r="AB334" s="8" t="str">
        <f>IF('[1]P-GENERAL'!AB334="","",'[1]P-GENERAL'!AB334)</f>
        <v>TRANSPORTES ALGEZA</v>
      </c>
      <c r="AC334" s="8" t="str">
        <f>IF('[1]P-GENERAL'!AC334="","",'[1]P-GENERAL'!AC334)</f>
        <v>JESUS MANUEL GOMEZ SANCHEZ</v>
      </c>
      <c r="AD334">
        <f>IF('[1]P-GENERAL'!AD334="","",'[1]P-GENERAL'!AD334)</f>
        <v>59712</v>
      </c>
      <c r="AE334" t="str">
        <f>IF('[1]P-GENERAL'!AE334="","",'[1]P-GENERAL'!AE334)</f>
        <v/>
      </c>
    </row>
    <row r="335" spans="1:31" ht="20.25" x14ac:dyDescent="0.3">
      <c r="A335" s="11" t="str">
        <f>IF('[1]P-GENERAL'!A335="","",'[1]P-GENERAL'!A335)</f>
        <v>Chanitos Premium Tarima Chep</v>
      </c>
      <c r="B335" s="11" t="str">
        <f>IF('[1]P-GENERAL'!B335="","",'[1]P-GENERAL'!B335)</f>
        <v>CPR01102</v>
      </c>
      <c r="C335" t="str">
        <f>IF('[1]P-GENERAL'!C335="","",'[1]P-GENERAL'!C335)</f>
        <v>A01001-392509-1</v>
      </c>
      <c r="D335" t="str">
        <f>IF('[1]P-GENERAL'!D335="","",'[1]P-GENERAL'!D335)</f>
        <v>A01 001 Marbella</v>
      </c>
      <c r="E335" s="8" t="str">
        <f>IF('[1]P-GENERAL'!E335="","",'[1]P-GENERAL'!E335)</f>
        <v>SMO</v>
      </c>
      <c r="F335" s="12">
        <f>IF('[1]P-GENERAL'!F335="","",'[1]P-GENERAL'!F335)</f>
        <v>1152</v>
      </c>
      <c r="G335" s="13">
        <f>IF('[1]P-GENERAL'!G335="","",'[1]P-GENERAL'!G335)</f>
        <v>24</v>
      </c>
      <c r="H335" s="14">
        <f>IF('[1]P-GENERAL'!H335="","",'[1]P-GENERAL'!H335)</f>
        <v>46290</v>
      </c>
      <c r="I335">
        <f>IF('[1]P-GENERAL'!I335="","",'[1]P-GENERAL'!I335)</f>
        <v>39</v>
      </c>
      <c r="J335" s="15">
        <f>IF('[1]P-GENERAL'!J335="","",'[1]P-GENERAL'!J335)</f>
        <v>46294</v>
      </c>
      <c r="K335" s="14">
        <f>IF('[1]P-GENERAL'!K335="","",'[1]P-GENERAL'!K335)</f>
        <v>0.45833333333333331</v>
      </c>
      <c r="L335" s="14" t="str">
        <f>IF('[1]P-GENERAL'!L335="","",'[1]P-GENERAL'!L335)</f>
        <v>PREENFRIO FORTALEZA</v>
      </c>
      <c r="M335">
        <f>IF('[1]P-GENERAL'!M335="","",'[1]P-GENERAL'!M335)</f>
        <v>1.5</v>
      </c>
      <c r="N335">
        <f>IF('[1]P-GENERAL'!N335="","",'[1]P-GENERAL'!N335)</f>
        <v>36</v>
      </c>
      <c r="O335" s="14">
        <f>IF('[1]P-GENERAL'!O335="","",'[1]P-GENERAL'!O335)</f>
        <v>46290</v>
      </c>
      <c r="P335" s="16">
        <f>IF('[1]P-GENERAL'!P335="","",'[1]P-GENERAL'!P335)</f>
        <v>0.79166666666666663</v>
      </c>
      <c r="Q335" t="str">
        <f>IF('[1]P-GENERAL'!Q335="","",'[1]P-GENERAL'!Q335)</f>
        <v>NORMAL</v>
      </c>
      <c r="R335" s="14">
        <f>IF('[1]P-GENERAL'!R335="","",'[1]P-GENERAL'!R335)</f>
        <v>46292</v>
      </c>
      <c r="S335" s="16">
        <f>IF('[1]P-GENERAL'!S335="","",'[1]P-GENERAL'!S335)</f>
        <v>4.583333333333333E-2</v>
      </c>
      <c r="T335" s="16">
        <f>IF('[1]P-GENERAL'!T335="","",'[1]P-GENERAL'!T335)</f>
        <v>0.45833333333333331</v>
      </c>
      <c r="U335" s="17">
        <f>IF('[1]P-GENERAL'!U335="","",'[1]P-GENERAL'!U335)</f>
        <v>46292.504166666666</v>
      </c>
      <c r="V335" s="14">
        <f>IF('[1]P-GENERAL'!V335="","",'[1]P-GENERAL'!V335)</f>
        <v>46292</v>
      </c>
      <c r="W335" s="16">
        <f>IF('[1]P-GENERAL'!W335="","",'[1]P-GENERAL'!W335)</f>
        <v>0.5805555555555556</v>
      </c>
      <c r="X335" s="14" t="str">
        <f>IF('[1]P-GENERAL'!X335="","",'[1]P-GENERAL'!X335)</f>
        <v>SI CUMPLE</v>
      </c>
      <c r="Y335" s="14" t="str">
        <f>IF('[1]P-GENERAL'!Y335="","",'[1]P-GENERAL'!Y335)</f>
        <v>SI CUMPLE</v>
      </c>
      <c r="Z335" s="14" t="str">
        <f>IF('[1]P-GENERAL'!Z335="","",'[1]P-GENERAL'!Z335)</f>
        <v>EMPAQUE TARDIO</v>
      </c>
      <c r="AA335" s="14" t="str">
        <f>IF('[1]P-GENERAL'!AA335="","",'[1]P-GENERAL'!AA335)</f>
        <v>DESPACHADO</v>
      </c>
      <c r="AB335" s="8" t="str">
        <f>IF('[1]P-GENERAL'!AB335="","",'[1]P-GENERAL'!AB335)</f>
        <v>SAUL LOPEZ ARZATE</v>
      </c>
      <c r="AC335" s="8" t="str">
        <f>IF('[1]P-GENERAL'!AC335="","",'[1]P-GENERAL'!AC335)</f>
        <v>ALDO LUCAS VARGAS</v>
      </c>
      <c r="AD335">
        <f>IF('[1]P-GENERAL'!AD335="","",'[1]P-GENERAL'!AD335)</f>
        <v>87246</v>
      </c>
      <c r="AE335" t="str">
        <f>IF('[1]P-GENERAL'!AE335="","",'[1]P-GENERAL'!AE335)</f>
        <v>QEP1W00YQ0</v>
      </c>
    </row>
    <row r="336" spans="1:31" ht="20.25" x14ac:dyDescent="0.3">
      <c r="A336" s="11" t="str">
        <f>IF('[1]P-GENERAL'!A336="","",'[1]P-GENERAL'!A336)</f>
        <v>Chanitos Premium EUA Tarima Americana</v>
      </c>
      <c r="B336" s="11" t="str">
        <f>IF('[1]P-GENERAL'!B336="","",'[1]P-GENERAL'!B336)</f>
        <v>CPR01104</v>
      </c>
      <c r="C336" t="str">
        <f>IF('[1]P-GENERAL'!C336="","",'[1]P-GENERAL'!C336)</f>
        <v>A04084-392309-1</v>
      </c>
      <c r="D336" t="str">
        <f>IF('[1]P-GENERAL'!D336="","",'[1]P-GENERAL'!D336)</f>
        <v>A04 084 Lisboa</v>
      </c>
      <c r="E336" s="8" t="str">
        <f>IF('[1]P-GENERAL'!E336="","",'[1]P-GENERAL'!E336)</f>
        <v>McAllen</v>
      </c>
      <c r="F336" s="12">
        <f>IF('[1]P-GENERAL'!F336="","",'[1]P-GENERAL'!F336)</f>
        <v>480</v>
      </c>
      <c r="G336" s="13">
        <f>IF('[1]P-GENERAL'!G336="","",'[1]P-GENERAL'!G336)</f>
        <v>10</v>
      </c>
      <c r="H336" s="14">
        <f>IF('[1]P-GENERAL'!H336="","",'[1]P-GENERAL'!H336)</f>
        <v>46288</v>
      </c>
      <c r="I336">
        <f>IF('[1]P-GENERAL'!I336="","",'[1]P-GENERAL'!I336)</f>
        <v>39</v>
      </c>
      <c r="J336" s="15">
        <f>IF('[1]P-GENERAL'!J336="","",'[1]P-GENERAL'!J336)</f>
        <v>46295</v>
      </c>
      <c r="K336" s="14" t="str">
        <f>IF('[1]P-GENERAL'!K336="","",'[1]P-GENERAL'!K336)</f>
        <v/>
      </c>
      <c r="L336" s="14" t="str">
        <f>IF('[1]P-GENERAL'!L336="","",'[1]P-GENERAL'!L336)</f>
        <v>PREENFRIO FORTALEZA</v>
      </c>
      <c r="M336">
        <f>IF('[1]P-GENERAL'!M336="","",'[1]P-GENERAL'!M336)</f>
        <v>3</v>
      </c>
      <c r="N336">
        <f>IF('[1]P-GENERAL'!N336="","",'[1]P-GENERAL'!N336)</f>
        <v>72</v>
      </c>
      <c r="O336" s="14">
        <f>IF('[1]P-GENERAL'!O336="","",'[1]P-GENERAL'!O336)</f>
        <v>46289</v>
      </c>
      <c r="P336" s="16">
        <f>IF('[1]P-GENERAL'!P336="","",'[1]P-GENERAL'!P336)</f>
        <v>0.83472222222222225</v>
      </c>
      <c r="Q336" t="str">
        <f>IF('[1]P-GENERAL'!Q336="","",'[1]P-GENERAL'!Q336)</f>
        <v>NORMAL</v>
      </c>
      <c r="R336" s="14" t="str">
        <f>IF('[1]P-GENERAL'!R336="","",'[1]P-GENERAL'!R336)</f>
        <v/>
      </c>
      <c r="S336" s="16" t="str">
        <f>IF('[1]P-GENERAL'!S336="","",'[1]P-GENERAL'!S336)</f>
        <v/>
      </c>
      <c r="T336" s="16" t="str">
        <f>IF('[1]P-GENERAL'!T336="","",'[1]P-GENERAL'!T336)</f>
        <v/>
      </c>
      <c r="U336" s="17" t="str">
        <f>IF('[1]P-GENERAL'!U336="","",'[1]P-GENERAL'!U336)</f>
        <v/>
      </c>
      <c r="V336" s="14">
        <f>IF('[1]P-GENERAL'!V336="","",'[1]P-GENERAL'!V336)</f>
        <v>46290</v>
      </c>
      <c r="W336" s="16">
        <f>IF('[1]P-GENERAL'!W336="","",'[1]P-GENERAL'!W336)</f>
        <v>6.25E-2</v>
      </c>
      <c r="X336" s="14" t="str">
        <f>IF('[1]P-GENERAL'!X336="","",'[1]P-GENERAL'!X336)</f>
        <v/>
      </c>
      <c r="Y336" s="14" t="str">
        <f>IF('[1]P-GENERAL'!Y336="","",'[1]P-GENERAL'!Y336)</f>
        <v>SI CUMPLE</v>
      </c>
      <c r="Z336" s="14" t="str">
        <f>IF('[1]P-GENERAL'!Z336="","",'[1]P-GENERAL'!Z336)</f>
        <v/>
      </c>
      <c r="AA336" s="14" t="str">
        <f>IF('[1]P-GENERAL'!AA336="","",'[1]P-GENERAL'!AA336)</f>
        <v>DESPACHADO</v>
      </c>
      <c r="AB336" s="8" t="str">
        <f>IF('[1]P-GENERAL'!AB336="","",'[1]P-GENERAL'!AB336)</f>
        <v>AUTO EXPRESS SEGOVIA</v>
      </c>
      <c r="AC336" s="8" t="str">
        <f>IF('[1]P-GENERAL'!AC336="","",'[1]P-GENERAL'!AC336)</f>
        <v>ROSENDO HERRERA</v>
      </c>
      <c r="AD336">
        <f>IF('[1]P-GENERAL'!AD336="","",'[1]P-GENERAL'!AD336)</f>
        <v>16969</v>
      </c>
      <c r="AE336" t="str">
        <f>IF('[1]P-GENERAL'!AE336="","",'[1]P-GENERAL'!AE336)</f>
        <v>QCH1W04P60</v>
      </c>
    </row>
    <row r="337" spans="1:31" ht="20.25" x14ac:dyDescent="0.3">
      <c r="A337" s="11" t="str">
        <f>IF('[1]P-GENERAL'!A337="","",'[1]P-GENERAL'!A337)</f>
        <v>Chanitos Plantain 20Kg Tarima Americana</v>
      </c>
      <c r="B337" s="11" t="str">
        <f>IF('[1]P-GENERAL'!B337="","",'[1]P-GENERAL'!B337)</f>
        <v>CPL08134</v>
      </c>
      <c r="C337" t="str">
        <f>IF('[1]P-GENERAL'!C337="","",'[1]P-GENERAL'!C337)</f>
        <v>A41100-392409-1</v>
      </c>
      <c r="D337" t="str">
        <f>IF('[1]P-GENERAL'!D337="","",'[1]P-GENERAL'!D337)</f>
        <v>A41 100 Doña Lupe JV</v>
      </c>
      <c r="E337" s="8" t="str">
        <f>IF('[1]P-GENERAL'!E337="","",'[1]P-GENERAL'!E337)</f>
        <v>CEDA</v>
      </c>
      <c r="F337" s="12">
        <f>IF('[1]P-GENERAL'!F337="","",'[1]P-GENERAL'!F337)</f>
        <v>480</v>
      </c>
      <c r="G337" s="13">
        <f>IF('[1]P-GENERAL'!G337="","",'[1]P-GENERAL'!G337)</f>
        <v>10</v>
      </c>
      <c r="H337" s="14">
        <f>IF('[1]P-GENERAL'!H337="","",'[1]P-GENERAL'!H337)</f>
        <v>46289</v>
      </c>
      <c r="I337">
        <f>IF('[1]P-GENERAL'!I337="","",'[1]P-GENERAL'!I337)</f>
        <v>39</v>
      </c>
      <c r="J337" s="15">
        <f>IF('[1]P-GENERAL'!J337="","",'[1]P-GENERAL'!J337)</f>
        <v>46292</v>
      </c>
      <c r="K337" s="14" t="str">
        <f>IF('[1]P-GENERAL'!K337="","",'[1]P-GENERAL'!K337)</f>
        <v/>
      </c>
      <c r="L337" s="14" t="str">
        <f>IF('[1]P-GENERAL'!L337="","",'[1]P-GENERAL'!L337)</f>
        <v>PREENFRIO NELLY</v>
      </c>
      <c r="M337">
        <f>IF('[1]P-GENERAL'!M337="","",'[1]P-GENERAL'!M337)</f>
        <v>1.5</v>
      </c>
      <c r="N337">
        <f>IF('[1]P-GENERAL'!N337="","",'[1]P-GENERAL'!N337)</f>
        <v>36</v>
      </c>
      <c r="O337" s="14">
        <f>IF('[1]P-GENERAL'!O337="","",'[1]P-GENERAL'!O337)</f>
        <v>46290</v>
      </c>
      <c r="P337" s="16">
        <f>IF('[1]P-GENERAL'!P337="","",'[1]P-GENERAL'!P337)</f>
        <v>0.29166666666666669</v>
      </c>
      <c r="Q337" t="str">
        <f>IF('[1]P-GENERAL'!Q337="","",'[1]P-GENERAL'!Q337)</f>
        <v>ALTA</v>
      </c>
      <c r="R337" s="14">
        <f>IF('[1]P-GENERAL'!R337="","",'[1]P-GENERAL'!R337)</f>
        <v>46290</v>
      </c>
      <c r="S337" s="16">
        <f>IF('[1]P-GENERAL'!S337="","",'[1]P-GENERAL'!S337)</f>
        <v>0.69097222222222221</v>
      </c>
      <c r="T337" s="16">
        <f>IF('[1]P-GENERAL'!T337="","",'[1]P-GENERAL'!T337)</f>
        <v>0.35416666666666669</v>
      </c>
      <c r="U337" s="17">
        <f>IF('[1]P-GENERAL'!U337="","",'[1]P-GENERAL'!U337)</f>
        <v>46291.045138888883</v>
      </c>
      <c r="V337" s="14">
        <f>IF('[1]P-GENERAL'!V337="","",'[1]P-GENERAL'!V337)</f>
        <v>46290</v>
      </c>
      <c r="W337" s="16">
        <f>IF('[1]P-GENERAL'!W337="","",'[1]P-GENERAL'!W337)</f>
        <v>0.96875</v>
      </c>
      <c r="X337" s="14" t="str">
        <f>IF('[1]P-GENERAL'!X337="","",'[1]P-GENERAL'!X337)</f>
        <v>NO CUMPLE</v>
      </c>
      <c r="Y337" s="14" t="str">
        <f>IF('[1]P-GENERAL'!Y337="","",'[1]P-GENERAL'!Y337)</f>
        <v>NO CUMPLE</v>
      </c>
      <c r="Z337" s="14" t="str">
        <f>IF('[1]P-GENERAL'!Z337="","",'[1]P-GENERAL'!Z337)</f>
        <v/>
      </c>
      <c r="AA337" s="14" t="str">
        <f>IF('[1]P-GENERAL'!AA337="","",'[1]P-GENERAL'!AA337)</f>
        <v>DESPACHADO</v>
      </c>
      <c r="AB337" s="8" t="str">
        <f>IF('[1]P-GENERAL'!AB337="","",'[1]P-GENERAL'!AB337)</f>
        <v>AGUILAR</v>
      </c>
      <c r="AC337" s="8" t="str">
        <f>IF('[1]P-GENERAL'!AC337="","",'[1]P-GENERAL'!AC337)</f>
        <v>EMANUEL RODRIGUEZ C</v>
      </c>
      <c r="AD337">
        <f>IF('[1]P-GENERAL'!AD337="","",'[1]P-GENERAL'!AD337)</f>
        <v>92269</v>
      </c>
      <c r="AE337" t="str">
        <f>IF('[1]P-GENERAL'!AE337="","",'[1]P-GENERAL'!AE337)</f>
        <v/>
      </c>
    </row>
    <row r="338" spans="1:31" ht="20.25" x14ac:dyDescent="0.3">
      <c r="A338" s="11" t="str">
        <f>IF('[1]P-GENERAL'!A338="","",'[1]P-GENERAL'!A338)</f>
        <v>Chanitos Premium Tarima Americana</v>
      </c>
      <c r="B338" s="11" t="str">
        <f>IF('[1]P-GENERAL'!B338="","",'[1]P-GENERAL'!B338)</f>
        <v>CPR01103</v>
      </c>
      <c r="C338" t="str">
        <f>IF('[1]P-GENERAL'!C338="","",'[1]P-GENERAL'!C338)</f>
        <v>A04039-392409-1</v>
      </c>
      <c r="D338" t="str">
        <f>IF('[1]P-GENERAL'!D338="","",'[1]P-GENERAL'!D338)</f>
        <v>A04 039 San Jose Morelia Nava</v>
      </c>
      <c r="E338" s="8" t="str">
        <f>IF('[1]P-GENERAL'!E338="","",'[1]P-GENERAL'!E338)</f>
        <v>S-MTY</v>
      </c>
      <c r="F338" s="12">
        <f>IF('[1]P-GENERAL'!F338="","",'[1]P-GENERAL'!F338)</f>
        <v>816</v>
      </c>
      <c r="G338" s="13">
        <f>IF('[1]P-GENERAL'!G338="","",'[1]P-GENERAL'!G338)</f>
        <v>17</v>
      </c>
      <c r="H338" s="14">
        <f>IF('[1]P-GENERAL'!H338="","",'[1]P-GENERAL'!H338)</f>
        <v>46289</v>
      </c>
      <c r="I338">
        <f>IF('[1]P-GENERAL'!I338="","",'[1]P-GENERAL'!I338)</f>
        <v>39</v>
      </c>
      <c r="J338" s="15">
        <f>IF('[1]P-GENERAL'!J338="","",'[1]P-GENERAL'!J338)</f>
        <v>46295</v>
      </c>
      <c r="K338" s="14">
        <f>IF('[1]P-GENERAL'!K338="","",'[1]P-GENERAL'!K338)</f>
        <v>0.25</v>
      </c>
      <c r="L338" s="14" t="str">
        <f>IF('[1]P-GENERAL'!L338="","",'[1]P-GENERAL'!L338)</f>
        <v>PREENFRIO NELLY</v>
      </c>
      <c r="M338">
        <f>IF('[1]P-GENERAL'!M338="","",'[1]P-GENERAL'!M338)</f>
        <v>3</v>
      </c>
      <c r="N338">
        <f>IF('[1]P-GENERAL'!N338="","",'[1]P-GENERAL'!N338)</f>
        <v>72</v>
      </c>
      <c r="O338" s="14">
        <f>IF('[1]P-GENERAL'!O338="","",'[1]P-GENERAL'!O338)</f>
        <v>46290</v>
      </c>
      <c r="P338" s="16">
        <f>IF('[1]P-GENERAL'!P338="","",'[1]P-GENERAL'!P338)</f>
        <v>0.95833333333333337</v>
      </c>
      <c r="Q338" t="str">
        <f>IF('[1]P-GENERAL'!Q338="","",'[1]P-GENERAL'!Q338)</f>
        <v>ALTA</v>
      </c>
      <c r="R338" s="14">
        <f>IF('[1]P-GENERAL'!R338="","",'[1]P-GENERAL'!R338)</f>
        <v>46290</v>
      </c>
      <c r="S338" s="16">
        <f>IF('[1]P-GENERAL'!S338="","",'[1]P-GENERAL'!S338)</f>
        <v>0.125</v>
      </c>
      <c r="T338" s="16">
        <f>IF('[1]P-GENERAL'!T338="","",'[1]P-GENERAL'!T338)</f>
        <v>0.4375</v>
      </c>
      <c r="U338" s="17">
        <f>IF('[1]P-GENERAL'!U338="","",'[1]P-GENERAL'!U338)</f>
        <v>46290.5625</v>
      </c>
      <c r="V338" s="14">
        <f>IF('[1]P-GENERAL'!V338="","",'[1]P-GENERAL'!V338)</f>
        <v>46291</v>
      </c>
      <c r="W338" s="16">
        <f>IF('[1]P-GENERAL'!W338="","",'[1]P-GENERAL'!W338)</f>
        <v>0.71527777777777779</v>
      </c>
      <c r="X338" s="14" t="str">
        <f>IF('[1]P-GENERAL'!X338="","",'[1]P-GENERAL'!X338)</f>
        <v>SI CUMPLE</v>
      </c>
      <c r="Y338" s="14" t="str">
        <f>IF('[1]P-GENERAL'!Y338="","",'[1]P-GENERAL'!Y338)</f>
        <v>SI CUMPLE</v>
      </c>
      <c r="Z338" s="14" t="str">
        <f>IF('[1]P-GENERAL'!Z338="","",'[1]P-GENERAL'!Z338)</f>
        <v>EMPAQUE TARDIO</v>
      </c>
      <c r="AA338" s="14" t="str">
        <f>IF('[1]P-GENERAL'!AA338="","",'[1]P-GENERAL'!AA338)</f>
        <v>DESPACHADO</v>
      </c>
      <c r="AB338" s="8" t="str">
        <f>IF('[1]P-GENERAL'!AB338="","",'[1]P-GENERAL'!AB338)</f>
        <v>TRANSPORTES ALGEZA</v>
      </c>
      <c r="AC338" s="8" t="str">
        <f>IF('[1]P-GENERAL'!AC338="","",'[1]P-GENERAL'!AC338)</f>
        <v>JESUS MANUEL GOMEZ SANCHEZ</v>
      </c>
      <c r="AD338">
        <f>IF('[1]P-GENERAL'!AD338="","",'[1]P-GENERAL'!AD338)</f>
        <v>80250</v>
      </c>
      <c r="AE338" t="str">
        <f>IF('[1]P-GENERAL'!AE338="","",'[1]P-GENERAL'!AE338)</f>
        <v/>
      </c>
    </row>
    <row r="339" spans="1:31" ht="20.25" x14ac:dyDescent="0.3">
      <c r="A339" s="11" t="str">
        <f>IF('[1]P-GENERAL'!A339="","",'[1]P-GENERAL'!A339)</f>
        <v>Chanitos Premium EUA Tarima Americana</v>
      </c>
      <c r="B339" s="11" t="str">
        <f>IF('[1]P-GENERAL'!B339="","",'[1]P-GENERAL'!B339)</f>
        <v>CPR01104</v>
      </c>
      <c r="C339" t="str">
        <f>IF('[1]P-GENERAL'!C339="","",'[1]P-GENERAL'!C339)</f>
        <v>A04084-392409-1</v>
      </c>
      <c r="D339" t="str">
        <f>IF('[1]P-GENERAL'!D339="","",'[1]P-GENERAL'!D339)</f>
        <v>A04 084 Lisboa</v>
      </c>
      <c r="E339" s="8" t="str">
        <f>IF('[1]P-GENERAL'!E339="","",'[1]P-GENERAL'!E339)</f>
        <v>McAllen</v>
      </c>
      <c r="F339" s="12">
        <f>IF('[1]P-GENERAL'!F339="","",'[1]P-GENERAL'!F339)</f>
        <v>480</v>
      </c>
      <c r="G339" s="13">
        <f>IF('[1]P-GENERAL'!G339="","",'[1]P-GENERAL'!G339)</f>
        <v>10</v>
      </c>
      <c r="H339" s="14">
        <f>IF('[1]P-GENERAL'!H339="","",'[1]P-GENERAL'!H339)</f>
        <v>46289</v>
      </c>
      <c r="I339">
        <f>IF('[1]P-GENERAL'!I339="","",'[1]P-GENERAL'!I339)</f>
        <v>39</v>
      </c>
      <c r="J339" s="15">
        <f>IF('[1]P-GENERAL'!J339="","",'[1]P-GENERAL'!J339)</f>
        <v>46295</v>
      </c>
      <c r="K339" s="14" t="str">
        <f>IF('[1]P-GENERAL'!K339="","",'[1]P-GENERAL'!K339)</f>
        <v/>
      </c>
      <c r="L339" s="14" t="str">
        <f>IF('[1]P-GENERAL'!L339="","",'[1]P-GENERAL'!L339)</f>
        <v>PREENFRIO FORTALEZA</v>
      </c>
      <c r="M339">
        <f>IF('[1]P-GENERAL'!M339="","",'[1]P-GENERAL'!M339)</f>
        <v>3</v>
      </c>
      <c r="N339">
        <f>IF('[1]P-GENERAL'!N339="","",'[1]P-GENERAL'!N339)</f>
        <v>72</v>
      </c>
      <c r="O339" s="14">
        <f>IF('[1]P-GENERAL'!O339="","",'[1]P-GENERAL'!O339)</f>
        <v>46289</v>
      </c>
      <c r="P339" s="16">
        <f>IF('[1]P-GENERAL'!P339="","",'[1]P-GENERAL'!P339)</f>
        <v>0.83472222222222225</v>
      </c>
      <c r="Q339" t="str">
        <f>IF('[1]P-GENERAL'!Q339="","",'[1]P-GENERAL'!Q339)</f>
        <v>NORMAL</v>
      </c>
      <c r="R339" s="14" t="str">
        <f>IF('[1]P-GENERAL'!R339="","",'[1]P-GENERAL'!R339)</f>
        <v/>
      </c>
      <c r="S339" s="16" t="str">
        <f>IF('[1]P-GENERAL'!S339="","",'[1]P-GENERAL'!S339)</f>
        <v/>
      </c>
      <c r="T339" s="16" t="str">
        <f>IF('[1]P-GENERAL'!T339="","",'[1]P-GENERAL'!T339)</f>
        <v/>
      </c>
      <c r="U339" s="17" t="str">
        <f>IF('[1]P-GENERAL'!U339="","",'[1]P-GENERAL'!U339)</f>
        <v/>
      </c>
      <c r="V339" s="14">
        <f>IF('[1]P-GENERAL'!V339="","",'[1]P-GENERAL'!V339)</f>
        <v>46290</v>
      </c>
      <c r="W339" s="16">
        <f>IF('[1]P-GENERAL'!W339="","",'[1]P-GENERAL'!W339)</f>
        <v>6.25E-2</v>
      </c>
      <c r="X339" s="14" t="str">
        <f>IF('[1]P-GENERAL'!X339="","",'[1]P-GENERAL'!X339)</f>
        <v/>
      </c>
      <c r="Y339" s="14" t="str">
        <f>IF('[1]P-GENERAL'!Y339="","",'[1]P-GENERAL'!Y339)</f>
        <v>SI CUMPLE</v>
      </c>
      <c r="Z339" s="14" t="str">
        <f>IF('[1]P-GENERAL'!Z339="","",'[1]P-GENERAL'!Z339)</f>
        <v/>
      </c>
      <c r="AA339" s="14" t="str">
        <f>IF('[1]P-GENERAL'!AA339="","",'[1]P-GENERAL'!AA339)</f>
        <v>DESPACHADO</v>
      </c>
      <c r="AB339" s="8" t="str">
        <f>IF('[1]P-GENERAL'!AB339="","",'[1]P-GENERAL'!AB339)</f>
        <v>AUTO EXPRESS SEGOVIA</v>
      </c>
      <c r="AC339" s="8" t="str">
        <f>IF('[1]P-GENERAL'!AC339="","",'[1]P-GENERAL'!AC339)</f>
        <v>ROSENDO HERRERA</v>
      </c>
      <c r="AD339">
        <f>IF('[1]P-GENERAL'!AD339="","",'[1]P-GENERAL'!AD339)</f>
        <v>16969</v>
      </c>
      <c r="AE339" t="str">
        <f>IF('[1]P-GENERAL'!AE339="","",'[1]P-GENERAL'!AE339)</f>
        <v>QCH1W04P60</v>
      </c>
    </row>
    <row r="340" spans="1:31" ht="20.25" x14ac:dyDescent="0.3">
      <c r="A340" s="11" t="str">
        <f>IF('[1]P-GENERAL'!A340="","",'[1]P-GENERAL'!A340)</f>
        <v>Chanitos Premium Tarima Americana</v>
      </c>
      <c r="B340" s="11" t="str">
        <f>IF('[1]P-GENERAL'!B340="","",'[1]P-GENERAL'!B340)</f>
        <v>CPR01103</v>
      </c>
      <c r="C340" t="str">
        <f>IF('[1]P-GENERAL'!C340="","",'[1]P-GENERAL'!C340)</f>
        <v>A04039-392509-1</v>
      </c>
      <c r="D340" t="str">
        <f>IF('[1]P-GENERAL'!D340="","",'[1]P-GENERAL'!D340)</f>
        <v>A04 039 San Jose Morelia Nava</v>
      </c>
      <c r="E340" s="8" t="str">
        <f>IF('[1]P-GENERAL'!E340="","",'[1]P-GENERAL'!E340)</f>
        <v>S-MTY</v>
      </c>
      <c r="F340" s="12">
        <f>IF('[1]P-GENERAL'!F340="","",'[1]P-GENERAL'!F340)</f>
        <v>576</v>
      </c>
      <c r="G340" s="13">
        <f>IF('[1]P-GENERAL'!G340="","",'[1]P-GENERAL'!G340)</f>
        <v>12</v>
      </c>
      <c r="H340" s="14">
        <f>IF('[1]P-GENERAL'!H340="","",'[1]P-GENERAL'!H340)</f>
        <v>46290</v>
      </c>
      <c r="I340">
        <f>IF('[1]P-GENERAL'!I340="","",'[1]P-GENERAL'!I340)</f>
        <v>39</v>
      </c>
      <c r="J340" s="15">
        <f>IF('[1]P-GENERAL'!J340="","",'[1]P-GENERAL'!J340)</f>
        <v>46295</v>
      </c>
      <c r="K340" s="14" t="str">
        <f>IF('[1]P-GENERAL'!K340="","",'[1]P-GENERAL'!K340)</f>
        <v/>
      </c>
      <c r="L340" s="14" t="str">
        <f>IF('[1]P-GENERAL'!L340="","",'[1]P-GENERAL'!L340)</f>
        <v>PREENFRIO NELLY</v>
      </c>
      <c r="M340">
        <f>IF('[1]P-GENERAL'!M340="","",'[1]P-GENERAL'!M340)</f>
        <v>3</v>
      </c>
      <c r="N340">
        <f>IF('[1]P-GENERAL'!N340="","",'[1]P-GENERAL'!N340)</f>
        <v>72</v>
      </c>
      <c r="O340" s="14">
        <f>IF('[1]P-GENERAL'!O340="","",'[1]P-GENERAL'!O340)</f>
        <v>46290</v>
      </c>
      <c r="P340" s="16">
        <f>IF('[1]P-GENERAL'!P340="","",'[1]P-GENERAL'!P340)</f>
        <v>0.95833333333333337</v>
      </c>
      <c r="Q340" t="str">
        <f>IF('[1]P-GENERAL'!Q340="","",'[1]P-GENERAL'!Q340)</f>
        <v>ALTA</v>
      </c>
      <c r="R340" s="14">
        <f>IF('[1]P-GENERAL'!R340="","",'[1]P-GENERAL'!R340)</f>
        <v>46291</v>
      </c>
      <c r="S340" s="16">
        <f>IF('[1]P-GENERAL'!S340="","",'[1]P-GENERAL'!S340)</f>
        <v>0.24305555555555555</v>
      </c>
      <c r="T340" s="16">
        <f>IF('[1]P-GENERAL'!T340="","",'[1]P-GENERAL'!T340)</f>
        <v>0.4375</v>
      </c>
      <c r="U340" s="17">
        <f>IF('[1]P-GENERAL'!U340="","",'[1]P-GENERAL'!U340)</f>
        <v>46291.680555555555</v>
      </c>
      <c r="V340" s="14">
        <f>IF('[1]P-GENERAL'!V340="","",'[1]P-GENERAL'!V340)</f>
        <v>46291</v>
      </c>
      <c r="W340" s="16">
        <f>IF('[1]P-GENERAL'!W340="","",'[1]P-GENERAL'!W340)</f>
        <v>0.71527777777777779</v>
      </c>
      <c r="X340" s="14" t="str">
        <f>IF('[1]P-GENERAL'!X340="","",'[1]P-GENERAL'!X340)</f>
        <v>SI CUMPLE</v>
      </c>
      <c r="Y340" s="14" t="str">
        <f>IF('[1]P-GENERAL'!Y340="","",'[1]P-GENERAL'!Y340)</f>
        <v>SI CUMPLE</v>
      </c>
      <c r="Z340" s="14" t="str">
        <f>IF('[1]P-GENERAL'!Z340="","",'[1]P-GENERAL'!Z340)</f>
        <v>EMPAQUE TARDIO</v>
      </c>
      <c r="AA340" s="14" t="str">
        <f>IF('[1]P-GENERAL'!AA340="","",'[1]P-GENERAL'!AA340)</f>
        <v>DESPACHADO</v>
      </c>
      <c r="AB340" s="8" t="str">
        <f>IF('[1]P-GENERAL'!AB340="","",'[1]P-GENERAL'!AB340)</f>
        <v>TRANSPORTES ALGEZA</v>
      </c>
      <c r="AC340" s="8" t="str">
        <f>IF('[1]P-GENERAL'!AC340="","",'[1]P-GENERAL'!AC340)</f>
        <v>JESUS MANUEL GOMEZ SANCHEZ</v>
      </c>
      <c r="AD340">
        <f>IF('[1]P-GENERAL'!AD340="","",'[1]P-GENERAL'!AD340)</f>
        <v>80250</v>
      </c>
      <c r="AE340" t="str">
        <f>IF('[1]P-GENERAL'!AE340="","",'[1]P-GENERAL'!AE340)</f>
        <v/>
      </c>
    </row>
    <row r="341" spans="1:31" ht="20.25" x14ac:dyDescent="0.3">
      <c r="A341" s="11" t="str">
        <f>IF('[1]P-GENERAL'!A341="","",'[1]P-GENERAL'!A341)</f>
        <v>Chanitos Plantain 50lb Tarima Americana</v>
      </c>
      <c r="B341" s="11" t="str">
        <f>IF('[1]P-GENERAL'!B341="","",'[1]P-GENERAL'!B341)</f>
        <v>CPL08133</v>
      </c>
      <c r="C341" t="str">
        <f>IF('[1]P-GENERAL'!C341="","",'[1]P-GENERAL'!C341)</f>
        <v>A27073-392509-1</v>
      </c>
      <c r="D341" t="str">
        <f>IF('[1]P-GENERAL'!D341="","",'[1]P-GENERAL'!D341)</f>
        <v>A27 073 Plantacion</v>
      </c>
      <c r="E341" s="8" t="str">
        <f>IF('[1]P-GENERAL'!E341="","",'[1]P-GENERAL'!E341)</f>
        <v>McAllen</v>
      </c>
      <c r="F341" s="12">
        <f>IF('[1]P-GENERAL'!F341="","",'[1]P-GENERAL'!F341)</f>
        <v>840</v>
      </c>
      <c r="G341" s="13">
        <f>IF('[1]P-GENERAL'!G341="","",'[1]P-GENERAL'!G341)</f>
        <v>20</v>
      </c>
      <c r="H341" s="14">
        <f>IF('[1]P-GENERAL'!H341="","",'[1]P-GENERAL'!H341)</f>
        <v>46290</v>
      </c>
      <c r="I341">
        <f>IF('[1]P-GENERAL'!I341="","",'[1]P-GENERAL'!I341)</f>
        <v>39</v>
      </c>
      <c r="J341" s="15">
        <f>IF('[1]P-GENERAL'!J341="","",'[1]P-GENERAL'!J341)</f>
        <v>46294</v>
      </c>
      <c r="K341" s="14" t="str">
        <f>IF('[1]P-GENERAL'!K341="","",'[1]P-GENERAL'!K341)</f>
        <v/>
      </c>
      <c r="L341" s="14" t="str">
        <f>IF('[1]P-GENERAL'!L341="","",'[1]P-GENERAL'!L341)</f>
        <v>PREENFRIO NELLY</v>
      </c>
      <c r="M341">
        <f>IF('[1]P-GENERAL'!M341="","",'[1]P-GENERAL'!M341)</f>
        <v>3</v>
      </c>
      <c r="N341">
        <f>IF('[1]P-GENERAL'!N341="","",'[1]P-GENERAL'!N341)</f>
        <v>72</v>
      </c>
      <c r="O341" s="14">
        <f>IF('[1]P-GENERAL'!O341="","",'[1]P-GENERAL'!O341)</f>
        <v>46291</v>
      </c>
      <c r="P341" s="16">
        <f>IF('[1]P-GENERAL'!P341="","",'[1]P-GENERAL'!P341)</f>
        <v>0.125</v>
      </c>
      <c r="Q341" t="str">
        <f>IF('[1]P-GENERAL'!Q341="","",'[1]P-GENERAL'!Q341)</f>
        <v>ALTA</v>
      </c>
      <c r="R341" s="14">
        <f>IF('[1]P-GENERAL'!R341="","",'[1]P-GENERAL'!R341)</f>
        <v>46291</v>
      </c>
      <c r="S341" s="16">
        <f>IF('[1]P-GENERAL'!S341="","",'[1]P-GENERAL'!S341)</f>
        <v>0.75</v>
      </c>
      <c r="T341" s="16">
        <f>IF('[1]P-GENERAL'!T341="","",'[1]P-GENERAL'!T341)</f>
        <v>0.35416666666666669</v>
      </c>
      <c r="U341" s="17">
        <f>IF('[1]P-GENERAL'!U341="","",'[1]P-GENERAL'!U341)</f>
        <v>46292.104166666664</v>
      </c>
      <c r="V341" s="14">
        <f>IF('[1]P-GENERAL'!V341="","",'[1]P-GENERAL'!V341)</f>
        <v>46291</v>
      </c>
      <c r="W341" s="16">
        <f>IF('[1]P-GENERAL'!W341="","",'[1]P-GENERAL'!W341)</f>
        <v>0.92361111111111116</v>
      </c>
      <c r="X341" s="14" t="str">
        <f>IF('[1]P-GENERAL'!X341="","",'[1]P-GENERAL'!X341)</f>
        <v>NO CUMPLE</v>
      </c>
      <c r="Y341" s="14" t="str">
        <f>IF('[1]P-GENERAL'!Y341="","",'[1]P-GENERAL'!Y341)</f>
        <v>NO CUMPLE</v>
      </c>
      <c r="Z341" s="14" t="str">
        <f>IF('[1]P-GENERAL'!Z341="","",'[1]P-GENERAL'!Z341)</f>
        <v/>
      </c>
      <c r="AA341" s="14" t="str">
        <f>IF('[1]P-GENERAL'!AA341="","",'[1]P-GENERAL'!AA341)</f>
        <v>DESPACHADO</v>
      </c>
      <c r="AB341" s="8" t="str">
        <f>IF('[1]P-GENERAL'!AB341="","",'[1]P-GENERAL'!AB341)</f>
        <v>TRANSPORTES TOMATITOS</v>
      </c>
      <c r="AC341" s="8" t="str">
        <f>IF('[1]P-GENERAL'!AC341="","",'[1]P-GENERAL'!AC341)</f>
        <v>CESAREO CORTEZ SALAZAR</v>
      </c>
      <c r="AD341">
        <f>IF('[1]P-GENERAL'!AD341="","",'[1]P-GENERAL'!AD341)</f>
        <v>34470</v>
      </c>
      <c r="AE341" t="str">
        <f>IF('[1]P-GENERAL'!AE341="","",'[1]P-GENERAL'!AE341)</f>
        <v/>
      </c>
    </row>
    <row r="342" spans="1:31" ht="20.25" x14ac:dyDescent="0.3">
      <c r="A342" s="11" t="str">
        <f>IF('[1]P-GENERAL'!A342="","",'[1]P-GENERAL'!A342)</f>
        <v>Chanitos Premium Tarima Chep</v>
      </c>
      <c r="B342" s="11" t="str">
        <f>IF('[1]P-GENERAL'!B342="","",'[1]P-GENERAL'!B342)</f>
        <v>CPR01102</v>
      </c>
      <c r="C342" t="str">
        <f>IF('[1]P-GENERAL'!C342="","",'[1]P-GENERAL'!C342)</f>
        <v>A01003-392609-1</v>
      </c>
      <c r="D342" t="str">
        <f>IF('[1]P-GENERAL'!D342="","",'[1]P-GENERAL'!D342)</f>
        <v>A01 003 Doña Nelly</v>
      </c>
      <c r="E342" s="8" t="str">
        <f>IF('[1]P-GENERAL'!E342="","",'[1]P-GENERAL'!E342)</f>
        <v>Chalco</v>
      </c>
      <c r="F342" s="12">
        <f>IF('[1]P-GENERAL'!F342="","",'[1]P-GENERAL'!F342)</f>
        <v>336</v>
      </c>
      <c r="G342" s="13">
        <f>IF('[1]P-GENERAL'!G342="","",'[1]P-GENERAL'!G342)</f>
        <v>7</v>
      </c>
      <c r="H342" s="14">
        <f>IF('[1]P-GENERAL'!H342="","",'[1]P-GENERAL'!H342)</f>
        <v>46291</v>
      </c>
      <c r="I342">
        <f>IF('[1]P-GENERAL'!I342="","",'[1]P-GENERAL'!I342)</f>
        <v>39</v>
      </c>
      <c r="J342" s="15">
        <f>IF('[1]P-GENERAL'!J342="","",'[1]P-GENERAL'!J342)</f>
        <v>46296</v>
      </c>
      <c r="K342" s="14" t="str">
        <f>IF('[1]P-GENERAL'!K342="","",'[1]P-GENERAL'!K342)</f>
        <v/>
      </c>
      <c r="L342" s="14" t="str">
        <f>IF('[1]P-GENERAL'!L342="","",'[1]P-GENERAL'!L342)</f>
        <v>PREENFRIO NELLY</v>
      </c>
      <c r="M342">
        <f>IF('[1]P-GENERAL'!M342="","",'[1]P-GENERAL'!M342)</f>
        <v>1</v>
      </c>
      <c r="N342">
        <f>IF('[1]P-GENERAL'!N342="","",'[1]P-GENERAL'!N342)</f>
        <v>24</v>
      </c>
      <c r="O342" s="14">
        <f>IF('[1]P-GENERAL'!O342="","",'[1]P-GENERAL'!O342)</f>
        <v>46291</v>
      </c>
      <c r="P342" s="16">
        <f>IF('[1]P-GENERAL'!P342="","",'[1]P-GENERAL'!P342)</f>
        <v>0.75</v>
      </c>
      <c r="Q342" t="str">
        <f>IF('[1]P-GENERAL'!Q342="","",'[1]P-GENERAL'!Q342)</f>
        <v>NORMAL</v>
      </c>
      <c r="R342" s="14">
        <f>IF('[1]P-GENERAL'!R342="","",'[1]P-GENERAL'!R342)</f>
        <v>46291</v>
      </c>
      <c r="S342" s="16">
        <f>IF('[1]P-GENERAL'!S342="","",'[1]P-GENERAL'!S342)</f>
        <v>0.84861111111111109</v>
      </c>
      <c r="T342" s="16">
        <f>IF('[1]P-GENERAL'!T342="","",'[1]P-GENERAL'!T342)</f>
        <v>0.35416666666666669</v>
      </c>
      <c r="U342" s="17">
        <f>IF('[1]P-GENERAL'!U342="","",'[1]P-GENERAL'!U342)</f>
        <v>46292.202777777777</v>
      </c>
      <c r="V342" s="14">
        <f>IF('[1]P-GENERAL'!V342="","",'[1]P-GENERAL'!V342)</f>
        <v>46294</v>
      </c>
      <c r="W342" s="16">
        <f>IF('[1]P-GENERAL'!W342="","",'[1]P-GENERAL'!W342)</f>
        <v>0.70486111111111116</v>
      </c>
      <c r="X342" s="14" t="str">
        <f>IF('[1]P-GENERAL'!X342="","",'[1]P-GENERAL'!X342)</f>
        <v>SI CUMPLE</v>
      </c>
      <c r="Y342" s="14" t="str">
        <f>IF('[1]P-GENERAL'!Y342="","",'[1]P-GENERAL'!Y342)</f>
        <v>SI CUMPLE</v>
      </c>
      <c r="Z342" s="14" t="str">
        <f>IF('[1]P-GENERAL'!Z342="","",'[1]P-GENERAL'!Z342)</f>
        <v/>
      </c>
      <c r="AA342" s="14" t="str">
        <f>IF('[1]P-GENERAL'!AA342="","",'[1]P-GENERAL'!AA342)</f>
        <v>DESPACHADO</v>
      </c>
      <c r="AB342" s="8" t="str">
        <f>IF('[1]P-GENERAL'!AB342="","",'[1]P-GENERAL'!AB342)</f>
        <v>TRL</v>
      </c>
      <c r="AC342" s="8" t="str">
        <f>IF('[1]P-GENERAL'!AC342="","",'[1]P-GENERAL'!AC342)</f>
        <v/>
      </c>
      <c r="AD342" t="str">
        <f>IF('[1]P-GENERAL'!AD342="","",'[1]P-GENERAL'!AD342)</f>
        <v/>
      </c>
      <c r="AE342" t="str">
        <f>IF('[1]P-GENERAL'!AE342="","",'[1]P-GENERAL'!AE342)</f>
        <v/>
      </c>
    </row>
    <row r="343" spans="1:31" ht="20.25" x14ac:dyDescent="0.3">
      <c r="A343" s="11" t="str">
        <f>IF('[1]P-GENERAL'!A343="","",'[1]P-GENERAL'!A343)</f>
        <v>Chanitos Premium Tarima Chep</v>
      </c>
      <c r="B343" s="11" t="str">
        <f>IF('[1]P-GENERAL'!B343="","",'[1]P-GENERAL'!B343)</f>
        <v>CPR01102</v>
      </c>
      <c r="C343" t="str">
        <f>IF('[1]P-GENERAL'!C343="","",'[1]P-GENERAL'!C343)</f>
        <v>A01002-392509-1</v>
      </c>
      <c r="D343" t="str">
        <f>IF('[1]P-GENERAL'!D343="","",'[1]P-GENERAL'!D343)</f>
        <v>A01 002 Fortaleza</v>
      </c>
      <c r="E343" s="8" t="str">
        <f>IF('[1]P-GENERAL'!E343="","",'[1]P-GENERAL'!E343)</f>
        <v>QRO</v>
      </c>
      <c r="F343" s="12">
        <f>IF('[1]P-GENERAL'!F343="","",'[1]P-GENERAL'!F343)</f>
        <v>720</v>
      </c>
      <c r="G343" s="13">
        <f>IF('[1]P-GENERAL'!G343="","",'[1]P-GENERAL'!G343)</f>
        <v>15</v>
      </c>
      <c r="H343" s="14">
        <f>IF('[1]P-GENERAL'!H343="","",'[1]P-GENERAL'!H343)</f>
        <v>46290</v>
      </c>
      <c r="I343">
        <f>IF('[1]P-GENERAL'!I343="","",'[1]P-GENERAL'!I343)</f>
        <v>39</v>
      </c>
      <c r="J343" s="15">
        <f>IF('[1]P-GENERAL'!J343="","",'[1]P-GENERAL'!J343)</f>
        <v>46295</v>
      </c>
      <c r="K343" s="14" t="str">
        <f>IF('[1]P-GENERAL'!K343="","",'[1]P-GENERAL'!K343)</f>
        <v/>
      </c>
      <c r="L343" s="14" t="str">
        <f>IF('[1]P-GENERAL'!L343="","",'[1]P-GENERAL'!L343)</f>
        <v>PREENFRIO FORTALEZA</v>
      </c>
      <c r="M343">
        <f>IF('[1]P-GENERAL'!M343="","",'[1]P-GENERAL'!M343)</f>
        <v>1.5</v>
      </c>
      <c r="N343">
        <f>IF('[1]P-GENERAL'!N343="","",'[1]P-GENERAL'!N343)</f>
        <v>36</v>
      </c>
      <c r="O343" s="14">
        <f>IF('[1]P-GENERAL'!O343="","",'[1]P-GENERAL'!O343)</f>
        <v>46290</v>
      </c>
      <c r="P343" s="16">
        <f>IF('[1]P-GENERAL'!P343="","",'[1]P-GENERAL'!P343)</f>
        <v>0.68472222222222223</v>
      </c>
      <c r="Q343" t="str">
        <f>IF('[1]P-GENERAL'!Q343="","",'[1]P-GENERAL'!Q343)</f>
        <v>NORMAL</v>
      </c>
      <c r="R343" s="14">
        <f>IF('[1]P-GENERAL'!R343="","",'[1]P-GENERAL'!R343)</f>
        <v>46292</v>
      </c>
      <c r="S343" s="16">
        <f>IF('[1]P-GENERAL'!S343="","",'[1]P-GENERAL'!S343)</f>
        <v>0.54652777777777772</v>
      </c>
      <c r="T343" s="16">
        <f>IF('[1]P-GENERAL'!T343="","",'[1]P-GENERAL'!T343)</f>
        <v>0.45833333333333331</v>
      </c>
      <c r="U343" s="17">
        <f>IF('[1]P-GENERAL'!U343="","",'[1]P-GENERAL'!U343)</f>
        <v>46293.004861111112</v>
      </c>
      <c r="V343" s="14">
        <f>IF('[1]P-GENERAL'!V343="","",'[1]P-GENERAL'!V343)</f>
        <v>46292</v>
      </c>
      <c r="W343" s="16">
        <f>IF('[1]P-GENERAL'!W343="","",'[1]P-GENERAL'!W343)</f>
        <v>0.99305555555555558</v>
      </c>
      <c r="X343" s="14" t="str">
        <f>IF('[1]P-GENERAL'!X343="","",'[1]P-GENERAL'!X343)</f>
        <v>SI CUMPLE</v>
      </c>
      <c r="Y343" s="14" t="str">
        <f>IF('[1]P-GENERAL'!Y343="","",'[1]P-GENERAL'!Y343)</f>
        <v>SI CUMPLE</v>
      </c>
      <c r="Z343" s="14" t="str">
        <f>IF('[1]P-GENERAL'!Z343="","",'[1]P-GENERAL'!Z343)</f>
        <v/>
      </c>
      <c r="AA343" s="14" t="str">
        <f>IF('[1]P-GENERAL'!AA343="","",'[1]P-GENERAL'!AA343)</f>
        <v>DESPACHADO</v>
      </c>
      <c r="AB343" s="8" t="str">
        <f>IF('[1]P-GENERAL'!AB343="","",'[1]P-GENERAL'!AB343)</f>
        <v>LEOPOLDO LEGORRETA LEGORRETA</v>
      </c>
      <c r="AC343" s="8" t="str">
        <f>IF('[1]P-GENERAL'!AC343="","",'[1]P-GENERAL'!AC343)</f>
        <v>OSCAR CRUZ GARCIA</v>
      </c>
      <c r="AD343">
        <f>IF('[1]P-GENERAL'!AD343="","",'[1]P-GENERAL'!AD343)</f>
        <v>77383</v>
      </c>
      <c r="AE343" t="str">
        <f>IF('[1]P-GENERAL'!AE343="","",'[1]P-GENERAL'!AE343)</f>
        <v>QEP1W000G0</v>
      </c>
    </row>
    <row r="344" spans="1:31" ht="20.25" x14ac:dyDescent="0.3">
      <c r="A344" s="11" t="str">
        <f>IF('[1]P-GENERAL'!A344="","",'[1]P-GENERAL'!A344)</f>
        <v>Chanitos Organic Banded Market Side Mexico</v>
      </c>
      <c r="B344" s="11" t="str">
        <f>IF('[1]P-GENERAL'!B344="","",'[1]P-GENERAL'!B344)</f>
        <v>CRG07128</v>
      </c>
      <c r="C344" t="str">
        <f>IF('[1]P-GENERAL'!C344="","",'[1]P-GENERAL'!C344)</f>
        <v>A01002-392509-1</v>
      </c>
      <c r="D344" t="str">
        <f>IF('[1]P-GENERAL'!D344="","",'[1]P-GENERAL'!D344)</f>
        <v>A01 002 Fortaleza</v>
      </c>
      <c r="E344" s="8" t="str">
        <f>IF('[1]P-GENERAL'!E344="","",'[1]P-GENERAL'!E344)</f>
        <v>QRO</v>
      </c>
      <c r="F344" s="12">
        <f>IF('[1]P-GENERAL'!F344="","",'[1]P-GENERAL'!F344)</f>
        <v>96</v>
      </c>
      <c r="G344" s="13">
        <f>IF('[1]P-GENERAL'!G344="","",'[1]P-GENERAL'!G344)</f>
        <v>2</v>
      </c>
      <c r="H344" s="14">
        <f>IF('[1]P-GENERAL'!H344="","",'[1]P-GENERAL'!H344)</f>
        <v>46290</v>
      </c>
      <c r="I344">
        <f>IF('[1]P-GENERAL'!I344="","",'[1]P-GENERAL'!I344)</f>
        <v>39</v>
      </c>
      <c r="J344" s="15">
        <f>IF('[1]P-GENERAL'!J344="","",'[1]P-GENERAL'!J344)</f>
        <v>46295</v>
      </c>
      <c r="K344" s="14" t="str">
        <f>IF('[1]P-GENERAL'!K344="","",'[1]P-GENERAL'!K344)</f>
        <v/>
      </c>
      <c r="L344" s="14" t="str">
        <f>IF('[1]P-GENERAL'!L344="","",'[1]P-GENERAL'!L344)</f>
        <v>PREENFRIO FORTALEZA</v>
      </c>
      <c r="M344">
        <f>IF('[1]P-GENERAL'!M344="","",'[1]P-GENERAL'!M344)</f>
        <v>1.5</v>
      </c>
      <c r="N344">
        <f>IF('[1]P-GENERAL'!N344="","",'[1]P-GENERAL'!N344)</f>
        <v>36</v>
      </c>
      <c r="O344" s="14">
        <f>IF('[1]P-GENERAL'!O344="","",'[1]P-GENERAL'!O344)</f>
        <v>46290</v>
      </c>
      <c r="P344" s="16">
        <f>IF('[1]P-GENERAL'!P344="","",'[1]P-GENERAL'!P344)</f>
        <v>0.68472222222222223</v>
      </c>
      <c r="Q344" t="str">
        <f>IF('[1]P-GENERAL'!Q344="","",'[1]P-GENERAL'!Q344)</f>
        <v>NORMAL</v>
      </c>
      <c r="R344" s="14">
        <f>IF('[1]P-GENERAL'!R344="","",'[1]P-GENERAL'!R344)</f>
        <v>46292</v>
      </c>
      <c r="S344" s="16">
        <f>IF('[1]P-GENERAL'!S344="","",'[1]P-GENERAL'!S344)</f>
        <v>0.54652777777777772</v>
      </c>
      <c r="T344" s="16">
        <f>IF('[1]P-GENERAL'!T344="","",'[1]P-GENERAL'!T344)</f>
        <v>0.45833333333333331</v>
      </c>
      <c r="U344" s="17">
        <f>IF('[1]P-GENERAL'!U344="","",'[1]P-GENERAL'!U344)</f>
        <v>46293.004861111112</v>
      </c>
      <c r="V344" s="14">
        <f>IF('[1]P-GENERAL'!V344="","",'[1]P-GENERAL'!V344)</f>
        <v>46292</v>
      </c>
      <c r="W344" s="16">
        <f>IF('[1]P-GENERAL'!W344="","",'[1]P-GENERAL'!W344)</f>
        <v>0.99305555555555558</v>
      </c>
      <c r="X344" s="14" t="str">
        <f>IF('[1]P-GENERAL'!X344="","",'[1]P-GENERAL'!X344)</f>
        <v>SI CUMPLE</v>
      </c>
      <c r="Y344" s="14" t="str">
        <f>IF('[1]P-GENERAL'!Y344="","",'[1]P-GENERAL'!Y344)</f>
        <v>SI CUMPLE</v>
      </c>
      <c r="Z344" s="14" t="str">
        <f>IF('[1]P-GENERAL'!Z344="","",'[1]P-GENERAL'!Z344)</f>
        <v/>
      </c>
      <c r="AA344" s="14" t="str">
        <f>IF('[1]P-GENERAL'!AA344="","",'[1]P-GENERAL'!AA344)</f>
        <v>DESPACHADO</v>
      </c>
      <c r="AB344" s="8" t="str">
        <f>IF('[1]P-GENERAL'!AB344="","",'[1]P-GENERAL'!AB344)</f>
        <v>LEOPOLDO LEGORRETA LEGORRETA</v>
      </c>
      <c r="AC344" s="8" t="str">
        <f>IF('[1]P-GENERAL'!AC344="","",'[1]P-GENERAL'!AC344)</f>
        <v>OSCAR CRUZ GARCIA</v>
      </c>
      <c r="AD344">
        <f>IF('[1]P-GENERAL'!AD344="","",'[1]P-GENERAL'!AD344)</f>
        <v>77383</v>
      </c>
      <c r="AE344" t="str">
        <f>IF('[1]P-GENERAL'!AE344="","",'[1]P-GENERAL'!AE344)</f>
        <v>QEP1W000G0</v>
      </c>
    </row>
    <row r="345" spans="1:31" ht="20.25" x14ac:dyDescent="0.3">
      <c r="A345" s="11" t="str">
        <f>IF('[1]P-GENERAL'!A345="","",'[1]P-GENERAL'!A345)</f>
        <v>Chanitos Premium Tarima Chep</v>
      </c>
      <c r="B345" s="11" t="str">
        <f>IF('[1]P-GENERAL'!B345="","",'[1]P-GENERAL'!B345)</f>
        <v>CPR01102</v>
      </c>
      <c r="C345" t="str">
        <f>IF('[1]P-GENERAL'!C345="","",'[1]P-GENERAL'!C345)</f>
        <v>A01001-392609-1</v>
      </c>
      <c r="D345" t="str">
        <f>IF('[1]P-GENERAL'!D345="","",'[1]P-GENERAL'!D345)</f>
        <v>A01 001 Marbella</v>
      </c>
      <c r="E345" s="8" t="str">
        <f>IF('[1]P-GENERAL'!E345="","",'[1]P-GENERAL'!E345)</f>
        <v>Chalco</v>
      </c>
      <c r="F345" s="12">
        <f>IF('[1]P-GENERAL'!F345="","",'[1]P-GENERAL'!F345)</f>
        <v>1098</v>
      </c>
      <c r="G345" s="13">
        <f>IF('[1]P-GENERAL'!G345="","",'[1]P-GENERAL'!G345)</f>
        <v>22.875</v>
      </c>
      <c r="H345" s="14">
        <f>IF('[1]P-GENERAL'!H345="","",'[1]P-GENERAL'!H345)</f>
        <v>46291</v>
      </c>
      <c r="I345">
        <f>IF('[1]P-GENERAL'!I345="","",'[1]P-GENERAL'!I345)</f>
        <v>39</v>
      </c>
      <c r="J345" s="15">
        <f>IF('[1]P-GENERAL'!J345="","",'[1]P-GENERAL'!J345)</f>
        <v>46295</v>
      </c>
      <c r="K345" s="14" t="str">
        <f>IF('[1]P-GENERAL'!K345="","",'[1]P-GENERAL'!K345)</f>
        <v/>
      </c>
      <c r="L345" s="14" t="str">
        <f>IF('[1]P-GENERAL'!L345="","",'[1]P-GENERAL'!L345)</f>
        <v>PREENFRIO FORTALEZA</v>
      </c>
      <c r="M345">
        <f>IF('[1]P-GENERAL'!M345="","",'[1]P-GENERAL'!M345)</f>
        <v>1</v>
      </c>
      <c r="N345">
        <f>IF('[1]P-GENERAL'!N345="","",'[1]P-GENERAL'!N345)</f>
        <v>24</v>
      </c>
      <c r="O345" s="14">
        <f>IF('[1]P-GENERAL'!O345="","",'[1]P-GENERAL'!O345)</f>
        <v>46291</v>
      </c>
      <c r="P345" s="16">
        <f>IF('[1]P-GENERAL'!P345="","",'[1]P-GENERAL'!P345)</f>
        <v>0.91666666666666663</v>
      </c>
      <c r="Q345" t="str">
        <f>IF('[1]P-GENERAL'!Q345="","",'[1]P-GENERAL'!Q345)</f>
        <v>ALTA</v>
      </c>
      <c r="R345" s="14">
        <f>IF('[1]P-GENERAL'!R345="","",'[1]P-GENERAL'!R345)</f>
        <v>46292</v>
      </c>
      <c r="S345" s="16">
        <f>IF('[1]P-GENERAL'!S345="","",'[1]P-GENERAL'!S345)</f>
        <v>0.97083333333333333</v>
      </c>
      <c r="T345" s="16">
        <f>IF('[1]P-GENERAL'!T345="","",'[1]P-GENERAL'!T345)</f>
        <v>0.625</v>
      </c>
      <c r="U345" s="17">
        <f>IF('[1]P-GENERAL'!U345="","",'[1]P-GENERAL'!U345)</f>
        <v>46293.595833333333</v>
      </c>
      <c r="V345" s="14">
        <f>IF('[1]P-GENERAL'!V345="","",'[1]P-GENERAL'!V345)</f>
        <v>46293</v>
      </c>
      <c r="W345" s="16">
        <f>IF('[1]P-GENERAL'!W345="","",'[1]P-GENERAL'!W345)</f>
        <v>9.0277777777777776E-2</v>
      </c>
      <c r="X345" s="14" t="str">
        <f>IF('[1]P-GENERAL'!X345="","",'[1]P-GENERAL'!X345)</f>
        <v>SI CUMPLE</v>
      </c>
      <c r="Y345" s="14" t="str">
        <f>IF('[1]P-GENERAL'!Y345="","",'[1]P-GENERAL'!Y345)</f>
        <v>SI CUMPLE</v>
      </c>
      <c r="Z345" s="14" t="str">
        <f>IF('[1]P-GENERAL'!Z345="","",'[1]P-GENERAL'!Z345)</f>
        <v/>
      </c>
      <c r="AA345" s="14" t="str">
        <f>IF('[1]P-GENERAL'!AA345="","",'[1]P-GENERAL'!AA345)</f>
        <v>DESPACHADO</v>
      </c>
      <c r="AB345" s="8" t="str">
        <f>IF('[1]P-GENERAL'!AB345="","",'[1]P-GENERAL'!AB345)</f>
        <v>JONATHAN CARRILLO GODINEZ</v>
      </c>
      <c r="AC345" s="8" t="str">
        <f>IF('[1]P-GENERAL'!AC345="","",'[1]P-GENERAL'!AC345)</f>
        <v>ALEJANDRO  OLIVA</v>
      </c>
      <c r="AD345">
        <f>IF('[1]P-GENERAL'!AD345="","",'[1]P-GENERAL'!AD345)</f>
        <v>27123</v>
      </c>
      <c r="AE345" t="str">
        <f>IF('[1]P-GENERAL'!AE345="","",'[1]P-GENERAL'!AE345)</f>
        <v>QEP1W00WV0</v>
      </c>
    </row>
    <row r="346" spans="1:31" ht="20.25" x14ac:dyDescent="0.3">
      <c r="A346" s="11" t="str">
        <f>IF('[1]P-GENERAL'!A346="","",'[1]P-GENERAL'!A346)</f>
        <v>Platano de Chiapas BAE UPC 3237</v>
      </c>
      <c r="B346" s="11" t="str">
        <f>IF('[1]P-GENERAL'!B346="","",'[1]P-GENERAL'!B346)</f>
        <v>CPR01114</v>
      </c>
      <c r="C346" t="str">
        <f>IF('[1]P-GENERAL'!C346="","",'[1]P-GENERAL'!C346)</f>
        <v>A01001-392609-1</v>
      </c>
      <c r="D346" t="str">
        <f>IF('[1]P-GENERAL'!D346="","",'[1]P-GENERAL'!D346)</f>
        <v>A01 001 Marbella</v>
      </c>
      <c r="E346" s="8" t="str">
        <f>IF('[1]P-GENERAL'!E346="","",'[1]P-GENERAL'!E346)</f>
        <v>Chalco</v>
      </c>
      <c r="F346" s="12">
        <f>IF('[1]P-GENERAL'!F346="","",'[1]P-GENERAL'!F346)</f>
        <v>54</v>
      </c>
      <c r="G346" s="13">
        <f>IF('[1]P-GENERAL'!G346="","",'[1]P-GENERAL'!G346)</f>
        <v>1.125</v>
      </c>
      <c r="H346" s="14">
        <f>IF('[1]P-GENERAL'!H346="","",'[1]P-GENERAL'!H346)</f>
        <v>46291</v>
      </c>
      <c r="I346">
        <f>IF('[1]P-GENERAL'!I346="","",'[1]P-GENERAL'!I346)</f>
        <v>39</v>
      </c>
      <c r="J346" s="15">
        <f>IF('[1]P-GENERAL'!J346="","",'[1]P-GENERAL'!J346)</f>
        <v>46295</v>
      </c>
      <c r="K346" s="14" t="str">
        <f>IF('[1]P-GENERAL'!K346="","",'[1]P-GENERAL'!K346)</f>
        <v/>
      </c>
      <c r="L346" s="14" t="str">
        <f>IF('[1]P-GENERAL'!L346="","",'[1]P-GENERAL'!L346)</f>
        <v>PREENFRIO FORTALEZA</v>
      </c>
      <c r="M346">
        <f>IF('[1]P-GENERAL'!M346="","",'[1]P-GENERAL'!M346)</f>
        <v>1</v>
      </c>
      <c r="N346">
        <f>IF('[1]P-GENERAL'!N346="","",'[1]P-GENERAL'!N346)</f>
        <v>24</v>
      </c>
      <c r="O346" s="14">
        <f>IF('[1]P-GENERAL'!O346="","",'[1]P-GENERAL'!O346)</f>
        <v>46291</v>
      </c>
      <c r="P346" s="16">
        <f>IF('[1]P-GENERAL'!P346="","",'[1]P-GENERAL'!P346)</f>
        <v>0.91666666666666663</v>
      </c>
      <c r="Q346" t="str">
        <f>IF('[1]P-GENERAL'!Q346="","",'[1]P-GENERAL'!Q346)</f>
        <v>ALTA</v>
      </c>
      <c r="R346" s="14">
        <f>IF('[1]P-GENERAL'!R346="","",'[1]P-GENERAL'!R346)</f>
        <v>46292</v>
      </c>
      <c r="S346" s="16">
        <f>IF('[1]P-GENERAL'!S346="","",'[1]P-GENERAL'!S346)</f>
        <v>0.97083333333333333</v>
      </c>
      <c r="T346" s="16">
        <f>IF('[1]P-GENERAL'!T346="","",'[1]P-GENERAL'!T346)</f>
        <v>0.625</v>
      </c>
      <c r="U346" s="17">
        <f>IF('[1]P-GENERAL'!U346="","",'[1]P-GENERAL'!U346)</f>
        <v>46293.595833333333</v>
      </c>
      <c r="V346" s="14">
        <f>IF('[1]P-GENERAL'!V346="","",'[1]P-GENERAL'!V346)</f>
        <v>46293</v>
      </c>
      <c r="W346" s="16">
        <f>IF('[1]P-GENERAL'!W346="","",'[1]P-GENERAL'!W346)</f>
        <v>9.0277777777777776E-2</v>
      </c>
      <c r="X346" s="14" t="str">
        <f>IF('[1]P-GENERAL'!X346="","",'[1]P-GENERAL'!X346)</f>
        <v>SI CUMPLE</v>
      </c>
      <c r="Y346" s="14" t="str">
        <f>IF('[1]P-GENERAL'!Y346="","",'[1]P-GENERAL'!Y346)</f>
        <v>SI CUMPLE</v>
      </c>
      <c r="Z346" s="14" t="str">
        <f>IF('[1]P-GENERAL'!Z346="","",'[1]P-GENERAL'!Z346)</f>
        <v/>
      </c>
      <c r="AA346" s="14" t="str">
        <f>IF('[1]P-GENERAL'!AA346="","",'[1]P-GENERAL'!AA346)</f>
        <v>DESPACHADO</v>
      </c>
      <c r="AB346" s="8" t="str">
        <f>IF('[1]P-GENERAL'!AB346="","",'[1]P-GENERAL'!AB346)</f>
        <v>JONATHAN CARRILLO GODINEZ</v>
      </c>
      <c r="AC346" s="8" t="str">
        <f>IF('[1]P-GENERAL'!AC346="","",'[1]P-GENERAL'!AC346)</f>
        <v>ALEJANDRO  OLIVA</v>
      </c>
      <c r="AD346">
        <f>IF('[1]P-GENERAL'!AD346="","",'[1]P-GENERAL'!AD346)</f>
        <v>27123</v>
      </c>
      <c r="AE346" t="str">
        <f>IF('[1]P-GENERAL'!AE346="","",'[1]P-GENERAL'!AE346)</f>
        <v>QEP1W00WV0</v>
      </c>
    </row>
    <row r="347" spans="1:31" ht="20.25" x14ac:dyDescent="0.3">
      <c r="A347" s="11" t="str">
        <f>IF('[1]P-GENERAL'!A347="","",'[1]P-GENERAL'!A347)</f>
        <v>Chanitos Premium Tarima Chep</v>
      </c>
      <c r="B347" s="11" t="str">
        <f>IF('[1]P-GENERAL'!B347="","",'[1]P-GENERAL'!B347)</f>
        <v>CPR01102</v>
      </c>
      <c r="C347" t="str">
        <f>IF('[1]P-GENERAL'!C347="","",'[1]P-GENERAL'!C347)</f>
        <v>A01002-392609-1</v>
      </c>
      <c r="D347" t="str">
        <f>IF('[1]P-GENERAL'!D347="","",'[1]P-GENERAL'!D347)</f>
        <v>A01 002 Fortaleza</v>
      </c>
      <c r="E347" s="8" t="str">
        <f>IF('[1]P-GENERAL'!E347="","",'[1]P-GENERAL'!E347)</f>
        <v>QRO</v>
      </c>
      <c r="F347" s="12">
        <f>IF('[1]P-GENERAL'!F347="","",'[1]P-GENERAL'!F347)</f>
        <v>336</v>
      </c>
      <c r="G347" s="13">
        <f>IF('[1]P-GENERAL'!G347="","",'[1]P-GENERAL'!G347)</f>
        <v>7</v>
      </c>
      <c r="H347" s="14">
        <f>IF('[1]P-GENERAL'!H347="","",'[1]P-GENERAL'!H347)</f>
        <v>46291</v>
      </c>
      <c r="I347">
        <f>IF('[1]P-GENERAL'!I347="","",'[1]P-GENERAL'!I347)</f>
        <v>39</v>
      </c>
      <c r="J347" s="15">
        <f>IF('[1]P-GENERAL'!J347="","",'[1]P-GENERAL'!J347)</f>
        <v>46295</v>
      </c>
      <c r="K347" s="14" t="str">
        <f>IF('[1]P-GENERAL'!K347="","",'[1]P-GENERAL'!K347)</f>
        <v/>
      </c>
      <c r="L347" s="14" t="str">
        <f>IF('[1]P-GENERAL'!L347="","",'[1]P-GENERAL'!L347)</f>
        <v>PREENFRIO FORTALEZA</v>
      </c>
      <c r="M347">
        <f>IF('[1]P-GENERAL'!M347="","",'[1]P-GENERAL'!M347)</f>
        <v>1.5</v>
      </c>
      <c r="N347">
        <f>IF('[1]P-GENERAL'!N347="","",'[1]P-GENERAL'!N347)</f>
        <v>36</v>
      </c>
      <c r="O347" s="14">
        <f>IF('[1]P-GENERAL'!O347="","",'[1]P-GENERAL'!O347)</f>
        <v>46291</v>
      </c>
      <c r="P347" s="16">
        <f>IF('[1]P-GENERAL'!P347="","",'[1]P-GENERAL'!P347)</f>
        <v>0.70833333333333337</v>
      </c>
      <c r="Q347" t="str">
        <f>IF('[1]P-GENERAL'!Q347="","",'[1]P-GENERAL'!Q347)</f>
        <v>NORMAL</v>
      </c>
      <c r="R347" s="14">
        <f>IF('[1]P-GENERAL'!R347="","",'[1]P-GENERAL'!R347)</f>
        <v>46292</v>
      </c>
      <c r="S347" s="16">
        <f>IF('[1]P-GENERAL'!S347="","",'[1]P-GENERAL'!S347)</f>
        <v>0.54652777777777772</v>
      </c>
      <c r="T347" s="16">
        <f>IF('[1]P-GENERAL'!T347="","",'[1]P-GENERAL'!T347)</f>
        <v>0.45833333333333331</v>
      </c>
      <c r="U347" s="17">
        <f>IF('[1]P-GENERAL'!U347="","",'[1]P-GENERAL'!U347)</f>
        <v>46293.004861111112</v>
      </c>
      <c r="V347" s="14">
        <f>IF('[1]P-GENERAL'!V347="","",'[1]P-GENERAL'!V347)</f>
        <v>46292</v>
      </c>
      <c r="W347" s="16">
        <f>IF('[1]P-GENERAL'!W347="","",'[1]P-GENERAL'!W347)</f>
        <v>0.99305555555555558</v>
      </c>
      <c r="X347" s="14" t="str">
        <f>IF('[1]P-GENERAL'!X347="","",'[1]P-GENERAL'!X347)</f>
        <v>SI CUMPLE</v>
      </c>
      <c r="Y347" s="14" t="str">
        <f>IF('[1]P-GENERAL'!Y347="","",'[1]P-GENERAL'!Y347)</f>
        <v>SI CUMPLE</v>
      </c>
      <c r="Z347" s="14" t="str">
        <f>IF('[1]P-GENERAL'!Z347="","",'[1]P-GENERAL'!Z347)</f>
        <v/>
      </c>
      <c r="AA347" s="14" t="str">
        <f>IF('[1]P-GENERAL'!AA347="","",'[1]P-GENERAL'!AA347)</f>
        <v>DESPACHADO</v>
      </c>
      <c r="AB347" s="8" t="str">
        <f>IF('[1]P-GENERAL'!AB347="","",'[1]P-GENERAL'!AB347)</f>
        <v>LEOPOLDO LEGORRETA LEGORRETA</v>
      </c>
      <c r="AC347" s="8" t="str">
        <f>IF('[1]P-GENERAL'!AC347="","",'[1]P-GENERAL'!AC347)</f>
        <v>OSCAR CRUZ GARCIA</v>
      </c>
      <c r="AD347">
        <f>IF('[1]P-GENERAL'!AD347="","",'[1]P-GENERAL'!AD347)</f>
        <v>77383</v>
      </c>
      <c r="AE347" t="str">
        <f>IF('[1]P-GENERAL'!AE347="","",'[1]P-GENERAL'!AE347)</f>
        <v>QEP1W000G0</v>
      </c>
    </row>
    <row r="348" spans="1:31" ht="20.25" x14ac:dyDescent="0.3">
      <c r="A348" s="11" t="str">
        <f>IF('[1]P-GENERAL'!A348="","",'[1]P-GENERAL'!A348)</f>
        <v>Chanitos Premium Tarima Chep</v>
      </c>
      <c r="B348" s="11" t="str">
        <f>IF('[1]P-GENERAL'!B348="","",'[1]P-GENERAL'!B348)</f>
        <v>CPR01102</v>
      </c>
      <c r="C348" t="str">
        <f>IF('[1]P-GENERAL'!C348="","",'[1]P-GENERAL'!C348)</f>
        <v>A01004-392509-1</v>
      </c>
      <c r="D348" t="str">
        <f>IF('[1]P-GENERAL'!D348="","",'[1]P-GENERAL'!D348)</f>
        <v>A01 004 La Ceiba</v>
      </c>
      <c r="E348" s="8" t="str">
        <f>IF('[1]P-GENERAL'!E348="","",'[1]P-GENERAL'!E348)</f>
        <v>SMO</v>
      </c>
      <c r="F348" s="12">
        <f>IF('[1]P-GENERAL'!F348="","",'[1]P-GENERAL'!F348)</f>
        <v>1152</v>
      </c>
      <c r="G348" s="13">
        <f>IF('[1]P-GENERAL'!G348="","",'[1]P-GENERAL'!G348)</f>
        <v>24</v>
      </c>
      <c r="H348" s="14">
        <f>IF('[1]P-GENERAL'!H348="","",'[1]P-GENERAL'!H348)</f>
        <v>46290</v>
      </c>
      <c r="I348">
        <f>IF('[1]P-GENERAL'!I348="","",'[1]P-GENERAL'!I348)</f>
        <v>39</v>
      </c>
      <c r="J348" s="15">
        <f>IF('[1]P-GENERAL'!J348="","",'[1]P-GENERAL'!J348)</f>
        <v>46296</v>
      </c>
      <c r="K348" s="14" t="str">
        <f>IF('[1]P-GENERAL'!K348="","",'[1]P-GENERAL'!K348)</f>
        <v/>
      </c>
      <c r="L348" s="14" t="str">
        <f>IF('[1]P-GENERAL'!L348="","",'[1]P-GENERAL'!L348)</f>
        <v>PREENFRIO FORTALEZA</v>
      </c>
      <c r="M348">
        <f>IF('[1]P-GENERAL'!M348="","",'[1]P-GENERAL'!M348)</f>
        <v>1.5</v>
      </c>
      <c r="N348">
        <f>IF('[1]P-GENERAL'!N348="","",'[1]P-GENERAL'!N348)</f>
        <v>36</v>
      </c>
      <c r="O348" s="14">
        <f>IF('[1]P-GENERAL'!O348="","",'[1]P-GENERAL'!O348)</f>
        <v>46290</v>
      </c>
      <c r="P348" s="16">
        <f>IF('[1]P-GENERAL'!P348="","",'[1]P-GENERAL'!P348)</f>
        <v>0.68402777777777779</v>
      </c>
      <c r="Q348" t="str">
        <f>IF('[1]P-GENERAL'!Q348="","",'[1]P-GENERAL'!Q348)</f>
        <v>NORMAL</v>
      </c>
      <c r="R348" s="14">
        <f>IF('[1]P-GENERAL'!R348="","",'[1]P-GENERAL'!R348)</f>
        <v>46293</v>
      </c>
      <c r="S348" s="16">
        <f>IF('[1]P-GENERAL'!S348="","",'[1]P-GENERAL'!S348)</f>
        <v>0.61805555555555558</v>
      </c>
      <c r="T348" s="16">
        <f>IF('[1]P-GENERAL'!T348="","",'[1]P-GENERAL'!T348)</f>
        <v>0.41666666666666669</v>
      </c>
      <c r="U348" s="17">
        <f>IF('[1]P-GENERAL'!U348="","",'[1]P-GENERAL'!U348)</f>
        <v>46294.034722222219</v>
      </c>
      <c r="V348" s="14">
        <f>IF('[1]P-GENERAL'!V348="","",'[1]P-GENERAL'!V348)</f>
        <v>46294</v>
      </c>
      <c r="W348" s="16">
        <f>IF('[1]P-GENERAL'!W348="","",'[1]P-GENERAL'!W348)</f>
        <v>3.4722222222222224E-2</v>
      </c>
      <c r="X348" s="14" t="str">
        <f>IF('[1]P-GENERAL'!X348="","",'[1]P-GENERAL'!X348)</f>
        <v>SI CUMPLE</v>
      </c>
      <c r="Y348" s="14" t="str">
        <f>IF('[1]P-GENERAL'!Y348="","",'[1]P-GENERAL'!Y348)</f>
        <v>SI CUMPLE</v>
      </c>
      <c r="Z348" s="14" t="str">
        <f>IF('[1]P-GENERAL'!Z348="","",'[1]P-GENERAL'!Z348)</f>
        <v/>
      </c>
      <c r="AA348" s="14" t="str">
        <f>IF('[1]P-GENERAL'!AA348="","",'[1]P-GENERAL'!AA348)</f>
        <v>DESPACHADO</v>
      </c>
      <c r="AB348" s="8" t="str">
        <f>IF('[1]P-GENERAL'!AB348="","",'[1]P-GENERAL'!AB348)</f>
        <v>JONATHAN CARRILLO GODINEZ</v>
      </c>
      <c r="AC348" s="8" t="str">
        <f>IF('[1]P-GENERAL'!AC348="","",'[1]P-GENERAL'!AC348)</f>
        <v>ISRAEL HERNANDEZ</v>
      </c>
      <c r="AD348">
        <f>IF('[1]P-GENERAL'!AD348="","",'[1]P-GENERAL'!AD348)</f>
        <v>64633</v>
      </c>
      <c r="AE348" t="str">
        <f>IF('[1]P-GENERAL'!AE348="","",'[1]P-GENERAL'!AE348)</f>
        <v/>
      </c>
    </row>
    <row r="349" spans="1:31" ht="20.25" x14ac:dyDescent="0.3">
      <c r="A349" s="11" t="str">
        <f>IF('[1]P-GENERAL'!A349="","",'[1]P-GENERAL'!A349)</f>
        <v>Chanitos Premium Tarima Chep</v>
      </c>
      <c r="B349" s="11" t="str">
        <f>IF('[1]P-GENERAL'!B349="","",'[1]P-GENERAL'!B349)</f>
        <v>CPR01102</v>
      </c>
      <c r="C349" t="str">
        <f>IF('[1]P-GENERAL'!C349="","",'[1]P-GENERAL'!C349)</f>
        <v>A01004-392509-1</v>
      </c>
      <c r="D349" t="str">
        <f>IF('[1]P-GENERAL'!D349="","",'[1]P-GENERAL'!D349)</f>
        <v>A01 004 La Ceiba</v>
      </c>
      <c r="E349" s="8" t="str">
        <f>IF('[1]P-GENERAL'!E349="","",'[1]P-GENERAL'!E349)</f>
        <v>Chalco</v>
      </c>
      <c r="F349" s="12">
        <f>IF('[1]P-GENERAL'!F349="","",'[1]P-GENERAL'!F349)</f>
        <v>288</v>
      </c>
      <c r="G349" s="13">
        <f>IF('[1]P-GENERAL'!G349="","",'[1]P-GENERAL'!G349)</f>
        <v>6</v>
      </c>
      <c r="H349" s="14">
        <f>IF('[1]P-GENERAL'!H349="","",'[1]P-GENERAL'!H349)</f>
        <v>46290</v>
      </c>
      <c r="I349">
        <f>IF('[1]P-GENERAL'!I349="","",'[1]P-GENERAL'!I349)</f>
        <v>39</v>
      </c>
      <c r="J349" s="15">
        <f>IF('[1]P-GENERAL'!J349="","",'[1]P-GENERAL'!J349)</f>
        <v>46296</v>
      </c>
      <c r="K349" s="14" t="str">
        <f>IF('[1]P-GENERAL'!K349="","",'[1]P-GENERAL'!K349)</f>
        <v/>
      </c>
      <c r="L349" s="14" t="str">
        <f>IF('[1]P-GENERAL'!L349="","",'[1]P-GENERAL'!L349)</f>
        <v>PREENFRIO FORTALEZA</v>
      </c>
      <c r="M349">
        <f>IF('[1]P-GENERAL'!M349="","",'[1]P-GENERAL'!M349)</f>
        <v>1</v>
      </c>
      <c r="N349">
        <f>IF('[1]P-GENERAL'!N349="","",'[1]P-GENERAL'!N349)</f>
        <v>24</v>
      </c>
      <c r="O349" s="14">
        <f>IF('[1]P-GENERAL'!O349="","",'[1]P-GENERAL'!O349)</f>
        <v>46291</v>
      </c>
      <c r="P349" s="16">
        <f>IF('[1]P-GENERAL'!P349="","",'[1]P-GENERAL'!P349)</f>
        <v>0.91666666666666663</v>
      </c>
      <c r="Q349" t="str">
        <f>IF('[1]P-GENERAL'!Q349="","",'[1]P-GENERAL'!Q349)</f>
        <v>NORMAL</v>
      </c>
      <c r="R349" s="14">
        <f>IF('[1]P-GENERAL'!R349="","",'[1]P-GENERAL'!R349)</f>
        <v>46294</v>
      </c>
      <c r="S349" s="16">
        <f>IF('[1]P-GENERAL'!S349="","",'[1]P-GENERAL'!S349)</f>
        <v>3.2638888888888891E-2</v>
      </c>
      <c r="T349" s="16">
        <f>IF('[1]P-GENERAL'!T349="","",'[1]P-GENERAL'!T349)</f>
        <v>0.25</v>
      </c>
      <c r="U349" s="17">
        <f>IF('[1]P-GENERAL'!U349="","",'[1]P-GENERAL'!U349)</f>
        <v>46294.282638888886</v>
      </c>
      <c r="V349" s="14">
        <f>IF('[1]P-GENERAL'!V349="","",'[1]P-GENERAL'!V349)</f>
        <v>46294</v>
      </c>
      <c r="W349" s="16">
        <f>IF('[1]P-GENERAL'!W349="","",'[1]P-GENERAL'!W349)</f>
        <v>0.54166666666666663</v>
      </c>
      <c r="X349" s="14" t="str">
        <f>IF('[1]P-GENERAL'!X349="","",'[1]P-GENERAL'!X349)</f>
        <v>SI CUMPLE</v>
      </c>
      <c r="Y349" s="14" t="str">
        <f>IF('[1]P-GENERAL'!Y349="","",'[1]P-GENERAL'!Y349)</f>
        <v>SI CUMPLE</v>
      </c>
      <c r="Z349" s="14" t="str">
        <f>IF('[1]P-GENERAL'!Z349="","",'[1]P-GENERAL'!Z349)</f>
        <v>Completa en Nelly</v>
      </c>
      <c r="AA349" s="14" t="str">
        <f>IF('[1]P-GENERAL'!AA349="","",'[1]P-GENERAL'!AA349)</f>
        <v>DESPACHADO</v>
      </c>
      <c r="AB349" s="8" t="str">
        <f>IF('[1]P-GENERAL'!AB349="","",'[1]P-GENERAL'!AB349)</f>
        <v>TRL</v>
      </c>
      <c r="AC349" s="8" t="str">
        <f>IF('[1]P-GENERAL'!AC349="","",'[1]P-GENERAL'!AC349)</f>
        <v>EZEQUIEL GARDUÑO FUENTES</v>
      </c>
      <c r="AD349">
        <f>IF('[1]P-GENERAL'!AD349="","",'[1]P-GENERAL'!AD349)</f>
        <v>84052</v>
      </c>
      <c r="AE349" t="str">
        <f>IF('[1]P-GENERAL'!AE349="","",'[1]P-GENERAL'!AE349)</f>
        <v>QEP1W00W50</v>
      </c>
    </row>
    <row r="350" spans="1:31" ht="20.25" x14ac:dyDescent="0.3">
      <c r="A350" s="11" t="str">
        <f>IF('[1]P-GENERAL'!A350="","",'[1]P-GENERAL'!A350)</f>
        <v>Chanitos Premium Tarima Americana</v>
      </c>
      <c r="B350" s="11" t="str">
        <f>IF('[1]P-GENERAL'!B350="","",'[1]P-GENERAL'!B350)</f>
        <v>CPR01103</v>
      </c>
      <c r="C350" t="str">
        <f>IF('[1]P-GENERAL'!C350="","",'[1]P-GENERAL'!C350)</f>
        <v>A12057-392609-1</v>
      </c>
      <c r="D350" t="str">
        <f>IF('[1]P-GENERAL'!D350="","",'[1]P-GENERAL'!D350)</f>
        <v>A12 057 Tiquisate 1</v>
      </c>
      <c r="E350" s="8" t="str">
        <f>IF('[1]P-GENERAL'!E350="","",'[1]P-GENERAL'!E350)</f>
        <v>S-MTY</v>
      </c>
      <c r="F350" s="12">
        <f>IF('[1]P-GENERAL'!F350="","",'[1]P-GENERAL'!F350)</f>
        <v>912</v>
      </c>
      <c r="G350" s="13">
        <f>IF('[1]P-GENERAL'!G350="","",'[1]P-GENERAL'!G350)</f>
        <v>19</v>
      </c>
      <c r="H350" s="14">
        <f>IF('[1]P-GENERAL'!H350="","",'[1]P-GENERAL'!H350)</f>
        <v>46291</v>
      </c>
      <c r="I350">
        <f>IF('[1]P-GENERAL'!I350="","",'[1]P-GENERAL'!I350)</f>
        <v>39</v>
      </c>
      <c r="J350" s="15">
        <f>IF('[1]P-GENERAL'!J350="","",'[1]P-GENERAL'!J350)</f>
        <v>46296</v>
      </c>
      <c r="K350" s="14" t="str">
        <f>IF('[1]P-GENERAL'!K350="","",'[1]P-GENERAL'!K350)</f>
        <v/>
      </c>
      <c r="L350" s="14" t="str">
        <f>IF('[1]P-GENERAL'!L350="","",'[1]P-GENERAL'!L350)</f>
        <v>PREENFRIO NELLY</v>
      </c>
      <c r="M350">
        <f>IF('[1]P-GENERAL'!M350="","",'[1]P-GENERAL'!M350)</f>
        <v>3</v>
      </c>
      <c r="N350">
        <f>IF('[1]P-GENERAL'!N350="","",'[1]P-GENERAL'!N350)</f>
        <v>72</v>
      </c>
      <c r="O350" s="14">
        <f>IF('[1]P-GENERAL'!O350="","",'[1]P-GENERAL'!O350)</f>
        <v>46291</v>
      </c>
      <c r="P350" s="16">
        <f>IF('[1]P-GENERAL'!P350="","",'[1]P-GENERAL'!P350)</f>
        <v>0.91180555555555554</v>
      </c>
      <c r="Q350" t="str">
        <f>IF('[1]P-GENERAL'!Q350="","",'[1]P-GENERAL'!Q350)</f>
        <v>ALTA</v>
      </c>
      <c r="R350" s="14">
        <f>IF('[1]P-GENERAL'!R350="","",'[1]P-GENERAL'!R350)</f>
        <v>46292</v>
      </c>
      <c r="S350" s="16">
        <f>IF('[1]P-GENERAL'!S350="","",'[1]P-GENERAL'!S350)</f>
        <v>0.66319444444444442</v>
      </c>
      <c r="T350" s="16">
        <f>IF('[1]P-GENERAL'!T350="","",'[1]P-GENERAL'!T350)</f>
        <v>0.4375</v>
      </c>
      <c r="U350" s="17">
        <f>IF('[1]P-GENERAL'!U350="","",'[1]P-GENERAL'!U350)</f>
        <v>46293.100694444445</v>
      </c>
      <c r="V350" s="14">
        <f>IF('[1]P-GENERAL'!V350="","",'[1]P-GENERAL'!V350)</f>
        <v>46293</v>
      </c>
      <c r="W350" s="16">
        <f>IF('[1]P-GENERAL'!W350="","",'[1]P-GENERAL'!W350)</f>
        <v>0.78819444444444442</v>
      </c>
      <c r="X350" s="14" t="str">
        <f>IF('[1]P-GENERAL'!X350="","",'[1]P-GENERAL'!X350)</f>
        <v>NO CUMPLE</v>
      </c>
      <c r="Y350" s="14" t="str">
        <f>IF('[1]P-GENERAL'!Y350="","",'[1]P-GENERAL'!Y350)</f>
        <v>NO CUMPLE</v>
      </c>
      <c r="Z350" s="14" t="str">
        <f>IF('[1]P-GENERAL'!Z350="","",'[1]P-GENERAL'!Z350)</f>
        <v>EMPAQUE TARDIO</v>
      </c>
      <c r="AA350" s="14" t="str">
        <f>IF('[1]P-GENERAL'!AA350="","",'[1]P-GENERAL'!AA350)</f>
        <v>DESPACHADO</v>
      </c>
      <c r="AB350" s="8" t="str">
        <f>IF('[1]P-GENERAL'!AB350="","",'[1]P-GENERAL'!AB350)</f>
        <v>TRANSPORTES DELTA DE MTY</v>
      </c>
      <c r="AC350" s="8" t="str">
        <f>IF('[1]P-GENERAL'!AC350="","",'[1]P-GENERAL'!AC350)</f>
        <v>JESUS ALBERTO GONZALEZ</v>
      </c>
      <c r="AD350">
        <f>IF('[1]P-GENERAL'!AD350="","",'[1]P-GENERAL'!AD350)</f>
        <v>12085</v>
      </c>
      <c r="AE350" t="str">
        <f>IF('[1]P-GENERAL'!AE350="","",'[1]P-GENERAL'!AE350)</f>
        <v/>
      </c>
    </row>
    <row r="351" spans="1:31" ht="20.25" x14ac:dyDescent="0.3">
      <c r="A351" s="11" t="str">
        <f>IF('[1]P-GENERAL'!A351="","",'[1]P-GENERAL'!A351)</f>
        <v>Chanitos Premium Tarima Chep</v>
      </c>
      <c r="B351" s="11" t="str">
        <f>IF('[1]P-GENERAL'!B351="","",'[1]P-GENERAL'!B351)</f>
        <v>CPR01102</v>
      </c>
      <c r="C351" t="str">
        <f>IF('[1]P-GENERAL'!C351="","",'[1]P-GENERAL'!C351)</f>
        <v>A01002-392609-1</v>
      </c>
      <c r="D351" t="str">
        <f>IF('[1]P-GENERAL'!D351="","",'[1]P-GENERAL'!D351)</f>
        <v>A01 002 Fortaleza</v>
      </c>
      <c r="E351" s="8" t="str">
        <f>IF('[1]P-GENERAL'!E351="","",'[1]P-GENERAL'!E351)</f>
        <v>Chalco</v>
      </c>
      <c r="F351" s="12">
        <f>IF('[1]P-GENERAL'!F351="","",'[1]P-GENERAL'!F351)</f>
        <v>48</v>
      </c>
      <c r="G351" s="13">
        <f>IF('[1]P-GENERAL'!G351="","",'[1]P-GENERAL'!G351)</f>
        <v>1</v>
      </c>
      <c r="H351" s="14">
        <f>IF('[1]P-GENERAL'!H351="","",'[1]P-GENERAL'!H351)</f>
        <v>46291</v>
      </c>
      <c r="I351">
        <f>IF('[1]P-GENERAL'!I351="","",'[1]P-GENERAL'!I351)</f>
        <v>39</v>
      </c>
      <c r="J351" s="15">
        <f>IF('[1]P-GENERAL'!J351="","",'[1]P-GENERAL'!J351)</f>
        <v>46296</v>
      </c>
      <c r="K351" s="14" t="str">
        <f>IF('[1]P-GENERAL'!K351="","",'[1]P-GENERAL'!K351)</f>
        <v/>
      </c>
      <c r="L351" s="14" t="str">
        <f>IF('[1]P-GENERAL'!L351="","",'[1]P-GENERAL'!L351)</f>
        <v>PREENFRIO FORTALEZA</v>
      </c>
      <c r="M351">
        <f>IF('[1]P-GENERAL'!M351="","",'[1]P-GENERAL'!M351)</f>
        <v>1</v>
      </c>
      <c r="N351">
        <f>IF('[1]P-GENERAL'!N351="","",'[1]P-GENERAL'!N351)</f>
        <v>24</v>
      </c>
      <c r="O351" s="14">
        <f>IF('[1]P-GENERAL'!O351="","",'[1]P-GENERAL'!O351)</f>
        <v>46291</v>
      </c>
      <c r="P351" s="16">
        <f>IF('[1]P-GENERAL'!P351="","",'[1]P-GENERAL'!P351)</f>
        <v>0.70833333333333337</v>
      </c>
      <c r="Q351" t="str">
        <f>IF('[1]P-GENERAL'!Q351="","",'[1]P-GENERAL'!Q351)</f>
        <v>NORMAL</v>
      </c>
      <c r="R351" s="14">
        <f>IF('[1]P-GENERAL'!R351="","",'[1]P-GENERAL'!R351)</f>
        <v>46294</v>
      </c>
      <c r="S351" s="16">
        <f>IF('[1]P-GENERAL'!S351="","",'[1]P-GENERAL'!S351)</f>
        <v>3.2638888888888891E-2</v>
      </c>
      <c r="T351" s="16">
        <f>IF('[1]P-GENERAL'!T351="","",'[1]P-GENERAL'!T351)</f>
        <v>0.25</v>
      </c>
      <c r="U351" s="17">
        <f>IF('[1]P-GENERAL'!U351="","",'[1]P-GENERAL'!U351)</f>
        <v>46294.282638888886</v>
      </c>
      <c r="V351" s="14">
        <f>IF('[1]P-GENERAL'!V351="","",'[1]P-GENERAL'!V351)</f>
        <v>46294</v>
      </c>
      <c r="W351" s="16">
        <f>IF('[1]P-GENERAL'!W351="","",'[1]P-GENERAL'!W351)</f>
        <v>0.54166666666666663</v>
      </c>
      <c r="X351" s="14" t="str">
        <f>IF('[1]P-GENERAL'!X351="","",'[1]P-GENERAL'!X351)</f>
        <v>SI CUMPLE</v>
      </c>
      <c r="Y351" s="14" t="str">
        <f>IF('[1]P-GENERAL'!Y351="","",'[1]P-GENERAL'!Y351)</f>
        <v>SI CUMPLE</v>
      </c>
      <c r="Z351" s="14" t="str">
        <f>IF('[1]P-GENERAL'!Z351="","",'[1]P-GENERAL'!Z351)</f>
        <v>Completa en Nelly</v>
      </c>
      <c r="AA351" s="14" t="str">
        <f>IF('[1]P-GENERAL'!AA351="","",'[1]P-GENERAL'!AA351)</f>
        <v>DESPACHADO</v>
      </c>
      <c r="AB351" s="8" t="str">
        <f>IF('[1]P-GENERAL'!AB351="","",'[1]P-GENERAL'!AB351)</f>
        <v>TRL</v>
      </c>
      <c r="AC351" s="8" t="str">
        <f>IF('[1]P-GENERAL'!AC351="","",'[1]P-GENERAL'!AC351)</f>
        <v>EZEQUIEL GARDUÑO FUENTES</v>
      </c>
      <c r="AD351">
        <f>IF('[1]P-GENERAL'!AD351="","",'[1]P-GENERAL'!AD351)</f>
        <v>84052</v>
      </c>
      <c r="AE351" t="str">
        <f>IF('[1]P-GENERAL'!AE351="","",'[1]P-GENERAL'!AE351)</f>
        <v>QEP1W00W50</v>
      </c>
    </row>
    <row r="352" spans="1:31" ht="20.25" x14ac:dyDescent="0.3">
      <c r="A352" s="11" t="str">
        <f>IF('[1]P-GENERAL'!A352="","",'[1]P-GENERAL'!A352)</f>
        <v>Chanitos Premium Tarima Americana</v>
      </c>
      <c r="B352" s="11" t="str">
        <f>IF('[1]P-GENERAL'!B352="","",'[1]P-GENERAL'!B352)</f>
        <v>CPR01103</v>
      </c>
      <c r="C352" t="str">
        <f>IF('[1]P-GENERAL'!C352="","",'[1]P-GENERAL'!C352)</f>
        <v>A01003-392609-1</v>
      </c>
      <c r="D352" t="str">
        <f>IF('[1]P-GENERAL'!D352="","",'[1]P-GENERAL'!D352)</f>
        <v>A01 003 Doña Nelly</v>
      </c>
      <c r="E352" s="8" t="str">
        <f>IF('[1]P-GENERAL'!E352="","",'[1]P-GENERAL'!E352)</f>
        <v>Ciudad Juarez</v>
      </c>
      <c r="F352" s="12">
        <f>IF('[1]P-GENERAL'!F352="","",'[1]P-GENERAL'!F352)</f>
        <v>960</v>
      </c>
      <c r="G352" s="13">
        <f>IF('[1]P-GENERAL'!G352="","",'[1]P-GENERAL'!G352)</f>
        <v>20</v>
      </c>
      <c r="H352" s="14">
        <f>IF('[1]P-GENERAL'!H352="","",'[1]P-GENERAL'!H352)</f>
        <v>46291</v>
      </c>
      <c r="I352">
        <f>IF('[1]P-GENERAL'!I352="","",'[1]P-GENERAL'!I352)</f>
        <v>39</v>
      </c>
      <c r="J352" s="15">
        <f>IF('[1]P-GENERAL'!J352="","",'[1]P-GENERAL'!J352)</f>
        <v>46297</v>
      </c>
      <c r="K352" s="14" t="str">
        <f>IF('[1]P-GENERAL'!K352="","",'[1]P-GENERAL'!K352)</f>
        <v/>
      </c>
      <c r="L352" s="14" t="str">
        <f>IF('[1]P-GENERAL'!L352="","",'[1]P-GENERAL'!L352)</f>
        <v>PREENFRIO NELLY</v>
      </c>
      <c r="M352">
        <f>IF('[1]P-GENERAL'!M352="","",'[1]P-GENERAL'!M352)</f>
        <v>4</v>
      </c>
      <c r="N352">
        <f>IF('[1]P-GENERAL'!N352="","",'[1]P-GENERAL'!N352)</f>
        <v>96</v>
      </c>
      <c r="O352" s="14">
        <f>IF('[1]P-GENERAL'!O352="","",'[1]P-GENERAL'!O352)</f>
        <v>46291</v>
      </c>
      <c r="P352" s="16">
        <f>IF('[1]P-GENERAL'!P352="","",'[1]P-GENERAL'!P352)</f>
        <v>0.75</v>
      </c>
      <c r="Q352" t="str">
        <f>IF('[1]P-GENERAL'!Q352="","",'[1]P-GENERAL'!Q352)</f>
        <v>ALTA</v>
      </c>
      <c r="R352" s="14">
        <f>IF('[1]P-GENERAL'!R352="","",'[1]P-GENERAL'!R352)</f>
        <v>46291</v>
      </c>
      <c r="S352" s="16">
        <f>IF('[1]P-GENERAL'!S352="","",'[1]P-GENERAL'!S352)</f>
        <v>0.89583333333333337</v>
      </c>
      <c r="T352" s="16">
        <f>IF('[1]P-GENERAL'!T352="","",'[1]P-GENERAL'!T352)</f>
        <v>0.4375</v>
      </c>
      <c r="U352" s="17">
        <f>IF('[1]P-GENERAL'!U352="","",'[1]P-GENERAL'!U352)</f>
        <v>46292.333333333336</v>
      </c>
      <c r="V352" s="14">
        <f>IF('[1]P-GENERAL'!V352="","",'[1]P-GENERAL'!V352)</f>
        <v>46292</v>
      </c>
      <c r="W352" s="16">
        <f>IF('[1]P-GENERAL'!W352="","",'[1]P-GENERAL'!W352)</f>
        <v>0.69791666666666663</v>
      </c>
      <c r="X352" s="14" t="str">
        <f>IF('[1]P-GENERAL'!X352="","",'[1]P-GENERAL'!X352)</f>
        <v>SI CUMPLE</v>
      </c>
      <c r="Y352" s="14" t="str">
        <f>IF('[1]P-GENERAL'!Y352="","",'[1]P-GENERAL'!Y352)</f>
        <v>SI CUMPLE</v>
      </c>
      <c r="Z352" s="14" t="str">
        <f>IF('[1]P-GENERAL'!Z352="","",'[1]P-GENERAL'!Z352)</f>
        <v/>
      </c>
      <c r="AA352" s="14" t="str">
        <f>IF('[1]P-GENERAL'!AA352="","",'[1]P-GENERAL'!AA352)</f>
        <v>DESPACHADO</v>
      </c>
      <c r="AB352" s="8" t="str">
        <f>IF('[1]P-GENERAL'!AB352="","",'[1]P-GENERAL'!AB352)</f>
        <v>AUTO EXPRESS SEGOVIA</v>
      </c>
      <c r="AC352" s="8" t="str">
        <f>IF('[1]P-GENERAL'!AC352="","",'[1]P-GENERAL'!AC352)</f>
        <v>IGNACIO MARTINEZ GONZALEZ</v>
      </c>
      <c r="AD352" t="str">
        <f>IF('[1]P-GENERAL'!AD352="","",'[1]P-GENERAL'!AD352)</f>
        <v/>
      </c>
      <c r="AE352" t="str">
        <f>IF('[1]P-GENERAL'!AE352="","",'[1]P-GENERAL'!AE352)</f>
        <v/>
      </c>
    </row>
    <row r="353" spans="1:31" ht="20.25" x14ac:dyDescent="0.3">
      <c r="A353" s="11" t="str">
        <f>IF('[1]P-GENERAL'!A353="","",'[1]P-GENERAL'!A353)</f>
        <v>Chanitos Premium EUA Tarima Americana</v>
      </c>
      <c r="B353" s="11" t="str">
        <f>IF('[1]P-GENERAL'!B353="","",'[1]P-GENERAL'!B353)</f>
        <v>CPR01104</v>
      </c>
      <c r="C353" t="str">
        <f>IF('[1]P-GENERAL'!C353="","",'[1]P-GENERAL'!C353)</f>
        <v>A11045-402809-1</v>
      </c>
      <c r="D353" t="str">
        <f>IF('[1]P-GENERAL'!D353="","",'[1]P-GENERAL'!D353)</f>
        <v>A11 045 Sector Mazatan</v>
      </c>
      <c r="E353" s="8" t="str">
        <f>IF('[1]P-GENERAL'!E353="","",'[1]P-GENERAL'!E353)</f>
        <v>McAllen</v>
      </c>
      <c r="F353" s="12">
        <f>IF('[1]P-GENERAL'!F353="","",'[1]P-GENERAL'!F353)</f>
        <v>480</v>
      </c>
      <c r="G353" s="13">
        <f>IF('[1]P-GENERAL'!G353="","",'[1]P-GENERAL'!G353)</f>
        <v>10</v>
      </c>
      <c r="H353" s="14">
        <f>IF('[1]P-GENERAL'!H353="","",'[1]P-GENERAL'!H353)</f>
        <v>46293</v>
      </c>
      <c r="I353">
        <f>IF('[1]P-GENERAL'!I353="","",'[1]P-GENERAL'!I353)</f>
        <v>40</v>
      </c>
      <c r="J353" s="15">
        <f>IF('[1]P-GENERAL'!J353="","",'[1]P-GENERAL'!J353)</f>
        <v>46296</v>
      </c>
      <c r="K353" s="14" t="str">
        <f>IF('[1]P-GENERAL'!K353="","",'[1]P-GENERAL'!K353)</f>
        <v/>
      </c>
      <c r="L353" s="14" t="str">
        <f>IF('[1]P-GENERAL'!L353="","",'[1]P-GENERAL'!L353)</f>
        <v>PREENFRIO FORTALEZA</v>
      </c>
      <c r="M353">
        <f>IF('[1]P-GENERAL'!M353="","",'[1]P-GENERAL'!M353)</f>
        <v>3</v>
      </c>
      <c r="N353">
        <f>IF('[1]P-GENERAL'!N353="","",'[1]P-GENERAL'!N353)</f>
        <v>72</v>
      </c>
      <c r="O353" s="14">
        <f>IF('[1]P-GENERAL'!O353="","",'[1]P-GENERAL'!O353)</f>
        <v>46293</v>
      </c>
      <c r="P353" s="16">
        <f>IF('[1]P-GENERAL'!P353="","",'[1]P-GENERAL'!P353)</f>
        <v>0.83333333333333337</v>
      </c>
      <c r="Q353" t="str">
        <f>IF('[1]P-GENERAL'!Q353="","",'[1]P-GENERAL'!Q353)</f>
        <v>NORMAL</v>
      </c>
      <c r="R353" s="14">
        <f>IF('[1]P-GENERAL'!R353="","",'[1]P-GENERAL'!R353)</f>
        <v>46295</v>
      </c>
      <c r="S353" s="16">
        <f>IF('[1]P-GENERAL'!S353="","",'[1]P-GENERAL'!S353)</f>
        <v>0.35416666666666669</v>
      </c>
      <c r="T353" s="16">
        <f>IF('[1]P-GENERAL'!T353="","",'[1]P-GENERAL'!T353)</f>
        <v>0.33333333333333331</v>
      </c>
      <c r="U353" s="17">
        <f>IF('[1]P-GENERAL'!U353="","",'[1]P-GENERAL'!U353)</f>
        <v>46295.6875</v>
      </c>
      <c r="V353" s="14">
        <f>IF('[1]P-GENERAL'!V353="","",'[1]P-GENERAL'!V353)</f>
        <v>46293</v>
      </c>
      <c r="W353" s="16">
        <f>IF('[1]P-GENERAL'!W353="","",'[1]P-GENERAL'!W353)</f>
        <v>0.94444444444444442</v>
      </c>
      <c r="X353" s="14" t="str">
        <f>IF('[1]P-GENERAL'!X353="","",'[1]P-GENERAL'!X353)</f>
        <v>NO CUMPLE</v>
      </c>
      <c r="Y353" s="14" t="str">
        <f>IF('[1]P-GENERAL'!Y353="","",'[1]P-GENERAL'!Y353)</f>
        <v>NO CUMPLE</v>
      </c>
      <c r="Z353" s="14" t="str">
        <f>IF('[1]P-GENERAL'!Z353="","",'[1]P-GENERAL'!Z353)</f>
        <v>Completa en Nelly 2 tarimas</v>
      </c>
      <c r="AA353" s="14" t="str">
        <f>IF('[1]P-GENERAL'!AA353="","",'[1]P-GENERAL'!AA353)</f>
        <v>DESPACHADO</v>
      </c>
      <c r="AB353" s="8" t="str">
        <f>IF('[1]P-GENERAL'!AB353="","",'[1]P-GENERAL'!AB353)</f>
        <v>EXPRESS CAVAZOS CANTU</v>
      </c>
      <c r="AC353" s="8" t="str">
        <f>IF('[1]P-GENERAL'!AC353="","",'[1]P-GENERAL'!AC353)</f>
        <v>JERESARET BARTOLO RUIZ</v>
      </c>
      <c r="AD353">
        <f>IF('[1]P-GENERAL'!AD353="","",'[1]P-GENERAL'!AD353)</f>
        <v>27148</v>
      </c>
      <c r="AE353" t="str">
        <f>IF('[1]P-GENERAL'!AE353="","",'[1]P-GENERAL'!AE353)</f>
        <v>QEP1W00630</v>
      </c>
    </row>
    <row r="354" spans="1:31" ht="20.25" x14ac:dyDescent="0.3">
      <c r="A354" s="11" t="str">
        <f>IF('[1]P-GENERAL'!A354="","",'[1]P-GENERAL'!A354)</f>
        <v>Chanitos Premium EUA Tarima Americana</v>
      </c>
      <c r="B354" s="11" t="str">
        <f>IF('[1]P-GENERAL'!B354="","",'[1]P-GENERAL'!B354)</f>
        <v>CPR01104</v>
      </c>
      <c r="C354" t="str">
        <f>IF('[1]P-GENERAL'!C354="","",'[1]P-GENERAL'!C354)</f>
        <v>A11045-402809-1</v>
      </c>
      <c r="D354" t="str">
        <f>IF('[1]P-GENERAL'!D354="","",'[1]P-GENERAL'!D354)</f>
        <v>A11 045 Sector Mazatan</v>
      </c>
      <c r="E354" s="8" t="str">
        <f>IF('[1]P-GENERAL'!E354="","",'[1]P-GENERAL'!E354)</f>
        <v>McAllen</v>
      </c>
      <c r="F354" s="12">
        <f>IF('[1]P-GENERAL'!F354="","",'[1]P-GENERAL'!F354)</f>
        <v>96</v>
      </c>
      <c r="G354" s="13">
        <f>IF('[1]P-GENERAL'!G354="","",'[1]P-GENERAL'!G354)</f>
        <v>2</v>
      </c>
      <c r="H354" s="14">
        <f>IF('[1]P-GENERAL'!H354="","",'[1]P-GENERAL'!H354)</f>
        <v>46293</v>
      </c>
      <c r="I354">
        <f>IF('[1]P-GENERAL'!I354="","",'[1]P-GENERAL'!I354)</f>
        <v>40</v>
      </c>
      <c r="J354" s="15">
        <f>IF('[1]P-GENERAL'!J354="","",'[1]P-GENERAL'!J354)</f>
        <v>46296</v>
      </c>
      <c r="K354" s="14" t="str">
        <f>IF('[1]P-GENERAL'!K354="","",'[1]P-GENERAL'!K354)</f>
        <v/>
      </c>
      <c r="L354" s="14" t="str">
        <f>IF('[1]P-GENERAL'!L354="","",'[1]P-GENERAL'!L354)</f>
        <v>PREENFRIO FORTALEZA</v>
      </c>
      <c r="M354">
        <f>IF('[1]P-GENERAL'!M354="","",'[1]P-GENERAL'!M354)</f>
        <v>3</v>
      </c>
      <c r="N354">
        <f>IF('[1]P-GENERAL'!N354="","",'[1]P-GENERAL'!N354)</f>
        <v>72</v>
      </c>
      <c r="O354" s="14">
        <f>IF('[1]P-GENERAL'!O354="","",'[1]P-GENERAL'!O354)</f>
        <v>46293</v>
      </c>
      <c r="P354" s="16">
        <f>IF('[1]P-GENERAL'!P354="","",'[1]P-GENERAL'!P354)</f>
        <v>0.83333333333333337</v>
      </c>
      <c r="Q354" t="str">
        <f>IF('[1]P-GENERAL'!Q354="","",'[1]P-GENERAL'!Q354)</f>
        <v>NORMAL</v>
      </c>
      <c r="R354" s="14">
        <f>IF('[1]P-GENERAL'!R354="","",'[1]P-GENERAL'!R354)</f>
        <v>46294</v>
      </c>
      <c r="S354" s="16">
        <f>IF('[1]P-GENERAL'!S354="","",'[1]P-GENERAL'!S354)</f>
        <v>0.50763888888888886</v>
      </c>
      <c r="T354" s="16">
        <f>IF('[1]P-GENERAL'!T354="","",'[1]P-GENERAL'!T354)</f>
        <v>0.33333333333333331</v>
      </c>
      <c r="U354" s="17">
        <f>IF('[1]P-GENERAL'!U354="","",'[1]P-GENERAL'!U354)</f>
        <v>46294.840972222228</v>
      </c>
      <c r="V354" s="14">
        <f>IF('[1]P-GENERAL'!V354="","",'[1]P-GENERAL'!V354)</f>
        <v>46294</v>
      </c>
      <c r="W354" s="16">
        <f>IF('[1]P-GENERAL'!W354="","",'[1]P-GENERAL'!W354)</f>
        <v>0.98541666666666672</v>
      </c>
      <c r="X354" s="14" t="str">
        <f>IF('[1]P-GENERAL'!X354="","",'[1]P-GENERAL'!X354)</f>
        <v>SI CUMPLE</v>
      </c>
      <c r="Y354" s="14" t="str">
        <f>IF('[1]P-GENERAL'!Y354="","",'[1]P-GENERAL'!Y354)</f>
        <v>NO CUMPLE</v>
      </c>
      <c r="Z354" s="14" t="str">
        <f>IF('[1]P-GENERAL'!Z354="","",'[1]P-GENERAL'!Z354)</f>
        <v/>
      </c>
      <c r="AA354" s="14" t="str">
        <f>IF('[1]P-GENERAL'!AA354="","",'[1]P-GENERAL'!AA354)</f>
        <v>DESPACHADO</v>
      </c>
      <c r="AB354" s="8" t="str">
        <f>IF('[1]P-GENERAL'!AB354="","",'[1]P-GENERAL'!AB354)</f>
        <v>EXPRESS CAVAZOS CANTU</v>
      </c>
      <c r="AC354" s="8" t="str">
        <f>IF('[1]P-GENERAL'!AC354="","",'[1]P-GENERAL'!AC354)</f>
        <v>SANTOS CRUZ DE LA CRUZ</v>
      </c>
      <c r="AD354">
        <f>IF('[1]P-GENERAL'!AD354="","",'[1]P-GENERAL'!AD354)</f>
        <v>82511</v>
      </c>
      <c r="AE354">
        <f>IF('[1]P-GENERAL'!AE354="","",'[1]P-GENERAL'!AE354)</f>
        <v>100000914973</v>
      </c>
    </row>
    <row r="355" spans="1:31" ht="20.25" x14ac:dyDescent="0.3">
      <c r="A355" s="11" t="str">
        <f>IF('[1]P-GENERAL'!A355="","",'[1]P-GENERAL'!A355)</f>
        <v>Chanitos Premium EUA Tarima Americana</v>
      </c>
      <c r="B355" s="11" t="str">
        <f>IF('[1]P-GENERAL'!B355="","",'[1]P-GENERAL'!B355)</f>
        <v>CPR01104</v>
      </c>
      <c r="C355" t="str">
        <f>IF('[1]P-GENERAL'!C355="","",'[1]P-GENERAL'!C355)</f>
        <v>A04084-402809-1</v>
      </c>
      <c r="D355" t="str">
        <f>IF('[1]P-GENERAL'!D355="","",'[1]P-GENERAL'!D355)</f>
        <v>A04 084 Lisboa</v>
      </c>
      <c r="E355" s="8" t="str">
        <f>IF('[1]P-GENERAL'!E355="","",'[1]P-GENERAL'!E355)</f>
        <v>McAllen</v>
      </c>
      <c r="F355" s="12">
        <f>IF('[1]P-GENERAL'!F355="","",'[1]P-GENERAL'!F355)</f>
        <v>480</v>
      </c>
      <c r="G355" s="13">
        <f>IF('[1]P-GENERAL'!G355="","",'[1]P-GENERAL'!G355)</f>
        <v>10</v>
      </c>
      <c r="H355" s="14">
        <f>IF('[1]P-GENERAL'!H355="","",'[1]P-GENERAL'!H355)</f>
        <v>46293</v>
      </c>
      <c r="I355">
        <f>IF('[1]P-GENERAL'!I355="","",'[1]P-GENERAL'!I355)</f>
        <v>40</v>
      </c>
      <c r="J355" s="15">
        <f>IF('[1]P-GENERAL'!J355="","",'[1]P-GENERAL'!J355)</f>
        <v>46296</v>
      </c>
      <c r="K355" s="14" t="str">
        <f>IF('[1]P-GENERAL'!K355="","",'[1]P-GENERAL'!K355)</f>
        <v/>
      </c>
      <c r="L355" s="14" t="str">
        <f>IF('[1]P-GENERAL'!L355="","",'[1]P-GENERAL'!L355)</f>
        <v>PREENFRIO FORTALEZA</v>
      </c>
      <c r="M355">
        <f>IF('[1]P-GENERAL'!M355="","",'[1]P-GENERAL'!M355)</f>
        <v>3</v>
      </c>
      <c r="N355">
        <f>IF('[1]P-GENERAL'!N355="","",'[1]P-GENERAL'!N355)</f>
        <v>72</v>
      </c>
      <c r="O355" s="14">
        <f>IF('[1]P-GENERAL'!O355="","",'[1]P-GENERAL'!O355)</f>
        <v>46294</v>
      </c>
      <c r="P355" s="16">
        <f>IF('[1]P-GENERAL'!P355="","",'[1]P-GENERAL'!P355)</f>
        <v>0.90763888888888888</v>
      </c>
      <c r="Q355" t="str">
        <f>IF('[1]P-GENERAL'!Q355="","",'[1]P-GENERAL'!Q355)</f>
        <v>NORMAL</v>
      </c>
      <c r="R355" s="14">
        <f>IF('[1]P-GENERAL'!R355="","",'[1]P-GENERAL'!R355)</f>
        <v>46295</v>
      </c>
      <c r="S355" s="16">
        <f>IF('[1]P-GENERAL'!S355="","",'[1]P-GENERAL'!S355)</f>
        <v>0.3611111111111111</v>
      </c>
      <c r="T355" s="16">
        <f>IF('[1]P-GENERAL'!T355="","",'[1]P-GENERAL'!T355)</f>
        <v>0.16666666666666666</v>
      </c>
      <c r="U355" s="17">
        <f>IF('[1]P-GENERAL'!U355="","",'[1]P-GENERAL'!U355)</f>
        <v>46295.527777777774</v>
      </c>
      <c r="V355" s="14">
        <f>IF('[1]P-GENERAL'!V355="","",'[1]P-GENERAL'!V355)</f>
        <v>46295</v>
      </c>
      <c r="W355" s="16">
        <f>IF('[1]P-GENERAL'!W355="","",'[1]P-GENERAL'!W355)</f>
        <v>0.51666666666666672</v>
      </c>
      <c r="X355" s="14" t="str">
        <f>IF('[1]P-GENERAL'!X355="","",'[1]P-GENERAL'!X355)</f>
        <v>NO CUMPLE</v>
      </c>
      <c r="Y355" s="14" t="str">
        <f>IF('[1]P-GENERAL'!Y355="","",'[1]P-GENERAL'!Y355)</f>
        <v>NO CUMPLE</v>
      </c>
      <c r="Z355" s="14" t="str">
        <f>IF('[1]P-GENERAL'!Z355="","",'[1]P-GENERAL'!Z355)</f>
        <v/>
      </c>
      <c r="AA355" s="14" t="str">
        <f>IF('[1]P-GENERAL'!AA355="","",'[1]P-GENERAL'!AA355)</f>
        <v>DESPACHADO</v>
      </c>
      <c r="AB355" s="8" t="str">
        <f>IF('[1]P-GENERAL'!AB355="","",'[1]P-GENERAL'!AB355)</f>
        <v>TRANSPORTES ALGEZA</v>
      </c>
      <c r="AC355" s="8" t="str">
        <f>IF('[1]P-GENERAL'!AC355="","",'[1]P-GENERAL'!AC355)</f>
        <v>HECTOR BENJAMIN RIVERA</v>
      </c>
      <c r="AD355">
        <f>IF('[1]P-GENERAL'!AD355="","",'[1]P-GENERAL'!AD355)</f>
        <v>78564</v>
      </c>
      <c r="AE355">
        <f>IF('[1]P-GENERAL'!AE355="","",'[1]P-GENERAL'!AE355)</f>
        <v>100000914972</v>
      </c>
    </row>
    <row r="356" spans="1:31" ht="20.25" x14ac:dyDescent="0.3">
      <c r="A356" s="11" t="str">
        <f>IF('[1]P-GENERAL'!A356="","",'[1]P-GENERAL'!A356)</f>
        <v>Chanitos Premium EUA Tarima Americana</v>
      </c>
      <c r="B356" s="11" t="str">
        <f>IF('[1]P-GENERAL'!B356="","",'[1]P-GENERAL'!B356)</f>
        <v>CPR01104</v>
      </c>
      <c r="C356" t="str">
        <f>IF('[1]P-GENERAL'!C356="","",'[1]P-GENERAL'!C356)</f>
        <v>A04084-402809-1</v>
      </c>
      <c r="D356" t="str">
        <f>IF('[1]P-GENERAL'!D356="","",'[1]P-GENERAL'!D356)</f>
        <v>A04 084 Lisboa</v>
      </c>
      <c r="E356" s="8" t="str">
        <f>IF('[1]P-GENERAL'!E356="","",'[1]P-GENERAL'!E356)</f>
        <v>McAllen</v>
      </c>
      <c r="F356" s="12">
        <f>IF('[1]P-GENERAL'!F356="","",'[1]P-GENERAL'!F356)</f>
        <v>96</v>
      </c>
      <c r="G356" s="13">
        <f>IF('[1]P-GENERAL'!G356="","",'[1]P-GENERAL'!G356)</f>
        <v>2</v>
      </c>
      <c r="H356" s="14">
        <f>IF('[1]P-GENERAL'!H356="","",'[1]P-GENERAL'!H356)</f>
        <v>46293</v>
      </c>
      <c r="I356">
        <f>IF('[1]P-GENERAL'!I356="","",'[1]P-GENERAL'!I356)</f>
        <v>40</v>
      </c>
      <c r="J356" s="15">
        <f>IF('[1]P-GENERAL'!J356="","",'[1]P-GENERAL'!J356)</f>
        <v>46296</v>
      </c>
      <c r="K356" s="14" t="str">
        <f>IF('[1]P-GENERAL'!K356="","",'[1]P-GENERAL'!K356)</f>
        <v/>
      </c>
      <c r="L356" s="14" t="str">
        <f>IF('[1]P-GENERAL'!L356="","",'[1]P-GENERAL'!L356)</f>
        <v>PREENFRIO FORTALEZA</v>
      </c>
      <c r="M356">
        <f>IF('[1]P-GENERAL'!M356="","",'[1]P-GENERAL'!M356)</f>
        <v>3</v>
      </c>
      <c r="N356">
        <f>IF('[1]P-GENERAL'!N356="","",'[1]P-GENERAL'!N356)</f>
        <v>72</v>
      </c>
      <c r="O356" s="14">
        <f>IF('[1]P-GENERAL'!O356="","",'[1]P-GENERAL'!O356)</f>
        <v>46294</v>
      </c>
      <c r="P356" s="16">
        <f>IF('[1]P-GENERAL'!P356="","",'[1]P-GENERAL'!P356)</f>
        <v>0.90763888888888888</v>
      </c>
      <c r="Q356" t="str">
        <f>IF('[1]P-GENERAL'!Q356="","",'[1]P-GENERAL'!Q356)</f>
        <v>NORMAL</v>
      </c>
      <c r="R356" s="14">
        <f>IF('[1]P-GENERAL'!R356="","",'[1]P-GENERAL'!R356)</f>
        <v>46295</v>
      </c>
      <c r="S356" s="16">
        <f>IF('[1]P-GENERAL'!S356="","",'[1]P-GENERAL'!S356)</f>
        <v>0.52777777777777779</v>
      </c>
      <c r="T356" s="16">
        <f>IF('[1]P-GENERAL'!T356="","",'[1]P-GENERAL'!T356)</f>
        <v>0.33333333333333331</v>
      </c>
      <c r="U356" s="17">
        <f>IF('[1]P-GENERAL'!U356="","",'[1]P-GENERAL'!U356)</f>
        <v>46295.861111111117</v>
      </c>
      <c r="V356" s="14">
        <f>IF('[1]P-GENERAL'!V356="","",'[1]P-GENERAL'!V356)</f>
        <v>46295</v>
      </c>
      <c r="W356" s="16">
        <f>IF('[1]P-GENERAL'!W356="","",'[1]P-GENERAL'!W356)</f>
        <v>0.91666666666666663</v>
      </c>
      <c r="X356" s="14" t="str">
        <f>IF('[1]P-GENERAL'!X356="","",'[1]P-GENERAL'!X356)</f>
        <v>NO CUMPLE</v>
      </c>
      <c r="Y356" s="14" t="str">
        <f>IF('[1]P-GENERAL'!Y356="","",'[1]P-GENERAL'!Y356)</f>
        <v>NO CUMPLE</v>
      </c>
      <c r="Z356" s="14" t="str">
        <f>IF('[1]P-GENERAL'!Z356="","",'[1]P-GENERAL'!Z356)</f>
        <v/>
      </c>
      <c r="AA356" s="14" t="str">
        <f>IF('[1]P-GENERAL'!AA356="","",'[1]P-GENERAL'!AA356)</f>
        <v>DESPACHADO</v>
      </c>
      <c r="AB356" s="8" t="str">
        <f>IF('[1]P-GENERAL'!AB356="","",'[1]P-GENERAL'!AB356)</f>
        <v>TRANSPORTES ALGEZA</v>
      </c>
      <c r="AC356" s="8" t="str">
        <f>IF('[1]P-GENERAL'!AC356="","",'[1]P-GENERAL'!AC356)</f>
        <v>HECTOR BENJAMIN RIVERA</v>
      </c>
      <c r="AD356">
        <f>IF('[1]P-GENERAL'!AD356="","",'[1]P-GENERAL'!AD356)</f>
        <v>35064</v>
      </c>
      <c r="AE356">
        <f>IF('[1]P-GENERAL'!AE356="","",'[1]P-GENERAL'!AE356)</f>
        <v>100000914992</v>
      </c>
    </row>
    <row r="357" spans="1:31" ht="20.25" x14ac:dyDescent="0.3">
      <c r="A357" s="11" t="str">
        <f>IF('[1]P-GENERAL'!A357="","",'[1]P-GENERAL'!A357)</f>
        <v>Chanitos Premium Tarima Americana</v>
      </c>
      <c r="B357" s="11" t="str">
        <f>IF('[1]P-GENERAL'!B357="","",'[1]P-GENERAL'!B357)</f>
        <v>CPR01103</v>
      </c>
      <c r="C357" t="str">
        <f>IF('[1]P-GENERAL'!C357="","",'[1]P-GENERAL'!C357)</f>
        <v>A01002-392609-1</v>
      </c>
      <c r="D357" t="str">
        <f>IF('[1]P-GENERAL'!D357="","",'[1]P-GENERAL'!D357)</f>
        <v>A01 002 Fortaleza</v>
      </c>
      <c r="E357" s="8" t="str">
        <f>IF('[1]P-GENERAL'!E357="","",'[1]P-GENERAL'!E357)</f>
        <v>Ciudad Juarez</v>
      </c>
      <c r="F357" s="12">
        <f>IF('[1]P-GENERAL'!F357="","",'[1]P-GENERAL'!F357)</f>
        <v>960</v>
      </c>
      <c r="G357" s="13">
        <f>IF('[1]P-GENERAL'!G357="","",'[1]P-GENERAL'!G357)</f>
        <v>20</v>
      </c>
      <c r="H357" s="14">
        <f>IF('[1]P-GENERAL'!H357="","",'[1]P-GENERAL'!H357)</f>
        <v>46291</v>
      </c>
      <c r="I357">
        <f>IF('[1]P-GENERAL'!I357="","",'[1]P-GENERAL'!I357)</f>
        <v>39</v>
      </c>
      <c r="J357" s="15">
        <f>IF('[1]P-GENERAL'!J357="","",'[1]P-GENERAL'!J357)</f>
        <v>46297</v>
      </c>
      <c r="K357" s="14" t="str">
        <f>IF('[1]P-GENERAL'!K357="","",'[1]P-GENERAL'!K357)</f>
        <v/>
      </c>
      <c r="L357" s="14" t="str">
        <f>IF('[1]P-GENERAL'!L357="","",'[1]P-GENERAL'!L357)</f>
        <v>PREENFRIO NELLY</v>
      </c>
      <c r="M357">
        <f>IF('[1]P-GENERAL'!M357="","",'[1]P-GENERAL'!M357)</f>
        <v>4</v>
      </c>
      <c r="N357">
        <f>IF('[1]P-GENERAL'!N357="","",'[1]P-GENERAL'!N357)</f>
        <v>96</v>
      </c>
      <c r="O357" s="14">
        <f>IF('[1]P-GENERAL'!O357="","",'[1]P-GENERAL'!O357)</f>
        <v>46291</v>
      </c>
      <c r="P357" s="16">
        <f>IF('[1]P-GENERAL'!P357="","",'[1]P-GENERAL'!P357)</f>
        <v>0.83333333333333337</v>
      </c>
      <c r="Q357" t="str">
        <f>IF('[1]P-GENERAL'!Q357="","",'[1]P-GENERAL'!Q357)</f>
        <v>ALTA</v>
      </c>
      <c r="R357" s="14">
        <f>IF('[1]P-GENERAL'!R357="","",'[1]P-GENERAL'!R357)</f>
        <v>46292</v>
      </c>
      <c r="S357" s="16">
        <f>IF('[1]P-GENERAL'!S357="","",'[1]P-GENERAL'!S357)</f>
        <v>0.33333333333333331</v>
      </c>
      <c r="T357" s="16">
        <f>IF('[1]P-GENERAL'!T357="","",'[1]P-GENERAL'!T357)</f>
        <v>0.4375</v>
      </c>
      <c r="U357" s="17">
        <f>IF('[1]P-GENERAL'!U357="","",'[1]P-GENERAL'!U357)</f>
        <v>46292.770833333336</v>
      </c>
      <c r="V357" s="14">
        <f>IF('[1]P-GENERAL'!V357="","",'[1]P-GENERAL'!V357)</f>
        <v>46292</v>
      </c>
      <c r="W357" s="16">
        <f>IF('[1]P-GENERAL'!W357="","",'[1]P-GENERAL'!W357)</f>
        <v>0.69791666666666663</v>
      </c>
      <c r="X357" s="14" t="str">
        <f>IF('[1]P-GENERAL'!X357="","",'[1]P-GENERAL'!X357)</f>
        <v>SI CUMPLE</v>
      </c>
      <c r="Y357" s="14" t="str">
        <f>IF('[1]P-GENERAL'!Y357="","",'[1]P-GENERAL'!Y357)</f>
        <v>SI CUMPLE</v>
      </c>
      <c r="Z357" s="14" t="str">
        <f>IF('[1]P-GENERAL'!Z357="","",'[1]P-GENERAL'!Z357)</f>
        <v/>
      </c>
      <c r="AA357" s="14" t="str">
        <f>IF('[1]P-GENERAL'!AA357="","",'[1]P-GENERAL'!AA357)</f>
        <v>DESPACHADO</v>
      </c>
      <c r="AB357" s="8" t="str">
        <f>IF('[1]P-GENERAL'!AB357="","",'[1]P-GENERAL'!AB357)</f>
        <v>AUTO EXPRESS SEGOVIA</v>
      </c>
      <c r="AC357" s="8" t="str">
        <f>IF('[1]P-GENERAL'!AC357="","",'[1]P-GENERAL'!AC357)</f>
        <v>IGNACIO MARTINEZ GONZALEZ</v>
      </c>
      <c r="AD357" t="str">
        <f>IF('[1]P-GENERAL'!AD357="","",'[1]P-GENERAL'!AD357)</f>
        <v/>
      </c>
      <c r="AE357" t="str">
        <f>IF('[1]P-GENERAL'!AE357="","",'[1]P-GENERAL'!AE357)</f>
        <v/>
      </c>
    </row>
    <row r="358" spans="1:31" ht="20.25" x14ac:dyDescent="0.3">
      <c r="A358" s="11" t="str">
        <f>IF('[1]P-GENERAL'!A358="","",'[1]P-GENERAL'!A358)</f>
        <v>Chanitos Plantain 20Kg Tarima Chep</v>
      </c>
      <c r="B358" s="11" t="str">
        <f>IF('[1]P-GENERAL'!B358="","",'[1]P-GENERAL'!B358)</f>
        <v>CPL08141</v>
      </c>
      <c r="C358" t="str">
        <f>IF('[1]P-GENERAL'!C358="","",'[1]P-GENERAL'!C358)</f>
        <v>A35082-402809-1</v>
      </c>
      <c r="D358" t="str">
        <f>IF('[1]P-GENERAL'!D358="","",'[1]P-GENERAL'!D358)</f>
        <v>A35 082 Empaque de Macho Ej Libertad</v>
      </c>
      <c r="E358" s="8" t="str">
        <f>IF('[1]P-GENERAL'!E358="","",'[1]P-GENERAL'!E358)</f>
        <v>CEDA</v>
      </c>
      <c r="F358" s="12">
        <f>IF('[1]P-GENERAL'!F358="","",'[1]P-GENERAL'!F358)</f>
        <v>144</v>
      </c>
      <c r="G358" s="13">
        <f>IF('[1]P-GENERAL'!G358="","",'[1]P-GENERAL'!G358)</f>
        <v>3</v>
      </c>
      <c r="H358" s="14">
        <f>IF('[1]P-GENERAL'!H358="","",'[1]P-GENERAL'!H358)</f>
        <v>46293</v>
      </c>
      <c r="I358">
        <f>IF('[1]P-GENERAL'!I358="","",'[1]P-GENERAL'!I358)</f>
        <v>40</v>
      </c>
      <c r="J358" s="15">
        <f>IF('[1]P-GENERAL'!J358="","",'[1]P-GENERAL'!J358)</f>
        <v>46296</v>
      </c>
      <c r="K358" s="14" t="str">
        <f>IF('[1]P-GENERAL'!K358="","",'[1]P-GENERAL'!K358)</f>
        <v/>
      </c>
      <c r="L358" s="14" t="str">
        <f>IF('[1]P-GENERAL'!L358="","",'[1]P-GENERAL'!L358)</f>
        <v>PREENFRIO FORTALEZA</v>
      </c>
      <c r="M358">
        <f>IF('[1]P-GENERAL'!M358="","",'[1]P-GENERAL'!M358)</f>
        <v>1.5</v>
      </c>
      <c r="N358">
        <f>IF('[1]P-GENERAL'!N358="","",'[1]P-GENERAL'!N358)</f>
        <v>36</v>
      </c>
      <c r="O358" s="14">
        <f>IF('[1]P-GENERAL'!O358="","",'[1]P-GENERAL'!O358)</f>
        <v>46293</v>
      </c>
      <c r="P358" s="16">
        <f>IF('[1]P-GENERAL'!P358="","",'[1]P-GENERAL'!P358)</f>
        <v>0.8125</v>
      </c>
      <c r="Q358" t="str">
        <f>IF('[1]P-GENERAL'!Q358="","",'[1]P-GENERAL'!Q358)</f>
        <v>NORMAL</v>
      </c>
      <c r="R358" s="14">
        <f>IF('[1]P-GENERAL'!R358="","",'[1]P-GENERAL'!R358)</f>
        <v>46294</v>
      </c>
      <c r="S358" s="16">
        <f>IF('[1]P-GENERAL'!S358="","",'[1]P-GENERAL'!S358)</f>
        <v>3.125E-2</v>
      </c>
      <c r="T358" s="16">
        <f>IF('[1]P-GENERAL'!T358="","",'[1]P-GENERAL'!T358)</f>
        <v>0.25</v>
      </c>
      <c r="U358" s="17">
        <f>IF('[1]P-GENERAL'!U358="","",'[1]P-GENERAL'!U358)</f>
        <v>46294.28125</v>
      </c>
      <c r="V358" s="14">
        <f>IF('[1]P-GENERAL'!V358="","",'[1]P-GENERAL'!V358)</f>
        <v>46294</v>
      </c>
      <c r="W358" s="16">
        <f>IF('[1]P-GENERAL'!W358="","",'[1]P-GENERAL'!W358)</f>
        <v>0.45833333333333331</v>
      </c>
      <c r="X358" s="14" t="str">
        <f>IF('[1]P-GENERAL'!X358="","",'[1]P-GENERAL'!X358)</f>
        <v>SI CUMPLE</v>
      </c>
      <c r="Y358" s="14" t="str">
        <f>IF('[1]P-GENERAL'!Y358="","",'[1]P-GENERAL'!Y358)</f>
        <v>SI CUMPLE</v>
      </c>
      <c r="Z358" s="14" t="str">
        <f>IF('[1]P-GENERAL'!Z358="","",'[1]P-GENERAL'!Z358)</f>
        <v/>
      </c>
      <c r="AA358" s="14" t="str">
        <f>IF('[1]P-GENERAL'!AA358="","",'[1]P-GENERAL'!AA358)</f>
        <v>DESPACHADO</v>
      </c>
      <c r="AB358" s="8" t="str">
        <f>IF('[1]P-GENERAL'!AB358="","",'[1]P-GENERAL'!AB358)</f>
        <v>TRANSPORTES GUDIÑO</v>
      </c>
      <c r="AC358" s="8" t="str">
        <f>IF('[1]P-GENERAL'!AC358="","",'[1]P-GENERAL'!AC358)</f>
        <v>ELIAS BUSTAMANTE SOLANO</v>
      </c>
      <c r="AD358">
        <f>IF('[1]P-GENERAL'!AD358="","",'[1]P-GENERAL'!AD358)</f>
        <v>28663</v>
      </c>
      <c r="AE358" t="str">
        <f>IF('[1]P-GENERAL'!AE358="","",'[1]P-GENERAL'!AE358)</f>
        <v>N/A</v>
      </c>
    </row>
    <row r="359" spans="1:31" ht="20.25" x14ac:dyDescent="0.3">
      <c r="A359" s="11" t="str">
        <f>IF('[1]P-GENERAL'!A359="","",'[1]P-GENERAL'!A359)</f>
        <v>Chanitos Premium Tarima Americana</v>
      </c>
      <c r="B359" s="11" t="str">
        <f>IF('[1]P-GENERAL'!B359="","",'[1]P-GENERAL'!B359)</f>
        <v>CPR01103</v>
      </c>
      <c r="C359" t="str">
        <f>IF('[1]P-GENERAL'!C359="","",'[1]P-GENERAL'!C359)</f>
        <v>A01003-402809-1</v>
      </c>
      <c r="D359" t="str">
        <f>IF('[1]P-GENERAL'!D359="","",'[1]P-GENERAL'!D359)</f>
        <v>A01 003 Doña Nelly</v>
      </c>
      <c r="E359" s="8" t="str">
        <f>IF('[1]P-GENERAL'!E359="","",'[1]P-GENERAL'!E359)</f>
        <v>S-MTY</v>
      </c>
      <c r="F359" s="12">
        <f>IF('[1]P-GENERAL'!F359="","",'[1]P-GENERAL'!F359)</f>
        <v>1008</v>
      </c>
      <c r="G359" s="13">
        <f>IF('[1]P-GENERAL'!G359="","",'[1]P-GENERAL'!G359)</f>
        <v>21</v>
      </c>
      <c r="H359" s="14">
        <f>IF('[1]P-GENERAL'!H359="","",'[1]P-GENERAL'!H359)</f>
        <v>46293</v>
      </c>
      <c r="I359">
        <f>IF('[1]P-GENERAL'!I359="","",'[1]P-GENERAL'!I359)</f>
        <v>40</v>
      </c>
      <c r="J359" s="15">
        <f>IF('[1]P-GENERAL'!J359="","",'[1]P-GENERAL'!J359)</f>
        <v>46296</v>
      </c>
      <c r="K359" s="14" t="str">
        <f>IF('[1]P-GENERAL'!K359="","",'[1]P-GENERAL'!K359)</f>
        <v/>
      </c>
      <c r="L359" s="14" t="str">
        <f>IF('[1]P-GENERAL'!L359="","",'[1]P-GENERAL'!L359)</f>
        <v>PREENFRIO NELLY</v>
      </c>
      <c r="M359">
        <f>IF('[1]P-GENERAL'!M359="","",'[1]P-GENERAL'!M359)</f>
        <v>3</v>
      </c>
      <c r="N359">
        <f>IF('[1]P-GENERAL'!N359="","",'[1]P-GENERAL'!N359)</f>
        <v>72</v>
      </c>
      <c r="O359" s="14">
        <f>IF('[1]P-GENERAL'!O359="","",'[1]P-GENERAL'!O359)</f>
        <v>46293</v>
      </c>
      <c r="P359" s="16">
        <f>IF('[1]P-GENERAL'!P359="","",'[1]P-GENERAL'!P359)</f>
        <v>0.75</v>
      </c>
      <c r="Q359" t="str">
        <f>IF('[1]P-GENERAL'!Q359="","",'[1]P-GENERAL'!Q359)</f>
        <v>ALTA</v>
      </c>
      <c r="R359" s="14">
        <f>IF('[1]P-GENERAL'!R359="","",'[1]P-GENERAL'!R359)</f>
        <v>46293</v>
      </c>
      <c r="S359" s="16">
        <f>IF('[1]P-GENERAL'!S359="","",'[1]P-GENERAL'!S359)</f>
        <v>0.4826388888888889</v>
      </c>
      <c r="T359" s="16">
        <f>IF('[1]P-GENERAL'!T359="","",'[1]P-GENERAL'!T359)</f>
        <v>0.4375</v>
      </c>
      <c r="U359" s="17">
        <f>IF('[1]P-GENERAL'!U359="","",'[1]P-GENERAL'!U359)</f>
        <v>46293.920138888891</v>
      </c>
      <c r="V359" s="14">
        <f>IF('[1]P-GENERAL'!V359="","",'[1]P-GENERAL'!V359)</f>
        <v>46293</v>
      </c>
      <c r="W359" s="16">
        <f>IF('[1]P-GENERAL'!W359="","",'[1]P-GENERAL'!W359)</f>
        <v>0.78819444444444442</v>
      </c>
      <c r="X359" s="14" t="str">
        <f>IF('[1]P-GENERAL'!X359="","",'[1]P-GENERAL'!X359)</f>
        <v>NO CUMPLE</v>
      </c>
      <c r="Y359" s="14" t="str">
        <f>IF('[1]P-GENERAL'!Y359="","",'[1]P-GENERAL'!Y359)</f>
        <v>NO CUMPLE</v>
      </c>
      <c r="Z359" s="14" t="str">
        <f>IF('[1]P-GENERAL'!Z359="","",'[1]P-GENERAL'!Z359)</f>
        <v>EMPAQUE TARDIO</v>
      </c>
      <c r="AA359" s="14" t="str">
        <f>IF('[1]P-GENERAL'!AA359="","",'[1]P-GENERAL'!AA359)</f>
        <v>DESPACHADO</v>
      </c>
      <c r="AB359" s="8" t="str">
        <f>IF('[1]P-GENERAL'!AB359="","",'[1]P-GENERAL'!AB359)</f>
        <v>TRANSPORTES DELTA DE MTY</v>
      </c>
      <c r="AC359" s="8" t="str">
        <f>IF('[1]P-GENERAL'!AC359="","",'[1]P-GENERAL'!AC359)</f>
        <v>JESUS ALBERTO GONZALEZ</v>
      </c>
      <c r="AD359">
        <f>IF('[1]P-GENERAL'!AD359="","",'[1]P-GENERAL'!AD359)</f>
        <v>57139</v>
      </c>
      <c r="AE359" t="str">
        <f>IF('[1]P-GENERAL'!AE359="","",'[1]P-GENERAL'!AE359)</f>
        <v/>
      </c>
    </row>
    <row r="360" spans="1:31" ht="20.25" x14ac:dyDescent="0.3">
      <c r="A360" s="11" t="str">
        <f>IF('[1]P-GENERAL'!A360="","",'[1]P-GENERAL'!A360)</f>
        <v>Chanitos Premium Tarima Chep</v>
      </c>
      <c r="B360" s="11" t="str">
        <f>IF('[1]P-GENERAL'!B360="","",'[1]P-GENERAL'!B360)</f>
        <v>CPR01102</v>
      </c>
      <c r="C360" t="str">
        <f>IF('[1]P-GENERAL'!C360="","",'[1]P-GENERAL'!C360)</f>
        <v>A01002-402809-1</v>
      </c>
      <c r="D360" t="str">
        <f>IF('[1]P-GENERAL'!D360="","",'[1]P-GENERAL'!D360)</f>
        <v>A01 002 Fortaleza</v>
      </c>
      <c r="E360" s="8" t="str">
        <f>IF('[1]P-GENERAL'!E360="","",'[1]P-GENERAL'!E360)</f>
        <v>Chalco</v>
      </c>
      <c r="F360" s="12">
        <f>IF('[1]P-GENERAL'!F360="","",'[1]P-GENERAL'!F360)</f>
        <v>420</v>
      </c>
      <c r="G360" s="13">
        <f>IF('[1]P-GENERAL'!G360="","",'[1]P-GENERAL'!G360)</f>
        <v>8.75</v>
      </c>
      <c r="H360" s="14">
        <f>IF('[1]P-GENERAL'!H360="","",'[1]P-GENERAL'!H360)</f>
        <v>46293</v>
      </c>
      <c r="I360">
        <f>IF('[1]P-GENERAL'!I360="","",'[1]P-GENERAL'!I360)</f>
        <v>40</v>
      </c>
      <c r="J360" s="15">
        <f>IF('[1]P-GENERAL'!J360="","",'[1]P-GENERAL'!J360)</f>
        <v>46296</v>
      </c>
      <c r="K360" s="14" t="str">
        <f>IF('[1]P-GENERAL'!K360="","",'[1]P-GENERAL'!K360)</f>
        <v/>
      </c>
      <c r="L360" s="14" t="str">
        <f>IF('[1]P-GENERAL'!L360="","",'[1]P-GENERAL'!L360)</f>
        <v>PREENFRIO FORTALEZA</v>
      </c>
      <c r="M360">
        <f>IF('[1]P-GENERAL'!M360="","",'[1]P-GENERAL'!M360)</f>
        <v>1</v>
      </c>
      <c r="N360">
        <f>IF('[1]P-GENERAL'!N360="","",'[1]P-GENERAL'!N360)</f>
        <v>24</v>
      </c>
      <c r="O360" s="14">
        <f>IF('[1]P-GENERAL'!O360="","",'[1]P-GENERAL'!O360)</f>
        <v>46293</v>
      </c>
      <c r="P360" s="16">
        <f>IF('[1]P-GENERAL'!P360="","",'[1]P-GENERAL'!P360)</f>
        <v>0.74027777777777781</v>
      </c>
      <c r="Q360" t="str">
        <f>IF('[1]P-GENERAL'!Q360="","",'[1]P-GENERAL'!Q360)</f>
        <v>NORMAL</v>
      </c>
      <c r="R360" s="14">
        <f>IF('[1]P-GENERAL'!R360="","",'[1]P-GENERAL'!R360)</f>
        <v>46294</v>
      </c>
      <c r="S360" s="16">
        <f>IF('[1]P-GENERAL'!S360="","",'[1]P-GENERAL'!S360)</f>
        <v>0.30208333333333331</v>
      </c>
      <c r="T360" s="16">
        <f>IF('[1]P-GENERAL'!T360="","",'[1]P-GENERAL'!T360)</f>
        <v>0.20833333333333334</v>
      </c>
      <c r="U360" s="17">
        <f>IF('[1]P-GENERAL'!U360="","",'[1]P-GENERAL'!U360)</f>
        <v>46294.510416666672</v>
      </c>
      <c r="V360" s="14">
        <f>IF('[1]P-GENERAL'!V360="","",'[1]P-GENERAL'!V360)</f>
        <v>46294</v>
      </c>
      <c r="W360" s="16">
        <f>IF('[1]P-GENERAL'!W360="","",'[1]P-GENERAL'!W360)</f>
        <v>0.54166666666666663</v>
      </c>
      <c r="X360" s="14" t="str">
        <f>IF('[1]P-GENERAL'!X360="","",'[1]P-GENERAL'!X360)</f>
        <v>SI CUMPLE</v>
      </c>
      <c r="Y360" s="14" t="str">
        <f>IF('[1]P-GENERAL'!Y360="","",'[1]P-GENERAL'!Y360)</f>
        <v>SI CUMPLE</v>
      </c>
      <c r="Z360" s="14" t="str">
        <f>IF('[1]P-GENERAL'!Z360="","",'[1]P-GENERAL'!Z360)</f>
        <v>Completa en Nelly</v>
      </c>
      <c r="AA360" s="14" t="str">
        <f>IF('[1]P-GENERAL'!AA360="","",'[1]P-GENERAL'!AA360)</f>
        <v>DESPACHADO</v>
      </c>
      <c r="AB360" s="8" t="str">
        <f>IF('[1]P-GENERAL'!AB360="","",'[1]P-GENERAL'!AB360)</f>
        <v>TRL</v>
      </c>
      <c r="AC360" s="8" t="str">
        <f>IF('[1]P-GENERAL'!AC360="","",'[1]P-GENERAL'!AC360)</f>
        <v>EZEQUIEL GARDUÑO FUENTES</v>
      </c>
      <c r="AD360">
        <f>IF('[1]P-GENERAL'!AD360="","",'[1]P-GENERAL'!AD360)</f>
        <v>84052</v>
      </c>
      <c r="AE360" t="str">
        <f>IF('[1]P-GENERAL'!AE360="","",'[1]P-GENERAL'!AE360)</f>
        <v>QEP1W00W50</v>
      </c>
    </row>
    <row r="361" spans="1:31" ht="20.25" x14ac:dyDescent="0.3">
      <c r="A361" s="11" t="str">
        <f>IF('[1]P-GENERAL'!A361="","",'[1]P-GENERAL'!A361)</f>
        <v>Platano de Chiapas BAE UPC 3237</v>
      </c>
      <c r="B361" s="11" t="str">
        <f>IF('[1]P-GENERAL'!B361="","",'[1]P-GENERAL'!B361)</f>
        <v>CPR01114</v>
      </c>
      <c r="C361" t="str">
        <f>IF('[1]P-GENERAL'!C361="","",'[1]P-GENERAL'!C361)</f>
        <v>A01002-402809-1</v>
      </c>
      <c r="D361" t="str">
        <f>IF('[1]P-GENERAL'!D361="","",'[1]P-GENERAL'!D361)</f>
        <v>A01 002 Fortaleza</v>
      </c>
      <c r="E361" s="8" t="str">
        <f>IF('[1]P-GENERAL'!E361="","",'[1]P-GENERAL'!E361)</f>
        <v>Chalco</v>
      </c>
      <c r="F361" s="12">
        <f>IF('[1]P-GENERAL'!F361="","",'[1]P-GENERAL'!F361)</f>
        <v>60</v>
      </c>
      <c r="G361" s="13">
        <f>IF('[1]P-GENERAL'!G361="","",'[1]P-GENERAL'!G361)</f>
        <v>1.25</v>
      </c>
      <c r="H361" s="14">
        <f>IF('[1]P-GENERAL'!H361="","",'[1]P-GENERAL'!H361)</f>
        <v>46293</v>
      </c>
      <c r="I361">
        <f>IF('[1]P-GENERAL'!I361="","",'[1]P-GENERAL'!I361)</f>
        <v>40</v>
      </c>
      <c r="J361" s="15">
        <f>IF('[1]P-GENERAL'!J361="","",'[1]P-GENERAL'!J361)</f>
        <v>46296</v>
      </c>
      <c r="K361" s="14" t="str">
        <f>IF('[1]P-GENERAL'!K361="","",'[1]P-GENERAL'!K361)</f>
        <v/>
      </c>
      <c r="L361" s="14" t="str">
        <f>IF('[1]P-GENERAL'!L361="","",'[1]P-GENERAL'!L361)</f>
        <v>PREENFRIO FORTALEZA</v>
      </c>
      <c r="M361">
        <f>IF('[1]P-GENERAL'!M361="","",'[1]P-GENERAL'!M361)</f>
        <v>1</v>
      </c>
      <c r="N361">
        <f>IF('[1]P-GENERAL'!N361="","",'[1]P-GENERAL'!N361)</f>
        <v>24</v>
      </c>
      <c r="O361" s="14">
        <f>IF('[1]P-GENERAL'!O361="","",'[1]P-GENERAL'!O361)</f>
        <v>46293</v>
      </c>
      <c r="P361" s="16">
        <f>IF('[1]P-GENERAL'!P361="","",'[1]P-GENERAL'!P361)</f>
        <v>0.74027777777777781</v>
      </c>
      <c r="Q361" t="str">
        <f>IF('[1]P-GENERAL'!Q361="","",'[1]P-GENERAL'!Q361)</f>
        <v>NORMAL</v>
      </c>
      <c r="R361" s="14">
        <f>IF('[1]P-GENERAL'!R361="","",'[1]P-GENERAL'!R361)</f>
        <v>46294</v>
      </c>
      <c r="S361" s="16">
        <f>IF('[1]P-GENERAL'!S361="","",'[1]P-GENERAL'!S361)</f>
        <v>0.30208333333333331</v>
      </c>
      <c r="T361" s="16">
        <f>IF('[1]P-GENERAL'!T361="","",'[1]P-GENERAL'!T361)</f>
        <v>0.20833333333333334</v>
      </c>
      <c r="U361" s="17">
        <f>IF('[1]P-GENERAL'!U361="","",'[1]P-GENERAL'!U361)</f>
        <v>46294.510416666672</v>
      </c>
      <c r="V361" s="14">
        <f>IF('[1]P-GENERAL'!V361="","",'[1]P-GENERAL'!V361)</f>
        <v>46294</v>
      </c>
      <c r="W361" s="16">
        <f>IF('[1]P-GENERAL'!W361="","",'[1]P-GENERAL'!W361)</f>
        <v>0.54166666666666663</v>
      </c>
      <c r="X361" s="14" t="str">
        <f>IF('[1]P-GENERAL'!X361="","",'[1]P-GENERAL'!X361)</f>
        <v>SI CUMPLE</v>
      </c>
      <c r="Y361" s="14" t="str">
        <f>IF('[1]P-GENERAL'!Y361="","",'[1]P-GENERAL'!Y361)</f>
        <v>SI CUMPLE</v>
      </c>
      <c r="Z361" s="14" t="str">
        <f>IF('[1]P-GENERAL'!Z361="","",'[1]P-GENERAL'!Z361)</f>
        <v>Completa en Nelly</v>
      </c>
      <c r="AA361" s="14" t="str">
        <f>IF('[1]P-GENERAL'!AA361="","",'[1]P-GENERAL'!AA361)</f>
        <v>DESPACHADO</v>
      </c>
      <c r="AB361" s="8" t="str">
        <f>IF('[1]P-GENERAL'!AB361="","",'[1]P-GENERAL'!AB361)</f>
        <v>TRL</v>
      </c>
      <c r="AC361" s="8" t="str">
        <f>IF('[1]P-GENERAL'!AC361="","",'[1]P-GENERAL'!AC361)</f>
        <v>EZEQUIEL GARDUÑO FUENTES</v>
      </c>
      <c r="AD361">
        <f>IF('[1]P-GENERAL'!AD361="","",'[1]P-GENERAL'!AD361)</f>
        <v>84052</v>
      </c>
      <c r="AE361" t="str">
        <f>IF('[1]P-GENERAL'!AE361="","",'[1]P-GENERAL'!AE361)</f>
        <v>QEP1W00W50</v>
      </c>
    </row>
    <row r="362" spans="1:31" ht="20.25" x14ac:dyDescent="0.3">
      <c r="A362" s="11" t="str">
        <f>IF('[1]P-GENERAL'!A362="","",'[1]P-GENERAL'!A362)</f>
        <v>Chanitos Plantain 20Kg Tarima Chep</v>
      </c>
      <c r="B362" s="11" t="str">
        <f>IF('[1]P-GENERAL'!B362="","",'[1]P-GENERAL'!B362)</f>
        <v>CPL08141</v>
      </c>
      <c r="C362" t="str">
        <f>IF('[1]P-GENERAL'!C362="","",'[1]P-GENERAL'!C362)</f>
        <v>A35082-402909-1</v>
      </c>
      <c r="D362" t="str">
        <f>IF('[1]P-GENERAL'!D362="","",'[1]P-GENERAL'!D362)</f>
        <v>A35 082 Empaque de Macho Ej Libertad</v>
      </c>
      <c r="E362" s="8" t="str">
        <f>IF('[1]P-GENERAL'!E362="","",'[1]P-GENERAL'!E362)</f>
        <v>CEDA</v>
      </c>
      <c r="F362" s="12">
        <f>IF('[1]P-GENERAL'!F362="","",'[1]P-GENERAL'!F362)</f>
        <v>336</v>
      </c>
      <c r="G362" s="13">
        <f>IF('[1]P-GENERAL'!G362="","",'[1]P-GENERAL'!G362)</f>
        <v>7</v>
      </c>
      <c r="H362" s="14">
        <f>IF('[1]P-GENERAL'!H362="","",'[1]P-GENERAL'!H362)</f>
        <v>46294</v>
      </c>
      <c r="I362">
        <f>IF('[1]P-GENERAL'!I362="","",'[1]P-GENERAL'!I362)</f>
        <v>40</v>
      </c>
      <c r="J362" s="15">
        <f>IF('[1]P-GENERAL'!J362="","",'[1]P-GENERAL'!J362)</f>
        <v>46296</v>
      </c>
      <c r="K362" s="14" t="str">
        <f>IF('[1]P-GENERAL'!K362="","",'[1]P-GENERAL'!K362)</f>
        <v/>
      </c>
      <c r="L362" s="14" t="str">
        <f>IF('[1]P-GENERAL'!L362="","",'[1]P-GENERAL'!L362)</f>
        <v>PREENFRIO FORTALEZA</v>
      </c>
      <c r="M362">
        <f>IF('[1]P-GENERAL'!M362="","",'[1]P-GENERAL'!M362)</f>
        <v>1.5</v>
      </c>
      <c r="N362">
        <f>IF('[1]P-GENERAL'!N362="","",'[1]P-GENERAL'!N362)</f>
        <v>36</v>
      </c>
      <c r="O362" s="14">
        <f>IF('[1]P-GENERAL'!O362="","",'[1]P-GENERAL'!O362)</f>
        <v>46294</v>
      </c>
      <c r="P362" s="16">
        <f>IF('[1]P-GENERAL'!P362="","",'[1]P-GENERAL'!P362)</f>
        <v>0.90833333333333333</v>
      </c>
      <c r="Q362" t="str">
        <f>IF('[1]P-GENERAL'!Q362="","",'[1]P-GENERAL'!Q362)</f>
        <v>NORMAL</v>
      </c>
      <c r="R362" s="14">
        <f>IF('[1]P-GENERAL'!R362="","",'[1]P-GENERAL'!R362)</f>
        <v>46294</v>
      </c>
      <c r="S362" s="16">
        <f>IF('[1]P-GENERAL'!S362="","",'[1]P-GENERAL'!S362)</f>
        <v>0.94930555555555551</v>
      </c>
      <c r="T362" s="16">
        <f>IF('[1]P-GENERAL'!T362="","",'[1]P-GENERAL'!T362)</f>
        <v>0.25</v>
      </c>
      <c r="U362" s="17">
        <f>IF('[1]P-GENERAL'!U362="","",'[1]P-GENERAL'!U362)</f>
        <v>46295.199305555558</v>
      </c>
      <c r="V362" s="14">
        <f>IF('[1]P-GENERAL'!V362="","",'[1]P-GENERAL'!V362)</f>
        <v>46296</v>
      </c>
      <c r="W362" s="16">
        <f>IF('[1]P-GENERAL'!W362="","",'[1]P-GENERAL'!W362)</f>
        <v>5.1388888888888887E-2</v>
      </c>
      <c r="X362" s="14" t="str">
        <f>IF('[1]P-GENERAL'!X362="","",'[1]P-GENERAL'!X362)</f>
        <v>NO CUMPLE</v>
      </c>
      <c r="Y362" s="14" t="str">
        <f>IF('[1]P-GENERAL'!Y362="","",'[1]P-GENERAL'!Y362)</f>
        <v>NO CUMPLE</v>
      </c>
      <c r="Z362" s="14" t="str">
        <f>IF('[1]P-GENERAL'!Z362="","",'[1]P-GENERAL'!Z362)</f>
        <v/>
      </c>
      <c r="AA362" s="14" t="str">
        <f>IF('[1]P-GENERAL'!AA362="","",'[1]P-GENERAL'!AA362)</f>
        <v>DESPACHADO</v>
      </c>
      <c r="AB362" s="8" t="str">
        <f>IF('[1]P-GENERAL'!AB362="","",'[1]P-GENERAL'!AB362)</f>
        <v>KAREN AMADO HUERTA</v>
      </c>
      <c r="AC362" s="8" t="str">
        <f>IF('[1]P-GENERAL'!AC362="","",'[1]P-GENERAL'!AC362)</f>
        <v>MAURO PEREZ</v>
      </c>
      <c r="AD362">
        <f>IF('[1]P-GENERAL'!AD362="","",'[1]P-GENERAL'!AD362)</f>
        <v>63893</v>
      </c>
      <c r="AE362" t="str">
        <f>IF('[1]P-GENERAL'!AE362="","",'[1]P-GENERAL'!AE362)</f>
        <v>QEP1W00Y00</v>
      </c>
    </row>
    <row r="363" spans="1:31" ht="20.25" x14ac:dyDescent="0.3">
      <c r="A363" s="11" t="str">
        <f>IF('[1]P-GENERAL'!A363="","",'[1]P-GENERAL'!A363)</f>
        <v>Chanitos Premium EUA Tarima Americana</v>
      </c>
      <c r="B363" s="11" t="str">
        <f>IF('[1]P-GENERAL'!B363="","",'[1]P-GENERAL'!B363)</f>
        <v>CPR01104</v>
      </c>
      <c r="C363" t="str">
        <f>IF('[1]P-GENERAL'!C363="","",'[1]P-GENERAL'!C363)</f>
        <v>A11045-402909-1</v>
      </c>
      <c r="D363" t="str">
        <f>IF('[1]P-GENERAL'!D363="","",'[1]P-GENERAL'!D363)</f>
        <v>A11 045 Sector Mazatan</v>
      </c>
      <c r="E363" s="8" t="str">
        <f>IF('[1]P-GENERAL'!E363="","",'[1]P-GENERAL'!E363)</f>
        <v>McAllen</v>
      </c>
      <c r="F363" s="12">
        <f>IF('[1]P-GENERAL'!F363="","",'[1]P-GENERAL'!F363)</f>
        <v>480</v>
      </c>
      <c r="G363" s="13">
        <f>IF('[1]P-GENERAL'!G363="","",'[1]P-GENERAL'!G363)</f>
        <v>10</v>
      </c>
      <c r="H363" s="14">
        <f>IF('[1]P-GENERAL'!H363="","",'[1]P-GENERAL'!H363)</f>
        <v>46294</v>
      </c>
      <c r="I363">
        <f>IF('[1]P-GENERAL'!I363="","",'[1]P-GENERAL'!I363)</f>
        <v>40</v>
      </c>
      <c r="J363" s="15">
        <f>IF('[1]P-GENERAL'!J363="","",'[1]P-GENERAL'!J363)</f>
        <v>46296</v>
      </c>
      <c r="K363" s="14" t="str">
        <f>IF('[1]P-GENERAL'!K363="","",'[1]P-GENERAL'!K363)</f>
        <v/>
      </c>
      <c r="L363" s="14" t="str">
        <f>IF('[1]P-GENERAL'!L363="","",'[1]P-GENERAL'!L363)</f>
        <v>PREENFRIO FORTALEZA</v>
      </c>
      <c r="M363">
        <f>IF('[1]P-GENERAL'!M363="","",'[1]P-GENERAL'!M363)</f>
        <v>3</v>
      </c>
      <c r="N363">
        <f>IF('[1]P-GENERAL'!N363="","",'[1]P-GENERAL'!N363)</f>
        <v>72</v>
      </c>
      <c r="O363" s="14">
        <f>IF('[1]P-GENERAL'!O363="","",'[1]P-GENERAL'!O363)</f>
        <v>46294</v>
      </c>
      <c r="P363" s="16">
        <f>IF('[1]P-GENERAL'!P363="","",'[1]P-GENERAL'!P363)</f>
        <v>0.70138888888888884</v>
      </c>
      <c r="Q363" t="str">
        <f>IF('[1]P-GENERAL'!Q363="","",'[1]P-GENERAL'!Q363)</f>
        <v>NORMAL</v>
      </c>
      <c r="R363" s="14">
        <f>IF('[1]P-GENERAL'!R363="","",'[1]P-GENERAL'!R363)</f>
        <v>46295</v>
      </c>
      <c r="S363" s="16">
        <f>IF('[1]P-GENERAL'!S363="","",'[1]P-GENERAL'!S363)</f>
        <v>0.23749999999999999</v>
      </c>
      <c r="T363" s="16">
        <f>IF('[1]P-GENERAL'!T363="","",'[1]P-GENERAL'!T363)</f>
        <v>0.125</v>
      </c>
      <c r="U363" s="17">
        <f>IF('[1]P-GENERAL'!U363="","",'[1]P-GENERAL'!U363)</f>
        <v>46295.362500000003</v>
      </c>
      <c r="V363" s="14">
        <f>IF('[1]P-GENERAL'!V363="","",'[1]P-GENERAL'!V363)</f>
        <v>46295</v>
      </c>
      <c r="W363" s="16">
        <f>IF('[1]P-GENERAL'!W363="","",'[1]P-GENERAL'!W363)</f>
        <v>0.51666666666666672</v>
      </c>
      <c r="X363" s="14" t="str">
        <f>IF('[1]P-GENERAL'!X363="","",'[1]P-GENERAL'!X363)</f>
        <v>NO CUMPLE</v>
      </c>
      <c r="Y363" s="14" t="str">
        <f>IF('[1]P-GENERAL'!Y363="","",'[1]P-GENERAL'!Y363)</f>
        <v>NO CUMPLE</v>
      </c>
      <c r="Z363" s="14" t="str">
        <f>IF('[1]P-GENERAL'!Z363="","",'[1]P-GENERAL'!Z363)</f>
        <v/>
      </c>
      <c r="AA363" s="14" t="str">
        <f>IF('[1]P-GENERAL'!AA363="","",'[1]P-GENERAL'!AA363)</f>
        <v>DESPACHADO</v>
      </c>
      <c r="AB363" s="8" t="str">
        <f>IF('[1]P-GENERAL'!AB363="","",'[1]P-GENERAL'!AB363)</f>
        <v>TRANSPORTES ALGEZA</v>
      </c>
      <c r="AC363" s="8" t="str">
        <f>IF('[1]P-GENERAL'!AC363="","",'[1]P-GENERAL'!AC363)</f>
        <v>HECTOR BENJAMIN RIVERA</v>
      </c>
      <c r="AD363">
        <f>IF('[1]P-GENERAL'!AD363="","",'[1]P-GENERAL'!AD363)</f>
        <v>78564</v>
      </c>
      <c r="AE363">
        <f>IF('[1]P-GENERAL'!AE363="","",'[1]P-GENERAL'!AE363)</f>
        <v>100000914972</v>
      </c>
    </row>
    <row r="364" spans="1:31" ht="20.25" x14ac:dyDescent="0.3">
      <c r="A364" s="11" t="str">
        <f>IF('[1]P-GENERAL'!A364="","",'[1]P-GENERAL'!A364)</f>
        <v>Chanitos Premium Tarima Chep</v>
      </c>
      <c r="B364" s="11" t="str">
        <f>IF('[1]P-GENERAL'!B364="","",'[1]P-GENERAL'!B364)</f>
        <v>CPR01102</v>
      </c>
      <c r="C364" t="str">
        <f>IF('[1]P-GENERAL'!C364="","",'[1]P-GENERAL'!C364)</f>
        <v>A01003-402809-1</v>
      </c>
      <c r="D364" t="str">
        <f>IF('[1]P-GENERAL'!D364="","",'[1]P-GENERAL'!D364)</f>
        <v>A01 003 Doña Nelly</v>
      </c>
      <c r="E364" s="8" t="str">
        <f>IF('[1]P-GENERAL'!E364="","",'[1]P-GENERAL'!E364)</f>
        <v>VSA</v>
      </c>
      <c r="F364" s="12">
        <f>IF('[1]P-GENERAL'!F364="","",'[1]P-GENERAL'!F364)</f>
        <v>480</v>
      </c>
      <c r="G364" s="13">
        <f>IF('[1]P-GENERAL'!G364="","",'[1]P-GENERAL'!G364)</f>
        <v>9</v>
      </c>
      <c r="H364" s="14">
        <f>IF('[1]P-GENERAL'!H364="","",'[1]P-GENERAL'!H364)</f>
        <v>46293</v>
      </c>
      <c r="I364">
        <f>IF('[1]P-GENERAL'!I364="","",'[1]P-GENERAL'!I364)</f>
        <v>40</v>
      </c>
      <c r="J364" s="15">
        <f>IF('[1]P-GENERAL'!J364="","",'[1]P-GENERAL'!J364)</f>
        <v>46296</v>
      </c>
      <c r="K364" s="14" t="str">
        <f>IF('[1]P-GENERAL'!K364="","",'[1]P-GENERAL'!K364)</f>
        <v/>
      </c>
      <c r="L364" s="14" t="str">
        <f>IF('[1]P-GENERAL'!L364="","",'[1]P-GENERAL'!L364)</f>
        <v>PREENFRIO NELLY</v>
      </c>
      <c r="M364">
        <f>IF('[1]P-GENERAL'!M364="","",'[1]P-GENERAL'!M364)</f>
        <v>1</v>
      </c>
      <c r="N364">
        <f>IF('[1]P-GENERAL'!N364="","",'[1]P-GENERAL'!N364)</f>
        <v>24</v>
      </c>
      <c r="O364" s="14">
        <f>IF('[1]P-GENERAL'!O364="","",'[1]P-GENERAL'!O364)</f>
        <v>46293</v>
      </c>
      <c r="P364" s="16">
        <f>IF('[1]P-GENERAL'!P364="","",'[1]P-GENERAL'!P364)</f>
        <v>0.75</v>
      </c>
      <c r="Q364" t="str">
        <f>IF('[1]P-GENERAL'!Q364="","",'[1]P-GENERAL'!Q364)</f>
        <v>NORMAL</v>
      </c>
      <c r="R364" s="14">
        <f>IF('[1]P-GENERAL'!R364="","",'[1]P-GENERAL'!R364)</f>
        <v>46293</v>
      </c>
      <c r="S364" s="16">
        <f>IF('[1]P-GENERAL'!S364="","",'[1]P-GENERAL'!S364)</f>
        <v>0.70486111111111116</v>
      </c>
      <c r="T364" s="16">
        <f>IF('[1]P-GENERAL'!T364="","",'[1]P-GENERAL'!T364)</f>
        <v>0.35416666666666669</v>
      </c>
      <c r="U364" s="17">
        <f>IF('[1]P-GENERAL'!U364="","",'[1]P-GENERAL'!U364)</f>
        <v>46294.059027777774</v>
      </c>
      <c r="V364" s="14">
        <f>IF('[1]P-GENERAL'!V364="","",'[1]P-GENERAL'!V364)</f>
        <v>46052</v>
      </c>
      <c r="W364" s="16">
        <f>IF('[1]P-GENERAL'!W364="","",'[1]P-GENERAL'!W364)</f>
        <v>0.47222222222222221</v>
      </c>
      <c r="X364" s="14" t="str">
        <f>IF('[1]P-GENERAL'!X364="","",'[1]P-GENERAL'!X364)</f>
        <v>SI CUMPLE</v>
      </c>
      <c r="Y364" s="14" t="str">
        <f>IF('[1]P-GENERAL'!Y364="","",'[1]P-GENERAL'!Y364)</f>
        <v>SI CUMPLE</v>
      </c>
      <c r="Z364" s="14" t="str">
        <f>IF('[1]P-GENERAL'!Z364="","",'[1]P-GENERAL'!Z364)</f>
        <v>EMPAQUE TARDIO</v>
      </c>
      <c r="AA364" s="14" t="str">
        <f>IF('[1]P-GENERAL'!AA364="","",'[1]P-GENERAL'!AA364)</f>
        <v>DESPACHADO</v>
      </c>
      <c r="AB364" s="8" t="str">
        <f>IF('[1]P-GENERAL'!AB364="","",'[1]P-GENERAL'!AB364)</f>
        <v>GENARO IBAÑEZ ROJAS</v>
      </c>
      <c r="AC364" s="8" t="str">
        <f>IF('[1]P-GENERAL'!AC364="","",'[1]P-GENERAL'!AC364)</f>
        <v>APOLINAR VALDEZ</v>
      </c>
      <c r="AD364">
        <f>IF('[1]P-GENERAL'!AD364="","",'[1]P-GENERAL'!AD364)</f>
        <v>44391</v>
      </c>
      <c r="AE364" t="str">
        <f>IF('[1]P-GENERAL'!AE364="","",'[1]P-GENERAL'!AE364)</f>
        <v/>
      </c>
    </row>
    <row r="365" spans="1:31" ht="20.25" x14ac:dyDescent="0.3">
      <c r="A365" s="11" t="str">
        <f>IF('[1]P-GENERAL'!A365="","",'[1]P-GENERAL'!A365)</f>
        <v>Chanitos Organic Banded Market Side Mexico</v>
      </c>
      <c r="B365" s="11" t="str">
        <f>IF('[1]P-GENERAL'!B365="","",'[1]P-GENERAL'!B365)</f>
        <v>CRG07128</v>
      </c>
      <c r="C365" t="str">
        <f>IF('[1]P-GENERAL'!C365="","",'[1]P-GENERAL'!C365)</f>
        <v>A01002-402909-1</v>
      </c>
      <c r="D365" t="str">
        <f>IF('[1]P-GENERAL'!D365="","",'[1]P-GENERAL'!D365)</f>
        <v>A01 002 Fortaleza</v>
      </c>
      <c r="E365" s="8" t="str">
        <f>IF('[1]P-GENERAL'!E365="","",'[1]P-GENERAL'!E365)</f>
        <v>VSA</v>
      </c>
      <c r="F365" s="12">
        <f>IF('[1]P-GENERAL'!F365="","",'[1]P-GENERAL'!F365)</f>
        <v>240</v>
      </c>
      <c r="G365" s="13">
        <f>IF('[1]P-GENERAL'!G365="","",'[1]P-GENERAL'!G365)</f>
        <v>5</v>
      </c>
      <c r="H365" s="14">
        <f>IF('[1]P-GENERAL'!H365="","",'[1]P-GENERAL'!H365)</f>
        <v>46294</v>
      </c>
      <c r="I365">
        <f>IF('[1]P-GENERAL'!I365="","",'[1]P-GENERAL'!I365)</f>
        <v>40</v>
      </c>
      <c r="J365" s="15">
        <f>IF('[1]P-GENERAL'!J365="","",'[1]P-GENERAL'!J365)</f>
        <v>46296</v>
      </c>
      <c r="K365" s="14">
        <f>IF('[1]P-GENERAL'!K365="","",'[1]P-GENERAL'!K365)</f>
        <v>0.25</v>
      </c>
      <c r="L365" s="14" t="str">
        <f>IF('[1]P-GENERAL'!L365="","",'[1]P-GENERAL'!L365)</f>
        <v>PREENFRIO FORTALEZA</v>
      </c>
      <c r="M365">
        <f>IF('[1]P-GENERAL'!M365="","",'[1]P-GENERAL'!M365)</f>
        <v>1</v>
      </c>
      <c r="N365">
        <f>IF('[1]P-GENERAL'!N365="","",'[1]P-GENERAL'!N365)</f>
        <v>24</v>
      </c>
      <c r="O365" s="14">
        <f>IF('[1]P-GENERAL'!O365="","",'[1]P-GENERAL'!O365)</f>
        <v>46294</v>
      </c>
      <c r="P365" s="16">
        <f>IF('[1]P-GENERAL'!P365="","",'[1]P-GENERAL'!P365)</f>
        <v>0.71111111111111114</v>
      </c>
      <c r="Q365" t="str">
        <f>IF('[1]P-GENERAL'!Q365="","",'[1]P-GENERAL'!Q365)</f>
        <v>NORMAL</v>
      </c>
      <c r="R365" s="14">
        <f>IF('[1]P-GENERAL'!R365="","",'[1]P-GENERAL'!R365)</f>
        <v>46294</v>
      </c>
      <c r="S365" s="16">
        <f>IF('[1]P-GENERAL'!S365="","",'[1]P-GENERAL'!S365)</f>
        <v>0.86458333333333337</v>
      </c>
      <c r="T365" s="16">
        <f>IF('[1]P-GENERAL'!T365="","",'[1]P-GENERAL'!T365)</f>
        <v>0.25</v>
      </c>
      <c r="U365" s="17">
        <f>IF('[1]P-GENERAL'!U365="","",'[1]P-GENERAL'!U365)</f>
        <v>46295.114583333336</v>
      </c>
      <c r="V365" s="14">
        <f>IF('[1]P-GENERAL'!V365="","",'[1]P-GENERAL'!V365)</f>
        <v>46295</v>
      </c>
      <c r="W365" s="16">
        <f>IF('[1]P-GENERAL'!W365="","",'[1]P-GENERAL'!W365)</f>
        <v>0.35833333333333334</v>
      </c>
      <c r="X365" s="14" t="str">
        <f>IF('[1]P-GENERAL'!X365="","",'[1]P-GENERAL'!X365)</f>
        <v>SI CUMPLE</v>
      </c>
      <c r="Y365" s="14" t="str">
        <f>IF('[1]P-GENERAL'!Y365="","",'[1]P-GENERAL'!Y365)</f>
        <v>NO CUMPLE</v>
      </c>
      <c r="Z365" s="14" t="str">
        <f>IF('[1]P-GENERAL'!Z365="","",'[1]P-GENERAL'!Z365)</f>
        <v>Completa en Nelly</v>
      </c>
      <c r="AA365" s="14" t="str">
        <f>IF('[1]P-GENERAL'!AA365="","",'[1]P-GENERAL'!AA365)</f>
        <v>DESPACHADO</v>
      </c>
      <c r="AB365" s="8" t="str">
        <f>IF('[1]P-GENERAL'!AB365="","",'[1]P-GENERAL'!AB365)</f>
        <v>GENARO IBAÑEZ ROJAS</v>
      </c>
      <c r="AC365" s="8" t="str">
        <f>IF('[1]P-GENERAL'!AC365="","",'[1]P-GENERAL'!AC365)</f>
        <v>APOLINAR VALDEZ</v>
      </c>
      <c r="AD365">
        <f>IF('[1]P-GENERAL'!AD365="","",'[1]P-GENERAL'!AD365)</f>
        <v>13843</v>
      </c>
      <c r="AE365" t="str">
        <f>IF('[1]P-GENERAL'!AE365="","",'[1]P-GENERAL'!AE365)</f>
        <v>S/N</v>
      </c>
    </row>
    <row r="366" spans="1:31" ht="20.25" x14ac:dyDescent="0.3">
      <c r="A366" s="11" t="str">
        <f>IF('[1]P-GENERAL'!A366="","",'[1]P-GENERAL'!A366)</f>
        <v>Chanitos Premium Tarima Chep</v>
      </c>
      <c r="B366" s="11" t="str">
        <f>IF('[1]P-GENERAL'!B366="","",'[1]P-GENERAL'!B366)</f>
        <v>CPR01102</v>
      </c>
      <c r="C366" t="str">
        <f>IF('[1]P-GENERAL'!C366="","",'[1]P-GENERAL'!C366)</f>
        <v>A01003-402909-1</v>
      </c>
      <c r="D366" t="str">
        <f>IF('[1]P-GENERAL'!D366="","",'[1]P-GENERAL'!D366)</f>
        <v>A01 003 Doña Nelly</v>
      </c>
      <c r="E366" s="8" t="str">
        <f>IF('[1]P-GENERAL'!E366="","",'[1]P-GENERAL'!E366)</f>
        <v>VSA</v>
      </c>
      <c r="F366" s="12">
        <f>IF('[1]P-GENERAL'!F366="","",'[1]P-GENERAL'!F366)</f>
        <v>480</v>
      </c>
      <c r="G366" s="13">
        <f>IF('[1]P-GENERAL'!G366="","",'[1]P-GENERAL'!G366)</f>
        <v>10</v>
      </c>
      <c r="H366" s="14">
        <f>IF('[1]P-GENERAL'!H366="","",'[1]P-GENERAL'!H366)</f>
        <v>46294</v>
      </c>
      <c r="I366">
        <f>IF('[1]P-GENERAL'!I366="","",'[1]P-GENERAL'!I366)</f>
        <v>40</v>
      </c>
      <c r="J366" s="15">
        <f>IF('[1]P-GENERAL'!J366="","",'[1]P-GENERAL'!J366)</f>
        <v>46296</v>
      </c>
      <c r="K366" s="14" t="str">
        <f>IF('[1]P-GENERAL'!K366="","",'[1]P-GENERAL'!K366)</f>
        <v/>
      </c>
      <c r="L366" s="14" t="str">
        <f>IF('[1]P-GENERAL'!L366="","",'[1]P-GENERAL'!L366)</f>
        <v>PREENFRIO NELLY</v>
      </c>
      <c r="M366">
        <f>IF('[1]P-GENERAL'!M366="","",'[1]P-GENERAL'!M366)</f>
        <v>1</v>
      </c>
      <c r="N366">
        <f>IF('[1]P-GENERAL'!N366="","",'[1]P-GENERAL'!N366)</f>
        <v>24</v>
      </c>
      <c r="O366" s="14">
        <f>IF('[1]P-GENERAL'!O366="","",'[1]P-GENERAL'!O366)</f>
        <v>46294</v>
      </c>
      <c r="P366" s="16">
        <f>IF('[1]P-GENERAL'!P366="","",'[1]P-GENERAL'!P366)</f>
        <v>0.75</v>
      </c>
      <c r="Q366" t="str">
        <f>IF('[1]P-GENERAL'!Q366="","",'[1]P-GENERAL'!Q366)</f>
        <v>NORMAL</v>
      </c>
      <c r="R366" s="14">
        <f>IF('[1]P-GENERAL'!R366="","",'[1]P-GENERAL'!R366)</f>
        <v>46294</v>
      </c>
      <c r="S366" s="16">
        <f>IF('[1]P-GENERAL'!S366="","",'[1]P-GENERAL'!S366)</f>
        <v>0.70486111111111116</v>
      </c>
      <c r="T366" s="16">
        <f>IF('[1]P-GENERAL'!T366="","",'[1]P-GENERAL'!T366)</f>
        <v>0.35416666666666669</v>
      </c>
      <c r="U366" s="17">
        <f>IF('[1]P-GENERAL'!U366="","",'[1]P-GENERAL'!U366)</f>
        <v>46295.059027777774</v>
      </c>
      <c r="V366" s="14">
        <f>IF('[1]P-GENERAL'!V366="","",'[1]P-GENERAL'!V366)</f>
        <v>46052</v>
      </c>
      <c r="W366" s="16">
        <f>IF('[1]P-GENERAL'!W366="","",'[1]P-GENERAL'!W366)</f>
        <v>0.47222222222222221</v>
      </c>
      <c r="X366" s="14" t="str">
        <f>IF('[1]P-GENERAL'!X366="","",'[1]P-GENERAL'!X366)</f>
        <v>NO CUMPLE</v>
      </c>
      <c r="Y366" s="14" t="str">
        <f>IF('[1]P-GENERAL'!Y366="","",'[1]P-GENERAL'!Y366)</f>
        <v>SI CUMPLE</v>
      </c>
      <c r="Z366" s="14" t="str">
        <f>IF('[1]P-GENERAL'!Z366="","",'[1]P-GENERAL'!Z366)</f>
        <v>EMPAQUE TARDIO</v>
      </c>
      <c r="AA366" s="14" t="str">
        <f>IF('[1]P-GENERAL'!AA366="","",'[1]P-GENERAL'!AA366)</f>
        <v>DESPACHADO</v>
      </c>
      <c r="AB366" s="8" t="str">
        <f>IF('[1]P-GENERAL'!AB366="","",'[1]P-GENERAL'!AB366)</f>
        <v>GENARO IBAÑEZ ROJAS</v>
      </c>
      <c r="AC366" s="8" t="str">
        <f>IF('[1]P-GENERAL'!AC366="","",'[1]P-GENERAL'!AC366)</f>
        <v>APOLINAR VALDEZ</v>
      </c>
      <c r="AD366">
        <f>IF('[1]P-GENERAL'!AD366="","",'[1]P-GENERAL'!AD366)</f>
        <v>44391</v>
      </c>
      <c r="AE366" t="str">
        <f>IF('[1]P-GENERAL'!AE366="","",'[1]P-GENERAL'!AE366)</f>
        <v/>
      </c>
    </row>
    <row r="367" spans="1:31" ht="20.25" x14ac:dyDescent="0.3">
      <c r="A367" s="11" t="str">
        <f>IF('[1]P-GENERAL'!A367="","",'[1]P-GENERAL'!A367)</f>
        <v>Chanitos Premium EUA Tarima Americana</v>
      </c>
      <c r="B367" s="11" t="str">
        <f>IF('[1]P-GENERAL'!B367="","",'[1]P-GENERAL'!B367)</f>
        <v>CPR01104</v>
      </c>
      <c r="C367" t="str">
        <f>IF('[1]P-GENERAL'!C367="","",'[1]P-GENERAL'!C367)</f>
        <v>A01003-402909-1</v>
      </c>
      <c r="D367" t="str">
        <f>IF('[1]P-GENERAL'!D367="","",'[1]P-GENERAL'!D367)</f>
        <v>A01 003 Doña Nelly</v>
      </c>
      <c r="E367" s="8" t="str">
        <f>IF('[1]P-GENERAL'!E367="","",'[1]P-GENERAL'!E367)</f>
        <v>McAllen</v>
      </c>
      <c r="F367" s="12">
        <f>IF('[1]P-GENERAL'!F367="","",'[1]P-GENERAL'!F367)</f>
        <v>960</v>
      </c>
      <c r="G367" s="13">
        <f>IF('[1]P-GENERAL'!G367="","",'[1]P-GENERAL'!G367)</f>
        <v>20</v>
      </c>
      <c r="H367" s="14">
        <f>IF('[1]P-GENERAL'!H367="","",'[1]P-GENERAL'!H367)</f>
        <v>46294</v>
      </c>
      <c r="I367">
        <f>IF('[1]P-GENERAL'!I367="","",'[1]P-GENERAL'!I367)</f>
        <v>40</v>
      </c>
      <c r="J367" s="15">
        <f>IF('[1]P-GENERAL'!J367="","",'[1]P-GENERAL'!J367)</f>
        <v>46297</v>
      </c>
      <c r="K367" s="14" t="str">
        <f>IF('[1]P-GENERAL'!K367="","",'[1]P-GENERAL'!K367)</f>
        <v/>
      </c>
      <c r="L367" s="14" t="str">
        <f>IF('[1]P-GENERAL'!L367="","",'[1]P-GENERAL'!L367)</f>
        <v>PREENFRIO NELLY</v>
      </c>
      <c r="M367">
        <f>IF('[1]P-GENERAL'!M367="","",'[1]P-GENERAL'!M367)</f>
        <v>3</v>
      </c>
      <c r="N367">
        <f>IF('[1]P-GENERAL'!N367="","",'[1]P-GENERAL'!N367)</f>
        <v>72</v>
      </c>
      <c r="O367" s="14">
        <f>IF('[1]P-GENERAL'!O367="","",'[1]P-GENERAL'!O367)</f>
        <v>46294</v>
      </c>
      <c r="P367" s="16">
        <f>IF('[1]P-GENERAL'!P367="","",'[1]P-GENERAL'!P367)</f>
        <v>0.75</v>
      </c>
      <c r="Q367" t="str">
        <f>IF('[1]P-GENERAL'!Q367="","",'[1]P-GENERAL'!Q367)</f>
        <v>NORMAL</v>
      </c>
      <c r="R367" s="14">
        <f>IF('[1]P-GENERAL'!R367="","",'[1]P-GENERAL'!R367)</f>
        <v>46294</v>
      </c>
      <c r="S367" s="16">
        <f>IF('[1]P-GENERAL'!S367="","",'[1]P-GENERAL'!S367)</f>
        <v>0.83333333333333337</v>
      </c>
      <c r="T367" s="16">
        <f>IF('[1]P-GENERAL'!T367="","",'[1]P-GENERAL'!T367)</f>
        <v>0.35416666666666669</v>
      </c>
      <c r="U367" s="17">
        <f>IF('[1]P-GENERAL'!U367="","",'[1]P-GENERAL'!U367)</f>
        <v>46295.1875</v>
      </c>
      <c r="V367" s="14">
        <f>IF('[1]P-GENERAL'!V367="","",'[1]P-GENERAL'!V367)</f>
        <v>46052</v>
      </c>
      <c r="W367" s="16">
        <f>IF('[1]P-GENERAL'!W367="","",'[1]P-GENERAL'!W367)</f>
        <v>0.375</v>
      </c>
      <c r="X367" s="14" t="str">
        <f>IF('[1]P-GENERAL'!X367="","",'[1]P-GENERAL'!X367)</f>
        <v>NO CUMPLE</v>
      </c>
      <c r="Y367" s="14" t="str">
        <f>IF('[1]P-GENERAL'!Y367="","",'[1]P-GENERAL'!Y367)</f>
        <v>SI CUMPLE</v>
      </c>
      <c r="Z367" s="14" t="str">
        <f>IF('[1]P-GENERAL'!Z367="","",'[1]P-GENERAL'!Z367)</f>
        <v>EMPAQUE TARDIO</v>
      </c>
      <c r="AA367" s="14" t="str">
        <f>IF('[1]P-GENERAL'!AA367="","",'[1]P-GENERAL'!AA367)</f>
        <v>DESPACHADO</v>
      </c>
      <c r="AB367" s="8" t="str">
        <f>IF('[1]P-GENERAL'!AB367="","",'[1]P-GENERAL'!AB367)</f>
        <v>TRANSPORTES TOMATITOS</v>
      </c>
      <c r="AC367" s="8" t="str">
        <f>IF('[1]P-GENERAL'!AC367="","",'[1]P-GENERAL'!AC367)</f>
        <v>Javier Garcia Lerma</v>
      </c>
      <c r="AD367">
        <f>IF('[1]P-GENERAL'!AD367="","",'[1]P-GENERAL'!AD367)</f>
        <v>85684</v>
      </c>
      <c r="AE367" t="str">
        <f>IF('[1]P-GENERAL'!AE367="","",'[1]P-GENERAL'!AE367)</f>
        <v/>
      </c>
    </row>
    <row r="368" spans="1:31" ht="20.25" x14ac:dyDescent="0.3">
      <c r="A368" s="11" t="str">
        <f>IF('[1]P-GENERAL'!A368="","",'[1]P-GENERAL'!A368)</f>
        <v>Chanitos Premium EUA Tarima Americana</v>
      </c>
      <c r="B368" s="11" t="str">
        <f>IF('[1]P-GENERAL'!B368="","",'[1]P-GENERAL'!B368)</f>
        <v>CPR01104</v>
      </c>
      <c r="C368" t="str">
        <f>IF('[1]P-GENERAL'!C368="","",'[1]P-GENERAL'!C368)</f>
        <v>A11056-402809-1</v>
      </c>
      <c r="D368" t="str">
        <f>IF('[1]P-GENERAL'!D368="","",'[1]P-GENERAL'!D368)</f>
        <v>A11 056 San Isidro</v>
      </c>
      <c r="E368" s="8" t="str">
        <f>IF('[1]P-GENERAL'!E368="","",'[1]P-GENERAL'!E368)</f>
        <v>McAllen</v>
      </c>
      <c r="F368" s="12">
        <f>IF('[1]P-GENERAL'!F368="","",'[1]P-GENERAL'!F368)</f>
        <v>768</v>
      </c>
      <c r="G368" s="13">
        <f>IF('[1]P-GENERAL'!G368="","",'[1]P-GENERAL'!G368)</f>
        <v>16</v>
      </c>
      <c r="H368" s="14">
        <f>IF('[1]P-GENERAL'!H368="","",'[1]P-GENERAL'!H368)</f>
        <v>46293</v>
      </c>
      <c r="I368">
        <f>IF('[1]P-GENERAL'!I368="","",'[1]P-GENERAL'!I368)</f>
        <v>40</v>
      </c>
      <c r="J368" s="15">
        <f>IF('[1]P-GENERAL'!J368="","",'[1]P-GENERAL'!J368)</f>
        <v>46297</v>
      </c>
      <c r="K368" s="14" t="str">
        <f>IF('[1]P-GENERAL'!K368="","",'[1]P-GENERAL'!K368)</f>
        <v/>
      </c>
      <c r="L368" s="14" t="str">
        <f>IF('[1]P-GENERAL'!L368="","",'[1]P-GENERAL'!L368)</f>
        <v>PREENFRIO FORTALEZA</v>
      </c>
      <c r="M368">
        <f>IF('[1]P-GENERAL'!M368="","",'[1]P-GENERAL'!M368)</f>
        <v>3</v>
      </c>
      <c r="N368">
        <f>IF('[1]P-GENERAL'!N368="","",'[1]P-GENERAL'!N368)</f>
        <v>72</v>
      </c>
      <c r="O368" s="14">
        <f>IF('[1]P-GENERAL'!O368="","",'[1]P-GENERAL'!O368)</f>
        <v>46293</v>
      </c>
      <c r="P368" s="16">
        <f>IF('[1]P-GENERAL'!P368="","",'[1]P-GENERAL'!P368)</f>
        <v>0.83333333333333337</v>
      </c>
      <c r="Q368" t="str">
        <f>IF('[1]P-GENERAL'!Q368="","",'[1]P-GENERAL'!Q368)</f>
        <v>NORMAL</v>
      </c>
      <c r="R368" s="14">
        <f>IF('[1]P-GENERAL'!R368="","",'[1]P-GENERAL'!R368)</f>
        <v>46294</v>
      </c>
      <c r="S368" s="16">
        <f>IF('[1]P-GENERAL'!S368="","",'[1]P-GENERAL'!S368)</f>
        <v>0.50763888888888886</v>
      </c>
      <c r="T368" s="16">
        <f>IF('[1]P-GENERAL'!T368="","",'[1]P-GENERAL'!T368)</f>
        <v>0.33333333333333331</v>
      </c>
      <c r="U368" s="17">
        <f>IF('[1]P-GENERAL'!U368="","",'[1]P-GENERAL'!U368)</f>
        <v>46294.840972222228</v>
      </c>
      <c r="V368" s="14">
        <f>IF('[1]P-GENERAL'!V368="","",'[1]P-GENERAL'!V368)</f>
        <v>46294</v>
      </c>
      <c r="W368" s="16">
        <f>IF('[1]P-GENERAL'!W368="","",'[1]P-GENERAL'!W368)</f>
        <v>0.98541666666666672</v>
      </c>
      <c r="X368" s="14" t="str">
        <f>IF('[1]P-GENERAL'!X368="","",'[1]P-GENERAL'!X368)</f>
        <v>NO CUMPLE</v>
      </c>
      <c r="Y368" s="14" t="str">
        <f>IF('[1]P-GENERAL'!Y368="","",'[1]P-GENERAL'!Y368)</f>
        <v>NO CUMPLE</v>
      </c>
      <c r="Z368" s="14" t="str">
        <f>IF('[1]P-GENERAL'!Z368="","",'[1]P-GENERAL'!Z368)</f>
        <v/>
      </c>
      <c r="AA368" s="14" t="str">
        <f>IF('[1]P-GENERAL'!AA368="","",'[1]P-GENERAL'!AA368)</f>
        <v>DESPACHADO</v>
      </c>
      <c r="AB368" s="8" t="str">
        <f>IF('[1]P-GENERAL'!AB368="","",'[1]P-GENERAL'!AB368)</f>
        <v>EXPRESS CAVAZOS CANTU</v>
      </c>
      <c r="AC368" s="8" t="str">
        <f>IF('[1]P-GENERAL'!AC368="","",'[1]P-GENERAL'!AC368)</f>
        <v>SANTOS CRUZ DE LA CRUZ</v>
      </c>
      <c r="AD368">
        <f>IF('[1]P-GENERAL'!AD368="","",'[1]P-GENERAL'!AD368)</f>
        <v>82511</v>
      </c>
      <c r="AE368">
        <f>IF('[1]P-GENERAL'!AE368="","",'[1]P-GENERAL'!AE368)</f>
        <v>100000914973</v>
      </c>
    </row>
    <row r="369" spans="1:31" ht="20.25" x14ac:dyDescent="0.3">
      <c r="A369" s="11" t="str">
        <f>IF('[1]P-GENERAL'!A369="","",'[1]P-GENERAL'!A369)</f>
        <v>Chanitos Premium EUA Tarima Americana</v>
      </c>
      <c r="B369" s="11" t="str">
        <f>IF('[1]P-GENERAL'!B369="","",'[1]P-GENERAL'!B369)</f>
        <v>CPR01104</v>
      </c>
      <c r="C369" t="str">
        <f>IF('[1]P-GENERAL'!C369="","",'[1]P-GENERAL'!C369)</f>
        <v>A11045-402909-1</v>
      </c>
      <c r="D369" t="str">
        <f>IF('[1]P-GENERAL'!D369="","",'[1]P-GENERAL'!D369)</f>
        <v>A11 045 Sector Mazatan</v>
      </c>
      <c r="E369" s="8" t="str">
        <f>IF('[1]P-GENERAL'!E369="","",'[1]P-GENERAL'!E369)</f>
        <v>McAllen</v>
      </c>
      <c r="F369" s="12">
        <f>IF('[1]P-GENERAL'!F369="","",'[1]P-GENERAL'!F369)</f>
        <v>96</v>
      </c>
      <c r="G369" s="13">
        <f>IF('[1]P-GENERAL'!G369="","",'[1]P-GENERAL'!G369)</f>
        <v>2</v>
      </c>
      <c r="H369" s="14">
        <f>IF('[1]P-GENERAL'!H369="","",'[1]P-GENERAL'!H369)</f>
        <v>46294</v>
      </c>
      <c r="I369">
        <f>IF('[1]P-GENERAL'!I369="","",'[1]P-GENERAL'!I369)</f>
        <v>40</v>
      </c>
      <c r="J369" s="15">
        <f>IF('[1]P-GENERAL'!J369="","",'[1]P-GENERAL'!J369)</f>
        <v>46297</v>
      </c>
      <c r="K369" s="14" t="str">
        <f>IF('[1]P-GENERAL'!K369="","",'[1]P-GENERAL'!K369)</f>
        <v/>
      </c>
      <c r="L369" s="14" t="str">
        <f>IF('[1]P-GENERAL'!L369="","",'[1]P-GENERAL'!L369)</f>
        <v>PREENFRIO FORTALEZA</v>
      </c>
      <c r="M369">
        <f>IF('[1]P-GENERAL'!M369="","",'[1]P-GENERAL'!M369)</f>
        <v>3</v>
      </c>
      <c r="N369">
        <f>IF('[1]P-GENERAL'!N369="","",'[1]P-GENERAL'!N369)</f>
        <v>72</v>
      </c>
      <c r="O369" s="14">
        <f>IF('[1]P-GENERAL'!O369="","",'[1]P-GENERAL'!O369)</f>
        <v>46294</v>
      </c>
      <c r="P369" s="16">
        <f>IF('[1]P-GENERAL'!P369="","",'[1]P-GENERAL'!P369)</f>
        <v>0.70138888888888884</v>
      </c>
      <c r="Q369" t="str">
        <f>IF('[1]P-GENERAL'!Q369="","",'[1]P-GENERAL'!Q369)</f>
        <v>NORMAL</v>
      </c>
      <c r="R369" s="14" t="str">
        <f>IF('[1]P-GENERAL'!R369="","",'[1]P-GENERAL'!R369)</f>
        <v/>
      </c>
      <c r="S369" s="16" t="str">
        <f>IF('[1]P-GENERAL'!S369="","",'[1]P-GENERAL'!S369)</f>
        <v/>
      </c>
      <c r="T369" s="16" t="str">
        <f>IF('[1]P-GENERAL'!T369="","",'[1]P-GENERAL'!T369)</f>
        <v/>
      </c>
      <c r="U369" s="17" t="str">
        <f>IF('[1]P-GENERAL'!U369="","",'[1]P-GENERAL'!U369)</f>
        <v/>
      </c>
      <c r="V369" s="14">
        <f>IF('[1]P-GENERAL'!V369="","",'[1]P-GENERAL'!V369)</f>
        <v>46294</v>
      </c>
      <c r="W369" s="16">
        <f>IF('[1]P-GENERAL'!W369="","",'[1]P-GENERAL'!W369)</f>
        <v>0.98541666666666672</v>
      </c>
      <c r="X369" s="14" t="str">
        <f>IF('[1]P-GENERAL'!X369="","",'[1]P-GENERAL'!X369)</f>
        <v/>
      </c>
      <c r="Y369" s="14" t="str">
        <f>IF('[1]P-GENERAL'!Y369="","",'[1]P-GENERAL'!Y369)</f>
        <v>NO CUMPLE</v>
      </c>
      <c r="Z369" s="14" t="str">
        <f>IF('[1]P-GENERAL'!Z369="","",'[1]P-GENERAL'!Z369)</f>
        <v/>
      </c>
      <c r="AA369" s="14" t="str">
        <f>IF('[1]P-GENERAL'!AA369="","",'[1]P-GENERAL'!AA369)</f>
        <v>DESPACHADO</v>
      </c>
      <c r="AB369" s="8" t="str">
        <f>IF('[1]P-GENERAL'!AB369="","",'[1]P-GENERAL'!AB369)</f>
        <v>EXPRESS CAVAZOS CANTU</v>
      </c>
      <c r="AC369" s="8" t="str">
        <f>IF('[1]P-GENERAL'!AC369="","",'[1]P-GENERAL'!AC369)</f>
        <v>SANTOS CRUZ DE LA CRUZ</v>
      </c>
      <c r="AD369">
        <f>IF('[1]P-GENERAL'!AD369="","",'[1]P-GENERAL'!AD369)</f>
        <v>82511</v>
      </c>
      <c r="AE369">
        <f>IF('[1]P-GENERAL'!AE369="","",'[1]P-GENERAL'!AE369)</f>
        <v>100000914973</v>
      </c>
    </row>
    <row r="370" spans="1:31" ht="20.25" x14ac:dyDescent="0.3">
      <c r="A370" s="11" t="str">
        <f>IF('[1]P-GENERAL'!A370="","",'[1]P-GENERAL'!A370)</f>
        <v>Chanitos Premium Tarima Americana</v>
      </c>
      <c r="B370" s="11" t="str">
        <f>IF('[1]P-GENERAL'!B370="","",'[1]P-GENERAL'!B370)</f>
        <v>CPR01103</v>
      </c>
      <c r="C370" t="str">
        <f>IF('[1]P-GENERAL'!C370="","",'[1]P-GENERAL'!C370)</f>
        <v>A01002-402809-1</v>
      </c>
      <c r="D370" t="str">
        <f>IF('[1]P-GENERAL'!D370="","",'[1]P-GENERAL'!D370)</f>
        <v>A01 002 Fortaleza</v>
      </c>
      <c r="E370" s="8" t="str">
        <f>IF('[1]P-GENERAL'!E370="","",'[1]P-GENERAL'!E370)</f>
        <v>Ciudad Juarez</v>
      </c>
      <c r="F370" s="12">
        <f>IF('[1]P-GENERAL'!F370="","",'[1]P-GENERAL'!F370)</f>
        <v>144</v>
      </c>
      <c r="G370" s="13">
        <f>IF('[1]P-GENERAL'!G370="","",'[1]P-GENERAL'!G370)</f>
        <v>3</v>
      </c>
      <c r="H370" s="14">
        <f>IF('[1]P-GENERAL'!H370="","",'[1]P-GENERAL'!H370)</f>
        <v>46293</v>
      </c>
      <c r="I370">
        <f>IF('[1]P-GENERAL'!I370="","",'[1]P-GENERAL'!I370)</f>
        <v>40</v>
      </c>
      <c r="J370" s="15">
        <f>IF('[1]P-GENERAL'!J370="","",'[1]P-GENERAL'!J370)</f>
        <v>46298</v>
      </c>
      <c r="K370" s="14" t="str">
        <f>IF('[1]P-GENERAL'!K370="","",'[1]P-GENERAL'!K370)</f>
        <v/>
      </c>
      <c r="L370" s="14" t="str">
        <f>IF('[1]P-GENERAL'!L370="","",'[1]P-GENERAL'!L370)</f>
        <v>PREENFRIO NELLY</v>
      </c>
      <c r="M370">
        <f>IF('[1]P-GENERAL'!M370="","",'[1]P-GENERAL'!M370)</f>
        <v>4</v>
      </c>
      <c r="N370">
        <f>IF('[1]P-GENERAL'!N370="","",'[1]P-GENERAL'!N370)</f>
        <v>96</v>
      </c>
      <c r="O370" s="14">
        <f>IF('[1]P-GENERAL'!O370="","",'[1]P-GENERAL'!O370)</f>
        <v>46294</v>
      </c>
      <c r="P370" s="16">
        <f>IF('[1]P-GENERAL'!P370="","",'[1]P-GENERAL'!P370)</f>
        <v>0.16666666666666666</v>
      </c>
      <c r="Q370" t="str">
        <f>IF('[1]P-GENERAL'!Q370="","",'[1]P-GENERAL'!Q370)</f>
        <v>ALTA</v>
      </c>
      <c r="R370" s="14">
        <f>IF('[1]P-GENERAL'!R370="","",'[1]P-GENERAL'!R370)</f>
        <v>46294</v>
      </c>
      <c r="S370" s="16">
        <f>IF('[1]P-GENERAL'!S370="","",'[1]P-GENERAL'!S370)</f>
        <v>0.18055555555555555</v>
      </c>
      <c r="T370" s="16">
        <f>IF('[1]P-GENERAL'!T370="","",'[1]P-GENERAL'!T370)</f>
        <v>0.4375</v>
      </c>
      <c r="U370" s="17">
        <f>IF('[1]P-GENERAL'!U370="","",'[1]P-GENERAL'!U370)</f>
        <v>46294.618055555555</v>
      </c>
      <c r="V370" s="14">
        <f>IF('[1]P-GENERAL'!V370="","",'[1]P-GENERAL'!V370)</f>
        <v>46294</v>
      </c>
      <c r="W370" s="16">
        <f>IF('[1]P-GENERAL'!W370="","",'[1]P-GENERAL'!W370)</f>
        <v>0.83333333333333337</v>
      </c>
      <c r="X370" s="14" t="str">
        <f>IF('[1]P-GENERAL'!X370="","",'[1]P-GENERAL'!X370)</f>
        <v>NO CUMPLE</v>
      </c>
      <c r="Y370" s="14" t="str">
        <f>IF('[1]P-GENERAL'!Y370="","",'[1]P-GENERAL'!Y370)</f>
        <v>NO CUMPLE</v>
      </c>
      <c r="Z370" s="14" t="str">
        <f>IF('[1]P-GENERAL'!Z370="","",'[1]P-GENERAL'!Z370)</f>
        <v>EMPAQUE TARDIO</v>
      </c>
      <c r="AA370" s="14" t="str">
        <f>IF('[1]P-GENERAL'!AA370="","",'[1]P-GENERAL'!AA370)</f>
        <v>DESPACHADO</v>
      </c>
      <c r="AB370" s="8" t="str">
        <f>IF('[1]P-GENERAL'!AB370="","",'[1]P-GENERAL'!AB370)</f>
        <v>TRANSPORTES ALGEZA</v>
      </c>
      <c r="AC370" s="8" t="str">
        <f>IF('[1]P-GENERAL'!AC370="","",'[1]P-GENERAL'!AC370)</f>
        <v/>
      </c>
      <c r="AD370" t="str">
        <f>IF('[1]P-GENERAL'!AD370="","",'[1]P-GENERAL'!AD370)</f>
        <v/>
      </c>
      <c r="AE370" t="str">
        <f>IF('[1]P-GENERAL'!AE370="","",'[1]P-GENERAL'!AE370)</f>
        <v/>
      </c>
    </row>
    <row r="371" spans="1:31" ht="20.25" x14ac:dyDescent="0.3">
      <c r="A371" s="11" t="str">
        <f>IF('[1]P-GENERAL'!A371="","",'[1]P-GENERAL'!A371)</f>
        <v>Chanitos Premium Tarima Americana</v>
      </c>
      <c r="B371" s="11" t="str">
        <f>IF('[1]P-GENERAL'!B371="","",'[1]P-GENERAL'!B371)</f>
        <v>CPR01103</v>
      </c>
      <c r="C371" t="str">
        <f>IF('[1]P-GENERAL'!C371="","",'[1]P-GENERAL'!C371)</f>
        <v>A01002-402809-1</v>
      </c>
      <c r="D371" t="str">
        <f>IF('[1]P-GENERAL'!D371="","",'[1]P-GENERAL'!D371)</f>
        <v>A01 002 Fortaleza</v>
      </c>
      <c r="E371" s="8" t="str">
        <f>IF('[1]P-GENERAL'!E371="","",'[1]P-GENERAL'!E371)</f>
        <v>Ciudad Juarez</v>
      </c>
      <c r="F371" s="12">
        <f>IF('[1]P-GENERAL'!F371="","",'[1]P-GENERAL'!F371)</f>
        <v>816</v>
      </c>
      <c r="G371" s="13">
        <f>IF('[1]P-GENERAL'!G371="","",'[1]P-GENERAL'!G371)</f>
        <v>17</v>
      </c>
      <c r="H371" s="14">
        <f>IF('[1]P-GENERAL'!H371="","",'[1]P-GENERAL'!H371)</f>
        <v>46293</v>
      </c>
      <c r="I371">
        <f>IF('[1]P-GENERAL'!I371="","",'[1]P-GENERAL'!I371)</f>
        <v>40</v>
      </c>
      <c r="J371" s="15">
        <f>IF('[1]P-GENERAL'!J371="","",'[1]P-GENERAL'!J371)</f>
        <v>46298</v>
      </c>
      <c r="K371" s="14" t="str">
        <f>IF('[1]P-GENERAL'!K371="","",'[1]P-GENERAL'!K371)</f>
        <v/>
      </c>
      <c r="L371" s="14" t="str">
        <f>IF('[1]P-GENERAL'!L371="","",'[1]P-GENERAL'!L371)</f>
        <v>PREENFRIO NELLY</v>
      </c>
      <c r="M371">
        <f>IF('[1]P-GENERAL'!M371="","",'[1]P-GENERAL'!M371)</f>
        <v>4</v>
      </c>
      <c r="N371">
        <f>IF('[1]P-GENERAL'!N371="","",'[1]P-GENERAL'!N371)</f>
        <v>96</v>
      </c>
      <c r="O371" s="14">
        <f>IF('[1]P-GENERAL'!O371="","",'[1]P-GENERAL'!O371)</f>
        <v>46294</v>
      </c>
      <c r="P371" s="16">
        <f>IF('[1]P-GENERAL'!P371="","",'[1]P-GENERAL'!P371)</f>
        <v>0.16666666666666666</v>
      </c>
      <c r="Q371" t="str">
        <f>IF('[1]P-GENERAL'!Q371="","",'[1]P-GENERAL'!Q371)</f>
        <v>ALTA</v>
      </c>
      <c r="R371" s="14">
        <f>IF('[1]P-GENERAL'!R371="","",'[1]P-GENERAL'!R371)</f>
        <v>46294</v>
      </c>
      <c r="S371" s="16">
        <f>IF('[1]P-GENERAL'!S371="","",'[1]P-GENERAL'!S371)</f>
        <v>0.18055555555555555</v>
      </c>
      <c r="T371" s="16">
        <f>IF('[1]P-GENERAL'!T371="","",'[1]P-GENERAL'!T371)</f>
        <v>0.4375</v>
      </c>
      <c r="U371" s="17">
        <f>IF('[1]P-GENERAL'!U371="","",'[1]P-GENERAL'!U371)</f>
        <v>46294.618055555555</v>
      </c>
      <c r="V371" s="14">
        <f>IF('[1]P-GENERAL'!V371="","",'[1]P-GENERAL'!V371)</f>
        <v>46294</v>
      </c>
      <c r="W371" s="16">
        <f>IF('[1]P-GENERAL'!W371="","",'[1]P-GENERAL'!W371)</f>
        <v>0.83333333333333337</v>
      </c>
      <c r="X371" s="14" t="str">
        <f>IF('[1]P-GENERAL'!X371="","",'[1]P-GENERAL'!X371)</f>
        <v>NO CUMPLE</v>
      </c>
      <c r="Y371" s="14" t="str">
        <f>IF('[1]P-GENERAL'!Y371="","",'[1]P-GENERAL'!Y371)</f>
        <v>NO CUMPLE</v>
      </c>
      <c r="Z371" s="14" t="str">
        <f>IF('[1]P-GENERAL'!Z371="","",'[1]P-GENERAL'!Z371)</f>
        <v>EMPAQUE TARDIO</v>
      </c>
      <c r="AA371" s="14" t="str">
        <f>IF('[1]P-GENERAL'!AA371="","",'[1]P-GENERAL'!AA371)</f>
        <v>DESPACHADO</v>
      </c>
      <c r="AB371" s="8" t="str">
        <f>IF('[1]P-GENERAL'!AB371="","",'[1]P-GENERAL'!AB371)</f>
        <v>TRANSPORTES ALGEZA</v>
      </c>
      <c r="AC371" s="8" t="str">
        <f>IF('[1]P-GENERAL'!AC371="","",'[1]P-GENERAL'!AC371)</f>
        <v/>
      </c>
      <c r="AD371" t="str">
        <f>IF('[1]P-GENERAL'!AD371="","",'[1]P-GENERAL'!AD371)</f>
        <v/>
      </c>
      <c r="AE371" t="str">
        <f>IF('[1]P-GENERAL'!AE371="","",'[1]P-GENERAL'!AE371)</f>
        <v/>
      </c>
    </row>
    <row r="372" spans="1:31" ht="20.25" x14ac:dyDescent="0.3">
      <c r="A372" s="11" t="str">
        <f>IF('[1]P-GENERAL'!A372="","",'[1]P-GENERAL'!A372)</f>
        <v>Chanitos Premium Tarima Americana</v>
      </c>
      <c r="B372" s="11" t="str">
        <f>IF('[1]P-GENERAL'!B372="","",'[1]P-GENERAL'!B372)</f>
        <v>CPR01103</v>
      </c>
      <c r="C372" t="str">
        <f>IF('[1]P-GENERAL'!C372="","",'[1]P-GENERAL'!C372)</f>
        <v>A04083-402809-1</v>
      </c>
      <c r="D372" t="str">
        <f>IF('[1]P-GENERAL'!D372="","",'[1]P-GENERAL'!D372)</f>
        <v>A04 083 Santa Maria</v>
      </c>
      <c r="E372" s="8" t="str">
        <f>IF('[1]P-GENERAL'!E372="","",'[1]P-GENERAL'!E372)</f>
        <v>Ciudad Juarez</v>
      </c>
      <c r="F372" s="12">
        <f>IF('[1]P-GENERAL'!F372="","",'[1]P-GENERAL'!F372)</f>
        <v>960</v>
      </c>
      <c r="G372" s="13">
        <f>IF('[1]P-GENERAL'!G372="","",'[1]P-GENERAL'!G372)</f>
        <v>20</v>
      </c>
      <c r="H372" s="14">
        <f>IF('[1]P-GENERAL'!H372="","",'[1]P-GENERAL'!H372)</f>
        <v>46293</v>
      </c>
      <c r="I372">
        <f>IF('[1]P-GENERAL'!I372="","",'[1]P-GENERAL'!I372)</f>
        <v>40</v>
      </c>
      <c r="J372" s="15">
        <f>IF('[1]P-GENERAL'!J372="","",'[1]P-GENERAL'!J372)</f>
        <v>46298</v>
      </c>
      <c r="K372" s="14" t="str">
        <f>IF('[1]P-GENERAL'!K372="","",'[1]P-GENERAL'!K372)</f>
        <v/>
      </c>
      <c r="L372" s="14" t="str">
        <f>IF('[1]P-GENERAL'!L372="","",'[1]P-GENERAL'!L372)</f>
        <v>PREENFRIO NELLY</v>
      </c>
      <c r="M372">
        <f>IF('[1]P-GENERAL'!M372="","",'[1]P-GENERAL'!M372)</f>
        <v>4</v>
      </c>
      <c r="N372">
        <f>IF('[1]P-GENERAL'!N372="","",'[1]P-GENERAL'!N372)</f>
        <v>96</v>
      </c>
      <c r="O372" s="14">
        <f>IF('[1]P-GENERAL'!O372="","",'[1]P-GENERAL'!O372)</f>
        <v>46294</v>
      </c>
      <c r="P372" s="16">
        <f>IF('[1]P-GENERAL'!P372="","",'[1]P-GENERAL'!P372)</f>
        <v>0.16666666666666666</v>
      </c>
      <c r="Q372" t="str">
        <f>IF('[1]P-GENERAL'!Q372="","",'[1]P-GENERAL'!Q372)</f>
        <v>ALTA</v>
      </c>
      <c r="R372" s="14">
        <f>IF('[1]P-GENERAL'!R372="","",'[1]P-GENERAL'!R372)</f>
        <v>46294</v>
      </c>
      <c r="S372" s="16">
        <f>IF('[1]P-GENERAL'!S372="","",'[1]P-GENERAL'!S372)</f>
        <v>0.61805555555555558</v>
      </c>
      <c r="T372" s="16">
        <f>IF('[1]P-GENERAL'!T372="","",'[1]P-GENERAL'!T372)</f>
        <v>0.4375</v>
      </c>
      <c r="U372" s="17">
        <f>IF('[1]P-GENERAL'!U372="","",'[1]P-GENERAL'!U372)</f>
        <v>46295.055555555555</v>
      </c>
      <c r="V372" s="14">
        <f>IF('[1]P-GENERAL'!V372="","",'[1]P-GENERAL'!V372)</f>
        <v>46294</v>
      </c>
      <c r="W372" s="16">
        <f>IF('[1]P-GENERAL'!W372="","",'[1]P-GENERAL'!W372)</f>
        <v>0.83333333333333337</v>
      </c>
      <c r="X372" s="14" t="str">
        <f>IF('[1]P-GENERAL'!X372="","",'[1]P-GENERAL'!X372)</f>
        <v>NO CUMPLE</v>
      </c>
      <c r="Y372" s="14" t="str">
        <f>IF('[1]P-GENERAL'!Y372="","",'[1]P-GENERAL'!Y372)</f>
        <v>NO CUMPLE</v>
      </c>
      <c r="Z372" s="14" t="str">
        <f>IF('[1]P-GENERAL'!Z372="","",'[1]P-GENERAL'!Z372)</f>
        <v>EMPAQUE TARDIO</v>
      </c>
      <c r="AA372" s="14" t="str">
        <f>IF('[1]P-GENERAL'!AA372="","",'[1]P-GENERAL'!AA372)</f>
        <v>DESPACHADO</v>
      </c>
      <c r="AB372" s="8" t="str">
        <f>IF('[1]P-GENERAL'!AB372="","",'[1]P-GENERAL'!AB372)</f>
        <v>TRANSPORTES ALGEZA</v>
      </c>
      <c r="AC372" s="8" t="str">
        <f>IF('[1]P-GENERAL'!AC372="","",'[1]P-GENERAL'!AC372)</f>
        <v/>
      </c>
      <c r="AD372" t="str">
        <f>IF('[1]P-GENERAL'!AD372="","",'[1]P-GENERAL'!AD372)</f>
        <v/>
      </c>
      <c r="AE372" t="str">
        <f>IF('[1]P-GENERAL'!AE372="","",'[1]P-GENERAL'!AE372)</f>
        <v/>
      </c>
    </row>
    <row r="373" spans="1:31" ht="20.25" x14ac:dyDescent="0.3">
      <c r="A373" s="11" t="str">
        <f>IF('[1]P-GENERAL'!A373="","",'[1]P-GENERAL'!A373)</f>
        <v>Chanitos Premium Tarima Americana</v>
      </c>
      <c r="B373" s="11" t="str">
        <f>IF('[1]P-GENERAL'!B373="","",'[1]P-GENERAL'!B373)</f>
        <v>CPR01103</v>
      </c>
      <c r="C373" t="str">
        <f>IF('[1]P-GENERAL'!C373="","",'[1]P-GENERAL'!C373)</f>
        <v>A12057-402909-1</v>
      </c>
      <c r="D373" t="str">
        <f>IF('[1]P-GENERAL'!D373="","",'[1]P-GENERAL'!D373)</f>
        <v>A12 057 Tiquisate 1</v>
      </c>
      <c r="E373" s="8" t="str">
        <f>IF('[1]P-GENERAL'!E373="","",'[1]P-GENERAL'!E373)</f>
        <v>Ciudad Juarez</v>
      </c>
      <c r="F373" s="12">
        <f>IF('[1]P-GENERAL'!F373="","",'[1]P-GENERAL'!F373)</f>
        <v>960</v>
      </c>
      <c r="G373" s="13">
        <f>IF('[1]P-GENERAL'!G373="","",'[1]P-GENERAL'!G373)</f>
        <v>20</v>
      </c>
      <c r="H373" s="14">
        <f>IF('[1]P-GENERAL'!H373="","",'[1]P-GENERAL'!H373)</f>
        <v>46294</v>
      </c>
      <c r="I373">
        <f>IF('[1]P-GENERAL'!I373="","",'[1]P-GENERAL'!I373)</f>
        <v>40</v>
      </c>
      <c r="J373" s="15">
        <f>IF('[1]P-GENERAL'!J373="","",'[1]P-GENERAL'!J373)</f>
        <v>46302</v>
      </c>
      <c r="K373" s="14">
        <f>IF('[1]P-GENERAL'!K373="","",'[1]P-GENERAL'!K373)</f>
        <v>0.25</v>
      </c>
      <c r="L373" s="14" t="str">
        <f>IF('[1]P-GENERAL'!L373="","",'[1]P-GENERAL'!L373)</f>
        <v>PREENFRIO NELLY</v>
      </c>
      <c r="M373">
        <f>IF('[1]P-GENERAL'!M373="","",'[1]P-GENERAL'!M373)</f>
        <v>4</v>
      </c>
      <c r="N373">
        <f>IF('[1]P-GENERAL'!N373="","",'[1]P-GENERAL'!N373)</f>
        <v>96</v>
      </c>
      <c r="O373" s="14">
        <f>IF('[1]P-GENERAL'!O373="","",'[1]P-GENERAL'!O373)</f>
        <v>46294</v>
      </c>
      <c r="P373" s="16">
        <f>IF('[1]P-GENERAL'!P373="","",'[1]P-GENERAL'!P373)</f>
        <v>0.14791666666666667</v>
      </c>
      <c r="Q373" t="str">
        <f>IF('[1]P-GENERAL'!Q373="","",'[1]P-GENERAL'!Q373)</f>
        <v>NORMAL</v>
      </c>
      <c r="R373" s="14">
        <f>IF('[1]P-GENERAL'!R373="","",'[1]P-GENERAL'!R373)</f>
        <v>46294</v>
      </c>
      <c r="S373" s="16">
        <f>IF('[1]P-GENERAL'!S373="","",'[1]P-GENERAL'!S373)</f>
        <v>0.25</v>
      </c>
      <c r="T373" s="16">
        <f>IF('[1]P-GENERAL'!T373="","",'[1]P-GENERAL'!T373)</f>
        <v>0.4375</v>
      </c>
      <c r="U373" s="17">
        <f>IF('[1]P-GENERAL'!U373="","",'[1]P-GENERAL'!U373)</f>
        <v>46294.6875</v>
      </c>
      <c r="V373" s="14">
        <f>IF('[1]P-GENERAL'!V373="","",'[1]P-GENERAL'!V373)</f>
        <v>46296</v>
      </c>
      <c r="W373" s="16">
        <f>IF('[1]P-GENERAL'!W373="","",'[1]P-GENERAL'!W373)</f>
        <v>0.83333333333333337</v>
      </c>
      <c r="X373" s="14" t="str">
        <f>IF('[1]P-GENERAL'!X373="","",'[1]P-GENERAL'!X373)</f>
        <v>SI CUMPLE</v>
      </c>
      <c r="Y373" s="14" t="str">
        <f>IF('[1]P-GENERAL'!Y373="","",'[1]P-GENERAL'!Y373)</f>
        <v>SI CUMPLE</v>
      </c>
      <c r="Z373" s="14" t="str">
        <f>IF('[1]P-GENERAL'!Z373="","",'[1]P-GENERAL'!Z373)</f>
        <v/>
      </c>
      <c r="AA373" s="14" t="str">
        <f>IF('[1]P-GENERAL'!AA373="","",'[1]P-GENERAL'!AA373)</f>
        <v>DESPACHADO</v>
      </c>
      <c r="AB373" s="8" t="str">
        <f>IF('[1]P-GENERAL'!AB373="","",'[1]P-GENERAL'!AB373)</f>
        <v>AUTO EXPRESS SEGOVIA</v>
      </c>
      <c r="AC373" s="8" t="str">
        <f>IF('[1]P-GENERAL'!AC373="","",'[1]P-GENERAL'!AC373)</f>
        <v>LUIS ENRIQUE ALONSO</v>
      </c>
      <c r="AD373">
        <f>IF('[1]P-GENERAL'!AD373="","",'[1]P-GENERAL'!AD373)</f>
        <v>55040</v>
      </c>
      <c r="AE373" t="str">
        <f>IF('[1]P-GENERAL'!AE373="","",'[1]P-GENERAL'!AE373)</f>
        <v/>
      </c>
    </row>
    <row r="374" spans="1:31" ht="20.25" x14ac:dyDescent="0.3">
      <c r="A374" s="11" t="str">
        <f>IF('[1]P-GENERAL'!A374="","",'[1]P-GENERAL'!A374)</f>
        <v>Chanitos Plantain 20Kg Tarima Americana</v>
      </c>
      <c r="B374" s="11" t="str">
        <f>IF('[1]P-GENERAL'!B374="","",'[1]P-GENERAL'!B374)</f>
        <v>CPL08134</v>
      </c>
      <c r="C374" t="str">
        <f>IF('[1]P-GENERAL'!C374="","",'[1]P-GENERAL'!C374)</f>
        <v>A35082-402809-1</v>
      </c>
      <c r="D374" t="str">
        <f>IF('[1]P-GENERAL'!D374="","",'[1]P-GENERAL'!D374)</f>
        <v>A35 082 Empaque de Macho Ej Libertad</v>
      </c>
      <c r="E374" s="8" t="str">
        <f>IF('[1]P-GENERAL'!E374="","",'[1]P-GENERAL'!E374)</f>
        <v>Ciudad Juarez</v>
      </c>
      <c r="F374" s="12">
        <f>IF('[1]P-GENERAL'!F374="","",'[1]P-GENERAL'!F374)</f>
        <v>144</v>
      </c>
      <c r="G374" s="13">
        <f>IF('[1]P-GENERAL'!G374="","",'[1]P-GENERAL'!G374)</f>
        <v>3</v>
      </c>
      <c r="H374" s="14">
        <f>IF('[1]P-GENERAL'!H374="","",'[1]P-GENERAL'!H374)</f>
        <v>46293</v>
      </c>
      <c r="I374">
        <f>IF('[1]P-GENERAL'!I374="","",'[1]P-GENERAL'!I374)</f>
        <v>40</v>
      </c>
      <c r="J374" s="15">
        <f>IF('[1]P-GENERAL'!J374="","",'[1]P-GENERAL'!J374)</f>
        <v>46298</v>
      </c>
      <c r="K374" s="14" t="str">
        <f>IF('[1]P-GENERAL'!K374="","",'[1]P-GENERAL'!K374)</f>
        <v/>
      </c>
      <c r="L374" s="14" t="str">
        <f>IF('[1]P-GENERAL'!L374="","",'[1]P-GENERAL'!L374)</f>
        <v>PREENFRIO FORTALEZA</v>
      </c>
      <c r="M374">
        <f>IF('[1]P-GENERAL'!M374="","",'[1]P-GENERAL'!M374)</f>
        <v>4</v>
      </c>
      <c r="N374">
        <f>IF('[1]P-GENERAL'!N374="","",'[1]P-GENERAL'!N374)</f>
        <v>96</v>
      </c>
      <c r="O374" s="14">
        <f>IF('[1]P-GENERAL'!O374="","",'[1]P-GENERAL'!O374)</f>
        <v>46293</v>
      </c>
      <c r="P374" s="16">
        <f>IF('[1]P-GENERAL'!P374="","",'[1]P-GENERAL'!P374)</f>
        <v>0.8125</v>
      </c>
      <c r="Q374" t="str">
        <f>IF('[1]P-GENERAL'!Q374="","",'[1]P-GENERAL'!Q374)</f>
        <v>NORMAL</v>
      </c>
      <c r="R374" s="14">
        <f>IF('[1]P-GENERAL'!R374="","",'[1]P-GENERAL'!R374)</f>
        <v>46294</v>
      </c>
      <c r="S374" s="16">
        <f>IF('[1]P-GENERAL'!S374="","",'[1]P-GENERAL'!S374)</f>
        <v>3.125E-2</v>
      </c>
      <c r="T374" s="16">
        <f>IF('[1]P-GENERAL'!T374="","",'[1]P-GENERAL'!T374)</f>
        <v>0.25</v>
      </c>
      <c r="U374" s="17">
        <f>IF('[1]P-GENERAL'!U374="","",'[1]P-GENERAL'!U374)</f>
        <v>46294.28125</v>
      </c>
      <c r="V374" s="14">
        <f>IF('[1]P-GENERAL'!V374="","",'[1]P-GENERAL'!V374)</f>
        <v>46294</v>
      </c>
      <c r="W374" s="16">
        <f>IF('[1]P-GENERAL'!W374="","",'[1]P-GENERAL'!W374)</f>
        <v>0.45833333333333331</v>
      </c>
      <c r="X374" s="14" t="str">
        <f>IF('[1]P-GENERAL'!X374="","",'[1]P-GENERAL'!X374)</f>
        <v>NO CUMPLE</v>
      </c>
      <c r="Y374" s="14" t="str">
        <f>IF('[1]P-GENERAL'!Y374="","",'[1]P-GENERAL'!Y374)</f>
        <v>NO CUMPLE</v>
      </c>
      <c r="Z374" s="14" t="str">
        <f>IF('[1]P-GENERAL'!Z374="","",'[1]P-GENERAL'!Z374)</f>
        <v>Mueve a Nelly</v>
      </c>
      <c r="AA374" s="14" t="str">
        <f>IF('[1]P-GENERAL'!AA374="","",'[1]P-GENERAL'!AA374)</f>
        <v>DESPACHADO</v>
      </c>
      <c r="AB374" s="8" t="str">
        <f>IF('[1]P-GENERAL'!AB374="","",'[1]P-GENERAL'!AB374)</f>
        <v>TRANSPORTES GUDIÑO</v>
      </c>
      <c r="AC374" s="8" t="str">
        <f>IF('[1]P-GENERAL'!AC374="","",'[1]P-GENERAL'!AC374)</f>
        <v>ELIAS BUSTAMANTE SOLANO</v>
      </c>
      <c r="AD374">
        <f>IF('[1]P-GENERAL'!AD374="","",'[1]P-GENERAL'!AD374)</f>
        <v>39811</v>
      </c>
      <c r="AE374" t="str">
        <f>IF('[1]P-GENERAL'!AE374="","",'[1]P-GENERAL'!AE374)</f>
        <v>N/A</v>
      </c>
    </row>
    <row r="375" spans="1:31" ht="20.25" x14ac:dyDescent="0.3">
      <c r="A375" s="11" t="str">
        <f>IF('[1]P-GENERAL'!A375="","",'[1]P-GENERAL'!A375)</f>
        <v>Chanitos Premium EUA Tarima Americana</v>
      </c>
      <c r="B375" s="11" t="str">
        <f>IF('[1]P-GENERAL'!B375="","",'[1]P-GENERAL'!B375)</f>
        <v>CPR01104</v>
      </c>
      <c r="C375" t="str">
        <f>IF('[1]P-GENERAL'!C375="","",'[1]P-GENERAL'!C375)</f>
        <v>A05041-402909-1</v>
      </c>
      <c r="D375" t="str">
        <f>IF('[1]P-GENERAL'!D375="","",'[1]P-GENERAL'!D375)</f>
        <v>A05 041 Plataneros Unidos 2 Cotan o Micros</v>
      </c>
      <c r="E375" s="8" t="str">
        <f>IF('[1]P-GENERAL'!E375="","",'[1]P-GENERAL'!E375)</f>
        <v>McAllen</v>
      </c>
      <c r="F375" s="12">
        <f>IF('[1]P-GENERAL'!F375="","",'[1]P-GENERAL'!F375)</f>
        <v>960</v>
      </c>
      <c r="G375" s="13">
        <f>IF('[1]P-GENERAL'!G375="","",'[1]P-GENERAL'!G375)</f>
        <v>20</v>
      </c>
      <c r="H375" s="14">
        <f>IF('[1]P-GENERAL'!H375="","",'[1]P-GENERAL'!H375)</f>
        <v>46294</v>
      </c>
      <c r="I375">
        <f>IF('[1]P-GENERAL'!I375="","",'[1]P-GENERAL'!I375)</f>
        <v>40</v>
      </c>
      <c r="J375" s="15">
        <f>IF('[1]P-GENERAL'!J375="","",'[1]P-GENERAL'!J375)</f>
        <v>46298</v>
      </c>
      <c r="K375" s="14" t="str">
        <f>IF('[1]P-GENERAL'!K375="","",'[1]P-GENERAL'!K375)</f>
        <v/>
      </c>
      <c r="L375" s="14" t="str">
        <f>IF('[1]P-GENERAL'!L375="","",'[1]P-GENERAL'!L375)</f>
        <v>PREENFRIO NELLY</v>
      </c>
      <c r="M375">
        <f>IF('[1]P-GENERAL'!M375="","",'[1]P-GENERAL'!M375)</f>
        <v>3</v>
      </c>
      <c r="N375">
        <f>IF('[1]P-GENERAL'!N375="","",'[1]P-GENERAL'!N375)</f>
        <v>72</v>
      </c>
      <c r="O375" s="14">
        <f>IF('[1]P-GENERAL'!O375="","",'[1]P-GENERAL'!O375)</f>
        <v>46295</v>
      </c>
      <c r="P375" s="16">
        <f>IF('[1]P-GENERAL'!P375="","",'[1]P-GENERAL'!P375)</f>
        <v>0.875</v>
      </c>
      <c r="Q375" t="str">
        <f>IF('[1]P-GENERAL'!Q375="","",'[1]P-GENERAL'!Q375)</f>
        <v>NORMAL</v>
      </c>
      <c r="R375" s="14">
        <f>IF('[1]P-GENERAL'!R375="","",'[1]P-GENERAL'!R375)</f>
        <v>46294</v>
      </c>
      <c r="S375" s="16">
        <f>IF('[1]P-GENERAL'!S375="","",'[1]P-GENERAL'!S375)</f>
        <v>0.625</v>
      </c>
      <c r="T375" s="16">
        <f>IF('[1]P-GENERAL'!T375="","",'[1]P-GENERAL'!T375)</f>
        <v>0.35416666666666669</v>
      </c>
      <c r="U375" s="17">
        <f>IF('[1]P-GENERAL'!U375="","",'[1]P-GENERAL'!U375)</f>
        <v>46294.979166666664</v>
      </c>
      <c r="V375" s="14">
        <f>IF('[1]P-GENERAL'!V375="","",'[1]P-GENERAL'!V375)</f>
        <v>46052</v>
      </c>
      <c r="W375" s="16">
        <f>IF('[1]P-GENERAL'!W375="","",'[1]P-GENERAL'!W375)</f>
        <v>0.72916666666666663</v>
      </c>
      <c r="X375" s="14" t="str">
        <f>IF('[1]P-GENERAL'!X375="","",'[1]P-GENERAL'!X375)</f>
        <v>SI CUMPLE</v>
      </c>
      <c r="Y375" s="14" t="str">
        <f>IF('[1]P-GENERAL'!Y375="","",'[1]P-GENERAL'!Y375)</f>
        <v>SI CUMPLE</v>
      </c>
      <c r="Z375" s="14" t="str">
        <f>IF('[1]P-GENERAL'!Z375="","",'[1]P-GENERAL'!Z375)</f>
        <v/>
      </c>
      <c r="AA375" s="14" t="str">
        <f>IF('[1]P-GENERAL'!AA375="","",'[1]P-GENERAL'!AA375)</f>
        <v>DESPACHADO</v>
      </c>
      <c r="AB375" s="8" t="str">
        <f>IF('[1]P-GENERAL'!AB375="","",'[1]P-GENERAL'!AB375)</f>
        <v>TRANSPORTES TOMATITOS</v>
      </c>
      <c r="AC375" s="8" t="str">
        <f>IF('[1]P-GENERAL'!AC375="","",'[1]P-GENERAL'!AC375)</f>
        <v>Fernando Parra Marin</v>
      </c>
      <c r="AD375">
        <f>IF('[1]P-GENERAL'!AD375="","",'[1]P-GENERAL'!AD375)</f>
        <v>21529</v>
      </c>
      <c r="AE375" t="str">
        <f>IF('[1]P-GENERAL'!AE375="","",'[1]P-GENERAL'!AE375)</f>
        <v/>
      </c>
    </row>
    <row r="376" spans="1:31" ht="20.25" x14ac:dyDescent="0.3">
      <c r="A376" s="11" t="str">
        <f>IF('[1]P-GENERAL'!A376="","",'[1]P-GENERAL'!A376)</f>
        <v>Chanitos Premium EUA Tarima Americana</v>
      </c>
      <c r="B376" s="11" t="str">
        <f>IF('[1]P-GENERAL'!B376="","",'[1]P-GENERAL'!B376)</f>
        <v>CPR01104</v>
      </c>
      <c r="C376" t="str">
        <f>IF('[1]P-GENERAL'!C376="","",'[1]P-GENERAL'!C376)</f>
        <v>A04084-402909-1</v>
      </c>
      <c r="D376" t="str">
        <f>IF('[1]P-GENERAL'!D376="","",'[1]P-GENERAL'!D376)</f>
        <v>A04 084 Lisboa</v>
      </c>
      <c r="E376" s="8" t="str">
        <f>IF('[1]P-GENERAL'!E376="","",'[1]P-GENERAL'!E376)</f>
        <v>McAllen</v>
      </c>
      <c r="F376" s="12">
        <f>IF('[1]P-GENERAL'!F376="","",'[1]P-GENERAL'!F376)</f>
        <v>816</v>
      </c>
      <c r="G376" s="13">
        <f>IF('[1]P-GENERAL'!G376="","",'[1]P-GENERAL'!G376)</f>
        <v>17</v>
      </c>
      <c r="H376" s="14">
        <f>IF('[1]P-GENERAL'!H376="","",'[1]P-GENERAL'!H376)</f>
        <v>46294</v>
      </c>
      <c r="I376">
        <f>IF('[1]P-GENERAL'!I376="","",'[1]P-GENERAL'!I376)</f>
        <v>40</v>
      </c>
      <c r="J376" s="15">
        <f>IF('[1]P-GENERAL'!J376="","",'[1]P-GENERAL'!J376)</f>
        <v>46298</v>
      </c>
      <c r="K376" s="14" t="str">
        <f>IF('[1]P-GENERAL'!K376="","",'[1]P-GENERAL'!K376)</f>
        <v/>
      </c>
      <c r="L376" s="14" t="str">
        <f>IF('[1]P-GENERAL'!L376="","",'[1]P-GENERAL'!L376)</f>
        <v>PREENFRIO FORTALEZA</v>
      </c>
      <c r="M376">
        <f>IF('[1]P-GENERAL'!M376="","",'[1]P-GENERAL'!M376)</f>
        <v>3</v>
      </c>
      <c r="N376">
        <f>IF('[1]P-GENERAL'!N376="","",'[1]P-GENERAL'!N376)</f>
        <v>72</v>
      </c>
      <c r="O376" s="14">
        <f>IF('[1]P-GENERAL'!O376="","",'[1]P-GENERAL'!O376)</f>
        <v>46294</v>
      </c>
      <c r="P376" s="16">
        <f>IF('[1]P-GENERAL'!P376="","",'[1]P-GENERAL'!P376)</f>
        <v>0.90763888888888888</v>
      </c>
      <c r="Q376" t="str">
        <f>IF('[1]P-GENERAL'!Q376="","",'[1]P-GENERAL'!Q376)</f>
        <v>NORMAL</v>
      </c>
      <c r="R376" s="14">
        <f>IF('[1]P-GENERAL'!R376="","",'[1]P-GENERAL'!R376)</f>
        <v>46295</v>
      </c>
      <c r="S376" s="16">
        <f>IF('[1]P-GENERAL'!S376="","",'[1]P-GENERAL'!S376)</f>
        <v>0.52777777777777779</v>
      </c>
      <c r="T376" s="16">
        <f>IF('[1]P-GENERAL'!T376="","",'[1]P-GENERAL'!T376)</f>
        <v>0.33333333333333331</v>
      </c>
      <c r="U376" s="17">
        <f>IF('[1]P-GENERAL'!U376="","",'[1]P-GENERAL'!U376)</f>
        <v>46295.861111111117</v>
      </c>
      <c r="V376" s="14">
        <f>IF('[1]P-GENERAL'!V376="","",'[1]P-GENERAL'!V376)</f>
        <v>46295</v>
      </c>
      <c r="W376" s="16">
        <f>IF('[1]P-GENERAL'!W376="","",'[1]P-GENERAL'!W376)</f>
        <v>0.91666666666666663</v>
      </c>
      <c r="X376" s="14" t="str">
        <f>IF('[1]P-GENERAL'!X376="","",'[1]P-GENERAL'!X376)</f>
        <v>NO CUMPLE</v>
      </c>
      <c r="Y376" s="14" t="str">
        <f>IF('[1]P-GENERAL'!Y376="","",'[1]P-GENERAL'!Y376)</f>
        <v>NO CUMPLE</v>
      </c>
      <c r="Z376" s="14" t="str">
        <f>IF('[1]P-GENERAL'!Z376="","",'[1]P-GENERAL'!Z376)</f>
        <v/>
      </c>
      <c r="AA376" s="14" t="str">
        <f>IF('[1]P-GENERAL'!AA376="","",'[1]P-GENERAL'!AA376)</f>
        <v>DESPACHADO</v>
      </c>
      <c r="AB376" s="8" t="str">
        <f>IF('[1]P-GENERAL'!AB376="","",'[1]P-GENERAL'!AB376)</f>
        <v>TRANSPORTES ALGEZA</v>
      </c>
      <c r="AC376" s="8" t="str">
        <f>IF('[1]P-GENERAL'!AC376="","",'[1]P-GENERAL'!AC376)</f>
        <v>HECTOR BENJAMIN RIVERA</v>
      </c>
      <c r="AD376">
        <f>IF('[1]P-GENERAL'!AD376="","",'[1]P-GENERAL'!AD376)</f>
        <v>35064</v>
      </c>
      <c r="AE376">
        <f>IF('[1]P-GENERAL'!AE376="","",'[1]P-GENERAL'!AE376)</f>
        <v>100000914992</v>
      </c>
    </row>
    <row r="377" spans="1:31" ht="20.25" x14ac:dyDescent="0.3">
      <c r="A377" s="11" t="str">
        <f>IF('[1]P-GENERAL'!A377="","",'[1]P-GENERAL'!A377)</f>
        <v>Chanitos Premium Tarima Chep</v>
      </c>
      <c r="B377" s="11" t="str">
        <f>IF('[1]P-GENERAL'!B377="","",'[1]P-GENERAL'!B377)</f>
        <v>CPR01102</v>
      </c>
      <c r="C377" t="str">
        <f>IF('[1]P-GENERAL'!C377="","",'[1]P-GENERAL'!C377)</f>
        <v>A04084-403009-1</v>
      </c>
      <c r="D377" t="str">
        <f>IF('[1]P-GENERAL'!D377="","",'[1]P-GENERAL'!D377)</f>
        <v>A04 084 Lisboa</v>
      </c>
      <c r="E377" s="8" t="str">
        <f>IF('[1]P-GENERAL'!E377="","",'[1]P-GENERAL'!E377)</f>
        <v>VSA</v>
      </c>
      <c r="F377" s="12">
        <f>IF('[1]P-GENERAL'!F377="","",'[1]P-GENERAL'!F377)</f>
        <v>480</v>
      </c>
      <c r="G377" s="13">
        <f>IF('[1]P-GENERAL'!G377="","",'[1]P-GENERAL'!G377)</f>
        <v>10</v>
      </c>
      <c r="H377" s="14">
        <f>IF('[1]P-GENERAL'!H377="","",'[1]P-GENERAL'!H377)</f>
        <v>46295</v>
      </c>
      <c r="I377">
        <f>IF('[1]P-GENERAL'!I377="","",'[1]P-GENERAL'!I377)</f>
        <v>40</v>
      </c>
      <c r="J377" s="15">
        <f>IF('[1]P-GENERAL'!J377="","",'[1]P-GENERAL'!J377)</f>
        <v>46298</v>
      </c>
      <c r="K377" s="14" t="str">
        <f>IF('[1]P-GENERAL'!K377="","",'[1]P-GENERAL'!K377)</f>
        <v/>
      </c>
      <c r="L377" s="14" t="str">
        <f>IF('[1]P-GENERAL'!L377="","",'[1]P-GENERAL'!L377)</f>
        <v>PREENFRIO FORTALEZA</v>
      </c>
      <c r="M377">
        <f>IF('[1]P-GENERAL'!M377="","",'[1]P-GENERAL'!M377)</f>
        <v>1</v>
      </c>
      <c r="N377">
        <f>IF('[1]P-GENERAL'!N377="","",'[1]P-GENERAL'!N377)</f>
        <v>24</v>
      </c>
      <c r="O377" s="14">
        <f>IF('[1]P-GENERAL'!O377="","",'[1]P-GENERAL'!O377)</f>
        <v>46295</v>
      </c>
      <c r="P377" s="16">
        <f>IF('[1]P-GENERAL'!P377="","",'[1]P-GENERAL'!P377)</f>
        <v>0.83194444444444449</v>
      </c>
      <c r="Q377" t="str">
        <f>IF('[1]P-GENERAL'!Q377="","",'[1]P-GENERAL'!Q377)</f>
        <v>NORMAL</v>
      </c>
      <c r="R377" s="14">
        <f>IF('[1]P-GENERAL'!R377="","",'[1]P-GENERAL'!R377)</f>
        <v>46295</v>
      </c>
      <c r="S377" s="16">
        <f>IF('[1]P-GENERAL'!S377="","",'[1]P-GENERAL'!S377)</f>
        <v>0.91111111111111109</v>
      </c>
      <c r="T377" s="16">
        <f>IF('[1]P-GENERAL'!T377="","",'[1]P-GENERAL'!T377)</f>
        <v>0.625</v>
      </c>
      <c r="U377" s="17">
        <f>IF('[1]P-GENERAL'!U377="","",'[1]P-GENERAL'!U377)</f>
        <v>46296.536111111112</v>
      </c>
      <c r="V377" s="14">
        <f>IF('[1]P-GENERAL'!V377="","",'[1]P-GENERAL'!V377)</f>
        <v>46297</v>
      </c>
      <c r="W377" s="16">
        <f>IF('[1]P-GENERAL'!W377="","",'[1]P-GENERAL'!W377)</f>
        <v>0.54791666666666672</v>
      </c>
      <c r="X377" s="14" t="str">
        <f>IF('[1]P-GENERAL'!X377="","",'[1]P-GENERAL'!X377)</f>
        <v>SI CUMPLE</v>
      </c>
      <c r="Y377" s="14" t="str">
        <f>IF('[1]P-GENERAL'!Y377="","",'[1]P-GENERAL'!Y377)</f>
        <v>NO CUMPLE</v>
      </c>
      <c r="Z377" s="14" t="str">
        <f>IF('[1]P-GENERAL'!Z377="","",'[1]P-GENERAL'!Z377)</f>
        <v>POSICIONAMIENTO DE TRANSPORTE</v>
      </c>
      <c r="AA377" s="14" t="str">
        <f>IF('[1]P-GENERAL'!AA377="","",'[1]P-GENERAL'!AA377)</f>
        <v>DESPACHADO</v>
      </c>
      <c r="AB377" s="8" t="str">
        <f>IF('[1]P-GENERAL'!AB377="","",'[1]P-GENERAL'!AB377)</f>
        <v>LETICIA LOPEZ PINEDA</v>
      </c>
      <c r="AC377" s="8" t="str">
        <f>IF('[1]P-GENERAL'!AC377="","",'[1]P-GENERAL'!AC377)</f>
        <v>MARCO ANTONIO CRUZ LUNA</v>
      </c>
      <c r="AD377">
        <f>IF('[1]P-GENERAL'!AD377="","",'[1]P-GENERAL'!AD377)</f>
        <v>92417</v>
      </c>
      <c r="AE377" t="str">
        <f>IF('[1]P-GENERAL'!AE377="","",'[1]P-GENERAL'!AE377)</f>
        <v>QEP1W000P0</v>
      </c>
    </row>
    <row r="378" spans="1:31" ht="20.25" x14ac:dyDescent="0.3">
      <c r="A378" s="11" t="str">
        <f>IF('[1]P-GENERAL'!A378="","",'[1]P-GENERAL'!A378)</f>
        <v>Chanitos Premium Tarima Chep</v>
      </c>
      <c r="B378" s="11" t="str">
        <f>IF('[1]P-GENERAL'!B378="","",'[1]P-GENERAL'!B378)</f>
        <v>CPR01102</v>
      </c>
      <c r="C378" t="str">
        <f>IF('[1]P-GENERAL'!C378="","",'[1]P-GENERAL'!C378)</f>
        <v>A01002-403009-1</v>
      </c>
      <c r="D378" t="str">
        <f>IF('[1]P-GENERAL'!D378="","",'[1]P-GENERAL'!D378)</f>
        <v>A01 002 Fortaleza</v>
      </c>
      <c r="E378" s="8" t="str">
        <f>IF('[1]P-GENERAL'!E378="","",'[1]P-GENERAL'!E378)</f>
        <v>VSA</v>
      </c>
      <c r="F378" s="12">
        <f>IF('[1]P-GENERAL'!F378="","",'[1]P-GENERAL'!F378)</f>
        <v>432</v>
      </c>
      <c r="G378" s="13">
        <f>IF('[1]P-GENERAL'!G378="","",'[1]P-GENERAL'!G378)</f>
        <v>9</v>
      </c>
      <c r="H378" s="14">
        <f>IF('[1]P-GENERAL'!H378="","",'[1]P-GENERAL'!H378)</f>
        <v>46295</v>
      </c>
      <c r="I378">
        <f>IF('[1]P-GENERAL'!I378="","",'[1]P-GENERAL'!I378)</f>
        <v>40</v>
      </c>
      <c r="J378" s="15">
        <f>IF('[1]P-GENERAL'!J378="","",'[1]P-GENERAL'!J378)</f>
        <v>46298</v>
      </c>
      <c r="K378" s="14" t="str">
        <f>IF('[1]P-GENERAL'!K378="","",'[1]P-GENERAL'!K378)</f>
        <v>PREENFRIO FORTALEZA</v>
      </c>
      <c r="L378" s="14" t="str">
        <f>IF('[1]P-GENERAL'!L378="","",'[1]P-GENERAL'!L378)</f>
        <v>PREENFRIO FORTALEZA</v>
      </c>
      <c r="M378">
        <f>IF('[1]P-GENERAL'!M378="","",'[1]P-GENERAL'!M378)</f>
        <v>1</v>
      </c>
      <c r="N378">
        <f>IF('[1]P-GENERAL'!N378="","",'[1]P-GENERAL'!N378)</f>
        <v>24</v>
      </c>
      <c r="O378" s="14">
        <f>IF('[1]P-GENERAL'!O378="","",'[1]P-GENERAL'!O378)</f>
        <v>46295</v>
      </c>
      <c r="P378" s="16">
        <f>IF('[1]P-GENERAL'!P378="","",'[1]P-GENERAL'!P378)</f>
        <v>0.70833333333333337</v>
      </c>
      <c r="Q378" t="str">
        <f>IF('[1]P-GENERAL'!Q378="","",'[1]P-GENERAL'!Q378)</f>
        <v>NORMAL</v>
      </c>
      <c r="R378" s="14">
        <f>IF('[1]P-GENERAL'!R378="","",'[1]P-GENERAL'!R378)</f>
        <v>46296</v>
      </c>
      <c r="S378" s="16">
        <f>IF('[1]P-GENERAL'!S378="","",'[1]P-GENERAL'!S378)</f>
        <v>0.15138888888888888</v>
      </c>
      <c r="T378" s="16">
        <f>IF('[1]P-GENERAL'!T378="","",'[1]P-GENERAL'!T378)</f>
        <v>0.20833333333333334</v>
      </c>
      <c r="U378" s="17">
        <f>IF('[1]P-GENERAL'!U378="","",'[1]P-GENERAL'!U378)</f>
        <v>46296.359722222223</v>
      </c>
      <c r="V378" s="14">
        <f>IF('[1]P-GENERAL'!V378="","",'[1]P-GENERAL'!V378)</f>
        <v>46297</v>
      </c>
      <c r="W378" s="16">
        <f>IF('[1]P-GENERAL'!W378="","",'[1]P-GENERAL'!W378)</f>
        <v>0.54791666666666672</v>
      </c>
      <c r="X378" s="14" t="str">
        <f>IF('[1]P-GENERAL'!X378="","",'[1]P-GENERAL'!X378)</f>
        <v>SI CUMPLE</v>
      </c>
      <c r="Y378" s="14" t="str">
        <f>IF('[1]P-GENERAL'!Y378="","",'[1]P-GENERAL'!Y378)</f>
        <v>NO CUMPLE</v>
      </c>
      <c r="Z378" s="14" t="str">
        <f>IF('[1]P-GENERAL'!Z378="","",'[1]P-GENERAL'!Z378)</f>
        <v>POSICIONAMIENTO DE TRANSPORTE</v>
      </c>
      <c r="AA378" s="14" t="str">
        <f>IF('[1]P-GENERAL'!AA378="","",'[1]P-GENERAL'!AA378)</f>
        <v>DESPACHADO</v>
      </c>
      <c r="AB378" s="8" t="str">
        <f>IF('[1]P-GENERAL'!AB378="","",'[1]P-GENERAL'!AB378)</f>
        <v>LETICIA LOPEZ PINEDA</v>
      </c>
      <c r="AC378" s="8" t="str">
        <f>IF('[1]P-GENERAL'!AC378="","",'[1]P-GENERAL'!AC378)</f>
        <v>MARCO ANTONIO CRUZ LUNA</v>
      </c>
      <c r="AD378">
        <f>IF('[1]P-GENERAL'!AD378="","",'[1]P-GENERAL'!AD378)</f>
        <v>92417</v>
      </c>
      <c r="AE378" t="str">
        <f>IF('[1]P-GENERAL'!AE378="","",'[1]P-GENERAL'!AE378)</f>
        <v>QEP1W000P0</v>
      </c>
    </row>
    <row r="379" spans="1:31" ht="20.25" x14ac:dyDescent="0.3">
      <c r="A379" s="11" t="str">
        <f>IF('[1]P-GENERAL'!A379="","",'[1]P-GENERAL'!A379)</f>
        <v>Chanitos Organic Banded Market Side Mexico</v>
      </c>
      <c r="B379" s="11" t="str">
        <f>IF('[1]P-GENERAL'!B379="","",'[1]P-GENERAL'!B379)</f>
        <v>CRG07128</v>
      </c>
      <c r="C379" t="str">
        <f>IF('[1]P-GENERAL'!C379="","",'[1]P-GENERAL'!C379)</f>
        <v>A01002-403009-1</v>
      </c>
      <c r="D379" t="str">
        <f>IF('[1]P-GENERAL'!D379="","",'[1]P-GENERAL'!D379)</f>
        <v>A01 002 Fortaleza</v>
      </c>
      <c r="E379" s="8" t="str">
        <f>IF('[1]P-GENERAL'!E379="","",'[1]P-GENERAL'!E379)</f>
        <v>VSA</v>
      </c>
      <c r="F379" s="12">
        <f>IF('[1]P-GENERAL'!F379="","",'[1]P-GENERAL'!F379)</f>
        <v>240</v>
      </c>
      <c r="G379" s="13">
        <f>IF('[1]P-GENERAL'!G379="","",'[1]P-GENERAL'!G379)</f>
        <v>5</v>
      </c>
      <c r="H379" s="14">
        <f>IF('[1]P-GENERAL'!H379="","",'[1]P-GENERAL'!H379)</f>
        <v>46295</v>
      </c>
      <c r="I379">
        <f>IF('[1]P-GENERAL'!I379="","",'[1]P-GENERAL'!I379)</f>
        <v>40</v>
      </c>
      <c r="J379" s="15">
        <f>IF('[1]P-GENERAL'!J379="","",'[1]P-GENERAL'!J379)</f>
        <v>46298</v>
      </c>
      <c r="K379" s="14" t="str">
        <f>IF('[1]P-GENERAL'!K379="","",'[1]P-GENERAL'!K379)</f>
        <v/>
      </c>
      <c r="L379" s="14" t="str">
        <f>IF('[1]P-GENERAL'!L379="","",'[1]P-GENERAL'!L379)</f>
        <v>PREENFRIO FORTALEZA</v>
      </c>
      <c r="M379">
        <f>IF('[1]P-GENERAL'!M379="","",'[1]P-GENERAL'!M379)</f>
        <v>1</v>
      </c>
      <c r="N379">
        <f>IF('[1]P-GENERAL'!N379="","",'[1]P-GENERAL'!N379)</f>
        <v>24</v>
      </c>
      <c r="O379" s="14">
        <f>IF('[1]P-GENERAL'!O379="","",'[1]P-GENERAL'!O379)</f>
        <v>46295</v>
      </c>
      <c r="P379" s="16">
        <f>IF('[1]P-GENERAL'!P379="","",'[1]P-GENERAL'!P379)</f>
        <v>0.70833333333333337</v>
      </c>
      <c r="Q379" t="str">
        <f>IF('[1]P-GENERAL'!Q379="","",'[1]P-GENERAL'!Q379)</f>
        <v>NORMAL</v>
      </c>
      <c r="R379" s="14">
        <f>IF('[1]P-GENERAL'!R379="","",'[1]P-GENERAL'!R379)</f>
        <v>46295</v>
      </c>
      <c r="S379" s="16">
        <f>IF('[1]P-GENERAL'!S379="","",'[1]P-GENERAL'!S379)</f>
        <v>0.91111111111111109</v>
      </c>
      <c r="T379" s="16">
        <f>IF('[1]P-GENERAL'!T379="","",'[1]P-GENERAL'!T379)</f>
        <v>0.625</v>
      </c>
      <c r="U379" s="17">
        <f>IF('[1]P-GENERAL'!U379="","",'[1]P-GENERAL'!U379)</f>
        <v>46296.536111111112</v>
      </c>
      <c r="V379" s="14">
        <f>IF('[1]P-GENERAL'!V379="","",'[1]P-GENERAL'!V379)</f>
        <v>46297</v>
      </c>
      <c r="W379" s="16">
        <f>IF('[1]P-GENERAL'!W379="","",'[1]P-GENERAL'!W379)</f>
        <v>0.54791666666666672</v>
      </c>
      <c r="X379" s="14" t="str">
        <f>IF('[1]P-GENERAL'!X379="","",'[1]P-GENERAL'!X379)</f>
        <v>SI CUMPLE</v>
      </c>
      <c r="Y379" s="14" t="str">
        <f>IF('[1]P-GENERAL'!Y379="","",'[1]P-GENERAL'!Y379)</f>
        <v>NO CUMPLE</v>
      </c>
      <c r="Z379" s="14" t="str">
        <f>IF('[1]P-GENERAL'!Z379="","",'[1]P-GENERAL'!Z379)</f>
        <v>POSICIONAMIENTO DE TRANSPORTE</v>
      </c>
      <c r="AA379" s="14" t="str">
        <f>IF('[1]P-GENERAL'!AA379="","",'[1]P-GENERAL'!AA379)</f>
        <v>DESPACHADO</v>
      </c>
      <c r="AB379" s="8" t="str">
        <f>IF('[1]P-GENERAL'!AB379="","",'[1]P-GENERAL'!AB379)</f>
        <v>LETICIA LOPEZ PINEDA</v>
      </c>
      <c r="AC379" s="8" t="str">
        <f>IF('[1]P-GENERAL'!AC379="","",'[1]P-GENERAL'!AC379)</f>
        <v>MARCO ANTONIO CRUZ LUNA</v>
      </c>
      <c r="AD379">
        <f>IF('[1]P-GENERAL'!AD379="","",'[1]P-GENERAL'!AD379)</f>
        <v>92417</v>
      </c>
      <c r="AE379" t="str">
        <f>IF('[1]P-GENERAL'!AE379="","",'[1]P-GENERAL'!AE379)</f>
        <v>QEP1W000P0</v>
      </c>
    </row>
    <row r="380" spans="1:31" ht="20.25" x14ac:dyDescent="0.3">
      <c r="A380" s="11" t="str">
        <f>IF('[1]P-GENERAL'!A380="","",'[1]P-GENERAL'!A380)</f>
        <v>Chanitos Plantain 20Kg Tarima Chep</v>
      </c>
      <c r="B380" s="11" t="str">
        <f>IF('[1]P-GENERAL'!B380="","",'[1]P-GENERAL'!B380)</f>
        <v>CPL08141</v>
      </c>
      <c r="C380" t="str">
        <f>IF('[1]P-GENERAL'!C380="","",'[1]P-GENERAL'!C380)</f>
        <v>A41100-400110-1</v>
      </c>
      <c r="D380" t="str">
        <f>IF('[1]P-GENERAL'!D380="","",'[1]P-GENERAL'!D380)</f>
        <v>A41 100 Doña Lupe JV</v>
      </c>
      <c r="E380" s="8" t="str">
        <f>IF('[1]P-GENERAL'!E380="","",'[1]P-GENERAL'!E380)</f>
        <v>CEDA</v>
      </c>
      <c r="F380" s="12">
        <f>IF('[1]P-GENERAL'!F380="","",'[1]P-GENERAL'!F380)</f>
        <v>624</v>
      </c>
      <c r="G380" s="13">
        <f>IF('[1]P-GENERAL'!G380="","",'[1]P-GENERAL'!G380)</f>
        <v>13</v>
      </c>
      <c r="H380" s="14">
        <f>IF('[1]P-GENERAL'!H380="","",'[1]P-GENERAL'!H380)</f>
        <v>46296</v>
      </c>
      <c r="I380">
        <f>IF('[1]P-GENERAL'!I380="","",'[1]P-GENERAL'!I380)</f>
        <v>40</v>
      </c>
      <c r="J380" s="15">
        <f>IF('[1]P-GENERAL'!J380="","",'[1]P-GENERAL'!J380)</f>
        <v>46298</v>
      </c>
      <c r="K380" s="14" t="str">
        <f>IF('[1]P-GENERAL'!K380="","",'[1]P-GENERAL'!K380)</f>
        <v/>
      </c>
      <c r="L380" s="14" t="str">
        <f>IF('[1]P-GENERAL'!L380="","",'[1]P-GENERAL'!L380)</f>
        <v>PREENFRIO FORTALEZA</v>
      </c>
      <c r="M380">
        <f>IF('[1]P-GENERAL'!M380="","",'[1]P-GENERAL'!M380)</f>
        <v>1.5</v>
      </c>
      <c r="N380">
        <f>IF('[1]P-GENERAL'!N380="","",'[1]P-GENERAL'!N380)</f>
        <v>36</v>
      </c>
      <c r="O380" s="14">
        <f>IF('[1]P-GENERAL'!O380="","",'[1]P-GENERAL'!O380)</f>
        <v>46297</v>
      </c>
      <c r="P380" s="16">
        <f>IF('[1]P-GENERAL'!P380="","",'[1]P-GENERAL'!P380)</f>
        <v>0.17291666666666666</v>
      </c>
      <c r="Q380" t="str">
        <f>IF('[1]P-GENERAL'!Q380="","",'[1]P-GENERAL'!Q380)</f>
        <v>NORMAL</v>
      </c>
      <c r="R380" s="14">
        <f>IF('[1]P-GENERAL'!R380="","",'[1]P-GENERAL'!R380)</f>
        <v>46297</v>
      </c>
      <c r="S380" s="16">
        <f>IF('[1]P-GENERAL'!S380="","",'[1]P-GENERAL'!S380)</f>
        <v>0.1736111111111111</v>
      </c>
      <c r="T380" s="16">
        <f>IF('[1]P-GENERAL'!T380="","",'[1]P-GENERAL'!T380)</f>
        <v>0.41666666666666669</v>
      </c>
      <c r="U380" s="17">
        <f>IF('[1]P-GENERAL'!U380="","",'[1]P-GENERAL'!U380)</f>
        <v>46297.590277777774</v>
      </c>
      <c r="V380" s="14">
        <f>IF('[1]P-GENERAL'!V380="","",'[1]P-GENERAL'!V380)</f>
        <v>46297</v>
      </c>
      <c r="W380" s="16">
        <f>IF('[1]P-GENERAL'!W380="","",'[1]P-GENERAL'!W380)</f>
        <v>0.64583333333333337</v>
      </c>
      <c r="X380" s="14" t="str">
        <f>IF('[1]P-GENERAL'!X380="","",'[1]P-GENERAL'!X380)</f>
        <v>NO CUMPLE</v>
      </c>
      <c r="Y380" s="14" t="str">
        <f>IF('[1]P-GENERAL'!Y380="","",'[1]P-GENERAL'!Y380)</f>
        <v>NO CUMPLE</v>
      </c>
      <c r="Z380" s="14" t="str">
        <f>IF('[1]P-GENERAL'!Z380="","",'[1]P-GENERAL'!Z380)</f>
        <v/>
      </c>
      <c r="AA380" s="14" t="str">
        <f>IF('[1]P-GENERAL'!AA380="","",'[1]P-GENERAL'!AA380)</f>
        <v>DESPACHADO</v>
      </c>
      <c r="AB380" s="8" t="str">
        <f>IF('[1]P-GENERAL'!AB380="","",'[1]P-GENERAL'!AB380)</f>
        <v>GUILLERMO PEREZ PEREZ</v>
      </c>
      <c r="AC380" s="8" t="str">
        <f>IF('[1]P-GENERAL'!AC380="","",'[1]P-GENERAL'!AC380)</f>
        <v>ERICK RUBEN SANCHEZ PRECIOSA</v>
      </c>
      <c r="AD380">
        <f>IF('[1]P-GENERAL'!AD380="","",'[1]P-GENERAL'!AD380)</f>
        <v>35773</v>
      </c>
      <c r="AE380" t="str">
        <f>IF('[1]P-GENERAL'!AE380="","",'[1]P-GENERAL'!AE380)</f>
        <v>QEP1W00XV0</v>
      </c>
    </row>
    <row r="381" spans="1:31" ht="20.25" x14ac:dyDescent="0.3">
      <c r="A381" s="11" t="str">
        <f>IF('[1]P-GENERAL'!A381="","",'[1]P-GENERAL'!A381)</f>
        <v>Chanitos Premium Tarima Chep</v>
      </c>
      <c r="B381" s="11" t="str">
        <f>IF('[1]P-GENERAL'!B381="","",'[1]P-GENERAL'!B381)</f>
        <v>CPR01102</v>
      </c>
      <c r="C381" t="str">
        <f>IF('[1]P-GENERAL'!C381="","",'[1]P-GENERAL'!C381)</f>
        <v>A04038-403009-1</v>
      </c>
      <c r="D381" t="str">
        <f>IF('[1]P-GENERAL'!D381="","",'[1]P-GENERAL'!D381)</f>
        <v>A04 038 El Triunfo Nava</v>
      </c>
      <c r="E381" s="8" t="str">
        <f>IF('[1]P-GENERAL'!E381="","",'[1]P-GENERAL'!E381)</f>
        <v>VSA</v>
      </c>
      <c r="F381" s="12">
        <f>IF('[1]P-GENERAL'!F381="","",'[1]P-GENERAL'!F381)</f>
        <v>624</v>
      </c>
      <c r="G381" s="13">
        <f>IF('[1]P-GENERAL'!G381="","",'[1]P-GENERAL'!G381)</f>
        <v>13</v>
      </c>
      <c r="H381" s="14">
        <f>IF('[1]P-GENERAL'!H381="","",'[1]P-GENERAL'!H381)</f>
        <v>46295</v>
      </c>
      <c r="I381">
        <f>IF('[1]P-GENERAL'!I381="","",'[1]P-GENERAL'!I381)</f>
        <v>40</v>
      </c>
      <c r="J381" s="15">
        <f>IF('[1]P-GENERAL'!J381="","",'[1]P-GENERAL'!J381)</f>
        <v>46299</v>
      </c>
      <c r="K381" s="14" t="str">
        <f>IF('[1]P-GENERAL'!K381="","",'[1]P-GENERAL'!K381)</f>
        <v/>
      </c>
      <c r="L381" s="14" t="str">
        <f>IF('[1]P-GENERAL'!L381="","",'[1]P-GENERAL'!L381)</f>
        <v>PREENFRIO FORTALEZA</v>
      </c>
      <c r="M381">
        <f>IF('[1]P-GENERAL'!M381="","",'[1]P-GENERAL'!M381)</f>
        <v>1</v>
      </c>
      <c r="N381">
        <f>IF('[1]P-GENERAL'!N381="","",'[1]P-GENERAL'!N381)</f>
        <v>24</v>
      </c>
      <c r="O381" s="14">
        <f>IF('[1]P-GENERAL'!O381="","",'[1]P-GENERAL'!O381)</f>
        <v>46296</v>
      </c>
      <c r="P381" s="16">
        <f>IF('[1]P-GENERAL'!P381="","",'[1]P-GENERAL'!P381)</f>
        <v>0.80208333333333337</v>
      </c>
      <c r="Q381" t="str">
        <f>IF('[1]P-GENERAL'!Q381="","",'[1]P-GENERAL'!Q381)</f>
        <v>NORMAL</v>
      </c>
      <c r="R381" s="14">
        <f>IF('[1]P-GENERAL'!R381="","",'[1]P-GENERAL'!R381)</f>
        <v>46296</v>
      </c>
      <c r="S381" s="16">
        <f>IF('[1]P-GENERAL'!S381="","",'[1]P-GENERAL'!S381)</f>
        <v>0.94166666666666665</v>
      </c>
      <c r="T381" s="16">
        <f>IF('[1]P-GENERAL'!T381="","",'[1]P-GENERAL'!T381)</f>
        <v>0.83333333333333337</v>
      </c>
      <c r="U381" s="17">
        <f>IF('[1]P-GENERAL'!U381="","",'[1]P-GENERAL'!U381)</f>
        <v>46297.775000000001</v>
      </c>
      <c r="V381" s="14">
        <f>IF('[1]P-GENERAL'!V381="","",'[1]P-GENERAL'!V381)</f>
        <v>46297</v>
      </c>
      <c r="W381" s="16">
        <f>IF('[1]P-GENERAL'!W381="","",'[1]P-GENERAL'!W381)</f>
        <v>0.99652777777777779</v>
      </c>
      <c r="X381" s="14" t="str">
        <f>IF('[1]P-GENERAL'!X381="","",'[1]P-GENERAL'!X381)</f>
        <v>SI CUMPLE</v>
      </c>
      <c r="Y381" s="14" t="str">
        <f>IF('[1]P-GENERAL'!Y381="","",'[1]P-GENERAL'!Y381)</f>
        <v>SI CUMPLE</v>
      </c>
      <c r="Z381" s="14" t="str">
        <f>IF('[1]P-GENERAL'!Z381="","",'[1]P-GENERAL'!Z381)</f>
        <v/>
      </c>
      <c r="AA381" s="14" t="str">
        <f>IF('[1]P-GENERAL'!AA381="","",'[1]P-GENERAL'!AA381)</f>
        <v>DESPACHADO</v>
      </c>
      <c r="AB381" s="8" t="str">
        <f>IF('[1]P-GENERAL'!AB381="","",'[1]P-GENERAL'!AB381)</f>
        <v>BACKHAUL</v>
      </c>
      <c r="AC381" s="8" t="str">
        <f>IF('[1]P-GENERAL'!AC381="","",'[1]P-GENERAL'!AC381)</f>
        <v>CARLOS ENRIQUE MAY</v>
      </c>
      <c r="AD381">
        <f>IF('[1]P-GENERAL'!AD381="","",'[1]P-GENERAL'!AD381)</f>
        <v>65195</v>
      </c>
      <c r="AE381" t="str">
        <f>IF('[1]P-GENERAL'!AE381="","",'[1]P-GENERAL'!AE381)</f>
        <v>QEP1W01990</v>
      </c>
    </row>
    <row r="382" spans="1:31" ht="20.25" x14ac:dyDescent="0.3">
      <c r="A382" s="11" t="str">
        <f>IF('[1]P-GENERAL'!A382="","",'[1]P-GENERAL'!A382)</f>
        <v>Chanitos Premium Tarima Chep</v>
      </c>
      <c r="B382" s="11" t="str">
        <f>IF('[1]P-GENERAL'!B382="","",'[1]P-GENERAL'!B382)</f>
        <v>CPR01102</v>
      </c>
      <c r="C382" t="str">
        <f>IF('[1]P-GENERAL'!C382="","",'[1]P-GENERAL'!C382)</f>
        <v>A04038-400110-1</v>
      </c>
      <c r="D382" t="str">
        <f>IF('[1]P-GENERAL'!D382="","",'[1]P-GENERAL'!D382)</f>
        <v>A04 038 El Triunfo Nava</v>
      </c>
      <c r="E382" s="8" t="str">
        <f>IF('[1]P-GENERAL'!E382="","",'[1]P-GENERAL'!E382)</f>
        <v>VSA</v>
      </c>
      <c r="F382" s="12">
        <f>IF('[1]P-GENERAL'!F382="","",'[1]P-GENERAL'!F382)</f>
        <v>528</v>
      </c>
      <c r="G382" s="13">
        <f>IF('[1]P-GENERAL'!G382="","",'[1]P-GENERAL'!G382)</f>
        <v>11</v>
      </c>
      <c r="H382" s="14">
        <f>IF('[1]P-GENERAL'!H382="","",'[1]P-GENERAL'!H382)</f>
        <v>46296</v>
      </c>
      <c r="I382">
        <f>IF('[1]P-GENERAL'!I382="","",'[1]P-GENERAL'!I382)</f>
        <v>40</v>
      </c>
      <c r="J382" s="15">
        <f>IF('[1]P-GENERAL'!J382="","",'[1]P-GENERAL'!J382)</f>
        <v>46299</v>
      </c>
      <c r="K382" s="14" t="str">
        <f>IF('[1]P-GENERAL'!K382="","",'[1]P-GENERAL'!K382)</f>
        <v/>
      </c>
      <c r="L382" s="14" t="str">
        <f>IF('[1]P-GENERAL'!L382="","",'[1]P-GENERAL'!L382)</f>
        <v>PREENFRIO FORTALEZA</v>
      </c>
      <c r="M382">
        <f>IF('[1]P-GENERAL'!M382="","",'[1]P-GENERAL'!M382)</f>
        <v>1</v>
      </c>
      <c r="N382">
        <f>IF('[1]P-GENERAL'!N382="","",'[1]P-GENERAL'!N382)</f>
        <v>24</v>
      </c>
      <c r="O382" s="14">
        <f>IF('[1]P-GENERAL'!O382="","",'[1]P-GENERAL'!O382)</f>
        <v>46296</v>
      </c>
      <c r="P382" s="16">
        <f>IF('[1]P-GENERAL'!P382="","",'[1]P-GENERAL'!P382)</f>
        <v>0.80208333333333337</v>
      </c>
      <c r="Q382" t="str">
        <f>IF('[1]P-GENERAL'!Q382="","",'[1]P-GENERAL'!Q382)</f>
        <v>NORMAL</v>
      </c>
      <c r="R382" s="14">
        <f>IF('[1]P-GENERAL'!R382="","",'[1]P-GENERAL'!R382)</f>
        <v>46296</v>
      </c>
      <c r="S382" s="16">
        <f>IF('[1]P-GENERAL'!S382="","",'[1]P-GENERAL'!S382)</f>
        <v>0.94166666666666665</v>
      </c>
      <c r="T382" s="16">
        <f>IF('[1]P-GENERAL'!T382="","",'[1]P-GENERAL'!T382)</f>
        <v>0.83333333333333337</v>
      </c>
      <c r="U382" s="17">
        <f>IF('[1]P-GENERAL'!U382="","",'[1]P-GENERAL'!U382)</f>
        <v>46297.775000000001</v>
      </c>
      <c r="V382" s="14">
        <f>IF('[1]P-GENERAL'!V382="","",'[1]P-GENERAL'!V382)</f>
        <v>46297</v>
      </c>
      <c r="W382" s="16">
        <f>IF('[1]P-GENERAL'!W382="","",'[1]P-GENERAL'!W382)</f>
        <v>0.99652777777777779</v>
      </c>
      <c r="X382" s="14" t="str">
        <f>IF('[1]P-GENERAL'!X382="","",'[1]P-GENERAL'!X382)</f>
        <v>SI CUMPLE</v>
      </c>
      <c r="Y382" s="14" t="str">
        <f>IF('[1]P-GENERAL'!Y382="","",'[1]P-GENERAL'!Y382)</f>
        <v>SI CUMPLE</v>
      </c>
      <c r="Z382" s="14" t="str">
        <f>IF('[1]P-GENERAL'!Z382="","",'[1]P-GENERAL'!Z382)</f>
        <v/>
      </c>
      <c r="AA382" s="14" t="str">
        <f>IF('[1]P-GENERAL'!AA382="","",'[1]P-GENERAL'!AA382)</f>
        <v>DESPACHADO</v>
      </c>
      <c r="AB382" s="8" t="str">
        <f>IF('[1]P-GENERAL'!AB382="","",'[1]P-GENERAL'!AB382)</f>
        <v>BACKHAUL</v>
      </c>
      <c r="AC382" s="8" t="str">
        <f>IF('[1]P-GENERAL'!AC382="","",'[1]P-GENERAL'!AC382)</f>
        <v>CARLOS ENRIQUE MAY</v>
      </c>
      <c r="AD382">
        <f>IF('[1]P-GENERAL'!AD382="","",'[1]P-GENERAL'!AD382)</f>
        <v>65195</v>
      </c>
      <c r="AE382" t="str">
        <f>IF('[1]P-GENERAL'!AE382="","",'[1]P-GENERAL'!AE382)</f>
        <v>QEP1W01990</v>
      </c>
    </row>
    <row r="383" spans="1:31" ht="20.25" x14ac:dyDescent="0.3">
      <c r="A383" s="11" t="str">
        <f>IF('[1]P-GENERAL'!A383="","",'[1]P-GENERAL'!A383)</f>
        <v>Chanitos Premium EUA Tarima Americana</v>
      </c>
      <c r="B383" s="11" t="str">
        <f>IF('[1]P-GENERAL'!B383="","",'[1]P-GENERAL'!B383)</f>
        <v>CPR01104</v>
      </c>
      <c r="C383" t="str">
        <f>IF('[1]P-GENERAL'!C383="","",'[1]P-GENERAL'!C383)</f>
        <v>A04084-403009-1</v>
      </c>
      <c r="D383" t="str">
        <f>IF('[1]P-GENERAL'!D383="","",'[1]P-GENERAL'!D383)</f>
        <v>A04 084 Lisboa</v>
      </c>
      <c r="E383" s="8" t="str">
        <f>IF('[1]P-GENERAL'!E383="","",'[1]P-GENERAL'!E383)</f>
        <v>McAllen</v>
      </c>
      <c r="F383" s="12">
        <f>IF('[1]P-GENERAL'!F383="","",'[1]P-GENERAL'!F383)</f>
        <v>48</v>
      </c>
      <c r="G383" s="13">
        <f>IF('[1]P-GENERAL'!G383="","",'[1]P-GENERAL'!G383)</f>
        <v>1</v>
      </c>
      <c r="H383" s="14">
        <f>IF('[1]P-GENERAL'!H383="","",'[1]P-GENERAL'!H383)</f>
        <v>46295</v>
      </c>
      <c r="I383">
        <f>IF('[1]P-GENERAL'!I383="","",'[1]P-GENERAL'!I383)</f>
        <v>40</v>
      </c>
      <c r="J383" s="15">
        <f>IF('[1]P-GENERAL'!J383="","",'[1]P-GENERAL'!J383)</f>
        <v>46300</v>
      </c>
      <c r="K383" s="14" t="str">
        <f>IF('[1]P-GENERAL'!K383="","",'[1]P-GENERAL'!K383)</f>
        <v/>
      </c>
      <c r="L383" s="14" t="str">
        <f>IF('[1]P-GENERAL'!L383="","",'[1]P-GENERAL'!L383)</f>
        <v>PREENFRIO FORTALEZA</v>
      </c>
      <c r="M383">
        <f>IF('[1]P-GENERAL'!M383="","",'[1]P-GENERAL'!M383)</f>
        <v>3</v>
      </c>
      <c r="N383">
        <f>IF('[1]P-GENERAL'!N383="","",'[1]P-GENERAL'!N383)</f>
        <v>72</v>
      </c>
      <c r="O383" s="14">
        <f>IF('[1]P-GENERAL'!O383="","",'[1]P-GENERAL'!O383)</f>
        <v>46295</v>
      </c>
      <c r="P383" s="16">
        <f>IF('[1]P-GENERAL'!P383="","",'[1]P-GENERAL'!P383)</f>
        <v>0.83194444444444449</v>
      </c>
      <c r="Q383" t="str">
        <f>IF('[1]P-GENERAL'!Q383="","",'[1]P-GENERAL'!Q383)</f>
        <v/>
      </c>
      <c r="R383" s="14" t="str">
        <f>IF('[1]P-GENERAL'!R383="","",'[1]P-GENERAL'!R383)</f>
        <v/>
      </c>
      <c r="S383" s="16" t="str">
        <f>IF('[1]P-GENERAL'!S383="","",'[1]P-GENERAL'!S383)</f>
        <v/>
      </c>
      <c r="T383" s="16" t="str">
        <f>IF('[1]P-GENERAL'!T383="","",'[1]P-GENERAL'!T383)</f>
        <v/>
      </c>
      <c r="U383" s="17" t="str">
        <f>IF('[1]P-GENERAL'!U383="","",'[1]P-GENERAL'!U383)</f>
        <v/>
      </c>
      <c r="V383" s="14">
        <f>IF('[1]P-GENERAL'!V383="","",'[1]P-GENERAL'!V383)</f>
        <v>46295</v>
      </c>
      <c r="W383" s="16">
        <f>IF('[1]P-GENERAL'!W383="","",'[1]P-GENERAL'!W383)</f>
        <v>0.91666666666666663</v>
      </c>
      <c r="X383" s="14" t="str">
        <f>IF('[1]P-GENERAL'!X383="","",'[1]P-GENERAL'!X383)</f>
        <v/>
      </c>
      <c r="Y383" s="14" t="str">
        <f>IF('[1]P-GENERAL'!Y383="","",'[1]P-GENERAL'!Y383)</f>
        <v>SI CUMPLE</v>
      </c>
      <c r="Z383" s="14" t="str">
        <f>IF('[1]P-GENERAL'!Z383="","",'[1]P-GENERAL'!Z383)</f>
        <v/>
      </c>
      <c r="AA383" s="14" t="str">
        <f>IF('[1]P-GENERAL'!AA383="","",'[1]P-GENERAL'!AA383)</f>
        <v>DESPACHADO</v>
      </c>
      <c r="AB383" s="8" t="str">
        <f>IF('[1]P-GENERAL'!AB383="","",'[1]P-GENERAL'!AB383)</f>
        <v>TRANSPORTES ALGEZA</v>
      </c>
      <c r="AC383" s="8" t="str">
        <f>IF('[1]P-GENERAL'!AC383="","",'[1]P-GENERAL'!AC383)</f>
        <v>HECTOR BENJAMIN RIVERA</v>
      </c>
      <c r="AD383">
        <f>IF('[1]P-GENERAL'!AD383="","",'[1]P-GENERAL'!AD383)</f>
        <v>35064</v>
      </c>
      <c r="AE383">
        <f>IF('[1]P-GENERAL'!AE383="","",'[1]P-GENERAL'!AE383)</f>
        <v>100000914992</v>
      </c>
    </row>
    <row r="384" spans="1:31" ht="20.25" x14ac:dyDescent="0.3">
      <c r="A384" s="11" t="str">
        <f>IF('[1]P-GENERAL'!A384="","",'[1]P-GENERAL'!A384)</f>
        <v>Chanitos Premium EUA Tarima Americana</v>
      </c>
      <c r="B384" s="11" t="str">
        <f>IF('[1]P-GENERAL'!B384="","",'[1]P-GENERAL'!B384)</f>
        <v>CPR01104</v>
      </c>
      <c r="C384" t="str">
        <f>IF('[1]P-GENERAL'!C384="","",'[1]P-GENERAL'!C384)</f>
        <v>A04084-403009-1</v>
      </c>
      <c r="D384" t="str">
        <f>IF('[1]P-GENERAL'!D384="","",'[1]P-GENERAL'!D384)</f>
        <v>A04 084 Lisboa</v>
      </c>
      <c r="E384" s="8" t="str">
        <f>IF('[1]P-GENERAL'!E384="","",'[1]P-GENERAL'!E384)</f>
        <v>McAllen</v>
      </c>
      <c r="F384" s="12">
        <f>IF('[1]P-GENERAL'!F384="","",'[1]P-GENERAL'!F384)</f>
        <v>96</v>
      </c>
      <c r="G384" s="13">
        <f>IF('[1]P-GENERAL'!G384="","",'[1]P-GENERAL'!G384)</f>
        <v>2</v>
      </c>
      <c r="H384" s="14">
        <f>IF('[1]P-GENERAL'!H384="","",'[1]P-GENERAL'!H384)</f>
        <v>46295</v>
      </c>
      <c r="I384">
        <f>IF('[1]P-GENERAL'!I384="","",'[1]P-GENERAL'!I384)</f>
        <v>40</v>
      </c>
      <c r="J384" s="15">
        <f>IF('[1]P-GENERAL'!J384="","",'[1]P-GENERAL'!J384)</f>
        <v>46300</v>
      </c>
      <c r="K384" s="14" t="str">
        <f>IF('[1]P-GENERAL'!K384="","",'[1]P-GENERAL'!K384)</f>
        <v/>
      </c>
      <c r="L384" s="14" t="str">
        <f>IF('[1]P-GENERAL'!L384="","",'[1]P-GENERAL'!L384)</f>
        <v>PREENFRIO FORTALEZA</v>
      </c>
      <c r="M384">
        <f>IF('[1]P-GENERAL'!M384="","",'[1]P-GENERAL'!M384)</f>
        <v>3</v>
      </c>
      <c r="N384">
        <f>IF('[1]P-GENERAL'!N384="","",'[1]P-GENERAL'!N384)</f>
        <v>72</v>
      </c>
      <c r="O384" s="14">
        <f>IF('[1]P-GENERAL'!O384="","",'[1]P-GENERAL'!O384)</f>
        <v>46295</v>
      </c>
      <c r="P384" s="16">
        <f>IF('[1]P-GENERAL'!P384="","",'[1]P-GENERAL'!P384)</f>
        <v>0.83194444444444449</v>
      </c>
      <c r="Q384" t="str">
        <f>IF('[1]P-GENERAL'!Q384="","",'[1]P-GENERAL'!Q384)</f>
        <v>NORMAL</v>
      </c>
      <c r="R384" s="14">
        <f>IF('[1]P-GENERAL'!R384="","",'[1]P-GENERAL'!R384)</f>
        <v>46296</v>
      </c>
      <c r="S384" s="16">
        <f>IF('[1]P-GENERAL'!S384="","",'[1]P-GENERAL'!S384)</f>
        <v>0.56805555555555554</v>
      </c>
      <c r="T384" s="16">
        <f>IF('[1]P-GENERAL'!T384="","",'[1]P-GENERAL'!T384)</f>
        <v>0.20833333333333334</v>
      </c>
      <c r="U384" s="17">
        <f>IF('[1]P-GENERAL'!U384="","",'[1]P-GENERAL'!U384)</f>
        <v>46296.776388888895</v>
      </c>
      <c r="V384" s="14">
        <f>IF('[1]P-GENERAL'!V384="","",'[1]P-GENERAL'!V384)</f>
        <v>46297</v>
      </c>
      <c r="W384" s="16">
        <f>IF('[1]P-GENERAL'!W384="","",'[1]P-GENERAL'!W384)</f>
        <v>1.3194444444444444E-2</v>
      </c>
      <c r="X384" s="14" t="str">
        <f>IF('[1]P-GENERAL'!X384="","",'[1]P-GENERAL'!X384)</f>
        <v>SI CUMPLE</v>
      </c>
      <c r="Y384" s="14" t="str">
        <f>IF('[1]P-GENERAL'!Y384="","",'[1]P-GENERAL'!Y384)</f>
        <v>NO CUMPLE</v>
      </c>
      <c r="Z384" s="14" t="str">
        <f>IF('[1]P-GENERAL'!Z384="","",'[1]P-GENERAL'!Z384)</f>
        <v>MUEVE A NELLY</v>
      </c>
      <c r="AA384" s="14" t="str">
        <f>IF('[1]P-GENERAL'!AA384="","",'[1]P-GENERAL'!AA384)</f>
        <v>DESPACHADO</v>
      </c>
      <c r="AB384" s="8" t="str">
        <f>IF('[1]P-GENERAL'!AB384="","",'[1]P-GENERAL'!AB384)</f>
        <v>GUILLERMO PEREZ PEREZ</v>
      </c>
      <c r="AC384" s="8" t="str">
        <f>IF('[1]P-GENERAL'!AC384="","",'[1]P-GENERAL'!AC384)</f>
        <v>JOSE FRANCISCO HUERTA ABURTO</v>
      </c>
      <c r="AD384">
        <f>IF('[1]P-GENERAL'!AD384="","",'[1]P-GENERAL'!AD384)</f>
        <v>94429</v>
      </c>
      <c r="AE384" t="str">
        <f>IF('[1]P-GENERAL'!AE384="","",'[1]P-GENERAL'!AE384)</f>
        <v>N/A</v>
      </c>
    </row>
    <row r="385" spans="1:31" ht="20.25" x14ac:dyDescent="0.3">
      <c r="A385" s="11" t="str">
        <f>IF('[1]P-GENERAL'!A385="","",'[1]P-GENERAL'!A385)</f>
        <v>Chanitos Premium Tarima Americana</v>
      </c>
      <c r="B385" s="11" t="str">
        <f>IF('[1]P-GENERAL'!B385="","",'[1]P-GENERAL'!B385)</f>
        <v>CPR01103</v>
      </c>
      <c r="C385" t="str">
        <f>IF('[1]P-GENERAL'!C385="","",'[1]P-GENERAL'!C385)</f>
        <v>A36090-403009-1</v>
      </c>
      <c r="D385" t="str">
        <f>IF('[1]P-GENERAL'!D385="","",'[1]P-GENERAL'!D385)</f>
        <v>A36 090 Heavy</v>
      </c>
      <c r="E385" s="8" t="str">
        <f>IF('[1]P-GENERAL'!E385="","",'[1]P-GENERAL'!E385)</f>
        <v>Ciudad Juarez</v>
      </c>
      <c r="F385" s="12">
        <f>IF('[1]P-GENERAL'!F385="","",'[1]P-GENERAL'!F385)</f>
        <v>960</v>
      </c>
      <c r="G385" s="13">
        <f>IF('[1]P-GENERAL'!G385="","",'[1]P-GENERAL'!G385)</f>
        <v>20</v>
      </c>
      <c r="H385" s="14">
        <f>IF('[1]P-GENERAL'!H385="","",'[1]P-GENERAL'!H385)</f>
        <v>46295</v>
      </c>
      <c r="I385">
        <f>IF('[1]P-GENERAL'!I385="","",'[1]P-GENERAL'!I385)</f>
        <v>40</v>
      </c>
      <c r="J385" s="15">
        <f>IF('[1]P-GENERAL'!J385="","",'[1]P-GENERAL'!J385)</f>
        <v>46302</v>
      </c>
      <c r="K385" s="14">
        <f>IF('[1]P-GENERAL'!K385="","",'[1]P-GENERAL'!K385)</f>
        <v>0.25</v>
      </c>
      <c r="L385" s="14" t="str">
        <f>IF('[1]P-GENERAL'!L385="","",'[1]P-GENERAL'!L385)</f>
        <v>PREENFRIO NELLY</v>
      </c>
      <c r="M385">
        <f>IF('[1]P-GENERAL'!M385="","",'[1]P-GENERAL'!M385)</f>
        <v>4</v>
      </c>
      <c r="N385">
        <f>IF('[1]P-GENERAL'!N385="","",'[1]P-GENERAL'!N385)</f>
        <v>96</v>
      </c>
      <c r="O385" s="14">
        <f>IF('[1]P-GENERAL'!O385="","",'[1]P-GENERAL'!O385)</f>
        <v>46295</v>
      </c>
      <c r="P385" s="16">
        <f>IF('[1]P-GENERAL'!P385="","",'[1]P-GENERAL'!P385)</f>
        <v>0.95138888888888884</v>
      </c>
      <c r="Q385" t="str">
        <f>IF('[1]P-GENERAL'!Q385="","",'[1]P-GENERAL'!Q385)</f>
        <v>ALTA</v>
      </c>
      <c r="R385" s="14">
        <f>IF('[1]P-GENERAL'!R385="","",'[1]P-GENERAL'!R385)</f>
        <v>46294</v>
      </c>
      <c r="S385" s="16">
        <f>IF('[1]P-GENERAL'!S385="","",'[1]P-GENERAL'!S385)</f>
        <v>0.91666666666666663</v>
      </c>
      <c r="T385" s="16">
        <f>IF('[1]P-GENERAL'!T385="","",'[1]P-GENERAL'!T385)</f>
        <v>0.4375</v>
      </c>
      <c r="U385" s="17">
        <f>IF('[1]P-GENERAL'!U385="","",'[1]P-GENERAL'!U385)</f>
        <v>46295.354166666664</v>
      </c>
      <c r="V385" s="14">
        <f>IF('[1]P-GENERAL'!V385="","",'[1]P-GENERAL'!V385)</f>
        <v>46296</v>
      </c>
      <c r="W385" s="16">
        <f>IF('[1]P-GENERAL'!W385="","",'[1]P-GENERAL'!W385)</f>
        <v>0.83333333333333337</v>
      </c>
      <c r="X385" s="14" t="str">
        <f>IF('[1]P-GENERAL'!X385="","",'[1]P-GENERAL'!X385)</f>
        <v>SI CUMPLE</v>
      </c>
      <c r="Y385" s="14" t="str">
        <f>IF('[1]P-GENERAL'!Y385="","",'[1]P-GENERAL'!Y385)</f>
        <v>SI CUMPLE</v>
      </c>
      <c r="Z385" s="14" t="str">
        <f>IF('[1]P-GENERAL'!Z385="","",'[1]P-GENERAL'!Z385)</f>
        <v/>
      </c>
      <c r="AA385" s="14" t="str">
        <f>IF('[1]P-GENERAL'!AA385="","",'[1]P-GENERAL'!AA385)</f>
        <v>DESPACHADO</v>
      </c>
      <c r="AB385" s="8" t="str">
        <f>IF('[1]P-GENERAL'!AB385="","",'[1]P-GENERAL'!AB385)</f>
        <v>AUTO EXPRESS SEGOVIA</v>
      </c>
      <c r="AC385" s="8" t="str">
        <f>IF('[1]P-GENERAL'!AC385="","",'[1]P-GENERAL'!AC385)</f>
        <v/>
      </c>
      <c r="AD385" t="str">
        <f>IF('[1]P-GENERAL'!AD385="","",'[1]P-GENERAL'!AD385)</f>
        <v/>
      </c>
      <c r="AE385" t="str">
        <f>IF('[1]P-GENERAL'!AE385="","",'[1]P-GENERAL'!AE385)</f>
        <v/>
      </c>
    </row>
    <row r="386" spans="1:31" ht="20.25" x14ac:dyDescent="0.3">
      <c r="A386" s="11" t="str">
        <f>IF('[1]P-GENERAL'!A386="","",'[1]P-GENERAL'!A386)</f>
        <v>Chanitos Premium EUA Tarima Americana</v>
      </c>
      <c r="B386" s="11" t="str">
        <f>IF('[1]P-GENERAL'!B386="","",'[1]P-GENERAL'!B386)</f>
        <v>CPR01104</v>
      </c>
      <c r="C386" t="str">
        <f>IF('[1]P-GENERAL'!C386="","",'[1]P-GENERAL'!C386)</f>
        <v>A01001-403009-1</v>
      </c>
      <c r="D386" t="str">
        <f>IF('[1]P-GENERAL'!D386="","",'[1]P-GENERAL'!D386)</f>
        <v>A01 001 Marbella</v>
      </c>
      <c r="E386" s="8" t="str">
        <f>IF('[1]P-GENERAL'!E386="","",'[1]P-GENERAL'!E386)</f>
        <v>McAllen</v>
      </c>
      <c r="F386" s="12">
        <f>IF('[1]P-GENERAL'!F386="","",'[1]P-GENERAL'!F386)</f>
        <v>864</v>
      </c>
      <c r="G386" s="13">
        <f>IF('[1]P-GENERAL'!G386="","",'[1]P-GENERAL'!G386)</f>
        <v>18</v>
      </c>
      <c r="H386" s="14">
        <f>IF('[1]P-GENERAL'!H386="","",'[1]P-GENERAL'!H386)</f>
        <v>46295</v>
      </c>
      <c r="I386">
        <f>IF('[1]P-GENERAL'!I386="","",'[1]P-GENERAL'!I386)</f>
        <v>40</v>
      </c>
      <c r="J386" s="15">
        <f>IF('[1]P-GENERAL'!J386="","",'[1]P-GENERAL'!J386)</f>
        <v>46300</v>
      </c>
      <c r="K386" s="14" t="str">
        <f>IF('[1]P-GENERAL'!K386="","",'[1]P-GENERAL'!K386)</f>
        <v/>
      </c>
      <c r="L386" s="14" t="str">
        <f>IF('[1]P-GENERAL'!L386="","",'[1]P-GENERAL'!L386)</f>
        <v>PREENFRIO NELLY</v>
      </c>
      <c r="M386">
        <f>IF('[1]P-GENERAL'!M386="","",'[1]P-GENERAL'!M386)</f>
        <v>3</v>
      </c>
      <c r="N386">
        <f>IF('[1]P-GENERAL'!N386="","",'[1]P-GENERAL'!N386)</f>
        <v>72</v>
      </c>
      <c r="O386" s="14">
        <f>IF('[1]P-GENERAL'!O386="","",'[1]P-GENERAL'!O386)</f>
        <v>46296</v>
      </c>
      <c r="P386" s="16">
        <f>IF('[1]P-GENERAL'!P386="","",'[1]P-GENERAL'!P386)</f>
        <v>0.45833333333333331</v>
      </c>
      <c r="Q386" t="str">
        <f>IF('[1]P-GENERAL'!Q386="","",'[1]P-GENERAL'!Q386)</f>
        <v>ALTA</v>
      </c>
      <c r="R386" s="14">
        <f>IF('[1]P-GENERAL'!R386="","",'[1]P-GENERAL'!R386)</f>
        <v>46296</v>
      </c>
      <c r="S386" s="16">
        <f>IF('[1]P-GENERAL'!S386="","",'[1]P-GENERAL'!S386)</f>
        <v>0.58333333333333337</v>
      </c>
      <c r="T386" s="16">
        <f>IF('[1]P-GENERAL'!T386="","",'[1]P-GENERAL'!T386)</f>
        <v>0.35416666666666669</v>
      </c>
      <c r="U386" s="17">
        <f>IF('[1]P-GENERAL'!U386="","",'[1]P-GENERAL'!U386)</f>
        <v>46296.9375</v>
      </c>
      <c r="V386" s="14">
        <f>IF('[1]P-GENERAL'!V386="","",'[1]P-GENERAL'!V386)</f>
        <v>46297</v>
      </c>
      <c r="W386" s="16">
        <f>IF('[1]P-GENERAL'!W386="","",'[1]P-GENERAL'!W386)</f>
        <v>0.45833333333333331</v>
      </c>
      <c r="X386" s="14" t="str">
        <f>IF('[1]P-GENERAL'!X386="","",'[1]P-GENERAL'!X386)</f>
        <v>SI CUMPLE</v>
      </c>
      <c r="Y386" s="14" t="str">
        <f>IF('[1]P-GENERAL'!Y386="","",'[1]P-GENERAL'!Y386)</f>
        <v>NO CUMPLE</v>
      </c>
      <c r="Z386" s="14" t="str">
        <f>IF('[1]P-GENERAL'!Z386="","",'[1]P-GENERAL'!Z386)</f>
        <v>EMPAQUE TARDIO</v>
      </c>
      <c r="AA386" s="14" t="str">
        <f>IF('[1]P-GENERAL'!AA386="","",'[1]P-GENERAL'!AA386)</f>
        <v>DESPACHADO</v>
      </c>
      <c r="AB386" s="8" t="str">
        <f>IF('[1]P-GENERAL'!AB386="","",'[1]P-GENERAL'!AB386)</f>
        <v>TRANSPORTES TOMATITOS</v>
      </c>
      <c r="AC386" s="8" t="str">
        <f>IF('[1]P-GENERAL'!AC386="","",'[1]P-GENERAL'!AC386)</f>
        <v/>
      </c>
      <c r="AD386" t="str">
        <f>IF('[1]P-GENERAL'!AD386="","",'[1]P-GENERAL'!AD386)</f>
        <v/>
      </c>
      <c r="AE386" t="str">
        <f>IF('[1]P-GENERAL'!AE386="","",'[1]P-GENERAL'!AE386)</f>
        <v/>
      </c>
    </row>
    <row r="387" spans="1:31" ht="20.25" x14ac:dyDescent="0.3">
      <c r="A387" s="11" t="str">
        <f>IF('[1]P-GENERAL'!A387="","",'[1]P-GENERAL'!A387)</f>
        <v>Chanitos Premium Tarima Chep</v>
      </c>
      <c r="B387" s="11" t="str">
        <f>IF('[1]P-GENERAL'!B387="","",'[1]P-GENERAL'!B387)</f>
        <v>CPR01102</v>
      </c>
      <c r="C387" t="str">
        <f>IF('[1]P-GENERAL'!C387="","",'[1]P-GENERAL'!C387)</f>
        <v>A01001-403009-1</v>
      </c>
      <c r="D387" t="str">
        <f>IF('[1]P-GENERAL'!D387="","",'[1]P-GENERAL'!D387)</f>
        <v>A01 001 Marbella</v>
      </c>
      <c r="E387" s="8" t="str">
        <f>IF('[1]P-GENERAL'!E387="","",'[1]P-GENERAL'!E387)</f>
        <v>QRO</v>
      </c>
      <c r="F387" s="12">
        <f>IF('[1]P-GENERAL'!F387="","",'[1]P-GENERAL'!F387)</f>
        <v>432</v>
      </c>
      <c r="G387" s="13">
        <f>IF('[1]P-GENERAL'!G387="","",'[1]P-GENERAL'!G387)</f>
        <v>9</v>
      </c>
      <c r="H387" s="14">
        <f>IF('[1]P-GENERAL'!H387="","",'[1]P-GENERAL'!H387)</f>
        <v>46295</v>
      </c>
      <c r="I387">
        <f>IF('[1]P-GENERAL'!I387="","",'[1]P-GENERAL'!I387)</f>
        <v>40</v>
      </c>
      <c r="J387" s="15">
        <f>IF('[1]P-GENERAL'!J387="","",'[1]P-GENERAL'!J387)</f>
        <v>46300</v>
      </c>
      <c r="K387" s="14" t="str">
        <f>IF('[1]P-GENERAL'!K387="","",'[1]P-GENERAL'!K387)</f>
        <v/>
      </c>
      <c r="L387" s="14" t="str">
        <f>IF('[1]P-GENERAL'!L387="","",'[1]P-GENERAL'!L387)</f>
        <v>PREENFRIO NELLY</v>
      </c>
      <c r="M387">
        <f>IF('[1]P-GENERAL'!M387="","",'[1]P-GENERAL'!M387)</f>
        <v>1.5</v>
      </c>
      <c r="N387">
        <f>IF('[1]P-GENERAL'!N387="","",'[1]P-GENERAL'!N387)</f>
        <v>36</v>
      </c>
      <c r="O387" s="14">
        <f>IF('[1]P-GENERAL'!O387="","",'[1]P-GENERAL'!O387)</f>
        <v>46296</v>
      </c>
      <c r="P387" s="16">
        <f>IF('[1]P-GENERAL'!P387="","",'[1]P-GENERAL'!P387)</f>
        <v>0.99305555555555558</v>
      </c>
      <c r="Q387" t="str">
        <f>IF('[1]P-GENERAL'!Q387="","",'[1]P-GENERAL'!Q387)</f>
        <v>NORMAL</v>
      </c>
      <c r="R387" s="14">
        <f>IF('[1]P-GENERAL'!R387="","",'[1]P-GENERAL'!R387)</f>
        <v>46297</v>
      </c>
      <c r="S387" s="16">
        <f>IF('[1]P-GENERAL'!S387="","",'[1]P-GENERAL'!S387)</f>
        <v>0.58333333333333337</v>
      </c>
      <c r="T387" s="16">
        <f>IF('[1]P-GENERAL'!T387="","",'[1]P-GENERAL'!T387)</f>
        <v>0.35416666666666669</v>
      </c>
      <c r="U387" s="17">
        <f>IF('[1]P-GENERAL'!U387="","",'[1]P-GENERAL'!U387)</f>
        <v>46297.9375</v>
      </c>
      <c r="V387" s="14">
        <f>IF('[1]P-GENERAL'!V387="","",'[1]P-GENERAL'!V387)</f>
        <v>46297</v>
      </c>
      <c r="W387" s="16">
        <f>IF('[1]P-GENERAL'!W387="","",'[1]P-GENERAL'!W387)</f>
        <v>0.83333333333333337</v>
      </c>
      <c r="X387" s="14" t="str">
        <f>IF('[1]P-GENERAL'!X387="","",'[1]P-GENERAL'!X387)</f>
        <v>SI CUMPLE</v>
      </c>
      <c r="Y387" s="14" t="str">
        <f>IF('[1]P-GENERAL'!Y387="","",'[1]P-GENERAL'!Y387)</f>
        <v>SI CUMPLE</v>
      </c>
      <c r="Z387" s="14" t="str">
        <f>IF('[1]P-GENERAL'!Z387="","",'[1]P-GENERAL'!Z387)</f>
        <v/>
      </c>
      <c r="AA387" s="14" t="str">
        <f>IF('[1]P-GENERAL'!AA387="","",'[1]P-GENERAL'!AA387)</f>
        <v>DESPACHADO</v>
      </c>
      <c r="AB387" s="8" t="str">
        <f>IF('[1]P-GENERAL'!AB387="","",'[1]P-GENERAL'!AB387)</f>
        <v>GENARO IBAÑEZ ROJAS</v>
      </c>
      <c r="AC387" s="8" t="str">
        <f>IF('[1]P-GENERAL'!AC387="","",'[1]P-GENERAL'!AC387)</f>
        <v>JOSE LUIS NERY</v>
      </c>
      <c r="AD387" t="str">
        <f>IF('[1]P-GENERAL'!AD387="","",'[1]P-GENERAL'!AD387)</f>
        <v/>
      </c>
      <c r="AE387" t="str">
        <f>IF('[1]P-GENERAL'!AE387="","",'[1]P-GENERAL'!AE387)</f>
        <v/>
      </c>
    </row>
    <row r="388" spans="1:31" ht="20.25" x14ac:dyDescent="0.3">
      <c r="A388" s="11" t="str">
        <f>IF('[1]P-GENERAL'!A388="","",'[1]P-GENERAL'!A388)</f>
        <v>Chanitos Premium Tarima Chep</v>
      </c>
      <c r="B388" s="11" t="str">
        <f>IF('[1]P-GENERAL'!B388="","",'[1]P-GENERAL'!B388)</f>
        <v>CPR01102</v>
      </c>
      <c r="C388" t="str">
        <f>IF('[1]P-GENERAL'!C388="","",'[1]P-GENERAL'!C388)</f>
        <v>A01002-403009-1</v>
      </c>
      <c r="D388" t="str">
        <f>IF('[1]P-GENERAL'!D388="","",'[1]P-GENERAL'!D388)</f>
        <v>A01 002 Fortaleza</v>
      </c>
      <c r="E388" s="8" t="str">
        <f>IF('[1]P-GENERAL'!E388="","",'[1]P-GENERAL'!E388)</f>
        <v>QRO</v>
      </c>
      <c r="F388" s="12">
        <f>IF('[1]P-GENERAL'!F388="","",'[1]P-GENERAL'!F388)</f>
        <v>624</v>
      </c>
      <c r="G388" s="13">
        <f>IF('[1]P-GENERAL'!G388="","",'[1]P-GENERAL'!G388)</f>
        <v>13</v>
      </c>
      <c r="H388" s="14">
        <f>IF('[1]P-GENERAL'!H388="","",'[1]P-GENERAL'!H388)</f>
        <v>46295</v>
      </c>
      <c r="I388">
        <f>IF('[1]P-GENERAL'!I388="","",'[1]P-GENERAL'!I388)</f>
        <v>40</v>
      </c>
      <c r="J388" s="15">
        <f>IF('[1]P-GENERAL'!J388="","",'[1]P-GENERAL'!J388)</f>
        <v>46300</v>
      </c>
      <c r="K388" s="14" t="str">
        <f>IF('[1]P-GENERAL'!K388="","",'[1]P-GENERAL'!K388)</f>
        <v/>
      </c>
      <c r="L388" s="14" t="str">
        <f>IF('[1]P-GENERAL'!L388="","",'[1]P-GENERAL'!L388)</f>
        <v>PREENFRIO FORTALEZA</v>
      </c>
      <c r="M388">
        <f>IF('[1]P-GENERAL'!M388="","",'[1]P-GENERAL'!M388)</f>
        <v>1.5</v>
      </c>
      <c r="N388">
        <f>IF('[1]P-GENERAL'!N388="","",'[1]P-GENERAL'!N388)</f>
        <v>36</v>
      </c>
      <c r="O388" s="14">
        <f>IF('[1]P-GENERAL'!O388="","",'[1]P-GENERAL'!O388)</f>
        <v>46295</v>
      </c>
      <c r="P388" s="16">
        <f>IF('[1]P-GENERAL'!P388="","",'[1]P-GENERAL'!P388)</f>
        <v>0.70833333333333337</v>
      </c>
      <c r="Q388" t="str">
        <f>IF('[1]P-GENERAL'!Q388="","",'[1]P-GENERAL'!Q388)</f>
        <v>NORMAL</v>
      </c>
      <c r="R388" s="14">
        <f>IF('[1]P-GENERAL'!R388="","",'[1]P-GENERAL'!R388)</f>
        <v>46296</v>
      </c>
      <c r="S388" s="16">
        <f>IF('[1]P-GENERAL'!S388="","",'[1]P-GENERAL'!S388)</f>
        <v>0.15138888888888888</v>
      </c>
      <c r="T388" s="16">
        <f>IF('[1]P-GENERAL'!T388="","",'[1]P-GENERAL'!T388)</f>
        <v>0.625</v>
      </c>
      <c r="U388" s="17">
        <f>IF('[1]P-GENERAL'!U388="","",'[1]P-GENERAL'!U388)</f>
        <v>46296.776388888888</v>
      </c>
      <c r="V388" s="14">
        <f>IF('[1]P-GENERAL'!V388="","",'[1]P-GENERAL'!V388)</f>
        <v>46297</v>
      </c>
      <c r="W388" s="16">
        <f>IF('[1]P-GENERAL'!W388="","",'[1]P-GENERAL'!W388)</f>
        <v>1.0416666666666666E-2</v>
      </c>
      <c r="X388" s="14" t="str">
        <f>IF('[1]P-GENERAL'!X388="","",'[1]P-GENERAL'!X388)</f>
        <v>SI CUMPLE</v>
      </c>
      <c r="Y388" s="14" t="str">
        <f>IF('[1]P-GENERAL'!Y388="","",'[1]P-GENERAL'!Y388)</f>
        <v>SI CUMPLE</v>
      </c>
      <c r="Z388" s="14" t="str">
        <f>IF('[1]P-GENERAL'!Z388="","",'[1]P-GENERAL'!Z388)</f>
        <v>COMPLETA EN NELLY</v>
      </c>
      <c r="AA388" s="14" t="str">
        <f>IF('[1]P-GENERAL'!AA388="","",'[1]P-GENERAL'!AA388)</f>
        <v>DESPACHADO</v>
      </c>
      <c r="AB388" s="8" t="str">
        <f>IF('[1]P-GENERAL'!AB388="","",'[1]P-GENERAL'!AB388)</f>
        <v>GUILLERMO PEREZ PEREZ</v>
      </c>
      <c r="AC388" s="8" t="str">
        <f>IF('[1]P-GENERAL'!AC388="","",'[1]P-GENERAL'!AC388)</f>
        <v>JOSE FRANCISCO HUERTA ABURTO</v>
      </c>
      <c r="AD388">
        <f>IF('[1]P-GENERAL'!AD388="","",'[1]P-GENERAL'!AD388)</f>
        <v>45046</v>
      </c>
      <c r="AE388" t="str">
        <f>IF('[1]P-GENERAL'!AE388="","",'[1]P-GENERAL'!AE388)</f>
        <v>QEP1W00380</v>
      </c>
    </row>
    <row r="389" spans="1:31" ht="20.25" x14ac:dyDescent="0.3">
      <c r="A389" s="11" t="str">
        <f>IF('[1]P-GENERAL'!A389="","",'[1]P-GENERAL'!A389)</f>
        <v>Chanitos Premium Tarima Americana</v>
      </c>
      <c r="B389" s="11" t="str">
        <f>IF('[1]P-GENERAL'!B389="","",'[1]P-GENERAL'!B389)</f>
        <v>CPR01103</v>
      </c>
      <c r="C389" t="str">
        <f>IF('[1]P-GENERAL'!C389="","",'[1]P-GENERAL'!C389)</f>
        <v>A04039-400110-1</v>
      </c>
      <c r="D389" t="str">
        <f>IF('[1]P-GENERAL'!D389="","",'[1]P-GENERAL'!D389)</f>
        <v>A04 039 San Jose Morelia Nava</v>
      </c>
      <c r="E389" s="8" t="str">
        <f>IF('[1]P-GENERAL'!E389="","",'[1]P-GENERAL'!E389)</f>
        <v>S-MTY</v>
      </c>
      <c r="F389" s="12">
        <f>IF('[1]P-GENERAL'!F389="","",'[1]P-GENERAL'!F389)</f>
        <v>960</v>
      </c>
      <c r="G389" s="13">
        <f>IF('[1]P-GENERAL'!G389="","",'[1]P-GENERAL'!G389)</f>
        <v>20</v>
      </c>
      <c r="H389" s="14">
        <f>IF('[1]P-GENERAL'!H389="","",'[1]P-GENERAL'!H389)</f>
        <v>46295</v>
      </c>
      <c r="I389">
        <f>IF('[1]P-GENERAL'!I389="","",'[1]P-GENERAL'!I389)</f>
        <v>40</v>
      </c>
      <c r="J389" s="15">
        <f>IF('[1]P-GENERAL'!J389="","",'[1]P-GENERAL'!J389)</f>
        <v>46300</v>
      </c>
      <c r="K389" s="14" t="str">
        <f>IF('[1]P-GENERAL'!K389="","",'[1]P-GENERAL'!K389)</f>
        <v/>
      </c>
      <c r="L389" s="14" t="str">
        <f>IF('[1]P-GENERAL'!L389="","",'[1]P-GENERAL'!L389)</f>
        <v>PREENFRIO NELLY</v>
      </c>
      <c r="M389">
        <f>IF('[1]P-GENERAL'!M389="","",'[1]P-GENERAL'!M389)</f>
        <v>3</v>
      </c>
      <c r="N389">
        <f>IF('[1]P-GENERAL'!N389="","",'[1]P-GENERAL'!N389)</f>
        <v>72</v>
      </c>
      <c r="O389" s="14">
        <f>IF('[1]P-GENERAL'!O389="","",'[1]P-GENERAL'!O389)</f>
        <v>46296</v>
      </c>
      <c r="P389" s="16">
        <f>IF('[1]P-GENERAL'!P389="","",'[1]P-GENERAL'!P389)</f>
        <v>0.75</v>
      </c>
      <c r="Q389" t="str">
        <f>IF('[1]P-GENERAL'!Q389="","",'[1]P-GENERAL'!Q389)</f>
        <v>ALTA</v>
      </c>
      <c r="R389" s="14">
        <f>IF('[1]P-GENERAL'!R389="","",'[1]P-GENERAL'!R389)</f>
        <v>46296</v>
      </c>
      <c r="S389" s="16">
        <f>IF('[1]P-GENERAL'!S389="","",'[1]P-GENERAL'!S389)</f>
        <v>0.95833333333333337</v>
      </c>
      <c r="T389" s="16">
        <f>IF('[1]P-GENERAL'!T389="","",'[1]P-GENERAL'!T389)</f>
        <v>0.4375</v>
      </c>
      <c r="U389" s="17">
        <f>IF('[1]P-GENERAL'!U389="","",'[1]P-GENERAL'!U389)</f>
        <v>46297.395833333336</v>
      </c>
      <c r="V389" s="14">
        <f>IF('[1]P-GENERAL'!V389="","",'[1]P-GENERAL'!V389)</f>
        <v>46297</v>
      </c>
      <c r="W389" s="16">
        <f>IF('[1]P-GENERAL'!W389="","",'[1]P-GENERAL'!W389)</f>
        <v>0.8125</v>
      </c>
      <c r="X389" s="14" t="str">
        <f>IF('[1]P-GENERAL'!X389="","",'[1]P-GENERAL'!X389)</f>
        <v>NO CUMPLE</v>
      </c>
      <c r="Y389" s="14" t="str">
        <f>IF('[1]P-GENERAL'!Y389="","",'[1]P-GENERAL'!Y389)</f>
        <v>NO CUMPLE</v>
      </c>
      <c r="Z389" s="14" t="str">
        <f>IF('[1]P-GENERAL'!Z389="","",'[1]P-GENERAL'!Z389)</f>
        <v/>
      </c>
      <c r="AA389" s="14" t="str">
        <f>IF('[1]P-GENERAL'!AA389="","",'[1]P-GENERAL'!AA389)</f>
        <v>DESPACHADO</v>
      </c>
      <c r="AB389" s="8" t="str">
        <f>IF('[1]P-GENERAL'!AB389="","",'[1]P-GENERAL'!AB389)</f>
        <v>BACOCA</v>
      </c>
      <c r="AC389" s="8" t="str">
        <f>IF('[1]P-GENERAL'!AC389="","",'[1]P-GENERAL'!AC389)</f>
        <v/>
      </c>
      <c r="AD389" t="str">
        <f>IF('[1]P-GENERAL'!AD389="","",'[1]P-GENERAL'!AD389)</f>
        <v/>
      </c>
      <c r="AE389" t="str">
        <f>IF('[1]P-GENERAL'!AE389="","",'[1]P-GENERAL'!AE389)</f>
        <v/>
      </c>
    </row>
    <row r="390" spans="1:31" ht="20.25" x14ac:dyDescent="0.3">
      <c r="A390" s="11" t="str">
        <f>IF('[1]P-GENERAL'!A390="","",'[1]P-GENERAL'!A390)</f>
        <v>Platano de Chiapas BAE UPC 3237</v>
      </c>
      <c r="B390" s="11" t="str">
        <f>IF('[1]P-GENERAL'!B390="","",'[1]P-GENERAL'!B390)</f>
        <v>CPR01114</v>
      </c>
      <c r="C390" t="str">
        <f>IF('[1]P-GENERAL'!C390="","",'[1]P-GENERAL'!C390)</f>
        <v>A01002-403009-1</v>
      </c>
      <c r="D390" t="str">
        <f>IF('[1]P-GENERAL'!D390="","",'[1]P-GENERAL'!D390)</f>
        <v>A01 002 Fortaleza</v>
      </c>
      <c r="E390" s="8" t="str">
        <f>IF('[1]P-GENERAL'!E390="","",'[1]P-GENERAL'!E390)</f>
        <v>Chalco</v>
      </c>
      <c r="F390" s="12">
        <f>IF('[1]P-GENERAL'!F390="","",'[1]P-GENERAL'!F390)</f>
        <v>96</v>
      </c>
      <c r="G390" s="13">
        <f>IF('[1]P-GENERAL'!G390="","",'[1]P-GENERAL'!G390)</f>
        <v>2</v>
      </c>
      <c r="H390" s="14">
        <f>IF('[1]P-GENERAL'!H390="","",'[1]P-GENERAL'!H390)</f>
        <v>46295</v>
      </c>
      <c r="I390">
        <f>IF('[1]P-GENERAL'!I390="","",'[1]P-GENERAL'!I390)</f>
        <v>40</v>
      </c>
      <c r="J390" s="15">
        <f>IF('[1]P-GENERAL'!J390="","",'[1]P-GENERAL'!J390)</f>
        <v>46300</v>
      </c>
      <c r="K390" s="14" t="str">
        <f>IF('[1]P-GENERAL'!K390="","",'[1]P-GENERAL'!K390)</f>
        <v/>
      </c>
      <c r="L390" s="14" t="str">
        <f>IF('[1]P-GENERAL'!L390="","",'[1]P-GENERAL'!L390)</f>
        <v>PREENFRIO FORTALEZA</v>
      </c>
      <c r="M390">
        <f>IF('[1]P-GENERAL'!M390="","",'[1]P-GENERAL'!M390)</f>
        <v>1</v>
      </c>
      <c r="N390">
        <f>IF('[1]P-GENERAL'!N390="","",'[1]P-GENERAL'!N390)</f>
        <v>24</v>
      </c>
      <c r="O390" s="14">
        <f>IF('[1]P-GENERAL'!O390="","",'[1]P-GENERAL'!O390)</f>
        <v>46295</v>
      </c>
      <c r="P390" s="16">
        <f>IF('[1]P-GENERAL'!P390="","",'[1]P-GENERAL'!P390)</f>
        <v>0.70833333333333337</v>
      </c>
      <c r="Q390" t="str">
        <f>IF('[1]P-GENERAL'!Q390="","",'[1]P-GENERAL'!Q390)</f>
        <v>NORMAL</v>
      </c>
      <c r="R390" s="14">
        <f>IF('[1]P-GENERAL'!R390="","",'[1]P-GENERAL'!R390)</f>
        <v>46296</v>
      </c>
      <c r="S390" s="16">
        <f>IF('[1]P-GENERAL'!S390="","",'[1]P-GENERAL'!S390)</f>
        <v>0.56805555555555554</v>
      </c>
      <c r="T390" s="16">
        <f>IF('[1]P-GENERAL'!T390="","",'[1]P-GENERAL'!T390)</f>
        <v>0.20833333333333334</v>
      </c>
      <c r="U390" s="17">
        <f>IF('[1]P-GENERAL'!U390="","",'[1]P-GENERAL'!U390)</f>
        <v>46296.776388888895</v>
      </c>
      <c r="V390" s="14">
        <f>IF('[1]P-GENERAL'!V390="","",'[1]P-GENERAL'!V390)</f>
        <v>46298</v>
      </c>
      <c r="W390" s="16">
        <f>IF('[1]P-GENERAL'!W390="","",'[1]P-GENERAL'!W390)</f>
        <v>0.38194444444444442</v>
      </c>
      <c r="X390" s="14" t="str">
        <f>IF('[1]P-GENERAL'!X390="","",'[1]P-GENERAL'!X390)</f>
        <v>SI CUMPLE</v>
      </c>
      <c r="Y390" s="14" t="str">
        <f>IF('[1]P-GENERAL'!Y390="","",'[1]P-GENERAL'!Y390)</f>
        <v>SI CUMPLE</v>
      </c>
      <c r="Z390" s="14" t="str">
        <f>IF('[1]P-GENERAL'!Z390="","",'[1]P-GENERAL'!Z390)</f>
        <v/>
      </c>
      <c r="AA390" s="14" t="str">
        <f>IF('[1]P-GENERAL'!AA390="","",'[1]P-GENERAL'!AA390)</f>
        <v>DESPACHADO</v>
      </c>
      <c r="AB390" s="8" t="str">
        <f>IF('[1]P-GENERAL'!AB390="","",'[1]P-GENERAL'!AB390)</f>
        <v>REFRIGERADOS CARRILLO</v>
      </c>
      <c r="AC390" s="8" t="str">
        <f>IF('[1]P-GENERAL'!AC390="","",'[1]P-GENERAL'!AC390)</f>
        <v>GABRIEL ANTONIO GARCIA</v>
      </c>
      <c r="AD390">
        <f>IF('[1]P-GENERAL'!AD390="","",'[1]P-GENERAL'!AD390)</f>
        <v>20498</v>
      </c>
      <c r="AE390" t="str">
        <f>IF('[1]P-GENERAL'!AE390="","",'[1]P-GENERAL'!AE390)</f>
        <v>QEP1W00XW0</v>
      </c>
    </row>
    <row r="391" spans="1:31" ht="20.25" x14ac:dyDescent="0.3">
      <c r="A391" s="11" t="str">
        <f>IF('[1]P-GENERAL'!A391="","",'[1]P-GENERAL'!A391)</f>
        <v>Chanitos Premium Tarima Chep</v>
      </c>
      <c r="B391" s="11" t="str">
        <f>IF('[1]P-GENERAL'!B391="","",'[1]P-GENERAL'!B391)</f>
        <v>CPR01102</v>
      </c>
      <c r="C391" t="str">
        <f>IF('[1]P-GENERAL'!C391="","",'[1]P-GENERAL'!C391)</f>
        <v>A01002-400110-1</v>
      </c>
      <c r="D391" t="str">
        <f>IF('[1]P-GENERAL'!D391="","",'[1]P-GENERAL'!D391)</f>
        <v>A01 002 Fortaleza</v>
      </c>
      <c r="E391" s="8" t="str">
        <f>IF('[1]P-GENERAL'!E391="","",'[1]P-GENERAL'!E391)</f>
        <v>Chalco</v>
      </c>
      <c r="F391" s="12">
        <f>IF('[1]P-GENERAL'!F391="","",'[1]P-GENERAL'!F391)</f>
        <v>1056</v>
      </c>
      <c r="G391" s="13">
        <f>IF('[1]P-GENERAL'!G391="","",'[1]P-GENERAL'!G391)</f>
        <v>22</v>
      </c>
      <c r="H391" s="14">
        <f>IF('[1]P-GENERAL'!H391="","",'[1]P-GENERAL'!H391)</f>
        <v>46296</v>
      </c>
      <c r="I391">
        <f>IF('[1]P-GENERAL'!I391="","",'[1]P-GENERAL'!I391)</f>
        <v>40</v>
      </c>
      <c r="J391" s="15">
        <f>IF('[1]P-GENERAL'!J391="","",'[1]P-GENERAL'!J391)</f>
        <v>46300</v>
      </c>
      <c r="K391" s="14" t="str">
        <f>IF('[1]P-GENERAL'!K391="","",'[1]P-GENERAL'!K391)</f>
        <v/>
      </c>
      <c r="L391" s="14" t="str">
        <f>IF('[1]P-GENERAL'!L391="","",'[1]P-GENERAL'!L391)</f>
        <v>PREENFRIO FORTALEZA</v>
      </c>
      <c r="M391">
        <f>IF('[1]P-GENERAL'!M391="","",'[1]P-GENERAL'!M391)</f>
        <v>1</v>
      </c>
      <c r="N391">
        <f>IF('[1]P-GENERAL'!N391="","",'[1]P-GENERAL'!N391)</f>
        <v>24</v>
      </c>
      <c r="O391" s="14">
        <f>IF('[1]P-GENERAL'!O391="","",'[1]P-GENERAL'!O391)</f>
        <v>46296</v>
      </c>
      <c r="P391" s="16">
        <f>IF('[1]P-GENERAL'!P391="","",'[1]P-GENERAL'!P391)</f>
        <v>0.73263888888888884</v>
      </c>
      <c r="Q391" t="str">
        <f>IF('[1]P-GENERAL'!Q391="","",'[1]P-GENERAL'!Q391)</f>
        <v>NORMAL</v>
      </c>
      <c r="R391" s="14">
        <f>IF('[1]P-GENERAL'!R391="","",'[1]P-GENERAL'!R391)</f>
        <v>46297</v>
      </c>
      <c r="S391" s="16">
        <f>IF('[1]P-GENERAL'!S391="","",'[1]P-GENERAL'!S391)</f>
        <v>0.64166666666666672</v>
      </c>
      <c r="T391" s="16">
        <f>IF('[1]P-GENERAL'!T391="","",'[1]P-GENERAL'!T391)</f>
        <v>0.6875</v>
      </c>
      <c r="U391" s="17">
        <f>IF('[1]P-GENERAL'!U391="","",'[1]P-GENERAL'!U391)</f>
        <v>46298.32916666667</v>
      </c>
      <c r="V391" s="14">
        <f>IF('[1]P-GENERAL'!V391="","",'[1]P-GENERAL'!V391)</f>
        <v>46298</v>
      </c>
      <c r="W391" s="16">
        <f>IF('[1]P-GENERAL'!W391="","",'[1]P-GENERAL'!W391)</f>
        <v>0.38194444444444442</v>
      </c>
      <c r="X391" s="14" t="str">
        <f>IF('[1]P-GENERAL'!X391="","",'[1]P-GENERAL'!X391)</f>
        <v>SI CUMPLE</v>
      </c>
      <c r="Y391" s="14" t="str">
        <f>IF('[1]P-GENERAL'!Y391="","",'[1]P-GENERAL'!Y391)</f>
        <v>SI CUMPLE</v>
      </c>
      <c r="Z391" s="14" t="str">
        <f>IF('[1]P-GENERAL'!Z391="","",'[1]P-GENERAL'!Z391)</f>
        <v/>
      </c>
      <c r="AA391" s="14" t="str">
        <f>IF('[1]P-GENERAL'!AA391="","",'[1]P-GENERAL'!AA391)</f>
        <v>DESPACHADO</v>
      </c>
      <c r="AB391" s="8" t="str">
        <f>IF('[1]P-GENERAL'!AB391="","",'[1]P-GENERAL'!AB391)</f>
        <v>REFRIGERADOS CARRILLO</v>
      </c>
      <c r="AC391" s="8" t="str">
        <f>IF('[1]P-GENERAL'!AC391="","",'[1]P-GENERAL'!AC391)</f>
        <v>GABRIEL ANTONIO GARCIA</v>
      </c>
      <c r="AD391">
        <f>IF('[1]P-GENERAL'!AD391="","",'[1]P-GENERAL'!AD391)</f>
        <v>20498</v>
      </c>
      <c r="AE391" t="str">
        <f>IF('[1]P-GENERAL'!AE391="","",'[1]P-GENERAL'!AE391)</f>
        <v>QEP1W00XW0</v>
      </c>
    </row>
    <row r="392" spans="1:31" ht="20.25" x14ac:dyDescent="0.3">
      <c r="A392" s="11" t="str">
        <f>IF('[1]P-GENERAL'!A392="","",'[1]P-GENERAL'!A392)</f>
        <v>Chanitos Organic Banded Market Side Mexico</v>
      </c>
      <c r="B392" s="11" t="str">
        <f>IF('[1]P-GENERAL'!B392="","",'[1]P-GENERAL'!B392)</f>
        <v>CRG07128</v>
      </c>
      <c r="C392" t="str">
        <f>IF('[1]P-GENERAL'!C392="","",'[1]P-GENERAL'!C392)</f>
        <v>A01002-400110-1</v>
      </c>
      <c r="D392" t="str">
        <f>IF('[1]P-GENERAL'!D392="","",'[1]P-GENERAL'!D392)</f>
        <v>A01 002 Fortaleza</v>
      </c>
      <c r="E392" s="8" t="str">
        <f>IF('[1]P-GENERAL'!E392="","",'[1]P-GENERAL'!E392)</f>
        <v>VSA</v>
      </c>
      <c r="F392" s="12">
        <f>IF('[1]P-GENERAL'!F392="","",'[1]P-GENERAL'!F392)</f>
        <v>288</v>
      </c>
      <c r="G392" s="13">
        <f>IF('[1]P-GENERAL'!G392="","",'[1]P-GENERAL'!G392)</f>
        <v>6</v>
      </c>
      <c r="H392" s="14">
        <f>IF('[1]P-GENERAL'!H392="","",'[1]P-GENERAL'!H392)</f>
        <v>46296</v>
      </c>
      <c r="I392">
        <f>IF('[1]P-GENERAL'!I392="","",'[1]P-GENERAL'!I392)</f>
        <v>40</v>
      </c>
      <c r="J392" s="15">
        <f>IF('[1]P-GENERAL'!J392="","",'[1]P-GENERAL'!J392)</f>
        <v>46300</v>
      </c>
      <c r="K392" s="14" t="str">
        <f>IF('[1]P-GENERAL'!K392="","",'[1]P-GENERAL'!K392)</f>
        <v/>
      </c>
      <c r="L392" s="14" t="str">
        <f>IF('[1]P-GENERAL'!L392="","",'[1]P-GENERAL'!L392)</f>
        <v>PREENFRIO FORTALEZA</v>
      </c>
      <c r="M392">
        <f>IF('[1]P-GENERAL'!M392="","",'[1]P-GENERAL'!M392)</f>
        <v>1</v>
      </c>
      <c r="N392">
        <f>IF('[1]P-GENERAL'!N392="","",'[1]P-GENERAL'!N392)</f>
        <v>24</v>
      </c>
      <c r="O392" s="14">
        <f>IF('[1]P-GENERAL'!O392="","",'[1]P-GENERAL'!O392)</f>
        <v>46296</v>
      </c>
      <c r="P392" s="16">
        <f>IF('[1]P-GENERAL'!P392="","",'[1]P-GENERAL'!P392)</f>
        <v>0.73263888888888884</v>
      </c>
      <c r="Q392" t="str">
        <f>IF('[1]P-GENERAL'!Q392="","",'[1]P-GENERAL'!Q392)</f>
        <v>NORMAL</v>
      </c>
      <c r="R392" s="14">
        <f>IF('[1]P-GENERAL'!R392="","",'[1]P-GENERAL'!R392)</f>
        <v>46296</v>
      </c>
      <c r="S392" s="16">
        <f>IF('[1]P-GENERAL'!S392="","",'[1]P-GENERAL'!S392)</f>
        <v>0.72638888888888886</v>
      </c>
      <c r="T392" s="16">
        <f>IF('[1]P-GENERAL'!T392="","",'[1]P-GENERAL'!T392)</f>
        <v>0.20833333333333334</v>
      </c>
      <c r="U392" s="17">
        <f>IF('[1]P-GENERAL'!U392="","",'[1]P-GENERAL'!U392)</f>
        <v>46296.934722222228</v>
      </c>
      <c r="V392" s="14">
        <f>IF('[1]P-GENERAL'!V392="","",'[1]P-GENERAL'!V392)</f>
        <v>46299</v>
      </c>
      <c r="W392" s="16">
        <f>IF('[1]P-GENERAL'!W392="","",'[1]P-GENERAL'!W392)</f>
        <v>0.52083333333333337</v>
      </c>
      <c r="X392" s="14" t="str">
        <f>IF('[1]P-GENERAL'!X392="","",'[1]P-GENERAL'!X392)</f>
        <v>SI CUMPLE</v>
      </c>
      <c r="Y392" s="14" t="str">
        <f>IF('[1]P-GENERAL'!Y392="","",'[1]P-GENERAL'!Y392)</f>
        <v>NO CUMPLE</v>
      </c>
      <c r="Z392" s="14" t="str">
        <f>IF('[1]P-GENERAL'!Z392="","",'[1]P-GENERAL'!Z392)</f>
        <v/>
      </c>
      <c r="AA392" s="14" t="str">
        <f>IF('[1]P-GENERAL'!AA392="","",'[1]P-GENERAL'!AA392)</f>
        <v>DESPACHADO</v>
      </c>
      <c r="AB392" s="8" t="str">
        <f>IF('[1]P-GENERAL'!AB392="","",'[1]P-GENERAL'!AB392)</f>
        <v>GENARO IBAÑEZ</v>
      </c>
      <c r="AC392" s="8" t="str">
        <f>IF('[1]P-GENERAL'!AC392="","",'[1]P-GENERAL'!AC392)</f>
        <v>JOSE LUIS NERY</v>
      </c>
      <c r="AD392">
        <f>IF('[1]P-GENERAL'!AD392="","",'[1]P-GENERAL'!AD392)</f>
        <v>67986</v>
      </c>
      <c r="AE392" t="str">
        <f>IF('[1]P-GENERAL'!AE392="","",'[1]P-GENERAL'!AE392)</f>
        <v>QEP1W00YC0</v>
      </c>
    </row>
    <row r="393" spans="1:31" ht="20.25" x14ac:dyDescent="0.3">
      <c r="A393" s="11" t="str">
        <f>IF('[1]P-GENERAL'!A393="","",'[1]P-GENERAL'!A393)</f>
        <v>Chanitos Premium Tarima Chep</v>
      </c>
      <c r="B393" s="11" t="str">
        <f>IF('[1]P-GENERAL'!B393="","",'[1]P-GENERAL'!B393)</f>
        <v>CPR01102</v>
      </c>
      <c r="C393" t="str">
        <f>IF('[1]P-GENERAL'!C393="","",'[1]P-GENERAL'!C393)</f>
        <v>A04038-400210-1</v>
      </c>
      <c r="D393" t="str">
        <f>IF('[1]P-GENERAL'!D393="","",'[1]P-GENERAL'!D393)</f>
        <v>A04 038 El Triunfo Nava</v>
      </c>
      <c r="E393" s="8" t="str">
        <f>IF('[1]P-GENERAL'!E393="","",'[1]P-GENERAL'!E393)</f>
        <v>VSA</v>
      </c>
      <c r="F393" s="12">
        <f>IF('[1]P-GENERAL'!F393="","",'[1]P-GENERAL'!F393)</f>
        <v>864</v>
      </c>
      <c r="G393" s="13">
        <f>IF('[1]P-GENERAL'!G393="","",'[1]P-GENERAL'!G393)</f>
        <v>18</v>
      </c>
      <c r="H393" s="14">
        <f>IF('[1]P-GENERAL'!H393="","",'[1]P-GENERAL'!H393)</f>
        <v>46297</v>
      </c>
      <c r="I393">
        <f>IF('[1]P-GENERAL'!I393="","",'[1]P-GENERAL'!I393)</f>
        <v>40</v>
      </c>
      <c r="J393" s="15">
        <f>IF('[1]P-GENERAL'!J393="","",'[1]P-GENERAL'!J393)</f>
        <v>46300</v>
      </c>
      <c r="K393" s="14" t="str">
        <f>IF('[1]P-GENERAL'!K393="","",'[1]P-GENERAL'!K393)</f>
        <v/>
      </c>
      <c r="L393" s="14" t="str">
        <f>IF('[1]P-GENERAL'!L393="","",'[1]P-GENERAL'!L393)</f>
        <v>PREENFRIO FORTALEZA</v>
      </c>
      <c r="M393">
        <f>IF('[1]P-GENERAL'!M393="","",'[1]P-GENERAL'!M393)</f>
        <v>1</v>
      </c>
      <c r="N393">
        <f>IF('[1]P-GENERAL'!N393="","",'[1]P-GENERAL'!N393)</f>
        <v>24</v>
      </c>
      <c r="O393" s="14">
        <f>IF('[1]P-GENERAL'!O393="","",'[1]P-GENERAL'!O393)</f>
        <v>46298</v>
      </c>
      <c r="P393" s="16">
        <f>IF('[1]P-GENERAL'!P393="","",'[1]P-GENERAL'!P393)</f>
        <v>0.56111111111111112</v>
      </c>
      <c r="Q393" t="str">
        <f>IF('[1]P-GENERAL'!Q393="","",'[1]P-GENERAL'!Q393)</f>
        <v>NORMAL</v>
      </c>
      <c r="R393" s="14">
        <f>IF('[1]P-GENERAL'!R393="","",'[1]P-GENERAL'!R393)</f>
        <v>46298</v>
      </c>
      <c r="S393" s="16">
        <f>IF('[1]P-GENERAL'!S393="","",'[1]P-GENERAL'!S393)</f>
        <v>0.89583333333333337</v>
      </c>
      <c r="T393" s="16">
        <f>IF('[1]P-GENERAL'!T393="","",'[1]P-GENERAL'!T393)</f>
        <v>0.41666666666666669</v>
      </c>
      <c r="U393" s="17">
        <f>IF('[1]P-GENERAL'!U393="","",'[1]P-GENERAL'!U393)</f>
        <v>46299.3125</v>
      </c>
      <c r="V393" s="14">
        <f>IF('[1]P-GENERAL'!V393="","",'[1]P-GENERAL'!V393)</f>
        <v>46299</v>
      </c>
      <c r="W393" s="16">
        <f>IF('[1]P-GENERAL'!W393="","",'[1]P-GENERAL'!W393)</f>
        <v>0.52083333333333337</v>
      </c>
      <c r="X393" s="14" t="str">
        <f>IF('[1]P-GENERAL'!X393="","",'[1]P-GENERAL'!X393)</f>
        <v>NO CUMPLE</v>
      </c>
      <c r="Y393" s="14" t="str">
        <f>IF('[1]P-GENERAL'!Y393="","",'[1]P-GENERAL'!Y393)</f>
        <v>NO CUMPLE</v>
      </c>
      <c r="Z393" s="14" t="str">
        <f>IF('[1]P-GENERAL'!Z393="","",'[1]P-GENERAL'!Z393)</f>
        <v/>
      </c>
      <c r="AA393" s="14" t="str">
        <f>IF('[1]P-GENERAL'!AA393="","",'[1]P-GENERAL'!AA393)</f>
        <v>DESPACHADO</v>
      </c>
      <c r="AB393" s="8" t="str">
        <f>IF('[1]P-GENERAL'!AB393="","",'[1]P-GENERAL'!AB393)</f>
        <v>GENARO IBAÑEZ</v>
      </c>
      <c r="AC393" s="8" t="str">
        <f>IF('[1]P-GENERAL'!AC393="","",'[1]P-GENERAL'!AC393)</f>
        <v>JESUS FUENTES ESPINOSA</v>
      </c>
      <c r="AD393">
        <f>IF('[1]P-GENERAL'!AD393="","",'[1]P-GENERAL'!AD393)</f>
        <v>67986</v>
      </c>
      <c r="AE393" t="str">
        <f>IF('[1]P-GENERAL'!AE393="","",'[1]P-GENERAL'!AE393)</f>
        <v>QEP1W00YC0</v>
      </c>
    </row>
    <row r="394" spans="1:31" ht="20.25" x14ac:dyDescent="0.3">
      <c r="A394" s="11" t="str">
        <f>IF('[1]P-GENERAL'!A394="","",'[1]P-GENERAL'!A394)</f>
        <v>Chanitos Organic Banded Market Side Mexico</v>
      </c>
      <c r="B394" s="11" t="str">
        <f>IF('[1]P-GENERAL'!B394="","",'[1]P-GENERAL'!B394)</f>
        <v>CRG07128</v>
      </c>
      <c r="C394" t="str">
        <f>IF('[1]P-GENERAL'!C394="","",'[1]P-GENERAL'!C394)</f>
        <v>A01002-400110-1</v>
      </c>
      <c r="D394" t="str">
        <f>IF('[1]P-GENERAL'!D394="","",'[1]P-GENERAL'!D394)</f>
        <v>A01 002 Fortaleza</v>
      </c>
      <c r="E394" s="8" t="str">
        <f>IF('[1]P-GENERAL'!E394="","",'[1]P-GENERAL'!E394)</f>
        <v>QRO</v>
      </c>
      <c r="F394" s="12">
        <f>IF('[1]P-GENERAL'!F394="","",'[1]P-GENERAL'!F394)</f>
        <v>96</v>
      </c>
      <c r="G394" s="13">
        <f>IF('[1]P-GENERAL'!G394="","",'[1]P-GENERAL'!G394)</f>
        <v>2</v>
      </c>
      <c r="H394" s="14">
        <f>IF('[1]P-GENERAL'!H394="","",'[1]P-GENERAL'!H394)</f>
        <v>46296</v>
      </c>
      <c r="I394">
        <f>IF('[1]P-GENERAL'!I394="","",'[1]P-GENERAL'!I394)</f>
        <v>40</v>
      </c>
      <c r="J394" s="15">
        <f>IF('[1]P-GENERAL'!J394="","",'[1]P-GENERAL'!J394)</f>
        <v>46300</v>
      </c>
      <c r="K394" s="14">
        <f>IF('[1]P-GENERAL'!K394="","",'[1]P-GENERAL'!K394)</f>
        <v>0.25</v>
      </c>
      <c r="L394" s="14" t="str">
        <f>IF('[1]P-GENERAL'!L394="","",'[1]P-GENERAL'!L394)</f>
        <v>PREENFRIO FORTALEZA</v>
      </c>
      <c r="M394">
        <f>IF('[1]P-GENERAL'!M394="","",'[1]P-GENERAL'!M394)</f>
        <v>1.5</v>
      </c>
      <c r="N394">
        <f>IF('[1]P-GENERAL'!N394="","",'[1]P-GENERAL'!N394)</f>
        <v>36</v>
      </c>
      <c r="O394" s="14">
        <f>IF('[1]P-GENERAL'!O394="","",'[1]P-GENERAL'!O394)</f>
        <v>46296</v>
      </c>
      <c r="P394" s="16">
        <f>IF('[1]P-GENERAL'!P394="","",'[1]P-GENERAL'!P394)</f>
        <v>0.73263888888888884</v>
      </c>
      <c r="Q394" t="str">
        <f>IF('[1]P-GENERAL'!Q394="","",'[1]P-GENERAL'!Q394)</f>
        <v>NORMAL</v>
      </c>
      <c r="R394" s="14">
        <f>IF('[1]P-GENERAL'!R394="","",'[1]P-GENERAL'!R394)</f>
        <v>46296</v>
      </c>
      <c r="S394" s="16">
        <f>IF('[1]P-GENERAL'!S394="","",'[1]P-GENERAL'!S394)</f>
        <v>0.72638888888888886</v>
      </c>
      <c r="T394" s="16">
        <f>IF('[1]P-GENERAL'!T394="","",'[1]P-GENERAL'!T394)</f>
        <v>0.20833333333333334</v>
      </c>
      <c r="U394" s="17">
        <f>IF('[1]P-GENERAL'!U394="","",'[1]P-GENERAL'!U394)</f>
        <v>46296.934722222228</v>
      </c>
      <c r="V394" s="14">
        <f>IF('[1]P-GENERAL'!V394="","",'[1]P-GENERAL'!V394)</f>
        <v>46297</v>
      </c>
      <c r="W394" s="16">
        <f>IF('[1]P-GENERAL'!W394="","",'[1]P-GENERAL'!W394)</f>
        <v>1.0416666666666666E-2</v>
      </c>
      <c r="X394" s="14" t="str">
        <f>IF('[1]P-GENERAL'!X394="","",'[1]P-GENERAL'!X394)</f>
        <v>SI CUMPLE</v>
      </c>
      <c r="Y394" s="14" t="str">
        <f>IF('[1]P-GENERAL'!Y394="","",'[1]P-GENERAL'!Y394)</f>
        <v>SI CUMPLE</v>
      </c>
      <c r="Z394" s="14" t="str">
        <f>IF('[1]P-GENERAL'!Z394="","",'[1]P-GENERAL'!Z394)</f>
        <v>COMPLETA EN NELLY</v>
      </c>
      <c r="AA394" s="14" t="str">
        <f>IF('[1]P-GENERAL'!AA394="","",'[1]P-GENERAL'!AA394)</f>
        <v>DESPACHADO</v>
      </c>
      <c r="AB394" s="8" t="str">
        <f>IF('[1]P-GENERAL'!AB394="","",'[1]P-GENERAL'!AB394)</f>
        <v>GUILLERMO PEREZ PEREZ</v>
      </c>
      <c r="AC394" s="8" t="str">
        <f>IF('[1]P-GENERAL'!AC394="","",'[1]P-GENERAL'!AC394)</f>
        <v>JOSE FRANCISCO HUERTA ABURTO</v>
      </c>
      <c r="AD394">
        <f>IF('[1]P-GENERAL'!AD394="","",'[1]P-GENERAL'!AD394)</f>
        <v>45046</v>
      </c>
      <c r="AE394" t="str">
        <f>IF('[1]P-GENERAL'!AE394="","",'[1]P-GENERAL'!AE394)</f>
        <v>QEP1W00380</v>
      </c>
    </row>
    <row r="395" spans="1:31" ht="20.25" x14ac:dyDescent="0.3">
      <c r="A395" s="11" t="str">
        <f>IF('[1]P-GENERAL'!A395="","",'[1]P-GENERAL'!A395)</f>
        <v>Chanitos Premium Tarima Chep</v>
      </c>
      <c r="B395" s="11" t="str">
        <f>IF('[1]P-GENERAL'!B395="","",'[1]P-GENERAL'!B395)</f>
        <v>CPR01102</v>
      </c>
      <c r="C395" t="str">
        <f>IF('[1]P-GENERAL'!C395="","",'[1]P-GENERAL'!C395)</f>
        <v>A01003-400110-1</v>
      </c>
      <c r="D395" t="str">
        <f>IF('[1]P-GENERAL'!D395="","",'[1]P-GENERAL'!D395)</f>
        <v>A01 003 Doña Nelly</v>
      </c>
      <c r="E395" s="8" t="str">
        <f>IF('[1]P-GENERAL'!E395="","",'[1]P-GENERAL'!E395)</f>
        <v>SMO</v>
      </c>
      <c r="F395" s="12">
        <f>IF('[1]P-GENERAL'!F395="","",'[1]P-GENERAL'!F395)</f>
        <v>1152</v>
      </c>
      <c r="G395" s="13">
        <f>IF('[1]P-GENERAL'!G395="","",'[1]P-GENERAL'!G395)</f>
        <v>24</v>
      </c>
      <c r="H395" s="14">
        <f>IF('[1]P-GENERAL'!H395="","",'[1]P-GENERAL'!H395)</f>
        <v>46296</v>
      </c>
      <c r="I395">
        <f>IF('[1]P-GENERAL'!I395="","",'[1]P-GENERAL'!I395)</f>
        <v>40</v>
      </c>
      <c r="J395" s="15">
        <f>IF('[1]P-GENERAL'!J395="","",'[1]P-GENERAL'!J395)</f>
        <v>46301</v>
      </c>
      <c r="K395" s="14" t="str">
        <f>IF('[1]P-GENERAL'!K395="","",'[1]P-GENERAL'!K395)</f>
        <v/>
      </c>
      <c r="L395" s="14" t="str">
        <f>IF('[1]P-GENERAL'!L395="","",'[1]P-GENERAL'!L395)</f>
        <v>PREENFRIO NELLY</v>
      </c>
      <c r="M395">
        <f>IF('[1]P-GENERAL'!M395="","",'[1]P-GENERAL'!M395)</f>
        <v>1.5</v>
      </c>
      <c r="N395">
        <f>IF('[1]P-GENERAL'!N395="","",'[1]P-GENERAL'!N395)</f>
        <v>36</v>
      </c>
      <c r="O395" s="14">
        <f>IF('[1]P-GENERAL'!O395="","",'[1]P-GENERAL'!O395)</f>
        <v>46296</v>
      </c>
      <c r="P395" s="16">
        <f>IF('[1]P-GENERAL'!P395="","",'[1]P-GENERAL'!P395)</f>
        <v>0.75</v>
      </c>
      <c r="Q395" t="str">
        <f>IF('[1]P-GENERAL'!Q395="","",'[1]P-GENERAL'!Q395)</f>
        <v>ALTA</v>
      </c>
      <c r="R395" s="14">
        <f>IF('[1]P-GENERAL'!R395="","",'[1]P-GENERAL'!R395)</f>
        <v>46296</v>
      </c>
      <c r="S395" s="16">
        <f>IF('[1]P-GENERAL'!S395="","",'[1]P-GENERAL'!S395)</f>
        <v>0.41666666666666669</v>
      </c>
      <c r="T395" s="16">
        <f>IF('[1]P-GENERAL'!T395="","",'[1]P-GENERAL'!T395)</f>
        <v>0.35416666666666669</v>
      </c>
      <c r="U395" s="17">
        <f>IF('[1]P-GENERAL'!U395="","",'[1]P-GENERAL'!U395)</f>
        <v>46296.770833333328</v>
      </c>
      <c r="V395" s="14">
        <f>IF('[1]P-GENERAL'!V395="","",'[1]P-GENERAL'!V395)</f>
        <v>46297</v>
      </c>
      <c r="W395" s="16">
        <f>IF('[1]P-GENERAL'!W395="","",'[1]P-GENERAL'!W395)</f>
        <v>0.20833333333333334</v>
      </c>
      <c r="X395" s="14" t="str">
        <f>IF('[1]P-GENERAL'!X395="","",'[1]P-GENERAL'!X395)</f>
        <v>SI CUMPLE</v>
      </c>
      <c r="Y395" s="14" t="str">
        <f>IF('[1]P-GENERAL'!Y395="","",'[1]P-GENERAL'!Y395)</f>
        <v>SI CUMPLE</v>
      </c>
      <c r="Z395" s="14" t="str">
        <f>IF('[1]P-GENERAL'!Z395="","",'[1]P-GENERAL'!Z395)</f>
        <v/>
      </c>
      <c r="AA395" s="14" t="str">
        <f>IF('[1]P-GENERAL'!AA395="","",'[1]P-GENERAL'!AA395)</f>
        <v>DESPACHADO</v>
      </c>
      <c r="AB395" s="8" t="str">
        <f>IF('[1]P-GENERAL'!AB395="","",'[1]P-GENERAL'!AB395)</f>
        <v>LEOPOLDO LEGORRETA LEGORRETA</v>
      </c>
      <c r="AC395" s="8" t="str">
        <f>IF('[1]P-GENERAL'!AC395="","",'[1]P-GENERAL'!AC395)</f>
        <v>ALAN ANDRES MARTINEZ LEGORRETA</v>
      </c>
      <c r="AD395" t="str">
        <f>IF('[1]P-GENERAL'!AD395="","",'[1]P-GENERAL'!AD395)</f>
        <v/>
      </c>
      <c r="AE395" t="str">
        <f>IF('[1]P-GENERAL'!AE395="","",'[1]P-GENERAL'!AE395)</f>
        <v/>
      </c>
    </row>
    <row r="396" spans="1:31" ht="20.25" x14ac:dyDescent="0.3">
      <c r="A396" s="11" t="str">
        <f>IF('[1]P-GENERAL'!A396="","",'[1]P-GENERAL'!A396)</f>
        <v>Chanitos Premium Tarima Americana</v>
      </c>
      <c r="B396" s="11" t="str">
        <f>IF('[1]P-GENERAL'!B396="","",'[1]P-GENERAL'!B396)</f>
        <v>CPR01103</v>
      </c>
      <c r="C396" t="str">
        <f>IF('[1]P-GENERAL'!C396="","",'[1]P-GENERAL'!C396)</f>
        <v>A12057-400110-1</v>
      </c>
      <c r="D396" t="str">
        <f>IF('[1]P-GENERAL'!D396="","",'[1]P-GENERAL'!D396)</f>
        <v>A12 057 Tiquisate 1</v>
      </c>
      <c r="E396" s="8" t="str">
        <f>IF('[1]P-GENERAL'!E396="","",'[1]P-GENERAL'!E396)</f>
        <v>S-MTY</v>
      </c>
      <c r="F396" s="12">
        <f>IF('[1]P-GENERAL'!F396="","",'[1]P-GENERAL'!F396)</f>
        <v>960</v>
      </c>
      <c r="G396" s="13">
        <f>IF('[1]P-GENERAL'!G396="","",'[1]P-GENERAL'!G396)</f>
        <v>20</v>
      </c>
      <c r="H396" s="14">
        <f>IF('[1]P-GENERAL'!H396="","",'[1]P-GENERAL'!H396)</f>
        <v>46296</v>
      </c>
      <c r="I396">
        <f>IF('[1]P-GENERAL'!I396="","",'[1]P-GENERAL'!I396)</f>
        <v>40</v>
      </c>
      <c r="J396" s="15">
        <f>IF('[1]P-GENERAL'!J396="","",'[1]P-GENERAL'!J396)</f>
        <v>46300</v>
      </c>
      <c r="K396" s="14" t="str">
        <f>IF('[1]P-GENERAL'!K396="","",'[1]P-GENERAL'!K396)</f>
        <v/>
      </c>
      <c r="L396" s="14" t="str">
        <f>IF('[1]P-GENERAL'!L396="","",'[1]P-GENERAL'!L396)</f>
        <v>PREENFRIO NELLY</v>
      </c>
      <c r="M396">
        <f>IF('[1]P-GENERAL'!M396="","",'[1]P-GENERAL'!M396)</f>
        <v>3</v>
      </c>
      <c r="N396">
        <f>IF('[1]P-GENERAL'!N396="","",'[1]P-GENERAL'!N396)</f>
        <v>72</v>
      </c>
      <c r="O396" s="14">
        <f>IF('[1]P-GENERAL'!O396="","",'[1]P-GENERAL'!O396)</f>
        <v>46297</v>
      </c>
      <c r="P396" s="16">
        <f>IF('[1]P-GENERAL'!P396="","",'[1]P-GENERAL'!P396)</f>
        <v>0.125</v>
      </c>
      <c r="Q396" t="str">
        <f>IF('[1]P-GENERAL'!Q396="","",'[1]P-GENERAL'!Q396)</f>
        <v>ALTA</v>
      </c>
      <c r="R396" s="14">
        <f>IF('[1]P-GENERAL'!R396="","",'[1]P-GENERAL'!R396)</f>
        <v>46297</v>
      </c>
      <c r="S396" s="16">
        <f>IF('[1]P-GENERAL'!S396="","",'[1]P-GENERAL'!S396)</f>
        <v>0.33333333333333331</v>
      </c>
      <c r="T396" s="16">
        <f>IF('[1]P-GENERAL'!T396="","",'[1]P-GENERAL'!T396)</f>
        <v>0.4375</v>
      </c>
      <c r="U396" s="17">
        <f>IF('[1]P-GENERAL'!U396="","",'[1]P-GENERAL'!U396)</f>
        <v>46297.770833333336</v>
      </c>
      <c r="V396" s="14">
        <f>IF('[1]P-GENERAL'!V396="","",'[1]P-GENERAL'!V396)</f>
        <v>46297</v>
      </c>
      <c r="W396" s="16">
        <f>IF('[1]P-GENERAL'!W396="","",'[1]P-GENERAL'!W396)</f>
        <v>0.8125</v>
      </c>
      <c r="X396" s="14" t="str">
        <f>IF('[1]P-GENERAL'!X396="","",'[1]P-GENERAL'!X396)</f>
        <v>NO CUMPLE</v>
      </c>
      <c r="Y396" s="14" t="str">
        <f>IF('[1]P-GENERAL'!Y396="","",'[1]P-GENERAL'!Y396)</f>
        <v>NO CUMPLE</v>
      </c>
      <c r="Z396" s="14" t="str">
        <f>IF('[1]P-GENERAL'!Z396="","",'[1]P-GENERAL'!Z396)</f>
        <v/>
      </c>
      <c r="AA396" s="14" t="str">
        <f>IF('[1]P-GENERAL'!AA396="","",'[1]P-GENERAL'!AA396)</f>
        <v>DESPACHADO</v>
      </c>
      <c r="AB396" s="8" t="str">
        <f>IF('[1]P-GENERAL'!AB396="","",'[1]P-GENERAL'!AB396)</f>
        <v>BACOCA</v>
      </c>
      <c r="AC396" s="8" t="str">
        <f>IF('[1]P-GENERAL'!AC396="","",'[1]P-GENERAL'!AC396)</f>
        <v>MARTHA ISAMAR CABELLO</v>
      </c>
      <c r="AD396" t="str">
        <f>IF('[1]P-GENERAL'!AD396="","",'[1]P-GENERAL'!AD396)</f>
        <v/>
      </c>
      <c r="AE396" t="str">
        <f>IF('[1]P-GENERAL'!AE396="","",'[1]P-GENERAL'!AE396)</f>
        <v/>
      </c>
    </row>
    <row r="397" spans="1:31" ht="20.25" x14ac:dyDescent="0.3">
      <c r="A397" s="11" t="str">
        <f>IF('[1]P-GENERAL'!A397="","",'[1]P-GENERAL'!A397)</f>
        <v>Chanitos Premium EUA Tarima Americana</v>
      </c>
      <c r="B397" s="11" t="str">
        <f>IF('[1]P-GENERAL'!B397="","",'[1]P-GENERAL'!B397)</f>
        <v>CPR01104</v>
      </c>
      <c r="C397" t="str">
        <f>IF('[1]P-GENERAL'!C397="","",'[1]P-GENERAL'!C397)</f>
        <v>A25067-400110-1</v>
      </c>
      <c r="D397" t="str">
        <f>IF('[1]P-GENERAL'!D397="","",'[1]P-GENERAL'!D397)</f>
        <v>A25 067 El Cuerudo GT</v>
      </c>
      <c r="E397" s="8" t="str">
        <f>IF('[1]P-GENERAL'!E397="","",'[1]P-GENERAL'!E397)</f>
        <v>McAllen</v>
      </c>
      <c r="F397" s="12">
        <f>IF('[1]P-GENERAL'!F397="","",'[1]P-GENERAL'!F397)</f>
        <v>960</v>
      </c>
      <c r="G397" s="13">
        <f>IF('[1]P-GENERAL'!G397="","",'[1]P-GENERAL'!G397)</f>
        <v>20</v>
      </c>
      <c r="H397" s="14">
        <f>IF('[1]P-GENERAL'!H397="","",'[1]P-GENERAL'!H397)</f>
        <v>46296</v>
      </c>
      <c r="I397">
        <f>IF('[1]P-GENERAL'!I397="","",'[1]P-GENERAL'!I397)</f>
        <v>40</v>
      </c>
      <c r="J397" s="15">
        <f>IF('[1]P-GENERAL'!J397="","",'[1]P-GENERAL'!J397)</f>
        <v>46301</v>
      </c>
      <c r="K397" s="14" t="str">
        <f>IF('[1]P-GENERAL'!K397="","",'[1]P-GENERAL'!K397)</f>
        <v/>
      </c>
      <c r="L397" s="14" t="str">
        <f>IF('[1]P-GENERAL'!L397="","",'[1]P-GENERAL'!L397)</f>
        <v>PREENFRIO NELLY</v>
      </c>
      <c r="M397">
        <f>IF('[1]P-GENERAL'!M397="","",'[1]P-GENERAL'!M397)</f>
        <v>3</v>
      </c>
      <c r="N397">
        <f>IF('[1]P-GENERAL'!N397="","",'[1]P-GENERAL'!N397)</f>
        <v>72</v>
      </c>
      <c r="O397" s="14">
        <f>IF('[1]P-GENERAL'!O397="","",'[1]P-GENERAL'!O397)</f>
        <v>46297</v>
      </c>
      <c r="P397" s="16">
        <f>IF('[1]P-GENERAL'!P397="","",'[1]P-GENERAL'!P397)</f>
        <v>8.3333333333333329E-2</v>
      </c>
      <c r="Q397" t="str">
        <f>IF('[1]P-GENERAL'!Q397="","",'[1]P-GENERAL'!Q397)</f>
        <v>ALTA</v>
      </c>
      <c r="R397" s="14">
        <f>IF('[1]P-GENERAL'!R397="","",'[1]P-GENERAL'!R397)</f>
        <v>46297</v>
      </c>
      <c r="S397" s="16">
        <f>IF('[1]P-GENERAL'!S397="","",'[1]P-GENERAL'!S397)</f>
        <v>0.72916666666666663</v>
      </c>
      <c r="T397" s="16">
        <f>IF('[1]P-GENERAL'!T397="","",'[1]P-GENERAL'!T397)</f>
        <v>0.35416666666666669</v>
      </c>
      <c r="U397" s="17">
        <f>IF('[1]P-GENERAL'!U397="","",'[1]P-GENERAL'!U397)</f>
        <v>46298.083333333328</v>
      </c>
      <c r="V397" s="14">
        <f>IF('[1]P-GENERAL'!V397="","",'[1]P-GENERAL'!V397)</f>
        <v>46298</v>
      </c>
      <c r="W397" s="16">
        <f>IF('[1]P-GENERAL'!W397="","",'[1]P-GENERAL'!W397)</f>
        <v>8.3333333333333329E-2</v>
      </c>
      <c r="X397" s="14" t="str">
        <f>IF('[1]P-GENERAL'!X397="","",'[1]P-GENERAL'!X397)</f>
        <v>NO CUMPLE</v>
      </c>
      <c r="Y397" s="14" t="str">
        <f>IF('[1]P-GENERAL'!Y397="","",'[1]P-GENERAL'!Y397)</f>
        <v>NO CUMPLE</v>
      </c>
      <c r="Z397" s="14" t="str">
        <f>IF('[1]P-GENERAL'!Z397="","",'[1]P-GENERAL'!Z397)</f>
        <v>Sin Preenfrio</v>
      </c>
      <c r="AA397" s="14" t="str">
        <f>IF('[1]P-GENERAL'!AA397="","",'[1]P-GENERAL'!AA397)</f>
        <v>DESPACHADO</v>
      </c>
      <c r="AB397" s="8" t="str">
        <f>IF('[1]P-GENERAL'!AB397="","",'[1]P-GENERAL'!AB397)</f>
        <v>TRANSPORTES TOMATITOS</v>
      </c>
      <c r="AC397" s="8" t="str">
        <f>IF('[1]P-GENERAL'!AC397="","",'[1]P-GENERAL'!AC397)</f>
        <v/>
      </c>
      <c r="AD397" t="str">
        <f>IF('[1]P-GENERAL'!AD397="","",'[1]P-GENERAL'!AD397)</f>
        <v/>
      </c>
      <c r="AE397" t="str">
        <f>IF('[1]P-GENERAL'!AE397="","",'[1]P-GENERAL'!AE397)</f>
        <v/>
      </c>
    </row>
    <row r="398" spans="1:31" ht="20.25" x14ac:dyDescent="0.3">
      <c r="A398" s="11" t="str">
        <f>IF('[1]P-GENERAL'!A398="","",'[1]P-GENERAL'!A398)</f>
        <v>Chanitos Plantain 50lb Tarima Americana</v>
      </c>
      <c r="B398" s="11" t="str">
        <f>IF('[1]P-GENERAL'!B398="","",'[1]P-GENERAL'!B398)</f>
        <v>CPL08133</v>
      </c>
      <c r="C398" t="str">
        <f>IF('[1]P-GENERAL'!C398="","",'[1]P-GENERAL'!C398)</f>
        <v>A27073-400210-1</v>
      </c>
      <c r="D398" t="str">
        <f>IF('[1]P-GENERAL'!D398="","",'[1]P-GENERAL'!D398)</f>
        <v>A27 073 Plantacion</v>
      </c>
      <c r="E398" s="8" t="str">
        <f>IF('[1]P-GENERAL'!E398="","",'[1]P-GENERAL'!E398)</f>
        <v>McAllen</v>
      </c>
      <c r="F398" s="12">
        <f>IF('[1]P-GENERAL'!F398="","",'[1]P-GENERAL'!F398)</f>
        <v>840</v>
      </c>
      <c r="G398" s="13">
        <f>IF('[1]P-GENERAL'!G398="","",'[1]P-GENERAL'!G398)</f>
        <v>20</v>
      </c>
      <c r="H398" s="14">
        <f>IF('[1]P-GENERAL'!H398="","",'[1]P-GENERAL'!H398)</f>
        <v>46297</v>
      </c>
      <c r="I398">
        <f>IF('[1]P-GENERAL'!I398="","",'[1]P-GENERAL'!I398)</f>
        <v>40</v>
      </c>
      <c r="J398" s="15">
        <f>IF('[1]P-GENERAL'!J398="","",'[1]P-GENERAL'!J398)</f>
        <v>46301</v>
      </c>
      <c r="K398" s="14" t="str">
        <f>IF('[1]P-GENERAL'!K398="","",'[1]P-GENERAL'!K398)</f>
        <v/>
      </c>
      <c r="L398" s="14" t="str">
        <f>IF('[1]P-GENERAL'!L398="","",'[1]P-GENERAL'!L398)</f>
        <v>PREENFRIO FORTALEZA</v>
      </c>
      <c r="M398">
        <f>IF('[1]P-GENERAL'!M398="","",'[1]P-GENERAL'!M398)</f>
        <v>3</v>
      </c>
      <c r="N398">
        <f>IF('[1]P-GENERAL'!N398="","",'[1]P-GENERAL'!N398)</f>
        <v>72</v>
      </c>
      <c r="O398" s="14">
        <f>IF('[1]P-GENERAL'!O398="","",'[1]P-GENERAL'!O398)</f>
        <v>46297</v>
      </c>
      <c r="P398" s="16">
        <f>IF('[1]P-GENERAL'!P398="","",'[1]P-GENERAL'!P398)</f>
        <v>0.93958333333333333</v>
      </c>
      <c r="Q398" t="str">
        <f>IF('[1]P-GENERAL'!Q398="","",'[1]P-GENERAL'!Q398)</f>
        <v>ALTA</v>
      </c>
      <c r="R398" s="14">
        <f>IF('[1]P-GENERAL'!R398="","",'[1]P-GENERAL'!R398)</f>
        <v>46298</v>
      </c>
      <c r="S398" s="16">
        <f>IF('[1]P-GENERAL'!S398="","",'[1]P-GENERAL'!S398)</f>
        <v>0.35416666666666669</v>
      </c>
      <c r="T398" s="16">
        <f>IF('[1]P-GENERAL'!T398="","",'[1]P-GENERAL'!T398)</f>
        <v>0.5</v>
      </c>
      <c r="U398" s="17">
        <f>IF('[1]P-GENERAL'!U398="","",'[1]P-GENERAL'!U398)</f>
        <v>46298.854166666664</v>
      </c>
      <c r="V398" s="14">
        <f>IF('[1]P-GENERAL'!V398="","",'[1]P-GENERAL'!V398)</f>
        <v>46298</v>
      </c>
      <c r="W398" s="16">
        <f>IF('[1]P-GENERAL'!W398="","",'[1]P-GENERAL'!W398)</f>
        <v>0.88402777777777775</v>
      </c>
      <c r="X398" s="14" t="str">
        <f>IF('[1]P-GENERAL'!X398="","",'[1]P-GENERAL'!X398)</f>
        <v>NO CUMPLE</v>
      </c>
      <c r="Y398" s="14" t="str">
        <f>IF('[1]P-GENERAL'!Y398="","",'[1]P-GENERAL'!Y398)</f>
        <v>NO CUMPLE</v>
      </c>
      <c r="Z398" s="14" t="str">
        <f>IF('[1]P-GENERAL'!Z398="","",'[1]P-GENERAL'!Z398)</f>
        <v/>
      </c>
      <c r="AA398" s="14" t="str">
        <f>IF('[1]P-GENERAL'!AA398="","",'[1]P-GENERAL'!AA398)</f>
        <v>DESPACHADO</v>
      </c>
      <c r="AB398" s="8" t="str">
        <f>IF('[1]P-GENERAL'!AB398="","",'[1]P-GENERAL'!AB398)</f>
        <v>EXPRESS CAVAZOS CANTU</v>
      </c>
      <c r="AC398" s="8" t="str">
        <f>IF('[1]P-GENERAL'!AC398="","",'[1]P-GENERAL'!AC398)</f>
        <v>EMILIO CALDERON HERNANDEZ</v>
      </c>
      <c r="AD398">
        <f>IF('[1]P-GENERAL'!AD398="","",'[1]P-GENERAL'!AD398)</f>
        <v>41074</v>
      </c>
      <c r="AE398" t="str">
        <f>IF('[1]P-GENERAL'!AE398="","",'[1]P-GENERAL'!AE398)</f>
        <v>QEP1W00XF0</v>
      </c>
    </row>
    <row r="399" spans="1:31" ht="20.25" x14ac:dyDescent="0.3">
      <c r="A399" s="11" t="str">
        <f>IF('[1]P-GENERAL'!A399="","",'[1]P-GENERAL'!A399)</f>
        <v>Chanitos Premium Tarima Americana</v>
      </c>
      <c r="B399" s="11" t="str">
        <f>IF('[1]P-GENERAL'!B399="","",'[1]P-GENERAL'!B399)</f>
        <v>CPR01103</v>
      </c>
      <c r="C399" t="str">
        <f>IF('[1]P-GENERAL'!C399="","",'[1]P-GENERAL'!C399)</f>
        <v>Heavy</v>
      </c>
      <c r="D399" t="str">
        <f>IF('[1]P-GENERAL'!D399="","",'[1]P-GENERAL'!D399)</f>
        <v>Heavy</v>
      </c>
      <c r="E399" s="8" t="str">
        <f>IF('[1]P-GENERAL'!E399="","",'[1]P-GENERAL'!E399)</f>
        <v>S-MTY</v>
      </c>
      <c r="F399" s="12">
        <f>IF('[1]P-GENERAL'!F399="","",'[1]P-GENERAL'!F399)</f>
        <v>960</v>
      </c>
      <c r="G399" s="13">
        <f>IF('[1]P-GENERAL'!G399="","",'[1]P-GENERAL'!G399)</f>
        <v>20</v>
      </c>
      <c r="H399" s="14">
        <f>IF('[1]P-GENERAL'!H399="","",'[1]P-GENERAL'!H399)</f>
        <v>46296</v>
      </c>
      <c r="I399">
        <f>IF('[1]P-GENERAL'!I399="","",'[1]P-GENERAL'!I399)</f>
        <v>40</v>
      </c>
      <c r="J399" s="15">
        <f>IF('[1]P-GENERAL'!J399="","",'[1]P-GENERAL'!J399)</f>
        <v>46302</v>
      </c>
      <c r="K399" s="14" t="str">
        <f>IF('[1]P-GENERAL'!K399="","",'[1]P-GENERAL'!K399)</f>
        <v/>
      </c>
      <c r="L399" s="14" t="str">
        <f>IF('[1]P-GENERAL'!L399="","",'[1]P-GENERAL'!L399)</f>
        <v>PREENFRIO NELLY</v>
      </c>
      <c r="M399">
        <f>IF('[1]P-GENERAL'!M399="","",'[1]P-GENERAL'!M399)</f>
        <v>3</v>
      </c>
      <c r="N399">
        <f>IF('[1]P-GENERAL'!N399="","",'[1]P-GENERAL'!N399)</f>
        <v>72</v>
      </c>
      <c r="O399" s="14">
        <f>IF('[1]P-GENERAL'!O399="","",'[1]P-GENERAL'!O399)</f>
        <v>46297</v>
      </c>
      <c r="P399" s="16">
        <f>IF('[1]P-GENERAL'!P399="","",'[1]P-GENERAL'!P399)</f>
        <v>0.75</v>
      </c>
      <c r="Q399" t="str">
        <f>IF('[1]P-GENERAL'!Q399="","",'[1]P-GENERAL'!Q399)</f>
        <v>ALTA</v>
      </c>
      <c r="R399" s="14">
        <f>IF('[1]P-GENERAL'!R399="","",'[1]P-GENERAL'!R399)</f>
        <v>46298</v>
      </c>
      <c r="S399" s="16">
        <f>IF('[1]P-GENERAL'!S399="","",'[1]P-GENERAL'!S399)</f>
        <v>0.47916666666666669</v>
      </c>
      <c r="T399" s="16">
        <f>IF('[1]P-GENERAL'!T399="","",'[1]P-GENERAL'!T399)</f>
        <v>0.39583333333333331</v>
      </c>
      <c r="U399" s="17">
        <f>IF('[1]P-GENERAL'!U399="","",'[1]P-GENERAL'!U399)</f>
        <v>46298.875</v>
      </c>
      <c r="V399" s="14">
        <f>IF('[1]P-GENERAL'!V399="","",'[1]P-GENERAL'!V399)</f>
        <v>46298</v>
      </c>
      <c r="W399" s="16">
        <f>IF('[1]P-GENERAL'!W399="","",'[1]P-GENERAL'!W399)</f>
        <v>0.875</v>
      </c>
      <c r="X399" s="14" t="str">
        <f>IF('[1]P-GENERAL'!X399="","",'[1]P-GENERAL'!X399)</f>
        <v>SI CUMPLE</v>
      </c>
      <c r="Y399" s="14" t="str">
        <f>IF('[1]P-GENERAL'!Y399="","",'[1]P-GENERAL'!Y399)</f>
        <v>SI CUMPLE</v>
      </c>
      <c r="Z399" s="14" t="str">
        <f>IF('[1]P-GENERAL'!Z399="","",'[1]P-GENERAL'!Z399)</f>
        <v/>
      </c>
      <c r="AA399" s="14" t="str">
        <f>IF('[1]P-GENERAL'!AA399="","",'[1]P-GENERAL'!AA399)</f>
        <v>DESPACHADO</v>
      </c>
      <c r="AB399" s="8" t="str">
        <f>IF('[1]P-GENERAL'!AB399="","",'[1]P-GENERAL'!AB399)</f>
        <v>AUTO EXPRESS SEGOVIA</v>
      </c>
      <c r="AC399" s="8" t="str">
        <f>IF('[1]P-GENERAL'!AC399="","",'[1]P-GENERAL'!AC399)</f>
        <v/>
      </c>
      <c r="AD399" t="str">
        <f>IF('[1]P-GENERAL'!AD399="","",'[1]P-GENERAL'!AD399)</f>
        <v/>
      </c>
      <c r="AE399" t="str">
        <f>IF('[1]P-GENERAL'!AE399="","",'[1]P-GENERAL'!AE399)</f>
        <v/>
      </c>
    </row>
    <row r="400" spans="1:31" ht="20.25" x14ac:dyDescent="0.3">
      <c r="A400" s="11" t="str">
        <f>IF('[1]P-GENERAL'!A400="","",'[1]P-GENERAL'!A400)</f>
        <v>Chanitos Premium Tarima Americana</v>
      </c>
      <c r="B400" s="11" t="str">
        <f>IF('[1]P-GENERAL'!B400="","",'[1]P-GENERAL'!B400)</f>
        <v>CPR01103</v>
      </c>
      <c r="C400" t="str">
        <f>IF('[1]P-GENERAL'!C400="","",'[1]P-GENERAL'!C400)</f>
        <v>A25022-400210-1</v>
      </c>
      <c r="D400" t="str">
        <f>IF('[1]P-GENERAL'!D400="","",'[1]P-GENERAL'!D400)</f>
        <v>A25 022 Doña Mildred</v>
      </c>
      <c r="E400" s="8" t="str">
        <f>IF('[1]P-GENERAL'!E400="","",'[1]P-GENERAL'!E400)</f>
        <v>S-MTY</v>
      </c>
      <c r="F400" s="12">
        <f>IF('[1]P-GENERAL'!F400="","",'[1]P-GENERAL'!F400)</f>
        <v>960</v>
      </c>
      <c r="G400" s="13">
        <f>IF('[1]P-GENERAL'!G400="","",'[1]P-GENERAL'!G400)</f>
        <v>20</v>
      </c>
      <c r="H400" s="14">
        <f>IF('[1]P-GENERAL'!H400="","",'[1]P-GENERAL'!H400)</f>
        <v>46297</v>
      </c>
      <c r="I400">
        <f>IF('[1]P-GENERAL'!I400="","",'[1]P-GENERAL'!I400)</f>
        <v>40</v>
      </c>
      <c r="J400" s="15">
        <f>IF('[1]P-GENERAL'!J400="","",'[1]P-GENERAL'!J400)</f>
        <v>46302</v>
      </c>
      <c r="K400" s="14" t="str">
        <f>IF('[1]P-GENERAL'!K400="","",'[1]P-GENERAL'!K400)</f>
        <v/>
      </c>
      <c r="L400" s="14" t="str">
        <f>IF('[1]P-GENERAL'!L400="","",'[1]P-GENERAL'!L400)</f>
        <v>PREENFRIO NELLY</v>
      </c>
      <c r="M400">
        <f>IF('[1]P-GENERAL'!M400="","",'[1]P-GENERAL'!M400)</f>
        <v>3</v>
      </c>
      <c r="N400">
        <f>IF('[1]P-GENERAL'!N400="","",'[1]P-GENERAL'!N400)</f>
        <v>72</v>
      </c>
      <c r="O400" s="14">
        <f>IF('[1]P-GENERAL'!O400="","",'[1]P-GENERAL'!O400)</f>
        <v>46297</v>
      </c>
      <c r="P400" s="16">
        <f>IF('[1]P-GENERAL'!P400="","",'[1]P-GENERAL'!P400)</f>
        <v>0.75</v>
      </c>
      <c r="Q400" t="str">
        <f>IF('[1]P-GENERAL'!Q400="","",'[1]P-GENERAL'!Q400)</f>
        <v>ALTA</v>
      </c>
      <c r="R400" s="14">
        <f>IF('[1]P-GENERAL'!R400="","",'[1]P-GENERAL'!R400)</f>
        <v>46298</v>
      </c>
      <c r="S400" s="16">
        <f>IF('[1]P-GENERAL'!S400="","",'[1]P-GENERAL'!S400)</f>
        <v>4.1666666666666664E-2</v>
      </c>
      <c r="T400" s="16">
        <f>IF('[1]P-GENERAL'!T400="","",'[1]P-GENERAL'!T400)</f>
        <v>0.4375</v>
      </c>
      <c r="U400" s="17">
        <f>IF('[1]P-GENERAL'!U400="","",'[1]P-GENERAL'!U400)</f>
        <v>46298.479166666664</v>
      </c>
      <c r="V400" s="14">
        <f>IF('[1]P-GENERAL'!V400="","",'[1]P-GENERAL'!V400)</f>
        <v>46298</v>
      </c>
      <c r="W400" s="16">
        <f>IF('[1]P-GENERAL'!W400="","",'[1]P-GENERAL'!W400)</f>
        <v>0.875</v>
      </c>
      <c r="X400" s="14" t="str">
        <f>IF('[1]P-GENERAL'!X400="","",'[1]P-GENERAL'!X400)</f>
        <v>SI CUMPLE</v>
      </c>
      <c r="Y400" s="14" t="str">
        <f>IF('[1]P-GENERAL'!Y400="","",'[1]P-GENERAL'!Y400)</f>
        <v>SI CUMPLE</v>
      </c>
      <c r="Z400" s="14" t="str">
        <f>IF('[1]P-GENERAL'!Z400="","",'[1]P-GENERAL'!Z400)</f>
        <v/>
      </c>
      <c r="AA400" s="14" t="str">
        <f>IF('[1]P-GENERAL'!AA400="","",'[1]P-GENERAL'!AA400)</f>
        <v>DESPACHADO</v>
      </c>
      <c r="AB400" s="8" t="str">
        <f>IF('[1]P-GENERAL'!AB400="","",'[1]P-GENERAL'!AB400)</f>
        <v>AUTO EXPRESS SEGOVIA</v>
      </c>
      <c r="AC400" s="8" t="str">
        <f>IF('[1]P-GENERAL'!AC400="","",'[1]P-GENERAL'!AC400)</f>
        <v/>
      </c>
      <c r="AD400" t="str">
        <f>IF('[1]P-GENERAL'!AD400="","",'[1]P-GENERAL'!AD400)</f>
        <v/>
      </c>
      <c r="AE400" t="str">
        <f>IF('[1]P-GENERAL'!AE400="","",'[1]P-GENERAL'!AE400)</f>
        <v/>
      </c>
    </row>
    <row r="401" spans="1:31" ht="20.25" x14ac:dyDescent="0.3">
      <c r="A401" s="11" t="str">
        <f>IF('[1]P-GENERAL'!A401="","",'[1]P-GENERAL'!A401)</f>
        <v>Chanitos Premium EUA Tarima Americana</v>
      </c>
      <c r="B401" s="11" t="str">
        <f>IF('[1]P-GENERAL'!B401="","",'[1]P-GENERAL'!B401)</f>
        <v>CPR01104</v>
      </c>
      <c r="C401" t="str">
        <f>IF('[1]P-GENERAL'!C401="","",'[1]P-GENERAL'!C401)</f>
        <v>A04039-403009-1</v>
      </c>
      <c r="D401" t="str">
        <f>IF('[1]P-GENERAL'!D401="","",'[1]P-GENERAL'!D401)</f>
        <v>A04 039 San Jose Morelia Nava</v>
      </c>
      <c r="E401" s="8" t="str">
        <f>IF('[1]P-GENERAL'!E401="","",'[1]P-GENERAL'!E401)</f>
        <v>McAllen</v>
      </c>
      <c r="F401" s="12">
        <f>IF('[1]P-GENERAL'!F401="","",'[1]P-GENERAL'!F401)</f>
        <v>288</v>
      </c>
      <c r="G401" s="13">
        <f>IF('[1]P-GENERAL'!G401="","",'[1]P-GENERAL'!G401)</f>
        <v>6</v>
      </c>
      <c r="H401" s="14">
        <f>IF('[1]P-GENERAL'!H401="","",'[1]P-GENERAL'!H401)</f>
        <v>46295</v>
      </c>
      <c r="I401">
        <f>IF('[1]P-GENERAL'!I401="","",'[1]P-GENERAL'!I401)</f>
        <v>40</v>
      </c>
      <c r="J401" s="15">
        <f>IF('[1]P-GENERAL'!J401="","",'[1]P-GENERAL'!J401)</f>
        <v>46301</v>
      </c>
      <c r="K401" s="14" t="str">
        <f>IF('[1]P-GENERAL'!K401="","",'[1]P-GENERAL'!K401)</f>
        <v/>
      </c>
      <c r="L401" s="14" t="str">
        <f>IF('[1]P-GENERAL'!L401="","",'[1]P-GENERAL'!L401)</f>
        <v>PREENFRIO NELLY</v>
      </c>
      <c r="M401">
        <f>IF('[1]P-GENERAL'!M401="","",'[1]P-GENERAL'!M401)</f>
        <v>3</v>
      </c>
      <c r="N401">
        <f>IF('[1]P-GENERAL'!N401="","",'[1]P-GENERAL'!N401)</f>
        <v>72</v>
      </c>
      <c r="O401" s="14">
        <f>IF('[1]P-GENERAL'!O401="","",'[1]P-GENERAL'!O401)</f>
        <v>46298</v>
      </c>
      <c r="P401" s="16">
        <f>IF('[1]P-GENERAL'!P401="","",'[1]P-GENERAL'!P401)</f>
        <v>0.25</v>
      </c>
      <c r="Q401" t="str">
        <f>IF('[1]P-GENERAL'!Q401="","",'[1]P-GENERAL'!Q401)</f>
        <v>ALTA</v>
      </c>
      <c r="R401" s="14">
        <f>IF('[1]P-GENERAL'!R401="","",'[1]P-GENERAL'!R401)</f>
        <v>46298</v>
      </c>
      <c r="S401" s="16">
        <f>IF('[1]P-GENERAL'!S401="","",'[1]P-GENERAL'!S401)</f>
        <v>0.875</v>
      </c>
      <c r="T401" s="16">
        <f>IF('[1]P-GENERAL'!T401="","",'[1]P-GENERAL'!T401)</f>
        <v>0.35416666666666669</v>
      </c>
      <c r="U401" s="17">
        <f>IF('[1]P-GENERAL'!U401="","",'[1]P-GENERAL'!U401)</f>
        <v>46299.229166666664</v>
      </c>
      <c r="V401" s="14">
        <f>IF('[1]P-GENERAL'!V401="","",'[1]P-GENERAL'!V401)</f>
        <v>46298</v>
      </c>
      <c r="W401" s="16">
        <f>IF('[1]P-GENERAL'!W401="","",'[1]P-GENERAL'!W401)</f>
        <v>0.22916666666666666</v>
      </c>
      <c r="X401" s="14" t="str">
        <f>IF('[1]P-GENERAL'!X401="","",'[1]P-GENERAL'!X401)</f>
        <v>NO CUMPLE</v>
      </c>
      <c r="Y401" s="14" t="str">
        <f>IF('[1]P-GENERAL'!Y401="","",'[1]P-GENERAL'!Y401)</f>
        <v>NO CUMPLE</v>
      </c>
      <c r="Z401" s="14" t="str">
        <f>IF('[1]P-GENERAL'!Z401="","",'[1]P-GENERAL'!Z401)</f>
        <v>EMPAQUE TARDIO</v>
      </c>
      <c r="AA401" s="14" t="str">
        <f>IF('[1]P-GENERAL'!AA401="","",'[1]P-GENERAL'!AA401)</f>
        <v>DESPACHADO</v>
      </c>
      <c r="AB401" s="8" t="str">
        <f>IF('[1]P-GENERAL'!AB401="","",'[1]P-GENERAL'!AB401)</f>
        <v>EXPRESS CAVAZOS CANTU</v>
      </c>
      <c r="AC401" s="8" t="str">
        <f>IF('[1]P-GENERAL'!AC401="","",'[1]P-GENERAL'!AC401)</f>
        <v/>
      </c>
      <c r="AD401" t="str">
        <f>IF('[1]P-GENERAL'!AD401="","",'[1]P-GENERAL'!AD401)</f>
        <v/>
      </c>
      <c r="AE401" t="str">
        <f>IF('[1]P-GENERAL'!AE401="","",'[1]P-GENERAL'!AE401)</f>
        <v/>
      </c>
    </row>
    <row r="402" spans="1:31" ht="20.25" x14ac:dyDescent="0.3">
      <c r="A402" s="11" t="str">
        <f>IF('[1]P-GENERAL'!A402="","",'[1]P-GENERAL'!A402)</f>
        <v>Chanitos Premium EUA Tarima Americana</v>
      </c>
      <c r="B402" s="11" t="str">
        <f>IF('[1]P-GENERAL'!B402="","",'[1]P-GENERAL'!B402)</f>
        <v>CPR01104</v>
      </c>
      <c r="C402" t="str">
        <f>IF('[1]P-GENERAL'!C402="","",'[1]P-GENERAL'!C402)</f>
        <v>A04039-400110-1</v>
      </c>
      <c r="D402" t="str">
        <f>IF('[1]P-GENERAL'!D402="","",'[1]P-GENERAL'!D402)</f>
        <v>A04 039 San Jose Morelia Nava</v>
      </c>
      <c r="E402" s="8" t="str">
        <f>IF('[1]P-GENERAL'!E402="","",'[1]P-GENERAL'!E402)</f>
        <v>McAllen</v>
      </c>
      <c r="F402" s="12">
        <f>IF('[1]P-GENERAL'!F402="","",'[1]P-GENERAL'!F402)</f>
        <v>672</v>
      </c>
      <c r="G402" s="13">
        <f>IF('[1]P-GENERAL'!G402="","",'[1]P-GENERAL'!G402)</f>
        <v>14</v>
      </c>
      <c r="H402" s="14">
        <f>IF('[1]P-GENERAL'!H402="","",'[1]P-GENERAL'!H402)</f>
        <v>46296</v>
      </c>
      <c r="I402">
        <f>IF('[1]P-GENERAL'!I402="","",'[1]P-GENERAL'!I402)</f>
        <v>40</v>
      </c>
      <c r="J402" s="15">
        <f>IF('[1]P-GENERAL'!J402="","",'[1]P-GENERAL'!J402)</f>
        <v>46301</v>
      </c>
      <c r="K402" s="14" t="str">
        <f>IF('[1]P-GENERAL'!K402="","",'[1]P-GENERAL'!K402)</f>
        <v/>
      </c>
      <c r="L402" s="14" t="str">
        <f>IF('[1]P-GENERAL'!L402="","",'[1]P-GENERAL'!L402)</f>
        <v>PREENFRIO NELLY</v>
      </c>
      <c r="M402">
        <f>IF('[1]P-GENERAL'!M402="","",'[1]P-GENERAL'!M402)</f>
        <v>3</v>
      </c>
      <c r="N402">
        <f>IF('[1]P-GENERAL'!N402="","",'[1]P-GENERAL'!N402)</f>
        <v>72</v>
      </c>
      <c r="O402" s="14">
        <f>IF('[1]P-GENERAL'!O402="","",'[1]P-GENERAL'!O402)</f>
        <v>46298</v>
      </c>
      <c r="P402" s="16">
        <f>IF('[1]P-GENERAL'!P402="","",'[1]P-GENERAL'!P402)</f>
        <v>0.25</v>
      </c>
      <c r="Q402" t="str">
        <f>IF('[1]P-GENERAL'!Q402="","",'[1]P-GENERAL'!Q402)</f>
        <v>ALTA</v>
      </c>
      <c r="R402" s="14" t="str">
        <f>IF('[1]P-GENERAL'!R402="","",'[1]P-GENERAL'!R402)</f>
        <v>SIN PRENFRIO</v>
      </c>
      <c r="S402" s="16" t="str">
        <f>IF('[1]P-GENERAL'!S402="","",'[1]P-GENERAL'!S402)</f>
        <v>SIN PRENFRIO</v>
      </c>
      <c r="T402" s="16" t="str">
        <f>IF('[1]P-GENERAL'!T402="","",'[1]P-GENERAL'!T402)</f>
        <v>SIN PRENFRIO</v>
      </c>
      <c r="U402" s="17" t="str">
        <f>IF('[1]P-GENERAL'!U402="","",'[1]P-GENERAL'!U402)</f>
        <v>SIN PRENFRIO</v>
      </c>
      <c r="V402" s="14" t="str">
        <f>IF('[1]P-GENERAL'!V402="","",'[1]P-GENERAL'!V402)</f>
        <v/>
      </c>
      <c r="W402" s="16" t="str">
        <f>IF('[1]P-GENERAL'!W402="","",'[1]P-GENERAL'!W402)</f>
        <v/>
      </c>
      <c r="X402" s="14" t="str">
        <f>IF('[1]P-GENERAL'!X402="","",'[1]P-GENERAL'!X402)</f>
        <v/>
      </c>
      <c r="Y402" s="14" t="str">
        <f>IF('[1]P-GENERAL'!Y402="","",'[1]P-GENERAL'!Y402)</f>
        <v/>
      </c>
      <c r="Z402" s="14" t="str">
        <f>IF('[1]P-GENERAL'!Z402="","",'[1]P-GENERAL'!Z402)</f>
        <v/>
      </c>
      <c r="AA402" s="14" t="str">
        <f>IF('[1]P-GENERAL'!AA402="","",'[1]P-GENERAL'!AA402)</f>
        <v>DESPACHADO</v>
      </c>
      <c r="AB402" s="8" t="str">
        <f>IF('[1]P-GENERAL'!AB402="","",'[1]P-GENERAL'!AB402)</f>
        <v>EXPRESS CAVAZOS CANTU</v>
      </c>
      <c r="AC402" s="8" t="str">
        <f>IF('[1]P-GENERAL'!AC402="","",'[1]P-GENERAL'!AC402)</f>
        <v/>
      </c>
      <c r="AD402" t="str">
        <f>IF('[1]P-GENERAL'!AD402="","",'[1]P-GENERAL'!AD402)</f>
        <v/>
      </c>
      <c r="AE402" t="str">
        <f>IF('[1]P-GENERAL'!AE402="","",'[1]P-GENERAL'!AE402)</f>
        <v/>
      </c>
    </row>
    <row r="403" spans="1:31" ht="20.25" x14ac:dyDescent="0.3">
      <c r="A403" s="11" t="str">
        <f>IF('[1]P-GENERAL'!A403="","",'[1]P-GENERAL'!A403)</f>
        <v>Chanitos Premium EUA Tarima Americana</v>
      </c>
      <c r="B403" s="11" t="str">
        <f>IF('[1]P-GENERAL'!B403="","",'[1]P-GENERAL'!B403)</f>
        <v>CPR01104</v>
      </c>
      <c r="C403" t="str">
        <f>IF('[1]P-GENERAL'!C403="","",'[1]P-GENERAL'!C403)</f>
        <v>A36090-400110-1</v>
      </c>
      <c r="D403" t="str">
        <f>IF('[1]P-GENERAL'!D403="","",'[1]P-GENERAL'!D403)</f>
        <v>A36 090 Heavy</v>
      </c>
      <c r="E403" s="8" t="str">
        <f>IF('[1]P-GENERAL'!E403="","",'[1]P-GENERAL'!E403)</f>
        <v>McAllen</v>
      </c>
      <c r="F403" s="12">
        <f>IF('[1]P-GENERAL'!F403="","",'[1]P-GENERAL'!F403)</f>
        <v>960</v>
      </c>
      <c r="G403" s="13">
        <f>IF('[1]P-GENERAL'!G403="","",'[1]P-GENERAL'!G403)</f>
        <v>20</v>
      </c>
      <c r="H403" s="14">
        <f>IF('[1]P-GENERAL'!H403="","",'[1]P-GENERAL'!H403)</f>
        <v>46296</v>
      </c>
      <c r="I403">
        <f>IF('[1]P-GENERAL'!I403="","",'[1]P-GENERAL'!I403)</f>
        <v>40</v>
      </c>
      <c r="J403" s="15">
        <f>IF('[1]P-GENERAL'!J403="","",'[1]P-GENERAL'!J403)</f>
        <v>46302</v>
      </c>
      <c r="K403" s="14" t="str">
        <f>IF('[1]P-GENERAL'!K403="","",'[1]P-GENERAL'!K403)</f>
        <v/>
      </c>
      <c r="L403" s="14" t="str">
        <f>IF('[1]P-GENERAL'!L403="","",'[1]P-GENERAL'!L403)</f>
        <v>PREENFRIO FORTALEZA</v>
      </c>
      <c r="M403">
        <f>IF('[1]P-GENERAL'!M403="","",'[1]P-GENERAL'!M403)</f>
        <v>3</v>
      </c>
      <c r="N403">
        <f>IF('[1]P-GENERAL'!N403="","",'[1]P-GENERAL'!N403)</f>
        <v>72</v>
      </c>
      <c r="O403" s="14">
        <f>IF('[1]P-GENERAL'!O403="","",'[1]P-GENERAL'!O403)</f>
        <v>46296</v>
      </c>
      <c r="P403" s="16">
        <f>IF('[1]P-GENERAL'!P403="","",'[1]P-GENERAL'!P403)</f>
        <v>0.6743055555555556</v>
      </c>
      <c r="Q403" t="str">
        <f>IF('[1]P-GENERAL'!Q403="","",'[1]P-GENERAL'!Q403)</f>
        <v/>
      </c>
      <c r="R403" s="14" t="str">
        <f>IF('[1]P-GENERAL'!R403="","",'[1]P-GENERAL'!R403)</f>
        <v/>
      </c>
      <c r="S403" s="16" t="str">
        <f>IF('[1]P-GENERAL'!S403="","",'[1]P-GENERAL'!S403)</f>
        <v/>
      </c>
      <c r="T403" s="16" t="str">
        <f>IF('[1]P-GENERAL'!T403="","",'[1]P-GENERAL'!T403)</f>
        <v/>
      </c>
      <c r="U403" s="17" t="str">
        <f>IF('[1]P-GENERAL'!U403="","",'[1]P-GENERAL'!U403)</f>
        <v/>
      </c>
      <c r="V403" s="14">
        <f>IF('[1]P-GENERAL'!V403="","",'[1]P-GENERAL'!V403)</f>
        <v>46296</v>
      </c>
      <c r="W403" s="16">
        <f>IF('[1]P-GENERAL'!W403="","",'[1]P-GENERAL'!W403)</f>
        <v>0.89861111111111114</v>
      </c>
      <c r="X403" s="14" t="str">
        <f>IF('[1]P-GENERAL'!X403="","",'[1]P-GENERAL'!X403)</f>
        <v/>
      </c>
      <c r="Y403" s="14" t="str">
        <f>IF('[1]P-GENERAL'!Y403="","",'[1]P-GENERAL'!Y403)</f>
        <v>SI CUMPLE</v>
      </c>
      <c r="Z403" s="14" t="str">
        <f>IF('[1]P-GENERAL'!Z403="","",'[1]P-GENERAL'!Z403)</f>
        <v/>
      </c>
      <c r="AA403" s="14" t="str">
        <f>IF('[1]P-GENERAL'!AA403="","",'[1]P-GENERAL'!AA403)</f>
        <v>DESPACHADO</v>
      </c>
      <c r="AB403" s="8" t="str">
        <f>IF('[1]P-GENERAL'!AB403="","",'[1]P-GENERAL'!AB403)</f>
        <v>TRANSPORTES ALGEZA</v>
      </c>
      <c r="AC403" s="8" t="str">
        <f>IF('[1]P-GENERAL'!AC403="","",'[1]P-GENERAL'!AC403)</f>
        <v>JOSE ALBERTO PEREZ VEGA</v>
      </c>
      <c r="AD403">
        <f>IF('[1]P-GENERAL'!AD403="","",'[1]P-GENERAL'!AD403)</f>
        <v>69167</v>
      </c>
      <c r="AE403" t="str">
        <f>IF('[1]P-GENERAL'!AE403="","",'[1]P-GENERAL'!AE403)</f>
        <v>QEP1W00XM0</v>
      </c>
    </row>
    <row r="404" spans="1:31" ht="20.25" x14ac:dyDescent="0.3">
      <c r="A404" s="11" t="str">
        <f>IF('[1]P-GENERAL'!A404="","",'[1]P-GENERAL'!A404)</f>
        <v>Chanitos Premium Tarima Americana</v>
      </c>
      <c r="B404" s="11" t="str">
        <f>IF('[1]P-GENERAL'!B404="","",'[1]P-GENERAL'!B404)</f>
        <v>CPR01103</v>
      </c>
      <c r="C404" t="str">
        <f>IF('[1]P-GENERAL'!C404="","",'[1]P-GENERAL'!C404)</f>
        <v>A04039-403009-1</v>
      </c>
      <c r="D404" t="str">
        <f>IF('[1]P-GENERAL'!D404="","",'[1]P-GENERAL'!D404)</f>
        <v>A04 039 San Jose Morelia Nava</v>
      </c>
      <c r="E404" s="8" t="str">
        <f>IF('[1]P-GENERAL'!E404="","",'[1]P-GENERAL'!E404)</f>
        <v>S-MTY</v>
      </c>
      <c r="F404" s="12">
        <f>IF('[1]P-GENERAL'!F404="","",'[1]P-GENERAL'!F404)</f>
        <v>960</v>
      </c>
      <c r="G404" s="13">
        <f>IF('[1]P-GENERAL'!G404="","",'[1]P-GENERAL'!G404)</f>
        <v>20</v>
      </c>
      <c r="H404" s="14">
        <f>IF('[1]P-GENERAL'!H404="","",'[1]P-GENERAL'!H404)</f>
        <v>46296</v>
      </c>
      <c r="I404">
        <f>IF('[1]P-GENERAL'!I404="","",'[1]P-GENERAL'!I404)</f>
        <v>40</v>
      </c>
      <c r="J404" s="15">
        <f>IF('[1]P-GENERAL'!J404="","",'[1]P-GENERAL'!J404)</f>
        <v>46302</v>
      </c>
      <c r="K404" s="14" t="str">
        <f>IF('[1]P-GENERAL'!K404="","",'[1]P-GENERAL'!K404)</f>
        <v/>
      </c>
      <c r="L404" s="14" t="str">
        <f>IF('[1]P-GENERAL'!L404="","",'[1]P-GENERAL'!L404)</f>
        <v>PREENFRIO NELLY</v>
      </c>
      <c r="M404">
        <f>IF('[1]P-GENERAL'!M404="","",'[1]P-GENERAL'!M404)</f>
        <v>3</v>
      </c>
      <c r="N404">
        <f>IF('[1]P-GENERAL'!N404="","",'[1]P-GENERAL'!N404)</f>
        <v>72</v>
      </c>
      <c r="O404" s="14">
        <f>IF('[1]P-GENERAL'!O404="","",'[1]P-GENERAL'!O404)</f>
        <v>46298</v>
      </c>
      <c r="P404" s="16">
        <f>IF('[1]P-GENERAL'!P404="","",'[1]P-GENERAL'!P404)</f>
        <v>0.25</v>
      </c>
      <c r="Q404" t="str">
        <f>IF('[1]P-GENERAL'!Q404="","",'[1]P-GENERAL'!Q404)</f>
        <v>ALTA</v>
      </c>
      <c r="R404" s="14">
        <f>IF('[1]P-GENERAL'!R404="","",'[1]P-GENERAL'!R404)</f>
        <v>46298</v>
      </c>
      <c r="S404" s="16">
        <f>IF('[1]P-GENERAL'!S404="","",'[1]P-GENERAL'!S404)</f>
        <v>0.95833333333333337</v>
      </c>
      <c r="T404" s="16">
        <f>IF('[1]P-GENERAL'!T404="","",'[1]P-GENERAL'!T404)</f>
        <v>0.4375</v>
      </c>
      <c r="U404" s="17">
        <f>IF('[1]P-GENERAL'!U404="","",'[1]P-GENERAL'!U404)</f>
        <v>46299.395833333336</v>
      </c>
      <c r="V404" s="14">
        <f>IF('[1]P-GENERAL'!V404="","",'[1]P-GENERAL'!V404)</f>
        <v>46299</v>
      </c>
      <c r="W404" s="16">
        <f>IF('[1]P-GENERAL'!W404="","",'[1]P-GENERAL'!W404)</f>
        <v>0.51388888888888884</v>
      </c>
      <c r="X404" s="14" t="str">
        <f>IF('[1]P-GENERAL'!X404="","",'[1]P-GENERAL'!X404)</f>
        <v>NO CUMPLE</v>
      </c>
      <c r="Y404" s="14" t="str">
        <f>IF('[1]P-GENERAL'!Y404="","",'[1]P-GENERAL'!Y404)</f>
        <v>NO CUMPLE</v>
      </c>
      <c r="Z404" s="14" t="str">
        <f>IF('[1]P-GENERAL'!Z404="","",'[1]P-GENERAL'!Z404)</f>
        <v>EMPAQUE TARDIO</v>
      </c>
      <c r="AA404" s="14" t="str">
        <f>IF('[1]P-GENERAL'!AA404="","",'[1]P-GENERAL'!AA404)</f>
        <v>DESPACHADO</v>
      </c>
      <c r="AB404" s="8" t="str">
        <f>IF('[1]P-GENERAL'!AB404="","",'[1]P-GENERAL'!AB404)</f>
        <v>LEOPOLDO LEGORRETA LEGORRETA</v>
      </c>
      <c r="AC404" s="8" t="str">
        <f>IF('[1]P-GENERAL'!AC404="","",'[1]P-GENERAL'!AC404)</f>
        <v>ALAN ANDRES MARTINEZ LEGORRETA</v>
      </c>
      <c r="AD404" t="str">
        <f>IF('[1]P-GENERAL'!AD404="","",'[1]P-GENERAL'!AD404)</f>
        <v/>
      </c>
      <c r="AE404" t="str">
        <f>IF('[1]P-GENERAL'!AE404="","",'[1]P-GENERAL'!AE404)</f>
        <v/>
      </c>
    </row>
    <row r="405" spans="1:31" ht="20.25" x14ac:dyDescent="0.3">
      <c r="A405" s="11" t="str">
        <f>IF('[1]P-GENERAL'!A405="","",'[1]P-GENERAL'!A405)</f>
        <v>Chanitos Premium EUA Tarima Americana</v>
      </c>
      <c r="B405" s="11" t="str">
        <f>IF('[1]P-GENERAL'!B405="","",'[1]P-GENERAL'!B405)</f>
        <v>CPR01104</v>
      </c>
      <c r="C405" t="str">
        <f>IF('[1]P-GENERAL'!C405="","",'[1]P-GENERAL'!C405)</f>
        <v>A06043-400110-1</v>
      </c>
      <c r="D405" t="str">
        <f>IF('[1]P-GENERAL'!D405="","",'[1]P-GENERAL'!D405)</f>
        <v>A06 043 Nuestra señora</v>
      </c>
      <c r="E405" s="8" t="str">
        <f>IF('[1]P-GENERAL'!E405="","",'[1]P-GENERAL'!E405)</f>
        <v>McAllen</v>
      </c>
      <c r="F405" s="12">
        <f>IF('[1]P-GENERAL'!F405="","",'[1]P-GENERAL'!F405)</f>
        <v>528</v>
      </c>
      <c r="G405" s="13">
        <f>IF('[1]P-GENERAL'!G405="","",'[1]P-GENERAL'!G405)</f>
        <v>11</v>
      </c>
      <c r="H405" s="14">
        <f>IF('[1]P-GENERAL'!H405="","",'[1]P-GENERAL'!H405)</f>
        <v>46296</v>
      </c>
      <c r="I405">
        <f>IF('[1]P-GENERAL'!I405="","",'[1]P-GENERAL'!I405)</f>
        <v>40</v>
      </c>
      <c r="J405" s="15">
        <f>IF('[1]P-GENERAL'!J405="","",'[1]P-GENERAL'!J405)</f>
        <v>46302</v>
      </c>
      <c r="K405" s="14" t="str">
        <f>IF('[1]P-GENERAL'!K405="","",'[1]P-GENERAL'!K405)</f>
        <v/>
      </c>
      <c r="L405" s="14" t="str">
        <f>IF('[1]P-GENERAL'!L405="","",'[1]P-GENERAL'!L405)</f>
        <v>PREENFRIO FORTALEZA</v>
      </c>
      <c r="M405">
        <f>IF('[1]P-GENERAL'!M405="","",'[1]P-GENERAL'!M405)</f>
        <v>3</v>
      </c>
      <c r="N405">
        <f>IF('[1]P-GENERAL'!N405="","",'[1]P-GENERAL'!N405)</f>
        <v>72</v>
      </c>
      <c r="O405" s="14">
        <f>IF('[1]P-GENERAL'!O405="","",'[1]P-GENERAL'!O405)</f>
        <v>46297</v>
      </c>
      <c r="P405" s="16">
        <f>IF('[1]P-GENERAL'!P405="","",'[1]P-GENERAL'!P405)</f>
        <v>0.59722222222222221</v>
      </c>
      <c r="Q405" t="str">
        <f>IF('[1]P-GENERAL'!Q405="","",'[1]P-GENERAL'!Q405)</f>
        <v>NORMAL</v>
      </c>
      <c r="R405" s="14" t="str">
        <f>IF('[1]P-GENERAL'!R405="","",'[1]P-GENERAL'!R405)</f>
        <v/>
      </c>
      <c r="S405" s="16" t="str">
        <f>IF('[1]P-GENERAL'!S405="","",'[1]P-GENERAL'!S405)</f>
        <v/>
      </c>
      <c r="T405" s="16" t="str">
        <f>IF('[1]P-GENERAL'!T405="","",'[1]P-GENERAL'!T405)</f>
        <v/>
      </c>
      <c r="U405" s="17" t="str">
        <f>IF('[1]P-GENERAL'!U405="","",'[1]P-GENERAL'!U405)</f>
        <v/>
      </c>
      <c r="V405" s="14">
        <f>IF('[1]P-GENERAL'!V405="","",'[1]P-GENERAL'!V405)</f>
        <v>46297</v>
      </c>
      <c r="W405" s="16">
        <f>IF('[1]P-GENERAL'!W405="","",'[1]P-GENERAL'!W405)</f>
        <v>0.83333333333333337</v>
      </c>
      <c r="X405" s="14" t="str">
        <f>IF('[1]P-GENERAL'!X405="","",'[1]P-GENERAL'!X405)</f>
        <v/>
      </c>
      <c r="Y405" s="14" t="str">
        <f>IF('[1]P-GENERAL'!Y405="","",'[1]P-GENERAL'!Y405)</f>
        <v>SI CUMPLE</v>
      </c>
      <c r="Z405" s="14" t="str">
        <f>IF('[1]P-GENERAL'!Z405="","",'[1]P-GENERAL'!Z405)</f>
        <v/>
      </c>
      <c r="AA405" s="14" t="str">
        <f>IF('[1]P-GENERAL'!AA405="","",'[1]P-GENERAL'!AA405)</f>
        <v>DESPACHADO</v>
      </c>
      <c r="AB405" s="8" t="str">
        <f>IF('[1]P-GENERAL'!AB405="","",'[1]P-GENERAL'!AB405)</f>
        <v>TRANSPORTES ALGEZA</v>
      </c>
      <c r="AC405" s="8" t="str">
        <f>IF('[1]P-GENERAL'!AC405="","",'[1]P-GENERAL'!AC405)</f>
        <v>JOSE ALBERTO PEREZ VEGA</v>
      </c>
      <c r="AD405">
        <f>IF('[1]P-GENERAL'!AD405="","",'[1]P-GENERAL'!AD405)</f>
        <v>45139</v>
      </c>
      <c r="AE405" t="str">
        <f>IF('[1]P-GENERAL'!AE405="","",'[1]P-GENERAL'!AE405)</f>
        <v>QEP1W00QW0</v>
      </c>
    </row>
    <row r="406" spans="1:31" ht="20.25" x14ac:dyDescent="0.3">
      <c r="A406" s="11" t="str">
        <f>IF('[1]P-GENERAL'!A406="","",'[1]P-GENERAL'!A406)</f>
        <v>Chanitos Premium EUA Tarima Americana</v>
      </c>
      <c r="B406" s="11" t="str">
        <f>IF('[1]P-GENERAL'!B406="","",'[1]P-GENERAL'!B406)</f>
        <v>CPR01104</v>
      </c>
      <c r="C406" t="str">
        <f>IF('[1]P-GENERAL'!C406="","",'[1]P-GENERAL'!C406)</f>
        <v>A06043-400210-1</v>
      </c>
      <c r="D406" t="str">
        <f>IF('[1]P-GENERAL'!D406="","",'[1]P-GENERAL'!D406)</f>
        <v>A06 043 Nuestra señora</v>
      </c>
      <c r="E406" s="8" t="str">
        <f>IF('[1]P-GENERAL'!E406="","",'[1]P-GENERAL'!E406)</f>
        <v>McAllen</v>
      </c>
      <c r="F406" s="12">
        <f>IF('[1]P-GENERAL'!F406="","",'[1]P-GENERAL'!F406)</f>
        <v>432</v>
      </c>
      <c r="G406" s="13">
        <f>IF('[1]P-GENERAL'!G406="","",'[1]P-GENERAL'!G406)</f>
        <v>9</v>
      </c>
      <c r="H406" s="14">
        <f>IF('[1]P-GENERAL'!H406="","",'[1]P-GENERAL'!H406)</f>
        <v>46297</v>
      </c>
      <c r="I406">
        <f>IF('[1]P-GENERAL'!I406="","",'[1]P-GENERAL'!I406)</f>
        <v>40</v>
      </c>
      <c r="J406" s="15">
        <f>IF('[1]P-GENERAL'!J406="","",'[1]P-GENERAL'!J406)</f>
        <v>46302</v>
      </c>
      <c r="K406" s="14" t="str">
        <f>IF('[1]P-GENERAL'!K406="","",'[1]P-GENERAL'!K406)</f>
        <v/>
      </c>
      <c r="L406" s="14" t="str">
        <f>IF('[1]P-GENERAL'!L406="","",'[1]P-GENERAL'!L406)</f>
        <v>PREENFRIO FORTALEZA</v>
      </c>
      <c r="M406">
        <f>IF('[1]P-GENERAL'!M406="","",'[1]P-GENERAL'!M406)</f>
        <v>3</v>
      </c>
      <c r="N406">
        <f>IF('[1]P-GENERAL'!N406="","",'[1]P-GENERAL'!N406)</f>
        <v>72</v>
      </c>
      <c r="O406" s="14">
        <f>IF('[1]P-GENERAL'!O406="","",'[1]P-GENERAL'!O406)</f>
        <v>46297</v>
      </c>
      <c r="P406" s="16">
        <f>IF('[1]P-GENERAL'!P406="","",'[1]P-GENERAL'!P406)</f>
        <v>0.59722222222222221</v>
      </c>
      <c r="Q406" t="str">
        <f>IF('[1]P-GENERAL'!Q406="","",'[1]P-GENERAL'!Q406)</f>
        <v>NORMAL</v>
      </c>
      <c r="R406" s="14" t="str">
        <f>IF('[1]P-GENERAL'!R406="","",'[1]P-GENERAL'!R406)</f>
        <v/>
      </c>
      <c r="S406" s="16" t="str">
        <f>IF('[1]P-GENERAL'!S406="","",'[1]P-GENERAL'!S406)</f>
        <v/>
      </c>
      <c r="T406" s="16" t="str">
        <f>IF('[1]P-GENERAL'!T406="","",'[1]P-GENERAL'!T406)</f>
        <v/>
      </c>
      <c r="U406" s="17" t="str">
        <f>IF('[1]P-GENERAL'!U406="","",'[1]P-GENERAL'!U406)</f>
        <v/>
      </c>
      <c r="V406" s="14">
        <f>IF('[1]P-GENERAL'!V406="","",'[1]P-GENERAL'!V406)</f>
        <v>46297</v>
      </c>
      <c r="W406" s="16">
        <f>IF('[1]P-GENERAL'!W406="","",'[1]P-GENERAL'!W406)</f>
        <v>0.83333333333333337</v>
      </c>
      <c r="X406" s="14" t="str">
        <f>IF('[1]P-GENERAL'!X406="","",'[1]P-GENERAL'!X406)</f>
        <v/>
      </c>
      <c r="Y406" s="14" t="str">
        <f>IF('[1]P-GENERAL'!Y406="","",'[1]P-GENERAL'!Y406)</f>
        <v>SI CUMPLE</v>
      </c>
      <c r="Z406" s="14" t="str">
        <f>IF('[1]P-GENERAL'!Z406="","",'[1]P-GENERAL'!Z406)</f>
        <v/>
      </c>
      <c r="AA406" s="14" t="str">
        <f>IF('[1]P-GENERAL'!AA406="","",'[1]P-GENERAL'!AA406)</f>
        <v>DESPACHADO</v>
      </c>
      <c r="AB406" s="8" t="str">
        <f>IF('[1]P-GENERAL'!AB406="","",'[1]P-GENERAL'!AB406)</f>
        <v>TRANSPORTES ALGEZA</v>
      </c>
      <c r="AC406" s="8" t="str">
        <f>IF('[1]P-GENERAL'!AC406="","",'[1]P-GENERAL'!AC406)</f>
        <v>JOSE ALBERTO PEREZ VEGA</v>
      </c>
      <c r="AD406">
        <f>IF('[1]P-GENERAL'!AD406="","",'[1]P-GENERAL'!AD406)</f>
        <v>45139</v>
      </c>
      <c r="AE406" t="str">
        <f>IF('[1]P-GENERAL'!AE406="","",'[1]P-GENERAL'!AE406)</f>
        <v>QEP1W00QW0</v>
      </c>
    </row>
    <row r="407" spans="1:31" ht="20.25" x14ac:dyDescent="0.3">
      <c r="A407" s="11" t="str">
        <f>IF('[1]P-GENERAL'!A407="","",'[1]P-GENERAL'!A407)</f>
        <v>Chanitos Premium Tarima Americana</v>
      </c>
      <c r="B407" s="11" t="str">
        <f>IF('[1]P-GENERAL'!B407="","",'[1]P-GENERAL'!B407)</f>
        <v>CPR01103</v>
      </c>
      <c r="C407" t="str">
        <f>IF('[1]P-GENERAL'!C407="","",'[1]P-GENERAL'!C407)</f>
        <v>A05042-400210-1</v>
      </c>
      <c r="D407" t="str">
        <f>IF('[1]P-GENERAL'!D407="","",'[1]P-GENERAL'!D407)</f>
        <v>A05 042 El Conde</v>
      </c>
      <c r="E407" s="8" t="str">
        <f>IF('[1]P-GENERAL'!E407="","",'[1]P-GENERAL'!E407)</f>
        <v>S-MTY</v>
      </c>
      <c r="F407" s="12">
        <f>IF('[1]P-GENERAL'!F407="","",'[1]P-GENERAL'!F407)</f>
        <v>192</v>
      </c>
      <c r="G407" s="13">
        <f>IF('[1]P-GENERAL'!G407="","",'[1]P-GENERAL'!G407)</f>
        <v>4</v>
      </c>
      <c r="H407" s="14">
        <f>IF('[1]P-GENERAL'!H407="","",'[1]P-GENERAL'!H407)</f>
        <v>46297</v>
      </c>
      <c r="I407">
        <f>IF('[1]P-GENERAL'!I407="","",'[1]P-GENERAL'!I407)</f>
        <v>40</v>
      </c>
      <c r="J407" s="15">
        <f>IF('[1]P-GENERAL'!J407="","",'[1]P-GENERAL'!J407)</f>
        <v>46302</v>
      </c>
      <c r="K407" s="14" t="str">
        <f>IF('[1]P-GENERAL'!K407="","",'[1]P-GENERAL'!K407)</f>
        <v/>
      </c>
      <c r="L407" s="14" t="str">
        <f>IF('[1]P-GENERAL'!L407="","",'[1]P-GENERAL'!L407)</f>
        <v>PREENFRIO NELLY</v>
      </c>
      <c r="M407">
        <f>IF('[1]P-GENERAL'!M407="","",'[1]P-GENERAL'!M407)</f>
        <v>3</v>
      </c>
      <c r="N407">
        <f>IF('[1]P-GENERAL'!N407="","",'[1]P-GENERAL'!N407)</f>
        <v>72</v>
      </c>
      <c r="O407" s="14">
        <f>IF('[1]P-GENERAL'!O407="","",'[1]P-GENERAL'!O407)</f>
        <v>46298</v>
      </c>
      <c r="P407" s="16">
        <f>IF('[1]P-GENERAL'!P407="","",'[1]P-GENERAL'!P407)</f>
        <v>0.625</v>
      </c>
      <c r="Q407" t="str">
        <f>IF('[1]P-GENERAL'!Q407="","",'[1]P-GENERAL'!Q407)</f>
        <v>ALTA</v>
      </c>
      <c r="R407" s="14">
        <f>IF('[1]P-GENERAL'!R407="","",'[1]P-GENERAL'!R407)</f>
        <v>46299</v>
      </c>
      <c r="S407" s="16">
        <f>IF('[1]P-GENERAL'!S407="","",'[1]P-GENERAL'!S407)</f>
        <v>0.9375</v>
      </c>
      <c r="T407" s="16">
        <f>IF('[1]P-GENERAL'!T407="","",'[1]P-GENERAL'!T407)</f>
        <v>0.4375</v>
      </c>
      <c r="U407" s="17">
        <f>IF('[1]P-GENERAL'!U407="","",'[1]P-GENERAL'!U407)</f>
        <v>46300.375</v>
      </c>
      <c r="V407" s="14">
        <f>IF('[1]P-GENERAL'!V407="","",'[1]P-GENERAL'!V407)</f>
        <v>46299</v>
      </c>
      <c r="W407" s="16">
        <f>IF('[1]P-GENERAL'!W407="","",'[1]P-GENERAL'!W407)</f>
        <v>0.51388888888888884</v>
      </c>
      <c r="X407" s="14" t="str">
        <f>IF('[1]P-GENERAL'!X407="","",'[1]P-GENERAL'!X407)</f>
        <v>NO CUMPLE</v>
      </c>
      <c r="Y407" s="14" t="str">
        <f>IF('[1]P-GENERAL'!Y407="","",'[1]P-GENERAL'!Y407)</f>
        <v>NO CUMPLE</v>
      </c>
      <c r="Z407" s="14" t="str">
        <f>IF('[1]P-GENERAL'!Z407="","",'[1]P-GENERAL'!Z407)</f>
        <v>EMPAQUE TARDIO</v>
      </c>
      <c r="AA407" s="14" t="str">
        <f>IF('[1]P-GENERAL'!AA407="","",'[1]P-GENERAL'!AA407)</f>
        <v>DESPACHADO</v>
      </c>
      <c r="AB407" s="8" t="str">
        <f>IF('[1]P-GENERAL'!AB407="","",'[1]P-GENERAL'!AB407)</f>
        <v>AUTO EXPRESS SEGOVIA</v>
      </c>
      <c r="AC407" s="8" t="str">
        <f>IF('[1]P-GENERAL'!AC407="","",'[1]P-GENERAL'!AC407)</f>
        <v/>
      </c>
      <c r="AD407" t="str">
        <f>IF('[1]P-GENERAL'!AD407="","",'[1]P-GENERAL'!AD407)</f>
        <v/>
      </c>
      <c r="AE407" t="str">
        <f>IF('[1]P-GENERAL'!AE407="","",'[1]P-GENERAL'!AE407)</f>
        <v/>
      </c>
    </row>
    <row r="408" spans="1:31" ht="20.25" x14ac:dyDescent="0.3">
      <c r="A408" s="11" t="str">
        <f>IF('[1]P-GENERAL'!A408="","",'[1]P-GENERAL'!A408)</f>
        <v>Chanitos Premium Tarima Americana</v>
      </c>
      <c r="B408" s="11" t="str">
        <f>IF('[1]P-GENERAL'!B408="","",'[1]P-GENERAL'!B408)</f>
        <v>CPR01103</v>
      </c>
      <c r="C408" t="str">
        <f>IF('[1]P-GENERAL'!C408="","",'[1]P-GENERAL'!C408)</f>
        <v>A05042-400210-1</v>
      </c>
      <c r="D408" t="str">
        <f>IF('[1]P-GENERAL'!D408="","",'[1]P-GENERAL'!D408)</f>
        <v>A05 042 El Conde</v>
      </c>
      <c r="E408" s="8" t="str">
        <f>IF('[1]P-GENERAL'!E408="","",'[1]P-GENERAL'!E408)</f>
        <v>S-MTY</v>
      </c>
      <c r="F408" s="12">
        <f>IF('[1]P-GENERAL'!F408="","",'[1]P-GENERAL'!F408)</f>
        <v>768</v>
      </c>
      <c r="G408" s="13">
        <f>IF('[1]P-GENERAL'!G408="","",'[1]P-GENERAL'!G408)</f>
        <v>16</v>
      </c>
      <c r="H408" s="14">
        <f>IF('[1]P-GENERAL'!H408="","",'[1]P-GENERAL'!H408)</f>
        <v>46297</v>
      </c>
      <c r="I408">
        <f>IF('[1]P-GENERAL'!I408="","",'[1]P-GENERAL'!I408)</f>
        <v>40</v>
      </c>
      <c r="J408" s="15">
        <f>IF('[1]P-GENERAL'!J408="","",'[1]P-GENERAL'!J408)</f>
        <v>46302</v>
      </c>
      <c r="K408" s="14" t="str">
        <f>IF('[1]P-GENERAL'!K408="","",'[1]P-GENERAL'!K408)</f>
        <v/>
      </c>
      <c r="L408" s="14" t="str">
        <f>IF('[1]P-GENERAL'!L408="","",'[1]P-GENERAL'!L408)</f>
        <v>PREENFRIO NELLY</v>
      </c>
      <c r="M408">
        <f>IF('[1]P-GENERAL'!M408="","",'[1]P-GENERAL'!M408)</f>
        <v>3</v>
      </c>
      <c r="N408">
        <f>IF('[1]P-GENERAL'!N408="","",'[1]P-GENERAL'!N408)</f>
        <v>72</v>
      </c>
      <c r="O408" s="14">
        <f>IF('[1]P-GENERAL'!O408="","",'[1]P-GENERAL'!O408)</f>
        <v>46298</v>
      </c>
      <c r="P408" s="16">
        <f>IF('[1]P-GENERAL'!P408="","",'[1]P-GENERAL'!P408)</f>
        <v>0.625</v>
      </c>
      <c r="Q408" t="str">
        <f>IF('[1]P-GENERAL'!Q408="","",'[1]P-GENERAL'!Q408)</f>
        <v>ALTA</v>
      </c>
      <c r="R408" s="14">
        <f>IF('[1]P-GENERAL'!R408="","",'[1]P-GENERAL'!R408)</f>
        <v>46299</v>
      </c>
      <c r="S408" s="16">
        <f>IF('[1]P-GENERAL'!S408="","",'[1]P-GENERAL'!S408)</f>
        <v>0.41666666666666669</v>
      </c>
      <c r="T408" s="16">
        <f>IF('[1]P-GENERAL'!T408="","",'[1]P-GENERAL'!T408)</f>
        <v>0.4375</v>
      </c>
      <c r="U408" s="17">
        <f>IF('[1]P-GENERAL'!U408="","",'[1]P-GENERAL'!U408)</f>
        <v>46299.854166666664</v>
      </c>
      <c r="V408" s="14">
        <f>IF('[1]P-GENERAL'!V408="","",'[1]P-GENERAL'!V408)</f>
        <v>46299</v>
      </c>
      <c r="W408" s="16">
        <f>IF('[1]P-GENERAL'!W408="","",'[1]P-GENERAL'!W408)</f>
        <v>0.51388888888888884</v>
      </c>
      <c r="X408" s="14" t="str">
        <f>IF('[1]P-GENERAL'!X408="","",'[1]P-GENERAL'!X408)</f>
        <v>NO CUMPLE</v>
      </c>
      <c r="Y408" s="14" t="str">
        <f>IF('[1]P-GENERAL'!Y408="","",'[1]P-GENERAL'!Y408)</f>
        <v>NO CUMPLE</v>
      </c>
      <c r="Z408" s="14" t="str">
        <f>IF('[1]P-GENERAL'!Z408="","",'[1]P-GENERAL'!Z408)</f>
        <v>EMPAQUE TARDIO</v>
      </c>
      <c r="AA408" s="14" t="str">
        <f>IF('[1]P-GENERAL'!AA408="","",'[1]P-GENERAL'!AA408)</f>
        <v>DESPACHADO</v>
      </c>
      <c r="AB408" s="8" t="str">
        <f>IF('[1]P-GENERAL'!AB408="","",'[1]P-GENERAL'!AB408)</f>
        <v>AUTO EXPRESS SEGOVIA</v>
      </c>
      <c r="AC408" s="8" t="str">
        <f>IF('[1]P-GENERAL'!AC408="","",'[1]P-GENERAL'!AC408)</f>
        <v/>
      </c>
      <c r="AD408" t="str">
        <f>IF('[1]P-GENERAL'!AD408="","",'[1]P-GENERAL'!AD408)</f>
        <v/>
      </c>
      <c r="AE408" t="str">
        <f>IF('[1]P-GENERAL'!AE408="","",'[1]P-GENERAL'!AE408)</f>
        <v/>
      </c>
    </row>
    <row r="409" spans="1:31" ht="20.25" x14ac:dyDescent="0.3">
      <c r="A409" s="11" t="str">
        <f>IF('[1]P-GENERAL'!A409="","",'[1]P-GENERAL'!A409)</f>
        <v>Chanitos Premium EUA Tarima Americana</v>
      </c>
      <c r="B409" s="11" t="str">
        <f>IF('[1]P-GENERAL'!B409="","",'[1]P-GENERAL'!B409)</f>
        <v>CPR01104</v>
      </c>
      <c r="C409" t="str">
        <f>IF('[1]P-GENERAL'!C409="","",'[1]P-GENERAL'!C409)</f>
        <v>A04084-400210-1</v>
      </c>
      <c r="D409" t="str">
        <f>IF('[1]P-GENERAL'!D409="","",'[1]P-GENERAL'!D409)</f>
        <v>A04 084 Lisboa</v>
      </c>
      <c r="E409" s="8" t="str">
        <f>IF('[1]P-GENERAL'!E409="","",'[1]P-GENERAL'!E409)</f>
        <v>McAllen</v>
      </c>
      <c r="F409" s="12">
        <f>IF('[1]P-GENERAL'!F409="","",'[1]P-GENERAL'!F409)</f>
        <v>960</v>
      </c>
      <c r="G409" s="13">
        <f>IF('[1]P-GENERAL'!G409="","",'[1]P-GENERAL'!G409)</f>
        <v>20</v>
      </c>
      <c r="H409" s="14">
        <f>IF('[1]P-GENERAL'!H409="","",'[1]P-GENERAL'!H409)</f>
        <v>46297</v>
      </c>
      <c r="I409">
        <f>IF('[1]P-GENERAL'!I409="","",'[1]P-GENERAL'!I409)</f>
        <v>40</v>
      </c>
      <c r="J409" s="15">
        <f>IF('[1]P-GENERAL'!J409="","",'[1]P-GENERAL'!J409)</f>
        <v>46303</v>
      </c>
      <c r="K409" s="14" t="str">
        <f>IF('[1]P-GENERAL'!K409="","",'[1]P-GENERAL'!K409)</f>
        <v/>
      </c>
      <c r="L409" s="14" t="str">
        <f>IF('[1]P-GENERAL'!L409="","",'[1]P-GENERAL'!L409)</f>
        <v>PREENFRIO NELLY</v>
      </c>
      <c r="M409">
        <f>IF('[1]P-GENERAL'!M409="","",'[1]P-GENERAL'!M409)</f>
        <v>3</v>
      </c>
      <c r="N409">
        <f>IF('[1]P-GENERAL'!N409="","",'[1]P-GENERAL'!N409)</f>
        <v>72</v>
      </c>
      <c r="O409" s="14">
        <f>IF('[1]P-GENERAL'!O409="","",'[1]P-GENERAL'!O409)</f>
        <v>46298</v>
      </c>
      <c r="P409" s="16">
        <f>IF('[1]P-GENERAL'!P409="","",'[1]P-GENERAL'!P409)</f>
        <v>0.45833333333333331</v>
      </c>
      <c r="Q409" t="str">
        <f>IF('[1]P-GENERAL'!Q409="","",'[1]P-GENERAL'!Q409)</f>
        <v>ALTA</v>
      </c>
      <c r="R409" s="14" t="str">
        <f>IF('[1]P-GENERAL'!R409="","",'[1]P-GENERAL'!R409)</f>
        <v>SIN PRENFRIO</v>
      </c>
      <c r="S409" s="16" t="str">
        <f>IF('[1]P-GENERAL'!S409="","",'[1]P-GENERAL'!S409)</f>
        <v>SIN PRENFRIO</v>
      </c>
      <c r="T409" s="16" t="str">
        <f>IF('[1]P-GENERAL'!T409="","",'[1]P-GENERAL'!T409)</f>
        <v>SIN PRENFRIO</v>
      </c>
      <c r="U409" s="17" t="str">
        <f>IF('[1]P-GENERAL'!U409="","",'[1]P-GENERAL'!U409)</f>
        <v>SIN PRENFRIO</v>
      </c>
      <c r="V409" s="14" t="str">
        <f>IF('[1]P-GENERAL'!V409="","",'[1]P-GENERAL'!V409)</f>
        <v/>
      </c>
      <c r="W409" s="16" t="str">
        <f>IF('[1]P-GENERAL'!W409="","",'[1]P-GENERAL'!W409)</f>
        <v/>
      </c>
      <c r="X409" s="14" t="str">
        <f>IF('[1]P-GENERAL'!X409="","",'[1]P-GENERAL'!X409)</f>
        <v/>
      </c>
      <c r="Y409" s="14" t="str">
        <f>IF('[1]P-GENERAL'!Y409="","",'[1]P-GENERAL'!Y409)</f>
        <v/>
      </c>
      <c r="Z409" s="14" t="str">
        <f>IF('[1]P-GENERAL'!Z409="","",'[1]P-GENERAL'!Z409)</f>
        <v/>
      </c>
      <c r="AA409" s="14" t="str">
        <f>IF('[1]P-GENERAL'!AA409="","",'[1]P-GENERAL'!AA409)</f>
        <v>DESPACHADO</v>
      </c>
      <c r="AB409" s="8" t="str">
        <f>IF('[1]P-GENERAL'!AB409="","",'[1]P-GENERAL'!AB409)</f>
        <v>TRANSPORTES TOMATITOS</v>
      </c>
      <c r="AC409" s="8" t="str">
        <f>IF('[1]P-GENERAL'!AC409="","",'[1]P-GENERAL'!AC409)</f>
        <v>BALDEMAR RINCON</v>
      </c>
      <c r="AD409" t="str">
        <f>IF('[1]P-GENERAL'!AD409="","",'[1]P-GENERAL'!AD409)</f>
        <v/>
      </c>
      <c r="AE409" t="str">
        <f>IF('[1]P-GENERAL'!AE409="","",'[1]P-GENERAL'!AE409)</f>
        <v/>
      </c>
    </row>
    <row r="410" spans="1:31" ht="20.25" x14ac:dyDescent="0.3">
      <c r="A410" s="11" t="str">
        <f>IF('[1]P-GENERAL'!A410="","",'[1]P-GENERAL'!A410)</f>
        <v>Chanitos Plantain 20Kg Tarima Chep</v>
      </c>
      <c r="B410" s="11" t="str">
        <f>IF('[1]P-GENERAL'!B410="","",'[1]P-GENERAL'!B410)</f>
        <v>CPL08141</v>
      </c>
      <c r="C410" t="str">
        <f>IF('[1]P-GENERAL'!C410="","",'[1]P-GENERAL'!C410)</f>
        <v>A27073-410510-1</v>
      </c>
      <c r="D410" t="str">
        <f>IF('[1]P-GENERAL'!D410="","",'[1]P-GENERAL'!D410)</f>
        <v>A27 073 Plantacion</v>
      </c>
      <c r="E410" s="8" t="str">
        <f>IF('[1]P-GENERAL'!E410="","",'[1]P-GENERAL'!E410)</f>
        <v>CEDA</v>
      </c>
      <c r="F410" s="12">
        <f>IF('[1]P-GENERAL'!F410="","",'[1]P-GENERAL'!F410)</f>
        <v>96</v>
      </c>
      <c r="G410" s="13">
        <f>IF('[1]P-GENERAL'!G410="","",'[1]P-GENERAL'!G410)</f>
        <v>2</v>
      </c>
      <c r="H410" s="14">
        <f>IF('[1]P-GENERAL'!H410="","",'[1]P-GENERAL'!H410)</f>
        <v>46300</v>
      </c>
      <c r="I410">
        <f>IF('[1]P-GENERAL'!I410="","",'[1]P-GENERAL'!I410)</f>
        <v>41</v>
      </c>
      <c r="J410" s="15">
        <f>IF('[1]P-GENERAL'!J410="","",'[1]P-GENERAL'!J410)</f>
        <v>46302</v>
      </c>
      <c r="K410" s="14" t="str">
        <f>IF('[1]P-GENERAL'!K410="","",'[1]P-GENERAL'!K410)</f>
        <v/>
      </c>
      <c r="L410" s="14" t="str">
        <f>IF('[1]P-GENERAL'!L410="","",'[1]P-GENERAL'!L410)</f>
        <v>PREENFRIO FORTALEZA</v>
      </c>
      <c r="M410">
        <f>IF('[1]P-GENERAL'!M410="","",'[1]P-GENERAL'!M410)</f>
        <v>1.5</v>
      </c>
      <c r="N410">
        <f>IF('[1]P-GENERAL'!N410="","",'[1]P-GENERAL'!N410)</f>
        <v>36</v>
      </c>
      <c r="O410" s="14">
        <f>IF('[1]P-GENERAL'!O410="","",'[1]P-GENERAL'!O410)</f>
        <v>46300</v>
      </c>
      <c r="P410" s="16">
        <f>IF('[1]P-GENERAL'!P410="","",'[1]P-GENERAL'!P410)</f>
        <v>0.45833333333333331</v>
      </c>
      <c r="Q410" t="str">
        <f>IF('[1]P-GENERAL'!Q410="","",'[1]P-GENERAL'!Q410)</f>
        <v>NORMAL</v>
      </c>
      <c r="R410" s="14">
        <f>IF('[1]P-GENERAL'!R410="","",'[1]P-GENERAL'!R410)</f>
        <v>46301</v>
      </c>
      <c r="S410" s="16">
        <f>IF('[1]P-GENERAL'!S410="","",'[1]P-GENERAL'!S410)</f>
        <v>0.15</v>
      </c>
      <c r="T410" s="16">
        <f>IF('[1]P-GENERAL'!T410="","",'[1]P-GENERAL'!T410)</f>
        <v>0.41666666666666669</v>
      </c>
      <c r="U410" s="17">
        <f>IF('[1]P-GENERAL'!U410="","",'[1]P-GENERAL'!U410)</f>
        <v>46301.566666666666</v>
      </c>
      <c r="V410" s="14">
        <f>IF('[1]P-GENERAL'!V410="","",'[1]P-GENERAL'!V410)</f>
        <v>46301</v>
      </c>
      <c r="W410" s="16">
        <f>IF('[1]P-GENERAL'!W410="","",'[1]P-GENERAL'!W410)</f>
        <v>0.52083333333333337</v>
      </c>
      <c r="X410" s="14" t="str">
        <f>IF('[1]P-GENERAL'!X410="","",'[1]P-GENERAL'!X410)</f>
        <v>NO CUMPLE</v>
      </c>
      <c r="Y410" s="14" t="str">
        <f>IF('[1]P-GENERAL'!Y410="","",'[1]P-GENERAL'!Y410)</f>
        <v>NO CUMPLE</v>
      </c>
      <c r="Z410" s="14" t="str">
        <f>IF('[1]P-GENERAL'!Z410="","",'[1]P-GENERAL'!Z410)</f>
        <v>COMPLETA EN NELLY</v>
      </c>
      <c r="AA410" s="14" t="str">
        <f>IF('[1]P-GENERAL'!AA410="","",'[1]P-GENERAL'!AA410)</f>
        <v>DESPACHADO</v>
      </c>
      <c r="AB410" s="8" t="str">
        <f>IF('[1]P-GENERAL'!AB410="","",'[1]P-GENERAL'!AB410)</f>
        <v>LETICIA LOPEZ PINEDA</v>
      </c>
      <c r="AC410" s="8" t="str">
        <f>IF('[1]P-GENERAL'!AC410="","",'[1]P-GENERAL'!AC410)</f>
        <v>FAUSTO ANTONIO LUCHO RODRIGUEZ</v>
      </c>
      <c r="AD410">
        <f>IF('[1]P-GENERAL'!AD410="","",'[1]P-GENERAL'!AD410)</f>
        <v>16867</v>
      </c>
      <c r="AE410" t="str">
        <f>IF('[1]P-GENERAL'!AE410="","",'[1]P-GENERAL'!AE410)</f>
        <v>N/A</v>
      </c>
    </row>
    <row r="411" spans="1:31" ht="20.25" x14ac:dyDescent="0.3">
      <c r="A411" s="11" t="str">
        <f>IF('[1]P-GENERAL'!A411="","",'[1]P-GENERAL'!A411)</f>
        <v>Chanitos Plantain 20Kg Tarima Chep</v>
      </c>
      <c r="B411" s="11" t="str">
        <f>IF('[1]P-GENERAL'!B411="","",'[1]P-GENERAL'!B411)</f>
        <v>CPL08141</v>
      </c>
      <c r="C411" t="str">
        <f>IF('[1]P-GENERAL'!C411="","",'[1]P-GENERAL'!C411)</f>
        <v>A35082-410510-1</v>
      </c>
      <c r="D411" t="str">
        <f>IF('[1]P-GENERAL'!D411="","",'[1]P-GENERAL'!D411)</f>
        <v>A35 082 Empaque de Macho Ej Libertad</v>
      </c>
      <c r="E411" s="8" t="str">
        <f>IF('[1]P-GENERAL'!E411="","",'[1]P-GENERAL'!E411)</f>
        <v>CEDA</v>
      </c>
      <c r="F411" s="12">
        <f>IF('[1]P-GENERAL'!F411="","",'[1]P-GENERAL'!F411)</f>
        <v>336</v>
      </c>
      <c r="G411" s="13">
        <f>IF('[1]P-GENERAL'!G411="","",'[1]P-GENERAL'!G411)</f>
        <v>7</v>
      </c>
      <c r="H411" s="14">
        <f>IF('[1]P-GENERAL'!H411="","",'[1]P-GENERAL'!H411)</f>
        <v>46300</v>
      </c>
      <c r="I411">
        <f>IF('[1]P-GENERAL'!I411="","",'[1]P-GENERAL'!I411)</f>
        <v>41</v>
      </c>
      <c r="J411" s="15">
        <f>IF('[1]P-GENERAL'!J411="","",'[1]P-GENERAL'!J411)</f>
        <v>46302</v>
      </c>
      <c r="K411" s="14" t="str">
        <f>IF('[1]P-GENERAL'!K411="","",'[1]P-GENERAL'!K411)</f>
        <v/>
      </c>
      <c r="L411" s="14" t="str">
        <f>IF('[1]P-GENERAL'!L411="","",'[1]P-GENERAL'!L411)</f>
        <v>PREENFRIO FORTALEZA</v>
      </c>
      <c r="M411">
        <f>IF('[1]P-GENERAL'!M411="","",'[1]P-GENERAL'!M411)</f>
        <v>1.5</v>
      </c>
      <c r="N411">
        <f>IF('[1]P-GENERAL'!N411="","",'[1]P-GENERAL'!N411)</f>
        <v>36</v>
      </c>
      <c r="O411" s="14">
        <f>IF('[1]P-GENERAL'!O411="","",'[1]P-GENERAL'!O411)</f>
        <v>46300</v>
      </c>
      <c r="P411" s="16">
        <f>IF('[1]P-GENERAL'!P411="","",'[1]P-GENERAL'!P411)</f>
        <v>0.45833333333333331</v>
      </c>
      <c r="Q411" t="str">
        <f>IF('[1]P-GENERAL'!Q411="","",'[1]P-GENERAL'!Q411)</f>
        <v>NORMAL</v>
      </c>
      <c r="R411" s="14">
        <f>IF('[1]P-GENERAL'!R411="","",'[1]P-GENERAL'!R411)</f>
        <v>46301</v>
      </c>
      <c r="S411" s="16">
        <f>IF('[1]P-GENERAL'!S411="","",'[1]P-GENERAL'!S411)</f>
        <v>0.15</v>
      </c>
      <c r="T411" s="16">
        <f>IF('[1]P-GENERAL'!T411="","",'[1]P-GENERAL'!T411)</f>
        <v>0.41666666666666669</v>
      </c>
      <c r="U411" s="17">
        <f>IF('[1]P-GENERAL'!U411="","",'[1]P-GENERAL'!U411)</f>
        <v>46301.566666666666</v>
      </c>
      <c r="V411" s="14">
        <f>IF('[1]P-GENERAL'!V411="","",'[1]P-GENERAL'!V411)</f>
        <v>46301</v>
      </c>
      <c r="W411" s="16">
        <f>IF('[1]P-GENERAL'!W411="","",'[1]P-GENERAL'!W411)</f>
        <v>0.52083333333333337</v>
      </c>
      <c r="X411" s="14" t="str">
        <f>IF('[1]P-GENERAL'!X411="","",'[1]P-GENERAL'!X411)</f>
        <v>NO CUMPLE</v>
      </c>
      <c r="Y411" s="14" t="str">
        <f>IF('[1]P-GENERAL'!Y411="","",'[1]P-GENERAL'!Y411)</f>
        <v>NO CUMPLE</v>
      </c>
      <c r="Z411" s="14" t="str">
        <f>IF('[1]P-GENERAL'!Z411="","",'[1]P-GENERAL'!Z411)</f>
        <v>COMPLETA EN NELLY</v>
      </c>
      <c r="AA411" s="14" t="str">
        <f>IF('[1]P-GENERAL'!AA411="","",'[1]P-GENERAL'!AA411)</f>
        <v>DESPACHADO</v>
      </c>
      <c r="AB411" s="8" t="str">
        <f>IF('[1]P-GENERAL'!AB411="","",'[1]P-GENERAL'!AB411)</f>
        <v>LETICIA LOPEZ PINEDA</v>
      </c>
      <c r="AC411" s="8" t="str">
        <f>IF('[1]P-GENERAL'!AC411="","",'[1]P-GENERAL'!AC411)</f>
        <v>FAUSTO ANTONIO LUCHO RODRIGUEZ</v>
      </c>
      <c r="AD411">
        <f>IF('[1]P-GENERAL'!AD411="","",'[1]P-GENERAL'!AD411)</f>
        <v>16867</v>
      </c>
      <c r="AE411" t="str">
        <f>IF('[1]P-GENERAL'!AE411="","",'[1]P-GENERAL'!AE411)</f>
        <v>N/A</v>
      </c>
    </row>
    <row r="412" spans="1:31" ht="20.25" x14ac:dyDescent="0.3">
      <c r="A412" s="11" t="str">
        <f>IF('[1]P-GENERAL'!A412="","",'[1]P-GENERAL'!A412)</f>
        <v>Chanitos Premium Tarima Chep</v>
      </c>
      <c r="B412" s="11" t="str">
        <f>IF('[1]P-GENERAL'!B412="","",'[1]P-GENERAL'!B412)</f>
        <v>CPR01102</v>
      </c>
      <c r="C412" t="str">
        <f>IF('[1]P-GENERAL'!C412="","",'[1]P-GENERAL'!C412)</f>
        <v>A01001-400210-1</v>
      </c>
      <c r="D412" t="str">
        <f>IF('[1]P-GENERAL'!D412="","",'[1]P-GENERAL'!D412)</f>
        <v>A01 001 Marbella</v>
      </c>
      <c r="E412" s="8" t="str">
        <f>IF('[1]P-GENERAL'!E412="","",'[1]P-GENERAL'!E412)</f>
        <v>Chalco</v>
      </c>
      <c r="F412" s="12">
        <f>IF('[1]P-GENERAL'!F412="","",'[1]P-GENERAL'!F412)</f>
        <v>96</v>
      </c>
      <c r="G412" s="13">
        <f>IF('[1]P-GENERAL'!G412="","",'[1]P-GENERAL'!G412)</f>
        <v>2</v>
      </c>
      <c r="H412" s="14">
        <f>IF('[1]P-GENERAL'!H412="","",'[1]P-GENERAL'!H412)</f>
        <v>46297</v>
      </c>
      <c r="I412">
        <f>IF('[1]P-GENERAL'!I412="","",'[1]P-GENERAL'!I412)</f>
        <v>40</v>
      </c>
      <c r="J412" s="15">
        <f>IF('[1]P-GENERAL'!J412="","",'[1]P-GENERAL'!J412)</f>
        <v>46303</v>
      </c>
      <c r="K412" s="14" t="str">
        <f>IF('[1]P-GENERAL'!K412="","",'[1]P-GENERAL'!K412)</f>
        <v/>
      </c>
      <c r="L412" s="14" t="str">
        <f>IF('[1]P-GENERAL'!L412="","",'[1]P-GENERAL'!L412)</f>
        <v>PREENFRIO FORTALEZA</v>
      </c>
      <c r="M412">
        <f>IF('[1]P-GENERAL'!M412="","",'[1]P-GENERAL'!M412)</f>
        <v>1</v>
      </c>
      <c r="N412">
        <f>IF('[1]P-GENERAL'!N412="","",'[1]P-GENERAL'!N412)</f>
        <v>24</v>
      </c>
      <c r="O412" s="14">
        <f>IF('[1]P-GENERAL'!O412="","",'[1]P-GENERAL'!O412)</f>
        <v>46297</v>
      </c>
      <c r="P412" s="16">
        <f>IF('[1]P-GENERAL'!P412="","",'[1]P-GENERAL'!P412)</f>
        <v>0.94652777777777775</v>
      </c>
      <c r="Q412" t="str">
        <f>IF('[1]P-GENERAL'!Q412="","",'[1]P-GENERAL'!Q412)</f>
        <v>NORMAL</v>
      </c>
      <c r="R412" s="14">
        <f>IF('[1]P-GENERAL'!R412="","",'[1]P-GENERAL'!R412)</f>
        <v>46299</v>
      </c>
      <c r="S412" s="16">
        <f>IF('[1]P-GENERAL'!S412="","",'[1]P-GENERAL'!S412)</f>
        <v>0.33333333333333331</v>
      </c>
      <c r="T412" s="16">
        <f>IF('[1]P-GENERAL'!T412="","",'[1]P-GENERAL'!T412)</f>
        <v>0.625</v>
      </c>
      <c r="U412" s="17">
        <f>IF('[1]P-GENERAL'!U412="","",'[1]P-GENERAL'!U412)</f>
        <v>46299.958333333336</v>
      </c>
      <c r="V412" s="14">
        <f>IF('[1]P-GENERAL'!V412="","",'[1]P-GENERAL'!V412)</f>
        <v>46300</v>
      </c>
      <c r="W412" s="16">
        <f>IF('[1]P-GENERAL'!W412="","",'[1]P-GENERAL'!W412)</f>
        <v>2.0833333333333332E-2</v>
      </c>
      <c r="X412" s="14" t="str">
        <f>IF('[1]P-GENERAL'!X412="","",'[1]P-GENERAL'!X412)</f>
        <v>SI CUMPLE</v>
      </c>
      <c r="Y412" s="14" t="str">
        <f>IF('[1]P-GENERAL'!Y412="","",'[1]P-GENERAL'!Y412)</f>
        <v>SI CUMPLE</v>
      </c>
      <c r="Z412" s="14" t="str">
        <f>IF('[1]P-GENERAL'!Z412="","",'[1]P-GENERAL'!Z412)</f>
        <v/>
      </c>
      <c r="AA412" s="14" t="str">
        <f>IF('[1]P-GENERAL'!AA412="","",'[1]P-GENERAL'!AA412)</f>
        <v>DESPACHADO</v>
      </c>
      <c r="AB412" s="8" t="str">
        <f>IF('[1]P-GENERAL'!AB412="","",'[1]P-GENERAL'!AB412)</f>
        <v>SAUL ALEJNDRO</v>
      </c>
      <c r="AC412" s="8" t="str">
        <f>IF('[1]P-GENERAL'!AC412="","",'[1]P-GENERAL'!AC412)</f>
        <v>Jesus Fuentes Espinoza</v>
      </c>
      <c r="AD412">
        <f>IF('[1]P-GENERAL'!AD412="","",'[1]P-GENERAL'!AD412)</f>
        <v>17921</v>
      </c>
      <c r="AE412" t="str">
        <f>IF('[1]P-GENERAL'!AE412="","",'[1]P-GENERAL'!AE412)</f>
        <v>QEP1W00YC0</v>
      </c>
    </row>
    <row r="413" spans="1:31" ht="20.25" x14ac:dyDescent="0.3">
      <c r="A413" s="11" t="str">
        <f>IF('[1]P-GENERAL'!A413="","",'[1]P-GENERAL'!A413)</f>
        <v>Chanitos Premium Tarima Chep</v>
      </c>
      <c r="B413" s="11" t="str">
        <f>IF('[1]P-GENERAL'!B413="","",'[1]P-GENERAL'!B413)</f>
        <v>CPR01102</v>
      </c>
      <c r="C413" t="str">
        <f>IF('[1]P-GENERAL'!C413="","",'[1]P-GENERAL'!C413)</f>
        <v>A01002-400110-1</v>
      </c>
      <c r="D413" t="str">
        <f>IF('[1]P-GENERAL'!D413="","",'[1]P-GENERAL'!D413)</f>
        <v>A01 002 Fortaleza</v>
      </c>
      <c r="E413" s="8" t="str">
        <f>IF('[1]P-GENERAL'!E413="","",'[1]P-GENERAL'!E413)</f>
        <v>Chalco</v>
      </c>
      <c r="F413" s="12">
        <f>IF('[1]P-GENERAL'!F413="","",'[1]P-GENERAL'!F413)</f>
        <v>96</v>
      </c>
      <c r="G413" s="13">
        <f>IF('[1]P-GENERAL'!G413="","",'[1]P-GENERAL'!G413)</f>
        <v>2</v>
      </c>
      <c r="H413" s="14">
        <f>IF('[1]P-GENERAL'!H413="","",'[1]P-GENERAL'!H413)</f>
        <v>46296</v>
      </c>
      <c r="I413">
        <f>IF('[1]P-GENERAL'!I413="","",'[1]P-GENERAL'!I413)</f>
        <v>40</v>
      </c>
      <c r="J413" s="15">
        <f>IF('[1]P-GENERAL'!J413="","",'[1]P-GENERAL'!J413)</f>
        <v>46303</v>
      </c>
      <c r="K413" s="14" t="str">
        <f>IF('[1]P-GENERAL'!K413="","",'[1]P-GENERAL'!K413)</f>
        <v/>
      </c>
      <c r="L413" s="14" t="str">
        <f>IF('[1]P-GENERAL'!L413="","",'[1]P-GENERAL'!L413)</f>
        <v>PREENFRIO FORTALEZA</v>
      </c>
      <c r="M413">
        <f>IF('[1]P-GENERAL'!M413="","",'[1]P-GENERAL'!M413)</f>
        <v>1</v>
      </c>
      <c r="N413">
        <f>IF('[1]P-GENERAL'!N413="","",'[1]P-GENERAL'!N413)</f>
        <v>24</v>
      </c>
      <c r="O413" s="14">
        <f>IF('[1]P-GENERAL'!O413="","",'[1]P-GENERAL'!O413)</f>
        <v>46296</v>
      </c>
      <c r="P413" s="16">
        <f>IF('[1]P-GENERAL'!P413="","",'[1]P-GENERAL'!P413)</f>
        <v>0.73263888888888884</v>
      </c>
      <c r="Q413" t="str">
        <f>IF('[1]P-GENERAL'!Q413="","",'[1]P-GENERAL'!Q413)</f>
        <v>NORMAL</v>
      </c>
      <c r="R413" s="14">
        <f>IF('[1]P-GENERAL'!R413="","",'[1]P-GENERAL'!R413)</f>
        <v>46299</v>
      </c>
      <c r="S413" s="16">
        <f>IF('[1]P-GENERAL'!S413="","",'[1]P-GENERAL'!S413)</f>
        <v>0.33333333333333331</v>
      </c>
      <c r="T413" s="16">
        <f>IF('[1]P-GENERAL'!T413="","",'[1]P-GENERAL'!T413)</f>
        <v>0.625</v>
      </c>
      <c r="U413" s="17">
        <f>IF('[1]P-GENERAL'!U413="","",'[1]P-GENERAL'!U413)</f>
        <v>46299.958333333336</v>
      </c>
      <c r="V413" s="14">
        <f>IF('[1]P-GENERAL'!V413="","",'[1]P-GENERAL'!V413)</f>
        <v>46300</v>
      </c>
      <c r="W413" s="16">
        <f>IF('[1]P-GENERAL'!W413="","",'[1]P-GENERAL'!W413)</f>
        <v>2.0833333333333332E-2</v>
      </c>
      <c r="X413" s="14" t="str">
        <f>IF('[1]P-GENERAL'!X413="","",'[1]P-GENERAL'!X413)</f>
        <v>SI CUMPLE</v>
      </c>
      <c r="Y413" s="14" t="str">
        <f>IF('[1]P-GENERAL'!Y413="","",'[1]P-GENERAL'!Y413)</f>
        <v>SI CUMPLE</v>
      </c>
      <c r="Z413" s="14" t="str">
        <f>IF('[1]P-GENERAL'!Z413="","",'[1]P-GENERAL'!Z413)</f>
        <v/>
      </c>
      <c r="AA413" s="14" t="str">
        <f>IF('[1]P-GENERAL'!AA413="","",'[1]P-GENERAL'!AA413)</f>
        <v>DESPACHADO</v>
      </c>
      <c r="AB413" s="8" t="str">
        <f>IF('[1]P-GENERAL'!AB413="","",'[1]P-GENERAL'!AB413)</f>
        <v>SAUL ALEJNDRO</v>
      </c>
      <c r="AC413" s="8" t="str">
        <f>IF('[1]P-GENERAL'!AC413="","",'[1]P-GENERAL'!AC413)</f>
        <v>Jesus Fuentes Espinoza</v>
      </c>
      <c r="AD413">
        <f>IF('[1]P-GENERAL'!AD413="","",'[1]P-GENERAL'!AD413)</f>
        <v>17921</v>
      </c>
      <c r="AE413" t="str">
        <f>IF('[1]P-GENERAL'!AE413="","",'[1]P-GENERAL'!AE413)</f>
        <v>QEP1W00YC0</v>
      </c>
    </row>
    <row r="414" spans="1:31" ht="20.25" x14ac:dyDescent="0.3">
      <c r="A414" s="11" t="str">
        <f>IF('[1]P-GENERAL'!A414="","",'[1]P-GENERAL'!A414)</f>
        <v>Chanitos Premium Tarima Chep</v>
      </c>
      <c r="B414" s="11" t="str">
        <f>IF('[1]P-GENERAL'!B414="","",'[1]P-GENERAL'!B414)</f>
        <v>CPR01102</v>
      </c>
      <c r="C414" t="str">
        <f>IF('[1]P-GENERAL'!C414="","",'[1]P-GENERAL'!C414)</f>
        <v>A01001-400110-1</v>
      </c>
      <c r="D414" t="str">
        <f>IF('[1]P-GENERAL'!D414="","",'[1]P-GENERAL'!D414)</f>
        <v>A01 001 Marbella</v>
      </c>
      <c r="E414" s="8" t="str">
        <f>IF('[1]P-GENERAL'!E414="","",'[1]P-GENERAL'!E414)</f>
        <v>SMO</v>
      </c>
      <c r="F414" s="12">
        <f>IF('[1]P-GENERAL'!F414="","",'[1]P-GENERAL'!F414)</f>
        <v>96</v>
      </c>
      <c r="G414" s="13">
        <f>IF('[1]P-GENERAL'!G414="","",'[1]P-GENERAL'!G414)</f>
        <v>2</v>
      </c>
      <c r="H414" s="14">
        <f>IF('[1]P-GENERAL'!H414="","",'[1]P-GENERAL'!H414)</f>
        <v>46296</v>
      </c>
      <c r="I414">
        <f>IF('[1]P-GENERAL'!I414="","",'[1]P-GENERAL'!I414)</f>
        <v>40</v>
      </c>
      <c r="J414" s="15">
        <f>IF('[1]P-GENERAL'!J414="","",'[1]P-GENERAL'!J414)</f>
        <v>46303</v>
      </c>
      <c r="K414" s="14" t="str">
        <f>IF('[1]P-GENERAL'!K414="","",'[1]P-GENERAL'!K414)</f>
        <v/>
      </c>
      <c r="L414" s="14" t="str">
        <f>IF('[1]P-GENERAL'!L414="","",'[1]P-GENERAL'!L414)</f>
        <v>PREENFRIO FORTALEZA</v>
      </c>
      <c r="M414">
        <f>IF('[1]P-GENERAL'!M414="","",'[1]P-GENERAL'!M414)</f>
        <v>1.5</v>
      </c>
      <c r="N414">
        <f>IF('[1]P-GENERAL'!N414="","",'[1]P-GENERAL'!N414)</f>
        <v>36</v>
      </c>
      <c r="O414" s="14">
        <f>IF('[1]P-GENERAL'!O414="","",'[1]P-GENERAL'!O414)</f>
        <v>46297</v>
      </c>
      <c r="P414" s="16">
        <f>IF('[1]P-GENERAL'!P414="","",'[1]P-GENERAL'!P414)</f>
        <v>0.94652777777777775</v>
      </c>
      <c r="Q414" t="str">
        <f>IF('[1]P-GENERAL'!Q414="","",'[1]P-GENERAL'!Q414)</f>
        <v>NORMAL</v>
      </c>
      <c r="R414" s="14">
        <f>IF('[1]P-GENERAL'!R414="","",'[1]P-GENERAL'!R414)</f>
        <v>46299</v>
      </c>
      <c r="S414" s="16">
        <f>IF('[1]P-GENERAL'!S414="","",'[1]P-GENERAL'!S414)</f>
        <v>0.80347222222222225</v>
      </c>
      <c r="T414" s="16">
        <f>IF('[1]P-GENERAL'!T414="","",'[1]P-GENERAL'!T414)</f>
        <v>0.41666666666666669</v>
      </c>
      <c r="U414" s="17">
        <f>IF('[1]P-GENERAL'!U414="","",'[1]P-GENERAL'!U414)</f>
        <v>46300.220138888886</v>
      </c>
      <c r="V414" s="14">
        <f>IF('[1]P-GENERAL'!V414="","",'[1]P-GENERAL'!V414)</f>
        <v>46301</v>
      </c>
      <c r="W414" s="16">
        <f>IF('[1]P-GENERAL'!W414="","",'[1]P-GENERAL'!W414)</f>
        <v>0.10625</v>
      </c>
      <c r="X414" s="14" t="str">
        <f>IF('[1]P-GENERAL'!X414="","",'[1]P-GENERAL'!X414)</f>
        <v>SI CUMPLE</v>
      </c>
      <c r="Y414" s="14" t="str">
        <f>IF('[1]P-GENERAL'!Y414="","",'[1]P-GENERAL'!Y414)</f>
        <v>SI CUMPLE</v>
      </c>
      <c r="Z414" s="14" t="str">
        <f>IF('[1]P-GENERAL'!Z414="","",'[1]P-GENERAL'!Z414)</f>
        <v/>
      </c>
      <c r="AA414" s="14" t="str">
        <f>IF('[1]P-GENERAL'!AA414="","",'[1]P-GENERAL'!AA414)</f>
        <v>DESPACHADO</v>
      </c>
      <c r="AB414" s="8" t="str">
        <f>IF('[1]P-GENERAL'!AB414="","",'[1]P-GENERAL'!AB414)</f>
        <v>JONATHAN CARRILLO</v>
      </c>
      <c r="AC414" s="8" t="str">
        <f>IF('[1]P-GENERAL'!AC414="","",'[1]P-GENERAL'!AC414)</f>
        <v>CESAR URIEL SANCHEZ</v>
      </c>
      <c r="AD414">
        <f>IF('[1]P-GENERAL'!AD414="","",'[1]P-GENERAL'!AD414)</f>
        <v>40651</v>
      </c>
      <c r="AE414" t="str">
        <f>IF('[1]P-GENERAL'!AE414="","",'[1]P-GENERAL'!AE414)</f>
        <v>QF91W044D0</v>
      </c>
    </row>
    <row r="415" spans="1:31" ht="20.25" x14ac:dyDescent="0.3">
      <c r="A415" s="11" t="str">
        <f>IF('[1]P-GENERAL'!A415="","",'[1]P-GENERAL'!A415)</f>
        <v>Chanitos Premium Tarima Chep</v>
      </c>
      <c r="B415" s="11" t="str">
        <f>IF('[1]P-GENERAL'!B415="","",'[1]P-GENERAL'!B415)</f>
        <v>CPR01102</v>
      </c>
      <c r="C415" t="str">
        <f>IF('[1]P-GENERAL'!C415="","",'[1]P-GENERAL'!C415)</f>
        <v>A01001-400210-1</v>
      </c>
      <c r="D415" t="str">
        <f>IF('[1]P-GENERAL'!D415="","",'[1]P-GENERAL'!D415)</f>
        <v>A01 001 Marbella</v>
      </c>
      <c r="E415" s="8" t="str">
        <f>IF('[1]P-GENERAL'!E415="","",'[1]P-GENERAL'!E415)</f>
        <v>SMO</v>
      </c>
      <c r="F415" s="12">
        <f>IF('[1]P-GENERAL'!F415="","",'[1]P-GENERAL'!F415)</f>
        <v>144</v>
      </c>
      <c r="G415" s="13">
        <f>IF('[1]P-GENERAL'!G415="","",'[1]P-GENERAL'!G415)</f>
        <v>3</v>
      </c>
      <c r="H415" s="14">
        <f>IF('[1]P-GENERAL'!H415="","",'[1]P-GENERAL'!H415)</f>
        <v>46297</v>
      </c>
      <c r="I415">
        <f>IF('[1]P-GENERAL'!I415="","",'[1]P-GENERAL'!I415)</f>
        <v>40</v>
      </c>
      <c r="J415" s="15">
        <f>IF('[1]P-GENERAL'!J415="","",'[1]P-GENERAL'!J415)</f>
        <v>46303</v>
      </c>
      <c r="K415" s="14" t="str">
        <f>IF('[1]P-GENERAL'!K415="","",'[1]P-GENERAL'!K415)</f>
        <v/>
      </c>
      <c r="L415" s="14" t="str">
        <f>IF('[1]P-GENERAL'!L415="","",'[1]P-GENERAL'!L415)</f>
        <v>PREENFRIO FORTALEZA</v>
      </c>
      <c r="M415">
        <f>IF('[1]P-GENERAL'!M415="","",'[1]P-GENERAL'!M415)</f>
        <v>1.5</v>
      </c>
      <c r="N415">
        <f>IF('[1]P-GENERAL'!N415="","",'[1]P-GENERAL'!N415)</f>
        <v>36</v>
      </c>
      <c r="O415" s="14">
        <f>IF('[1]P-GENERAL'!O415="","",'[1]P-GENERAL'!O415)</f>
        <v>46297</v>
      </c>
      <c r="P415" s="16">
        <f>IF('[1]P-GENERAL'!P415="","",'[1]P-GENERAL'!P415)</f>
        <v>0.94652777777777775</v>
      </c>
      <c r="Q415" t="str">
        <f>IF('[1]P-GENERAL'!Q415="","",'[1]P-GENERAL'!Q415)</f>
        <v>NORMAL</v>
      </c>
      <c r="R415" s="14">
        <f>IF('[1]P-GENERAL'!R415="","",'[1]P-GENERAL'!R415)</f>
        <v>46299</v>
      </c>
      <c r="S415" s="16">
        <f>IF('[1]P-GENERAL'!S415="","",'[1]P-GENERAL'!S415)</f>
        <v>0.80347222222222225</v>
      </c>
      <c r="T415" s="16">
        <f>IF('[1]P-GENERAL'!T415="","",'[1]P-GENERAL'!T415)</f>
        <v>0.41666666666666669</v>
      </c>
      <c r="U415" s="17">
        <f>IF('[1]P-GENERAL'!U415="","",'[1]P-GENERAL'!U415)</f>
        <v>46300.220138888886</v>
      </c>
      <c r="V415" s="14">
        <f>IF('[1]P-GENERAL'!V415="","",'[1]P-GENERAL'!V415)</f>
        <v>46301</v>
      </c>
      <c r="W415" s="16">
        <f>IF('[1]P-GENERAL'!W415="","",'[1]P-GENERAL'!W415)</f>
        <v>0.10625</v>
      </c>
      <c r="X415" s="14" t="str">
        <f>IF('[1]P-GENERAL'!X415="","",'[1]P-GENERAL'!X415)</f>
        <v>SI CUMPLE</v>
      </c>
      <c r="Y415" s="14" t="str">
        <f>IF('[1]P-GENERAL'!Y415="","",'[1]P-GENERAL'!Y415)</f>
        <v>SI CUMPLE</v>
      </c>
      <c r="Z415" s="14" t="str">
        <f>IF('[1]P-GENERAL'!Z415="","",'[1]P-GENERAL'!Z415)</f>
        <v/>
      </c>
      <c r="AA415" s="14" t="str">
        <f>IF('[1]P-GENERAL'!AA415="","",'[1]P-GENERAL'!AA415)</f>
        <v>DESPACHADO</v>
      </c>
      <c r="AB415" s="8" t="str">
        <f>IF('[1]P-GENERAL'!AB415="","",'[1]P-GENERAL'!AB415)</f>
        <v>JONATHAN CARRILLO</v>
      </c>
      <c r="AC415" s="8" t="str">
        <f>IF('[1]P-GENERAL'!AC415="","",'[1]P-GENERAL'!AC415)</f>
        <v>CESAR URIEL SANCHEZ</v>
      </c>
      <c r="AD415">
        <f>IF('[1]P-GENERAL'!AD415="","",'[1]P-GENERAL'!AD415)</f>
        <v>40651</v>
      </c>
      <c r="AE415" t="str">
        <f>IF('[1]P-GENERAL'!AE415="","",'[1]P-GENERAL'!AE415)</f>
        <v>QF91W044D0</v>
      </c>
    </row>
    <row r="416" spans="1:31" ht="20.25" x14ac:dyDescent="0.3">
      <c r="A416" s="11" t="str">
        <f>IF('[1]P-GENERAL'!A416="","",'[1]P-GENERAL'!A416)</f>
        <v>Chanitos Premium EUA Tarima Americana</v>
      </c>
      <c r="B416" s="11" t="str">
        <f>IF('[1]P-GENERAL'!B416="","",'[1]P-GENERAL'!B416)</f>
        <v>CPR01104</v>
      </c>
      <c r="C416" t="str">
        <f>IF('[1]P-GENERAL'!C416="","",'[1]P-GENERAL'!C416)</f>
        <v>A01001-400210-1</v>
      </c>
      <c r="D416" t="str">
        <f>IF('[1]P-GENERAL'!D416="","",'[1]P-GENERAL'!D416)</f>
        <v>A01 001 Marbella</v>
      </c>
      <c r="E416" s="8" t="str">
        <f>IF('[1]P-GENERAL'!E416="","",'[1]P-GENERAL'!E416)</f>
        <v>McAllen</v>
      </c>
      <c r="F416" s="12">
        <f>IF('[1]P-GENERAL'!F416="","",'[1]P-GENERAL'!F416)</f>
        <v>816</v>
      </c>
      <c r="G416" s="13">
        <f>IF('[1]P-GENERAL'!G416="","",'[1]P-GENERAL'!G416)</f>
        <v>17</v>
      </c>
      <c r="H416" s="14">
        <f>IF('[1]P-GENERAL'!H416="","",'[1]P-GENERAL'!H416)</f>
        <v>46297</v>
      </c>
      <c r="I416">
        <f>IF('[1]P-GENERAL'!I416="","",'[1]P-GENERAL'!I416)</f>
        <v>40</v>
      </c>
      <c r="J416" s="15">
        <f>IF('[1]P-GENERAL'!J416="","",'[1]P-GENERAL'!J416)</f>
        <v>46303</v>
      </c>
      <c r="K416" s="14" t="str">
        <f>IF('[1]P-GENERAL'!K416="","",'[1]P-GENERAL'!K416)</f>
        <v/>
      </c>
      <c r="L416" s="14" t="str">
        <f>IF('[1]P-GENERAL'!L416="","",'[1]P-GENERAL'!L416)</f>
        <v>PREENFRIO FORTALEZA</v>
      </c>
      <c r="M416">
        <f>IF('[1]P-GENERAL'!M416="","",'[1]P-GENERAL'!M416)</f>
        <v>3</v>
      </c>
      <c r="N416">
        <f>IF('[1]P-GENERAL'!N416="","",'[1]P-GENERAL'!N416)</f>
        <v>72</v>
      </c>
      <c r="O416" s="14">
        <f>IF('[1]P-GENERAL'!O416="","",'[1]P-GENERAL'!O416)</f>
        <v>46297</v>
      </c>
      <c r="P416" s="16">
        <f>IF('[1]P-GENERAL'!P416="","",'[1]P-GENERAL'!P416)</f>
        <v>0.94652777777777775</v>
      </c>
      <c r="Q416" t="str">
        <f>IF('[1]P-GENERAL'!Q416="","",'[1]P-GENERAL'!Q416)</f>
        <v/>
      </c>
      <c r="R416" s="14" t="str">
        <f>IF('[1]P-GENERAL'!R416="","",'[1]P-GENERAL'!R416)</f>
        <v/>
      </c>
      <c r="S416" s="16" t="str">
        <f>IF('[1]P-GENERAL'!S416="","",'[1]P-GENERAL'!S416)</f>
        <v/>
      </c>
      <c r="T416" s="16" t="str">
        <f>IF('[1]P-GENERAL'!T416="","",'[1]P-GENERAL'!T416)</f>
        <v/>
      </c>
      <c r="U416" s="17" t="str">
        <f>IF('[1]P-GENERAL'!U416="","",'[1]P-GENERAL'!U416)</f>
        <v/>
      </c>
      <c r="V416" s="14">
        <f>IF('[1]P-GENERAL'!V416="","",'[1]P-GENERAL'!V416)</f>
        <v>46299</v>
      </c>
      <c r="W416" s="16">
        <f>IF('[1]P-GENERAL'!W416="","",'[1]P-GENERAL'!W416)</f>
        <v>0.41666666666666669</v>
      </c>
      <c r="X416" s="14" t="str">
        <f>IF('[1]P-GENERAL'!X416="","",'[1]P-GENERAL'!X416)</f>
        <v/>
      </c>
      <c r="Y416" s="14" t="str">
        <f>IF('[1]P-GENERAL'!Y416="","",'[1]P-GENERAL'!Y416)</f>
        <v>SI CUMPLE</v>
      </c>
      <c r="Z416" s="14" t="str">
        <f>IF('[1]P-GENERAL'!Z416="","",'[1]P-GENERAL'!Z416)</f>
        <v/>
      </c>
      <c r="AA416" s="14" t="str">
        <f>IF('[1]P-GENERAL'!AA416="","",'[1]P-GENERAL'!AA416)</f>
        <v>DESPACHADO</v>
      </c>
      <c r="AB416" s="8" t="str">
        <f>IF('[1]P-GENERAL'!AB416="","",'[1]P-GENERAL'!AB416)</f>
        <v>TRANSPORTES TOMATITOS</v>
      </c>
      <c r="AC416" s="8" t="str">
        <f>IF('[1]P-GENERAL'!AC416="","",'[1]P-GENERAL'!AC416)</f>
        <v>ALBERTO LEAL</v>
      </c>
      <c r="AD416">
        <f>IF('[1]P-GENERAL'!AD416="","",'[1]P-GENERAL'!AD416)</f>
        <v>47042</v>
      </c>
      <c r="AE416" t="str">
        <f>IF('[1]P-GENERAL'!AE416="","",'[1]P-GENERAL'!AE416)</f>
        <v>QEP1W00WR0</v>
      </c>
    </row>
    <row r="417" spans="1:31" ht="20.25" x14ac:dyDescent="0.3">
      <c r="A417" s="11" t="str">
        <f>IF('[1]P-GENERAL'!A417="","",'[1]P-GENERAL'!A417)</f>
        <v>Platano de Chiapas BAE UPC 3237</v>
      </c>
      <c r="B417" s="11" t="str">
        <f>IF('[1]P-GENERAL'!B417="","",'[1]P-GENERAL'!B417)</f>
        <v>CPR01114</v>
      </c>
      <c r="C417" t="str">
        <f>IF('[1]P-GENERAL'!C417="","",'[1]P-GENERAL'!C417)</f>
        <v>A01002-400210-1</v>
      </c>
      <c r="D417" t="str">
        <f>IF('[1]P-GENERAL'!D417="","",'[1]P-GENERAL'!D417)</f>
        <v>A01 002 Fortaleza</v>
      </c>
      <c r="E417" s="8" t="str">
        <f>IF('[1]P-GENERAL'!E417="","",'[1]P-GENERAL'!E417)</f>
        <v>Chalco</v>
      </c>
      <c r="F417" s="12">
        <f>IF('[1]P-GENERAL'!F417="","",'[1]P-GENERAL'!F417)</f>
        <v>60</v>
      </c>
      <c r="G417" s="13">
        <f>IF('[1]P-GENERAL'!G417="","",'[1]P-GENERAL'!G417)</f>
        <v>1.25</v>
      </c>
      <c r="H417" s="14">
        <f>IF('[1]P-GENERAL'!H417="","",'[1]P-GENERAL'!H417)</f>
        <v>46297</v>
      </c>
      <c r="I417">
        <f>IF('[1]P-GENERAL'!I417="","",'[1]P-GENERAL'!I417)</f>
        <v>40</v>
      </c>
      <c r="J417" s="15">
        <f>IF('[1]P-GENERAL'!J417="","",'[1]P-GENERAL'!J417)</f>
        <v>46303</v>
      </c>
      <c r="K417" s="14" t="str">
        <f>IF('[1]P-GENERAL'!K417="","",'[1]P-GENERAL'!K417)</f>
        <v/>
      </c>
      <c r="L417" s="14" t="str">
        <f>IF('[1]P-GENERAL'!L417="","",'[1]P-GENERAL'!L417)</f>
        <v>PREENFRIO FORTALEZA</v>
      </c>
      <c r="M417">
        <f>IF('[1]P-GENERAL'!M417="","",'[1]P-GENERAL'!M417)</f>
        <v>1</v>
      </c>
      <c r="N417">
        <f>IF('[1]P-GENERAL'!N417="","",'[1]P-GENERAL'!N417)</f>
        <v>24</v>
      </c>
      <c r="O417" s="14">
        <f>IF('[1]P-GENERAL'!O417="","",'[1]P-GENERAL'!O417)</f>
        <v>46297</v>
      </c>
      <c r="P417" s="16">
        <f>IF('[1]P-GENERAL'!P417="","",'[1]P-GENERAL'!P417)</f>
        <v>0.70208333333333328</v>
      </c>
      <c r="Q417" t="str">
        <f>IF('[1]P-GENERAL'!Q417="","",'[1]P-GENERAL'!Q417)</f>
        <v>NORMAL</v>
      </c>
      <c r="R417" s="14">
        <f>IF('[1]P-GENERAL'!R417="","",'[1]P-GENERAL'!R417)</f>
        <v>46299</v>
      </c>
      <c r="S417" s="16">
        <f>IF('[1]P-GENERAL'!S417="","",'[1]P-GENERAL'!S417)</f>
        <v>0.33333333333333331</v>
      </c>
      <c r="T417" s="16">
        <f>IF('[1]P-GENERAL'!T417="","",'[1]P-GENERAL'!T417)</f>
        <v>0.625</v>
      </c>
      <c r="U417" s="17">
        <f>IF('[1]P-GENERAL'!U417="","",'[1]P-GENERAL'!U417)</f>
        <v>46299.958333333336</v>
      </c>
      <c r="V417" s="14">
        <f>IF('[1]P-GENERAL'!V417="","",'[1]P-GENERAL'!V417)</f>
        <v>46300</v>
      </c>
      <c r="W417" s="16">
        <f>IF('[1]P-GENERAL'!W417="","",'[1]P-GENERAL'!W417)</f>
        <v>2.0833333333333332E-2</v>
      </c>
      <c r="X417" s="14" t="str">
        <f>IF('[1]P-GENERAL'!X417="","",'[1]P-GENERAL'!X417)</f>
        <v>SI CUMPLE</v>
      </c>
      <c r="Y417" s="14" t="str">
        <f>IF('[1]P-GENERAL'!Y417="","",'[1]P-GENERAL'!Y417)</f>
        <v>SI CUMPLE</v>
      </c>
      <c r="Z417" s="14" t="str">
        <f>IF('[1]P-GENERAL'!Z417="","",'[1]P-GENERAL'!Z417)</f>
        <v/>
      </c>
      <c r="AA417" s="14" t="str">
        <f>IF('[1]P-GENERAL'!AA417="","",'[1]P-GENERAL'!AA417)</f>
        <v>DESPACHADO</v>
      </c>
      <c r="AB417" s="8" t="str">
        <f>IF('[1]P-GENERAL'!AB417="","",'[1]P-GENERAL'!AB417)</f>
        <v>SAUL ALEJNDRO</v>
      </c>
      <c r="AC417" s="8" t="str">
        <f>IF('[1]P-GENERAL'!AC417="","",'[1]P-GENERAL'!AC417)</f>
        <v>Jesus Fuentes Espinoza</v>
      </c>
      <c r="AD417">
        <f>IF('[1]P-GENERAL'!AD417="","",'[1]P-GENERAL'!AD417)</f>
        <v>17921</v>
      </c>
      <c r="AE417" t="str">
        <f>IF('[1]P-GENERAL'!AE417="","",'[1]P-GENERAL'!AE417)</f>
        <v>QEP1W00YC0</v>
      </c>
    </row>
    <row r="418" spans="1:31" ht="20.25" x14ac:dyDescent="0.3">
      <c r="A418" s="11" t="str">
        <f>IF('[1]P-GENERAL'!A418="","",'[1]P-GENERAL'!A418)</f>
        <v>Chanitos Premium EUA Tarima Americana</v>
      </c>
      <c r="B418" s="11" t="str">
        <f>IF('[1]P-GENERAL'!B418="","",'[1]P-GENERAL'!B418)</f>
        <v>CPR01104</v>
      </c>
      <c r="C418" t="str">
        <f>IF('[1]P-GENERAL'!C418="","",'[1]P-GENERAL'!C418)</f>
        <v>A04084-400310-1</v>
      </c>
      <c r="D418" t="str">
        <f>IF('[1]P-GENERAL'!D418="","",'[1]P-GENERAL'!D418)</f>
        <v>A04 084 Lisboa</v>
      </c>
      <c r="E418" s="8" t="str">
        <f>IF('[1]P-GENERAL'!E418="","",'[1]P-GENERAL'!E418)</f>
        <v>McAllen</v>
      </c>
      <c r="F418" s="12">
        <f>IF('[1]P-GENERAL'!F418="","",'[1]P-GENERAL'!F418)</f>
        <v>240</v>
      </c>
      <c r="G418" s="13">
        <f>IF('[1]P-GENERAL'!G418="","",'[1]P-GENERAL'!G418)</f>
        <v>5</v>
      </c>
      <c r="H418" s="14">
        <f>IF('[1]P-GENERAL'!H418="","",'[1]P-GENERAL'!H418)</f>
        <v>46298</v>
      </c>
      <c r="I418">
        <f>IF('[1]P-GENERAL'!I418="","",'[1]P-GENERAL'!I418)</f>
        <v>40</v>
      </c>
      <c r="J418" s="15">
        <f>IF('[1]P-GENERAL'!J418="","",'[1]P-GENERAL'!J418)</f>
        <v>46303</v>
      </c>
      <c r="K418" s="14" t="str">
        <f>IF('[1]P-GENERAL'!K418="","",'[1]P-GENERAL'!K418)</f>
        <v/>
      </c>
      <c r="L418" s="14" t="str">
        <f>IF('[1]P-GENERAL'!L418="","",'[1]P-GENERAL'!L418)</f>
        <v>PREENFRIO NELLY</v>
      </c>
      <c r="M418">
        <f>IF('[1]P-GENERAL'!M418="","",'[1]P-GENERAL'!M418)</f>
        <v>3</v>
      </c>
      <c r="N418">
        <f>IF('[1]P-GENERAL'!N418="","",'[1]P-GENERAL'!N418)</f>
        <v>72</v>
      </c>
      <c r="O418" s="14">
        <f>IF('[1]P-GENERAL'!O418="","",'[1]P-GENERAL'!O418)</f>
        <v>46298</v>
      </c>
      <c r="P418" s="16">
        <f>IF('[1]P-GENERAL'!P418="","",'[1]P-GENERAL'!P418)</f>
        <v>0.61805555555555558</v>
      </c>
      <c r="Q418" t="str">
        <f>IF('[1]P-GENERAL'!Q418="","",'[1]P-GENERAL'!Q418)</f>
        <v>ALTA</v>
      </c>
      <c r="R418" s="14" t="str">
        <f>IF('[1]P-GENERAL'!R418="","",'[1]P-GENERAL'!R418)</f>
        <v>SIN PRENFRIO</v>
      </c>
      <c r="S418" s="16" t="str">
        <f>IF('[1]P-GENERAL'!S418="","",'[1]P-GENERAL'!S418)</f>
        <v>SIN PRENFRIO</v>
      </c>
      <c r="T418" s="16" t="str">
        <f>IF('[1]P-GENERAL'!T418="","",'[1]P-GENERAL'!T418)</f>
        <v>SIN PRENFRIO</v>
      </c>
      <c r="U418" s="17" t="str">
        <f>IF('[1]P-GENERAL'!U418="","",'[1]P-GENERAL'!U418)</f>
        <v>SIN PRENFRIO</v>
      </c>
      <c r="V418" s="14" t="str">
        <f>IF('[1]P-GENERAL'!V418="","",'[1]P-GENERAL'!V418)</f>
        <v/>
      </c>
      <c r="W418" s="16" t="str">
        <f>IF('[1]P-GENERAL'!W418="","",'[1]P-GENERAL'!W418)</f>
        <v/>
      </c>
      <c r="X418" s="14" t="str">
        <f>IF('[1]P-GENERAL'!X418="","",'[1]P-GENERAL'!X418)</f>
        <v/>
      </c>
      <c r="Y418" s="14" t="str">
        <f>IF('[1]P-GENERAL'!Y418="","",'[1]P-GENERAL'!Y418)</f>
        <v/>
      </c>
      <c r="Z418" s="14" t="str">
        <f>IF('[1]P-GENERAL'!Z418="","",'[1]P-GENERAL'!Z418)</f>
        <v/>
      </c>
      <c r="AA418" s="14" t="str">
        <f>IF('[1]P-GENERAL'!AA418="","",'[1]P-GENERAL'!AA418)</f>
        <v>DESPACHADO</v>
      </c>
      <c r="AB418" s="8" t="str">
        <f>IF('[1]P-GENERAL'!AB418="","",'[1]P-GENERAL'!AB418)</f>
        <v>TRANSPORTES TOMATITOS</v>
      </c>
      <c r="AC418" s="8" t="str">
        <f>IF('[1]P-GENERAL'!AC418="","",'[1]P-GENERAL'!AC418)</f>
        <v/>
      </c>
      <c r="AD418" t="str">
        <f>IF('[1]P-GENERAL'!AD418="","",'[1]P-GENERAL'!AD418)</f>
        <v/>
      </c>
      <c r="AE418" t="str">
        <f>IF('[1]P-GENERAL'!AE418="","",'[1]P-GENERAL'!AE418)</f>
        <v/>
      </c>
    </row>
    <row r="419" spans="1:31" ht="20.25" x14ac:dyDescent="0.3">
      <c r="A419" s="11" t="str">
        <f>IF('[1]P-GENERAL'!A419="","",'[1]P-GENERAL'!A419)</f>
        <v>Chanitos Premium Tarima Chep</v>
      </c>
      <c r="B419" s="11" t="str">
        <f>IF('[1]P-GENERAL'!B419="","",'[1]P-GENERAL'!B419)</f>
        <v>CPR01102</v>
      </c>
      <c r="C419" t="str">
        <f>IF('[1]P-GENERAL'!C419="","",'[1]P-GENERAL'!C419)</f>
        <v>A01002-400210-1</v>
      </c>
      <c r="D419" t="str">
        <f>IF('[1]P-GENERAL'!D419="","",'[1]P-GENERAL'!D419)</f>
        <v>A01 002 Fortaleza</v>
      </c>
      <c r="E419" s="8" t="str">
        <f>IF('[1]P-GENERAL'!E419="","",'[1]P-GENERAL'!E419)</f>
        <v>Chalco</v>
      </c>
      <c r="F419" s="12">
        <f>IF('[1]P-GENERAL'!F419="","",'[1]P-GENERAL'!F419)</f>
        <v>900</v>
      </c>
      <c r="G419" s="13">
        <f>IF('[1]P-GENERAL'!G419="","",'[1]P-GENERAL'!G419)</f>
        <v>19</v>
      </c>
      <c r="H419" s="14">
        <f>IF('[1]P-GENERAL'!H419="","",'[1]P-GENERAL'!H419)</f>
        <v>46297</v>
      </c>
      <c r="I419">
        <f>IF('[1]P-GENERAL'!I419="","",'[1]P-GENERAL'!I419)</f>
        <v>40</v>
      </c>
      <c r="J419" s="15">
        <f>IF('[1]P-GENERAL'!J419="","",'[1]P-GENERAL'!J419)</f>
        <v>46303</v>
      </c>
      <c r="K419" s="14" t="str">
        <f>IF('[1]P-GENERAL'!K419="","",'[1]P-GENERAL'!K419)</f>
        <v/>
      </c>
      <c r="L419" s="14" t="str">
        <f>IF('[1]P-GENERAL'!L419="","",'[1]P-GENERAL'!L419)</f>
        <v>PREENFRIO FORTALEZA</v>
      </c>
      <c r="M419">
        <f>IF('[1]P-GENERAL'!M419="","",'[1]P-GENERAL'!M419)</f>
        <v>1</v>
      </c>
      <c r="N419">
        <f>IF('[1]P-GENERAL'!N419="","",'[1]P-GENERAL'!N419)</f>
        <v>24</v>
      </c>
      <c r="O419" s="14">
        <f>IF('[1]P-GENERAL'!O419="","",'[1]P-GENERAL'!O419)</f>
        <v>46297</v>
      </c>
      <c r="P419" s="16">
        <f>IF('[1]P-GENERAL'!P419="","",'[1]P-GENERAL'!P419)</f>
        <v>0.70208333333333328</v>
      </c>
      <c r="Q419" t="str">
        <f>IF('[1]P-GENERAL'!Q419="","",'[1]P-GENERAL'!Q419)</f>
        <v>NORMAL</v>
      </c>
      <c r="R419" s="14">
        <f>IF('[1]P-GENERAL'!R419="","",'[1]P-GENERAL'!R419)</f>
        <v>46299</v>
      </c>
      <c r="S419" s="16">
        <f>IF('[1]P-GENERAL'!S419="","",'[1]P-GENERAL'!S419)</f>
        <v>0.33333333333333331</v>
      </c>
      <c r="T419" s="16">
        <f>IF('[1]P-GENERAL'!T419="","",'[1]P-GENERAL'!T419)</f>
        <v>0.625</v>
      </c>
      <c r="U419" s="17">
        <f>IF('[1]P-GENERAL'!U419="","",'[1]P-GENERAL'!U419)</f>
        <v>46299.958333333336</v>
      </c>
      <c r="V419" s="14">
        <f>IF('[1]P-GENERAL'!V419="","",'[1]P-GENERAL'!V419)</f>
        <v>46300</v>
      </c>
      <c r="W419" s="16">
        <f>IF('[1]P-GENERAL'!W419="","",'[1]P-GENERAL'!W419)</f>
        <v>2.0833333333333332E-2</v>
      </c>
      <c r="X419" s="14" t="str">
        <f>IF('[1]P-GENERAL'!X419="","",'[1]P-GENERAL'!X419)</f>
        <v>SI CUMPLE</v>
      </c>
      <c r="Y419" s="14" t="str">
        <f>IF('[1]P-GENERAL'!Y419="","",'[1]P-GENERAL'!Y419)</f>
        <v>SI CUMPLE</v>
      </c>
      <c r="Z419" s="14" t="str">
        <f>IF('[1]P-GENERAL'!Z419="","",'[1]P-GENERAL'!Z419)</f>
        <v/>
      </c>
      <c r="AA419" s="14" t="str">
        <f>IF('[1]P-GENERAL'!AA419="","",'[1]P-GENERAL'!AA419)</f>
        <v>DESPACHADO</v>
      </c>
      <c r="AB419" s="8" t="str">
        <f>IF('[1]P-GENERAL'!AB419="","",'[1]P-GENERAL'!AB419)</f>
        <v>SAUL ALEJNDRO</v>
      </c>
      <c r="AC419" s="8" t="str">
        <f>IF('[1]P-GENERAL'!AC419="","",'[1]P-GENERAL'!AC419)</f>
        <v>Jesus Fuentes Espinoza</v>
      </c>
      <c r="AD419">
        <f>IF('[1]P-GENERAL'!AD419="","",'[1]P-GENERAL'!AD419)</f>
        <v>17921</v>
      </c>
      <c r="AE419" t="str">
        <f>IF('[1]P-GENERAL'!AE419="","",'[1]P-GENERAL'!AE419)</f>
        <v>QEP1W00YC0</v>
      </c>
    </row>
    <row r="420" spans="1:31" ht="20.25" x14ac:dyDescent="0.3">
      <c r="A420" s="11" t="str">
        <f>IF('[1]P-GENERAL'!A420="","",'[1]P-GENERAL'!A420)</f>
        <v>Chanitos Premium EUA Tarima Americana</v>
      </c>
      <c r="B420" s="11" t="str">
        <f>IF('[1]P-GENERAL'!B420="","",'[1]P-GENERAL'!B420)</f>
        <v>CPR01104</v>
      </c>
      <c r="C420" t="str">
        <f>IF('[1]P-GENERAL'!C420="","",'[1]P-GENERAL'!C420)</f>
        <v>A01001-400310-1</v>
      </c>
      <c r="D420" t="str">
        <f>IF('[1]P-GENERAL'!D420="","",'[1]P-GENERAL'!D420)</f>
        <v>A01 001 Marbella</v>
      </c>
      <c r="E420" s="8" t="str">
        <f>IF('[1]P-GENERAL'!E420="","",'[1]P-GENERAL'!E420)</f>
        <v>McAllen</v>
      </c>
      <c r="F420" s="12">
        <f>IF('[1]P-GENERAL'!F420="","",'[1]P-GENERAL'!F420)</f>
        <v>144</v>
      </c>
      <c r="G420" s="13">
        <f>IF('[1]P-GENERAL'!G420="","",'[1]P-GENERAL'!G420)</f>
        <v>3</v>
      </c>
      <c r="H420" s="14">
        <f>IF('[1]P-GENERAL'!H420="","",'[1]P-GENERAL'!H420)</f>
        <v>46298</v>
      </c>
      <c r="I420">
        <f>IF('[1]P-GENERAL'!I420="","",'[1]P-GENERAL'!I420)</f>
        <v>40</v>
      </c>
      <c r="J420" s="15">
        <f>IF('[1]P-GENERAL'!J420="","",'[1]P-GENERAL'!J420)</f>
        <v>46303</v>
      </c>
      <c r="K420" s="14" t="str">
        <f>IF('[1]P-GENERAL'!K420="","",'[1]P-GENERAL'!K420)</f>
        <v/>
      </c>
      <c r="L420" s="14" t="str">
        <f>IF('[1]P-GENERAL'!L420="","",'[1]P-GENERAL'!L420)</f>
        <v>DIRECTO SIN PREENFRIO</v>
      </c>
      <c r="M420">
        <f>IF('[1]P-GENERAL'!M420="","",'[1]P-GENERAL'!M420)</f>
        <v>3</v>
      </c>
      <c r="N420">
        <f>IF('[1]P-GENERAL'!N420="","",'[1]P-GENERAL'!N420)</f>
        <v>72</v>
      </c>
      <c r="O420" s="14">
        <f>IF('[1]P-GENERAL'!O420="","",'[1]P-GENERAL'!O420)</f>
        <v>46298</v>
      </c>
      <c r="P420" s="16">
        <f>IF('[1]P-GENERAL'!P420="","",'[1]P-GENERAL'!P420)</f>
        <v>0.61805555555555558</v>
      </c>
      <c r="Q420" t="str">
        <f>IF('[1]P-GENERAL'!Q420="","",'[1]P-GENERAL'!Q420)</f>
        <v>ALTA</v>
      </c>
      <c r="R420" s="14" t="str">
        <f>IF('[1]P-GENERAL'!R420="","",'[1]P-GENERAL'!R420)</f>
        <v>SIN PRENFRIO</v>
      </c>
      <c r="S420" s="16" t="str">
        <f>IF('[1]P-GENERAL'!S420="","",'[1]P-GENERAL'!S420)</f>
        <v>SIN PRENFRIO</v>
      </c>
      <c r="T420" s="16" t="str">
        <f>IF('[1]P-GENERAL'!T420="","",'[1]P-GENERAL'!T420)</f>
        <v>N/A</v>
      </c>
      <c r="U420" s="17" t="str">
        <f>IF('[1]P-GENERAL'!U420="","",'[1]P-GENERAL'!U420)</f>
        <v>SIN PRENFRIO</v>
      </c>
      <c r="V420" s="14">
        <f>IF('[1]P-GENERAL'!V420="","",'[1]P-GENERAL'!V420)</f>
        <v>46299</v>
      </c>
      <c r="W420" s="16">
        <f>IF('[1]P-GENERAL'!W420="","",'[1]P-GENERAL'!W420)</f>
        <v>0.41666666666666669</v>
      </c>
      <c r="X420" s="14" t="str">
        <f>IF('[1]P-GENERAL'!X420="","",'[1]P-GENERAL'!X420)</f>
        <v/>
      </c>
      <c r="Y420" s="14" t="str">
        <f>IF('[1]P-GENERAL'!Y420="","",'[1]P-GENERAL'!Y420)</f>
        <v>SI CUMPLE</v>
      </c>
      <c r="Z420" s="14" t="str">
        <f>IF('[1]P-GENERAL'!Z420="","",'[1]P-GENERAL'!Z420)</f>
        <v/>
      </c>
      <c r="AA420" s="14" t="str">
        <f>IF('[1]P-GENERAL'!AA420="","",'[1]P-GENERAL'!AA420)</f>
        <v>DESPACHADO</v>
      </c>
      <c r="AB420" s="8" t="str">
        <f>IF('[1]P-GENERAL'!AB420="","",'[1]P-GENERAL'!AB420)</f>
        <v>TRANSPORTES TOMATITOS</v>
      </c>
      <c r="AC420" s="8" t="str">
        <f>IF('[1]P-GENERAL'!AC420="","",'[1]P-GENERAL'!AC420)</f>
        <v>ALBERTO LEAL</v>
      </c>
      <c r="AD420">
        <f>IF('[1]P-GENERAL'!AD420="","",'[1]P-GENERAL'!AD420)</f>
        <v>47042</v>
      </c>
      <c r="AE420" t="str">
        <f>IF('[1]P-GENERAL'!AE420="","",'[1]P-GENERAL'!AE420)</f>
        <v>QEP1W00WR0</v>
      </c>
    </row>
    <row r="421" spans="1:31" ht="20.25" x14ac:dyDescent="0.3">
      <c r="A421" s="11" t="str">
        <f>IF('[1]P-GENERAL'!A421="","",'[1]P-GENERAL'!A421)</f>
        <v>Chanitos Premium Tarima Chep</v>
      </c>
      <c r="B421" s="11" t="str">
        <f>IF('[1]P-GENERAL'!B421="","",'[1]P-GENERAL'!B421)</f>
        <v>CPR01102</v>
      </c>
      <c r="C421" t="str">
        <f>IF('[1]P-GENERAL'!C421="","",'[1]P-GENERAL'!C421)</f>
        <v>A01002-400310-1</v>
      </c>
      <c r="D421" t="str">
        <f>IF('[1]P-GENERAL'!D421="","",'[1]P-GENERAL'!D421)</f>
        <v>A01 002 Fortaleza</v>
      </c>
      <c r="E421" s="8" t="str">
        <f>IF('[1]P-GENERAL'!E421="","",'[1]P-GENERAL'!E421)</f>
        <v>SMO</v>
      </c>
      <c r="F421" s="12">
        <f>IF('[1]P-GENERAL'!F421="","",'[1]P-GENERAL'!F421)</f>
        <v>240</v>
      </c>
      <c r="G421" s="13">
        <f>IF('[1]P-GENERAL'!G421="","",'[1]P-GENERAL'!G421)</f>
        <v>5</v>
      </c>
      <c r="H421" s="14">
        <f>IF('[1]P-GENERAL'!H421="","",'[1]P-GENERAL'!H421)</f>
        <v>46298</v>
      </c>
      <c r="I421">
        <f>IF('[1]P-GENERAL'!I421="","",'[1]P-GENERAL'!I421)</f>
        <v>40</v>
      </c>
      <c r="J421" s="15">
        <f>IF('[1]P-GENERAL'!J421="","",'[1]P-GENERAL'!J421)</f>
        <v>46303</v>
      </c>
      <c r="K421" s="14" t="str">
        <f>IF('[1]P-GENERAL'!K421="","",'[1]P-GENERAL'!K421)</f>
        <v/>
      </c>
      <c r="L421" s="14" t="str">
        <f>IF('[1]P-GENERAL'!L421="","",'[1]P-GENERAL'!L421)</f>
        <v>PREENFRIO FORTALEZA</v>
      </c>
      <c r="M421">
        <f>IF('[1]P-GENERAL'!M421="","",'[1]P-GENERAL'!M421)</f>
        <v>1.5</v>
      </c>
      <c r="N421">
        <f>IF('[1]P-GENERAL'!N421="","",'[1]P-GENERAL'!N421)</f>
        <v>36</v>
      </c>
      <c r="O421" s="14">
        <f>IF('[1]P-GENERAL'!O421="","",'[1]P-GENERAL'!O421)</f>
        <v>46298</v>
      </c>
      <c r="P421" s="16">
        <f>IF('[1]P-GENERAL'!P421="","",'[1]P-GENERAL'!P421)</f>
        <v>0.70208333333333328</v>
      </c>
      <c r="Q421" t="str">
        <f>IF('[1]P-GENERAL'!Q421="","",'[1]P-GENERAL'!Q421)</f>
        <v>NORMAL</v>
      </c>
      <c r="R421" s="14">
        <f>IF('[1]P-GENERAL'!R421="","",'[1]P-GENERAL'!R421)</f>
        <v>46299</v>
      </c>
      <c r="S421" s="16">
        <f>IF('[1]P-GENERAL'!S421="","",'[1]P-GENERAL'!S421)</f>
        <v>0.80347222222222225</v>
      </c>
      <c r="T421" s="16">
        <f>IF('[1]P-GENERAL'!T421="","",'[1]P-GENERAL'!T421)</f>
        <v>0.41666666666666669</v>
      </c>
      <c r="U421" s="17">
        <f>IF('[1]P-GENERAL'!U421="","",'[1]P-GENERAL'!U421)</f>
        <v>46300.220138888886</v>
      </c>
      <c r="V421" s="14">
        <f>IF('[1]P-GENERAL'!V421="","",'[1]P-GENERAL'!V421)</f>
        <v>46301</v>
      </c>
      <c r="W421" s="16">
        <f>IF('[1]P-GENERAL'!W421="","",'[1]P-GENERAL'!W421)</f>
        <v>0.10625</v>
      </c>
      <c r="X421" s="14" t="str">
        <f>IF('[1]P-GENERAL'!X421="","",'[1]P-GENERAL'!X421)</f>
        <v>SI CUMPLE</v>
      </c>
      <c r="Y421" s="14" t="str">
        <f>IF('[1]P-GENERAL'!Y421="","",'[1]P-GENERAL'!Y421)</f>
        <v>SI CUMPLE</v>
      </c>
      <c r="Z421" s="14" t="str">
        <f>IF('[1]P-GENERAL'!Z421="","",'[1]P-GENERAL'!Z421)</f>
        <v/>
      </c>
      <c r="AA421" s="14" t="str">
        <f>IF('[1]P-GENERAL'!AA421="","",'[1]P-GENERAL'!AA421)</f>
        <v>DESPACHADO</v>
      </c>
      <c r="AB421" s="8" t="str">
        <f>IF('[1]P-GENERAL'!AB421="","",'[1]P-GENERAL'!AB421)</f>
        <v>JONATHAN CARRILLO</v>
      </c>
      <c r="AC421" s="8" t="str">
        <f>IF('[1]P-GENERAL'!AC421="","",'[1]P-GENERAL'!AC421)</f>
        <v>CESAR URIEL SANCHEZ</v>
      </c>
      <c r="AD421">
        <f>IF('[1]P-GENERAL'!AD421="","",'[1]P-GENERAL'!AD421)</f>
        <v>40651</v>
      </c>
      <c r="AE421" t="str">
        <f>IF('[1]P-GENERAL'!AE421="","",'[1]P-GENERAL'!AE421)</f>
        <v>QF91W044D0</v>
      </c>
    </row>
    <row r="422" spans="1:31" ht="20.25" x14ac:dyDescent="0.3">
      <c r="A422" s="11" t="str">
        <f>IF('[1]P-GENERAL'!A422="","",'[1]P-GENERAL'!A422)</f>
        <v>Chanitos Premium Tarima Chep</v>
      </c>
      <c r="B422" s="11" t="str">
        <f>IF('[1]P-GENERAL'!B422="","",'[1]P-GENERAL'!B422)</f>
        <v>CPR01102</v>
      </c>
      <c r="C422" t="str">
        <f>IF('[1]P-GENERAL'!C422="","",'[1]P-GENERAL'!C422)</f>
        <v>A01002-400310-1</v>
      </c>
      <c r="D422" t="str">
        <f>IF('[1]P-GENERAL'!D422="","",'[1]P-GENERAL'!D422)</f>
        <v>A01 002 Fortaleza</v>
      </c>
      <c r="E422" s="8" t="str">
        <f>IF('[1]P-GENERAL'!E422="","",'[1]P-GENERAL'!E422)</f>
        <v>VSA</v>
      </c>
      <c r="F422" s="12">
        <f>IF('[1]P-GENERAL'!F422="","",'[1]P-GENERAL'!F422)</f>
        <v>816</v>
      </c>
      <c r="G422" s="13">
        <f>IF('[1]P-GENERAL'!G422="","",'[1]P-GENERAL'!G422)</f>
        <v>17</v>
      </c>
      <c r="H422" s="14">
        <f>IF('[1]P-GENERAL'!H422="","",'[1]P-GENERAL'!H422)</f>
        <v>46298</v>
      </c>
      <c r="I422">
        <f>IF('[1]P-GENERAL'!I422="","",'[1]P-GENERAL'!I422)</f>
        <v>40</v>
      </c>
      <c r="J422" s="15">
        <f>IF('[1]P-GENERAL'!J422="","",'[1]P-GENERAL'!J422)</f>
        <v>46303</v>
      </c>
      <c r="K422" s="14" t="str">
        <f>IF('[1]P-GENERAL'!K422="","",'[1]P-GENERAL'!K422)</f>
        <v/>
      </c>
      <c r="L422" s="14" t="str">
        <f>IF('[1]P-GENERAL'!L422="","",'[1]P-GENERAL'!L422)</f>
        <v>PREENFRIO FORTALEZA</v>
      </c>
      <c r="M422">
        <f>IF('[1]P-GENERAL'!M422="","",'[1]P-GENERAL'!M422)</f>
        <v>1</v>
      </c>
      <c r="N422">
        <f>IF('[1]P-GENERAL'!N422="","",'[1]P-GENERAL'!N422)</f>
        <v>24</v>
      </c>
      <c r="O422" s="14">
        <f>IF('[1]P-GENERAL'!O422="","",'[1]P-GENERAL'!O422)</f>
        <v>46298</v>
      </c>
      <c r="P422" s="16">
        <f>IF('[1]P-GENERAL'!P422="","",'[1]P-GENERAL'!P422)</f>
        <v>0.70208333333333328</v>
      </c>
      <c r="Q422" t="str">
        <f>IF('[1]P-GENERAL'!Q422="","",'[1]P-GENERAL'!Q422)</f>
        <v>NORMAL</v>
      </c>
      <c r="R422" s="14">
        <f>IF('[1]P-GENERAL'!R422="","",'[1]P-GENERAL'!R422)</f>
        <v>46300</v>
      </c>
      <c r="S422" s="16">
        <f>IF('[1]P-GENERAL'!S422="","",'[1]P-GENERAL'!S422)</f>
        <v>0.70138888888888884</v>
      </c>
      <c r="T422" s="16">
        <f>IF('[1]P-GENERAL'!T422="","",'[1]P-GENERAL'!T422)</f>
        <v>0.83333333333333337</v>
      </c>
      <c r="U422" s="17">
        <f>IF('[1]P-GENERAL'!U422="","",'[1]P-GENERAL'!U422)</f>
        <v>46301.534722222226</v>
      </c>
      <c r="V422" s="14">
        <f>IF('[1]P-GENERAL'!V422="","",'[1]P-GENERAL'!V422)</f>
        <v>46301</v>
      </c>
      <c r="W422" s="16">
        <f>IF('[1]P-GENERAL'!W422="","",'[1]P-GENERAL'!W422)</f>
        <v>0.65625</v>
      </c>
      <c r="X422" s="14" t="str">
        <f>IF('[1]P-GENERAL'!X422="","",'[1]P-GENERAL'!X422)</f>
        <v>SI CUMPLE</v>
      </c>
      <c r="Y422" s="14" t="str">
        <f>IF('[1]P-GENERAL'!Y422="","",'[1]P-GENERAL'!Y422)</f>
        <v>SI CUMPLE</v>
      </c>
      <c r="Z422" s="14" t="str">
        <f>IF('[1]P-GENERAL'!Z422="","",'[1]P-GENERAL'!Z422)</f>
        <v/>
      </c>
      <c r="AA422" s="14" t="str">
        <f>IF('[1]P-GENERAL'!AA422="","",'[1]P-GENERAL'!AA422)</f>
        <v>DESPACHADO</v>
      </c>
      <c r="AB422" s="8" t="str">
        <f>IF('[1]P-GENERAL'!AB422="","",'[1]P-GENERAL'!AB422)</f>
        <v>GENARO IBAÑEZ</v>
      </c>
      <c r="AC422" s="8" t="str">
        <f>IF('[1]P-GENERAL'!AC422="","",'[1]P-GENERAL'!AC422)</f>
        <v>ALEJANDRO BARRALES OLIVARES</v>
      </c>
      <c r="AD422">
        <f>IF('[1]P-GENERAL'!AD422="","",'[1]P-GENERAL'!AD422)</f>
        <v>71173</v>
      </c>
      <c r="AE422" t="str">
        <f>IF('[1]P-GENERAL'!AE422="","",'[1]P-GENERAL'!AE422)</f>
        <v>QF91W043X0</v>
      </c>
    </row>
    <row r="423" spans="1:31" ht="20.25" x14ac:dyDescent="0.3">
      <c r="A423" s="11" t="str">
        <f>IF('[1]P-GENERAL'!A423="","",'[1]P-GENERAL'!A423)</f>
        <v>Chanitos Organic Banded Market Side Mexico</v>
      </c>
      <c r="B423" s="11" t="str">
        <f>IF('[1]P-GENERAL'!B423="","",'[1]P-GENERAL'!B423)</f>
        <v>CRG07128</v>
      </c>
      <c r="C423" t="str">
        <f>IF('[1]P-GENERAL'!C423="","",'[1]P-GENERAL'!C423)</f>
        <v>A01002-400310-1</v>
      </c>
      <c r="D423" t="str">
        <f>IF('[1]P-GENERAL'!D423="","",'[1]P-GENERAL'!D423)</f>
        <v>A01 002 Fortaleza</v>
      </c>
      <c r="E423" s="8" t="str">
        <f>IF('[1]P-GENERAL'!E423="","",'[1]P-GENERAL'!E423)</f>
        <v>VSA</v>
      </c>
      <c r="F423" s="12">
        <f>IF('[1]P-GENERAL'!F423="","",'[1]P-GENERAL'!F423)</f>
        <v>240</v>
      </c>
      <c r="G423" s="13">
        <f>IF('[1]P-GENERAL'!G423="","",'[1]P-GENERAL'!G423)</f>
        <v>5</v>
      </c>
      <c r="H423" s="14">
        <f>IF('[1]P-GENERAL'!H423="","",'[1]P-GENERAL'!H423)</f>
        <v>46298</v>
      </c>
      <c r="I423">
        <f>IF('[1]P-GENERAL'!I423="","",'[1]P-GENERAL'!I423)</f>
        <v>40</v>
      </c>
      <c r="J423" s="15">
        <f>IF('[1]P-GENERAL'!J423="","",'[1]P-GENERAL'!J423)</f>
        <v>46303</v>
      </c>
      <c r="K423" s="14" t="str">
        <f>IF('[1]P-GENERAL'!K423="","",'[1]P-GENERAL'!K423)</f>
        <v/>
      </c>
      <c r="L423" s="14" t="str">
        <f>IF('[1]P-GENERAL'!L423="","",'[1]P-GENERAL'!L423)</f>
        <v>PREENFRIO FORTALEZA</v>
      </c>
      <c r="M423">
        <f>IF('[1]P-GENERAL'!M423="","",'[1]P-GENERAL'!M423)</f>
        <v>1</v>
      </c>
      <c r="N423">
        <f>IF('[1]P-GENERAL'!N423="","",'[1]P-GENERAL'!N423)</f>
        <v>24</v>
      </c>
      <c r="O423" s="14">
        <f>IF('[1]P-GENERAL'!O423="","",'[1]P-GENERAL'!O423)</f>
        <v>46298</v>
      </c>
      <c r="P423" s="16">
        <f>IF('[1]P-GENERAL'!P423="","",'[1]P-GENERAL'!P423)</f>
        <v>0.70208333333333328</v>
      </c>
      <c r="Q423" t="str">
        <f>IF('[1]P-GENERAL'!Q423="","",'[1]P-GENERAL'!Q423)</f>
        <v>NORMAL</v>
      </c>
      <c r="R423" s="14">
        <f>IF('[1]P-GENERAL'!R423="","",'[1]P-GENERAL'!R423)</f>
        <v>46300</v>
      </c>
      <c r="S423" s="16">
        <f>IF('[1]P-GENERAL'!S423="","",'[1]P-GENERAL'!S423)</f>
        <v>0.70138888888888884</v>
      </c>
      <c r="T423" s="16">
        <f>IF('[1]P-GENERAL'!T423="","",'[1]P-GENERAL'!T423)</f>
        <v>0.83333333333333337</v>
      </c>
      <c r="U423" s="17">
        <f>IF('[1]P-GENERAL'!U423="","",'[1]P-GENERAL'!U423)</f>
        <v>46301.534722222226</v>
      </c>
      <c r="V423" s="14">
        <f>IF('[1]P-GENERAL'!V423="","",'[1]P-GENERAL'!V423)</f>
        <v>46301</v>
      </c>
      <c r="W423" s="16">
        <f>IF('[1]P-GENERAL'!W423="","",'[1]P-GENERAL'!W423)</f>
        <v>0.65625</v>
      </c>
      <c r="X423" s="14" t="str">
        <f>IF('[1]P-GENERAL'!X423="","",'[1]P-GENERAL'!X423)</f>
        <v>SI CUMPLE</v>
      </c>
      <c r="Y423" s="14" t="str">
        <f>IF('[1]P-GENERAL'!Y423="","",'[1]P-GENERAL'!Y423)</f>
        <v>SI CUMPLE</v>
      </c>
      <c r="Z423" s="14" t="str">
        <f>IF('[1]P-GENERAL'!Z423="","",'[1]P-GENERAL'!Z423)</f>
        <v/>
      </c>
      <c r="AA423" s="14" t="str">
        <f>IF('[1]P-GENERAL'!AA423="","",'[1]P-GENERAL'!AA423)</f>
        <v>DESPACHADO</v>
      </c>
      <c r="AB423" s="8" t="str">
        <f>IF('[1]P-GENERAL'!AB423="","",'[1]P-GENERAL'!AB423)</f>
        <v>GENARO IBAÑEZ</v>
      </c>
      <c r="AC423" s="8" t="str">
        <f>IF('[1]P-GENERAL'!AC423="","",'[1]P-GENERAL'!AC423)</f>
        <v>ALEJANDRO BARRALES OLIVARES</v>
      </c>
      <c r="AD423">
        <f>IF('[1]P-GENERAL'!AD423="","",'[1]P-GENERAL'!AD423)</f>
        <v>71173</v>
      </c>
      <c r="AE423" t="str">
        <f>IF('[1]P-GENERAL'!AE423="","",'[1]P-GENERAL'!AE423)</f>
        <v>QF91W043X0</v>
      </c>
    </row>
    <row r="424" spans="1:31" ht="20.25" x14ac:dyDescent="0.3">
      <c r="A424" s="11" t="str">
        <f>IF('[1]P-GENERAL'!A424="","",'[1]P-GENERAL'!A424)</f>
        <v>Chanitos Premium Tarima Chep</v>
      </c>
      <c r="B424" s="11" t="str">
        <f>IF('[1]P-GENERAL'!B424="","",'[1]P-GENERAL'!B424)</f>
        <v>CPR01102</v>
      </c>
      <c r="C424" t="str">
        <f>IF('[1]P-GENERAL'!C424="","",'[1]P-GENERAL'!C424)</f>
        <v>A01003-400310-1</v>
      </c>
      <c r="D424" t="str">
        <f>IF('[1]P-GENERAL'!D424="","",'[1]P-GENERAL'!D424)</f>
        <v>A01 003 Doña Nelly</v>
      </c>
      <c r="E424" s="8" t="str">
        <f>IF('[1]P-GENERAL'!E424="","",'[1]P-GENERAL'!E424)</f>
        <v>SMO</v>
      </c>
      <c r="F424" s="12">
        <f>IF('[1]P-GENERAL'!F424="","",'[1]P-GENERAL'!F424)</f>
        <v>384</v>
      </c>
      <c r="G424" s="13">
        <f>IF('[1]P-GENERAL'!G424="","",'[1]P-GENERAL'!G424)</f>
        <v>8</v>
      </c>
      <c r="H424" s="14">
        <f>IF('[1]P-GENERAL'!H424="","",'[1]P-GENERAL'!H424)</f>
        <v>46298</v>
      </c>
      <c r="I424">
        <f>IF('[1]P-GENERAL'!I424="","",'[1]P-GENERAL'!I424)</f>
        <v>40</v>
      </c>
      <c r="J424" s="15">
        <f>IF('[1]P-GENERAL'!J424="","",'[1]P-GENERAL'!J424)</f>
        <v>46303</v>
      </c>
      <c r="K424" s="14" t="str">
        <f>IF('[1]P-GENERAL'!K424="","",'[1]P-GENERAL'!K424)</f>
        <v/>
      </c>
      <c r="L424" s="14" t="str">
        <f>IF('[1]P-GENERAL'!L424="","",'[1]P-GENERAL'!L424)</f>
        <v>PREENFRIO NELLY</v>
      </c>
      <c r="M424">
        <f>IF('[1]P-GENERAL'!M424="","",'[1]P-GENERAL'!M424)</f>
        <v>1.5</v>
      </c>
      <c r="N424">
        <f>IF('[1]P-GENERAL'!N424="","",'[1]P-GENERAL'!N424)</f>
        <v>36</v>
      </c>
      <c r="O424" s="14">
        <f>IF('[1]P-GENERAL'!O424="","",'[1]P-GENERAL'!O424)</f>
        <v>46298</v>
      </c>
      <c r="P424" s="16">
        <f>IF('[1]P-GENERAL'!P424="","",'[1]P-GENERAL'!P424)</f>
        <v>0.61805555555555558</v>
      </c>
      <c r="Q424" t="str">
        <f>IF('[1]P-GENERAL'!Q424="","",'[1]P-GENERAL'!Q424)</f>
        <v>ALTA</v>
      </c>
      <c r="R424" s="14">
        <f>IF('[1]P-GENERAL'!R424="","",'[1]P-GENERAL'!R424)</f>
        <v>46300</v>
      </c>
      <c r="S424" s="16">
        <f>IF('[1]P-GENERAL'!S424="","",'[1]P-GENERAL'!S424)</f>
        <v>9.7222222222222224E-2</v>
      </c>
      <c r="T424" s="16">
        <f>IF('[1]P-GENERAL'!T424="","",'[1]P-GENERAL'!T424)</f>
        <v>0.35416666666666669</v>
      </c>
      <c r="U424" s="17">
        <f>IF('[1]P-GENERAL'!U424="","",'[1]P-GENERAL'!U424)</f>
        <v>46300.451388888883</v>
      </c>
      <c r="V424" s="14">
        <f>IF('[1]P-GENERAL'!V424="","",'[1]P-GENERAL'!V424)</f>
        <v>46301</v>
      </c>
      <c r="W424" s="16">
        <f>IF('[1]P-GENERAL'!W424="","",'[1]P-GENERAL'!W424)</f>
        <v>0.33333333333333331</v>
      </c>
      <c r="X424" s="14" t="str">
        <f>IF('[1]P-GENERAL'!X424="","",'[1]P-GENERAL'!X424)</f>
        <v>SI CUMPLE</v>
      </c>
      <c r="Y424" s="14" t="str">
        <f>IF('[1]P-GENERAL'!Y424="","",'[1]P-GENERAL'!Y424)</f>
        <v>SI CUMPLE</v>
      </c>
      <c r="Z424" s="14" t="str">
        <f>IF('[1]P-GENERAL'!Z424="","",'[1]P-GENERAL'!Z424)</f>
        <v/>
      </c>
      <c r="AA424" s="14" t="str">
        <f>IF('[1]P-GENERAL'!AA424="","",'[1]P-GENERAL'!AA424)</f>
        <v>DESPACHADO</v>
      </c>
      <c r="AB424" s="8" t="str">
        <f>IF('[1]P-GENERAL'!AB424="","",'[1]P-GENERAL'!AB424)</f>
        <v/>
      </c>
      <c r="AC424" s="8" t="str">
        <f>IF('[1]P-GENERAL'!AC424="","",'[1]P-GENERAL'!AC424)</f>
        <v/>
      </c>
      <c r="AD424" t="str">
        <f>IF('[1]P-GENERAL'!AD424="","",'[1]P-GENERAL'!AD424)</f>
        <v/>
      </c>
      <c r="AE424" t="str">
        <f>IF('[1]P-GENERAL'!AE424="","",'[1]P-GENERAL'!AE424)</f>
        <v/>
      </c>
    </row>
    <row r="425" spans="1:31" ht="20.25" x14ac:dyDescent="0.3">
      <c r="A425" s="11" t="str">
        <f>IF('[1]P-GENERAL'!A425="","",'[1]P-GENERAL'!A425)</f>
        <v>Chanitos Premium Tarima Chep</v>
      </c>
      <c r="B425" s="11" t="str">
        <f>IF('[1]P-GENERAL'!B425="","",'[1]P-GENERAL'!B425)</f>
        <v>CPR01102</v>
      </c>
      <c r="C425" t="str">
        <f>IF('[1]P-GENERAL'!C425="","",'[1]P-GENERAL'!C425)</f>
        <v>A01001-400310-1</v>
      </c>
      <c r="D425" t="str">
        <f>IF('[1]P-GENERAL'!D425="","",'[1]P-GENERAL'!D425)</f>
        <v>A01 001 Marbella</v>
      </c>
      <c r="E425" s="8" t="str">
        <f>IF('[1]P-GENERAL'!E425="","",'[1]P-GENERAL'!E425)</f>
        <v>SMO</v>
      </c>
      <c r="F425" s="12">
        <f>IF('[1]P-GENERAL'!F425="","",'[1]P-GENERAL'!F425)</f>
        <v>288</v>
      </c>
      <c r="G425" s="13">
        <f>IF('[1]P-GENERAL'!G425="","",'[1]P-GENERAL'!G425)</f>
        <v>6</v>
      </c>
      <c r="H425" s="14">
        <f>IF('[1]P-GENERAL'!H425="","",'[1]P-GENERAL'!H425)</f>
        <v>46298</v>
      </c>
      <c r="I425">
        <f>IF('[1]P-GENERAL'!I425="","",'[1]P-GENERAL'!I425)</f>
        <v>40</v>
      </c>
      <c r="J425" s="15">
        <f>IF('[1]P-GENERAL'!J425="","",'[1]P-GENERAL'!J425)</f>
        <v>46303</v>
      </c>
      <c r="K425" s="14" t="str">
        <f>IF('[1]P-GENERAL'!K425="","",'[1]P-GENERAL'!K425)</f>
        <v/>
      </c>
      <c r="L425" s="14" t="str">
        <f>IF('[1]P-GENERAL'!L425="","",'[1]P-GENERAL'!L425)</f>
        <v>PREENFRIO FORTALEZA</v>
      </c>
      <c r="M425">
        <f>IF('[1]P-GENERAL'!M425="","",'[1]P-GENERAL'!M425)</f>
        <v>1.5</v>
      </c>
      <c r="N425">
        <f>IF('[1]P-GENERAL'!N425="","",'[1]P-GENERAL'!N425)</f>
        <v>36</v>
      </c>
      <c r="O425" s="14">
        <f>IF('[1]P-GENERAL'!O425="","",'[1]P-GENERAL'!O425)</f>
        <v>46298</v>
      </c>
      <c r="P425" s="16">
        <f>IF('[1]P-GENERAL'!P425="","",'[1]P-GENERAL'!P425)</f>
        <v>0.94513888888888886</v>
      </c>
      <c r="Q425" t="str">
        <f>IF('[1]P-GENERAL'!Q425="","",'[1]P-GENERAL'!Q425)</f>
        <v>NORMAL</v>
      </c>
      <c r="R425" s="14">
        <f>IF('[1]P-GENERAL'!R425="","",'[1]P-GENERAL'!R425)</f>
        <v>46299</v>
      </c>
      <c r="S425" s="16">
        <f>IF('[1]P-GENERAL'!S425="","",'[1]P-GENERAL'!S425)</f>
        <v>0.80347222222222225</v>
      </c>
      <c r="T425" s="16">
        <f>IF('[1]P-GENERAL'!T425="","",'[1]P-GENERAL'!T425)</f>
        <v>0.41666666666666669</v>
      </c>
      <c r="U425" s="17">
        <f>IF('[1]P-GENERAL'!U425="","",'[1]P-GENERAL'!U425)</f>
        <v>46300.220138888886</v>
      </c>
      <c r="V425" s="14">
        <f>IF('[1]P-GENERAL'!V425="","",'[1]P-GENERAL'!V425)</f>
        <v>46301</v>
      </c>
      <c r="W425" s="16">
        <f>IF('[1]P-GENERAL'!W425="","",'[1]P-GENERAL'!W425)</f>
        <v>0.10625</v>
      </c>
      <c r="X425" s="14" t="str">
        <f>IF('[1]P-GENERAL'!X425="","",'[1]P-GENERAL'!X425)</f>
        <v>SI CUMPLE</v>
      </c>
      <c r="Y425" s="14" t="str">
        <f>IF('[1]P-GENERAL'!Y425="","",'[1]P-GENERAL'!Y425)</f>
        <v>SI CUMPLE</v>
      </c>
      <c r="Z425" s="14" t="str">
        <f>IF('[1]P-GENERAL'!Z425="","",'[1]P-GENERAL'!Z425)</f>
        <v/>
      </c>
      <c r="AA425" s="14" t="str">
        <f>IF('[1]P-GENERAL'!AA425="","",'[1]P-GENERAL'!AA425)</f>
        <v>DESPACHADO</v>
      </c>
      <c r="AB425" s="8" t="str">
        <f>IF('[1]P-GENERAL'!AB425="","",'[1]P-GENERAL'!AB425)</f>
        <v>JONATHAN CARRILLO</v>
      </c>
      <c r="AC425" s="8" t="str">
        <f>IF('[1]P-GENERAL'!AC425="","",'[1]P-GENERAL'!AC425)</f>
        <v>CESAR URIEL SANCHEZ</v>
      </c>
      <c r="AD425">
        <f>IF('[1]P-GENERAL'!AD425="","",'[1]P-GENERAL'!AD425)</f>
        <v>40651</v>
      </c>
      <c r="AE425" t="str">
        <f>IF('[1]P-GENERAL'!AE425="","",'[1]P-GENERAL'!AE425)</f>
        <v>QF91W044D0</v>
      </c>
    </row>
    <row r="426" spans="1:31" ht="20.25" x14ac:dyDescent="0.3">
      <c r="A426" s="11" t="str">
        <f>IF('[1]P-GENERAL'!A426="","",'[1]P-GENERAL'!A426)</f>
        <v>Chanitos Premium Tarima Americana</v>
      </c>
      <c r="B426" s="11" t="str">
        <f>IF('[1]P-GENERAL'!B426="","",'[1]P-GENERAL'!B426)</f>
        <v>CPR01103</v>
      </c>
      <c r="C426" t="str">
        <f>IF('[1]P-GENERAL'!C426="","",'[1]P-GENERAL'!C426)</f>
        <v>A01002-400210-1</v>
      </c>
      <c r="D426" t="str">
        <f>IF('[1]P-GENERAL'!D426="","",'[1]P-GENERAL'!D426)</f>
        <v>A01 002 Fortaleza</v>
      </c>
      <c r="E426" s="8" t="str">
        <f>IF('[1]P-GENERAL'!E426="","",'[1]P-GENERAL'!E426)</f>
        <v>Ciudad Juarez</v>
      </c>
      <c r="F426" s="12">
        <f>IF('[1]P-GENERAL'!F426="","",'[1]P-GENERAL'!F426)</f>
        <v>624</v>
      </c>
      <c r="G426" s="13">
        <f>IF('[1]P-GENERAL'!G426="","",'[1]P-GENERAL'!G426)</f>
        <v>13</v>
      </c>
      <c r="H426" s="14">
        <f>IF('[1]P-GENERAL'!H426="","",'[1]P-GENERAL'!H426)</f>
        <v>46297</v>
      </c>
      <c r="I426">
        <f>IF('[1]P-GENERAL'!I426="","",'[1]P-GENERAL'!I426)</f>
        <v>40</v>
      </c>
      <c r="J426" s="15">
        <f>IF('[1]P-GENERAL'!J426="","",'[1]P-GENERAL'!J426)</f>
        <v>46304</v>
      </c>
      <c r="K426" s="14" t="str">
        <f>IF('[1]P-GENERAL'!K426="","",'[1]P-GENERAL'!K426)</f>
        <v/>
      </c>
      <c r="L426" s="14" t="str">
        <f>IF('[1]P-GENERAL'!L426="","",'[1]P-GENERAL'!L426)</f>
        <v>PREENFRIO NELLY</v>
      </c>
      <c r="M426">
        <f>IF('[1]P-GENERAL'!M426="","",'[1]P-GENERAL'!M426)</f>
        <v>4</v>
      </c>
      <c r="N426">
        <f>IF('[1]P-GENERAL'!N426="","",'[1]P-GENERAL'!N426)</f>
        <v>96</v>
      </c>
      <c r="O426" s="14">
        <f>IF('[1]P-GENERAL'!O426="","",'[1]P-GENERAL'!O426)</f>
        <v>46298</v>
      </c>
      <c r="P426" s="16">
        <f>IF('[1]P-GENERAL'!P426="","",'[1]P-GENERAL'!P426)</f>
        <v>0.45833333333333331</v>
      </c>
      <c r="Q426" t="str">
        <f>IF('[1]P-GENERAL'!Q426="","",'[1]P-GENERAL'!Q426)</f>
        <v>ALTA</v>
      </c>
      <c r="R426" s="14">
        <f>IF('[1]P-GENERAL'!R426="","",'[1]P-GENERAL'!R426)</f>
        <v>46299</v>
      </c>
      <c r="S426" s="16">
        <f>IF('[1]P-GENERAL'!S426="","",'[1]P-GENERAL'!S426)</f>
        <v>0.9375</v>
      </c>
      <c r="T426" s="16">
        <f>IF('[1]P-GENERAL'!T426="","",'[1]P-GENERAL'!T426)</f>
        <v>0.4375</v>
      </c>
      <c r="U426" s="17">
        <f>IF('[1]P-GENERAL'!U426="","",'[1]P-GENERAL'!U426)</f>
        <v>46300.375</v>
      </c>
      <c r="V426" s="14">
        <f>IF('[1]P-GENERAL'!V426="","",'[1]P-GENERAL'!V426)</f>
        <v>46300</v>
      </c>
      <c r="W426" s="16">
        <f>IF('[1]P-GENERAL'!W426="","",'[1]P-GENERAL'!W426)</f>
        <v>8.3333333333333329E-2</v>
      </c>
      <c r="X426" s="14" t="str">
        <f>IF('[1]P-GENERAL'!X426="","",'[1]P-GENERAL'!X426)</f>
        <v>NO CUMPLE</v>
      </c>
      <c r="Y426" s="14" t="str">
        <f>IF('[1]P-GENERAL'!Y426="","",'[1]P-GENERAL'!Y426)</f>
        <v>NO CUMPLE</v>
      </c>
      <c r="Z426" s="14" t="str">
        <f>IF('[1]P-GENERAL'!Z426="","",'[1]P-GENERAL'!Z426)</f>
        <v/>
      </c>
      <c r="AA426" s="14" t="str">
        <f>IF('[1]P-GENERAL'!AA426="","",'[1]P-GENERAL'!AA426)</f>
        <v>DESPACHADO</v>
      </c>
      <c r="AB426" s="8" t="str">
        <f>IF('[1]P-GENERAL'!AB426="","",'[1]P-GENERAL'!AB426)</f>
        <v>AUTO EXPRESS SEGOVIA</v>
      </c>
      <c r="AC426" s="8" t="str">
        <f>IF('[1]P-GENERAL'!AC426="","",'[1]P-GENERAL'!AC426)</f>
        <v/>
      </c>
      <c r="AD426" t="str">
        <f>IF('[1]P-GENERAL'!AD426="","",'[1]P-GENERAL'!AD426)</f>
        <v/>
      </c>
      <c r="AE426" t="str">
        <f>IF('[1]P-GENERAL'!AE426="","",'[1]P-GENERAL'!AE426)</f>
        <v/>
      </c>
    </row>
    <row r="427" spans="1:31" ht="20.25" x14ac:dyDescent="0.3">
      <c r="A427" s="11" t="str">
        <f>IF('[1]P-GENERAL'!A427="","",'[1]P-GENERAL'!A427)</f>
        <v>Chanitos Premium Tarima Chep</v>
      </c>
      <c r="B427" s="11" t="str">
        <f>IF('[1]P-GENERAL'!B427="","",'[1]P-GENERAL'!B427)</f>
        <v>CPR01102</v>
      </c>
      <c r="C427" t="str">
        <f>IF('[1]P-GENERAL'!C427="","",'[1]P-GENERAL'!C427)</f>
        <v>A01002-410510-1</v>
      </c>
      <c r="D427" t="str">
        <f>IF('[1]P-GENERAL'!D427="","",'[1]P-GENERAL'!D427)</f>
        <v>A01 002 Fortaleza</v>
      </c>
      <c r="E427" s="8" t="str">
        <f>IF('[1]P-GENERAL'!E427="","",'[1]P-GENERAL'!E427)</f>
        <v>VSA</v>
      </c>
      <c r="F427" s="12">
        <f>IF('[1]P-GENERAL'!F427="","",'[1]P-GENERAL'!F427)</f>
        <v>96</v>
      </c>
      <c r="G427" s="13">
        <f>IF('[1]P-GENERAL'!G427="","",'[1]P-GENERAL'!G427)</f>
        <v>2</v>
      </c>
      <c r="H427" s="14">
        <f>IF('[1]P-GENERAL'!H427="","",'[1]P-GENERAL'!H427)</f>
        <v>46300</v>
      </c>
      <c r="I427">
        <f>IF('[1]P-GENERAL'!I427="","",'[1]P-GENERAL'!I427)</f>
        <v>41</v>
      </c>
      <c r="J427" s="15">
        <f>IF('[1]P-GENERAL'!J427="","",'[1]P-GENERAL'!J427)</f>
        <v>46303</v>
      </c>
      <c r="K427" s="14" t="str">
        <f>IF('[1]P-GENERAL'!K427="","",'[1]P-GENERAL'!K427)</f>
        <v/>
      </c>
      <c r="L427" s="14" t="str">
        <f>IF('[1]P-GENERAL'!L427="","",'[1]P-GENERAL'!L427)</f>
        <v>PREENFRIO FORTALEZA</v>
      </c>
      <c r="M427">
        <f>IF('[1]P-GENERAL'!M427="","",'[1]P-GENERAL'!M427)</f>
        <v>1</v>
      </c>
      <c r="N427">
        <f>IF('[1]P-GENERAL'!N427="","",'[1]P-GENERAL'!N427)</f>
        <v>24</v>
      </c>
      <c r="O427" s="14">
        <f>IF('[1]P-GENERAL'!O427="","",'[1]P-GENERAL'!O427)</f>
        <v>46300</v>
      </c>
      <c r="P427" s="16">
        <f>IF('[1]P-GENERAL'!P427="","",'[1]P-GENERAL'!P427)</f>
        <v>0.71875</v>
      </c>
      <c r="Q427" t="str">
        <f>IF('[1]P-GENERAL'!Q427="","",'[1]P-GENERAL'!Q427)</f>
        <v>NORMAL</v>
      </c>
      <c r="R427" s="14">
        <f>IF('[1]P-GENERAL'!R427="","",'[1]P-GENERAL'!R427)</f>
        <v>46300</v>
      </c>
      <c r="S427" s="16">
        <f>IF('[1]P-GENERAL'!S427="","",'[1]P-GENERAL'!S427)</f>
        <v>0.70138888888888884</v>
      </c>
      <c r="T427" s="16">
        <f>IF('[1]P-GENERAL'!T427="","",'[1]P-GENERAL'!T427)</f>
        <v>0.83333333333333337</v>
      </c>
      <c r="U427" s="17">
        <f>IF('[1]P-GENERAL'!U427="","",'[1]P-GENERAL'!U427)</f>
        <v>46301.534722222226</v>
      </c>
      <c r="V427" s="14">
        <f>IF('[1]P-GENERAL'!V427="","",'[1]P-GENERAL'!V427)</f>
        <v>46301</v>
      </c>
      <c r="W427" s="16">
        <f>IF('[1]P-GENERAL'!W427="","",'[1]P-GENERAL'!W427)</f>
        <v>0.65625</v>
      </c>
      <c r="X427" s="14" t="str">
        <f>IF('[1]P-GENERAL'!X427="","",'[1]P-GENERAL'!X427)</f>
        <v>SI CUMPLE</v>
      </c>
      <c r="Y427" s="14" t="str">
        <f>IF('[1]P-GENERAL'!Y427="","",'[1]P-GENERAL'!Y427)</f>
        <v>SI CUMPLE</v>
      </c>
      <c r="Z427" s="14" t="str">
        <f>IF('[1]P-GENERAL'!Z427="","",'[1]P-GENERAL'!Z427)</f>
        <v/>
      </c>
      <c r="AA427" s="14" t="str">
        <f>IF('[1]P-GENERAL'!AA427="","",'[1]P-GENERAL'!AA427)</f>
        <v>DESPACHADO</v>
      </c>
      <c r="AB427" s="8" t="str">
        <f>IF('[1]P-GENERAL'!AB427="","",'[1]P-GENERAL'!AB427)</f>
        <v>GENARO IBAÑEZ</v>
      </c>
      <c r="AC427" s="8" t="str">
        <f>IF('[1]P-GENERAL'!AC427="","",'[1]P-GENERAL'!AC427)</f>
        <v>ALEJANDRO BARRALES OLIVARES</v>
      </c>
      <c r="AD427">
        <f>IF('[1]P-GENERAL'!AD427="","",'[1]P-GENERAL'!AD427)</f>
        <v>71173</v>
      </c>
      <c r="AE427" t="str">
        <f>IF('[1]P-GENERAL'!AE427="","",'[1]P-GENERAL'!AE427)</f>
        <v>QF91W043X0</v>
      </c>
    </row>
    <row r="428" spans="1:31" ht="20.25" x14ac:dyDescent="0.3">
      <c r="A428" s="11" t="str">
        <f>IF('[1]P-GENERAL'!A428="","",'[1]P-GENERAL'!A428)</f>
        <v>Chanitos Premium Tarima Chep</v>
      </c>
      <c r="B428" s="11" t="str">
        <f>IF('[1]P-GENERAL'!B428="","",'[1]P-GENERAL'!B428)</f>
        <v>CPR01102</v>
      </c>
      <c r="C428" t="str">
        <f>IF('[1]P-GENERAL'!C428="","",'[1]P-GENERAL'!C428)</f>
        <v>A04039-400210-1</v>
      </c>
      <c r="D428" t="str">
        <f>IF('[1]P-GENERAL'!D428="","",'[1]P-GENERAL'!D428)</f>
        <v>A04 039 San Jose Morelia Nava</v>
      </c>
      <c r="E428" s="8" t="str">
        <f>IF('[1]P-GENERAL'!E428="","",'[1]P-GENERAL'!E428)</f>
        <v>QRO</v>
      </c>
      <c r="F428" s="12">
        <f>IF('[1]P-GENERAL'!F428="","",'[1]P-GENERAL'!F428)</f>
        <v>1056</v>
      </c>
      <c r="G428" s="13">
        <f>IF('[1]P-GENERAL'!G428="","",'[1]P-GENERAL'!G428)</f>
        <v>22</v>
      </c>
      <c r="H428" s="14">
        <f>IF('[1]P-GENERAL'!H428="","",'[1]P-GENERAL'!H428)</f>
        <v>46297</v>
      </c>
      <c r="I428">
        <f>IF('[1]P-GENERAL'!I428="","",'[1]P-GENERAL'!I428)</f>
        <v>40</v>
      </c>
      <c r="J428" s="15">
        <f>IF('[1]P-GENERAL'!J428="","",'[1]P-GENERAL'!J428)</f>
        <v>46304</v>
      </c>
      <c r="K428" s="14" t="str">
        <f>IF('[1]P-GENERAL'!K428="","",'[1]P-GENERAL'!K428)</f>
        <v/>
      </c>
      <c r="L428" s="14" t="str">
        <f>IF('[1]P-GENERAL'!L428="","",'[1]P-GENERAL'!L428)</f>
        <v>PREENFRIO FORTALEZA</v>
      </c>
      <c r="M428">
        <f>IF('[1]P-GENERAL'!M428="","",'[1]P-GENERAL'!M428)</f>
        <v>1.5</v>
      </c>
      <c r="N428">
        <f>IF('[1]P-GENERAL'!N428="","",'[1]P-GENERAL'!N428)</f>
        <v>36</v>
      </c>
      <c r="O428" s="14">
        <f>IF('[1]P-GENERAL'!O428="","",'[1]P-GENERAL'!O428)</f>
        <v>46298</v>
      </c>
      <c r="P428" s="16">
        <f>IF('[1]P-GENERAL'!P428="","",'[1]P-GENERAL'!P428)</f>
        <v>0.93541666666666667</v>
      </c>
      <c r="Q428" t="str">
        <f>IF('[1]P-GENERAL'!Q428="","",'[1]P-GENERAL'!Q428)</f>
        <v>NORMAL</v>
      </c>
      <c r="R428" s="14">
        <f>IF('[1]P-GENERAL'!R428="","",'[1]P-GENERAL'!R428)</f>
        <v>46300</v>
      </c>
      <c r="S428" s="16">
        <f>IF('[1]P-GENERAL'!S428="","",'[1]P-GENERAL'!S428)</f>
        <v>4.7222222222222221E-2</v>
      </c>
      <c r="T428" s="16">
        <f>IF('[1]P-GENERAL'!T428="","",'[1]P-GENERAL'!T428)</f>
        <v>0.625</v>
      </c>
      <c r="U428" s="17">
        <f>IF('[1]P-GENERAL'!U428="","",'[1]P-GENERAL'!U428)</f>
        <v>46300.672222222223</v>
      </c>
      <c r="V428" s="14">
        <f>IF('[1]P-GENERAL'!V428="","",'[1]P-GENERAL'!V428)</f>
        <v>46300</v>
      </c>
      <c r="W428" s="16">
        <f>IF('[1]P-GENERAL'!W428="","",'[1]P-GENERAL'!W428)</f>
        <v>0.59722222222222221</v>
      </c>
      <c r="X428" s="14" t="str">
        <f>IF('[1]P-GENERAL'!X428="","",'[1]P-GENERAL'!X428)</f>
        <v>SI CUMPLE</v>
      </c>
      <c r="Y428" s="14" t="str">
        <f>IF('[1]P-GENERAL'!Y428="","",'[1]P-GENERAL'!Y428)</f>
        <v>SI CUMPLE</v>
      </c>
      <c r="Z428" s="14" t="str">
        <f>IF('[1]P-GENERAL'!Z428="","",'[1]P-GENERAL'!Z428)</f>
        <v/>
      </c>
      <c r="AA428" s="14" t="str">
        <f>IF('[1]P-GENERAL'!AA428="","",'[1]P-GENERAL'!AA428)</f>
        <v>DESPACHADO</v>
      </c>
      <c r="AB428" s="8" t="str">
        <f>IF('[1]P-GENERAL'!AB428="","",'[1]P-GENERAL'!AB428)</f>
        <v>ROSA ANGELICA</v>
      </c>
      <c r="AC428" s="8" t="str">
        <f>IF('[1]P-GENERAL'!AC428="","",'[1]P-GENERAL'!AC428)</f>
        <v>CESAR AUGUSTO CEJA</v>
      </c>
      <c r="AD428">
        <f>IF('[1]P-GENERAL'!AD428="","",'[1]P-GENERAL'!AD428)</f>
        <v>12598</v>
      </c>
      <c r="AE428" t="str">
        <f>IF('[1]P-GENERAL'!AE428="","",'[1]P-GENERAL'!AE428)</f>
        <v>QF91W04WH0</v>
      </c>
    </row>
    <row r="429" spans="1:31" ht="20.25" x14ac:dyDescent="0.3">
      <c r="A429" s="11" t="str">
        <f>IF('[1]P-GENERAL'!A429="","",'[1]P-GENERAL'!A429)</f>
        <v>Chanitos Premium Tarima Chep</v>
      </c>
      <c r="B429" s="11" t="str">
        <f>IF('[1]P-GENERAL'!B429="","",'[1]P-GENERAL'!B429)</f>
        <v>CPR01102</v>
      </c>
      <c r="C429" t="str">
        <f>IF('[1]P-GENERAL'!C429="","",'[1]P-GENERAL'!C429)</f>
        <v>A01001-400310-1</v>
      </c>
      <c r="D429" t="str">
        <f>IF('[1]P-GENERAL'!D429="","",'[1]P-GENERAL'!D429)</f>
        <v>A01 001 Marbella</v>
      </c>
      <c r="E429" s="8" t="str">
        <f>IF('[1]P-GENERAL'!E429="","",'[1]P-GENERAL'!E429)</f>
        <v>Chalco</v>
      </c>
      <c r="F429" s="12">
        <f>IF('[1]P-GENERAL'!F429="","",'[1]P-GENERAL'!F429)</f>
        <v>714</v>
      </c>
      <c r="G429" s="13">
        <f>IF('[1]P-GENERAL'!G429="","",'[1]P-GENERAL'!G429)</f>
        <v>15</v>
      </c>
      <c r="H429" s="14">
        <f>IF('[1]P-GENERAL'!H429="","",'[1]P-GENERAL'!H429)</f>
        <v>46298</v>
      </c>
      <c r="I429">
        <f>IF('[1]P-GENERAL'!I429="","",'[1]P-GENERAL'!I429)</f>
        <v>40</v>
      </c>
      <c r="J429" s="15">
        <f>IF('[1]P-GENERAL'!J429="","",'[1]P-GENERAL'!J429)</f>
        <v>46304</v>
      </c>
      <c r="K429" s="14" t="str">
        <f>IF('[1]P-GENERAL'!K429="","",'[1]P-GENERAL'!K429)</f>
        <v/>
      </c>
      <c r="L429" s="14" t="str">
        <f>IF('[1]P-GENERAL'!L429="","",'[1]P-GENERAL'!L429)</f>
        <v>PREENFRIO FORTALEZA</v>
      </c>
      <c r="M429">
        <f>IF('[1]P-GENERAL'!M429="","",'[1]P-GENERAL'!M429)</f>
        <v>1</v>
      </c>
      <c r="N429">
        <f>IF('[1]P-GENERAL'!N429="","",'[1]P-GENERAL'!N429)</f>
        <v>24</v>
      </c>
      <c r="O429" s="14">
        <f>IF('[1]P-GENERAL'!O429="","",'[1]P-GENERAL'!O429)</f>
        <v>46298</v>
      </c>
      <c r="P429" s="16">
        <f>IF('[1]P-GENERAL'!P429="","",'[1]P-GENERAL'!P429)</f>
        <v>0.94513888888888886</v>
      </c>
      <c r="Q429" t="str">
        <f>IF('[1]P-GENERAL'!Q429="","",'[1]P-GENERAL'!Q429)</f>
        <v>NORMAL</v>
      </c>
      <c r="R429" s="14">
        <f>IF('[1]P-GENERAL'!R429="","",'[1]P-GENERAL'!R429)</f>
        <v>46301</v>
      </c>
      <c r="S429" s="16">
        <f>IF('[1]P-GENERAL'!S429="","",'[1]P-GENERAL'!S429)</f>
        <v>0.34375</v>
      </c>
      <c r="T429" s="16">
        <f>IF('[1]P-GENERAL'!T429="","",'[1]P-GENERAL'!T429)</f>
        <v>0.45833333333333331</v>
      </c>
      <c r="U429" s="17">
        <f>IF('[1]P-GENERAL'!U429="","",'[1]P-GENERAL'!U429)</f>
        <v>46301.802083333336</v>
      </c>
      <c r="V429" s="14">
        <f>IF('[1]P-GENERAL'!V429="","",'[1]P-GENERAL'!V429)</f>
        <v>46301</v>
      </c>
      <c r="W429" s="16">
        <f>IF('[1]P-GENERAL'!W429="","",'[1]P-GENERAL'!W429)</f>
        <v>0.91666666666666663</v>
      </c>
      <c r="X429" s="14" t="str">
        <f>IF('[1]P-GENERAL'!X429="","",'[1]P-GENERAL'!X429)</f>
        <v>SI CUMPLE</v>
      </c>
      <c r="Y429" s="14" t="str">
        <f>IF('[1]P-GENERAL'!Y429="","",'[1]P-GENERAL'!Y429)</f>
        <v>SI CUMPLE</v>
      </c>
      <c r="Z429" s="14" t="str">
        <f>IF('[1]P-GENERAL'!Z429="","",'[1]P-GENERAL'!Z429)</f>
        <v/>
      </c>
      <c r="AA429" s="14" t="str">
        <f>IF('[1]P-GENERAL'!AA429="","",'[1]P-GENERAL'!AA429)</f>
        <v>DESPACHADO</v>
      </c>
      <c r="AB429" s="8" t="str">
        <f>IF('[1]P-GENERAL'!AB429="","",'[1]P-GENERAL'!AB429)</f>
        <v>TRANSPORTES ALVERA</v>
      </c>
      <c r="AC429" s="8" t="str">
        <f>IF('[1]P-GENERAL'!AC429="","",'[1]P-GENERAL'!AC429)</f>
        <v>EDUARDO ALEJANDRO ALVARADO</v>
      </c>
      <c r="AD429">
        <f>IF('[1]P-GENERAL'!AD429="","",'[1]P-GENERAL'!AD429)</f>
        <v>42970</v>
      </c>
      <c r="AE429" t="str">
        <f>IF('[1]P-GENERAL'!AE429="","",'[1]P-GENERAL'!AE429)</f>
        <v>QF91W043P0</v>
      </c>
    </row>
    <row r="430" spans="1:31" ht="20.25" x14ac:dyDescent="0.3">
      <c r="A430" s="11" t="str">
        <f>IF('[1]P-GENERAL'!A430="","",'[1]P-GENERAL'!A430)</f>
        <v>Platano de Chiapas BAE UPC 3237</v>
      </c>
      <c r="B430" s="11" t="str">
        <f>IF('[1]P-GENERAL'!B430="","",'[1]P-GENERAL'!B430)</f>
        <v>CPR01114</v>
      </c>
      <c r="C430" t="str">
        <f>IF('[1]P-GENERAL'!C430="","",'[1]P-GENERAL'!C430)</f>
        <v>A01001-400310-1</v>
      </c>
      <c r="D430" t="str">
        <f>IF('[1]P-GENERAL'!D430="","",'[1]P-GENERAL'!D430)</f>
        <v>A01 001 Marbella</v>
      </c>
      <c r="E430" s="8" t="str">
        <f>IF('[1]P-GENERAL'!E430="","",'[1]P-GENERAL'!E430)</f>
        <v>Chalco</v>
      </c>
      <c r="F430" s="12">
        <f>IF('[1]P-GENERAL'!F430="","",'[1]P-GENERAL'!F430)</f>
        <v>54</v>
      </c>
      <c r="G430" s="13">
        <f>IF('[1]P-GENERAL'!G430="","",'[1]P-GENERAL'!G430)</f>
        <v>1</v>
      </c>
      <c r="H430" s="14">
        <f>IF('[1]P-GENERAL'!H430="","",'[1]P-GENERAL'!H430)</f>
        <v>46298</v>
      </c>
      <c r="I430">
        <f>IF('[1]P-GENERAL'!I430="","",'[1]P-GENERAL'!I430)</f>
        <v>40</v>
      </c>
      <c r="J430" s="15">
        <f>IF('[1]P-GENERAL'!J430="","",'[1]P-GENERAL'!J430)</f>
        <v>46304</v>
      </c>
      <c r="K430" s="14" t="str">
        <f>IF('[1]P-GENERAL'!K430="","",'[1]P-GENERAL'!K430)</f>
        <v/>
      </c>
      <c r="L430" s="14" t="str">
        <f>IF('[1]P-GENERAL'!L430="","",'[1]P-GENERAL'!L430)</f>
        <v>PREENFRIO FORTALEZA</v>
      </c>
      <c r="M430">
        <f>IF('[1]P-GENERAL'!M430="","",'[1]P-GENERAL'!M430)</f>
        <v>1</v>
      </c>
      <c r="N430">
        <f>IF('[1]P-GENERAL'!N430="","",'[1]P-GENERAL'!N430)</f>
        <v>24</v>
      </c>
      <c r="O430" s="14">
        <f>IF('[1]P-GENERAL'!O430="","",'[1]P-GENERAL'!O430)</f>
        <v>46298</v>
      </c>
      <c r="P430" s="16">
        <f>IF('[1]P-GENERAL'!P430="","",'[1]P-GENERAL'!P430)</f>
        <v>0.94513888888888886</v>
      </c>
      <c r="Q430" t="str">
        <f>IF('[1]P-GENERAL'!Q430="","",'[1]P-GENERAL'!Q430)</f>
        <v>NORMAL</v>
      </c>
      <c r="R430" s="14">
        <f>IF('[1]P-GENERAL'!R430="","",'[1]P-GENERAL'!R430)</f>
        <v>46301</v>
      </c>
      <c r="S430" s="16">
        <f>IF('[1]P-GENERAL'!S430="","",'[1]P-GENERAL'!S430)</f>
        <v>0.34375</v>
      </c>
      <c r="T430" s="16">
        <f>IF('[1]P-GENERAL'!T430="","",'[1]P-GENERAL'!T430)</f>
        <v>0.45833333333333331</v>
      </c>
      <c r="U430" s="17">
        <f>IF('[1]P-GENERAL'!U430="","",'[1]P-GENERAL'!U430)</f>
        <v>46301.802083333336</v>
      </c>
      <c r="V430" s="14">
        <f>IF('[1]P-GENERAL'!V430="","",'[1]P-GENERAL'!V430)</f>
        <v>46301</v>
      </c>
      <c r="W430" s="16">
        <f>IF('[1]P-GENERAL'!W430="","",'[1]P-GENERAL'!W430)</f>
        <v>0.91666666666666663</v>
      </c>
      <c r="X430" s="14" t="str">
        <f>IF('[1]P-GENERAL'!X430="","",'[1]P-GENERAL'!X430)</f>
        <v>SI CUMPLE</v>
      </c>
      <c r="Y430" s="14" t="str">
        <f>IF('[1]P-GENERAL'!Y430="","",'[1]P-GENERAL'!Y430)</f>
        <v>SI CUMPLE</v>
      </c>
      <c r="Z430" s="14" t="str">
        <f>IF('[1]P-GENERAL'!Z430="","",'[1]P-GENERAL'!Z430)</f>
        <v/>
      </c>
      <c r="AA430" s="14" t="str">
        <f>IF('[1]P-GENERAL'!AA430="","",'[1]P-GENERAL'!AA430)</f>
        <v>DESPACHADO</v>
      </c>
      <c r="AB430" s="8" t="str">
        <f>IF('[1]P-GENERAL'!AB430="","",'[1]P-GENERAL'!AB430)</f>
        <v>TRANSPORTES ALVERA</v>
      </c>
      <c r="AC430" s="8" t="str">
        <f>IF('[1]P-GENERAL'!AC430="","",'[1]P-GENERAL'!AC430)</f>
        <v>EDUARDO ALEJANDRO ALVARADO</v>
      </c>
      <c r="AD430">
        <f>IF('[1]P-GENERAL'!AD430="","",'[1]P-GENERAL'!AD430)</f>
        <v>42970</v>
      </c>
      <c r="AE430" t="str">
        <f>IF('[1]P-GENERAL'!AE430="","",'[1]P-GENERAL'!AE430)</f>
        <v>QF91W043P0</v>
      </c>
    </row>
    <row r="431" spans="1:31" ht="20.25" x14ac:dyDescent="0.3">
      <c r="A431" s="11" t="str">
        <f>IF('[1]P-GENERAL'!A431="","",'[1]P-GENERAL'!A431)</f>
        <v>Chanitos Premium Tarima Americana</v>
      </c>
      <c r="B431" s="11" t="str">
        <f>IF('[1]P-GENERAL'!B431="","",'[1]P-GENERAL'!B431)</f>
        <v>CPR01103</v>
      </c>
      <c r="C431" t="str">
        <f>IF('[1]P-GENERAL'!C431="","",'[1]P-GENERAL'!C431)</f>
        <v>A01003-400310-1</v>
      </c>
      <c r="D431" t="str">
        <f>IF('[1]P-GENERAL'!D431="","",'[1]P-GENERAL'!D431)</f>
        <v>A01 003 Doña Nelly</v>
      </c>
      <c r="E431" s="8" t="str">
        <f>IF('[1]P-GENERAL'!E431="","",'[1]P-GENERAL'!E431)</f>
        <v>Ciudad Juarez</v>
      </c>
      <c r="F431" s="12">
        <f>IF('[1]P-GENERAL'!F431="","",'[1]P-GENERAL'!F431)</f>
        <v>960</v>
      </c>
      <c r="G431" s="13">
        <f>IF('[1]P-GENERAL'!G431="","",'[1]P-GENERAL'!G431)</f>
        <v>20</v>
      </c>
      <c r="H431" s="14">
        <f>IF('[1]P-GENERAL'!H431="","",'[1]P-GENERAL'!H431)</f>
        <v>46298</v>
      </c>
      <c r="I431">
        <f>IF('[1]P-GENERAL'!I431="","",'[1]P-GENERAL'!I431)</f>
        <v>40</v>
      </c>
      <c r="J431" s="15">
        <f>IF('[1]P-GENERAL'!J431="","",'[1]P-GENERAL'!J431)</f>
        <v>46304</v>
      </c>
      <c r="K431" s="14" t="str">
        <f>IF('[1]P-GENERAL'!K431="","",'[1]P-GENERAL'!K431)</f>
        <v/>
      </c>
      <c r="L431" s="14" t="str">
        <f>IF('[1]P-GENERAL'!L431="","",'[1]P-GENERAL'!L431)</f>
        <v>PREENFRIO NELLY</v>
      </c>
      <c r="M431">
        <f>IF('[1]P-GENERAL'!M431="","",'[1]P-GENERAL'!M431)</f>
        <v>4</v>
      </c>
      <c r="N431">
        <f>IF('[1]P-GENERAL'!N431="","",'[1]P-GENERAL'!N431)</f>
        <v>96</v>
      </c>
      <c r="O431" s="14">
        <f>IF('[1]P-GENERAL'!O431="","",'[1]P-GENERAL'!O431)</f>
        <v>46298</v>
      </c>
      <c r="P431" s="16">
        <f>IF('[1]P-GENERAL'!P431="","",'[1]P-GENERAL'!P431)</f>
        <v>0.61805555555555558</v>
      </c>
      <c r="Q431" t="str">
        <f>IF('[1]P-GENERAL'!Q431="","",'[1]P-GENERAL'!Q431)</f>
        <v>ALTA</v>
      </c>
      <c r="R431" s="14">
        <f>IF('[1]P-GENERAL'!R431="","",'[1]P-GENERAL'!R431)</f>
        <v>46299</v>
      </c>
      <c r="S431" s="16">
        <f>IF('[1]P-GENERAL'!S431="","",'[1]P-GENERAL'!S431)</f>
        <v>0.61805555555555558</v>
      </c>
      <c r="T431" s="16">
        <f>IF('[1]P-GENERAL'!T431="","",'[1]P-GENERAL'!T431)</f>
        <v>0.4375</v>
      </c>
      <c r="U431" s="17">
        <f>IF('[1]P-GENERAL'!U431="","",'[1]P-GENERAL'!U431)</f>
        <v>46300.055555555555</v>
      </c>
      <c r="V431" s="14">
        <f>IF('[1]P-GENERAL'!V431="","",'[1]P-GENERAL'!V431)</f>
        <v>46300</v>
      </c>
      <c r="W431" s="16">
        <f>IF('[1]P-GENERAL'!W431="","",'[1]P-GENERAL'!W431)</f>
        <v>8.3333333333333329E-2</v>
      </c>
      <c r="X431" s="14" t="str">
        <f>IF('[1]P-GENERAL'!X431="","",'[1]P-GENERAL'!X431)</f>
        <v>NO CUMPLE</v>
      </c>
      <c r="Y431" s="14" t="str">
        <f>IF('[1]P-GENERAL'!Y431="","",'[1]P-GENERAL'!Y431)</f>
        <v>NO CUMPLE</v>
      </c>
      <c r="Z431" s="14" t="str">
        <f>IF('[1]P-GENERAL'!Z431="","",'[1]P-GENERAL'!Z431)</f>
        <v/>
      </c>
      <c r="AA431" s="14" t="str">
        <f>IF('[1]P-GENERAL'!AA431="","",'[1]P-GENERAL'!AA431)</f>
        <v>DESPACHADO</v>
      </c>
      <c r="AB431" s="8" t="str">
        <f>IF('[1]P-GENERAL'!AB431="","",'[1]P-GENERAL'!AB431)</f>
        <v>AUTO EXPRESS SEGOVIA</v>
      </c>
      <c r="AC431" s="8" t="str">
        <f>IF('[1]P-GENERAL'!AC431="","",'[1]P-GENERAL'!AC431)</f>
        <v/>
      </c>
      <c r="AD431" t="str">
        <f>IF('[1]P-GENERAL'!AD431="","",'[1]P-GENERAL'!AD431)</f>
        <v/>
      </c>
      <c r="AE431" t="str">
        <f>IF('[1]P-GENERAL'!AE431="","",'[1]P-GENERAL'!AE431)</f>
        <v/>
      </c>
    </row>
    <row r="432" spans="1:31" ht="20.25" x14ac:dyDescent="0.3">
      <c r="A432" s="11" t="str">
        <f>IF('[1]P-GENERAL'!A432="","",'[1]P-GENERAL'!A432)</f>
        <v>Chanitos Premium Tarima Chep</v>
      </c>
      <c r="B432" s="11" t="str">
        <f>IF('[1]P-GENERAL'!B432="","",'[1]P-GENERAL'!B432)</f>
        <v>CPR01102</v>
      </c>
      <c r="C432" t="str">
        <f>IF('[1]P-GENERAL'!C432="","",'[1]P-GENERAL'!C432)</f>
        <v>A01003-410510-1</v>
      </c>
      <c r="D432" t="str">
        <f>IF('[1]P-GENERAL'!D432="","",'[1]P-GENERAL'!D432)</f>
        <v>A01 003 Doña Nelly</v>
      </c>
      <c r="E432" s="8" t="str">
        <f>IF('[1]P-GENERAL'!E432="","",'[1]P-GENERAL'!E432)</f>
        <v>Chalco</v>
      </c>
      <c r="F432" s="12">
        <f>IF('[1]P-GENERAL'!F432="","",'[1]P-GENERAL'!F432)</f>
        <v>480</v>
      </c>
      <c r="G432" s="13">
        <f>IF('[1]P-GENERAL'!G432="","",'[1]P-GENERAL'!G432)</f>
        <v>10</v>
      </c>
      <c r="H432" s="14">
        <f>IF('[1]P-GENERAL'!H432="","",'[1]P-GENERAL'!H432)</f>
        <v>46300</v>
      </c>
      <c r="I432">
        <f>IF('[1]P-GENERAL'!I432="","",'[1]P-GENERAL'!I432)</f>
        <v>41</v>
      </c>
      <c r="J432" s="15">
        <f>IF('[1]P-GENERAL'!J432="","",'[1]P-GENERAL'!J432)</f>
        <v>46305</v>
      </c>
      <c r="K432" s="14" t="str">
        <f>IF('[1]P-GENERAL'!K432="","",'[1]P-GENERAL'!K432)</f>
        <v/>
      </c>
      <c r="L432" s="14" t="str">
        <f>IF('[1]P-GENERAL'!L432="","",'[1]P-GENERAL'!L432)</f>
        <v>PREENFRIO NELLY</v>
      </c>
      <c r="M432">
        <f>IF('[1]P-GENERAL'!M432="","",'[1]P-GENERAL'!M432)</f>
        <v>1</v>
      </c>
      <c r="N432">
        <f>IF('[1]P-GENERAL'!N432="","",'[1]P-GENERAL'!N432)</f>
        <v>24</v>
      </c>
      <c r="O432" s="14">
        <f>IF('[1]P-GENERAL'!O432="","",'[1]P-GENERAL'!O432)</f>
        <v>46300</v>
      </c>
      <c r="P432" s="16">
        <f>IF('[1]P-GENERAL'!P432="","",'[1]P-GENERAL'!P432)</f>
        <v>0.74305555555555558</v>
      </c>
      <c r="Q432" t="str">
        <f>IF('[1]P-GENERAL'!Q432="","",'[1]P-GENERAL'!Q432)</f>
        <v>NORMAL</v>
      </c>
      <c r="R432" s="14">
        <f>IF('[1]P-GENERAL'!R432="","",'[1]P-GENERAL'!R432)</f>
        <v>46300</v>
      </c>
      <c r="S432" s="16">
        <f>IF('[1]P-GENERAL'!S432="","",'[1]P-GENERAL'!S432)</f>
        <v>0.79166666666666663</v>
      </c>
      <c r="T432" s="16">
        <f>IF('[1]P-GENERAL'!T432="","",'[1]P-GENERAL'!T432)</f>
        <v>0.16666666666666666</v>
      </c>
      <c r="U432" s="17">
        <f>IF('[1]P-GENERAL'!U432="","",'[1]P-GENERAL'!U432)</f>
        <v>46300.958333333328</v>
      </c>
      <c r="V432" s="14">
        <f>IF('[1]P-GENERAL'!V432="","",'[1]P-GENERAL'!V432)</f>
        <v>46303</v>
      </c>
      <c r="W432" s="16">
        <f>IF('[1]P-GENERAL'!W432="","",'[1]P-GENERAL'!W432)</f>
        <v>0.33333333333333331</v>
      </c>
      <c r="X432" s="14" t="str">
        <f>IF('[1]P-GENERAL'!X432="","",'[1]P-GENERAL'!X432)</f>
        <v>SI CUMPLE</v>
      </c>
      <c r="Y432" s="14" t="str">
        <f>IF('[1]P-GENERAL'!Y432="","",'[1]P-GENERAL'!Y432)</f>
        <v>SI CUMPLE</v>
      </c>
      <c r="Z432" s="14" t="str">
        <f>IF('[1]P-GENERAL'!Z432="","",'[1]P-GENERAL'!Z432)</f>
        <v/>
      </c>
      <c r="AA432" s="14" t="str">
        <f>IF('[1]P-GENERAL'!AA432="","",'[1]P-GENERAL'!AA432)</f>
        <v>DESPACHADO</v>
      </c>
      <c r="AB432" s="8" t="str">
        <f>IF('[1]P-GENERAL'!AB432="","",'[1]P-GENERAL'!AB432)</f>
        <v>Refrigerados Perez</v>
      </c>
      <c r="AC432" s="8" t="str">
        <f>IF('[1]P-GENERAL'!AC432="","",'[1]P-GENERAL'!AC432)</f>
        <v>EDUARDO ROSALES</v>
      </c>
      <c r="AD432" t="str">
        <f>IF('[1]P-GENERAL'!AD432="","",'[1]P-GENERAL'!AD432)</f>
        <v/>
      </c>
      <c r="AE432" t="str">
        <f>IF('[1]P-GENERAL'!AE432="","",'[1]P-GENERAL'!AE432)</f>
        <v/>
      </c>
    </row>
    <row r="433" spans="1:31" ht="20.25" x14ac:dyDescent="0.3">
      <c r="A433" s="11" t="str">
        <f>IF('[1]P-GENERAL'!A433="","",'[1]P-GENERAL'!A433)</f>
        <v>Chanitos Organic Banded Market Side Mexico</v>
      </c>
      <c r="B433" s="11" t="str">
        <f>IF('[1]P-GENERAL'!B433="","",'[1]P-GENERAL'!B433)</f>
        <v>CRG07128</v>
      </c>
      <c r="C433" t="str">
        <f>IF('[1]P-GENERAL'!C433="","",'[1]P-GENERAL'!C433)</f>
        <v>A01002-400310-1</v>
      </c>
      <c r="D433" t="str">
        <f>IF('[1]P-GENERAL'!D433="","",'[1]P-GENERAL'!D433)</f>
        <v>A01 002 Fortaleza</v>
      </c>
      <c r="E433" s="8" t="str">
        <f>IF('[1]P-GENERAL'!E433="","",'[1]P-GENERAL'!E433)</f>
        <v>QRO</v>
      </c>
      <c r="F433" s="12">
        <f>IF('[1]P-GENERAL'!F433="","",'[1]P-GENERAL'!F433)</f>
        <v>48</v>
      </c>
      <c r="G433" s="13">
        <f>IF('[1]P-GENERAL'!G433="","",'[1]P-GENERAL'!G433)</f>
        <v>1</v>
      </c>
      <c r="H433" s="14">
        <f>IF('[1]P-GENERAL'!H433="","",'[1]P-GENERAL'!H433)</f>
        <v>46298</v>
      </c>
      <c r="I433">
        <f>IF('[1]P-GENERAL'!I433="","",'[1]P-GENERAL'!I433)</f>
        <v>40</v>
      </c>
      <c r="J433" s="15">
        <f>IF('[1]P-GENERAL'!J433="","",'[1]P-GENERAL'!J433)</f>
        <v>46304</v>
      </c>
      <c r="K433" s="14" t="str">
        <f>IF('[1]P-GENERAL'!K433="","",'[1]P-GENERAL'!K433)</f>
        <v/>
      </c>
      <c r="L433" s="14" t="str">
        <f>IF('[1]P-GENERAL'!L433="","",'[1]P-GENERAL'!L433)</f>
        <v>PREENFRIO FORTALEZA</v>
      </c>
      <c r="M433">
        <f>IF('[1]P-GENERAL'!M433="","",'[1]P-GENERAL'!M433)</f>
        <v>1.5</v>
      </c>
      <c r="N433">
        <f>IF('[1]P-GENERAL'!N433="","",'[1]P-GENERAL'!N433)</f>
        <v>36</v>
      </c>
      <c r="O433" s="14">
        <f>IF('[1]P-GENERAL'!O433="","",'[1]P-GENERAL'!O433)</f>
        <v>46298</v>
      </c>
      <c r="P433" s="16">
        <f>IF('[1]P-GENERAL'!P433="","",'[1]P-GENERAL'!P433)</f>
        <v>0.70208333333333328</v>
      </c>
      <c r="Q433" t="str">
        <f>IF('[1]P-GENERAL'!Q433="","",'[1]P-GENERAL'!Q433)</f>
        <v>NORMAL</v>
      </c>
      <c r="R433" s="14">
        <f>IF('[1]P-GENERAL'!R433="","",'[1]P-GENERAL'!R433)</f>
        <v>46300</v>
      </c>
      <c r="S433" s="16">
        <f>IF('[1]P-GENERAL'!S433="","",'[1]P-GENERAL'!S433)</f>
        <v>4.7222222222222221E-2</v>
      </c>
      <c r="T433" s="16">
        <f>IF('[1]P-GENERAL'!T433="","",'[1]P-GENERAL'!T433)</f>
        <v>0.625</v>
      </c>
      <c r="U433" s="17">
        <f>IF('[1]P-GENERAL'!U433="","",'[1]P-GENERAL'!U433)</f>
        <v>46300.672222222223</v>
      </c>
      <c r="V433" s="14">
        <f>IF('[1]P-GENERAL'!V433="","",'[1]P-GENERAL'!V433)</f>
        <v>46300</v>
      </c>
      <c r="W433" s="16">
        <f>IF('[1]P-GENERAL'!W433="","",'[1]P-GENERAL'!W433)</f>
        <v>0.59722222222222221</v>
      </c>
      <c r="X433" s="14" t="str">
        <f>IF('[1]P-GENERAL'!X433="","",'[1]P-GENERAL'!X433)</f>
        <v>SI CUMPLE</v>
      </c>
      <c r="Y433" s="14" t="str">
        <f>IF('[1]P-GENERAL'!Y433="","",'[1]P-GENERAL'!Y433)</f>
        <v>SI CUMPLE</v>
      </c>
      <c r="Z433" s="14" t="str">
        <f>IF('[1]P-GENERAL'!Z433="","",'[1]P-GENERAL'!Z433)</f>
        <v/>
      </c>
      <c r="AA433" s="14" t="str">
        <f>IF('[1]P-GENERAL'!AA433="","",'[1]P-GENERAL'!AA433)</f>
        <v>DESPACHADO</v>
      </c>
      <c r="AB433" s="8" t="str">
        <f>IF('[1]P-GENERAL'!AB433="","",'[1]P-GENERAL'!AB433)</f>
        <v>ROSA ANGELICA</v>
      </c>
      <c r="AC433" s="8" t="str">
        <f>IF('[1]P-GENERAL'!AC433="","",'[1]P-GENERAL'!AC433)</f>
        <v>CESAR AUGUSTO CEJA</v>
      </c>
      <c r="AD433">
        <f>IF('[1]P-GENERAL'!AD433="","",'[1]P-GENERAL'!AD433)</f>
        <v>12598</v>
      </c>
      <c r="AE433" t="str">
        <f>IF('[1]P-GENERAL'!AE433="","",'[1]P-GENERAL'!AE433)</f>
        <v>QF91W04WH0</v>
      </c>
    </row>
    <row r="434" spans="1:31" ht="20.25" x14ac:dyDescent="0.3">
      <c r="A434" s="11" t="str">
        <f>IF('[1]P-GENERAL'!A434="","",'[1]P-GENERAL'!A434)</f>
        <v>Chanitos Organic Banded Market Side Mexico</v>
      </c>
      <c r="B434" s="11" t="str">
        <f>IF('[1]P-GENERAL'!B434="","",'[1]P-GENERAL'!B434)</f>
        <v>CRG07128</v>
      </c>
      <c r="C434" t="str">
        <f>IF('[1]P-GENERAL'!C434="","",'[1]P-GENERAL'!C434)</f>
        <v>A01002-400310-1</v>
      </c>
      <c r="D434" t="str">
        <f>IF('[1]P-GENERAL'!D434="","",'[1]P-GENERAL'!D434)</f>
        <v>A01 002 Fortaleza</v>
      </c>
      <c r="E434" s="8" t="str">
        <f>IF('[1]P-GENERAL'!E434="","",'[1]P-GENERAL'!E434)</f>
        <v>QRO</v>
      </c>
      <c r="F434" s="12">
        <f>IF('[1]P-GENERAL'!F434="","",'[1]P-GENERAL'!F434)</f>
        <v>48</v>
      </c>
      <c r="G434" s="13">
        <f>IF('[1]P-GENERAL'!G434="","",'[1]P-GENERAL'!G434)</f>
        <v>1</v>
      </c>
      <c r="H434" s="14">
        <f>IF('[1]P-GENERAL'!H434="","",'[1]P-GENERAL'!H434)</f>
        <v>46298</v>
      </c>
      <c r="I434">
        <f>IF('[1]P-GENERAL'!I434="","",'[1]P-GENERAL'!I434)</f>
        <v>40</v>
      </c>
      <c r="J434" s="15">
        <f>IF('[1]P-GENERAL'!J434="","",'[1]P-GENERAL'!J434)</f>
        <v>46304</v>
      </c>
      <c r="K434" s="14" t="str">
        <f>IF('[1]P-GENERAL'!K434="","",'[1]P-GENERAL'!K434)</f>
        <v/>
      </c>
      <c r="L434" s="14" t="str">
        <f>IF('[1]P-GENERAL'!L434="","",'[1]P-GENERAL'!L434)</f>
        <v>PREENFRIO FORTALEZA</v>
      </c>
      <c r="M434">
        <f>IF('[1]P-GENERAL'!M434="","",'[1]P-GENERAL'!M434)</f>
        <v>1.5</v>
      </c>
      <c r="N434">
        <f>IF('[1]P-GENERAL'!N434="","",'[1]P-GENERAL'!N434)</f>
        <v>36</v>
      </c>
      <c r="O434" s="14">
        <f>IF('[1]P-GENERAL'!O434="","",'[1]P-GENERAL'!O434)</f>
        <v>46298</v>
      </c>
      <c r="P434" s="16">
        <f>IF('[1]P-GENERAL'!P434="","",'[1]P-GENERAL'!P434)</f>
        <v>0.70208333333333328</v>
      </c>
      <c r="Q434" t="str">
        <f>IF('[1]P-GENERAL'!Q434="","",'[1]P-GENERAL'!Q434)</f>
        <v>NORMAL</v>
      </c>
      <c r="R434" s="14">
        <f>IF('[1]P-GENERAL'!R434="","",'[1]P-GENERAL'!R434)</f>
        <v>46300</v>
      </c>
      <c r="S434" s="16">
        <f>IF('[1]P-GENERAL'!S434="","",'[1]P-GENERAL'!S434)</f>
        <v>4.7222222222222221E-2</v>
      </c>
      <c r="T434" s="16">
        <f>IF('[1]P-GENERAL'!T434="","",'[1]P-GENERAL'!T434)</f>
        <v>0.625</v>
      </c>
      <c r="U434" s="17">
        <f>IF('[1]P-GENERAL'!U434="","",'[1]P-GENERAL'!U434)</f>
        <v>46300.672222222223</v>
      </c>
      <c r="V434" s="14">
        <f>IF('[1]P-GENERAL'!V434="","",'[1]P-GENERAL'!V434)</f>
        <v>46300</v>
      </c>
      <c r="W434" s="16">
        <f>IF('[1]P-GENERAL'!W434="","",'[1]P-GENERAL'!W434)</f>
        <v>0.59722222222222221</v>
      </c>
      <c r="X434" s="14" t="str">
        <f>IF('[1]P-GENERAL'!X434="","",'[1]P-GENERAL'!X434)</f>
        <v>SI CUMPLE</v>
      </c>
      <c r="Y434" s="14" t="str">
        <f>IF('[1]P-GENERAL'!Y434="","",'[1]P-GENERAL'!Y434)</f>
        <v>SI CUMPLE</v>
      </c>
      <c r="Z434" s="14" t="str">
        <f>IF('[1]P-GENERAL'!Z434="","",'[1]P-GENERAL'!Z434)</f>
        <v/>
      </c>
      <c r="AA434" s="14" t="str">
        <f>IF('[1]P-GENERAL'!AA434="","",'[1]P-GENERAL'!AA434)</f>
        <v>DESPACHADO</v>
      </c>
      <c r="AB434" s="8" t="str">
        <f>IF('[1]P-GENERAL'!AB434="","",'[1]P-GENERAL'!AB434)</f>
        <v>ROSA ANGELICA</v>
      </c>
      <c r="AC434" s="8" t="str">
        <f>IF('[1]P-GENERAL'!AC434="","",'[1]P-GENERAL'!AC434)</f>
        <v>CESAR AUGUSTO CEJA</v>
      </c>
      <c r="AD434">
        <f>IF('[1]P-GENERAL'!AD434="","",'[1]P-GENERAL'!AD434)</f>
        <v>12598</v>
      </c>
      <c r="AE434" t="str">
        <f>IF('[1]P-GENERAL'!AE434="","",'[1]P-GENERAL'!AE434)</f>
        <v>QF91W04WH0</v>
      </c>
    </row>
    <row r="435" spans="1:31" ht="20.25" x14ac:dyDescent="0.3">
      <c r="A435" s="11" t="str">
        <f>IF('[1]P-GENERAL'!A435="","",'[1]P-GENERAL'!A435)</f>
        <v>Chanitos Premium Tarima Chep</v>
      </c>
      <c r="B435" s="11" t="str">
        <f>IF('[1]P-GENERAL'!B435="","",'[1]P-GENERAL'!B435)</f>
        <v>CPR01102</v>
      </c>
      <c r="C435" t="str">
        <f>IF('[1]P-GENERAL'!C435="","",'[1]P-GENERAL'!C435)</f>
        <v>A01002-410510-1</v>
      </c>
      <c r="D435" t="str">
        <f>IF('[1]P-GENERAL'!D435="","",'[1]P-GENERAL'!D435)</f>
        <v>A01 002 Fortaleza</v>
      </c>
      <c r="E435" s="8" t="str">
        <f>IF('[1]P-GENERAL'!E435="","",'[1]P-GENERAL'!E435)</f>
        <v>Chalco</v>
      </c>
      <c r="F435" s="12">
        <f>IF('[1]P-GENERAL'!F435="","",'[1]P-GENERAL'!F435)</f>
        <v>342</v>
      </c>
      <c r="G435" s="13">
        <f>IF('[1]P-GENERAL'!G435="","",'[1]P-GENERAL'!G435)</f>
        <v>7.125</v>
      </c>
      <c r="H435" s="14">
        <f>IF('[1]P-GENERAL'!H435="","",'[1]P-GENERAL'!H435)</f>
        <v>46300</v>
      </c>
      <c r="I435">
        <f>IF('[1]P-GENERAL'!I435="","",'[1]P-GENERAL'!I435)</f>
        <v>41</v>
      </c>
      <c r="J435" s="15">
        <f>IF('[1]P-GENERAL'!J435="","",'[1]P-GENERAL'!J435)</f>
        <v>46304</v>
      </c>
      <c r="K435" s="14" t="str">
        <f>IF('[1]P-GENERAL'!K435="","",'[1]P-GENERAL'!K435)</f>
        <v/>
      </c>
      <c r="L435" s="14" t="str">
        <f>IF('[1]P-GENERAL'!L435="","",'[1]P-GENERAL'!L435)</f>
        <v>PREENFRIO FORTALEZA</v>
      </c>
      <c r="M435">
        <f>IF('[1]P-GENERAL'!M435="","",'[1]P-GENERAL'!M435)</f>
        <v>1</v>
      </c>
      <c r="N435">
        <f>IF('[1]P-GENERAL'!N435="","",'[1]P-GENERAL'!N435)</f>
        <v>24</v>
      </c>
      <c r="O435" s="14">
        <f>IF('[1]P-GENERAL'!O435="","",'[1]P-GENERAL'!O435)</f>
        <v>46300</v>
      </c>
      <c r="P435" s="16">
        <f>IF('[1]P-GENERAL'!P435="","",'[1]P-GENERAL'!P435)</f>
        <v>0.71875</v>
      </c>
      <c r="Q435" t="str">
        <f>IF('[1]P-GENERAL'!Q435="","",'[1]P-GENERAL'!Q435)</f>
        <v>NORMAL</v>
      </c>
      <c r="R435" s="14">
        <f>IF('[1]P-GENERAL'!R435="","",'[1]P-GENERAL'!R435)</f>
        <v>46301</v>
      </c>
      <c r="S435" s="16">
        <f>IF('[1]P-GENERAL'!S435="","",'[1]P-GENERAL'!S435)</f>
        <v>0.55208333333333337</v>
      </c>
      <c r="T435" s="16">
        <f>IF('[1]P-GENERAL'!T435="","",'[1]P-GENERAL'!T435)</f>
        <v>0.25</v>
      </c>
      <c r="U435" s="17">
        <f>IF('[1]P-GENERAL'!U435="","",'[1]P-GENERAL'!U435)</f>
        <v>46301.802083333336</v>
      </c>
      <c r="V435" s="14">
        <f>IF('[1]P-GENERAL'!V435="","",'[1]P-GENERAL'!V435)</f>
        <v>46301</v>
      </c>
      <c r="W435" s="16">
        <f>IF('[1]P-GENERAL'!W435="","",'[1]P-GENERAL'!W435)</f>
        <v>0.91666666666666663</v>
      </c>
      <c r="X435" s="14" t="str">
        <f>IF('[1]P-GENERAL'!X435="","",'[1]P-GENERAL'!X435)</f>
        <v>SI CUMPLE</v>
      </c>
      <c r="Y435" s="14" t="str">
        <f>IF('[1]P-GENERAL'!Y435="","",'[1]P-GENERAL'!Y435)</f>
        <v>SI CUMPLE</v>
      </c>
      <c r="Z435" s="14" t="str">
        <f>IF('[1]P-GENERAL'!Z435="","",'[1]P-GENERAL'!Z435)</f>
        <v/>
      </c>
      <c r="AA435" s="14" t="str">
        <f>IF('[1]P-GENERAL'!AA435="","",'[1]P-GENERAL'!AA435)</f>
        <v>DESPACHADO</v>
      </c>
      <c r="AB435" s="8" t="str">
        <f>IF('[1]P-GENERAL'!AB435="","",'[1]P-GENERAL'!AB435)</f>
        <v>TRANSPORTES ALVERA</v>
      </c>
      <c r="AC435" s="8" t="str">
        <f>IF('[1]P-GENERAL'!AC435="","",'[1]P-GENERAL'!AC435)</f>
        <v>EDUARDO ALEJANDRO ALVARADO</v>
      </c>
      <c r="AD435">
        <f>IF('[1]P-GENERAL'!AD435="","",'[1]P-GENERAL'!AD435)</f>
        <v>42970</v>
      </c>
      <c r="AE435" t="str">
        <f>IF('[1]P-GENERAL'!AE435="","",'[1]P-GENERAL'!AE435)</f>
        <v>QF91W043P0</v>
      </c>
    </row>
    <row r="436" spans="1:31" ht="20.25" x14ac:dyDescent="0.3">
      <c r="A436" s="11" t="str">
        <f>IF('[1]P-GENERAL'!A436="","",'[1]P-GENERAL'!A436)</f>
        <v>Platano de Chiapas BAE UPC 3237</v>
      </c>
      <c r="B436" s="11" t="str">
        <f>IF('[1]P-GENERAL'!B436="","",'[1]P-GENERAL'!B436)</f>
        <v>CPR01114</v>
      </c>
      <c r="C436" t="str">
        <f>IF('[1]P-GENERAL'!C436="","",'[1]P-GENERAL'!C436)</f>
        <v>A01002-410510-1</v>
      </c>
      <c r="D436" t="str">
        <f>IF('[1]P-GENERAL'!D436="","",'[1]P-GENERAL'!D436)</f>
        <v>A01 002 Fortaleza</v>
      </c>
      <c r="E436" s="8" t="str">
        <f>IF('[1]P-GENERAL'!E436="","",'[1]P-GENERAL'!E436)</f>
        <v>Chalco</v>
      </c>
      <c r="F436" s="12">
        <f>IF('[1]P-GENERAL'!F436="","",'[1]P-GENERAL'!F436)</f>
        <v>42</v>
      </c>
      <c r="G436" s="13">
        <f>IF('[1]P-GENERAL'!G436="","",'[1]P-GENERAL'!G436)</f>
        <v>0.875</v>
      </c>
      <c r="H436" s="14">
        <f>IF('[1]P-GENERAL'!H436="","",'[1]P-GENERAL'!H436)</f>
        <v>46300</v>
      </c>
      <c r="I436">
        <f>IF('[1]P-GENERAL'!I436="","",'[1]P-GENERAL'!I436)</f>
        <v>41</v>
      </c>
      <c r="J436" s="15">
        <f>IF('[1]P-GENERAL'!J436="","",'[1]P-GENERAL'!J436)</f>
        <v>46304</v>
      </c>
      <c r="K436" s="14" t="str">
        <f>IF('[1]P-GENERAL'!K436="","",'[1]P-GENERAL'!K436)</f>
        <v/>
      </c>
      <c r="L436" s="14" t="str">
        <f>IF('[1]P-GENERAL'!L436="","",'[1]P-GENERAL'!L436)</f>
        <v>PREENFRIO FORTALEZA</v>
      </c>
      <c r="M436">
        <f>IF('[1]P-GENERAL'!M436="","",'[1]P-GENERAL'!M436)</f>
        <v>1</v>
      </c>
      <c r="N436">
        <f>IF('[1]P-GENERAL'!N436="","",'[1]P-GENERAL'!N436)</f>
        <v>24</v>
      </c>
      <c r="O436" s="14">
        <f>IF('[1]P-GENERAL'!O436="","",'[1]P-GENERAL'!O436)</f>
        <v>46300</v>
      </c>
      <c r="P436" s="16">
        <f>IF('[1]P-GENERAL'!P436="","",'[1]P-GENERAL'!P436)</f>
        <v>0.71875</v>
      </c>
      <c r="Q436" t="str">
        <f>IF('[1]P-GENERAL'!Q436="","",'[1]P-GENERAL'!Q436)</f>
        <v>NORMAL</v>
      </c>
      <c r="R436" s="14">
        <f>IF('[1]P-GENERAL'!R436="","",'[1]P-GENERAL'!R436)</f>
        <v>46301</v>
      </c>
      <c r="S436" s="16">
        <f>IF('[1]P-GENERAL'!S436="","",'[1]P-GENERAL'!S436)</f>
        <v>0.55208333333333337</v>
      </c>
      <c r="T436" s="16">
        <f>IF('[1]P-GENERAL'!T436="","",'[1]P-GENERAL'!T436)</f>
        <v>0.25</v>
      </c>
      <c r="U436" s="17">
        <f>IF('[1]P-GENERAL'!U436="","",'[1]P-GENERAL'!U436)</f>
        <v>46301.802083333336</v>
      </c>
      <c r="V436" s="14">
        <f>IF('[1]P-GENERAL'!V436="","",'[1]P-GENERAL'!V436)</f>
        <v>46301</v>
      </c>
      <c r="W436" s="16">
        <f>IF('[1]P-GENERAL'!W436="","",'[1]P-GENERAL'!W436)</f>
        <v>0.91666666666666663</v>
      </c>
      <c r="X436" s="14" t="str">
        <f>IF('[1]P-GENERAL'!X436="","",'[1]P-GENERAL'!X436)</f>
        <v>SI CUMPLE</v>
      </c>
      <c r="Y436" s="14" t="str">
        <f>IF('[1]P-GENERAL'!Y436="","",'[1]P-GENERAL'!Y436)</f>
        <v>SI CUMPLE</v>
      </c>
      <c r="Z436" s="14" t="str">
        <f>IF('[1]P-GENERAL'!Z436="","",'[1]P-GENERAL'!Z436)</f>
        <v/>
      </c>
      <c r="AA436" s="14" t="str">
        <f>IF('[1]P-GENERAL'!AA436="","",'[1]P-GENERAL'!AA436)</f>
        <v>DESPACHADO</v>
      </c>
      <c r="AB436" s="8" t="str">
        <f>IF('[1]P-GENERAL'!AB436="","",'[1]P-GENERAL'!AB436)</f>
        <v>TRANSPORTES ALVERA</v>
      </c>
      <c r="AC436" s="8" t="str">
        <f>IF('[1]P-GENERAL'!AC436="","",'[1]P-GENERAL'!AC436)</f>
        <v>EDUARDO ALEJANDRO ALVARADO</v>
      </c>
      <c r="AD436">
        <f>IF('[1]P-GENERAL'!AD436="","",'[1]P-GENERAL'!AD436)</f>
        <v>42970</v>
      </c>
      <c r="AE436" t="str">
        <f>IF('[1]P-GENERAL'!AE436="","",'[1]P-GENERAL'!AE436)</f>
        <v>QF91W043P0</v>
      </c>
    </row>
    <row r="437" spans="1:31" ht="20.25" x14ac:dyDescent="0.3">
      <c r="A437" s="11" t="str">
        <f>IF('[1]P-GENERAL'!A437="","",'[1]P-GENERAL'!A437)</f>
        <v>Chanitos Premium Tarima Americana</v>
      </c>
      <c r="B437" s="11" t="str">
        <f>IF('[1]P-GENERAL'!B437="","",'[1]P-GENERAL'!B437)</f>
        <v>CPR01103</v>
      </c>
      <c r="C437" t="str">
        <f>IF('[1]P-GENERAL'!C437="","",'[1]P-GENERAL'!C437)</f>
        <v>A01003-410510-1</v>
      </c>
      <c r="D437" t="str">
        <f>IF('[1]P-GENERAL'!D437="","",'[1]P-GENERAL'!D437)</f>
        <v>A01 003 Doña Nelly</v>
      </c>
      <c r="E437" s="8" t="str">
        <f>IF('[1]P-GENERAL'!E437="","",'[1]P-GENERAL'!E437)</f>
        <v>Ciudad Juarez</v>
      </c>
      <c r="F437" s="12">
        <f>IF('[1]P-GENERAL'!F437="","",'[1]P-GENERAL'!F437)</f>
        <v>816</v>
      </c>
      <c r="G437" s="13">
        <f>IF('[1]P-GENERAL'!G437="","",'[1]P-GENERAL'!G437)</f>
        <v>17</v>
      </c>
      <c r="H437" s="14">
        <f>IF('[1]P-GENERAL'!H437="","",'[1]P-GENERAL'!H437)</f>
        <v>46300</v>
      </c>
      <c r="I437">
        <f>IF('[1]P-GENERAL'!I437="","",'[1]P-GENERAL'!I437)</f>
        <v>41</v>
      </c>
      <c r="J437" s="15">
        <f>IF('[1]P-GENERAL'!J437="","",'[1]P-GENERAL'!J437)</f>
        <v>46305</v>
      </c>
      <c r="K437" s="14" t="str">
        <f>IF('[1]P-GENERAL'!K437="","",'[1]P-GENERAL'!K437)</f>
        <v/>
      </c>
      <c r="L437" s="14" t="str">
        <f>IF('[1]P-GENERAL'!L437="","",'[1]P-GENERAL'!L437)</f>
        <v>PREENFRIO NELLY</v>
      </c>
      <c r="M437">
        <f>IF('[1]P-GENERAL'!M437="","",'[1]P-GENERAL'!M437)</f>
        <v>4</v>
      </c>
      <c r="N437">
        <f>IF('[1]P-GENERAL'!N437="","",'[1]P-GENERAL'!N437)</f>
        <v>96</v>
      </c>
      <c r="O437" s="14">
        <f>IF('[1]P-GENERAL'!O437="","",'[1]P-GENERAL'!O437)</f>
        <v>46300</v>
      </c>
      <c r="P437" s="16">
        <f>IF('[1]P-GENERAL'!P437="","",'[1]P-GENERAL'!P437)</f>
        <v>0.74305555555555558</v>
      </c>
      <c r="Q437" t="str">
        <f>IF('[1]P-GENERAL'!Q437="","",'[1]P-GENERAL'!Q437)</f>
        <v>ALTA</v>
      </c>
      <c r="R437" s="14">
        <f>IF('[1]P-GENERAL'!R437="","",'[1]P-GENERAL'!R437)</f>
        <v>46300</v>
      </c>
      <c r="S437" s="16">
        <f>IF('[1]P-GENERAL'!S437="","",'[1]P-GENERAL'!S437)</f>
        <v>0.45833333333333331</v>
      </c>
      <c r="T437" s="16">
        <f>IF('[1]P-GENERAL'!T437="","",'[1]P-GENERAL'!T437)</f>
        <v>0.4375</v>
      </c>
      <c r="U437" s="17">
        <f>IF('[1]P-GENERAL'!U437="","",'[1]P-GENERAL'!U437)</f>
        <v>46300.895833333336</v>
      </c>
      <c r="V437" s="14">
        <f>IF('[1]P-GENERAL'!V437="","",'[1]P-GENERAL'!V437)</f>
        <v>46301</v>
      </c>
      <c r="W437" s="16">
        <f>IF('[1]P-GENERAL'!W437="","",'[1]P-GENERAL'!W437)</f>
        <v>0.5625</v>
      </c>
      <c r="X437" s="14" t="str">
        <f>IF('[1]P-GENERAL'!X437="","",'[1]P-GENERAL'!X437)</f>
        <v>SI CUMPLE</v>
      </c>
      <c r="Y437" s="14" t="str">
        <f>IF('[1]P-GENERAL'!Y437="","",'[1]P-GENERAL'!Y437)</f>
        <v>NO CUMPLE</v>
      </c>
      <c r="Z437" s="14" t="str">
        <f>IF('[1]P-GENERAL'!Z437="","",'[1]P-GENERAL'!Z437)</f>
        <v>EMPAQUE TARDIO</v>
      </c>
      <c r="AA437" s="14" t="str">
        <f>IF('[1]P-GENERAL'!AA437="","",'[1]P-GENERAL'!AA437)</f>
        <v>DESPACHADO</v>
      </c>
      <c r="AB437" s="8" t="str">
        <f>IF('[1]P-GENERAL'!AB437="","",'[1]P-GENERAL'!AB437)</f>
        <v>AUTO EXPRESS SEGOVIA</v>
      </c>
      <c r="AC437" s="8" t="str">
        <f>IF('[1]P-GENERAL'!AC437="","",'[1]P-GENERAL'!AC437)</f>
        <v/>
      </c>
      <c r="AD437" t="str">
        <f>IF('[1]P-GENERAL'!AD437="","",'[1]P-GENERAL'!AD437)</f>
        <v/>
      </c>
      <c r="AE437" t="str">
        <f>IF('[1]P-GENERAL'!AE437="","",'[1]P-GENERAL'!AE437)</f>
        <v/>
      </c>
    </row>
    <row r="438" spans="1:31" ht="20.25" x14ac:dyDescent="0.3">
      <c r="A438" s="11" t="str">
        <f>IF('[1]P-GENERAL'!A438="","",'[1]P-GENERAL'!A438)</f>
        <v>Chanitos Premium Tarima Americana</v>
      </c>
      <c r="B438" s="11" t="str">
        <f>IF('[1]P-GENERAL'!B438="","",'[1]P-GENERAL'!B438)</f>
        <v>CPR01103</v>
      </c>
      <c r="C438" t="e">
        <f>IF('[1]P-GENERAL'!C438="","",'[1]P-GENERAL'!C438)</f>
        <v>#N/A</v>
      </c>
      <c r="D438" t="str">
        <f>IF('[1]P-GENERAL'!D438="","",'[1]P-GENERAL'!D438)</f>
        <v>A11 Sector Mazatan</v>
      </c>
      <c r="E438" s="8" t="str">
        <f>IF('[1]P-GENERAL'!E438="","",'[1]P-GENERAL'!E438)</f>
        <v>Ciudad Juarez</v>
      </c>
      <c r="F438" s="12">
        <f>IF('[1]P-GENERAL'!F438="","",'[1]P-GENERAL'!F438)</f>
        <v>960</v>
      </c>
      <c r="G438" s="13">
        <f>IF('[1]P-GENERAL'!G438="","",'[1]P-GENERAL'!G438)</f>
        <v>20</v>
      </c>
      <c r="H438" s="14">
        <f>IF('[1]P-GENERAL'!H438="","",'[1]P-GENERAL'!H438)</f>
        <v>46300</v>
      </c>
      <c r="I438">
        <f>IF('[1]P-GENERAL'!I438="","",'[1]P-GENERAL'!I438)</f>
        <v>41</v>
      </c>
      <c r="J438" s="15">
        <f>IF('[1]P-GENERAL'!J438="","",'[1]P-GENERAL'!J438)</f>
        <v>46305</v>
      </c>
      <c r="K438" s="14">
        <f>IF('[1]P-GENERAL'!K438="","",'[1]P-GENERAL'!K438)</f>
        <v>0.25</v>
      </c>
      <c r="L438" s="14" t="str">
        <f>IF('[1]P-GENERAL'!L438="","",'[1]P-GENERAL'!L438)</f>
        <v>PREENFRIO NELLY</v>
      </c>
      <c r="M438">
        <f>IF('[1]P-GENERAL'!M438="","",'[1]P-GENERAL'!M438)</f>
        <v>4</v>
      </c>
      <c r="N438">
        <f>IF('[1]P-GENERAL'!N438="","",'[1]P-GENERAL'!N438)</f>
        <v>96</v>
      </c>
      <c r="O438" s="14">
        <f>IF('[1]P-GENERAL'!O438="","",'[1]P-GENERAL'!O438)</f>
        <v>46300</v>
      </c>
      <c r="P438" s="16">
        <f>IF('[1]P-GENERAL'!P438="","",'[1]P-GENERAL'!P438)</f>
        <v>0.97916666666666663</v>
      </c>
      <c r="Q438" t="str">
        <f>IF('[1]P-GENERAL'!Q438="","",'[1]P-GENERAL'!Q438)</f>
        <v>ALTA</v>
      </c>
      <c r="R438" s="14">
        <f>IF('[1]P-GENERAL'!R438="","",'[1]P-GENERAL'!R438)</f>
        <v>46300</v>
      </c>
      <c r="S438" s="16">
        <f>IF('[1]P-GENERAL'!S438="","",'[1]P-GENERAL'!S438)</f>
        <v>0.95833333333333337</v>
      </c>
      <c r="T438" s="16">
        <f>IF('[1]P-GENERAL'!T438="","",'[1]P-GENERAL'!T438)</f>
        <v>0.4375</v>
      </c>
      <c r="U438" s="17">
        <f>IF('[1]P-GENERAL'!U438="","",'[1]P-GENERAL'!U438)</f>
        <v>46301.395833333336</v>
      </c>
      <c r="V438" s="14">
        <f>IF('[1]P-GENERAL'!V438="","",'[1]P-GENERAL'!V438)</f>
        <v>46301</v>
      </c>
      <c r="W438" s="16">
        <f>IF('[1]P-GENERAL'!W438="","",'[1]P-GENERAL'!W438)</f>
        <v>0.5625</v>
      </c>
      <c r="X438" s="14" t="str">
        <f>IF('[1]P-GENERAL'!X438="","",'[1]P-GENERAL'!X438)</f>
        <v>NO CUMPLE</v>
      </c>
      <c r="Y438" s="14" t="str">
        <f>IF('[1]P-GENERAL'!Y438="","",'[1]P-GENERAL'!Y438)</f>
        <v>NO CUMPLE</v>
      </c>
      <c r="Z438" s="14" t="str">
        <f>IF('[1]P-GENERAL'!Z438="","",'[1]P-GENERAL'!Z438)</f>
        <v>EMPAQUE TARDIO</v>
      </c>
      <c r="AA438" s="14" t="str">
        <f>IF('[1]P-GENERAL'!AA438="","",'[1]P-GENERAL'!AA438)</f>
        <v>DESPACHADO</v>
      </c>
      <c r="AB438" s="8" t="str">
        <f>IF('[1]P-GENERAL'!AB438="","",'[1]P-GENERAL'!AB438)</f>
        <v>AUTO EXPRESS SEGOVIA</v>
      </c>
      <c r="AC438" s="8" t="str">
        <f>IF('[1]P-GENERAL'!AC438="","",'[1]P-GENERAL'!AC438)</f>
        <v/>
      </c>
      <c r="AD438" t="str">
        <f>IF('[1]P-GENERAL'!AD438="","",'[1]P-GENERAL'!AD438)</f>
        <v/>
      </c>
      <c r="AE438" t="str">
        <f>IF('[1]P-GENERAL'!AE438="","",'[1]P-GENERAL'!AE438)</f>
        <v/>
      </c>
    </row>
    <row r="439" spans="1:31" ht="20.25" x14ac:dyDescent="0.3">
      <c r="A439" s="11" t="str">
        <f>IF('[1]P-GENERAL'!A439="","",'[1]P-GENERAL'!A439)</f>
        <v>Chanitos Premium Tarima Americana</v>
      </c>
      <c r="B439" s="11" t="str">
        <f>IF('[1]P-GENERAL'!B439="","",'[1]P-GENERAL'!B439)</f>
        <v>CPR01103</v>
      </c>
      <c r="C439" t="str">
        <f>IF('[1]P-GENERAL'!C439="","",'[1]P-GENERAL'!C439)</f>
        <v>A01003-410510-1</v>
      </c>
      <c r="D439" t="str">
        <f>IF('[1]P-GENERAL'!D439="","",'[1]P-GENERAL'!D439)</f>
        <v>A01 003 Doña Nelly</v>
      </c>
      <c r="E439" s="8" t="str">
        <f>IF('[1]P-GENERAL'!E439="","",'[1]P-GENERAL'!E439)</f>
        <v>S-MTY</v>
      </c>
      <c r="F439" s="12">
        <f>IF('[1]P-GENERAL'!F439="","",'[1]P-GENERAL'!F439)</f>
        <v>192</v>
      </c>
      <c r="G439" s="13">
        <f>IF('[1]P-GENERAL'!G439="","",'[1]P-GENERAL'!G439)</f>
        <v>4</v>
      </c>
      <c r="H439" s="14">
        <f>IF('[1]P-GENERAL'!H439="","",'[1]P-GENERAL'!H439)</f>
        <v>46300</v>
      </c>
      <c r="I439">
        <f>IF('[1]P-GENERAL'!I439="","",'[1]P-GENERAL'!I439)</f>
        <v>41</v>
      </c>
      <c r="J439" s="15">
        <f>IF('[1]P-GENERAL'!J439="","",'[1]P-GENERAL'!J439)</f>
        <v>46305</v>
      </c>
      <c r="K439" s="14" t="str">
        <f>IF('[1]P-GENERAL'!K439="","",'[1]P-GENERAL'!K439)</f>
        <v/>
      </c>
      <c r="L439" s="14" t="str">
        <f>IF('[1]P-GENERAL'!L439="","",'[1]P-GENERAL'!L439)</f>
        <v>PREENFRIO NELLY</v>
      </c>
      <c r="M439">
        <f>IF('[1]P-GENERAL'!M439="","",'[1]P-GENERAL'!M439)</f>
        <v>3</v>
      </c>
      <c r="N439">
        <f>IF('[1]P-GENERAL'!N439="","",'[1]P-GENERAL'!N439)</f>
        <v>72</v>
      </c>
      <c r="O439" s="14">
        <f>IF('[1]P-GENERAL'!O439="","",'[1]P-GENERAL'!O439)</f>
        <v>46300</v>
      </c>
      <c r="P439" s="16">
        <f>IF('[1]P-GENERAL'!P439="","",'[1]P-GENERAL'!P439)</f>
        <v>0.74305555555555558</v>
      </c>
      <c r="Q439" t="str">
        <f>IF('[1]P-GENERAL'!Q439="","",'[1]P-GENERAL'!Q439)</f>
        <v>NORMAL</v>
      </c>
      <c r="R439" s="14">
        <f>IF('[1]P-GENERAL'!R439="","",'[1]P-GENERAL'!R439)</f>
        <v>46300</v>
      </c>
      <c r="S439" s="16">
        <f>IF('[1]P-GENERAL'!S439="","",'[1]P-GENERAL'!S439)</f>
        <v>0.45833333333333331</v>
      </c>
      <c r="T439" s="16">
        <f>IF('[1]P-GENERAL'!T439="","",'[1]P-GENERAL'!T439)</f>
        <v>0.4375</v>
      </c>
      <c r="U439" s="17">
        <f>IF('[1]P-GENERAL'!U439="","",'[1]P-GENERAL'!U439)</f>
        <v>46300.895833333336</v>
      </c>
      <c r="V439" s="14">
        <f>IF('[1]P-GENERAL'!V439="","",'[1]P-GENERAL'!V439)</f>
        <v>46302</v>
      </c>
      <c r="W439" s="16">
        <f>IF('[1]P-GENERAL'!W439="","",'[1]P-GENERAL'!W439)</f>
        <v>0.33333333333333331</v>
      </c>
      <c r="X439" s="14" t="str">
        <f>IF('[1]P-GENERAL'!X439="","",'[1]P-GENERAL'!X439)</f>
        <v>SI CUMPLE</v>
      </c>
      <c r="Y439" s="14" t="str">
        <f>IF('[1]P-GENERAL'!Y439="","",'[1]P-GENERAL'!Y439)</f>
        <v>NO CUMPLE</v>
      </c>
      <c r="Z439" s="14" t="str">
        <f>IF('[1]P-GENERAL'!Z439="","",'[1]P-GENERAL'!Z439)</f>
        <v>EMPAQUE TARDIO</v>
      </c>
      <c r="AA439" s="14" t="str">
        <f>IF('[1]P-GENERAL'!AA439="","",'[1]P-GENERAL'!AA439)</f>
        <v>DESPACHADO</v>
      </c>
      <c r="AB439" s="8" t="str">
        <f>IF('[1]P-GENERAL'!AB439="","",'[1]P-GENERAL'!AB439)</f>
        <v>AUTO EXPRESS SEGOVIA</v>
      </c>
      <c r="AC439" s="8" t="str">
        <f>IF('[1]P-GENERAL'!AC439="","",'[1]P-GENERAL'!AC439)</f>
        <v/>
      </c>
      <c r="AD439" t="str">
        <f>IF('[1]P-GENERAL'!AD439="","",'[1]P-GENERAL'!AD439)</f>
        <v/>
      </c>
      <c r="AE439" t="str">
        <f>IF('[1]P-GENERAL'!AE439="","",'[1]P-GENERAL'!AE439)</f>
        <v/>
      </c>
    </row>
    <row r="440" spans="1:31" ht="20.25" x14ac:dyDescent="0.3">
      <c r="A440" s="11" t="str">
        <f>IF('[1]P-GENERAL'!A440="","",'[1]P-GENERAL'!A440)</f>
        <v>Chanitos Premium EUA Tarima Americana</v>
      </c>
      <c r="B440" s="11" t="str">
        <f>IF('[1]P-GENERAL'!B440="","",'[1]P-GENERAL'!B440)</f>
        <v>CPR01104</v>
      </c>
      <c r="C440" t="str">
        <f>IF('[1]P-GENERAL'!C440="","",'[1]P-GENERAL'!C440)</f>
        <v>A04084-410510-1</v>
      </c>
      <c r="D440" t="str">
        <f>IF('[1]P-GENERAL'!D440="","",'[1]P-GENERAL'!D440)</f>
        <v>A04 084 Lisboa</v>
      </c>
      <c r="E440" s="8" t="str">
        <f>IF('[1]P-GENERAL'!E440="","",'[1]P-GENERAL'!E440)</f>
        <v>McAllen</v>
      </c>
      <c r="F440" s="12">
        <f>IF('[1]P-GENERAL'!F440="","",'[1]P-GENERAL'!F440)</f>
        <v>720</v>
      </c>
      <c r="G440" s="13">
        <f>IF('[1]P-GENERAL'!G440="","",'[1]P-GENERAL'!G440)</f>
        <v>15</v>
      </c>
      <c r="H440" s="14">
        <f>IF('[1]P-GENERAL'!H440="","",'[1]P-GENERAL'!H440)</f>
        <v>46300</v>
      </c>
      <c r="I440">
        <f>IF('[1]P-GENERAL'!I440="","",'[1]P-GENERAL'!I440)</f>
        <v>41</v>
      </c>
      <c r="J440" s="15">
        <f>IF('[1]P-GENERAL'!J440="","",'[1]P-GENERAL'!J440)</f>
        <v>46305</v>
      </c>
      <c r="K440" s="14" t="str">
        <f>IF('[1]P-GENERAL'!K440="","",'[1]P-GENERAL'!K440)</f>
        <v/>
      </c>
      <c r="L440" s="14" t="str">
        <f>IF('[1]P-GENERAL'!L440="","",'[1]P-GENERAL'!L440)</f>
        <v>PREENFRIO NELLY</v>
      </c>
      <c r="M440">
        <f>IF('[1]P-GENERAL'!M440="","",'[1]P-GENERAL'!M440)</f>
        <v>3</v>
      </c>
      <c r="N440">
        <f>IF('[1]P-GENERAL'!N440="","",'[1]P-GENERAL'!N440)</f>
        <v>72</v>
      </c>
      <c r="O440" s="14">
        <f>IF('[1]P-GENERAL'!O440="","",'[1]P-GENERAL'!O440)</f>
        <v>46301</v>
      </c>
      <c r="P440" s="16">
        <f>IF('[1]P-GENERAL'!P440="","",'[1]P-GENERAL'!P440)</f>
        <v>0.91666666666666663</v>
      </c>
      <c r="Q440" t="str">
        <f>IF('[1]P-GENERAL'!Q440="","",'[1]P-GENERAL'!Q440)</f>
        <v>NORMAL</v>
      </c>
      <c r="R440" s="14">
        <f>IF('[1]P-GENERAL'!R440="","",'[1]P-GENERAL'!R440)</f>
        <v>46301</v>
      </c>
      <c r="S440" s="16">
        <f>IF('[1]P-GENERAL'!S440="","",'[1]P-GENERAL'!S440)</f>
        <v>8.3333333333333329E-2</v>
      </c>
      <c r="T440" s="16">
        <f>IF('[1]P-GENERAL'!T440="","",'[1]P-GENERAL'!T440)</f>
        <v>0.35416666666666669</v>
      </c>
      <c r="U440" s="17">
        <f>IF('[1]P-GENERAL'!U440="","",'[1]P-GENERAL'!U440)</f>
        <v>46301.4375</v>
      </c>
      <c r="V440" s="14">
        <f>IF('[1]P-GENERAL'!V440="","",'[1]P-GENERAL'!V440)</f>
        <v>46303</v>
      </c>
      <c r="W440" s="16" t="str">
        <f>IF('[1]P-GENERAL'!W440="","",'[1]P-GENERAL'!W440)</f>
        <v/>
      </c>
      <c r="X440" s="14" t="str">
        <f>IF('[1]P-GENERAL'!X440="","",'[1]P-GENERAL'!X440)</f>
        <v>SI CUMPLE</v>
      </c>
      <c r="Y440" s="14" t="str">
        <f>IF('[1]P-GENERAL'!Y440="","",'[1]P-GENERAL'!Y440)</f>
        <v>NO CUMPLE</v>
      </c>
      <c r="Z440" s="14" t="str">
        <f>IF('[1]P-GENERAL'!Z440="","",'[1]P-GENERAL'!Z440)</f>
        <v/>
      </c>
      <c r="AA440" s="14" t="str">
        <f>IF('[1]P-GENERAL'!AA440="","",'[1]P-GENERAL'!AA440)</f>
        <v>DESPACHADO</v>
      </c>
      <c r="AB440" s="8" t="str">
        <f>IF('[1]P-GENERAL'!AB440="","",'[1]P-GENERAL'!AB440)</f>
        <v>TRANSPORTES ALGEZA</v>
      </c>
      <c r="AC440" s="8" t="str">
        <f>IF('[1]P-GENERAL'!AC440="","",'[1]P-GENERAL'!AC440)</f>
        <v/>
      </c>
      <c r="AD440" t="str">
        <f>IF('[1]P-GENERAL'!AD440="","",'[1]P-GENERAL'!AD440)</f>
        <v/>
      </c>
      <c r="AE440" t="str">
        <f>IF('[1]P-GENERAL'!AE440="","",'[1]P-GENERAL'!AE440)</f>
        <v/>
      </c>
    </row>
    <row r="441" spans="1:31" ht="20.25" x14ac:dyDescent="0.3">
      <c r="A441" s="11" t="str">
        <f>IF('[1]P-GENERAL'!A441="","",'[1]P-GENERAL'!A441)</f>
        <v>Chanitos Premium EUA Tarima Americana</v>
      </c>
      <c r="B441" s="11" t="str">
        <f>IF('[1]P-GENERAL'!B441="","",'[1]P-GENERAL'!B441)</f>
        <v>CPR01104</v>
      </c>
      <c r="C441" t="str">
        <f>IF('[1]P-GENERAL'!C441="","",'[1]P-GENERAL'!C441)</f>
        <v>A04084-410610-1</v>
      </c>
      <c r="D441" t="str">
        <f>IF('[1]P-GENERAL'!D441="","",'[1]P-GENERAL'!D441)</f>
        <v>A04 084 Lisboa</v>
      </c>
      <c r="E441" s="8" t="str">
        <f>IF('[1]P-GENERAL'!E441="","",'[1]P-GENERAL'!E441)</f>
        <v>McAllen</v>
      </c>
      <c r="F441" s="12">
        <f>IF('[1]P-GENERAL'!F441="","",'[1]P-GENERAL'!F441)</f>
        <v>240</v>
      </c>
      <c r="G441" s="13">
        <f>IF('[1]P-GENERAL'!G441="","",'[1]P-GENERAL'!G441)</f>
        <v>5</v>
      </c>
      <c r="H441" s="14">
        <f>IF('[1]P-GENERAL'!H441="","",'[1]P-GENERAL'!H441)</f>
        <v>46301</v>
      </c>
      <c r="I441">
        <f>IF('[1]P-GENERAL'!I441="","",'[1]P-GENERAL'!I441)</f>
        <v>41</v>
      </c>
      <c r="J441" s="15">
        <f>IF('[1]P-GENERAL'!J441="","",'[1]P-GENERAL'!J441)</f>
        <v>46305</v>
      </c>
      <c r="K441" s="14" t="str">
        <f>IF('[1]P-GENERAL'!K441="","",'[1]P-GENERAL'!K441)</f>
        <v/>
      </c>
      <c r="L441" s="14" t="str">
        <f>IF('[1]P-GENERAL'!L441="","",'[1]P-GENERAL'!L441)</f>
        <v>PREENFRIO NELLY</v>
      </c>
      <c r="M441">
        <f>IF('[1]P-GENERAL'!M441="","",'[1]P-GENERAL'!M441)</f>
        <v>3</v>
      </c>
      <c r="N441">
        <f>IF('[1]P-GENERAL'!N441="","",'[1]P-GENERAL'!N441)</f>
        <v>72</v>
      </c>
      <c r="O441" s="14">
        <f>IF('[1]P-GENERAL'!O441="","",'[1]P-GENERAL'!O441)</f>
        <v>46301</v>
      </c>
      <c r="P441" s="16">
        <f>IF('[1]P-GENERAL'!P441="","",'[1]P-GENERAL'!P441)</f>
        <v>0.91666666666666663</v>
      </c>
      <c r="Q441" t="str">
        <f>IF('[1]P-GENERAL'!Q441="","",'[1]P-GENERAL'!Q441)</f>
        <v>ALTA</v>
      </c>
      <c r="R441" s="14">
        <f>IF('[1]P-GENERAL'!R441="","",'[1]P-GENERAL'!R441)</f>
        <v>46301</v>
      </c>
      <c r="S441" s="16">
        <f>IF('[1]P-GENERAL'!S441="","",'[1]P-GENERAL'!S441)</f>
        <v>8.3333333333333329E-2</v>
      </c>
      <c r="T441" s="16">
        <f>IF('[1]P-GENERAL'!T441="","",'[1]P-GENERAL'!T441)</f>
        <v>0.35416666666666669</v>
      </c>
      <c r="U441" s="17">
        <f>IF('[1]P-GENERAL'!U441="","",'[1]P-GENERAL'!U441)</f>
        <v>46301.4375</v>
      </c>
      <c r="V441" s="14">
        <f>IF('[1]P-GENERAL'!V441="","",'[1]P-GENERAL'!V441)</f>
        <v>46303</v>
      </c>
      <c r="W441" s="16">
        <f>IF('[1]P-GENERAL'!W441="","",'[1]P-GENERAL'!W441)</f>
        <v>0.43055555555555558</v>
      </c>
      <c r="X441" s="14" t="str">
        <f>IF('[1]P-GENERAL'!X441="","",'[1]P-GENERAL'!X441)</f>
        <v>SI CUMPLE</v>
      </c>
      <c r="Y441" s="14" t="str">
        <f>IF('[1]P-GENERAL'!Y441="","",'[1]P-GENERAL'!Y441)</f>
        <v>NO CUMPLE</v>
      </c>
      <c r="Z441" s="14" t="str">
        <f>IF('[1]P-GENERAL'!Z441="","",'[1]P-GENERAL'!Z441)</f>
        <v/>
      </c>
      <c r="AA441" s="14" t="str">
        <f>IF('[1]P-GENERAL'!AA441="","",'[1]P-GENERAL'!AA441)</f>
        <v>DESPACHADO</v>
      </c>
      <c r="AB441" s="8" t="str">
        <f>IF('[1]P-GENERAL'!AB441="","",'[1]P-GENERAL'!AB441)</f>
        <v>TRANSPORTES ALGEZA</v>
      </c>
      <c r="AC441" s="8" t="str">
        <f>IF('[1]P-GENERAL'!AC441="","",'[1]P-GENERAL'!AC441)</f>
        <v/>
      </c>
      <c r="AD441" t="str">
        <f>IF('[1]P-GENERAL'!AD441="","",'[1]P-GENERAL'!AD441)</f>
        <v/>
      </c>
      <c r="AE441" t="str">
        <f>IF('[1]P-GENERAL'!AE441="","",'[1]P-GENERAL'!AE441)</f>
        <v/>
      </c>
    </row>
    <row r="442" spans="1:31" ht="20.25" x14ac:dyDescent="0.3">
      <c r="A442" s="11" t="str">
        <f>IF('[1]P-GENERAL'!A442="","",'[1]P-GENERAL'!A442)</f>
        <v>Chanitos Plantain 20Kg Tarima Americana</v>
      </c>
      <c r="B442" s="11" t="str">
        <f>IF('[1]P-GENERAL'!B442="","",'[1]P-GENERAL'!B442)</f>
        <v>CPL08134</v>
      </c>
      <c r="C442" t="str">
        <f>IF('[1]P-GENERAL'!C442="","",'[1]P-GENERAL'!C442)</f>
        <v>A27073-410510-1</v>
      </c>
      <c r="D442" t="str">
        <f>IF('[1]P-GENERAL'!D442="","",'[1]P-GENERAL'!D442)</f>
        <v>A27 073 Plantacion</v>
      </c>
      <c r="E442" s="8" t="str">
        <f>IF('[1]P-GENERAL'!E442="","",'[1]P-GENERAL'!E442)</f>
        <v>Ciudad Juarez</v>
      </c>
      <c r="F442" s="12">
        <f>IF('[1]P-GENERAL'!F442="","",'[1]P-GENERAL'!F442)</f>
        <v>144</v>
      </c>
      <c r="G442" s="13">
        <f>IF('[1]P-GENERAL'!G442="","",'[1]P-GENERAL'!G442)</f>
        <v>3</v>
      </c>
      <c r="H442" s="14">
        <f>IF('[1]P-GENERAL'!H442="","",'[1]P-GENERAL'!H442)</f>
        <v>46300</v>
      </c>
      <c r="I442">
        <f>IF('[1]P-GENERAL'!I442="","",'[1]P-GENERAL'!I442)</f>
        <v>41</v>
      </c>
      <c r="J442" s="15">
        <f>IF('[1]P-GENERAL'!J442="","",'[1]P-GENERAL'!J442)</f>
        <v>46305</v>
      </c>
      <c r="K442" s="14" t="str">
        <f>IF('[1]P-GENERAL'!K442="","",'[1]P-GENERAL'!K442)</f>
        <v/>
      </c>
      <c r="L442" s="14" t="str">
        <f>IF('[1]P-GENERAL'!L442="","",'[1]P-GENERAL'!L442)</f>
        <v>PREENFRIO FORTALEZA</v>
      </c>
      <c r="M442">
        <f>IF('[1]P-GENERAL'!M442="","",'[1]P-GENERAL'!M442)</f>
        <v>4</v>
      </c>
      <c r="N442">
        <f>IF('[1]P-GENERAL'!N442="","",'[1]P-GENERAL'!N442)</f>
        <v>96</v>
      </c>
      <c r="O442" s="14">
        <f>IF('[1]P-GENERAL'!O442="","",'[1]P-GENERAL'!O442)</f>
        <v>46300</v>
      </c>
      <c r="P442" s="16">
        <f>IF('[1]P-GENERAL'!P442="","",'[1]P-GENERAL'!P442)</f>
        <v>0.45833333333333331</v>
      </c>
      <c r="Q442" t="str">
        <f>IF('[1]P-GENERAL'!Q442="","",'[1]P-GENERAL'!Q442)</f>
        <v>NORMAL</v>
      </c>
      <c r="R442" s="14">
        <f>IF('[1]P-GENERAL'!R442="","",'[1]P-GENERAL'!R442)</f>
        <v>46301</v>
      </c>
      <c r="S442" s="16">
        <f>IF('[1]P-GENERAL'!S442="","",'[1]P-GENERAL'!S442)</f>
        <v>0.15</v>
      </c>
      <c r="T442" s="16">
        <f>IF('[1]P-GENERAL'!T442="","",'[1]P-GENERAL'!T442)</f>
        <v>0.41666666666666669</v>
      </c>
      <c r="U442" s="17">
        <f>IF('[1]P-GENERAL'!U442="","",'[1]P-GENERAL'!U442)</f>
        <v>46301.566666666666</v>
      </c>
      <c r="V442" s="14">
        <f>IF('[1]P-GENERAL'!V442="","",'[1]P-GENERAL'!V442)</f>
        <v>46301</v>
      </c>
      <c r="W442" s="16">
        <f>IF('[1]P-GENERAL'!W442="","",'[1]P-GENERAL'!W442)</f>
        <v>0.52083333333333337</v>
      </c>
      <c r="X442" s="14" t="str">
        <f>IF('[1]P-GENERAL'!X442="","",'[1]P-GENERAL'!X442)</f>
        <v>NO CUMPLE</v>
      </c>
      <c r="Y442" s="14" t="str">
        <f>IF('[1]P-GENERAL'!Y442="","",'[1]P-GENERAL'!Y442)</f>
        <v>NO CUMPLE</v>
      </c>
      <c r="Z442" s="14" t="str">
        <f>IF('[1]P-GENERAL'!Z442="","",'[1]P-GENERAL'!Z442)</f>
        <v>MUEVE A NELLY</v>
      </c>
      <c r="AA442" s="14" t="str">
        <f>IF('[1]P-GENERAL'!AA442="","",'[1]P-GENERAL'!AA442)</f>
        <v>DESPACHADO</v>
      </c>
      <c r="AB442" s="8" t="str">
        <f>IF('[1]P-GENERAL'!AB442="","",'[1]P-GENERAL'!AB442)</f>
        <v>LETICIA LOPEZ PINEDA</v>
      </c>
      <c r="AC442" s="8" t="str">
        <f>IF('[1]P-GENERAL'!AC442="","",'[1]P-GENERAL'!AC442)</f>
        <v xml:space="preserve">FAUSTO ANTONIO LUCHO </v>
      </c>
      <c r="AD442">
        <f>IF('[1]P-GENERAL'!AD442="","",'[1]P-GENERAL'!AD442)</f>
        <v>67435</v>
      </c>
      <c r="AE442" t="str">
        <f>IF('[1]P-GENERAL'!AE442="","",'[1]P-GENERAL'!AE442)</f>
        <v>N/A</v>
      </c>
    </row>
    <row r="443" spans="1:31" ht="20.25" x14ac:dyDescent="0.3">
      <c r="A443" s="11" t="str">
        <f>IF('[1]P-GENERAL'!A443="","",'[1]P-GENERAL'!A443)</f>
        <v>Chanitos Premium Tarima Chep</v>
      </c>
      <c r="B443" s="11" t="str">
        <f>IF('[1]P-GENERAL'!B443="","",'[1]P-GENERAL'!B443)</f>
        <v>CPR01102</v>
      </c>
      <c r="C443" t="str">
        <f>IF('[1]P-GENERAL'!C443="","",'[1]P-GENERAL'!C443)</f>
        <v>A01002-410610-1</v>
      </c>
      <c r="D443" t="str">
        <f>IF('[1]P-GENERAL'!D443="","",'[1]P-GENERAL'!D443)</f>
        <v>A01 002 Fortaleza</v>
      </c>
      <c r="E443" s="8" t="str">
        <f>IF('[1]P-GENERAL'!E443="","",'[1]P-GENERAL'!E443)</f>
        <v>Chalco</v>
      </c>
      <c r="F443" s="12">
        <f>IF('[1]P-GENERAL'!F443="","",'[1]P-GENERAL'!F443)</f>
        <v>240</v>
      </c>
      <c r="G443" s="13">
        <f>IF('[1]P-GENERAL'!G443="","",'[1]P-GENERAL'!G443)</f>
        <v>5</v>
      </c>
      <c r="H443" s="14">
        <f>IF('[1]P-GENERAL'!H443="","",'[1]P-GENERAL'!H443)</f>
        <v>46301</v>
      </c>
      <c r="I443">
        <f>IF('[1]P-GENERAL'!I443="","",'[1]P-GENERAL'!I443)</f>
        <v>41</v>
      </c>
      <c r="J443" s="15">
        <f>IF('[1]P-GENERAL'!J443="","",'[1]P-GENERAL'!J443)</f>
        <v>46305</v>
      </c>
      <c r="K443" s="14" t="str">
        <f>IF('[1]P-GENERAL'!K443="","",'[1]P-GENERAL'!K443)</f>
        <v/>
      </c>
      <c r="L443" s="14" t="str">
        <f>IF('[1]P-GENERAL'!L443="","",'[1]P-GENERAL'!L443)</f>
        <v>PREENFRIO FORTALEZA</v>
      </c>
      <c r="M443">
        <f>IF('[1]P-GENERAL'!M443="","",'[1]P-GENERAL'!M443)</f>
        <v>1</v>
      </c>
      <c r="N443">
        <f>IF('[1]P-GENERAL'!N443="","",'[1]P-GENERAL'!N443)</f>
        <v>24</v>
      </c>
      <c r="O443" s="14">
        <f>IF('[1]P-GENERAL'!O443="","",'[1]P-GENERAL'!O443)</f>
        <v>46301</v>
      </c>
      <c r="P443" s="16">
        <f>IF('[1]P-GENERAL'!P443="","",'[1]P-GENERAL'!P443)</f>
        <v>0.58750000000000002</v>
      </c>
      <c r="Q443" t="str">
        <f>IF('[1]P-GENERAL'!Q443="","",'[1]P-GENERAL'!Q443)</f>
        <v>NORMAL</v>
      </c>
      <c r="R443" s="14">
        <f>IF('[1]P-GENERAL'!R443="","",'[1]P-GENERAL'!R443)</f>
        <v>46301</v>
      </c>
      <c r="S443" s="16">
        <f>IF('[1]P-GENERAL'!S443="","",'[1]P-GENERAL'!S443)</f>
        <v>0.90763888888888888</v>
      </c>
      <c r="T443" s="16">
        <f>IF('[1]P-GENERAL'!T443="","",'[1]P-GENERAL'!T443)</f>
        <v>0.625</v>
      </c>
      <c r="U443" s="17">
        <f>IF('[1]P-GENERAL'!U443="","",'[1]P-GENERAL'!U443)</f>
        <v>46302.532638888886</v>
      </c>
      <c r="V443" s="14">
        <f>IF('[1]P-GENERAL'!V443="","",'[1]P-GENERAL'!V443)</f>
        <v>46302</v>
      </c>
      <c r="W443" s="16">
        <f>IF('[1]P-GENERAL'!W443="","",'[1]P-GENERAL'!W443)</f>
        <v>0.875</v>
      </c>
      <c r="X443" s="14" t="str">
        <f>IF('[1]P-GENERAL'!X443="","",'[1]P-GENERAL'!X443)</f>
        <v>SI CUMPLE</v>
      </c>
      <c r="Y443" s="14" t="str">
        <f>IF('[1]P-GENERAL'!Y443="","",'[1]P-GENERAL'!Y443)</f>
        <v>SI CUMPLE</v>
      </c>
      <c r="Z443" s="14" t="str">
        <f>IF('[1]P-GENERAL'!Z443="","",'[1]P-GENERAL'!Z443)</f>
        <v>COMPLETA EN NELLY</v>
      </c>
      <c r="AA443" s="14" t="str">
        <f>IF('[1]P-GENERAL'!AA443="","",'[1]P-GENERAL'!AA443)</f>
        <v>DESPACHADO</v>
      </c>
      <c r="AB443" s="8" t="str">
        <f>IF('[1]P-GENERAL'!AB443="","",'[1]P-GENERAL'!AB443)</f>
        <v>EDUARDO ROSALES</v>
      </c>
      <c r="AC443" s="8" t="str">
        <f>IF('[1]P-GENERAL'!AC443="","",'[1]P-GENERAL'!AC443)</f>
        <v>EDUARDO ROSALES</v>
      </c>
      <c r="AD443">
        <f>IF('[1]P-GENERAL'!AD443="","",'[1]P-GENERAL'!AD443)</f>
        <v>64298</v>
      </c>
      <c r="AE443" t="str">
        <f>IF('[1]P-GENERAL'!AE443="","",'[1]P-GENERAL'!AE443)</f>
        <v>N/A</v>
      </c>
    </row>
    <row r="444" spans="1:31" ht="20.25" x14ac:dyDescent="0.3">
      <c r="A444" s="11" t="str">
        <f>IF('[1]P-GENERAL'!A444="","",'[1]P-GENERAL'!A444)</f>
        <v>Chanitos Premium Tarima Americana</v>
      </c>
      <c r="B444" s="11" t="str">
        <f>IF('[1]P-GENERAL'!B444="","",'[1]P-GENERAL'!B444)</f>
        <v>CPR01103</v>
      </c>
      <c r="C444" t="e">
        <f>IF('[1]P-GENERAL'!C444="","",'[1]P-GENERAL'!C444)</f>
        <v>#N/A</v>
      </c>
      <c r="D444" t="str">
        <f>IF('[1]P-GENERAL'!D444="","",'[1]P-GENERAL'!D444)</f>
        <v>A11 Sector Mazatan</v>
      </c>
      <c r="E444" s="8" t="str">
        <f>IF('[1]P-GENERAL'!E444="","",'[1]P-GENERAL'!E444)</f>
        <v>S-MTY</v>
      </c>
      <c r="F444" s="12">
        <f>IF('[1]P-GENERAL'!F444="","",'[1]P-GENERAL'!F444)</f>
        <v>960</v>
      </c>
      <c r="G444" s="13">
        <f>IF('[1]P-GENERAL'!G444="","",'[1]P-GENERAL'!G444)</f>
        <v>20</v>
      </c>
      <c r="H444" s="14">
        <f>IF('[1]P-GENERAL'!H444="","",'[1]P-GENERAL'!H444)</f>
        <v>46300</v>
      </c>
      <c r="I444">
        <f>IF('[1]P-GENERAL'!I444="","",'[1]P-GENERAL'!I444)</f>
        <v>41</v>
      </c>
      <c r="J444" s="15">
        <f>IF('[1]P-GENERAL'!J444="","",'[1]P-GENERAL'!J444)</f>
        <v>46305</v>
      </c>
      <c r="K444" s="14" t="str">
        <f>IF('[1]P-GENERAL'!K444="","",'[1]P-GENERAL'!K444)</f>
        <v/>
      </c>
      <c r="L444" s="14" t="str">
        <f>IF('[1]P-GENERAL'!L444="","",'[1]P-GENERAL'!L444)</f>
        <v>PREENFRIO NELLY</v>
      </c>
      <c r="M444">
        <f>IF('[1]P-GENERAL'!M444="","",'[1]P-GENERAL'!M444)</f>
        <v>3</v>
      </c>
      <c r="N444">
        <f>IF('[1]P-GENERAL'!N444="","",'[1]P-GENERAL'!N444)</f>
        <v>72</v>
      </c>
      <c r="O444" s="14">
        <f>IF('[1]P-GENERAL'!O444="","",'[1]P-GENERAL'!O444)</f>
        <v>46301</v>
      </c>
      <c r="P444" s="16">
        <f>IF('[1]P-GENERAL'!P444="","",'[1]P-GENERAL'!P444)</f>
        <v>0.8569444444444444</v>
      </c>
      <c r="Q444" t="str">
        <f>IF('[1]P-GENERAL'!Q444="","",'[1]P-GENERAL'!Q444)</f>
        <v>NORMAL</v>
      </c>
      <c r="R444" s="14">
        <f>IF('[1]P-GENERAL'!R444="","",'[1]P-GENERAL'!R444)</f>
        <v>46301</v>
      </c>
      <c r="S444" s="16">
        <f>IF('[1]P-GENERAL'!S444="","",'[1]P-GENERAL'!S444)</f>
        <v>0.75</v>
      </c>
      <c r="T444" s="16">
        <f>IF('[1]P-GENERAL'!T444="","",'[1]P-GENERAL'!T444)</f>
        <v>0.4375</v>
      </c>
      <c r="U444" s="17">
        <f>IF('[1]P-GENERAL'!U444="","",'[1]P-GENERAL'!U444)</f>
        <v>46302.1875</v>
      </c>
      <c r="V444" s="14">
        <f>IF('[1]P-GENERAL'!V444="","",'[1]P-GENERAL'!V444)</f>
        <v>46302</v>
      </c>
      <c r="W444" s="16">
        <f>IF('[1]P-GENERAL'!W444="","",'[1]P-GENERAL'!W444)</f>
        <v>0.33333333333333331</v>
      </c>
      <c r="X444" s="14" t="str">
        <f>IF('[1]P-GENERAL'!X444="","",'[1]P-GENERAL'!X444)</f>
        <v>NO CUMPLE</v>
      </c>
      <c r="Y444" s="14" t="str">
        <f>IF('[1]P-GENERAL'!Y444="","",'[1]P-GENERAL'!Y444)</f>
        <v>NO CUMPLE</v>
      </c>
      <c r="Z444" s="14" t="str">
        <f>IF('[1]P-GENERAL'!Z444="","",'[1]P-GENERAL'!Z444)</f>
        <v>EMPAQUE TARDIO</v>
      </c>
      <c r="AA444" s="14" t="str">
        <f>IF('[1]P-GENERAL'!AA444="","",'[1]P-GENERAL'!AA444)</f>
        <v>DESPACHADO</v>
      </c>
      <c r="AB444" s="8" t="str">
        <f>IF('[1]P-GENERAL'!AB444="","",'[1]P-GENERAL'!AB444)</f>
        <v>AUTO EXPRESS SEGOVIA</v>
      </c>
      <c r="AC444" s="8" t="str">
        <f>IF('[1]P-GENERAL'!AC444="","",'[1]P-GENERAL'!AC444)</f>
        <v/>
      </c>
      <c r="AD444" t="str">
        <f>IF('[1]P-GENERAL'!AD444="","",'[1]P-GENERAL'!AD444)</f>
        <v/>
      </c>
      <c r="AE444" t="str">
        <f>IF('[1]P-GENERAL'!AE444="","",'[1]P-GENERAL'!AE444)</f>
        <v/>
      </c>
    </row>
    <row r="445" spans="1:31" ht="20.25" x14ac:dyDescent="0.3">
      <c r="A445" s="11" t="str">
        <f>IF('[1]P-GENERAL'!A445="","",'[1]P-GENERAL'!A445)</f>
        <v>Chanitos Premium Tarima Chep</v>
      </c>
      <c r="B445" s="11" t="str">
        <f>IF('[1]P-GENERAL'!B445="","",'[1]P-GENERAL'!B445)</f>
        <v>CPR01102</v>
      </c>
      <c r="C445" t="str">
        <f>IF('[1]P-GENERAL'!C445="","",'[1]P-GENERAL'!C445)</f>
        <v>A01004-410610-1</v>
      </c>
      <c r="D445" t="str">
        <f>IF('[1]P-GENERAL'!D445="","",'[1]P-GENERAL'!D445)</f>
        <v>A01 004 La Ceiba</v>
      </c>
      <c r="E445" s="8" t="str">
        <f>IF('[1]P-GENERAL'!E445="","",'[1]P-GENERAL'!E445)</f>
        <v>Chalco</v>
      </c>
      <c r="F445" s="12">
        <f>IF('[1]P-GENERAL'!F445="","",'[1]P-GENERAL'!F445)</f>
        <v>240</v>
      </c>
      <c r="G445" s="13">
        <f>IF('[1]P-GENERAL'!G445="","",'[1]P-GENERAL'!G445)</f>
        <v>5</v>
      </c>
      <c r="H445" s="14">
        <f>IF('[1]P-GENERAL'!H445="","",'[1]P-GENERAL'!H445)</f>
        <v>46301</v>
      </c>
      <c r="I445">
        <f>IF('[1]P-GENERAL'!I445="","",'[1]P-GENERAL'!I445)</f>
        <v>41</v>
      </c>
      <c r="J445" s="15">
        <f>IF('[1]P-GENERAL'!J445="","",'[1]P-GENERAL'!J445)</f>
        <v>46305</v>
      </c>
      <c r="K445" s="14" t="str">
        <f>IF('[1]P-GENERAL'!K445="","",'[1]P-GENERAL'!K445)</f>
        <v/>
      </c>
      <c r="L445" s="14" t="str">
        <f>IF('[1]P-GENERAL'!L445="","",'[1]P-GENERAL'!L445)</f>
        <v>PREENFRIO NELLY</v>
      </c>
      <c r="M445">
        <f>IF('[1]P-GENERAL'!M445="","",'[1]P-GENERAL'!M445)</f>
        <v>1</v>
      </c>
      <c r="N445">
        <f>IF('[1]P-GENERAL'!N445="","",'[1]P-GENERAL'!N445)</f>
        <v>24</v>
      </c>
      <c r="O445" s="14">
        <f>IF('[1]P-GENERAL'!O445="","",'[1]P-GENERAL'!O445)</f>
        <v>46302</v>
      </c>
      <c r="P445" s="16">
        <f>IF('[1]P-GENERAL'!P445="","",'[1]P-GENERAL'!P445)</f>
        <v>0.625</v>
      </c>
      <c r="Q445" t="str">
        <f>IF('[1]P-GENERAL'!Q445="","",'[1]P-GENERAL'!Q445)</f>
        <v>ALTA</v>
      </c>
      <c r="R445" s="14">
        <f>IF('[1]P-GENERAL'!R445="","",'[1]P-GENERAL'!R445)</f>
        <v>46302</v>
      </c>
      <c r="S445" s="16">
        <f>IF('[1]P-GENERAL'!S445="","",'[1]P-GENERAL'!S445)</f>
        <v>0.68958333333333333</v>
      </c>
      <c r="T445" s="16">
        <f>IF('[1]P-GENERAL'!T445="","",'[1]P-GENERAL'!T445)</f>
        <v>0.20833333333333334</v>
      </c>
      <c r="U445" s="17">
        <f>IF('[1]P-GENERAL'!U445="","",'[1]P-GENERAL'!U445)</f>
        <v>46302.897916666669</v>
      </c>
      <c r="V445" s="14">
        <f>IF('[1]P-GENERAL'!V445="","",'[1]P-GENERAL'!V445)</f>
        <v>46303</v>
      </c>
      <c r="W445" s="16">
        <f>IF('[1]P-GENERAL'!W445="","",'[1]P-GENERAL'!W445)</f>
        <v>0.36805555555555558</v>
      </c>
      <c r="X445" s="14" t="str">
        <f>IF('[1]P-GENERAL'!X445="","",'[1]P-GENERAL'!X445)</f>
        <v>SI CUMPLE</v>
      </c>
      <c r="Y445" s="14" t="str">
        <f>IF('[1]P-GENERAL'!Y445="","",'[1]P-GENERAL'!Y445)</f>
        <v>SI CUMPLE</v>
      </c>
      <c r="Z445" s="14" t="str">
        <f>IF('[1]P-GENERAL'!Z445="","",'[1]P-GENERAL'!Z445)</f>
        <v/>
      </c>
      <c r="AA445" s="14" t="str">
        <f>IF('[1]P-GENERAL'!AA445="","",'[1]P-GENERAL'!AA445)</f>
        <v>DESPACHADO</v>
      </c>
      <c r="AB445" s="8" t="str">
        <f>IF('[1]P-GENERAL'!AB445="","",'[1]P-GENERAL'!AB445)</f>
        <v>Refrigerados Perez</v>
      </c>
      <c r="AC445" s="8" t="str">
        <f>IF('[1]P-GENERAL'!AC445="","",'[1]P-GENERAL'!AC445)</f>
        <v>EDUARDO ROSALES</v>
      </c>
      <c r="AD445" t="str">
        <f>IF('[1]P-GENERAL'!AD445="","",'[1]P-GENERAL'!AD445)</f>
        <v/>
      </c>
      <c r="AE445" t="str">
        <f>IF('[1]P-GENERAL'!AE445="","",'[1]P-GENERAL'!AE445)</f>
        <v/>
      </c>
    </row>
    <row r="446" spans="1:31" ht="20.25" x14ac:dyDescent="0.3">
      <c r="A446" s="11" t="str">
        <f>IF('[1]P-GENERAL'!A446="","",'[1]P-GENERAL'!A446)</f>
        <v>Chanitos Premium Tarima Americana</v>
      </c>
      <c r="B446" s="11" t="str">
        <f>IF('[1]P-GENERAL'!B446="","",'[1]P-GENERAL'!B446)</f>
        <v>CPR01103</v>
      </c>
      <c r="C446" t="str">
        <f>IF('[1]P-GENERAL'!C446="","",'[1]P-GENERAL'!C446)</f>
        <v>A01003-410710-1</v>
      </c>
      <c r="D446" t="str">
        <f>IF('[1]P-GENERAL'!D446="","",'[1]P-GENERAL'!D446)</f>
        <v>A01 003 Doña Nelly</v>
      </c>
      <c r="E446" s="8" t="str">
        <f>IF('[1]P-GENERAL'!E446="","",'[1]P-GENERAL'!E446)</f>
        <v>Ciudad Juarez</v>
      </c>
      <c r="F446" s="12">
        <f>IF('[1]P-GENERAL'!F446="","",'[1]P-GENERAL'!F446)</f>
        <v>816</v>
      </c>
      <c r="G446" s="13">
        <f>IF('[1]P-GENERAL'!G446="","",'[1]P-GENERAL'!G446)</f>
        <v>17</v>
      </c>
      <c r="H446" s="14">
        <f>IF('[1]P-GENERAL'!H446="","",'[1]P-GENERAL'!H446)</f>
        <v>46302</v>
      </c>
      <c r="I446">
        <f>IF('[1]P-GENERAL'!I446="","",'[1]P-GENERAL'!I446)</f>
        <v>41</v>
      </c>
      <c r="J446" s="15">
        <f>IF('[1]P-GENERAL'!J446="","",'[1]P-GENERAL'!J446)</f>
        <v>46308</v>
      </c>
      <c r="K446" s="14" t="str">
        <f>IF('[1]P-GENERAL'!K446="","",'[1]P-GENERAL'!K446)</f>
        <v/>
      </c>
      <c r="L446" s="14" t="str">
        <f>IF('[1]P-GENERAL'!L446="","",'[1]P-GENERAL'!L446)</f>
        <v>PREENFRIO NELLY</v>
      </c>
      <c r="M446">
        <f>IF('[1]P-GENERAL'!M446="","",'[1]P-GENERAL'!M446)</f>
        <v>4</v>
      </c>
      <c r="N446">
        <f>IF('[1]P-GENERAL'!N446="","",'[1]P-GENERAL'!N446)</f>
        <v>96</v>
      </c>
      <c r="O446" s="14">
        <f>IF('[1]P-GENERAL'!O446="","",'[1]P-GENERAL'!O446)</f>
        <v>46302</v>
      </c>
      <c r="P446" s="16">
        <f>IF('[1]P-GENERAL'!P446="","",'[1]P-GENERAL'!P446)</f>
        <v>0.75</v>
      </c>
      <c r="Q446" t="str">
        <f>IF('[1]P-GENERAL'!Q446="","",'[1]P-GENERAL'!Q446)</f>
        <v>ALTA</v>
      </c>
      <c r="R446" s="14">
        <f>IF('[1]P-GENERAL'!R446="","",'[1]P-GENERAL'!R446)</f>
        <v>46302</v>
      </c>
      <c r="S446" s="16">
        <f>IF('[1]P-GENERAL'!S446="","",'[1]P-GENERAL'!S446)</f>
        <v>0.5</v>
      </c>
      <c r="T446" s="16">
        <f>IF('[1]P-GENERAL'!T446="","",'[1]P-GENERAL'!T446)</f>
        <v>0.4375</v>
      </c>
      <c r="U446" s="17">
        <f>IF('[1]P-GENERAL'!U446="","",'[1]P-GENERAL'!U446)</f>
        <v>46302.9375</v>
      </c>
      <c r="V446" s="14">
        <f>IF('[1]P-GENERAL'!V446="","",'[1]P-GENERAL'!V446)</f>
        <v>46303</v>
      </c>
      <c r="W446" s="16">
        <f>IF('[1]P-GENERAL'!W446="","",'[1]P-GENERAL'!W446)</f>
        <v>0.65972222222222221</v>
      </c>
      <c r="X446" s="14" t="str">
        <f>IF('[1]P-GENERAL'!X446="","",'[1]P-GENERAL'!X446)</f>
        <v>SI CUMPLE</v>
      </c>
      <c r="Y446" s="14" t="str">
        <f>IF('[1]P-GENERAL'!Y446="","",'[1]P-GENERAL'!Y446)</f>
        <v>SI CUMPLE</v>
      </c>
      <c r="Z446" s="14" t="str">
        <f>IF('[1]P-GENERAL'!Z446="","",'[1]P-GENERAL'!Z446)</f>
        <v/>
      </c>
      <c r="AA446" s="14" t="str">
        <f>IF('[1]P-GENERAL'!AA446="","",'[1]P-GENERAL'!AA446)</f>
        <v>DESPACHADO</v>
      </c>
      <c r="AB446" s="8" t="str">
        <f>IF('[1]P-GENERAL'!AB446="","",'[1]P-GENERAL'!AB446)</f>
        <v>TRANSPORTES ALGEZA</v>
      </c>
      <c r="AC446" s="8" t="str">
        <f>IF('[1]P-GENERAL'!AC446="","",'[1]P-GENERAL'!AC446)</f>
        <v/>
      </c>
      <c r="AD446" t="str">
        <f>IF('[1]P-GENERAL'!AD446="","",'[1]P-GENERAL'!AD446)</f>
        <v/>
      </c>
      <c r="AE446" t="str">
        <f>IF('[1]P-GENERAL'!AE446="","",'[1]P-GENERAL'!AE446)</f>
        <v/>
      </c>
    </row>
    <row r="447" spans="1:31" ht="20.25" x14ac:dyDescent="0.3">
      <c r="A447" s="11" t="str">
        <f>IF('[1]P-GENERAL'!A447="","",'[1]P-GENERAL'!A447)</f>
        <v>Chanitos Premium EUA Tarima Americana</v>
      </c>
      <c r="B447" s="11" t="str">
        <f>IF('[1]P-GENERAL'!B447="","",'[1]P-GENERAL'!B447)</f>
        <v>CPR01104</v>
      </c>
      <c r="C447" t="str">
        <f>IF('[1]P-GENERAL'!C447="","",'[1]P-GENERAL'!C447)</f>
        <v>A04084-410610-1</v>
      </c>
      <c r="D447" t="str">
        <f>IF('[1]P-GENERAL'!D447="","",'[1]P-GENERAL'!D447)</f>
        <v>A04 084 Lisboa</v>
      </c>
      <c r="E447" s="8" t="str">
        <f>IF('[1]P-GENERAL'!E447="","",'[1]P-GENERAL'!E447)</f>
        <v>McAllen</v>
      </c>
      <c r="F447" s="12">
        <f>IF('[1]P-GENERAL'!F447="","",'[1]P-GENERAL'!F447)</f>
        <v>2</v>
      </c>
      <c r="G447" s="13">
        <f>IF('[1]P-GENERAL'!G447="","",'[1]P-GENERAL'!G447)</f>
        <v>9</v>
      </c>
      <c r="H447" s="14">
        <f>IF('[1]P-GENERAL'!H447="","",'[1]P-GENERAL'!H447)</f>
        <v>46301</v>
      </c>
      <c r="I447">
        <f>IF('[1]P-GENERAL'!I447="","",'[1]P-GENERAL'!I447)</f>
        <v>41</v>
      </c>
      <c r="J447" s="15">
        <f>IF('[1]P-GENERAL'!J447="","",'[1]P-GENERAL'!J447)</f>
        <v>46305</v>
      </c>
      <c r="K447" s="14" t="str">
        <f>IF('[1]P-GENERAL'!K447="","",'[1]P-GENERAL'!K447)</f>
        <v/>
      </c>
      <c r="L447" s="14" t="str">
        <f>IF('[1]P-GENERAL'!L447="","",'[1]P-GENERAL'!L447)</f>
        <v>PREENFRIO NELLY</v>
      </c>
      <c r="M447">
        <f>IF('[1]P-GENERAL'!M447="","",'[1]P-GENERAL'!M447)</f>
        <v>3</v>
      </c>
      <c r="N447">
        <f>IF('[1]P-GENERAL'!N447="","",'[1]P-GENERAL'!N447)</f>
        <v>72</v>
      </c>
      <c r="O447" s="14">
        <f>IF('[1]P-GENERAL'!O447="","",'[1]P-GENERAL'!O447)</f>
        <v>46302</v>
      </c>
      <c r="P447" s="16">
        <f>IF('[1]P-GENERAL'!P447="","",'[1]P-GENERAL'!P447)</f>
        <v>0.91666666666666663</v>
      </c>
      <c r="Q447" t="str">
        <f>IF('[1]P-GENERAL'!Q447="","",'[1]P-GENERAL'!Q447)</f>
        <v>NORMAL</v>
      </c>
      <c r="R447" s="14" t="str">
        <f>IF('[1]P-GENERAL'!R447="","",'[1]P-GENERAL'!R447)</f>
        <v>SIN PRENFRIO</v>
      </c>
      <c r="S447" s="16" t="str">
        <f>IF('[1]P-GENERAL'!S447="","",'[1]P-GENERAL'!S447)</f>
        <v>SIN PRENFRIO</v>
      </c>
      <c r="T447" s="16" t="str">
        <f>IF('[1]P-GENERAL'!T447="","",'[1]P-GENERAL'!T447)</f>
        <v>SIN PRENFRIO</v>
      </c>
      <c r="U447" s="17" t="str">
        <f>IF('[1]P-GENERAL'!U447="","",'[1]P-GENERAL'!U447)</f>
        <v/>
      </c>
      <c r="V447" s="14">
        <f>IF('[1]P-GENERAL'!V447="","",'[1]P-GENERAL'!V447)</f>
        <v>46303</v>
      </c>
      <c r="W447" s="16">
        <f>IF('[1]P-GENERAL'!W447="","",'[1]P-GENERAL'!W447)</f>
        <v>0.43055555555555558</v>
      </c>
      <c r="X447" s="14" t="str">
        <f>IF('[1]P-GENERAL'!X447="","",'[1]P-GENERAL'!X447)</f>
        <v/>
      </c>
      <c r="Y447" s="14" t="str">
        <f>IF('[1]P-GENERAL'!Y447="","",'[1]P-GENERAL'!Y447)</f>
        <v>NO CUMPLE</v>
      </c>
      <c r="Z447" s="14" t="str">
        <f>IF('[1]P-GENERAL'!Z447="","",'[1]P-GENERAL'!Z447)</f>
        <v/>
      </c>
      <c r="AA447" s="14" t="str">
        <f>IF('[1]P-GENERAL'!AA447="","",'[1]P-GENERAL'!AA447)</f>
        <v>DESPACHADO</v>
      </c>
      <c r="AB447" s="8" t="str">
        <f>IF('[1]P-GENERAL'!AB447="","",'[1]P-GENERAL'!AB447)</f>
        <v>TRANSPORTES ALGEZA</v>
      </c>
      <c r="AC447" s="8" t="str">
        <f>IF('[1]P-GENERAL'!AC447="","",'[1]P-GENERAL'!AC447)</f>
        <v/>
      </c>
      <c r="AD447" t="str">
        <f>IF('[1]P-GENERAL'!AD447="","",'[1]P-GENERAL'!AD447)</f>
        <v/>
      </c>
      <c r="AE447" t="str">
        <f>IF('[1]P-GENERAL'!AE447="","",'[1]P-GENERAL'!AE447)</f>
        <v/>
      </c>
    </row>
    <row r="448" spans="1:31" ht="20.25" x14ac:dyDescent="0.3">
      <c r="A448" s="11" t="str">
        <f>IF('[1]P-GENERAL'!A448="","",'[1]P-GENERAL'!A448)</f>
        <v>Chanitos Plantain 20Kg Tarima Americana</v>
      </c>
      <c r="B448" s="11" t="str">
        <f>IF('[1]P-GENERAL'!B448="","",'[1]P-GENERAL'!B448)</f>
        <v>CPL08134</v>
      </c>
      <c r="C448" t="str">
        <f>IF('[1]P-GENERAL'!C448="","",'[1]P-GENERAL'!C448)</f>
        <v>A35082-410710-1</v>
      </c>
      <c r="D448" t="str">
        <f>IF('[1]P-GENERAL'!D448="","",'[1]P-GENERAL'!D448)</f>
        <v>A35 082 Empaque de Macho Ej Libertad</v>
      </c>
      <c r="E448" s="8" t="str">
        <f>IF('[1]P-GENERAL'!E448="","",'[1]P-GENERAL'!E448)</f>
        <v>Ciudad Juarez</v>
      </c>
      <c r="F448" s="12">
        <f>IF('[1]P-GENERAL'!F448="","",'[1]P-GENERAL'!F448)</f>
        <v>144</v>
      </c>
      <c r="G448" s="13">
        <f>IF('[1]P-GENERAL'!G448="","",'[1]P-GENERAL'!G448)</f>
        <v>3</v>
      </c>
      <c r="H448" s="14">
        <f>IF('[1]P-GENERAL'!H448="","",'[1]P-GENERAL'!H448)</f>
        <v>46302</v>
      </c>
      <c r="I448">
        <f>IF('[1]P-GENERAL'!I448="","",'[1]P-GENERAL'!I448)</f>
        <v>41</v>
      </c>
      <c r="J448" s="15">
        <f>IF('[1]P-GENERAL'!J448="","",'[1]P-GENERAL'!J448)</f>
        <v>46308</v>
      </c>
      <c r="K448" s="14" t="str">
        <f>IF('[1]P-GENERAL'!K448="","",'[1]P-GENERAL'!K448)</f>
        <v/>
      </c>
      <c r="L448" s="14" t="str">
        <f>IF('[1]P-GENERAL'!L448="","",'[1]P-GENERAL'!L448)</f>
        <v>PREENFRIO NELLY</v>
      </c>
      <c r="M448">
        <f>IF('[1]P-GENERAL'!M448="","",'[1]P-GENERAL'!M448)</f>
        <v>4</v>
      </c>
      <c r="N448">
        <f>IF('[1]P-GENERAL'!N448="","",'[1]P-GENERAL'!N448)</f>
        <v>96</v>
      </c>
      <c r="O448" s="14">
        <f>IF('[1]P-GENERAL'!O448="","",'[1]P-GENERAL'!O448)</f>
        <v>46303</v>
      </c>
      <c r="P448" s="16">
        <f>IF('[1]P-GENERAL'!P448="","",'[1]P-GENERAL'!P448)</f>
        <v>0.3263888888888889</v>
      </c>
      <c r="Q448" t="str">
        <f>IF('[1]P-GENERAL'!Q448="","",'[1]P-GENERAL'!Q448)</f>
        <v>ALTA</v>
      </c>
      <c r="R448" s="14">
        <f>IF('[1]P-GENERAL'!R448="","",'[1]P-GENERAL'!R448)</f>
        <v>46302</v>
      </c>
      <c r="S448" s="16">
        <f>IF('[1]P-GENERAL'!S448="","",'[1]P-GENERAL'!S448)</f>
        <v>0.47916666666666669</v>
      </c>
      <c r="T448" s="16">
        <f>IF('[1]P-GENERAL'!T448="","",'[1]P-GENERAL'!T448)</f>
        <v>0.16666666666666666</v>
      </c>
      <c r="U448" s="17">
        <f>IF('[1]P-GENERAL'!U448="","",'[1]P-GENERAL'!U448)</f>
        <v>46302.645833333328</v>
      </c>
      <c r="V448" s="14">
        <f>IF('[1]P-GENERAL'!V448="","",'[1]P-GENERAL'!V448)</f>
        <v>46303</v>
      </c>
      <c r="W448" s="16">
        <f>IF('[1]P-GENERAL'!W448="","",'[1]P-GENERAL'!W448)</f>
        <v>0.65972222222222221</v>
      </c>
      <c r="X448" s="14" t="str">
        <f>IF('[1]P-GENERAL'!X448="","",'[1]P-GENERAL'!X448)</f>
        <v>SI CUMPLE</v>
      </c>
      <c r="Y448" s="14" t="str">
        <f>IF('[1]P-GENERAL'!Y448="","",'[1]P-GENERAL'!Y448)</f>
        <v>SI CUMPLE</v>
      </c>
      <c r="Z448" s="14" t="str">
        <f>IF('[1]P-GENERAL'!Z448="","",'[1]P-GENERAL'!Z448)</f>
        <v>LLEGO TARDE A PRENFRIO</v>
      </c>
      <c r="AA448" s="14" t="str">
        <f>IF('[1]P-GENERAL'!AA448="","",'[1]P-GENERAL'!AA448)</f>
        <v>DESPACHADO</v>
      </c>
      <c r="AB448" s="8" t="str">
        <f>IF('[1]P-GENERAL'!AB448="","",'[1]P-GENERAL'!AB448)</f>
        <v>TRANSPORTES ALGEZA</v>
      </c>
      <c r="AC448" s="8" t="str">
        <f>IF('[1]P-GENERAL'!AC448="","",'[1]P-GENERAL'!AC448)</f>
        <v/>
      </c>
      <c r="AD448" t="str">
        <f>IF('[1]P-GENERAL'!AD448="","",'[1]P-GENERAL'!AD448)</f>
        <v/>
      </c>
      <c r="AE448" t="str">
        <f>IF('[1]P-GENERAL'!AE448="","",'[1]P-GENERAL'!AE448)</f>
        <v/>
      </c>
    </row>
    <row r="449" spans="1:31" ht="20.25" x14ac:dyDescent="0.3">
      <c r="A449" s="11" t="str">
        <f>IF('[1]P-GENERAL'!A449="","",'[1]P-GENERAL'!A449)</f>
        <v>Chanitos Premium Tarima Americana</v>
      </c>
      <c r="B449" s="11" t="str">
        <f>IF('[1]P-GENERAL'!B449="","",'[1]P-GENERAL'!B449)</f>
        <v>CPR01103</v>
      </c>
      <c r="C449" t="str">
        <f>IF('[1]P-GENERAL'!C449="","",'[1]P-GENERAL'!C449)</f>
        <v>A12057-410710-1</v>
      </c>
      <c r="D449" t="str">
        <f>IF('[1]P-GENERAL'!D449="","",'[1]P-GENERAL'!D449)</f>
        <v>A12 057 Tiquisate 1</v>
      </c>
      <c r="E449" s="8" t="str">
        <f>IF('[1]P-GENERAL'!E449="","",'[1]P-GENERAL'!E449)</f>
        <v>Ciudad Juarez</v>
      </c>
      <c r="F449" s="12">
        <f>IF('[1]P-GENERAL'!F449="","",'[1]P-GENERAL'!F449)</f>
        <v>960</v>
      </c>
      <c r="G449" s="13">
        <f>IF('[1]P-GENERAL'!G449="","",'[1]P-GENERAL'!G449)</f>
        <v>20</v>
      </c>
      <c r="H449" s="14">
        <f>IF('[1]P-GENERAL'!H449="","",'[1]P-GENERAL'!H449)</f>
        <v>46302</v>
      </c>
      <c r="I449">
        <f>IF('[1]P-GENERAL'!I449="","",'[1]P-GENERAL'!I449)</f>
        <v>41</v>
      </c>
      <c r="J449" s="15">
        <f>IF('[1]P-GENERAL'!J449="","",'[1]P-GENERAL'!J449)</f>
        <v>46308</v>
      </c>
      <c r="K449" s="14" t="str">
        <f>IF('[1]P-GENERAL'!K449="","",'[1]P-GENERAL'!K449)</f>
        <v/>
      </c>
      <c r="L449" s="14" t="str">
        <f>IF('[1]P-GENERAL'!L449="","",'[1]P-GENERAL'!L449)</f>
        <v>PREENFRIO NELLY</v>
      </c>
      <c r="M449">
        <f>IF('[1]P-GENERAL'!M449="","",'[1]P-GENERAL'!M449)</f>
        <v>4</v>
      </c>
      <c r="N449">
        <f>IF('[1]P-GENERAL'!N449="","",'[1]P-GENERAL'!N449)</f>
        <v>96</v>
      </c>
      <c r="O449" s="14">
        <f>IF('[1]P-GENERAL'!O449="","",'[1]P-GENERAL'!O449)</f>
        <v>46303</v>
      </c>
      <c r="P449" s="16">
        <f>IF('[1]P-GENERAL'!P449="","",'[1]P-GENERAL'!P449)</f>
        <v>6.25E-2</v>
      </c>
      <c r="Q449" t="str">
        <f>IF('[1]P-GENERAL'!Q449="","",'[1]P-GENERAL'!Q449)</f>
        <v>ALTA</v>
      </c>
      <c r="R449" s="14">
        <f>IF('[1]P-GENERAL'!R449="","",'[1]P-GENERAL'!R449)</f>
        <v>46303</v>
      </c>
      <c r="S449" s="16">
        <f>IF('[1]P-GENERAL'!S449="","",'[1]P-GENERAL'!S449)</f>
        <v>0.47916666666666669</v>
      </c>
      <c r="T449" s="16">
        <f>IF('[1]P-GENERAL'!T449="","",'[1]P-GENERAL'!T449)</f>
        <v>0.375</v>
      </c>
      <c r="U449" s="17">
        <f>IF('[1]P-GENERAL'!U449="","",'[1]P-GENERAL'!U449)</f>
        <v>46303.854166666664</v>
      </c>
      <c r="V449" s="14">
        <f>IF('[1]P-GENERAL'!V449="","",'[1]P-GENERAL'!V449)</f>
        <v>46303</v>
      </c>
      <c r="W449" s="16">
        <f>IF('[1]P-GENERAL'!W449="","",'[1]P-GENERAL'!W449)</f>
        <v>0.65972222222222221</v>
      </c>
      <c r="X449" s="14" t="str">
        <f>IF('[1]P-GENERAL'!X449="","",'[1]P-GENERAL'!X449)</f>
        <v>SI CUMPLE</v>
      </c>
      <c r="Y449" s="14" t="str">
        <f>IF('[1]P-GENERAL'!Y449="","",'[1]P-GENERAL'!Y449)</f>
        <v>SI CUMPLE</v>
      </c>
      <c r="Z449" s="14" t="str">
        <f>IF('[1]P-GENERAL'!Z449="","",'[1]P-GENERAL'!Z449)</f>
        <v/>
      </c>
      <c r="AA449" s="14" t="str">
        <f>IF('[1]P-GENERAL'!AA449="","",'[1]P-GENERAL'!AA449)</f>
        <v>DESPACHADO</v>
      </c>
      <c r="AB449" s="8" t="str">
        <f>IF('[1]P-GENERAL'!AB449="","",'[1]P-GENERAL'!AB449)</f>
        <v>AUTO EXPRESS SEGOVIA</v>
      </c>
      <c r="AC449" s="8" t="str">
        <f>IF('[1]P-GENERAL'!AC449="","",'[1]P-GENERAL'!AC449)</f>
        <v/>
      </c>
      <c r="AD449" t="str">
        <f>IF('[1]P-GENERAL'!AD449="","",'[1]P-GENERAL'!AD449)</f>
        <v/>
      </c>
      <c r="AE449" t="str">
        <f>IF('[1]P-GENERAL'!AE449="","",'[1]P-GENERAL'!AE449)</f>
        <v/>
      </c>
    </row>
    <row r="450" spans="1:31" ht="20.25" x14ac:dyDescent="0.3">
      <c r="A450" s="11" t="str">
        <f>IF('[1]P-GENERAL'!A450="","",'[1]P-GENERAL'!A450)</f>
        <v>Chanitos Premium EUA Tarima Americana</v>
      </c>
      <c r="B450" s="11" t="str">
        <f>IF('[1]P-GENERAL'!B450="","",'[1]P-GENERAL'!B450)</f>
        <v>CPR01104</v>
      </c>
      <c r="C450" t="str">
        <f>IF('[1]P-GENERAL'!C450="","",'[1]P-GENERAL'!C450)</f>
        <v>A06043-352808-1</v>
      </c>
      <c r="D450" t="str">
        <f>IF('[1]P-GENERAL'!D450="","",'[1]P-GENERAL'!D450)</f>
        <v>A06 043 Nuestra señora</v>
      </c>
      <c r="E450" s="8" t="str">
        <f>IF('[1]P-GENERAL'!E450="","",'[1]P-GENERAL'!E450)</f>
        <v>McAllen</v>
      </c>
      <c r="F450" s="12">
        <f>IF('[1]P-GENERAL'!F450="","",'[1]P-GENERAL'!F450)</f>
        <v>384</v>
      </c>
      <c r="G450" s="13">
        <f>IF('[1]P-GENERAL'!G450="","",'[1]P-GENERAL'!G450)</f>
        <v>8</v>
      </c>
      <c r="H450" s="14">
        <f>IF('[1]P-GENERAL'!H450="","",'[1]P-GENERAL'!H450)</f>
        <v>46262</v>
      </c>
      <c r="I450">
        <f>IF('[1]P-GENERAL'!I450="","",'[1]P-GENERAL'!I450)</f>
        <v>35</v>
      </c>
      <c r="J450" s="15" t="str">
        <f>IF('[1]P-GENERAL'!J450="","",'[1]P-GENERAL'!J450)</f>
        <v>mar. 01/09/26</v>
      </c>
      <c r="K450" s="14" t="str">
        <f>IF('[1]P-GENERAL'!K450="","",'[1]P-GENERAL'!K450)</f>
        <v/>
      </c>
      <c r="L450" s="14" t="str">
        <f>IF('[1]P-GENERAL'!L450="","",'[1]P-GENERAL'!L450)</f>
        <v>DIRECTO SIN PREENFRIO</v>
      </c>
      <c r="M450">
        <f>IF('[1]P-GENERAL'!M450="","",'[1]P-GENERAL'!M450)</f>
        <v>3</v>
      </c>
      <c r="N450">
        <f>IF('[1]P-GENERAL'!N450="","",'[1]P-GENERAL'!N450)</f>
        <v>72</v>
      </c>
      <c r="O450" s="14" t="str">
        <f>IF('[1]P-GENERAL'!O450="","",'[1]P-GENERAL'!O450)</f>
        <v/>
      </c>
      <c r="P450" s="16" t="str">
        <f>IF('[1]P-GENERAL'!P450="","",'[1]P-GENERAL'!P450)</f>
        <v/>
      </c>
      <c r="Q450" t="str">
        <f>IF('[1]P-GENERAL'!Q450="","",'[1]P-GENERAL'!Q450)</f>
        <v/>
      </c>
      <c r="R450" s="14" t="str">
        <f>IF('[1]P-GENERAL'!R450="","",'[1]P-GENERAL'!R450)</f>
        <v/>
      </c>
      <c r="S450" s="16" t="str">
        <f>IF('[1]P-GENERAL'!S450="","",'[1]P-GENERAL'!S450)</f>
        <v/>
      </c>
      <c r="T450" s="16" t="str">
        <f>IF('[1]P-GENERAL'!T450="","",'[1]P-GENERAL'!T450)</f>
        <v>N/A</v>
      </c>
      <c r="U450" s="17" t="str">
        <f>IF('[1]P-GENERAL'!U450="","",'[1]P-GENERAL'!U450)</f>
        <v/>
      </c>
      <c r="V450" s="14">
        <f>IF('[1]P-GENERAL'!V450="","",'[1]P-GENERAL'!V450)</f>
        <v>46263</v>
      </c>
      <c r="W450" s="16">
        <f>IF('[1]P-GENERAL'!W450="","",'[1]P-GENERAL'!W450)</f>
        <v>0.9375</v>
      </c>
      <c r="X450" s="14" t="str">
        <f>IF('[1]P-GENERAL'!X450="","",'[1]P-GENERAL'!X450)</f>
        <v/>
      </c>
      <c r="Y450" s="14" t="str">
        <f>IF('[1]P-GENERAL'!Y450="","",'[1]P-GENERAL'!Y450)</f>
        <v>NO CUMPLE</v>
      </c>
      <c r="Z450" s="14" t="str">
        <f>IF('[1]P-GENERAL'!Z450="","",'[1]P-GENERAL'!Z450)</f>
        <v/>
      </c>
      <c r="AA450" s="14" t="str">
        <f>IF('[1]P-GENERAL'!AA450="","",'[1]P-GENERAL'!AA450)</f>
        <v>DESPACHADO</v>
      </c>
      <c r="AB450" s="8" t="str">
        <f>IF('[1]P-GENERAL'!AB450="","",'[1]P-GENERAL'!AB450)</f>
        <v>Ignacio Martinez Gonzales</v>
      </c>
      <c r="AC450" s="8" t="str">
        <f>IF('[1]P-GENERAL'!AC450="","",'[1]P-GENERAL'!AC450)</f>
        <v/>
      </c>
      <c r="AD450">
        <f>IF('[1]P-GENERAL'!AD450="","",'[1]P-GENERAL'!AD450)</f>
        <v>35742</v>
      </c>
      <c r="AE450" t="str">
        <f>IF('[1]P-GENERAL'!AE450="","",'[1]P-GENERAL'!AE450)</f>
        <v/>
      </c>
    </row>
    <row r="451" spans="1:31" ht="20.25" x14ac:dyDescent="0.3">
      <c r="A451" s="11" t="str">
        <f>IF('[1]P-GENERAL'!A451="","",'[1]P-GENERAL'!A451)</f>
        <v>Chanitos Premium EUA Tarima Americana</v>
      </c>
      <c r="B451" s="11" t="str">
        <f>IF('[1]P-GENERAL'!B451="","",'[1]P-GENERAL'!B451)</f>
        <v>CPR01104</v>
      </c>
      <c r="C451" t="str">
        <f>IF('[1]P-GENERAL'!C451="","",'[1]P-GENERAL'!C451)</f>
        <v>A04084-352808-1</v>
      </c>
      <c r="D451" t="str">
        <f>IF('[1]P-GENERAL'!D451="","",'[1]P-GENERAL'!D451)</f>
        <v>A04 084 Lisboa</v>
      </c>
      <c r="E451" s="8" t="str">
        <f>IF('[1]P-GENERAL'!E451="","",'[1]P-GENERAL'!E451)</f>
        <v>McAllen</v>
      </c>
      <c r="F451" s="12">
        <f>IF('[1]P-GENERAL'!F451="","",'[1]P-GENERAL'!F451)</f>
        <v>960</v>
      </c>
      <c r="G451" s="13">
        <f>IF('[1]P-GENERAL'!G451="","",'[1]P-GENERAL'!G451)</f>
        <v>20</v>
      </c>
      <c r="H451" s="14">
        <f>IF('[1]P-GENERAL'!H451="","",'[1]P-GENERAL'!H451)</f>
        <v>46262</v>
      </c>
      <c r="I451">
        <f>IF('[1]P-GENERAL'!I451="","",'[1]P-GENERAL'!I451)</f>
        <v>35</v>
      </c>
      <c r="J451" s="15" t="str">
        <f>IF('[1]P-GENERAL'!J451="","",'[1]P-GENERAL'!J451)</f>
        <v>mar. 01/09/26</v>
      </c>
      <c r="K451" s="14" t="str">
        <f>IF('[1]P-GENERAL'!K451="","",'[1]P-GENERAL'!K451)</f>
        <v/>
      </c>
      <c r="L451" s="14" t="str">
        <f>IF('[1]P-GENERAL'!L451="","",'[1]P-GENERAL'!L451)</f>
        <v>DIRECTO SIN PREENFRIO</v>
      </c>
      <c r="M451">
        <f>IF('[1]P-GENERAL'!M451="","",'[1]P-GENERAL'!M451)</f>
        <v>3</v>
      </c>
      <c r="N451">
        <f>IF('[1]P-GENERAL'!N451="","",'[1]P-GENERAL'!N451)</f>
        <v>72</v>
      </c>
      <c r="O451" s="14" t="str">
        <f>IF('[1]P-GENERAL'!O451="","",'[1]P-GENERAL'!O451)</f>
        <v/>
      </c>
      <c r="P451" s="16" t="str">
        <f>IF('[1]P-GENERAL'!P451="","",'[1]P-GENERAL'!P451)</f>
        <v/>
      </c>
      <c r="Q451" t="str">
        <f>IF('[1]P-GENERAL'!Q451="","",'[1]P-GENERAL'!Q451)</f>
        <v/>
      </c>
      <c r="R451" s="14" t="str">
        <f>IF('[1]P-GENERAL'!R451="","",'[1]P-GENERAL'!R451)</f>
        <v/>
      </c>
      <c r="S451" s="16" t="str">
        <f>IF('[1]P-GENERAL'!S451="","",'[1]P-GENERAL'!S451)</f>
        <v/>
      </c>
      <c r="T451" s="16" t="str">
        <f>IF('[1]P-GENERAL'!T451="","",'[1]P-GENERAL'!T451)</f>
        <v>N/A</v>
      </c>
      <c r="U451" s="17" t="str">
        <f>IF('[1]P-GENERAL'!U451="","",'[1]P-GENERAL'!U451)</f>
        <v/>
      </c>
      <c r="V451" s="14">
        <f>IF('[1]P-GENERAL'!V451="","",'[1]P-GENERAL'!V451)</f>
        <v>46263</v>
      </c>
      <c r="W451" s="16">
        <f>IF('[1]P-GENERAL'!W451="","",'[1]P-GENERAL'!W451)</f>
        <v>0.72569444444444442</v>
      </c>
      <c r="X451" s="14" t="str">
        <f>IF('[1]P-GENERAL'!X451="","",'[1]P-GENERAL'!X451)</f>
        <v/>
      </c>
      <c r="Y451" s="14" t="str">
        <f>IF('[1]P-GENERAL'!Y451="","",'[1]P-GENERAL'!Y451)</f>
        <v/>
      </c>
      <c r="Z451" s="14" t="str">
        <f>IF('[1]P-GENERAL'!Z451="","",'[1]P-GENERAL'!Z451)</f>
        <v/>
      </c>
      <c r="AA451" s="14" t="str">
        <f>IF('[1]P-GENERAL'!AA451="","",'[1]P-GENERAL'!AA451)</f>
        <v>DESPACHADO</v>
      </c>
      <c r="AB451" s="8" t="str">
        <f>IF('[1]P-GENERAL'!AB451="","",'[1]P-GENERAL'!AB451)</f>
        <v>TRANSPORTES TOMATITOS</v>
      </c>
      <c r="AC451" s="8" t="str">
        <f>IF('[1]P-GENERAL'!AC451="","",'[1]P-GENERAL'!AC451)</f>
        <v/>
      </c>
      <c r="AD451" t="str">
        <f>IF('[1]P-GENERAL'!AD451="","",'[1]P-GENERAL'!AD451)</f>
        <v/>
      </c>
      <c r="AE451" t="str">
        <f>IF('[1]P-GENERAL'!AE451="","",'[1]P-GENERAL'!AE451)</f>
        <v/>
      </c>
    </row>
    <row r="452" spans="1:31" ht="20.25" x14ac:dyDescent="0.3">
      <c r="A452" s="11" t="str">
        <f>IF('[1]P-GENERAL'!A452="","",'[1]P-GENERAL'!A452)</f>
        <v>Chanitos Premium EUA Tarima Americana</v>
      </c>
      <c r="B452" s="11" t="str">
        <f>IF('[1]P-GENERAL'!B452="","",'[1]P-GENERAL'!B452)</f>
        <v>CPR01104</v>
      </c>
      <c r="C452" t="str">
        <f>IF('[1]P-GENERAL'!C452="","",'[1]P-GENERAL'!C452)</f>
        <v>A06043-392509-1</v>
      </c>
      <c r="D452" t="str">
        <f>IF('[1]P-GENERAL'!D452="","",'[1]P-GENERAL'!D452)</f>
        <v>A06 043 Nuestra señora</v>
      </c>
      <c r="E452" s="8" t="str">
        <f>IF('[1]P-GENERAL'!E452="","",'[1]P-GENERAL'!E452)</f>
        <v>McAllen</v>
      </c>
      <c r="F452" s="12">
        <f>IF('[1]P-GENERAL'!F452="","",'[1]P-GENERAL'!F452)</f>
        <v>384</v>
      </c>
      <c r="G452" s="13">
        <f>IF('[1]P-GENERAL'!G452="","",'[1]P-GENERAL'!G452)</f>
        <v>8</v>
      </c>
      <c r="H452" s="14">
        <f>IF('[1]P-GENERAL'!H452="","",'[1]P-GENERAL'!H452)</f>
        <v>46290</v>
      </c>
      <c r="I452">
        <f>IF('[1]P-GENERAL'!I452="","",'[1]P-GENERAL'!I452)</f>
        <v>39</v>
      </c>
      <c r="J452" s="15" t="str">
        <f>IF('[1]P-GENERAL'!J452="","",'[1]P-GENERAL'!J452)</f>
        <v/>
      </c>
      <c r="K452" s="14" t="str">
        <f>IF('[1]P-GENERAL'!K452="","",'[1]P-GENERAL'!K452)</f>
        <v/>
      </c>
      <c r="L452" s="14" t="str">
        <f>IF('[1]P-GENERAL'!L452="","",'[1]P-GENERAL'!L452)</f>
        <v>PREENFRIO FORTALEZA</v>
      </c>
      <c r="M452">
        <f>IF('[1]P-GENERAL'!M452="","",'[1]P-GENERAL'!M452)</f>
        <v>3</v>
      </c>
      <c r="N452">
        <f>IF('[1]P-GENERAL'!N452="","",'[1]P-GENERAL'!N452)</f>
        <v>72</v>
      </c>
      <c r="O452" s="14">
        <f>IF('[1]P-GENERAL'!O452="","",'[1]P-GENERAL'!O452)</f>
        <v>46290</v>
      </c>
      <c r="P452" s="16">
        <f>IF('[1]P-GENERAL'!P452="","",'[1]P-GENERAL'!P452)</f>
        <v>0.75</v>
      </c>
      <c r="Q452" t="str">
        <f>IF('[1]P-GENERAL'!Q452="","",'[1]P-GENERAL'!Q452)</f>
        <v>NORMAL</v>
      </c>
      <c r="R452" s="14">
        <f>IF('[1]P-GENERAL'!R452="","",'[1]P-GENERAL'!R452)</f>
        <v>46293</v>
      </c>
      <c r="S452" s="16">
        <f>IF('[1]P-GENERAL'!S452="","",'[1]P-GENERAL'!S452)</f>
        <v>0.3888888888888889</v>
      </c>
      <c r="T452" s="16">
        <f>IF('[1]P-GENERAL'!T452="","",'[1]P-GENERAL'!T452)</f>
        <v>0.41666666666666669</v>
      </c>
      <c r="U452" s="17">
        <f>IF('[1]P-GENERAL'!U452="","",'[1]P-GENERAL'!U452)</f>
        <v>46293.805555555555</v>
      </c>
      <c r="V452" s="14">
        <f>IF('[1]P-GENERAL'!V452="","",'[1]P-GENERAL'!V452)</f>
        <v>46293</v>
      </c>
      <c r="W452" s="16">
        <f>IF('[1]P-GENERAL'!W452="","",'[1]P-GENERAL'!W452)</f>
        <v>0.94444444444444442</v>
      </c>
      <c r="X452" s="14" t="str">
        <f>IF('[1]P-GENERAL'!X452="","",'[1]P-GENERAL'!X452)</f>
        <v>NO CUMPLE</v>
      </c>
      <c r="Y452" s="14" t="str">
        <f>IF('[1]P-GENERAL'!Y452="","",'[1]P-GENERAL'!Y452)</f>
        <v>NO CUMPLE</v>
      </c>
      <c r="Z452" s="14" t="str">
        <f>IF('[1]P-GENERAL'!Z452="","",'[1]P-GENERAL'!Z452)</f>
        <v>Completa en Nelly 2 tarimas</v>
      </c>
      <c r="AA452" s="14" t="str">
        <f>IF('[1]P-GENERAL'!AA452="","",'[1]P-GENERAL'!AA452)</f>
        <v>DESPACHADO</v>
      </c>
      <c r="AB452" s="8" t="str">
        <f>IF('[1]P-GENERAL'!AB452="","",'[1]P-GENERAL'!AB452)</f>
        <v>JERESARET BARTOLO RUIZ</v>
      </c>
      <c r="AC452" s="8" t="str">
        <f>IF('[1]P-GENERAL'!AC452="","",'[1]P-GENERAL'!AC452)</f>
        <v/>
      </c>
      <c r="AD452">
        <f>IF('[1]P-GENERAL'!AD452="","",'[1]P-GENERAL'!AD452)</f>
        <v>27148</v>
      </c>
      <c r="AE452" t="str">
        <f>IF('[1]P-GENERAL'!AE452="","",'[1]P-GENERAL'!AE452)</f>
        <v>QEP1W00630</v>
      </c>
    </row>
    <row r="453" spans="1:31" ht="20.25" x14ac:dyDescent="0.3">
      <c r="A453" s="11" t="str">
        <f>IF('[1]P-GENERAL'!A453="","",'[1]P-GENERAL'!A453)</f>
        <v>Chanitos Premium Tarima Americana</v>
      </c>
      <c r="B453" s="11" t="str">
        <f>IF('[1]P-GENERAL'!B453="","",'[1]P-GENERAL'!B453)</f>
        <v>CPR01103</v>
      </c>
      <c r="C453" t="str">
        <f>IF('[1]P-GENERAL'!C453="","",'[1]P-GENERAL'!C453)</f>
        <v>A04037-410710-1</v>
      </c>
      <c r="D453" t="str">
        <f>IF('[1]P-GENERAL'!D453="","",'[1]P-GENERAL'!D453)</f>
        <v>A04 037 Josefina Nava</v>
      </c>
      <c r="E453" s="8" t="str">
        <f>IF('[1]P-GENERAL'!E453="","",'[1]P-GENERAL'!E453)</f>
        <v>S-MTY</v>
      </c>
      <c r="F453" s="12">
        <f>IF('[1]P-GENERAL'!F453="","",'[1]P-GENERAL'!F453)</f>
        <v>288</v>
      </c>
      <c r="G453" s="13">
        <f>IF('[1]P-GENERAL'!G453="","",'[1]P-GENERAL'!G453)</f>
        <v>6</v>
      </c>
      <c r="H453" s="14">
        <f>IF('[1]P-GENERAL'!H453="","",'[1]P-GENERAL'!H453)</f>
        <v>46302</v>
      </c>
      <c r="I453">
        <f>IF('[1]P-GENERAL'!I453="","",'[1]P-GENERAL'!I453)</f>
        <v>41</v>
      </c>
      <c r="J453" s="15">
        <f>IF('[1]P-GENERAL'!J453="","",'[1]P-GENERAL'!J453)</f>
        <v>46307</v>
      </c>
      <c r="K453" s="14" t="str">
        <f>IF('[1]P-GENERAL'!K453="","",'[1]P-GENERAL'!K453)</f>
        <v/>
      </c>
      <c r="L453" s="14" t="str">
        <f>IF('[1]P-GENERAL'!L453="","",'[1]P-GENERAL'!L453)</f>
        <v>PREENFRIO NELLY</v>
      </c>
      <c r="M453">
        <f>IF('[1]P-GENERAL'!M453="","",'[1]P-GENERAL'!M453)</f>
        <v>3</v>
      </c>
      <c r="N453">
        <f>IF('[1]P-GENERAL'!N453="","",'[1]P-GENERAL'!N453)</f>
        <v>72</v>
      </c>
      <c r="O453" s="14">
        <f>IF('[1]P-GENERAL'!O453="","",'[1]P-GENERAL'!O453)</f>
        <v>46303</v>
      </c>
      <c r="P453" s="16">
        <f>IF('[1]P-GENERAL'!P453="","",'[1]P-GENERAL'!P453)</f>
        <v>2.4305555555555556E-2</v>
      </c>
      <c r="Q453" t="str">
        <f>IF('[1]P-GENERAL'!Q453="","",'[1]P-GENERAL'!Q453)</f>
        <v>ALTA</v>
      </c>
      <c r="R453" s="14">
        <f>IF('[1]P-GENERAL'!R453="","",'[1]P-GENERAL'!R453)</f>
        <v>46303</v>
      </c>
      <c r="S453" s="16">
        <f>IF('[1]P-GENERAL'!S453="","",'[1]P-GENERAL'!S453)</f>
        <v>4.8611111111111112E-2</v>
      </c>
      <c r="T453" s="16">
        <f>IF('[1]P-GENERAL'!T453="","",'[1]P-GENERAL'!T453)</f>
        <v>0.4375</v>
      </c>
      <c r="U453" s="17">
        <f>IF('[1]P-GENERAL'!U453="","",'[1]P-GENERAL'!U453)</f>
        <v>46303.486111111109</v>
      </c>
      <c r="V453" s="14">
        <f>IF('[1]P-GENERAL'!V453="","",'[1]P-GENERAL'!V453)</f>
        <v>0.38194444444444442</v>
      </c>
      <c r="W453" s="16">
        <f>IF('[1]P-GENERAL'!W453="","",'[1]P-GENERAL'!W453)</f>
        <v>4.1666666666666664E-2</v>
      </c>
      <c r="X453" s="14" t="str">
        <f>IF('[1]P-GENERAL'!X453="","",'[1]P-GENERAL'!X453)</f>
        <v>SI CUMPLE</v>
      </c>
      <c r="Y453" s="14" t="str">
        <f>IF('[1]P-GENERAL'!Y453="","",'[1]P-GENERAL'!Y453)</f>
        <v>SI CUMPLE</v>
      </c>
      <c r="Z453" s="14" t="str">
        <f>IF('[1]P-GENERAL'!Z453="","",'[1]P-GENERAL'!Z453)</f>
        <v/>
      </c>
      <c r="AA453" s="14" t="str">
        <f>IF('[1]P-GENERAL'!AA453="","",'[1]P-GENERAL'!AA453)</f>
        <v>DESPACHADO</v>
      </c>
      <c r="AB453" s="8" t="str">
        <f>IF('[1]P-GENERAL'!AB453="","",'[1]P-GENERAL'!AB453)</f>
        <v>AUTO EXPRESS SEGOVIA</v>
      </c>
      <c r="AC453" s="8" t="str">
        <f>IF('[1]P-GENERAL'!AC453="","",'[1]P-GENERAL'!AC453)</f>
        <v/>
      </c>
      <c r="AD453" t="str">
        <f>IF('[1]P-GENERAL'!AD453="","",'[1]P-GENERAL'!AD453)</f>
        <v/>
      </c>
      <c r="AE453" t="str">
        <f>IF('[1]P-GENERAL'!AE453="","",'[1]P-GENERAL'!AE453)</f>
        <v/>
      </c>
    </row>
    <row r="454" spans="1:31" ht="20.25" x14ac:dyDescent="0.3">
      <c r="A454" s="11" t="str">
        <f>IF('[1]P-GENERAL'!A454="","",'[1]P-GENERAL'!A454)</f>
        <v>Chanitos Premium Tarima Americana</v>
      </c>
      <c r="B454" s="11" t="str">
        <f>IF('[1]P-GENERAL'!B454="","",'[1]P-GENERAL'!B454)</f>
        <v>CPR01103</v>
      </c>
      <c r="C454" t="str">
        <f>IF('[1]P-GENERAL'!C454="","",'[1]P-GENERAL'!C454)</f>
        <v>A04039-410710-1</v>
      </c>
      <c r="D454" t="str">
        <f>IF('[1]P-GENERAL'!D454="","",'[1]P-GENERAL'!D454)</f>
        <v>A04 039 San Jose Morelia Nava</v>
      </c>
      <c r="E454" s="8" t="str">
        <f>IF('[1]P-GENERAL'!E454="","",'[1]P-GENERAL'!E454)</f>
        <v>S-MTY</v>
      </c>
      <c r="F454" s="12">
        <f>IF('[1]P-GENERAL'!F454="","",'[1]P-GENERAL'!F454)</f>
        <v>960</v>
      </c>
      <c r="G454" s="13">
        <f>IF('[1]P-GENERAL'!G454="","",'[1]P-GENERAL'!G454)</f>
        <v>20</v>
      </c>
      <c r="H454" s="14">
        <f>IF('[1]P-GENERAL'!H454="","",'[1]P-GENERAL'!H454)</f>
        <v>46302</v>
      </c>
      <c r="I454">
        <f>IF('[1]P-GENERAL'!I454="","",'[1]P-GENERAL'!I454)</f>
        <v>41</v>
      </c>
      <c r="J454" s="15">
        <f>IF('[1]P-GENERAL'!J454="","",'[1]P-GENERAL'!J454)</f>
        <v>46307</v>
      </c>
      <c r="K454" s="14" t="str">
        <f>IF('[1]P-GENERAL'!K454="","",'[1]P-GENERAL'!K454)</f>
        <v/>
      </c>
      <c r="L454" s="14" t="str">
        <f>IF('[1]P-GENERAL'!L454="","",'[1]P-GENERAL'!L454)</f>
        <v>PREENFRIO NELLY</v>
      </c>
      <c r="M454">
        <f>IF('[1]P-GENERAL'!M454="","",'[1]P-GENERAL'!M454)</f>
        <v>3</v>
      </c>
      <c r="N454">
        <f>IF('[1]P-GENERAL'!N454="","",'[1]P-GENERAL'!N454)</f>
        <v>72</v>
      </c>
      <c r="O454" s="14">
        <f>IF('[1]P-GENERAL'!O454="","",'[1]P-GENERAL'!O454)</f>
        <v>46303</v>
      </c>
      <c r="P454" s="16">
        <f>IF('[1]P-GENERAL'!P454="","",'[1]P-GENERAL'!P454)</f>
        <v>6.25E-2</v>
      </c>
      <c r="Q454" t="str">
        <f>IF('[1]P-GENERAL'!Q454="","",'[1]P-GENERAL'!Q454)</f>
        <v>ALTA</v>
      </c>
      <c r="R454" s="14">
        <f>IF('[1]P-GENERAL'!R454="","",'[1]P-GENERAL'!R454)</f>
        <v>46303</v>
      </c>
      <c r="S454" s="16">
        <f>IF('[1]P-GENERAL'!S454="","",'[1]P-GENERAL'!S454)</f>
        <v>0.875</v>
      </c>
      <c r="T454" s="16">
        <f>IF('[1]P-GENERAL'!T454="","",'[1]P-GENERAL'!T454)</f>
        <v>0.375</v>
      </c>
      <c r="U454" s="17">
        <f>IF('[1]P-GENERAL'!U454="","",'[1]P-GENERAL'!U454)</f>
        <v>46303</v>
      </c>
      <c r="V454" s="14">
        <f>IF('[1]P-GENERAL'!V454="","",'[1]P-GENERAL'!V454)</f>
        <v>0.38194444444444442</v>
      </c>
      <c r="W454" s="16">
        <f>IF('[1]P-GENERAL'!W454="","",'[1]P-GENERAL'!W454)</f>
        <v>4.1666666666666664E-2</v>
      </c>
      <c r="X454" s="14" t="str">
        <f>IF('[1]P-GENERAL'!X454="","",'[1]P-GENERAL'!X454)</f>
        <v>SI CUMPLE</v>
      </c>
      <c r="Y454" s="14" t="str">
        <f>IF('[1]P-GENERAL'!Y454="","",'[1]P-GENERAL'!Y454)</f>
        <v>SI CUMPLE</v>
      </c>
      <c r="Z454" s="14" t="str">
        <f>IF('[1]P-GENERAL'!Z454="","",'[1]P-GENERAL'!Z454)</f>
        <v/>
      </c>
      <c r="AA454" s="14" t="str">
        <f>IF('[1]P-GENERAL'!AA454="","",'[1]P-GENERAL'!AA454)</f>
        <v>DESPACHADO</v>
      </c>
      <c r="AB454" s="8" t="str">
        <f>IF('[1]P-GENERAL'!AB454="","",'[1]P-GENERAL'!AB454)</f>
        <v>AUTO EXPRESS SEGOVIA</v>
      </c>
      <c r="AC454" s="8" t="str">
        <f>IF('[1]P-GENERAL'!AC454="","",'[1]P-GENERAL'!AC454)</f>
        <v/>
      </c>
      <c r="AD454" t="str">
        <f>IF('[1]P-GENERAL'!AD454="","",'[1]P-GENERAL'!AD454)</f>
        <v/>
      </c>
      <c r="AE454" t="str">
        <f>IF('[1]P-GENERAL'!AE454="","",'[1]P-GENERAL'!AE454)</f>
        <v/>
      </c>
    </row>
    <row r="455" spans="1:31" ht="20.25" x14ac:dyDescent="0.3">
      <c r="A455" s="11" t="str">
        <f>IF('[1]P-GENERAL'!A455="","",'[1]P-GENERAL'!A455)</f>
        <v>Chanitos Premium EUA Tarima Americana</v>
      </c>
      <c r="B455" s="11" t="str">
        <f>IF('[1]P-GENERAL'!B455="","",'[1]P-GENERAL'!B455)</f>
        <v>CPR01104</v>
      </c>
      <c r="C455" t="str">
        <f>IF('[1]P-GENERAL'!C455="","",'[1]P-GENERAL'!C455)</f>
        <v>A01003-410810-1</v>
      </c>
      <c r="D455" t="str">
        <f>IF('[1]P-GENERAL'!D455="","",'[1]P-GENERAL'!D455)</f>
        <v>A01 003 Doña Nelly</v>
      </c>
      <c r="E455" s="8" t="str">
        <f>IF('[1]P-GENERAL'!E455="","",'[1]P-GENERAL'!E455)</f>
        <v>McAllen</v>
      </c>
      <c r="F455" s="12">
        <f>IF('[1]P-GENERAL'!F455="","",'[1]P-GENERAL'!F455)</f>
        <v>48</v>
      </c>
      <c r="G455" s="13">
        <f>IF('[1]P-GENERAL'!G455="","",'[1]P-GENERAL'!G455)</f>
        <v>1</v>
      </c>
      <c r="H455" s="14">
        <f>IF('[1]P-GENERAL'!H455="","",'[1]P-GENERAL'!H455)</f>
        <v>46303</v>
      </c>
      <c r="I455">
        <f>IF('[1]P-GENERAL'!I455="","",'[1]P-GENERAL'!I455)</f>
        <v>41</v>
      </c>
      <c r="J455" s="15">
        <f>IF('[1]P-GENERAL'!J455="","",'[1]P-GENERAL'!J455)</f>
        <v>46305</v>
      </c>
      <c r="K455" s="14" t="str">
        <f>IF('[1]P-GENERAL'!K455="","",'[1]P-GENERAL'!K455)</f>
        <v/>
      </c>
      <c r="L455" s="14" t="str">
        <f>IF('[1]P-GENERAL'!L455="","",'[1]P-GENERAL'!L455)</f>
        <v>DIRECTO SIN PREENFRIO</v>
      </c>
      <c r="M455">
        <f>IF('[1]P-GENERAL'!M455="","",'[1]P-GENERAL'!M455)</f>
        <v>3</v>
      </c>
      <c r="N455">
        <f>IF('[1]P-GENERAL'!N455="","",'[1]P-GENERAL'!N455)</f>
        <v>72</v>
      </c>
      <c r="O455" s="14" t="str">
        <f>IF('[1]P-GENERAL'!O455="","",'[1]P-GENERAL'!O455)</f>
        <v/>
      </c>
      <c r="P455" s="16" t="str">
        <f>IF('[1]P-GENERAL'!P455="","",'[1]P-GENERAL'!P455)</f>
        <v/>
      </c>
      <c r="Q455" t="str">
        <f>IF('[1]P-GENERAL'!Q455="","",'[1]P-GENERAL'!Q455)</f>
        <v>NORMAL</v>
      </c>
      <c r="R455" s="14" t="str">
        <f>IF('[1]P-GENERAL'!R455="","",'[1]P-GENERAL'!R455)</f>
        <v>SIN PRENFRIO</v>
      </c>
      <c r="S455" s="16" t="str">
        <f>IF('[1]P-GENERAL'!S455="","",'[1]P-GENERAL'!S455)</f>
        <v>SIN PRENFRIO</v>
      </c>
      <c r="T455" s="16" t="str">
        <f>IF('[1]P-GENERAL'!T455="","",'[1]P-GENERAL'!T455)</f>
        <v>SIN PRENFRIO</v>
      </c>
      <c r="U455" s="17" t="str">
        <f>IF('[1]P-GENERAL'!U455="","",'[1]P-GENERAL'!U455)</f>
        <v/>
      </c>
      <c r="V455" s="14">
        <f>IF('[1]P-GENERAL'!V455="","",'[1]P-GENERAL'!V455)</f>
        <v>46303</v>
      </c>
      <c r="W455" s="16">
        <f>IF('[1]P-GENERAL'!W455="","",'[1]P-GENERAL'!W455)</f>
        <v>0.43055555555555558</v>
      </c>
      <c r="X455" s="14" t="str">
        <f>IF('[1]P-GENERAL'!X455="","",'[1]P-GENERAL'!X455)</f>
        <v/>
      </c>
      <c r="Y455" s="14" t="str">
        <f>IF('[1]P-GENERAL'!Y455="","",'[1]P-GENERAL'!Y455)</f>
        <v>NO CUMPLE</v>
      </c>
      <c r="Z455" s="14" t="str">
        <f>IF('[1]P-GENERAL'!Z455="","",'[1]P-GENERAL'!Z455)</f>
        <v/>
      </c>
      <c r="AA455" s="14" t="str">
        <f>IF('[1]P-GENERAL'!AA455="","",'[1]P-GENERAL'!AA455)</f>
        <v>DESPACHADO</v>
      </c>
      <c r="AB455" s="8" t="str">
        <f>IF('[1]P-GENERAL'!AB455="","",'[1]P-GENERAL'!AB455)</f>
        <v>TRANSPORTES ALGEZA</v>
      </c>
      <c r="AC455" s="8" t="str">
        <f>IF('[1]P-GENERAL'!AC455="","",'[1]P-GENERAL'!AC455)</f>
        <v/>
      </c>
      <c r="AD455" t="str">
        <f>IF('[1]P-GENERAL'!AD455="","",'[1]P-GENERAL'!AD455)</f>
        <v/>
      </c>
      <c r="AE455" t="str">
        <f>IF('[1]P-GENERAL'!AE455="","",'[1]P-GENERAL'!AE455)</f>
        <v/>
      </c>
    </row>
    <row r="456" spans="1:31" ht="20.25" x14ac:dyDescent="0.3">
      <c r="A456" s="11" t="str">
        <f>IF('[1]P-GENERAL'!A456="","",'[1]P-GENERAL'!A456)</f>
        <v>Chanitos Organic Banded Market Side Mexico</v>
      </c>
      <c r="B456" s="11" t="str">
        <f>IF('[1]P-GENERAL'!B456="","",'[1]P-GENERAL'!B456)</f>
        <v>CRG07128</v>
      </c>
      <c r="C456" t="str">
        <f>IF('[1]P-GENERAL'!C456="","",'[1]P-GENERAL'!C456)</f>
        <v>A01002-410710-1</v>
      </c>
      <c r="D456" t="str">
        <f>IF('[1]P-GENERAL'!D456="","",'[1]P-GENERAL'!D456)</f>
        <v>A01 002 Fortaleza</v>
      </c>
      <c r="E456" s="8" t="str">
        <f>IF('[1]P-GENERAL'!E456="","",'[1]P-GENERAL'!E456)</f>
        <v>QRO</v>
      </c>
      <c r="F456" s="12">
        <f>IF('[1]P-GENERAL'!F456="","",'[1]P-GENERAL'!F456)</f>
        <v>48</v>
      </c>
      <c r="G456" s="13">
        <f>IF('[1]P-GENERAL'!G456="","",'[1]P-GENERAL'!G456)</f>
        <v>1</v>
      </c>
      <c r="H456" s="14">
        <f>IF('[1]P-GENERAL'!H456="","",'[1]P-GENERAL'!H456)</f>
        <v>46302</v>
      </c>
      <c r="I456">
        <f>IF('[1]P-GENERAL'!I456="","",'[1]P-GENERAL'!I456)</f>
        <v>41</v>
      </c>
      <c r="J456" s="15">
        <f>IF('[1]P-GENERAL'!J456="","",'[1]P-GENERAL'!J456)</f>
        <v>46307</v>
      </c>
      <c r="K456" s="14" t="str">
        <f>IF('[1]P-GENERAL'!K456="","",'[1]P-GENERAL'!K456)</f>
        <v/>
      </c>
      <c r="L456" s="14" t="str">
        <f>IF('[1]P-GENERAL'!L456="","",'[1]P-GENERAL'!L456)</f>
        <v>PREENFRIO FORTALEZA</v>
      </c>
      <c r="M456">
        <f>IF('[1]P-GENERAL'!M456="","",'[1]P-GENERAL'!M456)</f>
        <v>1.5</v>
      </c>
      <c r="N456">
        <f>IF('[1]P-GENERAL'!N456="","",'[1]P-GENERAL'!N456)</f>
        <v>36</v>
      </c>
      <c r="O456" s="14">
        <f>IF('[1]P-GENERAL'!O456="","",'[1]P-GENERAL'!O456)</f>
        <v>46302</v>
      </c>
      <c r="P456" s="16">
        <f>IF('[1]P-GENERAL'!P456="","",'[1]P-GENERAL'!P456)</f>
        <v>0.74236111111111114</v>
      </c>
      <c r="Q456" t="str">
        <f>IF('[1]P-GENERAL'!Q456="","",'[1]P-GENERAL'!Q456)</f>
        <v>NORMAL</v>
      </c>
      <c r="R456" s="14">
        <f>IF('[1]P-GENERAL'!R456="","",'[1]P-GENERAL'!R456)</f>
        <v>46302</v>
      </c>
      <c r="S456" s="16">
        <f>IF('[1]P-GENERAL'!S456="","",'[1]P-GENERAL'!S456)</f>
        <v>0.74513888888888891</v>
      </c>
      <c r="T456" s="16">
        <f>IF('[1]P-GENERAL'!T456="","",'[1]P-GENERAL'!T456)</f>
        <v>0.20833333333333334</v>
      </c>
      <c r="U456" s="17">
        <f>IF('[1]P-GENERAL'!U456="","",'[1]P-GENERAL'!U456)</f>
        <v>46302.953472222223</v>
      </c>
      <c r="V456" s="14">
        <f>IF('[1]P-GENERAL'!V456="","",'[1]P-GENERAL'!V456)</f>
        <v>46303</v>
      </c>
      <c r="W456" s="16">
        <f>IF('[1]P-GENERAL'!W456="","",'[1]P-GENERAL'!W456)</f>
        <v>0.73958333333333337</v>
      </c>
      <c r="X456" s="14" t="str">
        <f>IF('[1]P-GENERAL'!X456="","",'[1]P-GENERAL'!X456)</f>
        <v>SI CUMPLE</v>
      </c>
      <c r="Y456" s="14" t="str">
        <f>IF('[1]P-GENERAL'!Y456="","",'[1]P-GENERAL'!Y456)</f>
        <v>SI CUMPLE</v>
      </c>
      <c r="Z456" s="14" t="str">
        <f>IF('[1]P-GENERAL'!Z456="","",'[1]P-GENERAL'!Z456)</f>
        <v/>
      </c>
      <c r="AA456" s="14" t="str">
        <f>IF('[1]P-GENERAL'!AA456="","",'[1]P-GENERAL'!AA456)</f>
        <v>DESPACHADO</v>
      </c>
      <c r="AB456" s="8" t="str">
        <f>IF('[1]P-GENERAL'!AB456="","",'[1]P-GENERAL'!AB456)</f>
        <v>JUAN LOPEZ GONZALEZ</v>
      </c>
      <c r="AC456" s="8" t="str">
        <f>IF('[1]P-GENERAL'!AC456="","",'[1]P-GENERAL'!AC456)</f>
        <v xml:space="preserve">JESUS MARTIN MARTINEZ </v>
      </c>
      <c r="AD456">
        <f>IF('[1]P-GENERAL'!AD456="","",'[1]P-GENERAL'!AD456)</f>
        <v>50607</v>
      </c>
      <c r="AE456" t="str">
        <f>IF('[1]P-GENERAL'!AE456="","",'[1]P-GENERAL'!AE456)</f>
        <v>QF91W041E0</v>
      </c>
    </row>
    <row r="457" spans="1:31" ht="20.25" x14ac:dyDescent="0.3">
      <c r="A457" s="11" t="str">
        <f>IF('[1]P-GENERAL'!A457="","",'[1]P-GENERAL'!A457)</f>
        <v>Chanitos Premium Tarima Chep</v>
      </c>
      <c r="B457" s="11" t="str">
        <f>IF('[1]P-GENERAL'!B457="","",'[1]P-GENERAL'!B457)</f>
        <v>CPR01102</v>
      </c>
      <c r="C457" t="str">
        <f>IF('[1]P-GENERAL'!C457="","",'[1]P-GENERAL'!C457)</f>
        <v>A01002-410710-1</v>
      </c>
      <c r="D457" t="str">
        <f>IF('[1]P-GENERAL'!D457="","",'[1]P-GENERAL'!D457)</f>
        <v>A01 002 Fortaleza</v>
      </c>
      <c r="E457" s="8" t="str">
        <f>IF('[1]P-GENERAL'!E457="","",'[1]P-GENERAL'!E457)</f>
        <v>QRO</v>
      </c>
      <c r="F457" s="12">
        <f>IF('[1]P-GENERAL'!F457="","",'[1]P-GENERAL'!F457)</f>
        <v>336</v>
      </c>
      <c r="G457" s="13">
        <f>IF('[1]P-GENERAL'!G457="","",'[1]P-GENERAL'!G457)</f>
        <v>7</v>
      </c>
      <c r="H457" s="14">
        <f>IF('[1]P-GENERAL'!H457="","",'[1]P-GENERAL'!H457)</f>
        <v>46302</v>
      </c>
      <c r="I457">
        <f>IF('[1]P-GENERAL'!I457="","",'[1]P-GENERAL'!I457)</f>
        <v>41</v>
      </c>
      <c r="J457" s="15">
        <f>IF('[1]P-GENERAL'!J457="","",'[1]P-GENERAL'!J457)</f>
        <v>46307</v>
      </c>
      <c r="K457" s="14" t="str">
        <f>IF('[1]P-GENERAL'!K457="","",'[1]P-GENERAL'!K457)</f>
        <v/>
      </c>
      <c r="L457" s="14" t="str">
        <f>IF('[1]P-GENERAL'!L457="","",'[1]P-GENERAL'!L457)</f>
        <v>PREENFRIO FORTALEZA</v>
      </c>
      <c r="M457">
        <f>IF('[1]P-GENERAL'!M457="","",'[1]P-GENERAL'!M457)</f>
        <v>1.5</v>
      </c>
      <c r="N457">
        <f>IF('[1]P-GENERAL'!N457="","",'[1]P-GENERAL'!N457)</f>
        <v>36</v>
      </c>
      <c r="O457" s="14">
        <f>IF('[1]P-GENERAL'!O457="","",'[1]P-GENERAL'!O457)</f>
        <v>46302</v>
      </c>
      <c r="P457" s="16">
        <f>IF('[1]P-GENERAL'!P457="","",'[1]P-GENERAL'!P457)</f>
        <v>0.74236111111111114</v>
      </c>
      <c r="Q457" t="str">
        <f>IF('[1]P-GENERAL'!Q457="","",'[1]P-GENERAL'!Q457)</f>
        <v>NORMAL</v>
      </c>
      <c r="R457" s="14">
        <f>IF('[1]P-GENERAL'!R457="","",'[1]P-GENERAL'!R457)</f>
        <v>46302</v>
      </c>
      <c r="S457" s="16">
        <f>IF('[1]P-GENERAL'!S457="","",'[1]P-GENERAL'!S457)</f>
        <v>0.74513888888888891</v>
      </c>
      <c r="T457" s="16">
        <f>IF('[1]P-GENERAL'!T457="","",'[1]P-GENERAL'!T457)</f>
        <v>0.20833333333333334</v>
      </c>
      <c r="U457" s="17">
        <f>IF('[1]P-GENERAL'!U457="","",'[1]P-GENERAL'!U457)</f>
        <v>46302.953472222223</v>
      </c>
      <c r="V457" s="14">
        <f>IF('[1]P-GENERAL'!V457="","",'[1]P-GENERAL'!V457)</f>
        <v>46303</v>
      </c>
      <c r="W457" s="16">
        <f>IF('[1]P-GENERAL'!W457="","",'[1]P-GENERAL'!W457)</f>
        <v>0.73958333333333337</v>
      </c>
      <c r="X457" s="14" t="str">
        <f>IF('[1]P-GENERAL'!X457="","",'[1]P-GENERAL'!X457)</f>
        <v>SI CUMPLE</v>
      </c>
      <c r="Y457" s="14" t="str">
        <f>IF('[1]P-GENERAL'!Y457="","",'[1]P-GENERAL'!Y457)</f>
        <v>SI CUMPLE</v>
      </c>
      <c r="Z457" s="14" t="str">
        <f>IF('[1]P-GENERAL'!Z457="","",'[1]P-GENERAL'!Z457)</f>
        <v/>
      </c>
      <c r="AA457" s="14" t="str">
        <f>IF('[1]P-GENERAL'!AA457="","",'[1]P-GENERAL'!AA457)</f>
        <v>DESPACHADO</v>
      </c>
      <c r="AB457" s="8" t="str">
        <f>IF('[1]P-GENERAL'!AB457="","",'[1]P-GENERAL'!AB457)</f>
        <v>JUAN LOPEZ GONZALEZ</v>
      </c>
      <c r="AC457" s="8" t="str">
        <f>IF('[1]P-GENERAL'!AC457="","",'[1]P-GENERAL'!AC457)</f>
        <v xml:space="preserve">JESUS MARTIN MARTINEZ </v>
      </c>
      <c r="AD457">
        <f>IF('[1]P-GENERAL'!AD457="","",'[1]P-GENERAL'!AD457)</f>
        <v>50607</v>
      </c>
      <c r="AE457" t="str">
        <f>IF('[1]P-GENERAL'!AE457="","",'[1]P-GENERAL'!AE457)</f>
        <v>QF91W041E0</v>
      </c>
    </row>
    <row r="458" spans="1:31" ht="20.25" x14ac:dyDescent="0.3">
      <c r="A458" s="11" t="str">
        <f>IF('[1]P-GENERAL'!A458="","",'[1]P-GENERAL'!A458)</f>
        <v>Chanitos Premium Tarima Chep</v>
      </c>
      <c r="B458" s="11" t="str">
        <f>IF('[1]P-GENERAL'!B458="","",'[1]P-GENERAL'!B458)</f>
        <v>CPR01102</v>
      </c>
      <c r="C458" t="str">
        <f>IF('[1]P-GENERAL'!C458="","",'[1]P-GENERAL'!C458)</f>
        <v>A01003-410710-1</v>
      </c>
      <c r="D458" t="str">
        <f>IF('[1]P-GENERAL'!D458="","",'[1]P-GENERAL'!D458)</f>
        <v>A01 003 Doña Nelly</v>
      </c>
      <c r="E458" s="8" t="str">
        <f>IF('[1]P-GENERAL'!E458="","",'[1]P-GENERAL'!E458)</f>
        <v>QRO</v>
      </c>
      <c r="F458" s="12">
        <f>IF('[1]P-GENERAL'!F458="","",'[1]P-GENERAL'!F458)</f>
        <v>768</v>
      </c>
      <c r="G458" s="13">
        <f>IF('[1]P-GENERAL'!G458="","",'[1]P-GENERAL'!G458)</f>
        <v>16</v>
      </c>
      <c r="H458" s="14">
        <f>IF('[1]P-GENERAL'!H458="","",'[1]P-GENERAL'!H458)</f>
        <v>46302</v>
      </c>
      <c r="I458">
        <f>IF('[1]P-GENERAL'!I458="","",'[1]P-GENERAL'!I458)</f>
        <v>41</v>
      </c>
      <c r="J458" s="15">
        <f>IF('[1]P-GENERAL'!J458="","",'[1]P-GENERAL'!J458)</f>
        <v>46307</v>
      </c>
      <c r="K458" s="14" t="str">
        <f>IF('[1]P-GENERAL'!K458="","",'[1]P-GENERAL'!K458)</f>
        <v/>
      </c>
      <c r="L458" s="14" t="str">
        <f>IF('[1]P-GENERAL'!L458="","",'[1]P-GENERAL'!L458)</f>
        <v>PREENFRIO FORTALEZA</v>
      </c>
      <c r="M458">
        <f>IF('[1]P-GENERAL'!M458="","",'[1]P-GENERAL'!M458)</f>
        <v>1.5</v>
      </c>
      <c r="N458">
        <f>IF('[1]P-GENERAL'!N458="","",'[1]P-GENERAL'!N458)</f>
        <v>36</v>
      </c>
      <c r="O458" s="14">
        <f>IF('[1]P-GENERAL'!O458="","",'[1]P-GENERAL'!O458)</f>
        <v>46303</v>
      </c>
      <c r="P458" s="16">
        <f>IF('[1]P-GENERAL'!P458="","",'[1]P-GENERAL'!P458)</f>
        <v>0.30486111111111114</v>
      </c>
      <c r="Q458" t="str">
        <f>IF('[1]P-GENERAL'!Q458="","",'[1]P-GENERAL'!Q458)</f>
        <v>NORMAL</v>
      </c>
      <c r="R458" s="14">
        <f>IF('[1]P-GENERAL'!R458="","",'[1]P-GENERAL'!R458)</f>
        <v>46303</v>
      </c>
      <c r="S458" s="16">
        <f>IF('[1]P-GENERAL'!S458="","",'[1]P-GENERAL'!S458)</f>
        <v>0.35416666666666669</v>
      </c>
      <c r="T458" s="16">
        <f>IF('[1]P-GENERAL'!T458="","",'[1]P-GENERAL'!T458)</f>
        <v>0.375</v>
      </c>
      <c r="U458" s="17">
        <f>IF('[1]P-GENERAL'!U458="","",'[1]P-GENERAL'!U458)</f>
        <v>46303.729166666664</v>
      </c>
      <c r="V458" s="14">
        <f>IF('[1]P-GENERAL'!V458="","",'[1]P-GENERAL'!V458)</f>
        <v>46303</v>
      </c>
      <c r="W458" s="16">
        <f>IF('[1]P-GENERAL'!W458="","",'[1]P-GENERAL'!W458)</f>
        <v>0.73958333333333337</v>
      </c>
      <c r="X458" s="14" t="str">
        <f>IF('[1]P-GENERAL'!X458="","",'[1]P-GENERAL'!X458)</f>
        <v>SI CUMPLE</v>
      </c>
      <c r="Y458" s="14" t="str">
        <f>IF('[1]P-GENERAL'!Y458="","",'[1]P-GENERAL'!Y458)</f>
        <v>SI CUMPLE</v>
      </c>
      <c r="Z458" s="14" t="str">
        <f>IF('[1]P-GENERAL'!Z458="","",'[1]P-GENERAL'!Z458)</f>
        <v/>
      </c>
      <c r="AA458" s="14" t="str">
        <f>IF('[1]P-GENERAL'!AA458="","",'[1]P-GENERAL'!AA458)</f>
        <v>DESPACHADO</v>
      </c>
      <c r="AB458" s="8" t="str">
        <f>IF('[1]P-GENERAL'!AB458="","",'[1]P-GENERAL'!AB458)</f>
        <v>JUAN LOPEZ GONZALEZ</v>
      </c>
      <c r="AC458" s="8" t="str">
        <f>IF('[1]P-GENERAL'!AC458="","",'[1]P-GENERAL'!AC458)</f>
        <v xml:space="preserve">JESUS MARTIN MARTINEZ </v>
      </c>
      <c r="AD458">
        <f>IF('[1]P-GENERAL'!AD458="","",'[1]P-GENERAL'!AD458)</f>
        <v>50607</v>
      </c>
      <c r="AE458" t="str">
        <f>IF('[1]P-GENERAL'!AE458="","",'[1]P-GENERAL'!AE458)</f>
        <v>QF91W041E0</v>
      </c>
    </row>
    <row r="459" spans="1:31" ht="20.25" x14ac:dyDescent="0.3">
      <c r="A459" s="11" t="str">
        <f>IF('[1]P-GENERAL'!A459="","",'[1]P-GENERAL'!A459)</f>
        <v>Chanitos Premium Tarima Chep</v>
      </c>
      <c r="B459" s="11" t="str">
        <f>IF('[1]P-GENERAL'!B459="","",'[1]P-GENERAL'!B459)</f>
        <v>CPR01102</v>
      </c>
      <c r="C459" t="str">
        <f>IF('[1]P-GENERAL'!C459="","",'[1]P-GENERAL'!C459)</f>
        <v>A01001-410710-1</v>
      </c>
      <c r="D459" t="str">
        <f>IF('[1]P-GENERAL'!D459="","",'[1]P-GENERAL'!D459)</f>
        <v>A01 001 Marbella</v>
      </c>
      <c r="E459" s="8" t="str">
        <f>IF('[1]P-GENERAL'!E459="","",'[1]P-GENERAL'!E459)</f>
        <v>Chalco</v>
      </c>
      <c r="F459" s="12">
        <f>IF('[1]P-GENERAL'!F459="","",'[1]P-GENERAL'!F459)</f>
        <v>864</v>
      </c>
      <c r="G459" s="13">
        <f>IF('[1]P-GENERAL'!G459="","",'[1]P-GENERAL'!G459)</f>
        <v>18</v>
      </c>
      <c r="H459" s="14">
        <f>IF('[1]P-GENERAL'!H459="","",'[1]P-GENERAL'!H459)</f>
        <v>46302</v>
      </c>
      <c r="I459">
        <f>IF('[1]P-GENERAL'!I459="","",'[1]P-GENERAL'!I459)</f>
        <v>41</v>
      </c>
      <c r="J459" s="15">
        <f>IF('[1]P-GENERAL'!J459="","",'[1]P-GENERAL'!J459)</f>
        <v>46307</v>
      </c>
      <c r="K459" s="14" t="str">
        <f>IF('[1]P-GENERAL'!K459="","",'[1]P-GENERAL'!K459)</f>
        <v/>
      </c>
      <c r="L459" s="14" t="str">
        <f>IF('[1]P-GENERAL'!L459="","",'[1]P-GENERAL'!L459)</f>
        <v>PREENFRIO FORTALEZA</v>
      </c>
      <c r="M459">
        <f>IF('[1]P-GENERAL'!M459="","",'[1]P-GENERAL'!M459)</f>
        <v>1</v>
      </c>
      <c r="N459">
        <f>IF('[1]P-GENERAL'!N459="","",'[1]P-GENERAL'!N459)</f>
        <v>24</v>
      </c>
      <c r="O459" s="14">
        <f>IF('[1]P-GENERAL'!O459="","",'[1]P-GENERAL'!O459)</f>
        <v>46302</v>
      </c>
      <c r="P459" s="16">
        <f>IF('[1]P-GENERAL'!P459="","",'[1]P-GENERAL'!P459)</f>
        <v>0.83333333333333337</v>
      </c>
      <c r="Q459" t="str">
        <f>IF('[1]P-GENERAL'!Q459="","",'[1]P-GENERAL'!Q459)</f>
        <v>NORMAL</v>
      </c>
      <c r="R459" s="14">
        <f>IF('[1]P-GENERAL'!R459="","",'[1]P-GENERAL'!R459)</f>
        <v>46303</v>
      </c>
      <c r="S459" s="16">
        <f>IF('[1]P-GENERAL'!S459="","",'[1]P-GENERAL'!S459)</f>
        <v>0.97916666666666663</v>
      </c>
      <c r="T459" s="16">
        <f>IF('[1]P-GENERAL'!T459="","",'[1]P-GENERAL'!T459)</f>
        <v>0.625</v>
      </c>
      <c r="U459" s="17">
        <f>IF('[1]P-GENERAL'!U459="","",'[1]P-GENERAL'!U459)</f>
        <v>46304.604166666664</v>
      </c>
      <c r="V459" s="14">
        <f>IF('[1]P-GENERAL'!V459="","",'[1]P-GENERAL'!V459)</f>
        <v>46303</v>
      </c>
      <c r="W459" s="16">
        <f>IF('[1]P-GENERAL'!W459="","",'[1]P-GENERAL'!W459)</f>
        <v>0.95833333333333337</v>
      </c>
      <c r="X459" s="14" t="str">
        <f>IF('[1]P-GENERAL'!X459="","",'[1]P-GENERAL'!X459)</f>
        <v>SI CUMPLE</v>
      </c>
      <c r="Y459" s="14" t="str">
        <f>IF('[1]P-GENERAL'!Y459="","",'[1]P-GENERAL'!Y459)</f>
        <v>SI CUMPLE</v>
      </c>
      <c r="Z459" s="14" t="str">
        <f>IF('[1]P-GENERAL'!Z459="","",'[1]P-GENERAL'!Z459)</f>
        <v/>
      </c>
      <c r="AA459" s="14" t="str">
        <f>IF('[1]P-GENERAL'!AA459="","",'[1]P-GENERAL'!AA459)</f>
        <v>DESPACHADO</v>
      </c>
      <c r="AB459" s="8" t="str">
        <f>IF('[1]P-GENERAL'!AB459="","",'[1]P-GENERAL'!AB459)</f>
        <v>T&amp;L INTERNACIONAL ASE</v>
      </c>
      <c r="AC459" s="8" t="str">
        <f>IF('[1]P-GENERAL'!AC459="","",'[1]P-GENERAL'!AC459)</f>
        <v>CERVANDO OTAMENDI</v>
      </c>
      <c r="AD459">
        <f>IF('[1]P-GENERAL'!AD459="","",'[1]P-GENERAL'!AD459)</f>
        <v>65227</v>
      </c>
      <c r="AE459" t="str">
        <f>IF('[1]P-GENERAL'!AE459="","",'[1]P-GENERAL'!AE459)</f>
        <v>QF91W043Z0</v>
      </c>
    </row>
    <row r="460" spans="1:31" ht="20.25" x14ac:dyDescent="0.3">
      <c r="A460" s="11" t="str">
        <f>IF('[1]P-GENERAL'!A460="","",'[1]P-GENERAL'!A460)</f>
        <v>Platano de Chiapas BAE UPC 3237</v>
      </c>
      <c r="B460" s="11" t="str">
        <f>IF('[1]P-GENERAL'!B460="","",'[1]P-GENERAL'!B460)</f>
        <v>CPR01114</v>
      </c>
      <c r="C460" t="str">
        <f>IF('[1]P-GENERAL'!C460="","",'[1]P-GENERAL'!C460)</f>
        <v>A01001-410710-1</v>
      </c>
      <c r="D460" t="str">
        <f>IF('[1]P-GENERAL'!D460="","",'[1]P-GENERAL'!D460)</f>
        <v>A01 001 Marbella</v>
      </c>
      <c r="E460" s="8" t="str">
        <f>IF('[1]P-GENERAL'!E460="","",'[1]P-GENERAL'!E460)</f>
        <v>Chalco</v>
      </c>
      <c r="F460" s="12">
        <f>IF('[1]P-GENERAL'!F460="","",'[1]P-GENERAL'!F460)</f>
        <v>48</v>
      </c>
      <c r="G460" s="13">
        <f>IF('[1]P-GENERAL'!G460="","",'[1]P-GENERAL'!G460)</f>
        <v>1</v>
      </c>
      <c r="H460" s="14">
        <f>IF('[1]P-GENERAL'!H460="","",'[1]P-GENERAL'!H460)</f>
        <v>46302</v>
      </c>
      <c r="I460">
        <f>IF('[1]P-GENERAL'!I460="","",'[1]P-GENERAL'!I460)</f>
        <v>41</v>
      </c>
      <c r="J460" s="15">
        <f>IF('[1]P-GENERAL'!J460="","",'[1]P-GENERAL'!J460)</f>
        <v>46307</v>
      </c>
      <c r="K460" s="14" t="str">
        <f>IF('[1]P-GENERAL'!K460="","",'[1]P-GENERAL'!K460)</f>
        <v/>
      </c>
      <c r="L460" s="14" t="str">
        <f>IF('[1]P-GENERAL'!L460="","",'[1]P-GENERAL'!L460)</f>
        <v>PREENFRIO FORTALEZA</v>
      </c>
      <c r="M460">
        <f>IF('[1]P-GENERAL'!M460="","",'[1]P-GENERAL'!M460)</f>
        <v>1</v>
      </c>
      <c r="N460">
        <f>IF('[1]P-GENERAL'!N460="","",'[1]P-GENERAL'!N460)</f>
        <v>24</v>
      </c>
      <c r="O460" s="14">
        <f>IF('[1]P-GENERAL'!O460="","",'[1]P-GENERAL'!O460)</f>
        <v>46302</v>
      </c>
      <c r="P460" s="16">
        <f>IF('[1]P-GENERAL'!P460="","",'[1]P-GENERAL'!P460)</f>
        <v>0.83333333333333337</v>
      </c>
      <c r="Q460" t="str">
        <f>IF('[1]P-GENERAL'!Q460="","",'[1]P-GENERAL'!Q460)</f>
        <v>NORMAL</v>
      </c>
      <c r="R460" s="14">
        <f>IF('[1]P-GENERAL'!R460="","",'[1]P-GENERAL'!R460)</f>
        <v>46303</v>
      </c>
      <c r="S460" s="16">
        <f>IF('[1]P-GENERAL'!S460="","",'[1]P-GENERAL'!S460)</f>
        <v>0.97916666666666663</v>
      </c>
      <c r="T460" s="16">
        <f>IF('[1]P-GENERAL'!T460="","",'[1]P-GENERAL'!T460)</f>
        <v>0.625</v>
      </c>
      <c r="U460" s="17">
        <f>IF('[1]P-GENERAL'!U460="","",'[1]P-GENERAL'!U460)</f>
        <v>46304.604166666664</v>
      </c>
      <c r="V460" s="14">
        <f>IF('[1]P-GENERAL'!V460="","",'[1]P-GENERAL'!V460)</f>
        <v>46303</v>
      </c>
      <c r="W460" s="16">
        <f>IF('[1]P-GENERAL'!W460="","",'[1]P-GENERAL'!W460)</f>
        <v>0.95833333333333337</v>
      </c>
      <c r="X460" s="14" t="str">
        <f>IF('[1]P-GENERAL'!X460="","",'[1]P-GENERAL'!X460)</f>
        <v>SI CUMPLE</v>
      </c>
      <c r="Y460" s="14" t="str">
        <f>IF('[1]P-GENERAL'!Y460="","",'[1]P-GENERAL'!Y460)</f>
        <v>SI CUMPLE</v>
      </c>
      <c r="Z460" s="14" t="str">
        <f>IF('[1]P-GENERAL'!Z460="","",'[1]P-GENERAL'!Z460)</f>
        <v/>
      </c>
      <c r="AA460" s="14" t="str">
        <f>IF('[1]P-GENERAL'!AA460="","",'[1]P-GENERAL'!AA460)</f>
        <v>DESPACHADO</v>
      </c>
      <c r="AB460" s="8" t="str">
        <f>IF('[1]P-GENERAL'!AB460="","",'[1]P-GENERAL'!AB460)</f>
        <v>T&amp;L INTERNACIONAL ASE</v>
      </c>
      <c r="AC460" s="8" t="str">
        <f>IF('[1]P-GENERAL'!AC460="","",'[1]P-GENERAL'!AC460)</f>
        <v>CERVANDO OTAMENDI</v>
      </c>
      <c r="AD460">
        <f>IF('[1]P-GENERAL'!AD460="","",'[1]P-GENERAL'!AD460)</f>
        <v>65227</v>
      </c>
      <c r="AE460" t="str">
        <f>IF('[1]P-GENERAL'!AE460="","",'[1]P-GENERAL'!AE460)</f>
        <v>QF91W043Z0</v>
      </c>
    </row>
    <row r="461" spans="1:31" ht="20.25" x14ac:dyDescent="0.3">
      <c r="A461" s="11" t="str">
        <f>IF('[1]P-GENERAL'!A461="","",'[1]P-GENERAL'!A461)</f>
        <v>Chanitos Premium Tarima Chep</v>
      </c>
      <c r="B461" s="11" t="str">
        <f>IF('[1]P-GENERAL'!B461="","",'[1]P-GENERAL'!B461)</f>
        <v>CPR01102</v>
      </c>
      <c r="C461" t="str">
        <f>IF('[1]P-GENERAL'!C461="","",'[1]P-GENERAL'!C461)</f>
        <v>A01001-410710-1</v>
      </c>
      <c r="D461" t="str">
        <f>IF('[1]P-GENERAL'!D461="","",'[1]P-GENERAL'!D461)</f>
        <v>A01 001 Marbella</v>
      </c>
      <c r="E461" s="8" t="str">
        <f>IF('[1]P-GENERAL'!E461="","",'[1]P-GENERAL'!E461)</f>
        <v>VSA</v>
      </c>
      <c r="F461" s="12">
        <f>IF('[1]P-GENERAL'!F461="","",'[1]P-GENERAL'!F461)</f>
        <v>192</v>
      </c>
      <c r="G461" s="13">
        <f>IF('[1]P-GENERAL'!G461="","",'[1]P-GENERAL'!G461)</f>
        <v>4</v>
      </c>
      <c r="H461" s="14">
        <f>IF('[1]P-GENERAL'!H461="","",'[1]P-GENERAL'!H461)</f>
        <v>46302</v>
      </c>
      <c r="I461">
        <f>IF('[1]P-GENERAL'!I461="","",'[1]P-GENERAL'!I461)</f>
        <v>41</v>
      </c>
      <c r="J461" s="15">
        <f>IF('[1]P-GENERAL'!J461="","",'[1]P-GENERAL'!J461)</f>
        <v>46307</v>
      </c>
      <c r="K461" s="14" t="str">
        <f>IF('[1]P-GENERAL'!K461="","",'[1]P-GENERAL'!K461)</f>
        <v/>
      </c>
      <c r="L461" s="14" t="str">
        <f>IF('[1]P-GENERAL'!L461="","",'[1]P-GENERAL'!L461)</f>
        <v>PREENFRIO FORTALEZA</v>
      </c>
      <c r="M461">
        <f>IF('[1]P-GENERAL'!M461="","",'[1]P-GENERAL'!M461)</f>
        <v>1</v>
      </c>
      <c r="N461">
        <f>IF('[1]P-GENERAL'!N461="","",'[1]P-GENERAL'!N461)</f>
        <v>24</v>
      </c>
      <c r="O461" s="14">
        <f>IF('[1]P-GENERAL'!O461="","",'[1]P-GENERAL'!O461)</f>
        <v>46303</v>
      </c>
      <c r="P461" s="16">
        <f>IF('[1]P-GENERAL'!P461="","",'[1]P-GENERAL'!P461)</f>
        <v>0.97291666666666665</v>
      </c>
      <c r="Q461" t="str">
        <f>IF('[1]P-GENERAL'!Q461="","",'[1]P-GENERAL'!Q461)</f>
        <v>NORMAL</v>
      </c>
      <c r="R461" s="14">
        <f>IF('[1]P-GENERAL'!R461="","",'[1]P-GENERAL'!R461)</f>
        <v>46304</v>
      </c>
      <c r="S461" s="16">
        <f>IF('[1]P-GENERAL'!S461="","",'[1]P-GENERAL'!S461)</f>
        <v>0.16319444444444445</v>
      </c>
      <c r="T461" s="16">
        <f>IF('[1]P-GENERAL'!T461="","",'[1]P-GENERAL'!T461)</f>
        <v>0.45833333333333331</v>
      </c>
      <c r="U461" s="17">
        <f>IF('[1]P-GENERAL'!U461="","",'[1]P-GENERAL'!U461)</f>
        <v>46304.621527777781</v>
      </c>
      <c r="V461" s="14">
        <f>IF('[1]P-GENERAL'!V461="","",'[1]P-GENERAL'!V461)</f>
        <v>46306</v>
      </c>
      <c r="W461" s="16">
        <f>IF('[1]P-GENERAL'!W461="","",'[1]P-GENERAL'!W461)</f>
        <v>0.2638888888888889</v>
      </c>
      <c r="X461" s="14" t="str">
        <f>IF('[1]P-GENERAL'!X461="","",'[1]P-GENERAL'!X461)</f>
        <v>SI CUMPLE</v>
      </c>
      <c r="Y461" s="14" t="str">
        <f>IF('[1]P-GENERAL'!Y461="","",'[1]P-GENERAL'!Y461)</f>
        <v>NO CUMPLE</v>
      </c>
      <c r="Z461" s="14" t="str">
        <f>IF('[1]P-GENERAL'!Z461="","",'[1]P-GENERAL'!Z461)</f>
        <v/>
      </c>
      <c r="AA461" s="14" t="str">
        <f>IF('[1]P-GENERAL'!AA461="","",'[1]P-GENERAL'!AA461)</f>
        <v>DESPACHADO</v>
      </c>
      <c r="AB461" s="8" t="str">
        <f>IF('[1]P-GENERAL'!AB461="","",'[1]P-GENERAL'!AB461)</f>
        <v>GENARO IBAÑEZ ROJAS</v>
      </c>
      <c r="AC461" s="8" t="str">
        <f>IF('[1]P-GENERAL'!AC461="","",'[1]P-GENERAL'!AC461)</f>
        <v>VICENTE SANCHEZ RUEDA</v>
      </c>
      <c r="AD461">
        <f>IF('[1]P-GENERAL'!AD461="","",'[1]P-GENERAL'!AD461)</f>
        <v>25377</v>
      </c>
      <c r="AE461" t="str">
        <f>IF('[1]P-GENERAL'!AE461="","",'[1]P-GENERAL'!AE461)</f>
        <v>QF91W04W20</v>
      </c>
    </row>
    <row r="462" spans="1:31" ht="20.25" x14ac:dyDescent="0.3">
      <c r="A462" s="11" t="str">
        <f>IF('[1]P-GENERAL'!A462="","",'[1]P-GENERAL'!A462)</f>
        <v>Chanitos Premium Tarima Americana</v>
      </c>
      <c r="B462" s="11" t="str">
        <f>IF('[1]P-GENERAL'!B462="","",'[1]P-GENERAL'!B462)</f>
        <v>CPR01103</v>
      </c>
      <c r="C462" t="str">
        <f>IF('[1]P-GENERAL'!C462="","",'[1]P-GENERAL'!C462)</f>
        <v>A01003-410810-1</v>
      </c>
      <c r="D462" t="str">
        <f>IF('[1]P-GENERAL'!D462="","",'[1]P-GENERAL'!D462)</f>
        <v>A01 003 Doña Nelly</v>
      </c>
      <c r="E462" s="8" t="str">
        <f>IF('[1]P-GENERAL'!E462="","",'[1]P-GENERAL'!E462)</f>
        <v>S-MTY</v>
      </c>
      <c r="F462" s="12">
        <f>IF('[1]P-GENERAL'!F462="","",'[1]P-GENERAL'!F462)</f>
        <v>672</v>
      </c>
      <c r="G462" s="13">
        <f>IF('[1]P-GENERAL'!G462="","",'[1]P-GENERAL'!G462)</f>
        <v>14</v>
      </c>
      <c r="H462" s="14">
        <f>IF('[1]P-GENERAL'!H462="","",'[1]P-GENERAL'!H462)</f>
        <v>46303</v>
      </c>
      <c r="I462">
        <f>IF('[1]P-GENERAL'!I462="","",'[1]P-GENERAL'!I462)</f>
        <v>41</v>
      </c>
      <c r="J462" s="15">
        <f>IF('[1]P-GENERAL'!J462="","",'[1]P-GENERAL'!J462)</f>
        <v>46307</v>
      </c>
      <c r="K462" s="14" t="str">
        <f>IF('[1]P-GENERAL'!K462="","",'[1]P-GENERAL'!K462)</f>
        <v/>
      </c>
      <c r="L462" s="14" t="str">
        <f>IF('[1]P-GENERAL'!L462="","",'[1]P-GENERAL'!L462)</f>
        <v>PREENFRIO NELLY</v>
      </c>
      <c r="M462">
        <f>IF('[1]P-GENERAL'!M462="","",'[1]P-GENERAL'!M462)</f>
        <v>3</v>
      </c>
      <c r="N462">
        <f>IF('[1]P-GENERAL'!N462="","",'[1]P-GENERAL'!N462)</f>
        <v>72</v>
      </c>
      <c r="O462" s="14">
        <f>IF('[1]P-GENERAL'!O462="","",'[1]P-GENERAL'!O462)</f>
        <v>46303</v>
      </c>
      <c r="P462" s="16">
        <f>IF('[1]P-GENERAL'!P462="","",'[1]P-GENERAL'!P462)</f>
        <v>0.75</v>
      </c>
      <c r="Q462" t="str">
        <f>IF('[1]P-GENERAL'!Q462="","",'[1]P-GENERAL'!Q462)</f>
        <v>ALTA</v>
      </c>
      <c r="R462" s="14">
        <f>IF('[1]P-GENERAL'!R462="","",'[1]P-GENERAL'!R462)</f>
        <v>46303</v>
      </c>
      <c r="S462" s="16">
        <f>IF('[1]P-GENERAL'!S462="","",'[1]P-GENERAL'!S462)</f>
        <v>0.875</v>
      </c>
      <c r="T462" s="16">
        <f>IF('[1]P-GENERAL'!T462="","",'[1]P-GENERAL'!T462)</f>
        <v>0.20833333333333334</v>
      </c>
      <c r="U462" s="17">
        <f>IF('[1]P-GENERAL'!U462="","",'[1]P-GENERAL'!U462)</f>
        <v>46304.083333333336</v>
      </c>
      <c r="V462" s="14">
        <f>IF('[1]P-GENERAL'!V462="","",'[1]P-GENERAL'!V462)</f>
        <v>0.38194444444444442</v>
      </c>
      <c r="W462" s="16">
        <f>IF('[1]P-GENERAL'!W462="","",'[1]P-GENERAL'!W462)</f>
        <v>4.1666666666666664E-2</v>
      </c>
      <c r="X462" s="14" t="str">
        <f>IF('[1]P-GENERAL'!X462="","",'[1]P-GENERAL'!X462)</f>
        <v>SI CUMPLE</v>
      </c>
      <c r="Y462" s="14" t="str">
        <f>IF('[1]P-GENERAL'!Y462="","",'[1]P-GENERAL'!Y462)</f>
        <v>SI CUMPLE</v>
      </c>
      <c r="Z462" s="14" t="str">
        <f>IF('[1]P-GENERAL'!Z462="","",'[1]P-GENERAL'!Z462)</f>
        <v/>
      </c>
      <c r="AA462" s="14" t="str">
        <f>IF('[1]P-GENERAL'!AA462="","",'[1]P-GENERAL'!AA462)</f>
        <v>DESPACHADO</v>
      </c>
      <c r="AB462" s="8" t="str">
        <f>IF('[1]P-GENERAL'!AB462="","",'[1]P-GENERAL'!AB462)</f>
        <v>AUTO EXPRESS SEGOVIA</v>
      </c>
      <c r="AC462" s="8" t="str">
        <f>IF('[1]P-GENERAL'!AC462="","",'[1]P-GENERAL'!AC462)</f>
        <v/>
      </c>
      <c r="AD462" t="str">
        <f>IF('[1]P-GENERAL'!AD462="","",'[1]P-GENERAL'!AD462)</f>
        <v/>
      </c>
      <c r="AE462" t="str">
        <f>IF('[1]P-GENERAL'!AE462="","",'[1]P-GENERAL'!AE462)</f>
        <v/>
      </c>
    </row>
    <row r="463" spans="1:31" ht="20.25" x14ac:dyDescent="0.3">
      <c r="A463" s="11" t="str">
        <f>IF('[1]P-GENERAL'!A463="","",'[1]P-GENERAL'!A463)</f>
        <v>Chanitos Premium Tarima Americana</v>
      </c>
      <c r="B463" s="11" t="str">
        <f>IF('[1]P-GENERAL'!B463="","",'[1]P-GENERAL'!B463)</f>
        <v>CPR01103</v>
      </c>
      <c r="C463" t="str">
        <f>IF('[1]P-GENERAL'!C463="","",'[1]P-GENERAL'!C463)</f>
        <v>A01003-410810-1</v>
      </c>
      <c r="D463" t="str">
        <f>IF('[1]P-GENERAL'!D463="","",'[1]P-GENERAL'!D463)</f>
        <v>A01 003 Doña Nelly</v>
      </c>
      <c r="E463" s="8" t="str">
        <f>IF('[1]P-GENERAL'!E463="","",'[1]P-GENERAL'!E463)</f>
        <v>S-MTY</v>
      </c>
      <c r="F463" s="12">
        <f>IF('[1]P-GENERAL'!F463="","",'[1]P-GENERAL'!F463)</f>
        <v>288</v>
      </c>
      <c r="G463" s="13">
        <f>IF('[1]P-GENERAL'!G463="","",'[1]P-GENERAL'!G463)</f>
        <v>6</v>
      </c>
      <c r="H463" s="14">
        <f>IF('[1]P-GENERAL'!H463="","",'[1]P-GENERAL'!H463)</f>
        <v>46303</v>
      </c>
      <c r="I463">
        <f>IF('[1]P-GENERAL'!I463="","",'[1]P-GENERAL'!I463)</f>
        <v>41</v>
      </c>
      <c r="J463" s="15">
        <f>IF('[1]P-GENERAL'!J463="","",'[1]P-GENERAL'!J463)</f>
        <v>46309</v>
      </c>
      <c r="K463" s="14" t="str">
        <f>IF('[1]P-GENERAL'!K463="","",'[1]P-GENERAL'!K463)</f>
        <v/>
      </c>
      <c r="L463" s="14" t="str">
        <f>IF('[1]P-GENERAL'!L463="","",'[1]P-GENERAL'!L463)</f>
        <v>PREENFRIO NELLY</v>
      </c>
      <c r="M463">
        <f>IF('[1]P-GENERAL'!M463="","",'[1]P-GENERAL'!M463)</f>
        <v>3</v>
      </c>
      <c r="N463">
        <f>IF('[1]P-GENERAL'!N463="","",'[1]P-GENERAL'!N463)</f>
        <v>72</v>
      </c>
      <c r="O463" s="14">
        <f>IF('[1]P-GENERAL'!O463="","",'[1]P-GENERAL'!O463)</f>
        <v>46303</v>
      </c>
      <c r="P463" s="16">
        <f>IF('[1]P-GENERAL'!P463="","",'[1]P-GENERAL'!P463)</f>
        <v>0.75</v>
      </c>
      <c r="Q463" t="str">
        <f>IF('[1]P-GENERAL'!Q463="","",'[1]P-GENERAL'!Q463)</f>
        <v>ALTA</v>
      </c>
      <c r="R463" s="14">
        <f>IF('[1]P-GENERAL'!R463="","",'[1]P-GENERAL'!R463)</f>
        <v>46273</v>
      </c>
      <c r="S463" s="16">
        <f>IF('[1]P-GENERAL'!S463="","",'[1]P-GENERAL'!S463)</f>
        <v>0.99305555555555558</v>
      </c>
      <c r="T463" s="16">
        <f>IF('[1]P-GENERAL'!T463="","",'[1]P-GENERAL'!T463)</f>
        <v>0.4375</v>
      </c>
      <c r="U463" s="17">
        <f>IF('[1]P-GENERAL'!U463="","",'[1]P-GENERAL'!U463)</f>
        <v>46274.430555555555</v>
      </c>
      <c r="V463" s="14">
        <f>IF('[1]P-GENERAL'!V463="","",'[1]P-GENERAL'!V463)</f>
        <v>46305</v>
      </c>
      <c r="W463" s="16">
        <f>IF('[1]P-GENERAL'!W463="","",'[1]P-GENERAL'!W463)</f>
        <v>0.16666666666666666</v>
      </c>
      <c r="X463" s="14" t="str">
        <f>IF('[1]P-GENERAL'!X463="","",'[1]P-GENERAL'!X463)</f>
        <v>SI CUMPLE</v>
      </c>
      <c r="Y463" s="14" t="str">
        <f>IF('[1]P-GENERAL'!Y463="","",'[1]P-GENERAL'!Y463)</f>
        <v>SI CUMPLE</v>
      </c>
      <c r="Z463" s="14" t="str">
        <f>IF('[1]P-GENERAL'!Z463="","",'[1]P-GENERAL'!Z463)</f>
        <v/>
      </c>
      <c r="AA463" s="14" t="str">
        <f>IF('[1]P-GENERAL'!AA463="","",'[1]P-GENERAL'!AA463)</f>
        <v>DESPACHADO</v>
      </c>
      <c r="AB463" s="8" t="str">
        <f>IF('[1]P-GENERAL'!AB463="","",'[1]P-GENERAL'!AB463)</f>
        <v>AUTO EXPRESS SEGOVIA</v>
      </c>
      <c r="AC463" s="8" t="str">
        <f>IF('[1]P-GENERAL'!AC463="","",'[1]P-GENERAL'!AC463)</f>
        <v/>
      </c>
      <c r="AD463" t="str">
        <f>IF('[1]P-GENERAL'!AD463="","",'[1]P-GENERAL'!AD463)</f>
        <v/>
      </c>
      <c r="AE463" t="str">
        <f>IF('[1]P-GENERAL'!AE463="","",'[1]P-GENERAL'!AE463)</f>
        <v/>
      </c>
    </row>
    <row r="464" spans="1:31" ht="20.25" x14ac:dyDescent="0.3">
      <c r="A464" s="11" t="str">
        <f>IF('[1]P-GENERAL'!A464="","",'[1]P-GENERAL'!A464)</f>
        <v>Chanitos Premium Tarima Chep</v>
      </c>
      <c r="B464" s="11" t="str">
        <f>IF('[1]P-GENERAL'!B464="","",'[1]P-GENERAL'!B464)</f>
        <v>CPR01102</v>
      </c>
      <c r="C464" t="str">
        <f>IF('[1]P-GENERAL'!C464="","",'[1]P-GENERAL'!C464)</f>
        <v>A01003-410810-1</v>
      </c>
      <c r="D464" t="str">
        <f>IF('[1]P-GENERAL'!D464="","",'[1]P-GENERAL'!D464)</f>
        <v>A01 003 Doña Nelly</v>
      </c>
      <c r="E464" s="8" t="str">
        <f>IF('[1]P-GENERAL'!E464="","",'[1]P-GENERAL'!E464)</f>
        <v>Chalco</v>
      </c>
      <c r="F464" s="12">
        <f>IF('[1]P-GENERAL'!F464="","",'[1]P-GENERAL'!F464)</f>
        <v>240</v>
      </c>
      <c r="G464" s="13">
        <f>IF('[1]P-GENERAL'!G464="","",'[1]P-GENERAL'!G464)</f>
        <v>5</v>
      </c>
      <c r="H464" s="14">
        <f>IF('[1]P-GENERAL'!H464="","",'[1]P-GENERAL'!H464)</f>
        <v>46303</v>
      </c>
      <c r="I464">
        <f>IF('[1]P-GENERAL'!I464="","",'[1]P-GENERAL'!I464)</f>
        <v>41</v>
      </c>
      <c r="J464" s="15">
        <f>IF('[1]P-GENERAL'!J464="","",'[1]P-GENERAL'!J464)</f>
        <v>46307</v>
      </c>
      <c r="K464" s="14" t="str">
        <f>IF('[1]P-GENERAL'!K464="","",'[1]P-GENERAL'!K464)</f>
        <v/>
      </c>
      <c r="L464" s="14" t="str">
        <f>IF('[1]P-GENERAL'!L464="","",'[1]P-GENERAL'!L464)</f>
        <v>PREENFRIO NELLY</v>
      </c>
      <c r="M464">
        <f>IF('[1]P-GENERAL'!M464="","",'[1]P-GENERAL'!M464)</f>
        <v>1</v>
      </c>
      <c r="N464">
        <f>IF('[1]P-GENERAL'!N464="","",'[1]P-GENERAL'!N464)</f>
        <v>24</v>
      </c>
      <c r="O464" s="14">
        <f>IF('[1]P-GENERAL'!O464="","",'[1]P-GENERAL'!O464)</f>
        <v>46304</v>
      </c>
      <c r="P464" s="16">
        <f>IF('[1]P-GENERAL'!P464="","",'[1]P-GENERAL'!P464)</f>
        <v>0.75</v>
      </c>
      <c r="Q464" t="str">
        <f>IF('[1]P-GENERAL'!Q464="","",'[1]P-GENERAL'!Q464)</f>
        <v>ALTA</v>
      </c>
      <c r="R464" s="14">
        <f>IF('[1]P-GENERAL'!R464="","",'[1]P-GENERAL'!R464)</f>
        <v>46304</v>
      </c>
      <c r="S464" s="16">
        <f>IF('[1]P-GENERAL'!S464="","",'[1]P-GENERAL'!S464)</f>
        <v>0.52083333333333337</v>
      </c>
      <c r="T464" s="16">
        <f>IF('[1]P-GENERAL'!T464="","",'[1]P-GENERAL'!T464)</f>
        <v>0.35416666666666669</v>
      </c>
      <c r="U464" s="17">
        <f>IF('[1]P-GENERAL'!U464="","",'[1]P-GENERAL'!U464)</f>
        <v>46304.875</v>
      </c>
      <c r="V464" s="14">
        <f>IF('[1]P-GENERAL'!V464="","",'[1]P-GENERAL'!V464)</f>
        <v>46304</v>
      </c>
      <c r="W464" s="16">
        <f>IF('[1]P-GENERAL'!W464="","",'[1]P-GENERAL'!W464)</f>
        <v>0.79861111111111116</v>
      </c>
      <c r="X464" s="14" t="str">
        <f>IF('[1]P-GENERAL'!X464="","",'[1]P-GENERAL'!X464)</f>
        <v>SI CUMPLE</v>
      </c>
      <c r="Y464" s="14" t="str">
        <f>IF('[1]P-GENERAL'!Y464="","",'[1]P-GENERAL'!Y464)</f>
        <v>SI CUMPLE</v>
      </c>
      <c r="Z464" s="14" t="str">
        <f>IF('[1]P-GENERAL'!Z464="","",'[1]P-GENERAL'!Z464)</f>
        <v/>
      </c>
      <c r="AA464" s="14" t="str">
        <f>IF('[1]P-GENERAL'!AA464="","",'[1]P-GENERAL'!AA464)</f>
        <v>DESPACHADO</v>
      </c>
      <c r="AB464" s="8" t="str">
        <f>IF('[1]P-GENERAL'!AB464="","",'[1]P-GENERAL'!AB464)</f>
        <v/>
      </c>
      <c r="AC464" s="8" t="str">
        <f>IF('[1]P-GENERAL'!AC464="","",'[1]P-GENERAL'!AC464)</f>
        <v/>
      </c>
      <c r="AD464" t="str">
        <f>IF('[1]P-GENERAL'!AD464="","",'[1]P-GENERAL'!AD464)</f>
        <v/>
      </c>
      <c r="AE464" t="str">
        <f>IF('[1]P-GENERAL'!AE464="","",'[1]P-GENERAL'!AE464)</f>
        <v/>
      </c>
    </row>
    <row r="465" spans="1:31" ht="20.25" x14ac:dyDescent="0.3">
      <c r="A465" s="11" t="str">
        <f>IF('[1]P-GENERAL'!A465="","",'[1]P-GENERAL'!A465)</f>
        <v>Platano de Chiapas BAE UPC 3237</v>
      </c>
      <c r="B465" s="11" t="str">
        <f>IF('[1]P-GENERAL'!B465="","",'[1]P-GENERAL'!B465)</f>
        <v>CPR01114</v>
      </c>
      <c r="C465" t="str">
        <f>IF('[1]P-GENERAL'!C465="","",'[1]P-GENERAL'!C465)</f>
        <v>A01003-410810-1</v>
      </c>
      <c r="D465" t="str">
        <f>IF('[1]P-GENERAL'!D465="","",'[1]P-GENERAL'!D465)</f>
        <v>A01 003 Doña Nelly</v>
      </c>
      <c r="E465" s="8" t="str">
        <f>IF('[1]P-GENERAL'!E465="","",'[1]P-GENERAL'!E465)</f>
        <v>Chalco</v>
      </c>
      <c r="F465" s="12">
        <f>IF('[1]P-GENERAL'!F465="","",'[1]P-GENERAL'!F465)</f>
        <v>42</v>
      </c>
      <c r="G465" s="13">
        <f>IF('[1]P-GENERAL'!G465="","",'[1]P-GENERAL'!G465)</f>
        <v>0.875</v>
      </c>
      <c r="H465" s="14">
        <f>IF('[1]P-GENERAL'!H465="","",'[1]P-GENERAL'!H465)</f>
        <v>46303</v>
      </c>
      <c r="I465">
        <f>IF('[1]P-GENERAL'!I465="","",'[1]P-GENERAL'!I465)</f>
        <v>41</v>
      </c>
      <c r="J465" s="15">
        <f>IF('[1]P-GENERAL'!J465="","",'[1]P-GENERAL'!J465)</f>
        <v>46309</v>
      </c>
      <c r="K465" s="14" t="str">
        <f>IF('[1]P-GENERAL'!K465="","",'[1]P-GENERAL'!K465)</f>
        <v/>
      </c>
      <c r="L465" s="14" t="str">
        <f>IF('[1]P-GENERAL'!L465="","",'[1]P-GENERAL'!L465)</f>
        <v>PREENFRIO NELLY</v>
      </c>
      <c r="M465">
        <f>IF('[1]P-GENERAL'!M465="","",'[1]P-GENERAL'!M465)</f>
        <v>1</v>
      </c>
      <c r="N465">
        <f>IF('[1]P-GENERAL'!N465="","",'[1]P-GENERAL'!N465)</f>
        <v>24</v>
      </c>
      <c r="O465" s="14">
        <f>IF('[1]P-GENERAL'!O465="","",'[1]P-GENERAL'!O465)</f>
        <v>46304</v>
      </c>
      <c r="P465" s="16">
        <f>IF('[1]P-GENERAL'!P465="","",'[1]P-GENERAL'!P465)</f>
        <v>0.75</v>
      </c>
      <c r="Q465" t="str">
        <f>IF('[1]P-GENERAL'!Q465="","",'[1]P-GENERAL'!Q465)</f>
        <v>ALTA</v>
      </c>
      <c r="R465" s="14">
        <f>IF('[1]P-GENERAL'!R465="","",'[1]P-GENERAL'!R465)</f>
        <v>46304</v>
      </c>
      <c r="S465" s="16">
        <f>IF('[1]P-GENERAL'!S465="","",'[1]P-GENERAL'!S465)</f>
        <v>0.52083333333333337</v>
      </c>
      <c r="T465" s="16">
        <f>IF('[1]P-GENERAL'!T465="","",'[1]P-GENERAL'!T465)</f>
        <v>0.35416666666666669</v>
      </c>
      <c r="U465" s="17">
        <f>IF('[1]P-GENERAL'!U465="","",'[1]P-GENERAL'!U465)</f>
        <v>46304.875</v>
      </c>
      <c r="V465" s="14">
        <f>IF('[1]P-GENERAL'!V465="","",'[1]P-GENERAL'!V465)</f>
        <v>46304</v>
      </c>
      <c r="W465" s="16">
        <f>IF('[1]P-GENERAL'!W465="","",'[1]P-GENERAL'!W465)</f>
        <v>0.79861111111111116</v>
      </c>
      <c r="X465" s="14" t="str">
        <f>IF('[1]P-GENERAL'!X465="","",'[1]P-GENERAL'!X465)</f>
        <v>SI CUMPLE</v>
      </c>
      <c r="Y465" s="14" t="str">
        <f>IF('[1]P-GENERAL'!Y465="","",'[1]P-GENERAL'!Y465)</f>
        <v>SI CUMPLE</v>
      </c>
      <c r="Z465" s="14" t="str">
        <f>IF('[1]P-GENERAL'!Z465="","",'[1]P-GENERAL'!Z465)</f>
        <v/>
      </c>
      <c r="AA465" s="14" t="str">
        <f>IF('[1]P-GENERAL'!AA465="","",'[1]P-GENERAL'!AA465)</f>
        <v>DESPACHADO</v>
      </c>
      <c r="AB465" s="8" t="str">
        <f>IF('[1]P-GENERAL'!AB465="","",'[1]P-GENERAL'!AB465)</f>
        <v>LEOPOLDO LEGORRETA LEGORRETA</v>
      </c>
      <c r="AC465" s="8" t="str">
        <f>IF('[1]P-GENERAL'!AC465="","",'[1]P-GENERAL'!AC465)</f>
        <v>OSCAR CRUZ GARCIA</v>
      </c>
      <c r="AD465" t="str">
        <f>IF('[1]P-GENERAL'!AD465="","",'[1]P-GENERAL'!AD465)</f>
        <v/>
      </c>
      <c r="AE465" t="str">
        <f>IF('[1]P-GENERAL'!AE465="","",'[1]P-GENERAL'!AE465)</f>
        <v/>
      </c>
    </row>
    <row r="466" spans="1:31" ht="20.25" x14ac:dyDescent="0.3">
      <c r="A466" s="11" t="str">
        <f>IF('[1]P-GENERAL'!A466="","",'[1]P-GENERAL'!A466)</f>
        <v>Chanitos Organic Banded Market Side Mexico</v>
      </c>
      <c r="B466" s="11" t="str">
        <f>IF('[1]P-GENERAL'!B466="","",'[1]P-GENERAL'!B466)</f>
        <v>CRG07128</v>
      </c>
      <c r="C466" t="str">
        <f>IF('[1]P-GENERAL'!C466="","",'[1]P-GENERAL'!C466)</f>
        <v>A01002-410610-1</v>
      </c>
      <c r="D466" t="str">
        <f>IF('[1]P-GENERAL'!D466="","",'[1]P-GENERAL'!D466)</f>
        <v>A01 002 Fortaleza</v>
      </c>
      <c r="E466" s="8" t="str">
        <f>IF('[1]P-GENERAL'!E466="","",'[1]P-GENERAL'!E466)</f>
        <v>VSA</v>
      </c>
      <c r="F466" s="12">
        <f>IF('[1]P-GENERAL'!F466="","",'[1]P-GENERAL'!F466)</f>
        <v>240</v>
      </c>
      <c r="G466" s="13">
        <f>IF('[1]P-GENERAL'!G466="","",'[1]P-GENERAL'!G466)</f>
        <v>5</v>
      </c>
      <c r="H466" s="14">
        <f>IF('[1]P-GENERAL'!H466="","",'[1]P-GENERAL'!H466)</f>
        <v>46301</v>
      </c>
      <c r="I466">
        <f>IF('[1]P-GENERAL'!I466="","",'[1]P-GENERAL'!I466)</f>
        <v>41</v>
      </c>
      <c r="J466" s="15">
        <f>IF('[1]P-GENERAL'!J466="","",'[1]P-GENERAL'!J466)</f>
        <v>46305</v>
      </c>
      <c r="K466" s="14" t="str">
        <f>IF('[1]P-GENERAL'!K466="","",'[1]P-GENERAL'!K466)</f>
        <v/>
      </c>
      <c r="L466" s="14" t="str">
        <f>IF('[1]P-GENERAL'!L466="","",'[1]P-GENERAL'!L466)</f>
        <v>PREENFRIO FORTALEZA</v>
      </c>
      <c r="M466">
        <f>IF('[1]P-GENERAL'!M466="","",'[1]P-GENERAL'!M466)</f>
        <v>1</v>
      </c>
      <c r="N466">
        <f>IF('[1]P-GENERAL'!N466="","",'[1]P-GENERAL'!N466)</f>
        <v>24</v>
      </c>
      <c r="O466" s="14">
        <f>IF('[1]P-GENERAL'!O466="","",'[1]P-GENERAL'!O466)</f>
        <v>46301</v>
      </c>
      <c r="P466" s="16">
        <f>IF('[1]P-GENERAL'!P466="","",'[1]P-GENERAL'!P466)</f>
        <v>0.58750000000000002</v>
      </c>
      <c r="Q466" t="str">
        <f>IF('[1]P-GENERAL'!Q466="","",'[1]P-GENERAL'!Q466)</f>
        <v>NORMAL</v>
      </c>
      <c r="R466" s="14">
        <f>IF('[1]P-GENERAL'!R466="","",'[1]P-GENERAL'!R466)</f>
        <v>46301</v>
      </c>
      <c r="S466" s="16">
        <f>IF('[1]P-GENERAL'!S466="","",'[1]P-GENERAL'!S466)</f>
        <v>0.90763888888888888</v>
      </c>
      <c r="T466" s="16">
        <f>IF('[1]P-GENERAL'!T466="","",'[1]P-GENERAL'!T466)</f>
        <v>0.625</v>
      </c>
      <c r="U466" s="17">
        <f>IF('[1]P-GENERAL'!U466="","",'[1]P-GENERAL'!U466)</f>
        <v>46302.532638888886</v>
      </c>
      <c r="V466" s="14">
        <f>IF('[1]P-GENERAL'!V466="","",'[1]P-GENERAL'!V466)</f>
        <v>46303</v>
      </c>
      <c r="W466" s="16">
        <f>IF('[1]P-GENERAL'!W466="","",'[1]P-GENERAL'!W466)</f>
        <v>0.45833333333333331</v>
      </c>
      <c r="X466" s="14" t="str">
        <f>IF('[1]P-GENERAL'!X466="","",'[1]P-GENERAL'!X466)</f>
        <v>SI CUMPLE</v>
      </c>
      <c r="Y466" s="14" t="str">
        <f>IF('[1]P-GENERAL'!Y466="","",'[1]P-GENERAL'!Y466)</f>
        <v>SI CUMPLE</v>
      </c>
      <c r="Z466" s="14" t="str">
        <f>IF('[1]P-GENERAL'!Z466="","",'[1]P-GENERAL'!Z466)</f>
        <v/>
      </c>
      <c r="AA466" s="14" t="str">
        <f>IF('[1]P-GENERAL'!AA466="","",'[1]P-GENERAL'!AA466)</f>
        <v>DESPACHADO</v>
      </c>
      <c r="AB466" s="8" t="str">
        <f>IF('[1]P-GENERAL'!AB466="","",'[1]P-GENERAL'!AB466)</f>
        <v>GENARO IBAÑEZ ROJAS</v>
      </c>
      <c r="AC466" s="8" t="str">
        <f>IF('[1]P-GENERAL'!AC466="","",'[1]P-GENERAL'!AC466)</f>
        <v>VICENTE SANCHEZ RUEDA</v>
      </c>
      <c r="AD466">
        <f>IF('[1]P-GENERAL'!AD466="","",'[1]P-GENERAL'!AD466)</f>
        <v>33700</v>
      </c>
      <c r="AE466" t="str">
        <f>IF('[1]P-GENERAL'!AE466="","",'[1]P-GENERAL'!AE466)</f>
        <v>QF91W043B0</v>
      </c>
    </row>
    <row r="467" spans="1:31" ht="20.25" x14ac:dyDescent="0.3">
      <c r="A467" s="11" t="str">
        <f>IF('[1]P-GENERAL'!A467="","",'[1]P-GENERAL'!A467)</f>
        <v>Chanitos Premium Tarima Chep</v>
      </c>
      <c r="B467" s="11" t="str">
        <f>IF('[1]P-GENERAL'!B467="","",'[1]P-GENERAL'!B467)</f>
        <v>CPR01102</v>
      </c>
      <c r="C467" t="str">
        <f>IF('[1]P-GENERAL'!C467="","",'[1]P-GENERAL'!C467)</f>
        <v>A01002-410610-1</v>
      </c>
      <c r="D467" t="str">
        <f>IF('[1]P-GENERAL'!D467="","",'[1]P-GENERAL'!D467)</f>
        <v>A01 002 Fortaleza</v>
      </c>
      <c r="E467" s="8" t="str">
        <f>IF('[1]P-GENERAL'!E467="","",'[1]P-GENERAL'!E467)</f>
        <v>VSA</v>
      </c>
      <c r="F467" s="12">
        <f>IF('[1]P-GENERAL'!F467="","",'[1]P-GENERAL'!F467)</f>
        <v>672</v>
      </c>
      <c r="G467" s="13">
        <f>IF('[1]P-GENERAL'!G467="","",'[1]P-GENERAL'!G467)</f>
        <v>14</v>
      </c>
      <c r="H467" s="14">
        <f>IF('[1]P-GENERAL'!H467="","",'[1]P-GENERAL'!H467)</f>
        <v>46301</v>
      </c>
      <c r="I467">
        <f>IF('[1]P-GENERAL'!I467="","",'[1]P-GENERAL'!I467)</f>
        <v>41</v>
      </c>
      <c r="J467" s="15">
        <f>IF('[1]P-GENERAL'!J467="","",'[1]P-GENERAL'!J467)</f>
        <v>46305</v>
      </c>
      <c r="K467" s="14" t="str">
        <f>IF('[1]P-GENERAL'!K467="","",'[1]P-GENERAL'!K467)</f>
        <v/>
      </c>
      <c r="L467" s="14" t="str">
        <f>IF('[1]P-GENERAL'!L467="","",'[1]P-GENERAL'!L467)</f>
        <v>PREENFRIO FORTALEZA</v>
      </c>
      <c r="M467">
        <f>IF('[1]P-GENERAL'!M467="","",'[1]P-GENERAL'!M467)</f>
        <v>1</v>
      </c>
      <c r="N467">
        <f>IF('[1]P-GENERAL'!N467="","",'[1]P-GENERAL'!N467)</f>
        <v>24</v>
      </c>
      <c r="O467" s="14">
        <f>IF('[1]P-GENERAL'!O467="","",'[1]P-GENERAL'!O467)</f>
        <v>46301</v>
      </c>
      <c r="P467" s="16">
        <f>IF('[1]P-GENERAL'!P467="","",'[1]P-GENERAL'!P467)</f>
        <v>0.58750000000000002</v>
      </c>
      <c r="Q467" t="str">
        <f>IF('[1]P-GENERAL'!Q467="","",'[1]P-GENERAL'!Q467)</f>
        <v>NORMAL</v>
      </c>
      <c r="R467" s="14">
        <f>IF('[1]P-GENERAL'!R467="","",'[1]P-GENERAL'!R467)</f>
        <v>46301</v>
      </c>
      <c r="S467" s="16">
        <f>IF('[1]P-GENERAL'!S467="","",'[1]P-GENERAL'!S467)</f>
        <v>0.90763888888888888</v>
      </c>
      <c r="T467" s="16">
        <f>IF('[1]P-GENERAL'!T467="","",'[1]P-GENERAL'!T467)</f>
        <v>0.625</v>
      </c>
      <c r="U467" s="17">
        <f>IF('[1]P-GENERAL'!U467="","",'[1]P-GENERAL'!U467)</f>
        <v>46302.532638888886</v>
      </c>
      <c r="V467" s="14">
        <f>IF('[1]P-GENERAL'!V467="","",'[1]P-GENERAL'!V467)</f>
        <v>46303</v>
      </c>
      <c r="W467" s="16">
        <f>IF('[1]P-GENERAL'!W467="","",'[1]P-GENERAL'!W467)</f>
        <v>0.45833333333333331</v>
      </c>
      <c r="X467" s="14" t="str">
        <f>IF('[1]P-GENERAL'!X467="","",'[1]P-GENERAL'!X467)</f>
        <v>SI CUMPLE</v>
      </c>
      <c r="Y467" s="14" t="str">
        <f>IF('[1]P-GENERAL'!Y467="","",'[1]P-GENERAL'!Y467)</f>
        <v>SI CUMPLE</v>
      </c>
      <c r="Z467" s="14" t="str">
        <f>IF('[1]P-GENERAL'!Z467="","",'[1]P-GENERAL'!Z467)</f>
        <v/>
      </c>
      <c r="AA467" s="14" t="str">
        <f>IF('[1]P-GENERAL'!AA467="","",'[1]P-GENERAL'!AA467)</f>
        <v>DESPACHADO</v>
      </c>
      <c r="AB467" s="8" t="str">
        <f>IF('[1]P-GENERAL'!AB467="","",'[1]P-GENERAL'!AB467)</f>
        <v>GENARO IBAÑEZ ROJAS</v>
      </c>
      <c r="AC467" s="8" t="str">
        <f>IF('[1]P-GENERAL'!AC467="","",'[1]P-GENERAL'!AC467)</f>
        <v>VICENTE SANCHEZ RUEDA</v>
      </c>
      <c r="AD467">
        <f>IF('[1]P-GENERAL'!AD467="","",'[1]P-GENERAL'!AD467)</f>
        <v>33700</v>
      </c>
      <c r="AE467" t="str">
        <f>IF('[1]P-GENERAL'!AE467="","",'[1]P-GENERAL'!AE467)</f>
        <v>QF91W043B0</v>
      </c>
    </row>
    <row r="468" spans="1:31" ht="20.25" x14ac:dyDescent="0.3">
      <c r="A468" s="11" t="str">
        <f>IF('[1]P-GENERAL'!A468="","",'[1]P-GENERAL'!A468)</f>
        <v>Chanitos Premium Tarima Chep</v>
      </c>
      <c r="B468" s="11" t="str">
        <f>IF('[1]P-GENERAL'!B468="","",'[1]P-GENERAL'!B468)</f>
        <v>CPR01102</v>
      </c>
      <c r="C468" t="str">
        <f>IF('[1]P-GENERAL'!C468="","",'[1]P-GENERAL'!C468)</f>
        <v>A01002-410810-1</v>
      </c>
      <c r="D468" t="str">
        <f>IF('[1]P-GENERAL'!D468="","",'[1]P-GENERAL'!D468)</f>
        <v>A01 002 Fortaleza</v>
      </c>
      <c r="E468" s="8" t="str">
        <f>IF('[1]P-GENERAL'!E468="","",'[1]P-GENERAL'!E468)</f>
        <v>Chalco</v>
      </c>
      <c r="F468" s="12">
        <f>IF('[1]P-GENERAL'!F468="","",'[1]P-GENERAL'!F468)</f>
        <v>240</v>
      </c>
      <c r="G468" s="13">
        <f>IF('[1]P-GENERAL'!G468="","",'[1]P-GENERAL'!G468)</f>
        <v>5</v>
      </c>
      <c r="H468" s="14">
        <f>IF('[1]P-GENERAL'!H468="","",'[1]P-GENERAL'!H468)</f>
        <v>46303</v>
      </c>
      <c r="I468">
        <f>IF('[1]P-GENERAL'!I468="","",'[1]P-GENERAL'!I468)</f>
        <v>41</v>
      </c>
      <c r="J468" s="15">
        <f>IF('[1]P-GENERAL'!J468="","",'[1]P-GENERAL'!J468)</f>
        <v>46307</v>
      </c>
      <c r="K468" s="14" t="str">
        <f>IF('[1]P-GENERAL'!K468="","",'[1]P-GENERAL'!K468)</f>
        <v/>
      </c>
      <c r="L468" s="14" t="str">
        <f>IF('[1]P-GENERAL'!L468="","",'[1]P-GENERAL'!L468)</f>
        <v>PREENFRIO FORTALEZA</v>
      </c>
      <c r="M468">
        <f>IF('[1]P-GENERAL'!M468="","",'[1]P-GENERAL'!M468)</f>
        <v>1</v>
      </c>
      <c r="N468">
        <f>IF('[1]P-GENERAL'!N468="","",'[1]P-GENERAL'!N468)</f>
        <v>24</v>
      </c>
      <c r="O468" s="14">
        <f>IF('[1]P-GENERAL'!O468="","",'[1]P-GENERAL'!O468)</f>
        <v>46303</v>
      </c>
      <c r="P468" s="16">
        <f>IF('[1]P-GENERAL'!P468="","",'[1]P-GENERAL'!P468)</f>
        <v>0.67500000000000004</v>
      </c>
      <c r="Q468" t="str">
        <f>IF('[1]P-GENERAL'!Q468="","",'[1]P-GENERAL'!Q468)</f>
        <v>NORMAL</v>
      </c>
      <c r="R468" s="14">
        <f>IF('[1]P-GENERAL'!R468="","",'[1]P-GENERAL'!R468)</f>
        <v>46303</v>
      </c>
      <c r="S468" s="16">
        <f>IF('[1]P-GENERAL'!S468="","",'[1]P-GENERAL'!S468)</f>
        <v>0.70902777777777781</v>
      </c>
      <c r="T468" s="16">
        <f>IF('[1]P-GENERAL'!T468="","",'[1]P-GENERAL'!T468)</f>
        <v>0.20833333333333334</v>
      </c>
      <c r="U468" s="17">
        <f>IF('[1]P-GENERAL'!U468="","",'[1]P-GENERAL'!U468)</f>
        <v>46303.917361111111</v>
      </c>
      <c r="V468" s="14">
        <f>IF('[1]P-GENERAL'!V468="","",'[1]P-GENERAL'!V468)</f>
        <v>46303</v>
      </c>
      <c r="W468" s="16">
        <f>IF('[1]P-GENERAL'!W468="","",'[1]P-GENERAL'!W468)</f>
        <v>0.95833333333333337</v>
      </c>
      <c r="X468" s="14" t="str">
        <f>IF('[1]P-GENERAL'!X468="","",'[1]P-GENERAL'!X468)</f>
        <v>SI CUMPLE</v>
      </c>
      <c r="Y468" s="14" t="str">
        <f>IF('[1]P-GENERAL'!Y468="","",'[1]P-GENERAL'!Y468)</f>
        <v>SI CUMPLE</v>
      </c>
      <c r="Z468" s="14" t="str">
        <f>IF('[1]P-GENERAL'!Z468="","",'[1]P-GENERAL'!Z468)</f>
        <v/>
      </c>
      <c r="AA468" s="14" t="str">
        <f>IF('[1]P-GENERAL'!AA468="","",'[1]P-GENERAL'!AA468)</f>
        <v>DESPACHADO</v>
      </c>
      <c r="AB468" s="8" t="str">
        <f>IF('[1]P-GENERAL'!AB468="","",'[1]P-GENERAL'!AB468)</f>
        <v>T&amp;L INTERNACIONAL ASE</v>
      </c>
      <c r="AC468" s="8" t="str">
        <f>IF('[1]P-GENERAL'!AC468="","",'[1]P-GENERAL'!AC468)</f>
        <v>CERVANDO OTAMENDI</v>
      </c>
      <c r="AD468">
        <f>IF('[1]P-GENERAL'!AD468="","",'[1]P-GENERAL'!AD468)</f>
        <v>65227</v>
      </c>
      <c r="AE468" t="str">
        <f>IF('[1]P-GENERAL'!AE468="","",'[1]P-GENERAL'!AE468)</f>
        <v>QF91W043Z0</v>
      </c>
    </row>
    <row r="469" spans="1:31" ht="20.25" x14ac:dyDescent="0.3">
      <c r="A469" s="11" t="str">
        <f>IF('[1]P-GENERAL'!A469="","",'[1]P-GENERAL'!A469)</f>
        <v>Chanitos Organic Banded Market Side Mexico</v>
      </c>
      <c r="B469" s="11" t="str">
        <f>IF('[1]P-GENERAL'!B469="","",'[1]P-GENERAL'!B469)</f>
        <v>CRG07128</v>
      </c>
      <c r="C469" t="str">
        <f>IF('[1]P-GENERAL'!C469="","",'[1]P-GENERAL'!C469)</f>
        <v>A01002-410810-1</v>
      </c>
      <c r="D469" t="str">
        <f>IF('[1]P-GENERAL'!D469="","",'[1]P-GENERAL'!D469)</f>
        <v>A01 002 Fortaleza</v>
      </c>
      <c r="E469" s="8" t="str">
        <f>IF('[1]P-GENERAL'!E469="","",'[1]P-GENERAL'!E469)</f>
        <v>VSA</v>
      </c>
      <c r="F469" s="12">
        <f>IF('[1]P-GENERAL'!F469="","",'[1]P-GENERAL'!F469)</f>
        <v>288</v>
      </c>
      <c r="G469" s="13">
        <f>IF('[1]P-GENERAL'!G469="","",'[1]P-GENERAL'!G469)</f>
        <v>6</v>
      </c>
      <c r="H469" s="14">
        <f>IF('[1]P-GENERAL'!H469="","",'[1]P-GENERAL'!H469)</f>
        <v>46303</v>
      </c>
      <c r="I469">
        <f>IF('[1]P-GENERAL'!I469="","",'[1]P-GENERAL'!I469)</f>
        <v>41</v>
      </c>
      <c r="J469" s="15">
        <f>IF('[1]P-GENERAL'!J469="","",'[1]P-GENERAL'!J469)</f>
        <v>46307</v>
      </c>
      <c r="K469" s="14" t="str">
        <f>IF('[1]P-GENERAL'!K469="","",'[1]P-GENERAL'!K469)</f>
        <v/>
      </c>
      <c r="L469" s="14" t="str">
        <f>IF('[1]P-GENERAL'!L469="","",'[1]P-GENERAL'!L469)</f>
        <v>PREENFRIO FORTALEZA</v>
      </c>
      <c r="M469">
        <f>IF('[1]P-GENERAL'!M469="","",'[1]P-GENERAL'!M469)</f>
        <v>1</v>
      </c>
      <c r="N469">
        <f>IF('[1]P-GENERAL'!N469="","",'[1]P-GENERAL'!N469)</f>
        <v>24</v>
      </c>
      <c r="O469" s="14">
        <f>IF('[1]P-GENERAL'!O469="","",'[1]P-GENERAL'!O469)</f>
        <v>46303</v>
      </c>
      <c r="P469" s="16">
        <f>IF('[1]P-GENERAL'!P469="","",'[1]P-GENERAL'!P469)</f>
        <v>0.67500000000000004</v>
      </c>
      <c r="Q469" t="str">
        <f>IF('[1]P-GENERAL'!Q469="","",'[1]P-GENERAL'!Q469)</f>
        <v>NORMAL</v>
      </c>
      <c r="R469" s="14">
        <f>IF('[1]P-GENERAL'!R469="","",'[1]P-GENERAL'!R469)</f>
        <v>46304</v>
      </c>
      <c r="S469" s="16">
        <f>IF('[1]P-GENERAL'!S469="","",'[1]P-GENERAL'!S469)</f>
        <v>0.16319444444444445</v>
      </c>
      <c r="T469" s="16">
        <f>IF('[1]P-GENERAL'!T469="","",'[1]P-GENERAL'!T469)</f>
        <v>0.45833333333333331</v>
      </c>
      <c r="U469" s="17">
        <f>IF('[1]P-GENERAL'!U469="","",'[1]P-GENERAL'!U469)</f>
        <v>46304.621527777781</v>
      </c>
      <c r="V469" s="14">
        <f>IF('[1]P-GENERAL'!V469="","",'[1]P-GENERAL'!V469)</f>
        <v>46306</v>
      </c>
      <c r="W469" s="16">
        <f>IF('[1]P-GENERAL'!W469="","",'[1]P-GENERAL'!W469)</f>
        <v>0.2638888888888889</v>
      </c>
      <c r="X469" s="14" t="str">
        <f>IF('[1]P-GENERAL'!X469="","",'[1]P-GENERAL'!X469)</f>
        <v>SI CUMPLE</v>
      </c>
      <c r="Y469" s="14" t="str">
        <f>IF('[1]P-GENERAL'!Y469="","",'[1]P-GENERAL'!Y469)</f>
        <v>NO CUMPLE</v>
      </c>
      <c r="Z469" s="14" t="str">
        <f>IF('[1]P-GENERAL'!Z469="","",'[1]P-GENERAL'!Z469)</f>
        <v/>
      </c>
      <c r="AA469" s="14" t="str">
        <f>IF('[1]P-GENERAL'!AA469="","",'[1]P-GENERAL'!AA469)</f>
        <v>DESPACHADO</v>
      </c>
      <c r="AB469" s="8" t="str">
        <f>IF('[1]P-GENERAL'!AB469="","",'[1]P-GENERAL'!AB469)</f>
        <v>GENARO IBAÑEZ ROJAS</v>
      </c>
      <c r="AC469" s="8" t="str">
        <f>IF('[1]P-GENERAL'!AC469="","",'[1]P-GENERAL'!AC469)</f>
        <v>VICENTE SANCHEZ RUEDA</v>
      </c>
      <c r="AD469">
        <f>IF('[1]P-GENERAL'!AD469="","",'[1]P-GENERAL'!AD469)</f>
        <v>25377</v>
      </c>
      <c r="AE469" t="str">
        <f>IF('[1]P-GENERAL'!AE469="","",'[1]P-GENERAL'!AE469)</f>
        <v>QF91W04W20</v>
      </c>
    </row>
    <row r="470" spans="1:31" ht="20.25" x14ac:dyDescent="0.3">
      <c r="A470" s="11" t="str">
        <f>IF('[1]P-GENERAL'!A470="","",'[1]P-GENERAL'!A470)</f>
        <v>Chanitos Premium Tarima Chep</v>
      </c>
      <c r="B470" s="11" t="str">
        <f>IF('[1]P-GENERAL'!B470="","",'[1]P-GENERAL'!B470)</f>
        <v>CPR01102</v>
      </c>
      <c r="C470" t="str">
        <f>IF('[1]P-GENERAL'!C470="","",'[1]P-GENERAL'!C470)</f>
        <v>A01002-410810-1</v>
      </c>
      <c r="D470" t="str">
        <f>IF('[1]P-GENERAL'!D470="","",'[1]P-GENERAL'!D470)</f>
        <v>A01 002 Fortaleza</v>
      </c>
      <c r="E470" s="8" t="str">
        <f>IF('[1]P-GENERAL'!E470="","",'[1]P-GENERAL'!E470)</f>
        <v>Chalco</v>
      </c>
      <c r="F470" s="12">
        <f>IF('[1]P-GENERAL'!F470="","",'[1]P-GENERAL'!F470)</f>
        <v>432</v>
      </c>
      <c r="G470" s="13">
        <f>IF('[1]P-GENERAL'!G470="","",'[1]P-GENERAL'!G470)</f>
        <v>9</v>
      </c>
      <c r="H470" s="14">
        <f>IF('[1]P-GENERAL'!H470="","",'[1]P-GENERAL'!H470)</f>
        <v>46303</v>
      </c>
      <c r="I470">
        <f>IF('[1]P-GENERAL'!I470="","",'[1]P-GENERAL'!I470)</f>
        <v>41</v>
      </c>
      <c r="J470" s="15">
        <f>IF('[1]P-GENERAL'!J470="","",'[1]P-GENERAL'!J470)</f>
        <v>46309</v>
      </c>
      <c r="K470" s="14" t="str">
        <f>IF('[1]P-GENERAL'!K470="","",'[1]P-GENERAL'!K470)</f>
        <v/>
      </c>
      <c r="L470" s="14" t="str">
        <f>IF('[1]P-GENERAL'!L470="","",'[1]P-GENERAL'!L470)</f>
        <v>PREENFRIO FORTALEZA</v>
      </c>
      <c r="M470">
        <f>IF('[1]P-GENERAL'!M470="","",'[1]P-GENERAL'!M470)</f>
        <v>1</v>
      </c>
      <c r="N470">
        <f>IF('[1]P-GENERAL'!N470="","",'[1]P-GENERAL'!N470)</f>
        <v>24</v>
      </c>
      <c r="O470" s="14">
        <f>IF('[1]P-GENERAL'!O470="","",'[1]P-GENERAL'!O470)</f>
        <v>46303</v>
      </c>
      <c r="P470" s="16">
        <f>IF('[1]P-GENERAL'!P470="","",'[1]P-GENERAL'!P470)</f>
        <v>0.67500000000000004</v>
      </c>
      <c r="Q470" t="str">
        <f>IF('[1]P-GENERAL'!Q470="","",'[1]P-GENERAL'!Q470)</f>
        <v>NORMAL</v>
      </c>
      <c r="R470" s="14">
        <f>IF('[1]P-GENERAL'!R470="","",'[1]P-GENERAL'!R470)</f>
        <v>46304</v>
      </c>
      <c r="S470" s="16">
        <f>IF('[1]P-GENERAL'!S470="","",'[1]P-GENERAL'!S470)</f>
        <v>0.16319444444444445</v>
      </c>
      <c r="T470" s="16">
        <f>IF('[1]P-GENERAL'!T470="","",'[1]P-GENERAL'!T470)</f>
        <v>0.45833333333333331</v>
      </c>
      <c r="U470" s="17">
        <f>IF('[1]P-GENERAL'!U470="","",'[1]P-GENERAL'!U470)</f>
        <v>46304.621527777781</v>
      </c>
      <c r="V470" s="14">
        <f>IF('[1]P-GENERAL'!V470="","",'[1]P-GENERAL'!V470)</f>
        <v>46305</v>
      </c>
      <c r="W470" s="16">
        <f>IF('[1]P-GENERAL'!W470="","",'[1]P-GENERAL'!W470)</f>
        <v>5.9027777777777776E-2</v>
      </c>
      <c r="X470" s="14" t="str">
        <f>IF('[1]P-GENERAL'!X470="","",'[1]P-GENERAL'!X470)</f>
        <v>SI CUMPLE</v>
      </c>
      <c r="Y470" s="14" t="str">
        <f>IF('[1]P-GENERAL'!Y470="","",'[1]P-GENERAL'!Y470)</f>
        <v>SI CUMPLE</v>
      </c>
      <c r="Z470" s="14" t="str">
        <f>IF('[1]P-GENERAL'!Z470="","",'[1]P-GENERAL'!Z470)</f>
        <v/>
      </c>
      <c r="AA470" s="14" t="str">
        <f>IF('[1]P-GENERAL'!AA470="","",'[1]P-GENERAL'!AA470)</f>
        <v>DESPACHADO</v>
      </c>
      <c r="AB470" s="8" t="str">
        <f>IF('[1]P-GENERAL'!AB470="","",'[1]P-GENERAL'!AB470)</f>
        <v>LEOPOLDO LEGORRETA LEGORRETA</v>
      </c>
      <c r="AC470" s="8" t="str">
        <f>IF('[1]P-GENERAL'!AC470="","",'[1]P-GENERAL'!AC470)</f>
        <v>OSCAR CRUZ GARCIA</v>
      </c>
      <c r="AD470">
        <f>IF('[1]P-GENERAL'!AD470="","",'[1]P-GENERAL'!AD470)</f>
        <v>12667</v>
      </c>
      <c r="AE470" t="str">
        <f>IF('[1]P-GENERAL'!AE470="","",'[1]P-GENERAL'!AE470)</f>
        <v>QEP1W02070</v>
      </c>
    </row>
    <row r="471" spans="1:31" ht="20.25" x14ac:dyDescent="0.3">
      <c r="A471" s="11" t="str">
        <f>IF('[1]P-GENERAL'!A471="","",'[1]P-GENERAL'!A471)</f>
        <v>Chanitos Premium EUA Tarima Americana</v>
      </c>
      <c r="B471" s="11" t="str">
        <f>IF('[1]P-GENERAL'!B471="","",'[1]P-GENERAL'!B471)</f>
        <v>CPR01104</v>
      </c>
      <c r="C471" t="str">
        <f>IF('[1]P-GENERAL'!C471="","",'[1]P-GENERAL'!C471)</f>
        <v>A06043-410810-1</v>
      </c>
      <c r="D471" t="str">
        <f>IF('[1]P-GENERAL'!D471="","",'[1]P-GENERAL'!D471)</f>
        <v>A06 043 Nuestra señora</v>
      </c>
      <c r="E471" s="8" t="str">
        <f>IF('[1]P-GENERAL'!E471="","",'[1]P-GENERAL'!E471)</f>
        <v>McAllen</v>
      </c>
      <c r="F471" s="12">
        <f>IF('[1]P-GENERAL'!F471="","",'[1]P-GENERAL'!F471)</f>
        <v>576</v>
      </c>
      <c r="G471" s="13">
        <f>IF('[1]P-GENERAL'!G471="","",'[1]P-GENERAL'!G471)</f>
        <v>12</v>
      </c>
      <c r="H471" s="14">
        <f>IF('[1]P-GENERAL'!H471="","",'[1]P-GENERAL'!H471)</f>
        <v>46303</v>
      </c>
      <c r="I471">
        <f>IF('[1]P-GENERAL'!I471="","",'[1]P-GENERAL'!I471)</f>
        <v>41</v>
      </c>
      <c r="J471" s="15">
        <f>IF('[1]P-GENERAL'!J471="","",'[1]P-GENERAL'!J471)</f>
        <v>46309</v>
      </c>
      <c r="K471" s="14" t="str">
        <f>IF('[1]P-GENERAL'!K471="","",'[1]P-GENERAL'!K471)</f>
        <v/>
      </c>
      <c r="L471" s="14" t="str">
        <f>IF('[1]P-GENERAL'!L471="","",'[1]P-GENERAL'!L471)</f>
        <v>PREENFRIO FORTALEZA</v>
      </c>
      <c r="M471">
        <f>IF('[1]P-GENERAL'!M471="","",'[1]P-GENERAL'!M471)</f>
        <v>3</v>
      </c>
      <c r="N471">
        <f>IF('[1]P-GENERAL'!N471="","",'[1]P-GENERAL'!N471)</f>
        <v>72</v>
      </c>
      <c r="O471" s="14">
        <f>IF('[1]P-GENERAL'!O471="","",'[1]P-GENERAL'!O471)</f>
        <v>46304</v>
      </c>
      <c r="P471" s="16">
        <f>IF('[1]P-GENERAL'!P471="","",'[1]P-GENERAL'!P471)</f>
        <v>0.58958333333333335</v>
      </c>
      <c r="Q471" t="str">
        <f>IF('[1]P-GENERAL'!Q471="","",'[1]P-GENERAL'!Q471)</f>
        <v>NORMAL</v>
      </c>
      <c r="R471" s="14">
        <f>IF('[1]P-GENERAL'!R471="","",'[1]P-GENERAL'!R471)</f>
        <v>46304</v>
      </c>
      <c r="S471" s="16">
        <f>IF('[1]P-GENERAL'!S471="","",'[1]P-GENERAL'!S471)</f>
        <v>0.64583333333333337</v>
      </c>
      <c r="T471" s="16">
        <f>IF('[1]P-GENERAL'!T471="","",'[1]P-GENERAL'!T471)</f>
        <v>0.33333333333333331</v>
      </c>
      <c r="U471" s="17">
        <f>IF('[1]P-GENERAL'!U471="","",'[1]P-GENERAL'!U471)</f>
        <v>46304.979166666672</v>
      </c>
      <c r="V471" s="14">
        <f>IF('[1]P-GENERAL'!V471="","",'[1]P-GENERAL'!V471)</f>
        <v>46304</v>
      </c>
      <c r="W471" s="16">
        <f>IF('[1]P-GENERAL'!W471="","",'[1]P-GENERAL'!W471)</f>
        <v>0.97569444444444442</v>
      </c>
      <c r="X471" s="14" t="str">
        <f>IF('[1]P-GENERAL'!X471="","",'[1]P-GENERAL'!X471)</f>
        <v>SI CUMPLE</v>
      </c>
      <c r="Y471" s="14" t="str">
        <f>IF('[1]P-GENERAL'!Y471="","",'[1]P-GENERAL'!Y471)</f>
        <v>SI CUMPLE</v>
      </c>
      <c r="Z471" s="14" t="str">
        <f>IF('[1]P-GENERAL'!Z471="","",'[1]P-GENERAL'!Z471)</f>
        <v/>
      </c>
      <c r="AA471" s="14" t="str">
        <f>IF('[1]P-GENERAL'!AA471="","",'[1]P-GENERAL'!AA471)</f>
        <v>DESPACHADO</v>
      </c>
      <c r="AB471" s="8" t="str">
        <f>IF('[1]P-GENERAL'!AB471="","",'[1]P-GENERAL'!AB471)</f>
        <v>TRANSPORTES TOMATITOS</v>
      </c>
      <c r="AC471" s="8" t="str">
        <f>IF('[1]P-GENERAL'!AC471="","",'[1]P-GENERAL'!AC471)</f>
        <v>OSVALDO OVIDIO FLORES</v>
      </c>
      <c r="AD471">
        <f>IF('[1]P-GENERAL'!AD471="","",'[1]P-GENERAL'!AD471)</f>
        <v>51031</v>
      </c>
      <c r="AE471">
        <f>IF('[1]P-GENERAL'!AE471="","",'[1]P-GENERAL'!AE471)</f>
        <v>100000914995</v>
      </c>
    </row>
    <row r="472" spans="1:31" ht="20.25" x14ac:dyDescent="0.3">
      <c r="A472" s="11" t="str">
        <f>IF('[1]P-GENERAL'!A472="","",'[1]P-GENERAL'!A472)</f>
        <v>Chanitos Plantain 20Kg Tarima Chep</v>
      </c>
      <c r="B472" s="11" t="str">
        <f>IF('[1]P-GENERAL'!B472="","",'[1]P-GENERAL'!B472)</f>
        <v>CPL08141</v>
      </c>
      <c r="C472" t="str">
        <f>IF('[1]P-GENERAL'!C472="","",'[1]P-GENERAL'!C472)</f>
        <v>A35082-410810-1</v>
      </c>
      <c r="D472" t="str">
        <f>IF('[1]P-GENERAL'!D472="","",'[1]P-GENERAL'!D472)</f>
        <v>A35 082 Empaque de Macho Ej Libertad</v>
      </c>
      <c r="E472" s="8" t="str">
        <f>IF('[1]P-GENERAL'!E472="","",'[1]P-GENERAL'!E472)</f>
        <v>CEDA</v>
      </c>
      <c r="F472" s="12">
        <f>IF('[1]P-GENERAL'!F472="","",'[1]P-GENERAL'!F472)</f>
        <v>384</v>
      </c>
      <c r="G472" s="13">
        <f>IF('[1]P-GENERAL'!G472="","",'[1]P-GENERAL'!G472)</f>
        <v>8</v>
      </c>
      <c r="H472" s="14">
        <f>IF('[1]P-GENERAL'!H472="","",'[1]P-GENERAL'!H472)</f>
        <v>46303</v>
      </c>
      <c r="I472">
        <f>IF('[1]P-GENERAL'!I472="","",'[1]P-GENERAL'!I472)</f>
        <v>41</v>
      </c>
      <c r="J472" s="15">
        <f>IF('[1]P-GENERAL'!J472="","",'[1]P-GENERAL'!J472)</f>
        <v>46305</v>
      </c>
      <c r="K472" s="14" t="str">
        <f>IF('[1]P-GENERAL'!K472="","",'[1]P-GENERAL'!K472)</f>
        <v/>
      </c>
      <c r="L472" s="14" t="str">
        <f>IF('[1]P-GENERAL'!L472="","",'[1]P-GENERAL'!L472)</f>
        <v>PREENFRIO FORTALEZA</v>
      </c>
      <c r="M472">
        <f>IF('[1]P-GENERAL'!M472="","",'[1]P-GENERAL'!M472)</f>
        <v>1.5</v>
      </c>
      <c r="N472">
        <f>IF('[1]P-GENERAL'!N472="","",'[1]P-GENERAL'!N472)</f>
        <v>36</v>
      </c>
      <c r="O472" s="14">
        <f>IF('[1]P-GENERAL'!O472="","",'[1]P-GENERAL'!O472)</f>
        <v>46303</v>
      </c>
      <c r="P472" s="16">
        <f>IF('[1]P-GENERAL'!P472="","",'[1]P-GENERAL'!P472)</f>
        <v>0.97291666666666665</v>
      </c>
      <c r="Q472" t="str">
        <f>IF('[1]P-GENERAL'!Q472="","",'[1]P-GENERAL'!Q472)</f>
        <v>NORMAL</v>
      </c>
      <c r="R472" s="14">
        <f>IF('[1]P-GENERAL'!R472="","",'[1]P-GENERAL'!R472)</f>
        <v>46304</v>
      </c>
      <c r="S472" s="16">
        <f>IF('[1]P-GENERAL'!S472="","",'[1]P-GENERAL'!S472)</f>
        <v>0.16319444444444445</v>
      </c>
      <c r="T472" s="16">
        <f>IF('[1]P-GENERAL'!T472="","",'[1]P-GENERAL'!T472)</f>
        <v>0.25</v>
      </c>
      <c r="U472" s="17">
        <f>IF('[1]P-GENERAL'!U472="","",'[1]P-GENERAL'!U472)</f>
        <v>46304.413194444445</v>
      </c>
      <c r="V472" s="14">
        <f>IF('[1]P-GENERAL'!V472="","",'[1]P-GENERAL'!V472)</f>
        <v>46304</v>
      </c>
      <c r="W472" s="16">
        <f>IF('[1]P-GENERAL'!W472="","",'[1]P-GENERAL'!W472)</f>
        <v>0.60416666666666663</v>
      </c>
      <c r="X472" s="14" t="str">
        <f>IF('[1]P-GENERAL'!X472="","",'[1]P-GENERAL'!X472)</f>
        <v>NO CUMPLE</v>
      </c>
      <c r="Y472" s="14" t="str">
        <f>IF('[1]P-GENERAL'!Y472="","",'[1]P-GENERAL'!Y472)</f>
        <v>NO CUMPLE</v>
      </c>
      <c r="Z472" s="14" t="str">
        <f>IF('[1]P-GENERAL'!Z472="","",'[1]P-GENERAL'!Z472)</f>
        <v>SE TUVO QUE ESPERAR QUE HICIERAN 3 TARIMAS PARA COMPLETAR LA CARGA</v>
      </c>
      <c r="AA472" s="14" t="str">
        <f>IF('[1]P-GENERAL'!AA472="","",'[1]P-GENERAL'!AA472)</f>
        <v>DESPACHADO</v>
      </c>
      <c r="AB472" s="8" t="str">
        <f>IF('[1]P-GENERAL'!AB472="","",'[1]P-GENERAL'!AB472)</f>
        <v>KAREN AMADO HUERTA</v>
      </c>
      <c r="AC472" s="8" t="str">
        <f>IF('[1]P-GENERAL'!AC472="","",'[1]P-GENERAL'!AC472)</f>
        <v>DONATO GAZCA</v>
      </c>
      <c r="AD472">
        <f>IF('[1]P-GENERAL'!AD472="","",'[1]P-GENERAL'!AD472)</f>
        <v>80932</v>
      </c>
      <c r="AE472" t="str">
        <f>IF('[1]P-GENERAL'!AE472="","",'[1]P-GENERAL'!AE472)</f>
        <v>QF91W04460</v>
      </c>
    </row>
    <row r="473" spans="1:31" ht="20.25" x14ac:dyDescent="0.3">
      <c r="A473" s="11" t="str">
        <f>IF('[1]P-GENERAL'!A473="","",'[1]P-GENERAL'!A473)</f>
        <v>Chanitos Premium Tarima Chep</v>
      </c>
      <c r="B473" s="11" t="str">
        <f>IF('[1]P-GENERAL'!B473="","",'[1]P-GENERAL'!B473)</f>
        <v>CPR01102</v>
      </c>
      <c r="C473" t="str">
        <f>IF('[1]P-GENERAL'!C473="","",'[1]P-GENERAL'!C473)</f>
        <v>A01002-410810-1</v>
      </c>
      <c r="D473" t="str">
        <f>IF('[1]P-GENERAL'!D473="","",'[1]P-GENERAL'!D473)</f>
        <v>A01 002 Fortaleza</v>
      </c>
      <c r="E473" s="8" t="str">
        <f>IF('[1]P-GENERAL'!E473="","",'[1]P-GENERAL'!E473)</f>
        <v>VSA</v>
      </c>
      <c r="F473" s="12">
        <f>IF('[1]P-GENERAL'!F473="","",'[1]P-GENERAL'!F473)</f>
        <v>480</v>
      </c>
      <c r="G473" s="13">
        <f>IF('[1]P-GENERAL'!G473="","",'[1]P-GENERAL'!G473)</f>
        <v>10</v>
      </c>
      <c r="H473" s="14">
        <f>IF('[1]P-GENERAL'!H473="","",'[1]P-GENERAL'!H473)</f>
        <v>46303</v>
      </c>
      <c r="I473">
        <f>IF('[1]P-GENERAL'!I473="","",'[1]P-GENERAL'!I473)</f>
        <v>41</v>
      </c>
      <c r="J473" s="15">
        <f>IF('[1]P-GENERAL'!J473="","",'[1]P-GENERAL'!J473)</f>
        <v>46307</v>
      </c>
      <c r="K473" s="14" t="str">
        <f>IF('[1]P-GENERAL'!K473="","",'[1]P-GENERAL'!K473)</f>
        <v/>
      </c>
      <c r="L473" s="14" t="str">
        <f>IF('[1]P-GENERAL'!L473="","",'[1]P-GENERAL'!L473)</f>
        <v>PREENFRIO FORTALEZA</v>
      </c>
      <c r="M473">
        <f>IF('[1]P-GENERAL'!M473="","",'[1]P-GENERAL'!M473)</f>
        <v>1</v>
      </c>
      <c r="N473">
        <f>IF('[1]P-GENERAL'!N473="","",'[1]P-GENERAL'!N473)</f>
        <v>24</v>
      </c>
      <c r="O473" s="14">
        <f>IF('[1]P-GENERAL'!O473="","",'[1]P-GENERAL'!O473)</f>
        <v>46303</v>
      </c>
      <c r="P473" s="16">
        <f>IF('[1]P-GENERAL'!P473="","",'[1]P-GENERAL'!P473)</f>
        <v>0.67500000000000004</v>
      </c>
      <c r="Q473" t="str">
        <f>IF('[1]P-GENERAL'!Q473="","",'[1]P-GENERAL'!Q473)</f>
        <v>NORMAL</v>
      </c>
      <c r="R473" s="14">
        <f>IF('[1]P-GENERAL'!R473="","",'[1]P-GENERAL'!R473)</f>
        <v>46303</v>
      </c>
      <c r="S473" s="16">
        <f>IF('[1]P-GENERAL'!S473="","",'[1]P-GENERAL'!S473)</f>
        <v>0.94027777777777777</v>
      </c>
      <c r="T473" s="16">
        <f>IF('[1]P-GENERAL'!T473="","",'[1]P-GENERAL'!T473)</f>
        <v>0.20833333333333334</v>
      </c>
      <c r="U473" s="17">
        <f>IF('[1]P-GENERAL'!U473="","",'[1]P-GENERAL'!U473)</f>
        <v>46304.148611111115</v>
      </c>
      <c r="V473" s="14">
        <f>IF('[1]P-GENERAL'!V473="","",'[1]P-GENERAL'!V473)</f>
        <v>46306</v>
      </c>
      <c r="W473" s="16">
        <f>IF('[1]P-GENERAL'!W473="","",'[1]P-GENERAL'!W473)</f>
        <v>0.2638888888888889</v>
      </c>
      <c r="X473" s="14" t="str">
        <f>IF('[1]P-GENERAL'!X473="","",'[1]P-GENERAL'!X473)</f>
        <v>SI CUMPLE</v>
      </c>
      <c r="Y473" s="14" t="str">
        <f>IF('[1]P-GENERAL'!Y473="","",'[1]P-GENERAL'!Y473)</f>
        <v>NO CUMPLE</v>
      </c>
      <c r="Z473" s="14" t="str">
        <f>IF('[1]P-GENERAL'!Z473="","",'[1]P-GENERAL'!Z473)</f>
        <v/>
      </c>
      <c r="AA473" s="14" t="str">
        <f>IF('[1]P-GENERAL'!AA473="","",'[1]P-GENERAL'!AA473)</f>
        <v>DESPACHADO</v>
      </c>
      <c r="AB473" s="8" t="str">
        <f>IF('[1]P-GENERAL'!AB473="","",'[1]P-GENERAL'!AB473)</f>
        <v>GENARO IBAÑEZ ROJAS</v>
      </c>
      <c r="AC473" s="8" t="str">
        <f>IF('[1]P-GENERAL'!AC473="","",'[1]P-GENERAL'!AC473)</f>
        <v>VICENTE SANCHEZ RUEDA</v>
      </c>
      <c r="AD473">
        <f>IF('[1]P-GENERAL'!AD473="","",'[1]P-GENERAL'!AD473)</f>
        <v>25377</v>
      </c>
      <c r="AE473" t="str">
        <f>IF('[1]P-GENERAL'!AE473="","",'[1]P-GENERAL'!AE473)</f>
        <v>QF91W04W20</v>
      </c>
    </row>
    <row r="474" spans="1:31" ht="20.25" x14ac:dyDescent="0.3">
      <c r="A474" s="11" t="str">
        <f>IF('[1]P-GENERAL'!A474="","",'[1]P-GENERAL'!A474)</f>
        <v>Chanitos Premium Tarima Chep</v>
      </c>
      <c r="B474" s="11" t="str">
        <f>IF('[1]P-GENERAL'!B474="","",'[1]P-GENERAL'!B474)</f>
        <v>CPR01102</v>
      </c>
      <c r="C474" t="str">
        <f>IF('[1]P-GENERAL'!C474="","",'[1]P-GENERAL'!C474)</f>
        <v>A01001-410810-1</v>
      </c>
      <c r="D474" t="str">
        <f>IF('[1]P-GENERAL'!D474="","",'[1]P-GENERAL'!D474)</f>
        <v>A01 001 Marbella</v>
      </c>
      <c r="E474" s="8" t="str">
        <f>IF('[1]P-GENERAL'!E474="","",'[1]P-GENERAL'!E474)</f>
        <v>VSA</v>
      </c>
      <c r="F474" s="12">
        <f>IF('[1]P-GENERAL'!F474="","",'[1]P-GENERAL'!F474)</f>
        <v>192</v>
      </c>
      <c r="G474" s="13">
        <f>IF('[1]P-GENERAL'!G474="","",'[1]P-GENERAL'!G474)</f>
        <v>4</v>
      </c>
      <c r="H474" s="14">
        <f>IF('[1]P-GENERAL'!H474="","",'[1]P-GENERAL'!H474)</f>
        <v>46303</v>
      </c>
      <c r="I474">
        <f>IF('[1]P-GENERAL'!I474="","",'[1]P-GENERAL'!I474)</f>
        <v>41</v>
      </c>
      <c r="J474" s="15">
        <f>IF('[1]P-GENERAL'!J474="","",'[1]P-GENERAL'!J474)</f>
        <v>46307</v>
      </c>
      <c r="K474" s="14" t="str">
        <f>IF('[1]P-GENERAL'!K474="","",'[1]P-GENERAL'!K474)</f>
        <v/>
      </c>
      <c r="L474" s="14" t="str">
        <f>IF('[1]P-GENERAL'!L474="","",'[1]P-GENERAL'!L474)</f>
        <v>PREENFRIO FORTALEZA</v>
      </c>
      <c r="M474">
        <f>IF('[1]P-GENERAL'!M474="","",'[1]P-GENERAL'!M474)</f>
        <v>1</v>
      </c>
      <c r="N474">
        <f>IF('[1]P-GENERAL'!N474="","",'[1]P-GENERAL'!N474)</f>
        <v>24</v>
      </c>
      <c r="O474" s="14">
        <f>IF('[1]P-GENERAL'!O474="","",'[1]P-GENERAL'!O474)</f>
        <v>46305</v>
      </c>
      <c r="P474" s="16">
        <f>IF('[1]P-GENERAL'!P474="","",'[1]P-GENERAL'!P474)</f>
        <v>0.91666666666666663</v>
      </c>
      <c r="Q474" t="str">
        <f>IF('[1]P-GENERAL'!Q474="","",'[1]P-GENERAL'!Q474)</f>
        <v>NORMAL</v>
      </c>
      <c r="R474" s="14">
        <f>IF('[1]P-GENERAL'!R474="","",'[1]P-GENERAL'!R474)</f>
        <v>46305</v>
      </c>
      <c r="S474" s="16">
        <f>IF('[1]P-GENERAL'!S474="","",'[1]P-GENERAL'!S474)</f>
        <v>0.94861111111111107</v>
      </c>
      <c r="T474" s="16">
        <f>IF('[1]P-GENERAL'!T474="","",'[1]P-GENERAL'!T474)</f>
        <v>0.20833333333333334</v>
      </c>
      <c r="U474" s="17">
        <f>IF('[1]P-GENERAL'!U474="","",'[1]P-GENERAL'!U474)</f>
        <v>46306.156944444447</v>
      </c>
      <c r="V474" s="14">
        <f>IF('[1]P-GENERAL'!V474="","",'[1]P-GENERAL'!V474)</f>
        <v>46306</v>
      </c>
      <c r="W474" s="16">
        <f>IF('[1]P-GENERAL'!W474="","",'[1]P-GENERAL'!W474)</f>
        <v>0.2638888888888889</v>
      </c>
      <c r="X474" s="14" t="str">
        <f>IF('[1]P-GENERAL'!X474="","",'[1]P-GENERAL'!X474)</f>
        <v>NO CUMPLE</v>
      </c>
      <c r="Y474" s="14" t="str">
        <f>IF('[1]P-GENERAL'!Y474="","",'[1]P-GENERAL'!Y474)</f>
        <v>NO CUMPLE</v>
      </c>
      <c r="Z474" s="14" t="str">
        <f>IF('[1]P-GENERAL'!Z474="","",'[1]P-GENERAL'!Z474)</f>
        <v/>
      </c>
      <c r="AA474" s="14" t="str">
        <f>IF('[1]P-GENERAL'!AA474="","",'[1]P-GENERAL'!AA474)</f>
        <v>DESPACHADO</v>
      </c>
      <c r="AB474" s="8" t="str">
        <f>IF('[1]P-GENERAL'!AB474="","",'[1]P-GENERAL'!AB474)</f>
        <v>GENARO IBAÑEZ ROJAS</v>
      </c>
      <c r="AC474" s="8" t="str">
        <f>IF('[1]P-GENERAL'!AC474="","",'[1]P-GENERAL'!AC474)</f>
        <v>VICENTE SANCHEZ RUEDA</v>
      </c>
      <c r="AD474">
        <f>IF('[1]P-GENERAL'!AD474="","",'[1]P-GENERAL'!AD474)</f>
        <v>25377</v>
      </c>
      <c r="AE474" t="str">
        <f>IF('[1]P-GENERAL'!AE474="","",'[1]P-GENERAL'!AE474)</f>
        <v>QF91W04W20</v>
      </c>
    </row>
    <row r="475" spans="1:31" ht="20.25" x14ac:dyDescent="0.3">
      <c r="A475" s="11" t="str">
        <f>IF('[1]P-GENERAL'!A475="","",'[1]P-GENERAL'!A475)</f>
        <v>Chanitos Premium Tarima Chep</v>
      </c>
      <c r="B475" s="11" t="str">
        <f>IF('[1]P-GENERAL'!B475="","",'[1]P-GENERAL'!B475)</f>
        <v>CPR01102</v>
      </c>
      <c r="C475" t="str">
        <f>IF('[1]P-GENERAL'!C475="","",'[1]P-GENERAL'!C475)</f>
        <v>A01001-410810-1</v>
      </c>
      <c r="D475" t="str">
        <f>IF('[1]P-GENERAL'!D475="","",'[1]P-GENERAL'!D475)</f>
        <v>A01 001 Marbella</v>
      </c>
      <c r="E475" s="8" t="str">
        <f>IF('[1]P-GENERAL'!E475="","",'[1]P-GENERAL'!E475)</f>
        <v>VSA</v>
      </c>
      <c r="F475" s="12">
        <f>IF('[1]P-GENERAL'!F475="","",'[1]P-GENERAL'!F475)</f>
        <v>96</v>
      </c>
      <c r="G475" s="13">
        <f>IF('[1]P-GENERAL'!G475="","",'[1]P-GENERAL'!G475)</f>
        <v>2</v>
      </c>
      <c r="H475" s="14">
        <f>IF('[1]P-GENERAL'!H475="","",'[1]P-GENERAL'!H475)</f>
        <v>46303</v>
      </c>
      <c r="I475">
        <f>IF('[1]P-GENERAL'!I475="","",'[1]P-GENERAL'!I475)</f>
        <v>41</v>
      </c>
      <c r="J475" s="15">
        <f>IF('[1]P-GENERAL'!J475="","",'[1]P-GENERAL'!J475)</f>
        <v>46310</v>
      </c>
      <c r="K475" s="14" t="str">
        <f>IF('[1]P-GENERAL'!K475="","",'[1]P-GENERAL'!K475)</f>
        <v/>
      </c>
      <c r="L475" s="14" t="str">
        <f>IF('[1]P-GENERAL'!L475="","",'[1]P-GENERAL'!L475)</f>
        <v>PREENFRIO FORTALEZA</v>
      </c>
      <c r="M475">
        <f>IF('[1]P-GENERAL'!M475="","",'[1]P-GENERAL'!M475)</f>
        <v>1</v>
      </c>
      <c r="N475">
        <f>IF('[1]P-GENERAL'!N475="","",'[1]P-GENERAL'!N475)</f>
        <v>24</v>
      </c>
      <c r="O475" s="14">
        <f>IF('[1]P-GENERAL'!O475="","",'[1]P-GENERAL'!O475)</f>
        <v>46305</v>
      </c>
      <c r="P475" s="16">
        <f>IF('[1]P-GENERAL'!P475="","",'[1]P-GENERAL'!P475)</f>
        <v>0.91666666666666663</v>
      </c>
      <c r="Q475" t="str">
        <f>IF('[1]P-GENERAL'!Q475="","",'[1]P-GENERAL'!Q475)</f>
        <v>NORMAL</v>
      </c>
      <c r="R475" s="14">
        <f>IF('[1]P-GENERAL'!R475="","",'[1]P-GENERAL'!R475)</f>
        <v>46305</v>
      </c>
      <c r="S475" s="16">
        <f>IF('[1]P-GENERAL'!S475="","",'[1]P-GENERAL'!S475)</f>
        <v>0.94861111111111107</v>
      </c>
      <c r="T475" s="16">
        <f>IF('[1]P-GENERAL'!T475="","",'[1]P-GENERAL'!T475)</f>
        <v>0.20833333333333334</v>
      </c>
      <c r="U475" s="17">
        <f>IF('[1]P-GENERAL'!U475="","",'[1]P-GENERAL'!U475)</f>
        <v>46306.156944444447</v>
      </c>
      <c r="V475" s="14" t="str">
        <f>IF('[1]P-GENERAL'!V475="","",'[1]P-GENERAL'!V475)</f>
        <v/>
      </c>
      <c r="W475" s="16" t="str">
        <f>IF('[1]P-GENERAL'!W475="","",'[1]P-GENERAL'!W475)</f>
        <v/>
      </c>
      <c r="X475" s="14" t="str">
        <f>IF('[1]P-GENERAL'!X475="","",'[1]P-GENERAL'!X475)</f>
        <v>SI CUMPLE</v>
      </c>
      <c r="Y475" s="14" t="str">
        <f>IF('[1]P-GENERAL'!Y475="","",'[1]P-GENERAL'!Y475)</f>
        <v/>
      </c>
      <c r="Z475" s="14" t="str">
        <f>IF('[1]P-GENERAL'!Z475="","",'[1]P-GENERAL'!Z475)</f>
        <v/>
      </c>
      <c r="AA475" s="14" t="str">
        <f>IF('[1]P-GENERAL'!AA475="","",'[1]P-GENERAL'!AA475)</f>
        <v/>
      </c>
      <c r="AB475" s="8" t="str">
        <f>IF('[1]P-GENERAL'!AB475="","",'[1]P-GENERAL'!AB475)</f>
        <v/>
      </c>
      <c r="AC475" s="8" t="str">
        <f>IF('[1]P-GENERAL'!AC475="","",'[1]P-GENERAL'!AC475)</f>
        <v/>
      </c>
      <c r="AD475" t="str">
        <f>IF('[1]P-GENERAL'!AD475="","",'[1]P-GENERAL'!AD475)</f>
        <v/>
      </c>
      <c r="AE475" t="str">
        <f>IF('[1]P-GENERAL'!AE475="","",'[1]P-GENERAL'!AE475)</f>
        <v/>
      </c>
    </row>
    <row r="476" spans="1:31" ht="20.25" x14ac:dyDescent="0.3">
      <c r="A476" s="11" t="str">
        <f>IF('[1]P-GENERAL'!A476="","",'[1]P-GENERAL'!A476)</f>
        <v>Chanitos Premium Tarima Chep</v>
      </c>
      <c r="B476" s="11" t="str">
        <f>IF('[1]P-GENERAL'!B476="","",'[1]P-GENERAL'!B476)</f>
        <v>CPR01102</v>
      </c>
      <c r="C476" t="str">
        <f>IF('[1]P-GENERAL'!C476="","",'[1]P-GENERAL'!C476)</f>
        <v>A01001-410710-1</v>
      </c>
      <c r="D476" t="str">
        <f>IF('[1]P-GENERAL'!D476="","",'[1]P-GENERAL'!D476)</f>
        <v>A01 001 Marbella</v>
      </c>
      <c r="E476" s="8" t="str">
        <f>IF('[1]P-GENERAL'!E476="","",'[1]P-GENERAL'!E476)</f>
        <v>VSA</v>
      </c>
      <c r="F476" s="12">
        <f>IF('[1]P-GENERAL'!F476="","",'[1]P-GENERAL'!F476)</f>
        <v>240</v>
      </c>
      <c r="G476" s="13">
        <f>IF('[1]P-GENERAL'!G476="","",'[1]P-GENERAL'!G476)</f>
        <v>5</v>
      </c>
      <c r="H476" s="14">
        <f>IF('[1]P-GENERAL'!H476="","",'[1]P-GENERAL'!H476)</f>
        <v>46302</v>
      </c>
      <c r="I476">
        <f>IF('[1]P-GENERAL'!I476="","",'[1]P-GENERAL'!I476)</f>
        <v>41</v>
      </c>
      <c r="J476" s="15">
        <f>IF('[1]P-GENERAL'!J476="","",'[1]P-GENERAL'!J476)</f>
        <v>46305</v>
      </c>
      <c r="K476" s="14" t="str">
        <f>IF('[1]P-GENERAL'!K476="","",'[1]P-GENERAL'!K476)</f>
        <v/>
      </c>
      <c r="L476" s="14" t="str">
        <f>IF('[1]P-GENERAL'!L476="","",'[1]P-GENERAL'!L476)</f>
        <v>PREENFRIO FORTALEZA</v>
      </c>
      <c r="M476">
        <f>IF('[1]P-GENERAL'!M476="","",'[1]P-GENERAL'!M476)</f>
        <v>1</v>
      </c>
      <c r="N476">
        <f>IF('[1]P-GENERAL'!N476="","",'[1]P-GENERAL'!N476)</f>
        <v>24</v>
      </c>
      <c r="O476" s="14">
        <f>IF('[1]P-GENERAL'!O476="","",'[1]P-GENERAL'!O476)</f>
        <v>46302</v>
      </c>
      <c r="P476" s="16">
        <f>IF('[1]P-GENERAL'!P476="","",'[1]P-GENERAL'!P476)</f>
        <v>0.83333333333333337</v>
      </c>
      <c r="Q476" t="str">
        <f>IF('[1]P-GENERAL'!Q476="","",'[1]P-GENERAL'!Q476)</f>
        <v>NORMAL</v>
      </c>
      <c r="R476" s="14">
        <f>IF('[1]P-GENERAL'!R476="","",'[1]P-GENERAL'!R476)</f>
        <v>46302</v>
      </c>
      <c r="S476" s="16">
        <f>IF('[1]P-GENERAL'!S476="","",'[1]P-GENERAL'!S476)</f>
        <v>0.97916666666666663</v>
      </c>
      <c r="T476" s="16">
        <f>IF('[1]P-GENERAL'!T476="","",'[1]P-GENERAL'!T476)</f>
        <v>0.20833333333333334</v>
      </c>
      <c r="U476" s="17">
        <f>IF('[1]P-GENERAL'!U476="","",'[1]P-GENERAL'!U476)</f>
        <v>46303.1875</v>
      </c>
      <c r="V476" s="14">
        <f>IF('[1]P-GENERAL'!V476="","",'[1]P-GENERAL'!V476)</f>
        <v>46303</v>
      </c>
      <c r="W476" s="16">
        <f>IF('[1]P-GENERAL'!W476="","",'[1]P-GENERAL'!W476)</f>
        <v>0.45833333333333331</v>
      </c>
      <c r="X476" s="14" t="str">
        <f>IF('[1]P-GENERAL'!X476="","",'[1]P-GENERAL'!X476)</f>
        <v>SI CUMPLE</v>
      </c>
      <c r="Y476" s="14" t="str">
        <f>IF('[1]P-GENERAL'!Y476="","",'[1]P-GENERAL'!Y476)</f>
        <v>SI CUMPLE</v>
      </c>
      <c r="Z476" s="14" t="str">
        <f>IF('[1]P-GENERAL'!Z476="","",'[1]P-GENERAL'!Z476)</f>
        <v/>
      </c>
      <c r="AA476" s="14" t="str">
        <f>IF('[1]P-GENERAL'!AA476="","",'[1]P-GENERAL'!AA476)</f>
        <v>DESPACHADO</v>
      </c>
      <c r="AB476" s="8" t="str">
        <f>IF('[1]P-GENERAL'!AB476="","",'[1]P-GENERAL'!AB476)</f>
        <v>GENARO IBAÑEZ ROJAS</v>
      </c>
      <c r="AC476" s="8" t="str">
        <f>IF('[1]P-GENERAL'!AC476="","",'[1]P-GENERAL'!AC476)</f>
        <v>VICENTE SANCHEZ RUEDA</v>
      </c>
      <c r="AD476">
        <f>IF('[1]P-GENERAL'!AD476="","",'[1]P-GENERAL'!AD476)</f>
        <v>33700</v>
      </c>
      <c r="AE476" t="str">
        <f>IF('[1]P-GENERAL'!AE476="","",'[1]P-GENERAL'!AE476)</f>
        <v>QF91W043B0</v>
      </c>
    </row>
    <row r="477" spans="1:31" ht="20.25" x14ac:dyDescent="0.3">
      <c r="A477" s="11" t="str">
        <f>IF('[1]P-GENERAL'!A477="","",'[1]P-GENERAL'!A477)</f>
        <v>Chanitos Premium Tarima Chep</v>
      </c>
      <c r="B477" s="11" t="str">
        <f>IF('[1]P-GENERAL'!B477="","",'[1]P-GENERAL'!B477)</f>
        <v>CPR01102</v>
      </c>
      <c r="C477" t="str">
        <f>IF('[1]P-GENERAL'!C477="","",'[1]P-GENERAL'!C477)</f>
        <v>A01003-410810-1</v>
      </c>
      <c r="D477" t="str">
        <f>IF('[1]P-GENERAL'!D477="","",'[1]P-GENERAL'!D477)</f>
        <v>A01 003 Doña Nelly</v>
      </c>
      <c r="E477" s="8" t="str">
        <f>IF('[1]P-GENERAL'!E477="","",'[1]P-GENERAL'!E477)</f>
        <v>Chalco</v>
      </c>
      <c r="F477" s="12">
        <f>IF('[1]P-GENERAL'!F477="","",'[1]P-GENERAL'!F477)</f>
        <v>438</v>
      </c>
      <c r="G477" s="13">
        <f>IF('[1]P-GENERAL'!G477="","",'[1]P-GENERAL'!G477)</f>
        <v>9</v>
      </c>
      <c r="H477" s="14">
        <f>IF('[1]P-GENERAL'!H477="","",'[1]P-GENERAL'!H477)</f>
        <v>46303</v>
      </c>
      <c r="I477">
        <f>IF('[1]P-GENERAL'!I477="","",'[1]P-GENERAL'!I477)</f>
        <v>41</v>
      </c>
      <c r="J477" s="15">
        <f>IF('[1]P-GENERAL'!J477="","",'[1]P-GENERAL'!J477)</f>
        <v>46309</v>
      </c>
      <c r="K477" s="14" t="str">
        <f>IF('[1]P-GENERAL'!K477="","",'[1]P-GENERAL'!K477)</f>
        <v/>
      </c>
      <c r="L477" s="14" t="str">
        <f>IF('[1]P-GENERAL'!L477="","",'[1]P-GENERAL'!L477)</f>
        <v>PREENFRIO NELLY</v>
      </c>
      <c r="M477">
        <f>IF('[1]P-GENERAL'!M477="","",'[1]P-GENERAL'!M477)</f>
        <v>1</v>
      </c>
      <c r="N477">
        <f>IF('[1]P-GENERAL'!N477="","",'[1]P-GENERAL'!N477)</f>
        <v>24</v>
      </c>
      <c r="O477" s="14">
        <f>IF('[1]P-GENERAL'!O477="","",'[1]P-GENERAL'!O477)</f>
        <v>46304</v>
      </c>
      <c r="P477" s="16">
        <f>IF('[1]P-GENERAL'!P477="","",'[1]P-GENERAL'!P477)</f>
        <v>0.75</v>
      </c>
      <c r="Q477" t="str">
        <f>IF('[1]P-GENERAL'!Q477="","",'[1]P-GENERAL'!Q477)</f>
        <v>ALTA</v>
      </c>
      <c r="R477" s="14">
        <f>IF('[1]P-GENERAL'!R477="","",'[1]P-GENERAL'!R477)</f>
        <v>46304</v>
      </c>
      <c r="S477" s="16">
        <f>IF('[1]P-GENERAL'!S477="","",'[1]P-GENERAL'!S477)</f>
        <v>0.625</v>
      </c>
      <c r="T477" s="16">
        <f>IF('[1]P-GENERAL'!T477="","",'[1]P-GENERAL'!T477)</f>
        <v>0.35416666666666669</v>
      </c>
      <c r="U477" s="17">
        <f>IF('[1]P-GENERAL'!U477="","",'[1]P-GENERAL'!U477)</f>
        <v>46304.979166666664</v>
      </c>
      <c r="V477" s="14">
        <f>IF('[1]P-GENERAL'!V477="","",'[1]P-GENERAL'!V477)</f>
        <v>46304</v>
      </c>
      <c r="W477" s="16">
        <f>IF('[1]P-GENERAL'!W477="","",'[1]P-GENERAL'!W477)</f>
        <v>0.79861111111111116</v>
      </c>
      <c r="X477" s="14" t="str">
        <f>IF('[1]P-GENERAL'!X477="","",'[1]P-GENERAL'!X477)</f>
        <v>SI CUMPLE</v>
      </c>
      <c r="Y477" s="14" t="str">
        <f>IF('[1]P-GENERAL'!Y477="","",'[1]P-GENERAL'!Y477)</f>
        <v>SI CUMPLE</v>
      </c>
      <c r="Z477" s="14" t="str">
        <f>IF('[1]P-GENERAL'!Z477="","",'[1]P-GENERAL'!Z477)</f>
        <v/>
      </c>
      <c r="AA477" s="14" t="str">
        <f>IF('[1]P-GENERAL'!AA477="","",'[1]P-GENERAL'!AA477)</f>
        <v>DESPACHADO</v>
      </c>
      <c r="AB477" s="8" t="str">
        <f>IF('[1]P-GENERAL'!AB477="","",'[1]P-GENERAL'!AB477)</f>
        <v>LEOPOLDO LEGORRETA LEGORRETA</v>
      </c>
      <c r="AC477" s="8" t="str">
        <f>IF('[1]P-GENERAL'!AC477="","",'[1]P-GENERAL'!AC477)</f>
        <v>OSCAR CRUZ GARCIA</v>
      </c>
      <c r="AD477" t="str">
        <f>IF('[1]P-GENERAL'!AD477="","",'[1]P-GENERAL'!AD477)</f>
        <v/>
      </c>
      <c r="AE477" t="str">
        <f>IF('[1]P-GENERAL'!AE477="","",'[1]P-GENERAL'!AE477)</f>
        <v/>
      </c>
    </row>
    <row r="478" spans="1:31" ht="20.25" x14ac:dyDescent="0.3">
      <c r="A478" s="11" t="str">
        <f>IF('[1]P-GENERAL'!A478="","",'[1]P-GENERAL'!A478)</f>
        <v>Chanitos Premium Tarima Americana</v>
      </c>
      <c r="B478" s="11" t="str">
        <f>IF('[1]P-GENERAL'!B478="","",'[1]P-GENERAL'!B478)</f>
        <v>CPR01103</v>
      </c>
      <c r="C478" t="str">
        <f>IF('[1]P-GENERAL'!C478="","",'[1]P-GENERAL'!C478)</f>
        <v>A25067-410810-1</v>
      </c>
      <c r="D478" t="str">
        <f>IF('[1]P-GENERAL'!D478="","",'[1]P-GENERAL'!D478)</f>
        <v>A25 067 El Cuerudo GT</v>
      </c>
      <c r="E478" s="8" t="str">
        <f>IF('[1]P-GENERAL'!E478="","",'[1]P-GENERAL'!E478)</f>
        <v>S-MTY</v>
      </c>
      <c r="F478" s="12">
        <f>IF('[1]P-GENERAL'!F478="","",'[1]P-GENERAL'!F478)</f>
        <v>960</v>
      </c>
      <c r="G478" s="13">
        <f>IF('[1]P-GENERAL'!G478="","",'[1]P-GENERAL'!G478)</f>
        <v>20</v>
      </c>
      <c r="H478" s="14">
        <f>IF('[1]P-GENERAL'!H478="","",'[1]P-GENERAL'!H478)</f>
        <v>46303</v>
      </c>
      <c r="I478">
        <f>IF('[1]P-GENERAL'!I478="","",'[1]P-GENERAL'!I478)</f>
        <v>41</v>
      </c>
      <c r="J478" s="15">
        <f>IF('[1]P-GENERAL'!J478="","",'[1]P-GENERAL'!J478)</f>
        <v>46309</v>
      </c>
      <c r="K478" s="14" t="str">
        <f>IF('[1]P-GENERAL'!K478="","",'[1]P-GENERAL'!K478)</f>
        <v/>
      </c>
      <c r="L478" s="14" t="str">
        <f>IF('[1]P-GENERAL'!L478="","",'[1]P-GENERAL'!L478)</f>
        <v>PREENFRIO NELLY</v>
      </c>
      <c r="M478">
        <f>IF('[1]P-GENERAL'!M478="","",'[1]P-GENERAL'!M478)</f>
        <v>3</v>
      </c>
      <c r="N478">
        <f>IF('[1]P-GENERAL'!N478="","",'[1]P-GENERAL'!N478)</f>
        <v>72</v>
      </c>
      <c r="O478" s="14">
        <f>IF('[1]P-GENERAL'!O478="","",'[1]P-GENERAL'!O478)</f>
        <v>46304</v>
      </c>
      <c r="P478" s="16">
        <f>IF('[1]P-GENERAL'!P478="","",'[1]P-GENERAL'!P478)</f>
        <v>0.95138888888888884</v>
      </c>
      <c r="Q478" t="str">
        <f>IF('[1]P-GENERAL'!Q478="","",'[1]P-GENERAL'!Q478)</f>
        <v>ALTA</v>
      </c>
      <c r="R478" s="14">
        <f>IF('[1]P-GENERAL'!R478="","",'[1]P-GENERAL'!R478)</f>
        <v>46304</v>
      </c>
      <c r="S478" s="16">
        <f>IF('[1]P-GENERAL'!S478="","",'[1]P-GENERAL'!S478)</f>
        <v>6.25E-2</v>
      </c>
      <c r="T478" s="16">
        <f>IF('[1]P-GENERAL'!T478="","",'[1]P-GENERAL'!T478)</f>
        <v>0.4375</v>
      </c>
      <c r="U478" s="17">
        <f>IF('[1]P-GENERAL'!U478="","",'[1]P-GENERAL'!U478)</f>
        <v>46304.5</v>
      </c>
      <c r="V478" s="14">
        <f>IF('[1]P-GENERAL'!V478="","",'[1]P-GENERAL'!V478)</f>
        <v>46305</v>
      </c>
      <c r="W478" s="16">
        <f>IF('[1]P-GENERAL'!W478="","",'[1]P-GENERAL'!W478)</f>
        <v>0.16666666666666666</v>
      </c>
      <c r="X478" s="14" t="str">
        <f>IF('[1]P-GENERAL'!X478="","",'[1]P-GENERAL'!X478)</f>
        <v>SI CUMPLE</v>
      </c>
      <c r="Y478" s="14" t="str">
        <f>IF('[1]P-GENERAL'!Y478="","",'[1]P-GENERAL'!Y478)</f>
        <v>SI CUMPLE</v>
      </c>
      <c r="Z478" s="14" t="str">
        <f>IF('[1]P-GENERAL'!Z478="","",'[1]P-GENERAL'!Z478)</f>
        <v/>
      </c>
      <c r="AA478" s="14" t="str">
        <f>IF('[1]P-GENERAL'!AA478="","",'[1]P-GENERAL'!AA478)</f>
        <v>DESPACHADO</v>
      </c>
      <c r="AB478" s="8" t="str">
        <f>IF('[1]P-GENERAL'!AB478="","",'[1]P-GENERAL'!AB478)</f>
        <v>AUTO EXPRESS SEGOVIA</v>
      </c>
      <c r="AC478" s="8" t="str">
        <f>IF('[1]P-GENERAL'!AC478="","",'[1]P-GENERAL'!AC478)</f>
        <v/>
      </c>
      <c r="AD478" t="str">
        <f>IF('[1]P-GENERAL'!AD478="","",'[1]P-GENERAL'!AD478)</f>
        <v/>
      </c>
      <c r="AE478" t="str">
        <f>IF('[1]P-GENERAL'!AE478="","",'[1]P-GENERAL'!AE478)</f>
        <v/>
      </c>
    </row>
    <row r="479" spans="1:31" ht="20.25" x14ac:dyDescent="0.3">
      <c r="A479" s="11" t="str">
        <f>IF('[1]P-GENERAL'!A479="","",'[1]P-GENERAL'!A479)</f>
        <v>Chanitos Premium Tarima Americana</v>
      </c>
      <c r="B479" s="11" t="str">
        <f>IF('[1]P-GENERAL'!B479="","",'[1]P-GENERAL'!B479)</f>
        <v>CPR01103</v>
      </c>
      <c r="C479" t="str">
        <f>IF('[1]P-GENERAL'!C479="","",'[1]P-GENERAL'!C479)</f>
        <v>A04037-410810-1</v>
      </c>
      <c r="D479" t="str">
        <f>IF('[1]P-GENERAL'!D479="","",'[1]P-GENERAL'!D479)</f>
        <v>A04 037 Josefina Nava</v>
      </c>
      <c r="E479" s="8" t="str">
        <f>IF('[1]P-GENERAL'!E479="","",'[1]P-GENERAL'!E479)</f>
        <v>S-MTY</v>
      </c>
      <c r="F479" s="12">
        <f>IF('[1]P-GENERAL'!F479="","",'[1]P-GENERAL'!F479)</f>
        <v>672</v>
      </c>
      <c r="G479" s="13">
        <f>IF('[1]P-GENERAL'!G479="","",'[1]P-GENERAL'!G479)</f>
        <v>14</v>
      </c>
      <c r="H479" s="14">
        <f>IF('[1]P-GENERAL'!H479="","",'[1]P-GENERAL'!H479)</f>
        <v>46303</v>
      </c>
      <c r="I479">
        <f>IF('[1]P-GENERAL'!I479="","",'[1]P-GENERAL'!I479)</f>
        <v>41</v>
      </c>
      <c r="J479" s="15">
        <f>IF('[1]P-GENERAL'!J479="","",'[1]P-GENERAL'!J479)</f>
        <v>46309</v>
      </c>
      <c r="K479" s="14" t="str">
        <f>IF('[1]P-GENERAL'!K479="","",'[1]P-GENERAL'!K479)</f>
        <v/>
      </c>
      <c r="L479" s="14" t="str">
        <f>IF('[1]P-GENERAL'!L479="","",'[1]P-GENERAL'!L479)</f>
        <v>PREENFRIO NELLY</v>
      </c>
      <c r="M479">
        <f>IF('[1]P-GENERAL'!M479="","",'[1]P-GENERAL'!M479)</f>
        <v>3</v>
      </c>
      <c r="N479">
        <f>IF('[1]P-GENERAL'!N479="","",'[1]P-GENERAL'!N479)</f>
        <v>72</v>
      </c>
      <c r="O479" s="14">
        <f>IF('[1]P-GENERAL'!O479="","",'[1]P-GENERAL'!O479)</f>
        <v>46305</v>
      </c>
      <c r="P479" s="16">
        <f>IF('[1]P-GENERAL'!P479="","",'[1]P-GENERAL'!P479)</f>
        <v>8.3333333333333329E-2</v>
      </c>
      <c r="Q479" t="str">
        <f>IF('[1]P-GENERAL'!Q479="","",'[1]P-GENERAL'!Q479)</f>
        <v>ALTA</v>
      </c>
      <c r="R479" s="14">
        <f>IF('[1]P-GENERAL'!R479="","",'[1]P-GENERAL'!R479)</f>
        <v>46304</v>
      </c>
      <c r="S479" s="16">
        <f>IF('[1]P-GENERAL'!S479="","",'[1]P-GENERAL'!S479)</f>
        <v>0.875</v>
      </c>
      <c r="T479" s="16">
        <f>IF('[1]P-GENERAL'!T479="","",'[1]P-GENERAL'!T479)</f>
        <v>0.4375</v>
      </c>
      <c r="U479" s="17">
        <f>IF('[1]P-GENERAL'!U479="","",'[1]P-GENERAL'!U479)</f>
        <v>46305.3125</v>
      </c>
      <c r="V479" s="14">
        <f>IF('[1]P-GENERAL'!V479="","",'[1]P-GENERAL'!V479)</f>
        <v>46305</v>
      </c>
      <c r="W479" s="16">
        <f>IF('[1]P-GENERAL'!W479="","",'[1]P-GENERAL'!W479)</f>
        <v>0.16666666666666666</v>
      </c>
      <c r="X479" s="14" t="str">
        <f>IF('[1]P-GENERAL'!X479="","",'[1]P-GENERAL'!X479)</f>
        <v>SI CUMPLE</v>
      </c>
      <c r="Y479" s="14" t="str">
        <f>IF('[1]P-GENERAL'!Y479="","",'[1]P-GENERAL'!Y479)</f>
        <v>SI CUMPLE</v>
      </c>
      <c r="Z479" s="14" t="str">
        <f>IF('[1]P-GENERAL'!Z479="","",'[1]P-GENERAL'!Z479)</f>
        <v>|</v>
      </c>
      <c r="AA479" s="14" t="str">
        <f>IF('[1]P-GENERAL'!AA479="","",'[1]P-GENERAL'!AA479)</f>
        <v>DESPACHADO</v>
      </c>
      <c r="AB479" s="8" t="str">
        <f>IF('[1]P-GENERAL'!AB479="","",'[1]P-GENERAL'!AB479)</f>
        <v>AUTO EXPRESS SEGOVIA</v>
      </c>
      <c r="AC479" s="8" t="str">
        <f>IF('[1]P-GENERAL'!AC479="","",'[1]P-GENERAL'!AC479)</f>
        <v/>
      </c>
      <c r="AD479" t="str">
        <f>IF('[1]P-GENERAL'!AD479="","",'[1]P-GENERAL'!AD479)</f>
        <v/>
      </c>
      <c r="AE479" t="str">
        <f>IF('[1]P-GENERAL'!AE479="","",'[1]P-GENERAL'!AE479)</f>
        <v/>
      </c>
    </row>
    <row r="480" spans="1:31" ht="20.25" x14ac:dyDescent="0.3">
      <c r="A480" s="11" t="str">
        <f>IF('[1]P-GENERAL'!A480="","",'[1]P-GENERAL'!A480)</f>
        <v>Chanitos Premium Tarima Americana</v>
      </c>
      <c r="B480" s="11" t="str">
        <f>IF('[1]P-GENERAL'!B480="","",'[1]P-GENERAL'!B480)</f>
        <v>CPR01103</v>
      </c>
      <c r="C480" t="str">
        <f>IF('[1]P-GENERAL'!C480="","",'[1]P-GENERAL'!C480)</f>
        <v>A04037-410810-1</v>
      </c>
      <c r="D480" t="str">
        <f>IF('[1]P-GENERAL'!D480="","",'[1]P-GENERAL'!D480)</f>
        <v>A04 037 Josefina Nava</v>
      </c>
      <c r="E480" s="8" t="str">
        <f>IF('[1]P-GENERAL'!E480="","",'[1]P-GENERAL'!E480)</f>
        <v>S-MTY</v>
      </c>
      <c r="F480" s="12">
        <f>IF('[1]P-GENERAL'!F480="","",'[1]P-GENERAL'!F480)</f>
        <v>288</v>
      </c>
      <c r="G480" s="13">
        <f>IF('[1]P-GENERAL'!G480="","",'[1]P-GENERAL'!G480)</f>
        <v>6</v>
      </c>
      <c r="H480" s="14">
        <f>IF('[1]P-GENERAL'!H480="","",'[1]P-GENERAL'!H480)</f>
        <v>46303</v>
      </c>
      <c r="I480">
        <f>IF('[1]P-GENERAL'!I480="","",'[1]P-GENERAL'!I480)</f>
        <v>41</v>
      </c>
      <c r="J480" s="15">
        <f>IF('[1]P-GENERAL'!J480="","",'[1]P-GENERAL'!J480)</f>
        <v>46310</v>
      </c>
      <c r="K480" s="14" t="str">
        <f>IF('[1]P-GENERAL'!K480="","",'[1]P-GENERAL'!K480)</f>
        <v/>
      </c>
      <c r="L480" s="14" t="str">
        <f>IF('[1]P-GENERAL'!L480="","",'[1]P-GENERAL'!L480)</f>
        <v>PREENFRIO NELLY</v>
      </c>
      <c r="M480">
        <f>IF('[1]P-GENERAL'!M480="","",'[1]P-GENERAL'!M480)</f>
        <v>3</v>
      </c>
      <c r="N480">
        <f>IF('[1]P-GENERAL'!N480="","",'[1]P-GENERAL'!N480)</f>
        <v>72</v>
      </c>
      <c r="O480" s="14">
        <f>IF('[1]P-GENERAL'!O480="","",'[1]P-GENERAL'!O480)</f>
        <v>46305</v>
      </c>
      <c r="P480" s="16">
        <f>IF('[1]P-GENERAL'!P480="","",'[1]P-GENERAL'!P480)</f>
        <v>8.3333333333333329E-2</v>
      </c>
      <c r="Q480" t="str">
        <f>IF('[1]P-GENERAL'!Q480="","",'[1]P-GENERAL'!Q480)</f>
        <v>ALTA</v>
      </c>
      <c r="R480" s="14">
        <f>IF('[1]P-GENERAL'!R480="","",'[1]P-GENERAL'!R480)</f>
        <v>46304</v>
      </c>
      <c r="S480" s="16">
        <f>IF('[1]P-GENERAL'!S480="","",'[1]P-GENERAL'!S480)</f>
        <v>0.875</v>
      </c>
      <c r="T480" s="16">
        <f>IF('[1]P-GENERAL'!T480="","",'[1]P-GENERAL'!T480)</f>
        <v>0.4375</v>
      </c>
      <c r="U480" s="17">
        <f>IF('[1]P-GENERAL'!U480="","",'[1]P-GENERAL'!U480)</f>
        <v>46305.3125</v>
      </c>
      <c r="V480" s="14">
        <f>IF('[1]P-GENERAL'!V480="","",'[1]P-GENERAL'!V480)</f>
        <v>46305</v>
      </c>
      <c r="W480" s="16">
        <f>IF('[1]P-GENERAL'!W480="","",'[1]P-GENERAL'!W480)</f>
        <v>0.16666666666666666</v>
      </c>
      <c r="X480" s="14" t="str">
        <f>IF('[1]P-GENERAL'!X480="","",'[1]P-GENERAL'!X480)</f>
        <v>SI CUMPLE</v>
      </c>
      <c r="Y480" s="14" t="str">
        <f>IF('[1]P-GENERAL'!Y480="","",'[1]P-GENERAL'!Y480)</f>
        <v>SI CUMPLE</v>
      </c>
      <c r="Z480" s="14" t="str">
        <f>IF('[1]P-GENERAL'!Z480="","",'[1]P-GENERAL'!Z480)</f>
        <v/>
      </c>
      <c r="AA480" s="14" t="str">
        <f>IF('[1]P-GENERAL'!AA480="","",'[1]P-GENERAL'!AA480)</f>
        <v>DESPACHADO</v>
      </c>
      <c r="AB480" s="8" t="str">
        <f>IF('[1]P-GENERAL'!AB480="","",'[1]P-GENERAL'!AB480)</f>
        <v/>
      </c>
      <c r="AC480" s="8" t="str">
        <f>IF('[1]P-GENERAL'!AC480="","",'[1]P-GENERAL'!AC480)</f>
        <v/>
      </c>
      <c r="AD480" t="str">
        <f>IF('[1]P-GENERAL'!AD480="","",'[1]P-GENERAL'!AD480)</f>
        <v/>
      </c>
      <c r="AE480" t="str">
        <f>IF('[1]P-GENERAL'!AE480="","",'[1]P-GENERAL'!AE480)</f>
        <v/>
      </c>
    </row>
    <row r="481" spans="1:31" ht="20.25" x14ac:dyDescent="0.3">
      <c r="A481" s="11" t="str">
        <f>IF('[1]P-GENERAL'!A481="","",'[1]P-GENERAL'!A481)</f>
        <v>Chanitos Premium Tarima Americana</v>
      </c>
      <c r="B481" s="11" t="str">
        <f>IF('[1]P-GENERAL'!B481="","",'[1]P-GENERAL'!B481)</f>
        <v>CPR01103</v>
      </c>
      <c r="C481" t="str">
        <f>IF('[1]P-GENERAL'!C481="","",'[1]P-GENERAL'!C481)</f>
        <v>A25022-410910-1</v>
      </c>
      <c r="D481" t="str">
        <f>IF('[1]P-GENERAL'!D481="","",'[1]P-GENERAL'!D481)</f>
        <v>A25 022 Doña Mildred</v>
      </c>
      <c r="E481" s="8" t="str">
        <f>IF('[1]P-GENERAL'!E481="","",'[1]P-GENERAL'!E481)</f>
        <v>Ciudad Juarez</v>
      </c>
      <c r="F481" s="12">
        <f>IF('[1]P-GENERAL'!F481="","",'[1]P-GENERAL'!F481)</f>
        <v>960</v>
      </c>
      <c r="G481" s="13">
        <f>IF('[1]P-GENERAL'!G481="","",'[1]P-GENERAL'!G481)</f>
        <v>20</v>
      </c>
      <c r="H481" s="14">
        <f>IF('[1]P-GENERAL'!H481="","",'[1]P-GENERAL'!H481)</f>
        <v>46304</v>
      </c>
      <c r="I481">
        <f>IF('[1]P-GENERAL'!I481="","",'[1]P-GENERAL'!I481)</f>
        <v>41</v>
      </c>
      <c r="J481" s="15">
        <f>IF('[1]P-GENERAL'!J481="","",'[1]P-GENERAL'!J481)</f>
        <v>46310</v>
      </c>
      <c r="K481" s="14" t="str">
        <f>IF('[1]P-GENERAL'!K481="","",'[1]P-GENERAL'!K481)</f>
        <v/>
      </c>
      <c r="L481" s="14" t="str">
        <f>IF('[1]P-GENERAL'!L481="","",'[1]P-GENERAL'!L481)</f>
        <v>PREENFRIO NELLY</v>
      </c>
      <c r="M481">
        <f>IF('[1]P-GENERAL'!M481="","",'[1]P-GENERAL'!M481)</f>
        <v>4</v>
      </c>
      <c r="N481">
        <f>IF('[1]P-GENERAL'!N481="","",'[1]P-GENERAL'!N481)</f>
        <v>96</v>
      </c>
      <c r="O481" s="14">
        <f>IF('[1]P-GENERAL'!O481="","",'[1]P-GENERAL'!O481)</f>
        <v>46304</v>
      </c>
      <c r="P481" s="16">
        <f>IF('[1]P-GENERAL'!P481="","",'[1]P-GENERAL'!P481)</f>
        <v>0.75</v>
      </c>
      <c r="Q481" t="str">
        <f>IF('[1]P-GENERAL'!Q481="","",'[1]P-GENERAL'!Q481)</f>
        <v>ALTA</v>
      </c>
      <c r="R481" s="14">
        <f>IF('[1]P-GENERAL'!R481="","",'[1]P-GENERAL'!R481)</f>
        <v>46305</v>
      </c>
      <c r="S481" s="16">
        <f>IF('[1]P-GENERAL'!S481="","",'[1]P-GENERAL'!S481)</f>
        <v>0.3125</v>
      </c>
      <c r="T481" s="16">
        <f>IF('[1]P-GENERAL'!T481="","",'[1]P-GENERAL'!T481)</f>
        <v>0.4375</v>
      </c>
      <c r="U481" s="17">
        <f>IF('[1]P-GENERAL'!U481="","",'[1]P-GENERAL'!U481)</f>
        <v>46305.75</v>
      </c>
      <c r="V481" s="14">
        <f>IF('[1]P-GENERAL'!V481="","",'[1]P-GENERAL'!V481)</f>
        <v>46305</v>
      </c>
      <c r="W481" s="16">
        <f>IF('[1]P-GENERAL'!W481="","",'[1]P-GENERAL'!W481)</f>
        <v>0.75</v>
      </c>
      <c r="X481" s="14" t="str">
        <f>IF('[1]P-GENERAL'!X481="","",'[1]P-GENERAL'!X481)</f>
        <v>SI CUMPLE</v>
      </c>
      <c r="Y481" s="14" t="str">
        <f>IF('[1]P-GENERAL'!Y481="","",'[1]P-GENERAL'!Y481)</f>
        <v>SI CUMPLE</v>
      </c>
      <c r="Z481" s="14" t="str">
        <f>IF('[1]P-GENERAL'!Z481="","",'[1]P-GENERAL'!Z481)</f>
        <v/>
      </c>
      <c r="AA481" s="14" t="str">
        <f>IF('[1]P-GENERAL'!AA481="","",'[1]P-GENERAL'!AA481)</f>
        <v>DESPACHADO</v>
      </c>
      <c r="AB481" s="8" t="str">
        <f>IF('[1]P-GENERAL'!AB481="","",'[1]P-GENERAL'!AB481)</f>
        <v>AUTO EXPRESS SEGOVIA</v>
      </c>
      <c r="AC481" s="8" t="str">
        <f>IF('[1]P-GENERAL'!AC481="","",'[1]P-GENERAL'!AC481)</f>
        <v/>
      </c>
      <c r="AD481" t="str">
        <f>IF('[1]P-GENERAL'!AD481="","",'[1]P-GENERAL'!AD481)</f>
        <v/>
      </c>
      <c r="AE481" t="str">
        <f>IF('[1]P-GENERAL'!AE481="","",'[1]P-GENERAL'!AE481)</f>
        <v/>
      </c>
    </row>
    <row r="482" spans="1:31" ht="20.25" x14ac:dyDescent="0.3">
      <c r="A482" s="11" t="str">
        <f>IF('[1]P-GENERAL'!A482="","",'[1]P-GENERAL'!A482)</f>
        <v>Chanitos Premium Tarima Americana</v>
      </c>
      <c r="B482" s="11" t="str">
        <f>IF('[1]P-GENERAL'!B482="","",'[1]P-GENERAL'!B482)</f>
        <v>CPR01103</v>
      </c>
      <c r="C482" t="str">
        <f>IF('[1]P-GENERAL'!C482="","",'[1]P-GENERAL'!C482)</f>
        <v>A01002-410910-1</v>
      </c>
      <c r="D482" t="str">
        <f>IF('[1]P-GENERAL'!D482="","",'[1]P-GENERAL'!D482)</f>
        <v>A01 002 Fortaleza</v>
      </c>
      <c r="E482" s="8" t="str">
        <f>IF('[1]P-GENERAL'!E482="","",'[1]P-GENERAL'!E482)</f>
        <v>Ciudad Juarez</v>
      </c>
      <c r="F482" s="12">
        <f>IF('[1]P-GENERAL'!F482="","",'[1]P-GENERAL'!F482)</f>
        <v>960</v>
      </c>
      <c r="G482" s="13">
        <f>IF('[1]P-GENERAL'!G482="","",'[1]P-GENERAL'!G482)</f>
        <v>20</v>
      </c>
      <c r="H482" s="14">
        <f>IF('[1]P-GENERAL'!H482="","",'[1]P-GENERAL'!H482)</f>
        <v>46304</v>
      </c>
      <c r="I482">
        <f>IF('[1]P-GENERAL'!I482="","",'[1]P-GENERAL'!I482)</f>
        <v>41</v>
      </c>
      <c r="J482" s="15">
        <f>IF('[1]P-GENERAL'!J482="","",'[1]P-GENERAL'!J482)</f>
        <v>46310</v>
      </c>
      <c r="K482" s="14" t="str">
        <f>IF('[1]P-GENERAL'!K482="","",'[1]P-GENERAL'!K482)</f>
        <v/>
      </c>
      <c r="L482" s="14" t="str">
        <f>IF('[1]P-GENERAL'!L482="","",'[1]P-GENERAL'!L482)</f>
        <v>PREENFRIO NELLY</v>
      </c>
      <c r="M482">
        <f>IF('[1]P-GENERAL'!M482="","",'[1]P-GENERAL'!M482)</f>
        <v>4</v>
      </c>
      <c r="N482">
        <f>IF('[1]P-GENERAL'!N482="","",'[1]P-GENERAL'!N482)</f>
        <v>96</v>
      </c>
      <c r="O482" s="14">
        <f>IF('[1]P-GENERAL'!O482="","",'[1]P-GENERAL'!O482)</f>
        <v>46306</v>
      </c>
      <c r="P482" s="16">
        <f>IF('[1]P-GENERAL'!P482="","",'[1]P-GENERAL'!P482)</f>
        <v>0.4236111111111111</v>
      </c>
      <c r="Q482" t="str">
        <f>IF('[1]P-GENERAL'!Q482="","",'[1]P-GENERAL'!Q482)</f>
        <v>ALTA</v>
      </c>
      <c r="R482" s="14">
        <f>IF('[1]P-GENERAL'!R482="","",'[1]P-GENERAL'!R482)</f>
        <v>46305</v>
      </c>
      <c r="S482" s="16">
        <f>IF('[1]P-GENERAL'!S482="","",'[1]P-GENERAL'!S482)</f>
        <v>0.75</v>
      </c>
      <c r="T482" s="16">
        <f>IF('[1]P-GENERAL'!T482="","",'[1]P-GENERAL'!T482)</f>
        <v>0.39583333333333331</v>
      </c>
      <c r="U482" s="17">
        <f>IF('[1]P-GENERAL'!U482="","",'[1]P-GENERAL'!U482)</f>
        <v>46306.145833333336</v>
      </c>
      <c r="V482" s="14">
        <f>IF('[1]P-GENERAL'!V482="","",'[1]P-GENERAL'!V482)</f>
        <v>46305</v>
      </c>
      <c r="W482" s="16">
        <f>IF('[1]P-GENERAL'!W482="","",'[1]P-GENERAL'!W482)</f>
        <v>0.75</v>
      </c>
      <c r="X482" s="14" t="str">
        <f>IF('[1]P-GENERAL'!X482="","",'[1]P-GENERAL'!X482)</f>
        <v>NO CUMPLE</v>
      </c>
      <c r="Y482" s="14" t="str">
        <f>IF('[1]P-GENERAL'!Y482="","",'[1]P-GENERAL'!Y482)</f>
        <v>SI CUMPLE</v>
      </c>
      <c r="Z482" s="14" t="str">
        <f>IF('[1]P-GENERAL'!Z482="","",'[1]P-GENERAL'!Z482)</f>
        <v/>
      </c>
      <c r="AA482" s="14" t="str">
        <f>IF('[1]P-GENERAL'!AA482="","",'[1]P-GENERAL'!AA482)</f>
        <v>DESPACHADO</v>
      </c>
      <c r="AB482" s="8" t="str">
        <f>IF('[1]P-GENERAL'!AB482="","",'[1]P-GENERAL'!AB482)</f>
        <v>AUTO EXPRESS SEGOVIA</v>
      </c>
      <c r="AC482" s="8" t="str">
        <f>IF('[1]P-GENERAL'!AC482="","",'[1]P-GENERAL'!AC482)</f>
        <v/>
      </c>
      <c r="AD482" t="str">
        <f>IF('[1]P-GENERAL'!AD482="","",'[1]P-GENERAL'!AD482)</f>
        <v/>
      </c>
      <c r="AE482" t="str">
        <f>IF('[1]P-GENERAL'!AE482="","",'[1]P-GENERAL'!AE482)</f>
        <v/>
      </c>
    </row>
    <row r="483" spans="1:31" ht="20.25" x14ac:dyDescent="0.3">
      <c r="A483" s="11" t="str">
        <f>IF('[1]P-GENERAL'!A483="","",'[1]P-GENERAL'!A483)</f>
        <v>Chanitos Premium Tarima Americana</v>
      </c>
      <c r="B483" s="11" t="str">
        <f>IF('[1]P-GENERAL'!B483="","",'[1]P-GENERAL'!B483)</f>
        <v>CPR01103</v>
      </c>
      <c r="C483" t="str">
        <f>IF('[1]P-GENERAL'!C483="","",'[1]P-GENERAL'!C483)</f>
        <v>A01004-410910-1</v>
      </c>
      <c r="D483" t="str">
        <f>IF('[1]P-GENERAL'!D483="","",'[1]P-GENERAL'!D483)</f>
        <v>A01 004 La Ceiba</v>
      </c>
      <c r="E483" s="8" t="str">
        <f>IF('[1]P-GENERAL'!E483="","",'[1]P-GENERAL'!E483)</f>
        <v>S-MTY</v>
      </c>
      <c r="F483" s="12">
        <f>IF('[1]P-GENERAL'!F483="","",'[1]P-GENERAL'!F483)</f>
        <v>288</v>
      </c>
      <c r="G483" s="13">
        <f>IF('[1]P-GENERAL'!G483="","",'[1]P-GENERAL'!G483)</f>
        <v>6</v>
      </c>
      <c r="H483" s="14">
        <f>IF('[1]P-GENERAL'!H483="","",'[1]P-GENERAL'!H483)</f>
        <v>46304</v>
      </c>
      <c r="I483">
        <f>IF('[1]P-GENERAL'!I483="","",'[1]P-GENERAL'!I483)</f>
        <v>41</v>
      </c>
      <c r="J483" s="15">
        <f>IF('[1]P-GENERAL'!J483="","",'[1]P-GENERAL'!J483)</f>
        <v>46310</v>
      </c>
      <c r="K483" s="14" t="str">
        <f>IF('[1]P-GENERAL'!K483="","",'[1]P-GENERAL'!K483)</f>
        <v/>
      </c>
      <c r="L483" s="14" t="str">
        <f>IF('[1]P-GENERAL'!L483="","",'[1]P-GENERAL'!L483)</f>
        <v>PREENFRIO NELLY</v>
      </c>
      <c r="M483">
        <f>IF('[1]P-GENERAL'!M483="","",'[1]P-GENERAL'!M483)</f>
        <v>3</v>
      </c>
      <c r="N483">
        <f>IF('[1]P-GENERAL'!N483="","",'[1]P-GENERAL'!N483)</f>
        <v>72</v>
      </c>
      <c r="O483" s="14">
        <f>IF('[1]P-GENERAL'!O483="","",'[1]P-GENERAL'!O483)</f>
        <v>46304</v>
      </c>
      <c r="P483" s="16">
        <f>IF('[1]P-GENERAL'!P483="","",'[1]P-GENERAL'!P483)</f>
        <v>0.875</v>
      </c>
      <c r="Q483" t="str">
        <f>IF('[1]P-GENERAL'!Q483="","",'[1]P-GENERAL'!Q483)</f>
        <v>ALTA</v>
      </c>
      <c r="R483" s="14">
        <f>IF('[1]P-GENERAL'!R483="","",'[1]P-GENERAL'!R483)</f>
        <v>46306</v>
      </c>
      <c r="S483" s="16">
        <f>IF('[1]P-GENERAL'!S483="","",'[1]P-GENERAL'!S483)</f>
        <v>5.5555555555555552E-2</v>
      </c>
      <c r="T483" s="16">
        <f>IF('[1]P-GENERAL'!T483="","",'[1]P-GENERAL'!T483)</f>
        <v>0.4375</v>
      </c>
      <c r="U483" s="17">
        <f>IF('[1]P-GENERAL'!U483="","",'[1]P-GENERAL'!U483)</f>
        <v>46306.493055555555</v>
      </c>
      <c r="V483" s="14">
        <f>IF('[1]P-GENERAL'!V483="","",'[1]P-GENERAL'!V483)</f>
        <v>46306</v>
      </c>
      <c r="W483" s="16">
        <f>IF('[1]P-GENERAL'!W483="","",'[1]P-GENERAL'!W483)</f>
        <v>0.99305555555555558</v>
      </c>
      <c r="X483" s="14" t="str">
        <f>IF('[1]P-GENERAL'!X483="","",'[1]P-GENERAL'!X483)</f>
        <v>SI CUMPLE</v>
      </c>
      <c r="Y483" s="14" t="str">
        <f>IF('[1]P-GENERAL'!Y483="","",'[1]P-GENERAL'!Y483)</f>
        <v>SI CUMPLE</v>
      </c>
      <c r="Z483" s="14" t="str">
        <f>IF('[1]P-GENERAL'!Z483="","",'[1]P-GENERAL'!Z483)</f>
        <v/>
      </c>
      <c r="AA483" s="14" t="str">
        <f>IF('[1]P-GENERAL'!AA483="","",'[1]P-GENERAL'!AA483)</f>
        <v>DESPACHADO</v>
      </c>
      <c r="AB483" s="8" t="str">
        <f>IF('[1]P-GENERAL'!AB483="","",'[1]P-GENERAL'!AB483)</f>
        <v>LOCAL</v>
      </c>
      <c r="AC483" s="8" t="str">
        <f>IF('[1]P-GENERAL'!AC483="","",'[1]P-GENERAL'!AC483)</f>
        <v>FATIMA ROCIO DIMAS</v>
      </c>
      <c r="AD483" t="str">
        <f>IF('[1]P-GENERAL'!AD483="","",'[1]P-GENERAL'!AD483)</f>
        <v/>
      </c>
      <c r="AE483" t="str">
        <f>IF('[1]P-GENERAL'!AE483="","",'[1]P-GENERAL'!AE483)</f>
        <v/>
      </c>
    </row>
    <row r="484" spans="1:31" ht="20.25" x14ac:dyDescent="0.3">
      <c r="A484" s="11" t="str">
        <f>IF('[1]P-GENERAL'!A484="","",'[1]P-GENERAL'!A484)</f>
        <v>Chanitos Premium Tarima Americana</v>
      </c>
      <c r="B484" s="11" t="str">
        <f>IF('[1]P-GENERAL'!B484="","",'[1]P-GENERAL'!B484)</f>
        <v>CPR01103</v>
      </c>
      <c r="C484" t="str">
        <f>IF('[1]P-GENERAL'!C484="","",'[1]P-GENERAL'!C484)</f>
        <v>A04037-410910-1</v>
      </c>
      <c r="D484" t="str">
        <f>IF('[1]P-GENERAL'!D484="","",'[1]P-GENERAL'!D484)</f>
        <v>A04 037 Josefina Nava</v>
      </c>
      <c r="E484" s="8" t="str">
        <f>IF('[1]P-GENERAL'!E484="","",'[1]P-GENERAL'!E484)</f>
        <v>S-MTY</v>
      </c>
      <c r="F484" s="12">
        <f>IF('[1]P-GENERAL'!F484="","",'[1]P-GENERAL'!F484)</f>
        <v>672</v>
      </c>
      <c r="G484" s="13">
        <f>IF('[1]P-GENERAL'!G484="","",'[1]P-GENERAL'!G484)</f>
        <v>14</v>
      </c>
      <c r="H484" s="14">
        <f>IF('[1]P-GENERAL'!H484="","",'[1]P-GENERAL'!H484)</f>
        <v>46304</v>
      </c>
      <c r="I484">
        <f>IF('[1]P-GENERAL'!I484="","",'[1]P-GENERAL'!I484)</f>
        <v>41</v>
      </c>
      <c r="J484" s="15">
        <f>IF('[1]P-GENERAL'!J484="","",'[1]P-GENERAL'!J484)</f>
        <v>46310</v>
      </c>
      <c r="K484" s="14" t="str">
        <f>IF('[1]P-GENERAL'!K484="","",'[1]P-GENERAL'!K484)</f>
        <v/>
      </c>
      <c r="L484" s="14" t="str">
        <f>IF('[1]P-GENERAL'!L484="","",'[1]P-GENERAL'!L484)</f>
        <v>PREENFRIO NELLY</v>
      </c>
      <c r="M484">
        <f>IF('[1]P-GENERAL'!M484="","",'[1]P-GENERAL'!M484)</f>
        <v>3</v>
      </c>
      <c r="N484">
        <f>IF('[1]P-GENERAL'!N484="","",'[1]P-GENERAL'!N484)</f>
        <v>72</v>
      </c>
      <c r="O484" s="14">
        <f>IF('[1]P-GENERAL'!O484="","",'[1]P-GENERAL'!O484)</f>
        <v>46305</v>
      </c>
      <c r="P484" s="16">
        <f>IF('[1]P-GENERAL'!P484="","",'[1]P-GENERAL'!P484)</f>
        <v>8.3333333333333329E-2</v>
      </c>
      <c r="Q484" t="str">
        <f>IF('[1]P-GENERAL'!Q484="","",'[1]P-GENERAL'!Q484)</f>
        <v>ALTA</v>
      </c>
      <c r="R484" s="14">
        <f>IF('[1]P-GENERAL'!R484="","",'[1]P-GENERAL'!R484)</f>
        <v>46306</v>
      </c>
      <c r="S484" s="16">
        <f>IF('[1]P-GENERAL'!S484="","",'[1]P-GENERAL'!S484)</f>
        <v>0.24305555555555555</v>
      </c>
      <c r="T484" s="16">
        <f>IF('[1]P-GENERAL'!T484="","",'[1]P-GENERAL'!T484)</f>
        <v>0.4375</v>
      </c>
      <c r="U484" s="17">
        <f>IF('[1]P-GENERAL'!U484="","",'[1]P-GENERAL'!U484)</f>
        <v>46306.680555555555</v>
      </c>
      <c r="V484" s="14">
        <f>IF('[1]P-GENERAL'!V484="","",'[1]P-GENERAL'!V484)</f>
        <v>46306</v>
      </c>
      <c r="W484" s="16">
        <f>IF('[1]P-GENERAL'!W484="","",'[1]P-GENERAL'!W484)</f>
        <v>0.99305555555555558</v>
      </c>
      <c r="X484" s="14" t="str">
        <f>IF('[1]P-GENERAL'!X484="","",'[1]P-GENERAL'!X484)</f>
        <v>SI CUMPLE</v>
      </c>
      <c r="Y484" s="14" t="str">
        <f>IF('[1]P-GENERAL'!Y484="","",'[1]P-GENERAL'!Y484)</f>
        <v>SI CUMPLE</v>
      </c>
      <c r="Z484" s="14" t="str">
        <f>IF('[1]P-GENERAL'!Z484="","",'[1]P-GENERAL'!Z484)</f>
        <v/>
      </c>
      <c r="AA484" s="14" t="str">
        <f>IF('[1]P-GENERAL'!AA484="","",'[1]P-GENERAL'!AA484)</f>
        <v>DESPACHADO</v>
      </c>
      <c r="AB484" s="8" t="str">
        <f>IF('[1]P-GENERAL'!AB484="","",'[1]P-GENERAL'!AB484)</f>
        <v>AUTO EXPRESS SEGOVIA</v>
      </c>
      <c r="AC484" s="8" t="str">
        <f>IF('[1]P-GENERAL'!AC484="","",'[1]P-GENERAL'!AC484)</f>
        <v/>
      </c>
      <c r="AD484" t="str">
        <f>IF('[1]P-GENERAL'!AD484="","",'[1]P-GENERAL'!AD484)</f>
        <v/>
      </c>
      <c r="AE484" t="str">
        <f>IF('[1]P-GENERAL'!AE484="","",'[1]P-GENERAL'!AE484)</f>
        <v/>
      </c>
    </row>
    <row r="485" spans="1:31" ht="20.25" x14ac:dyDescent="0.3">
      <c r="A485" s="11" t="str">
        <f>IF('[1]P-GENERAL'!A485="","",'[1]P-GENERAL'!A485)</f>
        <v>Chanitos Premium Tarima Americana</v>
      </c>
      <c r="B485" s="11" t="str">
        <f>IF('[1]P-GENERAL'!B485="","",'[1]P-GENERAL'!B485)</f>
        <v>CPR01103</v>
      </c>
      <c r="C485" t="str">
        <f>IF('[1]P-GENERAL'!C485="","",'[1]P-GENERAL'!C485)</f>
        <v>A01002-410910-1</v>
      </c>
      <c r="D485" t="str">
        <f>IF('[1]P-GENERAL'!D485="","",'[1]P-GENERAL'!D485)</f>
        <v>A01 002 Fortaleza</v>
      </c>
      <c r="E485" s="8" t="str">
        <f>IF('[1]P-GENERAL'!E485="","",'[1]P-GENERAL'!E485)</f>
        <v>Ciudad Juarez</v>
      </c>
      <c r="F485" s="12">
        <f>IF('[1]P-GENERAL'!F485="","",'[1]P-GENERAL'!F485)</f>
        <v>288</v>
      </c>
      <c r="G485" s="13">
        <f>IF('[1]P-GENERAL'!G485="","",'[1]P-GENERAL'!G485)</f>
        <v>6</v>
      </c>
      <c r="H485" s="14">
        <f>IF('[1]P-GENERAL'!H485="","",'[1]P-GENERAL'!H485)</f>
        <v>46304</v>
      </c>
      <c r="I485">
        <f>IF('[1]P-GENERAL'!I485="","",'[1]P-GENERAL'!I485)</f>
        <v>41</v>
      </c>
      <c r="J485" s="15">
        <f>IF('[1]P-GENERAL'!J485="","",'[1]P-GENERAL'!J485)</f>
        <v>46310</v>
      </c>
      <c r="K485" s="14" t="str">
        <f>IF('[1]P-GENERAL'!K485="","",'[1]P-GENERAL'!K485)</f>
        <v/>
      </c>
      <c r="L485" s="14" t="str">
        <f>IF('[1]P-GENERAL'!L485="","",'[1]P-GENERAL'!L485)</f>
        <v>PREENFRIO NELLY</v>
      </c>
      <c r="M485">
        <f>IF('[1]P-GENERAL'!M485="","",'[1]P-GENERAL'!M485)</f>
        <v>4</v>
      </c>
      <c r="N485">
        <f>IF('[1]P-GENERAL'!N485="","",'[1]P-GENERAL'!N485)</f>
        <v>96</v>
      </c>
      <c r="O485" s="14">
        <f>IF('[1]P-GENERAL'!O485="","",'[1]P-GENERAL'!O485)</f>
        <v>46306</v>
      </c>
      <c r="P485" s="16">
        <f>IF('[1]P-GENERAL'!P485="","",'[1]P-GENERAL'!P485)</f>
        <v>0.4236111111111111</v>
      </c>
      <c r="Q485" t="str">
        <f>IF('[1]P-GENERAL'!Q485="","",'[1]P-GENERAL'!Q485)</f>
        <v>ALTA</v>
      </c>
      <c r="R485" s="14">
        <f>IF('[1]P-GENERAL'!R485="","",'[1]P-GENERAL'!R485)</f>
        <v>46306</v>
      </c>
      <c r="S485" s="16">
        <f>IF('[1]P-GENERAL'!S485="","",'[1]P-GENERAL'!S485)</f>
        <v>5.5555555555555552E-2</v>
      </c>
      <c r="T485" s="16">
        <f>IF('[1]P-GENERAL'!T485="","",'[1]P-GENERAL'!T485)</f>
        <v>0.4375</v>
      </c>
      <c r="U485" s="17">
        <f>IF('[1]P-GENERAL'!U485="","",'[1]P-GENERAL'!U485)</f>
        <v>46306.493055555555</v>
      </c>
      <c r="V485" s="14">
        <f>IF('[1]P-GENERAL'!V485="","",'[1]P-GENERAL'!V485)</f>
        <v>46306</v>
      </c>
      <c r="W485" s="16">
        <f>IF('[1]P-GENERAL'!W485="","",'[1]P-GENERAL'!W485)</f>
        <v>0.99305555555555558</v>
      </c>
      <c r="X485" s="14" t="str">
        <f>IF('[1]P-GENERAL'!X485="","",'[1]P-GENERAL'!X485)</f>
        <v>NO CUMPLE</v>
      </c>
      <c r="Y485" s="14" t="str">
        <f>IF('[1]P-GENERAL'!Y485="","",'[1]P-GENERAL'!Y485)</f>
        <v>NO CUMPLE</v>
      </c>
      <c r="Z485" s="14" t="str">
        <f>IF('[1]P-GENERAL'!Z485="","",'[1]P-GENERAL'!Z485)</f>
        <v/>
      </c>
      <c r="AA485" s="14" t="str">
        <f>IF('[1]P-GENERAL'!AA485="","",'[1]P-GENERAL'!AA485)</f>
        <v>DESPACHADO</v>
      </c>
      <c r="AB485" s="8" t="str">
        <f>IF('[1]P-GENERAL'!AB485="","",'[1]P-GENERAL'!AB485)</f>
        <v>AUTO EXPRESS SEGOVIA</v>
      </c>
      <c r="AC485" s="8" t="str">
        <f>IF('[1]P-GENERAL'!AC485="","",'[1]P-GENERAL'!AC485)</f>
        <v/>
      </c>
      <c r="AD485" t="str">
        <f>IF('[1]P-GENERAL'!AD485="","",'[1]P-GENERAL'!AD485)</f>
        <v/>
      </c>
      <c r="AE485" t="str">
        <f>IF('[1]P-GENERAL'!AE485="","",'[1]P-GENERAL'!AE485)</f>
        <v/>
      </c>
    </row>
    <row r="486" spans="1:31" ht="20.25" x14ac:dyDescent="0.3">
      <c r="A486" s="11" t="str">
        <f>IF('[1]P-GENERAL'!A486="","",'[1]P-GENERAL'!A486)</f>
        <v>Chanitos Premium EUA Tarima Americana</v>
      </c>
      <c r="B486" s="11" t="str">
        <f>IF('[1]P-GENERAL'!B486="","",'[1]P-GENERAL'!B486)</f>
        <v>CPR01104</v>
      </c>
      <c r="C486" t="str">
        <f>IF('[1]P-GENERAL'!C486="","",'[1]P-GENERAL'!C486)</f>
        <v>A06043-410910-1</v>
      </c>
      <c r="D486" t="str">
        <f>IF('[1]P-GENERAL'!D486="","",'[1]P-GENERAL'!D486)</f>
        <v>A06 043 Nuestra señora</v>
      </c>
      <c r="E486" s="8" t="str">
        <f>IF('[1]P-GENERAL'!E486="","",'[1]P-GENERAL'!E486)</f>
        <v>McAllen</v>
      </c>
      <c r="F486" s="12">
        <f>IF('[1]P-GENERAL'!F486="","",'[1]P-GENERAL'!F486)</f>
        <v>384</v>
      </c>
      <c r="G486" s="13">
        <f>IF('[1]P-GENERAL'!G486="","",'[1]P-GENERAL'!G486)</f>
        <v>8</v>
      </c>
      <c r="H486" s="14">
        <f>IF('[1]P-GENERAL'!H486="","",'[1]P-GENERAL'!H486)</f>
        <v>46304</v>
      </c>
      <c r="I486">
        <f>IF('[1]P-GENERAL'!I486="","",'[1]P-GENERAL'!I486)</f>
        <v>41</v>
      </c>
      <c r="J486" s="15">
        <f>IF('[1]P-GENERAL'!J486="","",'[1]P-GENERAL'!J486)</f>
        <v>46309</v>
      </c>
      <c r="K486" s="14" t="str">
        <f>IF('[1]P-GENERAL'!K486="","",'[1]P-GENERAL'!K486)</f>
        <v/>
      </c>
      <c r="L486" s="14" t="str">
        <f>IF('[1]P-GENERAL'!L486="","",'[1]P-GENERAL'!L486)</f>
        <v>PREENFRIO FORTALEZA</v>
      </c>
      <c r="M486" t="str">
        <f>IF('[1]P-GENERAL'!M486="","",'[1]P-GENERAL'!M486)</f>
        <v/>
      </c>
      <c r="N486" t="str">
        <f>IF('[1]P-GENERAL'!N486="","",'[1]P-GENERAL'!N486)</f>
        <v/>
      </c>
      <c r="O486" s="14">
        <f>IF('[1]P-GENERAL'!O486="","",'[1]P-GENERAL'!O486)</f>
        <v>46304</v>
      </c>
      <c r="P486" s="16">
        <f>IF('[1]P-GENERAL'!P486="","",'[1]P-GENERAL'!P486)</f>
        <v>0.58958333333333335</v>
      </c>
      <c r="Q486" t="str">
        <f>IF('[1]P-GENERAL'!Q486="","",'[1]P-GENERAL'!Q486)</f>
        <v>NORMAL</v>
      </c>
      <c r="R486" s="14">
        <f>IF('[1]P-GENERAL'!R486="","",'[1]P-GENERAL'!R486)</f>
        <v>46304</v>
      </c>
      <c r="S486" s="16">
        <f>IF('[1]P-GENERAL'!S486="","",'[1]P-GENERAL'!S486)</f>
        <v>0.64583333333333337</v>
      </c>
      <c r="T486" s="16">
        <f>IF('[1]P-GENERAL'!T486="","",'[1]P-GENERAL'!T486)</f>
        <v>0.33333333333333331</v>
      </c>
      <c r="U486" s="17">
        <f>IF('[1]P-GENERAL'!U486="","",'[1]P-GENERAL'!U486)</f>
        <v>46304.979166666672</v>
      </c>
      <c r="V486" s="14">
        <f>IF('[1]P-GENERAL'!V486="","",'[1]P-GENERAL'!V486)</f>
        <v>46304</v>
      </c>
      <c r="W486" s="16">
        <f>IF('[1]P-GENERAL'!W486="","",'[1]P-GENERAL'!W486)</f>
        <v>0.97569444444444442</v>
      </c>
      <c r="X486" s="14" t="str">
        <f>IF('[1]P-GENERAL'!X486="","",'[1]P-GENERAL'!X486)</f>
        <v>SI CUMPLE</v>
      </c>
      <c r="Y486" s="14" t="str">
        <f>IF('[1]P-GENERAL'!Y486="","",'[1]P-GENERAL'!Y486)</f>
        <v>SI CUMPLE</v>
      </c>
      <c r="Z486" s="14" t="str">
        <f>IF('[1]P-GENERAL'!Z486="","",'[1]P-GENERAL'!Z486)</f>
        <v/>
      </c>
      <c r="AA486" s="14" t="str">
        <f>IF('[1]P-GENERAL'!AA486="","",'[1]P-GENERAL'!AA486)</f>
        <v>DESPACHADO</v>
      </c>
      <c r="AB486" s="8" t="str">
        <f>IF('[1]P-GENERAL'!AB486="","",'[1]P-GENERAL'!AB486)</f>
        <v>TRANSPORTES TOMATITOS</v>
      </c>
      <c r="AC486" s="8" t="str">
        <f>IF('[1]P-GENERAL'!AC486="","",'[1]P-GENERAL'!AC486)</f>
        <v>OSVALDO OVIDIO FLORES</v>
      </c>
      <c r="AD486">
        <f>IF('[1]P-GENERAL'!AD486="","",'[1]P-GENERAL'!AD486)</f>
        <v>51031</v>
      </c>
      <c r="AE486">
        <f>IF('[1]P-GENERAL'!AE486="","",'[1]P-GENERAL'!AE486)</f>
        <v>100000914995</v>
      </c>
    </row>
    <row r="487" spans="1:31" ht="20.25" x14ac:dyDescent="0.3">
      <c r="A487" s="11" t="str">
        <f>IF('[1]P-GENERAL'!A487="","",'[1]P-GENERAL'!A487)</f>
        <v>Chanitos Premium Tarima Chep</v>
      </c>
      <c r="B487" s="11" t="str">
        <f>IF('[1]P-GENERAL'!B487="","",'[1]P-GENERAL'!B487)</f>
        <v>CPR01102</v>
      </c>
      <c r="C487" t="str">
        <f>IF('[1]P-GENERAL'!C487="","",'[1]P-GENERAL'!C487)</f>
        <v>A01004-410910-1</v>
      </c>
      <c r="D487" t="str">
        <f>IF('[1]P-GENERAL'!D487="","",'[1]P-GENERAL'!D487)</f>
        <v>A01 004 La Ceiba</v>
      </c>
      <c r="E487" s="8" t="str">
        <f>IF('[1]P-GENERAL'!E487="","",'[1]P-GENERAL'!E487)</f>
        <v>VSA</v>
      </c>
      <c r="F487" s="12">
        <f>IF('[1]P-GENERAL'!F487="","",'[1]P-GENERAL'!F487)</f>
        <v>144</v>
      </c>
      <c r="G487" s="13">
        <f>IF('[1]P-GENERAL'!G487="","",'[1]P-GENERAL'!G487)</f>
        <v>3</v>
      </c>
      <c r="H487" s="14">
        <f>IF('[1]P-GENERAL'!H487="","",'[1]P-GENERAL'!H487)</f>
        <v>46304</v>
      </c>
      <c r="I487">
        <f>IF('[1]P-GENERAL'!I487="","",'[1]P-GENERAL'!I487)</f>
        <v>41</v>
      </c>
      <c r="J487" s="15">
        <f>IF('[1]P-GENERAL'!J487="","",'[1]P-GENERAL'!J487)</f>
        <v>46310</v>
      </c>
      <c r="K487" s="14" t="str">
        <f>IF('[1]P-GENERAL'!K487="","",'[1]P-GENERAL'!K487)</f>
        <v/>
      </c>
      <c r="L487" s="14" t="str">
        <f>IF('[1]P-GENERAL'!L487="","",'[1]P-GENERAL'!L487)</f>
        <v>PREENFRIO NELLY</v>
      </c>
      <c r="M487">
        <f>IF('[1]P-GENERAL'!M487="","",'[1]P-GENERAL'!M487)</f>
        <v>1</v>
      </c>
      <c r="N487">
        <f>IF('[1]P-GENERAL'!N487="","",'[1]P-GENERAL'!N487)</f>
        <v>24</v>
      </c>
      <c r="O487" s="14">
        <f>IF('[1]P-GENERAL'!O487="","",'[1]P-GENERAL'!O487)</f>
        <v>46304</v>
      </c>
      <c r="P487" s="16">
        <f>IF('[1]P-GENERAL'!P487="","",'[1]P-GENERAL'!P487)</f>
        <v>0.95138888888888884</v>
      </c>
      <c r="Q487" t="str">
        <f>IF('[1]P-GENERAL'!Q487="","",'[1]P-GENERAL'!Q487)</f>
        <v>ALTA</v>
      </c>
      <c r="R487" s="14">
        <f>IF('[1]P-GENERAL'!R487="","",'[1]P-GENERAL'!R487)</f>
        <v>46306</v>
      </c>
      <c r="S487" s="16">
        <f>IF('[1]P-GENERAL'!S487="","",'[1]P-GENERAL'!S487)</f>
        <v>5.5555555555555552E-2</v>
      </c>
      <c r="T487" s="16">
        <f>IF('[1]P-GENERAL'!T487="","",'[1]P-GENERAL'!T487)</f>
        <v>0.35416666666666669</v>
      </c>
      <c r="U487" s="17">
        <f>IF('[1]P-GENERAL'!U487="","",'[1]P-GENERAL'!U487)</f>
        <v>46306.409722222219</v>
      </c>
      <c r="V487" s="14" t="str">
        <f>IF('[1]P-GENERAL'!V487="","",'[1]P-GENERAL'!V487)</f>
        <v/>
      </c>
      <c r="W487" s="16" t="str">
        <f>IF('[1]P-GENERAL'!W487="","",'[1]P-GENERAL'!W487)</f>
        <v/>
      </c>
      <c r="X487" s="14" t="str">
        <f>IF('[1]P-GENERAL'!X487="","",'[1]P-GENERAL'!X487)</f>
        <v>SI CUMPLE</v>
      </c>
      <c r="Y487" s="14" t="str">
        <f>IF('[1]P-GENERAL'!Y487="","",'[1]P-GENERAL'!Y487)</f>
        <v/>
      </c>
      <c r="Z487" s="14" t="str">
        <f>IF('[1]P-GENERAL'!Z487="","",'[1]P-GENERAL'!Z487)</f>
        <v/>
      </c>
      <c r="AA487" s="14" t="str">
        <f>IF('[1]P-GENERAL'!AA487="","",'[1]P-GENERAL'!AA487)</f>
        <v>listo en conserva</v>
      </c>
      <c r="AB487" s="8" t="str">
        <f>IF('[1]P-GENERAL'!AB487="","",'[1]P-GENERAL'!AB487)</f>
        <v>GENARO IBAÑEZ</v>
      </c>
      <c r="AC487" s="8" t="str">
        <f>IF('[1]P-GENERAL'!AC487="","",'[1]P-GENERAL'!AC487)</f>
        <v/>
      </c>
      <c r="AD487" t="str">
        <f>IF('[1]P-GENERAL'!AD487="","",'[1]P-GENERAL'!AD487)</f>
        <v/>
      </c>
      <c r="AE487" t="str">
        <f>IF('[1]P-GENERAL'!AE487="","",'[1]P-GENERAL'!AE487)</f>
        <v/>
      </c>
    </row>
    <row r="488" spans="1:31" ht="20.25" x14ac:dyDescent="0.3">
      <c r="A488" s="11" t="str">
        <f>IF('[1]P-GENERAL'!A488="","",'[1]P-GENERAL'!A488)</f>
        <v>Chanitos Plantain 20Kg Tarima Chep</v>
      </c>
      <c r="B488" s="11" t="str">
        <f>IF('[1]P-GENERAL'!B488="","",'[1]P-GENERAL'!B488)</f>
        <v>CPL08141</v>
      </c>
      <c r="C488" t="str">
        <f>IF('[1]P-GENERAL'!C488="","",'[1]P-GENERAL'!C488)</f>
        <v>A35082-410910-1</v>
      </c>
      <c r="D488" t="str">
        <f>IF('[1]P-GENERAL'!D488="","",'[1]P-GENERAL'!D488)</f>
        <v>A35 082 Empaque de Macho Ej Libertad</v>
      </c>
      <c r="E488" s="8" t="str">
        <f>IF('[1]P-GENERAL'!E488="","",'[1]P-GENERAL'!E488)</f>
        <v>CEDA</v>
      </c>
      <c r="F488" s="12">
        <f>IF('[1]P-GENERAL'!F488="","",'[1]P-GENERAL'!F488)</f>
        <v>96</v>
      </c>
      <c r="G488" s="13">
        <f>IF('[1]P-GENERAL'!G488="","",'[1]P-GENERAL'!G488)</f>
        <v>2</v>
      </c>
      <c r="H488" s="14">
        <f>IF('[1]P-GENERAL'!H488="","",'[1]P-GENERAL'!H488)</f>
        <v>46304</v>
      </c>
      <c r="I488">
        <f>IF('[1]P-GENERAL'!I488="","",'[1]P-GENERAL'!I488)</f>
        <v>41</v>
      </c>
      <c r="J488" s="15">
        <f>IF('[1]P-GENERAL'!J488="","",'[1]P-GENERAL'!J488)</f>
        <v>46305</v>
      </c>
      <c r="K488" s="14" t="str">
        <f>IF('[1]P-GENERAL'!K488="","",'[1]P-GENERAL'!K488)</f>
        <v/>
      </c>
      <c r="L488" s="14" t="str">
        <f>IF('[1]P-GENERAL'!L488="","",'[1]P-GENERAL'!L488)</f>
        <v>PREENFRIO NELLY</v>
      </c>
      <c r="M488">
        <f>IF('[1]P-GENERAL'!M488="","",'[1]P-GENERAL'!M488)</f>
        <v>1.5</v>
      </c>
      <c r="N488">
        <f>IF('[1]P-GENERAL'!N488="","",'[1]P-GENERAL'!N488)</f>
        <v>36</v>
      </c>
      <c r="O488" s="14">
        <f>IF('[1]P-GENERAL'!O488="","",'[1]P-GENERAL'!O488)</f>
        <v>46305</v>
      </c>
      <c r="P488" s="16">
        <f>IF('[1]P-GENERAL'!P488="","",'[1]P-GENERAL'!P488)</f>
        <v>0.99652777777777779</v>
      </c>
      <c r="Q488" t="str">
        <f>IF('[1]P-GENERAL'!Q488="","",'[1]P-GENERAL'!Q488)</f>
        <v>ALTA</v>
      </c>
      <c r="R488" s="14">
        <f>IF('[1]P-GENERAL'!R488="","",'[1]P-GENERAL'!R488)</f>
        <v>46306</v>
      </c>
      <c r="S488" s="16">
        <f>IF('[1]P-GENERAL'!S488="","",'[1]P-GENERAL'!S488)</f>
        <v>5.5555555555555552E-2</v>
      </c>
      <c r="T488" s="16">
        <f>IF('[1]P-GENERAL'!T488="","",'[1]P-GENERAL'!T488)</f>
        <v>0</v>
      </c>
      <c r="U488" s="17">
        <f>IF('[1]P-GENERAL'!U488="","",'[1]P-GENERAL'!U488)</f>
        <v>46306.055555555555</v>
      </c>
      <c r="V488" s="14">
        <f>IF('[1]P-GENERAL'!V488="","",'[1]P-GENERAL'!V488)</f>
        <v>46306</v>
      </c>
      <c r="W488" s="16">
        <f>IF('[1]P-GENERAL'!W488="","",'[1]P-GENERAL'!W488)</f>
        <v>0.92361111111111116</v>
      </c>
      <c r="X488" s="14" t="str">
        <f>IF('[1]P-GENERAL'!X488="","",'[1]P-GENERAL'!X488)</f>
        <v>NO CUMPLE</v>
      </c>
      <c r="Y488" s="14" t="str">
        <f>IF('[1]P-GENERAL'!Y488="","",'[1]P-GENERAL'!Y488)</f>
        <v>NO CUMPLE</v>
      </c>
      <c r="Z488" s="14" t="str">
        <f>IF('[1]P-GENERAL'!Z488="","",'[1]P-GENERAL'!Z488)</f>
        <v/>
      </c>
      <c r="AA488" s="14" t="str">
        <f>IF('[1]P-GENERAL'!AA488="","",'[1]P-GENERAL'!AA488)</f>
        <v>DESPACHADO</v>
      </c>
      <c r="AB488" s="8" t="str">
        <f>IF('[1]P-GENERAL'!AB488="","",'[1]P-GENERAL'!AB488)</f>
        <v>LOCAL</v>
      </c>
      <c r="AC488" s="8" t="str">
        <f>IF('[1]P-GENERAL'!AC488="","",'[1]P-GENERAL'!AC488)</f>
        <v xml:space="preserve">DANIEL CARRILLO </v>
      </c>
      <c r="AD488" t="str">
        <f>IF('[1]P-GENERAL'!AD488="","",'[1]P-GENERAL'!AD488)</f>
        <v/>
      </c>
      <c r="AE488" t="str">
        <f>IF('[1]P-GENERAL'!AE488="","",'[1]P-GENERAL'!AE488)</f>
        <v/>
      </c>
    </row>
    <row r="489" spans="1:31" ht="20.25" x14ac:dyDescent="0.3">
      <c r="A489" s="11" t="str">
        <f>IF('[1]P-GENERAL'!A489="","",'[1]P-GENERAL'!A489)</f>
        <v>Chanitos Organic Banded Market Side Mexico</v>
      </c>
      <c r="B489" s="11" t="str">
        <f>IF('[1]P-GENERAL'!B489="","",'[1]P-GENERAL'!B489)</f>
        <v>CRG07128</v>
      </c>
      <c r="C489" t="str">
        <f>IF('[1]P-GENERAL'!C489="","",'[1]P-GENERAL'!C489)</f>
        <v>A01002-410910-1</v>
      </c>
      <c r="D489" t="str">
        <f>IF('[1]P-GENERAL'!D489="","",'[1]P-GENERAL'!D489)</f>
        <v>A01 002 Fortaleza</v>
      </c>
      <c r="E489" s="8" t="str">
        <f>IF('[1]P-GENERAL'!E489="","",'[1]P-GENERAL'!E489)</f>
        <v>VSA</v>
      </c>
      <c r="F489" s="12">
        <f>IF('[1]P-GENERAL'!F489="","",'[1]P-GENERAL'!F489)</f>
        <v>144</v>
      </c>
      <c r="G489" s="13">
        <f>IF('[1]P-GENERAL'!G489="","",'[1]P-GENERAL'!G489)</f>
        <v>3</v>
      </c>
      <c r="H489" s="14">
        <f>IF('[1]P-GENERAL'!H489="","",'[1]P-GENERAL'!H489)</f>
        <v>46304</v>
      </c>
      <c r="I489">
        <f>IF('[1]P-GENERAL'!I489="","",'[1]P-GENERAL'!I489)</f>
        <v>41</v>
      </c>
      <c r="J489" s="15">
        <f>IF('[1]P-GENERAL'!J489="","",'[1]P-GENERAL'!J489)</f>
        <v>46310</v>
      </c>
      <c r="K489" s="14" t="str">
        <f>IF('[1]P-GENERAL'!K489="","",'[1]P-GENERAL'!K489)</f>
        <v/>
      </c>
      <c r="L489" s="14" t="str">
        <f>IF('[1]P-GENERAL'!L489="","",'[1]P-GENERAL'!L489)</f>
        <v>PREENFRIO FORTALEZA</v>
      </c>
      <c r="M489">
        <f>IF('[1]P-GENERAL'!M489="","",'[1]P-GENERAL'!M489)</f>
        <v>1</v>
      </c>
      <c r="N489">
        <f>IF('[1]P-GENERAL'!N489="","",'[1]P-GENERAL'!N489)</f>
        <v>24</v>
      </c>
      <c r="O489" s="14">
        <f>IF('[1]P-GENERAL'!O489="","",'[1]P-GENERAL'!O489)</f>
        <v>46304</v>
      </c>
      <c r="P489" s="16">
        <f>IF('[1]P-GENERAL'!P489="","",'[1]P-GENERAL'!P489)</f>
        <v>0.69652777777777775</v>
      </c>
      <c r="Q489" t="str">
        <f>IF('[1]P-GENERAL'!Q489="","",'[1]P-GENERAL'!Q489)</f>
        <v>NORMAL</v>
      </c>
      <c r="R489" s="14">
        <f>IF('[1]P-GENERAL'!R489="","",'[1]P-GENERAL'!R489)</f>
        <v>46305</v>
      </c>
      <c r="S489" s="16">
        <f>IF('[1]P-GENERAL'!S489="","",'[1]P-GENERAL'!S489)</f>
        <v>0.43819444444444444</v>
      </c>
      <c r="T489" s="16">
        <f>IF('[1]P-GENERAL'!T489="","",'[1]P-GENERAL'!T489)</f>
        <v>0.20833333333333334</v>
      </c>
      <c r="U489" s="17">
        <f>IF('[1]P-GENERAL'!U489="","",'[1]P-GENERAL'!U489)</f>
        <v>46305.646527777782</v>
      </c>
      <c r="V489" s="14" t="str">
        <f>IF('[1]P-GENERAL'!V489="","",'[1]P-GENERAL'!V489)</f>
        <v/>
      </c>
      <c r="W489" s="16" t="str">
        <f>IF('[1]P-GENERAL'!W489="","",'[1]P-GENERAL'!W489)</f>
        <v/>
      </c>
      <c r="X489" s="14" t="str">
        <f>IF('[1]P-GENERAL'!X489="","",'[1]P-GENERAL'!X489)</f>
        <v>SI CUMPLE</v>
      </c>
      <c r="Y489" s="14" t="str">
        <f>IF('[1]P-GENERAL'!Y489="","",'[1]P-GENERAL'!Y489)</f>
        <v/>
      </c>
      <c r="Z489" s="14" t="str">
        <f>IF('[1]P-GENERAL'!Z489="","",'[1]P-GENERAL'!Z489)</f>
        <v/>
      </c>
      <c r="AA489" s="14" t="str">
        <f>IF('[1]P-GENERAL'!AA489="","",'[1]P-GENERAL'!AA489)</f>
        <v/>
      </c>
      <c r="AB489" s="8" t="str">
        <f>IF('[1]P-GENERAL'!AB489="","",'[1]P-GENERAL'!AB489)</f>
        <v>GENARO IBAÑEZ</v>
      </c>
      <c r="AC489" s="8" t="str">
        <f>IF('[1]P-GENERAL'!AC489="","",'[1]P-GENERAL'!AC489)</f>
        <v/>
      </c>
      <c r="AD489" t="str">
        <f>IF('[1]P-GENERAL'!AD489="","",'[1]P-GENERAL'!AD489)</f>
        <v/>
      </c>
      <c r="AE489" t="str">
        <f>IF('[1]P-GENERAL'!AE489="","",'[1]P-GENERAL'!AE489)</f>
        <v/>
      </c>
    </row>
    <row r="490" spans="1:31" ht="20.25" x14ac:dyDescent="0.3">
      <c r="A490" s="11" t="str">
        <f>IF('[1]P-GENERAL'!A490="","",'[1]P-GENERAL'!A490)</f>
        <v>Chanitos Premium Tarima Americana</v>
      </c>
      <c r="B490" s="11" t="str">
        <f>IF('[1]P-GENERAL'!B490="","",'[1]P-GENERAL'!B490)</f>
        <v>CPR01103</v>
      </c>
      <c r="C490" t="str">
        <f>IF('[1]P-GENERAL'!C490="","",'[1]P-GENERAL'!C490)</f>
        <v>A01003-411010-1</v>
      </c>
      <c r="D490" t="str">
        <f>IF('[1]P-GENERAL'!D490="","",'[1]P-GENERAL'!D490)</f>
        <v>A01 003 Doña Nelly</v>
      </c>
      <c r="E490" s="8" t="str">
        <f>IF('[1]P-GENERAL'!E490="","",'[1]P-GENERAL'!E490)</f>
        <v>S-MTY</v>
      </c>
      <c r="F490" s="12">
        <f>IF('[1]P-GENERAL'!F490="","",'[1]P-GENERAL'!F490)</f>
        <v>240</v>
      </c>
      <c r="G490" s="13">
        <f>IF('[1]P-GENERAL'!G490="","",'[1]P-GENERAL'!G490)</f>
        <v>5</v>
      </c>
      <c r="H490" s="14">
        <f>IF('[1]P-GENERAL'!H490="","",'[1]P-GENERAL'!H490)</f>
        <v>46305</v>
      </c>
      <c r="I490">
        <f>IF('[1]P-GENERAL'!I490="","",'[1]P-GENERAL'!I490)</f>
        <v>41</v>
      </c>
      <c r="J490" s="15">
        <f>IF('[1]P-GENERAL'!J490="","",'[1]P-GENERAL'!J490)</f>
        <v>46310</v>
      </c>
      <c r="K490" s="14" t="str">
        <f>IF('[1]P-GENERAL'!K490="","",'[1]P-GENERAL'!K490)</f>
        <v/>
      </c>
      <c r="L490" s="14" t="str">
        <f>IF('[1]P-GENERAL'!L490="","",'[1]P-GENERAL'!L490)</f>
        <v>PREENFRIO NELLY</v>
      </c>
      <c r="M490">
        <f>IF('[1]P-GENERAL'!M490="","",'[1]P-GENERAL'!M490)</f>
        <v>3</v>
      </c>
      <c r="N490">
        <f>IF('[1]P-GENERAL'!N490="","",'[1]P-GENERAL'!N490)</f>
        <v>72</v>
      </c>
      <c r="O490" s="14">
        <f>IF('[1]P-GENERAL'!O490="","",'[1]P-GENERAL'!O490)</f>
        <v>46305</v>
      </c>
      <c r="P490" s="16">
        <f>IF('[1]P-GENERAL'!P490="","",'[1]P-GENERAL'!P490)</f>
        <v>0.99305555555555558</v>
      </c>
      <c r="Q490" t="str">
        <f>IF('[1]P-GENERAL'!Q490="","",'[1]P-GENERAL'!Q490)</f>
        <v>ALTA</v>
      </c>
      <c r="R490" s="14">
        <f>IF('[1]P-GENERAL'!R490="","",'[1]P-GENERAL'!R490)</f>
        <v>46306</v>
      </c>
      <c r="S490" s="16">
        <f>IF('[1]P-GENERAL'!S490="","",'[1]P-GENERAL'!S490)</f>
        <v>5.5555555555555552E-2</v>
      </c>
      <c r="T490" s="16">
        <f>IF('[1]P-GENERAL'!T490="","",'[1]P-GENERAL'!T490)</f>
        <v>0.4375</v>
      </c>
      <c r="U490" s="17">
        <f>IF('[1]P-GENERAL'!U490="","",'[1]P-GENERAL'!U490)</f>
        <v>46306.493055555555</v>
      </c>
      <c r="V490" s="14">
        <f>IF('[1]P-GENERAL'!V490="","",'[1]P-GENERAL'!V490)</f>
        <v>46306</v>
      </c>
      <c r="W490" s="16">
        <f>IF('[1]P-GENERAL'!W490="","",'[1]P-GENERAL'!W490)</f>
        <v>0.99305555555555558</v>
      </c>
      <c r="X490" s="14" t="str">
        <f>IF('[1]P-GENERAL'!X490="","",'[1]P-GENERAL'!X490)</f>
        <v>SI CUMPLE</v>
      </c>
      <c r="Y490" s="14" t="str">
        <f>IF('[1]P-GENERAL'!Y490="","",'[1]P-GENERAL'!Y490)</f>
        <v>SI CUMPLE</v>
      </c>
      <c r="Z490" s="14" t="str">
        <f>IF('[1]P-GENERAL'!Z490="","",'[1]P-GENERAL'!Z490)</f>
        <v/>
      </c>
      <c r="AA490" s="14" t="str">
        <f>IF('[1]P-GENERAL'!AA490="","",'[1]P-GENERAL'!AA490)</f>
        <v>DESPACHADO</v>
      </c>
      <c r="AB490" s="8" t="str">
        <f>IF('[1]P-GENERAL'!AB490="","",'[1]P-GENERAL'!AB490)</f>
        <v>AUTO EXPRESS SEGOVIA</v>
      </c>
      <c r="AC490" s="8" t="str">
        <f>IF('[1]P-GENERAL'!AC490="","",'[1]P-GENERAL'!AC490)</f>
        <v/>
      </c>
      <c r="AD490" t="str">
        <f>IF('[1]P-GENERAL'!AD490="","",'[1]P-GENERAL'!AD490)</f>
        <v/>
      </c>
      <c r="AE490" t="str">
        <f>IF('[1]P-GENERAL'!AE490="","",'[1]P-GENERAL'!AE490)</f>
        <v/>
      </c>
    </row>
    <row r="491" spans="1:31" ht="20.25" x14ac:dyDescent="0.3">
      <c r="A491" s="11" t="str">
        <f>IF('[1]P-GENERAL'!A491="","",'[1]P-GENERAL'!A491)</f>
        <v>Chanitos Premium Tarima Chep</v>
      </c>
      <c r="B491" s="11" t="str">
        <f>IF('[1]P-GENERAL'!B491="","",'[1]P-GENERAL'!B491)</f>
        <v>CPR01102</v>
      </c>
      <c r="C491" t="str">
        <f>IF('[1]P-GENERAL'!C491="","",'[1]P-GENERAL'!C491)</f>
        <v>A01004-381809-1</v>
      </c>
      <c r="D491" t="str">
        <f>IF('[1]P-GENERAL'!D491="","",'[1]P-GENERAL'!D491)</f>
        <v>A01 004 La Ceiba</v>
      </c>
      <c r="E491" s="8" t="str">
        <f>IF('[1]P-GENERAL'!E491="","",'[1]P-GENERAL'!E491)</f>
        <v>CEDA</v>
      </c>
      <c r="F491" s="12">
        <f>IF('[1]P-GENERAL'!F491="","",'[1]P-GENERAL'!F491)</f>
        <v>480</v>
      </c>
      <c r="G491" s="13">
        <f>IF('[1]P-GENERAL'!G491="","",'[1]P-GENERAL'!G491)</f>
        <v>10</v>
      </c>
      <c r="H491" s="14">
        <f>IF('[1]P-GENERAL'!H491="","",'[1]P-GENERAL'!H491)</f>
        <v>46283</v>
      </c>
      <c r="I491">
        <f>IF('[1]P-GENERAL'!I491="","",'[1]P-GENERAL'!I491)</f>
        <v>38</v>
      </c>
      <c r="J491" s="15">
        <f>IF('[1]P-GENERAL'!J491="","",'[1]P-GENERAL'!J491)</f>
        <v>46288</v>
      </c>
      <c r="K491" s="14" t="str">
        <f>IF('[1]P-GENERAL'!K491="","",'[1]P-GENERAL'!K491)</f>
        <v/>
      </c>
      <c r="L491" s="14" t="str">
        <f>IF('[1]P-GENERAL'!L491="","",'[1]P-GENERAL'!L491)</f>
        <v>DIRECTO SIN PREENFRIO</v>
      </c>
      <c r="M491" t="str">
        <f>IF('[1]P-GENERAL'!M491="","",'[1]P-GENERAL'!M491)</f>
        <v/>
      </c>
      <c r="N491" t="str">
        <f>IF('[1]P-GENERAL'!N491="","",'[1]P-GENERAL'!N491)</f>
        <v>SIN PRE</v>
      </c>
      <c r="O491" s="14" t="str">
        <f>IF('[1]P-GENERAL'!O491="","",'[1]P-GENERAL'!O491)</f>
        <v>SIN PRE</v>
      </c>
      <c r="P491" s="16" t="str">
        <f>IF('[1]P-GENERAL'!P491="","",'[1]P-GENERAL'!P491)</f>
        <v/>
      </c>
      <c r="Q491" t="str">
        <f>IF('[1]P-GENERAL'!Q491="","",'[1]P-GENERAL'!Q491)</f>
        <v/>
      </c>
      <c r="R491" s="14" t="str">
        <f>IF('[1]P-GENERAL'!R491="","",'[1]P-GENERAL'!R491)</f>
        <v>SIN PRE</v>
      </c>
      <c r="S491" s="16" t="str">
        <f>IF('[1]P-GENERAL'!S491="","",'[1]P-GENERAL'!S491)</f>
        <v>SIN PRE</v>
      </c>
      <c r="T491" s="16" t="str">
        <f>IF('[1]P-GENERAL'!T491="","",'[1]P-GENERAL'!T491)</f>
        <v>N/A</v>
      </c>
      <c r="U491" s="17" t="e">
        <f>IF('[1]P-GENERAL'!U491="","",'[1]P-GENERAL'!U491)</f>
        <v>#VALUE!</v>
      </c>
      <c r="V491" s="14" t="str">
        <f>IF('[1]P-GENERAL'!V491="","",'[1]P-GENERAL'!V491)</f>
        <v/>
      </c>
      <c r="W491" s="16" t="str">
        <f>IF('[1]P-GENERAL'!W491="","",'[1]P-GENERAL'!W491)</f>
        <v/>
      </c>
      <c r="X491" s="14" t="e">
        <f>IF('[1]P-GENERAL'!X491="","",'[1]P-GENERAL'!X491)</f>
        <v>#VALUE!</v>
      </c>
      <c r="Y491" s="14" t="str">
        <f>IF('[1]P-GENERAL'!Y491="","",'[1]P-GENERAL'!Y491)</f>
        <v/>
      </c>
      <c r="Z491" s="14" t="str">
        <f>IF('[1]P-GENERAL'!Z491="","",'[1]P-GENERAL'!Z491)</f>
        <v/>
      </c>
      <c r="AA491" s="14" t="str">
        <f>IF('[1]P-GENERAL'!AA491="","",'[1]P-GENERAL'!AA491)</f>
        <v>DESPACHADO</v>
      </c>
      <c r="AB491" s="8" t="str">
        <f>IF('[1]P-GENERAL'!AB491="","",'[1]P-GENERAL'!AB491)</f>
        <v>PENDIENTE DATOS</v>
      </c>
      <c r="AC491" s="8" t="str">
        <f>IF('[1]P-GENERAL'!AC491="","",'[1]P-GENERAL'!AC491)</f>
        <v>EDUARDO FUENTES ALTAMIRANO</v>
      </c>
      <c r="AD491">
        <f>IF('[1]P-GENERAL'!AD491="","",'[1]P-GENERAL'!AD491)</f>
        <v>85321</v>
      </c>
      <c r="AE491" t="str">
        <f>IF('[1]P-GENERAL'!AE491="","",'[1]P-GENERAL'!AE491)</f>
        <v>QCH1W04X70</v>
      </c>
    </row>
    <row r="492" spans="1:31" ht="20.25" x14ac:dyDescent="0.3">
      <c r="A492" s="11" t="str">
        <f>IF('[1]P-GENERAL'!A492="","",'[1]P-GENERAL'!A492)</f>
        <v>Chanitos Premium EUA Tarima Americana</v>
      </c>
      <c r="B492" s="11" t="str">
        <f>IF('[1]P-GENERAL'!B492="","",'[1]P-GENERAL'!B492)</f>
        <v>CPR01104</v>
      </c>
      <c r="C492" t="str">
        <f>IF('[1]P-GENERAL'!C492="","",'[1]P-GENERAL'!C492)</f>
        <v>A04084-410910-1</v>
      </c>
      <c r="D492" t="str">
        <f>IF('[1]P-GENERAL'!D492="","",'[1]P-GENERAL'!D492)</f>
        <v>A04 084 Lisboa</v>
      </c>
      <c r="E492" s="8" t="str">
        <f>IF('[1]P-GENERAL'!E492="","",'[1]P-GENERAL'!E492)</f>
        <v>McAllen</v>
      </c>
      <c r="F492" s="12">
        <f>IF('[1]P-GENERAL'!F492="","",'[1]P-GENERAL'!F492)</f>
        <v>432</v>
      </c>
      <c r="G492" s="13">
        <f>IF('[1]P-GENERAL'!G492="","",'[1]P-GENERAL'!G492)</f>
        <v>9</v>
      </c>
      <c r="H492" s="14">
        <f>IF('[1]P-GENERAL'!H492="","",'[1]P-GENERAL'!H492)</f>
        <v>46304</v>
      </c>
      <c r="I492">
        <f>IF('[1]P-GENERAL'!I492="","",'[1]P-GENERAL'!I492)</f>
        <v>41</v>
      </c>
      <c r="J492" s="15">
        <f>IF('[1]P-GENERAL'!J492="","",'[1]P-GENERAL'!J492)</f>
        <v>46309</v>
      </c>
      <c r="K492" s="14" t="str">
        <f>IF('[1]P-GENERAL'!K492="","",'[1]P-GENERAL'!K492)</f>
        <v/>
      </c>
      <c r="L492" s="14" t="str">
        <f>IF('[1]P-GENERAL'!L492="","",'[1]P-GENERAL'!L492)</f>
        <v>PREENFRIO FORTALEZA</v>
      </c>
      <c r="M492">
        <f>IF('[1]P-GENERAL'!M492="","",'[1]P-GENERAL'!M492)</f>
        <v>3</v>
      </c>
      <c r="N492">
        <f>IF('[1]P-GENERAL'!N492="","",'[1]P-GENERAL'!N492)</f>
        <v>72</v>
      </c>
      <c r="O492" s="14">
        <f>IF('[1]P-GENERAL'!O492="","",'[1]P-GENERAL'!O492)</f>
        <v>46305</v>
      </c>
      <c r="P492" s="16">
        <f>IF('[1]P-GENERAL'!P492="","",'[1]P-GENERAL'!P492)</f>
        <v>0.9604166666666667</v>
      </c>
      <c r="Q492" t="str">
        <f>IF('[1]P-GENERAL'!Q492="","",'[1]P-GENERAL'!Q492)</f>
        <v>NORMAL</v>
      </c>
      <c r="R492" s="14">
        <f>IF('[1]P-GENERAL'!R492="","",'[1]P-GENERAL'!R492)</f>
        <v>46306</v>
      </c>
      <c r="S492" s="16">
        <f>IF('[1]P-GENERAL'!S492="","",'[1]P-GENERAL'!S492)</f>
        <v>0.43055555555555558</v>
      </c>
      <c r="T492" s="16">
        <f>IF('[1]P-GENERAL'!T492="","",'[1]P-GENERAL'!T492)</f>
        <v>0.33333333333333331</v>
      </c>
      <c r="U492" s="17">
        <f>IF('[1]P-GENERAL'!U492="","",'[1]P-GENERAL'!U492)</f>
        <v>46306.763888888891</v>
      </c>
      <c r="V492" s="14">
        <f>IF('[1]P-GENERAL'!V492="","",'[1]P-GENERAL'!V492)</f>
        <v>46307</v>
      </c>
      <c r="W492" s="16">
        <f>IF('[1]P-GENERAL'!W492="","",'[1]P-GENERAL'!W492)</f>
        <v>9.0277777777777769E-3</v>
      </c>
      <c r="X492" s="14" t="str">
        <f>IF('[1]P-GENERAL'!X492="","",'[1]P-GENERAL'!X492)</f>
        <v>NO CUMPLE</v>
      </c>
      <c r="Y492" s="14" t="str">
        <f>IF('[1]P-GENERAL'!Y492="","",'[1]P-GENERAL'!Y492)</f>
        <v>NO CUMPLE</v>
      </c>
      <c r="Z492" s="14" t="str">
        <f>IF('[1]P-GENERAL'!Z492="","",'[1]P-GENERAL'!Z492)</f>
        <v/>
      </c>
      <c r="AA492" s="14" t="str">
        <f>IF('[1]P-GENERAL'!AA492="","",'[1]P-GENERAL'!AA492)</f>
        <v>DESPACHADO</v>
      </c>
      <c r="AB492" s="8" t="str">
        <f>IF('[1]P-GENERAL'!AB492="","",'[1]P-GENERAL'!AB492)</f>
        <v>TRANSPORTES DELTA DE MTY</v>
      </c>
      <c r="AC492" s="8" t="str">
        <f>IF('[1]P-GENERAL'!AC492="","",'[1]P-GENERAL'!AC492)</f>
        <v>JULIO CESAR</v>
      </c>
      <c r="AD492">
        <f>IF('[1]P-GENERAL'!AD492="","",'[1]P-GENERAL'!AD492)</f>
        <v>88659</v>
      </c>
      <c r="AE492">
        <f>IF('[1]P-GENERAL'!AE492="","",'[1]P-GENERAL'!AE492)</f>
        <v>100000914991</v>
      </c>
    </row>
    <row r="493" spans="1:31" ht="20.25" x14ac:dyDescent="0.3">
      <c r="A493" s="11" t="str">
        <f>IF('[1]P-GENERAL'!A493="","",'[1]P-GENERAL'!A493)</f>
        <v>Chanitos Premium Tarima Chep</v>
      </c>
      <c r="B493" s="11" t="str">
        <f>IF('[1]P-GENERAL'!B493="","",'[1]P-GENERAL'!B493)</f>
        <v>CPR01102</v>
      </c>
      <c r="C493" t="str">
        <f>IF('[1]P-GENERAL'!C493="","",'[1]P-GENERAL'!C493)</f>
        <v>A01001-410910-1</v>
      </c>
      <c r="D493" t="str">
        <f>IF('[1]P-GENERAL'!D493="","",'[1]P-GENERAL'!D493)</f>
        <v>A01 001 Marbella</v>
      </c>
      <c r="E493" s="8" t="str">
        <f>IF('[1]P-GENERAL'!E493="","",'[1]P-GENERAL'!E493)</f>
        <v>VSA</v>
      </c>
      <c r="F493" s="12">
        <f>IF('[1]P-GENERAL'!F493="","",'[1]P-GENERAL'!F493)</f>
        <v>624</v>
      </c>
      <c r="G493" s="13">
        <f>IF('[1]P-GENERAL'!G493="","",'[1]P-GENERAL'!G493)</f>
        <v>13</v>
      </c>
      <c r="H493" s="14">
        <f>IF('[1]P-GENERAL'!H493="","",'[1]P-GENERAL'!H493)</f>
        <v>46304</v>
      </c>
      <c r="I493">
        <f>IF('[1]P-GENERAL'!I493="","",'[1]P-GENERAL'!I493)</f>
        <v>41</v>
      </c>
      <c r="J493" s="15">
        <f>IF('[1]P-GENERAL'!J493="","",'[1]P-GENERAL'!J493)</f>
        <v>46310</v>
      </c>
      <c r="K493" s="14" t="str">
        <f>IF('[1]P-GENERAL'!K493="","",'[1]P-GENERAL'!K493)</f>
        <v/>
      </c>
      <c r="L493" s="14" t="str">
        <f>IF('[1]P-GENERAL'!L493="","",'[1]P-GENERAL'!L493)</f>
        <v>PREENFRIO FORTALEZA</v>
      </c>
      <c r="M493">
        <f>IF('[1]P-GENERAL'!M493="","",'[1]P-GENERAL'!M493)</f>
        <v>1</v>
      </c>
      <c r="N493">
        <f>IF('[1]P-GENERAL'!N493="","",'[1]P-GENERAL'!N493)</f>
        <v>24</v>
      </c>
      <c r="O493" s="14">
        <f>IF('[1]P-GENERAL'!O493="","",'[1]P-GENERAL'!O493)</f>
        <v>46305</v>
      </c>
      <c r="P493" s="16">
        <f>IF('[1]P-GENERAL'!P493="","",'[1]P-GENERAL'!P493)</f>
        <v>0.89583333333333337</v>
      </c>
      <c r="Q493" t="str">
        <f>IF('[1]P-GENERAL'!Q493="","",'[1]P-GENERAL'!Q493)</f>
        <v>NORMAL</v>
      </c>
      <c r="R493" s="14">
        <f>IF('[1]P-GENERAL'!R493="","",'[1]P-GENERAL'!R493)</f>
        <v>46305</v>
      </c>
      <c r="S493" s="16">
        <f>IF('[1]P-GENERAL'!S493="","",'[1]P-GENERAL'!S493)</f>
        <v>0.94861111111111107</v>
      </c>
      <c r="T493" s="16">
        <f>IF('[1]P-GENERAL'!T493="","",'[1]P-GENERAL'!T493)</f>
        <v>0.41666666666666669</v>
      </c>
      <c r="U493" s="17">
        <f>IF('[1]P-GENERAL'!U493="","",'[1]P-GENERAL'!U493)</f>
        <v>46306.365277777775</v>
      </c>
      <c r="V493" s="14" t="str">
        <f>IF('[1]P-GENERAL'!V493="","",'[1]P-GENERAL'!V493)</f>
        <v/>
      </c>
      <c r="W493" s="16" t="str">
        <f>IF('[1]P-GENERAL'!W493="","",'[1]P-GENERAL'!W493)</f>
        <v/>
      </c>
      <c r="X493" s="14" t="str">
        <f>IF('[1]P-GENERAL'!X493="","",'[1]P-GENERAL'!X493)</f>
        <v>SI CUMPLE</v>
      </c>
      <c r="Y493" s="14" t="str">
        <f>IF('[1]P-GENERAL'!Y493="","",'[1]P-GENERAL'!Y493)</f>
        <v/>
      </c>
      <c r="Z493" s="14" t="str">
        <f>IF('[1]P-GENERAL'!Z493="","",'[1]P-GENERAL'!Z493)</f>
        <v/>
      </c>
      <c r="AA493" s="14" t="str">
        <f>IF('[1]P-GENERAL'!AA493="","",'[1]P-GENERAL'!AA493)</f>
        <v/>
      </c>
      <c r="AB493" s="8" t="str">
        <f>IF('[1]P-GENERAL'!AB493="","",'[1]P-GENERAL'!AB493)</f>
        <v>GENARO IBAÑEZ</v>
      </c>
      <c r="AC493" s="8" t="str">
        <f>IF('[1]P-GENERAL'!AC493="","",'[1]P-GENERAL'!AC493)</f>
        <v/>
      </c>
      <c r="AD493" t="str">
        <f>IF('[1]P-GENERAL'!AD493="","",'[1]P-GENERAL'!AD493)</f>
        <v/>
      </c>
      <c r="AE493" t="str">
        <f>IF('[1]P-GENERAL'!AE493="","",'[1]P-GENERAL'!AE493)</f>
        <v/>
      </c>
    </row>
    <row r="494" spans="1:31" ht="20.25" x14ac:dyDescent="0.3">
      <c r="A494" s="11" t="str">
        <f>IF('[1]P-GENERAL'!A494="","",'[1]P-GENERAL'!A494)</f>
        <v>Chanitos Plantain 50lb Tarima Americana</v>
      </c>
      <c r="B494" s="11" t="str">
        <f>IF('[1]P-GENERAL'!B494="","",'[1]P-GENERAL'!B494)</f>
        <v>CPL08133</v>
      </c>
      <c r="C494" t="str">
        <f>IF('[1]P-GENERAL'!C494="","",'[1]P-GENERAL'!C494)</f>
        <v>A27073-410910-1</v>
      </c>
      <c r="D494" t="str">
        <f>IF('[1]P-GENERAL'!D494="","",'[1]P-GENERAL'!D494)</f>
        <v>A27 073 Plantacion</v>
      </c>
      <c r="E494" s="8" t="str">
        <f>IF('[1]P-GENERAL'!E494="","",'[1]P-GENERAL'!E494)</f>
        <v>McAllen</v>
      </c>
      <c r="F494" s="12">
        <f>IF('[1]P-GENERAL'!F494="","",'[1]P-GENERAL'!F494)</f>
        <v>1008</v>
      </c>
      <c r="G494" s="13">
        <f>IF('[1]P-GENERAL'!G494="","",'[1]P-GENERAL'!G494)</f>
        <v>24</v>
      </c>
      <c r="H494" s="14">
        <f>IF('[1]P-GENERAL'!H494="","",'[1]P-GENERAL'!H494)</f>
        <v>46304</v>
      </c>
      <c r="I494">
        <f>IF('[1]P-GENERAL'!I494="","",'[1]P-GENERAL'!I494)</f>
        <v>41</v>
      </c>
      <c r="J494" s="15">
        <f>IF('[1]P-GENERAL'!J494="","",'[1]P-GENERAL'!J494)</f>
        <v>46308</v>
      </c>
      <c r="K494" s="14" t="str">
        <f>IF('[1]P-GENERAL'!K494="","",'[1]P-GENERAL'!K494)</f>
        <v/>
      </c>
      <c r="L494" s="14" t="str">
        <f>IF('[1]P-GENERAL'!L494="","",'[1]P-GENERAL'!L494)</f>
        <v>PREENFRIO FORTALEZA</v>
      </c>
      <c r="M494">
        <f>IF('[1]P-GENERAL'!M494="","",'[1]P-GENERAL'!M494)</f>
        <v>3</v>
      </c>
      <c r="N494">
        <f>IF('[1]P-GENERAL'!N494="","",'[1]P-GENERAL'!N494)</f>
        <v>72</v>
      </c>
      <c r="O494" s="14">
        <f>IF('[1]P-GENERAL'!O494="","",'[1]P-GENERAL'!O494)</f>
        <v>46305</v>
      </c>
      <c r="P494" s="16">
        <f>IF('[1]P-GENERAL'!P494="","",'[1]P-GENERAL'!P494)</f>
        <v>9.7222222222222224E-3</v>
      </c>
      <c r="Q494" t="str">
        <f>IF('[1]P-GENERAL'!Q494="","",'[1]P-GENERAL'!Q494)</f>
        <v>NORMAL</v>
      </c>
      <c r="R494" s="14">
        <f>IF('[1]P-GENERAL'!R494="","",'[1]P-GENERAL'!R494)</f>
        <v>46305</v>
      </c>
      <c r="S494" s="16">
        <f>IF('[1]P-GENERAL'!S494="","",'[1]P-GENERAL'!S494)</f>
        <v>2.1527777777777778E-2</v>
      </c>
      <c r="T494" s="16">
        <f>IF('[1]P-GENERAL'!T494="","",'[1]P-GENERAL'!T494)</f>
        <v>0.625</v>
      </c>
      <c r="U494" s="17">
        <f>IF('[1]P-GENERAL'!U494="","",'[1]P-GENERAL'!U494)</f>
        <v>46305.646527777775</v>
      </c>
      <c r="V494" s="14">
        <f>IF('[1]P-GENERAL'!V494="","",'[1]P-GENERAL'!V494)</f>
        <v>46305</v>
      </c>
      <c r="W494" s="16">
        <f>IF('[1]P-GENERAL'!W494="","",'[1]P-GENERAL'!W494)</f>
        <v>0.70833333333333337</v>
      </c>
      <c r="X494" s="14" t="str">
        <f>IF('[1]P-GENERAL'!X494="","",'[1]P-GENERAL'!X494)</f>
        <v>NO CUMPLE</v>
      </c>
      <c r="Y494" s="14" t="str">
        <f>IF('[1]P-GENERAL'!Y494="","",'[1]P-GENERAL'!Y494)</f>
        <v>NO CUMPLE</v>
      </c>
      <c r="Z494" s="14" t="str">
        <f>IF('[1]P-GENERAL'!Z494="","",'[1]P-GENERAL'!Z494)</f>
        <v/>
      </c>
      <c r="AA494" s="14" t="str">
        <f>IF('[1]P-GENERAL'!AA494="","",'[1]P-GENERAL'!AA494)</f>
        <v>DESPACHADO</v>
      </c>
      <c r="AB494" s="8" t="str">
        <f>IF('[1]P-GENERAL'!AB494="","",'[1]P-GENERAL'!AB494)</f>
        <v>TRANSPORTES TOMATITOS</v>
      </c>
      <c r="AC494" s="8" t="str">
        <f>IF('[1]P-GENERAL'!AC494="","",'[1]P-GENERAL'!AC494)</f>
        <v>FERNANDO PARRA MARTIN</v>
      </c>
      <c r="AD494">
        <f>IF('[1]P-GENERAL'!AD494="","",'[1]P-GENERAL'!AD494)</f>
        <v>53495</v>
      </c>
      <c r="AE494" t="str">
        <f>IF('[1]P-GENERAL'!AE494="","",'[1]P-GENERAL'!AE494)</f>
        <v>QF91W034G0</v>
      </c>
    </row>
    <row r="495" spans="1:31" ht="20.25" x14ac:dyDescent="0.3">
      <c r="A495" s="11" t="str">
        <f>IF('[1]P-GENERAL'!A495="","",'[1]P-GENERAL'!A495)</f>
        <v>Chanitos Premium EUA Tarima Americana</v>
      </c>
      <c r="B495" s="11" t="str">
        <f>IF('[1]P-GENERAL'!B495="","",'[1]P-GENERAL'!B495)</f>
        <v>CPR01104</v>
      </c>
      <c r="C495" t="str">
        <f>IF('[1]P-GENERAL'!C495="","",'[1]P-GENERAL'!C495)</f>
        <v>A04084-410710-1</v>
      </c>
      <c r="D495" t="str">
        <f>IF('[1]P-GENERAL'!D495="","",'[1]P-GENERAL'!D495)</f>
        <v>A04 084 Lisboa</v>
      </c>
      <c r="E495" s="8" t="str">
        <f>IF('[1]P-GENERAL'!E495="","",'[1]P-GENERAL'!E495)</f>
        <v>McAllen</v>
      </c>
      <c r="F495" s="12">
        <f>IF('[1]P-GENERAL'!F495="","",'[1]P-GENERAL'!F495)</f>
        <v>720</v>
      </c>
      <c r="G495" s="13">
        <f>IF('[1]P-GENERAL'!G495="","",'[1]P-GENERAL'!G495)</f>
        <v>15</v>
      </c>
      <c r="H495" s="14">
        <f>IF('[1]P-GENERAL'!H495="","",'[1]P-GENERAL'!H495)</f>
        <v>46302</v>
      </c>
      <c r="I495">
        <f>IF('[1]P-GENERAL'!I495="","",'[1]P-GENERAL'!I495)</f>
        <v>41</v>
      </c>
      <c r="J495" s="15">
        <f>IF('[1]P-GENERAL'!J495="","",'[1]P-GENERAL'!J495)</f>
        <v>46305</v>
      </c>
      <c r="K495" s="14" t="str">
        <f>IF('[1]P-GENERAL'!K495="","",'[1]P-GENERAL'!K495)</f>
        <v/>
      </c>
      <c r="L495" s="14" t="str">
        <f>IF('[1]P-GENERAL'!L495="","",'[1]P-GENERAL'!L495)</f>
        <v>PREENFRIO NELLY</v>
      </c>
      <c r="M495">
        <f>IF('[1]P-GENERAL'!M495="","",'[1]P-GENERAL'!M495)</f>
        <v>3</v>
      </c>
      <c r="N495">
        <f>IF('[1]P-GENERAL'!N495="","",'[1]P-GENERAL'!N495)</f>
        <v>72</v>
      </c>
      <c r="O495" s="14" t="str">
        <f>IF('[1]P-GENERAL'!O495="","",'[1]P-GENERAL'!O495)</f>
        <v/>
      </c>
      <c r="P495" s="16" t="str">
        <f>IF('[1]P-GENERAL'!P495="","",'[1]P-GENERAL'!P495)</f>
        <v/>
      </c>
      <c r="Q495" t="str">
        <f>IF('[1]P-GENERAL'!Q495="","",'[1]P-GENERAL'!Q495)</f>
        <v>ALTA</v>
      </c>
      <c r="R495" s="14" t="str">
        <f>IF('[1]P-GENERAL'!R495="","",'[1]P-GENERAL'!R495)</f>
        <v>SIN PRENFRIO</v>
      </c>
      <c r="S495" s="16" t="str">
        <f>IF('[1]P-GENERAL'!S495="","",'[1]P-GENERAL'!S495)</f>
        <v>SIN PRENFRIO</v>
      </c>
      <c r="T495" s="16" t="str">
        <f>IF('[1]P-GENERAL'!T495="","",'[1]P-GENERAL'!T495)</f>
        <v>SIN PRENFRIO</v>
      </c>
      <c r="U495" s="17" t="str">
        <f>IF('[1]P-GENERAL'!U495="","",'[1]P-GENERAL'!U495)</f>
        <v/>
      </c>
      <c r="V495" s="14">
        <f>IF('[1]P-GENERAL'!V495="","",'[1]P-GENERAL'!V495)</f>
        <v>46303</v>
      </c>
      <c r="W495" s="16">
        <f>IF('[1]P-GENERAL'!W495="","",'[1]P-GENERAL'!W495)</f>
        <v>0.43055555555555558</v>
      </c>
      <c r="X495" s="14" t="str">
        <f>IF('[1]P-GENERAL'!X495="","",'[1]P-GENERAL'!X495)</f>
        <v/>
      </c>
      <c r="Y495" s="14" t="str">
        <f>IF('[1]P-GENERAL'!Y495="","",'[1]P-GENERAL'!Y495)</f>
        <v>NO CUMPLE</v>
      </c>
      <c r="Z495" s="14" t="str">
        <f>IF('[1]P-GENERAL'!Z495="","",'[1]P-GENERAL'!Z495)</f>
        <v/>
      </c>
      <c r="AA495" s="14" t="str">
        <f>IF('[1]P-GENERAL'!AA495="","",'[1]P-GENERAL'!AA495)</f>
        <v>DESPACHADO</v>
      </c>
      <c r="AB495" s="8" t="str">
        <f>IF('[1]P-GENERAL'!AB495="","",'[1]P-GENERAL'!AB495)</f>
        <v>TRANSPORTES ALGEZA</v>
      </c>
      <c r="AC495" s="8" t="str">
        <f>IF('[1]P-GENERAL'!AC495="","",'[1]P-GENERAL'!AC495)</f>
        <v>ENTRA LOCAL A FINCA</v>
      </c>
      <c r="AD495" t="str">
        <f>IF('[1]P-GENERAL'!AD495="","",'[1]P-GENERAL'!AD495)</f>
        <v/>
      </c>
      <c r="AE495" t="str">
        <f>IF('[1]P-GENERAL'!AE495="","",'[1]P-GENERAL'!AE495)</f>
        <v/>
      </c>
    </row>
    <row r="496" spans="1:31" ht="20.25" x14ac:dyDescent="0.3">
      <c r="A496" s="11" t="str">
        <f>IF('[1]P-GENERAL'!A496="","",'[1]P-GENERAL'!A496)</f>
        <v>Chanitos Premium Tarima Americana</v>
      </c>
      <c r="B496" s="11" t="str">
        <f>IF('[1]P-GENERAL'!B496="","",'[1]P-GENERAL'!B496)</f>
        <v>CPR01103</v>
      </c>
      <c r="C496" t="str">
        <f>IF('[1]P-GENERAL'!C496="","",'[1]P-GENERAL'!C496)</f>
        <v>A01002-411010-1</v>
      </c>
      <c r="D496" t="str">
        <f>IF('[1]P-GENERAL'!D496="","",'[1]P-GENERAL'!D496)</f>
        <v>A01 002 Fortaleza</v>
      </c>
      <c r="E496" s="8" t="str">
        <f>IF('[1]P-GENERAL'!E496="","",'[1]P-GENERAL'!E496)</f>
        <v>S-MTY</v>
      </c>
      <c r="F496" s="12">
        <f>IF('[1]P-GENERAL'!F496="","",'[1]P-GENERAL'!F496)</f>
        <v>960</v>
      </c>
      <c r="G496" s="13">
        <f>IF('[1]P-GENERAL'!G496="","",'[1]P-GENERAL'!G496)</f>
        <v>20</v>
      </c>
      <c r="H496" s="14">
        <f>IF('[1]P-GENERAL'!H496="","",'[1]P-GENERAL'!H496)</f>
        <v>46305</v>
      </c>
      <c r="I496">
        <f>IF('[1]P-GENERAL'!I496="","",'[1]P-GENERAL'!I496)</f>
        <v>41</v>
      </c>
      <c r="J496" s="15">
        <f>IF('[1]P-GENERAL'!J496="","",'[1]P-GENERAL'!J496)</f>
        <v>46310</v>
      </c>
      <c r="K496" s="14" t="str">
        <f>IF('[1]P-GENERAL'!K496="","",'[1]P-GENERAL'!K496)</f>
        <v/>
      </c>
      <c r="L496" s="14" t="str">
        <f>IF('[1]P-GENERAL'!L496="","",'[1]P-GENERAL'!L496)</f>
        <v>PREENFRIO NELLY</v>
      </c>
      <c r="M496">
        <f>IF('[1]P-GENERAL'!M496="","",'[1]P-GENERAL'!M496)</f>
        <v>3</v>
      </c>
      <c r="N496">
        <f>IF('[1]P-GENERAL'!N496="","",'[1]P-GENERAL'!N496)</f>
        <v>72</v>
      </c>
      <c r="O496" s="14">
        <f>IF('[1]P-GENERAL'!O496="","",'[1]P-GENERAL'!O496)</f>
        <v>46306</v>
      </c>
      <c r="P496" s="16">
        <f>IF('[1]P-GENERAL'!P496="","",'[1]P-GENERAL'!P496)</f>
        <v>0.4236111111111111</v>
      </c>
      <c r="Q496" t="str">
        <f>IF('[1]P-GENERAL'!Q496="","",'[1]P-GENERAL'!Q496)</f>
        <v>ALTA</v>
      </c>
      <c r="R496" s="14">
        <f>IF('[1]P-GENERAL'!R496="","",'[1]P-GENERAL'!R496)</f>
        <v>46306</v>
      </c>
      <c r="S496" s="16">
        <f>IF('[1]P-GENERAL'!S496="","",'[1]P-GENERAL'!S496)</f>
        <v>5.5555555555555552E-2</v>
      </c>
      <c r="T496" s="16">
        <f>IF('[1]P-GENERAL'!T496="","",'[1]P-GENERAL'!T496)</f>
        <v>0.4375</v>
      </c>
      <c r="U496" s="17">
        <f>IF('[1]P-GENERAL'!U496="","",'[1]P-GENERAL'!U496)</f>
        <v>46306.493055555555</v>
      </c>
      <c r="V496" s="14">
        <f>IF('[1]P-GENERAL'!V496="","",'[1]P-GENERAL'!V496)</f>
        <v>46306</v>
      </c>
      <c r="W496" s="16">
        <f>IF('[1]P-GENERAL'!W496="","",'[1]P-GENERAL'!W496)</f>
        <v>0.99305555555555558</v>
      </c>
      <c r="X496" s="14" t="str">
        <f>IF('[1]P-GENERAL'!X496="","",'[1]P-GENERAL'!X496)</f>
        <v>SI CUMPLE</v>
      </c>
      <c r="Y496" s="14" t="str">
        <f>IF('[1]P-GENERAL'!Y496="","",'[1]P-GENERAL'!Y496)</f>
        <v>SI CUMPLE</v>
      </c>
      <c r="Z496" s="14" t="str">
        <f>IF('[1]P-GENERAL'!Z496="","",'[1]P-GENERAL'!Z496)</f>
        <v/>
      </c>
      <c r="AA496" s="14" t="str">
        <f>IF('[1]P-GENERAL'!AA496="","",'[1]P-GENERAL'!AA496)</f>
        <v>DESPACHADO</v>
      </c>
      <c r="AB496" s="8" t="str">
        <f>IF('[1]P-GENERAL'!AB496="","",'[1]P-GENERAL'!AB496)</f>
        <v>AUTO EXPRESS SEGOVIA</v>
      </c>
      <c r="AC496" s="8" t="str">
        <f>IF('[1]P-GENERAL'!AC496="","",'[1]P-GENERAL'!AC496)</f>
        <v/>
      </c>
      <c r="AD496" t="str">
        <f>IF('[1]P-GENERAL'!AD496="","",'[1]P-GENERAL'!AD496)</f>
        <v/>
      </c>
      <c r="AE496" t="str">
        <f>IF('[1]P-GENERAL'!AE496="","",'[1]P-GENERAL'!AE496)</f>
        <v/>
      </c>
    </row>
    <row r="497" spans="1:31" ht="20.25" x14ac:dyDescent="0.3">
      <c r="A497" s="11" t="str">
        <f>IF('[1]P-GENERAL'!A497="","",'[1]P-GENERAL'!A497)</f>
        <v>Chanitos Premium Tarima Americana</v>
      </c>
      <c r="B497" s="11" t="str">
        <f>IF('[1]P-GENERAL'!B497="","",'[1]P-GENERAL'!B497)</f>
        <v>CPR01103</v>
      </c>
      <c r="C497" t="str">
        <f>IF('[1]P-GENERAL'!C497="","",'[1]P-GENERAL'!C497)</f>
        <v>A01002-411010-1</v>
      </c>
      <c r="D497" t="str">
        <f>IF('[1]P-GENERAL'!D497="","",'[1]P-GENERAL'!D497)</f>
        <v>A01 002 Fortaleza</v>
      </c>
      <c r="E497" s="8" t="str">
        <f>IF('[1]P-GENERAL'!E497="","",'[1]P-GENERAL'!E497)</f>
        <v>S-MTY</v>
      </c>
      <c r="F497" s="12">
        <f>IF('[1]P-GENERAL'!F497="","",'[1]P-GENERAL'!F497)</f>
        <v>192</v>
      </c>
      <c r="G497" s="13">
        <f>IF('[1]P-GENERAL'!G497="","",'[1]P-GENERAL'!G497)</f>
        <v>4</v>
      </c>
      <c r="H497" s="14">
        <f>IF('[1]P-GENERAL'!H497="","",'[1]P-GENERAL'!H497)</f>
        <v>46305</v>
      </c>
      <c r="I497">
        <f>IF('[1]P-GENERAL'!I497="","",'[1]P-GENERAL'!I497)</f>
        <v>41</v>
      </c>
      <c r="J497" s="15">
        <f>IF('[1]P-GENERAL'!J497="","",'[1]P-GENERAL'!J497)</f>
        <v>46310</v>
      </c>
      <c r="K497" s="14" t="str">
        <f>IF('[1]P-GENERAL'!K497="","",'[1]P-GENERAL'!K497)</f>
        <v/>
      </c>
      <c r="L497" s="14" t="str">
        <f>IF('[1]P-GENERAL'!L497="","",'[1]P-GENERAL'!L497)</f>
        <v>PREENFRIO NELLY</v>
      </c>
      <c r="M497">
        <f>IF('[1]P-GENERAL'!M497="","",'[1]P-GENERAL'!M497)</f>
        <v>3</v>
      </c>
      <c r="N497">
        <f>IF('[1]P-GENERAL'!N497="","",'[1]P-GENERAL'!N497)</f>
        <v>72</v>
      </c>
      <c r="O497" s="14">
        <f>IF('[1]P-GENERAL'!O497="","",'[1]P-GENERAL'!O497)</f>
        <v>46306</v>
      </c>
      <c r="P497" s="16">
        <f>IF('[1]P-GENERAL'!P497="","",'[1]P-GENERAL'!P497)</f>
        <v>0.4236111111111111</v>
      </c>
      <c r="Q497" t="str">
        <f>IF('[1]P-GENERAL'!Q497="","",'[1]P-GENERAL'!Q497)</f>
        <v>ALTA</v>
      </c>
      <c r="R497" s="14">
        <f>IF('[1]P-GENERAL'!R497="","",'[1]P-GENERAL'!R497)</f>
        <v>46306</v>
      </c>
      <c r="S497" s="16">
        <f>IF('[1]P-GENERAL'!S497="","",'[1]P-GENERAL'!S497)</f>
        <v>0.41666666666666669</v>
      </c>
      <c r="T497" s="16">
        <f>IF('[1]P-GENERAL'!T497="","",'[1]P-GENERAL'!T497)</f>
        <v>0.4375</v>
      </c>
      <c r="U497" s="17">
        <f>IF('[1]P-GENERAL'!U497="","",'[1]P-GENERAL'!U497)</f>
        <v>46306.854166666664</v>
      </c>
      <c r="V497" s="14">
        <f>IF('[1]P-GENERAL'!V497="","",'[1]P-GENERAL'!V497)</f>
        <v>46306</v>
      </c>
      <c r="W497" s="16">
        <f>IF('[1]P-GENERAL'!W497="","",'[1]P-GENERAL'!W497)</f>
        <v>0.99305555555555558</v>
      </c>
      <c r="X497" s="14" t="str">
        <f>IF('[1]P-GENERAL'!X497="","",'[1]P-GENERAL'!X497)</f>
        <v>SI CUMPLE</v>
      </c>
      <c r="Y497" s="14" t="str">
        <f>IF('[1]P-GENERAL'!Y497="","",'[1]P-GENERAL'!Y497)</f>
        <v>SI CUMPLE</v>
      </c>
      <c r="Z497" s="14" t="str">
        <f>IF('[1]P-GENERAL'!Z497="","",'[1]P-GENERAL'!Z497)</f>
        <v/>
      </c>
      <c r="AA497" s="14" t="str">
        <f>IF('[1]P-GENERAL'!AA497="","",'[1]P-GENERAL'!AA497)</f>
        <v>DESPACHADO</v>
      </c>
      <c r="AB497" s="8" t="str">
        <f>IF('[1]P-GENERAL'!AB497="","",'[1]P-GENERAL'!AB497)</f>
        <v>AUTO EXPRESS SEGOVIA</v>
      </c>
      <c r="AC497" s="8" t="str">
        <f>IF('[1]P-GENERAL'!AC497="","",'[1]P-GENERAL'!AC497)</f>
        <v/>
      </c>
      <c r="AD497" t="str">
        <f>IF('[1]P-GENERAL'!AD497="","",'[1]P-GENERAL'!AD497)</f>
        <v/>
      </c>
      <c r="AE497" t="str">
        <f>IF('[1]P-GENERAL'!AE497="","",'[1]P-GENERAL'!AE497)</f>
        <v/>
      </c>
    </row>
    <row r="498" spans="1:31" ht="20.25" x14ac:dyDescent="0.3">
      <c r="A498" s="11" t="str">
        <f>IF('[1]P-GENERAL'!A498="","",'[1]P-GENERAL'!A498)</f>
        <v>Chanitos Plantain 20Kg Tarima Americana</v>
      </c>
      <c r="B498" s="11" t="str">
        <f>IF('[1]P-GENERAL'!B498="","",'[1]P-GENERAL'!B498)</f>
        <v>CPL08134</v>
      </c>
      <c r="C498" t="str">
        <f>IF('[1]P-GENERAL'!C498="","",'[1]P-GENERAL'!C498)</f>
        <v>A35082-410910-1</v>
      </c>
      <c r="D498" t="str">
        <f>IF('[1]P-GENERAL'!D498="","",'[1]P-GENERAL'!D498)</f>
        <v>A35 082 Empaque de Macho Ej Libertad</v>
      </c>
      <c r="E498" s="8" t="str">
        <f>IF('[1]P-GENERAL'!E498="","",'[1]P-GENERAL'!E498)</f>
        <v>Ciudad Juarez</v>
      </c>
      <c r="F498" s="12">
        <f>IF('[1]P-GENERAL'!F498="","",'[1]P-GENERAL'!F498)</f>
        <v>624</v>
      </c>
      <c r="G498" s="13">
        <f>IF('[1]P-GENERAL'!G498="","",'[1]P-GENERAL'!G498)</f>
        <v>13</v>
      </c>
      <c r="H498" s="14">
        <f>IF('[1]P-GENERAL'!H498="","",'[1]P-GENERAL'!H498)</f>
        <v>46304</v>
      </c>
      <c r="I498">
        <f>IF('[1]P-GENERAL'!I498="","",'[1]P-GENERAL'!I498)</f>
        <v>41</v>
      </c>
      <c r="J498" s="15">
        <f>IF('[1]P-GENERAL'!J498="","",'[1]P-GENERAL'!J498)</f>
        <v>46312</v>
      </c>
      <c r="K498" s="14" t="str">
        <f>IF('[1]P-GENERAL'!K498="","",'[1]P-GENERAL'!K498)</f>
        <v/>
      </c>
      <c r="L498" s="14" t="str">
        <f>IF('[1]P-GENERAL'!L498="","",'[1]P-GENERAL'!L498)</f>
        <v>PREENFRIO NELLY</v>
      </c>
      <c r="M498">
        <f>IF('[1]P-GENERAL'!M498="","",'[1]P-GENERAL'!M498)</f>
        <v>4</v>
      </c>
      <c r="N498">
        <f>IF('[1]P-GENERAL'!N498="","",'[1]P-GENERAL'!N498)</f>
        <v>96</v>
      </c>
      <c r="O498" s="14">
        <f>IF('[1]P-GENERAL'!O498="","",'[1]P-GENERAL'!O498)</f>
        <v>46305</v>
      </c>
      <c r="P498" s="16">
        <f>IF('[1]P-GENERAL'!P498="","",'[1]P-GENERAL'!P498)</f>
        <v>0.99652777777777779</v>
      </c>
      <c r="Q498" t="str">
        <f>IF('[1]P-GENERAL'!Q498="","",'[1]P-GENERAL'!Q498)</f>
        <v>ALTA</v>
      </c>
      <c r="R498" s="14">
        <f>IF('[1]P-GENERAL'!R498="","",'[1]P-GENERAL'!R498)</f>
        <v>46306</v>
      </c>
      <c r="S498" s="16">
        <f>IF('[1]P-GENERAL'!S498="","",'[1]P-GENERAL'!S498)</f>
        <v>0.41666666666666669</v>
      </c>
      <c r="T498" s="16">
        <f>IF('[1]P-GENERAL'!T498="","",'[1]P-GENERAL'!T498)</f>
        <v>0.4375</v>
      </c>
      <c r="U498" s="17">
        <f>IF('[1]P-GENERAL'!U498="","",'[1]P-GENERAL'!U498)</f>
        <v>46306.854166666664</v>
      </c>
      <c r="V498" s="14" t="str">
        <f>IF('[1]P-GENERAL'!V498="","",'[1]P-GENERAL'!V498)</f>
        <v/>
      </c>
      <c r="W498" s="16" t="str">
        <f>IF('[1]P-GENERAL'!W498="","",'[1]P-GENERAL'!W498)</f>
        <v/>
      </c>
      <c r="X498" s="14" t="str">
        <f>IF('[1]P-GENERAL'!X498="","",'[1]P-GENERAL'!X498)</f>
        <v>SI CUMPLE</v>
      </c>
      <c r="Y498" s="14" t="str">
        <f>IF('[1]P-GENERAL'!Y498="","",'[1]P-GENERAL'!Y498)</f>
        <v/>
      </c>
      <c r="Z498" s="14" t="str">
        <f>IF('[1]P-GENERAL'!Z498="","",'[1]P-GENERAL'!Z498)</f>
        <v/>
      </c>
      <c r="AA498" s="14" t="str">
        <f>IF('[1]P-GENERAL'!AA498="","",'[1]P-GENERAL'!AA498)</f>
        <v>1 termo listo y cargado</v>
      </c>
      <c r="AB498" s="8" t="str">
        <f>IF('[1]P-GENERAL'!AB498="","",'[1]P-GENERAL'!AB498)</f>
        <v>AUTO EXPRESS SEGOVIA</v>
      </c>
      <c r="AC498" s="8" t="str">
        <f>IF('[1]P-GENERAL'!AC498="","",'[1]P-GENERAL'!AC498)</f>
        <v/>
      </c>
      <c r="AD498" t="str">
        <f>IF('[1]P-GENERAL'!AD498="","",'[1]P-GENERAL'!AD498)</f>
        <v/>
      </c>
      <c r="AE498" t="str">
        <f>IF('[1]P-GENERAL'!AE498="","",'[1]P-GENERAL'!AE498)</f>
        <v/>
      </c>
    </row>
    <row r="499" spans="1:31" ht="20.25" x14ac:dyDescent="0.3">
      <c r="A499" s="11" t="str">
        <f>IF('[1]P-GENERAL'!A499="","",'[1]P-GENERAL'!A499)</f>
        <v>Chanitos Premium Tarima Americana</v>
      </c>
      <c r="B499" s="11" t="str">
        <f>IF('[1]P-GENERAL'!B499="","",'[1]P-GENERAL'!B499)</f>
        <v>CPR01103</v>
      </c>
      <c r="C499" t="str">
        <f>IF('[1]P-GENERAL'!C499="","",'[1]P-GENERAL'!C499)</f>
        <v>A01003-411010-1</v>
      </c>
      <c r="D499" t="str">
        <f>IF('[1]P-GENERAL'!D499="","",'[1]P-GENERAL'!D499)</f>
        <v>A01 003 Doña Nelly</v>
      </c>
      <c r="E499" s="8" t="str">
        <f>IF('[1]P-GENERAL'!E499="","",'[1]P-GENERAL'!E499)</f>
        <v>Ciudad Juarez</v>
      </c>
      <c r="F499" s="12">
        <f>IF('[1]P-GENERAL'!F499="","",'[1]P-GENERAL'!F499)</f>
        <v>816</v>
      </c>
      <c r="G499" s="13">
        <f>IF('[1]P-GENERAL'!G499="","",'[1]P-GENERAL'!G499)</f>
        <v>17</v>
      </c>
      <c r="H499" s="14">
        <f>IF('[1]P-GENERAL'!H499="","",'[1]P-GENERAL'!H499)</f>
        <v>46305</v>
      </c>
      <c r="I499">
        <f>IF('[1]P-GENERAL'!I499="","",'[1]P-GENERAL'!I499)</f>
        <v>41</v>
      </c>
      <c r="J499" s="15">
        <f>IF('[1]P-GENERAL'!J499="","",'[1]P-GENERAL'!J499)</f>
        <v>46312</v>
      </c>
      <c r="K499" s="14" t="str">
        <f>IF('[1]P-GENERAL'!K499="","",'[1]P-GENERAL'!K499)</f>
        <v/>
      </c>
      <c r="L499" s="14" t="str">
        <f>IF('[1]P-GENERAL'!L499="","",'[1]P-GENERAL'!L499)</f>
        <v>PREENFRIO NELLY</v>
      </c>
      <c r="M499">
        <f>IF('[1]P-GENERAL'!M499="","",'[1]P-GENERAL'!M499)</f>
        <v>4</v>
      </c>
      <c r="N499">
        <f>IF('[1]P-GENERAL'!N499="","",'[1]P-GENERAL'!N499)</f>
        <v>96</v>
      </c>
      <c r="O499" s="14">
        <f>IF('[1]P-GENERAL'!O499="","",'[1]P-GENERAL'!O499)</f>
        <v>46305</v>
      </c>
      <c r="P499" s="16">
        <f>IF('[1]P-GENERAL'!P499="","",'[1]P-GENERAL'!P499)</f>
        <v>0.99305555555555558</v>
      </c>
      <c r="Q499" t="str">
        <f>IF('[1]P-GENERAL'!Q499="","",'[1]P-GENERAL'!Q499)</f>
        <v>ALTA</v>
      </c>
      <c r="R499" s="14">
        <f>IF('[1]P-GENERAL'!R499="","",'[1]P-GENERAL'!R499)</f>
        <v>46307</v>
      </c>
      <c r="S499" s="16">
        <f>IF('[1]P-GENERAL'!S499="","",'[1]P-GENERAL'!S499)</f>
        <v>7.6388888888888895E-2</v>
      </c>
      <c r="T499" s="16">
        <f>IF('[1]P-GENERAL'!T499="","",'[1]P-GENERAL'!T499)</f>
        <v>0.4375</v>
      </c>
      <c r="U499" s="17">
        <f>IF('[1]P-GENERAL'!U499="","",'[1]P-GENERAL'!U499)</f>
        <v>46307.513888888891</v>
      </c>
      <c r="V499" s="14" t="str">
        <f>IF('[1]P-GENERAL'!V499="","",'[1]P-GENERAL'!V499)</f>
        <v/>
      </c>
      <c r="W499" s="16" t="str">
        <f>IF('[1]P-GENERAL'!W499="","",'[1]P-GENERAL'!W499)</f>
        <v/>
      </c>
      <c r="X499" s="14" t="str">
        <f>IF('[1]P-GENERAL'!X499="","",'[1]P-GENERAL'!X499)</f>
        <v>SI CUMPLE</v>
      </c>
      <c r="Y499" s="14" t="str">
        <f>IF('[1]P-GENERAL'!Y499="","",'[1]P-GENERAL'!Y499)</f>
        <v/>
      </c>
      <c r="Z499" s="14" t="str">
        <f>IF('[1]P-GENERAL'!Z499="","",'[1]P-GENERAL'!Z499)</f>
        <v/>
      </c>
      <c r="AA499" s="14" t="str">
        <f>IF('[1]P-GENERAL'!AA499="","",'[1]P-GENERAL'!AA499)</f>
        <v/>
      </c>
      <c r="AB499" s="8" t="str">
        <f>IF('[1]P-GENERAL'!AB499="","",'[1]P-GENERAL'!AB499)</f>
        <v/>
      </c>
      <c r="AC499" s="8" t="str">
        <f>IF('[1]P-GENERAL'!AC499="","",'[1]P-GENERAL'!AC499)</f>
        <v/>
      </c>
      <c r="AD499" t="str">
        <f>IF('[1]P-GENERAL'!AD499="","",'[1]P-GENERAL'!AD499)</f>
        <v/>
      </c>
      <c r="AE499" t="str">
        <f>IF('[1]P-GENERAL'!AE499="","",'[1]P-GENERAL'!AE499)</f>
        <v/>
      </c>
    </row>
    <row r="500" spans="1:31" ht="20.25" x14ac:dyDescent="0.3">
      <c r="A500" s="11" t="str">
        <f>IF('[1]P-GENERAL'!A500="","",'[1]P-GENERAL'!A500)</f>
        <v>Chanitos Organic Banded Market Side Mexico</v>
      </c>
      <c r="B500" s="11" t="str">
        <f>IF('[1]P-GENERAL'!B500="","",'[1]P-GENERAL'!B500)</f>
        <v>CRG07128</v>
      </c>
      <c r="C500" t="str">
        <f>IF('[1]P-GENERAL'!C500="","",'[1]P-GENERAL'!C500)</f>
        <v>A01002-411010-1</v>
      </c>
      <c r="D500" t="str">
        <f>IF('[1]P-GENERAL'!D500="","",'[1]P-GENERAL'!D500)</f>
        <v>A01 002 Fortaleza</v>
      </c>
      <c r="E500" s="8" t="str">
        <f>IF('[1]P-GENERAL'!E500="","",'[1]P-GENERAL'!E500)</f>
        <v>VSA</v>
      </c>
      <c r="F500" s="12">
        <f>IF('[1]P-GENERAL'!F500="","",'[1]P-GENERAL'!F500)</f>
        <v>96</v>
      </c>
      <c r="G500" s="13">
        <f>IF('[1]P-GENERAL'!G500="","",'[1]P-GENERAL'!G500)</f>
        <v>2</v>
      </c>
      <c r="H500" s="14">
        <f>IF('[1]P-GENERAL'!H500="","",'[1]P-GENERAL'!H500)</f>
        <v>46305</v>
      </c>
      <c r="I500">
        <f>IF('[1]P-GENERAL'!I500="","",'[1]P-GENERAL'!I500)</f>
        <v>41</v>
      </c>
      <c r="J500" s="15">
        <f>IF('[1]P-GENERAL'!J500="","",'[1]P-GENERAL'!J500)</f>
        <v>46310</v>
      </c>
      <c r="K500" s="14" t="str">
        <f>IF('[1]P-GENERAL'!K500="","",'[1]P-GENERAL'!K500)</f>
        <v/>
      </c>
      <c r="L500" s="14" t="str">
        <f>IF('[1]P-GENERAL'!L500="","",'[1]P-GENERAL'!L500)</f>
        <v>PREENFRIO FORTALEZA</v>
      </c>
      <c r="M500">
        <f>IF('[1]P-GENERAL'!M500="","",'[1]P-GENERAL'!M500)</f>
        <v>1</v>
      </c>
      <c r="N500">
        <f>IF('[1]P-GENERAL'!N500="","",'[1]P-GENERAL'!N500)</f>
        <v>24</v>
      </c>
      <c r="O500" s="14">
        <f>IF('[1]P-GENERAL'!O500="","",'[1]P-GENERAL'!O500)</f>
        <v>46305</v>
      </c>
      <c r="P500" s="16">
        <f>IF('[1]P-GENERAL'!P500="","",'[1]P-GENERAL'!P500)</f>
        <v>0.6958333333333333</v>
      </c>
      <c r="Q500" t="str">
        <f>IF('[1]P-GENERAL'!Q500="","",'[1]P-GENERAL'!Q500)</f>
        <v>NORMAL</v>
      </c>
      <c r="R500" s="14">
        <f>IF('[1]P-GENERAL'!R500="","",'[1]P-GENERAL'!R500)</f>
        <v>46307</v>
      </c>
      <c r="S500" s="16">
        <f>IF('[1]P-GENERAL'!S500="","",'[1]P-GENERAL'!S500)</f>
        <v>0.14583333333333334</v>
      </c>
      <c r="T500" s="16">
        <f>IF('[1]P-GENERAL'!T500="","",'[1]P-GENERAL'!T500)</f>
        <v>0.20833333333333334</v>
      </c>
      <c r="U500" s="17">
        <f>IF('[1]P-GENERAL'!U500="","",'[1]P-GENERAL'!U500)</f>
        <v>46307.354166666672</v>
      </c>
      <c r="V500" s="14" t="str">
        <f>IF('[1]P-GENERAL'!V500="","",'[1]P-GENERAL'!V500)</f>
        <v/>
      </c>
      <c r="W500" s="16" t="str">
        <f>IF('[1]P-GENERAL'!W500="","",'[1]P-GENERAL'!W500)</f>
        <v/>
      </c>
      <c r="X500" s="14" t="str">
        <f>IF('[1]P-GENERAL'!X500="","",'[1]P-GENERAL'!X500)</f>
        <v>SI CUMPLE</v>
      </c>
      <c r="Y500" s="14" t="str">
        <f>IF('[1]P-GENERAL'!Y500="","",'[1]P-GENERAL'!Y500)</f>
        <v/>
      </c>
      <c r="Z500" s="14" t="str">
        <f>IF('[1]P-GENERAL'!Z500="","",'[1]P-GENERAL'!Z500)</f>
        <v/>
      </c>
      <c r="AA500" s="14" t="str">
        <f>IF('[1]P-GENERAL'!AA500="","",'[1]P-GENERAL'!AA500)</f>
        <v/>
      </c>
      <c r="AB500" s="8" t="str">
        <f>IF('[1]P-GENERAL'!AB500="","",'[1]P-GENERAL'!AB500)</f>
        <v/>
      </c>
      <c r="AC500" s="8" t="str">
        <f>IF('[1]P-GENERAL'!AC500="","",'[1]P-GENERAL'!AC500)</f>
        <v/>
      </c>
      <c r="AD500" t="str">
        <f>IF('[1]P-GENERAL'!AD500="","",'[1]P-GENERAL'!AD500)</f>
        <v/>
      </c>
      <c r="AE500" t="str">
        <f>IF('[1]P-GENERAL'!AE500="","",'[1]P-GENERAL'!AE500)</f>
        <v/>
      </c>
    </row>
    <row r="501" spans="1:31" ht="20.25" x14ac:dyDescent="0.3">
      <c r="A501" s="11" t="str">
        <f>IF('[1]P-GENERAL'!A501="","",'[1]P-GENERAL'!A501)</f>
        <v>Chanitos Premium EUA Tarima Americana</v>
      </c>
      <c r="B501" s="11" t="str">
        <f>IF('[1]P-GENERAL'!B501="","",'[1]P-GENERAL'!B501)</f>
        <v>CPR01104</v>
      </c>
      <c r="C501" t="str">
        <f>IF('[1]P-GENERAL'!C501="","",'[1]P-GENERAL'!C501)</f>
        <v>A04084-411010-1</v>
      </c>
      <c r="D501" t="str">
        <f>IF('[1]P-GENERAL'!D501="","",'[1]P-GENERAL'!D501)</f>
        <v>A04 084 Lisboa</v>
      </c>
      <c r="E501" s="8" t="str">
        <f>IF('[1]P-GENERAL'!E501="","",'[1]P-GENERAL'!E501)</f>
        <v>McAllen</v>
      </c>
      <c r="F501" s="12">
        <f>IF('[1]P-GENERAL'!F501="","",'[1]P-GENERAL'!F501)</f>
        <v>528</v>
      </c>
      <c r="G501" s="13">
        <f>IF('[1]P-GENERAL'!G501="","",'[1]P-GENERAL'!G501)</f>
        <v>11</v>
      </c>
      <c r="H501" s="14">
        <f>IF('[1]P-GENERAL'!H501="","",'[1]P-GENERAL'!H501)</f>
        <v>46305</v>
      </c>
      <c r="I501">
        <f>IF('[1]P-GENERAL'!I501="","",'[1]P-GENERAL'!I501)</f>
        <v>41</v>
      </c>
      <c r="J501" s="15">
        <f>IF('[1]P-GENERAL'!J501="","",'[1]P-GENERAL'!J501)</f>
        <v>46309</v>
      </c>
      <c r="K501" s="14" t="str">
        <f>IF('[1]P-GENERAL'!K501="","",'[1]P-GENERAL'!K501)</f>
        <v/>
      </c>
      <c r="L501" s="14" t="str">
        <f>IF('[1]P-GENERAL'!L501="","",'[1]P-GENERAL'!L501)</f>
        <v>PREENFRIO FORTALEZA</v>
      </c>
      <c r="M501">
        <f>IF('[1]P-GENERAL'!M501="","",'[1]P-GENERAL'!M501)</f>
        <v>3</v>
      </c>
      <c r="N501">
        <f>IF('[1]P-GENERAL'!N501="","",'[1]P-GENERAL'!N501)</f>
        <v>72</v>
      </c>
      <c r="O501" s="14">
        <f>IF('[1]P-GENERAL'!O501="","",'[1]P-GENERAL'!O501)</f>
        <v>46305</v>
      </c>
      <c r="P501" s="16">
        <f>IF('[1]P-GENERAL'!P501="","",'[1]P-GENERAL'!P501)</f>
        <v>0.9604166666666667</v>
      </c>
      <c r="Q501" t="str">
        <f>IF('[1]P-GENERAL'!Q501="","",'[1]P-GENERAL'!Q501)</f>
        <v>NORMAL</v>
      </c>
      <c r="R501" s="14">
        <f>IF('[1]P-GENERAL'!R501="","",'[1]P-GENERAL'!R501)</f>
        <v>46306</v>
      </c>
      <c r="S501" s="16">
        <f>IF('[1]P-GENERAL'!S501="","",'[1]P-GENERAL'!S501)</f>
        <v>0.43055555555555558</v>
      </c>
      <c r="T501" s="16">
        <f>IF('[1]P-GENERAL'!T501="","",'[1]P-GENERAL'!T501)</f>
        <v>0.33333333333333331</v>
      </c>
      <c r="U501" s="17">
        <f>IF('[1]P-GENERAL'!U501="","",'[1]P-GENERAL'!U501)</f>
        <v>46306.763888888891</v>
      </c>
      <c r="V501" s="14">
        <f>IF('[1]P-GENERAL'!V501="","",'[1]P-GENERAL'!V501)</f>
        <v>46307</v>
      </c>
      <c r="W501" s="16">
        <f>IF('[1]P-GENERAL'!W501="","",'[1]P-GENERAL'!W501)</f>
        <v>9.0277777777777769E-3</v>
      </c>
      <c r="X501" s="14" t="str">
        <f>IF('[1]P-GENERAL'!X501="","",'[1]P-GENERAL'!X501)</f>
        <v>NO CUMPLE</v>
      </c>
      <c r="Y501" s="14" t="str">
        <f>IF('[1]P-GENERAL'!Y501="","",'[1]P-GENERAL'!Y501)</f>
        <v>NO CUMPLE</v>
      </c>
      <c r="Z501" s="14" t="str">
        <f>IF('[1]P-GENERAL'!Z501="","",'[1]P-GENERAL'!Z501)</f>
        <v/>
      </c>
      <c r="AA501" s="14" t="str">
        <f>IF('[1]P-GENERAL'!AA501="","",'[1]P-GENERAL'!AA501)</f>
        <v>DESPACHADO</v>
      </c>
      <c r="AB501" s="8" t="str">
        <f>IF('[1]P-GENERAL'!AB501="","",'[1]P-GENERAL'!AB501)</f>
        <v>TRANSPORTES DELTA DE MTY</v>
      </c>
      <c r="AC501" s="8" t="str">
        <f>IF('[1]P-GENERAL'!AC501="","",'[1]P-GENERAL'!AC501)</f>
        <v>JULIO CESAR</v>
      </c>
      <c r="AD501">
        <f>IF('[1]P-GENERAL'!AD501="","",'[1]P-GENERAL'!AD501)</f>
        <v>88659</v>
      </c>
      <c r="AE501">
        <f>IF('[1]P-GENERAL'!AE501="","",'[1]P-GENERAL'!AE501)</f>
        <v>100000914991</v>
      </c>
    </row>
    <row r="502" spans="1:31" ht="20.25" x14ac:dyDescent="0.3">
      <c r="A502" s="11" t="str">
        <f>IF('[1]P-GENERAL'!A502="","",'[1]P-GENERAL'!A502)</f>
        <v>Chanitos Premium EUA Tarima Americana</v>
      </c>
      <c r="B502" s="11" t="str">
        <f>IF('[1]P-GENERAL'!B502="","",'[1]P-GENERAL'!B502)</f>
        <v>CPR01104</v>
      </c>
      <c r="C502" t="str">
        <f>IF('[1]P-GENERAL'!C502="","",'[1]P-GENERAL'!C502)</f>
        <v>A01001-411010-1</v>
      </c>
      <c r="D502" t="str">
        <f>IF('[1]P-GENERAL'!D502="","",'[1]P-GENERAL'!D502)</f>
        <v>A01 001 Marbella</v>
      </c>
      <c r="E502" s="8" t="str">
        <f>IF('[1]P-GENERAL'!E502="","",'[1]P-GENERAL'!E502)</f>
        <v>McAllen</v>
      </c>
      <c r="F502" s="12">
        <f>IF('[1]P-GENERAL'!F502="","",'[1]P-GENERAL'!F502)</f>
        <v>960</v>
      </c>
      <c r="G502" s="13">
        <f>IF('[1]P-GENERAL'!G502="","",'[1]P-GENERAL'!G502)</f>
        <v>20</v>
      </c>
      <c r="H502" s="14">
        <f>IF('[1]P-GENERAL'!H502="","",'[1]P-GENERAL'!H502)</f>
        <v>46305</v>
      </c>
      <c r="I502">
        <f>IF('[1]P-GENERAL'!I502="","",'[1]P-GENERAL'!I502)</f>
        <v>41</v>
      </c>
      <c r="J502" s="15">
        <f>IF('[1]P-GENERAL'!J502="","",'[1]P-GENERAL'!J502)</f>
        <v>46310</v>
      </c>
      <c r="K502" s="14" t="str">
        <f>IF('[1]P-GENERAL'!K502="","",'[1]P-GENERAL'!K502)</f>
        <v/>
      </c>
      <c r="L502" s="14" t="str">
        <f>IF('[1]P-GENERAL'!L502="","",'[1]P-GENERAL'!L502)</f>
        <v>PREENFRIO FORTALEZA</v>
      </c>
      <c r="M502">
        <f>IF('[1]P-GENERAL'!M502="","",'[1]P-GENERAL'!M502)</f>
        <v>3</v>
      </c>
      <c r="N502">
        <f>IF('[1]P-GENERAL'!N502="","",'[1]P-GENERAL'!N502)</f>
        <v>72</v>
      </c>
      <c r="O502" s="14">
        <f>IF('[1]P-GENERAL'!O502="","",'[1]P-GENERAL'!O502)</f>
        <v>46305</v>
      </c>
      <c r="P502" s="16">
        <f>IF('[1]P-GENERAL'!P502="","",'[1]P-GENERAL'!P502)</f>
        <v>0.9604166666666667</v>
      </c>
      <c r="Q502" t="str">
        <f>IF('[1]P-GENERAL'!Q502="","",'[1]P-GENERAL'!Q502)</f>
        <v>NORMAL</v>
      </c>
      <c r="R502" s="14">
        <f>IF('[1]P-GENERAL'!R502="","",'[1]P-GENERAL'!R502)</f>
        <v>46306</v>
      </c>
      <c r="S502" s="16">
        <f>IF('[1]P-GENERAL'!S502="","",'[1]P-GENERAL'!S502)</f>
        <v>0.79166666666666663</v>
      </c>
      <c r="T502" s="16">
        <f>IF('[1]P-GENERAL'!T502="","",'[1]P-GENERAL'!T502)</f>
        <v>0.33333333333333331</v>
      </c>
      <c r="U502" s="17">
        <f>IF('[1]P-GENERAL'!U502="","",'[1]P-GENERAL'!U502)</f>
        <v>46307.125</v>
      </c>
      <c r="V502" s="14">
        <f>IF('[1]P-GENERAL'!V502="","",'[1]P-GENERAL'!V502)</f>
        <v>46307</v>
      </c>
      <c r="W502" s="16">
        <f>IF('[1]P-GENERAL'!W502="","",'[1]P-GENERAL'!W502)</f>
        <v>2.2222222222222223E-2</v>
      </c>
      <c r="X502" s="14" t="str">
        <f>IF('[1]P-GENERAL'!X502="","",'[1]P-GENERAL'!X502)</f>
        <v>NO CUMPLE</v>
      </c>
      <c r="Y502" s="14" t="str">
        <f>IF('[1]P-GENERAL'!Y502="","",'[1]P-GENERAL'!Y502)</f>
        <v>NO CUMPLE</v>
      </c>
      <c r="Z502" s="14" t="str">
        <f>IF('[1]P-GENERAL'!Z502="","",'[1]P-GENERAL'!Z502)</f>
        <v/>
      </c>
      <c r="AA502" s="14" t="str">
        <f>IF('[1]P-GENERAL'!AA502="","",'[1]P-GENERAL'!AA502)</f>
        <v>DESPACHADO</v>
      </c>
      <c r="AB502" s="8" t="str">
        <f>IF('[1]P-GENERAL'!AB502="","",'[1]P-GENERAL'!AB502)</f>
        <v>TRANSPORTES DELTA DE MTY</v>
      </c>
      <c r="AC502" s="8" t="str">
        <f>IF('[1]P-GENERAL'!AC502="","",'[1]P-GENERAL'!AC502)</f>
        <v>JULIO CESAR</v>
      </c>
      <c r="AD502">
        <f>IF('[1]P-GENERAL'!AD502="","",'[1]P-GENERAL'!AD502)</f>
        <v>72391</v>
      </c>
      <c r="AE502">
        <f>IF('[1]P-GENERAL'!AE502="","",'[1]P-GENERAL'!AE502)</f>
        <v>100000914971</v>
      </c>
    </row>
    <row r="503" spans="1:31" ht="20.25" x14ac:dyDescent="0.3">
      <c r="A503" s="11" t="str">
        <f>IF('[1]P-GENERAL'!A503="","",'[1]P-GENERAL'!A503)</f>
        <v>Chanitos Premium Tarima Chep</v>
      </c>
      <c r="B503" s="11" t="str">
        <f>IF('[1]P-GENERAL'!B503="","",'[1]P-GENERAL'!B503)</f>
        <v>CPR01102</v>
      </c>
      <c r="C503" t="str">
        <f>IF('[1]P-GENERAL'!C503="","",'[1]P-GENERAL'!C503)</f>
        <v>A01001-411010-1</v>
      </c>
      <c r="D503" t="str">
        <f>IF('[1]P-GENERAL'!D503="","",'[1]P-GENERAL'!D503)</f>
        <v>A01 001 Marbella</v>
      </c>
      <c r="E503" s="8" t="str">
        <f>IF('[1]P-GENERAL'!E503="","",'[1]P-GENERAL'!E503)</f>
        <v>VSA</v>
      </c>
      <c r="F503" s="12">
        <f>IF('[1]P-GENERAL'!F503="","",'[1]P-GENERAL'!F503)</f>
        <v>144</v>
      </c>
      <c r="G503" s="13">
        <f>IF('[1]P-GENERAL'!G503="","",'[1]P-GENERAL'!G503)</f>
        <v>3</v>
      </c>
      <c r="H503" s="14">
        <f>IF('[1]P-GENERAL'!H503="","",'[1]P-GENERAL'!H503)</f>
        <v>46305</v>
      </c>
      <c r="I503">
        <f>IF('[1]P-GENERAL'!I503="","",'[1]P-GENERAL'!I503)</f>
        <v>41</v>
      </c>
      <c r="J503" s="15">
        <f>IF('[1]P-GENERAL'!J503="","",'[1]P-GENERAL'!J503)</f>
        <v>46310</v>
      </c>
      <c r="K503" s="14" t="str">
        <f>IF('[1]P-GENERAL'!K503="","",'[1]P-GENERAL'!K503)</f>
        <v/>
      </c>
      <c r="L503" s="14" t="str">
        <f>IF('[1]P-GENERAL'!L503="","",'[1]P-GENERAL'!L503)</f>
        <v>PREENFRIO FORTALEZA</v>
      </c>
      <c r="M503">
        <f>IF('[1]P-GENERAL'!M503="","",'[1]P-GENERAL'!M503)</f>
        <v>1</v>
      </c>
      <c r="N503">
        <f>IF('[1]P-GENERAL'!N503="","",'[1]P-GENERAL'!N503)</f>
        <v>24</v>
      </c>
      <c r="O503" s="14">
        <f>IF('[1]P-GENERAL'!O503="","",'[1]P-GENERAL'!O503)</f>
        <v>46305</v>
      </c>
      <c r="P503" s="16">
        <f>IF('[1]P-GENERAL'!P503="","",'[1]P-GENERAL'!P503)</f>
        <v>0.89583333333333337</v>
      </c>
      <c r="Q503" t="str">
        <f>IF('[1]P-GENERAL'!Q503="","",'[1]P-GENERAL'!Q503)</f>
        <v>NORMAL</v>
      </c>
      <c r="R503" s="14">
        <f>IF('[1]P-GENERAL'!R503="","",'[1]P-GENERAL'!R503)</f>
        <v>46307</v>
      </c>
      <c r="S503" s="16">
        <f>IF('[1]P-GENERAL'!S503="","",'[1]P-GENERAL'!S503)</f>
        <v>0.14583333333333334</v>
      </c>
      <c r="T503" s="16">
        <f>IF('[1]P-GENERAL'!T503="","",'[1]P-GENERAL'!T503)</f>
        <v>0.20833333333333334</v>
      </c>
      <c r="U503" s="17">
        <f>IF('[1]P-GENERAL'!U503="","",'[1]P-GENERAL'!U503)</f>
        <v>46307.354166666672</v>
      </c>
      <c r="V503" s="14" t="str">
        <f>IF('[1]P-GENERAL'!V503="","",'[1]P-GENERAL'!V503)</f>
        <v/>
      </c>
      <c r="W503" s="16" t="str">
        <f>IF('[1]P-GENERAL'!W503="","",'[1]P-GENERAL'!W503)</f>
        <v/>
      </c>
      <c r="X503" s="14" t="str">
        <f>IF('[1]P-GENERAL'!X503="","",'[1]P-GENERAL'!X503)</f>
        <v>SI CUMPLE</v>
      </c>
      <c r="Y503" s="14" t="str">
        <f>IF('[1]P-GENERAL'!Y503="","",'[1]P-GENERAL'!Y503)</f>
        <v/>
      </c>
      <c r="Z503" s="14" t="str">
        <f>IF('[1]P-GENERAL'!Z503="","",'[1]P-GENERAL'!Z503)</f>
        <v/>
      </c>
      <c r="AA503" s="14" t="str">
        <f>IF('[1]P-GENERAL'!AA503="","",'[1]P-GENERAL'!AA503)</f>
        <v/>
      </c>
      <c r="AB503" s="8" t="str">
        <f>IF('[1]P-GENERAL'!AB503="","",'[1]P-GENERAL'!AB503)</f>
        <v/>
      </c>
      <c r="AC503" s="8" t="str">
        <f>IF('[1]P-GENERAL'!AC503="","",'[1]P-GENERAL'!AC503)</f>
        <v/>
      </c>
      <c r="AD503" t="str">
        <f>IF('[1]P-GENERAL'!AD503="","",'[1]P-GENERAL'!AD503)</f>
        <v/>
      </c>
      <c r="AE503" t="str">
        <f>IF('[1]P-GENERAL'!AE503="","",'[1]P-GENERAL'!AE503)</f>
        <v/>
      </c>
    </row>
    <row r="504" spans="1:31" ht="20.25" x14ac:dyDescent="0.3">
      <c r="A504" s="11" t="str">
        <f>IF('[1]P-GENERAL'!A504="","",'[1]P-GENERAL'!A504)</f>
        <v>Platano de Chiapas BAE UPC 3237</v>
      </c>
      <c r="B504" s="11" t="str">
        <f>IF('[1]P-GENERAL'!B504="","",'[1]P-GENERAL'!B504)</f>
        <v>CPR01114</v>
      </c>
      <c r="C504" t="str">
        <f>IF('[1]P-GENERAL'!C504="","",'[1]P-GENERAL'!C504)</f>
        <v>A01002-421210-1</v>
      </c>
      <c r="D504" t="str">
        <f>IF('[1]P-GENERAL'!D504="","",'[1]P-GENERAL'!D504)</f>
        <v>A01 002 Fortaleza</v>
      </c>
      <c r="E504" s="8" t="str">
        <f>IF('[1]P-GENERAL'!E504="","",'[1]P-GENERAL'!E504)</f>
        <v>Chalco</v>
      </c>
      <c r="F504" s="12">
        <f>IF('[1]P-GENERAL'!F504="","",'[1]P-GENERAL'!F504)</f>
        <v>78</v>
      </c>
      <c r="G504" s="13">
        <f>IF('[1]P-GENERAL'!G504="","",'[1]P-GENERAL'!G504)</f>
        <v>1.625</v>
      </c>
      <c r="H504" s="14">
        <f>IF('[1]P-GENERAL'!H504="","",'[1]P-GENERAL'!H504)</f>
        <v>46307</v>
      </c>
      <c r="I504">
        <f>IF('[1]P-GENERAL'!I504="","",'[1]P-GENERAL'!I504)</f>
        <v>42</v>
      </c>
      <c r="J504" s="15">
        <f>IF('[1]P-GENERAL'!J504="","",'[1]P-GENERAL'!J504)</f>
        <v>46311</v>
      </c>
      <c r="K504" s="14" t="str">
        <f>IF('[1]P-GENERAL'!K504="","",'[1]P-GENERAL'!K504)</f>
        <v/>
      </c>
      <c r="L504" s="14" t="str">
        <f>IF('[1]P-GENERAL'!L504="","",'[1]P-GENERAL'!L504)</f>
        <v>PREENFRIO FORTALEZA</v>
      </c>
      <c r="M504" t="str">
        <f>IF('[1]P-GENERAL'!M504="","",'[1]P-GENERAL'!M504)</f>
        <v/>
      </c>
      <c r="N504" t="str">
        <f>IF('[1]P-GENERAL'!N504="","",'[1]P-GENERAL'!N504)</f>
        <v/>
      </c>
      <c r="O504" s="14" t="str">
        <f>IF('[1]P-GENERAL'!O504="","",'[1]P-GENERAL'!O504)</f>
        <v/>
      </c>
      <c r="P504" s="16" t="str">
        <f>IF('[1]P-GENERAL'!P504="","",'[1]P-GENERAL'!P504)</f>
        <v/>
      </c>
      <c r="Q504" t="str">
        <f>IF('[1]P-GENERAL'!Q504="","",'[1]P-GENERAL'!Q504)</f>
        <v/>
      </c>
      <c r="R504" s="14" t="str">
        <f>IF('[1]P-GENERAL'!R504="","",'[1]P-GENERAL'!R504)</f>
        <v/>
      </c>
      <c r="S504" s="16" t="str">
        <f>IF('[1]P-GENERAL'!S504="","",'[1]P-GENERAL'!S504)</f>
        <v/>
      </c>
      <c r="T504" s="16" t="str">
        <f>IF('[1]P-GENERAL'!T504="","",'[1]P-GENERAL'!T504)</f>
        <v/>
      </c>
      <c r="U504" s="17" t="str">
        <f>IF('[1]P-GENERAL'!U504="","",'[1]P-GENERAL'!U504)</f>
        <v/>
      </c>
      <c r="V504" s="14" t="str">
        <f>IF('[1]P-GENERAL'!V504="","",'[1]P-GENERAL'!V504)</f>
        <v/>
      </c>
      <c r="W504" s="16" t="str">
        <f>IF('[1]P-GENERAL'!W504="","",'[1]P-GENERAL'!W504)</f>
        <v/>
      </c>
      <c r="X504" s="14" t="str">
        <f>IF('[1]P-GENERAL'!X504="","",'[1]P-GENERAL'!X504)</f>
        <v/>
      </c>
      <c r="Y504" s="14" t="str">
        <f>IF('[1]P-GENERAL'!Y504="","",'[1]P-GENERAL'!Y504)</f>
        <v/>
      </c>
      <c r="Z504" s="14" t="str">
        <f>IF('[1]P-GENERAL'!Z504="","",'[1]P-GENERAL'!Z504)</f>
        <v/>
      </c>
      <c r="AA504" s="14" t="str">
        <f>IF('[1]P-GENERAL'!AA504="","",'[1]P-GENERAL'!AA504)</f>
        <v/>
      </c>
      <c r="AB504" s="8" t="str">
        <f>IF('[1]P-GENERAL'!AB504="","",'[1]P-GENERAL'!AB504)</f>
        <v/>
      </c>
      <c r="AC504" s="8" t="str">
        <f>IF('[1]P-GENERAL'!AC504="","",'[1]P-GENERAL'!AC504)</f>
        <v/>
      </c>
      <c r="AD504" t="str">
        <f>IF('[1]P-GENERAL'!AD504="","",'[1]P-GENERAL'!AD504)</f>
        <v/>
      </c>
      <c r="AE504" t="str">
        <f>IF('[1]P-GENERAL'!AE504="","",'[1]P-GENERAL'!AE504)</f>
        <v/>
      </c>
    </row>
    <row r="505" spans="1:31" ht="20.25" x14ac:dyDescent="0.3">
      <c r="A505" s="11" t="str">
        <f>IF('[1]P-GENERAL'!A505="","",'[1]P-GENERAL'!A505)</f>
        <v>Chanitos Premium Tarima Chep</v>
      </c>
      <c r="B505" s="11" t="str">
        <f>IF('[1]P-GENERAL'!B505="","",'[1]P-GENERAL'!B505)</f>
        <v>CPR01102</v>
      </c>
      <c r="C505" t="str">
        <f>IF('[1]P-GENERAL'!C505="","",'[1]P-GENERAL'!C505)</f>
        <v>A01002-421210-1</v>
      </c>
      <c r="D505" t="str">
        <f>IF('[1]P-GENERAL'!D505="","",'[1]P-GENERAL'!D505)</f>
        <v>A01 002 Fortaleza</v>
      </c>
      <c r="E505" s="8" t="str">
        <f>IF('[1]P-GENERAL'!E505="","",'[1]P-GENERAL'!E505)</f>
        <v>Chalco</v>
      </c>
      <c r="F505" s="12">
        <f>IF('[1]P-GENERAL'!F505="","",'[1]P-GENERAL'!F505)</f>
        <v>18</v>
      </c>
      <c r="G505" s="13">
        <f>IF('[1]P-GENERAL'!G505="","",'[1]P-GENERAL'!G505)</f>
        <v>0.375</v>
      </c>
      <c r="H505" s="14">
        <f>IF('[1]P-GENERAL'!H505="","",'[1]P-GENERAL'!H505)</f>
        <v>46307</v>
      </c>
      <c r="I505">
        <f>IF('[1]P-GENERAL'!I505="","",'[1]P-GENERAL'!I505)</f>
        <v>42</v>
      </c>
      <c r="J505" s="15">
        <f>IF('[1]P-GENERAL'!J505="","",'[1]P-GENERAL'!J505)</f>
        <v>46311</v>
      </c>
      <c r="K505" s="14" t="str">
        <f>IF('[1]P-GENERAL'!K505="","",'[1]P-GENERAL'!K505)</f>
        <v/>
      </c>
      <c r="L505" s="14" t="str">
        <f>IF('[1]P-GENERAL'!L505="","",'[1]P-GENERAL'!L505)</f>
        <v>PREENFRIO FORTALEZA</v>
      </c>
      <c r="M505" t="str">
        <f>IF('[1]P-GENERAL'!M505="","",'[1]P-GENERAL'!M505)</f>
        <v/>
      </c>
      <c r="N505" t="str">
        <f>IF('[1]P-GENERAL'!N505="","",'[1]P-GENERAL'!N505)</f>
        <v/>
      </c>
      <c r="O505" s="14" t="str">
        <f>IF('[1]P-GENERAL'!O505="","",'[1]P-GENERAL'!O505)</f>
        <v/>
      </c>
      <c r="P505" s="16" t="str">
        <f>IF('[1]P-GENERAL'!P505="","",'[1]P-GENERAL'!P505)</f>
        <v/>
      </c>
      <c r="Q505" t="str">
        <f>IF('[1]P-GENERAL'!Q505="","",'[1]P-GENERAL'!Q505)</f>
        <v/>
      </c>
      <c r="R505" s="14" t="str">
        <f>IF('[1]P-GENERAL'!R505="","",'[1]P-GENERAL'!R505)</f>
        <v/>
      </c>
      <c r="S505" s="16" t="str">
        <f>IF('[1]P-GENERAL'!S505="","",'[1]P-GENERAL'!S505)</f>
        <v/>
      </c>
      <c r="T505" s="16" t="str">
        <f>IF('[1]P-GENERAL'!T505="","",'[1]P-GENERAL'!T505)</f>
        <v/>
      </c>
      <c r="U505" s="17" t="str">
        <f>IF('[1]P-GENERAL'!U505="","",'[1]P-GENERAL'!U505)</f>
        <v/>
      </c>
      <c r="V505" s="14" t="str">
        <f>IF('[1]P-GENERAL'!V505="","",'[1]P-GENERAL'!V505)</f>
        <v/>
      </c>
      <c r="W505" s="16" t="str">
        <f>IF('[1]P-GENERAL'!W505="","",'[1]P-GENERAL'!W505)</f>
        <v/>
      </c>
      <c r="X505" s="14" t="str">
        <f>IF('[1]P-GENERAL'!X505="","",'[1]P-GENERAL'!X505)</f>
        <v/>
      </c>
      <c r="Y505" s="14" t="str">
        <f>IF('[1]P-GENERAL'!Y505="","",'[1]P-GENERAL'!Y505)</f>
        <v/>
      </c>
      <c r="Z505" s="14" t="str">
        <f>IF('[1]P-GENERAL'!Z505="","",'[1]P-GENERAL'!Z505)</f>
        <v/>
      </c>
      <c r="AA505" s="14" t="str">
        <f>IF('[1]P-GENERAL'!AA505="","",'[1]P-GENERAL'!AA505)</f>
        <v/>
      </c>
      <c r="AB505" s="8" t="str">
        <f>IF('[1]P-GENERAL'!AB505="","",'[1]P-GENERAL'!AB505)</f>
        <v/>
      </c>
      <c r="AC505" s="8" t="str">
        <f>IF('[1]P-GENERAL'!AC505="","",'[1]P-GENERAL'!AC505)</f>
        <v/>
      </c>
      <c r="AD505" t="str">
        <f>IF('[1]P-GENERAL'!AD505="","",'[1]P-GENERAL'!AD505)</f>
        <v/>
      </c>
      <c r="AE505" t="str">
        <f>IF('[1]P-GENERAL'!AE505="","",'[1]P-GENERAL'!AE505)</f>
        <v/>
      </c>
    </row>
    <row r="506" spans="1:31" ht="20.25" x14ac:dyDescent="0.3">
      <c r="A506" s="11" t="str">
        <f>IF('[1]P-GENERAL'!A506="","",'[1]P-GENERAL'!A506)</f>
        <v>Chanitos Premium Tarima Chep</v>
      </c>
      <c r="B506" s="11" t="str">
        <f>IF('[1]P-GENERAL'!B506="","",'[1]P-GENERAL'!B506)</f>
        <v>CPR01102</v>
      </c>
      <c r="C506" t="str">
        <f>IF('[1]P-GENERAL'!C506="","",'[1]P-GENERAL'!C506)</f>
        <v>A01002-421210-1</v>
      </c>
      <c r="D506" t="str">
        <f>IF('[1]P-GENERAL'!D506="","",'[1]P-GENERAL'!D506)</f>
        <v>A01 002 Fortaleza</v>
      </c>
      <c r="E506" s="8" t="str">
        <f>IF('[1]P-GENERAL'!E506="","",'[1]P-GENERAL'!E506)</f>
        <v>Chalco</v>
      </c>
      <c r="F506" s="12">
        <f>IF('[1]P-GENERAL'!F506="","",'[1]P-GENERAL'!F506)</f>
        <v>1056</v>
      </c>
      <c r="G506" s="13">
        <f>IF('[1]P-GENERAL'!G506="","",'[1]P-GENERAL'!G506)</f>
        <v>22</v>
      </c>
      <c r="H506" s="14">
        <f>IF('[1]P-GENERAL'!H506="","",'[1]P-GENERAL'!H506)</f>
        <v>46307</v>
      </c>
      <c r="I506">
        <f>IF('[1]P-GENERAL'!I506="","",'[1]P-GENERAL'!I506)</f>
        <v>42</v>
      </c>
      <c r="J506" s="15">
        <f>IF('[1]P-GENERAL'!J506="","",'[1]P-GENERAL'!J506)</f>
        <v>46311</v>
      </c>
      <c r="K506" s="14" t="str">
        <f>IF('[1]P-GENERAL'!K506="","",'[1]P-GENERAL'!K506)</f>
        <v/>
      </c>
      <c r="L506" s="14" t="str">
        <f>IF('[1]P-GENERAL'!L506="","",'[1]P-GENERAL'!L506)</f>
        <v>PREENFRIO FORTALEZA</v>
      </c>
      <c r="M506" t="str">
        <f>IF('[1]P-GENERAL'!M506="","",'[1]P-GENERAL'!M506)</f>
        <v/>
      </c>
      <c r="N506" t="str">
        <f>IF('[1]P-GENERAL'!N506="","",'[1]P-GENERAL'!N506)</f>
        <v/>
      </c>
      <c r="O506" s="14" t="str">
        <f>IF('[1]P-GENERAL'!O506="","",'[1]P-GENERAL'!O506)</f>
        <v/>
      </c>
      <c r="P506" s="16" t="str">
        <f>IF('[1]P-GENERAL'!P506="","",'[1]P-GENERAL'!P506)</f>
        <v/>
      </c>
      <c r="Q506" t="str">
        <f>IF('[1]P-GENERAL'!Q506="","",'[1]P-GENERAL'!Q506)</f>
        <v/>
      </c>
      <c r="R506" s="14" t="str">
        <f>IF('[1]P-GENERAL'!R506="","",'[1]P-GENERAL'!R506)</f>
        <v/>
      </c>
      <c r="S506" s="16" t="str">
        <f>IF('[1]P-GENERAL'!S506="","",'[1]P-GENERAL'!S506)</f>
        <v/>
      </c>
      <c r="T506" s="16" t="str">
        <f>IF('[1]P-GENERAL'!T506="","",'[1]P-GENERAL'!T506)</f>
        <v/>
      </c>
      <c r="U506" s="17" t="str">
        <f>IF('[1]P-GENERAL'!U506="","",'[1]P-GENERAL'!U506)</f>
        <v/>
      </c>
      <c r="V506" s="14" t="str">
        <f>IF('[1]P-GENERAL'!V506="","",'[1]P-GENERAL'!V506)</f>
        <v/>
      </c>
      <c r="W506" s="16" t="str">
        <f>IF('[1]P-GENERAL'!W506="","",'[1]P-GENERAL'!W506)</f>
        <v/>
      </c>
      <c r="X506" s="14" t="str">
        <f>IF('[1]P-GENERAL'!X506="","",'[1]P-GENERAL'!X506)</f>
        <v/>
      </c>
      <c r="Y506" s="14" t="str">
        <f>IF('[1]P-GENERAL'!Y506="","",'[1]P-GENERAL'!Y506)</f>
        <v/>
      </c>
      <c r="Z506" s="14" t="str">
        <f>IF('[1]P-GENERAL'!Z506="","",'[1]P-GENERAL'!Z506)</f>
        <v/>
      </c>
      <c r="AA506" s="14" t="str">
        <f>IF('[1]P-GENERAL'!AA506="","",'[1]P-GENERAL'!AA506)</f>
        <v/>
      </c>
      <c r="AB506" s="8" t="str">
        <f>IF('[1]P-GENERAL'!AB506="","",'[1]P-GENERAL'!AB506)</f>
        <v/>
      </c>
      <c r="AC506" s="8" t="str">
        <f>IF('[1]P-GENERAL'!AC506="","",'[1]P-GENERAL'!AC506)</f>
        <v/>
      </c>
      <c r="AD506" t="str">
        <f>IF('[1]P-GENERAL'!AD506="","",'[1]P-GENERAL'!AD506)</f>
        <v/>
      </c>
      <c r="AE506" t="str">
        <f>IF('[1]P-GENERAL'!AE506="","",'[1]P-GENERAL'!AE506)</f>
        <v/>
      </c>
    </row>
    <row r="507" spans="1:31" ht="20.25" x14ac:dyDescent="0.3">
      <c r="A507" s="11" t="str">
        <f>IF('[1]P-GENERAL'!A507="","",'[1]P-GENERAL'!A507)</f>
        <v>Platano de Chiapas BAE UPC 3237</v>
      </c>
      <c r="B507" s="11" t="str">
        <f>IF('[1]P-GENERAL'!B507="","",'[1]P-GENERAL'!B507)</f>
        <v>CPR01114</v>
      </c>
      <c r="C507" t="str">
        <f>IF('[1]P-GENERAL'!C507="","",'[1]P-GENERAL'!C507)</f>
        <v>A01002-421210-1</v>
      </c>
      <c r="D507" t="str">
        <f>IF('[1]P-GENERAL'!D507="","",'[1]P-GENERAL'!D507)</f>
        <v>A01 002 Fortaleza</v>
      </c>
      <c r="E507" s="8" t="str">
        <f>IF('[1]P-GENERAL'!E507="","",'[1]P-GENERAL'!E507)</f>
        <v>Chalco</v>
      </c>
      <c r="F507" s="12">
        <f>IF('[1]P-GENERAL'!F507="","",'[1]P-GENERAL'!F507)</f>
        <v>60</v>
      </c>
      <c r="G507" s="13">
        <f>IF('[1]P-GENERAL'!G507="","",'[1]P-GENERAL'!G507)</f>
        <v>1.25</v>
      </c>
      <c r="H507" s="14">
        <f>IF('[1]P-GENERAL'!H507="","",'[1]P-GENERAL'!H507)</f>
        <v>46307</v>
      </c>
      <c r="I507">
        <f>IF('[1]P-GENERAL'!I507="","",'[1]P-GENERAL'!I507)</f>
        <v>42</v>
      </c>
      <c r="J507" s="15">
        <f>IF('[1]P-GENERAL'!J507="","",'[1]P-GENERAL'!J507)</f>
        <v>46312</v>
      </c>
      <c r="K507" s="14" t="str">
        <f>IF('[1]P-GENERAL'!K507="","",'[1]P-GENERAL'!K507)</f>
        <v/>
      </c>
      <c r="L507" s="14" t="str">
        <f>IF('[1]P-GENERAL'!L507="","",'[1]P-GENERAL'!L507)</f>
        <v>PREENFRIO FORTALEZA</v>
      </c>
      <c r="M507" t="str">
        <f>IF('[1]P-GENERAL'!M507="","",'[1]P-GENERAL'!M507)</f>
        <v/>
      </c>
      <c r="N507" t="str">
        <f>IF('[1]P-GENERAL'!N507="","",'[1]P-GENERAL'!N507)</f>
        <v/>
      </c>
      <c r="O507" s="14" t="str">
        <f>IF('[1]P-GENERAL'!O507="","",'[1]P-GENERAL'!O507)</f>
        <v/>
      </c>
      <c r="P507" s="16" t="str">
        <f>IF('[1]P-GENERAL'!P507="","",'[1]P-GENERAL'!P507)</f>
        <v/>
      </c>
      <c r="Q507" t="str">
        <f>IF('[1]P-GENERAL'!Q507="","",'[1]P-GENERAL'!Q507)</f>
        <v/>
      </c>
      <c r="R507" s="14" t="str">
        <f>IF('[1]P-GENERAL'!R507="","",'[1]P-GENERAL'!R507)</f>
        <v/>
      </c>
      <c r="S507" s="16" t="str">
        <f>IF('[1]P-GENERAL'!S507="","",'[1]P-GENERAL'!S507)</f>
        <v/>
      </c>
      <c r="T507" s="16" t="str">
        <f>IF('[1]P-GENERAL'!T507="","",'[1]P-GENERAL'!T507)</f>
        <v/>
      </c>
      <c r="U507" s="17" t="str">
        <f>IF('[1]P-GENERAL'!U507="","",'[1]P-GENERAL'!U507)</f>
        <v/>
      </c>
      <c r="V507" s="14" t="str">
        <f>IF('[1]P-GENERAL'!V507="","",'[1]P-GENERAL'!V507)</f>
        <v/>
      </c>
      <c r="W507" s="16" t="str">
        <f>IF('[1]P-GENERAL'!W507="","",'[1]P-GENERAL'!W507)</f>
        <v/>
      </c>
      <c r="X507" s="14" t="str">
        <f>IF('[1]P-GENERAL'!X507="","",'[1]P-GENERAL'!X507)</f>
        <v/>
      </c>
      <c r="Y507" s="14" t="str">
        <f>IF('[1]P-GENERAL'!Y507="","",'[1]P-GENERAL'!Y507)</f>
        <v/>
      </c>
      <c r="Z507" s="14" t="str">
        <f>IF('[1]P-GENERAL'!Z507="","",'[1]P-GENERAL'!Z507)</f>
        <v/>
      </c>
      <c r="AA507" s="14" t="str">
        <f>IF('[1]P-GENERAL'!AA507="","",'[1]P-GENERAL'!AA507)</f>
        <v/>
      </c>
      <c r="AB507" s="8" t="str">
        <f>IF('[1]P-GENERAL'!AB507="","",'[1]P-GENERAL'!AB507)</f>
        <v/>
      </c>
      <c r="AC507" s="8" t="str">
        <f>IF('[1]P-GENERAL'!AC507="","",'[1]P-GENERAL'!AC507)</f>
        <v/>
      </c>
      <c r="AD507" t="str">
        <f>IF('[1]P-GENERAL'!AD507="","",'[1]P-GENERAL'!AD507)</f>
        <v/>
      </c>
      <c r="AE507" t="str">
        <f>IF('[1]P-GENERAL'!AE507="","",'[1]P-GENERAL'!AE507)</f>
        <v/>
      </c>
    </row>
    <row r="508" spans="1:31" ht="20.25" x14ac:dyDescent="0.3">
      <c r="A508" s="11" t="str">
        <f>IF('[1]P-GENERAL'!A508="","",'[1]P-GENERAL'!A508)</f>
        <v>Chanitos Premium Tarima Chep</v>
      </c>
      <c r="B508" s="11" t="str">
        <f>IF('[1]P-GENERAL'!B508="","",'[1]P-GENERAL'!B508)</f>
        <v>CPR01102</v>
      </c>
      <c r="C508" t="str">
        <f>IF('[1]P-GENERAL'!C508="","",'[1]P-GENERAL'!C508)</f>
        <v>A01002-421210-1</v>
      </c>
      <c r="D508" t="str">
        <f>IF('[1]P-GENERAL'!D508="","",'[1]P-GENERAL'!D508)</f>
        <v>A01 002 Fortaleza</v>
      </c>
      <c r="E508" s="8" t="str">
        <f>IF('[1]P-GENERAL'!E508="","",'[1]P-GENERAL'!E508)</f>
        <v>Chalco</v>
      </c>
      <c r="F508" s="12">
        <f>IF('[1]P-GENERAL'!F508="","",'[1]P-GENERAL'!F508)</f>
        <v>36</v>
      </c>
      <c r="G508" s="13">
        <f>IF('[1]P-GENERAL'!G508="","",'[1]P-GENERAL'!G508)</f>
        <v>0.75</v>
      </c>
      <c r="H508" s="14">
        <f>IF('[1]P-GENERAL'!H508="","",'[1]P-GENERAL'!H508)</f>
        <v>46307</v>
      </c>
      <c r="I508">
        <f>IF('[1]P-GENERAL'!I508="","",'[1]P-GENERAL'!I508)</f>
        <v>42</v>
      </c>
      <c r="J508" s="15">
        <f>IF('[1]P-GENERAL'!J508="","",'[1]P-GENERAL'!J508)</f>
        <v>46312</v>
      </c>
      <c r="K508" s="14" t="str">
        <f>IF('[1]P-GENERAL'!K508="","",'[1]P-GENERAL'!K508)</f>
        <v/>
      </c>
      <c r="L508" s="14" t="str">
        <f>IF('[1]P-GENERAL'!L508="","",'[1]P-GENERAL'!L508)</f>
        <v>PREENFRIO FORTALEZA</v>
      </c>
      <c r="M508" t="str">
        <f>IF('[1]P-GENERAL'!M508="","",'[1]P-GENERAL'!M508)</f>
        <v/>
      </c>
      <c r="N508" t="str">
        <f>IF('[1]P-GENERAL'!N508="","",'[1]P-GENERAL'!N508)</f>
        <v/>
      </c>
      <c r="O508" s="14" t="str">
        <f>IF('[1]P-GENERAL'!O508="","",'[1]P-GENERAL'!O508)</f>
        <v/>
      </c>
      <c r="P508" s="16" t="str">
        <f>IF('[1]P-GENERAL'!P508="","",'[1]P-GENERAL'!P508)</f>
        <v/>
      </c>
      <c r="Q508" t="str">
        <f>IF('[1]P-GENERAL'!Q508="","",'[1]P-GENERAL'!Q508)</f>
        <v/>
      </c>
      <c r="R508" s="14" t="str">
        <f>IF('[1]P-GENERAL'!R508="","",'[1]P-GENERAL'!R508)</f>
        <v/>
      </c>
      <c r="S508" s="16" t="str">
        <f>IF('[1]P-GENERAL'!S508="","",'[1]P-GENERAL'!S508)</f>
        <v/>
      </c>
      <c r="T508" s="16" t="str">
        <f>IF('[1]P-GENERAL'!T508="","",'[1]P-GENERAL'!T508)</f>
        <v/>
      </c>
      <c r="U508" s="17" t="str">
        <f>IF('[1]P-GENERAL'!U508="","",'[1]P-GENERAL'!U508)</f>
        <v/>
      </c>
      <c r="V508" s="14" t="str">
        <f>IF('[1]P-GENERAL'!V508="","",'[1]P-GENERAL'!V508)</f>
        <v/>
      </c>
      <c r="W508" s="16" t="str">
        <f>IF('[1]P-GENERAL'!W508="","",'[1]P-GENERAL'!W508)</f>
        <v/>
      </c>
      <c r="X508" s="14" t="str">
        <f>IF('[1]P-GENERAL'!X508="","",'[1]P-GENERAL'!X508)</f>
        <v/>
      </c>
      <c r="Y508" s="14" t="str">
        <f>IF('[1]P-GENERAL'!Y508="","",'[1]P-GENERAL'!Y508)</f>
        <v/>
      </c>
      <c r="Z508" s="14" t="str">
        <f>IF('[1]P-GENERAL'!Z508="","",'[1]P-GENERAL'!Z508)</f>
        <v/>
      </c>
      <c r="AA508" s="14" t="str">
        <f>IF('[1]P-GENERAL'!AA508="","",'[1]P-GENERAL'!AA508)</f>
        <v/>
      </c>
      <c r="AB508" s="8" t="str">
        <f>IF('[1]P-GENERAL'!AB508="","",'[1]P-GENERAL'!AB508)</f>
        <v/>
      </c>
      <c r="AC508" s="8" t="str">
        <f>IF('[1]P-GENERAL'!AC508="","",'[1]P-GENERAL'!AC508)</f>
        <v/>
      </c>
      <c r="AD508" t="str">
        <f>IF('[1]P-GENERAL'!AD508="","",'[1]P-GENERAL'!AD508)</f>
        <v/>
      </c>
      <c r="AE508" t="str">
        <f>IF('[1]P-GENERAL'!AE508="","",'[1]P-GENERAL'!AE508)</f>
        <v/>
      </c>
    </row>
    <row r="509" spans="1:31" ht="20.25" x14ac:dyDescent="0.3">
      <c r="A509" s="11" t="str">
        <f>IF('[1]P-GENERAL'!A509="","",'[1]P-GENERAL'!A509)</f>
        <v>Chanitos Premium Tarima Chep</v>
      </c>
      <c r="B509" s="11" t="str">
        <f>IF('[1]P-GENERAL'!B509="","",'[1]P-GENERAL'!B509)</f>
        <v>CPR01102</v>
      </c>
      <c r="C509" t="str">
        <f>IF('[1]P-GENERAL'!C509="","",'[1]P-GENERAL'!C509)</f>
        <v>A01002-421210-1</v>
      </c>
      <c r="D509" t="str">
        <f>IF('[1]P-GENERAL'!D509="","",'[1]P-GENERAL'!D509)</f>
        <v>A01 002 Fortaleza</v>
      </c>
      <c r="E509" s="8" t="str">
        <f>IF('[1]P-GENERAL'!E509="","",'[1]P-GENERAL'!E509)</f>
        <v>Chalco</v>
      </c>
      <c r="F509" s="12">
        <f>IF('[1]P-GENERAL'!F509="","",'[1]P-GENERAL'!F509)</f>
        <v>48</v>
      </c>
      <c r="G509" s="13">
        <f>IF('[1]P-GENERAL'!G509="","",'[1]P-GENERAL'!G509)</f>
        <v>1</v>
      </c>
      <c r="H509" s="14">
        <f>IF('[1]P-GENERAL'!H509="","",'[1]P-GENERAL'!H509)</f>
        <v>46307</v>
      </c>
      <c r="I509">
        <f>IF('[1]P-GENERAL'!I509="","",'[1]P-GENERAL'!I509)</f>
        <v>42</v>
      </c>
      <c r="J509" s="15">
        <f>IF('[1]P-GENERAL'!J509="","",'[1]P-GENERAL'!J509)</f>
        <v>46312</v>
      </c>
      <c r="K509" s="14" t="str">
        <f>IF('[1]P-GENERAL'!K509="","",'[1]P-GENERAL'!K509)</f>
        <v/>
      </c>
      <c r="L509" s="14" t="str">
        <f>IF('[1]P-GENERAL'!L509="","",'[1]P-GENERAL'!L509)</f>
        <v>PREENFRIO FORTALEZA</v>
      </c>
      <c r="M509" t="str">
        <f>IF('[1]P-GENERAL'!M509="","",'[1]P-GENERAL'!M509)</f>
        <v/>
      </c>
      <c r="N509" t="str">
        <f>IF('[1]P-GENERAL'!N509="","",'[1]P-GENERAL'!N509)</f>
        <v/>
      </c>
      <c r="O509" s="14" t="str">
        <f>IF('[1]P-GENERAL'!O509="","",'[1]P-GENERAL'!O509)</f>
        <v/>
      </c>
      <c r="P509" s="16" t="str">
        <f>IF('[1]P-GENERAL'!P509="","",'[1]P-GENERAL'!P509)</f>
        <v/>
      </c>
      <c r="Q509" t="str">
        <f>IF('[1]P-GENERAL'!Q509="","",'[1]P-GENERAL'!Q509)</f>
        <v/>
      </c>
      <c r="R509" s="14" t="str">
        <f>IF('[1]P-GENERAL'!R509="","",'[1]P-GENERAL'!R509)</f>
        <v/>
      </c>
      <c r="S509" s="16" t="str">
        <f>IF('[1]P-GENERAL'!S509="","",'[1]P-GENERAL'!S509)</f>
        <v/>
      </c>
      <c r="T509" s="16" t="str">
        <f>IF('[1]P-GENERAL'!T509="","",'[1]P-GENERAL'!T509)</f>
        <v/>
      </c>
      <c r="U509" s="17" t="str">
        <f>IF('[1]P-GENERAL'!U509="","",'[1]P-GENERAL'!U509)</f>
        <v/>
      </c>
      <c r="V509" s="14" t="str">
        <f>IF('[1]P-GENERAL'!V509="","",'[1]P-GENERAL'!V509)</f>
        <v/>
      </c>
      <c r="W509" s="16" t="str">
        <f>IF('[1]P-GENERAL'!W509="","",'[1]P-GENERAL'!W509)</f>
        <v/>
      </c>
      <c r="X509" s="14" t="str">
        <f>IF('[1]P-GENERAL'!X509="","",'[1]P-GENERAL'!X509)</f>
        <v/>
      </c>
      <c r="Y509" s="14" t="str">
        <f>IF('[1]P-GENERAL'!Y509="","",'[1]P-GENERAL'!Y509)</f>
        <v/>
      </c>
      <c r="Z509" s="14" t="str">
        <f>IF('[1]P-GENERAL'!Z509="","",'[1]P-GENERAL'!Z509)</f>
        <v/>
      </c>
      <c r="AA509" s="14" t="str">
        <f>IF('[1]P-GENERAL'!AA509="","",'[1]P-GENERAL'!AA509)</f>
        <v/>
      </c>
      <c r="AB509" s="8" t="str">
        <f>IF('[1]P-GENERAL'!AB509="","",'[1]P-GENERAL'!AB509)</f>
        <v/>
      </c>
      <c r="AC509" s="8" t="str">
        <f>IF('[1]P-GENERAL'!AC509="","",'[1]P-GENERAL'!AC509)</f>
        <v/>
      </c>
      <c r="AD509" t="str">
        <f>IF('[1]P-GENERAL'!AD509="","",'[1]P-GENERAL'!AD509)</f>
        <v/>
      </c>
      <c r="AE509" t="str">
        <f>IF('[1]P-GENERAL'!AE509="","",'[1]P-GENERAL'!AE509)</f>
        <v/>
      </c>
    </row>
    <row r="510" spans="1:31" ht="20.25" x14ac:dyDescent="0.3">
      <c r="A510" s="11" t="str">
        <f>IF('[1]P-GENERAL'!A510="","",'[1]P-GENERAL'!A510)</f>
        <v/>
      </c>
      <c r="B510" s="11" t="str">
        <f>IF('[1]P-GENERAL'!B510="","",'[1]P-GENERAL'!B510)</f>
        <v/>
      </c>
      <c r="C510" t="str">
        <f>IF('[1]P-GENERAL'!C510="","",'[1]P-GENERAL'!C510)</f>
        <v/>
      </c>
      <c r="D510" t="str">
        <f>IF('[1]P-GENERAL'!D510="","",'[1]P-GENERAL'!D510)</f>
        <v/>
      </c>
      <c r="E510" s="8" t="str">
        <f>IF('[1]P-GENERAL'!E510="","",'[1]P-GENERAL'!E510)</f>
        <v/>
      </c>
      <c r="F510" s="12" t="str">
        <f>IF('[1]P-GENERAL'!F510="","",'[1]P-GENERAL'!F510)</f>
        <v/>
      </c>
      <c r="G510" s="13" t="str">
        <f>IF('[1]P-GENERAL'!G510="","",'[1]P-GENERAL'!G510)</f>
        <v/>
      </c>
      <c r="H510" s="14" t="str">
        <f>IF('[1]P-GENERAL'!H510="","",'[1]P-GENERAL'!H510)</f>
        <v/>
      </c>
      <c r="I510" t="str">
        <f>IF('[1]P-GENERAL'!I510="","",'[1]P-GENERAL'!I510)</f>
        <v/>
      </c>
      <c r="J510" s="15" t="str">
        <f>IF('[1]P-GENERAL'!J510="","",'[1]P-GENERAL'!J510)</f>
        <v/>
      </c>
      <c r="K510" s="14" t="str">
        <f>IF('[1]P-GENERAL'!K510="","",'[1]P-GENERAL'!K510)</f>
        <v/>
      </c>
      <c r="L510" s="14" t="str">
        <f>IF('[1]P-GENERAL'!L510="","",'[1]P-GENERAL'!L510)</f>
        <v/>
      </c>
      <c r="M510" t="str">
        <f>IF('[1]P-GENERAL'!M510="","",'[1]P-GENERAL'!M510)</f>
        <v/>
      </c>
      <c r="N510" t="str">
        <f>IF('[1]P-GENERAL'!N510="","",'[1]P-GENERAL'!N510)</f>
        <v/>
      </c>
      <c r="O510" s="14" t="str">
        <f>IF('[1]P-GENERAL'!O510="","",'[1]P-GENERAL'!O510)</f>
        <v/>
      </c>
      <c r="P510" s="16" t="str">
        <f>IF('[1]P-GENERAL'!P510="","",'[1]P-GENERAL'!P510)</f>
        <v/>
      </c>
      <c r="Q510" t="str">
        <f>IF('[1]P-GENERAL'!Q510="","",'[1]P-GENERAL'!Q510)</f>
        <v/>
      </c>
      <c r="R510" s="14" t="str">
        <f>IF('[1]P-GENERAL'!R510="","",'[1]P-GENERAL'!R510)</f>
        <v/>
      </c>
      <c r="S510" s="16" t="str">
        <f>IF('[1]P-GENERAL'!S510="","",'[1]P-GENERAL'!S510)</f>
        <v/>
      </c>
      <c r="T510" s="16" t="str">
        <f>IF('[1]P-GENERAL'!T510="","",'[1]P-GENERAL'!T510)</f>
        <v/>
      </c>
      <c r="U510" s="17" t="str">
        <f>IF('[1]P-GENERAL'!U510="","",'[1]P-GENERAL'!U510)</f>
        <v/>
      </c>
      <c r="V510" s="14" t="str">
        <f>IF('[1]P-GENERAL'!V510="","",'[1]P-GENERAL'!V510)</f>
        <v/>
      </c>
      <c r="W510" s="16" t="str">
        <f>IF('[1]P-GENERAL'!W510="","",'[1]P-GENERAL'!W510)</f>
        <v/>
      </c>
      <c r="X510" s="14" t="str">
        <f>IF('[1]P-GENERAL'!X510="","",'[1]P-GENERAL'!X510)</f>
        <v/>
      </c>
      <c r="Y510" s="14" t="str">
        <f>IF('[1]P-GENERAL'!Y510="","",'[1]P-GENERAL'!Y510)</f>
        <v/>
      </c>
      <c r="Z510" s="14" t="str">
        <f>IF('[1]P-GENERAL'!Z510="","",'[1]P-GENERAL'!Z510)</f>
        <v/>
      </c>
      <c r="AA510" s="14" t="str">
        <f>IF('[1]P-GENERAL'!AA510="","",'[1]P-GENERAL'!AA510)</f>
        <v/>
      </c>
      <c r="AB510" s="8" t="str">
        <f>IF('[1]P-GENERAL'!AB510="","",'[1]P-GENERAL'!AB510)</f>
        <v/>
      </c>
      <c r="AC510" s="8" t="str">
        <f>IF('[1]P-GENERAL'!AC510="","",'[1]P-GENERAL'!AC510)</f>
        <v/>
      </c>
      <c r="AD510" t="str">
        <f>IF('[1]P-GENERAL'!AD510="","",'[1]P-GENERAL'!AD510)</f>
        <v/>
      </c>
      <c r="AE510" t="str">
        <f>IF('[1]P-GENERAL'!AE510="","",'[1]P-GENERAL'!AE510)</f>
        <v/>
      </c>
    </row>
    <row r="511" spans="1:31" ht="20.25" x14ac:dyDescent="0.3">
      <c r="A511" s="11" t="str">
        <f>IF('[1]P-GENERAL'!A511="","",'[1]P-GENERAL'!A511)</f>
        <v/>
      </c>
      <c r="B511" s="11" t="str">
        <f>IF('[1]P-GENERAL'!B511="","",'[1]P-GENERAL'!B511)</f>
        <v/>
      </c>
      <c r="C511" t="str">
        <f>IF('[1]P-GENERAL'!C511="","",'[1]P-GENERAL'!C511)</f>
        <v/>
      </c>
      <c r="D511" t="str">
        <f>IF('[1]P-GENERAL'!D511="","",'[1]P-GENERAL'!D511)</f>
        <v/>
      </c>
      <c r="E511" s="8" t="str">
        <f>IF('[1]P-GENERAL'!E511="","",'[1]P-GENERAL'!E511)</f>
        <v/>
      </c>
      <c r="F511" s="12" t="str">
        <f>IF('[1]P-GENERAL'!F511="","",'[1]P-GENERAL'!F511)</f>
        <v/>
      </c>
      <c r="G511" s="13" t="str">
        <f>IF('[1]P-GENERAL'!G511="","",'[1]P-GENERAL'!G511)</f>
        <v/>
      </c>
      <c r="H511" s="14" t="str">
        <f>IF('[1]P-GENERAL'!H511="","",'[1]P-GENERAL'!H511)</f>
        <v/>
      </c>
      <c r="I511" t="str">
        <f>IF('[1]P-GENERAL'!I511="","",'[1]P-GENERAL'!I511)</f>
        <v/>
      </c>
      <c r="J511" s="15" t="str">
        <f>IF('[1]P-GENERAL'!J511="","",'[1]P-GENERAL'!J511)</f>
        <v/>
      </c>
      <c r="K511" s="14" t="str">
        <f>IF('[1]P-GENERAL'!K511="","",'[1]P-GENERAL'!K511)</f>
        <v/>
      </c>
      <c r="L511" s="14" t="str">
        <f>IF('[1]P-GENERAL'!L511="","",'[1]P-GENERAL'!L511)</f>
        <v/>
      </c>
      <c r="M511" t="str">
        <f>IF('[1]P-GENERAL'!M511="","",'[1]P-GENERAL'!M511)</f>
        <v/>
      </c>
      <c r="N511" t="str">
        <f>IF('[1]P-GENERAL'!N511="","",'[1]P-GENERAL'!N511)</f>
        <v/>
      </c>
      <c r="O511" s="14" t="str">
        <f>IF('[1]P-GENERAL'!O511="","",'[1]P-GENERAL'!O511)</f>
        <v/>
      </c>
      <c r="P511" s="16" t="str">
        <f>IF('[1]P-GENERAL'!P511="","",'[1]P-GENERAL'!P511)</f>
        <v/>
      </c>
      <c r="Q511" t="str">
        <f>IF('[1]P-GENERAL'!Q511="","",'[1]P-GENERAL'!Q511)</f>
        <v/>
      </c>
      <c r="R511" s="14" t="str">
        <f>IF('[1]P-GENERAL'!R511="","",'[1]P-GENERAL'!R511)</f>
        <v/>
      </c>
      <c r="S511" s="16" t="str">
        <f>IF('[1]P-GENERAL'!S511="","",'[1]P-GENERAL'!S511)</f>
        <v/>
      </c>
      <c r="T511" s="16" t="str">
        <f>IF('[1]P-GENERAL'!T511="","",'[1]P-GENERAL'!T511)</f>
        <v/>
      </c>
      <c r="U511" s="17" t="str">
        <f>IF('[1]P-GENERAL'!U511="","",'[1]P-GENERAL'!U511)</f>
        <v/>
      </c>
      <c r="V511" s="14" t="str">
        <f>IF('[1]P-GENERAL'!V511="","",'[1]P-GENERAL'!V511)</f>
        <v/>
      </c>
      <c r="W511" s="16" t="str">
        <f>IF('[1]P-GENERAL'!W511="","",'[1]P-GENERAL'!W511)</f>
        <v/>
      </c>
      <c r="X511" s="14" t="str">
        <f>IF('[1]P-GENERAL'!X511="","",'[1]P-GENERAL'!X511)</f>
        <v/>
      </c>
      <c r="Y511" s="14" t="str">
        <f>IF('[1]P-GENERAL'!Y511="","",'[1]P-GENERAL'!Y511)</f>
        <v/>
      </c>
      <c r="Z511" s="14" t="str">
        <f>IF('[1]P-GENERAL'!Z511="","",'[1]P-GENERAL'!Z511)</f>
        <v/>
      </c>
      <c r="AA511" s="14" t="str">
        <f>IF('[1]P-GENERAL'!AA511="","",'[1]P-GENERAL'!AA511)</f>
        <v/>
      </c>
      <c r="AB511" s="8" t="str">
        <f>IF('[1]P-GENERAL'!AB511="","",'[1]P-GENERAL'!AB511)</f>
        <v/>
      </c>
      <c r="AC511" s="8" t="str">
        <f>IF('[1]P-GENERAL'!AC511="","",'[1]P-GENERAL'!AC511)</f>
        <v/>
      </c>
      <c r="AD511" t="str">
        <f>IF('[1]P-GENERAL'!AD511="","",'[1]P-GENERAL'!AD511)</f>
        <v/>
      </c>
      <c r="AE511" t="str">
        <f>IF('[1]P-GENERAL'!AE511="","",'[1]P-GENERAL'!AE511)</f>
        <v/>
      </c>
    </row>
    <row r="512" spans="1:31" ht="20.25" x14ac:dyDescent="0.3">
      <c r="A512" s="11" t="str">
        <f>IF('[1]P-GENERAL'!A512="","",'[1]P-GENERAL'!A512)</f>
        <v/>
      </c>
      <c r="B512" s="11" t="str">
        <f>IF('[1]P-GENERAL'!B512="","",'[1]P-GENERAL'!B512)</f>
        <v/>
      </c>
      <c r="C512" t="str">
        <f>IF('[1]P-GENERAL'!C512="","",'[1]P-GENERAL'!C512)</f>
        <v/>
      </c>
      <c r="D512" t="str">
        <f>IF('[1]P-GENERAL'!D512="","",'[1]P-GENERAL'!D512)</f>
        <v/>
      </c>
      <c r="E512" s="8" t="str">
        <f>IF('[1]P-GENERAL'!E512="","",'[1]P-GENERAL'!E512)</f>
        <v/>
      </c>
      <c r="F512" s="12" t="str">
        <f>IF('[1]P-GENERAL'!F512="","",'[1]P-GENERAL'!F512)</f>
        <v/>
      </c>
      <c r="G512" s="13" t="str">
        <f>IF('[1]P-GENERAL'!G512="","",'[1]P-GENERAL'!G512)</f>
        <v/>
      </c>
      <c r="H512" s="14" t="str">
        <f>IF('[1]P-GENERAL'!H512="","",'[1]P-GENERAL'!H512)</f>
        <v/>
      </c>
      <c r="I512" t="str">
        <f>IF('[1]P-GENERAL'!I512="","",'[1]P-GENERAL'!I512)</f>
        <v/>
      </c>
      <c r="J512" s="15" t="str">
        <f>IF('[1]P-GENERAL'!J512="","",'[1]P-GENERAL'!J512)</f>
        <v/>
      </c>
      <c r="K512" s="14" t="str">
        <f>IF('[1]P-GENERAL'!K512="","",'[1]P-GENERAL'!K512)</f>
        <v/>
      </c>
      <c r="L512" s="14" t="str">
        <f>IF('[1]P-GENERAL'!L512="","",'[1]P-GENERAL'!L512)</f>
        <v/>
      </c>
      <c r="M512" t="str">
        <f>IF('[1]P-GENERAL'!M512="","",'[1]P-GENERAL'!M512)</f>
        <v/>
      </c>
      <c r="N512" t="str">
        <f>IF('[1]P-GENERAL'!N512="","",'[1]P-GENERAL'!N512)</f>
        <v/>
      </c>
      <c r="O512" s="14" t="str">
        <f>IF('[1]P-GENERAL'!O512="","",'[1]P-GENERAL'!O512)</f>
        <v/>
      </c>
      <c r="P512" s="16" t="str">
        <f>IF('[1]P-GENERAL'!P512="","",'[1]P-GENERAL'!P512)</f>
        <v/>
      </c>
      <c r="Q512" t="str">
        <f>IF('[1]P-GENERAL'!Q512="","",'[1]P-GENERAL'!Q512)</f>
        <v/>
      </c>
      <c r="R512" s="14" t="str">
        <f>IF('[1]P-GENERAL'!R512="","",'[1]P-GENERAL'!R512)</f>
        <v/>
      </c>
      <c r="S512" s="16" t="str">
        <f>IF('[1]P-GENERAL'!S512="","",'[1]P-GENERAL'!S512)</f>
        <v/>
      </c>
      <c r="T512" s="16" t="str">
        <f>IF('[1]P-GENERAL'!T512="","",'[1]P-GENERAL'!T512)</f>
        <v/>
      </c>
      <c r="U512" s="17" t="str">
        <f>IF('[1]P-GENERAL'!U512="","",'[1]P-GENERAL'!U512)</f>
        <v/>
      </c>
      <c r="V512" s="14" t="str">
        <f>IF('[1]P-GENERAL'!V512="","",'[1]P-GENERAL'!V512)</f>
        <v/>
      </c>
      <c r="W512" s="16" t="str">
        <f>IF('[1]P-GENERAL'!W512="","",'[1]P-GENERAL'!W512)</f>
        <v/>
      </c>
      <c r="X512" s="14" t="str">
        <f>IF('[1]P-GENERAL'!X512="","",'[1]P-GENERAL'!X512)</f>
        <v/>
      </c>
      <c r="Y512" s="14" t="str">
        <f>IF('[1]P-GENERAL'!Y512="","",'[1]P-GENERAL'!Y512)</f>
        <v/>
      </c>
      <c r="Z512" s="14" t="str">
        <f>IF('[1]P-GENERAL'!Z512="","",'[1]P-GENERAL'!Z512)</f>
        <v/>
      </c>
      <c r="AA512" s="14" t="str">
        <f>IF('[1]P-GENERAL'!AA512="","",'[1]P-GENERAL'!AA512)</f>
        <v/>
      </c>
      <c r="AB512" s="8" t="str">
        <f>IF('[1]P-GENERAL'!AB512="","",'[1]P-GENERAL'!AB512)</f>
        <v/>
      </c>
      <c r="AC512" s="8" t="str">
        <f>IF('[1]P-GENERAL'!AC512="","",'[1]P-GENERAL'!AC512)</f>
        <v/>
      </c>
      <c r="AD512" t="str">
        <f>IF('[1]P-GENERAL'!AD512="","",'[1]P-GENERAL'!AD512)</f>
        <v/>
      </c>
      <c r="AE512" t="str">
        <f>IF('[1]P-GENERAL'!AE512="","",'[1]P-GENERAL'!AE512)</f>
        <v/>
      </c>
    </row>
    <row r="513" spans="1:31" ht="20.25" x14ac:dyDescent="0.3">
      <c r="A513" s="11" t="str">
        <f>IF('[1]P-GENERAL'!A513="","",'[1]P-GENERAL'!A513)</f>
        <v/>
      </c>
      <c r="B513" s="11" t="str">
        <f>IF('[1]P-GENERAL'!B513="","",'[1]P-GENERAL'!B513)</f>
        <v/>
      </c>
      <c r="C513" t="str">
        <f>IF('[1]P-GENERAL'!C513="","",'[1]P-GENERAL'!C513)</f>
        <v/>
      </c>
      <c r="D513" t="str">
        <f>IF('[1]P-GENERAL'!D513="","",'[1]P-GENERAL'!D513)</f>
        <v/>
      </c>
      <c r="E513" s="8" t="str">
        <f>IF('[1]P-GENERAL'!E513="","",'[1]P-GENERAL'!E513)</f>
        <v/>
      </c>
      <c r="F513" s="12" t="str">
        <f>IF('[1]P-GENERAL'!F513="","",'[1]P-GENERAL'!F513)</f>
        <v/>
      </c>
      <c r="G513" s="13" t="str">
        <f>IF('[1]P-GENERAL'!G513="","",'[1]P-GENERAL'!G513)</f>
        <v/>
      </c>
      <c r="H513" s="14" t="str">
        <f>IF('[1]P-GENERAL'!H513="","",'[1]P-GENERAL'!H513)</f>
        <v/>
      </c>
      <c r="I513" t="str">
        <f>IF('[1]P-GENERAL'!I513="","",'[1]P-GENERAL'!I513)</f>
        <v/>
      </c>
      <c r="J513" s="15" t="str">
        <f>IF('[1]P-GENERAL'!J513="","",'[1]P-GENERAL'!J513)</f>
        <v/>
      </c>
      <c r="K513" s="14" t="str">
        <f>IF('[1]P-GENERAL'!K513="","",'[1]P-GENERAL'!K513)</f>
        <v/>
      </c>
      <c r="L513" s="14" t="str">
        <f>IF('[1]P-GENERAL'!L513="","",'[1]P-GENERAL'!L513)</f>
        <v/>
      </c>
      <c r="M513" t="str">
        <f>IF('[1]P-GENERAL'!M513="","",'[1]P-GENERAL'!M513)</f>
        <v/>
      </c>
      <c r="N513" t="str">
        <f>IF('[1]P-GENERAL'!N513="","",'[1]P-GENERAL'!N513)</f>
        <v/>
      </c>
      <c r="O513" s="14" t="str">
        <f>IF('[1]P-GENERAL'!O513="","",'[1]P-GENERAL'!O513)</f>
        <v/>
      </c>
      <c r="P513" s="16" t="str">
        <f>IF('[1]P-GENERAL'!P513="","",'[1]P-GENERAL'!P513)</f>
        <v/>
      </c>
      <c r="Q513" t="str">
        <f>IF('[1]P-GENERAL'!Q513="","",'[1]P-GENERAL'!Q513)</f>
        <v/>
      </c>
      <c r="R513" s="14" t="str">
        <f>IF('[1]P-GENERAL'!R513="","",'[1]P-GENERAL'!R513)</f>
        <v/>
      </c>
      <c r="S513" s="16" t="str">
        <f>IF('[1]P-GENERAL'!S513="","",'[1]P-GENERAL'!S513)</f>
        <v/>
      </c>
      <c r="T513" s="16" t="str">
        <f>IF('[1]P-GENERAL'!T513="","",'[1]P-GENERAL'!T513)</f>
        <v/>
      </c>
      <c r="U513" s="17" t="str">
        <f>IF('[1]P-GENERAL'!U513="","",'[1]P-GENERAL'!U513)</f>
        <v/>
      </c>
      <c r="V513" s="14" t="str">
        <f>IF('[1]P-GENERAL'!V513="","",'[1]P-GENERAL'!V513)</f>
        <v/>
      </c>
      <c r="W513" s="16" t="str">
        <f>IF('[1]P-GENERAL'!W513="","",'[1]P-GENERAL'!W513)</f>
        <v/>
      </c>
      <c r="X513" s="14" t="str">
        <f>IF('[1]P-GENERAL'!X513="","",'[1]P-GENERAL'!X513)</f>
        <v/>
      </c>
      <c r="Y513" s="14" t="str">
        <f>IF('[1]P-GENERAL'!Y513="","",'[1]P-GENERAL'!Y513)</f>
        <v/>
      </c>
      <c r="Z513" s="14" t="str">
        <f>IF('[1]P-GENERAL'!Z513="","",'[1]P-GENERAL'!Z513)</f>
        <v/>
      </c>
      <c r="AA513" s="14" t="str">
        <f>IF('[1]P-GENERAL'!AA513="","",'[1]P-GENERAL'!AA513)</f>
        <v/>
      </c>
      <c r="AB513" s="8" t="str">
        <f>IF('[1]P-GENERAL'!AB513="","",'[1]P-GENERAL'!AB513)</f>
        <v/>
      </c>
      <c r="AC513" s="8" t="str">
        <f>IF('[1]P-GENERAL'!AC513="","",'[1]P-GENERAL'!AC513)</f>
        <v/>
      </c>
      <c r="AD513" t="str">
        <f>IF('[1]P-GENERAL'!AD513="","",'[1]P-GENERAL'!AD513)</f>
        <v/>
      </c>
      <c r="AE513" t="str">
        <f>IF('[1]P-GENERAL'!AE513="","",'[1]P-GENERAL'!AE513)</f>
        <v/>
      </c>
    </row>
    <row r="514" spans="1:31" ht="20.25" x14ac:dyDescent="0.3">
      <c r="A514" s="11" t="str">
        <f>IF('[1]P-GENERAL'!A514="","",'[1]P-GENERAL'!A514)</f>
        <v/>
      </c>
      <c r="B514" s="11" t="str">
        <f>IF('[1]P-GENERAL'!B514="","",'[1]P-GENERAL'!B514)</f>
        <v/>
      </c>
      <c r="C514" t="str">
        <f>IF('[1]P-GENERAL'!C514="","",'[1]P-GENERAL'!C514)</f>
        <v/>
      </c>
      <c r="D514" t="str">
        <f>IF('[1]P-GENERAL'!D514="","",'[1]P-GENERAL'!D514)</f>
        <v/>
      </c>
      <c r="E514" s="8" t="str">
        <f>IF('[1]P-GENERAL'!E514="","",'[1]P-GENERAL'!E514)</f>
        <v/>
      </c>
      <c r="F514" s="12" t="str">
        <f>IF('[1]P-GENERAL'!F514="","",'[1]P-GENERAL'!F514)</f>
        <v/>
      </c>
      <c r="G514" s="13" t="str">
        <f>IF('[1]P-GENERAL'!G514="","",'[1]P-GENERAL'!G514)</f>
        <v/>
      </c>
      <c r="H514" s="14" t="str">
        <f>IF('[1]P-GENERAL'!H514="","",'[1]P-GENERAL'!H514)</f>
        <v/>
      </c>
      <c r="I514" t="str">
        <f>IF('[1]P-GENERAL'!I514="","",'[1]P-GENERAL'!I514)</f>
        <v/>
      </c>
      <c r="J514" s="15" t="str">
        <f>IF('[1]P-GENERAL'!J514="","",'[1]P-GENERAL'!J514)</f>
        <v/>
      </c>
      <c r="K514" s="14" t="str">
        <f>IF('[1]P-GENERAL'!K514="","",'[1]P-GENERAL'!K514)</f>
        <v/>
      </c>
      <c r="L514" s="14" t="str">
        <f>IF('[1]P-GENERAL'!L514="","",'[1]P-GENERAL'!L514)</f>
        <v/>
      </c>
      <c r="M514" t="str">
        <f>IF('[1]P-GENERAL'!M514="","",'[1]P-GENERAL'!M514)</f>
        <v/>
      </c>
      <c r="N514" t="str">
        <f>IF('[1]P-GENERAL'!N514="","",'[1]P-GENERAL'!N514)</f>
        <v/>
      </c>
      <c r="O514" s="14" t="str">
        <f>IF('[1]P-GENERAL'!O514="","",'[1]P-GENERAL'!O514)</f>
        <v/>
      </c>
      <c r="P514" s="16" t="str">
        <f>IF('[1]P-GENERAL'!P514="","",'[1]P-GENERAL'!P514)</f>
        <v/>
      </c>
      <c r="Q514" t="str">
        <f>IF('[1]P-GENERAL'!Q514="","",'[1]P-GENERAL'!Q514)</f>
        <v/>
      </c>
      <c r="R514" s="14" t="str">
        <f>IF('[1]P-GENERAL'!R514="","",'[1]P-GENERAL'!R514)</f>
        <v/>
      </c>
      <c r="S514" s="16" t="str">
        <f>IF('[1]P-GENERAL'!S514="","",'[1]P-GENERAL'!S514)</f>
        <v/>
      </c>
      <c r="T514" s="16" t="str">
        <f>IF('[1]P-GENERAL'!T514="","",'[1]P-GENERAL'!T514)</f>
        <v/>
      </c>
      <c r="U514" s="17" t="str">
        <f>IF('[1]P-GENERAL'!U514="","",'[1]P-GENERAL'!U514)</f>
        <v/>
      </c>
      <c r="V514" s="14" t="str">
        <f>IF('[1]P-GENERAL'!V514="","",'[1]P-GENERAL'!V514)</f>
        <v/>
      </c>
      <c r="W514" s="16" t="str">
        <f>IF('[1]P-GENERAL'!W514="","",'[1]P-GENERAL'!W514)</f>
        <v/>
      </c>
      <c r="X514" s="14" t="str">
        <f>IF('[1]P-GENERAL'!X514="","",'[1]P-GENERAL'!X514)</f>
        <v/>
      </c>
      <c r="Y514" s="14" t="str">
        <f>IF('[1]P-GENERAL'!Y514="","",'[1]P-GENERAL'!Y514)</f>
        <v/>
      </c>
      <c r="Z514" s="14" t="str">
        <f>IF('[1]P-GENERAL'!Z514="","",'[1]P-GENERAL'!Z514)</f>
        <v/>
      </c>
      <c r="AA514" s="14" t="str">
        <f>IF('[1]P-GENERAL'!AA514="","",'[1]P-GENERAL'!AA514)</f>
        <v/>
      </c>
      <c r="AB514" s="8" t="str">
        <f>IF('[1]P-GENERAL'!AB514="","",'[1]P-GENERAL'!AB514)</f>
        <v/>
      </c>
      <c r="AC514" s="8" t="str">
        <f>IF('[1]P-GENERAL'!AC514="","",'[1]P-GENERAL'!AC514)</f>
        <v/>
      </c>
      <c r="AD514" t="str">
        <f>IF('[1]P-GENERAL'!AD514="","",'[1]P-GENERAL'!AD514)</f>
        <v/>
      </c>
      <c r="AE514" t="str">
        <f>IF('[1]P-GENERAL'!AE514="","",'[1]P-GENERAL'!AE514)</f>
        <v/>
      </c>
    </row>
    <row r="515" spans="1:31" ht="20.25" x14ac:dyDescent="0.3">
      <c r="A515" s="11" t="str">
        <f>IF('[1]P-GENERAL'!A515="","",'[1]P-GENERAL'!A515)</f>
        <v/>
      </c>
      <c r="B515" s="11" t="str">
        <f>IF('[1]P-GENERAL'!B515="","",'[1]P-GENERAL'!B515)</f>
        <v/>
      </c>
      <c r="C515" t="str">
        <f>IF('[1]P-GENERAL'!C515="","",'[1]P-GENERAL'!C515)</f>
        <v/>
      </c>
      <c r="D515" t="str">
        <f>IF('[1]P-GENERAL'!D515="","",'[1]P-GENERAL'!D515)</f>
        <v/>
      </c>
      <c r="E515" s="8" t="str">
        <f>IF('[1]P-GENERAL'!E515="","",'[1]P-GENERAL'!E515)</f>
        <v/>
      </c>
      <c r="F515" s="12" t="str">
        <f>IF('[1]P-GENERAL'!F515="","",'[1]P-GENERAL'!F515)</f>
        <v/>
      </c>
      <c r="G515" s="13" t="str">
        <f>IF('[1]P-GENERAL'!G515="","",'[1]P-GENERAL'!G515)</f>
        <v/>
      </c>
      <c r="H515" s="14" t="str">
        <f>IF('[1]P-GENERAL'!H515="","",'[1]P-GENERAL'!H515)</f>
        <v/>
      </c>
      <c r="I515" t="str">
        <f>IF('[1]P-GENERAL'!I515="","",'[1]P-GENERAL'!I515)</f>
        <v/>
      </c>
      <c r="J515" s="15" t="str">
        <f>IF('[1]P-GENERAL'!J515="","",'[1]P-GENERAL'!J515)</f>
        <v/>
      </c>
      <c r="K515" s="14" t="str">
        <f>IF('[1]P-GENERAL'!K515="","",'[1]P-GENERAL'!K515)</f>
        <v/>
      </c>
      <c r="L515" s="14" t="str">
        <f>IF('[1]P-GENERAL'!L515="","",'[1]P-GENERAL'!L515)</f>
        <v/>
      </c>
      <c r="M515" t="str">
        <f>IF('[1]P-GENERAL'!M515="","",'[1]P-GENERAL'!M515)</f>
        <v/>
      </c>
      <c r="N515" t="str">
        <f>IF('[1]P-GENERAL'!N515="","",'[1]P-GENERAL'!N515)</f>
        <v/>
      </c>
      <c r="O515" s="14" t="str">
        <f>IF('[1]P-GENERAL'!O515="","",'[1]P-GENERAL'!O515)</f>
        <v/>
      </c>
      <c r="P515" s="16" t="str">
        <f>IF('[1]P-GENERAL'!P515="","",'[1]P-GENERAL'!P515)</f>
        <v/>
      </c>
      <c r="Q515" t="str">
        <f>IF('[1]P-GENERAL'!Q515="","",'[1]P-GENERAL'!Q515)</f>
        <v/>
      </c>
      <c r="R515" s="14" t="str">
        <f>IF('[1]P-GENERAL'!R515="","",'[1]P-GENERAL'!R515)</f>
        <v/>
      </c>
      <c r="S515" s="16" t="str">
        <f>IF('[1]P-GENERAL'!S515="","",'[1]P-GENERAL'!S515)</f>
        <v/>
      </c>
      <c r="T515" s="16" t="str">
        <f>IF('[1]P-GENERAL'!T515="","",'[1]P-GENERAL'!T515)</f>
        <v/>
      </c>
      <c r="U515" s="17" t="str">
        <f>IF('[1]P-GENERAL'!U515="","",'[1]P-GENERAL'!U515)</f>
        <v/>
      </c>
      <c r="V515" s="14" t="str">
        <f>IF('[1]P-GENERAL'!V515="","",'[1]P-GENERAL'!V515)</f>
        <v/>
      </c>
      <c r="W515" s="16" t="str">
        <f>IF('[1]P-GENERAL'!W515="","",'[1]P-GENERAL'!W515)</f>
        <v/>
      </c>
      <c r="X515" s="14" t="str">
        <f>IF('[1]P-GENERAL'!X515="","",'[1]P-GENERAL'!X515)</f>
        <v/>
      </c>
      <c r="Y515" s="14" t="str">
        <f>IF('[1]P-GENERAL'!Y515="","",'[1]P-GENERAL'!Y515)</f>
        <v/>
      </c>
      <c r="Z515" s="14" t="str">
        <f>IF('[1]P-GENERAL'!Z515="","",'[1]P-GENERAL'!Z515)</f>
        <v/>
      </c>
      <c r="AA515" s="14" t="str">
        <f>IF('[1]P-GENERAL'!AA515="","",'[1]P-GENERAL'!AA515)</f>
        <v/>
      </c>
      <c r="AB515" s="8" t="str">
        <f>IF('[1]P-GENERAL'!AB515="","",'[1]P-GENERAL'!AB515)</f>
        <v/>
      </c>
      <c r="AC515" s="8" t="str">
        <f>IF('[1]P-GENERAL'!AC515="","",'[1]P-GENERAL'!AC515)</f>
        <v/>
      </c>
      <c r="AD515" t="str">
        <f>IF('[1]P-GENERAL'!AD515="","",'[1]P-GENERAL'!AD515)</f>
        <v/>
      </c>
      <c r="AE515" t="str">
        <f>IF('[1]P-GENERAL'!AE515="","",'[1]P-GENERAL'!AE515)</f>
        <v/>
      </c>
    </row>
    <row r="516" spans="1:31" ht="20.25" x14ac:dyDescent="0.3">
      <c r="A516" s="11" t="str">
        <f>IF('[1]P-GENERAL'!A516="","",'[1]P-GENERAL'!A516)</f>
        <v/>
      </c>
      <c r="B516" s="11" t="str">
        <f>IF('[1]P-GENERAL'!B516="","",'[1]P-GENERAL'!B516)</f>
        <v/>
      </c>
      <c r="C516" t="str">
        <f>IF('[1]P-GENERAL'!C516="","",'[1]P-GENERAL'!C516)</f>
        <v/>
      </c>
      <c r="D516" t="str">
        <f>IF('[1]P-GENERAL'!D516="","",'[1]P-GENERAL'!D516)</f>
        <v/>
      </c>
      <c r="E516" s="8" t="str">
        <f>IF('[1]P-GENERAL'!E516="","",'[1]P-GENERAL'!E516)</f>
        <v/>
      </c>
      <c r="F516" s="12" t="str">
        <f>IF('[1]P-GENERAL'!F516="","",'[1]P-GENERAL'!F516)</f>
        <v/>
      </c>
      <c r="G516" s="13" t="str">
        <f>IF('[1]P-GENERAL'!G516="","",'[1]P-GENERAL'!G516)</f>
        <v/>
      </c>
      <c r="H516" s="14" t="str">
        <f>IF('[1]P-GENERAL'!H516="","",'[1]P-GENERAL'!H516)</f>
        <v/>
      </c>
      <c r="I516" t="str">
        <f>IF('[1]P-GENERAL'!I516="","",'[1]P-GENERAL'!I516)</f>
        <v/>
      </c>
      <c r="J516" s="15" t="str">
        <f>IF('[1]P-GENERAL'!J516="","",'[1]P-GENERAL'!J516)</f>
        <v/>
      </c>
      <c r="K516" s="14" t="str">
        <f>IF('[1]P-GENERAL'!K516="","",'[1]P-GENERAL'!K516)</f>
        <v/>
      </c>
      <c r="L516" s="14" t="str">
        <f>IF('[1]P-GENERAL'!L516="","",'[1]P-GENERAL'!L516)</f>
        <v/>
      </c>
      <c r="M516" t="str">
        <f>IF('[1]P-GENERAL'!M516="","",'[1]P-GENERAL'!M516)</f>
        <v/>
      </c>
      <c r="N516" t="str">
        <f>IF('[1]P-GENERAL'!N516="","",'[1]P-GENERAL'!N516)</f>
        <v/>
      </c>
      <c r="O516" s="14" t="str">
        <f>IF('[1]P-GENERAL'!O516="","",'[1]P-GENERAL'!O516)</f>
        <v/>
      </c>
      <c r="P516" s="16" t="str">
        <f>IF('[1]P-GENERAL'!P516="","",'[1]P-GENERAL'!P516)</f>
        <v/>
      </c>
      <c r="Q516" t="str">
        <f>IF('[1]P-GENERAL'!Q516="","",'[1]P-GENERAL'!Q516)</f>
        <v/>
      </c>
      <c r="R516" s="14" t="str">
        <f>IF('[1]P-GENERAL'!R516="","",'[1]P-GENERAL'!R516)</f>
        <v/>
      </c>
      <c r="S516" s="16" t="str">
        <f>IF('[1]P-GENERAL'!S516="","",'[1]P-GENERAL'!S516)</f>
        <v/>
      </c>
      <c r="T516" s="16" t="str">
        <f>IF('[1]P-GENERAL'!T516="","",'[1]P-GENERAL'!T516)</f>
        <v/>
      </c>
      <c r="U516" s="17" t="str">
        <f>IF('[1]P-GENERAL'!U516="","",'[1]P-GENERAL'!U516)</f>
        <v/>
      </c>
      <c r="V516" s="14" t="str">
        <f>IF('[1]P-GENERAL'!V516="","",'[1]P-GENERAL'!V516)</f>
        <v/>
      </c>
      <c r="W516" s="16" t="str">
        <f>IF('[1]P-GENERAL'!W516="","",'[1]P-GENERAL'!W516)</f>
        <v/>
      </c>
      <c r="X516" s="14" t="str">
        <f>IF('[1]P-GENERAL'!X516="","",'[1]P-GENERAL'!X516)</f>
        <v/>
      </c>
      <c r="Y516" s="14" t="str">
        <f>IF('[1]P-GENERAL'!Y516="","",'[1]P-GENERAL'!Y516)</f>
        <v/>
      </c>
      <c r="Z516" s="14" t="str">
        <f>IF('[1]P-GENERAL'!Z516="","",'[1]P-GENERAL'!Z516)</f>
        <v/>
      </c>
      <c r="AA516" s="14" t="str">
        <f>IF('[1]P-GENERAL'!AA516="","",'[1]P-GENERAL'!AA516)</f>
        <v/>
      </c>
      <c r="AB516" s="8" t="str">
        <f>IF('[1]P-GENERAL'!AB516="","",'[1]P-GENERAL'!AB516)</f>
        <v/>
      </c>
      <c r="AC516" s="8" t="str">
        <f>IF('[1]P-GENERAL'!AC516="","",'[1]P-GENERAL'!AC516)</f>
        <v/>
      </c>
      <c r="AD516" t="str">
        <f>IF('[1]P-GENERAL'!AD516="","",'[1]P-GENERAL'!AD516)</f>
        <v/>
      </c>
      <c r="AE516" t="str">
        <f>IF('[1]P-GENERAL'!AE516="","",'[1]P-GENERAL'!AE516)</f>
        <v/>
      </c>
    </row>
    <row r="517" spans="1:31" ht="20.25" x14ac:dyDescent="0.3">
      <c r="A517" s="11" t="str">
        <f>IF('[1]P-GENERAL'!A517="","",'[1]P-GENERAL'!A517)</f>
        <v/>
      </c>
      <c r="B517" s="11" t="str">
        <f>IF('[1]P-GENERAL'!B517="","",'[1]P-GENERAL'!B517)</f>
        <v/>
      </c>
      <c r="C517" t="str">
        <f>IF('[1]P-GENERAL'!C517="","",'[1]P-GENERAL'!C517)</f>
        <v/>
      </c>
      <c r="D517" t="str">
        <f>IF('[1]P-GENERAL'!D517="","",'[1]P-GENERAL'!D517)</f>
        <v/>
      </c>
      <c r="E517" s="8" t="str">
        <f>IF('[1]P-GENERAL'!E517="","",'[1]P-GENERAL'!E517)</f>
        <v/>
      </c>
      <c r="F517" s="12" t="str">
        <f>IF('[1]P-GENERAL'!F517="","",'[1]P-GENERAL'!F517)</f>
        <v/>
      </c>
      <c r="G517" s="13" t="str">
        <f>IF('[1]P-GENERAL'!G517="","",'[1]P-GENERAL'!G517)</f>
        <v/>
      </c>
      <c r="H517" s="14" t="str">
        <f>IF('[1]P-GENERAL'!H517="","",'[1]P-GENERAL'!H517)</f>
        <v/>
      </c>
      <c r="I517" t="str">
        <f>IF('[1]P-GENERAL'!I517="","",'[1]P-GENERAL'!I517)</f>
        <v/>
      </c>
      <c r="J517" s="15" t="str">
        <f>IF('[1]P-GENERAL'!J517="","",'[1]P-GENERAL'!J517)</f>
        <v/>
      </c>
      <c r="K517" s="14" t="str">
        <f>IF('[1]P-GENERAL'!K517="","",'[1]P-GENERAL'!K517)</f>
        <v/>
      </c>
      <c r="L517" s="14" t="str">
        <f>IF('[1]P-GENERAL'!L517="","",'[1]P-GENERAL'!L517)</f>
        <v/>
      </c>
      <c r="M517" t="str">
        <f>IF('[1]P-GENERAL'!M517="","",'[1]P-GENERAL'!M517)</f>
        <v/>
      </c>
      <c r="N517" t="str">
        <f>IF('[1]P-GENERAL'!N517="","",'[1]P-GENERAL'!N517)</f>
        <v/>
      </c>
      <c r="O517" s="14" t="str">
        <f>IF('[1]P-GENERAL'!O517="","",'[1]P-GENERAL'!O517)</f>
        <v/>
      </c>
      <c r="P517" s="16" t="str">
        <f>IF('[1]P-GENERAL'!P517="","",'[1]P-GENERAL'!P517)</f>
        <v/>
      </c>
      <c r="Q517" t="str">
        <f>IF('[1]P-GENERAL'!Q517="","",'[1]P-GENERAL'!Q517)</f>
        <v/>
      </c>
      <c r="R517" s="14" t="str">
        <f>IF('[1]P-GENERAL'!R517="","",'[1]P-GENERAL'!R517)</f>
        <v/>
      </c>
      <c r="S517" s="16" t="str">
        <f>IF('[1]P-GENERAL'!S517="","",'[1]P-GENERAL'!S517)</f>
        <v/>
      </c>
      <c r="T517" s="16" t="str">
        <f>IF('[1]P-GENERAL'!T517="","",'[1]P-GENERAL'!T517)</f>
        <v/>
      </c>
      <c r="U517" s="17" t="str">
        <f>IF('[1]P-GENERAL'!U517="","",'[1]P-GENERAL'!U517)</f>
        <v/>
      </c>
      <c r="V517" s="14" t="str">
        <f>IF('[1]P-GENERAL'!V517="","",'[1]P-GENERAL'!V517)</f>
        <v/>
      </c>
      <c r="W517" s="16" t="str">
        <f>IF('[1]P-GENERAL'!W517="","",'[1]P-GENERAL'!W517)</f>
        <v/>
      </c>
      <c r="X517" s="14" t="str">
        <f>IF('[1]P-GENERAL'!X517="","",'[1]P-GENERAL'!X517)</f>
        <v/>
      </c>
      <c r="Y517" s="14" t="str">
        <f>IF('[1]P-GENERAL'!Y517="","",'[1]P-GENERAL'!Y517)</f>
        <v/>
      </c>
      <c r="Z517" s="14" t="str">
        <f>IF('[1]P-GENERAL'!Z517="","",'[1]P-GENERAL'!Z517)</f>
        <v/>
      </c>
      <c r="AA517" s="14" t="str">
        <f>IF('[1]P-GENERAL'!AA517="","",'[1]P-GENERAL'!AA517)</f>
        <v/>
      </c>
      <c r="AB517" s="8" t="str">
        <f>IF('[1]P-GENERAL'!AB517="","",'[1]P-GENERAL'!AB517)</f>
        <v/>
      </c>
      <c r="AC517" s="8" t="str">
        <f>IF('[1]P-GENERAL'!AC517="","",'[1]P-GENERAL'!AC517)</f>
        <v/>
      </c>
      <c r="AD517" t="str">
        <f>IF('[1]P-GENERAL'!AD517="","",'[1]P-GENERAL'!AD517)</f>
        <v/>
      </c>
      <c r="AE517" t="str">
        <f>IF('[1]P-GENERAL'!AE517="","",'[1]P-GENERAL'!AE517)</f>
        <v/>
      </c>
    </row>
    <row r="518" spans="1:31" ht="20.25" x14ac:dyDescent="0.3">
      <c r="A518" s="11" t="str">
        <f>IF('[1]P-GENERAL'!A518="","",'[1]P-GENERAL'!A518)</f>
        <v/>
      </c>
      <c r="B518" s="11" t="str">
        <f>IF('[1]P-GENERAL'!B518="","",'[1]P-GENERAL'!B518)</f>
        <v/>
      </c>
      <c r="C518" t="str">
        <f>IF('[1]P-GENERAL'!C518="","",'[1]P-GENERAL'!C518)</f>
        <v/>
      </c>
      <c r="D518" t="str">
        <f>IF('[1]P-GENERAL'!D518="","",'[1]P-GENERAL'!D518)</f>
        <v/>
      </c>
      <c r="E518" s="8" t="str">
        <f>IF('[1]P-GENERAL'!E518="","",'[1]P-GENERAL'!E518)</f>
        <v/>
      </c>
      <c r="F518" s="12" t="str">
        <f>IF('[1]P-GENERAL'!F518="","",'[1]P-GENERAL'!F518)</f>
        <v/>
      </c>
      <c r="G518" s="13" t="str">
        <f>IF('[1]P-GENERAL'!G518="","",'[1]P-GENERAL'!G518)</f>
        <v/>
      </c>
      <c r="H518" s="14" t="str">
        <f>IF('[1]P-GENERAL'!H518="","",'[1]P-GENERAL'!H518)</f>
        <v/>
      </c>
      <c r="I518" t="str">
        <f>IF('[1]P-GENERAL'!I518="","",'[1]P-GENERAL'!I518)</f>
        <v/>
      </c>
      <c r="J518" s="15" t="str">
        <f>IF('[1]P-GENERAL'!J518="","",'[1]P-GENERAL'!J518)</f>
        <v/>
      </c>
      <c r="K518" s="14" t="str">
        <f>IF('[1]P-GENERAL'!K518="","",'[1]P-GENERAL'!K518)</f>
        <v/>
      </c>
      <c r="L518" s="14" t="str">
        <f>IF('[1]P-GENERAL'!L518="","",'[1]P-GENERAL'!L518)</f>
        <v/>
      </c>
      <c r="M518" t="str">
        <f>IF('[1]P-GENERAL'!M518="","",'[1]P-GENERAL'!M518)</f>
        <v/>
      </c>
      <c r="N518" t="str">
        <f>IF('[1]P-GENERAL'!N518="","",'[1]P-GENERAL'!N518)</f>
        <v/>
      </c>
      <c r="O518" s="14" t="str">
        <f>IF('[1]P-GENERAL'!O518="","",'[1]P-GENERAL'!O518)</f>
        <v/>
      </c>
      <c r="P518" s="16" t="str">
        <f>IF('[1]P-GENERAL'!P518="","",'[1]P-GENERAL'!P518)</f>
        <v/>
      </c>
      <c r="Q518" t="str">
        <f>IF('[1]P-GENERAL'!Q518="","",'[1]P-GENERAL'!Q518)</f>
        <v/>
      </c>
      <c r="R518" s="14" t="str">
        <f>IF('[1]P-GENERAL'!R518="","",'[1]P-GENERAL'!R518)</f>
        <v/>
      </c>
      <c r="S518" s="16" t="str">
        <f>IF('[1]P-GENERAL'!S518="","",'[1]P-GENERAL'!S518)</f>
        <v/>
      </c>
      <c r="T518" s="16" t="str">
        <f>IF('[1]P-GENERAL'!T518="","",'[1]P-GENERAL'!T518)</f>
        <v/>
      </c>
      <c r="U518" s="17" t="str">
        <f>IF('[1]P-GENERAL'!U518="","",'[1]P-GENERAL'!U518)</f>
        <v/>
      </c>
      <c r="V518" s="14" t="str">
        <f>IF('[1]P-GENERAL'!V518="","",'[1]P-GENERAL'!V518)</f>
        <v/>
      </c>
      <c r="W518" s="16" t="str">
        <f>IF('[1]P-GENERAL'!W518="","",'[1]P-GENERAL'!W518)</f>
        <v/>
      </c>
      <c r="X518" s="14" t="str">
        <f>IF('[1]P-GENERAL'!X518="","",'[1]P-GENERAL'!X518)</f>
        <v/>
      </c>
      <c r="Y518" s="14" t="str">
        <f>IF('[1]P-GENERAL'!Y518="","",'[1]P-GENERAL'!Y518)</f>
        <v/>
      </c>
      <c r="Z518" s="14" t="str">
        <f>IF('[1]P-GENERAL'!Z518="","",'[1]P-GENERAL'!Z518)</f>
        <v/>
      </c>
      <c r="AA518" s="14" t="str">
        <f>IF('[1]P-GENERAL'!AA518="","",'[1]P-GENERAL'!AA518)</f>
        <v/>
      </c>
      <c r="AB518" s="8" t="str">
        <f>IF('[1]P-GENERAL'!AB518="","",'[1]P-GENERAL'!AB518)</f>
        <v/>
      </c>
      <c r="AC518" s="8" t="str">
        <f>IF('[1]P-GENERAL'!AC518="","",'[1]P-GENERAL'!AC518)</f>
        <v/>
      </c>
      <c r="AD518" t="str">
        <f>IF('[1]P-GENERAL'!AD518="","",'[1]P-GENERAL'!AD518)</f>
        <v/>
      </c>
      <c r="AE518" t="str">
        <f>IF('[1]P-GENERAL'!AE518="","",'[1]P-GENERAL'!AE518)</f>
        <v/>
      </c>
    </row>
    <row r="519" spans="1:31" ht="20.25" x14ac:dyDescent="0.3">
      <c r="A519" s="11" t="str">
        <f>IF('[1]P-GENERAL'!A519="","",'[1]P-GENERAL'!A519)</f>
        <v/>
      </c>
      <c r="B519" s="11" t="str">
        <f>IF('[1]P-GENERAL'!B519="","",'[1]P-GENERAL'!B519)</f>
        <v/>
      </c>
      <c r="C519" t="str">
        <f>IF('[1]P-GENERAL'!C519="","",'[1]P-GENERAL'!C519)</f>
        <v/>
      </c>
      <c r="D519" t="str">
        <f>IF('[1]P-GENERAL'!D519="","",'[1]P-GENERAL'!D519)</f>
        <v/>
      </c>
      <c r="E519" s="8" t="str">
        <f>IF('[1]P-GENERAL'!E519="","",'[1]P-GENERAL'!E519)</f>
        <v/>
      </c>
      <c r="F519" s="12" t="str">
        <f>IF('[1]P-GENERAL'!F519="","",'[1]P-GENERAL'!F519)</f>
        <v/>
      </c>
      <c r="G519" s="13" t="str">
        <f>IF('[1]P-GENERAL'!G519="","",'[1]P-GENERAL'!G519)</f>
        <v/>
      </c>
      <c r="H519" s="14" t="str">
        <f>IF('[1]P-GENERAL'!H519="","",'[1]P-GENERAL'!H519)</f>
        <v/>
      </c>
      <c r="I519" t="str">
        <f>IF('[1]P-GENERAL'!I519="","",'[1]P-GENERAL'!I519)</f>
        <v/>
      </c>
      <c r="J519" s="15" t="str">
        <f>IF('[1]P-GENERAL'!J519="","",'[1]P-GENERAL'!J519)</f>
        <v/>
      </c>
      <c r="K519" s="14" t="str">
        <f>IF('[1]P-GENERAL'!K519="","",'[1]P-GENERAL'!K519)</f>
        <v/>
      </c>
      <c r="L519" s="14" t="str">
        <f>IF('[1]P-GENERAL'!L519="","",'[1]P-GENERAL'!L519)</f>
        <v/>
      </c>
      <c r="M519" t="str">
        <f>IF('[1]P-GENERAL'!M519="","",'[1]P-GENERAL'!M519)</f>
        <v/>
      </c>
      <c r="N519" t="str">
        <f>IF('[1]P-GENERAL'!N519="","",'[1]P-GENERAL'!N519)</f>
        <v/>
      </c>
      <c r="O519" s="14" t="str">
        <f>IF('[1]P-GENERAL'!O519="","",'[1]P-GENERAL'!O519)</f>
        <v/>
      </c>
      <c r="P519" s="16" t="str">
        <f>IF('[1]P-GENERAL'!P519="","",'[1]P-GENERAL'!P519)</f>
        <v/>
      </c>
      <c r="Q519" t="str">
        <f>IF('[1]P-GENERAL'!Q519="","",'[1]P-GENERAL'!Q519)</f>
        <v/>
      </c>
      <c r="R519" s="14" t="str">
        <f>IF('[1]P-GENERAL'!R519="","",'[1]P-GENERAL'!R519)</f>
        <v/>
      </c>
      <c r="S519" s="16" t="str">
        <f>IF('[1]P-GENERAL'!S519="","",'[1]P-GENERAL'!S519)</f>
        <v/>
      </c>
      <c r="T519" s="16" t="str">
        <f>IF('[1]P-GENERAL'!T519="","",'[1]P-GENERAL'!T519)</f>
        <v/>
      </c>
      <c r="U519" s="17" t="str">
        <f>IF('[1]P-GENERAL'!U519="","",'[1]P-GENERAL'!U519)</f>
        <v/>
      </c>
      <c r="V519" s="14" t="str">
        <f>IF('[1]P-GENERAL'!V519="","",'[1]P-GENERAL'!V519)</f>
        <v/>
      </c>
      <c r="W519" s="16" t="str">
        <f>IF('[1]P-GENERAL'!W519="","",'[1]P-GENERAL'!W519)</f>
        <v/>
      </c>
      <c r="X519" s="14" t="str">
        <f>IF('[1]P-GENERAL'!X519="","",'[1]P-GENERAL'!X519)</f>
        <v/>
      </c>
      <c r="Y519" s="14" t="str">
        <f>IF('[1]P-GENERAL'!Y519="","",'[1]P-GENERAL'!Y519)</f>
        <v/>
      </c>
      <c r="Z519" s="14" t="str">
        <f>IF('[1]P-GENERAL'!Z519="","",'[1]P-GENERAL'!Z519)</f>
        <v/>
      </c>
      <c r="AA519" s="14" t="str">
        <f>IF('[1]P-GENERAL'!AA519="","",'[1]P-GENERAL'!AA519)</f>
        <v/>
      </c>
      <c r="AB519" s="8" t="str">
        <f>IF('[1]P-GENERAL'!AB519="","",'[1]P-GENERAL'!AB519)</f>
        <v/>
      </c>
      <c r="AC519" s="8" t="str">
        <f>IF('[1]P-GENERAL'!AC519="","",'[1]P-GENERAL'!AC519)</f>
        <v/>
      </c>
      <c r="AD519" t="str">
        <f>IF('[1]P-GENERAL'!AD519="","",'[1]P-GENERAL'!AD519)</f>
        <v/>
      </c>
      <c r="AE519" t="str">
        <f>IF('[1]P-GENERAL'!AE519="","",'[1]P-GENERAL'!AE519)</f>
        <v/>
      </c>
    </row>
    <row r="520" spans="1:31" ht="20.25" x14ac:dyDescent="0.3">
      <c r="A520" s="11" t="str">
        <f>IF('[1]P-GENERAL'!A520="","",'[1]P-GENERAL'!A520)</f>
        <v/>
      </c>
      <c r="B520" s="11" t="str">
        <f>IF('[1]P-GENERAL'!B520="","",'[1]P-GENERAL'!B520)</f>
        <v/>
      </c>
      <c r="C520" t="str">
        <f>IF('[1]P-GENERAL'!C520="","",'[1]P-GENERAL'!C520)</f>
        <v/>
      </c>
      <c r="D520" t="str">
        <f>IF('[1]P-GENERAL'!D520="","",'[1]P-GENERAL'!D520)</f>
        <v/>
      </c>
      <c r="E520" s="8" t="str">
        <f>IF('[1]P-GENERAL'!E520="","",'[1]P-GENERAL'!E520)</f>
        <v/>
      </c>
      <c r="F520" s="12" t="str">
        <f>IF('[1]P-GENERAL'!F520="","",'[1]P-GENERAL'!F520)</f>
        <v/>
      </c>
      <c r="G520" s="13" t="str">
        <f>IF('[1]P-GENERAL'!G520="","",'[1]P-GENERAL'!G520)</f>
        <v/>
      </c>
      <c r="H520" s="14" t="str">
        <f>IF('[1]P-GENERAL'!H520="","",'[1]P-GENERAL'!H520)</f>
        <v/>
      </c>
      <c r="I520" t="str">
        <f>IF('[1]P-GENERAL'!I520="","",'[1]P-GENERAL'!I520)</f>
        <v/>
      </c>
      <c r="J520" s="15" t="str">
        <f>IF('[1]P-GENERAL'!J520="","",'[1]P-GENERAL'!J520)</f>
        <v/>
      </c>
      <c r="K520" s="14" t="str">
        <f>IF('[1]P-GENERAL'!K520="","",'[1]P-GENERAL'!K520)</f>
        <v/>
      </c>
      <c r="L520" s="14" t="str">
        <f>IF('[1]P-GENERAL'!L520="","",'[1]P-GENERAL'!L520)</f>
        <v/>
      </c>
      <c r="M520" t="str">
        <f>IF('[1]P-GENERAL'!M520="","",'[1]P-GENERAL'!M520)</f>
        <v/>
      </c>
      <c r="N520" t="str">
        <f>IF('[1]P-GENERAL'!N520="","",'[1]P-GENERAL'!N520)</f>
        <v/>
      </c>
      <c r="O520" s="14" t="str">
        <f>IF('[1]P-GENERAL'!O520="","",'[1]P-GENERAL'!O520)</f>
        <v/>
      </c>
      <c r="P520" s="16" t="str">
        <f>IF('[1]P-GENERAL'!P520="","",'[1]P-GENERAL'!P520)</f>
        <v/>
      </c>
      <c r="Q520" t="str">
        <f>IF('[1]P-GENERAL'!Q520="","",'[1]P-GENERAL'!Q520)</f>
        <v/>
      </c>
      <c r="R520" s="14" t="str">
        <f>IF('[1]P-GENERAL'!R520="","",'[1]P-GENERAL'!R520)</f>
        <v/>
      </c>
      <c r="S520" s="16" t="str">
        <f>IF('[1]P-GENERAL'!S520="","",'[1]P-GENERAL'!S520)</f>
        <v/>
      </c>
      <c r="T520" s="16" t="str">
        <f>IF('[1]P-GENERAL'!T520="","",'[1]P-GENERAL'!T520)</f>
        <v/>
      </c>
      <c r="U520" s="17" t="str">
        <f>IF('[1]P-GENERAL'!U520="","",'[1]P-GENERAL'!U520)</f>
        <v/>
      </c>
      <c r="V520" s="14" t="str">
        <f>IF('[1]P-GENERAL'!V520="","",'[1]P-GENERAL'!V520)</f>
        <v/>
      </c>
      <c r="W520" s="16" t="str">
        <f>IF('[1]P-GENERAL'!W520="","",'[1]P-GENERAL'!W520)</f>
        <v/>
      </c>
      <c r="X520" s="14" t="str">
        <f>IF('[1]P-GENERAL'!X520="","",'[1]P-GENERAL'!X520)</f>
        <v/>
      </c>
      <c r="Y520" s="14" t="str">
        <f>IF('[1]P-GENERAL'!Y520="","",'[1]P-GENERAL'!Y520)</f>
        <v/>
      </c>
      <c r="Z520" s="14" t="str">
        <f>IF('[1]P-GENERAL'!Z520="","",'[1]P-GENERAL'!Z520)</f>
        <v/>
      </c>
      <c r="AA520" s="14" t="str">
        <f>IF('[1]P-GENERAL'!AA520="","",'[1]P-GENERAL'!AA520)</f>
        <v/>
      </c>
      <c r="AB520" s="8" t="str">
        <f>IF('[1]P-GENERAL'!AB520="","",'[1]P-GENERAL'!AB520)</f>
        <v/>
      </c>
      <c r="AC520" s="8" t="str">
        <f>IF('[1]P-GENERAL'!AC520="","",'[1]P-GENERAL'!AC520)</f>
        <v/>
      </c>
      <c r="AD520" t="str">
        <f>IF('[1]P-GENERAL'!AD520="","",'[1]P-GENERAL'!AD520)</f>
        <v/>
      </c>
      <c r="AE520" t="str">
        <f>IF('[1]P-GENERAL'!AE520="","",'[1]P-GENERAL'!AE520)</f>
        <v/>
      </c>
    </row>
    <row r="521" spans="1:31" ht="20.25" x14ac:dyDescent="0.3">
      <c r="A521" s="11" t="str">
        <f>IF('[1]P-GENERAL'!A521="","",'[1]P-GENERAL'!A521)</f>
        <v/>
      </c>
      <c r="B521" s="11" t="str">
        <f>IF('[1]P-GENERAL'!B521="","",'[1]P-GENERAL'!B521)</f>
        <v/>
      </c>
      <c r="C521" t="str">
        <f>IF('[1]P-GENERAL'!C521="","",'[1]P-GENERAL'!C521)</f>
        <v/>
      </c>
      <c r="D521" t="str">
        <f>IF('[1]P-GENERAL'!D521="","",'[1]P-GENERAL'!D521)</f>
        <v/>
      </c>
      <c r="E521" s="8" t="str">
        <f>IF('[1]P-GENERAL'!E521="","",'[1]P-GENERAL'!E521)</f>
        <v/>
      </c>
      <c r="F521" s="12" t="str">
        <f>IF('[1]P-GENERAL'!F521="","",'[1]P-GENERAL'!F521)</f>
        <v/>
      </c>
      <c r="G521" s="13" t="str">
        <f>IF('[1]P-GENERAL'!G521="","",'[1]P-GENERAL'!G521)</f>
        <v/>
      </c>
      <c r="H521" s="14" t="str">
        <f>IF('[1]P-GENERAL'!H521="","",'[1]P-GENERAL'!H521)</f>
        <v/>
      </c>
      <c r="I521" t="str">
        <f>IF('[1]P-GENERAL'!I521="","",'[1]P-GENERAL'!I521)</f>
        <v/>
      </c>
      <c r="J521" s="15" t="str">
        <f>IF('[1]P-GENERAL'!J521="","",'[1]P-GENERAL'!J521)</f>
        <v/>
      </c>
      <c r="K521" s="14" t="str">
        <f>IF('[1]P-GENERAL'!K521="","",'[1]P-GENERAL'!K521)</f>
        <v/>
      </c>
      <c r="L521" s="14" t="str">
        <f>IF('[1]P-GENERAL'!L521="","",'[1]P-GENERAL'!L521)</f>
        <v/>
      </c>
      <c r="M521" t="str">
        <f>IF('[1]P-GENERAL'!M521="","",'[1]P-GENERAL'!M521)</f>
        <v/>
      </c>
      <c r="N521" t="str">
        <f>IF('[1]P-GENERAL'!N521="","",'[1]P-GENERAL'!N521)</f>
        <v/>
      </c>
      <c r="O521" s="14" t="str">
        <f>IF('[1]P-GENERAL'!O521="","",'[1]P-GENERAL'!O521)</f>
        <v/>
      </c>
      <c r="P521" s="16" t="str">
        <f>IF('[1]P-GENERAL'!P521="","",'[1]P-GENERAL'!P521)</f>
        <v/>
      </c>
      <c r="Q521" t="str">
        <f>IF('[1]P-GENERAL'!Q521="","",'[1]P-GENERAL'!Q521)</f>
        <v/>
      </c>
      <c r="R521" s="14" t="str">
        <f>IF('[1]P-GENERAL'!R521="","",'[1]P-GENERAL'!R521)</f>
        <v/>
      </c>
      <c r="S521" s="16" t="str">
        <f>IF('[1]P-GENERAL'!S521="","",'[1]P-GENERAL'!S521)</f>
        <v/>
      </c>
      <c r="T521" s="16" t="str">
        <f>IF('[1]P-GENERAL'!T521="","",'[1]P-GENERAL'!T521)</f>
        <v/>
      </c>
      <c r="U521" s="17" t="str">
        <f>IF('[1]P-GENERAL'!U521="","",'[1]P-GENERAL'!U521)</f>
        <v/>
      </c>
      <c r="V521" s="14" t="str">
        <f>IF('[1]P-GENERAL'!V521="","",'[1]P-GENERAL'!V521)</f>
        <v/>
      </c>
      <c r="W521" s="16" t="str">
        <f>IF('[1]P-GENERAL'!W521="","",'[1]P-GENERAL'!W521)</f>
        <v/>
      </c>
      <c r="X521" s="14" t="str">
        <f>IF('[1]P-GENERAL'!X521="","",'[1]P-GENERAL'!X521)</f>
        <v/>
      </c>
      <c r="Y521" s="14" t="str">
        <f>IF('[1]P-GENERAL'!Y521="","",'[1]P-GENERAL'!Y521)</f>
        <v/>
      </c>
      <c r="Z521" s="14" t="str">
        <f>IF('[1]P-GENERAL'!Z521="","",'[1]P-GENERAL'!Z521)</f>
        <v/>
      </c>
      <c r="AA521" s="14" t="str">
        <f>IF('[1]P-GENERAL'!AA521="","",'[1]P-GENERAL'!AA521)</f>
        <v/>
      </c>
      <c r="AB521" s="8" t="str">
        <f>IF('[1]P-GENERAL'!AB521="","",'[1]P-GENERAL'!AB521)</f>
        <v/>
      </c>
      <c r="AC521" s="8" t="str">
        <f>IF('[1]P-GENERAL'!AC521="","",'[1]P-GENERAL'!AC521)</f>
        <v/>
      </c>
      <c r="AD521" t="str">
        <f>IF('[1]P-GENERAL'!AD521="","",'[1]P-GENERAL'!AD521)</f>
        <v/>
      </c>
      <c r="AE521" t="str">
        <f>IF('[1]P-GENERAL'!AE521="","",'[1]P-GENERAL'!AE521)</f>
        <v/>
      </c>
    </row>
    <row r="522" spans="1:31" ht="20.25" x14ac:dyDescent="0.3">
      <c r="A522" s="11" t="str">
        <f>IF('[1]P-GENERAL'!A522="","",'[1]P-GENERAL'!A522)</f>
        <v/>
      </c>
      <c r="B522" s="11" t="str">
        <f>IF('[1]P-GENERAL'!B522="","",'[1]P-GENERAL'!B522)</f>
        <v/>
      </c>
      <c r="C522" t="str">
        <f>IF('[1]P-GENERAL'!C522="","",'[1]P-GENERAL'!C522)</f>
        <v/>
      </c>
      <c r="D522" t="str">
        <f>IF('[1]P-GENERAL'!D522="","",'[1]P-GENERAL'!D522)</f>
        <v/>
      </c>
      <c r="E522" s="8" t="str">
        <f>IF('[1]P-GENERAL'!E522="","",'[1]P-GENERAL'!E522)</f>
        <v/>
      </c>
      <c r="F522" s="12" t="str">
        <f>IF('[1]P-GENERAL'!F522="","",'[1]P-GENERAL'!F522)</f>
        <v/>
      </c>
      <c r="G522" s="13" t="str">
        <f>IF('[1]P-GENERAL'!G522="","",'[1]P-GENERAL'!G522)</f>
        <v/>
      </c>
      <c r="H522" s="14" t="str">
        <f>IF('[1]P-GENERAL'!H522="","",'[1]P-GENERAL'!H522)</f>
        <v/>
      </c>
      <c r="I522" t="str">
        <f>IF('[1]P-GENERAL'!I522="","",'[1]P-GENERAL'!I522)</f>
        <v/>
      </c>
      <c r="J522" s="15" t="str">
        <f>IF('[1]P-GENERAL'!J522="","",'[1]P-GENERAL'!J522)</f>
        <v/>
      </c>
      <c r="K522" s="14" t="str">
        <f>IF('[1]P-GENERAL'!K522="","",'[1]P-GENERAL'!K522)</f>
        <v/>
      </c>
      <c r="L522" s="14" t="str">
        <f>IF('[1]P-GENERAL'!L522="","",'[1]P-GENERAL'!L522)</f>
        <v/>
      </c>
      <c r="M522" t="str">
        <f>IF('[1]P-GENERAL'!M522="","",'[1]P-GENERAL'!M522)</f>
        <v/>
      </c>
      <c r="N522" t="str">
        <f>IF('[1]P-GENERAL'!N522="","",'[1]P-GENERAL'!N522)</f>
        <v/>
      </c>
      <c r="O522" s="14" t="str">
        <f>IF('[1]P-GENERAL'!O522="","",'[1]P-GENERAL'!O522)</f>
        <v/>
      </c>
      <c r="P522" s="16" t="str">
        <f>IF('[1]P-GENERAL'!P522="","",'[1]P-GENERAL'!P522)</f>
        <v/>
      </c>
      <c r="Q522" t="str">
        <f>IF('[1]P-GENERAL'!Q522="","",'[1]P-GENERAL'!Q522)</f>
        <v/>
      </c>
      <c r="R522" s="14" t="str">
        <f>IF('[1]P-GENERAL'!R522="","",'[1]P-GENERAL'!R522)</f>
        <v/>
      </c>
      <c r="S522" s="16" t="str">
        <f>IF('[1]P-GENERAL'!S522="","",'[1]P-GENERAL'!S522)</f>
        <v/>
      </c>
      <c r="T522" s="16" t="str">
        <f>IF('[1]P-GENERAL'!T522="","",'[1]P-GENERAL'!T522)</f>
        <v/>
      </c>
      <c r="U522" s="17" t="str">
        <f>IF('[1]P-GENERAL'!U522="","",'[1]P-GENERAL'!U522)</f>
        <v/>
      </c>
      <c r="V522" s="14" t="str">
        <f>IF('[1]P-GENERAL'!V522="","",'[1]P-GENERAL'!V522)</f>
        <v/>
      </c>
      <c r="W522" s="16" t="str">
        <f>IF('[1]P-GENERAL'!W522="","",'[1]P-GENERAL'!W522)</f>
        <v/>
      </c>
      <c r="X522" s="14" t="str">
        <f>IF('[1]P-GENERAL'!X522="","",'[1]P-GENERAL'!X522)</f>
        <v/>
      </c>
      <c r="Y522" s="14" t="str">
        <f>IF('[1]P-GENERAL'!Y522="","",'[1]P-GENERAL'!Y522)</f>
        <v/>
      </c>
      <c r="Z522" s="14" t="str">
        <f>IF('[1]P-GENERAL'!Z522="","",'[1]P-GENERAL'!Z522)</f>
        <v/>
      </c>
      <c r="AA522" s="14" t="str">
        <f>IF('[1]P-GENERAL'!AA522="","",'[1]P-GENERAL'!AA522)</f>
        <v/>
      </c>
      <c r="AB522" s="8" t="str">
        <f>IF('[1]P-GENERAL'!AB522="","",'[1]P-GENERAL'!AB522)</f>
        <v/>
      </c>
      <c r="AC522" s="8" t="str">
        <f>IF('[1]P-GENERAL'!AC522="","",'[1]P-GENERAL'!AC522)</f>
        <v/>
      </c>
      <c r="AD522" t="str">
        <f>IF('[1]P-GENERAL'!AD522="","",'[1]P-GENERAL'!AD522)</f>
        <v/>
      </c>
      <c r="AE522" t="str">
        <f>IF('[1]P-GENERAL'!AE522="","",'[1]P-GENERAL'!AE522)</f>
        <v/>
      </c>
    </row>
    <row r="523" spans="1:31" ht="20.25" x14ac:dyDescent="0.3">
      <c r="A523" s="11" t="str">
        <f>IF('[1]P-GENERAL'!A523="","",'[1]P-GENERAL'!A523)</f>
        <v/>
      </c>
      <c r="B523" s="11" t="str">
        <f>IF('[1]P-GENERAL'!B523="","",'[1]P-GENERAL'!B523)</f>
        <v/>
      </c>
      <c r="C523" t="str">
        <f>IF('[1]P-GENERAL'!C523="","",'[1]P-GENERAL'!C523)</f>
        <v/>
      </c>
      <c r="D523" t="str">
        <f>IF('[1]P-GENERAL'!D523="","",'[1]P-GENERAL'!D523)</f>
        <v/>
      </c>
      <c r="E523" s="8" t="str">
        <f>IF('[1]P-GENERAL'!E523="","",'[1]P-GENERAL'!E523)</f>
        <v/>
      </c>
      <c r="F523" s="12" t="str">
        <f>IF('[1]P-GENERAL'!F523="","",'[1]P-GENERAL'!F523)</f>
        <v/>
      </c>
      <c r="G523" s="13" t="str">
        <f>IF('[1]P-GENERAL'!G523="","",'[1]P-GENERAL'!G523)</f>
        <v/>
      </c>
      <c r="H523" s="14" t="str">
        <f>IF('[1]P-GENERAL'!H523="","",'[1]P-GENERAL'!H523)</f>
        <v/>
      </c>
      <c r="I523" t="str">
        <f>IF('[1]P-GENERAL'!I523="","",'[1]P-GENERAL'!I523)</f>
        <v/>
      </c>
      <c r="J523" s="15" t="str">
        <f>IF('[1]P-GENERAL'!J523="","",'[1]P-GENERAL'!J523)</f>
        <v/>
      </c>
      <c r="K523" s="14" t="str">
        <f>IF('[1]P-GENERAL'!K523="","",'[1]P-GENERAL'!K523)</f>
        <v/>
      </c>
      <c r="L523" s="14" t="str">
        <f>IF('[1]P-GENERAL'!L523="","",'[1]P-GENERAL'!L523)</f>
        <v/>
      </c>
      <c r="M523" t="str">
        <f>IF('[1]P-GENERAL'!M523="","",'[1]P-GENERAL'!M523)</f>
        <v/>
      </c>
      <c r="N523" t="str">
        <f>IF('[1]P-GENERAL'!N523="","",'[1]P-GENERAL'!N523)</f>
        <v/>
      </c>
      <c r="O523" s="14" t="str">
        <f>IF('[1]P-GENERAL'!O523="","",'[1]P-GENERAL'!O523)</f>
        <v/>
      </c>
      <c r="P523" s="16" t="str">
        <f>IF('[1]P-GENERAL'!P523="","",'[1]P-GENERAL'!P523)</f>
        <v/>
      </c>
      <c r="Q523" t="str">
        <f>IF('[1]P-GENERAL'!Q523="","",'[1]P-GENERAL'!Q523)</f>
        <v/>
      </c>
      <c r="R523" s="14" t="str">
        <f>IF('[1]P-GENERAL'!R523="","",'[1]P-GENERAL'!R523)</f>
        <v/>
      </c>
      <c r="S523" s="16" t="str">
        <f>IF('[1]P-GENERAL'!S523="","",'[1]P-GENERAL'!S523)</f>
        <v/>
      </c>
      <c r="T523" s="16" t="str">
        <f>IF('[1]P-GENERAL'!T523="","",'[1]P-GENERAL'!T523)</f>
        <v/>
      </c>
      <c r="U523" s="17" t="str">
        <f>IF('[1]P-GENERAL'!U523="","",'[1]P-GENERAL'!U523)</f>
        <v/>
      </c>
      <c r="V523" s="14" t="str">
        <f>IF('[1]P-GENERAL'!V523="","",'[1]P-GENERAL'!V523)</f>
        <v/>
      </c>
      <c r="W523" s="16" t="str">
        <f>IF('[1]P-GENERAL'!W523="","",'[1]P-GENERAL'!W523)</f>
        <v/>
      </c>
      <c r="X523" s="14" t="str">
        <f>IF('[1]P-GENERAL'!X523="","",'[1]P-GENERAL'!X523)</f>
        <v/>
      </c>
      <c r="Y523" s="14" t="str">
        <f>IF('[1]P-GENERAL'!Y523="","",'[1]P-GENERAL'!Y523)</f>
        <v/>
      </c>
      <c r="Z523" s="14" t="str">
        <f>IF('[1]P-GENERAL'!Z523="","",'[1]P-GENERAL'!Z523)</f>
        <v/>
      </c>
      <c r="AA523" s="14" t="str">
        <f>IF('[1]P-GENERAL'!AA523="","",'[1]P-GENERAL'!AA523)</f>
        <v/>
      </c>
      <c r="AB523" s="8" t="str">
        <f>IF('[1]P-GENERAL'!AB523="","",'[1]P-GENERAL'!AB523)</f>
        <v/>
      </c>
      <c r="AC523" s="8" t="str">
        <f>IF('[1]P-GENERAL'!AC523="","",'[1]P-GENERAL'!AC523)</f>
        <v/>
      </c>
      <c r="AD523" t="str">
        <f>IF('[1]P-GENERAL'!AD523="","",'[1]P-GENERAL'!AD523)</f>
        <v/>
      </c>
      <c r="AE523" t="str">
        <f>IF('[1]P-GENERAL'!AE523="","",'[1]P-GENERAL'!AE523)</f>
        <v/>
      </c>
    </row>
    <row r="524" spans="1:31" ht="20.25" x14ac:dyDescent="0.3">
      <c r="A524" s="11" t="str">
        <f>IF('[1]P-GENERAL'!A524="","",'[1]P-GENERAL'!A524)</f>
        <v/>
      </c>
      <c r="B524" s="11" t="str">
        <f>IF('[1]P-GENERAL'!B524="","",'[1]P-GENERAL'!B524)</f>
        <v/>
      </c>
      <c r="C524" t="str">
        <f>IF('[1]P-GENERAL'!C524="","",'[1]P-GENERAL'!C524)</f>
        <v/>
      </c>
      <c r="D524" t="str">
        <f>IF('[1]P-GENERAL'!D524="","",'[1]P-GENERAL'!D524)</f>
        <v/>
      </c>
      <c r="E524" s="8" t="str">
        <f>IF('[1]P-GENERAL'!E524="","",'[1]P-GENERAL'!E524)</f>
        <v/>
      </c>
      <c r="F524" s="12" t="str">
        <f>IF('[1]P-GENERAL'!F524="","",'[1]P-GENERAL'!F524)</f>
        <v/>
      </c>
      <c r="G524" s="13" t="str">
        <f>IF('[1]P-GENERAL'!G524="","",'[1]P-GENERAL'!G524)</f>
        <v/>
      </c>
      <c r="H524" s="14" t="str">
        <f>IF('[1]P-GENERAL'!H524="","",'[1]P-GENERAL'!H524)</f>
        <v/>
      </c>
      <c r="I524" t="str">
        <f>IF('[1]P-GENERAL'!I524="","",'[1]P-GENERAL'!I524)</f>
        <v/>
      </c>
      <c r="J524" s="15" t="str">
        <f>IF('[1]P-GENERAL'!J524="","",'[1]P-GENERAL'!J524)</f>
        <v/>
      </c>
      <c r="K524" s="14" t="str">
        <f>IF('[1]P-GENERAL'!K524="","",'[1]P-GENERAL'!K524)</f>
        <v/>
      </c>
      <c r="L524" s="14" t="str">
        <f>IF('[1]P-GENERAL'!L524="","",'[1]P-GENERAL'!L524)</f>
        <v/>
      </c>
      <c r="M524" t="str">
        <f>IF('[1]P-GENERAL'!M524="","",'[1]P-GENERAL'!M524)</f>
        <v/>
      </c>
      <c r="N524" t="str">
        <f>IF('[1]P-GENERAL'!N524="","",'[1]P-GENERAL'!N524)</f>
        <v/>
      </c>
      <c r="O524" s="14" t="str">
        <f>IF('[1]P-GENERAL'!O524="","",'[1]P-GENERAL'!O524)</f>
        <v/>
      </c>
      <c r="P524" s="16" t="str">
        <f>IF('[1]P-GENERAL'!P524="","",'[1]P-GENERAL'!P524)</f>
        <v/>
      </c>
      <c r="Q524" t="str">
        <f>IF('[1]P-GENERAL'!Q524="","",'[1]P-GENERAL'!Q524)</f>
        <v/>
      </c>
      <c r="R524" s="14" t="str">
        <f>IF('[1]P-GENERAL'!R524="","",'[1]P-GENERAL'!R524)</f>
        <v/>
      </c>
      <c r="S524" s="16" t="str">
        <f>IF('[1]P-GENERAL'!S524="","",'[1]P-GENERAL'!S524)</f>
        <v/>
      </c>
      <c r="T524" s="16" t="str">
        <f>IF('[1]P-GENERAL'!T524="","",'[1]P-GENERAL'!T524)</f>
        <v/>
      </c>
      <c r="U524" s="17" t="str">
        <f>IF('[1]P-GENERAL'!U524="","",'[1]P-GENERAL'!U524)</f>
        <v/>
      </c>
      <c r="V524" s="14" t="str">
        <f>IF('[1]P-GENERAL'!V524="","",'[1]P-GENERAL'!V524)</f>
        <v/>
      </c>
      <c r="W524" s="16" t="str">
        <f>IF('[1]P-GENERAL'!W524="","",'[1]P-GENERAL'!W524)</f>
        <v/>
      </c>
      <c r="X524" s="14" t="str">
        <f>IF('[1]P-GENERAL'!X524="","",'[1]P-GENERAL'!X524)</f>
        <v/>
      </c>
      <c r="Y524" s="14" t="str">
        <f>IF('[1]P-GENERAL'!Y524="","",'[1]P-GENERAL'!Y524)</f>
        <v/>
      </c>
      <c r="Z524" s="14" t="str">
        <f>IF('[1]P-GENERAL'!Z524="","",'[1]P-GENERAL'!Z524)</f>
        <v/>
      </c>
      <c r="AA524" s="14" t="str">
        <f>IF('[1]P-GENERAL'!AA524="","",'[1]P-GENERAL'!AA524)</f>
        <v/>
      </c>
      <c r="AB524" s="8" t="str">
        <f>IF('[1]P-GENERAL'!AB524="","",'[1]P-GENERAL'!AB524)</f>
        <v/>
      </c>
      <c r="AC524" s="8" t="str">
        <f>IF('[1]P-GENERAL'!AC524="","",'[1]P-GENERAL'!AC524)</f>
        <v/>
      </c>
      <c r="AD524" t="str">
        <f>IF('[1]P-GENERAL'!AD524="","",'[1]P-GENERAL'!AD524)</f>
        <v/>
      </c>
      <c r="AE524" t="str">
        <f>IF('[1]P-GENERAL'!AE524="","",'[1]P-GENERAL'!AE524)</f>
        <v/>
      </c>
    </row>
    <row r="525" spans="1:31" ht="20.25" x14ac:dyDescent="0.3">
      <c r="A525" s="11" t="str">
        <f>IF('[1]P-GENERAL'!A525="","",'[1]P-GENERAL'!A525)</f>
        <v/>
      </c>
      <c r="B525" s="11" t="str">
        <f>IF('[1]P-GENERAL'!B525="","",'[1]P-GENERAL'!B525)</f>
        <v/>
      </c>
      <c r="C525" t="str">
        <f>IF('[1]P-GENERAL'!C525="","",'[1]P-GENERAL'!C525)</f>
        <v/>
      </c>
      <c r="D525" t="str">
        <f>IF('[1]P-GENERAL'!D525="","",'[1]P-GENERAL'!D525)</f>
        <v/>
      </c>
      <c r="E525" s="8" t="str">
        <f>IF('[1]P-GENERAL'!E525="","",'[1]P-GENERAL'!E525)</f>
        <v/>
      </c>
      <c r="F525" s="12" t="str">
        <f>IF('[1]P-GENERAL'!F525="","",'[1]P-GENERAL'!F525)</f>
        <v/>
      </c>
      <c r="G525" s="13" t="str">
        <f>IF('[1]P-GENERAL'!G525="","",'[1]P-GENERAL'!G525)</f>
        <v/>
      </c>
      <c r="H525" s="14" t="str">
        <f>IF('[1]P-GENERAL'!H525="","",'[1]P-GENERAL'!H525)</f>
        <v/>
      </c>
      <c r="I525" t="str">
        <f>IF('[1]P-GENERAL'!I525="","",'[1]P-GENERAL'!I525)</f>
        <v/>
      </c>
      <c r="J525" s="15" t="str">
        <f>IF('[1]P-GENERAL'!J525="","",'[1]P-GENERAL'!J525)</f>
        <v/>
      </c>
      <c r="K525" s="14" t="str">
        <f>IF('[1]P-GENERAL'!K525="","",'[1]P-GENERAL'!K525)</f>
        <v/>
      </c>
      <c r="L525" s="14" t="str">
        <f>IF('[1]P-GENERAL'!L525="","",'[1]P-GENERAL'!L525)</f>
        <v/>
      </c>
      <c r="M525" t="str">
        <f>IF('[1]P-GENERAL'!M525="","",'[1]P-GENERAL'!M525)</f>
        <v/>
      </c>
      <c r="N525" t="str">
        <f>IF('[1]P-GENERAL'!N525="","",'[1]P-GENERAL'!N525)</f>
        <v/>
      </c>
      <c r="O525" s="14" t="str">
        <f>IF('[1]P-GENERAL'!O525="","",'[1]P-GENERAL'!O525)</f>
        <v/>
      </c>
      <c r="P525" s="16" t="str">
        <f>IF('[1]P-GENERAL'!P525="","",'[1]P-GENERAL'!P525)</f>
        <v/>
      </c>
      <c r="Q525" t="str">
        <f>IF('[1]P-GENERAL'!Q525="","",'[1]P-GENERAL'!Q525)</f>
        <v/>
      </c>
      <c r="R525" s="14" t="str">
        <f>IF('[1]P-GENERAL'!R525="","",'[1]P-GENERAL'!R525)</f>
        <v/>
      </c>
      <c r="S525" s="16" t="str">
        <f>IF('[1]P-GENERAL'!S525="","",'[1]P-GENERAL'!S525)</f>
        <v/>
      </c>
      <c r="T525" s="16" t="str">
        <f>IF('[1]P-GENERAL'!T525="","",'[1]P-GENERAL'!T525)</f>
        <v/>
      </c>
      <c r="U525" s="17" t="str">
        <f>IF('[1]P-GENERAL'!U525="","",'[1]P-GENERAL'!U525)</f>
        <v/>
      </c>
      <c r="V525" s="14" t="str">
        <f>IF('[1]P-GENERAL'!V525="","",'[1]P-GENERAL'!V525)</f>
        <v/>
      </c>
      <c r="W525" s="16" t="str">
        <f>IF('[1]P-GENERAL'!W525="","",'[1]P-GENERAL'!W525)</f>
        <v/>
      </c>
      <c r="X525" s="14" t="str">
        <f>IF('[1]P-GENERAL'!X525="","",'[1]P-GENERAL'!X525)</f>
        <v/>
      </c>
      <c r="Y525" s="14" t="str">
        <f>IF('[1]P-GENERAL'!Y525="","",'[1]P-GENERAL'!Y525)</f>
        <v/>
      </c>
      <c r="Z525" s="14" t="str">
        <f>IF('[1]P-GENERAL'!Z525="","",'[1]P-GENERAL'!Z525)</f>
        <v/>
      </c>
      <c r="AA525" s="14" t="str">
        <f>IF('[1]P-GENERAL'!AA525="","",'[1]P-GENERAL'!AA525)</f>
        <v/>
      </c>
      <c r="AB525" s="8" t="str">
        <f>IF('[1]P-GENERAL'!AB525="","",'[1]P-GENERAL'!AB525)</f>
        <v/>
      </c>
      <c r="AC525" s="8" t="str">
        <f>IF('[1]P-GENERAL'!AC525="","",'[1]P-GENERAL'!AC525)</f>
        <v/>
      </c>
      <c r="AD525" t="str">
        <f>IF('[1]P-GENERAL'!AD525="","",'[1]P-GENERAL'!AD525)</f>
        <v/>
      </c>
      <c r="AE525" t="str">
        <f>IF('[1]P-GENERAL'!AE525="","",'[1]P-GENERAL'!AE525)</f>
        <v/>
      </c>
    </row>
    <row r="526" spans="1:31" ht="20.25" x14ac:dyDescent="0.3">
      <c r="A526" s="11" t="str">
        <f>IF('[1]P-GENERAL'!A526="","",'[1]P-GENERAL'!A526)</f>
        <v/>
      </c>
      <c r="B526" s="11" t="str">
        <f>IF('[1]P-GENERAL'!B526="","",'[1]P-GENERAL'!B526)</f>
        <v/>
      </c>
      <c r="C526" t="str">
        <f>IF('[1]P-GENERAL'!C526="","",'[1]P-GENERAL'!C526)</f>
        <v/>
      </c>
      <c r="D526" t="str">
        <f>IF('[1]P-GENERAL'!D526="","",'[1]P-GENERAL'!D526)</f>
        <v/>
      </c>
      <c r="E526" s="8" t="str">
        <f>IF('[1]P-GENERAL'!E526="","",'[1]P-GENERAL'!E526)</f>
        <v/>
      </c>
      <c r="F526" s="12" t="str">
        <f>IF('[1]P-GENERAL'!F526="","",'[1]P-GENERAL'!F526)</f>
        <v/>
      </c>
      <c r="G526" s="13" t="str">
        <f>IF('[1]P-GENERAL'!G526="","",'[1]P-GENERAL'!G526)</f>
        <v/>
      </c>
      <c r="H526" s="14" t="str">
        <f>IF('[1]P-GENERAL'!H526="","",'[1]P-GENERAL'!H526)</f>
        <v/>
      </c>
      <c r="I526" t="str">
        <f>IF('[1]P-GENERAL'!I526="","",'[1]P-GENERAL'!I526)</f>
        <v/>
      </c>
      <c r="J526" s="15" t="str">
        <f>IF('[1]P-GENERAL'!J526="","",'[1]P-GENERAL'!J526)</f>
        <v/>
      </c>
      <c r="K526" s="14" t="str">
        <f>IF('[1]P-GENERAL'!K526="","",'[1]P-GENERAL'!K526)</f>
        <v/>
      </c>
      <c r="L526" s="14" t="str">
        <f>IF('[1]P-GENERAL'!L526="","",'[1]P-GENERAL'!L526)</f>
        <v/>
      </c>
      <c r="M526" t="str">
        <f>IF('[1]P-GENERAL'!M526="","",'[1]P-GENERAL'!M526)</f>
        <v/>
      </c>
      <c r="N526" t="str">
        <f>IF('[1]P-GENERAL'!N526="","",'[1]P-GENERAL'!N526)</f>
        <v/>
      </c>
      <c r="O526" s="14" t="str">
        <f>IF('[1]P-GENERAL'!O526="","",'[1]P-GENERAL'!O526)</f>
        <v/>
      </c>
      <c r="P526" s="16" t="str">
        <f>IF('[1]P-GENERAL'!P526="","",'[1]P-GENERAL'!P526)</f>
        <v/>
      </c>
      <c r="Q526" t="str">
        <f>IF('[1]P-GENERAL'!Q526="","",'[1]P-GENERAL'!Q526)</f>
        <v/>
      </c>
      <c r="R526" s="14" t="str">
        <f>IF('[1]P-GENERAL'!R526="","",'[1]P-GENERAL'!R526)</f>
        <v/>
      </c>
      <c r="S526" s="16" t="str">
        <f>IF('[1]P-GENERAL'!S526="","",'[1]P-GENERAL'!S526)</f>
        <v/>
      </c>
      <c r="T526" s="16" t="str">
        <f>IF('[1]P-GENERAL'!T526="","",'[1]P-GENERAL'!T526)</f>
        <v/>
      </c>
      <c r="U526" s="17" t="str">
        <f>IF('[1]P-GENERAL'!U526="","",'[1]P-GENERAL'!U526)</f>
        <v/>
      </c>
      <c r="V526" s="14" t="str">
        <f>IF('[1]P-GENERAL'!V526="","",'[1]P-GENERAL'!V526)</f>
        <v/>
      </c>
      <c r="W526" s="16" t="str">
        <f>IF('[1]P-GENERAL'!W526="","",'[1]P-GENERAL'!W526)</f>
        <v/>
      </c>
      <c r="X526" s="14" t="str">
        <f>IF('[1]P-GENERAL'!X526="","",'[1]P-GENERAL'!X526)</f>
        <v/>
      </c>
      <c r="Y526" s="14" t="str">
        <f>IF('[1]P-GENERAL'!Y526="","",'[1]P-GENERAL'!Y526)</f>
        <v/>
      </c>
      <c r="Z526" s="14" t="str">
        <f>IF('[1]P-GENERAL'!Z526="","",'[1]P-GENERAL'!Z526)</f>
        <v/>
      </c>
      <c r="AA526" s="14" t="str">
        <f>IF('[1]P-GENERAL'!AA526="","",'[1]P-GENERAL'!AA526)</f>
        <v/>
      </c>
      <c r="AB526" s="8" t="str">
        <f>IF('[1]P-GENERAL'!AB526="","",'[1]P-GENERAL'!AB526)</f>
        <v/>
      </c>
      <c r="AC526" s="8" t="str">
        <f>IF('[1]P-GENERAL'!AC526="","",'[1]P-GENERAL'!AC526)</f>
        <v/>
      </c>
      <c r="AD526" t="str">
        <f>IF('[1]P-GENERAL'!AD526="","",'[1]P-GENERAL'!AD526)</f>
        <v/>
      </c>
      <c r="AE526" t="str">
        <f>IF('[1]P-GENERAL'!AE526="","",'[1]P-GENERAL'!AE526)</f>
        <v/>
      </c>
    </row>
    <row r="527" spans="1:31" ht="20.25" x14ac:dyDescent="0.3">
      <c r="A527" s="11" t="str">
        <f>IF('[1]P-GENERAL'!A527="","",'[1]P-GENERAL'!A527)</f>
        <v/>
      </c>
      <c r="B527" s="11" t="str">
        <f>IF('[1]P-GENERAL'!B527="","",'[1]P-GENERAL'!B527)</f>
        <v/>
      </c>
      <c r="C527" t="str">
        <f>IF('[1]P-GENERAL'!C527="","",'[1]P-GENERAL'!C527)</f>
        <v/>
      </c>
      <c r="D527" t="str">
        <f>IF('[1]P-GENERAL'!D527="","",'[1]P-GENERAL'!D527)</f>
        <v/>
      </c>
      <c r="E527" s="8" t="str">
        <f>IF('[1]P-GENERAL'!E527="","",'[1]P-GENERAL'!E527)</f>
        <v/>
      </c>
      <c r="F527" s="12" t="str">
        <f>IF('[1]P-GENERAL'!F527="","",'[1]P-GENERAL'!F527)</f>
        <v/>
      </c>
      <c r="G527" s="13" t="str">
        <f>IF('[1]P-GENERAL'!G527="","",'[1]P-GENERAL'!G527)</f>
        <v/>
      </c>
      <c r="H527" s="14" t="str">
        <f>IF('[1]P-GENERAL'!H527="","",'[1]P-GENERAL'!H527)</f>
        <v/>
      </c>
      <c r="I527" t="str">
        <f>IF('[1]P-GENERAL'!I527="","",'[1]P-GENERAL'!I527)</f>
        <v/>
      </c>
      <c r="J527" s="15" t="str">
        <f>IF('[1]P-GENERAL'!J527="","",'[1]P-GENERAL'!J527)</f>
        <v/>
      </c>
      <c r="K527" s="14" t="str">
        <f>IF('[1]P-GENERAL'!K527="","",'[1]P-GENERAL'!K527)</f>
        <v/>
      </c>
      <c r="L527" s="14" t="str">
        <f>IF('[1]P-GENERAL'!L527="","",'[1]P-GENERAL'!L527)</f>
        <v/>
      </c>
      <c r="M527" t="str">
        <f>IF('[1]P-GENERAL'!M527="","",'[1]P-GENERAL'!M527)</f>
        <v/>
      </c>
      <c r="N527" t="str">
        <f>IF('[1]P-GENERAL'!N527="","",'[1]P-GENERAL'!N527)</f>
        <v/>
      </c>
      <c r="O527" s="14" t="str">
        <f>IF('[1]P-GENERAL'!O527="","",'[1]P-GENERAL'!O527)</f>
        <v/>
      </c>
      <c r="P527" s="16" t="str">
        <f>IF('[1]P-GENERAL'!P527="","",'[1]P-GENERAL'!P527)</f>
        <v/>
      </c>
      <c r="Q527" t="str">
        <f>IF('[1]P-GENERAL'!Q527="","",'[1]P-GENERAL'!Q527)</f>
        <v/>
      </c>
      <c r="R527" s="14" t="str">
        <f>IF('[1]P-GENERAL'!R527="","",'[1]P-GENERAL'!R527)</f>
        <v/>
      </c>
      <c r="S527" s="16" t="str">
        <f>IF('[1]P-GENERAL'!S527="","",'[1]P-GENERAL'!S527)</f>
        <v/>
      </c>
      <c r="T527" s="16" t="str">
        <f>IF('[1]P-GENERAL'!T527="","",'[1]P-GENERAL'!T527)</f>
        <v/>
      </c>
      <c r="U527" s="17" t="str">
        <f>IF('[1]P-GENERAL'!U527="","",'[1]P-GENERAL'!U527)</f>
        <v/>
      </c>
      <c r="V527" s="14" t="str">
        <f>IF('[1]P-GENERAL'!V527="","",'[1]P-GENERAL'!V527)</f>
        <v/>
      </c>
      <c r="W527" s="16" t="str">
        <f>IF('[1]P-GENERAL'!W527="","",'[1]P-GENERAL'!W527)</f>
        <v/>
      </c>
      <c r="X527" s="14" t="str">
        <f>IF('[1]P-GENERAL'!X527="","",'[1]P-GENERAL'!X527)</f>
        <v/>
      </c>
      <c r="Y527" s="14" t="str">
        <f>IF('[1]P-GENERAL'!Y527="","",'[1]P-GENERAL'!Y527)</f>
        <v/>
      </c>
      <c r="Z527" s="14" t="str">
        <f>IF('[1]P-GENERAL'!Z527="","",'[1]P-GENERAL'!Z527)</f>
        <v/>
      </c>
      <c r="AA527" s="14" t="str">
        <f>IF('[1]P-GENERAL'!AA527="","",'[1]P-GENERAL'!AA527)</f>
        <v/>
      </c>
      <c r="AB527" s="8" t="str">
        <f>IF('[1]P-GENERAL'!AB527="","",'[1]P-GENERAL'!AB527)</f>
        <v/>
      </c>
      <c r="AC527" s="8" t="str">
        <f>IF('[1]P-GENERAL'!AC527="","",'[1]P-GENERAL'!AC527)</f>
        <v/>
      </c>
      <c r="AD527" t="str">
        <f>IF('[1]P-GENERAL'!AD527="","",'[1]P-GENERAL'!AD527)</f>
        <v/>
      </c>
      <c r="AE527" t="str">
        <f>IF('[1]P-GENERAL'!AE527="","",'[1]P-GENERAL'!AE527)</f>
        <v/>
      </c>
    </row>
    <row r="528" spans="1:31" ht="20.25" x14ac:dyDescent="0.3">
      <c r="A528" s="11" t="str">
        <f>IF('[1]P-GENERAL'!A528="","",'[1]P-GENERAL'!A528)</f>
        <v/>
      </c>
      <c r="B528" s="11" t="str">
        <f>IF('[1]P-GENERAL'!B528="","",'[1]P-GENERAL'!B528)</f>
        <v/>
      </c>
      <c r="C528" t="str">
        <f>IF('[1]P-GENERAL'!C528="","",'[1]P-GENERAL'!C528)</f>
        <v/>
      </c>
      <c r="D528" t="str">
        <f>IF('[1]P-GENERAL'!D528="","",'[1]P-GENERAL'!D528)</f>
        <v/>
      </c>
      <c r="E528" s="8" t="str">
        <f>IF('[1]P-GENERAL'!E528="","",'[1]P-GENERAL'!E528)</f>
        <v/>
      </c>
      <c r="F528" s="12" t="str">
        <f>IF('[1]P-GENERAL'!F528="","",'[1]P-GENERAL'!F528)</f>
        <v/>
      </c>
      <c r="G528" s="13" t="str">
        <f>IF('[1]P-GENERAL'!G528="","",'[1]P-GENERAL'!G528)</f>
        <v/>
      </c>
      <c r="H528" s="14" t="str">
        <f>IF('[1]P-GENERAL'!H528="","",'[1]P-GENERAL'!H528)</f>
        <v/>
      </c>
      <c r="I528" t="str">
        <f>IF('[1]P-GENERAL'!I528="","",'[1]P-GENERAL'!I528)</f>
        <v/>
      </c>
      <c r="J528" s="15" t="str">
        <f>IF('[1]P-GENERAL'!J528="","",'[1]P-GENERAL'!J528)</f>
        <v/>
      </c>
      <c r="K528" s="14" t="str">
        <f>IF('[1]P-GENERAL'!K528="","",'[1]P-GENERAL'!K528)</f>
        <v/>
      </c>
      <c r="L528" s="14" t="str">
        <f>IF('[1]P-GENERAL'!L528="","",'[1]P-GENERAL'!L528)</f>
        <v/>
      </c>
      <c r="M528" t="str">
        <f>IF('[1]P-GENERAL'!M528="","",'[1]P-GENERAL'!M528)</f>
        <v/>
      </c>
      <c r="N528" t="str">
        <f>IF('[1]P-GENERAL'!N528="","",'[1]P-GENERAL'!N528)</f>
        <v/>
      </c>
      <c r="O528" s="14" t="str">
        <f>IF('[1]P-GENERAL'!O528="","",'[1]P-GENERAL'!O528)</f>
        <v/>
      </c>
      <c r="P528" s="16" t="str">
        <f>IF('[1]P-GENERAL'!P528="","",'[1]P-GENERAL'!P528)</f>
        <v/>
      </c>
      <c r="Q528" t="str">
        <f>IF('[1]P-GENERAL'!Q528="","",'[1]P-GENERAL'!Q528)</f>
        <v/>
      </c>
      <c r="R528" s="14" t="str">
        <f>IF('[1]P-GENERAL'!R528="","",'[1]P-GENERAL'!R528)</f>
        <v/>
      </c>
      <c r="S528" s="16" t="str">
        <f>IF('[1]P-GENERAL'!S528="","",'[1]P-GENERAL'!S528)</f>
        <v/>
      </c>
      <c r="T528" s="16" t="str">
        <f>IF('[1]P-GENERAL'!T528="","",'[1]P-GENERAL'!T528)</f>
        <v/>
      </c>
      <c r="U528" s="17" t="str">
        <f>IF('[1]P-GENERAL'!U528="","",'[1]P-GENERAL'!U528)</f>
        <v/>
      </c>
      <c r="V528" s="14" t="str">
        <f>IF('[1]P-GENERAL'!V528="","",'[1]P-GENERAL'!V528)</f>
        <v/>
      </c>
      <c r="W528" s="16" t="str">
        <f>IF('[1]P-GENERAL'!W528="","",'[1]P-GENERAL'!W528)</f>
        <v/>
      </c>
      <c r="X528" s="14" t="str">
        <f>IF('[1]P-GENERAL'!X528="","",'[1]P-GENERAL'!X528)</f>
        <v/>
      </c>
      <c r="Y528" s="14" t="str">
        <f>IF('[1]P-GENERAL'!Y528="","",'[1]P-GENERAL'!Y528)</f>
        <v/>
      </c>
      <c r="Z528" s="14" t="str">
        <f>IF('[1]P-GENERAL'!Z528="","",'[1]P-GENERAL'!Z528)</f>
        <v/>
      </c>
      <c r="AA528" s="14" t="str">
        <f>IF('[1]P-GENERAL'!AA528="","",'[1]P-GENERAL'!AA528)</f>
        <v/>
      </c>
      <c r="AB528" s="8" t="str">
        <f>IF('[1]P-GENERAL'!AB528="","",'[1]P-GENERAL'!AB528)</f>
        <v/>
      </c>
      <c r="AC528" s="8" t="str">
        <f>IF('[1]P-GENERAL'!AC528="","",'[1]P-GENERAL'!AC528)</f>
        <v/>
      </c>
      <c r="AD528" t="str">
        <f>IF('[1]P-GENERAL'!AD528="","",'[1]P-GENERAL'!AD528)</f>
        <v/>
      </c>
      <c r="AE528" t="str">
        <f>IF('[1]P-GENERAL'!AE528="","",'[1]P-GENERAL'!AE528)</f>
        <v/>
      </c>
    </row>
    <row r="529" spans="1:31" ht="20.25" x14ac:dyDescent="0.3">
      <c r="A529" s="11" t="str">
        <f>IF('[1]P-GENERAL'!A529="","",'[1]P-GENERAL'!A529)</f>
        <v/>
      </c>
      <c r="B529" s="11" t="str">
        <f>IF('[1]P-GENERAL'!B529="","",'[1]P-GENERAL'!B529)</f>
        <v/>
      </c>
      <c r="C529" t="str">
        <f>IF('[1]P-GENERAL'!C529="","",'[1]P-GENERAL'!C529)</f>
        <v/>
      </c>
      <c r="D529" t="str">
        <f>IF('[1]P-GENERAL'!D529="","",'[1]P-GENERAL'!D529)</f>
        <v/>
      </c>
      <c r="E529" s="8" t="str">
        <f>IF('[1]P-GENERAL'!E529="","",'[1]P-GENERAL'!E529)</f>
        <v/>
      </c>
      <c r="F529" s="12" t="str">
        <f>IF('[1]P-GENERAL'!F529="","",'[1]P-GENERAL'!F529)</f>
        <v/>
      </c>
      <c r="G529" s="13" t="str">
        <f>IF('[1]P-GENERAL'!G529="","",'[1]P-GENERAL'!G529)</f>
        <v/>
      </c>
      <c r="H529" s="14" t="str">
        <f>IF('[1]P-GENERAL'!H529="","",'[1]P-GENERAL'!H529)</f>
        <v/>
      </c>
      <c r="I529" t="str">
        <f>IF('[1]P-GENERAL'!I529="","",'[1]P-GENERAL'!I529)</f>
        <v/>
      </c>
      <c r="J529" s="15" t="str">
        <f>IF('[1]P-GENERAL'!J529="","",'[1]P-GENERAL'!J529)</f>
        <v/>
      </c>
      <c r="K529" s="14" t="str">
        <f>IF('[1]P-GENERAL'!K529="","",'[1]P-GENERAL'!K529)</f>
        <v/>
      </c>
      <c r="L529" s="14" t="str">
        <f>IF('[1]P-GENERAL'!L529="","",'[1]P-GENERAL'!L529)</f>
        <v/>
      </c>
      <c r="M529" t="str">
        <f>IF('[1]P-GENERAL'!M529="","",'[1]P-GENERAL'!M529)</f>
        <v/>
      </c>
      <c r="N529" t="str">
        <f>IF('[1]P-GENERAL'!N529="","",'[1]P-GENERAL'!N529)</f>
        <v/>
      </c>
      <c r="O529" s="14" t="str">
        <f>IF('[1]P-GENERAL'!O529="","",'[1]P-GENERAL'!O529)</f>
        <v/>
      </c>
      <c r="P529" s="16" t="str">
        <f>IF('[1]P-GENERAL'!P529="","",'[1]P-GENERAL'!P529)</f>
        <v/>
      </c>
      <c r="Q529" t="str">
        <f>IF('[1]P-GENERAL'!Q529="","",'[1]P-GENERAL'!Q529)</f>
        <v/>
      </c>
      <c r="R529" s="14" t="str">
        <f>IF('[1]P-GENERAL'!R529="","",'[1]P-GENERAL'!R529)</f>
        <v/>
      </c>
      <c r="S529" s="16" t="str">
        <f>IF('[1]P-GENERAL'!S529="","",'[1]P-GENERAL'!S529)</f>
        <v/>
      </c>
      <c r="T529" s="16" t="str">
        <f>IF('[1]P-GENERAL'!T529="","",'[1]P-GENERAL'!T529)</f>
        <v/>
      </c>
      <c r="U529" s="17" t="str">
        <f>IF('[1]P-GENERAL'!U529="","",'[1]P-GENERAL'!U529)</f>
        <v/>
      </c>
      <c r="V529" s="14" t="str">
        <f>IF('[1]P-GENERAL'!V529="","",'[1]P-GENERAL'!V529)</f>
        <v/>
      </c>
      <c r="W529" s="16" t="str">
        <f>IF('[1]P-GENERAL'!W529="","",'[1]P-GENERAL'!W529)</f>
        <v/>
      </c>
      <c r="X529" s="14" t="str">
        <f>IF('[1]P-GENERAL'!X529="","",'[1]P-GENERAL'!X529)</f>
        <v/>
      </c>
      <c r="Y529" s="14" t="str">
        <f>IF('[1]P-GENERAL'!Y529="","",'[1]P-GENERAL'!Y529)</f>
        <v/>
      </c>
      <c r="Z529" s="14" t="str">
        <f>IF('[1]P-GENERAL'!Z529="","",'[1]P-GENERAL'!Z529)</f>
        <v/>
      </c>
      <c r="AA529" s="14" t="str">
        <f>IF('[1]P-GENERAL'!AA529="","",'[1]P-GENERAL'!AA529)</f>
        <v/>
      </c>
      <c r="AB529" s="8" t="str">
        <f>IF('[1]P-GENERAL'!AB529="","",'[1]P-GENERAL'!AB529)</f>
        <v/>
      </c>
      <c r="AC529" s="8" t="str">
        <f>IF('[1]P-GENERAL'!AC529="","",'[1]P-GENERAL'!AC529)</f>
        <v/>
      </c>
      <c r="AD529" t="str">
        <f>IF('[1]P-GENERAL'!AD529="","",'[1]P-GENERAL'!AD529)</f>
        <v/>
      </c>
      <c r="AE529" t="str">
        <f>IF('[1]P-GENERAL'!AE529="","",'[1]P-GENERAL'!AE529)</f>
        <v/>
      </c>
    </row>
    <row r="530" spans="1:31" ht="20.25" x14ac:dyDescent="0.3">
      <c r="A530" s="11" t="str">
        <f>IF('[1]P-GENERAL'!A530="","",'[1]P-GENERAL'!A530)</f>
        <v/>
      </c>
      <c r="B530" s="11" t="str">
        <f>IF('[1]P-GENERAL'!B530="","",'[1]P-GENERAL'!B530)</f>
        <v/>
      </c>
      <c r="C530" t="str">
        <f>IF('[1]P-GENERAL'!C530="","",'[1]P-GENERAL'!C530)</f>
        <v/>
      </c>
      <c r="D530" t="str">
        <f>IF('[1]P-GENERAL'!D530="","",'[1]P-GENERAL'!D530)</f>
        <v/>
      </c>
      <c r="E530" s="8" t="str">
        <f>IF('[1]P-GENERAL'!E530="","",'[1]P-GENERAL'!E530)</f>
        <v/>
      </c>
      <c r="F530" s="12" t="str">
        <f>IF('[1]P-GENERAL'!F530="","",'[1]P-GENERAL'!F530)</f>
        <v/>
      </c>
      <c r="G530" s="13" t="str">
        <f>IF('[1]P-GENERAL'!G530="","",'[1]P-GENERAL'!G530)</f>
        <v/>
      </c>
      <c r="H530" s="14" t="str">
        <f>IF('[1]P-GENERAL'!H530="","",'[1]P-GENERAL'!H530)</f>
        <v/>
      </c>
      <c r="I530" t="str">
        <f>IF('[1]P-GENERAL'!I530="","",'[1]P-GENERAL'!I530)</f>
        <v/>
      </c>
      <c r="J530" s="15" t="str">
        <f>IF('[1]P-GENERAL'!J530="","",'[1]P-GENERAL'!J530)</f>
        <v/>
      </c>
      <c r="K530" s="14" t="str">
        <f>IF('[1]P-GENERAL'!K530="","",'[1]P-GENERAL'!K530)</f>
        <v/>
      </c>
      <c r="L530" s="14" t="str">
        <f>IF('[1]P-GENERAL'!L530="","",'[1]P-GENERAL'!L530)</f>
        <v/>
      </c>
      <c r="M530" t="str">
        <f>IF('[1]P-GENERAL'!M530="","",'[1]P-GENERAL'!M530)</f>
        <v/>
      </c>
      <c r="N530" t="str">
        <f>IF('[1]P-GENERAL'!N530="","",'[1]P-GENERAL'!N530)</f>
        <v/>
      </c>
      <c r="O530" s="14" t="str">
        <f>IF('[1]P-GENERAL'!O530="","",'[1]P-GENERAL'!O530)</f>
        <v/>
      </c>
      <c r="P530" s="16" t="str">
        <f>IF('[1]P-GENERAL'!P530="","",'[1]P-GENERAL'!P530)</f>
        <v/>
      </c>
      <c r="Q530" t="str">
        <f>IF('[1]P-GENERAL'!Q530="","",'[1]P-GENERAL'!Q530)</f>
        <v/>
      </c>
      <c r="R530" s="14" t="str">
        <f>IF('[1]P-GENERAL'!R530="","",'[1]P-GENERAL'!R530)</f>
        <v/>
      </c>
      <c r="S530" s="16" t="str">
        <f>IF('[1]P-GENERAL'!S530="","",'[1]P-GENERAL'!S530)</f>
        <v/>
      </c>
      <c r="T530" s="16" t="str">
        <f>IF('[1]P-GENERAL'!T530="","",'[1]P-GENERAL'!T530)</f>
        <v/>
      </c>
      <c r="U530" s="17" t="str">
        <f>IF('[1]P-GENERAL'!U530="","",'[1]P-GENERAL'!U530)</f>
        <v/>
      </c>
      <c r="V530" s="14" t="str">
        <f>IF('[1]P-GENERAL'!V530="","",'[1]P-GENERAL'!V530)</f>
        <v/>
      </c>
      <c r="W530" s="16" t="str">
        <f>IF('[1]P-GENERAL'!W530="","",'[1]P-GENERAL'!W530)</f>
        <v/>
      </c>
      <c r="X530" s="14" t="str">
        <f>IF('[1]P-GENERAL'!X530="","",'[1]P-GENERAL'!X530)</f>
        <v/>
      </c>
      <c r="Y530" s="14" t="str">
        <f>IF('[1]P-GENERAL'!Y530="","",'[1]P-GENERAL'!Y530)</f>
        <v/>
      </c>
      <c r="Z530" s="14" t="str">
        <f>IF('[1]P-GENERAL'!Z530="","",'[1]P-GENERAL'!Z530)</f>
        <v/>
      </c>
      <c r="AA530" s="14" t="str">
        <f>IF('[1]P-GENERAL'!AA530="","",'[1]P-GENERAL'!AA530)</f>
        <v/>
      </c>
      <c r="AB530" s="8" t="str">
        <f>IF('[1]P-GENERAL'!AB530="","",'[1]P-GENERAL'!AB530)</f>
        <v/>
      </c>
      <c r="AC530" s="8" t="str">
        <f>IF('[1]P-GENERAL'!AC530="","",'[1]P-GENERAL'!AC530)</f>
        <v/>
      </c>
      <c r="AD530" t="str">
        <f>IF('[1]P-GENERAL'!AD530="","",'[1]P-GENERAL'!AD530)</f>
        <v/>
      </c>
      <c r="AE530" t="str">
        <f>IF('[1]P-GENERAL'!AE530="","",'[1]P-GENERAL'!AE530)</f>
        <v/>
      </c>
    </row>
    <row r="531" spans="1:31" ht="20.25" x14ac:dyDescent="0.3">
      <c r="A531" s="11" t="str">
        <f>IF('[1]P-GENERAL'!A531="","",'[1]P-GENERAL'!A531)</f>
        <v/>
      </c>
      <c r="B531" s="11" t="str">
        <f>IF('[1]P-GENERAL'!B531="","",'[1]P-GENERAL'!B531)</f>
        <v/>
      </c>
      <c r="C531" t="str">
        <f>IF('[1]P-GENERAL'!C531="","",'[1]P-GENERAL'!C531)</f>
        <v/>
      </c>
      <c r="D531" t="str">
        <f>IF('[1]P-GENERAL'!D531="","",'[1]P-GENERAL'!D531)</f>
        <v/>
      </c>
      <c r="E531" s="8" t="str">
        <f>IF('[1]P-GENERAL'!E531="","",'[1]P-GENERAL'!E531)</f>
        <v/>
      </c>
      <c r="F531" s="12" t="str">
        <f>IF('[1]P-GENERAL'!F531="","",'[1]P-GENERAL'!F531)</f>
        <v/>
      </c>
      <c r="G531" s="13" t="str">
        <f>IF('[1]P-GENERAL'!G531="","",'[1]P-GENERAL'!G531)</f>
        <v/>
      </c>
      <c r="H531" s="14" t="str">
        <f>IF('[1]P-GENERAL'!H531="","",'[1]P-GENERAL'!H531)</f>
        <v/>
      </c>
      <c r="I531" t="str">
        <f>IF('[1]P-GENERAL'!I531="","",'[1]P-GENERAL'!I531)</f>
        <v/>
      </c>
      <c r="J531" s="15" t="str">
        <f>IF('[1]P-GENERAL'!J531="","",'[1]P-GENERAL'!J531)</f>
        <v/>
      </c>
      <c r="K531" s="14" t="str">
        <f>IF('[1]P-GENERAL'!K531="","",'[1]P-GENERAL'!K531)</f>
        <v/>
      </c>
      <c r="L531" s="14" t="str">
        <f>IF('[1]P-GENERAL'!L531="","",'[1]P-GENERAL'!L531)</f>
        <v/>
      </c>
      <c r="M531" t="str">
        <f>IF('[1]P-GENERAL'!M531="","",'[1]P-GENERAL'!M531)</f>
        <v/>
      </c>
      <c r="N531" t="str">
        <f>IF('[1]P-GENERAL'!N531="","",'[1]P-GENERAL'!N531)</f>
        <v/>
      </c>
      <c r="O531" s="14" t="str">
        <f>IF('[1]P-GENERAL'!O531="","",'[1]P-GENERAL'!O531)</f>
        <v/>
      </c>
      <c r="P531" s="16" t="str">
        <f>IF('[1]P-GENERAL'!P531="","",'[1]P-GENERAL'!P531)</f>
        <v/>
      </c>
      <c r="Q531" t="str">
        <f>IF('[1]P-GENERAL'!Q531="","",'[1]P-GENERAL'!Q531)</f>
        <v/>
      </c>
      <c r="R531" s="14" t="str">
        <f>IF('[1]P-GENERAL'!R531="","",'[1]P-GENERAL'!R531)</f>
        <v/>
      </c>
      <c r="S531" s="16" t="str">
        <f>IF('[1]P-GENERAL'!S531="","",'[1]P-GENERAL'!S531)</f>
        <v/>
      </c>
      <c r="T531" s="16" t="str">
        <f>IF('[1]P-GENERAL'!T531="","",'[1]P-GENERAL'!T531)</f>
        <v/>
      </c>
      <c r="U531" s="17" t="str">
        <f>IF('[1]P-GENERAL'!U531="","",'[1]P-GENERAL'!U531)</f>
        <v/>
      </c>
      <c r="V531" s="14" t="str">
        <f>IF('[1]P-GENERAL'!V531="","",'[1]P-GENERAL'!V531)</f>
        <v/>
      </c>
      <c r="W531" s="16" t="str">
        <f>IF('[1]P-GENERAL'!W531="","",'[1]P-GENERAL'!W531)</f>
        <v/>
      </c>
      <c r="X531" s="14" t="str">
        <f>IF('[1]P-GENERAL'!X531="","",'[1]P-GENERAL'!X531)</f>
        <v/>
      </c>
      <c r="Y531" s="14" t="str">
        <f>IF('[1]P-GENERAL'!Y531="","",'[1]P-GENERAL'!Y531)</f>
        <v/>
      </c>
      <c r="Z531" s="14" t="str">
        <f>IF('[1]P-GENERAL'!Z531="","",'[1]P-GENERAL'!Z531)</f>
        <v/>
      </c>
      <c r="AA531" s="14" t="str">
        <f>IF('[1]P-GENERAL'!AA531="","",'[1]P-GENERAL'!AA531)</f>
        <v/>
      </c>
      <c r="AB531" s="8" t="str">
        <f>IF('[1]P-GENERAL'!AB531="","",'[1]P-GENERAL'!AB531)</f>
        <v/>
      </c>
      <c r="AC531" s="8" t="str">
        <f>IF('[1]P-GENERAL'!AC531="","",'[1]P-GENERAL'!AC531)</f>
        <v/>
      </c>
      <c r="AD531" t="str">
        <f>IF('[1]P-GENERAL'!AD531="","",'[1]P-GENERAL'!AD531)</f>
        <v/>
      </c>
      <c r="AE531" t="str">
        <f>IF('[1]P-GENERAL'!AE531="","",'[1]P-GENERAL'!AE531)</f>
        <v/>
      </c>
    </row>
    <row r="532" spans="1:31" ht="20.25" x14ac:dyDescent="0.3">
      <c r="A532" s="11" t="str">
        <f>IF('[1]P-GENERAL'!A532="","",'[1]P-GENERAL'!A532)</f>
        <v/>
      </c>
      <c r="B532" s="11" t="str">
        <f>IF('[1]P-GENERAL'!B532="","",'[1]P-GENERAL'!B532)</f>
        <v/>
      </c>
      <c r="C532" t="str">
        <f>IF('[1]P-GENERAL'!C532="","",'[1]P-GENERAL'!C532)</f>
        <v/>
      </c>
      <c r="D532" t="str">
        <f>IF('[1]P-GENERAL'!D532="","",'[1]P-GENERAL'!D532)</f>
        <v/>
      </c>
      <c r="E532" s="8" t="str">
        <f>IF('[1]P-GENERAL'!E532="","",'[1]P-GENERAL'!E532)</f>
        <v/>
      </c>
      <c r="F532" s="12" t="str">
        <f>IF('[1]P-GENERAL'!F532="","",'[1]P-GENERAL'!F532)</f>
        <v/>
      </c>
      <c r="G532" s="13" t="str">
        <f>IF('[1]P-GENERAL'!G532="","",'[1]P-GENERAL'!G532)</f>
        <v/>
      </c>
      <c r="H532" s="14" t="str">
        <f>IF('[1]P-GENERAL'!H532="","",'[1]P-GENERAL'!H532)</f>
        <v/>
      </c>
      <c r="I532" t="str">
        <f>IF('[1]P-GENERAL'!I532="","",'[1]P-GENERAL'!I532)</f>
        <v/>
      </c>
      <c r="J532" s="15" t="str">
        <f>IF('[1]P-GENERAL'!J532="","",'[1]P-GENERAL'!J532)</f>
        <v/>
      </c>
      <c r="K532" s="14" t="str">
        <f>IF('[1]P-GENERAL'!K532="","",'[1]P-GENERAL'!K532)</f>
        <v/>
      </c>
      <c r="L532" s="14" t="str">
        <f>IF('[1]P-GENERAL'!L532="","",'[1]P-GENERAL'!L532)</f>
        <v/>
      </c>
      <c r="M532" t="str">
        <f>IF('[1]P-GENERAL'!M532="","",'[1]P-GENERAL'!M532)</f>
        <v/>
      </c>
      <c r="N532" t="str">
        <f>IF('[1]P-GENERAL'!N532="","",'[1]P-GENERAL'!N532)</f>
        <v/>
      </c>
      <c r="O532" s="14" t="str">
        <f>IF('[1]P-GENERAL'!O532="","",'[1]P-GENERAL'!O532)</f>
        <v/>
      </c>
      <c r="P532" s="16" t="str">
        <f>IF('[1]P-GENERAL'!P532="","",'[1]P-GENERAL'!P532)</f>
        <v/>
      </c>
      <c r="Q532" t="str">
        <f>IF('[1]P-GENERAL'!Q532="","",'[1]P-GENERAL'!Q532)</f>
        <v/>
      </c>
      <c r="R532" s="14" t="str">
        <f>IF('[1]P-GENERAL'!R532="","",'[1]P-GENERAL'!R532)</f>
        <v/>
      </c>
      <c r="S532" s="16" t="str">
        <f>IF('[1]P-GENERAL'!S532="","",'[1]P-GENERAL'!S532)</f>
        <v/>
      </c>
      <c r="T532" s="16" t="str">
        <f>IF('[1]P-GENERAL'!T532="","",'[1]P-GENERAL'!T532)</f>
        <v/>
      </c>
      <c r="U532" s="17" t="str">
        <f>IF('[1]P-GENERAL'!U532="","",'[1]P-GENERAL'!U532)</f>
        <v/>
      </c>
      <c r="V532" s="14" t="str">
        <f>IF('[1]P-GENERAL'!V532="","",'[1]P-GENERAL'!V532)</f>
        <v/>
      </c>
      <c r="W532" s="16" t="str">
        <f>IF('[1]P-GENERAL'!W532="","",'[1]P-GENERAL'!W532)</f>
        <v/>
      </c>
      <c r="X532" s="14" t="str">
        <f>IF('[1]P-GENERAL'!X532="","",'[1]P-GENERAL'!X532)</f>
        <v/>
      </c>
      <c r="Y532" s="14" t="str">
        <f>IF('[1]P-GENERAL'!Y532="","",'[1]P-GENERAL'!Y532)</f>
        <v/>
      </c>
      <c r="Z532" s="14" t="str">
        <f>IF('[1]P-GENERAL'!Z532="","",'[1]P-GENERAL'!Z532)</f>
        <v/>
      </c>
      <c r="AA532" s="14" t="str">
        <f>IF('[1]P-GENERAL'!AA532="","",'[1]P-GENERAL'!AA532)</f>
        <v/>
      </c>
      <c r="AB532" s="8" t="str">
        <f>IF('[1]P-GENERAL'!AB532="","",'[1]P-GENERAL'!AB532)</f>
        <v/>
      </c>
      <c r="AC532" s="8" t="str">
        <f>IF('[1]P-GENERAL'!AC532="","",'[1]P-GENERAL'!AC532)</f>
        <v/>
      </c>
      <c r="AD532" t="str">
        <f>IF('[1]P-GENERAL'!AD532="","",'[1]P-GENERAL'!AD532)</f>
        <v/>
      </c>
      <c r="AE532" t="str">
        <f>IF('[1]P-GENERAL'!AE532="","",'[1]P-GENERAL'!AE532)</f>
        <v/>
      </c>
    </row>
    <row r="533" spans="1:31" ht="20.25" x14ac:dyDescent="0.3">
      <c r="A533" s="11" t="str">
        <f>IF('[1]P-GENERAL'!A533="","",'[1]P-GENERAL'!A533)</f>
        <v/>
      </c>
      <c r="B533" s="11" t="str">
        <f>IF('[1]P-GENERAL'!B533="","",'[1]P-GENERAL'!B533)</f>
        <v/>
      </c>
      <c r="C533" t="str">
        <f>IF('[1]P-GENERAL'!C533="","",'[1]P-GENERAL'!C533)</f>
        <v/>
      </c>
      <c r="D533" t="str">
        <f>IF('[1]P-GENERAL'!D533="","",'[1]P-GENERAL'!D533)</f>
        <v/>
      </c>
      <c r="E533" s="8" t="str">
        <f>IF('[1]P-GENERAL'!E533="","",'[1]P-GENERAL'!E533)</f>
        <v/>
      </c>
      <c r="F533" s="12" t="str">
        <f>IF('[1]P-GENERAL'!F533="","",'[1]P-GENERAL'!F533)</f>
        <v/>
      </c>
      <c r="G533" s="13" t="str">
        <f>IF('[1]P-GENERAL'!G533="","",'[1]P-GENERAL'!G533)</f>
        <v/>
      </c>
      <c r="H533" s="14" t="str">
        <f>IF('[1]P-GENERAL'!H533="","",'[1]P-GENERAL'!H533)</f>
        <v/>
      </c>
      <c r="I533" t="str">
        <f>IF('[1]P-GENERAL'!I533="","",'[1]P-GENERAL'!I533)</f>
        <v/>
      </c>
      <c r="J533" s="15" t="str">
        <f>IF('[1]P-GENERAL'!J533="","",'[1]P-GENERAL'!J533)</f>
        <v/>
      </c>
      <c r="K533" s="14" t="str">
        <f>IF('[1]P-GENERAL'!K533="","",'[1]P-GENERAL'!K533)</f>
        <v/>
      </c>
      <c r="L533" s="14" t="str">
        <f>IF('[1]P-GENERAL'!L533="","",'[1]P-GENERAL'!L533)</f>
        <v/>
      </c>
      <c r="M533" t="str">
        <f>IF('[1]P-GENERAL'!M533="","",'[1]P-GENERAL'!M533)</f>
        <v/>
      </c>
      <c r="N533" t="str">
        <f>IF('[1]P-GENERAL'!N533="","",'[1]P-GENERAL'!N533)</f>
        <v/>
      </c>
      <c r="O533" s="14" t="str">
        <f>IF('[1]P-GENERAL'!O533="","",'[1]P-GENERAL'!O533)</f>
        <v/>
      </c>
      <c r="P533" s="16" t="str">
        <f>IF('[1]P-GENERAL'!P533="","",'[1]P-GENERAL'!P533)</f>
        <v/>
      </c>
      <c r="Q533" t="str">
        <f>IF('[1]P-GENERAL'!Q533="","",'[1]P-GENERAL'!Q533)</f>
        <v/>
      </c>
      <c r="R533" s="14" t="str">
        <f>IF('[1]P-GENERAL'!R533="","",'[1]P-GENERAL'!R533)</f>
        <v/>
      </c>
      <c r="S533" s="16" t="str">
        <f>IF('[1]P-GENERAL'!S533="","",'[1]P-GENERAL'!S533)</f>
        <v/>
      </c>
      <c r="T533" s="16" t="str">
        <f>IF('[1]P-GENERAL'!T533="","",'[1]P-GENERAL'!T533)</f>
        <v/>
      </c>
      <c r="U533" s="17" t="str">
        <f>IF('[1]P-GENERAL'!U533="","",'[1]P-GENERAL'!U533)</f>
        <v/>
      </c>
      <c r="V533" s="14" t="str">
        <f>IF('[1]P-GENERAL'!V533="","",'[1]P-GENERAL'!V533)</f>
        <v/>
      </c>
      <c r="W533" s="16" t="str">
        <f>IF('[1]P-GENERAL'!W533="","",'[1]P-GENERAL'!W533)</f>
        <v/>
      </c>
      <c r="X533" s="14" t="str">
        <f>IF('[1]P-GENERAL'!X533="","",'[1]P-GENERAL'!X533)</f>
        <v/>
      </c>
      <c r="Y533" s="14" t="str">
        <f>IF('[1]P-GENERAL'!Y533="","",'[1]P-GENERAL'!Y533)</f>
        <v/>
      </c>
      <c r="Z533" s="14" t="str">
        <f>IF('[1]P-GENERAL'!Z533="","",'[1]P-GENERAL'!Z533)</f>
        <v/>
      </c>
      <c r="AA533" s="14" t="str">
        <f>IF('[1]P-GENERAL'!AA533="","",'[1]P-GENERAL'!AA533)</f>
        <v/>
      </c>
      <c r="AB533" s="8" t="str">
        <f>IF('[1]P-GENERAL'!AB533="","",'[1]P-GENERAL'!AB533)</f>
        <v/>
      </c>
      <c r="AC533" s="8" t="str">
        <f>IF('[1]P-GENERAL'!AC533="","",'[1]P-GENERAL'!AC533)</f>
        <v/>
      </c>
      <c r="AD533" t="str">
        <f>IF('[1]P-GENERAL'!AD533="","",'[1]P-GENERAL'!AD533)</f>
        <v/>
      </c>
      <c r="AE533" t="str">
        <f>IF('[1]P-GENERAL'!AE533="","",'[1]P-GENERAL'!AE533)</f>
        <v/>
      </c>
    </row>
    <row r="534" spans="1:31" ht="20.25" x14ac:dyDescent="0.3">
      <c r="A534" s="11" t="str">
        <f>IF('[1]P-GENERAL'!A534="","",'[1]P-GENERAL'!A534)</f>
        <v/>
      </c>
      <c r="B534" s="11" t="str">
        <f>IF('[1]P-GENERAL'!B534="","",'[1]P-GENERAL'!B534)</f>
        <v/>
      </c>
      <c r="C534" t="str">
        <f>IF('[1]P-GENERAL'!C534="","",'[1]P-GENERAL'!C534)</f>
        <v/>
      </c>
      <c r="D534" t="str">
        <f>IF('[1]P-GENERAL'!D534="","",'[1]P-GENERAL'!D534)</f>
        <v/>
      </c>
      <c r="E534" s="8" t="str">
        <f>IF('[1]P-GENERAL'!E534="","",'[1]P-GENERAL'!E534)</f>
        <v/>
      </c>
      <c r="F534" s="12" t="str">
        <f>IF('[1]P-GENERAL'!F534="","",'[1]P-GENERAL'!F534)</f>
        <v/>
      </c>
      <c r="G534" s="13" t="str">
        <f>IF('[1]P-GENERAL'!G534="","",'[1]P-GENERAL'!G534)</f>
        <v/>
      </c>
      <c r="H534" s="14" t="str">
        <f>IF('[1]P-GENERAL'!H534="","",'[1]P-GENERAL'!H534)</f>
        <v/>
      </c>
      <c r="I534" t="str">
        <f>IF('[1]P-GENERAL'!I534="","",'[1]P-GENERAL'!I534)</f>
        <v/>
      </c>
      <c r="J534" s="15" t="str">
        <f>IF('[1]P-GENERAL'!J534="","",'[1]P-GENERAL'!J534)</f>
        <v/>
      </c>
      <c r="K534" s="14" t="str">
        <f>IF('[1]P-GENERAL'!K534="","",'[1]P-GENERAL'!K534)</f>
        <v/>
      </c>
      <c r="L534" s="14" t="str">
        <f>IF('[1]P-GENERAL'!L534="","",'[1]P-GENERAL'!L534)</f>
        <v/>
      </c>
      <c r="M534" t="str">
        <f>IF('[1]P-GENERAL'!M534="","",'[1]P-GENERAL'!M534)</f>
        <v/>
      </c>
      <c r="N534" t="str">
        <f>IF('[1]P-GENERAL'!N534="","",'[1]P-GENERAL'!N534)</f>
        <v/>
      </c>
      <c r="O534" s="14" t="str">
        <f>IF('[1]P-GENERAL'!O534="","",'[1]P-GENERAL'!O534)</f>
        <v/>
      </c>
      <c r="P534" s="16" t="str">
        <f>IF('[1]P-GENERAL'!P534="","",'[1]P-GENERAL'!P534)</f>
        <v/>
      </c>
      <c r="Q534" t="str">
        <f>IF('[1]P-GENERAL'!Q534="","",'[1]P-GENERAL'!Q534)</f>
        <v/>
      </c>
      <c r="R534" s="14" t="str">
        <f>IF('[1]P-GENERAL'!R534="","",'[1]P-GENERAL'!R534)</f>
        <v/>
      </c>
      <c r="S534" s="16" t="str">
        <f>IF('[1]P-GENERAL'!S534="","",'[1]P-GENERAL'!S534)</f>
        <v/>
      </c>
      <c r="T534" s="16" t="str">
        <f>IF('[1]P-GENERAL'!T534="","",'[1]P-GENERAL'!T534)</f>
        <v/>
      </c>
      <c r="U534" s="17" t="str">
        <f>IF('[1]P-GENERAL'!U534="","",'[1]P-GENERAL'!U534)</f>
        <v/>
      </c>
      <c r="V534" s="14" t="str">
        <f>IF('[1]P-GENERAL'!V534="","",'[1]P-GENERAL'!V534)</f>
        <v/>
      </c>
      <c r="W534" s="16" t="str">
        <f>IF('[1]P-GENERAL'!W534="","",'[1]P-GENERAL'!W534)</f>
        <v/>
      </c>
      <c r="X534" s="14" t="str">
        <f>IF('[1]P-GENERAL'!X534="","",'[1]P-GENERAL'!X534)</f>
        <v/>
      </c>
      <c r="Y534" s="14" t="str">
        <f>IF('[1]P-GENERAL'!Y534="","",'[1]P-GENERAL'!Y534)</f>
        <v/>
      </c>
      <c r="Z534" s="14" t="str">
        <f>IF('[1]P-GENERAL'!Z534="","",'[1]P-GENERAL'!Z534)</f>
        <v/>
      </c>
      <c r="AA534" s="14" t="str">
        <f>IF('[1]P-GENERAL'!AA534="","",'[1]P-GENERAL'!AA534)</f>
        <v/>
      </c>
      <c r="AB534" s="8" t="str">
        <f>IF('[1]P-GENERAL'!AB534="","",'[1]P-GENERAL'!AB534)</f>
        <v/>
      </c>
      <c r="AC534" s="8" t="str">
        <f>IF('[1]P-GENERAL'!AC534="","",'[1]P-GENERAL'!AC534)</f>
        <v/>
      </c>
      <c r="AD534" t="str">
        <f>IF('[1]P-GENERAL'!AD534="","",'[1]P-GENERAL'!AD534)</f>
        <v/>
      </c>
      <c r="AE534" t="str">
        <f>IF('[1]P-GENERAL'!AE534="","",'[1]P-GENERAL'!AE534)</f>
        <v/>
      </c>
    </row>
    <row r="535" spans="1:31" ht="20.25" x14ac:dyDescent="0.3">
      <c r="A535" s="11" t="str">
        <f>IF('[1]P-GENERAL'!A535="","",'[1]P-GENERAL'!A535)</f>
        <v/>
      </c>
      <c r="B535" s="11" t="str">
        <f>IF('[1]P-GENERAL'!B535="","",'[1]P-GENERAL'!B535)</f>
        <v/>
      </c>
      <c r="C535" t="str">
        <f>IF('[1]P-GENERAL'!C535="","",'[1]P-GENERAL'!C535)</f>
        <v/>
      </c>
      <c r="D535" t="str">
        <f>IF('[1]P-GENERAL'!D535="","",'[1]P-GENERAL'!D535)</f>
        <v/>
      </c>
      <c r="E535" s="8" t="str">
        <f>IF('[1]P-GENERAL'!E535="","",'[1]P-GENERAL'!E535)</f>
        <v/>
      </c>
      <c r="F535" s="12" t="str">
        <f>IF('[1]P-GENERAL'!F535="","",'[1]P-GENERAL'!F535)</f>
        <v/>
      </c>
      <c r="G535" s="13" t="str">
        <f>IF('[1]P-GENERAL'!G535="","",'[1]P-GENERAL'!G535)</f>
        <v/>
      </c>
      <c r="H535" s="14" t="str">
        <f>IF('[1]P-GENERAL'!H535="","",'[1]P-GENERAL'!H535)</f>
        <v/>
      </c>
      <c r="I535" t="str">
        <f>IF('[1]P-GENERAL'!I535="","",'[1]P-GENERAL'!I535)</f>
        <v/>
      </c>
      <c r="J535" s="15" t="str">
        <f>IF('[1]P-GENERAL'!J535="","",'[1]P-GENERAL'!J535)</f>
        <v/>
      </c>
      <c r="K535" s="14" t="str">
        <f>IF('[1]P-GENERAL'!K535="","",'[1]P-GENERAL'!K535)</f>
        <v/>
      </c>
      <c r="L535" s="14" t="str">
        <f>IF('[1]P-GENERAL'!L535="","",'[1]P-GENERAL'!L535)</f>
        <v/>
      </c>
      <c r="M535" t="str">
        <f>IF('[1]P-GENERAL'!M535="","",'[1]P-GENERAL'!M535)</f>
        <v/>
      </c>
      <c r="N535" t="str">
        <f>IF('[1]P-GENERAL'!N535="","",'[1]P-GENERAL'!N535)</f>
        <v/>
      </c>
      <c r="O535" s="14" t="str">
        <f>IF('[1]P-GENERAL'!O535="","",'[1]P-GENERAL'!O535)</f>
        <v/>
      </c>
      <c r="P535" s="16" t="str">
        <f>IF('[1]P-GENERAL'!P535="","",'[1]P-GENERAL'!P535)</f>
        <v/>
      </c>
      <c r="Q535" t="str">
        <f>IF('[1]P-GENERAL'!Q535="","",'[1]P-GENERAL'!Q535)</f>
        <v/>
      </c>
      <c r="R535" s="14" t="str">
        <f>IF('[1]P-GENERAL'!R535="","",'[1]P-GENERAL'!R535)</f>
        <v/>
      </c>
      <c r="S535" s="16" t="str">
        <f>IF('[1]P-GENERAL'!S535="","",'[1]P-GENERAL'!S535)</f>
        <v/>
      </c>
      <c r="T535" s="16" t="str">
        <f>IF('[1]P-GENERAL'!T535="","",'[1]P-GENERAL'!T535)</f>
        <v/>
      </c>
      <c r="U535" s="17" t="str">
        <f>IF('[1]P-GENERAL'!U535="","",'[1]P-GENERAL'!U535)</f>
        <v/>
      </c>
      <c r="V535" s="14" t="str">
        <f>IF('[1]P-GENERAL'!V535="","",'[1]P-GENERAL'!V535)</f>
        <v/>
      </c>
      <c r="W535" s="16" t="str">
        <f>IF('[1]P-GENERAL'!W535="","",'[1]P-GENERAL'!W535)</f>
        <v/>
      </c>
      <c r="X535" s="14" t="str">
        <f>IF('[1]P-GENERAL'!X535="","",'[1]P-GENERAL'!X535)</f>
        <v/>
      </c>
      <c r="Y535" s="14" t="str">
        <f>IF('[1]P-GENERAL'!Y535="","",'[1]P-GENERAL'!Y535)</f>
        <v/>
      </c>
      <c r="Z535" s="14" t="str">
        <f>IF('[1]P-GENERAL'!Z535="","",'[1]P-GENERAL'!Z535)</f>
        <v/>
      </c>
      <c r="AA535" s="14" t="str">
        <f>IF('[1]P-GENERAL'!AA535="","",'[1]P-GENERAL'!AA535)</f>
        <v/>
      </c>
      <c r="AB535" s="8" t="str">
        <f>IF('[1]P-GENERAL'!AB535="","",'[1]P-GENERAL'!AB535)</f>
        <v/>
      </c>
      <c r="AC535" s="8" t="str">
        <f>IF('[1]P-GENERAL'!AC535="","",'[1]P-GENERAL'!AC535)</f>
        <v/>
      </c>
      <c r="AD535" t="str">
        <f>IF('[1]P-GENERAL'!AD535="","",'[1]P-GENERAL'!AD535)</f>
        <v/>
      </c>
      <c r="AE535" t="str">
        <f>IF('[1]P-GENERAL'!AE535="","",'[1]P-GENERAL'!AE535)</f>
        <v/>
      </c>
    </row>
    <row r="536" spans="1:31" ht="20.25" x14ac:dyDescent="0.3">
      <c r="A536" s="11" t="str">
        <f>IF('[1]P-GENERAL'!A536="","",'[1]P-GENERAL'!A536)</f>
        <v/>
      </c>
      <c r="B536" s="11" t="str">
        <f>IF('[1]P-GENERAL'!B536="","",'[1]P-GENERAL'!B536)</f>
        <v/>
      </c>
      <c r="C536" t="str">
        <f>IF('[1]P-GENERAL'!C536="","",'[1]P-GENERAL'!C536)</f>
        <v/>
      </c>
      <c r="D536" t="str">
        <f>IF('[1]P-GENERAL'!D536="","",'[1]P-GENERAL'!D536)</f>
        <v/>
      </c>
      <c r="E536" s="8" t="str">
        <f>IF('[1]P-GENERAL'!E536="","",'[1]P-GENERAL'!E536)</f>
        <v/>
      </c>
      <c r="F536" s="12" t="str">
        <f>IF('[1]P-GENERAL'!F536="","",'[1]P-GENERAL'!F536)</f>
        <v/>
      </c>
      <c r="G536" s="13" t="str">
        <f>IF('[1]P-GENERAL'!G536="","",'[1]P-GENERAL'!G536)</f>
        <v/>
      </c>
      <c r="H536" s="14" t="str">
        <f>IF('[1]P-GENERAL'!H536="","",'[1]P-GENERAL'!H536)</f>
        <v/>
      </c>
      <c r="I536" t="str">
        <f>IF('[1]P-GENERAL'!I536="","",'[1]P-GENERAL'!I536)</f>
        <v/>
      </c>
      <c r="J536" s="15" t="str">
        <f>IF('[1]P-GENERAL'!J536="","",'[1]P-GENERAL'!J536)</f>
        <v/>
      </c>
      <c r="K536" s="14" t="str">
        <f>IF('[1]P-GENERAL'!K536="","",'[1]P-GENERAL'!K536)</f>
        <v/>
      </c>
      <c r="L536" s="14" t="str">
        <f>IF('[1]P-GENERAL'!L536="","",'[1]P-GENERAL'!L536)</f>
        <v/>
      </c>
      <c r="M536" t="str">
        <f>IF('[1]P-GENERAL'!M536="","",'[1]P-GENERAL'!M536)</f>
        <v/>
      </c>
      <c r="N536" t="str">
        <f>IF('[1]P-GENERAL'!N536="","",'[1]P-GENERAL'!N536)</f>
        <v/>
      </c>
      <c r="O536" s="14" t="str">
        <f>IF('[1]P-GENERAL'!O536="","",'[1]P-GENERAL'!O536)</f>
        <v/>
      </c>
      <c r="P536" s="16" t="str">
        <f>IF('[1]P-GENERAL'!P536="","",'[1]P-GENERAL'!P536)</f>
        <v/>
      </c>
      <c r="Q536" t="str">
        <f>IF('[1]P-GENERAL'!Q536="","",'[1]P-GENERAL'!Q536)</f>
        <v/>
      </c>
      <c r="R536" s="14" t="str">
        <f>IF('[1]P-GENERAL'!R536="","",'[1]P-GENERAL'!R536)</f>
        <v/>
      </c>
      <c r="S536" s="16" t="str">
        <f>IF('[1]P-GENERAL'!S536="","",'[1]P-GENERAL'!S536)</f>
        <v/>
      </c>
      <c r="T536" s="16" t="str">
        <f>IF('[1]P-GENERAL'!T536="","",'[1]P-GENERAL'!T536)</f>
        <v/>
      </c>
      <c r="U536" s="17" t="str">
        <f>IF('[1]P-GENERAL'!U536="","",'[1]P-GENERAL'!U536)</f>
        <v/>
      </c>
      <c r="V536" s="14" t="str">
        <f>IF('[1]P-GENERAL'!V536="","",'[1]P-GENERAL'!V536)</f>
        <v/>
      </c>
      <c r="W536" s="16" t="str">
        <f>IF('[1]P-GENERAL'!W536="","",'[1]P-GENERAL'!W536)</f>
        <v/>
      </c>
      <c r="X536" s="14" t="str">
        <f>IF('[1]P-GENERAL'!X536="","",'[1]P-GENERAL'!X536)</f>
        <v/>
      </c>
      <c r="Y536" s="14" t="str">
        <f>IF('[1]P-GENERAL'!Y536="","",'[1]P-GENERAL'!Y536)</f>
        <v/>
      </c>
      <c r="Z536" s="14" t="str">
        <f>IF('[1]P-GENERAL'!Z536="","",'[1]P-GENERAL'!Z536)</f>
        <v/>
      </c>
      <c r="AA536" s="14" t="str">
        <f>IF('[1]P-GENERAL'!AA536="","",'[1]P-GENERAL'!AA536)</f>
        <v/>
      </c>
      <c r="AB536" s="8" t="str">
        <f>IF('[1]P-GENERAL'!AB536="","",'[1]P-GENERAL'!AB536)</f>
        <v/>
      </c>
      <c r="AC536" s="8" t="str">
        <f>IF('[1]P-GENERAL'!AC536="","",'[1]P-GENERAL'!AC536)</f>
        <v/>
      </c>
      <c r="AD536" t="str">
        <f>IF('[1]P-GENERAL'!AD536="","",'[1]P-GENERAL'!AD536)</f>
        <v/>
      </c>
      <c r="AE536" t="str">
        <f>IF('[1]P-GENERAL'!AE536="","",'[1]P-GENERAL'!AE536)</f>
        <v/>
      </c>
    </row>
    <row r="537" spans="1:31" ht="20.25" x14ac:dyDescent="0.3">
      <c r="A537" s="11" t="str">
        <f>IF('[1]P-GENERAL'!A537="","",'[1]P-GENERAL'!A537)</f>
        <v/>
      </c>
      <c r="B537" s="11" t="str">
        <f>IF('[1]P-GENERAL'!B537="","",'[1]P-GENERAL'!B537)</f>
        <v/>
      </c>
      <c r="C537" t="str">
        <f>IF('[1]P-GENERAL'!C537="","",'[1]P-GENERAL'!C537)</f>
        <v/>
      </c>
      <c r="D537" t="str">
        <f>IF('[1]P-GENERAL'!D537="","",'[1]P-GENERAL'!D537)</f>
        <v/>
      </c>
      <c r="E537" s="8" t="str">
        <f>IF('[1]P-GENERAL'!E537="","",'[1]P-GENERAL'!E537)</f>
        <v/>
      </c>
      <c r="F537" s="12" t="str">
        <f>IF('[1]P-GENERAL'!F537="","",'[1]P-GENERAL'!F537)</f>
        <v/>
      </c>
      <c r="G537" s="13" t="str">
        <f>IF('[1]P-GENERAL'!G537="","",'[1]P-GENERAL'!G537)</f>
        <v/>
      </c>
      <c r="H537" s="14" t="str">
        <f>IF('[1]P-GENERAL'!H537="","",'[1]P-GENERAL'!H537)</f>
        <v/>
      </c>
      <c r="I537" t="str">
        <f>IF('[1]P-GENERAL'!I537="","",'[1]P-GENERAL'!I537)</f>
        <v/>
      </c>
      <c r="J537" s="15" t="str">
        <f>IF('[1]P-GENERAL'!J537="","",'[1]P-GENERAL'!J537)</f>
        <v/>
      </c>
      <c r="K537" s="14" t="str">
        <f>IF('[1]P-GENERAL'!K537="","",'[1]P-GENERAL'!K537)</f>
        <v/>
      </c>
      <c r="L537" s="14" t="str">
        <f>IF('[1]P-GENERAL'!L537="","",'[1]P-GENERAL'!L537)</f>
        <v/>
      </c>
      <c r="M537" t="str">
        <f>IF('[1]P-GENERAL'!M537="","",'[1]P-GENERAL'!M537)</f>
        <v/>
      </c>
      <c r="N537" t="str">
        <f>IF('[1]P-GENERAL'!N537="","",'[1]P-GENERAL'!N537)</f>
        <v/>
      </c>
      <c r="O537" s="14" t="str">
        <f>IF('[1]P-GENERAL'!O537="","",'[1]P-GENERAL'!O537)</f>
        <v/>
      </c>
      <c r="P537" s="16" t="str">
        <f>IF('[1]P-GENERAL'!P537="","",'[1]P-GENERAL'!P537)</f>
        <v/>
      </c>
      <c r="Q537" t="str">
        <f>IF('[1]P-GENERAL'!Q537="","",'[1]P-GENERAL'!Q537)</f>
        <v/>
      </c>
      <c r="R537" s="14" t="str">
        <f>IF('[1]P-GENERAL'!R537="","",'[1]P-GENERAL'!R537)</f>
        <v/>
      </c>
      <c r="S537" s="16" t="str">
        <f>IF('[1]P-GENERAL'!S537="","",'[1]P-GENERAL'!S537)</f>
        <v/>
      </c>
      <c r="T537" s="16" t="str">
        <f>IF('[1]P-GENERAL'!T537="","",'[1]P-GENERAL'!T537)</f>
        <v/>
      </c>
      <c r="U537" s="17" t="str">
        <f>IF('[1]P-GENERAL'!U537="","",'[1]P-GENERAL'!U537)</f>
        <v/>
      </c>
      <c r="V537" s="14" t="str">
        <f>IF('[1]P-GENERAL'!V537="","",'[1]P-GENERAL'!V537)</f>
        <v/>
      </c>
      <c r="W537" s="16" t="str">
        <f>IF('[1]P-GENERAL'!W537="","",'[1]P-GENERAL'!W537)</f>
        <v/>
      </c>
      <c r="X537" s="14" t="str">
        <f>IF('[1]P-GENERAL'!X537="","",'[1]P-GENERAL'!X537)</f>
        <v/>
      </c>
      <c r="Y537" s="14" t="str">
        <f>IF('[1]P-GENERAL'!Y537="","",'[1]P-GENERAL'!Y537)</f>
        <v/>
      </c>
      <c r="Z537" s="14" t="str">
        <f>IF('[1]P-GENERAL'!Z537="","",'[1]P-GENERAL'!Z537)</f>
        <v/>
      </c>
      <c r="AA537" s="14" t="str">
        <f>IF('[1]P-GENERAL'!AA537="","",'[1]P-GENERAL'!AA537)</f>
        <v/>
      </c>
      <c r="AB537" s="8" t="str">
        <f>IF('[1]P-GENERAL'!AB537="","",'[1]P-GENERAL'!AB537)</f>
        <v/>
      </c>
      <c r="AC537" s="8" t="str">
        <f>IF('[1]P-GENERAL'!AC537="","",'[1]P-GENERAL'!AC537)</f>
        <v/>
      </c>
      <c r="AD537" t="str">
        <f>IF('[1]P-GENERAL'!AD537="","",'[1]P-GENERAL'!AD537)</f>
        <v/>
      </c>
      <c r="AE537" t="str">
        <f>IF('[1]P-GENERAL'!AE537="","",'[1]P-GENERAL'!AE537)</f>
        <v/>
      </c>
    </row>
    <row r="538" spans="1:31" ht="20.25" x14ac:dyDescent="0.3">
      <c r="A538" s="11" t="str">
        <f>IF('[1]P-GENERAL'!A538="","",'[1]P-GENERAL'!A538)</f>
        <v/>
      </c>
      <c r="B538" s="11" t="str">
        <f>IF('[1]P-GENERAL'!B538="","",'[1]P-GENERAL'!B538)</f>
        <v/>
      </c>
      <c r="C538" t="str">
        <f>IF('[1]P-GENERAL'!C538="","",'[1]P-GENERAL'!C538)</f>
        <v/>
      </c>
      <c r="D538" t="str">
        <f>IF('[1]P-GENERAL'!D538="","",'[1]P-GENERAL'!D538)</f>
        <v/>
      </c>
      <c r="E538" s="8" t="str">
        <f>IF('[1]P-GENERAL'!E538="","",'[1]P-GENERAL'!E538)</f>
        <v/>
      </c>
      <c r="F538" s="12" t="str">
        <f>IF('[1]P-GENERAL'!F538="","",'[1]P-GENERAL'!F538)</f>
        <v/>
      </c>
      <c r="G538" s="13" t="str">
        <f>IF('[1]P-GENERAL'!G538="","",'[1]P-GENERAL'!G538)</f>
        <v/>
      </c>
      <c r="H538" s="14" t="str">
        <f>IF('[1]P-GENERAL'!H538="","",'[1]P-GENERAL'!H538)</f>
        <v/>
      </c>
      <c r="I538" t="str">
        <f>IF('[1]P-GENERAL'!I538="","",'[1]P-GENERAL'!I538)</f>
        <v/>
      </c>
      <c r="J538" s="15" t="str">
        <f>IF('[1]P-GENERAL'!J538="","",'[1]P-GENERAL'!J538)</f>
        <v/>
      </c>
      <c r="K538" s="14" t="str">
        <f>IF('[1]P-GENERAL'!K538="","",'[1]P-GENERAL'!K538)</f>
        <v/>
      </c>
      <c r="L538" s="14" t="str">
        <f>IF('[1]P-GENERAL'!L538="","",'[1]P-GENERAL'!L538)</f>
        <v/>
      </c>
      <c r="M538" t="str">
        <f>IF('[1]P-GENERAL'!M538="","",'[1]P-GENERAL'!M538)</f>
        <v/>
      </c>
      <c r="N538" t="str">
        <f>IF('[1]P-GENERAL'!N538="","",'[1]P-GENERAL'!N538)</f>
        <v/>
      </c>
      <c r="O538" s="14" t="str">
        <f>IF('[1]P-GENERAL'!O538="","",'[1]P-GENERAL'!O538)</f>
        <v/>
      </c>
      <c r="P538" s="16" t="str">
        <f>IF('[1]P-GENERAL'!P538="","",'[1]P-GENERAL'!P538)</f>
        <v/>
      </c>
      <c r="Q538" t="str">
        <f>IF('[1]P-GENERAL'!Q538="","",'[1]P-GENERAL'!Q538)</f>
        <v/>
      </c>
      <c r="R538" s="14" t="str">
        <f>IF('[1]P-GENERAL'!R538="","",'[1]P-GENERAL'!R538)</f>
        <v/>
      </c>
      <c r="S538" s="16" t="str">
        <f>IF('[1]P-GENERAL'!S538="","",'[1]P-GENERAL'!S538)</f>
        <v/>
      </c>
      <c r="T538" s="16" t="str">
        <f>IF('[1]P-GENERAL'!T538="","",'[1]P-GENERAL'!T538)</f>
        <v/>
      </c>
      <c r="U538" s="17" t="str">
        <f>IF('[1]P-GENERAL'!U538="","",'[1]P-GENERAL'!U538)</f>
        <v/>
      </c>
      <c r="V538" s="14" t="str">
        <f>IF('[1]P-GENERAL'!V538="","",'[1]P-GENERAL'!V538)</f>
        <v/>
      </c>
      <c r="W538" s="16" t="str">
        <f>IF('[1]P-GENERAL'!W538="","",'[1]P-GENERAL'!W538)</f>
        <v/>
      </c>
      <c r="X538" s="14" t="str">
        <f>IF('[1]P-GENERAL'!X538="","",'[1]P-GENERAL'!X538)</f>
        <v/>
      </c>
      <c r="Y538" s="14" t="str">
        <f>IF('[1]P-GENERAL'!Y538="","",'[1]P-GENERAL'!Y538)</f>
        <v/>
      </c>
      <c r="Z538" s="14" t="str">
        <f>IF('[1]P-GENERAL'!Z538="","",'[1]P-GENERAL'!Z538)</f>
        <v/>
      </c>
      <c r="AA538" s="14" t="str">
        <f>IF('[1]P-GENERAL'!AA538="","",'[1]P-GENERAL'!AA538)</f>
        <v/>
      </c>
      <c r="AB538" s="8" t="str">
        <f>IF('[1]P-GENERAL'!AB538="","",'[1]P-GENERAL'!AB538)</f>
        <v/>
      </c>
      <c r="AC538" s="8" t="str">
        <f>IF('[1]P-GENERAL'!AC538="","",'[1]P-GENERAL'!AC538)</f>
        <v/>
      </c>
      <c r="AD538" t="str">
        <f>IF('[1]P-GENERAL'!AD538="","",'[1]P-GENERAL'!AD538)</f>
        <v/>
      </c>
      <c r="AE538" t="str">
        <f>IF('[1]P-GENERAL'!AE538="","",'[1]P-GENERAL'!AE538)</f>
        <v/>
      </c>
    </row>
    <row r="539" spans="1:31" ht="20.25" x14ac:dyDescent="0.3">
      <c r="A539" s="11" t="str">
        <f>IF('[1]P-GENERAL'!A539="","",'[1]P-GENERAL'!A539)</f>
        <v/>
      </c>
      <c r="B539" s="11" t="str">
        <f>IF('[1]P-GENERAL'!B539="","",'[1]P-GENERAL'!B539)</f>
        <v/>
      </c>
      <c r="C539" t="str">
        <f>IF('[1]P-GENERAL'!C539="","",'[1]P-GENERAL'!C539)</f>
        <v/>
      </c>
      <c r="D539" t="str">
        <f>IF('[1]P-GENERAL'!D539="","",'[1]P-GENERAL'!D539)</f>
        <v/>
      </c>
      <c r="E539" s="8" t="str">
        <f>IF('[1]P-GENERAL'!E539="","",'[1]P-GENERAL'!E539)</f>
        <v/>
      </c>
      <c r="F539" s="12" t="str">
        <f>IF('[1]P-GENERAL'!F539="","",'[1]P-GENERAL'!F539)</f>
        <v/>
      </c>
      <c r="G539" s="13" t="str">
        <f>IF('[1]P-GENERAL'!G539="","",'[1]P-GENERAL'!G539)</f>
        <v/>
      </c>
      <c r="H539" s="14" t="str">
        <f>IF('[1]P-GENERAL'!H539="","",'[1]P-GENERAL'!H539)</f>
        <v/>
      </c>
      <c r="I539" t="str">
        <f>IF('[1]P-GENERAL'!I539="","",'[1]P-GENERAL'!I539)</f>
        <v/>
      </c>
      <c r="J539" s="15" t="str">
        <f>IF('[1]P-GENERAL'!J539="","",'[1]P-GENERAL'!J539)</f>
        <v/>
      </c>
      <c r="K539" s="14" t="str">
        <f>IF('[1]P-GENERAL'!K539="","",'[1]P-GENERAL'!K539)</f>
        <v/>
      </c>
      <c r="L539" s="14" t="str">
        <f>IF('[1]P-GENERAL'!L539="","",'[1]P-GENERAL'!L539)</f>
        <v/>
      </c>
      <c r="M539" t="str">
        <f>IF('[1]P-GENERAL'!M539="","",'[1]P-GENERAL'!M539)</f>
        <v/>
      </c>
      <c r="N539" t="str">
        <f>IF('[1]P-GENERAL'!N539="","",'[1]P-GENERAL'!N539)</f>
        <v/>
      </c>
      <c r="O539" s="14" t="str">
        <f>IF('[1]P-GENERAL'!O539="","",'[1]P-GENERAL'!O539)</f>
        <v/>
      </c>
      <c r="P539" s="16" t="str">
        <f>IF('[1]P-GENERAL'!P539="","",'[1]P-GENERAL'!P539)</f>
        <v/>
      </c>
      <c r="Q539" t="str">
        <f>IF('[1]P-GENERAL'!Q539="","",'[1]P-GENERAL'!Q539)</f>
        <v/>
      </c>
      <c r="R539" s="14" t="str">
        <f>IF('[1]P-GENERAL'!R539="","",'[1]P-GENERAL'!R539)</f>
        <v/>
      </c>
      <c r="S539" s="16" t="str">
        <f>IF('[1]P-GENERAL'!S539="","",'[1]P-GENERAL'!S539)</f>
        <v/>
      </c>
      <c r="T539" s="16" t="str">
        <f>IF('[1]P-GENERAL'!T539="","",'[1]P-GENERAL'!T539)</f>
        <v/>
      </c>
      <c r="U539" s="17" t="str">
        <f>IF('[1]P-GENERAL'!U539="","",'[1]P-GENERAL'!U539)</f>
        <v/>
      </c>
      <c r="V539" s="14" t="str">
        <f>IF('[1]P-GENERAL'!V539="","",'[1]P-GENERAL'!V539)</f>
        <v/>
      </c>
      <c r="W539" s="16" t="str">
        <f>IF('[1]P-GENERAL'!W539="","",'[1]P-GENERAL'!W539)</f>
        <v/>
      </c>
      <c r="X539" s="14" t="str">
        <f>IF('[1]P-GENERAL'!X539="","",'[1]P-GENERAL'!X539)</f>
        <v/>
      </c>
      <c r="Y539" s="14" t="str">
        <f>IF('[1]P-GENERAL'!Y539="","",'[1]P-GENERAL'!Y539)</f>
        <v/>
      </c>
      <c r="Z539" s="14" t="str">
        <f>IF('[1]P-GENERAL'!Z539="","",'[1]P-GENERAL'!Z539)</f>
        <v/>
      </c>
      <c r="AA539" s="14" t="str">
        <f>IF('[1]P-GENERAL'!AA539="","",'[1]P-GENERAL'!AA539)</f>
        <v/>
      </c>
      <c r="AB539" s="8" t="str">
        <f>IF('[1]P-GENERAL'!AB539="","",'[1]P-GENERAL'!AB539)</f>
        <v/>
      </c>
      <c r="AC539" s="8" t="str">
        <f>IF('[1]P-GENERAL'!AC539="","",'[1]P-GENERAL'!AC539)</f>
        <v/>
      </c>
      <c r="AD539" t="str">
        <f>IF('[1]P-GENERAL'!AD539="","",'[1]P-GENERAL'!AD539)</f>
        <v/>
      </c>
      <c r="AE539" t="str">
        <f>IF('[1]P-GENERAL'!AE539="","",'[1]P-GENERAL'!AE539)</f>
        <v/>
      </c>
    </row>
    <row r="540" spans="1:31" ht="20.25" x14ac:dyDescent="0.3">
      <c r="A540" s="11" t="str">
        <f>IF('[1]P-GENERAL'!A540="","",'[1]P-GENERAL'!A540)</f>
        <v/>
      </c>
      <c r="B540" s="11" t="str">
        <f>IF('[1]P-GENERAL'!B540="","",'[1]P-GENERAL'!B540)</f>
        <v/>
      </c>
      <c r="C540" t="str">
        <f>IF('[1]P-GENERAL'!C540="","",'[1]P-GENERAL'!C540)</f>
        <v/>
      </c>
      <c r="D540" t="str">
        <f>IF('[1]P-GENERAL'!D540="","",'[1]P-GENERAL'!D540)</f>
        <v/>
      </c>
      <c r="E540" s="8" t="str">
        <f>IF('[1]P-GENERAL'!E540="","",'[1]P-GENERAL'!E540)</f>
        <v/>
      </c>
      <c r="F540" s="12" t="str">
        <f>IF('[1]P-GENERAL'!F540="","",'[1]P-GENERAL'!F540)</f>
        <v/>
      </c>
      <c r="G540" s="13" t="str">
        <f>IF('[1]P-GENERAL'!G540="","",'[1]P-GENERAL'!G540)</f>
        <v/>
      </c>
      <c r="H540" s="14" t="str">
        <f>IF('[1]P-GENERAL'!H540="","",'[1]P-GENERAL'!H540)</f>
        <v/>
      </c>
      <c r="I540" t="str">
        <f>IF('[1]P-GENERAL'!I540="","",'[1]P-GENERAL'!I540)</f>
        <v/>
      </c>
      <c r="J540" s="15" t="str">
        <f>IF('[1]P-GENERAL'!J540="","",'[1]P-GENERAL'!J540)</f>
        <v/>
      </c>
      <c r="K540" s="14" t="str">
        <f>IF('[1]P-GENERAL'!K540="","",'[1]P-GENERAL'!K540)</f>
        <v/>
      </c>
      <c r="L540" s="14" t="str">
        <f>IF('[1]P-GENERAL'!L540="","",'[1]P-GENERAL'!L540)</f>
        <v/>
      </c>
      <c r="M540" t="str">
        <f>IF('[1]P-GENERAL'!M540="","",'[1]P-GENERAL'!M540)</f>
        <v/>
      </c>
      <c r="N540" t="str">
        <f>IF('[1]P-GENERAL'!N540="","",'[1]P-GENERAL'!N540)</f>
        <v/>
      </c>
      <c r="O540" s="14" t="str">
        <f>IF('[1]P-GENERAL'!O540="","",'[1]P-GENERAL'!O540)</f>
        <v/>
      </c>
      <c r="P540" s="16" t="str">
        <f>IF('[1]P-GENERAL'!P540="","",'[1]P-GENERAL'!P540)</f>
        <v/>
      </c>
      <c r="Q540" t="str">
        <f>IF('[1]P-GENERAL'!Q540="","",'[1]P-GENERAL'!Q540)</f>
        <v/>
      </c>
      <c r="R540" s="14" t="str">
        <f>IF('[1]P-GENERAL'!R540="","",'[1]P-GENERAL'!R540)</f>
        <v/>
      </c>
      <c r="S540" s="16" t="str">
        <f>IF('[1]P-GENERAL'!S540="","",'[1]P-GENERAL'!S540)</f>
        <v/>
      </c>
      <c r="T540" s="16" t="str">
        <f>IF('[1]P-GENERAL'!T540="","",'[1]P-GENERAL'!T540)</f>
        <v/>
      </c>
      <c r="U540" s="17" t="str">
        <f>IF('[1]P-GENERAL'!U540="","",'[1]P-GENERAL'!U540)</f>
        <v/>
      </c>
      <c r="V540" s="14" t="str">
        <f>IF('[1]P-GENERAL'!V540="","",'[1]P-GENERAL'!V540)</f>
        <v/>
      </c>
      <c r="W540" s="16" t="str">
        <f>IF('[1]P-GENERAL'!W540="","",'[1]P-GENERAL'!W540)</f>
        <v/>
      </c>
      <c r="X540" s="14" t="str">
        <f>IF('[1]P-GENERAL'!X540="","",'[1]P-GENERAL'!X540)</f>
        <v/>
      </c>
      <c r="Y540" s="14" t="str">
        <f>IF('[1]P-GENERAL'!Y540="","",'[1]P-GENERAL'!Y540)</f>
        <v/>
      </c>
      <c r="Z540" s="14" t="str">
        <f>IF('[1]P-GENERAL'!Z540="","",'[1]P-GENERAL'!Z540)</f>
        <v/>
      </c>
      <c r="AA540" s="14" t="str">
        <f>IF('[1]P-GENERAL'!AA540="","",'[1]P-GENERAL'!AA540)</f>
        <v/>
      </c>
      <c r="AB540" s="8" t="str">
        <f>IF('[1]P-GENERAL'!AB540="","",'[1]P-GENERAL'!AB540)</f>
        <v/>
      </c>
      <c r="AC540" s="8" t="str">
        <f>IF('[1]P-GENERAL'!AC540="","",'[1]P-GENERAL'!AC540)</f>
        <v/>
      </c>
      <c r="AD540" t="str">
        <f>IF('[1]P-GENERAL'!AD540="","",'[1]P-GENERAL'!AD540)</f>
        <v/>
      </c>
      <c r="AE540" t="str">
        <f>IF('[1]P-GENERAL'!AE540="","",'[1]P-GENERAL'!AE540)</f>
        <v/>
      </c>
    </row>
    <row r="541" spans="1:31" ht="20.25" x14ac:dyDescent="0.3">
      <c r="A541" s="11" t="str">
        <f>IF('[1]P-GENERAL'!A541="","",'[1]P-GENERAL'!A541)</f>
        <v/>
      </c>
      <c r="B541" s="11" t="str">
        <f>IF('[1]P-GENERAL'!B541="","",'[1]P-GENERAL'!B541)</f>
        <v/>
      </c>
      <c r="C541" t="str">
        <f>IF('[1]P-GENERAL'!C541="","",'[1]P-GENERAL'!C541)</f>
        <v/>
      </c>
      <c r="D541" t="str">
        <f>IF('[1]P-GENERAL'!D541="","",'[1]P-GENERAL'!D541)</f>
        <v/>
      </c>
      <c r="E541" s="8" t="str">
        <f>IF('[1]P-GENERAL'!E541="","",'[1]P-GENERAL'!E541)</f>
        <v/>
      </c>
      <c r="F541" s="12" t="str">
        <f>IF('[1]P-GENERAL'!F541="","",'[1]P-GENERAL'!F541)</f>
        <v/>
      </c>
      <c r="G541" s="13" t="str">
        <f>IF('[1]P-GENERAL'!G541="","",'[1]P-GENERAL'!G541)</f>
        <v/>
      </c>
      <c r="H541" s="14" t="str">
        <f>IF('[1]P-GENERAL'!H541="","",'[1]P-GENERAL'!H541)</f>
        <v/>
      </c>
      <c r="I541" t="str">
        <f>IF('[1]P-GENERAL'!I541="","",'[1]P-GENERAL'!I541)</f>
        <v/>
      </c>
      <c r="J541" s="15" t="str">
        <f>IF('[1]P-GENERAL'!J541="","",'[1]P-GENERAL'!J541)</f>
        <v/>
      </c>
      <c r="K541" s="14" t="str">
        <f>IF('[1]P-GENERAL'!K541="","",'[1]P-GENERAL'!K541)</f>
        <v/>
      </c>
      <c r="L541" s="14" t="str">
        <f>IF('[1]P-GENERAL'!L541="","",'[1]P-GENERAL'!L541)</f>
        <v/>
      </c>
      <c r="M541" t="str">
        <f>IF('[1]P-GENERAL'!M541="","",'[1]P-GENERAL'!M541)</f>
        <v/>
      </c>
      <c r="N541" t="str">
        <f>IF('[1]P-GENERAL'!N541="","",'[1]P-GENERAL'!N541)</f>
        <v/>
      </c>
      <c r="O541" s="14" t="str">
        <f>IF('[1]P-GENERAL'!O541="","",'[1]P-GENERAL'!O541)</f>
        <v/>
      </c>
      <c r="P541" s="16" t="str">
        <f>IF('[1]P-GENERAL'!P541="","",'[1]P-GENERAL'!P541)</f>
        <v/>
      </c>
      <c r="Q541" t="str">
        <f>IF('[1]P-GENERAL'!Q541="","",'[1]P-GENERAL'!Q541)</f>
        <v/>
      </c>
      <c r="R541" s="14" t="str">
        <f>IF('[1]P-GENERAL'!R541="","",'[1]P-GENERAL'!R541)</f>
        <v/>
      </c>
      <c r="S541" s="16" t="str">
        <f>IF('[1]P-GENERAL'!S541="","",'[1]P-GENERAL'!S541)</f>
        <v/>
      </c>
      <c r="T541" s="16" t="str">
        <f>IF('[1]P-GENERAL'!T541="","",'[1]P-GENERAL'!T541)</f>
        <v/>
      </c>
      <c r="U541" s="17" t="str">
        <f>IF('[1]P-GENERAL'!U541="","",'[1]P-GENERAL'!U541)</f>
        <v/>
      </c>
      <c r="V541" s="14" t="str">
        <f>IF('[1]P-GENERAL'!V541="","",'[1]P-GENERAL'!V541)</f>
        <v/>
      </c>
      <c r="W541" s="16" t="str">
        <f>IF('[1]P-GENERAL'!W541="","",'[1]P-GENERAL'!W541)</f>
        <v/>
      </c>
      <c r="X541" s="14" t="str">
        <f>IF('[1]P-GENERAL'!X541="","",'[1]P-GENERAL'!X541)</f>
        <v/>
      </c>
      <c r="Y541" s="14" t="str">
        <f>IF('[1]P-GENERAL'!Y541="","",'[1]P-GENERAL'!Y541)</f>
        <v/>
      </c>
      <c r="Z541" s="14" t="str">
        <f>IF('[1]P-GENERAL'!Z541="","",'[1]P-GENERAL'!Z541)</f>
        <v/>
      </c>
      <c r="AA541" s="14" t="str">
        <f>IF('[1]P-GENERAL'!AA541="","",'[1]P-GENERAL'!AA541)</f>
        <v/>
      </c>
      <c r="AB541" s="8" t="str">
        <f>IF('[1]P-GENERAL'!AB541="","",'[1]P-GENERAL'!AB541)</f>
        <v/>
      </c>
      <c r="AC541" s="8" t="str">
        <f>IF('[1]P-GENERAL'!AC541="","",'[1]P-GENERAL'!AC541)</f>
        <v/>
      </c>
      <c r="AD541" t="str">
        <f>IF('[1]P-GENERAL'!AD541="","",'[1]P-GENERAL'!AD541)</f>
        <v/>
      </c>
      <c r="AE541" t="str">
        <f>IF('[1]P-GENERAL'!AE541="","",'[1]P-GENERAL'!AE541)</f>
        <v/>
      </c>
    </row>
    <row r="542" spans="1:31" ht="20.25" x14ac:dyDescent="0.3">
      <c r="A542" s="11" t="str">
        <f>IF('[1]P-GENERAL'!A542="","",'[1]P-GENERAL'!A542)</f>
        <v/>
      </c>
      <c r="B542" s="11" t="str">
        <f>IF('[1]P-GENERAL'!B542="","",'[1]P-GENERAL'!B542)</f>
        <v/>
      </c>
      <c r="C542" t="str">
        <f>IF('[1]P-GENERAL'!C542="","",'[1]P-GENERAL'!C542)</f>
        <v/>
      </c>
      <c r="D542" t="str">
        <f>IF('[1]P-GENERAL'!D542="","",'[1]P-GENERAL'!D542)</f>
        <v/>
      </c>
      <c r="E542" s="8" t="str">
        <f>IF('[1]P-GENERAL'!E542="","",'[1]P-GENERAL'!E542)</f>
        <v/>
      </c>
      <c r="F542" s="12" t="str">
        <f>IF('[1]P-GENERAL'!F542="","",'[1]P-GENERAL'!F542)</f>
        <v/>
      </c>
      <c r="G542" s="13" t="str">
        <f>IF('[1]P-GENERAL'!G542="","",'[1]P-GENERAL'!G542)</f>
        <v/>
      </c>
      <c r="H542" s="14" t="str">
        <f>IF('[1]P-GENERAL'!H542="","",'[1]P-GENERAL'!H542)</f>
        <v/>
      </c>
      <c r="I542" t="str">
        <f>IF('[1]P-GENERAL'!I542="","",'[1]P-GENERAL'!I542)</f>
        <v/>
      </c>
      <c r="J542" s="15" t="str">
        <f>IF('[1]P-GENERAL'!J542="","",'[1]P-GENERAL'!J542)</f>
        <v/>
      </c>
      <c r="K542" s="14" t="str">
        <f>IF('[1]P-GENERAL'!K542="","",'[1]P-GENERAL'!K542)</f>
        <v/>
      </c>
      <c r="L542" s="14" t="str">
        <f>IF('[1]P-GENERAL'!L542="","",'[1]P-GENERAL'!L542)</f>
        <v/>
      </c>
      <c r="M542" t="str">
        <f>IF('[1]P-GENERAL'!M542="","",'[1]P-GENERAL'!M542)</f>
        <v/>
      </c>
      <c r="N542" t="str">
        <f>IF('[1]P-GENERAL'!N542="","",'[1]P-GENERAL'!N542)</f>
        <v/>
      </c>
      <c r="O542" s="14" t="str">
        <f>IF('[1]P-GENERAL'!O542="","",'[1]P-GENERAL'!O542)</f>
        <v/>
      </c>
      <c r="P542" s="16" t="str">
        <f>IF('[1]P-GENERAL'!P542="","",'[1]P-GENERAL'!P542)</f>
        <v/>
      </c>
      <c r="Q542" t="str">
        <f>IF('[1]P-GENERAL'!Q542="","",'[1]P-GENERAL'!Q542)</f>
        <v/>
      </c>
      <c r="R542" s="14" t="str">
        <f>IF('[1]P-GENERAL'!R542="","",'[1]P-GENERAL'!R542)</f>
        <v/>
      </c>
      <c r="S542" s="16" t="str">
        <f>IF('[1]P-GENERAL'!S542="","",'[1]P-GENERAL'!S542)</f>
        <v/>
      </c>
      <c r="T542" s="16" t="str">
        <f>IF('[1]P-GENERAL'!T542="","",'[1]P-GENERAL'!T542)</f>
        <v/>
      </c>
      <c r="U542" s="17" t="str">
        <f>IF('[1]P-GENERAL'!U542="","",'[1]P-GENERAL'!U542)</f>
        <v/>
      </c>
      <c r="V542" s="14" t="str">
        <f>IF('[1]P-GENERAL'!V542="","",'[1]P-GENERAL'!V542)</f>
        <v/>
      </c>
      <c r="W542" s="16" t="str">
        <f>IF('[1]P-GENERAL'!W542="","",'[1]P-GENERAL'!W542)</f>
        <v/>
      </c>
      <c r="X542" s="14" t="str">
        <f>IF('[1]P-GENERAL'!X542="","",'[1]P-GENERAL'!X542)</f>
        <v/>
      </c>
      <c r="Y542" s="14" t="str">
        <f>IF('[1]P-GENERAL'!Y542="","",'[1]P-GENERAL'!Y542)</f>
        <v/>
      </c>
      <c r="Z542" s="14" t="str">
        <f>IF('[1]P-GENERAL'!Z542="","",'[1]P-GENERAL'!Z542)</f>
        <v/>
      </c>
      <c r="AA542" s="14" t="str">
        <f>IF('[1]P-GENERAL'!AA542="","",'[1]P-GENERAL'!AA542)</f>
        <v/>
      </c>
      <c r="AB542" s="8" t="str">
        <f>IF('[1]P-GENERAL'!AB542="","",'[1]P-GENERAL'!AB542)</f>
        <v/>
      </c>
      <c r="AC542" s="8" t="str">
        <f>IF('[1]P-GENERAL'!AC542="","",'[1]P-GENERAL'!AC542)</f>
        <v/>
      </c>
      <c r="AD542" t="str">
        <f>IF('[1]P-GENERAL'!AD542="","",'[1]P-GENERAL'!AD542)</f>
        <v/>
      </c>
      <c r="AE542" t="str">
        <f>IF('[1]P-GENERAL'!AE542="","",'[1]P-GENERAL'!AE542)</f>
        <v/>
      </c>
    </row>
    <row r="543" spans="1:31" ht="20.25" x14ac:dyDescent="0.3">
      <c r="A543" s="11" t="str">
        <f>IF('[1]P-GENERAL'!A543="","",'[1]P-GENERAL'!A543)</f>
        <v/>
      </c>
      <c r="B543" s="11" t="str">
        <f>IF('[1]P-GENERAL'!B543="","",'[1]P-GENERAL'!B543)</f>
        <v/>
      </c>
      <c r="C543" t="str">
        <f>IF('[1]P-GENERAL'!C543="","",'[1]P-GENERAL'!C543)</f>
        <v/>
      </c>
      <c r="D543" t="str">
        <f>IF('[1]P-GENERAL'!D543="","",'[1]P-GENERAL'!D543)</f>
        <v/>
      </c>
      <c r="E543" s="8" t="str">
        <f>IF('[1]P-GENERAL'!E543="","",'[1]P-GENERAL'!E543)</f>
        <v/>
      </c>
      <c r="F543" s="12" t="str">
        <f>IF('[1]P-GENERAL'!F543="","",'[1]P-GENERAL'!F543)</f>
        <v/>
      </c>
      <c r="G543" s="13" t="str">
        <f>IF('[1]P-GENERAL'!G543="","",'[1]P-GENERAL'!G543)</f>
        <v/>
      </c>
      <c r="H543" s="14" t="str">
        <f>IF('[1]P-GENERAL'!H543="","",'[1]P-GENERAL'!H543)</f>
        <v/>
      </c>
      <c r="I543" t="str">
        <f>IF('[1]P-GENERAL'!I543="","",'[1]P-GENERAL'!I543)</f>
        <v/>
      </c>
      <c r="J543" s="15" t="str">
        <f>IF('[1]P-GENERAL'!J543="","",'[1]P-GENERAL'!J543)</f>
        <v/>
      </c>
      <c r="K543" s="14" t="str">
        <f>IF('[1]P-GENERAL'!K543="","",'[1]P-GENERAL'!K543)</f>
        <v/>
      </c>
      <c r="L543" s="14" t="str">
        <f>IF('[1]P-GENERAL'!L543="","",'[1]P-GENERAL'!L543)</f>
        <v/>
      </c>
      <c r="M543" t="str">
        <f>IF('[1]P-GENERAL'!M543="","",'[1]P-GENERAL'!M543)</f>
        <v/>
      </c>
      <c r="N543" t="str">
        <f>IF('[1]P-GENERAL'!N543="","",'[1]P-GENERAL'!N543)</f>
        <v/>
      </c>
      <c r="O543" s="14" t="str">
        <f>IF('[1]P-GENERAL'!O543="","",'[1]P-GENERAL'!O543)</f>
        <v/>
      </c>
      <c r="P543" s="16" t="str">
        <f>IF('[1]P-GENERAL'!P543="","",'[1]P-GENERAL'!P543)</f>
        <v/>
      </c>
      <c r="Q543" t="str">
        <f>IF('[1]P-GENERAL'!Q543="","",'[1]P-GENERAL'!Q543)</f>
        <v/>
      </c>
      <c r="R543" s="14" t="str">
        <f>IF('[1]P-GENERAL'!R543="","",'[1]P-GENERAL'!R543)</f>
        <v/>
      </c>
      <c r="S543" s="16" t="str">
        <f>IF('[1]P-GENERAL'!S543="","",'[1]P-GENERAL'!S543)</f>
        <v/>
      </c>
      <c r="T543" s="16" t="str">
        <f>IF('[1]P-GENERAL'!T543="","",'[1]P-GENERAL'!T543)</f>
        <v/>
      </c>
      <c r="U543" s="17" t="str">
        <f>IF('[1]P-GENERAL'!U543="","",'[1]P-GENERAL'!U543)</f>
        <v/>
      </c>
      <c r="V543" s="14" t="str">
        <f>IF('[1]P-GENERAL'!V543="","",'[1]P-GENERAL'!V543)</f>
        <v/>
      </c>
      <c r="W543" s="16" t="str">
        <f>IF('[1]P-GENERAL'!W543="","",'[1]P-GENERAL'!W543)</f>
        <v/>
      </c>
      <c r="X543" s="14" t="str">
        <f>IF('[1]P-GENERAL'!X543="","",'[1]P-GENERAL'!X543)</f>
        <v/>
      </c>
      <c r="Y543" s="14" t="str">
        <f>IF('[1]P-GENERAL'!Y543="","",'[1]P-GENERAL'!Y543)</f>
        <v/>
      </c>
      <c r="Z543" s="14" t="str">
        <f>IF('[1]P-GENERAL'!Z543="","",'[1]P-GENERAL'!Z543)</f>
        <v/>
      </c>
      <c r="AA543" s="14" t="str">
        <f>IF('[1]P-GENERAL'!AA543="","",'[1]P-GENERAL'!AA543)</f>
        <v/>
      </c>
      <c r="AB543" s="8" t="str">
        <f>IF('[1]P-GENERAL'!AB543="","",'[1]P-GENERAL'!AB543)</f>
        <v/>
      </c>
      <c r="AC543" s="8" t="str">
        <f>IF('[1]P-GENERAL'!AC543="","",'[1]P-GENERAL'!AC543)</f>
        <v/>
      </c>
      <c r="AD543" t="str">
        <f>IF('[1]P-GENERAL'!AD543="","",'[1]P-GENERAL'!AD543)</f>
        <v/>
      </c>
      <c r="AE543" t="str">
        <f>IF('[1]P-GENERAL'!AE543="","",'[1]P-GENERAL'!AE543)</f>
        <v/>
      </c>
    </row>
    <row r="544" spans="1:31" ht="20.25" x14ac:dyDescent="0.3">
      <c r="A544" s="11" t="str">
        <f>IF('[1]P-GENERAL'!A544="","",'[1]P-GENERAL'!A544)</f>
        <v/>
      </c>
      <c r="B544" s="11" t="str">
        <f>IF('[1]P-GENERAL'!B544="","",'[1]P-GENERAL'!B544)</f>
        <v/>
      </c>
      <c r="C544" t="str">
        <f>IF('[1]P-GENERAL'!C544="","",'[1]P-GENERAL'!C544)</f>
        <v/>
      </c>
      <c r="D544" t="str">
        <f>IF('[1]P-GENERAL'!D544="","",'[1]P-GENERAL'!D544)</f>
        <v/>
      </c>
      <c r="E544" s="8" t="str">
        <f>IF('[1]P-GENERAL'!E544="","",'[1]P-GENERAL'!E544)</f>
        <v/>
      </c>
      <c r="F544" s="12" t="str">
        <f>IF('[1]P-GENERAL'!F544="","",'[1]P-GENERAL'!F544)</f>
        <v/>
      </c>
      <c r="G544" s="13" t="str">
        <f>IF('[1]P-GENERAL'!G544="","",'[1]P-GENERAL'!G544)</f>
        <v/>
      </c>
      <c r="H544" s="14" t="str">
        <f>IF('[1]P-GENERAL'!H544="","",'[1]P-GENERAL'!H544)</f>
        <v/>
      </c>
      <c r="I544" t="str">
        <f>IF('[1]P-GENERAL'!I544="","",'[1]P-GENERAL'!I544)</f>
        <v/>
      </c>
      <c r="J544" s="15" t="str">
        <f>IF('[1]P-GENERAL'!J544="","",'[1]P-GENERAL'!J544)</f>
        <v/>
      </c>
      <c r="K544" s="14" t="str">
        <f>IF('[1]P-GENERAL'!K544="","",'[1]P-GENERAL'!K544)</f>
        <v/>
      </c>
      <c r="L544" s="14" t="str">
        <f>IF('[1]P-GENERAL'!L544="","",'[1]P-GENERAL'!L544)</f>
        <v/>
      </c>
      <c r="M544" t="str">
        <f>IF('[1]P-GENERAL'!M544="","",'[1]P-GENERAL'!M544)</f>
        <v/>
      </c>
      <c r="N544" t="str">
        <f>IF('[1]P-GENERAL'!N544="","",'[1]P-GENERAL'!N544)</f>
        <v/>
      </c>
      <c r="O544" s="14" t="str">
        <f>IF('[1]P-GENERAL'!O544="","",'[1]P-GENERAL'!O544)</f>
        <v/>
      </c>
      <c r="P544" s="16" t="str">
        <f>IF('[1]P-GENERAL'!P544="","",'[1]P-GENERAL'!P544)</f>
        <v/>
      </c>
      <c r="Q544" t="str">
        <f>IF('[1]P-GENERAL'!Q544="","",'[1]P-GENERAL'!Q544)</f>
        <v/>
      </c>
      <c r="R544" s="14" t="str">
        <f>IF('[1]P-GENERAL'!R544="","",'[1]P-GENERAL'!R544)</f>
        <v/>
      </c>
      <c r="S544" s="16" t="str">
        <f>IF('[1]P-GENERAL'!S544="","",'[1]P-GENERAL'!S544)</f>
        <v/>
      </c>
      <c r="T544" s="16" t="str">
        <f>IF('[1]P-GENERAL'!T544="","",'[1]P-GENERAL'!T544)</f>
        <v/>
      </c>
      <c r="U544" s="17" t="str">
        <f>IF('[1]P-GENERAL'!U544="","",'[1]P-GENERAL'!U544)</f>
        <v/>
      </c>
      <c r="V544" s="14" t="str">
        <f>IF('[1]P-GENERAL'!V544="","",'[1]P-GENERAL'!V544)</f>
        <v/>
      </c>
      <c r="W544" s="16" t="str">
        <f>IF('[1]P-GENERAL'!W544="","",'[1]P-GENERAL'!W544)</f>
        <v/>
      </c>
      <c r="X544" s="14" t="str">
        <f>IF('[1]P-GENERAL'!X544="","",'[1]P-GENERAL'!X544)</f>
        <v/>
      </c>
      <c r="Y544" s="14" t="str">
        <f>IF('[1]P-GENERAL'!Y544="","",'[1]P-GENERAL'!Y544)</f>
        <v/>
      </c>
      <c r="Z544" s="14" t="str">
        <f>IF('[1]P-GENERAL'!Z544="","",'[1]P-GENERAL'!Z544)</f>
        <v/>
      </c>
      <c r="AA544" s="14" t="str">
        <f>IF('[1]P-GENERAL'!AA544="","",'[1]P-GENERAL'!AA544)</f>
        <v/>
      </c>
      <c r="AB544" s="8" t="str">
        <f>IF('[1]P-GENERAL'!AB544="","",'[1]P-GENERAL'!AB544)</f>
        <v/>
      </c>
      <c r="AC544" s="8" t="str">
        <f>IF('[1]P-GENERAL'!AC544="","",'[1]P-GENERAL'!AC544)</f>
        <v/>
      </c>
      <c r="AD544" t="str">
        <f>IF('[1]P-GENERAL'!AD544="","",'[1]P-GENERAL'!AD544)</f>
        <v/>
      </c>
      <c r="AE544" t="str">
        <f>IF('[1]P-GENERAL'!AE544="","",'[1]P-GENERAL'!AE544)</f>
        <v/>
      </c>
    </row>
    <row r="545" spans="1:31" ht="20.25" x14ac:dyDescent="0.3">
      <c r="A545" s="11" t="str">
        <f>IF('[1]P-GENERAL'!A545="","",'[1]P-GENERAL'!A545)</f>
        <v/>
      </c>
      <c r="B545" s="11" t="str">
        <f>IF('[1]P-GENERAL'!B545="","",'[1]P-GENERAL'!B545)</f>
        <v/>
      </c>
      <c r="C545" t="str">
        <f>IF('[1]P-GENERAL'!C545="","",'[1]P-GENERAL'!C545)</f>
        <v/>
      </c>
      <c r="D545" t="str">
        <f>IF('[1]P-GENERAL'!D545="","",'[1]P-GENERAL'!D545)</f>
        <v/>
      </c>
      <c r="E545" s="8" t="str">
        <f>IF('[1]P-GENERAL'!E545="","",'[1]P-GENERAL'!E545)</f>
        <v/>
      </c>
      <c r="F545" s="12" t="str">
        <f>IF('[1]P-GENERAL'!F545="","",'[1]P-GENERAL'!F545)</f>
        <v/>
      </c>
      <c r="G545" s="13" t="str">
        <f>IF('[1]P-GENERAL'!G545="","",'[1]P-GENERAL'!G545)</f>
        <v/>
      </c>
      <c r="H545" s="14" t="str">
        <f>IF('[1]P-GENERAL'!H545="","",'[1]P-GENERAL'!H545)</f>
        <v/>
      </c>
      <c r="I545" t="str">
        <f>IF('[1]P-GENERAL'!I545="","",'[1]P-GENERAL'!I545)</f>
        <v/>
      </c>
      <c r="J545" s="15" t="str">
        <f>IF('[1]P-GENERAL'!J545="","",'[1]P-GENERAL'!J545)</f>
        <v/>
      </c>
      <c r="K545" s="14" t="str">
        <f>IF('[1]P-GENERAL'!K545="","",'[1]P-GENERAL'!K545)</f>
        <v/>
      </c>
      <c r="L545" s="14" t="str">
        <f>IF('[1]P-GENERAL'!L545="","",'[1]P-GENERAL'!L545)</f>
        <v/>
      </c>
      <c r="M545" t="str">
        <f>IF('[1]P-GENERAL'!M545="","",'[1]P-GENERAL'!M545)</f>
        <v/>
      </c>
      <c r="N545" t="str">
        <f>IF('[1]P-GENERAL'!N545="","",'[1]P-GENERAL'!N545)</f>
        <v/>
      </c>
      <c r="O545" s="14" t="str">
        <f>IF('[1]P-GENERAL'!O545="","",'[1]P-GENERAL'!O545)</f>
        <v/>
      </c>
      <c r="P545" s="16" t="str">
        <f>IF('[1]P-GENERAL'!P545="","",'[1]P-GENERAL'!P545)</f>
        <v/>
      </c>
      <c r="Q545" t="str">
        <f>IF('[1]P-GENERAL'!Q545="","",'[1]P-GENERAL'!Q545)</f>
        <v/>
      </c>
      <c r="R545" s="14" t="str">
        <f>IF('[1]P-GENERAL'!R545="","",'[1]P-GENERAL'!R545)</f>
        <v/>
      </c>
      <c r="S545" s="16" t="str">
        <f>IF('[1]P-GENERAL'!S545="","",'[1]P-GENERAL'!S545)</f>
        <v/>
      </c>
      <c r="T545" s="16" t="str">
        <f>IF('[1]P-GENERAL'!T545="","",'[1]P-GENERAL'!T545)</f>
        <v/>
      </c>
      <c r="U545" s="17" t="str">
        <f>IF('[1]P-GENERAL'!U545="","",'[1]P-GENERAL'!U545)</f>
        <v/>
      </c>
      <c r="V545" s="14" t="str">
        <f>IF('[1]P-GENERAL'!V545="","",'[1]P-GENERAL'!V545)</f>
        <v/>
      </c>
      <c r="W545" s="16" t="str">
        <f>IF('[1]P-GENERAL'!W545="","",'[1]P-GENERAL'!W545)</f>
        <v/>
      </c>
      <c r="X545" s="14" t="str">
        <f>IF('[1]P-GENERAL'!X545="","",'[1]P-GENERAL'!X545)</f>
        <v/>
      </c>
      <c r="Y545" s="14" t="str">
        <f>IF('[1]P-GENERAL'!Y545="","",'[1]P-GENERAL'!Y545)</f>
        <v/>
      </c>
      <c r="Z545" s="14" t="str">
        <f>IF('[1]P-GENERAL'!Z545="","",'[1]P-GENERAL'!Z545)</f>
        <v/>
      </c>
      <c r="AA545" s="14" t="str">
        <f>IF('[1]P-GENERAL'!AA545="","",'[1]P-GENERAL'!AA545)</f>
        <v/>
      </c>
      <c r="AB545" s="8" t="str">
        <f>IF('[1]P-GENERAL'!AB545="","",'[1]P-GENERAL'!AB545)</f>
        <v/>
      </c>
      <c r="AC545" s="8" t="str">
        <f>IF('[1]P-GENERAL'!AC545="","",'[1]P-GENERAL'!AC545)</f>
        <v/>
      </c>
      <c r="AD545" t="str">
        <f>IF('[1]P-GENERAL'!AD545="","",'[1]P-GENERAL'!AD545)</f>
        <v/>
      </c>
      <c r="AE545" t="str">
        <f>IF('[1]P-GENERAL'!AE545="","",'[1]P-GENERAL'!AE545)</f>
        <v/>
      </c>
    </row>
    <row r="546" spans="1:31" ht="20.25" x14ac:dyDescent="0.3">
      <c r="A546" s="11" t="str">
        <f>IF('[1]P-GENERAL'!A546="","",'[1]P-GENERAL'!A546)</f>
        <v/>
      </c>
      <c r="B546" s="11" t="str">
        <f>IF('[1]P-GENERAL'!B546="","",'[1]P-GENERAL'!B546)</f>
        <v/>
      </c>
      <c r="C546" t="str">
        <f>IF('[1]P-GENERAL'!C546="","",'[1]P-GENERAL'!C546)</f>
        <v/>
      </c>
      <c r="D546" t="str">
        <f>IF('[1]P-GENERAL'!D546="","",'[1]P-GENERAL'!D546)</f>
        <v/>
      </c>
      <c r="E546" s="8" t="str">
        <f>IF('[1]P-GENERAL'!E546="","",'[1]P-GENERAL'!E546)</f>
        <v/>
      </c>
      <c r="F546" s="12" t="str">
        <f>IF('[1]P-GENERAL'!F546="","",'[1]P-GENERAL'!F546)</f>
        <v/>
      </c>
      <c r="G546" s="13" t="str">
        <f>IF('[1]P-GENERAL'!G546="","",'[1]P-GENERAL'!G546)</f>
        <v/>
      </c>
      <c r="H546" s="14" t="str">
        <f>IF('[1]P-GENERAL'!H546="","",'[1]P-GENERAL'!H546)</f>
        <v/>
      </c>
      <c r="I546" t="str">
        <f>IF('[1]P-GENERAL'!I546="","",'[1]P-GENERAL'!I546)</f>
        <v/>
      </c>
      <c r="J546" s="15" t="str">
        <f>IF('[1]P-GENERAL'!J546="","",'[1]P-GENERAL'!J546)</f>
        <v/>
      </c>
      <c r="K546" s="14" t="str">
        <f>IF('[1]P-GENERAL'!K546="","",'[1]P-GENERAL'!K546)</f>
        <v/>
      </c>
      <c r="L546" s="14" t="str">
        <f>IF('[1]P-GENERAL'!L546="","",'[1]P-GENERAL'!L546)</f>
        <v/>
      </c>
      <c r="M546" t="str">
        <f>IF('[1]P-GENERAL'!M546="","",'[1]P-GENERAL'!M546)</f>
        <v/>
      </c>
      <c r="N546" t="str">
        <f>IF('[1]P-GENERAL'!N546="","",'[1]P-GENERAL'!N546)</f>
        <v/>
      </c>
      <c r="O546" s="14" t="str">
        <f>IF('[1]P-GENERAL'!O546="","",'[1]P-GENERAL'!O546)</f>
        <v/>
      </c>
      <c r="P546" s="16" t="str">
        <f>IF('[1]P-GENERAL'!P546="","",'[1]P-GENERAL'!P546)</f>
        <v/>
      </c>
      <c r="Q546" t="str">
        <f>IF('[1]P-GENERAL'!Q546="","",'[1]P-GENERAL'!Q546)</f>
        <v/>
      </c>
      <c r="R546" s="14" t="str">
        <f>IF('[1]P-GENERAL'!R546="","",'[1]P-GENERAL'!R546)</f>
        <v/>
      </c>
      <c r="S546" s="16" t="str">
        <f>IF('[1]P-GENERAL'!S546="","",'[1]P-GENERAL'!S546)</f>
        <v/>
      </c>
      <c r="T546" s="16" t="str">
        <f>IF('[1]P-GENERAL'!T546="","",'[1]P-GENERAL'!T546)</f>
        <v/>
      </c>
      <c r="U546" s="17" t="str">
        <f>IF('[1]P-GENERAL'!U546="","",'[1]P-GENERAL'!U546)</f>
        <v/>
      </c>
      <c r="V546" s="14" t="str">
        <f>IF('[1]P-GENERAL'!V546="","",'[1]P-GENERAL'!V546)</f>
        <v/>
      </c>
      <c r="W546" s="16" t="str">
        <f>IF('[1]P-GENERAL'!W546="","",'[1]P-GENERAL'!W546)</f>
        <v/>
      </c>
      <c r="X546" s="14" t="str">
        <f>IF('[1]P-GENERAL'!X546="","",'[1]P-GENERAL'!X546)</f>
        <v/>
      </c>
      <c r="Y546" s="14" t="str">
        <f>IF('[1]P-GENERAL'!Y546="","",'[1]P-GENERAL'!Y546)</f>
        <v/>
      </c>
      <c r="Z546" s="14" t="str">
        <f>IF('[1]P-GENERAL'!Z546="","",'[1]P-GENERAL'!Z546)</f>
        <v/>
      </c>
      <c r="AA546" s="14" t="str">
        <f>IF('[1]P-GENERAL'!AA546="","",'[1]P-GENERAL'!AA546)</f>
        <v/>
      </c>
      <c r="AB546" s="8" t="str">
        <f>IF('[1]P-GENERAL'!AB546="","",'[1]P-GENERAL'!AB546)</f>
        <v/>
      </c>
      <c r="AC546" s="8" t="str">
        <f>IF('[1]P-GENERAL'!AC546="","",'[1]P-GENERAL'!AC546)</f>
        <v/>
      </c>
      <c r="AD546" t="str">
        <f>IF('[1]P-GENERAL'!AD546="","",'[1]P-GENERAL'!AD546)</f>
        <v/>
      </c>
      <c r="AE546" t="str">
        <f>IF('[1]P-GENERAL'!AE546="","",'[1]P-GENERAL'!AE546)</f>
        <v/>
      </c>
    </row>
    <row r="547" spans="1:31" ht="20.25" x14ac:dyDescent="0.3">
      <c r="A547" s="11" t="str">
        <f>IF('[1]P-GENERAL'!A547="","",'[1]P-GENERAL'!A547)</f>
        <v/>
      </c>
      <c r="B547" s="11" t="str">
        <f>IF('[1]P-GENERAL'!B547="","",'[1]P-GENERAL'!B547)</f>
        <v/>
      </c>
      <c r="C547" t="str">
        <f>IF('[1]P-GENERAL'!C547="","",'[1]P-GENERAL'!C547)</f>
        <v/>
      </c>
      <c r="D547" t="str">
        <f>IF('[1]P-GENERAL'!D547="","",'[1]P-GENERAL'!D547)</f>
        <v/>
      </c>
      <c r="E547" s="8" t="str">
        <f>IF('[1]P-GENERAL'!E547="","",'[1]P-GENERAL'!E547)</f>
        <v/>
      </c>
      <c r="F547" s="12" t="str">
        <f>IF('[1]P-GENERAL'!F547="","",'[1]P-GENERAL'!F547)</f>
        <v/>
      </c>
      <c r="G547" s="13" t="str">
        <f>IF('[1]P-GENERAL'!G547="","",'[1]P-GENERAL'!G547)</f>
        <v/>
      </c>
      <c r="H547" s="14" t="str">
        <f>IF('[1]P-GENERAL'!H547="","",'[1]P-GENERAL'!H547)</f>
        <v/>
      </c>
      <c r="I547" t="str">
        <f>IF('[1]P-GENERAL'!I547="","",'[1]P-GENERAL'!I547)</f>
        <v/>
      </c>
      <c r="J547" s="15" t="str">
        <f>IF('[1]P-GENERAL'!J547="","",'[1]P-GENERAL'!J547)</f>
        <v/>
      </c>
      <c r="K547" s="14" t="str">
        <f>IF('[1]P-GENERAL'!K547="","",'[1]P-GENERAL'!K547)</f>
        <v/>
      </c>
      <c r="L547" s="14" t="str">
        <f>IF('[1]P-GENERAL'!L547="","",'[1]P-GENERAL'!L547)</f>
        <v/>
      </c>
      <c r="M547" t="str">
        <f>IF('[1]P-GENERAL'!M547="","",'[1]P-GENERAL'!M547)</f>
        <v/>
      </c>
      <c r="N547" t="str">
        <f>IF('[1]P-GENERAL'!N547="","",'[1]P-GENERAL'!N547)</f>
        <v/>
      </c>
      <c r="O547" s="14" t="str">
        <f>IF('[1]P-GENERAL'!O547="","",'[1]P-GENERAL'!O547)</f>
        <v/>
      </c>
      <c r="P547" s="16" t="str">
        <f>IF('[1]P-GENERAL'!P547="","",'[1]P-GENERAL'!P547)</f>
        <v/>
      </c>
      <c r="Q547" t="str">
        <f>IF('[1]P-GENERAL'!Q547="","",'[1]P-GENERAL'!Q547)</f>
        <v/>
      </c>
      <c r="R547" s="14" t="str">
        <f>IF('[1]P-GENERAL'!R547="","",'[1]P-GENERAL'!R547)</f>
        <v/>
      </c>
      <c r="S547" s="16" t="str">
        <f>IF('[1]P-GENERAL'!S547="","",'[1]P-GENERAL'!S547)</f>
        <v/>
      </c>
      <c r="T547" s="16" t="str">
        <f>IF('[1]P-GENERAL'!T547="","",'[1]P-GENERAL'!T547)</f>
        <v/>
      </c>
      <c r="U547" s="17" t="str">
        <f>IF('[1]P-GENERAL'!U547="","",'[1]P-GENERAL'!U547)</f>
        <v/>
      </c>
      <c r="V547" s="14" t="str">
        <f>IF('[1]P-GENERAL'!V547="","",'[1]P-GENERAL'!V547)</f>
        <v/>
      </c>
      <c r="W547" s="16" t="str">
        <f>IF('[1]P-GENERAL'!W547="","",'[1]P-GENERAL'!W547)</f>
        <v/>
      </c>
      <c r="X547" s="14" t="str">
        <f>IF('[1]P-GENERAL'!X547="","",'[1]P-GENERAL'!X547)</f>
        <v/>
      </c>
      <c r="Y547" s="14" t="str">
        <f>IF('[1]P-GENERAL'!Y547="","",'[1]P-GENERAL'!Y547)</f>
        <v/>
      </c>
      <c r="Z547" s="14" t="str">
        <f>IF('[1]P-GENERAL'!Z547="","",'[1]P-GENERAL'!Z547)</f>
        <v/>
      </c>
      <c r="AA547" s="14" t="str">
        <f>IF('[1]P-GENERAL'!AA547="","",'[1]P-GENERAL'!AA547)</f>
        <v/>
      </c>
      <c r="AB547" s="8" t="str">
        <f>IF('[1]P-GENERAL'!AB547="","",'[1]P-GENERAL'!AB547)</f>
        <v/>
      </c>
      <c r="AC547" s="8" t="str">
        <f>IF('[1]P-GENERAL'!AC547="","",'[1]P-GENERAL'!AC547)</f>
        <v/>
      </c>
      <c r="AD547" t="str">
        <f>IF('[1]P-GENERAL'!AD547="","",'[1]P-GENERAL'!AD547)</f>
        <v/>
      </c>
      <c r="AE547" t="str">
        <f>IF('[1]P-GENERAL'!AE547="","",'[1]P-GENERAL'!AE547)</f>
        <v/>
      </c>
    </row>
    <row r="548" spans="1:31" ht="20.25" x14ac:dyDescent="0.3">
      <c r="A548" s="11" t="str">
        <f>IF('[1]P-GENERAL'!A548="","",'[1]P-GENERAL'!A548)</f>
        <v/>
      </c>
      <c r="B548" s="11" t="str">
        <f>IF('[1]P-GENERAL'!B548="","",'[1]P-GENERAL'!B548)</f>
        <v/>
      </c>
      <c r="C548" t="str">
        <f>IF('[1]P-GENERAL'!C548="","",'[1]P-GENERAL'!C548)</f>
        <v/>
      </c>
      <c r="D548" t="str">
        <f>IF('[1]P-GENERAL'!D548="","",'[1]P-GENERAL'!D548)</f>
        <v/>
      </c>
      <c r="E548" s="8" t="str">
        <f>IF('[1]P-GENERAL'!E548="","",'[1]P-GENERAL'!E548)</f>
        <v/>
      </c>
      <c r="F548" s="12" t="str">
        <f>IF('[1]P-GENERAL'!F548="","",'[1]P-GENERAL'!F548)</f>
        <v/>
      </c>
      <c r="G548" s="13" t="str">
        <f>IF('[1]P-GENERAL'!G548="","",'[1]P-GENERAL'!G548)</f>
        <v/>
      </c>
      <c r="H548" s="14" t="str">
        <f>IF('[1]P-GENERAL'!H548="","",'[1]P-GENERAL'!H548)</f>
        <v/>
      </c>
      <c r="I548" t="str">
        <f>IF('[1]P-GENERAL'!I548="","",'[1]P-GENERAL'!I548)</f>
        <v/>
      </c>
      <c r="J548" s="15" t="str">
        <f>IF('[1]P-GENERAL'!J548="","",'[1]P-GENERAL'!J548)</f>
        <v/>
      </c>
      <c r="K548" s="14" t="str">
        <f>IF('[1]P-GENERAL'!K548="","",'[1]P-GENERAL'!K548)</f>
        <v/>
      </c>
      <c r="L548" s="14" t="str">
        <f>IF('[1]P-GENERAL'!L548="","",'[1]P-GENERAL'!L548)</f>
        <v/>
      </c>
      <c r="M548" t="str">
        <f>IF('[1]P-GENERAL'!M548="","",'[1]P-GENERAL'!M548)</f>
        <v/>
      </c>
      <c r="N548" t="str">
        <f>IF('[1]P-GENERAL'!N548="","",'[1]P-GENERAL'!N548)</f>
        <v/>
      </c>
      <c r="O548" s="14" t="str">
        <f>IF('[1]P-GENERAL'!O548="","",'[1]P-GENERAL'!O548)</f>
        <v/>
      </c>
      <c r="P548" s="16" t="str">
        <f>IF('[1]P-GENERAL'!P548="","",'[1]P-GENERAL'!P548)</f>
        <v/>
      </c>
      <c r="Q548" t="str">
        <f>IF('[1]P-GENERAL'!Q548="","",'[1]P-GENERAL'!Q548)</f>
        <v/>
      </c>
      <c r="R548" s="14" t="str">
        <f>IF('[1]P-GENERAL'!R548="","",'[1]P-GENERAL'!R548)</f>
        <v/>
      </c>
      <c r="S548" s="16" t="str">
        <f>IF('[1]P-GENERAL'!S548="","",'[1]P-GENERAL'!S548)</f>
        <v/>
      </c>
      <c r="T548" s="16" t="str">
        <f>IF('[1]P-GENERAL'!T548="","",'[1]P-GENERAL'!T548)</f>
        <v/>
      </c>
      <c r="U548" s="17" t="str">
        <f>IF('[1]P-GENERAL'!U548="","",'[1]P-GENERAL'!U548)</f>
        <v/>
      </c>
      <c r="V548" s="14" t="str">
        <f>IF('[1]P-GENERAL'!V548="","",'[1]P-GENERAL'!V548)</f>
        <v/>
      </c>
      <c r="W548" s="16" t="str">
        <f>IF('[1]P-GENERAL'!W548="","",'[1]P-GENERAL'!W548)</f>
        <v/>
      </c>
      <c r="X548" s="14" t="str">
        <f>IF('[1]P-GENERAL'!X548="","",'[1]P-GENERAL'!X548)</f>
        <v/>
      </c>
      <c r="Y548" s="14" t="str">
        <f>IF('[1]P-GENERAL'!Y548="","",'[1]P-GENERAL'!Y548)</f>
        <v/>
      </c>
      <c r="Z548" s="14" t="str">
        <f>IF('[1]P-GENERAL'!Z548="","",'[1]P-GENERAL'!Z548)</f>
        <v/>
      </c>
      <c r="AA548" s="14" t="str">
        <f>IF('[1]P-GENERAL'!AA548="","",'[1]P-GENERAL'!AA548)</f>
        <v/>
      </c>
      <c r="AB548" s="8" t="str">
        <f>IF('[1]P-GENERAL'!AB548="","",'[1]P-GENERAL'!AB548)</f>
        <v/>
      </c>
      <c r="AC548" s="8" t="str">
        <f>IF('[1]P-GENERAL'!AC548="","",'[1]P-GENERAL'!AC548)</f>
        <v/>
      </c>
      <c r="AD548" t="str">
        <f>IF('[1]P-GENERAL'!AD548="","",'[1]P-GENERAL'!AD548)</f>
        <v/>
      </c>
      <c r="AE548" t="str">
        <f>IF('[1]P-GENERAL'!AE548="","",'[1]P-GENERAL'!AE548)</f>
        <v/>
      </c>
    </row>
    <row r="549" spans="1:31" ht="20.25" x14ac:dyDescent="0.3">
      <c r="A549" s="11" t="str">
        <f>IF('[1]P-GENERAL'!A549="","",'[1]P-GENERAL'!A549)</f>
        <v/>
      </c>
      <c r="B549" s="11" t="str">
        <f>IF('[1]P-GENERAL'!B549="","",'[1]P-GENERAL'!B549)</f>
        <v/>
      </c>
      <c r="C549" t="str">
        <f>IF('[1]P-GENERAL'!C549="","",'[1]P-GENERAL'!C549)</f>
        <v/>
      </c>
      <c r="D549" t="str">
        <f>IF('[1]P-GENERAL'!D549="","",'[1]P-GENERAL'!D549)</f>
        <v/>
      </c>
      <c r="E549" s="8" t="str">
        <f>IF('[1]P-GENERAL'!E549="","",'[1]P-GENERAL'!E549)</f>
        <v/>
      </c>
      <c r="F549" s="12" t="str">
        <f>IF('[1]P-GENERAL'!F549="","",'[1]P-GENERAL'!F549)</f>
        <v/>
      </c>
      <c r="G549" s="13" t="str">
        <f>IF('[1]P-GENERAL'!G549="","",'[1]P-GENERAL'!G549)</f>
        <v/>
      </c>
      <c r="H549" s="14" t="str">
        <f>IF('[1]P-GENERAL'!H549="","",'[1]P-GENERAL'!H549)</f>
        <v/>
      </c>
      <c r="I549" t="str">
        <f>IF('[1]P-GENERAL'!I549="","",'[1]P-GENERAL'!I549)</f>
        <v/>
      </c>
      <c r="J549" s="15" t="str">
        <f>IF('[1]P-GENERAL'!J549="","",'[1]P-GENERAL'!J549)</f>
        <v/>
      </c>
      <c r="K549" s="14" t="str">
        <f>IF('[1]P-GENERAL'!K549="","",'[1]P-GENERAL'!K549)</f>
        <v/>
      </c>
      <c r="L549" s="14" t="str">
        <f>IF('[1]P-GENERAL'!L549="","",'[1]P-GENERAL'!L549)</f>
        <v/>
      </c>
      <c r="M549" t="str">
        <f>IF('[1]P-GENERAL'!M549="","",'[1]P-GENERAL'!M549)</f>
        <v/>
      </c>
      <c r="N549" t="str">
        <f>IF('[1]P-GENERAL'!N549="","",'[1]P-GENERAL'!N549)</f>
        <v/>
      </c>
      <c r="O549" s="14" t="str">
        <f>IF('[1]P-GENERAL'!O549="","",'[1]P-GENERAL'!O549)</f>
        <v/>
      </c>
      <c r="P549" s="16" t="str">
        <f>IF('[1]P-GENERAL'!P549="","",'[1]P-GENERAL'!P549)</f>
        <v/>
      </c>
      <c r="Q549" t="str">
        <f>IF('[1]P-GENERAL'!Q549="","",'[1]P-GENERAL'!Q549)</f>
        <v/>
      </c>
      <c r="R549" s="14" t="str">
        <f>IF('[1]P-GENERAL'!R549="","",'[1]P-GENERAL'!R549)</f>
        <v/>
      </c>
      <c r="S549" s="16" t="str">
        <f>IF('[1]P-GENERAL'!S549="","",'[1]P-GENERAL'!S549)</f>
        <v/>
      </c>
      <c r="T549" s="16" t="str">
        <f>IF('[1]P-GENERAL'!T549="","",'[1]P-GENERAL'!T549)</f>
        <v/>
      </c>
      <c r="U549" s="17" t="str">
        <f>IF('[1]P-GENERAL'!U549="","",'[1]P-GENERAL'!U549)</f>
        <v/>
      </c>
      <c r="V549" s="14" t="str">
        <f>IF('[1]P-GENERAL'!V549="","",'[1]P-GENERAL'!V549)</f>
        <v/>
      </c>
      <c r="W549" s="16" t="str">
        <f>IF('[1]P-GENERAL'!W549="","",'[1]P-GENERAL'!W549)</f>
        <v/>
      </c>
      <c r="X549" s="14" t="str">
        <f>IF('[1]P-GENERAL'!X549="","",'[1]P-GENERAL'!X549)</f>
        <v/>
      </c>
      <c r="Y549" s="14" t="str">
        <f>IF('[1]P-GENERAL'!Y549="","",'[1]P-GENERAL'!Y549)</f>
        <v/>
      </c>
      <c r="Z549" s="14" t="str">
        <f>IF('[1]P-GENERAL'!Z549="","",'[1]P-GENERAL'!Z549)</f>
        <v/>
      </c>
      <c r="AA549" s="14" t="str">
        <f>IF('[1]P-GENERAL'!AA549="","",'[1]P-GENERAL'!AA549)</f>
        <v/>
      </c>
      <c r="AB549" s="8" t="str">
        <f>IF('[1]P-GENERAL'!AB549="","",'[1]P-GENERAL'!AB549)</f>
        <v/>
      </c>
      <c r="AC549" s="8" t="str">
        <f>IF('[1]P-GENERAL'!AC549="","",'[1]P-GENERAL'!AC549)</f>
        <v/>
      </c>
      <c r="AD549" t="str">
        <f>IF('[1]P-GENERAL'!AD549="","",'[1]P-GENERAL'!AD549)</f>
        <v/>
      </c>
      <c r="AE549" t="str">
        <f>IF('[1]P-GENERAL'!AE549="","",'[1]P-GENERAL'!AE549)</f>
        <v/>
      </c>
    </row>
    <row r="550" spans="1:31" ht="20.25" x14ac:dyDescent="0.3">
      <c r="A550" s="11" t="str">
        <f>IF('[1]P-GENERAL'!A550="","",'[1]P-GENERAL'!A550)</f>
        <v/>
      </c>
      <c r="B550" s="11" t="str">
        <f>IF('[1]P-GENERAL'!B550="","",'[1]P-GENERAL'!B550)</f>
        <v/>
      </c>
      <c r="C550" t="str">
        <f>IF('[1]P-GENERAL'!C550="","",'[1]P-GENERAL'!C550)</f>
        <v/>
      </c>
      <c r="D550" t="str">
        <f>IF('[1]P-GENERAL'!D550="","",'[1]P-GENERAL'!D550)</f>
        <v/>
      </c>
      <c r="E550" s="8" t="str">
        <f>IF('[1]P-GENERAL'!E550="","",'[1]P-GENERAL'!E550)</f>
        <v/>
      </c>
      <c r="F550" s="12" t="str">
        <f>IF('[1]P-GENERAL'!F550="","",'[1]P-GENERAL'!F550)</f>
        <v/>
      </c>
      <c r="G550" s="13" t="str">
        <f>IF('[1]P-GENERAL'!G550="","",'[1]P-GENERAL'!G550)</f>
        <v/>
      </c>
      <c r="H550" s="14" t="str">
        <f>IF('[1]P-GENERAL'!H550="","",'[1]P-GENERAL'!H550)</f>
        <v/>
      </c>
      <c r="I550" t="str">
        <f>IF('[1]P-GENERAL'!I550="","",'[1]P-GENERAL'!I550)</f>
        <v/>
      </c>
      <c r="J550" s="15" t="str">
        <f>IF('[1]P-GENERAL'!J550="","",'[1]P-GENERAL'!J550)</f>
        <v/>
      </c>
      <c r="K550" s="14" t="str">
        <f>IF('[1]P-GENERAL'!K550="","",'[1]P-GENERAL'!K550)</f>
        <v/>
      </c>
      <c r="L550" s="14" t="str">
        <f>IF('[1]P-GENERAL'!L550="","",'[1]P-GENERAL'!L550)</f>
        <v/>
      </c>
      <c r="M550" t="str">
        <f>IF('[1]P-GENERAL'!M550="","",'[1]P-GENERAL'!M550)</f>
        <v/>
      </c>
      <c r="N550" t="str">
        <f>IF('[1]P-GENERAL'!N550="","",'[1]P-GENERAL'!N550)</f>
        <v/>
      </c>
      <c r="O550" s="14" t="str">
        <f>IF('[1]P-GENERAL'!O550="","",'[1]P-GENERAL'!O550)</f>
        <v/>
      </c>
      <c r="P550" s="16" t="str">
        <f>IF('[1]P-GENERAL'!P550="","",'[1]P-GENERAL'!P550)</f>
        <v/>
      </c>
      <c r="Q550" t="str">
        <f>IF('[1]P-GENERAL'!Q550="","",'[1]P-GENERAL'!Q550)</f>
        <v/>
      </c>
      <c r="R550" s="14" t="str">
        <f>IF('[1]P-GENERAL'!R550="","",'[1]P-GENERAL'!R550)</f>
        <v/>
      </c>
      <c r="S550" s="16" t="str">
        <f>IF('[1]P-GENERAL'!S550="","",'[1]P-GENERAL'!S550)</f>
        <v/>
      </c>
      <c r="T550" s="16" t="str">
        <f>IF('[1]P-GENERAL'!T550="","",'[1]P-GENERAL'!T550)</f>
        <v/>
      </c>
      <c r="U550" s="17" t="str">
        <f>IF('[1]P-GENERAL'!U550="","",'[1]P-GENERAL'!U550)</f>
        <v/>
      </c>
      <c r="V550" s="14" t="str">
        <f>IF('[1]P-GENERAL'!V550="","",'[1]P-GENERAL'!V550)</f>
        <v/>
      </c>
      <c r="W550" s="16" t="str">
        <f>IF('[1]P-GENERAL'!W550="","",'[1]P-GENERAL'!W550)</f>
        <v/>
      </c>
      <c r="X550" s="14" t="str">
        <f>IF('[1]P-GENERAL'!X550="","",'[1]P-GENERAL'!X550)</f>
        <v/>
      </c>
      <c r="Y550" s="14" t="str">
        <f>IF('[1]P-GENERAL'!Y550="","",'[1]P-GENERAL'!Y550)</f>
        <v/>
      </c>
      <c r="Z550" s="14" t="str">
        <f>IF('[1]P-GENERAL'!Z550="","",'[1]P-GENERAL'!Z550)</f>
        <v/>
      </c>
      <c r="AA550" s="14" t="str">
        <f>IF('[1]P-GENERAL'!AA550="","",'[1]P-GENERAL'!AA550)</f>
        <v/>
      </c>
      <c r="AB550" s="8" t="str">
        <f>IF('[1]P-GENERAL'!AB550="","",'[1]P-GENERAL'!AB550)</f>
        <v/>
      </c>
      <c r="AC550" s="8" t="str">
        <f>IF('[1]P-GENERAL'!AC550="","",'[1]P-GENERAL'!AC550)</f>
        <v/>
      </c>
      <c r="AD550" t="str">
        <f>IF('[1]P-GENERAL'!AD550="","",'[1]P-GENERAL'!AD550)</f>
        <v/>
      </c>
      <c r="AE550" t="str">
        <f>IF('[1]P-GENERAL'!AE550="","",'[1]P-GENERAL'!AE550)</f>
        <v/>
      </c>
    </row>
    <row r="551" spans="1:31" ht="20.25" x14ac:dyDescent="0.3">
      <c r="A551" s="11" t="str">
        <f>IF('[1]P-GENERAL'!A551="","",'[1]P-GENERAL'!A551)</f>
        <v/>
      </c>
      <c r="B551" s="11" t="str">
        <f>IF('[1]P-GENERAL'!B551="","",'[1]P-GENERAL'!B551)</f>
        <v/>
      </c>
      <c r="C551" t="str">
        <f>IF('[1]P-GENERAL'!C551="","",'[1]P-GENERAL'!C551)</f>
        <v/>
      </c>
      <c r="D551" t="str">
        <f>IF('[1]P-GENERAL'!D551="","",'[1]P-GENERAL'!D551)</f>
        <v/>
      </c>
      <c r="E551" s="8" t="str">
        <f>IF('[1]P-GENERAL'!E551="","",'[1]P-GENERAL'!E551)</f>
        <v/>
      </c>
      <c r="F551" s="12" t="str">
        <f>IF('[1]P-GENERAL'!F551="","",'[1]P-GENERAL'!F551)</f>
        <v/>
      </c>
      <c r="G551" s="13" t="str">
        <f>IF('[1]P-GENERAL'!G551="","",'[1]P-GENERAL'!G551)</f>
        <v/>
      </c>
      <c r="H551" s="14" t="str">
        <f>IF('[1]P-GENERAL'!H551="","",'[1]P-GENERAL'!H551)</f>
        <v/>
      </c>
      <c r="I551" t="str">
        <f>IF('[1]P-GENERAL'!I551="","",'[1]P-GENERAL'!I551)</f>
        <v/>
      </c>
      <c r="J551" s="15" t="str">
        <f>IF('[1]P-GENERAL'!J551="","",'[1]P-GENERAL'!J551)</f>
        <v/>
      </c>
      <c r="K551" s="14" t="str">
        <f>IF('[1]P-GENERAL'!K551="","",'[1]P-GENERAL'!K551)</f>
        <v/>
      </c>
      <c r="L551" s="14" t="str">
        <f>IF('[1]P-GENERAL'!L551="","",'[1]P-GENERAL'!L551)</f>
        <v/>
      </c>
      <c r="M551" t="str">
        <f>IF('[1]P-GENERAL'!M551="","",'[1]P-GENERAL'!M551)</f>
        <v/>
      </c>
      <c r="N551" t="str">
        <f>IF('[1]P-GENERAL'!N551="","",'[1]P-GENERAL'!N551)</f>
        <v/>
      </c>
      <c r="O551" s="14" t="str">
        <f>IF('[1]P-GENERAL'!O551="","",'[1]P-GENERAL'!O551)</f>
        <v/>
      </c>
      <c r="P551" s="16" t="str">
        <f>IF('[1]P-GENERAL'!P551="","",'[1]P-GENERAL'!P551)</f>
        <v/>
      </c>
      <c r="Q551" t="str">
        <f>IF('[1]P-GENERAL'!Q551="","",'[1]P-GENERAL'!Q551)</f>
        <v/>
      </c>
      <c r="R551" s="14" t="str">
        <f>IF('[1]P-GENERAL'!R551="","",'[1]P-GENERAL'!R551)</f>
        <v/>
      </c>
      <c r="S551" s="16" t="str">
        <f>IF('[1]P-GENERAL'!S551="","",'[1]P-GENERAL'!S551)</f>
        <v/>
      </c>
      <c r="T551" s="16" t="str">
        <f>IF('[1]P-GENERAL'!T551="","",'[1]P-GENERAL'!T551)</f>
        <v/>
      </c>
      <c r="U551" s="17" t="str">
        <f>IF('[1]P-GENERAL'!U551="","",'[1]P-GENERAL'!U551)</f>
        <v/>
      </c>
      <c r="V551" s="14" t="str">
        <f>IF('[1]P-GENERAL'!V551="","",'[1]P-GENERAL'!V551)</f>
        <v/>
      </c>
      <c r="W551" s="16" t="str">
        <f>IF('[1]P-GENERAL'!W551="","",'[1]P-GENERAL'!W551)</f>
        <v/>
      </c>
      <c r="X551" s="14" t="str">
        <f>IF('[1]P-GENERAL'!X551="","",'[1]P-GENERAL'!X551)</f>
        <v/>
      </c>
      <c r="Y551" s="14" t="str">
        <f>IF('[1]P-GENERAL'!Y551="","",'[1]P-GENERAL'!Y551)</f>
        <v/>
      </c>
      <c r="Z551" s="14" t="str">
        <f>IF('[1]P-GENERAL'!Z551="","",'[1]P-GENERAL'!Z551)</f>
        <v/>
      </c>
      <c r="AA551" s="14" t="str">
        <f>IF('[1]P-GENERAL'!AA551="","",'[1]P-GENERAL'!AA551)</f>
        <v/>
      </c>
      <c r="AB551" s="8" t="str">
        <f>IF('[1]P-GENERAL'!AB551="","",'[1]P-GENERAL'!AB551)</f>
        <v/>
      </c>
      <c r="AC551" s="8" t="str">
        <f>IF('[1]P-GENERAL'!AC551="","",'[1]P-GENERAL'!AC551)</f>
        <v/>
      </c>
      <c r="AD551" t="str">
        <f>IF('[1]P-GENERAL'!AD551="","",'[1]P-GENERAL'!AD551)</f>
        <v/>
      </c>
      <c r="AE551" t="str">
        <f>IF('[1]P-GENERAL'!AE551="","",'[1]P-GENERAL'!AE551)</f>
        <v/>
      </c>
    </row>
    <row r="552" spans="1:31" ht="20.25" x14ac:dyDescent="0.3">
      <c r="A552" s="11" t="str">
        <f>IF('[1]P-GENERAL'!A552="","",'[1]P-GENERAL'!A552)</f>
        <v/>
      </c>
      <c r="B552" s="11" t="str">
        <f>IF('[1]P-GENERAL'!B552="","",'[1]P-GENERAL'!B552)</f>
        <v/>
      </c>
      <c r="C552" t="str">
        <f>IF('[1]P-GENERAL'!C552="","",'[1]P-GENERAL'!C552)</f>
        <v/>
      </c>
      <c r="D552" t="str">
        <f>IF('[1]P-GENERAL'!D552="","",'[1]P-GENERAL'!D552)</f>
        <v/>
      </c>
      <c r="E552" s="8" t="str">
        <f>IF('[1]P-GENERAL'!E552="","",'[1]P-GENERAL'!E552)</f>
        <v/>
      </c>
      <c r="F552" s="12" t="str">
        <f>IF('[1]P-GENERAL'!F552="","",'[1]P-GENERAL'!F552)</f>
        <v/>
      </c>
      <c r="G552" s="13" t="str">
        <f>IF('[1]P-GENERAL'!G552="","",'[1]P-GENERAL'!G552)</f>
        <v/>
      </c>
      <c r="H552" s="14" t="str">
        <f>IF('[1]P-GENERAL'!H552="","",'[1]P-GENERAL'!H552)</f>
        <v/>
      </c>
      <c r="I552" t="str">
        <f>IF('[1]P-GENERAL'!I552="","",'[1]P-GENERAL'!I552)</f>
        <v/>
      </c>
      <c r="J552" s="15" t="str">
        <f>IF('[1]P-GENERAL'!J552="","",'[1]P-GENERAL'!J552)</f>
        <v/>
      </c>
      <c r="K552" s="14" t="str">
        <f>IF('[1]P-GENERAL'!K552="","",'[1]P-GENERAL'!K552)</f>
        <v/>
      </c>
      <c r="L552" s="14" t="str">
        <f>IF('[1]P-GENERAL'!L552="","",'[1]P-GENERAL'!L552)</f>
        <v/>
      </c>
      <c r="M552" t="str">
        <f>IF('[1]P-GENERAL'!M552="","",'[1]P-GENERAL'!M552)</f>
        <v/>
      </c>
      <c r="N552" t="str">
        <f>IF('[1]P-GENERAL'!N552="","",'[1]P-GENERAL'!N552)</f>
        <v/>
      </c>
      <c r="O552" s="14" t="str">
        <f>IF('[1]P-GENERAL'!O552="","",'[1]P-GENERAL'!O552)</f>
        <v/>
      </c>
      <c r="P552" s="16" t="str">
        <f>IF('[1]P-GENERAL'!P552="","",'[1]P-GENERAL'!P552)</f>
        <v/>
      </c>
      <c r="Q552" t="str">
        <f>IF('[1]P-GENERAL'!Q552="","",'[1]P-GENERAL'!Q552)</f>
        <v/>
      </c>
      <c r="R552" s="14" t="str">
        <f>IF('[1]P-GENERAL'!R552="","",'[1]P-GENERAL'!R552)</f>
        <v/>
      </c>
      <c r="S552" s="16" t="str">
        <f>IF('[1]P-GENERAL'!S552="","",'[1]P-GENERAL'!S552)</f>
        <v/>
      </c>
      <c r="T552" s="16" t="str">
        <f>IF('[1]P-GENERAL'!T552="","",'[1]P-GENERAL'!T552)</f>
        <v/>
      </c>
      <c r="U552" s="17" t="str">
        <f>IF('[1]P-GENERAL'!U552="","",'[1]P-GENERAL'!U552)</f>
        <v/>
      </c>
      <c r="V552" s="14" t="str">
        <f>IF('[1]P-GENERAL'!V552="","",'[1]P-GENERAL'!V552)</f>
        <v/>
      </c>
      <c r="W552" s="16" t="str">
        <f>IF('[1]P-GENERAL'!W552="","",'[1]P-GENERAL'!W552)</f>
        <v/>
      </c>
      <c r="X552" s="14" t="str">
        <f>IF('[1]P-GENERAL'!X552="","",'[1]P-GENERAL'!X552)</f>
        <v/>
      </c>
      <c r="Y552" s="14" t="str">
        <f>IF('[1]P-GENERAL'!Y552="","",'[1]P-GENERAL'!Y552)</f>
        <v/>
      </c>
      <c r="Z552" s="14" t="str">
        <f>IF('[1]P-GENERAL'!Z552="","",'[1]P-GENERAL'!Z552)</f>
        <v/>
      </c>
      <c r="AA552" s="14" t="str">
        <f>IF('[1]P-GENERAL'!AA552="","",'[1]P-GENERAL'!AA552)</f>
        <v/>
      </c>
      <c r="AB552" s="8" t="str">
        <f>IF('[1]P-GENERAL'!AB552="","",'[1]P-GENERAL'!AB552)</f>
        <v/>
      </c>
      <c r="AC552" s="8" t="str">
        <f>IF('[1]P-GENERAL'!AC552="","",'[1]P-GENERAL'!AC552)</f>
        <v/>
      </c>
      <c r="AD552" t="str">
        <f>IF('[1]P-GENERAL'!AD552="","",'[1]P-GENERAL'!AD552)</f>
        <v/>
      </c>
      <c r="AE552" t="str">
        <f>IF('[1]P-GENERAL'!AE552="","",'[1]P-GENERAL'!AE552)</f>
        <v/>
      </c>
    </row>
    <row r="553" spans="1:31" ht="20.25" x14ac:dyDescent="0.3">
      <c r="A553" s="11" t="str">
        <f>IF('[1]P-GENERAL'!A553="","",'[1]P-GENERAL'!A553)</f>
        <v/>
      </c>
      <c r="B553" s="11" t="str">
        <f>IF('[1]P-GENERAL'!B553="","",'[1]P-GENERAL'!B553)</f>
        <v/>
      </c>
      <c r="C553" t="str">
        <f>IF('[1]P-GENERAL'!C553="","",'[1]P-GENERAL'!C553)</f>
        <v/>
      </c>
      <c r="D553" t="str">
        <f>IF('[1]P-GENERAL'!D553="","",'[1]P-GENERAL'!D553)</f>
        <v/>
      </c>
      <c r="E553" s="8" t="str">
        <f>IF('[1]P-GENERAL'!E553="","",'[1]P-GENERAL'!E553)</f>
        <v/>
      </c>
      <c r="F553" s="12" t="str">
        <f>IF('[1]P-GENERAL'!F553="","",'[1]P-GENERAL'!F553)</f>
        <v/>
      </c>
      <c r="G553" s="13" t="str">
        <f>IF('[1]P-GENERAL'!G553="","",'[1]P-GENERAL'!G553)</f>
        <v/>
      </c>
      <c r="H553" s="14" t="str">
        <f>IF('[1]P-GENERAL'!H553="","",'[1]P-GENERAL'!H553)</f>
        <v/>
      </c>
      <c r="I553" t="str">
        <f>IF('[1]P-GENERAL'!I553="","",'[1]P-GENERAL'!I553)</f>
        <v/>
      </c>
      <c r="J553" s="15" t="str">
        <f>IF('[1]P-GENERAL'!J553="","",'[1]P-GENERAL'!J553)</f>
        <v/>
      </c>
      <c r="K553" s="14" t="str">
        <f>IF('[1]P-GENERAL'!K553="","",'[1]P-GENERAL'!K553)</f>
        <v/>
      </c>
      <c r="L553" s="14" t="str">
        <f>IF('[1]P-GENERAL'!L553="","",'[1]P-GENERAL'!L553)</f>
        <v/>
      </c>
      <c r="M553" t="str">
        <f>IF('[1]P-GENERAL'!M553="","",'[1]P-GENERAL'!M553)</f>
        <v/>
      </c>
      <c r="N553" t="str">
        <f>IF('[1]P-GENERAL'!N553="","",'[1]P-GENERAL'!N553)</f>
        <v/>
      </c>
      <c r="O553" s="14" t="str">
        <f>IF('[1]P-GENERAL'!O553="","",'[1]P-GENERAL'!O553)</f>
        <v/>
      </c>
      <c r="P553" s="16" t="str">
        <f>IF('[1]P-GENERAL'!P553="","",'[1]P-GENERAL'!P553)</f>
        <v/>
      </c>
      <c r="Q553" t="str">
        <f>IF('[1]P-GENERAL'!Q553="","",'[1]P-GENERAL'!Q553)</f>
        <v/>
      </c>
      <c r="R553" s="14" t="str">
        <f>IF('[1]P-GENERAL'!R553="","",'[1]P-GENERAL'!R553)</f>
        <v/>
      </c>
      <c r="S553" s="16" t="str">
        <f>IF('[1]P-GENERAL'!S553="","",'[1]P-GENERAL'!S553)</f>
        <v/>
      </c>
      <c r="T553" s="16" t="str">
        <f>IF('[1]P-GENERAL'!T553="","",'[1]P-GENERAL'!T553)</f>
        <v/>
      </c>
      <c r="U553" s="17" t="str">
        <f>IF('[1]P-GENERAL'!U553="","",'[1]P-GENERAL'!U553)</f>
        <v/>
      </c>
      <c r="V553" s="14" t="str">
        <f>IF('[1]P-GENERAL'!V553="","",'[1]P-GENERAL'!V553)</f>
        <v/>
      </c>
      <c r="W553" s="16" t="str">
        <f>IF('[1]P-GENERAL'!W553="","",'[1]P-GENERAL'!W553)</f>
        <v/>
      </c>
      <c r="X553" s="14" t="str">
        <f>IF('[1]P-GENERAL'!X553="","",'[1]P-GENERAL'!X553)</f>
        <v/>
      </c>
      <c r="Y553" s="14" t="str">
        <f>IF('[1]P-GENERAL'!Y553="","",'[1]P-GENERAL'!Y553)</f>
        <v/>
      </c>
      <c r="Z553" s="14" t="str">
        <f>IF('[1]P-GENERAL'!Z553="","",'[1]P-GENERAL'!Z553)</f>
        <v/>
      </c>
      <c r="AA553" s="14" t="str">
        <f>IF('[1]P-GENERAL'!AA553="","",'[1]P-GENERAL'!AA553)</f>
        <v/>
      </c>
      <c r="AB553" s="8" t="str">
        <f>IF('[1]P-GENERAL'!AB553="","",'[1]P-GENERAL'!AB553)</f>
        <v/>
      </c>
      <c r="AC553" s="8" t="str">
        <f>IF('[1]P-GENERAL'!AC553="","",'[1]P-GENERAL'!AC553)</f>
        <v/>
      </c>
      <c r="AD553" t="str">
        <f>IF('[1]P-GENERAL'!AD553="","",'[1]P-GENERAL'!AD553)</f>
        <v/>
      </c>
      <c r="AE553" t="str">
        <f>IF('[1]P-GENERAL'!AE553="","",'[1]P-GENERAL'!AE553)</f>
        <v/>
      </c>
    </row>
    <row r="554" spans="1:31" ht="20.25" x14ac:dyDescent="0.3">
      <c r="A554" s="11" t="str">
        <f>IF('[1]P-GENERAL'!A554="","",'[1]P-GENERAL'!A554)</f>
        <v/>
      </c>
      <c r="B554" s="11" t="str">
        <f>IF('[1]P-GENERAL'!B554="","",'[1]P-GENERAL'!B554)</f>
        <v/>
      </c>
      <c r="C554" t="str">
        <f>IF('[1]P-GENERAL'!C554="","",'[1]P-GENERAL'!C554)</f>
        <v/>
      </c>
      <c r="D554" t="str">
        <f>IF('[1]P-GENERAL'!D554="","",'[1]P-GENERAL'!D554)</f>
        <v/>
      </c>
      <c r="E554" s="8" t="str">
        <f>IF('[1]P-GENERAL'!E554="","",'[1]P-GENERAL'!E554)</f>
        <v/>
      </c>
      <c r="F554" s="12" t="str">
        <f>IF('[1]P-GENERAL'!F554="","",'[1]P-GENERAL'!F554)</f>
        <v/>
      </c>
      <c r="G554" s="13" t="str">
        <f>IF('[1]P-GENERAL'!G554="","",'[1]P-GENERAL'!G554)</f>
        <v/>
      </c>
      <c r="H554" s="14" t="str">
        <f>IF('[1]P-GENERAL'!H554="","",'[1]P-GENERAL'!H554)</f>
        <v/>
      </c>
      <c r="I554" t="str">
        <f>IF('[1]P-GENERAL'!I554="","",'[1]P-GENERAL'!I554)</f>
        <v/>
      </c>
      <c r="J554" s="15" t="str">
        <f>IF('[1]P-GENERAL'!J554="","",'[1]P-GENERAL'!J554)</f>
        <v/>
      </c>
      <c r="K554" s="14" t="str">
        <f>IF('[1]P-GENERAL'!K554="","",'[1]P-GENERAL'!K554)</f>
        <v/>
      </c>
      <c r="L554" s="14" t="str">
        <f>IF('[1]P-GENERAL'!L554="","",'[1]P-GENERAL'!L554)</f>
        <v/>
      </c>
      <c r="M554" t="str">
        <f>IF('[1]P-GENERAL'!M554="","",'[1]P-GENERAL'!M554)</f>
        <v/>
      </c>
      <c r="N554" t="str">
        <f>IF('[1]P-GENERAL'!N554="","",'[1]P-GENERAL'!N554)</f>
        <v/>
      </c>
      <c r="O554" s="14" t="str">
        <f>IF('[1]P-GENERAL'!O554="","",'[1]P-GENERAL'!O554)</f>
        <v/>
      </c>
      <c r="P554" s="16" t="str">
        <f>IF('[1]P-GENERAL'!P554="","",'[1]P-GENERAL'!P554)</f>
        <v/>
      </c>
      <c r="Q554" t="str">
        <f>IF('[1]P-GENERAL'!Q554="","",'[1]P-GENERAL'!Q554)</f>
        <v/>
      </c>
      <c r="R554" s="14" t="str">
        <f>IF('[1]P-GENERAL'!R554="","",'[1]P-GENERAL'!R554)</f>
        <v/>
      </c>
      <c r="S554" s="16" t="str">
        <f>IF('[1]P-GENERAL'!S554="","",'[1]P-GENERAL'!S554)</f>
        <v/>
      </c>
      <c r="T554" s="16" t="str">
        <f>IF('[1]P-GENERAL'!T554="","",'[1]P-GENERAL'!T554)</f>
        <v/>
      </c>
      <c r="U554" s="17" t="str">
        <f>IF('[1]P-GENERAL'!U554="","",'[1]P-GENERAL'!U554)</f>
        <v/>
      </c>
      <c r="V554" s="14" t="str">
        <f>IF('[1]P-GENERAL'!V554="","",'[1]P-GENERAL'!V554)</f>
        <v/>
      </c>
      <c r="W554" s="16" t="str">
        <f>IF('[1]P-GENERAL'!W554="","",'[1]P-GENERAL'!W554)</f>
        <v/>
      </c>
      <c r="X554" s="14" t="str">
        <f>IF('[1]P-GENERAL'!X554="","",'[1]P-GENERAL'!X554)</f>
        <v/>
      </c>
      <c r="Y554" s="14" t="str">
        <f>IF('[1]P-GENERAL'!Y554="","",'[1]P-GENERAL'!Y554)</f>
        <v/>
      </c>
      <c r="Z554" s="14" t="str">
        <f>IF('[1]P-GENERAL'!Z554="","",'[1]P-GENERAL'!Z554)</f>
        <v/>
      </c>
      <c r="AA554" s="14" t="str">
        <f>IF('[1]P-GENERAL'!AA554="","",'[1]P-GENERAL'!AA554)</f>
        <v/>
      </c>
      <c r="AB554" s="8" t="str">
        <f>IF('[1]P-GENERAL'!AB554="","",'[1]P-GENERAL'!AB554)</f>
        <v/>
      </c>
      <c r="AC554" s="8" t="str">
        <f>IF('[1]P-GENERAL'!AC554="","",'[1]P-GENERAL'!AC554)</f>
        <v/>
      </c>
      <c r="AD554" t="str">
        <f>IF('[1]P-GENERAL'!AD554="","",'[1]P-GENERAL'!AD554)</f>
        <v/>
      </c>
      <c r="AE554" t="str">
        <f>IF('[1]P-GENERAL'!AE554="","",'[1]P-GENERAL'!AE554)</f>
        <v/>
      </c>
    </row>
    <row r="555" spans="1:31" ht="20.25" x14ac:dyDescent="0.3">
      <c r="A555" s="11" t="str">
        <f>IF('[1]P-GENERAL'!A555="","",'[1]P-GENERAL'!A555)</f>
        <v/>
      </c>
      <c r="B555" s="11" t="str">
        <f>IF('[1]P-GENERAL'!B555="","",'[1]P-GENERAL'!B555)</f>
        <v/>
      </c>
      <c r="C555" t="str">
        <f>IF('[1]P-GENERAL'!C555="","",'[1]P-GENERAL'!C555)</f>
        <v/>
      </c>
      <c r="D555" t="str">
        <f>IF('[1]P-GENERAL'!D555="","",'[1]P-GENERAL'!D555)</f>
        <v/>
      </c>
      <c r="E555" s="8" t="str">
        <f>IF('[1]P-GENERAL'!E555="","",'[1]P-GENERAL'!E555)</f>
        <v/>
      </c>
      <c r="F555" s="12" t="str">
        <f>IF('[1]P-GENERAL'!F555="","",'[1]P-GENERAL'!F555)</f>
        <v/>
      </c>
      <c r="G555" s="13" t="str">
        <f>IF('[1]P-GENERAL'!G555="","",'[1]P-GENERAL'!G555)</f>
        <v/>
      </c>
      <c r="H555" s="14" t="str">
        <f>IF('[1]P-GENERAL'!H555="","",'[1]P-GENERAL'!H555)</f>
        <v/>
      </c>
      <c r="I555" t="str">
        <f>IF('[1]P-GENERAL'!I555="","",'[1]P-GENERAL'!I555)</f>
        <v/>
      </c>
      <c r="J555" s="15" t="str">
        <f>IF('[1]P-GENERAL'!J555="","",'[1]P-GENERAL'!J555)</f>
        <v/>
      </c>
      <c r="K555" s="14" t="str">
        <f>IF('[1]P-GENERAL'!K555="","",'[1]P-GENERAL'!K555)</f>
        <v/>
      </c>
      <c r="L555" s="14" t="str">
        <f>IF('[1]P-GENERAL'!L555="","",'[1]P-GENERAL'!L555)</f>
        <v/>
      </c>
      <c r="M555" t="str">
        <f>IF('[1]P-GENERAL'!M555="","",'[1]P-GENERAL'!M555)</f>
        <v/>
      </c>
      <c r="N555" t="str">
        <f>IF('[1]P-GENERAL'!N555="","",'[1]P-GENERAL'!N555)</f>
        <v/>
      </c>
      <c r="O555" s="14" t="str">
        <f>IF('[1]P-GENERAL'!O555="","",'[1]P-GENERAL'!O555)</f>
        <v/>
      </c>
      <c r="P555" s="16" t="str">
        <f>IF('[1]P-GENERAL'!P555="","",'[1]P-GENERAL'!P555)</f>
        <v/>
      </c>
      <c r="Q555" t="str">
        <f>IF('[1]P-GENERAL'!Q555="","",'[1]P-GENERAL'!Q555)</f>
        <v/>
      </c>
      <c r="R555" s="14" t="str">
        <f>IF('[1]P-GENERAL'!R555="","",'[1]P-GENERAL'!R555)</f>
        <v/>
      </c>
      <c r="S555" s="16" t="str">
        <f>IF('[1]P-GENERAL'!S555="","",'[1]P-GENERAL'!S555)</f>
        <v/>
      </c>
      <c r="T555" s="16" t="str">
        <f>IF('[1]P-GENERAL'!T555="","",'[1]P-GENERAL'!T555)</f>
        <v/>
      </c>
      <c r="U555" s="17" t="str">
        <f>IF('[1]P-GENERAL'!U555="","",'[1]P-GENERAL'!U555)</f>
        <v/>
      </c>
      <c r="V555" s="14" t="str">
        <f>IF('[1]P-GENERAL'!V555="","",'[1]P-GENERAL'!V555)</f>
        <v/>
      </c>
      <c r="W555" s="16" t="str">
        <f>IF('[1]P-GENERAL'!W555="","",'[1]P-GENERAL'!W555)</f>
        <v/>
      </c>
      <c r="X555" s="14" t="str">
        <f>IF('[1]P-GENERAL'!X555="","",'[1]P-GENERAL'!X555)</f>
        <v/>
      </c>
      <c r="Y555" s="14" t="str">
        <f>IF('[1]P-GENERAL'!Y555="","",'[1]P-GENERAL'!Y555)</f>
        <v/>
      </c>
      <c r="Z555" s="14" t="str">
        <f>IF('[1]P-GENERAL'!Z555="","",'[1]P-GENERAL'!Z555)</f>
        <v/>
      </c>
      <c r="AA555" s="14" t="str">
        <f>IF('[1]P-GENERAL'!AA555="","",'[1]P-GENERAL'!AA555)</f>
        <v/>
      </c>
      <c r="AB555" s="8" t="str">
        <f>IF('[1]P-GENERAL'!AB555="","",'[1]P-GENERAL'!AB555)</f>
        <v/>
      </c>
      <c r="AC555" s="8" t="str">
        <f>IF('[1]P-GENERAL'!AC555="","",'[1]P-GENERAL'!AC555)</f>
        <v/>
      </c>
      <c r="AD555" t="str">
        <f>IF('[1]P-GENERAL'!AD555="","",'[1]P-GENERAL'!AD555)</f>
        <v/>
      </c>
      <c r="AE555" t="str">
        <f>IF('[1]P-GENERAL'!AE555="","",'[1]P-GENERAL'!AE555)</f>
        <v/>
      </c>
    </row>
    <row r="556" spans="1:31" ht="20.25" x14ac:dyDescent="0.3">
      <c r="A556" s="11" t="str">
        <f>IF('[1]P-GENERAL'!A556="","",'[1]P-GENERAL'!A556)</f>
        <v/>
      </c>
      <c r="B556" s="11" t="str">
        <f>IF('[1]P-GENERAL'!B556="","",'[1]P-GENERAL'!B556)</f>
        <v/>
      </c>
      <c r="C556" t="str">
        <f>IF('[1]P-GENERAL'!C556="","",'[1]P-GENERAL'!C556)</f>
        <v/>
      </c>
      <c r="D556" t="str">
        <f>IF('[1]P-GENERAL'!D556="","",'[1]P-GENERAL'!D556)</f>
        <v/>
      </c>
      <c r="E556" s="8" t="str">
        <f>IF('[1]P-GENERAL'!E556="","",'[1]P-GENERAL'!E556)</f>
        <v/>
      </c>
      <c r="F556" s="12" t="str">
        <f>IF('[1]P-GENERAL'!F556="","",'[1]P-GENERAL'!F556)</f>
        <v/>
      </c>
      <c r="G556" s="13" t="str">
        <f>IF('[1]P-GENERAL'!G556="","",'[1]P-GENERAL'!G556)</f>
        <v/>
      </c>
      <c r="H556" s="14" t="str">
        <f>IF('[1]P-GENERAL'!H556="","",'[1]P-GENERAL'!H556)</f>
        <v/>
      </c>
      <c r="I556" t="str">
        <f>IF('[1]P-GENERAL'!I556="","",'[1]P-GENERAL'!I556)</f>
        <v/>
      </c>
      <c r="J556" s="15" t="str">
        <f>IF('[1]P-GENERAL'!J556="","",'[1]P-GENERAL'!J556)</f>
        <v/>
      </c>
      <c r="K556" s="14" t="str">
        <f>IF('[1]P-GENERAL'!K556="","",'[1]P-GENERAL'!K556)</f>
        <v/>
      </c>
      <c r="L556" s="14" t="str">
        <f>IF('[1]P-GENERAL'!L556="","",'[1]P-GENERAL'!L556)</f>
        <v/>
      </c>
      <c r="M556" t="str">
        <f>IF('[1]P-GENERAL'!M556="","",'[1]P-GENERAL'!M556)</f>
        <v/>
      </c>
      <c r="N556" t="str">
        <f>IF('[1]P-GENERAL'!N556="","",'[1]P-GENERAL'!N556)</f>
        <v/>
      </c>
      <c r="O556" s="14" t="str">
        <f>IF('[1]P-GENERAL'!O556="","",'[1]P-GENERAL'!O556)</f>
        <v/>
      </c>
      <c r="P556" s="16" t="str">
        <f>IF('[1]P-GENERAL'!P556="","",'[1]P-GENERAL'!P556)</f>
        <v/>
      </c>
      <c r="Q556" t="str">
        <f>IF('[1]P-GENERAL'!Q556="","",'[1]P-GENERAL'!Q556)</f>
        <v/>
      </c>
      <c r="R556" s="14" t="str">
        <f>IF('[1]P-GENERAL'!R556="","",'[1]P-GENERAL'!R556)</f>
        <v/>
      </c>
      <c r="S556" s="16" t="str">
        <f>IF('[1]P-GENERAL'!S556="","",'[1]P-GENERAL'!S556)</f>
        <v/>
      </c>
      <c r="T556" s="16" t="str">
        <f>IF('[1]P-GENERAL'!T556="","",'[1]P-GENERAL'!T556)</f>
        <v/>
      </c>
      <c r="U556" s="17" t="str">
        <f>IF('[1]P-GENERAL'!U556="","",'[1]P-GENERAL'!U556)</f>
        <v/>
      </c>
      <c r="V556" s="14" t="str">
        <f>IF('[1]P-GENERAL'!V556="","",'[1]P-GENERAL'!V556)</f>
        <v/>
      </c>
      <c r="W556" s="16" t="str">
        <f>IF('[1]P-GENERAL'!W556="","",'[1]P-GENERAL'!W556)</f>
        <v/>
      </c>
      <c r="X556" s="14" t="str">
        <f>IF('[1]P-GENERAL'!X556="","",'[1]P-GENERAL'!X556)</f>
        <v/>
      </c>
      <c r="Y556" s="14" t="str">
        <f>IF('[1]P-GENERAL'!Y556="","",'[1]P-GENERAL'!Y556)</f>
        <v/>
      </c>
      <c r="Z556" s="14" t="str">
        <f>IF('[1]P-GENERAL'!Z556="","",'[1]P-GENERAL'!Z556)</f>
        <v/>
      </c>
      <c r="AA556" s="14" t="str">
        <f>IF('[1]P-GENERAL'!AA556="","",'[1]P-GENERAL'!AA556)</f>
        <v/>
      </c>
      <c r="AB556" s="8" t="str">
        <f>IF('[1]P-GENERAL'!AB556="","",'[1]P-GENERAL'!AB556)</f>
        <v/>
      </c>
      <c r="AC556" s="8" t="str">
        <f>IF('[1]P-GENERAL'!AC556="","",'[1]P-GENERAL'!AC556)</f>
        <v/>
      </c>
      <c r="AD556" t="str">
        <f>IF('[1]P-GENERAL'!AD556="","",'[1]P-GENERAL'!AD556)</f>
        <v/>
      </c>
      <c r="AE556" t="str">
        <f>IF('[1]P-GENERAL'!AE556="","",'[1]P-GENERAL'!AE556)</f>
        <v/>
      </c>
    </row>
    <row r="557" spans="1:31" ht="20.25" x14ac:dyDescent="0.3">
      <c r="A557" s="11" t="str">
        <f>IF('[1]P-GENERAL'!A557="","",'[1]P-GENERAL'!A557)</f>
        <v/>
      </c>
      <c r="B557" s="11" t="str">
        <f>IF('[1]P-GENERAL'!B557="","",'[1]P-GENERAL'!B557)</f>
        <v/>
      </c>
      <c r="C557" t="str">
        <f>IF('[1]P-GENERAL'!C557="","",'[1]P-GENERAL'!C557)</f>
        <v/>
      </c>
      <c r="D557" t="str">
        <f>IF('[1]P-GENERAL'!D557="","",'[1]P-GENERAL'!D557)</f>
        <v/>
      </c>
      <c r="E557" s="8" t="str">
        <f>IF('[1]P-GENERAL'!E557="","",'[1]P-GENERAL'!E557)</f>
        <v/>
      </c>
      <c r="F557" s="12" t="str">
        <f>IF('[1]P-GENERAL'!F557="","",'[1]P-GENERAL'!F557)</f>
        <v/>
      </c>
      <c r="G557" s="13" t="str">
        <f>IF('[1]P-GENERAL'!G557="","",'[1]P-GENERAL'!G557)</f>
        <v/>
      </c>
      <c r="H557" s="14" t="str">
        <f>IF('[1]P-GENERAL'!H557="","",'[1]P-GENERAL'!H557)</f>
        <v/>
      </c>
      <c r="I557" t="str">
        <f>IF('[1]P-GENERAL'!I557="","",'[1]P-GENERAL'!I557)</f>
        <v/>
      </c>
      <c r="J557" s="15" t="str">
        <f>IF('[1]P-GENERAL'!J557="","",'[1]P-GENERAL'!J557)</f>
        <v/>
      </c>
      <c r="K557" s="14" t="str">
        <f>IF('[1]P-GENERAL'!K557="","",'[1]P-GENERAL'!K557)</f>
        <v/>
      </c>
      <c r="L557" s="14" t="str">
        <f>IF('[1]P-GENERAL'!L557="","",'[1]P-GENERAL'!L557)</f>
        <v/>
      </c>
      <c r="M557" t="str">
        <f>IF('[1]P-GENERAL'!M557="","",'[1]P-GENERAL'!M557)</f>
        <v/>
      </c>
      <c r="N557" t="str">
        <f>IF('[1]P-GENERAL'!N557="","",'[1]P-GENERAL'!N557)</f>
        <v/>
      </c>
      <c r="O557" s="14" t="str">
        <f>IF('[1]P-GENERAL'!O557="","",'[1]P-GENERAL'!O557)</f>
        <v/>
      </c>
      <c r="P557" s="16" t="str">
        <f>IF('[1]P-GENERAL'!P557="","",'[1]P-GENERAL'!P557)</f>
        <v/>
      </c>
      <c r="Q557" t="str">
        <f>IF('[1]P-GENERAL'!Q557="","",'[1]P-GENERAL'!Q557)</f>
        <v/>
      </c>
      <c r="R557" s="14" t="str">
        <f>IF('[1]P-GENERAL'!R557="","",'[1]P-GENERAL'!R557)</f>
        <v/>
      </c>
      <c r="S557" s="16" t="str">
        <f>IF('[1]P-GENERAL'!S557="","",'[1]P-GENERAL'!S557)</f>
        <v/>
      </c>
      <c r="T557" s="16" t="str">
        <f>IF('[1]P-GENERAL'!T557="","",'[1]P-GENERAL'!T557)</f>
        <v/>
      </c>
      <c r="U557" s="17" t="str">
        <f>IF('[1]P-GENERAL'!U557="","",'[1]P-GENERAL'!U557)</f>
        <v/>
      </c>
      <c r="V557" s="14" t="str">
        <f>IF('[1]P-GENERAL'!V557="","",'[1]P-GENERAL'!V557)</f>
        <v/>
      </c>
      <c r="W557" s="16" t="str">
        <f>IF('[1]P-GENERAL'!W557="","",'[1]P-GENERAL'!W557)</f>
        <v/>
      </c>
      <c r="X557" s="14" t="str">
        <f>IF('[1]P-GENERAL'!X557="","",'[1]P-GENERAL'!X557)</f>
        <v/>
      </c>
      <c r="Y557" s="14" t="str">
        <f>IF('[1]P-GENERAL'!Y557="","",'[1]P-GENERAL'!Y557)</f>
        <v/>
      </c>
      <c r="Z557" s="14" t="str">
        <f>IF('[1]P-GENERAL'!Z557="","",'[1]P-GENERAL'!Z557)</f>
        <v/>
      </c>
      <c r="AA557" s="14" t="str">
        <f>IF('[1]P-GENERAL'!AA557="","",'[1]P-GENERAL'!AA557)</f>
        <v/>
      </c>
      <c r="AB557" s="8" t="str">
        <f>IF('[1]P-GENERAL'!AB557="","",'[1]P-GENERAL'!AB557)</f>
        <v/>
      </c>
      <c r="AC557" s="8" t="str">
        <f>IF('[1]P-GENERAL'!AC557="","",'[1]P-GENERAL'!AC557)</f>
        <v/>
      </c>
      <c r="AD557" t="str">
        <f>IF('[1]P-GENERAL'!AD557="","",'[1]P-GENERAL'!AD557)</f>
        <v/>
      </c>
      <c r="AE557" t="str">
        <f>IF('[1]P-GENERAL'!AE557="","",'[1]P-GENERAL'!AE557)</f>
        <v/>
      </c>
    </row>
    <row r="558" spans="1:31" ht="20.25" x14ac:dyDescent="0.3">
      <c r="A558" s="11" t="str">
        <f>IF('[1]P-GENERAL'!A558="","",'[1]P-GENERAL'!A558)</f>
        <v/>
      </c>
      <c r="B558" s="11" t="str">
        <f>IF('[1]P-GENERAL'!B558="","",'[1]P-GENERAL'!B558)</f>
        <v/>
      </c>
      <c r="C558" t="str">
        <f>IF('[1]P-GENERAL'!C558="","",'[1]P-GENERAL'!C558)</f>
        <v/>
      </c>
      <c r="D558" t="str">
        <f>IF('[1]P-GENERAL'!D558="","",'[1]P-GENERAL'!D558)</f>
        <v/>
      </c>
      <c r="E558" s="8" t="str">
        <f>IF('[1]P-GENERAL'!E558="","",'[1]P-GENERAL'!E558)</f>
        <v/>
      </c>
      <c r="F558" s="12" t="str">
        <f>IF('[1]P-GENERAL'!F558="","",'[1]P-GENERAL'!F558)</f>
        <v/>
      </c>
      <c r="G558" s="13" t="str">
        <f>IF('[1]P-GENERAL'!G558="","",'[1]P-GENERAL'!G558)</f>
        <v/>
      </c>
      <c r="H558" s="14" t="str">
        <f>IF('[1]P-GENERAL'!H558="","",'[1]P-GENERAL'!H558)</f>
        <v/>
      </c>
      <c r="I558" t="str">
        <f>IF('[1]P-GENERAL'!I558="","",'[1]P-GENERAL'!I558)</f>
        <v/>
      </c>
      <c r="J558" s="15" t="str">
        <f>IF('[1]P-GENERAL'!J558="","",'[1]P-GENERAL'!J558)</f>
        <v/>
      </c>
      <c r="K558" s="14" t="str">
        <f>IF('[1]P-GENERAL'!K558="","",'[1]P-GENERAL'!K558)</f>
        <v/>
      </c>
      <c r="L558" s="14" t="str">
        <f>IF('[1]P-GENERAL'!L558="","",'[1]P-GENERAL'!L558)</f>
        <v/>
      </c>
      <c r="M558" t="str">
        <f>IF('[1]P-GENERAL'!M558="","",'[1]P-GENERAL'!M558)</f>
        <v/>
      </c>
      <c r="N558" t="str">
        <f>IF('[1]P-GENERAL'!N558="","",'[1]P-GENERAL'!N558)</f>
        <v/>
      </c>
      <c r="O558" s="14" t="str">
        <f>IF('[1]P-GENERAL'!O558="","",'[1]P-GENERAL'!O558)</f>
        <v/>
      </c>
      <c r="P558" s="16" t="str">
        <f>IF('[1]P-GENERAL'!P558="","",'[1]P-GENERAL'!P558)</f>
        <v/>
      </c>
      <c r="Q558" t="str">
        <f>IF('[1]P-GENERAL'!Q558="","",'[1]P-GENERAL'!Q558)</f>
        <v/>
      </c>
      <c r="R558" s="14" t="str">
        <f>IF('[1]P-GENERAL'!R558="","",'[1]P-GENERAL'!R558)</f>
        <v/>
      </c>
      <c r="S558" s="16" t="str">
        <f>IF('[1]P-GENERAL'!S558="","",'[1]P-GENERAL'!S558)</f>
        <v/>
      </c>
      <c r="T558" s="16" t="str">
        <f>IF('[1]P-GENERAL'!T558="","",'[1]P-GENERAL'!T558)</f>
        <v/>
      </c>
      <c r="U558" s="17" t="str">
        <f>IF('[1]P-GENERAL'!U558="","",'[1]P-GENERAL'!U558)</f>
        <v/>
      </c>
      <c r="V558" s="14" t="str">
        <f>IF('[1]P-GENERAL'!V558="","",'[1]P-GENERAL'!V558)</f>
        <v/>
      </c>
      <c r="W558" s="16" t="str">
        <f>IF('[1]P-GENERAL'!W558="","",'[1]P-GENERAL'!W558)</f>
        <v/>
      </c>
      <c r="X558" s="14" t="str">
        <f>IF('[1]P-GENERAL'!X558="","",'[1]P-GENERAL'!X558)</f>
        <v/>
      </c>
      <c r="Y558" s="14" t="str">
        <f>IF('[1]P-GENERAL'!Y558="","",'[1]P-GENERAL'!Y558)</f>
        <v/>
      </c>
      <c r="Z558" s="14" t="str">
        <f>IF('[1]P-GENERAL'!Z558="","",'[1]P-GENERAL'!Z558)</f>
        <v/>
      </c>
      <c r="AA558" s="14" t="str">
        <f>IF('[1]P-GENERAL'!AA558="","",'[1]P-GENERAL'!AA558)</f>
        <v/>
      </c>
      <c r="AB558" s="8" t="str">
        <f>IF('[1]P-GENERAL'!AB558="","",'[1]P-GENERAL'!AB558)</f>
        <v/>
      </c>
      <c r="AC558" s="8" t="str">
        <f>IF('[1]P-GENERAL'!AC558="","",'[1]P-GENERAL'!AC558)</f>
        <v/>
      </c>
      <c r="AD558" t="str">
        <f>IF('[1]P-GENERAL'!AD558="","",'[1]P-GENERAL'!AD558)</f>
        <v/>
      </c>
      <c r="AE558" t="str">
        <f>IF('[1]P-GENERAL'!AE558="","",'[1]P-GENERAL'!AE558)</f>
        <v/>
      </c>
    </row>
    <row r="559" spans="1:31" ht="20.25" x14ac:dyDescent="0.3">
      <c r="A559" s="11" t="str">
        <f>IF('[1]P-GENERAL'!A559="","",'[1]P-GENERAL'!A559)</f>
        <v/>
      </c>
      <c r="B559" s="11" t="str">
        <f>IF('[1]P-GENERAL'!B559="","",'[1]P-GENERAL'!B559)</f>
        <v/>
      </c>
      <c r="C559" t="str">
        <f>IF('[1]P-GENERAL'!C559="","",'[1]P-GENERAL'!C559)</f>
        <v/>
      </c>
      <c r="D559" t="str">
        <f>IF('[1]P-GENERAL'!D559="","",'[1]P-GENERAL'!D559)</f>
        <v/>
      </c>
      <c r="E559" s="8" t="str">
        <f>IF('[1]P-GENERAL'!E559="","",'[1]P-GENERAL'!E559)</f>
        <v/>
      </c>
      <c r="F559" s="12" t="str">
        <f>IF('[1]P-GENERAL'!F559="","",'[1]P-GENERAL'!F559)</f>
        <v/>
      </c>
      <c r="G559" s="13" t="str">
        <f>IF('[1]P-GENERAL'!G559="","",'[1]P-GENERAL'!G559)</f>
        <v/>
      </c>
      <c r="H559" s="14" t="str">
        <f>IF('[1]P-GENERAL'!H559="","",'[1]P-GENERAL'!H559)</f>
        <v/>
      </c>
      <c r="I559" t="str">
        <f>IF('[1]P-GENERAL'!I559="","",'[1]P-GENERAL'!I559)</f>
        <v/>
      </c>
      <c r="J559" s="15" t="str">
        <f>IF('[1]P-GENERAL'!J559="","",'[1]P-GENERAL'!J559)</f>
        <v/>
      </c>
      <c r="K559" s="14" t="str">
        <f>IF('[1]P-GENERAL'!K559="","",'[1]P-GENERAL'!K559)</f>
        <v/>
      </c>
      <c r="L559" s="14" t="str">
        <f>IF('[1]P-GENERAL'!L559="","",'[1]P-GENERAL'!L559)</f>
        <v/>
      </c>
      <c r="M559" t="str">
        <f>IF('[1]P-GENERAL'!M559="","",'[1]P-GENERAL'!M559)</f>
        <v/>
      </c>
      <c r="N559" t="str">
        <f>IF('[1]P-GENERAL'!N559="","",'[1]P-GENERAL'!N559)</f>
        <v/>
      </c>
      <c r="O559" s="14" t="str">
        <f>IF('[1]P-GENERAL'!O559="","",'[1]P-GENERAL'!O559)</f>
        <v/>
      </c>
      <c r="P559" s="16" t="str">
        <f>IF('[1]P-GENERAL'!P559="","",'[1]P-GENERAL'!P559)</f>
        <v/>
      </c>
      <c r="Q559" t="str">
        <f>IF('[1]P-GENERAL'!Q559="","",'[1]P-GENERAL'!Q559)</f>
        <v/>
      </c>
      <c r="R559" s="14" t="str">
        <f>IF('[1]P-GENERAL'!R559="","",'[1]P-GENERAL'!R559)</f>
        <v/>
      </c>
      <c r="S559" s="16" t="str">
        <f>IF('[1]P-GENERAL'!S559="","",'[1]P-GENERAL'!S559)</f>
        <v/>
      </c>
      <c r="T559" s="16" t="str">
        <f>IF('[1]P-GENERAL'!T559="","",'[1]P-GENERAL'!T559)</f>
        <v/>
      </c>
      <c r="U559" s="17" t="str">
        <f>IF('[1]P-GENERAL'!U559="","",'[1]P-GENERAL'!U559)</f>
        <v/>
      </c>
      <c r="V559" s="14" t="str">
        <f>IF('[1]P-GENERAL'!V559="","",'[1]P-GENERAL'!V559)</f>
        <v/>
      </c>
      <c r="W559" s="16" t="str">
        <f>IF('[1]P-GENERAL'!W559="","",'[1]P-GENERAL'!W559)</f>
        <v/>
      </c>
      <c r="X559" s="14" t="str">
        <f>IF('[1]P-GENERAL'!X559="","",'[1]P-GENERAL'!X559)</f>
        <v/>
      </c>
      <c r="Y559" s="14" t="str">
        <f>IF('[1]P-GENERAL'!Y559="","",'[1]P-GENERAL'!Y559)</f>
        <v/>
      </c>
      <c r="Z559" s="14" t="str">
        <f>IF('[1]P-GENERAL'!Z559="","",'[1]P-GENERAL'!Z559)</f>
        <v/>
      </c>
      <c r="AA559" s="14" t="str">
        <f>IF('[1]P-GENERAL'!AA559="","",'[1]P-GENERAL'!AA559)</f>
        <v/>
      </c>
      <c r="AB559" s="8" t="str">
        <f>IF('[1]P-GENERAL'!AB559="","",'[1]P-GENERAL'!AB559)</f>
        <v/>
      </c>
      <c r="AC559" s="8" t="str">
        <f>IF('[1]P-GENERAL'!AC559="","",'[1]P-GENERAL'!AC559)</f>
        <v/>
      </c>
      <c r="AD559" t="str">
        <f>IF('[1]P-GENERAL'!AD559="","",'[1]P-GENERAL'!AD559)</f>
        <v/>
      </c>
      <c r="AE559" t="str">
        <f>IF('[1]P-GENERAL'!AE559="","",'[1]P-GENERAL'!AE559)</f>
        <v/>
      </c>
    </row>
    <row r="560" spans="1:31" ht="20.25" x14ac:dyDescent="0.3">
      <c r="A560" s="11" t="str">
        <f>IF('[1]P-GENERAL'!A560="","",'[1]P-GENERAL'!A560)</f>
        <v/>
      </c>
      <c r="B560" s="11" t="str">
        <f>IF('[1]P-GENERAL'!B560="","",'[1]P-GENERAL'!B560)</f>
        <v/>
      </c>
      <c r="C560" t="str">
        <f>IF('[1]P-GENERAL'!C560="","",'[1]P-GENERAL'!C560)</f>
        <v/>
      </c>
      <c r="D560" t="str">
        <f>IF('[1]P-GENERAL'!D560="","",'[1]P-GENERAL'!D560)</f>
        <v/>
      </c>
      <c r="E560" s="8" t="str">
        <f>IF('[1]P-GENERAL'!E560="","",'[1]P-GENERAL'!E560)</f>
        <v/>
      </c>
      <c r="F560" s="12" t="str">
        <f>IF('[1]P-GENERAL'!F560="","",'[1]P-GENERAL'!F560)</f>
        <v/>
      </c>
      <c r="G560" s="13" t="str">
        <f>IF('[1]P-GENERAL'!G560="","",'[1]P-GENERAL'!G560)</f>
        <v/>
      </c>
      <c r="H560" s="14" t="str">
        <f>IF('[1]P-GENERAL'!H560="","",'[1]P-GENERAL'!H560)</f>
        <v/>
      </c>
      <c r="I560" t="str">
        <f>IF('[1]P-GENERAL'!I560="","",'[1]P-GENERAL'!I560)</f>
        <v/>
      </c>
      <c r="J560" s="15" t="str">
        <f>IF('[1]P-GENERAL'!J560="","",'[1]P-GENERAL'!J560)</f>
        <v/>
      </c>
      <c r="K560" s="14" t="str">
        <f>IF('[1]P-GENERAL'!K560="","",'[1]P-GENERAL'!K560)</f>
        <v/>
      </c>
      <c r="L560" s="14" t="str">
        <f>IF('[1]P-GENERAL'!L560="","",'[1]P-GENERAL'!L560)</f>
        <v/>
      </c>
      <c r="M560" t="str">
        <f>IF('[1]P-GENERAL'!M560="","",'[1]P-GENERAL'!M560)</f>
        <v/>
      </c>
      <c r="N560" t="str">
        <f>IF('[1]P-GENERAL'!N560="","",'[1]P-GENERAL'!N560)</f>
        <v/>
      </c>
      <c r="O560" s="14" t="str">
        <f>IF('[1]P-GENERAL'!O560="","",'[1]P-GENERAL'!O560)</f>
        <v/>
      </c>
      <c r="P560" s="16" t="str">
        <f>IF('[1]P-GENERAL'!P560="","",'[1]P-GENERAL'!P560)</f>
        <v/>
      </c>
      <c r="Q560" t="str">
        <f>IF('[1]P-GENERAL'!Q560="","",'[1]P-GENERAL'!Q560)</f>
        <v/>
      </c>
      <c r="R560" s="14" t="str">
        <f>IF('[1]P-GENERAL'!R560="","",'[1]P-GENERAL'!R560)</f>
        <v/>
      </c>
      <c r="S560" s="16" t="str">
        <f>IF('[1]P-GENERAL'!S560="","",'[1]P-GENERAL'!S560)</f>
        <v/>
      </c>
      <c r="T560" s="16" t="str">
        <f>IF('[1]P-GENERAL'!T560="","",'[1]P-GENERAL'!T560)</f>
        <v/>
      </c>
      <c r="U560" s="17" t="str">
        <f>IF('[1]P-GENERAL'!U560="","",'[1]P-GENERAL'!U560)</f>
        <v/>
      </c>
      <c r="V560" s="14" t="str">
        <f>IF('[1]P-GENERAL'!V560="","",'[1]P-GENERAL'!V560)</f>
        <v/>
      </c>
      <c r="W560" s="16" t="str">
        <f>IF('[1]P-GENERAL'!W560="","",'[1]P-GENERAL'!W560)</f>
        <v/>
      </c>
      <c r="X560" s="14" t="str">
        <f>IF('[1]P-GENERAL'!X560="","",'[1]P-GENERAL'!X560)</f>
        <v/>
      </c>
      <c r="Y560" s="14" t="str">
        <f>IF('[1]P-GENERAL'!Y560="","",'[1]P-GENERAL'!Y560)</f>
        <v/>
      </c>
      <c r="Z560" s="14" t="str">
        <f>IF('[1]P-GENERAL'!Z560="","",'[1]P-GENERAL'!Z560)</f>
        <v/>
      </c>
      <c r="AA560" s="14" t="str">
        <f>IF('[1]P-GENERAL'!AA560="","",'[1]P-GENERAL'!AA560)</f>
        <v/>
      </c>
      <c r="AB560" s="8" t="str">
        <f>IF('[1]P-GENERAL'!AB560="","",'[1]P-GENERAL'!AB560)</f>
        <v/>
      </c>
      <c r="AC560" s="8" t="str">
        <f>IF('[1]P-GENERAL'!AC560="","",'[1]P-GENERAL'!AC560)</f>
        <v/>
      </c>
      <c r="AD560" t="str">
        <f>IF('[1]P-GENERAL'!AD560="","",'[1]P-GENERAL'!AD560)</f>
        <v/>
      </c>
      <c r="AE560" t="str">
        <f>IF('[1]P-GENERAL'!AE560="","",'[1]P-GENERAL'!AE560)</f>
        <v/>
      </c>
    </row>
    <row r="561" spans="1:31" ht="20.25" x14ac:dyDescent="0.3">
      <c r="A561" s="11" t="str">
        <f>IF('[1]P-GENERAL'!A561="","",'[1]P-GENERAL'!A561)</f>
        <v/>
      </c>
      <c r="B561" s="11" t="str">
        <f>IF('[1]P-GENERAL'!B561="","",'[1]P-GENERAL'!B561)</f>
        <v/>
      </c>
      <c r="C561" t="str">
        <f>IF('[1]P-GENERAL'!C561="","",'[1]P-GENERAL'!C561)</f>
        <v/>
      </c>
      <c r="D561" t="str">
        <f>IF('[1]P-GENERAL'!D561="","",'[1]P-GENERAL'!D561)</f>
        <v/>
      </c>
      <c r="E561" s="8" t="str">
        <f>IF('[1]P-GENERAL'!E561="","",'[1]P-GENERAL'!E561)</f>
        <v/>
      </c>
      <c r="F561" s="12" t="str">
        <f>IF('[1]P-GENERAL'!F561="","",'[1]P-GENERAL'!F561)</f>
        <v/>
      </c>
      <c r="G561" s="13" t="str">
        <f>IF('[1]P-GENERAL'!G561="","",'[1]P-GENERAL'!G561)</f>
        <v/>
      </c>
      <c r="H561" s="14" t="str">
        <f>IF('[1]P-GENERAL'!H561="","",'[1]P-GENERAL'!H561)</f>
        <v/>
      </c>
      <c r="I561" t="str">
        <f>IF('[1]P-GENERAL'!I561="","",'[1]P-GENERAL'!I561)</f>
        <v/>
      </c>
      <c r="J561" s="15" t="str">
        <f>IF('[1]P-GENERAL'!J561="","",'[1]P-GENERAL'!J561)</f>
        <v/>
      </c>
      <c r="K561" s="14" t="str">
        <f>IF('[1]P-GENERAL'!K561="","",'[1]P-GENERAL'!K561)</f>
        <v/>
      </c>
      <c r="L561" s="14" t="str">
        <f>IF('[1]P-GENERAL'!L561="","",'[1]P-GENERAL'!L561)</f>
        <v/>
      </c>
      <c r="M561" t="str">
        <f>IF('[1]P-GENERAL'!M561="","",'[1]P-GENERAL'!M561)</f>
        <v/>
      </c>
      <c r="N561" t="str">
        <f>IF('[1]P-GENERAL'!N561="","",'[1]P-GENERAL'!N561)</f>
        <v/>
      </c>
      <c r="O561" s="14" t="str">
        <f>IF('[1]P-GENERAL'!O561="","",'[1]P-GENERAL'!O561)</f>
        <v/>
      </c>
      <c r="P561" s="16" t="str">
        <f>IF('[1]P-GENERAL'!P561="","",'[1]P-GENERAL'!P561)</f>
        <v/>
      </c>
      <c r="Q561" t="str">
        <f>IF('[1]P-GENERAL'!Q561="","",'[1]P-GENERAL'!Q561)</f>
        <v/>
      </c>
      <c r="R561" s="14" t="str">
        <f>IF('[1]P-GENERAL'!R561="","",'[1]P-GENERAL'!R561)</f>
        <v/>
      </c>
      <c r="S561" s="16" t="str">
        <f>IF('[1]P-GENERAL'!S561="","",'[1]P-GENERAL'!S561)</f>
        <v/>
      </c>
      <c r="T561" s="16" t="str">
        <f>IF('[1]P-GENERAL'!T561="","",'[1]P-GENERAL'!T561)</f>
        <v/>
      </c>
      <c r="U561" s="17" t="str">
        <f>IF('[1]P-GENERAL'!U561="","",'[1]P-GENERAL'!U561)</f>
        <v/>
      </c>
      <c r="V561" s="14" t="str">
        <f>IF('[1]P-GENERAL'!V561="","",'[1]P-GENERAL'!V561)</f>
        <v/>
      </c>
      <c r="W561" s="16" t="str">
        <f>IF('[1]P-GENERAL'!W561="","",'[1]P-GENERAL'!W561)</f>
        <v/>
      </c>
      <c r="X561" s="14" t="str">
        <f>IF('[1]P-GENERAL'!X561="","",'[1]P-GENERAL'!X561)</f>
        <v/>
      </c>
      <c r="Y561" s="14" t="str">
        <f>IF('[1]P-GENERAL'!Y561="","",'[1]P-GENERAL'!Y561)</f>
        <v/>
      </c>
      <c r="Z561" s="14" t="str">
        <f>IF('[1]P-GENERAL'!Z561="","",'[1]P-GENERAL'!Z561)</f>
        <v/>
      </c>
      <c r="AA561" s="14" t="str">
        <f>IF('[1]P-GENERAL'!AA561="","",'[1]P-GENERAL'!AA561)</f>
        <v/>
      </c>
      <c r="AB561" s="8" t="str">
        <f>IF('[1]P-GENERAL'!AB561="","",'[1]P-GENERAL'!AB561)</f>
        <v/>
      </c>
      <c r="AC561" s="8" t="str">
        <f>IF('[1]P-GENERAL'!AC561="","",'[1]P-GENERAL'!AC561)</f>
        <v/>
      </c>
      <c r="AD561" t="str">
        <f>IF('[1]P-GENERAL'!AD561="","",'[1]P-GENERAL'!AD561)</f>
        <v/>
      </c>
      <c r="AE561" t="str">
        <f>IF('[1]P-GENERAL'!AE561="","",'[1]P-GENERAL'!AE561)</f>
        <v/>
      </c>
    </row>
    <row r="562" spans="1:31" ht="20.25" x14ac:dyDescent="0.3">
      <c r="A562" s="11" t="str">
        <f>IF('[1]P-GENERAL'!A562="","",'[1]P-GENERAL'!A562)</f>
        <v/>
      </c>
      <c r="B562" s="11" t="str">
        <f>IF('[1]P-GENERAL'!B562="","",'[1]P-GENERAL'!B562)</f>
        <v/>
      </c>
      <c r="C562" t="str">
        <f>IF('[1]P-GENERAL'!C562="","",'[1]P-GENERAL'!C562)</f>
        <v/>
      </c>
      <c r="D562" t="str">
        <f>IF('[1]P-GENERAL'!D562="","",'[1]P-GENERAL'!D562)</f>
        <v/>
      </c>
      <c r="E562" s="8" t="str">
        <f>IF('[1]P-GENERAL'!E562="","",'[1]P-GENERAL'!E562)</f>
        <v/>
      </c>
      <c r="F562" s="12" t="str">
        <f>IF('[1]P-GENERAL'!F562="","",'[1]P-GENERAL'!F562)</f>
        <v/>
      </c>
      <c r="G562" s="13" t="str">
        <f>IF('[1]P-GENERAL'!G562="","",'[1]P-GENERAL'!G562)</f>
        <v/>
      </c>
      <c r="H562" s="14" t="str">
        <f>IF('[1]P-GENERAL'!H562="","",'[1]P-GENERAL'!H562)</f>
        <v/>
      </c>
      <c r="I562" t="str">
        <f>IF('[1]P-GENERAL'!I562="","",'[1]P-GENERAL'!I562)</f>
        <v/>
      </c>
      <c r="J562" s="15" t="str">
        <f>IF('[1]P-GENERAL'!J562="","",'[1]P-GENERAL'!J562)</f>
        <v/>
      </c>
      <c r="K562" s="14" t="str">
        <f>IF('[1]P-GENERAL'!K562="","",'[1]P-GENERAL'!K562)</f>
        <v/>
      </c>
      <c r="L562" s="14" t="str">
        <f>IF('[1]P-GENERAL'!L562="","",'[1]P-GENERAL'!L562)</f>
        <v/>
      </c>
      <c r="M562" t="str">
        <f>IF('[1]P-GENERAL'!M562="","",'[1]P-GENERAL'!M562)</f>
        <v/>
      </c>
      <c r="N562" t="str">
        <f>IF('[1]P-GENERAL'!N562="","",'[1]P-GENERAL'!N562)</f>
        <v/>
      </c>
      <c r="O562" s="14" t="str">
        <f>IF('[1]P-GENERAL'!O562="","",'[1]P-GENERAL'!O562)</f>
        <v/>
      </c>
      <c r="P562" s="16" t="str">
        <f>IF('[1]P-GENERAL'!P562="","",'[1]P-GENERAL'!P562)</f>
        <v/>
      </c>
      <c r="Q562" t="str">
        <f>IF('[1]P-GENERAL'!Q562="","",'[1]P-GENERAL'!Q562)</f>
        <v/>
      </c>
      <c r="R562" s="14" t="str">
        <f>IF('[1]P-GENERAL'!R562="","",'[1]P-GENERAL'!R562)</f>
        <v/>
      </c>
      <c r="S562" s="16" t="str">
        <f>IF('[1]P-GENERAL'!S562="","",'[1]P-GENERAL'!S562)</f>
        <v/>
      </c>
      <c r="T562" s="16" t="str">
        <f>IF('[1]P-GENERAL'!T562="","",'[1]P-GENERAL'!T562)</f>
        <v/>
      </c>
      <c r="U562" s="17" t="str">
        <f>IF('[1]P-GENERAL'!U562="","",'[1]P-GENERAL'!U562)</f>
        <v/>
      </c>
      <c r="V562" s="14" t="str">
        <f>IF('[1]P-GENERAL'!V562="","",'[1]P-GENERAL'!V562)</f>
        <v/>
      </c>
      <c r="W562" s="16" t="str">
        <f>IF('[1]P-GENERAL'!W562="","",'[1]P-GENERAL'!W562)</f>
        <v/>
      </c>
      <c r="X562" s="14" t="str">
        <f>IF('[1]P-GENERAL'!X562="","",'[1]P-GENERAL'!X562)</f>
        <v/>
      </c>
      <c r="Y562" s="14" t="str">
        <f>IF('[1]P-GENERAL'!Y562="","",'[1]P-GENERAL'!Y562)</f>
        <v/>
      </c>
      <c r="Z562" s="14" t="str">
        <f>IF('[1]P-GENERAL'!Z562="","",'[1]P-GENERAL'!Z562)</f>
        <v/>
      </c>
      <c r="AA562" s="14" t="str">
        <f>IF('[1]P-GENERAL'!AA562="","",'[1]P-GENERAL'!AA562)</f>
        <v/>
      </c>
      <c r="AB562" s="8" t="str">
        <f>IF('[1]P-GENERAL'!AB562="","",'[1]P-GENERAL'!AB562)</f>
        <v/>
      </c>
      <c r="AC562" s="8" t="str">
        <f>IF('[1]P-GENERAL'!AC562="","",'[1]P-GENERAL'!AC562)</f>
        <v/>
      </c>
      <c r="AD562" t="str">
        <f>IF('[1]P-GENERAL'!AD562="","",'[1]P-GENERAL'!AD562)</f>
        <v/>
      </c>
      <c r="AE562" t="str">
        <f>IF('[1]P-GENERAL'!AE562="","",'[1]P-GENERAL'!AE562)</f>
        <v/>
      </c>
    </row>
    <row r="563" spans="1:31" ht="20.25" x14ac:dyDescent="0.3">
      <c r="A563" s="11" t="str">
        <f>IF('[1]P-GENERAL'!A563="","",'[1]P-GENERAL'!A563)</f>
        <v/>
      </c>
      <c r="B563" s="11" t="str">
        <f>IF('[1]P-GENERAL'!B563="","",'[1]P-GENERAL'!B563)</f>
        <v/>
      </c>
      <c r="C563" t="str">
        <f>IF('[1]P-GENERAL'!C563="","",'[1]P-GENERAL'!C563)</f>
        <v/>
      </c>
      <c r="D563" t="str">
        <f>IF('[1]P-GENERAL'!D563="","",'[1]P-GENERAL'!D563)</f>
        <v/>
      </c>
      <c r="E563" s="8" t="str">
        <f>IF('[1]P-GENERAL'!E563="","",'[1]P-GENERAL'!E563)</f>
        <v/>
      </c>
      <c r="F563" s="12" t="str">
        <f>IF('[1]P-GENERAL'!F563="","",'[1]P-GENERAL'!F563)</f>
        <v/>
      </c>
      <c r="G563" s="13" t="str">
        <f>IF('[1]P-GENERAL'!G563="","",'[1]P-GENERAL'!G563)</f>
        <v/>
      </c>
      <c r="H563" s="14" t="str">
        <f>IF('[1]P-GENERAL'!H563="","",'[1]P-GENERAL'!H563)</f>
        <v/>
      </c>
      <c r="I563" t="str">
        <f>IF('[1]P-GENERAL'!I563="","",'[1]P-GENERAL'!I563)</f>
        <v/>
      </c>
      <c r="J563" s="15" t="str">
        <f>IF('[1]P-GENERAL'!J563="","",'[1]P-GENERAL'!J563)</f>
        <v/>
      </c>
      <c r="K563" s="14" t="str">
        <f>IF('[1]P-GENERAL'!K563="","",'[1]P-GENERAL'!K563)</f>
        <v/>
      </c>
      <c r="L563" s="14" t="str">
        <f>IF('[1]P-GENERAL'!L563="","",'[1]P-GENERAL'!L563)</f>
        <v/>
      </c>
      <c r="M563" t="str">
        <f>IF('[1]P-GENERAL'!M563="","",'[1]P-GENERAL'!M563)</f>
        <v/>
      </c>
      <c r="N563" t="str">
        <f>IF('[1]P-GENERAL'!N563="","",'[1]P-GENERAL'!N563)</f>
        <v/>
      </c>
      <c r="O563" s="14" t="str">
        <f>IF('[1]P-GENERAL'!O563="","",'[1]P-GENERAL'!O563)</f>
        <v/>
      </c>
      <c r="P563" s="16" t="str">
        <f>IF('[1]P-GENERAL'!P563="","",'[1]P-GENERAL'!P563)</f>
        <v/>
      </c>
      <c r="Q563" t="str">
        <f>IF('[1]P-GENERAL'!Q563="","",'[1]P-GENERAL'!Q563)</f>
        <v/>
      </c>
      <c r="R563" s="14" t="str">
        <f>IF('[1]P-GENERAL'!R563="","",'[1]P-GENERAL'!R563)</f>
        <v/>
      </c>
      <c r="S563" s="16" t="str">
        <f>IF('[1]P-GENERAL'!S563="","",'[1]P-GENERAL'!S563)</f>
        <v/>
      </c>
      <c r="T563" s="16" t="str">
        <f>IF('[1]P-GENERAL'!T563="","",'[1]P-GENERAL'!T563)</f>
        <v/>
      </c>
      <c r="U563" s="17" t="str">
        <f>IF('[1]P-GENERAL'!U563="","",'[1]P-GENERAL'!U563)</f>
        <v/>
      </c>
      <c r="V563" s="14" t="str">
        <f>IF('[1]P-GENERAL'!V563="","",'[1]P-GENERAL'!V563)</f>
        <v/>
      </c>
      <c r="W563" s="16" t="str">
        <f>IF('[1]P-GENERAL'!W563="","",'[1]P-GENERAL'!W563)</f>
        <v/>
      </c>
      <c r="X563" s="14" t="str">
        <f>IF('[1]P-GENERAL'!X563="","",'[1]P-GENERAL'!X563)</f>
        <v/>
      </c>
      <c r="Y563" s="14" t="str">
        <f>IF('[1]P-GENERAL'!Y563="","",'[1]P-GENERAL'!Y563)</f>
        <v/>
      </c>
      <c r="Z563" s="14" t="str">
        <f>IF('[1]P-GENERAL'!Z563="","",'[1]P-GENERAL'!Z563)</f>
        <v/>
      </c>
      <c r="AA563" s="14" t="str">
        <f>IF('[1]P-GENERAL'!AA563="","",'[1]P-GENERAL'!AA563)</f>
        <v/>
      </c>
      <c r="AB563" s="8" t="str">
        <f>IF('[1]P-GENERAL'!AB563="","",'[1]P-GENERAL'!AB563)</f>
        <v/>
      </c>
      <c r="AC563" s="8" t="str">
        <f>IF('[1]P-GENERAL'!AC563="","",'[1]P-GENERAL'!AC563)</f>
        <v/>
      </c>
      <c r="AD563" t="str">
        <f>IF('[1]P-GENERAL'!AD563="","",'[1]P-GENERAL'!AD563)</f>
        <v/>
      </c>
      <c r="AE563" t="str">
        <f>IF('[1]P-GENERAL'!AE563="","",'[1]P-GENERAL'!AE563)</f>
        <v/>
      </c>
    </row>
    <row r="564" spans="1:31" ht="20.25" x14ac:dyDescent="0.3">
      <c r="A564" s="11" t="str">
        <f>IF('[1]P-GENERAL'!A564="","",'[1]P-GENERAL'!A564)</f>
        <v/>
      </c>
      <c r="B564" s="11" t="str">
        <f>IF('[1]P-GENERAL'!B564="","",'[1]P-GENERAL'!B564)</f>
        <v/>
      </c>
      <c r="C564" t="str">
        <f>IF('[1]P-GENERAL'!C564="","",'[1]P-GENERAL'!C564)</f>
        <v/>
      </c>
      <c r="D564" t="str">
        <f>IF('[1]P-GENERAL'!D564="","",'[1]P-GENERAL'!D564)</f>
        <v/>
      </c>
      <c r="E564" s="8" t="str">
        <f>IF('[1]P-GENERAL'!E564="","",'[1]P-GENERAL'!E564)</f>
        <v/>
      </c>
      <c r="F564" s="12" t="str">
        <f>IF('[1]P-GENERAL'!F564="","",'[1]P-GENERAL'!F564)</f>
        <v/>
      </c>
      <c r="G564" s="13" t="str">
        <f>IF('[1]P-GENERAL'!G564="","",'[1]P-GENERAL'!G564)</f>
        <v/>
      </c>
      <c r="H564" s="14" t="str">
        <f>IF('[1]P-GENERAL'!H564="","",'[1]P-GENERAL'!H564)</f>
        <v/>
      </c>
      <c r="I564" t="str">
        <f>IF('[1]P-GENERAL'!I564="","",'[1]P-GENERAL'!I564)</f>
        <v/>
      </c>
      <c r="J564" s="15" t="str">
        <f>IF('[1]P-GENERAL'!J564="","",'[1]P-GENERAL'!J564)</f>
        <v/>
      </c>
      <c r="K564" s="14" t="str">
        <f>IF('[1]P-GENERAL'!K564="","",'[1]P-GENERAL'!K564)</f>
        <v/>
      </c>
      <c r="L564" s="14" t="str">
        <f>IF('[1]P-GENERAL'!L564="","",'[1]P-GENERAL'!L564)</f>
        <v/>
      </c>
      <c r="M564" t="str">
        <f>IF('[1]P-GENERAL'!M564="","",'[1]P-GENERAL'!M564)</f>
        <v/>
      </c>
      <c r="N564" t="str">
        <f>IF('[1]P-GENERAL'!N564="","",'[1]P-GENERAL'!N564)</f>
        <v/>
      </c>
      <c r="O564" s="14" t="str">
        <f>IF('[1]P-GENERAL'!O564="","",'[1]P-GENERAL'!O564)</f>
        <v/>
      </c>
      <c r="P564" s="16" t="str">
        <f>IF('[1]P-GENERAL'!P564="","",'[1]P-GENERAL'!P564)</f>
        <v/>
      </c>
      <c r="Q564" t="str">
        <f>IF('[1]P-GENERAL'!Q564="","",'[1]P-GENERAL'!Q564)</f>
        <v/>
      </c>
      <c r="R564" s="14" t="str">
        <f>IF('[1]P-GENERAL'!R564="","",'[1]P-GENERAL'!R564)</f>
        <v/>
      </c>
      <c r="S564" s="16" t="str">
        <f>IF('[1]P-GENERAL'!S564="","",'[1]P-GENERAL'!S564)</f>
        <v/>
      </c>
      <c r="T564" s="16" t="str">
        <f>IF('[1]P-GENERAL'!T564="","",'[1]P-GENERAL'!T564)</f>
        <v/>
      </c>
      <c r="U564" s="17" t="str">
        <f>IF('[1]P-GENERAL'!U564="","",'[1]P-GENERAL'!U564)</f>
        <v/>
      </c>
      <c r="V564" s="14" t="str">
        <f>IF('[1]P-GENERAL'!V564="","",'[1]P-GENERAL'!V564)</f>
        <v/>
      </c>
      <c r="W564" s="16" t="str">
        <f>IF('[1]P-GENERAL'!W564="","",'[1]P-GENERAL'!W564)</f>
        <v/>
      </c>
      <c r="X564" s="14" t="str">
        <f>IF('[1]P-GENERAL'!X564="","",'[1]P-GENERAL'!X564)</f>
        <v/>
      </c>
      <c r="Y564" s="14" t="str">
        <f>IF('[1]P-GENERAL'!Y564="","",'[1]P-GENERAL'!Y564)</f>
        <v/>
      </c>
      <c r="Z564" s="14" t="str">
        <f>IF('[1]P-GENERAL'!Z564="","",'[1]P-GENERAL'!Z564)</f>
        <v/>
      </c>
      <c r="AA564" s="14" t="str">
        <f>IF('[1]P-GENERAL'!AA564="","",'[1]P-GENERAL'!AA564)</f>
        <v/>
      </c>
      <c r="AB564" s="8" t="str">
        <f>IF('[1]P-GENERAL'!AB564="","",'[1]P-GENERAL'!AB564)</f>
        <v/>
      </c>
      <c r="AC564" s="8" t="str">
        <f>IF('[1]P-GENERAL'!AC564="","",'[1]P-GENERAL'!AC564)</f>
        <v/>
      </c>
      <c r="AD564" t="str">
        <f>IF('[1]P-GENERAL'!AD564="","",'[1]P-GENERAL'!AD564)</f>
        <v/>
      </c>
      <c r="AE564" t="str">
        <f>IF('[1]P-GENERAL'!AE564="","",'[1]P-GENERAL'!AE564)</f>
        <v/>
      </c>
    </row>
    <row r="565" spans="1:31" ht="20.25" x14ac:dyDescent="0.3">
      <c r="A565" s="11" t="str">
        <f>IF('[1]P-GENERAL'!A565="","",'[1]P-GENERAL'!A565)</f>
        <v/>
      </c>
      <c r="B565" s="11" t="str">
        <f>IF('[1]P-GENERAL'!B565="","",'[1]P-GENERAL'!B565)</f>
        <v/>
      </c>
      <c r="C565" t="str">
        <f>IF('[1]P-GENERAL'!C565="","",'[1]P-GENERAL'!C565)</f>
        <v/>
      </c>
      <c r="D565" t="str">
        <f>IF('[1]P-GENERAL'!D565="","",'[1]P-GENERAL'!D565)</f>
        <v/>
      </c>
      <c r="E565" s="8" t="str">
        <f>IF('[1]P-GENERAL'!E565="","",'[1]P-GENERAL'!E565)</f>
        <v/>
      </c>
      <c r="F565" s="12" t="str">
        <f>IF('[1]P-GENERAL'!F565="","",'[1]P-GENERAL'!F565)</f>
        <v/>
      </c>
      <c r="G565" s="13" t="str">
        <f>IF('[1]P-GENERAL'!G565="","",'[1]P-GENERAL'!G565)</f>
        <v/>
      </c>
      <c r="H565" s="14" t="str">
        <f>IF('[1]P-GENERAL'!H565="","",'[1]P-GENERAL'!H565)</f>
        <v/>
      </c>
      <c r="I565" t="str">
        <f>IF('[1]P-GENERAL'!I565="","",'[1]P-GENERAL'!I565)</f>
        <v/>
      </c>
      <c r="J565" s="15" t="str">
        <f>IF('[1]P-GENERAL'!J565="","",'[1]P-GENERAL'!J565)</f>
        <v/>
      </c>
      <c r="K565" s="14" t="str">
        <f>IF('[1]P-GENERAL'!K565="","",'[1]P-GENERAL'!K565)</f>
        <v/>
      </c>
      <c r="L565" s="14" t="str">
        <f>IF('[1]P-GENERAL'!L565="","",'[1]P-GENERAL'!L565)</f>
        <v/>
      </c>
      <c r="M565" t="str">
        <f>IF('[1]P-GENERAL'!M565="","",'[1]P-GENERAL'!M565)</f>
        <v/>
      </c>
      <c r="N565" t="str">
        <f>IF('[1]P-GENERAL'!N565="","",'[1]P-GENERAL'!N565)</f>
        <v/>
      </c>
      <c r="O565" s="14" t="str">
        <f>IF('[1]P-GENERAL'!O565="","",'[1]P-GENERAL'!O565)</f>
        <v/>
      </c>
      <c r="P565" s="16" t="str">
        <f>IF('[1]P-GENERAL'!P565="","",'[1]P-GENERAL'!P565)</f>
        <v/>
      </c>
      <c r="Q565" t="str">
        <f>IF('[1]P-GENERAL'!Q565="","",'[1]P-GENERAL'!Q565)</f>
        <v/>
      </c>
      <c r="R565" s="14" t="str">
        <f>IF('[1]P-GENERAL'!R565="","",'[1]P-GENERAL'!R565)</f>
        <v/>
      </c>
      <c r="S565" s="16" t="str">
        <f>IF('[1]P-GENERAL'!S565="","",'[1]P-GENERAL'!S565)</f>
        <v/>
      </c>
      <c r="T565" s="16" t="str">
        <f>IF('[1]P-GENERAL'!T565="","",'[1]P-GENERAL'!T565)</f>
        <v/>
      </c>
      <c r="U565" s="17" t="str">
        <f>IF('[1]P-GENERAL'!U565="","",'[1]P-GENERAL'!U565)</f>
        <v/>
      </c>
      <c r="V565" s="14" t="str">
        <f>IF('[1]P-GENERAL'!V565="","",'[1]P-GENERAL'!V565)</f>
        <v/>
      </c>
      <c r="W565" s="16" t="str">
        <f>IF('[1]P-GENERAL'!W565="","",'[1]P-GENERAL'!W565)</f>
        <v/>
      </c>
      <c r="X565" s="14" t="str">
        <f>IF('[1]P-GENERAL'!X565="","",'[1]P-GENERAL'!X565)</f>
        <v/>
      </c>
      <c r="Y565" s="14" t="str">
        <f>IF('[1]P-GENERAL'!Y565="","",'[1]P-GENERAL'!Y565)</f>
        <v/>
      </c>
      <c r="Z565" s="14" t="str">
        <f>IF('[1]P-GENERAL'!Z565="","",'[1]P-GENERAL'!Z565)</f>
        <v/>
      </c>
      <c r="AA565" s="14" t="str">
        <f>IF('[1]P-GENERAL'!AA565="","",'[1]P-GENERAL'!AA565)</f>
        <v/>
      </c>
      <c r="AB565" s="8" t="str">
        <f>IF('[1]P-GENERAL'!AB565="","",'[1]P-GENERAL'!AB565)</f>
        <v/>
      </c>
      <c r="AC565" s="8" t="str">
        <f>IF('[1]P-GENERAL'!AC565="","",'[1]P-GENERAL'!AC565)</f>
        <v/>
      </c>
      <c r="AD565" t="str">
        <f>IF('[1]P-GENERAL'!AD565="","",'[1]P-GENERAL'!AD565)</f>
        <v/>
      </c>
      <c r="AE565" t="str">
        <f>IF('[1]P-GENERAL'!AE565="","",'[1]P-GENERAL'!AE565)</f>
        <v/>
      </c>
    </row>
    <row r="566" spans="1:31" ht="20.25" x14ac:dyDescent="0.3">
      <c r="A566" s="11" t="str">
        <f>IF('[1]P-GENERAL'!A566="","",'[1]P-GENERAL'!A566)</f>
        <v/>
      </c>
      <c r="B566" s="11" t="str">
        <f>IF('[1]P-GENERAL'!B566="","",'[1]P-GENERAL'!B566)</f>
        <v/>
      </c>
      <c r="C566" t="str">
        <f>IF('[1]P-GENERAL'!C566="","",'[1]P-GENERAL'!C566)</f>
        <v/>
      </c>
      <c r="D566" t="str">
        <f>IF('[1]P-GENERAL'!D566="","",'[1]P-GENERAL'!D566)</f>
        <v/>
      </c>
      <c r="E566" s="8" t="str">
        <f>IF('[1]P-GENERAL'!E566="","",'[1]P-GENERAL'!E566)</f>
        <v/>
      </c>
      <c r="F566" s="12" t="str">
        <f>IF('[1]P-GENERAL'!F566="","",'[1]P-GENERAL'!F566)</f>
        <v/>
      </c>
      <c r="G566" s="13" t="str">
        <f>IF('[1]P-GENERAL'!G566="","",'[1]P-GENERAL'!G566)</f>
        <v/>
      </c>
      <c r="H566" s="14" t="str">
        <f>IF('[1]P-GENERAL'!H566="","",'[1]P-GENERAL'!H566)</f>
        <v/>
      </c>
      <c r="I566" t="str">
        <f>IF('[1]P-GENERAL'!I566="","",'[1]P-GENERAL'!I566)</f>
        <v/>
      </c>
      <c r="J566" s="15" t="str">
        <f>IF('[1]P-GENERAL'!J566="","",'[1]P-GENERAL'!J566)</f>
        <v/>
      </c>
      <c r="K566" s="14" t="str">
        <f>IF('[1]P-GENERAL'!K566="","",'[1]P-GENERAL'!K566)</f>
        <v/>
      </c>
      <c r="L566" s="14" t="str">
        <f>IF('[1]P-GENERAL'!L566="","",'[1]P-GENERAL'!L566)</f>
        <v/>
      </c>
      <c r="M566" t="str">
        <f>IF('[1]P-GENERAL'!M566="","",'[1]P-GENERAL'!M566)</f>
        <v/>
      </c>
      <c r="N566" t="str">
        <f>IF('[1]P-GENERAL'!N566="","",'[1]P-GENERAL'!N566)</f>
        <v/>
      </c>
      <c r="O566" s="14" t="str">
        <f>IF('[1]P-GENERAL'!O566="","",'[1]P-GENERAL'!O566)</f>
        <v/>
      </c>
      <c r="P566" s="16" t="str">
        <f>IF('[1]P-GENERAL'!P566="","",'[1]P-GENERAL'!P566)</f>
        <v/>
      </c>
      <c r="Q566" t="str">
        <f>IF('[1]P-GENERAL'!Q566="","",'[1]P-GENERAL'!Q566)</f>
        <v/>
      </c>
      <c r="R566" s="14" t="str">
        <f>IF('[1]P-GENERAL'!R566="","",'[1]P-GENERAL'!R566)</f>
        <v/>
      </c>
      <c r="S566" s="16" t="str">
        <f>IF('[1]P-GENERAL'!S566="","",'[1]P-GENERAL'!S566)</f>
        <v/>
      </c>
      <c r="T566" s="16" t="str">
        <f>IF('[1]P-GENERAL'!T566="","",'[1]P-GENERAL'!T566)</f>
        <v/>
      </c>
      <c r="U566" s="17" t="str">
        <f>IF('[1]P-GENERAL'!U566="","",'[1]P-GENERAL'!U566)</f>
        <v/>
      </c>
      <c r="V566" s="14" t="str">
        <f>IF('[1]P-GENERAL'!V566="","",'[1]P-GENERAL'!V566)</f>
        <v/>
      </c>
      <c r="W566" s="16" t="str">
        <f>IF('[1]P-GENERAL'!W566="","",'[1]P-GENERAL'!W566)</f>
        <v/>
      </c>
      <c r="X566" s="14" t="str">
        <f>IF('[1]P-GENERAL'!X566="","",'[1]P-GENERAL'!X566)</f>
        <v/>
      </c>
      <c r="Y566" s="14" t="str">
        <f>IF('[1]P-GENERAL'!Y566="","",'[1]P-GENERAL'!Y566)</f>
        <v/>
      </c>
      <c r="Z566" s="14" t="str">
        <f>IF('[1]P-GENERAL'!Z566="","",'[1]P-GENERAL'!Z566)</f>
        <v/>
      </c>
      <c r="AA566" s="14" t="str">
        <f>IF('[1]P-GENERAL'!AA566="","",'[1]P-GENERAL'!AA566)</f>
        <v/>
      </c>
      <c r="AB566" s="8" t="str">
        <f>IF('[1]P-GENERAL'!AB566="","",'[1]P-GENERAL'!AB566)</f>
        <v/>
      </c>
      <c r="AC566" s="8" t="str">
        <f>IF('[1]P-GENERAL'!AC566="","",'[1]P-GENERAL'!AC566)</f>
        <v/>
      </c>
      <c r="AD566" t="str">
        <f>IF('[1]P-GENERAL'!AD566="","",'[1]P-GENERAL'!AD566)</f>
        <v/>
      </c>
      <c r="AE566" t="str">
        <f>IF('[1]P-GENERAL'!AE566="","",'[1]P-GENERAL'!AE566)</f>
        <v/>
      </c>
    </row>
    <row r="567" spans="1:31" ht="20.25" x14ac:dyDescent="0.3">
      <c r="A567" s="11" t="str">
        <f>IF('[1]P-GENERAL'!A567="","",'[1]P-GENERAL'!A567)</f>
        <v/>
      </c>
      <c r="B567" s="11" t="str">
        <f>IF('[1]P-GENERAL'!B567="","",'[1]P-GENERAL'!B567)</f>
        <v/>
      </c>
      <c r="C567" t="str">
        <f>IF('[1]P-GENERAL'!C567="","",'[1]P-GENERAL'!C567)</f>
        <v/>
      </c>
      <c r="D567" t="str">
        <f>IF('[1]P-GENERAL'!D567="","",'[1]P-GENERAL'!D567)</f>
        <v/>
      </c>
      <c r="E567" s="8" t="str">
        <f>IF('[1]P-GENERAL'!E567="","",'[1]P-GENERAL'!E567)</f>
        <v/>
      </c>
      <c r="F567" s="12" t="str">
        <f>IF('[1]P-GENERAL'!F567="","",'[1]P-GENERAL'!F567)</f>
        <v/>
      </c>
      <c r="G567" s="13" t="str">
        <f>IF('[1]P-GENERAL'!G567="","",'[1]P-GENERAL'!G567)</f>
        <v/>
      </c>
      <c r="H567" s="14" t="str">
        <f>IF('[1]P-GENERAL'!H567="","",'[1]P-GENERAL'!H567)</f>
        <v/>
      </c>
      <c r="I567" t="str">
        <f>IF('[1]P-GENERAL'!I567="","",'[1]P-GENERAL'!I567)</f>
        <v/>
      </c>
      <c r="J567" s="15" t="str">
        <f>IF('[1]P-GENERAL'!J567="","",'[1]P-GENERAL'!J567)</f>
        <v/>
      </c>
      <c r="K567" s="14" t="str">
        <f>IF('[1]P-GENERAL'!K567="","",'[1]P-GENERAL'!K567)</f>
        <v/>
      </c>
      <c r="L567" s="14" t="str">
        <f>IF('[1]P-GENERAL'!L567="","",'[1]P-GENERAL'!L567)</f>
        <v/>
      </c>
      <c r="M567" t="str">
        <f>IF('[1]P-GENERAL'!M567="","",'[1]P-GENERAL'!M567)</f>
        <v/>
      </c>
      <c r="N567" t="str">
        <f>IF('[1]P-GENERAL'!N567="","",'[1]P-GENERAL'!N567)</f>
        <v/>
      </c>
      <c r="O567" s="14" t="str">
        <f>IF('[1]P-GENERAL'!O567="","",'[1]P-GENERAL'!O567)</f>
        <v/>
      </c>
      <c r="P567" s="16" t="str">
        <f>IF('[1]P-GENERAL'!P567="","",'[1]P-GENERAL'!P567)</f>
        <v/>
      </c>
      <c r="Q567" t="str">
        <f>IF('[1]P-GENERAL'!Q567="","",'[1]P-GENERAL'!Q567)</f>
        <v/>
      </c>
      <c r="R567" s="14" t="str">
        <f>IF('[1]P-GENERAL'!R567="","",'[1]P-GENERAL'!R567)</f>
        <v/>
      </c>
      <c r="S567" s="16" t="str">
        <f>IF('[1]P-GENERAL'!S567="","",'[1]P-GENERAL'!S567)</f>
        <v/>
      </c>
      <c r="T567" s="16" t="str">
        <f>IF('[1]P-GENERAL'!T567="","",'[1]P-GENERAL'!T567)</f>
        <v/>
      </c>
      <c r="U567" s="17" t="str">
        <f>IF('[1]P-GENERAL'!U567="","",'[1]P-GENERAL'!U567)</f>
        <v/>
      </c>
      <c r="V567" s="14" t="str">
        <f>IF('[1]P-GENERAL'!V567="","",'[1]P-GENERAL'!V567)</f>
        <v/>
      </c>
      <c r="W567" s="16" t="str">
        <f>IF('[1]P-GENERAL'!W567="","",'[1]P-GENERAL'!W567)</f>
        <v/>
      </c>
      <c r="X567" s="14" t="str">
        <f>IF('[1]P-GENERAL'!X567="","",'[1]P-GENERAL'!X567)</f>
        <v/>
      </c>
      <c r="Y567" s="14" t="str">
        <f>IF('[1]P-GENERAL'!Y567="","",'[1]P-GENERAL'!Y567)</f>
        <v/>
      </c>
      <c r="Z567" s="14" t="str">
        <f>IF('[1]P-GENERAL'!Z567="","",'[1]P-GENERAL'!Z567)</f>
        <v/>
      </c>
      <c r="AA567" s="14" t="str">
        <f>IF('[1]P-GENERAL'!AA567="","",'[1]P-GENERAL'!AA567)</f>
        <v/>
      </c>
      <c r="AB567" s="8" t="str">
        <f>IF('[1]P-GENERAL'!AB567="","",'[1]P-GENERAL'!AB567)</f>
        <v/>
      </c>
      <c r="AC567" s="8" t="str">
        <f>IF('[1]P-GENERAL'!AC567="","",'[1]P-GENERAL'!AC567)</f>
        <v/>
      </c>
      <c r="AD567" t="str">
        <f>IF('[1]P-GENERAL'!AD567="","",'[1]P-GENERAL'!AD567)</f>
        <v/>
      </c>
      <c r="AE567" t="str">
        <f>IF('[1]P-GENERAL'!AE567="","",'[1]P-GENERAL'!AE567)</f>
        <v/>
      </c>
    </row>
    <row r="568" spans="1:31" ht="20.25" x14ac:dyDescent="0.3">
      <c r="A568" s="11" t="str">
        <f>IF('[1]P-GENERAL'!A568="","",'[1]P-GENERAL'!A568)</f>
        <v/>
      </c>
      <c r="B568" s="11" t="str">
        <f>IF('[1]P-GENERAL'!B568="","",'[1]P-GENERAL'!B568)</f>
        <v/>
      </c>
      <c r="C568" t="str">
        <f>IF('[1]P-GENERAL'!C568="","",'[1]P-GENERAL'!C568)</f>
        <v/>
      </c>
      <c r="D568" t="str">
        <f>IF('[1]P-GENERAL'!D568="","",'[1]P-GENERAL'!D568)</f>
        <v/>
      </c>
      <c r="E568" s="8" t="str">
        <f>IF('[1]P-GENERAL'!E568="","",'[1]P-GENERAL'!E568)</f>
        <v/>
      </c>
      <c r="F568" s="12" t="str">
        <f>IF('[1]P-GENERAL'!F568="","",'[1]P-GENERAL'!F568)</f>
        <v/>
      </c>
      <c r="G568" s="13" t="str">
        <f>IF('[1]P-GENERAL'!G568="","",'[1]P-GENERAL'!G568)</f>
        <v/>
      </c>
      <c r="H568" s="14" t="str">
        <f>IF('[1]P-GENERAL'!H568="","",'[1]P-GENERAL'!H568)</f>
        <v/>
      </c>
      <c r="I568" t="str">
        <f>IF('[1]P-GENERAL'!I568="","",'[1]P-GENERAL'!I568)</f>
        <v/>
      </c>
      <c r="J568" s="15" t="str">
        <f>IF('[1]P-GENERAL'!J568="","",'[1]P-GENERAL'!J568)</f>
        <v/>
      </c>
      <c r="K568" s="14" t="str">
        <f>IF('[1]P-GENERAL'!K568="","",'[1]P-GENERAL'!K568)</f>
        <v/>
      </c>
      <c r="L568" s="14" t="str">
        <f>IF('[1]P-GENERAL'!L568="","",'[1]P-GENERAL'!L568)</f>
        <v/>
      </c>
      <c r="M568" t="str">
        <f>IF('[1]P-GENERAL'!M568="","",'[1]P-GENERAL'!M568)</f>
        <v/>
      </c>
      <c r="N568" t="str">
        <f>IF('[1]P-GENERAL'!N568="","",'[1]P-GENERAL'!N568)</f>
        <v/>
      </c>
      <c r="O568" s="14" t="str">
        <f>IF('[1]P-GENERAL'!O568="","",'[1]P-GENERAL'!O568)</f>
        <v/>
      </c>
      <c r="P568" s="16" t="str">
        <f>IF('[1]P-GENERAL'!P568="","",'[1]P-GENERAL'!P568)</f>
        <v/>
      </c>
      <c r="Q568" t="str">
        <f>IF('[1]P-GENERAL'!Q568="","",'[1]P-GENERAL'!Q568)</f>
        <v/>
      </c>
      <c r="R568" s="14" t="str">
        <f>IF('[1]P-GENERAL'!R568="","",'[1]P-GENERAL'!R568)</f>
        <v/>
      </c>
      <c r="S568" s="16" t="str">
        <f>IF('[1]P-GENERAL'!S568="","",'[1]P-GENERAL'!S568)</f>
        <v/>
      </c>
      <c r="T568" s="16" t="str">
        <f>IF('[1]P-GENERAL'!T568="","",'[1]P-GENERAL'!T568)</f>
        <v/>
      </c>
      <c r="U568" s="17" t="str">
        <f>IF('[1]P-GENERAL'!U568="","",'[1]P-GENERAL'!U568)</f>
        <v/>
      </c>
      <c r="V568" s="14" t="str">
        <f>IF('[1]P-GENERAL'!V568="","",'[1]P-GENERAL'!V568)</f>
        <v/>
      </c>
      <c r="W568" s="16" t="str">
        <f>IF('[1]P-GENERAL'!W568="","",'[1]P-GENERAL'!W568)</f>
        <v/>
      </c>
      <c r="X568" s="14" t="str">
        <f>IF('[1]P-GENERAL'!X568="","",'[1]P-GENERAL'!X568)</f>
        <v/>
      </c>
      <c r="Y568" s="14" t="str">
        <f>IF('[1]P-GENERAL'!Y568="","",'[1]P-GENERAL'!Y568)</f>
        <v/>
      </c>
      <c r="Z568" s="14" t="str">
        <f>IF('[1]P-GENERAL'!Z568="","",'[1]P-GENERAL'!Z568)</f>
        <v/>
      </c>
      <c r="AA568" s="14" t="str">
        <f>IF('[1]P-GENERAL'!AA568="","",'[1]P-GENERAL'!AA568)</f>
        <v/>
      </c>
      <c r="AB568" s="8" t="str">
        <f>IF('[1]P-GENERAL'!AB568="","",'[1]P-GENERAL'!AB568)</f>
        <v/>
      </c>
      <c r="AC568" s="8" t="str">
        <f>IF('[1]P-GENERAL'!AC568="","",'[1]P-GENERAL'!AC568)</f>
        <v/>
      </c>
      <c r="AD568" t="str">
        <f>IF('[1]P-GENERAL'!AD568="","",'[1]P-GENERAL'!AD568)</f>
        <v/>
      </c>
      <c r="AE568" t="str">
        <f>IF('[1]P-GENERAL'!AE568="","",'[1]P-GENERAL'!AE568)</f>
        <v/>
      </c>
    </row>
    <row r="569" spans="1:31" ht="20.25" x14ac:dyDescent="0.3">
      <c r="A569" s="11" t="str">
        <f>IF('[1]P-GENERAL'!A569="","",'[1]P-GENERAL'!A569)</f>
        <v/>
      </c>
      <c r="B569" s="11" t="str">
        <f>IF('[1]P-GENERAL'!B569="","",'[1]P-GENERAL'!B569)</f>
        <v/>
      </c>
      <c r="C569" t="str">
        <f>IF('[1]P-GENERAL'!C569="","",'[1]P-GENERAL'!C569)</f>
        <v/>
      </c>
      <c r="D569" t="str">
        <f>IF('[1]P-GENERAL'!D569="","",'[1]P-GENERAL'!D569)</f>
        <v/>
      </c>
      <c r="E569" s="8" t="str">
        <f>IF('[1]P-GENERAL'!E569="","",'[1]P-GENERAL'!E569)</f>
        <v/>
      </c>
      <c r="F569" s="12" t="str">
        <f>IF('[1]P-GENERAL'!F569="","",'[1]P-GENERAL'!F569)</f>
        <v/>
      </c>
      <c r="G569" s="13" t="str">
        <f>IF('[1]P-GENERAL'!G569="","",'[1]P-GENERAL'!G569)</f>
        <v/>
      </c>
      <c r="H569" s="14" t="str">
        <f>IF('[1]P-GENERAL'!H569="","",'[1]P-GENERAL'!H569)</f>
        <v/>
      </c>
      <c r="I569" t="str">
        <f>IF('[1]P-GENERAL'!I569="","",'[1]P-GENERAL'!I569)</f>
        <v/>
      </c>
      <c r="J569" s="15" t="str">
        <f>IF('[1]P-GENERAL'!J569="","",'[1]P-GENERAL'!J569)</f>
        <v/>
      </c>
      <c r="K569" s="14" t="str">
        <f>IF('[1]P-GENERAL'!K569="","",'[1]P-GENERAL'!K569)</f>
        <v/>
      </c>
      <c r="L569" s="14" t="str">
        <f>IF('[1]P-GENERAL'!L569="","",'[1]P-GENERAL'!L569)</f>
        <v/>
      </c>
      <c r="M569" t="str">
        <f>IF('[1]P-GENERAL'!M569="","",'[1]P-GENERAL'!M569)</f>
        <v/>
      </c>
      <c r="N569" t="str">
        <f>IF('[1]P-GENERAL'!N569="","",'[1]P-GENERAL'!N569)</f>
        <v/>
      </c>
      <c r="O569" s="14" t="str">
        <f>IF('[1]P-GENERAL'!O569="","",'[1]P-GENERAL'!O569)</f>
        <v/>
      </c>
      <c r="P569" s="16" t="str">
        <f>IF('[1]P-GENERAL'!P569="","",'[1]P-GENERAL'!P569)</f>
        <v/>
      </c>
      <c r="Q569" t="str">
        <f>IF('[1]P-GENERAL'!Q569="","",'[1]P-GENERAL'!Q569)</f>
        <v/>
      </c>
      <c r="R569" s="14" t="str">
        <f>IF('[1]P-GENERAL'!R569="","",'[1]P-GENERAL'!R569)</f>
        <v/>
      </c>
      <c r="S569" s="16" t="str">
        <f>IF('[1]P-GENERAL'!S569="","",'[1]P-GENERAL'!S569)</f>
        <v/>
      </c>
      <c r="T569" s="16" t="str">
        <f>IF('[1]P-GENERAL'!T569="","",'[1]P-GENERAL'!T569)</f>
        <v/>
      </c>
      <c r="U569" s="17" t="str">
        <f>IF('[1]P-GENERAL'!U569="","",'[1]P-GENERAL'!U569)</f>
        <v/>
      </c>
      <c r="V569" s="14" t="str">
        <f>IF('[1]P-GENERAL'!V569="","",'[1]P-GENERAL'!V569)</f>
        <v/>
      </c>
      <c r="W569" s="16" t="str">
        <f>IF('[1]P-GENERAL'!W569="","",'[1]P-GENERAL'!W569)</f>
        <v/>
      </c>
      <c r="X569" s="14" t="str">
        <f>IF('[1]P-GENERAL'!X569="","",'[1]P-GENERAL'!X569)</f>
        <v/>
      </c>
      <c r="Y569" s="14" t="str">
        <f>IF('[1]P-GENERAL'!Y569="","",'[1]P-GENERAL'!Y569)</f>
        <v/>
      </c>
      <c r="Z569" s="14" t="str">
        <f>IF('[1]P-GENERAL'!Z569="","",'[1]P-GENERAL'!Z569)</f>
        <v/>
      </c>
      <c r="AA569" s="14" t="str">
        <f>IF('[1]P-GENERAL'!AA569="","",'[1]P-GENERAL'!AA569)</f>
        <v/>
      </c>
      <c r="AB569" s="8" t="str">
        <f>IF('[1]P-GENERAL'!AB569="","",'[1]P-GENERAL'!AB569)</f>
        <v/>
      </c>
      <c r="AC569" s="8" t="str">
        <f>IF('[1]P-GENERAL'!AC569="","",'[1]P-GENERAL'!AC569)</f>
        <v/>
      </c>
      <c r="AD569" t="str">
        <f>IF('[1]P-GENERAL'!AD569="","",'[1]P-GENERAL'!AD569)</f>
        <v/>
      </c>
      <c r="AE569" t="str">
        <f>IF('[1]P-GENERAL'!AE569="","",'[1]P-GENERAL'!AE569)</f>
        <v/>
      </c>
    </row>
    <row r="570" spans="1:31" ht="20.25" x14ac:dyDescent="0.3">
      <c r="A570" s="11" t="str">
        <f>IF('[1]P-GENERAL'!A570="","",'[1]P-GENERAL'!A570)</f>
        <v/>
      </c>
      <c r="B570" s="11" t="str">
        <f>IF('[1]P-GENERAL'!B570="","",'[1]P-GENERAL'!B570)</f>
        <v/>
      </c>
      <c r="C570" t="str">
        <f>IF('[1]P-GENERAL'!C570="","",'[1]P-GENERAL'!C570)</f>
        <v/>
      </c>
      <c r="D570" t="str">
        <f>IF('[1]P-GENERAL'!D570="","",'[1]P-GENERAL'!D570)</f>
        <v/>
      </c>
      <c r="E570" s="8" t="str">
        <f>IF('[1]P-GENERAL'!E570="","",'[1]P-GENERAL'!E570)</f>
        <v/>
      </c>
      <c r="F570" s="12" t="str">
        <f>IF('[1]P-GENERAL'!F570="","",'[1]P-GENERAL'!F570)</f>
        <v/>
      </c>
      <c r="G570" s="13" t="str">
        <f>IF('[1]P-GENERAL'!G570="","",'[1]P-GENERAL'!G570)</f>
        <v/>
      </c>
      <c r="H570" s="14" t="str">
        <f>IF('[1]P-GENERAL'!H570="","",'[1]P-GENERAL'!H570)</f>
        <v/>
      </c>
      <c r="I570" t="str">
        <f>IF('[1]P-GENERAL'!I570="","",'[1]P-GENERAL'!I570)</f>
        <v/>
      </c>
      <c r="J570" s="15" t="str">
        <f>IF('[1]P-GENERAL'!J570="","",'[1]P-GENERAL'!J570)</f>
        <v/>
      </c>
      <c r="K570" s="14" t="str">
        <f>IF('[1]P-GENERAL'!K570="","",'[1]P-GENERAL'!K570)</f>
        <v/>
      </c>
      <c r="L570" s="14" t="str">
        <f>IF('[1]P-GENERAL'!L570="","",'[1]P-GENERAL'!L570)</f>
        <v/>
      </c>
      <c r="M570" t="str">
        <f>IF('[1]P-GENERAL'!M570="","",'[1]P-GENERAL'!M570)</f>
        <v/>
      </c>
      <c r="N570" t="str">
        <f>IF('[1]P-GENERAL'!N570="","",'[1]P-GENERAL'!N570)</f>
        <v/>
      </c>
      <c r="O570" s="14" t="str">
        <f>IF('[1]P-GENERAL'!O570="","",'[1]P-GENERAL'!O570)</f>
        <v/>
      </c>
      <c r="P570" s="16" t="str">
        <f>IF('[1]P-GENERAL'!P570="","",'[1]P-GENERAL'!P570)</f>
        <v/>
      </c>
      <c r="Q570" t="str">
        <f>IF('[1]P-GENERAL'!Q570="","",'[1]P-GENERAL'!Q570)</f>
        <v/>
      </c>
      <c r="R570" s="14" t="str">
        <f>IF('[1]P-GENERAL'!R570="","",'[1]P-GENERAL'!R570)</f>
        <v/>
      </c>
      <c r="S570" s="16" t="str">
        <f>IF('[1]P-GENERAL'!S570="","",'[1]P-GENERAL'!S570)</f>
        <v/>
      </c>
      <c r="T570" s="16" t="str">
        <f>IF('[1]P-GENERAL'!T570="","",'[1]P-GENERAL'!T570)</f>
        <v/>
      </c>
      <c r="U570" s="17" t="str">
        <f>IF('[1]P-GENERAL'!U570="","",'[1]P-GENERAL'!U570)</f>
        <v/>
      </c>
      <c r="V570" s="14" t="str">
        <f>IF('[1]P-GENERAL'!V570="","",'[1]P-GENERAL'!V570)</f>
        <v/>
      </c>
      <c r="W570" s="16" t="str">
        <f>IF('[1]P-GENERAL'!W570="","",'[1]P-GENERAL'!W570)</f>
        <v/>
      </c>
      <c r="X570" s="14" t="str">
        <f>IF('[1]P-GENERAL'!X570="","",'[1]P-GENERAL'!X570)</f>
        <v/>
      </c>
      <c r="Y570" s="14" t="str">
        <f>IF('[1]P-GENERAL'!Y570="","",'[1]P-GENERAL'!Y570)</f>
        <v/>
      </c>
      <c r="Z570" s="14" t="str">
        <f>IF('[1]P-GENERAL'!Z570="","",'[1]P-GENERAL'!Z570)</f>
        <v/>
      </c>
      <c r="AA570" s="14" t="str">
        <f>IF('[1]P-GENERAL'!AA570="","",'[1]P-GENERAL'!AA570)</f>
        <v/>
      </c>
      <c r="AB570" s="8" t="str">
        <f>IF('[1]P-GENERAL'!AB570="","",'[1]P-GENERAL'!AB570)</f>
        <v/>
      </c>
      <c r="AC570" s="8" t="str">
        <f>IF('[1]P-GENERAL'!AC570="","",'[1]P-GENERAL'!AC570)</f>
        <v/>
      </c>
      <c r="AD570" t="str">
        <f>IF('[1]P-GENERAL'!AD570="","",'[1]P-GENERAL'!AD570)</f>
        <v/>
      </c>
      <c r="AE570" t="str">
        <f>IF('[1]P-GENERAL'!AE570="","",'[1]P-GENERAL'!AE570)</f>
        <v/>
      </c>
    </row>
    <row r="571" spans="1:31" ht="20.25" x14ac:dyDescent="0.3">
      <c r="A571" s="11" t="str">
        <f>IF('[1]P-GENERAL'!A571="","",'[1]P-GENERAL'!A571)</f>
        <v/>
      </c>
      <c r="B571" s="11" t="str">
        <f>IF('[1]P-GENERAL'!B571="","",'[1]P-GENERAL'!B571)</f>
        <v/>
      </c>
      <c r="C571" t="str">
        <f>IF('[1]P-GENERAL'!C571="","",'[1]P-GENERAL'!C571)</f>
        <v/>
      </c>
      <c r="D571" t="str">
        <f>IF('[1]P-GENERAL'!D571="","",'[1]P-GENERAL'!D571)</f>
        <v/>
      </c>
      <c r="E571" s="8" t="str">
        <f>IF('[1]P-GENERAL'!E571="","",'[1]P-GENERAL'!E571)</f>
        <v/>
      </c>
      <c r="F571" s="12" t="str">
        <f>IF('[1]P-GENERAL'!F571="","",'[1]P-GENERAL'!F571)</f>
        <v/>
      </c>
      <c r="G571" s="13" t="str">
        <f>IF('[1]P-GENERAL'!G571="","",'[1]P-GENERAL'!G571)</f>
        <v/>
      </c>
      <c r="H571" s="14" t="str">
        <f>IF('[1]P-GENERAL'!H571="","",'[1]P-GENERAL'!H571)</f>
        <v/>
      </c>
      <c r="I571" t="str">
        <f>IF('[1]P-GENERAL'!I571="","",'[1]P-GENERAL'!I571)</f>
        <v/>
      </c>
      <c r="J571" s="15" t="str">
        <f>IF('[1]P-GENERAL'!J571="","",'[1]P-GENERAL'!J571)</f>
        <v/>
      </c>
      <c r="K571" s="14" t="str">
        <f>IF('[1]P-GENERAL'!K571="","",'[1]P-GENERAL'!K571)</f>
        <v/>
      </c>
      <c r="L571" s="14" t="str">
        <f>IF('[1]P-GENERAL'!L571="","",'[1]P-GENERAL'!L571)</f>
        <v/>
      </c>
      <c r="M571" t="str">
        <f>IF('[1]P-GENERAL'!M571="","",'[1]P-GENERAL'!M571)</f>
        <v/>
      </c>
      <c r="N571" t="str">
        <f>IF('[1]P-GENERAL'!N571="","",'[1]P-GENERAL'!N571)</f>
        <v/>
      </c>
      <c r="O571" s="14" t="str">
        <f>IF('[1]P-GENERAL'!O571="","",'[1]P-GENERAL'!O571)</f>
        <v/>
      </c>
      <c r="P571" s="16" t="str">
        <f>IF('[1]P-GENERAL'!P571="","",'[1]P-GENERAL'!P571)</f>
        <v/>
      </c>
      <c r="Q571" t="str">
        <f>IF('[1]P-GENERAL'!Q571="","",'[1]P-GENERAL'!Q571)</f>
        <v/>
      </c>
      <c r="R571" s="14" t="str">
        <f>IF('[1]P-GENERAL'!R571="","",'[1]P-GENERAL'!R571)</f>
        <v/>
      </c>
      <c r="S571" s="16" t="str">
        <f>IF('[1]P-GENERAL'!S571="","",'[1]P-GENERAL'!S571)</f>
        <v/>
      </c>
      <c r="T571" s="16" t="str">
        <f>IF('[1]P-GENERAL'!T571="","",'[1]P-GENERAL'!T571)</f>
        <v/>
      </c>
      <c r="U571" s="17" t="str">
        <f>IF('[1]P-GENERAL'!U571="","",'[1]P-GENERAL'!U571)</f>
        <v/>
      </c>
      <c r="V571" s="14" t="str">
        <f>IF('[1]P-GENERAL'!V571="","",'[1]P-GENERAL'!V571)</f>
        <v/>
      </c>
      <c r="W571" s="16" t="str">
        <f>IF('[1]P-GENERAL'!W571="","",'[1]P-GENERAL'!W571)</f>
        <v/>
      </c>
      <c r="X571" s="14" t="str">
        <f>IF('[1]P-GENERAL'!X571="","",'[1]P-GENERAL'!X571)</f>
        <v/>
      </c>
      <c r="Y571" s="14" t="str">
        <f>IF('[1]P-GENERAL'!Y571="","",'[1]P-GENERAL'!Y571)</f>
        <v/>
      </c>
      <c r="Z571" s="14" t="str">
        <f>IF('[1]P-GENERAL'!Z571="","",'[1]P-GENERAL'!Z571)</f>
        <v/>
      </c>
      <c r="AA571" s="14" t="str">
        <f>IF('[1]P-GENERAL'!AA571="","",'[1]P-GENERAL'!AA571)</f>
        <v/>
      </c>
      <c r="AB571" s="8" t="str">
        <f>IF('[1]P-GENERAL'!AB571="","",'[1]P-GENERAL'!AB571)</f>
        <v/>
      </c>
      <c r="AC571" s="8" t="str">
        <f>IF('[1]P-GENERAL'!AC571="","",'[1]P-GENERAL'!AC571)</f>
        <v/>
      </c>
      <c r="AD571" t="str">
        <f>IF('[1]P-GENERAL'!AD571="","",'[1]P-GENERAL'!AD571)</f>
        <v/>
      </c>
      <c r="AE571" t="str">
        <f>IF('[1]P-GENERAL'!AE571="","",'[1]P-GENERAL'!AE571)</f>
        <v/>
      </c>
    </row>
    <row r="572" spans="1:31" ht="20.25" x14ac:dyDescent="0.3">
      <c r="A572" s="11" t="str">
        <f>IF('[1]P-GENERAL'!A572="","",'[1]P-GENERAL'!A572)</f>
        <v/>
      </c>
      <c r="B572" s="11" t="str">
        <f>IF('[1]P-GENERAL'!B572="","",'[1]P-GENERAL'!B572)</f>
        <v/>
      </c>
      <c r="C572" t="str">
        <f>IF('[1]P-GENERAL'!C572="","",'[1]P-GENERAL'!C572)</f>
        <v/>
      </c>
      <c r="D572" t="str">
        <f>IF('[1]P-GENERAL'!D572="","",'[1]P-GENERAL'!D572)</f>
        <v/>
      </c>
      <c r="E572" s="8" t="str">
        <f>IF('[1]P-GENERAL'!E572="","",'[1]P-GENERAL'!E572)</f>
        <v/>
      </c>
      <c r="F572" s="12" t="str">
        <f>IF('[1]P-GENERAL'!F572="","",'[1]P-GENERAL'!F572)</f>
        <v/>
      </c>
      <c r="G572" s="13" t="str">
        <f>IF('[1]P-GENERAL'!G572="","",'[1]P-GENERAL'!G572)</f>
        <v/>
      </c>
      <c r="H572" s="14" t="str">
        <f>IF('[1]P-GENERAL'!H572="","",'[1]P-GENERAL'!H572)</f>
        <v/>
      </c>
      <c r="I572" t="str">
        <f>IF('[1]P-GENERAL'!I572="","",'[1]P-GENERAL'!I572)</f>
        <v/>
      </c>
      <c r="J572" s="15" t="str">
        <f>IF('[1]P-GENERAL'!J572="","",'[1]P-GENERAL'!J572)</f>
        <v/>
      </c>
      <c r="K572" s="14" t="str">
        <f>IF('[1]P-GENERAL'!K572="","",'[1]P-GENERAL'!K572)</f>
        <v/>
      </c>
      <c r="L572" s="14" t="str">
        <f>IF('[1]P-GENERAL'!L572="","",'[1]P-GENERAL'!L572)</f>
        <v/>
      </c>
      <c r="M572" t="str">
        <f>IF('[1]P-GENERAL'!M572="","",'[1]P-GENERAL'!M572)</f>
        <v/>
      </c>
      <c r="N572" t="str">
        <f>IF('[1]P-GENERAL'!N572="","",'[1]P-GENERAL'!N572)</f>
        <v/>
      </c>
      <c r="O572" s="14" t="str">
        <f>IF('[1]P-GENERAL'!O572="","",'[1]P-GENERAL'!O572)</f>
        <v/>
      </c>
      <c r="P572" s="16" t="str">
        <f>IF('[1]P-GENERAL'!P572="","",'[1]P-GENERAL'!P572)</f>
        <v/>
      </c>
      <c r="Q572" t="str">
        <f>IF('[1]P-GENERAL'!Q572="","",'[1]P-GENERAL'!Q572)</f>
        <v/>
      </c>
      <c r="R572" s="14" t="str">
        <f>IF('[1]P-GENERAL'!R572="","",'[1]P-GENERAL'!R572)</f>
        <v/>
      </c>
      <c r="S572" s="16" t="str">
        <f>IF('[1]P-GENERAL'!S572="","",'[1]P-GENERAL'!S572)</f>
        <v/>
      </c>
      <c r="T572" s="16" t="str">
        <f>IF('[1]P-GENERAL'!T572="","",'[1]P-GENERAL'!T572)</f>
        <v/>
      </c>
      <c r="U572" s="17" t="str">
        <f>IF('[1]P-GENERAL'!U572="","",'[1]P-GENERAL'!U572)</f>
        <v/>
      </c>
      <c r="V572" s="14" t="str">
        <f>IF('[1]P-GENERAL'!V572="","",'[1]P-GENERAL'!V572)</f>
        <v/>
      </c>
      <c r="W572" s="16" t="str">
        <f>IF('[1]P-GENERAL'!W572="","",'[1]P-GENERAL'!W572)</f>
        <v/>
      </c>
      <c r="X572" s="14" t="str">
        <f>IF('[1]P-GENERAL'!X572="","",'[1]P-GENERAL'!X572)</f>
        <v/>
      </c>
      <c r="Y572" s="14" t="str">
        <f>IF('[1]P-GENERAL'!Y572="","",'[1]P-GENERAL'!Y572)</f>
        <v/>
      </c>
      <c r="Z572" s="14" t="str">
        <f>IF('[1]P-GENERAL'!Z572="","",'[1]P-GENERAL'!Z572)</f>
        <v/>
      </c>
      <c r="AA572" s="14" t="str">
        <f>IF('[1]P-GENERAL'!AA572="","",'[1]P-GENERAL'!AA572)</f>
        <v/>
      </c>
      <c r="AB572" s="8" t="str">
        <f>IF('[1]P-GENERAL'!AB572="","",'[1]P-GENERAL'!AB572)</f>
        <v/>
      </c>
      <c r="AC572" s="8" t="str">
        <f>IF('[1]P-GENERAL'!AC572="","",'[1]P-GENERAL'!AC572)</f>
        <v/>
      </c>
      <c r="AD572" t="str">
        <f>IF('[1]P-GENERAL'!AD572="","",'[1]P-GENERAL'!AD572)</f>
        <v/>
      </c>
      <c r="AE572" t="str">
        <f>IF('[1]P-GENERAL'!AE572="","",'[1]P-GENERAL'!AE572)</f>
        <v/>
      </c>
    </row>
    <row r="573" spans="1:31" ht="20.25" x14ac:dyDescent="0.3">
      <c r="A573" s="11" t="str">
        <f>IF('[1]P-GENERAL'!A573="","",'[1]P-GENERAL'!A573)</f>
        <v/>
      </c>
      <c r="B573" s="11" t="str">
        <f>IF('[1]P-GENERAL'!B573="","",'[1]P-GENERAL'!B573)</f>
        <v/>
      </c>
      <c r="C573" t="str">
        <f>IF('[1]P-GENERAL'!C573="","",'[1]P-GENERAL'!C573)</f>
        <v/>
      </c>
      <c r="D573" t="str">
        <f>IF('[1]P-GENERAL'!D573="","",'[1]P-GENERAL'!D573)</f>
        <v/>
      </c>
      <c r="E573" s="8" t="str">
        <f>IF('[1]P-GENERAL'!E573="","",'[1]P-GENERAL'!E573)</f>
        <v/>
      </c>
      <c r="F573" s="12" t="str">
        <f>IF('[1]P-GENERAL'!F573="","",'[1]P-GENERAL'!F573)</f>
        <v/>
      </c>
      <c r="G573" s="13" t="str">
        <f>IF('[1]P-GENERAL'!G573="","",'[1]P-GENERAL'!G573)</f>
        <v/>
      </c>
      <c r="H573" s="14" t="str">
        <f>IF('[1]P-GENERAL'!H573="","",'[1]P-GENERAL'!H573)</f>
        <v/>
      </c>
      <c r="I573" t="str">
        <f>IF('[1]P-GENERAL'!I573="","",'[1]P-GENERAL'!I573)</f>
        <v/>
      </c>
      <c r="J573" s="15" t="str">
        <f>IF('[1]P-GENERAL'!J573="","",'[1]P-GENERAL'!J573)</f>
        <v/>
      </c>
      <c r="K573" s="14" t="str">
        <f>IF('[1]P-GENERAL'!K573="","",'[1]P-GENERAL'!K573)</f>
        <v/>
      </c>
      <c r="L573" s="14" t="str">
        <f>IF('[1]P-GENERAL'!L573="","",'[1]P-GENERAL'!L573)</f>
        <v/>
      </c>
      <c r="M573" t="str">
        <f>IF('[1]P-GENERAL'!M573="","",'[1]P-GENERAL'!M573)</f>
        <v/>
      </c>
      <c r="N573" t="str">
        <f>IF('[1]P-GENERAL'!N573="","",'[1]P-GENERAL'!N573)</f>
        <v/>
      </c>
      <c r="O573" s="14" t="str">
        <f>IF('[1]P-GENERAL'!O573="","",'[1]P-GENERAL'!O573)</f>
        <v/>
      </c>
      <c r="P573" s="16" t="str">
        <f>IF('[1]P-GENERAL'!P573="","",'[1]P-GENERAL'!P573)</f>
        <v/>
      </c>
      <c r="Q573" t="str">
        <f>IF('[1]P-GENERAL'!Q573="","",'[1]P-GENERAL'!Q573)</f>
        <v/>
      </c>
      <c r="R573" s="14" t="str">
        <f>IF('[1]P-GENERAL'!R573="","",'[1]P-GENERAL'!R573)</f>
        <v/>
      </c>
      <c r="S573" s="16" t="str">
        <f>IF('[1]P-GENERAL'!S573="","",'[1]P-GENERAL'!S573)</f>
        <v/>
      </c>
      <c r="T573" s="16" t="str">
        <f>IF('[1]P-GENERAL'!T573="","",'[1]P-GENERAL'!T573)</f>
        <v/>
      </c>
      <c r="U573" s="17" t="str">
        <f>IF('[1]P-GENERAL'!U573="","",'[1]P-GENERAL'!U573)</f>
        <v/>
      </c>
      <c r="V573" s="14" t="str">
        <f>IF('[1]P-GENERAL'!V573="","",'[1]P-GENERAL'!V573)</f>
        <v/>
      </c>
      <c r="W573" s="16" t="str">
        <f>IF('[1]P-GENERAL'!W573="","",'[1]P-GENERAL'!W573)</f>
        <v/>
      </c>
      <c r="X573" s="14" t="str">
        <f>IF('[1]P-GENERAL'!X573="","",'[1]P-GENERAL'!X573)</f>
        <v/>
      </c>
      <c r="Y573" s="14" t="str">
        <f>IF('[1]P-GENERAL'!Y573="","",'[1]P-GENERAL'!Y573)</f>
        <v/>
      </c>
      <c r="Z573" s="14" t="str">
        <f>IF('[1]P-GENERAL'!Z573="","",'[1]P-GENERAL'!Z573)</f>
        <v/>
      </c>
      <c r="AA573" s="14" t="str">
        <f>IF('[1]P-GENERAL'!AA573="","",'[1]P-GENERAL'!AA573)</f>
        <v/>
      </c>
      <c r="AB573" s="8" t="str">
        <f>IF('[1]P-GENERAL'!AB573="","",'[1]P-GENERAL'!AB573)</f>
        <v/>
      </c>
      <c r="AC573" s="8" t="str">
        <f>IF('[1]P-GENERAL'!AC573="","",'[1]P-GENERAL'!AC573)</f>
        <v/>
      </c>
      <c r="AD573" t="str">
        <f>IF('[1]P-GENERAL'!AD573="","",'[1]P-GENERAL'!AD573)</f>
        <v/>
      </c>
      <c r="AE573" t="str">
        <f>IF('[1]P-GENERAL'!AE573="","",'[1]P-GENERAL'!AE573)</f>
        <v/>
      </c>
    </row>
    <row r="574" spans="1:31" ht="20.25" x14ac:dyDescent="0.3">
      <c r="A574" s="11" t="str">
        <f>IF('[1]P-GENERAL'!A574="","",'[1]P-GENERAL'!A574)</f>
        <v/>
      </c>
      <c r="B574" s="11" t="str">
        <f>IF('[1]P-GENERAL'!B574="","",'[1]P-GENERAL'!B574)</f>
        <v/>
      </c>
      <c r="C574" t="str">
        <f>IF('[1]P-GENERAL'!C574="","",'[1]P-GENERAL'!C574)</f>
        <v/>
      </c>
      <c r="D574" t="str">
        <f>IF('[1]P-GENERAL'!D574="","",'[1]P-GENERAL'!D574)</f>
        <v/>
      </c>
      <c r="E574" s="8" t="str">
        <f>IF('[1]P-GENERAL'!E574="","",'[1]P-GENERAL'!E574)</f>
        <v/>
      </c>
      <c r="F574" s="12" t="str">
        <f>IF('[1]P-GENERAL'!F574="","",'[1]P-GENERAL'!F574)</f>
        <v/>
      </c>
      <c r="G574" s="13" t="str">
        <f>IF('[1]P-GENERAL'!G574="","",'[1]P-GENERAL'!G574)</f>
        <v/>
      </c>
      <c r="H574" s="14" t="str">
        <f>IF('[1]P-GENERAL'!H574="","",'[1]P-GENERAL'!H574)</f>
        <v/>
      </c>
      <c r="I574" t="str">
        <f>IF('[1]P-GENERAL'!I574="","",'[1]P-GENERAL'!I574)</f>
        <v/>
      </c>
      <c r="J574" s="15" t="str">
        <f>IF('[1]P-GENERAL'!J574="","",'[1]P-GENERAL'!J574)</f>
        <v/>
      </c>
      <c r="K574" s="14" t="str">
        <f>IF('[1]P-GENERAL'!K574="","",'[1]P-GENERAL'!K574)</f>
        <v/>
      </c>
      <c r="L574" s="14" t="str">
        <f>IF('[1]P-GENERAL'!L574="","",'[1]P-GENERAL'!L574)</f>
        <v/>
      </c>
      <c r="M574" t="str">
        <f>IF('[1]P-GENERAL'!M574="","",'[1]P-GENERAL'!M574)</f>
        <v/>
      </c>
      <c r="N574" t="str">
        <f>IF('[1]P-GENERAL'!N574="","",'[1]P-GENERAL'!N574)</f>
        <v/>
      </c>
      <c r="O574" s="14" t="str">
        <f>IF('[1]P-GENERAL'!O574="","",'[1]P-GENERAL'!O574)</f>
        <v/>
      </c>
      <c r="P574" s="16" t="str">
        <f>IF('[1]P-GENERAL'!P574="","",'[1]P-GENERAL'!P574)</f>
        <v/>
      </c>
      <c r="Q574" t="str">
        <f>IF('[1]P-GENERAL'!Q574="","",'[1]P-GENERAL'!Q574)</f>
        <v/>
      </c>
      <c r="R574" s="14" t="str">
        <f>IF('[1]P-GENERAL'!R574="","",'[1]P-GENERAL'!R574)</f>
        <v/>
      </c>
      <c r="S574" s="16" t="str">
        <f>IF('[1]P-GENERAL'!S574="","",'[1]P-GENERAL'!S574)</f>
        <v/>
      </c>
      <c r="T574" s="16" t="str">
        <f>IF('[1]P-GENERAL'!T574="","",'[1]P-GENERAL'!T574)</f>
        <v/>
      </c>
      <c r="U574" s="17" t="str">
        <f>IF('[1]P-GENERAL'!U574="","",'[1]P-GENERAL'!U574)</f>
        <v/>
      </c>
      <c r="V574" s="14" t="str">
        <f>IF('[1]P-GENERAL'!V574="","",'[1]P-GENERAL'!V574)</f>
        <v/>
      </c>
      <c r="W574" s="16" t="str">
        <f>IF('[1]P-GENERAL'!W574="","",'[1]P-GENERAL'!W574)</f>
        <v/>
      </c>
      <c r="X574" s="14" t="str">
        <f>IF('[1]P-GENERAL'!X574="","",'[1]P-GENERAL'!X574)</f>
        <v/>
      </c>
      <c r="Y574" s="14" t="str">
        <f>IF('[1]P-GENERAL'!Y574="","",'[1]P-GENERAL'!Y574)</f>
        <v/>
      </c>
      <c r="Z574" s="14" t="str">
        <f>IF('[1]P-GENERAL'!Z574="","",'[1]P-GENERAL'!Z574)</f>
        <v/>
      </c>
      <c r="AA574" s="14" t="str">
        <f>IF('[1]P-GENERAL'!AA574="","",'[1]P-GENERAL'!AA574)</f>
        <v/>
      </c>
      <c r="AB574" s="8" t="str">
        <f>IF('[1]P-GENERAL'!AB574="","",'[1]P-GENERAL'!AB574)</f>
        <v/>
      </c>
      <c r="AC574" s="8" t="str">
        <f>IF('[1]P-GENERAL'!AC574="","",'[1]P-GENERAL'!AC574)</f>
        <v/>
      </c>
      <c r="AD574" t="str">
        <f>IF('[1]P-GENERAL'!AD574="","",'[1]P-GENERAL'!AD574)</f>
        <v/>
      </c>
      <c r="AE574" t="str">
        <f>IF('[1]P-GENERAL'!AE574="","",'[1]P-GENERAL'!AE574)</f>
        <v/>
      </c>
    </row>
    <row r="575" spans="1:31" ht="20.25" x14ac:dyDescent="0.3">
      <c r="A575" s="11" t="str">
        <f>IF('[1]P-GENERAL'!A575="","",'[1]P-GENERAL'!A575)</f>
        <v/>
      </c>
      <c r="B575" s="11" t="str">
        <f>IF('[1]P-GENERAL'!B575="","",'[1]P-GENERAL'!B575)</f>
        <v/>
      </c>
      <c r="C575" t="str">
        <f>IF('[1]P-GENERAL'!C575="","",'[1]P-GENERAL'!C575)</f>
        <v/>
      </c>
      <c r="D575" t="str">
        <f>IF('[1]P-GENERAL'!D575="","",'[1]P-GENERAL'!D575)</f>
        <v/>
      </c>
      <c r="E575" s="8" t="str">
        <f>IF('[1]P-GENERAL'!E575="","",'[1]P-GENERAL'!E575)</f>
        <v/>
      </c>
      <c r="F575" s="12" t="str">
        <f>IF('[1]P-GENERAL'!F575="","",'[1]P-GENERAL'!F575)</f>
        <v/>
      </c>
      <c r="G575" s="13" t="str">
        <f>IF('[1]P-GENERAL'!G575="","",'[1]P-GENERAL'!G575)</f>
        <v/>
      </c>
      <c r="H575" s="14" t="str">
        <f>IF('[1]P-GENERAL'!H575="","",'[1]P-GENERAL'!H575)</f>
        <v/>
      </c>
      <c r="I575" t="str">
        <f>IF('[1]P-GENERAL'!I575="","",'[1]P-GENERAL'!I575)</f>
        <v/>
      </c>
      <c r="J575" s="15" t="str">
        <f>IF('[1]P-GENERAL'!J575="","",'[1]P-GENERAL'!J575)</f>
        <v/>
      </c>
      <c r="K575" s="14" t="str">
        <f>IF('[1]P-GENERAL'!K575="","",'[1]P-GENERAL'!K575)</f>
        <v/>
      </c>
      <c r="L575" s="14" t="str">
        <f>IF('[1]P-GENERAL'!L575="","",'[1]P-GENERAL'!L575)</f>
        <v/>
      </c>
      <c r="M575" t="str">
        <f>IF('[1]P-GENERAL'!M575="","",'[1]P-GENERAL'!M575)</f>
        <v/>
      </c>
      <c r="N575" t="str">
        <f>IF('[1]P-GENERAL'!N575="","",'[1]P-GENERAL'!N575)</f>
        <v/>
      </c>
      <c r="O575" s="14" t="str">
        <f>IF('[1]P-GENERAL'!O575="","",'[1]P-GENERAL'!O575)</f>
        <v/>
      </c>
      <c r="P575" s="16" t="str">
        <f>IF('[1]P-GENERAL'!P575="","",'[1]P-GENERAL'!P575)</f>
        <v/>
      </c>
      <c r="Q575" t="str">
        <f>IF('[1]P-GENERAL'!Q575="","",'[1]P-GENERAL'!Q575)</f>
        <v/>
      </c>
      <c r="R575" s="14" t="str">
        <f>IF('[1]P-GENERAL'!R575="","",'[1]P-GENERAL'!R575)</f>
        <v/>
      </c>
      <c r="S575" s="16" t="str">
        <f>IF('[1]P-GENERAL'!S575="","",'[1]P-GENERAL'!S575)</f>
        <v/>
      </c>
      <c r="T575" s="16" t="str">
        <f>IF('[1]P-GENERAL'!T575="","",'[1]P-GENERAL'!T575)</f>
        <v/>
      </c>
      <c r="U575" s="17" t="str">
        <f>IF('[1]P-GENERAL'!U575="","",'[1]P-GENERAL'!U575)</f>
        <v/>
      </c>
      <c r="V575" s="14" t="str">
        <f>IF('[1]P-GENERAL'!V575="","",'[1]P-GENERAL'!V575)</f>
        <v/>
      </c>
      <c r="W575" s="16" t="str">
        <f>IF('[1]P-GENERAL'!W575="","",'[1]P-GENERAL'!W575)</f>
        <v/>
      </c>
      <c r="X575" s="14" t="str">
        <f>IF('[1]P-GENERAL'!X575="","",'[1]P-GENERAL'!X575)</f>
        <v/>
      </c>
      <c r="Y575" s="14" t="str">
        <f>IF('[1]P-GENERAL'!Y575="","",'[1]P-GENERAL'!Y575)</f>
        <v/>
      </c>
      <c r="Z575" s="14" t="str">
        <f>IF('[1]P-GENERAL'!Z575="","",'[1]P-GENERAL'!Z575)</f>
        <v/>
      </c>
      <c r="AA575" s="14" t="str">
        <f>IF('[1]P-GENERAL'!AA575="","",'[1]P-GENERAL'!AA575)</f>
        <v/>
      </c>
      <c r="AB575" s="8" t="str">
        <f>IF('[1]P-GENERAL'!AB575="","",'[1]P-GENERAL'!AB575)</f>
        <v/>
      </c>
      <c r="AC575" s="8" t="str">
        <f>IF('[1]P-GENERAL'!AC575="","",'[1]P-GENERAL'!AC575)</f>
        <v/>
      </c>
      <c r="AD575" t="str">
        <f>IF('[1]P-GENERAL'!AD575="","",'[1]P-GENERAL'!AD575)</f>
        <v/>
      </c>
      <c r="AE575" t="str">
        <f>IF('[1]P-GENERAL'!AE575="","",'[1]P-GENERAL'!AE575)</f>
        <v/>
      </c>
    </row>
    <row r="576" spans="1:31" ht="20.25" x14ac:dyDescent="0.3">
      <c r="A576" s="11" t="str">
        <f>IF('[1]P-GENERAL'!A576="","",'[1]P-GENERAL'!A576)</f>
        <v/>
      </c>
      <c r="B576" s="11" t="str">
        <f>IF('[1]P-GENERAL'!B576="","",'[1]P-GENERAL'!B576)</f>
        <v/>
      </c>
      <c r="C576" t="str">
        <f>IF('[1]P-GENERAL'!C576="","",'[1]P-GENERAL'!C576)</f>
        <v/>
      </c>
      <c r="D576" t="str">
        <f>IF('[1]P-GENERAL'!D576="","",'[1]P-GENERAL'!D576)</f>
        <v/>
      </c>
      <c r="E576" s="8" t="str">
        <f>IF('[1]P-GENERAL'!E576="","",'[1]P-GENERAL'!E576)</f>
        <v/>
      </c>
      <c r="F576" s="12" t="str">
        <f>IF('[1]P-GENERAL'!F576="","",'[1]P-GENERAL'!F576)</f>
        <v/>
      </c>
      <c r="G576" s="13" t="str">
        <f>IF('[1]P-GENERAL'!G576="","",'[1]P-GENERAL'!G576)</f>
        <v/>
      </c>
      <c r="H576" s="14" t="str">
        <f>IF('[1]P-GENERAL'!H576="","",'[1]P-GENERAL'!H576)</f>
        <v/>
      </c>
      <c r="I576" t="str">
        <f>IF('[1]P-GENERAL'!I576="","",'[1]P-GENERAL'!I576)</f>
        <v/>
      </c>
      <c r="J576" s="15" t="str">
        <f>IF('[1]P-GENERAL'!J576="","",'[1]P-GENERAL'!J576)</f>
        <v/>
      </c>
      <c r="K576" s="14" t="str">
        <f>IF('[1]P-GENERAL'!K576="","",'[1]P-GENERAL'!K576)</f>
        <v/>
      </c>
      <c r="L576" s="14" t="str">
        <f>IF('[1]P-GENERAL'!L576="","",'[1]P-GENERAL'!L576)</f>
        <v/>
      </c>
      <c r="M576" t="str">
        <f>IF('[1]P-GENERAL'!M576="","",'[1]P-GENERAL'!M576)</f>
        <v/>
      </c>
      <c r="N576" t="str">
        <f>IF('[1]P-GENERAL'!N576="","",'[1]P-GENERAL'!N576)</f>
        <v/>
      </c>
      <c r="O576" s="14" t="str">
        <f>IF('[1]P-GENERAL'!O576="","",'[1]P-GENERAL'!O576)</f>
        <v/>
      </c>
      <c r="P576" s="16" t="str">
        <f>IF('[1]P-GENERAL'!P576="","",'[1]P-GENERAL'!P576)</f>
        <v/>
      </c>
      <c r="Q576" t="str">
        <f>IF('[1]P-GENERAL'!Q576="","",'[1]P-GENERAL'!Q576)</f>
        <v/>
      </c>
      <c r="R576" s="14" t="str">
        <f>IF('[1]P-GENERAL'!R576="","",'[1]P-GENERAL'!R576)</f>
        <v/>
      </c>
      <c r="S576" s="16" t="str">
        <f>IF('[1]P-GENERAL'!S576="","",'[1]P-GENERAL'!S576)</f>
        <v/>
      </c>
      <c r="T576" s="16" t="str">
        <f>IF('[1]P-GENERAL'!T576="","",'[1]P-GENERAL'!T576)</f>
        <v/>
      </c>
      <c r="U576" s="17" t="str">
        <f>IF('[1]P-GENERAL'!U576="","",'[1]P-GENERAL'!U576)</f>
        <v/>
      </c>
      <c r="V576" s="14" t="str">
        <f>IF('[1]P-GENERAL'!V576="","",'[1]P-GENERAL'!V576)</f>
        <v/>
      </c>
      <c r="W576" s="16" t="str">
        <f>IF('[1]P-GENERAL'!W576="","",'[1]P-GENERAL'!W576)</f>
        <v/>
      </c>
      <c r="X576" s="14" t="str">
        <f>IF('[1]P-GENERAL'!X576="","",'[1]P-GENERAL'!X576)</f>
        <v/>
      </c>
      <c r="Y576" s="14" t="str">
        <f>IF('[1]P-GENERAL'!Y576="","",'[1]P-GENERAL'!Y576)</f>
        <v/>
      </c>
      <c r="Z576" s="14" t="str">
        <f>IF('[1]P-GENERAL'!Z576="","",'[1]P-GENERAL'!Z576)</f>
        <v/>
      </c>
      <c r="AA576" s="14" t="str">
        <f>IF('[1]P-GENERAL'!AA576="","",'[1]P-GENERAL'!AA576)</f>
        <v/>
      </c>
      <c r="AB576" s="8" t="str">
        <f>IF('[1]P-GENERAL'!AB576="","",'[1]P-GENERAL'!AB576)</f>
        <v/>
      </c>
      <c r="AC576" s="8" t="str">
        <f>IF('[1]P-GENERAL'!AC576="","",'[1]P-GENERAL'!AC576)</f>
        <v/>
      </c>
      <c r="AD576" t="str">
        <f>IF('[1]P-GENERAL'!AD576="","",'[1]P-GENERAL'!AD576)</f>
        <v/>
      </c>
      <c r="AE576" t="str">
        <f>IF('[1]P-GENERAL'!AE576="","",'[1]P-GENERAL'!AE576)</f>
        <v/>
      </c>
    </row>
    <row r="577" spans="1:31" ht="20.25" x14ac:dyDescent="0.3">
      <c r="A577" s="11" t="str">
        <f>IF('[1]P-GENERAL'!A577="","",'[1]P-GENERAL'!A577)</f>
        <v/>
      </c>
      <c r="B577" s="11" t="str">
        <f>IF('[1]P-GENERAL'!B577="","",'[1]P-GENERAL'!B577)</f>
        <v/>
      </c>
      <c r="C577" t="str">
        <f>IF('[1]P-GENERAL'!C577="","",'[1]P-GENERAL'!C577)</f>
        <v/>
      </c>
      <c r="D577" t="str">
        <f>IF('[1]P-GENERAL'!D577="","",'[1]P-GENERAL'!D577)</f>
        <v/>
      </c>
      <c r="E577" s="8" t="str">
        <f>IF('[1]P-GENERAL'!E577="","",'[1]P-GENERAL'!E577)</f>
        <v/>
      </c>
      <c r="F577" s="12" t="str">
        <f>IF('[1]P-GENERAL'!F577="","",'[1]P-GENERAL'!F577)</f>
        <v/>
      </c>
      <c r="G577" s="13" t="str">
        <f>IF('[1]P-GENERAL'!G577="","",'[1]P-GENERAL'!G577)</f>
        <v/>
      </c>
      <c r="H577" s="14" t="str">
        <f>IF('[1]P-GENERAL'!H577="","",'[1]P-GENERAL'!H577)</f>
        <v/>
      </c>
      <c r="I577" t="str">
        <f>IF('[1]P-GENERAL'!I577="","",'[1]P-GENERAL'!I577)</f>
        <v/>
      </c>
      <c r="J577" s="15" t="str">
        <f>IF('[1]P-GENERAL'!J577="","",'[1]P-GENERAL'!J577)</f>
        <v/>
      </c>
      <c r="K577" s="14" t="str">
        <f>IF('[1]P-GENERAL'!K577="","",'[1]P-GENERAL'!K577)</f>
        <v/>
      </c>
      <c r="L577" s="14" t="str">
        <f>IF('[1]P-GENERAL'!L577="","",'[1]P-GENERAL'!L577)</f>
        <v/>
      </c>
      <c r="M577" t="str">
        <f>IF('[1]P-GENERAL'!M577="","",'[1]P-GENERAL'!M577)</f>
        <v/>
      </c>
      <c r="N577" t="str">
        <f>IF('[1]P-GENERAL'!N577="","",'[1]P-GENERAL'!N577)</f>
        <v/>
      </c>
      <c r="O577" s="14" t="str">
        <f>IF('[1]P-GENERAL'!O577="","",'[1]P-GENERAL'!O577)</f>
        <v/>
      </c>
      <c r="P577" s="16" t="str">
        <f>IF('[1]P-GENERAL'!P577="","",'[1]P-GENERAL'!P577)</f>
        <v/>
      </c>
      <c r="Q577" t="str">
        <f>IF('[1]P-GENERAL'!Q577="","",'[1]P-GENERAL'!Q577)</f>
        <v/>
      </c>
      <c r="R577" s="14" t="str">
        <f>IF('[1]P-GENERAL'!R577="","",'[1]P-GENERAL'!R577)</f>
        <v/>
      </c>
      <c r="S577" s="16" t="str">
        <f>IF('[1]P-GENERAL'!S577="","",'[1]P-GENERAL'!S577)</f>
        <v/>
      </c>
      <c r="T577" s="16" t="str">
        <f>IF('[1]P-GENERAL'!T577="","",'[1]P-GENERAL'!T577)</f>
        <v/>
      </c>
      <c r="U577" s="17" t="str">
        <f>IF('[1]P-GENERAL'!U577="","",'[1]P-GENERAL'!U577)</f>
        <v/>
      </c>
      <c r="V577" s="14" t="str">
        <f>IF('[1]P-GENERAL'!V577="","",'[1]P-GENERAL'!V577)</f>
        <v/>
      </c>
      <c r="W577" s="16" t="str">
        <f>IF('[1]P-GENERAL'!W577="","",'[1]P-GENERAL'!W577)</f>
        <v/>
      </c>
      <c r="X577" s="14" t="str">
        <f>IF('[1]P-GENERAL'!X577="","",'[1]P-GENERAL'!X577)</f>
        <v/>
      </c>
      <c r="Y577" s="14" t="str">
        <f>IF('[1]P-GENERAL'!Y577="","",'[1]P-GENERAL'!Y577)</f>
        <v/>
      </c>
      <c r="Z577" s="14" t="str">
        <f>IF('[1]P-GENERAL'!Z577="","",'[1]P-GENERAL'!Z577)</f>
        <v/>
      </c>
      <c r="AA577" s="14" t="str">
        <f>IF('[1]P-GENERAL'!AA577="","",'[1]P-GENERAL'!AA577)</f>
        <v/>
      </c>
      <c r="AB577" s="8" t="str">
        <f>IF('[1]P-GENERAL'!AB577="","",'[1]P-GENERAL'!AB577)</f>
        <v/>
      </c>
      <c r="AC577" s="8" t="str">
        <f>IF('[1]P-GENERAL'!AC577="","",'[1]P-GENERAL'!AC577)</f>
        <v/>
      </c>
      <c r="AD577" t="str">
        <f>IF('[1]P-GENERAL'!AD577="","",'[1]P-GENERAL'!AD577)</f>
        <v/>
      </c>
      <c r="AE577" t="str">
        <f>IF('[1]P-GENERAL'!AE577="","",'[1]P-GENERAL'!AE577)</f>
        <v/>
      </c>
    </row>
    <row r="578" spans="1:31" ht="20.25" x14ac:dyDescent="0.3">
      <c r="A578" s="11" t="str">
        <f>IF('[1]P-GENERAL'!A578="","",'[1]P-GENERAL'!A578)</f>
        <v/>
      </c>
      <c r="B578" s="11" t="str">
        <f>IF('[1]P-GENERAL'!B578="","",'[1]P-GENERAL'!B578)</f>
        <v/>
      </c>
      <c r="C578" t="str">
        <f>IF('[1]P-GENERAL'!C578="","",'[1]P-GENERAL'!C578)</f>
        <v/>
      </c>
      <c r="D578" t="str">
        <f>IF('[1]P-GENERAL'!D578="","",'[1]P-GENERAL'!D578)</f>
        <v/>
      </c>
      <c r="E578" s="8" t="str">
        <f>IF('[1]P-GENERAL'!E578="","",'[1]P-GENERAL'!E578)</f>
        <v/>
      </c>
      <c r="F578" s="12" t="str">
        <f>IF('[1]P-GENERAL'!F578="","",'[1]P-GENERAL'!F578)</f>
        <v/>
      </c>
      <c r="G578" s="13" t="str">
        <f>IF('[1]P-GENERAL'!G578="","",'[1]P-GENERAL'!G578)</f>
        <v/>
      </c>
      <c r="H578" s="14" t="str">
        <f>IF('[1]P-GENERAL'!H578="","",'[1]P-GENERAL'!H578)</f>
        <v/>
      </c>
      <c r="I578" t="str">
        <f>IF('[1]P-GENERAL'!I578="","",'[1]P-GENERAL'!I578)</f>
        <v/>
      </c>
      <c r="J578" s="15" t="str">
        <f>IF('[1]P-GENERAL'!J578="","",'[1]P-GENERAL'!J578)</f>
        <v/>
      </c>
      <c r="K578" s="14" t="str">
        <f>IF('[1]P-GENERAL'!K578="","",'[1]P-GENERAL'!K578)</f>
        <v/>
      </c>
      <c r="L578" s="14" t="str">
        <f>IF('[1]P-GENERAL'!L578="","",'[1]P-GENERAL'!L578)</f>
        <v/>
      </c>
      <c r="M578" t="str">
        <f>IF('[1]P-GENERAL'!M578="","",'[1]P-GENERAL'!M578)</f>
        <v/>
      </c>
      <c r="N578" t="str">
        <f>IF('[1]P-GENERAL'!N578="","",'[1]P-GENERAL'!N578)</f>
        <v/>
      </c>
      <c r="O578" s="14" t="str">
        <f>IF('[1]P-GENERAL'!O578="","",'[1]P-GENERAL'!O578)</f>
        <v/>
      </c>
      <c r="P578" s="16" t="str">
        <f>IF('[1]P-GENERAL'!P578="","",'[1]P-GENERAL'!P578)</f>
        <v/>
      </c>
      <c r="Q578" t="str">
        <f>IF('[1]P-GENERAL'!Q578="","",'[1]P-GENERAL'!Q578)</f>
        <v/>
      </c>
      <c r="R578" s="14" t="str">
        <f>IF('[1]P-GENERAL'!R578="","",'[1]P-GENERAL'!R578)</f>
        <v/>
      </c>
      <c r="S578" s="16" t="str">
        <f>IF('[1]P-GENERAL'!S578="","",'[1]P-GENERAL'!S578)</f>
        <v/>
      </c>
      <c r="T578" s="16" t="str">
        <f>IF('[1]P-GENERAL'!T578="","",'[1]P-GENERAL'!T578)</f>
        <v/>
      </c>
      <c r="U578" s="17" t="str">
        <f>IF('[1]P-GENERAL'!U578="","",'[1]P-GENERAL'!U578)</f>
        <v/>
      </c>
      <c r="V578" s="14" t="str">
        <f>IF('[1]P-GENERAL'!V578="","",'[1]P-GENERAL'!V578)</f>
        <v/>
      </c>
      <c r="W578" s="16" t="str">
        <f>IF('[1]P-GENERAL'!W578="","",'[1]P-GENERAL'!W578)</f>
        <v/>
      </c>
      <c r="X578" s="14" t="str">
        <f>IF('[1]P-GENERAL'!X578="","",'[1]P-GENERAL'!X578)</f>
        <v/>
      </c>
      <c r="Y578" s="14" t="str">
        <f>IF('[1]P-GENERAL'!Y578="","",'[1]P-GENERAL'!Y578)</f>
        <v/>
      </c>
      <c r="Z578" s="14" t="str">
        <f>IF('[1]P-GENERAL'!Z578="","",'[1]P-GENERAL'!Z578)</f>
        <v/>
      </c>
      <c r="AA578" s="14" t="str">
        <f>IF('[1]P-GENERAL'!AA578="","",'[1]P-GENERAL'!AA578)</f>
        <v/>
      </c>
      <c r="AB578" s="8" t="str">
        <f>IF('[1]P-GENERAL'!AB578="","",'[1]P-GENERAL'!AB578)</f>
        <v/>
      </c>
      <c r="AC578" s="8" t="str">
        <f>IF('[1]P-GENERAL'!AC578="","",'[1]P-GENERAL'!AC578)</f>
        <v/>
      </c>
      <c r="AD578" t="str">
        <f>IF('[1]P-GENERAL'!AD578="","",'[1]P-GENERAL'!AD578)</f>
        <v/>
      </c>
      <c r="AE578" t="str">
        <f>IF('[1]P-GENERAL'!AE578="","",'[1]P-GENERAL'!AE578)</f>
        <v/>
      </c>
    </row>
    <row r="579" spans="1:31" ht="20.25" x14ac:dyDescent="0.3">
      <c r="A579" s="11" t="str">
        <f>IF('[1]P-GENERAL'!A579="","",'[1]P-GENERAL'!A579)</f>
        <v/>
      </c>
      <c r="B579" s="11" t="str">
        <f>IF('[1]P-GENERAL'!B579="","",'[1]P-GENERAL'!B579)</f>
        <v/>
      </c>
      <c r="C579" t="str">
        <f>IF('[1]P-GENERAL'!C579="","",'[1]P-GENERAL'!C579)</f>
        <v/>
      </c>
      <c r="D579" t="str">
        <f>IF('[1]P-GENERAL'!D579="","",'[1]P-GENERAL'!D579)</f>
        <v/>
      </c>
      <c r="E579" s="8" t="str">
        <f>IF('[1]P-GENERAL'!E579="","",'[1]P-GENERAL'!E579)</f>
        <v/>
      </c>
      <c r="F579" s="12" t="str">
        <f>IF('[1]P-GENERAL'!F579="","",'[1]P-GENERAL'!F579)</f>
        <v/>
      </c>
      <c r="G579" s="13" t="str">
        <f>IF('[1]P-GENERAL'!G579="","",'[1]P-GENERAL'!G579)</f>
        <v/>
      </c>
      <c r="H579" s="14" t="str">
        <f>IF('[1]P-GENERAL'!H579="","",'[1]P-GENERAL'!H579)</f>
        <v/>
      </c>
      <c r="I579" t="str">
        <f>IF('[1]P-GENERAL'!I579="","",'[1]P-GENERAL'!I579)</f>
        <v/>
      </c>
      <c r="J579" s="15" t="str">
        <f>IF('[1]P-GENERAL'!J579="","",'[1]P-GENERAL'!J579)</f>
        <v/>
      </c>
      <c r="K579" s="14" t="str">
        <f>IF('[1]P-GENERAL'!K579="","",'[1]P-GENERAL'!K579)</f>
        <v/>
      </c>
      <c r="L579" s="14" t="str">
        <f>IF('[1]P-GENERAL'!L579="","",'[1]P-GENERAL'!L579)</f>
        <v/>
      </c>
      <c r="M579" t="str">
        <f>IF('[1]P-GENERAL'!M579="","",'[1]P-GENERAL'!M579)</f>
        <v/>
      </c>
      <c r="N579" t="str">
        <f>IF('[1]P-GENERAL'!N579="","",'[1]P-GENERAL'!N579)</f>
        <v/>
      </c>
      <c r="O579" s="14" t="str">
        <f>IF('[1]P-GENERAL'!O579="","",'[1]P-GENERAL'!O579)</f>
        <v/>
      </c>
      <c r="P579" s="16" t="str">
        <f>IF('[1]P-GENERAL'!P579="","",'[1]P-GENERAL'!P579)</f>
        <v/>
      </c>
      <c r="Q579" t="str">
        <f>IF('[1]P-GENERAL'!Q579="","",'[1]P-GENERAL'!Q579)</f>
        <v/>
      </c>
      <c r="R579" s="14" t="str">
        <f>IF('[1]P-GENERAL'!R579="","",'[1]P-GENERAL'!R579)</f>
        <v/>
      </c>
      <c r="S579" s="16" t="str">
        <f>IF('[1]P-GENERAL'!S579="","",'[1]P-GENERAL'!S579)</f>
        <v/>
      </c>
      <c r="T579" s="16" t="str">
        <f>IF('[1]P-GENERAL'!T579="","",'[1]P-GENERAL'!T579)</f>
        <v/>
      </c>
      <c r="U579" s="17" t="str">
        <f>IF('[1]P-GENERAL'!U579="","",'[1]P-GENERAL'!U579)</f>
        <v/>
      </c>
      <c r="V579" s="14" t="str">
        <f>IF('[1]P-GENERAL'!V579="","",'[1]P-GENERAL'!V579)</f>
        <v/>
      </c>
      <c r="W579" s="16" t="str">
        <f>IF('[1]P-GENERAL'!W579="","",'[1]P-GENERAL'!W579)</f>
        <v/>
      </c>
      <c r="X579" s="14" t="str">
        <f>IF('[1]P-GENERAL'!X579="","",'[1]P-GENERAL'!X579)</f>
        <v/>
      </c>
      <c r="Y579" s="14" t="str">
        <f>IF('[1]P-GENERAL'!Y579="","",'[1]P-GENERAL'!Y579)</f>
        <v/>
      </c>
      <c r="Z579" s="14" t="str">
        <f>IF('[1]P-GENERAL'!Z579="","",'[1]P-GENERAL'!Z579)</f>
        <v/>
      </c>
      <c r="AA579" s="14" t="str">
        <f>IF('[1]P-GENERAL'!AA579="","",'[1]P-GENERAL'!AA579)</f>
        <v/>
      </c>
      <c r="AB579" s="8" t="str">
        <f>IF('[1]P-GENERAL'!AB579="","",'[1]P-GENERAL'!AB579)</f>
        <v/>
      </c>
      <c r="AC579" s="8" t="str">
        <f>IF('[1]P-GENERAL'!AC579="","",'[1]P-GENERAL'!AC579)</f>
        <v/>
      </c>
      <c r="AD579" t="str">
        <f>IF('[1]P-GENERAL'!AD579="","",'[1]P-GENERAL'!AD579)</f>
        <v/>
      </c>
      <c r="AE579" t="str">
        <f>IF('[1]P-GENERAL'!AE579="","",'[1]P-GENERAL'!AE579)</f>
        <v/>
      </c>
    </row>
    <row r="580" spans="1:31" ht="20.25" x14ac:dyDescent="0.3">
      <c r="A580" s="11" t="str">
        <f>IF('[1]P-GENERAL'!A580="","",'[1]P-GENERAL'!A580)</f>
        <v/>
      </c>
      <c r="B580" s="11" t="str">
        <f>IF('[1]P-GENERAL'!B580="","",'[1]P-GENERAL'!B580)</f>
        <v/>
      </c>
      <c r="C580" t="str">
        <f>IF('[1]P-GENERAL'!C580="","",'[1]P-GENERAL'!C580)</f>
        <v/>
      </c>
      <c r="D580" t="str">
        <f>IF('[1]P-GENERAL'!D580="","",'[1]P-GENERAL'!D580)</f>
        <v/>
      </c>
      <c r="E580" s="8" t="str">
        <f>IF('[1]P-GENERAL'!E580="","",'[1]P-GENERAL'!E580)</f>
        <v/>
      </c>
      <c r="F580" s="12" t="str">
        <f>IF('[1]P-GENERAL'!F580="","",'[1]P-GENERAL'!F580)</f>
        <v/>
      </c>
      <c r="G580" s="13" t="str">
        <f>IF('[1]P-GENERAL'!G580="","",'[1]P-GENERAL'!G580)</f>
        <v/>
      </c>
      <c r="H580" s="14" t="str">
        <f>IF('[1]P-GENERAL'!H580="","",'[1]P-GENERAL'!H580)</f>
        <v/>
      </c>
      <c r="I580" t="str">
        <f>IF('[1]P-GENERAL'!I580="","",'[1]P-GENERAL'!I580)</f>
        <v/>
      </c>
      <c r="J580" s="15" t="str">
        <f>IF('[1]P-GENERAL'!J580="","",'[1]P-GENERAL'!J580)</f>
        <v/>
      </c>
      <c r="K580" s="14" t="str">
        <f>IF('[1]P-GENERAL'!K580="","",'[1]P-GENERAL'!K580)</f>
        <v/>
      </c>
      <c r="L580" s="14" t="str">
        <f>IF('[1]P-GENERAL'!L580="","",'[1]P-GENERAL'!L580)</f>
        <v/>
      </c>
      <c r="M580" t="str">
        <f>IF('[1]P-GENERAL'!M580="","",'[1]P-GENERAL'!M580)</f>
        <v/>
      </c>
      <c r="N580" t="str">
        <f>IF('[1]P-GENERAL'!N580="","",'[1]P-GENERAL'!N580)</f>
        <v/>
      </c>
      <c r="O580" s="14" t="str">
        <f>IF('[1]P-GENERAL'!O580="","",'[1]P-GENERAL'!O580)</f>
        <v/>
      </c>
      <c r="P580" s="16" t="str">
        <f>IF('[1]P-GENERAL'!P580="","",'[1]P-GENERAL'!P580)</f>
        <v/>
      </c>
      <c r="Q580" t="str">
        <f>IF('[1]P-GENERAL'!Q580="","",'[1]P-GENERAL'!Q580)</f>
        <v/>
      </c>
      <c r="R580" s="14" t="str">
        <f>IF('[1]P-GENERAL'!R580="","",'[1]P-GENERAL'!R580)</f>
        <v/>
      </c>
      <c r="S580" s="16" t="str">
        <f>IF('[1]P-GENERAL'!S580="","",'[1]P-GENERAL'!S580)</f>
        <v/>
      </c>
      <c r="T580" s="16" t="str">
        <f>IF('[1]P-GENERAL'!T580="","",'[1]P-GENERAL'!T580)</f>
        <v/>
      </c>
      <c r="U580" s="17" t="str">
        <f>IF('[1]P-GENERAL'!U580="","",'[1]P-GENERAL'!U580)</f>
        <v/>
      </c>
      <c r="V580" s="14" t="str">
        <f>IF('[1]P-GENERAL'!V580="","",'[1]P-GENERAL'!V580)</f>
        <v/>
      </c>
      <c r="W580" s="16" t="str">
        <f>IF('[1]P-GENERAL'!W580="","",'[1]P-GENERAL'!W580)</f>
        <v/>
      </c>
      <c r="X580" s="14" t="str">
        <f>IF('[1]P-GENERAL'!X580="","",'[1]P-GENERAL'!X580)</f>
        <v/>
      </c>
      <c r="Y580" s="14" t="str">
        <f>IF('[1]P-GENERAL'!Y580="","",'[1]P-GENERAL'!Y580)</f>
        <v/>
      </c>
      <c r="Z580" s="14" t="str">
        <f>IF('[1]P-GENERAL'!Z580="","",'[1]P-GENERAL'!Z580)</f>
        <v/>
      </c>
      <c r="AA580" s="14" t="str">
        <f>IF('[1]P-GENERAL'!AA580="","",'[1]P-GENERAL'!AA580)</f>
        <v/>
      </c>
      <c r="AB580" s="8" t="str">
        <f>IF('[1]P-GENERAL'!AB580="","",'[1]P-GENERAL'!AB580)</f>
        <v/>
      </c>
      <c r="AC580" s="8" t="str">
        <f>IF('[1]P-GENERAL'!AC580="","",'[1]P-GENERAL'!AC580)</f>
        <v/>
      </c>
      <c r="AD580" t="str">
        <f>IF('[1]P-GENERAL'!AD580="","",'[1]P-GENERAL'!AD580)</f>
        <v/>
      </c>
      <c r="AE580" t="str">
        <f>IF('[1]P-GENERAL'!AE580="","",'[1]P-GENERAL'!AE580)</f>
        <v/>
      </c>
    </row>
    <row r="581" spans="1:31" ht="20.25" x14ac:dyDescent="0.3">
      <c r="A581" s="11" t="str">
        <f>IF('[1]P-GENERAL'!A581="","",'[1]P-GENERAL'!A581)</f>
        <v/>
      </c>
      <c r="B581" s="11" t="str">
        <f>IF('[1]P-GENERAL'!B581="","",'[1]P-GENERAL'!B581)</f>
        <v/>
      </c>
      <c r="C581" t="str">
        <f>IF('[1]P-GENERAL'!C581="","",'[1]P-GENERAL'!C581)</f>
        <v/>
      </c>
      <c r="D581" t="str">
        <f>IF('[1]P-GENERAL'!D581="","",'[1]P-GENERAL'!D581)</f>
        <v/>
      </c>
      <c r="E581" s="8" t="str">
        <f>IF('[1]P-GENERAL'!E581="","",'[1]P-GENERAL'!E581)</f>
        <v/>
      </c>
      <c r="F581" s="12" t="str">
        <f>IF('[1]P-GENERAL'!F581="","",'[1]P-GENERAL'!F581)</f>
        <v/>
      </c>
      <c r="G581" s="13" t="str">
        <f>IF('[1]P-GENERAL'!G581="","",'[1]P-GENERAL'!G581)</f>
        <v/>
      </c>
      <c r="H581" s="14" t="str">
        <f>IF('[1]P-GENERAL'!H581="","",'[1]P-GENERAL'!H581)</f>
        <v/>
      </c>
      <c r="I581" t="str">
        <f>IF('[1]P-GENERAL'!I581="","",'[1]P-GENERAL'!I581)</f>
        <v/>
      </c>
      <c r="J581" s="15" t="str">
        <f>IF('[1]P-GENERAL'!J581="","",'[1]P-GENERAL'!J581)</f>
        <v/>
      </c>
      <c r="K581" s="14" t="str">
        <f>IF('[1]P-GENERAL'!K581="","",'[1]P-GENERAL'!K581)</f>
        <v/>
      </c>
      <c r="L581" s="14" t="str">
        <f>IF('[1]P-GENERAL'!L581="","",'[1]P-GENERAL'!L581)</f>
        <v/>
      </c>
      <c r="M581" t="str">
        <f>IF('[1]P-GENERAL'!M581="","",'[1]P-GENERAL'!M581)</f>
        <v/>
      </c>
      <c r="N581" t="str">
        <f>IF('[1]P-GENERAL'!N581="","",'[1]P-GENERAL'!N581)</f>
        <v/>
      </c>
      <c r="O581" s="14" t="str">
        <f>IF('[1]P-GENERAL'!O581="","",'[1]P-GENERAL'!O581)</f>
        <v/>
      </c>
      <c r="P581" s="16" t="str">
        <f>IF('[1]P-GENERAL'!P581="","",'[1]P-GENERAL'!P581)</f>
        <v/>
      </c>
      <c r="Q581" t="str">
        <f>IF('[1]P-GENERAL'!Q581="","",'[1]P-GENERAL'!Q581)</f>
        <v/>
      </c>
      <c r="R581" s="14" t="str">
        <f>IF('[1]P-GENERAL'!R581="","",'[1]P-GENERAL'!R581)</f>
        <v/>
      </c>
      <c r="S581" s="16" t="str">
        <f>IF('[1]P-GENERAL'!S581="","",'[1]P-GENERAL'!S581)</f>
        <v/>
      </c>
      <c r="T581" s="16" t="str">
        <f>IF('[1]P-GENERAL'!T581="","",'[1]P-GENERAL'!T581)</f>
        <v/>
      </c>
      <c r="U581" s="17" t="str">
        <f>IF('[1]P-GENERAL'!U581="","",'[1]P-GENERAL'!U581)</f>
        <v/>
      </c>
      <c r="V581" s="14" t="str">
        <f>IF('[1]P-GENERAL'!V581="","",'[1]P-GENERAL'!V581)</f>
        <v/>
      </c>
      <c r="W581" s="16" t="str">
        <f>IF('[1]P-GENERAL'!W581="","",'[1]P-GENERAL'!W581)</f>
        <v/>
      </c>
      <c r="X581" s="14" t="str">
        <f>IF('[1]P-GENERAL'!X581="","",'[1]P-GENERAL'!X581)</f>
        <v/>
      </c>
      <c r="Y581" s="14" t="str">
        <f>IF('[1]P-GENERAL'!Y581="","",'[1]P-GENERAL'!Y581)</f>
        <v/>
      </c>
      <c r="Z581" s="14" t="str">
        <f>IF('[1]P-GENERAL'!Z581="","",'[1]P-GENERAL'!Z581)</f>
        <v/>
      </c>
      <c r="AA581" s="14" t="str">
        <f>IF('[1]P-GENERAL'!AA581="","",'[1]P-GENERAL'!AA581)</f>
        <v/>
      </c>
      <c r="AB581" s="8" t="str">
        <f>IF('[1]P-GENERAL'!AB581="","",'[1]P-GENERAL'!AB581)</f>
        <v/>
      </c>
      <c r="AC581" s="8" t="str">
        <f>IF('[1]P-GENERAL'!AC581="","",'[1]P-GENERAL'!AC581)</f>
        <v/>
      </c>
      <c r="AD581" t="str">
        <f>IF('[1]P-GENERAL'!AD581="","",'[1]P-GENERAL'!AD581)</f>
        <v/>
      </c>
      <c r="AE581" t="str">
        <f>IF('[1]P-GENERAL'!AE581="","",'[1]P-GENERAL'!AE581)</f>
        <v/>
      </c>
    </row>
    <row r="582" spans="1:31" ht="20.25" x14ac:dyDescent="0.3">
      <c r="A582" s="11" t="str">
        <f>IF('[1]P-GENERAL'!A582="","",'[1]P-GENERAL'!A582)</f>
        <v/>
      </c>
      <c r="B582" s="11" t="str">
        <f>IF('[1]P-GENERAL'!B582="","",'[1]P-GENERAL'!B582)</f>
        <v/>
      </c>
      <c r="C582" t="str">
        <f>IF('[1]P-GENERAL'!C582="","",'[1]P-GENERAL'!C582)</f>
        <v/>
      </c>
      <c r="D582" t="str">
        <f>IF('[1]P-GENERAL'!D582="","",'[1]P-GENERAL'!D582)</f>
        <v/>
      </c>
      <c r="E582" s="8" t="str">
        <f>IF('[1]P-GENERAL'!E582="","",'[1]P-GENERAL'!E582)</f>
        <v/>
      </c>
      <c r="F582" s="12" t="str">
        <f>IF('[1]P-GENERAL'!F582="","",'[1]P-GENERAL'!F582)</f>
        <v/>
      </c>
      <c r="G582" s="13" t="str">
        <f>IF('[1]P-GENERAL'!G582="","",'[1]P-GENERAL'!G582)</f>
        <v/>
      </c>
      <c r="H582" s="14" t="str">
        <f>IF('[1]P-GENERAL'!H582="","",'[1]P-GENERAL'!H582)</f>
        <v/>
      </c>
      <c r="I582" t="str">
        <f>IF('[1]P-GENERAL'!I582="","",'[1]P-GENERAL'!I582)</f>
        <v/>
      </c>
      <c r="J582" s="15" t="str">
        <f>IF('[1]P-GENERAL'!J582="","",'[1]P-GENERAL'!J582)</f>
        <v/>
      </c>
      <c r="K582" s="14" t="str">
        <f>IF('[1]P-GENERAL'!K582="","",'[1]P-GENERAL'!K582)</f>
        <v/>
      </c>
      <c r="L582" s="14" t="str">
        <f>IF('[1]P-GENERAL'!L582="","",'[1]P-GENERAL'!L582)</f>
        <v/>
      </c>
      <c r="M582" t="str">
        <f>IF('[1]P-GENERAL'!M582="","",'[1]P-GENERAL'!M582)</f>
        <v/>
      </c>
      <c r="N582" t="str">
        <f>IF('[1]P-GENERAL'!N582="","",'[1]P-GENERAL'!N582)</f>
        <v/>
      </c>
      <c r="O582" s="14" t="str">
        <f>IF('[1]P-GENERAL'!O582="","",'[1]P-GENERAL'!O582)</f>
        <v/>
      </c>
      <c r="P582" s="16" t="str">
        <f>IF('[1]P-GENERAL'!P582="","",'[1]P-GENERAL'!P582)</f>
        <v/>
      </c>
      <c r="Q582" t="str">
        <f>IF('[1]P-GENERAL'!Q582="","",'[1]P-GENERAL'!Q582)</f>
        <v/>
      </c>
      <c r="R582" s="14" t="str">
        <f>IF('[1]P-GENERAL'!R582="","",'[1]P-GENERAL'!R582)</f>
        <v/>
      </c>
      <c r="S582" s="16" t="str">
        <f>IF('[1]P-GENERAL'!S582="","",'[1]P-GENERAL'!S582)</f>
        <v/>
      </c>
      <c r="T582" s="16" t="str">
        <f>IF('[1]P-GENERAL'!T582="","",'[1]P-GENERAL'!T582)</f>
        <v/>
      </c>
      <c r="U582" s="17" t="str">
        <f>IF('[1]P-GENERAL'!U582="","",'[1]P-GENERAL'!U582)</f>
        <v/>
      </c>
      <c r="V582" s="14" t="str">
        <f>IF('[1]P-GENERAL'!V582="","",'[1]P-GENERAL'!V582)</f>
        <v/>
      </c>
      <c r="W582" s="16" t="str">
        <f>IF('[1]P-GENERAL'!W582="","",'[1]P-GENERAL'!W582)</f>
        <v/>
      </c>
      <c r="X582" s="14" t="str">
        <f>IF('[1]P-GENERAL'!X582="","",'[1]P-GENERAL'!X582)</f>
        <v/>
      </c>
      <c r="Y582" s="14" t="str">
        <f>IF('[1]P-GENERAL'!Y582="","",'[1]P-GENERAL'!Y582)</f>
        <v/>
      </c>
      <c r="Z582" s="14" t="str">
        <f>IF('[1]P-GENERAL'!Z582="","",'[1]P-GENERAL'!Z582)</f>
        <v/>
      </c>
      <c r="AA582" s="14" t="str">
        <f>IF('[1]P-GENERAL'!AA582="","",'[1]P-GENERAL'!AA582)</f>
        <v/>
      </c>
      <c r="AB582" s="8" t="str">
        <f>IF('[1]P-GENERAL'!AB582="","",'[1]P-GENERAL'!AB582)</f>
        <v/>
      </c>
      <c r="AC582" s="8" t="str">
        <f>IF('[1]P-GENERAL'!AC582="","",'[1]P-GENERAL'!AC582)</f>
        <v/>
      </c>
      <c r="AD582" t="str">
        <f>IF('[1]P-GENERAL'!AD582="","",'[1]P-GENERAL'!AD582)</f>
        <v/>
      </c>
      <c r="AE582" t="str">
        <f>IF('[1]P-GENERAL'!AE582="","",'[1]P-GENERAL'!AE582)</f>
        <v/>
      </c>
    </row>
    <row r="583" spans="1:31" ht="20.25" x14ac:dyDescent="0.3">
      <c r="A583" s="11" t="str">
        <f>IF('[1]P-GENERAL'!A583="","",'[1]P-GENERAL'!A583)</f>
        <v/>
      </c>
      <c r="B583" s="11" t="str">
        <f>IF('[1]P-GENERAL'!B583="","",'[1]P-GENERAL'!B583)</f>
        <v/>
      </c>
      <c r="C583" t="str">
        <f>IF('[1]P-GENERAL'!C583="","",'[1]P-GENERAL'!C583)</f>
        <v/>
      </c>
      <c r="D583" t="str">
        <f>IF('[1]P-GENERAL'!D583="","",'[1]P-GENERAL'!D583)</f>
        <v/>
      </c>
      <c r="E583" s="8" t="str">
        <f>IF('[1]P-GENERAL'!E583="","",'[1]P-GENERAL'!E583)</f>
        <v/>
      </c>
      <c r="F583" s="12" t="str">
        <f>IF('[1]P-GENERAL'!F583="","",'[1]P-GENERAL'!F583)</f>
        <v/>
      </c>
      <c r="G583" s="13" t="str">
        <f>IF('[1]P-GENERAL'!G583="","",'[1]P-GENERAL'!G583)</f>
        <v/>
      </c>
      <c r="H583" s="14" t="str">
        <f>IF('[1]P-GENERAL'!H583="","",'[1]P-GENERAL'!H583)</f>
        <v/>
      </c>
      <c r="I583" t="str">
        <f>IF('[1]P-GENERAL'!I583="","",'[1]P-GENERAL'!I583)</f>
        <v/>
      </c>
      <c r="J583" s="15" t="str">
        <f>IF('[1]P-GENERAL'!J583="","",'[1]P-GENERAL'!J583)</f>
        <v/>
      </c>
      <c r="K583" s="14" t="str">
        <f>IF('[1]P-GENERAL'!K583="","",'[1]P-GENERAL'!K583)</f>
        <v/>
      </c>
      <c r="L583" s="14" t="str">
        <f>IF('[1]P-GENERAL'!L583="","",'[1]P-GENERAL'!L583)</f>
        <v/>
      </c>
      <c r="M583" t="str">
        <f>IF('[1]P-GENERAL'!M583="","",'[1]P-GENERAL'!M583)</f>
        <v/>
      </c>
      <c r="N583" t="str">
        <f>IF('[1]P-GENERAL'!N583="","",'[1]P-GENERAL'!N583)</f>
        <v/>
      </c>
      <c r="O583" s="14" t="str">
        <f>IF('[1]P-GENERAL'!O583="","",'[1]P-GENERAL'!O583)</f>
        <v/>
      </c>
      <c r="P583" s="16" t="str">
        <f>IF('[1]P-GENERAL'!P583="","",'[1]P-GENERAL'!P583)</f>
        <v/>
      </c>
      <c r="Q583" t="str">
        <f>IF('[1]P-GENERAL'!Q583="","",'[1]P-GENERAL'!Q583)</f>
        <v/>
      </c>
      <c r="R583" s="14" t="str">
        <f>IF('[1]P-GENERAL'!R583="","",'[1]P-GENERAL'!R583)</f>
        <v/>
      </c>
      <c r="S583" s="16" t="str">
        <f>IF('[1]P-GENERAL'!S583="","",'[1]P-GENERAL'!S583)</f>
        <v/>
      </c>
      <c r="T583" s="16" t="str">
        <f>IF('[1]P-GENERAL'!T583="","",'[1]P-GENERAL'!T583)</f>
        <v/>
      </c>
      <c r="U583" s="17" t="str">
        <f>IF('[1]P-GENERAL'!U583="","",'[1]P-GENERAL'!U583)</f>
        <v/>
      </c>
      <c r="V583" s="14" t="str">
        <f>IF('[1]P-GENERAL'!V583="","",'[1]P-GENERAL'!V583)</f>
        <v/>
      </c>
      <c r="W583" s="16" t="str">
        <f>IF('[1]P-GENERAL'!W583="","",'[1]P-GENERAL'!W583)</f>
        <v/>
      </c>
      <c r="X583" s="14" t="str">
        <f>IF('[1]P-GENERAL'!X583="","",'[1]P-GENERAL'!X583)</f>
        <v/>
      </c>
      <c r="Y583" s="14" t="str">
        <f>IF('[1]P-GENERAL'!Y583="","",'[1]P-GENERAL'!Y583)</f>
        <v/>
      </c>
      <c r="Z583" s="14" t="str">
        <f>IF('[1]P-GENERAL'!Z583="","",'[1]P-GENERAL'!Z583)</f>
        <v/>
      </c>
      <c r="AA583" s="14" t="str">
        <f>IF('[1]P-GENERAL'!AA583="","",'[1]P-GENERAL'!AA583)</f>
        <v/>
      </c>
      <c r="AB583" s="8" t="str">
        <f>IF('[1]P-GENERAL'!AB583="","",'[1]P-GENERAL'!AB583)</f>
        <v/>
      </c>
      <c r="AC583" s="8" t="str">
        <f>IF('[1]P-GENERAL'!AC583="","",'[1]P-GENERAL'!AC583)</f>
        <v/>
      </c>
      <c r="AD583" t="str">
        <f>IF('[1]P-GENERAL'!AD583="","",'[1]P-GENERAL'!AD583)</f>
        <v/>
      </c>
      <c r="AE583" t="str">
        <f>IF('[1]P-GENERAL'!AE583="","",'[1]P-GENERAL'!AE583)</f>
        <v/>
      </c>
    </row>
    <row r="584" spans="1:31" ht="20.25" x14ac:dyDescent="0.3">
      <c r="A584" s="11" t="str">
        <f>IF('[1]P-GENERAL'!A584="","",'[1]P-GENERAL'!A584)</f>
        <v/>
      </c>
      <c r="B584" s="11" t="str">
        <f>IF('[1]P-GENERAL'!B584="","",'[1]P-GENERAL'!B584)</f>
        <v/>
      </c>
      <c r="C584" t="str">
        <f>IF('[1]P-GENERAL'!C584="","",'[1]P-GENERAL'!C584)</f>
        <v/>
      </c>
      <c r="D584" t="str">
        <f>IF('[1]P-GENERAL'!D584="","",'[1]P-GENERAL'!D584)</f>
        <v/>
      </c>
      <c r="E584" s="8" t="str">
        <f>IF('[1]P-GENERAL'!E584="","",'[1]P-GENERAL'!E584)</f>
        <v/>
      </c>
      <c r="F584" s="12" t="str">
        <f>IF('[1]P-GENERAL'!F584="","",'[1]P-GENERAL'!F584)</f>
        <v/>
      </c>
      <c r="G584" s="13" t="str">
        <f>IF('[1]P-GENERAL'!G584="","",'[1]P-GENERAL'!G584)</f>
        <v/>
      </c>
      <c r="H584" s="14" t="str">
        <f>IF('[1]P-GENERAL'!H584="","",'[1]P-GENERAL'!H584)</f>
        <v/>
      </c>
      <c r="I584" t="str">
        <f>IF('[1]P-GENERAL'!I584="","",'[1]P-GENERAL'!I584)</f>
        <v/>
      </c>
      <c r="J584" s="15" t="str">
        <f>IF('[1]P-GENERAL'!J584="","",'[1]P-GENERAL'!J584)</f>
        <v/>
      </c>
      <c r="K584" s="14" t="str">
        <f>IF('[1]P-GENERAL'!K584="","",'[1]P-GENERAL'!K584)</f>
        <v/>
      </c>
      <c r="L584" s="14" t="str">
        <f>IF('[1]P-GENERAL'!L584="","",'[1]P-GENERAL'!L584)</f>
        <v/>
      </c>
      <c r="M584" t="str">
        <f>IF('[1]P-GENERAL'!M584="","",'[1]P-GENERAL'!M584)</f>
        <v/>
      </c>
      <c r="N584" t="str">
        <f>IF('[1]P-GENERAL'!N584="","",'[1]P-GENERAL'!N584)</f>
        <v/>
      </c>
      <c r="O584" s="14" t="str">
        <f>IF('[1]P-GENERAL'!O584="","",'[1]P-GENERAL'!O584)</f>
        <v/>
      </c>
      <c r="P584" s="16" t="str">
        <f>IF('[1]P-GENERAL'!P584="","",'[1]P-GENERAL'!P584)</f>
        <v/>
      </c>
      <c r="Q584" t="str">
        <f>IF('[1]P-GENERAL'!Q584="","",'[1]P-GENERAL'!Q584)</f>
        <v/>
      </c>
      <c r="R584" s="14" t="str">
        <f>IF('[1]P-GENERAL'!R584="","",'[1]P-GENERAL'!R584)</f>
        <v/>
      </c>
      <c r="S584" s="16" t="str">
        <f>IF('[1]P-GENERAL'!S584="","",'[1]P-GENERAL'!S584)</f>
        <v/>
      </c>
      <c r="T584" s="16" t="str">
        <f>IF('[1]P-GENERAL'!T584="","",'[1]P-GENERAL'!T584)</f>
        <v/>
      </c>
      <c r="U584" s="17" t="str">
        <f>IF('[1]P-GENERAL'!U584="","",'[1]P-GENERAL'!U584)</f>
        <v/>
      </c>
      <c r="V584" s="14" t="str">
        <f>IF('[1]P-GENERAL'!V584="","",'[1]P-GENERAL'!V584)</f>
        <v/>
      </c>
      <c r="W584" s="16" t="str">
        <f>IF('[1]P-GENERAL'!W584="","",'[1]P-GENERAL'!W584)</f>
        <v/>
      </c>
      <c r="X584" s="14" t="str">
        <f>IF('[1]P-GENERAL'!X584="","",'[1]P-GENERAL'!X584)</f>
        <v/>
      </c>
      <c r="Y584" s="14" t="str">
        <f>IF('[1]P-GENERAL'!Y584="","",'[1]P-GENERAL'!Y584)</f>
        <v/>
      </c>
      <c r="Z584" s="14" t="str">
        <f>IF('[1]P-GENERAL'!Z584="","",'[1]P-GENERAL'!Z584)</f>
        <v/>
      </c>
      <c r="AA584" s="14" t="str">
        <f>IF('[1]P-GENERAL'!AA584="","",'[1]P-GENERAL'!AA584)</f>
        <v/>
      </c>
      <c r="AB584" s="8" t="str">
        <f>IF('[1]P-GENERAL'!AB584="","",'[1]P-GENERAL'!AB584)</f>
        <v/>
      </c>
      <c r="AC584" s="8" t="str">
        <f>IF('[1]P-GENERAL'!AC584="","",'[1]P-GENERAL'!AC584)</f>
        <v/>
      </c>
      <c r="AD584" t="str">
        <f>IF('[1]P-GENERAL'!AD584="","",'[1]P-GENERAL'!AD584)</f>
        <v/>
      </c>
      <c r="AE584" t="str">
        <f>IF('[1]P-GENERAL'!AE584="","",'[1]P-GENERAL'!AE584)</f>
        <v/>
      </c>
    </row>
    <row r="585" spans="1:31" ht="20.25" x14ac:dyDescent="0.3">
      <c r="A585" s="11" t="str">
        <f>IF('[1]P-GENERAL'!A585="","",'[1]P-GENERAL'!A585)</f>
        <v/>
      </c>
      <c r="B585" s="11" t="str">
        <f>IF('[1]P-GENERAL'!B585="","",'[1]P-GENERAL'!B585)</f>
        <v/>
      </c>
      <c r="C585" t="str">
        <f>IF('[1]P-GENERAL'!C585="","",'[1]P-GENERAL'!C585)</f>
        <v/>
      </c>
      <c r="D585" t="str">
        <f>IF('[1]P-GENERAL'!D585="","",'[1]P-GENERAL'!D585)</f>
        <v/>
      </c>
      <c r="E585" s="8" t="str">
        <f>IF('[1]P-GENERAL'!E585="","",'[1]P-GENERAL'!E585)</f>
        <v/>
      </c>
      <c r="F585" s="12" t="str">
        <f>IF('[1]P-GENERAL'!F585="","",'[1]P-GENERAL'!F585)</f>
        <v/>
      </c>
      <c r="G585" s="13" t="str">
        <f>IF('[1]P-GENERAL'!G585="","",'[1]P-GENERAL'!G585)</f>
        <v/>
      </c>
      <c r="H585" s="14" t="str">
        <f>IF('[1]P-GENERAL'!H585="","",'[1]P-GENERAL'!H585)</f>
        <v/>
      </c>
      <c r="I585" t="str">
        <f>IF('[1]P-GENERAL'!I585="","",'[1]P-GENERAL'!I585)</f>
        <v/>
      </c>
      <c r="J585" s="15" t="str">
        <f>IF('[1]P-GENERAL'!J585="","",'[1]P-GENERAL'!J585)</f>
        <v/>
      </c>
      <c r="K585" s="14" t="str">
        <f>IF('[1]P-GENERAL'!K585="","",'[1]P-GENERAL'!K585)</f>
        <v/>
      </c>
      <c r="L585" s="14" t="str">
        <f>IF('[1]P-GENERAL'!L585="","",'[1]P-GENERAL'!L585)</f>
        <v/>
      </c>
      <c r="M585" t="str">
        <f>IF('[1]P-GENERAL'!M585="","",'[1]P-GENERAL'!M585)</f>
        <v/>
      </c>
      <c r="N585" t="str">
        <f>IF('[1]P-GENERAL'!N585="","",'[1]P-GENERAL'!N585)</f>
        <v/>
      </c>
      <c r="O585" s="14" t="str">
        <f>IF('[1]P-GENERAL'!O585="","",'[1]P-GENERAL'!O585)</f>
        <v/>
      </c>
      <c r="P585" s="16" t="str">
        <f>IF('[1]P-GENERAL'!P585="","",'[1]P-GENERAL'!P585)</f>
        <v/>
      </c>
      <c r="Q585" t="str">
        <f>IF('[1]P-GENERAL'!Q585="","",'[1]P-GENERAL'!Q585)</f>
        <v/>
      </c>
      <c r="R585" s="14" t="str">
        <f>IF('[1]P-GENERAL'!R585="","",'[1]P-GENERAL'!R585)</f>
        <v/>
      </c>
      <c r="S585" s="16" t="str">
        <f>IF('[1]P-GENERAL'!S585="","",'[1]P-GENERAL'!S585)</f>
        <v/>
      </c>
      <c r="T585" s="16" t="str">
        <f>IF('[1]P-GENERAL'!T585="","",'[1]P-GENERAL'!T585)</f>
        <v/>
      </c>
      <c r="U585" s="17" t="str">
        <f>IF('[1]P-GENERAL'!U585="","",'[1]P-GENERAL'!U585)</f>
        <v/>
      </c>
      <c r="V585" s="14" t="str">
        <f>IF('[1]P-GENERAL'!V585="","",'[1]P-GENERAL'!V585)</f>
        <v/>
      </c>
      <c r="W585" s="16" t="str">
        <f>IF('[1]P-GENERAL'!W585="","",'[1]P-GENERAL'!W585)</f>
        <v/>
      </c>
      <c r="X585" s="14" t="str">
        <f>IF('[1]P-GENERAL'!X585="","",'[1]P-GENERAL'!X585)</f>
        <v/>
      </c>
      <c r="Y585" s="14" t="str">
        <f>IF('[1]P-GENERAL'!Y585="","",'[1]P-GENERAL'!Y585)</f>
        <v/>
      </c>
      <c r="Z585" s="14" t="str">
        <f>IF('[1]P-GENERAL'!Z585="","",'[1]P-GENERAL'!Z585)</f>
        <v/>
      </c>
      <c r="AA585" s="14" t="str">
        <f>IF('[1]P-GENERAL'!AA585="","",'[1]P-GENERAL'!AA585)</f>
        <v/>
      </c>
      <c r="AB585" s="8" t="str">
        <f>IF('[1]P-GENERAL'!AB585="","",'[1]P-GENERAL'!AB585)</f>
        <v/>
      </c>
      <c r="AC585" s="8" t="str">
        <f>IF('[1]P-GENERAL'!AC585="","",'[1]P-GENERAL'!AC585)</f>
        <v/>
      </c>
      <c r="AD585" t="str">
        <f>IF('[1]P-GENERAL'!AD585="","",'[1]P-GENERAL'!AD585)</f>
        <v/>
      </c>
      <c r="AE585" t="str">
        <f>IF('[1]P-GENERAL'!AE585="","",'[1]P-GENERAL'!AE585)</f>
        <v/>
      </c>
    </row>
    <row r="586" spans="1:31" ht="20.25" x14ac:dyDescent="0.3">
      <c r="A586" s="11" t="str">
        <f>IF('[1]P-GENERAL'!A586="","",'[1]P-GENERAL'!A586)</f>
        <v/>
      </c>
      <c r="B586" s="11" t="str">
        <f>IF('[1]P-GENERAL'!B586="","",'[1]P-GENERAL'!B586)</f>
        <v/>
      </c>
      <c r="C586" t="str">
        <f>IF('[1]P-GENERAL'!C586="","",'[1]P-GENERAL'!C586)</f>
        <v/>
      </c>
      <c r="D586" t="str">
        <f>IF('[1]P-GENERAL'!D586="","",'[1]P-GENERAL'!D586)</f>
        <v/>
      </c>
      <c r="E586" s="8" t="str">
        <f>IF('[1]P-GENERAL'!E586="","",'[1]P-GENERAL'!E586)</f>
        <v/>
      </c>
      <c r="F586" s="12" t="str">
        <f>IF('[1]P-GENERAL'!F586="","",'[1]P-GENERAL'!F586)</f>
        <v/>
      </c>
      <c r="G586" s="13" t="str">
        <f>IF('[1]P-GENERAL'!G586="","",'[1]P-GENERAL'!G586)</f>
        <v/>
      </c>
      <c r="H586" s="14" t="str">
        <f>IF('[1]P-GENERAL'!H586="","",'[1]P-GENERAL'!H586)</f>
        <v/>
      </c>
      <c r="I586" t="str">
        <f>IF('[1]P-GENERAL'!I586="","",'[1]P-GENERAL'!I586)</f>
        <v/>
      </c>
      <c r="J586" s="15" t="str">
        <f>IF('[1]P-GENERAL'!J586="","",'[1]P-GENERAL'!J586)</f>
        <v/>
      </c>
      <c r="K586" s="14" t="str">
        <f>IF('[1]P-GENERAL'!K586="","",'[1]P-GENERAL'!K586)</f>
        <v/>
      </c>
      <c r="L586" s="14" t="str">
        <f>IF('[1]P-GENERAL'!L586="","",'[1]P-GENERAL'!L586)</f>
        <v/>
      </c>
      <c r="M586" t="str">
        <f>IF('[1]P-GENERAL'!M586="","",'[1]P-GENERAL'!M586)</f>
        <v/>
      </c>
      <c r="N586" t="str">
        <f>IF('[1]P-GENERAL'!N586="","",'[1]P-GENERAL'!N586)</f>
        <v/>
      </c>
      <c r="O586" s="14" t="str">
        <f>IF('[1]P-GENERAL'!O586="","",'[1]P-GENERAL'!O586)</f>
        <v/>
      </c>
      <c r="P586" s="16" t="str">
        <f>IF('[1]P-GENERAL'!P586="","",'[1]P-GENERAL'!P586)</f>
        <v/>
      </c>
      <c r="Q586" t="str">
        <f>IF('[1]P-GENERAL'!Q586="","",'[1]P-GENERAL'!Q586)</f>
        <v/>
      </c>
      <c r="R586" s="14" t="str">
        <f>IF('[1]P-GENERAL'!R586="","",'[1]P-GENERAL'!R586)</f>
        <v/>
      </c>
      <c r="S586" s="16" t="str">
        <f>IF('[1]P-GENERAL'!S586="","",'[1]P-GENERAL'!S586)</f>
        <v/>
      </c>
      <c r="T586" s="16" t="str">
        <f>IF('[1]P-GENERAL'!T586="","",'[1]P-GENERAL'!T586)</f>
        <v/>
      </c>
      <c r="U586" s="17" t="str">
        <f>IF('[1]P-GENERAL'!U586="","",'[1]P-GENERAL'!U586)</f>
        <v/>
      </c>
      <c r="V586" s="14" t="str">
        <f>IF('[1]P-GENERAL'!V586="","",'[1]P-GENERAL'!V586)</f>
        <v/>
      </c>
      <c r="W586" s="16" t="str">
        <f>IF('[1]P-GENERAL'!W586="","",'[1]P-GENERAL'!W586)</f>
        <v/>
      </c>
      <c r="X586" s="14" t="str">
        <f>IF('[1]P-GENERAL'!X586="","",'[1]P-GENERAL'!X586)</f>
        <v/>
      </c>
      <c r="Y586" s="14" t="str">
        <f>IF('[1]P-GENERAL'!Y586="","",'[1]P-GENERAL'!Y586)</f>
        <v/>
      </c>
      <c r="Z586" s="14" t="str">
        <f>IF('[1]P-GENERAL'!Z586="","",'[1]P-GENERAL'!Z586)</f>
        <v/>
      </c>
      <c r="AA586" s="14" t="str">
        <f>IF('[1]P-GENERAL'!AA586="","",'[1]P-GENERAL'!AA586)</f>
        <v/>
      </c>
      <c r="AB586" s="8" t="str">
        <f>IF('[1]P-GENERAL'!AB586="","",'[1]P-GENERAL'!AB586)</f>
        <v/>
      </c>
      <c r="AC586" s="8" t="str">
        <f>IF('[1]P-GENERAL'!AC586="","",'[1]P-GENERAL'!AC586)</f>
        <v/>
      </c>
      <c r="AD586" t="str">
        <f>IF('[1]P-GENERAL'!AD586="","",'[1]P-GENERAL'!AD586)</f>
        <v/>
      </c>
      <c r="AE586" t="str">
        <f>IF('[1]P-GENERAL'!AE586="","",'[1]P-GENERAL'!AE586)</f>
        <v/>
      </c>
    </row>
    <row r="587" spans="1:31" ht="20.25" x14ac:dyDescent="0.3">
      <c r="A587" s="11" t="str">
        <f>IF('[1]P-GENERAL'!A587="","",'[1]P-GENERAL'!A587)</f>
        <v/>
      </c>
      <c r="B587" s="11" t="str">
        <f>IF('[1]P-GENERAL'!B587="","",'[1]P-GENERAL'!B587)</f>
        <v/>
      </c>
      <c r="C587" t="str">
        <f>IF('[1]P-GENERAL'!C587="","",'[1]P-GENERAL'!C587)</f>
        <v/>
      </c>
      <c r="D587" t="str">
        <f>IF('[1]P-GENERAL'!D587="","",'[1]P-GENERAL'!D587)</f>
        <v/>
      </c>
      <c r="E587" s="8" t="str">
        <f>IF('[1]P-GENERAL'!E587="","",'[1]P-GENERAL'!E587)</f>
        <v/>
      </c>
      <c r="F587" s="12" t="str">
        <f>IF('[1]P-GENERAL'!F587="","",'[1]P-GENERAL'!F587)</f>
        <v/>
      </c>
      <c r="G587" s="13" t="str">
        <f>IF('[1]P-GENERAL'!G587="","",'[1]P-GENERAL'!G587)</f>
        <v/>
      </c>
      <c r="H587" s="14" t="str">
        <f>IF('[1]P-GENERAL'!H587="","",'[1]P-GENERAL'!H587)</f>
        <v/>
      </c>
      <c r="I587" t="str">
        <f>IF('[1]P-GENERAL'!I587="","",'[1]P-GENERAL'!I587)</f>
        <v/>
      </c>
      <c r="J587" s="15" t="str">
        <f>IF('[1]P-GENERAL'!J587="","",'[1]P-GENERAL'!J587)</f>
        <v/>
      </c>
      <c r="K587" s="14" t="str">
        <f>IF('[1]P-GENERAL'!K587="","",'[1]P-GENERAL'!K587)</f>
        <v/>
      </c>
      <c r="L587" s="14" t="str">
        <f>IF('[1]P-GENERAL'!L587="","",'[1]P-GENERAL'!L587)</f>
        <v/>
      </c>
      <c r="M587" t="str">
        <f>IF('[1]P-GENERAL'!M587="","",'[1]P-GENERAL'!M587)</f>
        <v/>
      </c>
      <c r="N587" t="str">
        <f>IF('[1]P-GENERAL'!N587="","",'[1]P-GENERAL'!N587)</f>
        <v/>
      </c>
      <c r="O587" s="14" t="str">
        <f>IF('[1]P-GENERAL'!O587="","",'[1]P-GENERAL'!O587)</f>
        <v/>
      </c>
      <c r="P587" s="16" t="str">
        <f>IF('[1]P-GENERAL'!P587="","",'[1]P-GENERAL'!P587)</f>
        <v/>
      </c>
      <c r="Q587" t="str">
        <f>IF('[1]P-GENERAL'!Q587="","",'[1]P-GENERAL'!Q587)</f>
        <v/>
      </c>
      <c r="R587" s="14" t="str">
        <f>IF('[1]P-GENERAL'!R587="","",'[1]P-GENERAL'!R587)</f>
        <v/>
      </c>
      <c r="S587" s="16" t="str">
        <f>IF('[1]P-GENERAL'!S587="","",'[1]P-GENERAL'!S587)</f>
        <v/>
      </c>
      <c r="T587" s="16" t="str">
        <f>IF('[1]P-GENERAL'!T587="","",'[1]P-GENERAL'!T587)</f>
        <v/>
      </c>
      <c r="U587" s="17" t="str">
        <f>IF('[1]P-GENERAL'!U587="","",'[1]P-GENERAL'!U587)</f>
        <v/>
      </c>
      <c r="V587" s="14" t="str">
        <f>IF('[1]P-GENERAL'!V587="","",'[1]P-GENERAL'!V587)</f>
        <v/>
      </c>
      <c r="W587" s="16" t="str">
        <f>IF('[1]P-GENERAL'!W587="","",'[1]P-GENERAL'!W587)</f>
        <v/>
      </c>
      <c r="X587" s="14" t="str">
        <f>IF('[1]P-GENERAL'!X587="","",'[1]P-GENERAL'!X587)</f>
        <v/>
      </c>
      <c r="Y587" s="14" t="str">
        <f>IF('[1]P-GENERAL'!Y587="","",'[1]P-GENERAL'!Y587)</f>
        <v/>
      </c>
      <c r="Z587" s="14" t="str">
        <f>IF('[1]P-GENERAL'!Z587="","",'[1]P-GENERAL'!Z587)</f>
        <v/>
      </c>
      <c r="AA587" s="14" t="str">
        <f>IF('[1]P-GENERAL'!AA587="","",'[1]P-GENERAL'!AA587)</f>
        <v/>
      </c>
      <c r="AB587" s="8" t="str">
        <f>IF('[1]P-GENERAL'!AB587="","",'[1]P-GENERAL'!AB587)</f>
        <v/>
      </c>
      <c r="AC587" s="8" t="str">
        <f>IF('[1]P-GENERAL'!AC587="","",'[1]P-GENERAL'!AC587)</f>
        <v/>
      </c>
      <c r="AD587" t="str">
        <f>IF('[1]P-GENERAL'!AD587="","",'[1]P-GENERAL'!AD587)</f>
        <v/>
      </c>
      <c r="AE587" t="str">
        <f>IF('[1]P-GENERAL'!AE587="","",'[1]P-GENERAL'!AE587)</f>
        <v/>
      </c>
    </row>
    <row r="588" spans="1:31" ht="20.25" x14ac:dyDescent="0.3">
      <c r="A588" s="11" t="str">
        <f>IF('[1]P-GENERAL'!A588="","",'[1]P-GENERAL'!A588)</f>
        <v/>
      </c>
      <c r="B588" s="11" t="str">
        <f>IF('[1]P-GENERAL'!B588="","",'[1]P-GENERAL'!B588)</f>
        <v/>
      </c>
      <c r="C588" t="str">
        <f>IF('[1]P-GENERAL'!C588="","",'[1]P-GENERAL'!C588)</f>
        <v/>
      </c>
      <c r="D588" t="str">
        <f>IF('[1]P-GENERAL'!D588="","",'[1]P-GENERAL'!D588)</f>
        <v/>
      </c>
      <c r="E588" s="8" t="str">
        <f>IF('[1]P-GENERAL'!E588="","",'[1]P-GENERAL'!E588)</f>
        <v/>
      </c>
      <c r="F588" s="12" t="str">
        <f>IF('[1]P-GENERAL'!F588="","",'[1]P-GENERAL'!F588)</f>
        <v/>
      </c>
      <c r="G588" s="13" t="str">
        <f>IF('[1]P-GENERAL'!G588="","",'[1]P-GENERAL'!G588)</f>
        <v/>
      </c>
      <c r="H588" s="14" t="str">
        <f>IF('[1]P-GENERAL'!H588="","",'[1]P-GENERAL'!H588)</f>
        <v/>
      </c>
      <c r="I588" t="str">
        <f>IF('[1]P-GENERAL'!I588="","",'[1]P-GENERAL'!I588)</f>
        <v/>
      </c>
      <c r="J588" s="15" t="str">
        <f>IF('[1]P-GENERAL'!J588="","",'[1]P-GENERAL'!J588)</f>
        <v/>
      </c>
      <c r="K588" s="14" t="str">
        <f>IF('[1]P-GENERAL'!K588="","",'[1]P-GENERAL'!K588)</f>
        <v/>
      </c>
      <c r="L588" s="14" t="str">
        <f>IF('[1]P-GENERAL'!L588="","",'[1]P-GENERAL'!L588)</f>
        <v/>
      </c>
      <c r="M588" t="str">
        <f>IF('[1]P-GENERAL'!M588="","",'[1]P-GENERAL'!M588)</f>
        <v/>
      </c>
      <c r="N588" t="str">
        <f>IF('[1]P-GENERAL'!N588="","",'[1]P-GENERAL'!N588)</f>
        <v/>
      </c>
      <c r="O588" s="14" t="str">
        <f>IF('[1]P-GENERAL'!O588="","",'[1]P-GENERAL'!O588)</f>
        <v/>
      </c>
      <c r="P588" s="16" t="str">
        <f>IF('[1]P-GENERAL'!P588="","",'[1]P-GENERAL'!P588)</f>
        <v/>
      </c>
      <c r="Q588" t="str">
        <f>IF('[1]P-GENERAL'!Q588="","",'[1]P-GENERAL'!Q588)</f>
        <v/>
      </c>
      <c r="R588" s="14" t="str">
        <f>IF('[1]P-GENERAL'!R588="","",'[1]P-GENERAL'!R588)</f>
        <v/>
      </c>
      <c r="S588" s="16" t="str">
        <f>IF('[1]P-GENERAL'!S588="","",'[1]P-GENERAL'!S588)</f>
        <v/>
      </c>
      <c r="T588" s="16" t="str">
        <f>IF('[1]P-GENERAL'!T588="","",'[1]P-GENERAL'!T588)</f>
        <v/>
      </c>
      <c r="U588" s="17" t="str">
        <f>IF('[1]P-GENERAL'!U588="","",'[1]P-GENERAL'!U588)</f>
        <v/>
      </c>
      <c r="V588" s="14" t="str">
        <f>IF('[1]P-GENERAL'!V588="","",'[1]P-GENERAL'!V588)</f>
        <v/>
      </c>
      <c r="W588" s="16" t="str">
        <f>IF('[1]P-GENERAL'!W588="","",'[1]P-GENERAL'!W588)</f>
        <v/>
      </c>
      <c r="X588" s="14" t="str">
        <f>IF('[1]P-GENERAL'!X588="","",'[1]P-GENERAL'!X588)</f>
        <v/>
      </c>
      <c r="Y588" s="14" t="str">
        <f>IF('[1]P-GENERAL'!Y588="","",'[1]P-GENERAL'!Y588)</f>
        <v/>
      </c>
      <c r="Z588" s="14" t="str">
        <f>IF('[1]P-GENERAL'!Z588="","",'[1]P-GENERAL'!Z588)</f>
        <v/>
      </c>
      <c r="AA588" s="14" t="str">
        <f>IF('[1]P-GENERAL'!AA588="","",'[1]P-GENERAL'!AA588)</f>
        <v/>
      </c>
      <c r="AB588" s="8" t="str">
        <f>IF('[1]P-GENERAL'!AB588="","",'[1]P-GENERAL'!AB588)</f>
        <v/>
      </c>
      <c r="AC588" s="8" t="str">
        <f>IF('[1]P-GENERAL'!AC588="","",'[1]P-GENERAL'!AC588)</f>
        <v/>
      </c>
      <c r="AD588" t="str">
        <f>IF('[1]P-GENERAL'!AD588="","",'[1]P-GENERAL'!AD588)</f>
        <v/>
      </c>
      <c r="AE588" t="str">
        <f>IF('[1]P-GENERAL'!AE588="","",'[1]P-GENERAL'!AE588)</f>
        <v/>
      </c>
    </row>
    <row r="589" spans="1:31" ht="20.25" x14ac:dyDescent="0.3">
      <c r="A589" s="11" t="str">
        <f>IF('[1]P-GENERAL'!A589="","",'[1]P-GENERAL'!A589)</f>
        <v/>
      </c>
      <c r="B589" s="11" t="str">
        <f>IF('[1]P-GENERAL'!B589="","",'[1]P-GENERAL'!B589)</f>
        <v/>
      </c>
      <c r="C589" t="str">
        <f>IF('[1]P-GENERAL'!C589="","",'[1]P-GENERAL'!C589)</f>
        <v/>
      </c>
      <c r="D589" t="str">
        <f>IF('[1]P-GENERAL'!D589="","",'[1]P-GENERAL'!D589)</f>
        <v/>
      </c>
      <c r="E589" s="8" t="str">
        <f>IF('[1]P-GENERAL'!E589="","",'[1]P-GENERAL'!E589)</f>
        <v/>
      </c>
      <c r="F589" s="12" t="str">
        <f>IF('[1]P-GENERAL'!F589="","",'[1]P-GENERAL'!F589)</f>
        <v/>
      </c>
      <c r="G589" s="13" t="str">
        <f>IF('[1]P-GENERAL'!G589="","",'[1]P-GENERAL'!G589)</f>
        <v/>
      </c>
      <c r="H589" s="14" t="str">
        <f>IF('[1]P-GENERAL'!H589="","",'[1]P-GENERAL'!H589)</f>
        <v/>
      </c>
      <c r="I589" t="str">
        <f>IF('[1]P-GENERAL'!I589="","",'[1]P-GENERAL'!I589)</f>
        <v/>
      </c>
      <c r="J589" s="15" t="str">
        <f>IF('[1]P-GENERAL'!J589="","",'[1]P-GENERAL'!J589)</f>
        <v/>
      </c>
      <c r="K589" s="14" t="str">
        <f>IF('[1]P-GENERAL'!K589="","",'[1]P-GENERAL'!K589)</f>
        <v/>
      </c>
      <c r="L589" s="14" t="str">
        <f>IF('[1]P-GENERAL'!L589="","",'[1]P-GENERAL'!L589)</f>
        <v/>
      </c>
      <c r="M589" t="str">
        <f>IF('[1]P-GENERAL'!M589="","",'[1]P-GENERAL'!M589)</f>
        <v/>
      </c>
      <c r="N589" t="str">
        <f>IF('[1]P-GENERAL'!N589="","",'[1]P-GENERAL'!N589)</f>
        <v/>
      </c>
      <c r="O589" s="14" t="str">
        <f>IF('[1]P-GENERAL'!O589="","",'[1]P-GENERAL'!O589)</f>
        <v/>
      </c>
      <c r="P589" s="16" t="str">
        <f>IF('[1]P-GENERAL'!P589="","",'[1]P-GENERAL'!P589)</f>
        <v/>
      </c>
      <c r="Q589" t="str">
        <f>IF('[1]P-GENERAL'!Q589="","",'[1]P-GENERAL'!Q589)</f>
        <v/>
      </c>
      <c r="R589" s="14" t="str">
        <f>IF('[1]P-GENERAL'!R589="","",'[1]P-GENERAL'!R589)</f>
        <v/>
      </c>
      <c r="S589" s="16" t="str">
        <f>IF('[1]P-GENERAL'!S589="","",'[1]P-GENERAL'!S589)</f>
        <v/>
      </c>
      <c r="T589" s="16" t="str">
        <f>IF('[1]P-GENERAL'!T589="","",'[1]P-GENERAL'!T589)</f>
        <v/>
      </c>
      <c r="U589" s="17" t="str">
        <f>IF('[1]P-GENERAL'!U589="","",'[1]P-GENERAL'!U589)</f>
        <v/>
      </c>
      <c r="V589" s="14" t="str">
        <f>IF('[1]P-GENERAL'!V589="","",'[1]P-GENERAL'!V589)</f>
        <v/>
      </c>
      <c r="W589" s="16" t="str">
        <f>IF('[1]P-GENERAL'!W589="","",'[1]P-GENERAL'!W589)</f>
        <v/>
      </c>
      <c r="X589" s="14" t="str">
        <f>IF('[1]P-GENERAL'!X589="","",'[1]P-GENERAL'!X589)</f>
        <v/>
      </c>
      <c r="Y589" s="14" t="str">
        <f>IF('[1]P-GENERAL'!Y589="","",'[1]P-GENERAL'!Y589)</f>
        <v/>
      </c>
      <c r="Z589" s="14" t="str">
        <f>IF('[1]P-GENERAL'!Z589="","",'[1]P-GENERAL'!Z589)</f>
        <v/>
      </c>
      <c r="AA589" s="14" t="str">
        <f>IF('[1]P-GENERAL'!AA589="","",'[1]P-GENERAL'!AA589)</f>
        <v/>
      </c>
      <c r="AB589" s="8" t="str">
        <f>IF('[1]P-GENERAL'!AB589="","",'[1]P-GENERAL'!AB589)</f>
        <v/>
      </c>
      <c r="AC589" s="8" t="str">
        <f>IF('[1]P-GENERAL'!AC589="","",'[1]P-GENERAL'!AC589)</f>
        <v/>
      </c>
      <c r="AD589" t="str">
        <f>IF('[1]P-GENERAL'!AD589="","",'[1]P-GENERAL'!AD589)</f>
        <v/>
      </c>
      <c r="AE589" t="str">
        <f>IF('[1]P-GENERAL'!AE589="","",'[1]P-GENERAL'!AE589)</f>
        <v/>
      </c>
    </row>
    <row r="590" spans="1:31" ht="20.25" x14ac:dyDescent="0.3">
      <c r="A590" s="11" t="str">
        <f>IF('[1]P-GENERAL'!A590="","",'[1]P-GENERAL'!A590)</f>
        <v/>
      </c>
      <c r="B590" s="11" t="str">
        <f>IF('[1]P-GENERAL'!B590="","",'[1]P-GENERAL'!B590)</f>
        <v/>
      </c>
      <c r="C590" t="str">
        <f>IF('[1]P-GENERAL'!C590="","",'[1]P-GENERAL'!C590)</f>
        <v/>
      </c>
      <c r="D590" t="str">
        <f>IF('[1]P-GENERAL'!D590="","",'[1]P-GENERAL'!D590)</f>
        <v/>
      </c>
      <c r="E590" s="8" t="str">
        <f>IF('[1]P-GENERAL'!E590="","",'[1]P-GENERAL'!E590)</f>
        <v/>
      </c>
      <c r="F590" s="12" t="str">
        <f>IF('[1]P-GENERAL'!F590="","",'[1]P-GENERAL'!F590)</f>
        <v/>
      </c>
      <c r="G590" s="13" t="str">
        <f>IF('[1]P-GENERAL'!G590="","",'[1]P-GENERAL'!G590)</f>
        <v/>
      </c>
      <c r="H590" s="14" t="str">
        <f>IF('[1]P-GENERAL'!H590="","",'[1]P-GENERAL'!H590)</f>
        <v/>
      </c>
      <c r="I590" t="str">
        <f>IF('[1]P-GENERAL'!I590="","",'[1]P-GENERAL'!I590)</f>
        <v/>
      </c>
      <c r="J590" s="15" t="str">
        <f>IF('[1]P-GENERAL'!J590="","",'[1]P-GENERAL'!J590)</f>
        <v/>
      </c>
      <c r="K590" s="14" t="str">
        <f>IF('[1]P-GENERAL'!K590="","",'[1]P-GENERAL'!K590)</f>
        <v/>
      </c>
      <c r="L590" s="14" t="str">
        <f>IF('[1]P-GENERAL'!L590="","",'[1]P-GENERAL'!L590)</f>
        <v/>
      </c>
      <c r="M590" t="str">
        <f>IF('[1]P-GENERAL'!M590="","",'[1]P-GENERAL'!M590)</f>
        <v/>
      </c>
      <c r="N590" t="str">
        <f>IF('[1]P-GENERAL'!N590="","",'[1]P-GENERAL'!N590)</f>
        <v/>
      </c>
      <c r="O590" s="14" t="str">
        <f>IF('[1]P-GENERAL'!O590="","",'[1]P-GENERAL'!O590)</f>
        <v/>
      </c>
      <c r="P590" s="16" t="str">
        <f>IF('[1]P-GENERAL'!P590="","",'[1]P-GENERAL'!P590)</f>
        <v/>
      </c>
      <c r="Q590" t="str">
        <f>IF('[1]P-GENERAL'!Q590="","",'[1]P-GENERAL'!Q590)</f>
        <v/>
      </c>
      <c r="R590" s="14" t="str">
        <f>IF('[1]P-GENERAL'!R590="","",'[1]P-GENERAL'!R590)</f>
        <v/>
      </c>
      <c r="S590" s="16" t="str">
        <f>IF('[1]P-GENERAL'!S590="","",'[1]P-GENERAL'!S590)</f>
        <v/>
      </c>
      <c r="T590" s="16" t="str">
        <f>IF('[1]P-GENERAL'!T590="","",'[1]P-GENERAL'!T590)</f>
        <v/>
      </c>
      <c r="U590" s="17" t="str">
        <f>IF('[1]P-GENERAL'!U590="","",'[1]P-GENERAL'!U590)</f>
        <v/>
      </c>
      <c r="V590" s="14" t="str">
        <f>IF('[1]P-GENERAL'!V590="","",'[1]P-GENERAL'!V590)</f>
        <v/>
      </c>
      <c r="W590" s="16" t="str">
        <f>IF('[1]P-GENERAL'!W590="","",'[1]P-GENERAL'!W590)</f>
        <v/>
      </c>
      <c r="X590" s="14" t="str">
        <f>IF('[1]P-GENERAL'!X590="","",'[1]P-GENERAL'!X590)</f>
        <v/>
      </c>
      <c r="Y590" s="14" t="str">
        <f>IF('[1]P-GENERAL'!Y590="","",'[1]P-GENERAL'!Y590)</f>
        <v/>
      </c>
      <c r="Z590" s="14" t="str">
        <f>IF('[1]P-GENERAL'!Z590="","",'[1]P-GENERAL'!Z590)</f>
        <v/>
      </c>
      <c r="AA590" s="14" t="str">
        <f>IF('[1]P-GENERAL'!AA590="","",'[1]P-GENERAL'!AA590)</f>
        <v/>
      </c>
      <c r="AB590" s="8" t="str">
        <f>IF('[1]P-GENERAL'!AB590="","",'[1]P-GENERAL'!AB590)</f>
        <v/>
      </c>
      <c r="AC590" s="8" t="str">
        <f>IF('[1]P-GENERAL'!AC590="","",'[1]P-GENERAL'!AC590)</f>
        <v/>
      </c>
      <c r="AD590" t="str">
        <f>IF('[1]P-GENERAL'!AD590="","",'[1]P-GENERAL'!AD590)</f>
        <v/>
      </c>
      <c r="AE590" t="str">
        <f>IF('[1]P-GENERAL'!AE590="","",'[1]P-GENERAL'!AE590)</f>
        <v/>
      </c>
    </row>
    <row r="591" spans="1:31" ht="20.25" x14ac:dyDescent="0.3">
      <c r="A591" s="11" t="str">
        <f>IF('[1]P-GENERAL'!A591="","",'[1]P-GENERAL'!A591)</f>
        <v/>
      </c>
      <c r="B591" s="11" t="str">
        <f>IF('[1]P-GENERAL'!B591="","",'[1]P-GENERAL'!B591)</f>
        <v/>
      </c>
      <c r="C591" t="str">
        <f>IF('[1]P-GENERAL'!C591="","",'[1]P-GENERAL'!C591)</f>
        <v/>
      </c>
      <c r="D591" t="str">
        <f>IF('[1]P-GENERAL'!D591="","",'[1]P-GENERAL'!D591)</f>
        <v/>
      </c>
      <c r="E591" s="8" t="str">
        <f>IF('[1]P-GENERAL'!E591="","",'[1]P-GENERAL'!E591)</f>
        <v/>
      </c>
      <c r="F591" s="12" t="str">
        <f>IF('[1]P-GENERAL'!F591="","",'[1]P-GENERAL'!F591)</f>
        <v/>
      </c>
      <c r="G591" s="13" t="str">
        <f>IF('[1]P-GENERAL'!G591="","",'[1]P-GENERAL'!G591)</f>
        <v/>
      </c>
      <c r="H591" s="14" t="str">
        <f>IF('[1]P-GENERAL'!H591="","",'[1]P-GENERAL'!H591)</f>
        <v/>
      </c>
      <c r="I591" t="str">
        <f>IF('[1]P-GENERAL'!I591="","",'[1]P-GENERAL'!I591)</f>
        <v/>
      </c>
      <c r="J591" s="15" t="str">
        <f>IF('[1]P-GENERAL'!J591="","",'[1]P-GENERAL'!J591)</f>
        <v/>
      </c>
      <c r="K591" s="14" t="str">
        <f>IF('[1]P-GENERAL'!K591="","",'[1]P-GENERAL'!K591)</f>
        <v/>
      </c>
      <c r="L591" s="14" t="str">
        <f>IF('[1]P-GENERAL'!L591="","",'[1]P-GENERAL'!L591)</f>
        <v/>
      </c>
      <c r="M591" t="str">
        <f>IF('[1]P-GENERAL'!M591="","",'[1]P-GENERAL'!M591)</f>
        <v/>
      </c>
      <c r="N591" t="str">
        <f>IF('[1]P-GENERAL'!N591="","",'[1]P-GENERAL'!N591)</f>
        <v/>
      </c>
      <c r="O591" s="14" t="str">
        <f>IF('[1]P-GENERAL'!O591="","",'[1]P-GENERAL'!O591)</f>
        <v/>
      </c>
      <c r="P591" s="16" t="str">
        <f>IF('[1]P-GENERAL'!P591="","",'[1]P-GENERAL'!P591)</f>
        <v/>
      </c>
      <c r="Q591" t="str">
        <f>IF('[1]P-GENERAL'!Q591="","",'[1]P-GENERAL'!Q591)</f>
        <v/>
      </c>
      <c r="R591" s="14" t="str">
        <f>IF('[1]P-GENERAL'!R591="","",'[1]P-GENERAL'!R591)</f>
        <v/>
      </c>
      <c r="S591" s="16" t="str">
        <f>IF('[1]P-GENERAL'!S591="","",'[1]P-GENERAL'!S591)</f>
        <v/>
      </c>
      <c r="T591" s="16" t="str">
        <f>IF('[1]P-GENERAL'!T591="","",'[1]P-GENERAL'!T591)</f>
        <v/>
      </c>
      <c r="U591" s="17" t="str">
        <f>IF('[1]P-GENERAL'!U591="","",'[1]P-GENERAL'!U591)</f>
        <v/>
      </c>
      <c r="V591" s="14" t="str">
        <f>IF('[1]P-GENERAL'!V591="","",'[1]P-GENERAL'!V591)</f>
        <v/>
      </c>
      <c r="W591" s="16" t="str">
        <f>IF('[1]P-GENERAL'!W591="","",'[1]P-GENERAL'!W591)</f>
        <v/>
      </c>
      <c r="X591" s="14" t="str">
        <f>IF('[1]P-GENERAL'!X591="","",'[1]P-GENERAL'!X591)</f>
        <v/>
      </c>
      <c r="Y591" s="14" t="str">
        <f>IF('[1]P-GENERAL'!Y591="","",'[1]P-GENERAL'!Y591)</f>
        <v/>
      </c>
      <c r="Z591" s="14" t="str">
        <f>IF('[1]P-GENERAL'!Z591="","",'[1]P-GENERAL'!Z591)</f>
        <v/>
      </c>
      <c r="AA591" s="14" t="str">
        <f>IF('[1]P-GENERAL'!AA591="","",'[1]P-GENERAL'!AA591)</f>
        <v/>
      </c>
      <c r="AB591" s="8" t="str">
        <f>IF('[1]P-GENERAL'!AB591="","",'[1]P-GENERAL'!AB591)</f>
        <v/>
      </c>
      <c r="AC591" s="8" t="str">
        <f>IF('[1]P-GENERAL'!AC591="","",'[1]P-GENERAL'!AC591)</f>
        <v/>
      </c>
      <c r="AD591" t="str">
        <f>IF('[1]P-GENERAL'!AD591="","",'[1]P-GENERAL'!AD591)</f>
        <v/>
      </c>
      <c r="AE591" t="str">
        <f>IF('[1]P-GENERAL'!AE591="","",'[1]P-GENERAL'!AE591)</f>
        <v/>
      </c>
    </row>
    <row r="592" spans="1:31" ht="20.25" x14ac:dyDescent="0.3">
      <c r="A592" s="11" t="str">
        <f>IF('[1]P-GENERAL'!A592="","",'[1]P-GENERAL'!A592)</f>
        <v/>
      </c>
      <c r="B592" s="11" t="str">
        <f>IF('[1]P-GENERAL'!B592="","",'[1]P-GENERAL'!B592)</f>
        <v/>
      </c>
      <c r="C592" t="str">
        <f>IF('[1]P-GENERAL'!C592="","",'[1]P-GENERAL'!C592)</f>
        <v/>
      </c>
      <c r="D592" t="str">
        <f>IF('[1]P-GENERAL'!D592="","",'[1]P-GENERAL'!D592)</f>
        <v/>
      </c>
      <c r="E592" s="8" t="str">
        <f>IF('[1]P-GENERAL'!E592="","",'[1]P-GENERAL'!E592)</f>
        <v/>
      </c>
      <c r="F592" s="12" t="str">
        <f>IF('[1]P-GENERAL'!F592="","",'[1]P-GENERAL'!F592)</f>
        <v/>
      </c>
      <c r="G592" s="13" t="str">
        <f>IF('[1]P-GENERAL'!G592="","",'[1]P-GENERAL'!G592)</f>
        <v/>
      </c>
      <c r="H592" s="14" t="str">
        <f>IF('[1]P-GENERAL'!H592="","",'[1]P-GENERAL'!H592)</f>
        <v/>
      </c>
      <c r="I592" t="str">
        <f>IF('[1]P-GENERAL'!I592="","",'[1]P-GENERAL'!I592)</f>
        <v/>
      </c>
      <c r="J592" s="15" t="str">
        <f>IF('[1]P-GENERAL'!J592="","",'[1]P-GENERAL'!J592)</f>
        <v/>
      </c>
      <c r="K592" s="14" t="str">
        <f>IF('[1]P-GENERAL'!K592="","",'[1]P-GENERAL'!K592)</f>
        <v/>
      </c>
      <c r="L592" s="14" t="str">
        <f>IF('[1]P-GENERAL'!L592="","",'[1]P-GENERAL'!L592)</f>
        <v/>
      </c>
      <c r="M592" t="str">
        <f>IF('[1]P-GENERAL'!M592="","",'[1]P-GENERAL'!M592)</f>
        <v/>
      </c>
      <c r="N592" t="str">
        <f>IF('[1]P-GENERAL'!N592="","",'[1]P-GENERAL'!N592)</f>
        <v/>
      </c>
      <c r="O592" s="14" t="str">
        <f>IF('[1]P-GENERAL'!O592="","",'[1]P-GENERAL'!O592)</f>
        <v/>
      </c>
      <c r="P592" s="16" t="str">
        <f>IF('[1]P-GENERAL'!P592="","",'[1]P-GENERAL'!P592)</f>
        <v/>
      </c>
      <c r="Q592" t="str">
        <f>IF('[1]P-GENERAL'!Q592="","",'[1]P-GENERAL'!Q592)</f>
        <v/>
      </c>
      <c r="R592" s="14" t="str">
        <f>IF('[1]P-GENERAL'!R592="","",'[1]P-GENERAL'!R592)</f>
        <v/>
      </c>
      <c r="S592" s="16" t="str">
        <f>IF('[1]P-GENERAL'!S592="","",'[1]P-GENERAL'!S592)</f>
        <v/>
      </c>
      <c r="T592" s="16" t="str">
        <f>IF('[1]P-GENERAL'!T592="","",'[1]P-GENERAL'!T592)</f>
        <v/>
      </c>
      <c r="U592" s="17" t="str">
        <f>IF('[1]P-GENERAL'!U592="","",'[1]P-GENERAL'!U592)</f>
        <v/>
      </c>
      <c r="V592" s="14" t="str">
        <f>IF('[1]P-GENERAL'!V592="","",'[1]P-GENERAL'!V592)</f>
        <v/>
      </c>
      <c r="W592" s="16" t="str">
        <f>IF('[1]P-GENERAL'!W592="","",'[1]P-GENERAL'!W592)</f>
        <v/>
      </c>
      <c r="X592" s="14" t="str">
        <f>IF('[1]P-GENERAL'!X592="","",'[1]P-GENERAL'!X592)</f>
        <v/>
      </c>
      <c r="Y592" s="14" t="str">
        <f>IF('[1]P-GENERAL'!Y592="","",'[1]P-GENERAL'!Y592)</f>
        <v/>
      </c>
      <c r="Z592" s="14" t="str">
        <f>IF('[1]P-GENERAL'!Z592="","",'[1]P-GENERAL'!Z592)</f>
        <v/>
      </c>
      <c r="AA592" s="14" t="str">
        <f>IF('[1]P-GENERAL'!AA592="","",'[1]P-GENERAL'!AA592)</f>
        <v/>
      </c>
      <c r="AB592" s="8" t="str">
        <f>IF('[1]P-GENERAL'!AB592="","",'[1]P-GENERAL'!AB592)</f>
        <v/>
      </c>
      <c r="AC592" s="8" t="str">
        <f>IF('[1]P-GENERAL'!AC592="","",'[1]P-GENERAL'!AC592)</f>
        <v/>
      </c>
      <c r="AD592" t="str">
        <f>IF('[1]P-GENERAL'!AD592="","",'[1]P-GENERAL'!AD592)</f>
        <v/>
      </c>
      <c r="AE592" t="str">
        <f>IF('[1]P-GENERAL'!AE592="","",'[1]P-GENERAL'!AE592)</f>
        <v/>
      </c>
    </row>
    <row r="593" spans="1:31" ht="20.25" x14ac:dyDescent="0.3">
      <c r="A593" s="11" t="str">
        <f>IF('[1]P-GENERAL'!A593="","",'[1]P-GENERAL'!A593)</f>
        <v/>
      </c>
      <c r="B593" s="11" t="str">
        <f>IF('[1]P-GENERAL'!B593="","",'[1]P-GENERAL'!B593)</f>
        <v/>
      </c>
      <c r="C593" t="str">
        <f>IF('[1]P-GENERAL'!C593="","",'[1]P-GENERAL'!C593)</f>
        <v/>
      </c>
      <c r="D593" t="str">
        <f>IF('[1]P-GENERAL'!D593="","",'[1]P-GENERAL'!D593)</f>
        <v/>
      </c>
      <c r="E593" s="8" t="str">
        <f>IF('[1]P-GENERAL'!E593="","",'[1]P-GENERAL'!E593)</f>
        <v/>
      </c>
      <c r="F593" s="12" t="str">
        <f>IF('[1]P-GENERAL'!F593="","",'[1]P-GENERAL'!F593)</f>
        <v/>
      </c>
      <c r="G593" s="13" t="str">
        <f>IF('[1]P-GENERAL'!G593="","",'[1]P-GENERAL'!G593)</f>
        <v/>
      </c>
      <c r="H593" s="14" t="str">
        <f>IF('[1]P-GENERAL'!H593="","",'[1]P-GENERAL'!H593)</f>
        <v/>
      </c>
      <c r="I593" t="str">
        <f>IF('[1]P-GENERAL'!I593="","",'[1]P-GENERAL'!I593)</f>
        <v/>
      </c>
      <c r="J593" s="15" t="str">
        <f>IF('[1]P-GENERAL'!J593="","",'[1]P-GENERAL'!J593)</f>
        <v/>
      </c>
      <c r="K593" s="14" t="str">
        <f>IF('[1]P-GENERAL'!K593="","",'[1]P-GENERAL'!K593)</f>
        <v/>
      </c>
      <c r="L593" s="14" t="str">
        <f>IF('[1]P-GENERAL'!L593="","",'[1]P-GENERAL'!L593)</f>
        <v/>
      </c>
      <c r="M593" t="str">
        <f>IF('[1]P-GENERAL'!M593="","",'[1]P-GENERAL'!M593)</f>
        <v/>
      </c>
      <c r="N593" t="str">
        <f>IF('[1]P-GENERAL'!N593="","",'[1]P-GENERAL'!N593)</f>
        <v/>
      </c>
      <c r="O593" s="14" t="str">
        <f>IF('[1]P-GENERAL'!O593="","",'[1]P-GENERAL'!O593)</f>
        <v/>
      </c>
      <c r="P593" s="16" t="str">
        <f>IF('[1]P-GENERAL'!P593="","",'[1]P-GENERAL'!P593)</f>
        <v/>
      </c>
      <c r="Q593" t="str">
        <f>IF('[1]P-GENERAL'!Q593="","",'[1]P-GENERAL'!Q593)</f>
        <v/>
      </c>
      <c r="R593" s="14" t="str">
        <f>IF('[1]P-GENERAL'!R593="","",'[1]P-GENERAL'!R593)</f>
        <v/>
      </c>
      <c r="S593" s="16" t="str">
        <f>IF('[1]P-GENERAL'!S593="","",'[1]P-GENERAL'!S593)</f>
        <v/>
      </c>
      <c r="T593" s="16" t="str">
        <f>IF('[1]P-GENERAL'!T593="","",'[1]P-GENERAL'!T593)</f>
        <v/>
      </c>
      <c r="U593" s="17" t="str">
        <f>IF('[1]P-GENERAL'!U593="","",'[1]P-GENERAL'!U593)</f>
        <v/>
      </c>
      <c r="V593" s="14" t="str">
        <f>IF('[1]P-GENERAL'!V593="","",'[1]P-GENERAL'!V593)</f>
        <v/>
      </c>
      <c r="W593" s="16" t="str">
        <f>IF('[1]P-GENERAL'!W593="","",'[1]P-GENERAL'!W593)</f>
        <v/>
      </c>
      <c r="X593" s="14" t="str">
        <f>IF('[1]P-GENERAL'!X593="","",'[1]P-GENERAL'!X593)</f>
        <v/>
      </c>
      <c r="Y593" s="14" t="str">
        <f>IF('[1]P-GENERAL'!Y593="","",'[1]P-GENERAL'!Y593)</f>
        <v/>
      </c>
      <c r="Z593" s="14" t="str">
        <f>IF('[1]P-GENERAL'!Z593="","",'[1]P-GENERAL'!Z593)</f>
        <v/>
      </c>
      <c r="AA593" s="14" t="str">
        <f>IF('[1]P-GENERAL'!AA593="","",'[1]P-GENERAL'!AA593)</f>
        <v/>
      </c>
      <c r="AB593" s="8" t="str">
        <f>IF('[1]P-GENERAL'!AB593="","",'[1]P-GENERAL'!AB593)</f>
        <v/>
      </c>
      <c r="AC593" s="8" t="str">
        <f>IF('[1]P-GENERAL'!AC593="","",'[1]P-GENERAL'!AC593)</f>
        <v/>
      </c>
      <c r="AD593" t="str">
        <f>IF('[1]P-GENERAL'!AD593="","",'[1]P-GENERAL'!AD593)</f>
        <v/>
      </c>
      <c r="AE593" t="str">
        <f>IF('[1]P-GENERAL'!AE593="","",'[1]P-GENERAL'!AE593)</f>
        <v/>
      </c>
    </row>
    <row r="594" spans="1:31" ht="20.25" x14ac:dyDescent="0.3">
      <c r="A594" s="11" t="str">
        <f>IF('[1]P-GENERAL'!A594="","",'[1]P-GENERAL'!A594)</f>
        <v/>
      </c>
      <c r="B594" s="11" t="str">
        <f>IF('[1]P-GENERAL'!B594="","",'[1]P-GENERAL'!B594)</f>
        <v/>
      </c>
      <c r="C594" t="str">
        <f>IF('[1]P-GENERAL'!C594="","",'[1]P-GENERAL'!C594)</f>
        <v/>
      </c>
      <c r="D594" t="str">
        <f>IF('[1]P-GENERAL'!D594="","",'[1]P-GENERAL'!D594)</f>
        <v/>
      </c>
      <c r="E594" s="8" t="str">
        <f>IF('[1]P-GENERAL'!E594="","",'[1]P-GENERAL'!E594)</f>
        <v/>
      </c>
      <c r="F594" s="12" t="str">
        <f>IF('[1]P-GENERAL'!F594="","",'[1]P-GENERAL'!F594)</f>
        <v/>
      </c>
      <c r="G594" s="13" t="str">
        <f>IF('[1]P-GENERAL'!G594="","",'[1]P-GENERAL'!G594)</f>
        <v/>
      </c>
      <c r="H594" s="14" t="str">
        <f>IF('[1]P-GENERAL'!H594="","",'[1]P-GENERAL'!H594)</f>
        <v/>
      </c>
      <c r="I594" t="str">
        <f>IF('[1]P-GENERAL'!I594="","",'[1]P-GENERAL'!I594)</f>
        <v/>
      </c>
      <c r="J594" s="15" t="str">
        <f>IF('[1]P-GENERAL'!J594="","",'[1]P-GENERAL'!J594)</f>
        <v/>
      </c>
      <c r="K594" s="14" t="str">
        <f>IF('[1]P-GENERAL'!K594="","",'[1]P-GENERAL'!K594)</f>
        <v/>
      </c>
      <c r="L594" s="14" t="str">
        <f>IF('[1]P-GENERAL'!L594="","",'[1]P-GENERAL'!L594)</f>
        <v/>
      </c>
      <c r="M594" t="str">
        <f>IF('[1]P-GENERAL'!M594="","",'[1]P-GENERAL'!M594)</f>
        <v/>
      </c>
      <c r="N594" t="str">
        <f>IF('[1]P-GENERAL'!N594="","",'[1]P-GENERAL'!N594)</f>
        <v/>
      </c>
      <c r="O594" s="14" t="str">
        <f>IF('[1]P-GENERAL'!O594="","",'[1]P-GENERAL'!O594)</f>
        <v/>
      </c>
      <c r="P594" s="16" t="str">
        <f>IF('[1]P-GENERAL'!P594="","",'[1]P-GENERAL'!P594)</f>
        <v/>
      </c>
      <c r="Q594" t="str">
        <f>IF('[1]P-GENERAL'!Q594="","",'[1]P-GENERAL'!Q594)</f>
        <v/>
      </c>
      <c r="R594" s="14" t="str">
        <f>IF('[1]P-GENERAL'!R594="","",'[1]P-GENERAL'!R594)</f>
        <v/>
      </c>
      <c r="S594" s="16" t="str">
        <f>IF('[1]P-GENERAL'!S594="","",'[1]P-GENERAL'!S594)</f>
        <v/>
      </c>
      <c r="T594" s="16" t="str">
        <f>IF('[1]P-GENERAL'!T594="","",'[1]P-GENERAL'!T594)</f>
        <v/>
      </c>
      <c r="U594" s="17" t="str">
        <f>IF('[1]P-GENERAL'!U594="","",'[1]P-GENERAL'!U594)</f>
        <v/>
      </c>
      <c r="V594" s="14" t="str">
        <f>IF('[1]P-GENERAL'!V594="","",'[1]P-GENERAL'!V594)</f>
        <v/>
      </c>
      <c r="W594" s="16" t="str">
        <f>IF('[1]P-GENERAL'!W594="","",'[1]P-GENERAL'!W594)</f>
        <v/>
      </c>
      <c r="X594" s="14" t="str">
        <f>IF('[1]P-GENERAL'!X594="","",'[1]P-GENERAL'!X594)</f>
        <v/>
      </c>
      <c r="Y594" s="14" t="str">
        <f>IF('[1]P-GENERAL'!Y594="","",'[1]P-GENERAL'!Y594)</f>
        <v/>
      </c>
      <c r="Z594" s="14" t="str">
        <f>IF('[1]P-GENERAL'!Z594="","",'[1]P-GENERAL'!Z594)</f>
        <v/>
      </c>
      <c r="AA594" s="14" t="str">
        <f>IF('[1]P-GENERAL'!AA594="","",'[1]P-GENERAL'!AA594)</f>
        <v/>
      </c>
      <c r="AB594" s="8" t="str">
        <f>IF('[1]P-GENERAL'!AB594="","",'[1]P-GENERAL'!AB594)</f>
        <v/>
      </c>
      <c r="AC594" s="8" t="str">
        <f>IF('[1]P-GENERAL'!AC594="","",'[1]P-GENERAL'!AC594)</f>
        <v/>
      </c>
      <c r="AD594" t="str">
        <f>IF('[1]P-GENERAL'!AD594="","",'[1]P-GENERAL'!AD594)</f>
        <v/>
      </c>
      <c r="AE594" t="str">
        <f>IF('[1]P-GENERAL'!AE594="","",'[1]P-GENERAL'!AE594)</f>
        <v/>
      </c>
    </row>
    <row r="595" spans="1:31" ht="20.25" x14ac:dyDescent="0.3">
      <c r="A595" s="11" t="str">
        <f>IF('[1]P-GENERAL'!A595="","",'[1]P-GENERAL'!A595)</f>
        <v/>
      </c>
      <c r="B595" s="11" t="str">
        <f>IF('[1]P-GENERAL'!B595="","",'[1]P-GENERAL'!B595)</f>
        <v/>
      </c>
      <c r="C595" t="str">
        <f>IF('[1]P-GENERAL'!C595="","",'[1]P-GENERAL'!C595)</f>
        <v/>
      </c>
      <c r="D595" t="str">
        <f>IF('[1]P-GENERAL'!D595="","",'[1]P-GENERAL'!D595)</f>
        <v/>
      </c>
      <c r="E595" s="8" t="str">
        <f>IF('[1]P-GENERAL'!E595="","",'[1]P-GENERAL'!E595)</f>
        <v/>
      </c>
      <c r="F595" s="12" t="str">
        <f>IF('[1]P-GENERAL'!F595="","",'[1]P-GENERAL'!F595)</f>
        <v/>
      </c>
      <c r="G595" s="13" t="str">
        <f>IF('[1]P-GENERAL'!G595="","",'[1]P-GENERAL'!G595)</f>
        <v/>
      </c>
      <c r="H595" s="14" t="str">
        <f>IF('[1]P-GENERAL'!H595="","",'[1]P-GENERAL'!H595)</f>
        <v/>
      </c>
      <c r="I595" t="str">
        <f>IF('[1]P-GENERAL'!I595="","",'[1]P-GENERAL'!I595)</f>
        <v/>
      </c>
      <c r="J595" s="15" t="str">
        <f>IF('[1]P-GENERAL'!J595="","",'[1]P-GENERAL'!J595)</f>
        <v/>
      </c>
      <c r="K595" s="14" t="str">
        <f>IF('[1]P-GENERAL'!K595="","",'[1]P-GENERAL'!K595)</f>
        <v/>
      </c>
      <c r="L595" s="14" t="str">
        <f>IF('[1]P-GENERAL'!L595="","",'[1]P-GENERAL'!L595)</f>
        <v/>
      </c>
      <c r="M595" t="str">
        <f>IF('[1]P-GENERAL'!M595="","",'[1]P-GENERAL'!M595)</f>
        <v/>
      </c>
      <c r="N595" t="str">
        <f>IF('[1]P-GENERAL'!N595="","",'[1]P-GENERAL'!N595)</f>
        <v/>
      </c>
      <c r="O595" s="14" t="str">
        <f>IF('[1]P-GENERAL'!O595="","",'[1]P-GENERAL'!O595)</f>
        <v/>
      </c>
      <c r="P595" s="16" t="str">
        <f>IF('[1]P-GENERAL'!P595="","",'[1]P-GENERAL'!P595)</f>
        <v/>
      </c>
      <c r="Q595" t="str">
        <f>IF('[1]P-GENERAL'!Q595="","",'[1]P-GENERAL'!Q595)</f>
        <v/>
      </c>
      <c r="R595" s="14" t="str">
        <f>IF('[1]P-GENERAL'!R595="","",'[1]P-GENERAL'!R595)</f>
        <v/>
      </c>
      <c r="S595" s="16" t="str">
        <f>IF('[1]P-GENERAL'!S595="","",'[1]P-GENERAL'!S595)</f>
        <v/>
      </c>
      <c r="T595" s="16" t="str">
        <f>IF('[1]P-GENERAL'!T595="","",'[1]P-GENERAL'!T595)</f>
        <v/>
      </c>
      <c r="U595" s="17" t="str">
        <f>IF('[1]P-GENERAL'!U595="","",'[1]P-GENERAL'!U595)</f>
        <v/>
      </c>
      <c r="V595" s="14" t="str">
        <f>IF('[1]P-GENERAL'!V595="","",'[1]P-GENERAL'!V595)</f>
        <v/>
      </c>
      <c r="W595" s="16" t="str">
        <f>IF('[1]P-GENERAL'!W595="","",'[1]P-GENERAL'!W595)</f>
        <v/>
      </c>
      <c r="X595" s="14" t="str">
        <f>IF('[1]P-GENERAL'!X595="","",'[1]P-GENERAL'!X595)</f>
        <v/>
      </c>
      <c r="Y595" s="14" t="str">
        <f>IF('[1]P-GENERAL'!Y595="","",'[1]P-GENERAL'!Y595)</f>
        <v/>
      </c>
      <c r="Z595" s="14" t="str">
        <f>IF('[1]P-GENERAL'!Z595="","",'[1]P-GENERAL'!Z595)</f>
        <v/>
      </c>
      <c r="AA595" s="14" t="str">
        <f>IF('[1]P-GENERAL'!AA595="","",'[1]P-GENERAL'!AA595)</f>
        <v/>
      </c>
      <c r="AB595" s="8" t="str">
        <f>IF('[1]P-GENERAL'!AB595="","",'[1]P-GENERAL'!AB595)</f>
        <v/>
      </c>
      <c r="AC595" s="8" t="str">
        <f>IF('[1]P-GENERAL'!AC595="","",'[1]P-GENERAL'!AC595)</f>
        <v/>
      </c>
      <c r="AD595" t="str">
        <f>IF('[1]P-GENERAL'!AD595="","",'[1]P-GENERAL'!AD595)</f>
        <v/>
      </c>
      <c r="AE595" t="str">
        <f>IF('[1]P-GENERAL'!AE595="","",'[1]P-GENERAL'!AE595)</f>
        <v/>
      </c>
    </row>
    <row r="596" spans="1:31" ht="20.25" x14ac:dyDescent="0.3">
      <c r="A596" s="11" t="str">
        <f>IF('[1]P-GENERAL'!A596="","",'[1]P-GENERAL'!A596)</f>
        <v/>
      </c>
      <c r="B596" s="11" t="str">
        <f>IF('[1]P-GENERAL'!B596="","",'[1]P-GENERAL'!B596)</f>
        <v/>
      </c>
      <c r="C596" t="str">
        <f>IF('[1]P-GENERAL'!C596="","",'[1]P-GENERAL'!C596)</f>
        <v/>
      </c>
      <c r="D596" t="str">
        <f>IF('[1]P-GENERAL'!D596="","",'[1]P-GENERAL'!D596)</f>
        <v/>
      </c>
      <c r="E596" s="8" t="str">
        <f>IF('[1]P-GENERAL'!E596="","",'[1]P-GENERAL'!E596)</f>
        <v/>
      </c>
      <c r="F596" s="12" t="str">
        <f>IF('[1]P-GENERAL'!F596="","",'[1]P-GENERAL'!F596)</f>
        <v/>
      </c>
      <c r="G596" s="13" t="str">
        <f>IF('[1]P-GENERAL'!G596="","",'[1]P-GENERAL'!G596)</f>
        <v/>
      </c>
      <c r="H596" s="14" t="str">
        <f>IF('[1]P-GENERAL'!H596="","",'[1]P-GENERAL'!H596)</f>
        <v/>
      </c>
      <c r="I596" t="str">
        <f>IF('[1]P-GENERAL'!I596="","",'[1]P-GENERAL'!I596)</f>
        <v/>
      </c>
      <c r="J596" s="15" t="str">
        <f>IF('[1]P-GENERAL'!J596="","",'[1]P-GENERAL'!J596)</f>
        <v/>
      </c>
      <c r="K596" s="14" t="str">
        <f>IF('[1]P-GENERAL'!K596="","",'[1]P-GENERAL'!K596)</f>
        <v/>
      </c>
      <c r="L596" s="14" t="str">
        <f>IF('[1]P-GENERAL'!L596="","",'[1]P-GENERAL'!L596)</f>
        <v/>
      </c>
      <c r="M596" t="str">
        <f>IF('[1]P-GENERAL'!M596="","",'[1]P-GENERAL'!M596)</f>
        <v/>
      </c>
      <c r="N596" t="str">
        <f>IF('[1]P-GENERAL'!N596="","",'[1]P-GENERAL'!N596)</f>
        <v/>
      </c>
      <c r="O596" s="14" t="str">
        <f>IF('[1]P-GENERAL'!O596="","",'[1]P-GENERAL'!O596)</f>
        <v/>
      </c>
      <c r="P596" s="16" t="str">
        <f>IF('[1]P-GENERAL'!P596="","",'[1]P-GENERAL'!P596)</f>
        <v/>
      </c>
      <c r="Q596" t="str">
        <f>IF('[1]P-GENERAL'!Q596="","",'[1]P-GENERAL'!Q596)</f>
        <v/>
      </c>
      <c r="R596" s="14" t="str">
        <f>IF('[1]P-GENERAL'!R596="","",'[1]P-GENERAL'!R596)</f>
        <v/>
      </c>
      <c r="S596" s="16" t="str">
        <f>IF('[1]P-GENERAL'!S596="","",'[1]P-GENERAL'!S596)</f>
        <v/>
      </c>
      <c r="T596" s="16" t="str">
        <f>IF('[1]P-GENERAL'!T596="","",'[1]P-GENERAL'!T596)</f>
        <v/>
      </c>
      <c r="U596" s="17" t="str">
        <f>IF('[1]P-GENERAL'!U596="","",'[1]P-GENERAL'!U596)</f>
        <v/>
      </c>
      <c r="V596" s="14" t="str">
        <f>IF('[1]P-GENERAL'!V596="","",'[1]P-GENERAL'!V596)</f>
        <v/>
      </c>
      <c r="W596" s="16" t="str">
        <f>IF('[1]P-GENERAL'!W596="","",'[1]P-GENERAL'!W596)</f>
        <v/>
      </c>
      <c r="X596" s="14" t="str">
        <f>IF('[1]P-GENERAL'!X596="","",'[1]P-GENERAL'!X596)</f>
        <v/>
      </c>
      <c r="Y596" s="14" t="str">
        <f>IF('[1]P-GENERAL'!Y596="","",'[1]P-GENERAL'!Y596)</f>
        <v/>
      </c>
      <c r="Z596" s="14" t="str">
        <f>IF('[1]P-GENERAL'!Z596="","",'[1]P-GENERAL'!Z596)</f>
        <v/>
      </c>
      <c r="AA596" s="14" t="str">
        <f>IF('[1]P-GENERAL'!AA596="","",'[1]P-GENERAL'!AA596)</f>
        <v/>
      </c>
      <c r="AB596" s="8" t="str">
        <f>IF('[1]P-GENERAL'!AB596="","",'[1]P-GENERAL'!AB596)</f>
        <v/>
      </c>
      <c r="AC596" s="8" t="str">
        <f>IF('[1]P-GENERAL'!AC596="","",'[1]P-GENERAL'!AC596)</f>
        <v/>
      </c>
      <c r="AD596" t="str">
        <f>IF('[1]P-GENERAL'!AD596="","",'[1]P-GENERAL'!AD596)</f>
        <v/>
      </c>
      <c r="AE596" t="str">
        <f>IF('[1]P-GENERAL'!AE596="","",'[1]P-GENERAL'!AE596)</f>
        <v/>
      </c>
    </row>
    <row r="597" spans="1:31" ht="20.25" x14ac:dyDescent="0.3">
      <c r="A597" s="11" t="str">
        <f>IF('[1]P-GENERAL'!A597="","",'[1]P-GENERAL'!A597)</f>
        <v/>
      </c>
      <c r="B597" s="11" t="str">
        <f>IF('[1]P-GENERAL'!B597="","",'[1]P-GENERAL'!B597)</f>
        <v/>
      </c>
      <c r="C597" t="str">
        <f>IF('[1]P-GENERAL'!C597="","",'[1]P-GENERAL'!C597)</f>
        <v/>
      </c>
      <c r="D597" t="str">
        <f>IF('[1]P-GENERAL'!D597="","",'[1]P-GENERAL'!D597)</f>
        <v/>
      </c>
      <c r="E597" s="8" t="str">
        <f>IF('[1]P-GENERAL'!E597="","",'[1]P-GENERAL'!E597)</f>
        <v/>
      </c>
      <c r="F597" s="12" t="str">
        <f>IF('[1]P-GENERAL'!F597="","",'[1]P-GENERAL'!F597)</f>
        <v/>
      </c>
      <c r="G597" s="13" t="str">
        <f>IF('[1]P-GENERAL'!G597="","",'[1]P-GENERAL'!G597)</f>
        <v/>
      </c>
      <c r="H597" s="14" t="str">
        <f>IF('[1]P-GENERAL'!H597="","",'[1]P-GENERAL'!H597)</f>
        <v/>
      </c>
      <c r="I597" t="str">
        <f>IF('[1]P-GENERAL'!I597="","",'[1]P-GENERAL'!I597)</f>
        <v/>
      </c>
      <c r="J597" s="15" t="str">
        <f>IF('[1]P-GENERAL'!J597="","",'[1]P-GENERAL'!J597)</f>
        <v/>
      </c>
      <c r="K597" s="14" t="str">
        <f>IF('[1]P-GENERAL'!K597="","",'[1]P-GENERAL'!K597)</f>
        <v/>
      </c>
      <c r="L597" s="14" t="str">
        <f>IF('[1]P-GENERAL'!L597="","",'[1]P-GENERAL'!L597)</f>
        <v/>
      </c>
      <c r="M597" t="str">
        <f>IF('[1]P-GENERAL'!M597="","",'[1]P-GENERAL'!M597)</f>
        <v/>
      </c>
      <c r="N597" t="str">
        <f>IF('[1]P-GENERAL'!N597="","",'[1]P-GENERAL'!N597)</f>
        <v/>
      </c>
      <c r="O597" s="14" t="str">
        <f>IF('[1]P-GENERAL'!O597="","",'[1]P-GENERAL'!O597)</f>
        <v/>
      </c>
      <c r="P597" s="16" t="str">
        <f>IF('[1]P-GENERAL'!P597="","",'[1]P-GENERAL'!P597)</f>
        <v/>
      </c>
      <c r="Q597" t="str">
        <f>IF('[1]P-GENERAL'!Q597="","",'[1]P-GENERAL'!Q597)</f>
        <v/>
      </c>
      <c r="R597" s="14" t="str">
        <f>IF('[1]P-GENERAL'!R597="","",'[1]P-GENERAL'!R597)</f>
        <v/>
      </c>
      <c r="S597" s="16" t="str">
        <f>IF('[1]P-GENERAL'!S597="","",'[1]P-GENERAL'!S597)</f>
        <v/>
      </c>
      <c r="T597" s="16" t="str">
        <f>IF('[1]P-GENERAL'!T597="","",'[1]P-GENERAL'!T597)</f>
        <v/>
      </c>
      <c r="U597" s="17" t="str">
        <f>IF('[1]P-GENERAL'!U597="","",'[1]P-GENERAL'!U597)</f>
        <v/>
      </c>
      <c r="V597" s="14" t="str">
        <f>IF('[1]P-GENERAL'!V597="","",'[1]P-GENERAL'!V597)</f>
        <v/>
      </c>
      <c r="W597" s="16" t="str">
        <f>IF('[1]P-GENERAL'!W597="","",'[1]P-GENERAL'!W597)</f>
        <v/>
      </c>
      <c r="X597" s="14" t="str">
        <f>IF('[1]P-GENERAL'!X597="","",'[1]P-GENERAL'!X597)</f>
        <v/>
      </c>
      <c r="Y597" s="14" t="str">
        <f>IF('[1]P-GENERAL'!Y597="","",'[1]P-GENERAL'!Y597)</f>
        <v/>
      </c>
      <c r="Z597" s="14" t="str">
        <f>IF('[1]P-GENERAL'!Z597="","",'[1]P-GENERAL'!Z597)</f>
        <v/>
      </c>
      <c r="AA597" s="14" t="str">
        <f>IF('[1]P-GENERAL'!AA597="","",'[1]P-GENERAL'!AA597)</f>
        <v/>
      </c>
      <c r="AB597" s="8" t="str">
        <f>IF('[1]P-GENERAL'!AB597="","",'[1]P-GENERAL'!AB597)</f>
        <v/>
      </c>
      <c r="AC597" s="8" t="str">
        <f>IF('[1]P-GENERAL'!AC597="","",'[1]P-GENERAL'!AC597)</f>
        <v/>
      </c>
      <c r="AD597" t="str">
        <f>IF('[1]P-GENERAL'!AD597="","",'[1]P-GENERAL'!AD597)</f>
        <v/>
      </c>
      <c r="AE597" t="str">
        <f>IF('[1]P-GENERAL'!AE597="","",'[1]P-GENERAL'!AE597)</f>
        <v/>
      </c>
    </row>
  </sheetData>
  <autoFilter ref="A1:AE1" xr:uid="{39C3BCB8-85C1-452B-9E4F-441C0811BAE4}"/>
  <conditionalFormatting sqref="X1:Y1">
    <cfRule type="containsText" dxfId="13" priority="13" operator="containsText" text="SI CUMPLE">
      <formula>NOT(ISERROR(SEARCH("SI CUMPLE",X1)))</formula>
    </cfRule>
    <cfRule type="containsText" dxfId="12" priority="14" operator="containsText" text="NO CUMPLE">
      <formula>NOT(ISERROR(SEARCH("NO CUMPLE",X1)))</formula>
    </cfRule>
  </conditionalFormatting>
  <conditionalFormatting sqref="AA1">
    <cfRule type="cellIs" dxfId="11" priority="11" operator="equal">
      <formula>"PREENFRIADO"</formula>
    </cfRule>
    <cfRule type="containsText" dxfId="10" priority="12" operator="containsText" text="DESPACHADO">
      <formula>NOT(ISERROR(SEARCH("DESPACHADO",AA1)))</formula>
    </cfRule>
  </conditionalFormatting>
  <conditionalFormatting sqref="X2:Y238">
    <cfRule type="containsText" dxfId="5" priority="5" operator="containsText" text="SI CUMPLE">
      <formula>NOT(ISERROR(SEARCH("SI CUMPLE",X2)))</formula>
    </cfRule>
    <cfRule type="containsText" dxfId="4" priority="6" operator="containsText" text="NO CUMPLE">
      <formula>NOT(ISERROR(SEARCH("NO CUMPLE",X2)))</formula>
    </cfRule>
  </conditionalFormatting>
  <conditionalFormatting sqref="AA2:AA597">
    <cfRule type="cellIs" dxfId="3" priority="3" operator="equal">
      <formula>"PREENFRIADO"</formula>
    </cfRule>
    <cfRule type="containsText" dxfId="2" priority="4" operator="containsText" text="DESPACHADO">
      <formula>NOT(ISERROR(SEARCH("DESPACHADO",AA2)))</formula>
    </cfRule>
  </conditionalFormatting>
  <conditionalFormatting sqref="X239:Y597">
    <cfRule type="containsText" dxfId="1" priority="1" operator="containsText" text="SI CUMPLE">
      <formula>NOT(ISERROR(SEARCH("SI CUMPLE",X239)))</formula>
    </cfRule>
    <cfRule type="containsText" dxfId="0" priority="2" operator="containsText" text="NO CUMPLE">
      <formula>NOT(ISERROR(SEARCH("NO CUMPLE",X239)))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8528D2613016E4F8BB018856F73371D" ma:contentTypeVersion="17" ma:contentTypeDescription="Crear nuevo documento." ma:contentTypeScope="" ma:versionID="5c3609afe6843af7a81bebb55ab3705b">
  <xsd:schema xmlns:xsd="http://www.w3.org/2001/XMLSchema" xmlns:xs="http://www.w3.org/2001/XMLSchema" xmlns:p="http://schemas.microsoft.com/office/2006/metadata/properties" xmlns:ns2="3d83bf51-5c87-4fb0-ba13-134b9ccf2aac" xmlns:ns3="9ec7a165-d323-4302-8043-ea580ce1e37b" targetNamespace="http://schemas.microsoft.com/office/2006/metadata/properties" ma:root="true" ma:fieldsID="e700fe5959ff58d73b586561e52d5093" ns2:_="" ns3:_="">
    <xsd:import namespace="3d83bf51-5c87-4fb0-ba13-134b9ccf2aac"/>
    <xsd:import namespace="9ec7a165-d323-4302-8043-ea580ce1e37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Audiencias_x0020_de_x0020_destino" minOccurs="0"/>
                <xsd:element ref="ns2:_ModernAudienceTargetUserField" minOccurs="0"/>
                <xsd:element ref="ns2:_ModernAudienceAadObjectIds" minOccurs="0"/>
                <xsd:element ref="ns2:_Flow_SignoffStatu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83bf51-5c87-4fb0-ba13-134b9ccf2a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d34168f3-22f8-4908-aed3-ef41011333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Audiencias_x0020_de_x0020_destino" ma:index="20" nillable="true" ma:displayName="Audiencias de destino" ma:internalName="Audiencias_x0020_de_x0020_destino">
      <xsd:simpleType>
        <xsd:restriction base="dms:Unknown"/>
      </xsd:simpleType>
    </xsd:element>
    <xsd:element name="_ModernAudienceTargetUserField" ma:index="21" nillable="true" ma:displayName="Público" ma:list="UserInfo" ma:SharePointGroup="0" ma:internalName="_ModernAudienceTargetUserField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ModernAudienceAadObjectIds" ma:index="22" nillable="true" ma:displayName="AudienceIds" ma:list="{48885df9-4947-417b-bb3f-162086221ce0}" ma:internalName="_ModernAudienceAadObjectIds" ma:readOnly="true" ma:showField="_AadObjectIdForUser" ma:web="9ec7a165-d323-4302-8043-ea580ce1e3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_Flow_SignoffStatus" ma:index="23" nillable="true" ma:displayName="Estado de aprobación" ma:internalName="_x0024_Resources_x003a_core_x002c_Signoff_Status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c7a165-d323-4302-8043-ea580ce1e37b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a95e3f6b-173e-45cd-8444-10c683f9bcc8}" ma:internalName="TaxCatchAll" ma:showField="CatchAllData" ma:web="9ec7a165-d323-4302-8043-ea580ce1e37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3d83bf51-5c87-4fb0-ba13-134b9ccf2aac" xsi:nil="true"/>
    <TaxCatchAll xmlns="9ec7a165-d323-4302-8043-ea580ce1e37b" xsi:nil="true"/>
    <_ModernAudienceTargetUserField xmlns="3d83bf51-5c87-4fb0-ba13-134b9ccf2aac">
      <UserInfo>
        <DisplayName/>
        <AccountId xsi:nil="true"/>
        <AccountType/>
      </UserInfo>
    </_ModernAudienceTargetUserField>
    <Audiencias_x0020_de_x0020_destino xmlns="3d83bf51-5c87-4fb0-ba13-134b9ccf2aac" xsi:nil="true"/>
    <lcf76f155ced4ddcb4097134ff3c332f xmlns="3d83bf51-5c87-4fb0-ba13-134b9ccf2aa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91CFD34-C0A3-4E82-A697-82501A7E7159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58E319DA-900B-466E-8893-54080C1A42AA}"/>
</file>

<file path=customXml/itemProps3.xml><?xml version="1.0" encoding="utf-8"?>
<ds:datastoreItem xmlns:ds="http://schemas.openxmlformats.org/officeDocument/2006/customXml" ds:itemID="{B6E25B30-CC25-440A-8B61-EF387D680A9E}"/>
</file>

<file path=customXml/itemProps4.xml><?xml version="1.0" encoding="utf-8"?>
<ds:datastoreItem xmlns:ds="http://schemas.openxmlformats.org/officeDocument/2006/customXml" ds:itemID="{39E38117-CFF6-4190-9D62-6FBC467317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Bernardo Escobedo</dc:creator>
  <cp:lastModifiedBy>Bernardo Escobedo</cp:lastModifiedBy>
  <dcterms:created xsi:type="dcterms:W3CDTF">2026-10-12T21:35:32Z</dcterms:created>
  <dcterms:modified xsi:type="dcterms:W3CDTF">2026-10-12T21:56:52Z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0x010100A8528D2613016E4F8BB018856F73371D</vt:lpwstr>
  </property>
</Properties>
</file>