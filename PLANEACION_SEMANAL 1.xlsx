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8. Inventarios/v2.0/"/>
    </mc:Choice>
  </mc:AlternateContent>
  <xr:revisionPtr revIDLastSave="323" documentId="8_{545E5EC0-B69F-4327-BF2C-9EFD71AFF5C3}" xr6:coauthVersionLast="47" xr6:coauthVersionMax="47" xr10:uidLastSave="{8377FB77-D8C0-4AB6-A393-819ECEAE403A}"/>
  <bookViews>
    <workbookView xWindow="-120" yWindow="-120" windowWidth="29040" windowHeight="15720" xr2:uid="{D41B2D9D-66D1-4881-AE1E-852E308D9588}"/>
  </bookViews>
  <sheets>
    <sheet name="PLANEACION" sheetId="1" r:id="rId1"/>
    <sheet name="CATALOGO" sheetId="3" r:id="rId2"/>
  </sheets>
  <definedNames>
    <definedName name="_xlnm._FilterDatabase" localSheetId="0" hidden="1">PLANEACION!$A$1:$M$135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5" i="1" l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2" i="1"/>
  <c r="K2" i="1"/>
  <c r="L2" i="1"/>
  <c r="F3" i="1"/>
  <c r="K3" i="1"/>
  <c r="L3" i="1"/>
  <c r="F4" i="1"/>
  <c r="K4" i="1"/>
  <c r="L4" i="1"/>
  <c r="F5" i="1"/>
  <c r="K5" i="1"/>
  <c r="L5" i="1"/>
  <c r="F6" i="1"/>
  <c r="K6" i="1"/>
  <c r="L6" i="1"/>
  <c r="F7" i="1"/>
  <c r="K7" i="1"/>
  <c r="L7" i="1"/>
  <c r="F8" i="1"/>
  <c r="K8" i="1"/>
  <c r="L8" i="1"/>
  <c r="F9" i="1"/>
  <c r="K9" i="1"/>
  <c r="L9" i="1"/>
  <c r="F10" i="1"/>
  <c r="K10" i="1"/>
  <c r="L10" i="1"/>
  <c r="F11" i="1"/>
  <c r="K11" i="1"/>
  <c r="L11" i="1"/>
  <c r="F12" i="1"/>
  <c r="K12" i="1"/>
  <c r="L12" i="1"/>
  <c r="F13" i="1"/>
  <c r="K13" i="1"/>
  <c r="L13" i="1"/>
  <c r="F14" i="1"/>
  <c r="K14" i="1"/>
  <c r="L14" i="1"/>
  <c r="F15" i="1"/>
  <c r="K15" i="1"/>
  <c r="L15" i="1"/>
  <c r="F16" i="1"/>
  <c r="K16" i="1"/>
  <c r="L16" i="1"/>
  <c r="F17" i="1"/>
  <c r="K17" i="1"/>
  <c r="L17" i="1"/>
  <c r="F18" i="1"/>
  <c r="K18" i="1"/>
  <c r="L18" i="1"/>
  <c r="F19" i="1"/>
  <c r="K19" i="1"/>
  <c r="L19" i="1"/>
  <c r="F20" i="1"/>
  <c r="K20" i="1"/>
  <c r="L20" i="1"/>
  <c r="F21" i="1"/>
  <c r="K21" i="1"/>
  <c r="L21" i="1"/>
  <c r="F22" i="1"/>
  <c r="K22" i="1"/>
  <c r="L22" i="1"/>
  <c r="F23" i="1"/>
  <c r="K23" i="1"/>
  <c r="L23" i="1"/>
  <c r="F24" i="1"/>
  <c r="K24" i="1"/>
  <c r="L24" i="1"/>
  <c r="F25" i="1"/>
  <c r="K25" i="1"/>
  <c r="L25" i="1"/>
  <c r="F26" i="1"/>
  <c r="K26" i="1"/>
  <c r="L26" i="1"/>
  <c r="F27" i="1"/>
  <c r="K27" i="1"/>
  <c r="L27" i="1"/>
  <c r="F28" i="1"/>
  <c r="K28" i="1"/>
  <c r="L28" i="1"/>
  <c r="F29" i="1"/>
  <c r="K29" i="1"/>
  <c r="L29" i="1"/>
  <c r="F30" i="1"/>
  <c r="K30" i="1"/>
  <c r="L30" i="1"/>
  <c r="F31" i="1"/>
  <c r="K31" i="1"/>
  <c r="L31" i="1"/>
  <c r="F32" i="1"/>
  <c r="K32" i="1"/>
  <c r="L32" i="1"/>
  <c r="F33" i="1"/>
  <c r="K33" i="1"/>
  <c r="L33" i="1"/>
  <c r="F34" i="1"/>
  <c r="K34" i="1"/>
  <c r="L34" i="1"/>
  <c r="F35" i="1"/>
  <c r="K35" i="1"/>
  <c r="L35" i="1"/>
  <c r="F36" i="1"/>
  <c r="K36" i="1"/>
  <c r="L36" i="1"/>
  <c r="F37" i="1"/>
  <c r="K37" i="1"/>
  <c r="L37" i="1"/>
  <c r="F38" i="1"/>
  <c r="K38" i="1"/>
  <c r="L38" i="1"/>
  <c r="F39" i="1"/>
  <c r="K39" i="1"/>
  <c r="L39" i="1"/>
  <c r="F40" i="1"/>
  <c r="K40" i="1"/>
  <c r="L40" i="1"/>
  <c r="F41" i="1"/>
  <c r="K41" i="1"/>
  <c r="L41" i="1"/>
  <c r="F42" i="1"/>
  <c r="K42" i="1"/>
  <c r="L42" i="1"/>
  <c r="F43" i="1"/>
  <c r="K43" i="1"/>
  <c r="L43" i="1"/>
  <c r="F44" i="1"/>
  <c r="K44" i="1"/>
  <c r="L44" i="1"/>
  <c r="F45" i="1"/>
  <c r="K45" i="1"/>
  <c r="L45" i="1"/>
  <c r="F46" i="1"/>
  <c r="K46" i="1"/>
  <c r="L46" i="1"/>
  <c r="F47" i="1"/>
  <c r="K47" i="1"/>
  <c r="L47" i="1"/>
  <c r="F48" i="1"/>
  <c r="K48" i="1"/>
  <c r="L48" i="1"/>
  <c r="F49" i="1"/>
  <c r="K49" i="1"/>
  <c r="L49" i="1"/>
  <c r="F50" i="1"/>
  <c r="K50" i="1"/>
  <c r="L50" i="1"/>
  <c r="F51" i="1"/>
  <c r="K51" i="1"/>
  <c r="L51" i="1"/>
  <c r="F52" i="1"/>
  <c r="K52" i="1"/>
  <c r="L52" i="1"/>
  <c r="F53" i="1"/>
  <c r="K53" i="1"/>
  <c r="L53" i="1"/>
  <c r="F54" i="1"/>
  <c r="K54" i="1"/>
  <c r="L54" i="1"/>
  <c r="K55" i="1"/>
  <c r="L55" i="1"/>
  <c r="L62" i="1" l="1"/>
  <c r="L61" i="1"/>
  <c r="L60" i="1"/>
  <c r="L59" i="1"/>
  <c r="L58" i="1"/>
  <c r="L57" i="1"/>
  <c r="L56" i="1"/>
  <c r="K62" i="1"/>
  <c r="K61" i="1"/>
  <c r="K60" i="1"/>
  <c r="K59" i="1"/>
  <c r="K58" i="1"/>
  <c r="K57" i="1"/>
  <c r="K56" i="1"/>
</calcChain>
</file>

<file path=xl/sharedStrings.xml><?xml version="1.0" encoding="utf-8"?>
<sst xmlns="http://schemas.openxmlformats.org/spreadsheetml/2006/main" count="822" uniqueCount="181">
  <si>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</si>
  <si>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</si>
  <si>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</si>
  <si>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</si>
  <si>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</si>
  <si>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</si>
  <si>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</si>
  <si>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</si>
  <si>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</si>
  <si>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</si>
  <si>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</si>
  <si>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</si>
  <si>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</si>
  <si>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Chanitos Premium EUA Tarima Americana</t>
  </si>
  <si>
    <t>CPR01104</t>
  </si>
  <si>
    <t>A11045-370709-1</t>
  </si>
  <si>
    <t>A11 045 Sector Mazatan</t>
  </si>
  <si>
    <t>McAllen</t>
  </si>
  <si>
    <t>A01002-370709-1</t>
  </si>
  <si>
    <t>A01 002 Fortaleza</t>
  </si>
  <si>
    <t>Chanitos Organic Banded Market Side Mexico</t>
  </si>
  <si>
    <t>CRG07128</t>
  </si>
  <si>
    <t>VSA</t>
  </si>
  <si>
    <t>Platano de Chiapas BAE UPC 3237</t>
  </si>
  <si>
    <t>CPR01114</t>
  </si>
  <si>
    <t>Chalco</t>
  </si>
  <si>
    <t>Chanitos Premium Tarima Chep</t>
  </si>
  <si>
    <t>CPR01102</t>
  </si>
  <si>
    <t>QRO</t>
  </si>
  <si>
    <t>Chanitos Premium Granel</t>
  </si>
  <si>
    <t>CPR01101</t>
  </si>
  <si>
    <t>CEDA</t>
  </si>
  <si>
    <t>Granel</t>
  </si>
  <si>
    <t>Chanitos Cha Cha Cha (2da) Granel</t>
  </si>
  <si>
    <t>CSA04120</t>
  </si>
  <si>
    <t>A01002-370709-4</t>
  </si>
  <si>
    <t>Chanitos Manitas Granel</t>
  </si>
  <si>
    <t>CMN05123</t>
  </si>
  <si>
    <t>A01002-370709-3</t>
  </si>
  <si>
    <t>Chanitos Cha Cha Cha (DS) Granel</t>
  </si>
  <si>
    <t>CDS04122</t>
  </si>
  <si>
    <t>A01002-370709-5</t>
  </si>
  <si>
    <t>A01001-370709-1</t>
  </si>
  <si>
    <t>A01 001 Marbella</t>
  </si>
  <si>
    <t>A01001-370709-4</t>
  </si>
  <si>
    <t>A01001-370709-3</t>
  </si>
  <si>
    <t>A01001-370709-5</t>
  </si>
  <si>
    <t>A01003-370709-1</t>
  </si>
  <si>
    <t>A01 003 Doña Nelly</t>
  </si>
  <si>
    <t>A01003-370709-4</t>
  </si>
  <si>
    <t>A01003-370709-3</t>
  </si>
  <si>
    <t>A01003-370709-5</t>
  </si>
  <si>
    <t>A11045-370809-1</t>
  </si>
  <si>
    <t>SMO</t>
  </si>
  <si>
    <t>A04084-370809-1</t>
  </si>
  <si>
    <t>A04 084 Lisboa</t>
  </si>
  <si>
    <t>A04039-370809-1</t>
  </si>
  <si>
    <t>A04 039 San Jose Morelia Nava</t>
  </si>
  <si>
    <t>Chanitos Premium Tarima Americana</t>
  </si>
  <si>
    <t>CPR01103</t>
  </si>
  <si>
    <t>S-MTY</t>
  </si>
  <si>
    <t>Chanitos Cha Cha Cha 22XU CP27 Mar Kodawari</t>
  </si>
  <si>
    <t>CPR03124</t>
  </si>
  <si>
    <t>A01001-370809-1</t>
  </si>
  <si>
    <t>Japon</t>
  </si>
  <si>
    <t>Chanitos Cha Cha Cha 22XU  CP34 Mar Kodawari</t>
  </si>
  <si>
    <t>CPR03119</t>
  </si>
  <si>
    <t>A01001-370809-4</t>
  </si>
  <si>
    <t>A01001-370809-3</t>
  </si>
  <si>
    <t>A01001-370809-5</t>
  </si>
  <si>
    <t>Chanitos Plantain 20Kg Tarima Chep</t>
  </si>
  <si>
    <t>CPL08141</t>
  </si>
  <si>
    <t>A41100-370809-1</t>
  </si>
  <si>
    <t>A41 100 Doña Lupe JV</t>
  </si>
  <si>
    <t>A01003-370809-1</t>
  </si>
  <si>
    <t>A01003-370809-4</t>
  </si>
  <si>
    <t>A01003-370809-3</t>
  </si>
  <si>
    <t>A01003-370809-5</t>
  </si>
  <si>
    <t>A01002-370809-1</t>
  </si>
  <si>
    <t>A01002-370809-4</t>
  </si>
  <si>
    <t>A01002-370809-3</t>
  </si>
  <si>
    <t>A01002-370809-5</t>
  </si>
  <si>
    <t>A11045-370909-1</t>
  </si>
  <si>
    <t>A04084-370909-1</t>
  </si>
  <si>
    <t>A04039-370909-1</t>
  </si>
  <si>
    <t>A01002-370909-1</t>
  </si>
  <si>
    <t>A01002-370909-4</t>
  </si>
  <si>
    <t>A01002-370909-3</t>
  </si>
  <si>
    <t>A01002-370909-5</t>
  </si>
  <si>
    <t>A01004-370909-1</t>
  </si>
  <si>
    <t>A01 004 La Ceiba</t>
  </si>
  <si>
    <t>A01004-370909-4</t>
  </si>
  <si>
    <t>A01004-370909-3</t>
  </si>
  <si>
    <t>A01004-370909-5</t>
  </si>
  <si>
    <t>A01001-370909-1</t>
  </si>
  <si>
    <t>A01001-370909-4</t>
  </si>
  <si>
    <t>A01001-370909-3</t>
  </si>
  <si>
    <t>A01001-370909-5</t>
  </si>
  <si>
    <t>A04084-371009-1</t>
  </si>
  <si>
    <t>A04039-371009-1</t>
  </si>
  <si>
    <t>A04037-371009-1</t>
  </si>
  <si>
    <t>A04 037 Josefina Nava</t>
  </si>
  <si>
    <t>A06043-371009-1</t>
  </si>
  <si>
    <t>A06 043 Nuestra señora</t>
  </si>
  <si>
    <t>A01003-371009-1</t>
  </si>
  <si>
    <t>A01003-371009-4</t>
  </si>
  <si>
    <t>A01003-371009-3</t>
  </si>
  <si>
    <t>A01003-371009-5</t>
  </si>
  <si>
    <t>A01001-371009-1</t>
  </si>
  <si>
    <t>A01001-371009-4</t>
  </si>
  <si>
    <t>A01001-371009-3</t>
  </si>
  <si>
    <t>A01001-371009-5</t>
  </si>
  <si>
    <t>A01002-371009-1</t>
  </si>
  <si>
    <t>MTY</t>
  </si>
  <si>
    <t>A01002-371009-4</t>
  </si>
  <si>
    <t>A01002-371009-3</t>
  </si>
  <si>
    <t>A01002-371009-5</t>
  </si>
  <si>
    <t>A04084-371109-1</t>
  </si>
  <si>
    <t>A06043-371109-1</t>
  </si>
  <si>
    <t>Chanitos Plantain 50lb Tarima Americana</t>
  </si>
  <si>
    <t>CPL08133</t>
  </si>
  <si>
    <t>A27073-371109-1</t>
  </si>
  <si>
    <t>A27 073 Plantacion</t>
  </si>
  <si>
    <t>A01003-371109-1</t>
  </si>
  <si>
    <t>A01003-371109-4</t>
  </si>
  <si>
    <t>A01003-371109-3</t>
  </si>
  <si>
    <t>A01003-371109-5</t>
  </si>
  <si>
    <t>A01001-371109-1</t>
  </si>
  <si>
    <t>A01001-371109-4</t>
  </si>
  <si>
    <t>A01001-371109-3</t>
  </si>
  <si>
    <t>A01001-371109-5</t>
  </si>
  <si>
    <t>A01002-371109-1</t>
  </si>
  <si>
    <t>A01002-371109-4</t>
  </si>
  <si>
    <t>A01002-371109-3</t>
  </si>
  <si>
    <t>A01002-371109-5</t>
  </si>
  <si>
    <t>A04037-371209-1</t>
  </si>
  <si>
    <t>A01004-371209-1</t>
  </si>
  <si>
    <t>A01004-371209-4</t>
  </si>
  <si>
    <t>A01004-371209-3</t>
  </si>
  <si>
    <t>A01004-371209-5</t>
  </si>
  <si>
    <t>A01002-371209-1</t>
  </si>
  <si>
    <t>A01002-371209-4</t>
  </si>
  <si>
    <t>A01002-371209-3</t>
  </si>
  <si>
    <t>A01002-371209-5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</si>
  <si>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</si>
  <si>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</si>
  <si>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</si>
  <si>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</si>
  <si>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</si>
  <si>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</si>
  <si>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</si>
  <si>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</si>
  <si>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</si>
  <si>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</si>
  <si>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</si>
  <si>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</si>
  <si>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</si>
  <si>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</si>
  <si>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</si>
  <si>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</si>
  <si>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</si>
  <si>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</si>
  <si>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</si>
  <si>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</si>
  <si>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</si>
  <si>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</si>
  <si>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</si>
  <si>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</si>
  <si>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</si>
  <si>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</si>
  <si>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</si>
  <si>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</si>
  <si>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</si>
  <si>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</si>
  <si>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</si>
  <si>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</si>
  <si>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</si>
  <si>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Tultitlán</t>
  </si>
  <si>
    <t>Tulti-CEDA</t>
  </si>
  <si>
    <t>Tabasco</t>
  </si>
  <si>
    <t>Zumpango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</si>
</sst>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Nova Cond Light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11"/>
      <color theme="1"/>
      <name val="Arial Nova Cond Light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3" xfId="0" applyFill="1" applyBorder="1"/>
    <xf numFmtId="0" fontId="0" fillId="0" borderId="3" xfId="0" applyBorder="1"/>
    <xf numFmtId="20" fontId="0" fillId="0" borderId="3" xfId="0" applyNumberFormat="1" applyBorder="1"/>
    <xf numFmtId="0" fontId="0" fillId="0" borderId="3" xfId="0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3" fontId="4" fillId="7" borderId="0" xfId="0" applyNumberFormat="1" applyFont="1" applyFill="1" applyAlignment="1">
      <alignment horizontal="center" vertical="center"/>
    </xf>
    <xf numFmtId="3" fontId="4" fillId="8" borderId="0" xfId="0" applyNumberFormat="1" applyFont="1" applyFill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4" fillId="4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165" fontId="4" fillId="9" borderId="0" xfId="0" applyNumberFormat="1" applyFont="1" applyFill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4" fillId="10" borderId="0" xfId="0" applyNumberFormat="1" applyFont="1" applyFill="1" applyAlignment="1">
      <alignment horizontal="center" vertical="center"/>
    </xf>
    <xf numFmtId="3" fontId="4" fillId="11" borderId="0" xfId="0" applyNumberFormat="1" applyFont="1" applyFill="1" applyAlignment="1">
      <alignment horizontal="center" vertical="center"/>
    </xf>
    <xf numFmtId="165" fontId="4" fillId="10" borderId="0" xfId="0" applyNumberFormat="1" applyFont="1" applyFill="1" applyAlignment="1">
      <alignment horizontal="center" vertical="center"/>
    </xf>
    <xf numFmtId="165" fontId="4" fillId="10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</cellXfs>
  <cellStyles count="2">
    <cellStyle name="Millares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M139"/>
  <sheetViews>
    <sheetView tabSelected="1" zoomScale="90" zoomScaleNormal="90" workbookViewId="0">
      <pane ySplit="1" topLeftCell="A2" activePane="bottomLeft" state="frozen"/>
      <selection pane="bottomLeft" activeCell="I6" sqref="I6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3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1" t="s">
        <v>9</v>
      </c>
      <c r="K1" s="5" t="s">
        <v>10</v>
      </c>
      <c r="L1" s="5" t="s">
        <v>11</v>
      </c>
      <c r="M1" s="1" t="s">
        <v>12</v>
      </c>
    </row>
    <row r="2" spans="1:13" x14ac:dyDescent="0.25">
      <c r="A2" s="13" t="s">
        <v>13</v>
      </c>
      <c r="B2" s="13" t="s">
        <v>14</v>
      </c>
      <c r="C2" s="33" t="s">
        <v>15</v>
      </c>
      <c r="D2" s="30" t="s">
        <v>16</v>
      </c>
      <c r="E2" s="13" t="s">
        <v>17</v>
      </c>
      <c r="F2" s="6">
        <f>+VLOOKUP(E2,CATALOGO!G:L,6,0)</f>
        <v>8</v>
      </c>
      <c r="G2" s="16">
        <v>960</v>
      </c>
      <c r="H2" s="16">
        <v>20</v>
      </c>
      <c r="I2" s="24">
        <v>46272</v>
      </c>
      <c r="J2" s="12">
        <v>37</v>
      </c>
      <c r="K2">
        <f>+IF(E2="","",VLOOKUP(E2,CATALOGO!G:I,2,0))</f>
        <v>3</v>
      </c>
      <c r="L2">
        <f>+IF(E2="","",VLOOKUP(E2,CATALOGO!G:I,3,0))</f>
        <v>72</v>
      </c>
      <c r="M2" s="21">
        <v>46276</v>
      </c>
    </row>
    <row r="3" spans="1:13" x14ac:dyDescent="0.25">
      <c r="A3" s="13" t="s">
        <v>13</v>
      </c>
      <c r="B3" s="13" t="s">
        <v>14</v>
      </c>
      <c r="C3" s="33" t="s">
        <v>15</v>
      </c>
      <c r="D3" s="30" t="s">
        <v>16</v>
      </c>
      <c r="E3" s="13" t="s">
        <v>17</v>
      </c>
      <c r="F3" s="6">
        <f>+VLOOKUP(E3,CATALOGO!G:L,6,0)</f>
        <v>8</v>
      </c>
      <c r="G3" s="16">
        <v>960</v>
      </c>
      <c r="H3" s="16">
        <v>20</v>
      </c>
      <c r="I3" s="37">
        <v>46272</v>
      </c>
      <c r="J3" s="12">
        <v>37</v>
      </c>
      <c r="K3">
        <f>+IF(E3="","",VLOOKUP(E3,CATALOGO!G:I,2,0))</f>
        <v>3</v>
      </c>
      <c r="L3">
        <f>+IF(E3="","",VLOOKUP(E3,CATALOGO!G:I,3,0))</f>
        <v>72</v>
      </c>
      <c r="M3" s="21">
        <v>46276</v>
      </c>
    </row>
    <row r="4" spans="1:13" x14ac:dyDescent="0.25">
      <c r="A4" s="13" t="s">
        <v>13</v>
      </c>
      <c r="B4" s="13" t="s">
        <v>14</v>
      </c>
      <c r="C4" s="33" t="s">
        <v>18</v>
      </c>
      <c r="D4" s="30" t="s">
        <v>19</v>
      </c>
      <c r="E4" s="13" t="s">
        <v>17</v>
      </c>
      <c r="F4" s="6">
        <f>+VLOOKUP(E4,CATALOGO!G:L,6,0)</f>
        <v>8</v>
      </c>
      <c r="G4" s="17">
        <v>240</v>
      </c>
      <c r="H4" s="17">
        <v>5</v>
      </c>
      <c r="I4" s="24">
        <v>46272</v>
      </c>
      <c r="J4" s="12">
        <v>37</v>
      </c>
      <c r="K4">
        <f>+IF(E4="","",VLOOKUP(E4,CATALOGO!G:I,2,0))</f>
        <v>3</v>
      </c>
      <c r="L4">
        <f>+IF(E4="","",VLOOKUP(E4,CATALOGO!G:I,3,0))</f>
        <v>72</v>
      </c>
      <c r="M4" s="21">
        <v>46275</v>
      </c>
    </row>
    <row r="5" spans="1:13" x14ac:dyDescent="0.25">
      <c r="A5" s="13" t="s">
        <v>20</v>
      </c>
      <c r="B5" s="13" t="s">
        <v>21</v>
      </c>
      <c r="C5" s="33" t="s">
        <v>18</v>
      </c>
      <c r="D5" s="30" t="s">
        <v>19</v>
      </c>
      <c r="E5" s="13" t="s">
        <v>22</v>
      </c>
      <c r="F5" s="6">
        <f>+VLOOKUP(E5,CATALOGO!G:L,6,0)</f>
        <v>6</v>
      </c>
      <c r="G5" s="16">
        <v>48</v>
      </c>
      <c r="H5" s="16">
        <v>1</v>
      </c>
      <c r="I5" s="24">
        <v>46272</v>
      </c>
      <c r="J5" s="12">
        <v>37</v>
      </c>
      <c r="K5">
        <f>+IF(E5="","",VLOOKUP(E5,CATALOGO!G:I,2,0))</f>
        <v>1</v>
      </c>
      <c r="L5">
        <f>+IF(E5="","",VLOOKUP(E5,CATALOGO!G:I,3,0))</f>
        <v>24</v>
      </c>
      <c r="M5" s="21">
        <v>46275</v>
      </c>
    </row>
    <row r="6" spans="1:13" x14ac:dyDescent="0.25">
      <c r="A6" s="13" t="s">
        <v>23</v>
      </c>
      <c r="B6" s="13" t="s">
        <v>24</v>
      </c>
      <c r="C6" s="33" t="s">
        <v>18</v>
      </c>
      <c r="D6" s="30" t="s">
        <v>19</v>
      </c>
      <c r="E6" s="13" t="s">
        <v>25</v>
      </c>
      <c r="F6" s="6">
        <f>+VLOOKUP(E6,CATALOGO!G:L,6,0)</f>
        <v>5</v>
      </c>
      <c r="G6" s="16">
        <v>84</v>
      </c>
      <c r="H6" s="16">
        <v>1.75</v>
      </c>
      <c r="I6" s="24">
        <v>46272</v>
      </c>
      <c r="J6" s="12">
        <v>37</v>
      </c>
      <c r="K6">
        <f>+IF(E6="","",VLOOKUP(E6,CATALOGO!G:I,2,0))</f>
        <v>1</v>
      </c>
      <c r="L6">
        <f>+IF(E6="","",VLOOKUP(E6,CATALOGO!G:I,3,0))</f>
        <v>24</v>
      </c>
      <c r="M6" s="21">
        <v>46276</v>
      </c>
    </row>
    <row r="7" spans="1:13" x14ac:dyDescent="0.25">
      <c r="A7" s="13" t="s">
        <v>26</v>
      </c>
      <c r="B7" s="13" t="s">
        <v>27</v>
      </c>
      <c r="C7" s="33" t="s">
        <v>18</v>
      </c>
      <c r="D7" s="30" t="s">
        <v>19</v>
      </c>
      <c r="E7" s="13" t="s">
        <v>25</v>
      </c>
      <c r="F7" s="6">
        <f>+VLOOKUP(E7,CATALOGO!G:L,6,0)</f>
        <v>5</v>
      </c>
      <c r="G7" s="16">
        <v>204</v>
      </c>
      <c r="H7" s="16">
        <v>4.25</v>
      </c>
      <c r="I7" s="24">
        <v>46272</v>
      </c>
      <c r="J7" s="12">
        <v>37</v>
      </c>
      <c r="K7">
        <f>+IF(E7="","",VLOOKUP(E7,CATALOGO!G:I,2,0))</f>
        <v>1</v>
      </c>
      <c r="L7">
        <f>+IF(E7="","",VLOOKUP(E7,CATALOGO!G:I,3,0))</f>
        <v>24</v>
      </c>
      <c r="M7" s="21">
        <v>46276</v>
      </c>
    </row>
    <row r="8" spans="1:13" x14ac:dyDescent="0.25">
      <c r="A8" s="13" t="s">
        <v>26</v>
      </c>
      <c r="B8" s="13" t="s">
        <v>27</v>
      </c>
      <c r="C8" s="33" t="s">
        <v>18</v>
      </c>
      <c r="D8" s="30" t="s">
        <v>19</v>
      </c>
      <c r="E8" s="13" t="s">
        <v>28</v>
      </c>
      <c r="F8" s="6">
        <f>+VLOOKUP(E8,CATALOGO!G:L,6,0)</f>
        <v>3</v>
      </c>
      <c r="G8" s="16">
        <v>480</v>
      </c>
      <c r="H8" s="16">
        <v>10</v>
      </c>
      <c r="I8" s="24">
        <v>46272</v>
      </c>
      <c r="J8" s="12">
        <v>37</v>
      </c>
      <c r="K8">
        <f>+IF(E8="","",VLOOKUP(E8,CATALOGO!G:I,2,0))</f>
        <v>1.5</v>
      </c>
      <c r="L8">
        <f>+IF(E8="","",VLOOKUP(E8,CATALOGO!G:I,3,0))</f>
        <v>36</v>
      </c>
      <c r="M8" s="21">
        <v>46276</v>
      </c>
    </row>
    <row r="9" spans="1:13" x14ac:dyDescent="0.25">
      <c r="A9" s="13" t="s">
        <v>20</v>
      </c>
      <c r="B9" s="13" t="s">
        <v>21</v>
      </c>
      <c r="C9" s="33" t="s">
        <v>18</v>
      </c>
      <c r="D9" s="30" t="s">
        <v>19</v>
      </c>
      <c r="E9" s="13" t="s">
        <v>28</v>
      </c>
      <c r="F9" s="6">
        <f>+VLOOKUP(E9,CATALOGO!G:L,6,0)</f>
        <v>3</v>
      </c>
      <c r="G9" s="16">
        <v>96</v>
      </c>
      <c r="H9" s="16">
        <v>2</v>
      </c>
      <c r="I9" s="24">
        <v>46272</v>
      </c>
      <c r="J9" s="12">
        <v>37</v>
      </c>
      <c r="K9">
        <f>+IF(E9="","",VLOOKUP(E9,CATALOGO!G:I,2,0))</f>
        <v>1.5</v>
      </c>
      <c r="L9">
        <f>+IF(E9="","",VLOOKUP(E9,CATALOGO!G:I,3,0))</f>
        <v>36</v>
      </c>
      <c r="M9" s="21">
        <v>46276</v>
      </c>
    </row>
    <row r="10" spans="1:13" x14ac:dyDescent="0.25">
      <c r="A10" s="13" t="s">
        <v>26</v>
      </c>
      <c r="B10" s="13" t="s">
        <v>27</v>
      </c>
      <c r="C10" s="33" t="s">
        <v>18</v>
      </c>
      <c r="D10" s="30" t="s">
        <v>19</v>
      </c>
      <c r="E10" s="13" t="s">
        <v>22</v>
      </c>
      <c r="F10" s="6">
        <f>+VLOOKUP(E10,CATALOGO!G:L,6,0)</f>
        <v>6</v>
      </c>
      <c r="G10" s="35">
        <v>96</v>
      </c>
      <c r="H10" s="16">
        <v>2</v>
      </c>
      <c r="I10" s="24">
        <v>46272</v>
      </c>
      <c r="J10" s="12">
        <v>37</v>
      </c>
      <c r="K10">
        <f>+IF(E10="","",VLOOKUP(E10,CATALOGO!G:I,2,0))</f>
        <v>1</v>
      </c>
      <c r="L10">
        <f>+IF(E10="","",VLOOKUP(E10,CATALOGO!G:I,3,0))</f>
        <v>24</v>
      </c>
      <c r="M10" s="21">
        <v>46277</v>
      </c>
    </row>
    <row r="11" spans="1:13" x14ac:dyDescent="0.25">
      <c r="A11" s="13" t="s">
        <v>29</v>
      </c>
      <c r="B11" s="13" t="s">
        <v>30</v>
      </c>
      <c r="C11" s="33" t="s">
        <v>18</v>
      </c>
      <c r="D11" s="30" t="s">
        <v>19</v>
      </c>
      <c r="E11" s="13" t="s">
        <v>31</v>
      </c>
      <c r="F11" s="6">
        <f>+VLOOKUP(E11,CATALOGO!G:L,6,0)</f>
        <v>0</v>
      </c>
      <c r="G11" s="16">
        <v>10</v>
      </c>
      <c r="H11" s="16" t="s">
        <v>32</v>
      </c>
      <c r="I11" s="24">
        <v>46272</v>
      </c>
      <c r="J11" s="12">
        <v>37</v>
      </c>
      <c r="K11">
        <f>+IF(E11="","",VLOOKUP(E11,CATALOGO!G:I,2,0))</f>
        <v>1.5</v>
      </c>
      <c r="L11">
        <f>+IF(E11="","",VLOOKUP(E11,CATALOGO!G:I,3,0))</f>
        <v>36</v>
      </c>
      <c r="M11" s="21">
        <v>46276</v>
      </c>
    </row>
    <row r="12" spans="1:13" x14ac:dyDescent="0.25">
      <c r="A12" s="13" t="s">
        <v>33</v>
      </c>
      <c r="B12" s="13" t="s">
        <v>34</v>
      </c>
      <c r="C12" s="33" t="s">
        <v>35</v>
      </c>
      <c r="D12" s="30" t="s">
        <v>19</v>
      </c>
      <c r="E12" s="13" t="s">
        <v>31</v>
      </c>
      <c r="F12" s="6">
        <f>+VLOOKUP(E12,CATALOGO!G:L,6,0)</f>
        <v>0</v>
      </c>
      <c r="G12" s="16">
        <v>48</v>
      </c>
      <c r="H12" s="16" t="s">
        <v>32</v>
      </c>
      <c r="I12" s="24">
        <v>46272</v>
      </c>
      <c r="J12" s="12">
        <v>37</v>
      </c>
      <c r="K12">
        <f>+IF(E12="","",VLOOKUP(E12,CATALOGO!G:I,2,0))</f>
        <v>1.5</v>
      </c>
      <c r="L12">
        <f>+IF(E12="","",VLOOKUP(E12,CATALOGO!G:I,3,0))</f>
        <v>36</v>
      </c>
      <c r="M12" s="21">
        <v>46276</v>
      </c>
    </row>
    <row r="13" spans="1:13" x14ac:dyDescent="0.25">
      <c r="A13" s="13" t="s">
        <v>36</v>
      </c>
      <c r="B13" s="13" t="s">
        <v>37</v>
      </c>
      <c r="C13" s="33" t="s">
        <v>38</v>
      </c>
      <c r="D13" s="30" t="s">
        <v>19</v>
      </c>
      <c r="E13" s="13" t="s">
        <v>31</v>
      </c>
      <c r="F13" s="6">
        <f>+VLOOKUP(E13,CATALOGO!G:L,6,0)</f>
        <v>0</v>
      </c>
      <c r="G13" s="16">
        <v>63</v>
      </c>
      <c r="H13" s="16" t="s">
        <v>32</v>
      </c>
      <c r="I13" s="24">
        <v>46272</v>
      </c>
      <c r="J13" s="12">
        <v>37</v>
      </c>
      <c r="K13">
        <f>+IF(E13="","",VLOOKUP(E13,CATALOGO!G:I,2,0))</f>
        <v>1.5</v>
      </c>
      <c r="L13">
        <f>+IF(E13="","",VLOOKUP(E13,CATALOGO!G:I,3,0))</f>
        <v>36</v>
      </c>
      <c r="M13" s="21">
        <v>46276</v>
      </c>
    </row>
    <row r="14" spans="1:13" x14ac:dyDescent="0.25">
      <c r="A14" s="13" t="s">
        <v>39</v>
      </c>
      <c r="B14" s="13" t="s">
        <v>40</v>
      </c>
      <c r="C14" s="33" t="s">
        <v>41</v>
      </c>
      <c r="D14" s="30" t="s">
        <v>19</v>
      </c>
      <c r="E14" s="13" t="s">
        <v>31</v>
      </c>
      <c r="F14" s="6">
        <f>+VLOOKUP(E14,CATALOGO!G:L,6,0)</f>
        <v>0</v>
      </c>
      <c r="G14" s="16">
        <v>20</v>
      </c>
      <c r="H14" s="16" t="s">
        <v>32</v>
      </c>
      <c r="I14" s="24">
        <v>46272</v>
      </c>
      <c r="J14" s="12">
        <v>37</v>
      </c>
      <c r="K14">
        <f>+IF(E14="","",VLOOKUP(E14,CATALOGO!G:I,2,0))</f>
        <v>1.5</v>
      </c>
      <c r="L14">
        <f>+IF(E14="","",VLOOKUP(E14,CATALOGO!G:I,3,0))</f>
        <v>36</v>
      </c>
      <c r="M14" s="21">
        <v>46276</v>
      </c>
    </row>
    <row r="15" spans="1:13" x14ac:dyDescent="0.25">
      <c r="A15" s="13" t="s">
        <v>23</v>
      </c>
      <c r="B15" s="13" t="s">
        <v>24</v>
      </c>
      <c r="C15" s="33" t="s">
        <v>42</v>
      </c>
      <c r="D15" s="30" t="s">
        <v>43</v>
      </c>
      <c r="E15" s="13" t="s">
        <v>25</v>
      </c>
      <c r="F15" s="6">
        <f>+VLOOKUP(E15,CATALOGO!G:L,6,0)</f>
        <v>5</v>
      </c>
      <c r="G15" s="16">
        <v>66</v>
      </c>
      <c r="H15" s="16">
        <v>1.375</v>
      </c>
      <c r="I15" s="24">
        <v>46272</v>
      </c>
      <c r="J15" s="12">
        <v>37</v>
      </c>
      <c r="K15">
        <f>+IF(E15="","",VLOOKUP(E15,CATALOGO!G:I,2,0))</f>
        <v>1</v>
      </c>
      <c r="L15">
        <f>+IF(E15="","",VLOOKUP(E15,CATALOGO!G:I,3,0))</f>
        <v>24</v>
      </c>
      <c r="M15" s="21">
        <v>46277</v>
      </c>
    </row>
    <row r="16" spans="1:13" x14ac:dyDescent="0.25">
      <c r="A16" s="13" t="s">
        <v>26</v>
      </c>
      <c r="B16" s="13" t="s">
        <v>27</v>
      </c>
      <c r="C16" s="33" t="s">
        <v>42</v>
      </c>
      <c r="D16" s="30" t="s">
        <v>43</v>
      </c>
      <c r="E16" s="13" t="s">
        <v>25</v>
      </c>
      <c r="F16" s="6">
        <f>+VLOOKUP(E16,CATALOGO!G:L,6,0)</f>
        <v>5</v>
      </c>
      <c r="G16" s="16">
        <v>1086</v>
      </c>
      <c r="H16" s="16">
        <v>22.625</v>
      </c>
      <c r="I16" s="24">
        <v>46272</v>
      </c>
      <c r="J16" s="12">
        <v>37</v>
      </c>
      <c r="K16">
        <f>+IF(E16="","",VLOOKUP(E16,CATALOGO!G:I,2,0))</f>
        <v>1</v>
      </c>
      <c r="L16">
        <f>+IF(E16="","",VLOOKUP(E16,CATALOGO!G:I,3,0))</f>
        <v>24</v>
      </c>
      <c r="M16" s="21">
        <v>46277</v>
      </c>
    </row>
    <row r="17" spans="1:13" x14ac:dyDescent="0.25">
      <c r="A17" s="13" t="s">
        <v>26</v>
      </c>
      <c r="B17" s="13" t="s">
        <v>27</v>
      </c>
      <c r="C17" s="33" t="s">
        <v>42</v>
      </c>
      <c r="D17" s="30" t="s">
        <v>43</v>
      </c>
      <c r="E17" s="13" t="s">
        <v>22</v>
      </c>
      <c r="F17" s="6">
        <f>+VLOOKUP(E17,CATALOGO!G:L,6,0)</f>
        <v>6</v>
      </c>
      <c r="G17" s="36">
        <v>96</v>
      </c>
      <c r="H17" s="16">
        <v>2</v>
      </c>
      <c r="I17" s="24">
        <v>46272</v>
      </c>
      <c r="J17" s="12">
        <v>37</v>
      </c>
      <c r="K17">
        <f>+IF(E17="","",VLOOKUP(E17,CATALOGO!G:I,2,0))</f>
        <v>1</v>
      </c>
      <c r="L17">
        <f>+IF(E17="","",VLOOKUP(E17,CATALOGO!G:I,3,0))</f>
        <v>24</v>
      </c>
      <c r="M17" s="21">
        <v>46277</v>
      </c>
    </row>
    <row r="18" spans="1:13" x14ac:dyDescent="0.25">
      <c r="A18" s="13" t="s">
        <v>29</v>
      </c>
      <c r="B18" s="13" t="s">
        <v>30</v>
      </c>
      <c r="C18" s="33" t="s">
        <v>42</v>
      </c>
      <c r="D18" s="30" t="s">
        <v>43</v>
      </c>
      <c r="E18" s="13" t="s">
        <v>31</v>
      </c>
      <c r="F18" s="6">
        <f>+VLOOKUP(E18,CATALOGO!G:L,6,0)</f>
        <v>0</v>
      </c>
      <c r="G18" s="16">
        <v>84</v>
      </c>
      <c r="H18" s="16" t="s">
        <v>32</v>
      </c>
      <c r="I18" s="24">
        <v>46272</v>
      </c>
      <c r="J18" s="12">
        <v>37</v>
      </c>
      <c r="K18">
        <f>+IF(E18="","",VLOOKUP(E18,CATALOGO!G:I,2,0))</f>
        <v>1.5</v>
      </c>
      <c r="L18">
        <f>+IF(E18="","",VLOOKUP(E18,CATALOGO!G:I,3,0))</f>
        <v>36</v>
      </c>
      <c r="M18" s="21">
        <v>46276</v>
      </c>
    </row>
    <row r="19" spans="1:13" x14ac:dyDescent="0.25">
      <c r="A19" s="13" t="s">
        <v>33</v>
      </c>
      <c r="B19" s="13" t="s">
        <v>34</v>
      </c>
      <c r="C19" s="33" t="s">
        <v>44</v>
      </c>
      <c r="D19" s="30" t="s">
        <v>43</v>
      </c>
      <c r="E19" s="13" t="s">
        <v>31</v>
      </c>
      <c r="F19" s="6">
        <f>+VLOOKUP(E19,CATALOGO!G:L,6,0)</f>
        <v>0</v>
      </c>
      <c r="G19" s="16">
        <v>88</v>
      </c>
      <c r="H19" s="16" t="s">
        <v>32</v>
      </c>
      <c r="I19" s="24">
        <v>46272</v>
      </c>
      <c r="J19" s="12">
        <v>37</v>
      </c>
      <c r="K19">
        <f>+IF(E19="","",VLOOKUP(E19,CATALOGO!G:I,2,0))</f>
        <v>1.5</v>
      </c>
      <c r="L19">
        <f>+IF(E19="","",VLOOKUP(E19,CATALOGO!G:I,3,0))</f>
        <v>36</v>
      </c>
      <c r="M19" s="21">
        <v>46276</v>
      </c>
    </row>
    <row r="20" spans="1:13" x14ac:dyDescent="0.25">
      <c r="A20" s="13" t="s">
        <v>36</v>
      </c>
      <c r="B20" s="13" t="s">
        <v>37</v>
      </c>
      <c r="C20" s="33" t="s">
        <v>45</v>
      </c>
      <c r="D20" s="30" t="s">
        <v>43</v>
      </c>
      <c r="E20" s="13" t="s">
        <v>31</v>
      </c>
      <c r="F20" s="6">
        <f>+VLOOKUP(E20,CATALOGO!G:L,6,0)</f>
        <v>0</v>
      </c>
      <c r="G20" s="16">
        <v>29</v>
      </c>
      <c r="H20" s="16" t="s">
        <v>32</v>
      </c>
      <c r="I20" s="24">
        <v>46272</v>
      </c>
      <c r="J20" s="12">
        <v>37</v>
      </c>
      <c r="K20">
        <f>+IF(E20="","",VLOOKUP(E20,CATALOGO!G:I,2,0))</f>
        <v>1.5</v>
      </c>
      <c r="L20">
        <f>+IF(E20="","",VLOOKUP(E20,CATALOGO!G:I,3,0))</f>
        <v>36</v>
      </c>
      <c r="M20" s="21">
        <v>46276</v>
      </c>
    </row>
    <row r="21" spans="1:13" x14ac:dyDescent="0.25">
      <c r="A21" s="13" t="s">
        <v>39</v>
      </c>
      <c r="B21" s="13" t="s">
        <v>40</v>
      </c>
      <c r="C21" s="33" t="s">
        <v>46</v>
      </c>
      <c r="D21" s="30" t="s">
        <v>43</v>
      </c>
      <c r="E21" s="13" t="s">
        <v>31</v>
      </c>
      <c r="F21" s="6">
        <f>+VLOOKUP(E21,CATALOGO!G:L,6,0)</f>
        <v>0</v>
      </c>
      <c r="G21" s="16">
        <v>48</v>
      </c>
      <c r="H21" s="16" t="s">
        <v>32</v>
      </c>
      <c r="I21" s="24">
        <v>46272</v>
      </c>
      <c r="J21" s="12">
        <v>37</v>
      </c>
      <c r="K21">
        <f>+IF(E21="","",VLOOKUP(E21,CATALOGO!G:I,2,0))</f>
        <v>1.5</v>
      </c>
      <c r="L21">
        <f>+IF(E21="","",VLOOKUP(E21,CATALOGO!G:I,3,0))</f>
        <v>36</v>
      </c>
      <c r="M21" s="21">
        <v>46276</v>
      </c>
    </row>
    <row r="22" spans="1:13" x14ac:dyDescent="0.25">
      <c r="A22" s="13" t="s">
        <v>26</v>
      </c>
      <c r="B22" s="13" t="s">
        <v>27</v>
      </c>
      <c r="C22" s="33" t="s">
        <v>47</v>
      </c>
      <c r="D22" s="30" t="s">
        <v>48</v>
      </c>
      <c r="E22" s="13" t="s">
        <v>28</v>
      </c>
      <c r="F22" s="6">
        <f>+VLOOKUP(E22,CATALOGO!G:L,6,0)</f>
        <v>3</v>
      </c>
      <c r="G22" s="16">
        <v>432</v>
      </c>
      <c r="H22" s="16">
        <v>9</v>
      </c>
      <c r="I22" s="24">
        <v>46272</v>
      </c>
      <c r="J22" s="12">
        <v>37</v>
      </c>
      <c r="K22">
        <f>+IF(E22="","",VLOOKUP(E22,CATALOGO!G:I,2,0))</f>
        <v>1.5</v>
      </c>
      <c r="L22">
        <f>+IF(E22="","",VLOOKUP(E22,CATALOGO!G:I,3,0))</f>
        <v>36</v>
      </c>
      <c r="M22" s="21">
        <v>46276</v>
      </c>
    </row>
    <row r="23" spans="1:13" x14ac:dyDescent="0.25">
      <c r="A23" s="13" t="s">
        <v>13</v>
      </c>
      <c r="B23" s="13" t="s">
        <v>14</v>
      </c>
      <c r="C23" s="33" t="s">
        <v>47</v>
      </c>
      <c r="D23" s="30" t="s">
        <v>48</v>
      </c>
      <c r="E23" s="13" t="s">
        <v>17</v>
      </c>
      <c r="F23" s="6">
        <f>+VLOOKUP(E23,CATALOGO!G:L,6,0)</f>
        <v>8</v>
      </c>
      <c r="G23" s="18">
        <v>960</v>
      </c>
      <c r="H23" s="18">
        <v>20</v>
      </c>
      <c r="I23" s="24">
        <v>46272</v>
      </c>
      <c r="J23" s="12">
        <v>37</v>
      </c>
      <c r="K23">
        <f>+IF(E23="","",VLOOKUP(E23,CATALOGO!G:I,2,0))</f>
        <v>3</v>
      </c>
      <c r="L23">
        <f>+IF(E23="","",VLOOKUP(E23,CATALOGO!G:I,3,0))</f>
        <v>72</v>
      </c>
      <c r="M23" s="21">
        <v>46277</v>
      </c>
    </row>
    <row r="24" spans="1:13" x14ac:dyDescent="0.25">
      <c r="A24" s="13" t="s">
        <v>29</v>
      </c>
      <c r="B24" s="13" t="s">
        <v>30</v>
      </c>
      <c r="C24" s="33" t="s">
        <v>47</v>
      </c>
      <c r="D24" s="30" t="s">
        <v>48</v>
      </c>
      <c r="E24" s="13" t="s">
        <v>31</v>
      </c>
      <c r="F24" s="6">
        <f>+VLOOKUP(E24,CATALOGO!G:L,6,0)</f>
        <v>0</v>
      </c>
      <c r="G24" s="16">
        <v>74</v>
      </c>
      <c r="H24" s="16" t="s">
        <v>32</v>
      </c>
      <c r="I24" s="24">
        <v>46272</v>
      </c>
      <c r="J24" s="12">
        <v>37</v>
      </c>
      <c r="K24">
        <f>+IF(E24="","",VLOOKUP(E24,CATALOGO!G:I,2,0))</f>
        <v>1.5</v>
      </c>
      <c r="L24">
        <f>+IF(E24="","",VLOOKUP(E24,CATALOGO!G:I,3,0))</f>
        <v>36</v>
      </c>
      <c r="M24" s="21">
        <v>46276</v>
      </c>
    </row>
    <row r="25" spans="1:13" x14ac:dyDescent="0.25">
      <c r="A25" s="13" t="s">
        <v>33</v>
      </c>
      <c r="B25" s="13" t="s">
        <v>34</v>
      </c>
      <c r="C25" s="33" t="s">
        <v>49</v>
      </c>
      <c r="D25" s="30" t="s">
        <v>48</v>
      </c>
      <c r="E25" s="13" t="s">
        <v>31</v>
      </c>
      <c r="F25" s="6">
        <f>+VLOOKUP(E25,CATALOGO!G:L,6,0)</f>
        <v>0</v>
      </c>
      <c r="G25" s="16">
        <v>27</v>
      </c>
      <c r="H25" s="16" t="s">
        <v>32</v>
      </c>
      <c r="I25" s="24">
        <v>46272</v>
      </c>
      <c r="J25" s="12">
        <v>37</v>
      </c>
      <c r="K25">
        <f>+IF(E25="","",VLOOKUP(E25,CATALOGO!G:I,2,0))</f>
        <v>1.5</v>
      </c>
      <c r="L25">
        <f>+IF(E25="","",VLOOKUP(E25,CATALOGO!G:I,3,0))</f>
        <v>36</v>
      </c>
      <c r="M25" s="21">
        <v>46276</v>
      </c>
    </row>
    <row r="26" spans="1:13" x14ac:dyDescent="0.25">
      <c r="A26" s="13" t="s">
        <v>36</v>
      </c>
      <c r="B26" s="13" t="s">
        <v>37</v>
      </c>
      <c r="C26" s="33" t="s">
        <v>50</v>
      </c>
      <c r="D26" s="30" t="s">
        <v>48</v>
      </c>
      <c r="E26" s="13" t="s">
        <v>31</v>
      </c>
      <c r="F26" s="6">
        <f>+VLOOKUP(E26,CATALOGO!G:L,6,0)</f>
        <v>0</v>
      </c>
      <c r="G26" s="16">
        <v>30</v>
      </c>
      <c r="H26" s="16" t="s">
        <v>32</v>
      </c>
      <c r="I26" s="24">
        <v>46272</v>
      </c>
      <c r="J26" s="12">
        <v>37</v>
      </c>
      <c r="K26">
        <f>+IF(E26="","",VLOOKUP(E26,CATALOGO!G:I,2,0))</f>
        <v>1.5</v>
      </c>
      <c r="L26">
        <f>+IF(E26="","",VLOOKUP(E26,CATALOGO!G:I,3,0))</f>
        <v>36</v>
      </c>
      <c r="M26" s="21">
        <v>46276</v>
      </c>
    </row>
    <row r="27" spans="1:13" ht="15.75" thickBot="1" x14ac:dyDescent="0.3">
      <c r="A27" s="14" t="s">
        <v>39</v>
      </c>
      <c r="B27" s="14" t="s">
        <v>40</v>
      </c>
      <c r="C27" s="34" t="s">
        <v>51</v>
      </c>
      <c r="D27" s="31" t="s">
        <v>48</v>
      </c>
      <c r="E27" s="14" t="s">
        <v>31</v>
      </c>
      <c r="F27" s="6">
        <f>+VLOOKUP(E27,CATALOGO!G:L,6,0)</f>
        <v>0</v>
      </c>
      <c r="G27" s="19">
        <v>92</v>
      </c>
      <c r="H27" s="19" t="s">
        <v>32</v>
      </c>
      <c r="I27" s="26">
        <v>46272</v>
      </c>
      <c r="J27" s="12">
        <v>37</v>
      </c>
      <c r="K27">
        <f>+IF(E27="","",VLOOKUP(E27,CATALOGO!G:I,2,0))</f>
        <v>1.5</v>
      </c>
      <c r="L27">
        <f>+IF(E27="","",VLOOKUP(E27,CATALOGO!G:I,3,0))</f>
        <v>36</v>
      </c>
      <c r="M27" s="22">
        <v>46276</v>
      </c>
    </row>
    <row r="28" spans="1:13" x14ac:dyDescent="0.25">
      <c r="A28" s="13" t="s">
        <v>26</v>
      </c>
      <c r="B28" s="13" t="s">
        <v>27</v>
      </c>
      <c r="C28" s="33" t="s">
        <v>52</v>
      </c>
      <c r="D28" s="30" t="s">
        <v>16</v>
      </c>
      <c r="E28" s="13" t="s">
        <v>53</v>
      </c>
      <c r="F28" s="6">
        <f>+VLOOKUP(E28,CATALOGO!G:L,6,0)</f>
        <v>4</v>
      </c>
      <c r="G28" s="16">
        <v>624</v>
      </c>
      <c r="H28" s="16">
        <v>13</v>
      </c>
      <c r="I28" s="25">
        <v>46273</v>
      </c>
      <c r="J28" s="12">
        <v>37</v>
      </c>
      <c r="K28">
        <f>+IF(E28="","",VLOOKUP(E28,CATALOGO!G:I,2,0))</f>
        <v>1.5</v>
      </c>
      <c r="L28">
        <f>+IF(E28="","",VLOOKUP(E28,CATALOGO!G:I,3,0))</f>
        <v>36</v>
      </c>
      <c r="M28" s="21">
        <v>46278</v>
      </c>
    </row>
    <row r="29" spans="1:13" x14ac:dyDescent="0.25">
      <c r="A29" s="13" t="s">
        <v>13</v>
      </c>
      <c r="B29" s="13" t="s">
        <v>14</v>
      </c>
      <c r="C29" s="33" t="s">
        <v>54</v>
      </c>
      <c r="D29" s="30" t="s">
        <v>55</v>
      </c>
      <c r="E29" s="13" t="s">
        <v>17</v>
      </c>
      <c r="F29" s="6">
        <f>+VLOOKUP(E29,CATALOGO!G:L,6,0)</f>
        <v>8</v>
      </c>
      <c r="G29" s="16">
        <v>960</v>
      </c>
      <c r="H29" s="16">
        <v>20</v>
      </c>
      <c r="I29" s="37">
        <v>46273</v>
      </c>
      <c r="J29" s="12">
        <v>37</v>
      </c>
      <c r="K29">
        <f>+IF(E29="","",VLOOKUP(E29,CATALOGO!G:I,2,0))</f>
        <v>3</v>
      </c>
      <c r="L29">
        <f>+IF(E29="","",VLOOKUP(E29,CATALOGO!G:I,3,0))</f>
        <v>72</v>
      </c>
      <c r="M29" s="21">
        <v>46277</v>
      </c>
    </row>
    <row r="30" spans="1:13" x14ac:dyDescent="0.25">
      <c r="A30" s="13" t="s">
        <v>13</v>
      </c>
      <c r="B30" s="13" t="s">
        <v>14</v>
      </c>
      <c r="C30" s="33" t="s">
        <v>56</v>
      </c>
      <c r="D30" s="30" t="s">
        <v>57</v>
      </c>
      <c r="E30" s="13" t="s">
        <v>17</v>
      </c>
      <c r="F30" s="6">
        <f>+VLOOKUP(E30,CATALOGO!G:L,6,0)</f>
        <v>8</v>
      </c>
      <c r="G30" s="16">
        <v>960</v>
      </c>
      <c r="H30" s="16">
        <v>20</v>
      </c>
      <c r="I30" s="37">
        <v>46273</v>
      </c>
      <c r="J30" s="12">
        <v>37</v>
      </c>
      <c r="K30">
        <f>+IF(E30="","",VLOOKUP(E30,CATALOGO!G:I,2,0))</f>
        <v>3</v>
      </c>
      <c r="L30">
        <f>+IF(E30="","",VLOOKUP(E30,CATALOGO!G:I,3,0))</f>
        <v>72</v>
      </c>
      <c r="M30" s="21">
        <v>46279</v>
      </c>
    </row>
    <row r="31" spans="1:13" x14ac:dyDescent="0.25">
      <c r="A31" s="13" t="s">
        <v>58</v>
      </c>
      <c r="B31" s="13" t="s">
        <v>59</v>
      </c>
      <c r="C31" s="33" t="s">
        <v>56</v>
      </c>
      <c r="D31" s="30" t="s">
        <v>57</v>
      </c>
      <c r="E31" s="13" t="s">
        <v>60</v>
      </c>
      <c r="F31" s="6">
        <f>+VLOOKUP(E31,CATALOGO!G:L,6,0)</f>
        <v>1</v>
      </c>
      <c r="G31" s="16">
        <v>480</v>
      </c>
      <c r="H31" s="16">
        <v>10</v>
      </c>
      <c r="I31" s="37">
        <v>46273</v>
      </c>
      <c r="J31" s="12">
        <v>37</v>
      </c>
      <c r="K31">
        <f>+IF(E31="","",VLOOKUP(E31,CATALOGO!G:I,2,0))</f>
        <v>3</v>
      </c>
      <c r="L31">
        <f>+IF(E31="","",VLOOKUP(E31,CATALOGO!G:I,3,0))</f>
        <v>72</v>
      </c>
      <c r="M31" s="21">
        <v>46281</v>
      </c>
    </row>
    <row r="32" spans="1:13" x14ac:dyDescent="0.25">
      <c r="A32" s="13" t="s">
        <v>61</v>
      </c>
      <c r="B32" s="13" t="s">
        <v>62</v>
      </c>
      <c r="C32" s="33" t="s">
        <v>63</v>
      </c>
      <c r="D32" s="30" t="s">
        <v>43</v>
      </c>
      <c r="E32" s="13" t="s">
        <v>64</v>
      </c>
      <c r="F32" s="6">
        <f>+VLOOKUP(E32,CATALOGO!G:L,6,0)</f>
        <v>0</v>
      </c>
      <c r="G32" s="16">
        <v>810</v>
      </c>
      <c r="H32" s="16">
        <v>15</v>
      </c>
      <c r="I32" s="37">
        <v>46273</v>
      </c>
      <c r="J32" s="12">
        <v>37</v>
      </c>
      <c r="K32">
        <f>+IF(E32="","",VLOOKUP(E32,CATALOGO!G:I,2,0))</f>
        <v>2</v>
      </c>
      <c r="L32">
        <f>+IF(E32="","",VLOOKUP(E32,CATALOGO!G:I,3,0))</f>
        <v>48</v>
      </c>
      <c r="M32" s="21">
        <v>46278</v>
      </c>
    </row>
    <row r="33" spans="1:13" x14ac:dyDescent="0.25">
      <c r="A33" s="13" t="s">
        <v>65</v>
      </c>
      <c r="B33" s="13" t="s">
        <v>66</v>
      </c>
      <c r="C33" s="33" t="s">
        <v>63</v>
      </c>
      <c r="D33" s="30" t="s">
        <v>43</v>
      </c>
      <c r="E33" s="13" t="s">
        <v>64</v>
      </c>
      <c r="F33" s="6">
        <f>+VLOOKUP(E33,CATALOGO!G:L,6,0)</f>
        <v>0</v>
      </c>
      <c r="G33" s="16">
        <v>270</v>
      </c>
      <c r="H33" s="16">
        <v>5</v>
      </c>
      <c r="I33" s="37">
        <v>46273</v>
      </c>
      <c r="J33" s="12">
        <v>37</v>
      </c>
      <c r="K33">
        <f>+IF(E33="","",VLOOKUP(E33,CATALOGO!G:I,2,0))</f>
        <v>2</v>
      </c>
      <c r="L33">
        <f>+IF(E33="","",VLOOKUP(E33,CATALOGO!G:I,3,0))</f>
        <v>48</v>
      </c>
      <c r="M33" s="21">
        <v>46278</v>
      </c>
    </row>
    <row r="34" spans="1:13" x14ac:dyDescent="0.25">
      <c r="A34" s="13" t="s">
        <v>26</v>
      </c>
      <c r="B34" s="13" t="s">
        <v>27</v>
      </c>
      <c r="C34" s="33" t="s">
        <v>63</v>
      </c>
      <c r="D34" s="30" t="s">
        <v>43</v>
      </c>
      <c r="E34" s="13" t="s">
        <v>22</v>
      </c>
      <c r="F34" s="6">
        <f>+VLOOKUP(E34,CATALOGO!G:L,6,0)</f>
        <v>6</v>
      </c>
      <c r="G34" s="36">
        <v>240</v>
      </c>
      <c r="H34" s="16">
        <v>5</v>
      </c>
      <c r="I34" s="37">
        <v>46273</v>
      </c>
      <c r="J34" s="12">
        <v>37</v>
      </c>
      <c r="K34">
        <f>+IF(E34="","",VLOOKUP(E34,CATALOGO!G:I,2,0))</f>
        <v>1</v>
      </c>
      <c r="L34">
        <f>+IF(E34="","",VLOOKUP(E34,CATALOGO!G:I,3,0))</f>
        <v>24</v>
      </c>
      <c r="M34" s="21">
        <v>46277</v>
      </c>
    </row>
    <row r="35" spans="1:13" x14ac:dyDescent="0.25">
      <c r="A35" s="13" t="s">
        <v>29</v>
      </c>
      <c r="B35" s="13" t="s">
        <v>30</v>
      </c>
      <c r="C35" s="33" t="s">
        <v>67</v>
      </c>
      <c r="D35" s="30" t="s">
        <v>43</v>
      </c>
      <c r="E35" s="13" t="s">
        <v>31</v>
      </c>
      <c r="F35" s="6">
        <f>+VLOOKUP(E35,CATALOGO!G:L,6,0)</f>
        <v>0</v>
      </c>
      <c r="G35" s="16">
        <v>53</v>
      </c>
      <c r="H35" s="16" t="s">
        <v>32</v>
      </c>
      <c r="I35" s="37">
        <v>46273</v>
      </c>
      <c r="J35" s="12">
        <v>37</v>
      </c>
      <c r="K35">
        <f>+IF(E35="","",VLOOKUP(E35,CATALOGO!G:I,2,0))</f>
        <v>1.5</v>
      </c>
      <c r="L35">
        <f>+IF(E35="","",VLOOKUP(E35,CATALOGO!G:I,3,0))</f>
        <v>36</v>
      </c>
      <c r="M35" s="21">
        <v>46276</v>
      </c>
    </row>
    <row r="36" spans="1:13" x14ac:dyDescent="0.25">
      <c r="A36" s="13" t="s">
        <v>33</v>
      </c>
      <c r="B36" s="13" t="s">
        <v>34</v>
      </c>
      <c r="C36" s="33" t="s">
        <v>67</v>
      </c>
      <c r="D36" s="30" t="s">
        <v>43</v>
      </c>
      <c r="E36" s="13" t="s">
        <v>31</v>
      </c>
      <c r="F36" s="6">
        <f>+VLOOKUP(E36,CATALOGO!G:L,6,0)</f>
        <v>0</v>
      </c>
      <c r="G36" s="16">
        <v>68</v>
      </c>
      <c r="H36" s="16" t="s">
        <v>32</v>
      </c>
      <c r="I36" s="37">
        <v>46273</v>
      </c>
      <c r="J36" s="12">
        <v>37</v>
      </c>
      <c r="K36">
        <f>+IF(E36="","",VLOOKUP(E36,CATALOGO!G:I,2,0))</f>
        <v>1.5</v>
      </c>
      <c r="L36">
        <f>+IF(E36="","",VLOOKUP(E36,CATALOGO!G:I,3,0))</f>
        <v>36</v>
      </c>
      <c r="M36" s="21">
        <v>46276</v>
      </c>
    </row>
    <row r="37" spans="1:13" x14ac:dyDescent="0.25">
      <c r="A37" s="13" t="s">
        <v>36</v>
      </c>
      <c r="B37" s="13" t="s">
        <v>37</v>
      </c>
      <c r="C37" s="33" t="s">
        <v>68</v>
      </c>
      <c r="D37" s="30" t="s">
        <v>43</v>
      </c>
      <c r="E37" s="13" t="s">
        <v>31</v>
      </c>
      <c r="F37" s="6">
        <f>+VLOOKUP(E37,CATALOGO!G:L,6,0)</f>
        <v>0</v>
      </c>
      <c r="G37" s="16">
        <v>9</v>
      </c>
      <c r="H37" s="16" t="s">
        <v>32</v>
      </c>
      <c r="I37" s="37">
        <v>46273</v>
      </c>
      <c r="J37" s="12">
        <v>37</v>
      </c>
      <c r="K37">
        <f>+IF(E37="","",VLOOKUP(E37,CATALOGO!G:I,2,0))</f>
        <v>1.5</v>
      </c>
      <c r="L37">
        <f>+IF(E37="","",VLOOKUP(E37,CATALOGO!G:I,3,0))</f>
        <v>36</v>
      </c>
      <c r="M37" s="21">
        <v>46276</v>
      </c>
    </row>
    <row r="38" spans="1:13" x14ac:dyDescent="0.25">
      <c r="A38" s="13" t="s">
        <v>39</v>
      </c>
      <c r="B38" s="13" t="s">
        <v>40</v>
      </c>
      <c r="C38" s="33" t="s">
        <v>69</v>
      </c>
      <c r="D38" s="30" t="s">
        <v>43</v>
      </c>
      <c r="E38" s="13" t="s">
        <v>31</v>
      </c>
      <c r="F38" s="6">
        <f>+VLOOKUP(E38,CATALOGO!G:L,6,0)</f>
        <v>0</v>
      </c>
      <c r="G38" s="16">
        <v>38</v>
      </c>
      <c r="H38" s="16" t="s">
        <v>32</v>
      </c>
      <c r="I38" s="37">
        <v>46273</v>
      </c>
      <c r="J38" s="12">
        <v>37</v>
      </c>
      <c r="K38">
        <f>+IF(E38="","",VLOOKUP(E38,CATALOGO!G:I,2,0))</f>
        <v>1.5</v>
      </c>
      <c r="L38">
        <f>+IF(E38="","",VLOOKUP(E38,CATALOGO!G:I,3,0))</f>
        <v>36</v>
      </c>
      <c r="M38" s="21">
        <v>46276</v>
      </c>
    </row>
    <row r="39" spans="1:13" x14ac:dyDescent="0.25">
      <c r="A39" s="13" t="s">
        <v>70</v>
      </c>
      <c r="B39" s="13" t="s">
        <v>71</v>
      </c>
      <c r="C39" s="33" t="s">
        <v>72</v>
      </c>
      <c r="D39" s="30" t="s">
        <v>73</v>
      </c>
      <c r="E39" s="13" t="s">
        <v>31</v>
      </c>
      <c r="F39" s="6">
        <f>+VLOOKUP(E39,CATALOGO!G:L,6,0)</f>
        <v>0</v>
      </c>
      <c r="G39" s="16">
        <v>144</v>
      </c>
      <c r="H39" s="16">
        <v>3</v>
      </c>
      <c r="I39" s="37">
        <v>46273</v>
      </c>
      <c r="J39" s="12">
        <v>37</v>
      </c>
      <c r="K39">
        <f>+IF(E39="","",VLOOKUP(E39,CATALOGO!G:I,2,0))</f>
        <v>1.5</v>
      </c>
      <c r="L39">
        <f>+IF(E39="","",VLOOKUP(E39,CATALOGO!G:I,3,0))</f>
        <v>36</v>
      </c>
      <c r="M39" s="21">
        <v>46280</v>
      </c>
    </row>
    <row r="40" spans="1:13" x14ac:dyDescent="0.25">
      <c r="A40" s="13" t="s">
        <v>70</v>
      </c>
      <c r="B40" s="13" t="s">
        <v>71</v>
      </c>
      <c r="C40" s="33" t="s">
        <v>72</v>
      </c>
      <c r="D40" s="30" t="s">
        <v>73</v>
      </c>
      <c r="E40" s="13" t="s">
        <v>31</v>
      </c>
      <c r="F40" s="6">
        <f>+VLOOKUP(E40,CATALOGO!G:L,6,0)</f>
        <v>0</v>
      </c>
      <c r="G40" s="16">
        <v>336</v>
      </c>
      <c r="H40" s="16">
        <v>7</v>
      </c>
      <c r="I40" s="37">
        <v>46273</v>
      </c>
      <c r="J40" s="12">
        <v>37</v>
      </c>
      <c r="K40">
        <f>+IF(E40="","",VLOOKUP(E40,CATALOGO!G:I,2,0))</f>
        <v>1.5</v>
      </c>
      <c r="L40">
        <f>+IF(E40="","",VLOOKUP(E40,CATALOGO!G:I,3,0))</f>
        <v>36</v>
      </c>
      <c r="M40" s="23">
        <v>46278</v>
      </c>
    </row>
    <row r="41" spans="1:13" x14ac:dyDescent="0.25">
      <c r="A41" s="13" t="s">
        <v>26</v>
      </c>
      <c r="B41" s="13" t="s">
        <v>27</v>
      </c>
      <c r="C41" s="33" t="s">
        <v>74</v>
      </c>
      <c r="D41" s="30" t="s">
        <v>48</v>
      </c>
      <c r="E41" s="13" t="s">
        <v>28</v>
      </c>
      <c r="F41" s="6">
        <f>+VLOOKUP(E41,CATALOGO!G:L,6,0)</f>
        <v>3</v>
      </c>
      <c r="G41" s="16">
        <v>144</v>
      </c>
      <c r="H41" s="16">
        <v>3</v>
      </c>
      <c r="I41" s="37">
        <v>46273</v>
      </c>
      <c r="J41" s="12">
        <v>37</v>
      </c>
      <c r="K41">
        <f>+IF(E41="","",VLOOKUP(E41,CATALOGO!G:I,2,0))</f>
        <v>1.5</v>
      </c>
      <c r="L41">
        <f>+IF(E41="","",VLOOKUP(E41,CATALOGO!G:I,3,0))</f>
        <v>36</v>
      </c>
      <c r="M41" s="21">
        <v>46276</v>
      </c>
    </row>
    <row r="42" spans="1:13" x14ac:dyDescent="0.25">
      <c r="A42" s="13" t="s">
        <v>26</v>
      </c>
      <c r="B42" s="13" t="s">
        <v>27</v>
      </c>
      <c r="C42" s="33" t="s">
        <v>74</v>
      </c>
      <c r="D42" s="30" t="s">
        <v>48</v>
      </c>
      <c r="E42" s="13" t="s">
        <v>22</v>
      </c>
      <c r="F42" s="6">
        <f>+VLOOKUP(E42,CATALOGO!G:L,6,0)</f>
        <v>6</v>
      </c>
      <c r="G42" s="36">
        <v>768</v>
      </c>
      <c r="H42" s="16">
        <v>16</v>
      </c>
      <c r="I42" s="37">
        <v>46273</v>
      </c>
      <c r="J42" s="12">
        <v>37</v>
      </c>
      <c r="K42">
        <f>+IF(E42="","",VLOOKUP(E42,CATALOGO!G:I,2,0))</f>
        <v>1</v>
      </c>
      <c r="L42">
        <f>+IF(E42="","",VLOOKUP(E42,CATALOGO!G:I,3,0))</f>
        <v>24</v>
      </c>
      <c r="M42" s="21">
        <v>46277</v>
      </c>
    </row>
    <row r="43" spans="1:13" x14ac:dyDescent="0.25">
      <c r="A43" s="13" t="s">
        <v>26</v>
      </c>
      <c r="B43" s="13" t="s">
        <v>27</v>
      </c>
      <c r="C43" s="33" t="s">
        <v>74</v>
      </c>
      <c r="D43" s="30" t="s">
        <v>48</v>
      </c>
      <c r="E43" s="13" t="s">
        <v>53</v>
      </c>
      <c r="F43" s="6">
        <f>+VLOOKUP(E43,CATALOGO!G:L,6,0)</f>
        <v>4</v>
      </c>
      <c r="G43" s="16">
        <v>528</v>
      </c>
      <c r="H43" s="16">
        <v>11</v>
      </c>
      <c r="I43" s="37">
        <v>46273</v>
      </c>
      <c r="J43" s="12">
        <v>37</v>
      </c>
      <c r="K43">
        <f>+IF(E43="","",VLOOKUP(E43,CATALOGO!G:I,2,0))</f>
        <v>1.5</v>
      </c>
      <c r="L43">
        <f>+IF(E43="","",VLOOKUP(E43,CATALOGO!G:I,3,0))</f>
        <v>36</v>
      </c>
      <c r="M43" s="21">
        <v>46277</v>
      </c>
    </row>
    <row r="44" spans="1:13" x14ac:dyDescent="0.25">
      <c r="A44" s="13" t="s">
        <v>26</v>
      </c>
      <c r="B44" s="13" t="s">
        <v>27</v>
      </c>
      <c r="C44" s="33" t="s">
        <v>74</v>
      </c>
      <c r="D44" s="30" t="s">
        <v>48</v>
      </c>
      <c r="E44" s="13" t="s">
        <v>22</v>
      </c>
      <c r="F44" s="6">
        <f>+VLOOKUP(E44,CATALOGO!G:L,6,0)</f>
        <v>6</v>
      </c>
      <c r="G44" s="36">
        <v>48</v>
      </c>
      <c r="H44" s="16">
        <v>1</v>
      </c>
      <c r="I44" s="37">
        <v>46273</v>
      </c>
      <c r="J44" s="12">
        <v>37</v>
      </c>
      <c r="K44">
        <f>+IF(E44="","",VLOOKUP(E44,CATALOGO!G:I,2,0))</f>
        <v>1</v>
      </c>
      <c r="L44">
        <f>+IF(E44="","",VLOOKUP(E44,CATALOGO!G:I,3,0))</f>
        <v>24</v>
      </c>
      <c r="M44" s="21">
        <v>46277</v>
      </c>
    </row>
    <row r="45" spans="1:13" x14ac:dyDescent="0.25">
      <c r="A45" s="13" t="s">
        <v>29</v>
      </c>
      <c r="B45" s="13" t="s">
        <v>30</v>
      </c>
      <c r="C45" s="33" t="s">
        <v>75</v>
      </c>
      <c r="D45" s="30" t="s">
        <v>48</v>
      </c>
      <c r="E45" s="13" t="s">
        <v>31</v>
      </c>
      <c r="F45" s="6">
        <f>+VLOOKUP(E45,CATALOGO!G:L,6,0)</f>
        <v>0</v>
      </c>
      <c r="G45" s="16">
        <v>83</v>
      </c>
      <c r="H45" s="16" t="s">
        <v>32</v>
      </c>
      <c r="I45" s="37">
        <v>46273</v>
      </c>
      <c r="J45" s="12">
        <v>37</v>
      </c>
      <c r="K45">
        <f>+IF(E45="","",VLOOKUP(E45,CATALOGO!G:I,2,0))</f>
        <v>1.5</v>
      </c>
      <c r="L45">
        <f>+IF(E45="","",VLOOKUP(E45,CATALOGO!G:I,3,0))</f>
        <v>36</v>
      </c>
      <c r="M45" s="21">
        <v>46276</v>
      </c>
    </row>
    <row r="46" spans="1:13" x14ac:dyDescent="0.25">
      <c r="A46" s="13" t="s">
        <v>33</v>
      </c>
      <c r="B46" s="13" t="s">
        <v>34</v>
      </c>
      <c r="C46" s="33" t="s">
        <v>75</v>
      </c>
      <c r="D46" s="30" t="s">
        <v>48</v>
      </c>
      <c r="E46" s="13" t="s">
        <v>31</v>
      </c>
      <c r="F46" s="6">
        <f>+VLOOKUP(E46,CATALOGO!G:L,6,0)</f>
        <v>0</v>
      </c>
      <c r="G46" s="16">
        <v>46</v>
      </c>
      <c r="H46" s="16" t="s">
        <v>32</v>
      </c>
      <c r="I46" s="37">
        <v>46273</v>
      </c>
      <c r="J46" s="12">
        <v>37</v>
      </c>
      <c r="K46">
        <f>+IF(E46="","",VLOOKUP(E46,CATALOGO!G:I,2,0))</f>
        <v>1.5</v>
      </c>
      <c r="L46">
        <f>+IF(E46="","",VLOOKUP(E46,CATALOGO!G:I,3,0))</f>
        <v>36</v>
      </c>
      <c r="M46" s="21">
        <v>46276</v>
      </c>
    </row>
    <row r="47" spans="1:13" x14ac:dyDescent="0.25">
      <c r="A47" s="13" t="s">
        <v>36</v>
      </c>
      <c r="B47" s="13" t="s">
        <v>37</v>
      </c>
      <c r="C47" s="33" t="s">
        <v>76</v>
      </c>
      <c r="D47" s="30" t="s">
        <v>48</v>
      </c>
      <c r="E47" s="13" t="s">
        <v>31</v>
      </c>
      <c r="F47" s="6">
        <f>+VLOOKUP(E47,CATALOGO!G:L,6,0)</f>
        <v>0</v>
      </c>
      <c r="G47" s="16">
        <v>34</v>
      </c>
      <c r="H47" s="16" t="s">
        <v>32</v>
      </c>
      <c r="I47" s="37">
        <v>46273</v>
      </c>
      <c r="J47" s="12">
        <v>37</v>
      </c>
      <c r="K47">
        <f>+IF(E47="","",VLOOKUP(E47,CATALOGO!G:I,2,0))</f>
        <v>1.5</v>
      </c>
      <c r="L47">
        <f>+IF(E47="","",VLOOKUP(E47,CATALOGO!G:I,3,0))</f>
        <v>36</v>
      </c>
      <c r="M47" s="21">
        <v>46276</v>
      </c>
    </row>
    <row r="48" spans="1:13" x14ac:dyDescent="0.25">
      <c r="A48" s="13" t="s">
        <v>39</v>
      </c>
      <c r="B48" s="13" t="s">
        <v>40</v>
      </c>
      <c r="C48" s="33" t="s">
        <v>77</v>
      </c>
      <c r="D48" s="30" t="s">
        <v>48</v>
      </c>
      <c r="E48" s="13" t="s">
        <v>31</v>
      </c>
      <c r="F48" s="6">
        <f>+VLOOKUP(E48,CATALOGO!G:L,6,0)</f>
        <v>0</v>
      </c>
      <c r="G48" s="16">
        <v>56</v>
      </c>
      <c r="H48" s="16" t="s">
        <v>32</v>
      </c>
      <c r="I48" s="37">
        <v>46273</v>
      </c>
      <c r="J48" s="12">
        <v>37</v>
      </c>
      <c r="K48">
        <f>+IF(E48="","",VLOOKUP(E48,CATALOGO!G:I,2,0))</f>
        <v>1.5</v>
      </c>
      <c r="L48">
        <f>+IF(E48="","",VLOOKUP(E48,CATALOGO!G:I,3,0))</f>
        <v>36</v>
      </c>
      <c r="M48" s="21">
        <v>46276</v>
      </c>
    </row>
    <row r="49" spans="1:13" x14ac:dyDescent="0.25">
      <c r="A49" s="13" t="s">
        <v>26</v>
      </c>
      <c r="B49" s="13" t="s">
        <v>27</v>
      </c>
      <c r="C49" s="33" t="s">
        <v>78</v>
      </c>
      <c r="D49" s="30" t="s">
        <v>19</v>
      </c>
      <c r="E49" s="13" t="s">
        <v>22</v>
      </c>
      <c r="F49" s="6">
        <f>+VLOOKUP(E49,CATALOGO!G:L,6,0)</f>
        <v>6</v>
      </c>
      <c r="G49" s="35">
        <v>432</v>
      </c>
      <c r="H49" s="16">
        <v>9</v>
      </c>
      <c r="I49" s="37">
        <v>46273</v>
      </c>
      <c r="J49" s="12">
        <v>37</v>
      </c>
      <c r="K49">
        <f>+IF(E49="","",VLOOKUP(E49,CATALOGO!G:I,2,0))</f>
        <v>1</v>
      </c>
      <c r="L49">
        <f>+IF(E49="","",VLOOKUP(E49,CATALOGO!G:I,3,0))</f>
        <v>24</v>
      </c>
      <c r="M49" s="21">
        <v>46277</v>
      </c>
    </row>
    <row r="50" spans="1:13" x14ac:dyDescent="0.25">
      <c r="A50" s="13" t="s">
        <v>20</v>
      </c>
      <c r="B50" s="13" t="s">
        <v>21</v>
      </c>
      <c r="C50" s="33" t="s">
        <v>78</v>
      </c>
      <c r="D50" s="30" t="s">
        <v>19</v>
      </c>
      <c r="E50" s="13" t="s">
        <v>22</v>
      </c>
      <c r="F50" s="6">
        <f>+VLOOKUP(E50,CATALOGO!G:L,6,0)</f>
        <v>6</v>
      </c>
      <c r="G50" s="35">
        <v>288</v>
      </c>
      <c r="H50" s="16">
        <v>6</v>
      </c>
      <c r="I50" s="37">
        <v>46273</v>
      </c>
      <c r="J50" s="12">
        <v>37</v>
      </c>
      <c r="K50">
        <f>+IF(E50="","",VLOOKUP(E50,CATALOGO!G:I,2,0))</f>
        <v>1</v>
      </c>
      <c r="L50">
        <f>+IF(E50="","",VLOOKUP(E50,CATALOGO!G:I,3,0))</f>
        <v>24</v>
      </c>
      <c r="M50" s="21">
        <v>46277</v>
      </c>
    </row>
    <row r="51" spans="1:13" x14ac:dyDescent="0.25">
      <c r="A51" s="13" t="s">
        <v>26</v>
      </c>
      <c r="B51" s="13" t="s">
        <v>27</v>
      </c>
      <c r="C51" s="33" t="s">
        <v>78</v>
      </c>
      <c r="D51" s="30" t="s">
        <v>19</v>
      </c>
      <c r="E51" s="13" t="s">
        <v>53</v>
      </c>
      <c r="F51" s="6">
        <f>+VLOOKUP(E51,CATALOGO!G:L,6,0)</f>
        <v>4</v>
      </c>
      <c r="G51" s="16">
        <v>624</v>
      </c>
      <c r="H51" s="16">
        <v>13</v>
      </c>
      <c r="I51" s="37">
        <v>46273</v>
      </c>
      <c r="J51" s="12">
        <v>37</v>
      </c>
      <c r="K51">
        <f>+IF(E51="","",VLOOKUP(E51,CATALOGO!G:I,2,0))</f>
        <v>1.5</v>
      </c>
      <c r="L51">
        <f>+IF(E51="","",VLOOKUP(E51,CATALOGO!G:I,3,0))</f>
        <v>36</v>
      </c>
      <c r="M51" s="21">
        <v>46277</v>
      </c>
    </row>
    <row r="52" spans="1:13" x14ac:dyDescent="0.25">
      <c r="A52" s="13" t="s">
        <v>29</v>
      </c>
      <c r="B52" s="13" t="s">
        <v>30</v>
      </c>
      <c r="C52" s="33" t="s">
        <v>79</v>
      </c>
      <c r="D52" s="30" t="s">
        <v>19</v>
      </c>
      <c r="E52" s="13" t="s">
        <v>31</v>
      </c>
      <c r="F52" s="6">
        <f>+VLOOKUP(E52,CATALOGO!G:L,6,0)</f>
        <v>0</v>
      </c>
      <c r="G52" s="16">
        <v>1</v>
      </c>
      <c r="H52" s="16" t="s">
        <v>32</v>
      </c>
      <c r="I52" s="37">
        <v>46273</v>
      </c>
      <c r="J52" s="12">
        <v>37</v>
      </c>
      <c r="K52">
        <f>+IF(E52="","",VLOOKUP(E52,CATALOGO!G:I,2,0))</f>
        <v>1.5</v>
      </c>
      <c r="L52">
        <f>+IF(E52="","",VLOOKUP(E52,CATALOGO!G:I,3,0))</f>
        <v>36</v>
      </c>
      <c r="M52" s="21">
        <v>46276</v>
      </c>
    </row>
    <row r="53" spans="1:13" x14ac:dyDescent="0.25">
      <c r="A53" s="13" t="s">
        <v>33</v>
      </c>
      <c r="B53" s="13" t="s">
        <v>34</v>
      </c>
      <c r="C53" s="33" t="s">
        <v>79</v>
      </c>
      <c r="D53" s="30" t="s">
        <v>19</v>
      </c>
      <c r="E53" s="13" t="s">
        <v>31</v>
      </c>
      <c r="F53" s="6">
        <f>+VLOOKUP(E53,CATALOGO!G:L,6,0)</f>
        <v>0</v>
      </c>
      <c r="G53" s="16">
        <v>47</v>
      </c>
      <c r="H53" s="16" t="s">
        <v>32</v>
      </c>
      <c r="I53" s="37">
        <v>46273</v>
      </c>
      <c r="J53" s="12">
        <v>37</v>
      </c>
      <c r="K53">
        <f>+IF(E53="","",VLOOKUP(E53,CATALOGO!G:I,2,0))</f>
        <v>1.5</v>
      </c>
      <c r="L53">
        <f>+IF(E53="","",VLOOKUP(E53,CATALOGO!G:I,3,0))</f>
        <v>36</v>
      </c>
      <c r="M53" s="21">
        <v>46276</v>
      </c>
    </row>
    <row r="54" spans="1:13" x14ac:dyDescent="0.25">
      <c r="A54" s="13" t="s">
        <v>36</v>
      </c>
      <c r="B54" s="13" t="s">
        <v>37</v>
      </c>
      <c r="C54" s="33" t="s">
        <v>80</v>
      </c>
      <c r="D54" s="30" t="s">
        <v>19</v>
      </c>
      <c r="E54" s="13" t="s">
        <v>31</v>
      </c>
      <c r="F54" s="6">
        <f>+VLOOKUP(E54,CATALOGO!G:L,6,0)</f>
        <v>0</v>
      </c>
      <c r="G54" s="16">
        <v>63</v>
      </c>
      <c r="H54" s="16" t="s">
        <v>32</v>
      </c>
      <c r="I54" s="37">
        <v>46273</v>
      </c>
      <c r="J54" s="12">
        <v>37</v>
      </c>
      <c r="K54">
        <f>+IF(E54="","",VLOOKUP(E54,CATALOGO!G:I,2,0))</f>
        <v>1.5</v>
      </c>
      <c r="L54">
        <f>+IF(E54="","",VLOOKUP(E54,CATALOGO!G:I,3,0))</f>
        <v>36</v>
      </c>
      <c r="M54" s="21">
        <v>46276</v>
      </c>
    </row>
    <row r="55" spans="1:13" x14ac:dyDescent="0.25">
      <c r="A55" s="14" t="s">
        <v>39</v>
      </c>
      <c r="B55" s="14" t="s">
        <v>40</v>
      </c>
      <c r="C55" s="34" t="s">
        <v>81</v>
      </c>
      <c r="D55" s="31" t="s">
        <v>19</v>
      </c>
      <c r="E55" s="14" t="s">
        <v>31</v>
      </c>
      <c r="F55" s="6">
        <f>+VLOOKUP(E55,CATALOGO!G:L,6,0)</f>
        <v>0</v>
      </c>
      <c r="G55" s="19">
        <v>26</v>
      </c>
      <c r="H55" s="19" t="s">
        <v>32</v>
      </c>
      <c r="I55" s="38">
        <v>46273</v>
      </c>
      <c r="J55" s="12">
        <v>37</v>
      </c>
      <c r="K55">
        <f>+IF(E55="","",VLOOKUP(E55,CATALOGO!G:I,2,0))</f>
        <v>1.5</v>
      </c>
      <c r="L55">
        <f>+IF(E55="","",VLOOKUP(E55,CATALOGO!G:I,3,0))</f>
        <v>36</v>
      </c>
      <c r="M55" s="22">
        <v>46276</v>
      </c>
    </row>
    <row r="56" spans="1:13" x14ac:dyDescent="0.25">
      <c r="A56" s="13" t="s">
        <v>26</v>
      </c>
      <c r="B56" s="13" t="s">
        <v>27</v>
      </c>
      <c r="C56" s="33" t="s">
        <v>82</v>
      </c>
      <c r="D56" s="30" t="s">
        <v>16</v>
      </c>
      <c r="E56" s="13" t="s">
        <v>53</v>
      </c>
      <c r="F56" s="6">
        <f>+VLOOKUP(E56,CATALOGO!G:L,6,0)</f>
        <v>4</v>
      </c>
      <c r="G56" s="16">
        <v>528</v>
      </c>
      <c r="H56" s="16">
        <v>11</v>
      </c>
      <c r="I56" s="25">
        <v>46274</v>
      </c>
      <c r="J56" s="12">
        <v>37</v>
      </c>
      <c r="K56">
        <f>+IF(E56="","",VLOOKUP(E56,CATALOGO!G:I,2,0))</f>
        <v>1.5</v>
      </c>
      <c r="L56">
        <f>+IF(E56="","",VLOOKUP(E56,CATALOGO!G:I,3,0))</f>
        <v>36</v>
      </c>
      <c r="M56" s="21">
        <v>46278</v>
      </c>
    </row>
    <row r="57" spans="1:13" x14ac:dyDescent="0.25">
      <c r="A57" s="13" t="s">
        <v>13</v>
      </c>
      <c r="B57" s="13" t="s">
        <v>14</v>
      </c>
      <c r="C57" s="33" t="s">
        <v>83</v>
      </c>
      <c r="D57" s="30" t="s">
        <v>55</v>
      </c>
      <c r="E57" s="13" t="s">
        <v>17</v>
      </c>
      <c r="F57" s="6">
        <f>+VLOOKUP(E57,CATALOGO!G:L,6,0)</f>
        <v>8</v>
      </c>
      <c r="G57" s="16">
        <v>960</v>
      </c>
      <c r="H57" s="16">
        <v>20</v>
      </c>
      <c r="I57" s="27">
        <v>46274</v>
      </c>
      <c r="J57" s="12">
        <v>37</v>
      </c>
      <c r="K57">
        <f>+IF(E57="","",VLOOKUP(E57,CATALOGO!G:I,2,0))</f>
        <v>3</v>
      </c>
      <c r="L57">
        <f>+IF(E57="","",VLOOKUP(E57,CATALOGO!G:I,3,0))</f>
        <v>72</v>
      </c>
      <c r="M57" s="21">
        <v>46279</v>
      </c>
    </row>
    <row r="58" spans="1:13" x14ac:dyDescent="0.25">
      <c r="A58" s="13" t="s">
        <v>58</v>
      </c>
      <c r="B58" s="13" t="s">
        <v>59</v>
      </c>
      <c r="C58" s="33" t="s">
        <v>84</v>
      </c>
      <c r="D58" s="30" t="s">
        <v>57</v>
      </c>
      <c r="E58" s="13" t="s">
        <v>60</v>
      </c>
      <c r="F58" s="6">
        <f>+VLOOKUP(E58,CATALOGO!G:L,6,0)</f>
        <v>1</v>
      </c>
      <c r="G58" s="16">
        <v>480</v>
      </c>
      <c r="H58" s="16">
        <v>10</v>
      </c>
      <c r="I58" s="27">
        <v>46274</v>
      </c>
      <c r="J58" s="12">
        <v>37</v>
      </c>
      <c r="K58">
        <f>+IF(E58="","",VLOOKUP(E58,CATALOGO!G:I,2,0))</f>
        <v>3</v>
      </c>
      <c r="L58">
        <f>+IF(E58="","",VLOOKUP(E58,CATALOGO!G:I,3,0))</f>
        <v>72</v>
      </c>
      <c r="M58" s="21">
        <v>46281</v>
      </c>
    </row>
    <row r="59" spans="1:13" x14ac:dyDescent="0.25">
      <c r="A59" s="13" t="s">
        <v>58</v>
      </c>
      <c r="B59" s="13" t="s">
        <v>59</v>
      </c>
      <c r="C59" s="33" t="s">
        <v>84</v>
      </c>
      <c r="D59" s="30" t="s">
        <v>57</v>
      </c>
      <c r="E59" s="13" t="s">
        <v>60</v>
      </c>
      <c r="F59" s="6">
        <f>+VLOOKUP(E59,CATALOGO!G:L,6,0)</f>
        <v>1</v>
      </c>
      <c r="G59" s="16">
        <v>960</v>
      </c>
      <c r="H59" s="16">
        <v>20</v>
      </c>
      <c r="I59" s="27">
        <v>46274</v>
      </c>
      <c r="J59" s="12">
        <v>37</v>
      </c>
      <c r="K59">
        <f>+IF(E59="","",VLOOKUP(E59,CATALOGO!G:I,2,0))</f>
        <v>3</v>
      </c>
      <c r="L59">
        <f>+IF(E59="","",VLOOKUP(E59,CATALOGO!G:I,3,0))</f>
        <v>72</v>
      </c>
      <c r="M59" s="21">
        <v>46281</v>
      </c>
    </row>
    <row r="60" spans="1:13" x14ac:dyDescent="0.25">
      <c r="A60" s="13" t="s">
        <v>26</v>
      </c>
      <c r="B60" s="13" t="s">
        <v>27</v>
      </c>
      <c r="C60" s="33" t="s">
        <v>85</v>
      </c>
      <c r="D60" s="30" t="s">
        <v>19</v>
      </c>
      <c r="E60" s="13" t="s">
        <v>22</v>
      </c>
      <c r="F60" s="6">
        <f>+VLOOKUP(E60,CATALOGO!G:L,6,0)</f>
        <v>6</v>
      </c>
      <c r="G60" s="35">
        <v>336</v>
      </c>
      <c r="H60" s="16">
        <v>7</v>
      </c>
      <c r="I60" s="27">
        <v>46274</v>
      </c>
      <c r="J60" s="12">
        <v>37</v>
      </c>
      <c r="K60">
        <f>+IF(E60="","",VLOOKUP(E60,CATALOGO!G:I,2,0))</f>
        <v>1</v>
      </c>
      <c r="L60">
        <f>+IF(E60="","",VLOOKUP(E60,CATALOGO!G:I,3,0))</f>
        <v>24</v>
      </c>
      <c r="M60" s="21">
        <v>46277</v>
      </c>
    </row>
    <row r="61" spans="1:13" x14ac:dyDescent="0.25">
      <c r="A61" s="13" t="s">
        <v>20</v>
      </c>
      <c r="B61" s="13" t="s">
        <v>21</v>
      </c>
      <c r="C61" s="33" t="s">
        <v>85</v>
      </c>
      <c r="D61" s="30" t="s">
        <v>19</v>
      </c>
      <c r="E61" s="13" t="s">
        <v>28</v>
      </c>
      <c r="F61" s="6">
        <f>+VLOOKUP(E61,CATALOGO!G:L,6,0)</f>
        <v>3</v>
      </c>
      <c r="G61" s="16">
        <v>96</v>
      </c>
      <c r="H61" s="16">
        <v>2</v>
      </c>
      <c r="I61" s="27">
        <v>46274</v>
      </c>
      <c r="J61" s="12">
        <v>37</v>
      </c>
      <c r="K61">
        <f>+IF(E61="","",VLOOKUP(E61,CATALOGO!G:I,2,0))</f>
        <v>1.5</v>
      </c>
      <c r="L61">
        <f>+IF(E61="","",VLOOKUP(E61,CATALOGO!G:I,3,0))</f>
        <v>36</v>
      </c>
      <c r="M61" s="21">
        <v>46279</v>
      </c>
    </row>
    <row r="62" spans="1:13" x14ac:dyDescent="0.25">
      <c r="A62" s="13" t="s">
        <v>26</v>
      </c>
      <c r="B62" s="13" t="s">
        <v>27</v>
      </c>
      <c r="C62" s="33" t="s">
        <v>85</v>
      </c>
      <c r="D62" s="30" t="s">
        <v>19</v>
      </c>
      <c r="E62" s="13" t="s">
        <v>53</v>
      </c>
      <c r="F62" s="6">
        <f>+VLOOKUP(E62,CATALOGO!G:L,6,0)</f>
        <v>4</v>
      </c>
      <c r="G62" s="16">
        <v>816</v>
      </c>
      <c r="H62" s="16">
        <v>17</v>
      </c>
      <c r="I62" s="27">
        <v>46274</v>
      </c>
      <c r="J62" s="12">
        <v>37</v>
      </c>
      <c r="K62">
        <f>+IF(E62="","",VLOOKUP(E62,CATALOGO!G:I,2,0))</f>
        <v>1.5</v>
      </c>
      <c r="L62">
        <f>+IF(E62="","",VLOOKUP(E62,CATALOGO!G:I,3,0))</f>
        <v>36</v>
      </c>
      <c r="M62" s="21">
        <v>46279</v>
      </c>
    </row>
    <row r="63" spans="1:13" x14ac:dyDescent="0.25">
      <c r="A63" s="13" t="s">
        <v>20</v>
      </c>
      <c r="B63" s="13" t="s">
        <v>21</v>
      </c>
      <c r="C63" s="33" t="s">
        <v>85</v>
      </c>
      <c r="D63" s="30" t="s">
        <v>19</v>
      </c>
      <c r="E63" s="13" t="s">
        <v>22</v>
      </c>
      <c r="F63" s="6">
        <f>+VLOOKUP(E63,CATALOGO!G:L,6,0)</f>
        <v>6</v>
      </c>
      <c r="G63" s="16">
        <v>144</v>
      </c>
      <c r="H63" s="16">
        <v>3</v>
      </c>
      <c r="I63" s="27">
        <v>46274</v>
      </c>
      <c r="J63" s="12">
        <v>37</v>
      </c>
      <c r="K63">
        <f>+IF(E63="","",VLOOKUP(E63,CATALOGO!G:I,2,0))</f>
        <v>1</v>
      </c>
      <c r="L63">
        <f>+IF(E63="","",VLOOKUP(E63,CATALOGO!G:I,3,0))</f>
        <v>24</v>
      </c>
      <c r="M63" s="21">
        <v>46279</v>
      </c>
    </row>
    <row r="64" spans="1:13" x14ac:dyDescent="0.25">
      <c r="A64" s="13" t="s">
        <v>29</v>
      </c>
      <c r="B64" s="13" t="s">
        <v>30</v>
      </c>
      <c r="C64" s="33" t="s">
        <v>86</v>
      </c>
      <c r="D64" s="30" t="s">
        <v>19</v>
      </c>
      <c r="E64" s="13" t="s">
        <v>31</v>
      </c>
      <c r="F64" s="6">
        <f>+VLOOKUP(E64,CATALOGO!G:L,6,0)</f>
        <v>0</v>
      </c>
      <c r="G64" s="16">
        <v>1</v>
      </c>
      <c r="H64" s="16" t="s">
        <v>32</v>
      </c>
      <c r="I64" s="27">
        <v>46274</v>
      </c>
      <c r="J64" s="12">
        <v>37</v>
      </c>
      <c r="K64">
        <f>+IF(E64="","",VLOOKUP(E64,CATALOGO!G:I,2,0))</f>
        <v>1.5</v>
      </c>
      <c r="L64">
        <f>+IF(E64="","",VLOOKUP(E64,CATALOGO!G:I,3,0))</f>
        <v>36</v>
      </c>
      <c r="M64" s="21">
        <v>46276</v>
      </c>
    </row>
    <row r="65" spans="1:13" x14ac:dyDescent="0.25">
      <c r="A65" s="13" t="s">
        <v>33</v>
      </c>
      <c r="B65" s="13" t="s">
        <v>34</v>
      </c>
      <c r="C65" s="33" t="s">
        <v>86</v>
      </c>
      <c r="D65" s="30" t="s">
        <v>19</v>
      </c>
      <c r="E65" s="13" t="s">
        <v>31</v>
      </c>
      <c r="F65" s="6">
        <f>+VLOOKUP(E65,CATALOGO!G:L,6,0)</f>
        <v>0</v>
      </c>
      <c r="G65" s="16">
        <v>52</v>
      </c>
      <c r="H65" s="16" t="s">
        <v>32</v>
      </c>
      <c r="I65" s="27">
        <v>46274</v>
      </c>
      <c r="J65" s="12">
        <v>37</v>
      </c>
      <c r="K65">
        <f>+IF(E65="","",VLOOKUP(E65,CATALOGO!G:I,2,0))</f>
        <v>1.5</v>
      </c>
      <c r="L65">
        <f>+IF(E65="","",VLOOKUP(E65,CATALOGO!G:I,3,0))</f>
        <v>36</v>
      </c>
      <c r="M65" s="21">
        <v>46276</v>
      </c>
    </row>
    <row r="66" spans="1:13" x14ac:dyDescent="0.25">
      <c r="A66" s="13" t="s">
        <v>36</v>
      </c>
      <c r="B66" s="13" t="s">
        <v>37</v>
      </c>
      <c r="C66" s="33" t="s">
        <v>87</v>
      </c>
      <c r="D66" s="30" t="s">
        <v>19</v>
      </c>
      <c r="E66" s="13" t="s">
        <v>31</v>
      </c>
      <c r="F66" s="6">
        <f>+VLOOKUP(E66,CATALOGO!G:L,6,0)</f>
        <v>0</v>
      </c>
      <c r="G66" s="16">
        <v>76</v>
      </c>
      <c r="H66" s="16" t="s">
        <v>32</v>
      </c>
      <c r="I66" s="27">
        <v>46274</v>
      </c>
      <c r="J66" s="12">
        <v>37</v>
      </c>
      <c r="K66">
        <f>+IF(E66="","",VLOOKUP(E66,CATALOGO!G:I,2,0))</f>
        <v>1.5</v>
      </c>
      <c r="L66">
        <f>+IF(E66="","",VLOOKUP(E66,CATALOGO!G:I,3,0))</f>
        <v>36</v>
      </c>
      <c r="M66" s="21">
        <v>46276</v>
      </c>
    </row>
    <row r="67" spans="1:13" x14ac:dyDescent="0.25">
      <c r="A67" s="13" t="s">
        <v>39</v>
      </c>
      <c r="B67" s="13" t="s">
        <v>40</v>
      </c>
      <c r="C67" s="33" t="s">
        <v>88</v>
      </c>
      <c r="D67" s="30" t="s">
        <v>19</v>
      </c>
      <c r="E67" s="13" t="s">
        <v>31</v>
      </c>
      <c r="F67" s="6">
        <f>+VLOOKUP(E67,CATALOGO!G:L,6,0)</f>
        <v>0</v>
      </c>
      <c r="G67" s="16">
        <v>24</v>
      </c>
      <c r="H67" s="16" t="s">
        <v>32</v>
      </c>
      <c r="I67" s="27">
        <v>46274</v>
      </c>
      <c r="J67" s="12">
        <v>37</v>
      </c>
      <c r="K67">
        <f>+IF(E67="","",VLOOKUP(E67,CATALOGO!G:I,2,0))</f>
        <v>1.5</v>
      </c>
      <c r="L67">
        <f>+IF(E67="","",VLOOKUP(E67,CATALOGO!G:I,3,0))</f>
        <v>36</v>
      </c>
      <c r="M67" s="21">
        <v>46276</v>
      </c>
    </row>
    <row r="68" spans="1:13" x14ac:dyDescent="0.25">
      <c r="A68" s="13" t="s">
        <v>26</v>
      </c>
      <c r="B68" s="13" t="s">
        <v>27</v>
      </c>
      <c r="C68" s="33" t="s">
        <v>89</v>
      </c>
      <c r="D68" s="30" t="s">
        <v>90</v>
      </c>
      <c r="E68" s="13" t="s">
        <v>53</v>
      </c>
      <c r="F68" s="6">
        <f>+VLOOKUP(E68,CATALOGO!G:L,6,0)</f>
        <v>4</v>
      </c>
      <c r="G68" s="16">
        <v>336</v>
      </c>
      <c r="H68" s="16">
        <v>7</v>
      </c>
      <c r="I68" s="27">
        <v>46274</v>
      </c>
      <c r="J68" s="12">
        <v>37</v>
      </c>
      <c r="K68">
        <f>+IF(E68="","",VLOOKUP(E68,CATALOGO!G:I,2,0))</f>
        <v>1.5</v>
      </c>
      <c r="L68">
        <f>+IF(E68="","",VLOOKUP(E68,CATALOGO!G:I,3,0))</f>
        <v>36</v>
      </c>
      <c r="M68" s="21">
        <v>46279</v>
      </c>
    </row>
    <row r="69" spans="1:13" x14ac:dyDescent="0.25">
      <c r="A69" s="13" t="s">
        <v>26</v>
      </c>
      <c r="B69" s="13" t="s">
        <v>27</v>
      </c>
      <c r="C69" s="33" t="s">
        <v>89</v>
      </c>
      <c r="D69" s="30" t="s">
        <v>90</v>
      </c>
      <c r="E69" s="13" t="s">
        <v>22</v>
      </c>
      <c r="F69" s="6">
        <f>+VLOOKUP(E69,CATALOGO!G:L,6,0)</f>
        <v>6</v>
      </c>
      <c r="G69" s="16">
        <v>864</v>
      </c>
      <c r="H69" s="16">
        <v>18</v>
      </c>
      <c r="I69" s="27">
        <v>46274</v>
      </c>
      <c r="J69" s="12">
        <v>37</v>
      </c>
      <c r="K69">
        <f>+IF(E69="","",VLOOKUP(E69,CATALOGO!G:I,2,0))</f>
        <v>1</v>
      </c>
      <c r="L69">
        <f>+IF(E69="","",VLOOKUP(E69,CATALOGO!G:I,3,0))</f>
        <v>24</v>
      </c>
      <c r="M69" s="21">
        <v>46279</v>
      </c>
    </row>
    <row r="70" spans="1:13" x14ac:dyDescent="0.25">
      <c r="A70" s="13" t="s">
        <v>29</v>
      </c>
      <c r="B70" s="13" t="s">
        <v>30</v>
      </c>
      <c r="C70" s="33" t="s">
        <v>91</v>
      </c>
      <c r="D70" s="30" t="s">
        <v>90</v>
      </c>
      <c r="E70" s="13" t="s">
        <v>31</v>
      </c>
      <c r="F70" s="6">
        <f>+VLOOKUP(E70,CATALOGO!G:L,6,0)</f>
        <v>0</v>
      </c>
      <c r="G70" s="16">
        <v>1</v>
      </c>
      <c r="H70" s="16" t="s">
        <v>32</v>
      </c>
      <c r="I70" s="27">
        <v>46274</v>
      </c>
      <c r="J70" s="12">
        <v>37</v>
      </c>
      <c r="K70">
        <f>+IF(E70="","",VLOOKUP(E70,CATALOGO!G:I,2,0))</f>
        <v>1.5</v>
      </c>
      <c r="L70">
        <f>+IF(E70="","",VLOOKUP(E70,CATALOGO!G:I,3,0))</f>
        <v>36</v>
      </c>
      <c r="M70" s="21">
        <v>46276</v>
      </c>
    </row>
    <row r="71" spans="1:13" x14ac:dyDescent="0.25">
      <c r="A71" s="13" t="s">
        <v>33</v>
      </c>
      <c r="B71" s="13" t="s">
        <v>34</v>
      </c>
      <c r="C71" s="33" t="s">
        <v>91</v>
      </c>
      <c r="D71" s="30" t="s">
        <v>90</v>
      </c>
      <c r="E71" s="13" t="s">
        <v>31</v>
      </c>
      <c r="F71" s="6">
        <f>+VLOOKUP(E71,CATALOGO!G:L,6,0)</f>
        <v>0</v>
      </c>
      <c r="G71" s="16">
        <v>60</v>
      </c>
      <c r="H71" s="16" t="s">
        <v>32</v>
      </c>
      <c r="I71" s="27">
        <v>46274</v>
      </c>
      <c r="J71" s="12">
        <v>37</v>
      </c>
      <c r="K71">
        <f>+IF(E71="","",VLOOKUP(E71,CATALOGO!G:I,2,0))</f>
        <v>1.5</v>
      </c>
      <c r="L71">
        <f>+IF(E71="","",VLOOKUP(E71,CATALOGO!G:I,3,0))</f>
        <v>36</v>
      </c>
      <c r="M71" s="21">
        <v>46276</v>
      </c>
    </row>
    <row r="72" spans="1:13" x14ac:dyDescent="0.25">
      <c r="A72" s="13" t="s">
        <v>36</v>
      </c>
      <c r="B72" s="13" t="s">
        <v>37</v>
      </c>
      <c r="C72" s="33" t="s">
        <v>92</v>
      </c>
      <c r="D72" s="30" t="s">
        <v>90</v>
      </c>
      <c r="E72" s="13" t="s">
        <v>31</v>
      </c>
      <c r="F72" s="6">
        <f>+VLOOKUP(E72,CATALOGO!G:L,6,0)</f>
        <v>0</v>
      </c>
      <c r="G72" s="16">
        <v>1</v>
      </c>
      <c r="H72" s="16" t="s">
        <v>32</v>
      </c>
      <c r="I72" s="27">
        <v>46274</v>
      </c>
      <c r="J72" s="12">
        <v>37</v>
      </c>
      <c r="K72">
        <f>+IF(E72="","",VLOOKUP(E72,CATALOGO!G:I,2,0))</f>
        <v>1.5</v>
      </c>
      <c r="L72">
        <f>+IF(E72="","",VLOOKUP(E72,CATALOGO!G:I,3,0))</f>
        <v>36</v>
      </c>
      <c r="M72" s="21">
        <v>46276</v>
      </c>
    </row>
    <row r="73" spans="1:13" x14ac:dyDescent="0.25">
      <c r="A73" s="13" t="s">
        <v>39</v>
      </c>
      <c r="B73" s="13" t="s">
        <v>40</v>
      </c>
      <c r="C73" s="33" t="s">
        <v>93</v>
      </c>
      <c r="D73" s="30" t="s">
        <v>90</v>
      </c>
      <c r="E73" s="13" t="s">
        <v>31</v>
      </c>
      <c r="F73" s="6">
        <f>+VLOOKUP(E73,CATALOGO!G:L,6,0)</f>
        <v>0</v>
      </c>
      <c r="G73" s="16">
        <v>25</v>
      </c>
      <c r="H73" s="16" t="s">
        <v>32</v>
      </c>
      <c r="I73" s="27">
        <v>46274</v>
      </c>
      <c r="J73" s="12">
        <v>37</v>
      </c>
      <c r="K73">
        <f>+IF(E73="","",VLOOKUP(E73,CATALOGO!G:I,2,0))</f>
        <v>1.5</v>
      </c>
      <c r="L73">
        <f>+IF(E73="","",VLOOKUP(E73,CATALOGO!G:I,3,0))</f>
        <v>36</v>
      </c>
      <c r="M73" s="21">
        <v>46276</v>
      </c>
    </row>
    <row r="74" spans="1:13" x14ac:dyDescent="0.25">
      <c r="A74" s="13" t="s">
        <v>26</v>
      </c>
      <c r="B74" s="13" t="s">
        <v>27</v>
      </c>
      <c r="C74" s="33" t="s">
        <v>94</v>
      </c>
      <c r="D74" s="30" t="s">
        <v>43</v>
      </c>
      <c r="E74" s="13" t="s">
        <v>25</v>
      </c>
      <c r="F74" s="6">
        <f>+VLOOKUP(E74,CATALOGO!G:L,6,0)</f>
        <v>5</v>
      </c>
      <c r="G74" s="16">
        <v>1104</v>
      </c>
      <c r="H74" s="16">
        <v>23</v>
      </c>
      <c r="I74" s="27">
        <v>46274</v>
      </c>
      <c r="J74" s="12">
        <v>37</v>
      </c>
      <c r="K74">
        <f>+IF(E74="","",VLOOKUP(E74,CATALOGO!G:I,2,0))</f>
        <v>1</v>
      </c>
      <c r="L74">
        <f>+IF(E74="","",VLOOKUP(E74,CATALOGO!G:I,3,0))</f>
        <v>24</v>
      </c>
      <c r="M74" s="21">
        <v>46279</v>
      </c>
    </row>
    <row r="75" spans="1:13" x14ac:dyDescent="0.25">
      <c r="A75" s="13" t="s">
        <v>23</v>
      </c>
      <c r="B75" s="13" t="s">
        <v>24</v>
      </c>
      <c r="C75" s="33" t="s">
        <v>94</v>
      </c>
      <c r="D75" s="30" t="s">
        <v>43</v>
      </c>
      <c r="E75" s="13" t="s">
        <v>25</v>
      </c>
      <c r="F75" s="6">
        <f>+VLOOKUP(E75,CATALOGO!G:L,6,0)</f>
        <v>5</v>
      </c>
      <c r="G75" s="16">
        <v>48</v>
      </c>
      <c r="H75" s="16">
        <v>1</v>
      </c>
      <c r="I75" s="27">
        <v>46274</v>
      </c>
      <c r="J75" s="12">
        <v>37</v>
      </c>
      <c r="K75">
        <f>+IF(E75="","",VLOOKUP(E75,CATALOGO!G:I,2,0))</f>
        <v>1</v>
      </c>
      <c r="L75">
        <f>+IF(E75="","",VLOOKUP(E75,CATALOGO!G:I,3,0))</f>
        <v>24</v>
      </c>
      <c r="M75" s="21">
        <v>46279</v>
      </c>
    </row>
    <row r="76" spans="1:13" x14ac:dyDescent="0.25">
      <c r="A76" s="13" t="s">
        <v>29</v>
      </c>
      <c r="B76" s="13" t="s">
        <v>30</v>
      </c>
      <c r="C76" s="33" t="s">
        <v>95</v>
      </c>
      <c r="D76" s="30" t="s">
        <v>43</v>
      </c>
      <c r="E76" s="13" t="s">
        <v>31</v>
      </c>
      <c r="F76" s="6">
        <f>+VLOOKUP(E76,CATALOGO!G:L,6,0)</f>
        <v>0</v>
      </c>
      <c r="G76" s="16">
        <v>1</v>
      </c>
      <c r="H76" s="16" t="s">
        <v>32</v>
      </c>
      <c r="I76" s="27">
        <v>46274</v>
      </c>
      <c r="J76" s="12">
        <v>37</v>
      </c>
      <c r="K76">
        <f>+IF(E76="","",VLOOKUP(E76,CATALOGO!G:I,2,0))</f>
        <v>1.5</v>
      </c>
      <c r="L76">
        <f>+IF(E76="","",VLOOKUP(E76,CATALOGO!G:I,3,0))</f>
        <v>36</v>
      </c>
      <c r="M76" s="21">
        <v>46276</v>
      </c>
    </row>
    <row r="77" spans="1:13" x14ac:dyDescent="0.25">
      <c r="A77" s="13" t="s">
        <v>33</v>
      </c>
      <c r="B77" s="13" t="s">
        <v>34</v>
      </c>
      <c r="C77" s="33" t="s">
        <v>95</v>
      </c>
      <c r="D77" s="30" t="s">
        <v>43</v>
      </c>
      <c r="E77" s="13" t="s">
        <v>31</v>
      </c>
      <c r="F77" s="6">
        <f>+VLOOKUP(E77,CATALOGO!G:L,6,0)</f>
        <v>0</v>
      </c>
      <c r="G77" s="16">
        <v>83</v>
      </c>
      <c r="H77" s="16" t="s">
        <v>32</v>
      </c>
      <c r="I77" s="27">
        <v>46274</v>
      </c>
      <c r="J77" s="12">
        <v>37</v>
      </c>
      <c r="K77">
        <f>+IF(E77="","",VLOOKUP(E77,CATALOGO!G:I,2,0))</f>
        <v>1.5</v>
      </c>
      <c r="L77">
        <f>+IF(E77="","",VLOOKUP(E77,CATALOGO!G:I,3,0))</f>
        <v>36</v>
      </c>
      <c r="M77" s="21">
        <v>46276</v>
      </c>
    </row>
    <row r="78" spans="1:13" x14ac:dyDescent="0.25">
      <c r="A78" s="13" t="s">
        <v>36</v>
      </c>
      <c r="B78" s="13" t="s">
        <v>37</v>
      </c>
      <c r="C78" s="33" t="s">
        <v>96</v>
      </c>
      <c r="D78" s="30" t="s">
        <v>43</v>
      </c>
      <c r="E78" s="13" t="s">
        <v>31</v>
      </c>
      <c r="F78" s="6">
        <f>+VLOOKUP(E78,CATALOGO!G:L,6,0)</f>
        <v>0</v>
      </c>
      <c r="G78" s="16">
        <v>20</v>
      </c>
      <c r="H78" s="16" t="s">
        <v>32</v>
      </c>
      <c r="I78" s="27">
        <v>46274</v>
      </c>
      <c r="J78" s="12">
        <v>37</v>
      </c>
      <c r="K78">
        <f>+IF(E78="","",VLOOKUP(E78,CATALOGO!G:I,2,0))</f>
        <v>1.5</v>
      </c>
      <c r="L78">
        <f>+IF(E78="","",VLOOKUP(E78,CATALOGO!G:I,3,0))</f>
        <v>36</v>
      </c>
      <c r="M78" s="21">
        <v>46276</v>
      </c>
    </row>
    <row r="79" spans="1:13" x14ac:dyDescent="0.25">
      <c r="A79" s="14" t="s">
        <v>39</v>
      </c>
      <c r="B79" s="14" t="s">
        <v>40</v>
      </c>
      <c r="C79" s="34" t="s">
        <v>97</v>
      </c>
      <c r="D79" s="31" t="s">
        <v>43</v>
      </c>
      <c r="E79" s="14" t="s">
        <v>31</v>
      </c>
      <c r="F79" s="6">
        <f>+VLOOKUP(E79,CATALOGO!G:L,6,0)</f>
        <v>0</v>
      </c>
      <c r="G79" s="16">
        <v>50</v>
      </c>
      <c r="H79" s="19" t="s">
        <v>32</v>
      </c>
      <c r="I79" s="28">
        <v>46274</v>
      </c>
      <c r="J79" s="12">
        <v>37</v>
      </c>
      <c r="K79">
        <f>+IF(E79="","",VLOOKUP(E79,CATALOGO!G:I,2,0))</f>
        <v>1.5</v>
      </c>
      <c r="L79">
        <f>+IF(E79="","",VLOOKUP(E79,CATALOGO!G:I,3,0))</f>
        <v>36</v>
      </c>
      <c r="M79" s="22">
        <v>46276</v>
      </c>
    </row>
    <row r="80" spans="1:13" x14ac:dyDescent="0.25">
      <c r="A80" s="13" t="s">
        <v>13</v>
      </c>
      <c r="B80" s="13" t="s">
        <v>14</v>
      </c>
      <c r="C80" s="33" t="s">
        <v>98</v>
      </c>
      <c r="D80" s="30" t="s">
        <v>55</v>
      </c>
      <c r="E80" s="13" t="s">
        <v>17</v>
      </c>
      <c r="F80" s="6">
        <f>+VLOOKUP(E80,CATALOGO!G:L,6,0)</f>
        <v>8</v>
      </c>
      <c r="G80" s="16">
        <v>960</v>
      </c>
      <c r="H80" s="16">
        <v>20</v>
      </c>
      <c r="I80" s="27">
        <v>46275</v>
      </c>
      <c r="J80" s="12">
        <v>37</v>
      </c>
      <c r="K80">
        <f>+IF(E80="","",VLOOKUP(E80,CATALOGO!G:I,2,0))</f>
        <v>3</v>
      </c>
      <c r="L80">
        <f>+IF(E80="","",VLOOKUP(E80,CATALOGO!G:I,3,0))</f>
        <v>72</v>
      </c>
      <c r="M80" s="21">
        <v>46280</v>
      </c>
    </row>
    <row r="81" spans="1:13" x14ac:dyDescent="0.25">
      <c r="A81" s="13" t="s">
        <v>13</v>
      </c>
      <c r="B81" s="13" t="s">
        <v>14</v>
      </c>
      <c r="C81" s="33" t="s">
        <v>99</v>
      </c>
      <c r="D81" s="30" t="s">
        <v>57</v>
      </c>
      <c r="E81" s="13" t="s">
        <v>17</v>
      </c>
      <c r="F81" s="6">
        <f>+VLOOKUP(E81,CATALOGO!G:L,6,0)</f>
        <v>8</v>
      </c>
      <c r="G81" s="16">
        <v>960</v>
      </c>
      <c r="H81" s="16">
        <v>20</v>
      </c>
      <c r="I81" s="27">
        <v>46275</v>
      </c>
      <c r="J81" s="12">
        <v>37</v>
      </c>
      <c r="K81">
        <f>+IF(E81="","",VLOOKUP(E81,CATALOGO!G:I,2,0))</f>
        <v>3</v>
      </c>
      <c r="L81">
        <f>+IF(E81="","",VLOOKUP(E81,CATALOGO!G:I,3,0))</f>
        <v>72</v>
      </c>
      <c r="M81" s="21">
        <v>46280</v>
      </c>
    </row>
    <row r="82" spans="1:13" x14ac:dyDescent="0.25">
      <c r="A82" s="13" t="s">
        <v>26</v>
      </c>
      <c r="B82" s="13" t="s">
        <v>27</v>
      </c>
      <c r="C82" s="33" t="s">
        <v>100</v>
      </c>
      <c r="D82" s="30" t="s">
        <v>101</v>
      </c>
      <c r="E82" s="13" t="s">
        <v>28</v>
      </c>
      <c r="F82" s="6">
        <f>+VLOOKUP(E82,CATALOGO!G:L,6,0)</f>
        <v>3</v>
      </c>
      <c r="G82" s="16">
        <v>1056</v>
      </c>
      <c r="H82" s="16">
        <v>22</v>
      </c>
      <c r="I82" s="27">
        <v>46275</v>
      </c>
      <c r="J82" s="12">
        <v>37</v>
      </c>
      <c r="K82">
        <f>+IF(E82="","",VLOOKUP(E82,CATALOGO!G:I,2,0))</f>
        <v>1.5</v>
      </c>
      <c r="L82">
        <f>+IF(E82="","",VLOOKUP(E82,CATALOGO!G:I,3,0))</f>
        <v>36</v>
      </c>
      <c r="M82" s="21">
        <v>46279</v>
      </c>
    </row>
    <row r="83" spans="1:13" x14ac:dyDescent="0.25">
      <c r="A83" s="13" t="s">
        <v>13</v>
      </c>
      <c r="B83" s="13" t="s">
        <v>14</v>
      </c>
      <c r="C83" s="33" t="s">
        <v>102</v>
      </c>
      <c r="D83" s="30" t="s">
        <v>103</v>
      </c>
      <c r="E83" s="13" t="s">
        <v>17</v>
      </c>
      <c r="F83" s="6">
        <f>+VLOOKUP(E83,CATALOGO!G:L,6,0)</f>
        <v>8</v>
      </c>
      <c r="G83" s="16">
        <v>480</v>
      </c>
      <c r="H83" s="16">
        <v>10</v>
      </c>
      <c r="I83" s="27">
        <v>46275</v>
      </c>
      <c r="J83" s="12">
        <v>37</v>
      </c>
      <c r="K83">
        <f>+IF(E83="","",VLOOKUP(E83,CATALOGO!G:I,2,0))</f>
        <v>3</v>
      </c>
      <c r="L83">
        <f>+IF(E83="","",VLOOKUP(E83,CATALOGO!G:I,3,0))</f>
        <v>72</v>
      </c>
      <c r="M83" s="21">
        <v>46281</v>
      </c>
    </row>
    <row r="84" spans="1:13" x14ac:dyDescent="0.25">
      <c r="A84" s="13" t="s">
        <v>13</v>
      </c>
      <c r="B84" s="13" t="s">
        <v>14</v>
      </c>
      <c r="C84" s="33" t="s">
        <v>104</v>
      </c>
      <c r="D84" s="30" t="s">
        <v>48</v>
      </c>
      <c r="E84" s="13" t="s">
        <v>17</v>
      </c>
      <c r="F84" s="6">
        <f>+VLOOKUP(E84,CATALOGO!G:L,6,0)</f>
        <v>8</v>
      </c>
      <c r="G84" s="16">
        <v>480</v>
      </c>
      <c r="H84" s="16">
        <v>10</v>
      </c>
      <c r="I84" s="27">
        <v>46275</v>
      </c>
      <c r="J84" s="12">
        <v>37</v>
      </c>
      <c r="K84">
        <f>+IF(E84="","",VLOOKUP(E84,CATALOGO!G:I,2,0))</f>
        <v>3</v>
      </c>
      <c r="L84">
        <f>+IF(E84="","",VLOOKUP(E84,CATALOGO!G:I,3,0))</f>
        <v>72</v>
      </c>
      <c r="M84" s="21">
        <v>46281</v>
      </c>
    </row>
    <row r="85" spans="1:13" x14ac:dyDescent="0.25">
      <c r="A85" s="13" t="s">
        <v>29</v>
      </c>
      <c r="B85" s="13" t="s">
        <v>30</v>
      </c>
      <c r="C85" s="33" t="s">
        <v>105</v>
      </c>
      <c r="D85" s="30" t="s">
        <v>48</v>
      </c>
      <c r="E85" s="13" t="s">
        <v>31</v>
      </c>
      <c r="F85" s="6">
        <f>+VLOOKUP(E85,CATALOGO!G:L,6,0)</f>
        <v>0</v>
      </c>
      <c r="G85" s="16">
        <v>1</v>
      </c>
      <c r="H85" s="16" t="s">
        <v>32</v>
      </c>
      <c r="I85" s="27">
        <v>46275</v>
      </c>
      <c r="J85" s="12">
        <v>37</v>
      </c>
      <c r="K85">
        <f>+IF(E85="","",VLOOKUP(E85,CATALOGO!G:I,2,0))</f>
        <v>1.5</v>
      </c>
      <c r="L85">
        <f>+IF(E85="","",VLOOKUP(E85,CATALOGO!G:I,3,0))</f>
        <v>36</v>
      </c>
      <c r="M85" s="21">
        <v>46276</v>
      </c>
    </row>
    <row r="86" spans="1:13" x14ac:dyDescent="0.25">
      <c r="A86" s="13" t="s">
        <v>33</v>
      </c>
      <c r="B86" s="13" t="s">
        <v>34</v>
      </c>
      <c r="C86" s="33" t="s">
        <v>105</v>
      </c>
      <c r="D86" s="30" t="s">
        <v>48</v>
      </c>
      <c r="E86" s="13" t="s">
        <v>31</v>
      </c>
      <c r="F86" s="6">
        <f>+VLOOKUP(E86,CATALOGO!G:L,6,0)</f>
        <v>0</v>
      </c>
      <c r="G86" s="16">
        <v>38</v>
      </c>
      <c r="H86" s="16" t="s">
        <v>32</v>
      </c>
      <c r="I86" s="27">
        <v>46275</v>
      </c>
      <c r="J86" s="12">
        <v>37</v>
      </c>
      <c r="K86">
        <f>+IF(E86="","",VLOOKUP(E86,CATALOGO!G:I,2,0))</f>
        <v>1.5</v>
      </c>
      <c r="L86">
        <f>+IF(E86="","",VLOOKUP(E86,CATALOGO!G:I,3,0))</f>
        <v>36</v>
      </c>
      <c r="M86" s="21">
        <v>46276</v>
      </c>
    </row>
    <row r="87" spans="1:13" x14ac:dyDescent="0.25">
      <c r="A87" s="13" t="s">
        <v>36</v>
      </c>
      <c r="B87" s="13" t="s">
        <v>37</v>
      </c>
      <c r="C87" s="33" t="s">
        <v>106</v>
      </c>
      <c r="D87" s="30" t="s">
        <v>48</v>
      </c>
      <c r="E87" s="13" t="s">
        <v>31</v>
      </c>
      <c r="F87" s="6">
        <f>+VLOOKUP(E87,CATALOGO!G:L,6,0)</f>
        <v>0</v>
      </c>
      <c r="G87" s="16">
        <v>18</v>
      </c>
      <c r="H87" s="16" t="s">
        <v>32</v>
      </c>
      <c r="I87" s="27">
        <v>46275</v>
      </c>
      <c r="J87" s="12">
        <v>37</v>
      </c>
      <c r="K87">
        <f>+IF(E87="","",VLOOKUP(E87,CATALOGO!G:I,2,0))</f>
        <v>1.5</v>
      </c>
      <c r="L87">
        <f>+IF(E87="","",VLOOKUP(E87,CATALOGO!G:I,3,0))</f>
        <v>36</v>
      </c>
      <c r="M87" s="21">
        <v>46276</v>
      </c>
    </row>
    <row r="88" spans="1:13" x14ac:dyDescent="0.25">
      <c r="A88" s="13" t="s">
        <v>39</v>
      </c>
      <c r="B88" s="13" t="s">
        <v>40</v>
      </c>
      <c r="C88" s="33" t="s">
        <v>107</v>
      </c>
      <c r="D88" s="30" t="s">
        <v>48</v>
      </c>
      <c r="E88" s="13" t="s">
        <v>31</v>
      </c>
      <c r="F88" s="6">
        <f>+VLOOKUP(E88,CATALOGO!G:L,6,0)</f>
        <v>0</v>
      </c>
      <c r="G88" s="16">
        <v>72</v>
      </c>
      <c r="H88" s="16" t="s">
        <v>32</v>
      </c>
      <c r="I88" s="27">
        <v>46275</v>
      </c>
      <c r="J88" s="12">
        <v>37</v>
      </c>
      <c r="K88">
        <f>+IF(E88="","",VLOOKUP(E88,CATALOGO!G:I,2,0))</f>
        <v>1.5</v>
      </c>
      <c r="L88">
        <f>+IF(E88="","",VLOOKUP(E88,CATALOGO!G:I,3,0))</f>
        <v>36</v>
      </c>
      <c r="M88" s="21">
        <v>46276</v>
      </c>
    </row>
    <row r="89" spans="1:13" x14ac:dyDescent="0.25">
      <c r="A89" s="13" t="s">
        <v>26</v>
      </c>
      <c r="B89" s="13" t="s">
        <v>27</v>
      </c>
      <c r="C89" s="33" t="s">
        <v>108</v>
      </c>
      <c r="D89" s="30" t="s">
        <v>43</v>
      </c>
      <c r="E89" s="13" t="s">
        <v>25</v>
      </c>
      <c r="F89" s="6">
        <f>+VLOOKUP(E89,CATALOGO!G:L,6,0)</f>
        <v>5</v>
      </c>
      <c r="G89" s="16">
        <v>1104</v>
      </c>
      <c r="H89" s="16">
        <v>23</v>
      </c>
      <c r="I89" s="27">
        <v>46275</v>
      </c>
      <c r="J89" s="12">
        <v>37</v>
      </c>
      <c r="K89">
        <f>+IF(E89="","",VLOOKUP(E89,CATALOGO!G:I,2,0))</f>
        <v>1</v>
      </c>
      <c r="L89">
        <f>+IF(E89="","",VLOOKUP(E89,CATALOGO!G:I,3,0))</f>
        <v>24</v>
      </c>
      <c r="M89" s="21">
        <v>46280</v>
      </c>
    </row>
    <row r="90" spans="1:13" x14ac:dyDescent="0.25">
      <c r="A90" s="13" t="s">
        <v>29</v>
      </c>
      <c r="B90" s="13" t="s">
        <v>30</v>
      </c>
      <c r="C90" s="33" t="s">
        <v>109</v>
      </c>
      <c r="D90" s="30" t="s">
        <v>43</v>
      </c>
      <c r="E90" s="13" t="s">
        <v>31</v>
      </c>
      <c r="F90" s="6">
        <f>+VLOOKUP(E90,CATALOGO!G:L,6,0)</f>
        <v>0</v>
      </c>
      <c r="G90" s="16">
        <v>1</v>
      </c>
      <c r="H90" s="16" t="s">
        <v>32</v>
      </c>
      <c r="I90" s="27">
        <v>46275</v>
      </c>
      <c r="J90" s="12">
        <v>37</v>
      </c>
      <c r="K90">
        <f>+IF(E90="","",VLOOKUP(E90,CATALOGO!G:I,2,0))</f>
        <v>1.5</v>
      </c>
      <c r="L90">
        <f>+IF(E90="","",VLOOKUP(E90,CATALOGO!G:I,3,0))</f>
        <v>36</v>
      </c>
      <c r="M90" s="21">
        <v>46276</v>
      </c>
    </row>
    <row r="91" spans="1:13" x14ac:dyDescent="0.25">
      <c r="A91" s="13" t="s">
        <v>33</v>
      </c>
      <c r="B91" s="13" t="s">
        <v>34</v>
      </c>
      <c r="C91" s="33" t="s">
        <v>109</v>
      </c>
      <c r="D91" s="30" t="s">
        <v>43</v>
      </c>
      <c r="E91" s="13" t="s">
        <v>31</v>
      </c>
      <c r="F91" s="6">
        <f>+VLOOKUP(E91,CATALOGO!G:L,6,0)</f>
        <v>0</v>
      </c>
      <c r="G91" s="16">
        <v>83</v>
      </c>
      <c r="H91" s="16" t="s">
        <v>32</v>
      </c>
      <c r="I91" s="27">
        <v>46275</v>
      </c>
      <c r="J91" s="12">
        <v>37</v>
      </c>
      <c r="K91">
        <f>+IF(E91="","",VLOOKUP(E91,CATALOGO!G:I,2,0))</f>
        <v>1.5</v>
      </c>
      <c r="L91">
        <f>+IF(E91="","",VLOOKUP(E91,CATALOGO!G:I,3,0))</f>
        <v>36</v>
      </c>
      <c r="M91" s="21">
        <v>46276</v>
      </c>
    </row>
    <row r="92" spans="1:13" x14ac:dyDescent="0.25">
      <c r="A92" s="13" t="s">
        <v>36</v>
      </c>
      <c r="B92" s="13" t="s">
        <v>37</v>
      </c>
      <c r="C92" s="33" t="s">
        <v>110</v>
      </c>
      <c r="D92" s="30" t="s">
        <v>43</v>
      </c>
      <c r="E92" s="13" t="s">
        <v>31</v>
      </c>
      <c r="F92" s="6">
        <f>+VLOOKUP(E92,CATALOGO!G:L,6,0)</f>
        <v>0</v>
      </c>
      <c r="G92" s="16">
        <v>20</v>
      </c>
      <c r="H92" s="16" t="s">
        <v>32</v>
      </c>
      <c r="I92" s="27">
        <v>46275</v>
      </c>
      <c r="J92" s="12">
        <v>37</v>
      </c>
      <c r="K92">
        <f>+IF(E92="","",VLOOKUP(E92,CATALOGO!G:I,2,0))</f>
        <v>1.5</v>
      </c>
      <c r="L92">
        <f>+IF(E92="","",VLOOKUP(E92,CATALOGO!G:I,3,0))</f>
        <v>36</v>
      </c>
      <c r="M92" s="21">
        <v>46276</v>
      </c>
    </row>
    <row r="93" spans="1:13" x14ac:dyDescent="0.25">
      <c r="A93" s="13" t="s">
        <v>39</v>
      </c>
      <c r="B93" s="13" t="s">
        <v>40</v>
      </c>
      <c r="C93" s="33" t="s">
        <v>111</v>
      </c>
      <c r="D93" s="30" t="s">
        <v>43</v>
      </c>
      <c r="E93" s="13" t="s">
        <v>31</v>
      </c>
      <c r="F93" s="6">
        <f>+VLOOKUP(E93,CATALOGO!G:L,6,0)</f>
        <v>0</v>
      </c>
      <c r="G93" s="16">
        <v>50</v>
      </c>
      <c r="H93" s="16" t="s">
        <v>32</v>
      </c>
      <c r="I93" s="27">
        <v>46275</v>
      </c>
      <c r="J93" s="12">
        <v>37</v>
      </c>
      <c r="K93">
        <f>+IF(E93="","",VLOOKUP(E93,CATALOGO!G:I,2,0))</f>
        <v>1.5</v>
      </c>
      <c r="L93">
        <f>+IF(E93="","",VLOOKUP(E93,CATALOGO!G:I,3,0))</f>
        <v>36</v>
      </c>
      <c r="M93" s="21">
        <v>46276</v>
      </c>
    </row>
    <row r="94" spans="1:13" x14ac:dyDescent="0.25">
      <c r="A94" s="13" t="s">
        <v>23</v>
      </c>
      <c r="B94" s="13" t="s">
        <v>24</v>
      </c>
      <c r="C94" s="33" t="s">
        <v>112</v>
      </c>
      <c r="D94" s="30" t="s">
        <v>19</v>
      </c>
      <c r="E94" s="13" t="s">
        <v>25</v>
      </c>
      <c r="F94" s="6">
        <f>+VLOOKUP(E94,CATALOGO!G:L,6,0)</f>
        <v>5</v>
      </c>
      <c r="G94" s="16">
        <v>48</v>
      </c>
      <c r="H94" s="16">
        <v>1</v>
      </c>
      <c r="I94" s="27">
        <v>46275</v>
      </c>
      <c r="J94" s="12">
        <v>37</v>
      </c>
      <c r="K94">
        <f>+IF(E94="","",VLOOKUP(E94,CATALOGO!G:I,2,0))</f>
        <v>1</v>
      </c>
      <c r="L94">
        <f>+IF(E94="","",VLOOKUP(E94,CATALOGO!G:I,3,0))</f>
        <v>24</v>
      </c>
      <c r="M94" s="21">
        <v>46280</v>
      </c>
    </row>
    <row r="95" spans="1:13" x14ac:dyDescent="0.25">
      <c r="A95" s="13" t="s">
        <v>20</v>
      </c>
      <c r="B95" s="13" t="s">
        <v>21</v>
      </c>
      <c r="C95" s="33" t="s">
        <v>112</v>
      </c>
      <c r="D95" s="30" t="s">
        <v>19</v>
      </c>
      <c r="E95" s="13" t="s">
        <v>22</v>
      </c>
      <c r="F95" s="6">
        <f>+VLOOKUP(E95,CATALOGO!G:L,6,0)</f>
        <v>6</v>
      </c>
      <c r="G95" s="16">
        <v>144</v>
      </c>
      <c r="H95" s="16">
        <v>3</v>
      </c>
      <c r="I95" s="27">
        <v>46275</v>
      </c>
      <c r="J95" s="12">
        <v>37</v>
      </c>
      <c r="K95">
        <f>+IF(E95="","",VLOOKUP(E95,CATALOGO!G:I,2,0))</f>
        <v>1</v>
      </c>
      <c r="L95">
        <f>+IF(E95="","",VLOOKUP(E95,CATALOGO!G:I,3,0))</f>
        <v>24</v>
      </c>
      <c r="M95" s="21">
        <v>46279</v>
      </c>
    </row>
    <row r="96" spans="1:13" x14ac:dyDescent="0.25">
      <c r="A96" s="13" t="s">
        <v>23</v>
      </c>
      <c r="B96" s="13" t="s">
        <v>24</v>
      </c>
      <c r="C96" s="33" t="s">
        <v>112</v>
      </c>
      <c r="D96" s="30" t="s">
        <v>19</v>
      </c>
      <c r="E96" s="13" t="s">
        <v>113</v>
      </c>
      <c r="F96" s="6">
        <f>+VLOOKUP(E96,CATALOGO!G:L,6,0)</f>
        <v>2</v>
      </c>
      <c r="G96" s="16">
        <v>5</v>
      </c>
      <c r="H96" s="16">
        <v>0.10416666666666667</v>
      </c>
      <c r="I96" s="27">
        <v>46275</v>
      </c>
      <c r="J96" s="12">
        <v>37</v>
      </c>
      <c r="K96">
        <f>+IF(E96="","",VLOOKUP(E96,CATALOGO!G:I,2,0))</f>
        <v>2.5</v>
      </c>
      <c r="L96">
        <f>+IF(E96="","",VLOOKUP(E96,CATALOGO!G:I,3,0))</f>
        <v>60</v>
      </c>
      <c r="M96" s="23">
        <v>46279</v>
      </c>
    </row>
    <row r="97" spans="1:13" x14ac:dyDescent="0.25">
      <c r="A97" s="13" t="s">
        <v>26</v>
      </c>
      <c r="B97" s="13" t="s">
        <v>27</v>
      </c>
      <c r="C97" s="33" t="s">
        <v>112</v>
      </c>
      <c r="D97" s="30" t="s">
        <v>19</v>
      </c>
      <c r="E97" s="13" t="s">
        <v>113</v>
      </c>
      <c r="F97" s="6">
        <f>+VLOOKUP(E97,CATALOGO!G:L,6,0)</f>
        <v>2</v>
      </c>
      <c r="G97" s="16">
        <v>1051</v>
      </c>
      <c r="H97" s="16">
        <v>22</v>
      </c>
      <c r="I97" s="27">
        <v>46275</v>
      </c>
      <c r="J97" s="12">
        <v>37</v>
      </c>
      <c r="K97">
        <f>+IF(E97="","",VLOOKUP(E97,CATALOGO!G:I,2,0))</f>
        <v>2.5</v>
      </c>
      <c r="L97">
        <f>+IF(E97="","",VLOOKUP(E97,CATALOGO!G:I,3,0))</f>
        <v>60</v>
      </c>
      <c r="M97" s="23">
        <v>46279</v>
      </c>
    </row>
    <row r="98" spans="1:13" x14ac:dyDescent="0.25">
      <c r="A98" s="13" t="s">
        <v>20</v>
      </c>
      <c r="B98" s="13" t="s">
        <v>21</v>
      </c>
      <c r="C98" s="33" t="s">
        <v>112</v>
      </c>
      <c r="D98" s="30" t="s">
        <v>19</v>
      </c>
      <c r="E98" s="13" t="s">
        <v>113</v>
      </c>
      <c r="F98" s="6">
        <f>+VLOOKUP(E98,CATALOGO!G:L,6,0)</f>
        <v>2</v>
      </c>
      <c r="G98" s="16">
        <v>96</v>
      </c>
      <c r="H98" s="16">
        <v>2</v>
      </c>
      <c r="I98" s="27">
        <v>46275</v>
      </c>
      <c r="J98" s="12">
        <v>37</v>
      </c>
      <c r="K98">
        <f>+IF(E98="","",VLOOKUP(E98,CATALOGO!G:I,2,0))</f>
        <v>2.5</v>
      </c>
      <c r="L98">
        <f>+IF(E98="","",VLOOKUP(E98,CATALOGO!G:I,3,0))</f>
        <v>60</v>
      </c>
      <c r="M98" s="23">
        <v>46279</v>
      </c>
    </row>
    <row r="99" spans="1:13" x14ac:dyDescent="0.25">
      <c r="A99" s="13" t="s">
        <v>29</v>
      </c>
      <c r="B99" s="13" t="s">
        <v>30</v>
      </c>
      <c r="C99" s="33" t="s">
        <v>114</v>
      </c>
      <c r="D99" s="30" t="s">
        <v>19</v>
      </c>
      <c r="E99" s="13" t="s">
        <v>31</v>
      </c>
      <c r="F99" s="6">
        <f>+VLOOKUP(E99,CATALOGO!G:L,6,0)</f>
        <v>0</v>
      </c>
      <c r="G99" s="16">
        <v>1</v>
      </c>
      <c r="H99" s="16" t="s">
        <v>32</v>
      </c>
      <c r="I99" s="27">
        <v>46275</v>
      </c>
      <c r="J99" s="12">
        <v>37</v>
      </c>
      <c r="K99">
        <f>+IF(E99="","",VLOOKUP(E99,CATALOGO!G:I,2,0))</f>
        <v>1.5</v>
      </c>
      <c r="L99">
        <f>+IF(E99="","",VLOOKUP(E99,CATALOGO!G:I,3,0))</f>
        <v>36</v>
      </c>
      <c r="M99" s="21">
        <v>46276</v>
      </c>
    </row>
    <row r="100" spans="1:13" x14ac:dyDescent="0.25">
      <c r="A100" s="13" t="s">
        <v>33</v>
      </c>
      <c r="B100" s="13" t="s">
        <v>34</v>
      </c>
      <c r="C100" s="33" t="s">
        <v>114</v>
      </c>
      <c r="D100" s="30" t="s">
        <v>19</v>
      </c>
      <c r="E100" s="13" t="s">
        <v>31</v>
      </c>
      <c r="F100" s="6">
        <f>+VLOOKUP(E100,CATALOGO!G:L,6,0)</f>
        <v>0</v>
      </c>
      <c r="G100" s="16">
        <v>52</v>
      </c>
      <c r="H100" s="16" t="s">
        <v>32</v>
      </c>
      <c r="I100" s="27">
        <v>46275</v>
      </c>
      <c r="J100" s="12">
        <v>37</v>
      </c>
      <c r="K100">
        <f>+IF(E100="","",VLOOKUP(E100,CATALOGO!G:I,2,0))</f>
        <v>1.5</v>
      </c>
      <c r="L100">
        <f>+IF(E100="","",VLOOKUP(E100,CATALOGO!G:I,3,0))</f>
        <v>36</v>
      </c>
      <c r="M100" s="21">
        <v>46276</v>
      </c>
    </row>
    <row r="101" spans="1:13" x14ac:dyDescent="0.25">
      <c r="A101" s="13" t="s">
        <v>36</v>
      </c>
      <c r="B101" s="13" t="s">
        <v>37</v>
      </c>
      <c r="C101" s="33" t="s">
        <v>115</v>
      </c>
      <c r="D101" s="30" t="s">
        <v>19</v>
      </c>
      <c r="E101" s="13" t="s">
        <v>31</v>
      </c>
      <c r="F101" s="6">
        <f>+VLOOKUP(E101,CATALOGO!G:L,6,0)</f>
        <v>0</v>
      </c>
      <c r="G101" s="16">
        <v>76</v>
      </c>
      <c r="H101" s="16" t="s">
        <v>32</v>
      </c>
      <c r="I101" s="27">
        <v>46275</v>
      </c>
      <c r="J101" s="12">
        <v>37</v>
      </c>
      <c r="K101">
        <f>+IF(E101="","",VLOOKUP(E101,CATALOGO!G:I,2,0))</f>
        <v>1.5</v>
      </c>
      <c r="L101">
        <f>+IF(E101="","",VLOOKUP(E101,CATALOGO!G:I,3,0))</f>
        <v>36</v>
      </c>
      <c r="M101" s="21">
        <v>46276</v>
      </c>
    </row>
    <row r="102" spans="1:13" x14ac:dyDescent="0.25">
      <c r="A102" s="14" t="s">
        <v>39</v>
      </c>
      <c r="B102" s="14" t="s">
        <v>40</v>
      </c>
      <c r="C102" s="34" t="s">
        <v>116</v>
      </c>
      <c r="D102" s="31" t="s">
        <v>19</v>
      </c>
      <c r="E102" s="14" t="s">
        <v>31</v>
      </c>
      <c r="F102" s="6">
        <f>+VLOOKUP(E102,CATALOGO!G:L,6,0)</f>
        <v>0</v>
      </c>
      <c r="G102" s="19">
        <v>24</v>
      </c>
      <c r="H102" s="19" t="s">
        <v>32</v>
      </c>
      <c r="I102" s="28">
        <v>46275</v>
      </c>
      <c r="J102" s="12">
        <v>37</v>
      </c>
      <c r="K102">
        <f>+IF(E102="","",VLOOKUP(E102,CATALOGO!G:I,2,0))</f>
        <v>1.5</v>
      </c>
      <c r="L102">
        <f>+IF(E102="","",VLOOKUP(E102,CATALOGO!G:I,3,0))</f>
        <v>36</v>
      </c>
      <c r="M102" s="22">
        <v>46276</v>
      </c>
    </row>
    <row r="103" spans="1:13" x14ac:dyDescent="0.25">
      <c r="A103" s="13" t="s">
        <v>13</v>
      </c>
      <c r="B103" s="13" t="s">
        <v>14</v>
      </c>
      <c r="C103" s="33" t="s">
        <v>117</v>
      </c>
      <c r="D103" s="30" t="s">
        <v>55</v>
      </c>
      <c r="E103" s="13" t="s">
        <v>17</v>
      </c>
      <c r="F103" s="6">
        <f>+VLOOKUP(E103,CATALOGO!G:L,6,0)</f>
        <v>8</v>
      </c>
      <c r="G103" s="16">
        <v>960</v>
      </c>
      <c r="H103" s="16">
        <v>20</v>
      </c>
      <c r="I103" s="27">
        <v>46276</v>
      </c>
      <c r="J103" s="12">
        <v>37</v>
      </c>
      <c r="K103">
        <f>+IF(E103="","",VLOOKUP(E103,CATALOGO!G:I,2,0))</f>
        <v>3</v>
      </c>
      <c r="L103">
        <f>+IF(E103="","",VLOOKUP(E103,CATALOGO!G:I,3,0))</f>
        <v>72</v>
      </c>
      <c r="M103" s="21">
        <v>46282</v>
      </c>
    </row>
    <row r="104" spans="1:13" x14ac:dyDescent="0.25">
      <c r="A104" s="13" t="s">
        <v>13</v>
      </c>
      <c r="B104" s="13" t="s">
        <v>14</v>
      </c>
      <c r="C104" s="33" t="s">
        <v>118</v>
      </c>
      <c r="D104" s="30" t="s">
        <v>103</v>
      </c>
      <c r="E104" s="13" t="s">
        <v>17</v>
      </c>
      <c r="F104" s="6">
        <f>+VLOOKUP(E104,CATALOGO!G:L,6,0)</f>
        <v>8</v>
      </c>
      <c r="G104" s="16">
        <v>480</v>
      </c>
      <c r="H104" s="16">
        <v>10</v>
      </c>
      <c r="I104" s="27">
        <v>46276</v>
      </c>
      <c r="J104" s="12">
        <v>37</v>
      </c>
      <c r="K104">
        <f>+IF(E104="","",VLOOKUP(E104,CATALOGO!G:I,2,0))</f>
        <v>3</v>
      </c>
      <c r="L104">
        <f>+IF(E104="","",VLOOKUP(E104,CATALOGO!G:I,3,0))</f>
        <v>72</v>
      </c>
      <c r="M104" s="21">
        <v>46281</v>
      </c>
    </row>
    <row r="105" spans="1:13" x14ac:dyDescent="0.25">
      <c r="A105" s="13" t="s">
        <v>119</v>
      </c>
      <c r="B105" s="13" t="s">
        <v>120</v>
      </c>
      <c r="C105" s="33" t="s">
        <v>121</v>
      </c>
      <c r="D105" s="30" t="s">
        <v>122</v>
      </c>
      <c r="E105" s="13" t="s">
        <v>17</v>
      </c>
      <c r="F105" s="6">
        <f>+VLOOKUP(E105,CATALOGO!G:L,6,0)</f>
        <v>8</v>
      </c>
      <c r="G105" s="16">
        <v>1008</v>
      </c>
      <c r="H105" s="16">
        <v>24</v>
      </c>
      <c r="I105" s="27">
        <v>46276</v>
      </c>
      <c r="J105" s="12">
        <v>37</v>
      </c>
      <c r="K105">
        <f>+IF(E105="","",VLOOKUP(E105,CATALOGO!G:I,2,0))</f>
        <v>3</v>
      </c>
      <c r="L105">
        <f>+IF(E105="","",VLOOKUP(E105,CATALOGO!G:I,3,0))</f>
        <v>72</v>
      </c>
      <c r="M105" s="21">
        <v>46280</v>
      </c>
    </row>
    <row r="106" spans="1:13" x14ac:dyDescent="0.25">
      <c r="A106" s="13" t="s">
        <v>58</v>
      </c>
      <c r="B106" s="13" t="s">
        <v>59</v>
      </c>
      <c r="C106" s="33" t="e">
        <v>#N/A</v>
      </c>
      <c r="D106" s="30"/>
      <c r="E106" s="13" t="s">
        <v>60</v>
      </c>
      <c r="F106" s="6">
        <f>+VLOOKUP(E106,CATALOGO!G:L,6,0)</f>
        <v>1</v>
      </c>
      <c r="G106" s="16">
        <v>480</v>
      </c>
      <c r="H106" s="16">
        <v>10</v>
      </c>
      <c r="I106" s="27">
        <v>46276</v>
      </c>
      <c r="J106" s="12">
        <v>37</v>
      </c>
      <c r="K106">
        <f>+IF(E106="","",VLOOKUP(E106,CATALOGO!G:I,2,0))</f>
        <v>3</v>
      </c>
      <c r="L106">
        <f>+IF(E106="","",VLOOKUP(E106,CATALOGO!G:I,3,0))</f>
        <v>72</v>
      </c>
      <c r="M106" s="21">
        <v>46283</v>
      </c>
    </row>
    <row r="107" spans="1:13" x14ac:dyDescent="0.25">
      <c r="A107" s="13" t="s">
        <v>26</v>
      </c>
      <c r="B107" s="13" t="s">
        <v>27</v>
      </c>
      <c r="C107" s="33" t="e">
        <v>#N/A</v>
      </c>
      <c r="D107" s="30"/>
      <c r="E107" s="13" t="s">
        <v>53</v>
      </c>
      <c r="F107" s="6">
        <f>+VLOOKUP(E107,CATALOGO!G:L,6,0)</f>
        <v>4</v>
      </c>
      <c r="G107" s="16">
        <v>1152</v>
      </c>
      <c r="H107" s="16">
        <v>24</v>
      </c>
      <c r="I107" s="27">
        <v>46276</v>
      </c>
      <c r="J107" s="12">
        <v>37</v>
      </c>
      <c r="K107">
        <f>+IF(E107="","",VLOOKUP(E107,CATALOGO!G:I,2,0))</f>
        <v>1.5</v>
      </c>
      <c r="L107">
        <f>+IF(E107="","",VLOOKUP(E107,CATALOGO!G:I,3,0))</f>
        <v>36</v>
      </c>
      <c r="M107" s="21">
        <v>46281</v>
      </c>
    </row>
    <row r="108" spans="1:13" x14ac:dyDescent="0.25">
      <c r="A108" s="13" t="s">
        <v>13</v>
      </c>
      <c r="B108" s="13" t="s">
        <v>14</v>
      </c>
      <c r="C108" s="33" t="s">
        <v>123</v>
      </c>
      <c r="D108" s="30" t="s">
        <v>48</v>
      </c>
      <c r="E108" s="13" t="s">
        <v>17</v>
      </c>
      <c r="F108" s="6">
        <f>+VLOOKUP(E108,CATALOGO!G:L,6,0)</f>
        <v>8</v>
      </c>
      <c r="G108" s="16">
        <v>480</v>
      </c>
      <c r="H108" s="16">
        <v>10</v>
      </c>
      <c r="I108" s="27">
        <v>46276</v>
      </c>
      <c r="J108" s="12">
        <v>37</v>
      </c>
      <c r="K108">
        <f>+IF(E108="","",VLOOKUP(E108,CATALOGO!G:I,2,0))</f>
        <v>3</v>
      </c>
      <c r="L108">
        <f>+IF(E108="","",VLOOKUP(E108,CATALOGO!G:I,3,0))</f>
        <v>72</v>
      </c>
      <c r="M108" s="21">
        <v>46281</v>
      </c>
    </row>
    <row r="109" spans="1:13" x14ac:dyDescent="0.25">
      <c r="A109" s="13" t="s">
        <v>58</v>
      </c>
      <c r="B109" s="13" t="s">
        <v>59</v>
      </c>
      <c r="C109" s="33" t="s">
        <v>123</v>
      </c>
      <c r="D109" s="30" t="s">
        <v>48</v>
      </c>
      <c r="E109" s="13" t="s">
        <v>60</v>
      </c>
      <c r="F109" s="6">
        <f>+VLOOKUP(E109,CATALOGO!G:L,6,0)</f>
        <v>1</v>
      </c>
      <c r="G109" s="16">
        <v>960</v>
      </c>
      <c r="H109" s="16">
        <v>20</v>
      </c>
      <c r="I109" s="27">
        <v>46276</v>
      </c>
      <c r="J109" s="12">
        <v>37</v>
      </c>
      <c r="K109">
        <f>+IF(E109="","",VLOOKUP(E109,CATALOGO!G:I,2,0))</f>
        <v>3</v>
      </c>
      <c r="L109">
        <f>+IF(E109="","",VLOOKUP(E109,CATALOGO!G:I,3,0))</f>
        <v>72</v>
      </c>
      <c r="M109" s="21">
        <v>46283</v>
      </c>
    </row>
    <row r="110" spans="1:13" x14ac:dyDescent="0.25">
      <c r="A110" s="13" t="s">
        <v>29</v>
      </c>
      <c r="B110" s="13" t="s">
        <v>30</v>
      </c>
      <c r="C110" s="33" t="s">
        <v>124</v>
      </c>
      <c r="D110" s="30" t="s">
        <v>48</v>
      </c>
      <c r="E110" s="13" t="s">
        <v>31</v>
      </c>
      <c r="F110" s="6">
        <f>+VLOOKUP(E110,CATALOGO!G:L,6,0)</f>
        <v>0</v>
      </c>
      <c r="G110" s="16">
        <v>1</v>
      </c>
      <c r="H110" s="16" t="s">
        <v>32</v>
      </c>
      <c r="I110" s="27">
        <v>46276</v>
      </c>
      <c r="J110" s="12">
        <v>37</v>
      </c>
      <c r="K110">
        <f>+IF(E110="","",VLOOKUP(E110,CATALOGO!G:I,2,0))</f>
        <v>1.5</v>
      </c>
      <c r="L110">
        <f>+IF(E110="","",VLOOKUP(E110,CATALOGO!G:I,3,0))</f>
        <v>36</v>
      </c>
      <c r="M110" s="21">
        <v>46276</v>
      </c>
    </row>
    <row r="111" spans="1:13" x14ac:dyDescent="0.25">
      <c r="A111" s="13" t="s">
        <v>33</v>
      </c>
      <c r="B111" s="13" t="s">
        <v>34</v>
      </c>
      <c r="C111" s="33" t="s">
        <v>124</v>
      </c>
      <c r="D111" s="30" t="s">
        <v>48</v>
      </c>
      <c r="E111" s="13" t="s">
        <v>31</v>
      </c>
      <c r="F111" s="6">
        <f>+VLOOKUP(E111,CATALOGO!G:L,6,0)</f>
        <v>0</v>
      </c>
      <c r="G111" s="16">
        <v>38</v>
      </c>
      <c r="H111" s="16" t="s">
        <v>32</v>
      </c>
      <c r="I111" s="27">
        <v>46276</v>
      </c>
      <c r="J111" s="12">
        <v>37</v>
      </c>
      <c r="K111">
        <f>+IF(E111="","",VLOOKUP(E111,CATALOGO!G:I,2,0))</f>
        <v>1.5</v>
      </c>
      <c r="L111">
        <f>+IF(E111="","",VLOOKUP(E111,CATALOGO!G:I,3,0))</f>
        <v>36</v>
      </c>
      <c r="M111" s="21">
        <v>46276</v>
      </c>
    </row>
    <row r="112" spans="1:13" x14ac:dyDescent="0.25">
      <c r="A112" s="13" t="s">
        <v>36</v>
      </c>
      <c r="B112" s="13" t="s">
        <v>37</v>
      </c>
      <c r="C112" s="33" t="s">
        <v>125</v>
      </c>
      <c r="D112" s="30" t="s">
        <v>48</v>
      </c>
      <c r="E112" s="13" t="s">
        <v>31</v>
      </c>
      <c r="F112" s="6">
        <f>+VLOOKUP(E112,CATALOGO!G:L,6,0)</f>
        <v>0</v>
      </c>
      <c r="G112" s="16">
        <v>18</v>
      </c>
      <c r="H112" s="16" t="s">
        <v>32</v>
      </c>
      <c r="I112" s="27">
        <v>46276</v>
      </c>
      <c r="J112" s="12">
        <v>37</v>
      </c>
      <c r="K112">
        <f>+IF(E112="","",VLOOKUP(E112,CATALOGO!G:I,2,0))</f>
        <v>1.5</v>
      </c>
      <c r="L112">
        <f>+IF(E112="","",VLOOKUP(E112,CATALOGO!G:I,3,0))</f>
        <v>36</v>
      </c>
      <c r="M112" s="21">
        <v>46276</v>
      </c>
    </row>
    <row r="113" spans="1:13" x14ac:dyDescent="0.25">
      <c r="A113" s="13" t="s">
        <v>39</v>
      </c>
      <c r="B113" s="13" t="s">
        <v>40</v>
      </c>
      <c r="C113" s="33" t="s">
        <v>126</v>
      </c>
      <c r="D113" s="30" t="s">
        <v>48</v>
      </c>
      <c r="E113" s="13" t="s">
        <v>31</v>
      </c>
      <c r="F113" s="6">
        <f>+VLOOKUP(E113,CATALOGO!G:L,6,0)</f>
        <v>0</v>
      </c>
      <c r="G113" s="16">
        <v>72</v>
      </c>
      <c r="H113" s="16" t="s">
        <v>32</v>
      </c>
      <c r="I113" s="27">
        <v>46276</v>
      </c>
      <c r="J113" s="12">
        <v>37</v>
      </c>
      <c r="K113">
        <f>+IF(E113="","",VLOOKUP(E113,CATALOGO!G:I,2,0))</f>
        <v>1.5</v>
      </c>
      <c r="L113">
        <f>+IF(E113="","",VLOOKUP(E113,CATALOGO!G:I,3,0))</f>
        <v>36</v>
      </c>
      <c r="M113" s="21">
        <v>46276</v>
      </c>
    </row>
    <row r="114" spans="1:13" x14ac:dyDescent="0.25">
      <c r="A114" s="13" t="s">
        <v>23</v>
      </c>
      <c r="B114" s="13" t="s">
        <v>24</v>
      </c>
      <c r="C114" s="33" t="s">
        <v>127</v>
      </c>
      <c r="D114" s="30" t="s">
        <v>43</v>
      </c>
      <c r="E114" s="13" t="s">
        <v>25</v>
      </c>
      <c r="F114" s="6">
        <f>+VLOOKUP(E114,CATALOGO!G:L,6,0)</f>
        <v>5</v>
      </c>
      <c r="G114" s="16">
        <v>48</v>
      </c>
      <c r="H114" s="16">
        <v>1</v>
      </c>
      <c r="I114" s="27">
        <v>46276</v>
      </c>
      <c r="J114" s="12">
        <v>37</v>
      </c>
      <c r="K114">
        <f>+IF(E114="","",VLOOKUP(E114,CATALOGO!G:I,2,0))</f>
        <v>1</v>
      </c>
      <c r="L114">
        <f>+IF(E114="","",VLOOKUP(E114,CATALOGO!G:I,3,0))</f>
        <v>24</v>
      </c>
      <c r="M114" s="23">
        <v>46281</v>
      </c>
    </row>
    <row r="115" spans="1:13" x14ac:dyDescent="0.25">
      <c r="A115" s="13" t="s">
        <v>26</v>
      </c>
      <c r="B115" s="13" t="s">
        <v>27</v>
      </c>
      <c r="C115" s="33" t="s">
        <v>127</v>
      </c>
      <c r="D115" s="30" t="s">
        <v>43</v>
      </c>
      <c r="E115" s="13" t="s">
        <v>25</v>
      </c>
      <c r="F115" s="6">
        <f>+VLOOKUP(E115,CATALOGO!G:L,6,0)</f>
        <v>5</v>
      </c>
      <c r="G115" s="16">
        <v>1104</v>
      </c>
      <c r="H115" s="16">
        <v>23</v>
      </c>
      <c r="I115" s="27">
        <v>46276</v>
      </c>
      <c r="J115" s="12">
        <v>37</v>
      </c>
      <c r="K115">
        <f>+IF(E115="","",VLOOKUP(E115,CATALOGO!G:I,2,0))</f>
        <v>1</v>
      </c>
      <c r="L115">
        <f>+IF(E115="","",VLOOKUP(E115,CATALOGO!G:I,3,0))</f>
        <v>24</v>
      </c>
      <c r="M115" s="23">
        <v>46281</v>
      </c>
    </row>
    <row r="116" spans="1:13" x14ac:dyDescent="0.25">
      <c r="A116" s="13" t="s">
        <v>29</v>
      </c>
      <c r="B116" s="13" t="s">
        <v>30</v>
      </c>
      <c r="C116" s="33" t="s">
        <v>128</v>
      </c>
      <c r="D116" s="30" t="s">
        <v>43</v>
      </c>
      <c r="E116" s="13" t="s">
        <v>31</v>
      </c>
      <c r="F116" s="6">
        <f>+VLOOKUP(E116,CATALOGO!G:L,6,0)</f>
        <v>0</v>
      </c>
      <c r="G116" s="16">
        <v>1</v>
      </c>
      <c r="H116" s="16" t="s">
        <v>32</v>
      </c>
      <c r="I116" s="27">
        <v>46276</v>
      </c>
      <c r="J116" s="12">
        <v>37</v>
      </c>
      <c r="K116">
        <f>+IF(E116="","",VLOOKUP(E116,CATALOGO!G:I,2,0))</f>
        <v>1.5</v>
      </c>
      <c r="L116">
        <f>+IF(E116="","",VLOOKUP(E116,CATALOGO!G:I,3,0))</f>
        <v>36</v>
      </c>
      <c r="M116" s="21">
        <v>46276</v>
      </c>
    </row>
    <row r="117" spans="1:13" x14ac:dyDescent="0.25">
      <c r="A117" s="13" t="s">
        <v>33</v>
      </c>
      <c r="B117" s="13" t="s">
        <v>34</v>
      </c>
      <c r="C117" s="33" t="s">
        <v>128</v>
      </c>
      <c r="D117" s="30" t="s">
        <v>43</v>
      </c>
      <c r="E117" s="13" t="s">
        <v>31</v>
      </c>
      <c r="F117" s="6">
        <f>+VLOOKUP(E117,CATALOGO!G:L,6,0)</f>
        <v>0</v>
      </c>
      <c r="G117" s="16">
        <v>83</v>
      </c>
      <c r="H117" s="16" t="s">
        <v>32</v>
      </c>
      <c r="I117" s="27">
        <v>46276</v>
      </c>
      <c r="J117" s="12">
        <v>37</v>
      </c>
      <c r="K117">
        <f>+IF(E117="","",VLOOKUP(E117,CATALOGO!G:I,2,0))</f>
        <v>1.5</v>
      </c>
      <c r="L117">
        <f>+IF(E117="","",VLOOKUP(E117,CATALOGO!G:I,3,0))</f>
        <v>36</v>
      </c>
      <c r="M117" s="21">
        <v>46276</v>
      </c>
    </row>
    <row r="118" spans="1:13" x14ac:dyDescent="0.25">
      <c r="A118" s="13" t="s">
        <v>36</v>
      </c>
      <c r="B118" s="13" t="s">
        <v>37</v>
      </c>
      <c r="C118" s="33" t="s">
        <v>129</v>
      </c>
      <c r="D118" s="30" t="s">
        <v>43</v>
      </c>
      <c r="E118" s="13" t="s">
        <v>31</v>
      </c>
      <c r="F118" s="6">
        <f>+VLOOKUP(E118,CATALOGO!G:L,6,0)</f>
        <v>0</v>
      </c>
      <c r="G118" s="16">
        <v>20</v>
      </c>
      <c r="H118" s="16" t="s">
        <v>32</v>
      </c>
      <c r="I118" s="27">
        <v>46276</v>
      </c>
      <c r="J118" s="12">
        <v>37</v>
      </c>
      <c r="K118">
        <f>+IF(E118="","",VLOOKUP(E118,CATALOGO!G:I,2,0))</f>
        <v>1.5</v>
      </c>
      <c r="L118">
        <f>+IF(E118="","",VLOOKUP(E118,CATALOGO!G:I,3,0))</f>
        <v>36</v>
      </c>
      <c r="M118" s="21">
        <v>46276</v>
      </c>
    </row>
    <row r="119" spans="1:13" x14ac:dyDescent="0.25">
      <c r="A119" s="13" t="s">
        <v>39</v>
      </c>
      <c r="B119" s="13" t="s">
        <v>40</v>
      </c>
      <c r="C119" s="33" t="s">
        <v>130</v>
      </c>
      <c r="D119" s="30" t="s">
        <v>43</v>
      </c>
      <c r="E119" s="13" t="s">
        <v>31</v>
      </c>
      <c r="F119" s="6">
        <f>+VLOOKUP(E119,CATALOGO!G:L,6,0)</f>
        <v>0</v>
      </c>
      <c r="G119" s="16">
        <v>50</v>
      </c>
      <c r="H119" s="16" t="s">
        <v>32</v>
      </c>
      <c r="I119" s="27">
        <v>46276</v>
      </c>
      <c r="J119" s="12">
        <v>37</v>
      </c>
      <c r="K119">
        <f>+IF(E119="","",VLOOKUP(E119,CATALOGO!G:I,2,0))</f>
        <v>1.5</v>
      </c>
      <c r="L119">
        <f>+IF(E119="","",VLOOKUP(E119,CATALOGO!G:I,3,0))</f>
        <v>36</v>
      </c>
      <c r="M119" s="21">
        <v>46276</v>
      </c>
    </row>
    <row r="120" spans="1:13" x14ac:dyDescent="0.25">
      <c r="A120" s="13" t="s">
        <v>26</v>
      </c>
      <c r="B120" s="13" t="s">
        <v>27</v>
      </c>
      <c r="C120" s="33" t="s">
        <v>131</v>
      </c>
      <c r="D120" s="30" t="s">
        <v>19</v>
      </c>
      <c r="E120" s="13" t="s">
        <v>28</v>
      </c>
      <c r="F120" s="6">
        <f>+VLOOKUP(E120,CATALOGO!G:L,6,0)</f>
        <v>3</v>
      </c>
      <c r="G120" s="16">
        <v>1056</v>
      </c>
      <c r="H120" s="16">
        <v>22</v>
      </c>
      <c r="I120" s="27">
        <v>46276</v>
      </c>
      <c r="J120" s="12">
        <v>37</v>
      </c>
      <c r="K120">
        <f>+IF(E120="","",VLOOKUP(E120,CATALOGO!G:I,2,0))</f>
        <v>1.5</v>
      </c>
      <c r="L120">
        <f>+IF(E120="","",VLOOKUP(E120,CATALOGO!G:I,3,0))</f>
        <v>36</v>
      </c>
      <c r="M120" s="21">
        <v>46281</v>
      </c>
    </row>
    <row r="121" spans="1:13" x14ac:dyDescent="0.25">
      <c r="A121" s="13" t="s">
        <v>20</v>
      </c>
      <c r="B121" s="13" t="s">
        <v>21</v>
      </c>
      <c r="C121" s="33" t="s">
        <v>131</v>
      </c>
      <c r="D121" s="30" t="s">
        <v>19</v>
      </c>
      <c r="E121" s="13" t="s">
        <v>28</v>
      </c>
      <c r="F121" s="6">
        <f>+VLOOKUP(E121,CATALOGO!G:L,6,0)</f>
        <v>3</v>
      </c>
      <c r="G121" s="16">
        <v>96</v>
      </c>
      <c r="H121" s="16">
        <v>2</v>
      </c>
      <c r="I121" s="27">
        <v>46276</v>
      </c>
      <c r="J121" s="12">
        <v>37</v>
      </c>
      <c r="K121">
        <f>+IF(E121="","",VLOOKUP(E121,CATALOGO!G:I,2,0))</f>
        <v>1.5</v>
      </c>
      <c r="L121">
        <f>+IF(E121="","",VLOOKUP(E121,CATALOGO!G:I,3,0))</f>
        <v>36</v>
      </c>
      <c r="M121" s="21">
        <v>46281</v>
      </c>
    </row>
    <row r="122" spans="1:13" x14ac:dyDescent="0.25">
      <c r="A122" s="13" t="s">
        <v>29</v>
      </c>
      <c r="B122" s="13" t="s">
        <v>30</v>
      </c>
      <c r="C122" s="33" t="s">
        <v>132</v>
      </c>
      <c r="D122" s="30" t="s">
        <v>19</v>
      </c>
      <c r="E122" s="13" t="s">
        <v>31</v>
      </c>
      <c r="F122" s="6">
        <f>+VLOOKUP(E122,CATALOGO!G:L,6,0)</f>
        <v>0</v>
      </c>
      <c r="G122" s="16">
        <v>1</v>
      </c>
      <c r="H122" s="16" t="s">
        <v>32</v>
      </c>
      <c r="I122" s="27">
        <v>46276</v>
      </c>
      <c r="J122" s="12">
        <v>37</v>
      </c>
      <c r="K122">
        <f>+IF(E122="","",VLOOKUP(E122,CATALOGO!G:I,2,0))</f>
        <v>1.5</v>
      </c>
      <c r="L122">
        <f>+IF(E122="","",VLOOKUP(E122,CATALOGO!G:I,3,0))</f>
        <v>36</v>
      </c>
      <c r="M122" s="21">
        <v>46276</v>
      </c>
    </row>
    <row r="123" spans="1:13" x14ac:dyDescent="0.25">
      <c r="A123" s="13" t="s">
        <v>33</v>
      </c>
      <c r="B123" s="13" t="s">
        <v>34</v>
      </c>
      <c r="C123" s="33" t="s">
        <v>132</v>
      </c>
      <c r="D123" s="30" t="s">
        <v>19</v>
      </c>
      <c r="E123" s="13" t="s">
        <v>31</v>
      </c>
      <c r="F123" s="6">
        <f>+VLOOKUP(E123,CATALOGO!G:L,6,0)</f>
        <v>0</v>
      </c>
      <c r="G123" s="16">
        <v>52</v>
      </c>
      <c r="H123" s="16" t="s">
        <v>32</v>
      </c>
      <c r="I123" s="27">
        <v>46276</v>
      </c>
      <c r="J123" s="12">
        <v>37</v>
      </c>
      <c r="K123">
        <f>+IF(E123="","",VLOOKUP(E123,CATALOGO!G:I,2,0))</f>
        <v>1.5</v>
      </c>
      <c r="L123">
        <f>+IF(E123="","",VLOOKUP(E123,CATALOGO!G:I,3,0))</f>
        <v>36</v>
      </c>
      <c r="M123" s="21">
        <v>46276</v>
      </c>
    </row>
    <row r="124" spans="1:13" x14ac:dyDescent="0.25">
      <c r="A124" s="13" t="s">
        <v>36</v>
      </c>
      <c r="B124" s="13" t="s">
        <v>37</v>
      </c>
      <c r="C124" s="33" t="s">
        <v>133</v>
      </c>
      <c r="D124" s="30" t="s">
        <v>19</v>
      </c>
      <c r="E124" s="13" t="s">
        <v>31</v>
      </c>
      <c r="F124" s="6">
        <f>+VLOOKUP(E124,CATALOGO!G:L,6,0)</f>
        <v>0</v>
      </c>
      <c r="G124" s="16">
        <v>76</v>
      </c>
      <c r="H124" s="16" t="s">
        <v>32</v>
      </c>
      <c r="I124" s="27">
        <v>46276</v>
      </c>
      <c r="J124" s="12">
        <v>37</v>
      </c>
      <c r="K124">
        <f>+IF(E124="","",VLOOKUP(E124,CATALOGO!G:I,2,0))</f>
        <v>1.5</v>
      </c>
      <c r="L124">
        <f>+IF(E124="","",VLOOKUP(E124,CATALOGO!G:I,3,0))</f>
        <v>36</v>
      </c>
      <c r="M124" s="21">
        <v>46276</v>
      </c>
    </row>
    <row r="125" spans="1:13" x14ac:dyDescent="0.25">
      <c r="A125" s="14" t="s">
        <v>39</v>
      </c>
      <c r="B125" s="14" t="s">
        <v>40</v>
      </c>
      <c r="C125" s="34" t="s">
        <v>134</v>
      </c>
      <c r="D125" s="31" t="s">
        <v>19</v>
      </c>
      <c r="E125" s="14" t="s">
        <v>31</v>
      </c>
      <c r="F125" s="6">
        <f>+VLOOKUP(E125,CATALOGO!G:L,6,0)</f>
        <v>0</v>
      </c>
      <c r="G125" s="19">
        <v>24</v>
      </c>
      <c r="H125" s="19" t="s">
        <v>32</v>
      </c>
      <c r="I125" s="28">
        <v>46276</v>
      </c>
      <c r="J125" s="12">
        <v>37</v>
      </c>
      <c r="K125">
        <f>+IF(E125="","",VLOOKUP(E125,CATALOGO!G:I,2,0))</f>
        <v>1.5</v>
      </c>
      <c r="L125">
        <f>+IF(E125="","",VLOOKUP(E125,CATALOGO!G:I,3,0))</f>
        <v>36</v>
      </c>
      <c r="M125" s="22">
        <v>46276</v>
      </c>
    </row>
    <row r="126" spans="1:13" x14ac:dyDescent="0.25">
      <c r="A126" s="13" t="s">
        <v>13</v>
      </c>
      <c r="B126" s="13" t="s">
        <v>14</v>
      </c>
      <c r="C126" s="33" t="s">
        <v>135</v>
      </c>
      <c r="D126" s="30" t="s">
        <v>101</v>
      </c>
      <c r="E126" s="13" t="s">
        <v>17</v>
      </c>
      <c r="F126" s="6">
        <f>+VLOOKUP(E126,CATALOGO!G:L,6,0)</f>
        <v>8</v>
      </c>
      <c r="G126" s="16">
        <v>960</v>
      </c>
      <c r="H126" s="16">
        <v>20</v>
      </c>
      <c r="I126" s="27">
        <v>46277</v>
      </c>
      <c r="J126" s="12">
        <v>37</v>
      </c>
      <c r="K126">
        <f>+IF(E126="","",VLOOKUP(E126,CATALOGO!G:I,2,0))</f>
        <v>3</v>
      </c>
      <c r="L126">
        <f>+IF(E126="","",VLOOKUP(E126,CATALOGO!G:I,3,0))</f>
        <v>72</v>
      </c>
      <c r="M126" s="21">
        <v>46282</v>
      </c>
    </row>
    <row r="127" spans="1:13" x14ac:dyDescent="0.25">
      <c r="A127" s="13" t="s">
        <v>13</v>
      </c>
      <c r="B127" s="13" t="s">
        <v>14</v>
      </c>
      <c r="C127" s="33" t="e">
        <v>#N/A</v>
      </c>
      <c r="D127" s="30"/>
      <c r="E127" s="13" t="s">
        <v>17</v>
      </c>
      <c r="F127" s="6">
        <f>+VLOOKUP(E127,CATALOGO!G:L,6,0)</f>
        <v>8</v>
      </c>
      <c r="G127" s="16">
        <v>960</v>
      </c>
      <c r="H127" s="16">
        <v>20</v>
      </c>
      <c r="I127" s="27">
        <v>46277</v>
      </c>
      <c r="J127" s="12">
        <v>37</v>
      </c>
      <c r="K127">
        <f>+IF(E127="","",VLOOKUP(E127,CATALOGO!G:I,2,0))</f>
        <v>3</v>
      </c>
      <c r="L127">
        <f>+IF(E127="","",VLOOKUP(E127,CATALOGO!G:I,3,0))</f>
        <v>72</v>
      </c>
      <c r="M127" s="21">
        <v>46283</v>
      </c>
    </row>
    <row r="128" spans="1:13" x14ac:dyDescent="0.25">
      <c r="A128" s="13" t="s">
        <v>58</v>
      </c>
      <c r="B128" s="13" t="s">
        <v>59</v>
      </c>
      <c r="C128" s="33" t="e">
        <v>#N/A</v>
      </c>
      <c r="D128" s="30"/>
      <c r="E128" s="13" t="s">
        <v>60</v>
      </c>
      <c r="F128" s="6">
        <f>+VLOOKUP(E128,CATALOGO!G:L,6,0)</f>
        <v>1</v>
      </c>
      <c r="G128" s="16">
        <v>480</v>
      </c>
      <c r="H128" s="16">
        <v>10</v>
      </c>
      <c r="I128" s="27">
        <v>46277</v>
      </c>
      <c r="J128" s="12">
        <v>37</v>
      </c>
      <c r="K128">
        <f>+IF(E128="","",VLOOKUP(E128,CATALOGO!G:I,2,0))</f>
        <v>3</v>
      </c>
      <c r="L128">
        <f>+IF(E128="","",VLOOKUP(E128,CATALOGO!G:I,3,0))</f>
        <v>72</v>
      </c>
      <c r="M128" s="21">
        <v>46283</v>
      </c>
    </row>
    <row r="129" spans="1:13" x14ac:dyDescent="0.25">
      <c r="A129" s="13" t="s">
        <v>13</v>
      </c>
      <c r="B129" s="13" t="s">
        <v>14</v>
      </c>
      <c r="C129" s="33" t="s">
        <v>136</v>
      </c>
      <c r="D129" s="30" t="s">
        <v>90</v>
      </c>
      <c r="E129" s="13" t="s">
        <v>17</v>
      </c>
      <c r="F129" s="6">
        <f>+VLOOKUP(E129,CATALOGO!G:L,6,0)</f>
        <v>8</v>
      </c>
      <c r="G129" s="16">
        <v>960</v>
      </c>
      <c r="H129" s="16">
        <v>20</v>
      </c>
      <c r="I129" s="27">
        <v>46277</v>
      </c>
      <c r="J129" s="12">
        <v>37</v>
      </c>
      <c r="K129">
        <f>+IF(E129="","",VLOOKUP(E129,CATALOGO!G:I,2,0))</f>
        <v>3</v>
      </c>
      <c r="L129">
        <f>+IF(E129="","",VLOOKUP(E129,CATALOGO!G:I,3,0))</f>
        <v>72</v>
      </c>
      <c r="M129" s="21">
        <v>46283</v>
      </c>
    </row>
    <row r="130" spans="1:13" x14ac:dyDescent="0.25">
      <c r="A130" s="13" t="s">
        <v>29</v>
      </c>
      <c r="B130" s="13" t="s">
        <v>30</v>
      </c>
      <c r="C130" s="33" t="s">
        <v>137</v>
      </c>
      <c r="D130" s="30" t="s">
        <v>90</v>
      </c>
      <c r="E130" s="13" t="s">
        <v>31</v>
      </c>
      <c r="F130" s="6">
        <f>+VLOOKUP(E130,CATALOGO!G:L,6,0)</f>
        <v>0</v>
      </c>
      <c r="G130" s="16">
        <v>1</v>
      </c>
      <c r="H130" s="16" t="s">
        <v>32</v>
      </c>
      <c r="I130" s="27">
        <v>46277</v>
      </c>
      <c r="J130" s="12">
        <v>37</v>
      </c>
      <c r="K130">
        <f>+IF(E130="","",VLOOKUP(E130,CATALOGO!G:I,2,0))</f>
        <v>1.5</v>
      </c>
      <c r="L130">
        <f>+IF(E130="","",VLOOKUP(E130,CATALOGO!G:I,3,0))</f>
        <v>36</v>
      </c>
      <c r="M130" s="21">
        <v>46279</v>
      </c>
    </row>
    <row r="131" spans="1:13" x14ac:dyDescent="0.25">
      <c r="A131" s="13" t="s">
        <v>33</v>
      </c>
      <c r="B131" s="13" t="s">
        <v>34</v>
      </c>
      <c r="C131" s="33" t="s">
        <v>137</v>
      </c>
      <c r="D131" s="30" t="s">
        <v>90</v>
      </c>
      <c r="E131" s="13" t="s">
        <v>31</v>
      </c>
      <c r="F131" s="6">
        <f>+VLOOKUP(E131,CATALOGO!G:L,6,0)</f>
        <v>0</v>
      </c>
      <c r="G131" s="16">
        <v>52</v>
      </c>
      <c r="H131" s="16" t="s">
        <v>32</v>
      </c>
      <c r="I131" s="27">
        <v>46277</v>
      </c>
      <c r="J131" s="12">
        <v>37</v>
      </c>
      <c r="K131">
        <f>+IF(E131="","",VLOOKUP(E131,CATALOGO!G:I,2,0))</f>
        <v>1.5</v>
      </c>
      <c r="L131">
        <f>+IF(E131="","",VLOOKUP(E131,CATALOGO!G:I,3,0))</f>
        <v>36</v>
      </c>
      <c r="M131" s="21">
        <v>46279</v>
      </c>
    </row>
    <row r="132" spans="1:13" x14ac:dyDescent="0.25">
      <c r="A132" s="13" t="s">
        <v>36</v>
      </c>
      <c r="B132" s="13" t="s">
        <v>37</v>
      </c>
      <c r="C132" s="33" t="s">
        <v>138</v>
      </c>
      <c r="D132" s="30" t="s">
        <v>90</v>
      </c>
      <c r="E132" s="13" t="s">
        <v>31</v>
      </c>
      <c r="F132" s="6">
        <f>+VLOOKUP(E132,CATALOGO!G:L,6,0)</f>
        <v>0</v>
      </c>
      <c r="G132" s="16">
        <v>76</v>
      </c>
      <c r="H132" s="16" t="s">
        <v>32</v>
      </c>
      <c r="I132" s="27">
        <v>46277</v>
      </c>
      <c r="J132" s="12">
        <v>37</v>
      </c>
      <c r="K132">
        <f>+IF(E132="","",VLOOKUP(E132,CATALOGO!G:I,2,0))</f>
        <v>1.5</v>
      </c>
      <c r="L132">
        <f>+IF(E132="","",VLOOKUP(E132,CATALOGO!G:I,3,0))</f>
        <v>36</v>
      </c>
      <c r="M132" s="21">
        <v>46279</v>
      </c>
    </row>
    <row r="133" spans="1:13" x14ac:dyDescent="0.25">
      <c r="A133" s="13" t="s">
        <v>39</v>
      </c>
      <c r="B133" s="13" t="s">
        <v>40</v>
      </c>
      <c r="C133" s="33" t="s">
        <v>139</v>
      </c>
      <c r="D133" s="30" t="s">
        <v>90</v>
      </c>
      <c r="E133" s="13" t="s">
        <v>31</v>
      </c>
      <c r="F133" s="6">
        <f>+VLOOKUP(E133,CATALOGO!G:L,6,0)</f>
        <v>0</v>
      </c>
      <c r="G133" s="16">
        <v>24</v>
      </c>
      <c r="H133" s="16" t="s">
        <v>32</v>
      </c>
      <c r="I133" s="27">
        <v>46277</v>
      </c>
      <c r="J133" s="12">
        <v>37</v>
      </c>
      <c r="K133">
        <f>+IF(E133="","",VLOOKUP(E133,CATALOGO!G:I,2,0))</f>
        <v>1.5</v>
      </c>
      <c r="L133">
        <f>+IF(E133="","",VLOOKUP(E133,CATALOGO!G:I,3,0))</f>
        <v>36</v>
      </c>
      <c r="M133" s="21">
        <v>46279</v>
      </c>
    </row>
    <row r="134" spans="1:13" x14ac:dyDescent="0.25">
      <c r="A134" s="13" t="s">
        <v>20</v>
      </c>
      <c r="B134" s="13" t="s">
        <v>21</v>
      </c>
      <c r="C134" s="33" t="s">
        <v>140</v>
      </c>
      <c r="D134" s="30" t="s">
        <v>19</v>
      </c>
      <c r="E134" s="13" t="s">
        <v>22</v>
      </c>
      <c r="F134" s="6">
        <f>+VLOOKUP(E134,CATALOGO!G:L,6,0)</f>
        <v>6</v>
      </c>
      <c r="G134" s="16">
        <v>288</v>
      </c>
      <c r="H134" s="16">
        <v>6</v>
      </c>
      <c r="I134" s="27">
        <v>46277</v>
      </c>
      <c r="J134" s="12">
        <v>37</v>
      </c>
      <c r="K134">
        <f>+IF(E134="","",VLOOKUP(E134,CATALOGO!G:I,2,0))</f>
        <v>1</v>
      </c>
      <c r="L134">
        <f>+IF(E134="","",VLOOKUP(E134,CATALOGO!G:I,3,0))</f>
        <v>24</v>
      </c>
      <c r="M134" s="21">
        <v>46282</v>
      </c>
    </row>
    <row r="135" spans="1:13" x14ac:dyDescent="0.25">
      <c r="A135" s="13" t="s">
        <v>26</v>
      </c>
      <c r="B135" s="13" t="s">
        <v>27</v>
      </c>
      <c r="C135" s="33" t="s">
        <v>140</v>
      </c>
      <c r="D135" s="30" t="s">
        <v>19</v>
      </c>
      <c r="E135" s="13" t="s">
        <v>22</v>
      </c>
      <c r="F135" s="6">
        <f>+VLOOKUP(E135,CATALOGO!G:L,6,0)</f>
        <v>6</v>
      </c>
      <c r="G135" s="16">
        <v>864</v>
      </c>
      <c r="H135" s="16">
        <v>18</v>
      </c>
      <c r="I135" s="27">
        <v>46277</v>
      </c>
      <c r="J135" s="12">
        <v>37</v>
      </c>
      <c r="K135">
        <f>+IF(E135="","",VLOOKUP(E135,CATALOGO!G:I,2,0))</f>
        <v>1</v>
      </c>
      <c r="L135">
        <f>+IF(E135="","",VLOOKUP(E135,CATALOGO!G:I,3,0))</f>
        <v>24</v>
      </c>
      <c r="M135" s="21">
        <v>46282</v>
      </c>
    </row>
    <row r="136" spans="1:13" x14ac:dyDescent="0.25">
      <c r="A136" s="13" t="s">
        <v>29</v>
      </c>
      <c r="B136" s="13" t="s">
        <v>30</v>
      </c>
      <c r="C136" s="33" t="s">
        <v>141</v>
      </c>
      <c r="D136" s="30" t="s">
        <v>19</v>
      </c>
      <c r="E136" s="13" t="s">
        <v>31</v>
      </c>
      <c r="G136" s="16">
        <v>1</v>
      </c>
      <c r="H136" s="16" t="s">
        <v>32</v>
      </c>
      <c r="I136" s="27">
        <v>46277</v>
      </c>
      <c r="J136" s="39">
        <v>37</v>
      </c>
      <c r="M136" s="21">
        <v>46279</v>
      </c>
    </row>
    <row r="137" spans="1:13" x14ac:dyDescent="0.25">
      <c r="A137" s="13" t="s">
        <v>33</v>
      </c>
      <c r="B137" s="13" t="s">
        <v>34</v>
      </c>
      <c r="C137" s="33" t="s">
        <v>141</v>
      </c>
      <c r="D137" s="30" t="s">
        <v>19</v>
      </c>
      <c r="E137" s="13" t="s">
        <v>31</v>
      </c>
      <c r="G137" s="16">
        <v>52</v>
      </c>
      <c r="H137" s="16" t="s">
        <v>32</v>
      </c>
      <c r="I137" s="27">
        <v>46277</v>
      </c>
      <c r="J137" s="39">
        <v>37</v>
      </c>
      <c r="M137" s="21">
        <v>46279</v>
      </c>
    </row>
    <row r="138" spans="1:13" x14ac:dyDescent="0.25">
      <c r="A138" s="13" t="s">
        <v>36</v>
      </c>
      <c r="B138" s="13" t="s">
        <v>37</v>
      </c>
      <c r="C138" s="33" t="s">
        <v>142</v>
      </c>
      <c r="D138" s="30" t="s">
        <v>19</v>
      </c>
      <c r="E138" s="13" t="s">
        <v>31</v>
      </c>
      <c r="G138" s="16">
        <v>76</v>
      </c>
      <c r="H138" s="16" t="s">
        <v>32</v>
      </c>
      <c r="I138" s="27">
        <v>46277</v>
      </c>
      <c r="J138" s="39">
        <v>37</v>
      </c>
      <c r="M138" s="21">
        <v>46279</v>
      </c>
    </row>
    <row r="139" spans="1:13" x14ac:dyDescent="0.25">
      <c r="A139" s="15" t="s">
        <v>39</v>
      </c>
      <c r="B139" s="15" t="s">
        <v>40</v>
      </c>
      <c r="C139" s="33" t="s">
        <v>143</v>
      </c>
      <c r="D139" s="32" t="s">
        <v>19</v>
      </c>
      <c r="E139" s="15" t="s">
        <v>31</v>
      </c>
      <c r="G139" s="20">
        <v>24</v>
      </c>
      <c r="H139" s="20" t="s">
        <v>32</v>
      </c>
      <c r="I139" s="29">
        <v>46277</v>
      </c>
      <c r="J139" s="39">
        <v>37</v>
      </c>
      <c r="M139" s="21">
        <v>46279</v>
      </c>
    </row>
  </sheetData>
  <autoFilter ref="A1:M135" xr:uid="{F6943C4E-D0C1-4399-9277-8C3BA29014B7}"/>
  <conditionalFormatting sqref="M2:M139">
    <cfRule type="cellIs" dxfId="0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G17" sqref="G17:K17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144</v>
      </c>
      <c r="B1" t="s">
        <v>145</v>
      </c>
      <c r="C1" t="s">
        <v>146</v>
      </c>
      <c r="F1" s="8" t="s">
        <v>147</v>
      </c>
      <c r="G1" s="8" t="s">
        <v>148</v>
      </c>
      <c r="H1" s="8" t="s">
        <v>149</v>
      </c>
      <c r="I1" s="8" t="s">
        <v>150</v>
      </c>
      <c r="J1" s="8" t="s">
        <v>151</v>
      </c>
      <c r="K1" s="8" t="s">
        <v>152</v>
      </c>
      <c r="L1" s="8" t="s">
        <v>153</v>
      </c>
    </row>
    <row r="2" spans="1:14" x14ac:dyDescent="0.25">
      <c r="A2" t="s">
        <v>154</v>
      </c>
      <c r="B2" t="s">
        <v>155</v>
      </c>
      <c r="C2" t="s">
        <v>156</v>
      </c>
      <c r="F2" s="9" t="s">
        <v>157</v>
      </c>
      <c r="G2" s="9" t="s">
        <v>158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159</v>
      </c>
      <c r="B3" t="s">
        <v>160</v>
      </c>
      <c r="C3" t="s">
        <v>161</v>
      </c>
      <c r="F3" s="9" t="s">
        <v>162</v>
      </c>
      <c r="G3" s="9" t="s">
        <v>31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163</v>
      </c>
      <c r="F4" s="9" t="s">
        <v>162</v>
      </c>
      <c r="G4" s="9" t="s">
        <v>164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165</v>
      </c>
      <c r="F5" s="9" t="s">
        <v>166</v>
      </c>
      <c r="G5" s="9" t="s">
        <v>167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168</v>
      </c>
      <c r="F6" s="9" t="s">
        <v>162</v>
      </c>
      <c r="G6" s="9" t="s">
        <v>169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170</v>
      </c>
      <c r="G7" s="9" t="s">
        <v>64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171</v>
      </c>
      <c r="B8" s="8" t="s">
        <v>172</v>
      </c>
      <c r="F8" s="9" t="s">
        <v>162</v>
      </c>
      <c r="G8" s="9" t="s">
        <v>17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173</v>
      </c>
      <c r="B9" s="9">
        <v>10</v>
      </c>
      <c r="F9" s="9" t="s">
        <v>174</v>
      </c>
      <c r="G9" s="9" t="s">
        <v>113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175</v>
      </c>
      <c r="B10" s="9">
        <v>12</v>
      </c>
      <c r="F10" s="9" t="s">
        <v>157</v>
      </c>
      <c r="G10" s="11" t="s">
        <v>176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174</v>
      </c>
      <c r="G11" s="9" t="s">
        <v>53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157</v>
      </c>
      <c r="G12" s="9" t="s">
        <v>60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162</v>
      </c>
      <c r="G13" s="9" t="s">
        <v>177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162</v>
      </c>
      <c r="G14" s="9" t="s">
        <v>178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162</v>
      </c>
      <c r="G15" s="9" t="s">
        <v>179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174</v>
      </c>
      <c r="G16" s="9" t="s">
        <v>25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174</v>
      </c>
      <c r="G17" s="9" t="s">
        <v>22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174</v>
      </c>
      <c r="G18" s="9" t="s">
        <v>28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174</v>
      </c>
      <c r="G19" s="9" t="s">
        <v>180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2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PLANEACION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2026-09-09T17:23:29Z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