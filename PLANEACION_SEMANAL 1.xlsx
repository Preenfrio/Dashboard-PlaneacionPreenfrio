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nitosfrutas.sharepoint.com/sites/04.Logstica/Documentos compartidos/General/Pre-enfrío/09. Desarrollos/Planeacion/"/>
    </mc:Choice>
  </mc:AlternateContent>
  <xr:revisionPtr revIDLastSave="725" documentId="8_{545E5EC0-B69F-4327-BF2C-9EFD71AFF5C3}" xr6:coauthVersionLast="47" xr6:coauthVersionMax="47" xr10:uidLastSave="{4B39F475-485A-49EC-AFA9-C37AB7961989}"/>
  <bookViews>
    <workbookView xWindow="-28920" yWindow="-15" windowWidth="29040" windowHeight="15720" activeTab="1" xr2:uid="{D41B2D9D-66D1-4881-AE1E-852E308D9588}"/>
  </bookViews>
  <sheets>
    <sheet name="PLANEACION" sheetId="1" r:id="rId1"/>
    <sheet name="Consulta1" sheetId="8" r:id="rId2"/>
    <sheet name="UBICACIONES" sheetId="4" r:id="rId3"/>
    <sheet name="CATALOGO" sheetId="3" r:id="rId4"/>
  </sheets>
  <definedNames>
    <definedName name="_xlnm._FilterDatabase" localSheetId="0" hidden="1">PLANEACION!$A$1:$N$1</definedName>
    <definedName name="DatosExternos_1" localSheetId="1" hidden="1">'Consulta1'!$A$1:$N$4260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001" i="1" l="1"/>
  <c r="M1001" i="1"/>
  <c r="I1001" i="1"/>
  <c r="H1001" i="1"/>
  <c r="G1001" i="1"/>
  <c r="E1001" i="1"/>
  <c r="D1001" i="1"/>
  <c r="C1001" i="1"/>
  <c r="B1001" i="1"/>
  <c r="A1001" i="1"/>
  <c r="N1000" i="1"/>
  <c r="M1000" i="1"/>
  <c r="L1000" i="1"/>
  <c r="J1000" i="1"/>
  <c r="I1000" i="1"/>
  <c r="H1000" i="1"/>
  <c r="G1000" i="1"/>
  <c r="E1000" i="1"/>
  <c r="K1000" i="1" s="1"/>
  <c r="D1000" i="1"/>
  <c r="C1000" i="1"/>
  <c r="B1000" i="1"/>
  <c r="A1000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N998" i="1"/>
  <c r="M998" i="1"/>
  <c r="L998" i="1"/>
  <c r="K998" i="1"/>
  <c r="I998" i="1"/>
  <c r="H998" i="1"/>
  <c r="G998" i="1"/>
  <c r="E998" i="1"/>
  <c r="D998" i="1"/>
  <c r="C998" i="1"/>
  <c r="B998" i="1"/>
  <c r="A998" i="1"/>
  <c r="N997" i="1"/>
  <c r="M997" i="1"/>
  <c r="K997" i="1"/>
  <c r="I997" i="1"/>
  <c r="H997" i="1"/>
  <c r="G997" i="1"/>
  <c r="F997" i="1"/>
  <c r="E997" i="1"/>
  <c r="J997" i="1" s="1"/>
  <c r="D997" i="1"/>
  <c r="C997" i="1"/>
  <c r="B997" i="1"/>
  <c r="A997" i="1"/>
  <c r="N996" i="1"/>
  <c r="M996" i="1"/>
  <c r="I996" i="1"/>
  <c r="H996" i="1"/>
  <c r="G996" i="1"/>
  <c r="E996" i="1"/>
  <c r="D996" i="1"/>
  <c r="C996" i="1"/>
  <c r="B996" i="1"/>
  <c r="A996" i="1"/>
  <c r="N995" i="1"/>
  <c r="M995" i="1"/>
  <c r="K995" i="1"/>
  <c r="J995" i="1"/>
  <c r="I995" i="1"/>
  <c r="H995" i="1"/>
  <c r="G995" i="1"/>
  <c r="F995" i="1"/>
  <c r="E995" i="1"/>
  <c r="L995" i="1" s="1"/>
  <c r="D995" i="1"/>
  <c r="C995" i="1"/>
  <c r="B995" i="1"/>
  <c r="A995" i="1"/>
  <c r="N994" i="1"/>
  <c r="M994" i="1"/>
  <c r="L994" i="1"/>
  <c r="J994" i="1"/>
  <c r="I994" i="1"/>
  <c r="H994" i="1"/>
  <c r="G994" i="1"/>
  <c r="E994" i="1"/>
  <c r="K994" i="1" s="1"/>
  <c r="D994" i="1"/>
  <c r="C994" i="1"/>
  <c r="B994" i="1"/>
  <c r="A994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N992" i="1"/>
  <c r="M992" i="1"/>
  <c r="L992" i="1"/>
  <c r="K992" i="1"/>
  <c r="I992" i="1"/>
  <c r="H992" i="1"/>
  <c r="G992" i="1"/>
  <c r="E992" i="1"/>
  <c r="D992" i="1"/>
  <c r="C992" i="1"/>
  <c r="B992" i="1"/>
  <c r="A992" i="1"/>
  <c r="N991" i="1"/>
  <c r="M991" i="1"/>
  <c r="L991" i="1"/>
  <c r="K991" i="1"/>
  <c r="I991" i="1"/>
  <c r="H991" i="1"/>
  <c r="G991" i="1"/>
  <c r="F991" i="1"/>
  <c r="E991" i="1"/>
  <c r="J991" i="1" s="1"/>
  <c r="D991" i="1"/>
  <c r="C991" i="1"/>
  <c r="B991" i="1"/>
  <c r="A991" i="1"/>
  <c r="N990" i="1"/>
  <c r="M990" i="1"/>
  <c r="I990" i="1"/>
  <c r="H990" i="1"/>
  <c r="G990" i="1"/>
  <c r="F990" i="1"/>
  <c r="E990" i="1"/>
  <c r="D990" i="1"/>
  <c r="C990" i="1"/>
  <c r="B990" i="1"/>
  <c r="A990" i="1"/>
  <c r="N989" i="1"/>
  <c r="M989" i="1"/>
  <c r="K989" i="1"/>
  <c r="J989" i="1"/>
  <c r="I989" i="1"/>
  <c r="H989" i="1"/>
  <c r="G989" i="1"/>
  <c r="E989" i="1"/>
  <c r="L989" i="1" s="1"/>
  <c r="D989" i="1"/>
  <c r="C989" i="1"/>
  <c r="B989" i="1"/>
  <c r="A989" i="1"/>
  <c r="N988" i="1"/>
  <c r="M988" i="1"/>
  <c r="L988" i="1"/>
  <c r="J988" i="1"/>
  <c r="I988" i="1"/>
  <c r="H988" i="1"/>
  <c r="G988" i="1"/>
  <c r="E988" i="1"/>
  <c r="K988" i="1" s="1"/>
  <c r="D988" i="1"/>
  <c r="C988" i="1"/>
  <c r="B988" i="1"/>
  <c r="A988" i="1"/>
  <c r="N987" i="1"/>
  <c r="M987" i="1"/>
  <c r="L987" i="1"/>
  <c r="K987" i="1"/>
  <c r="J987" i="1"/>
  <c r="I987" i="1"/>
  <c r="H987" i="1"/>
  <c r="G987" i="1"/>
  <c r="E987" i="1"/>
  <c r="F987" i="1" s="1"/>
  <c r="D987" i="1"/>
  <c r="C987" i="1"/>
  <c r="B987" i="1"/>
  <c r="A987" i="1"/>
  <c r="N986" i="1"/>
  <c r="M986" i="1"/>
  <c r="L986" i="1"/>
  <c r="K986" i="1"/>
  <c r="I986" i="1"/>
  <c r="H986" i="1"/>
  <c r="G986" i="1"/>
  <c r="E986" i="1"/>
  <c r="D986" i="1"/>
  <c r="C986" i="1"/>
  <c r="B986" i="1"/>
  <c r="A986" i="1"/>
  <c r="N985" i="1"/>
  <c r="M985" i="1"/>
  <c r="L985" i="1"/>
  <c r="K985" i="1"/>
  <c r="I985" i="1"/>
  <c r="H985" i="1"/>
  <c r="G985" i="1"/>
  <c r="F985" i="1"/>
  <c r="E985" i="1"/>
  <c r="J985" i="1" s="1"/>
  <c r="D985" i="1"/>
  <c r="C985" i="1"/>
  <c r="B985" i="1"/>
  <c r="A985" i="1"/>
  <c r="N984" i="1"/>
  <c r="M984" i="1"/>
  <c r="I984" i="1"/>
  <c r="H984" i="1"/>
  <c r="G984" i="1"/>
  <c r="F984" i="1"/>
  <c r="E984" i="1"/>
  <c r="D984" i="1"/>
  <c r="C984" i="1"/>
  <c r="B984" i="1"/>
  <c r="A984" i="1"/>
  <c r="N983" i="1"/>
  <c r="M983" i="1"/>
  <c r="K983" i="1"/>
  <c r="I983" i="1"/>
  <c r="H983" i="1"/>
  <c r="G983" i="1"/>
  <c r="E983" i="1"/>
  <c r="L983" i="1" s="1"/>
  <c r="D983" i="1"/>
  <c r="C983" i="1"/>
  <c r="B983" i="1"/>
  <c r="A983" i="1"/>
  <c r="N982" i="1"/>
  <c r="M982" i="1"/>
  <c r="L982" i="1"/>
  <c r="J982" i="1"/>
  <c r="I982" i="1"/>
  <c r="H982" i="1"/>
  <c r="G982" i="1"/>
  <c r="E982" i="1"/>
  <c r="K982" i="1" s="1"/>
  <c r="D982" i="1"/>
  <c r="C982" i="1"/>
  <c r="B982" i="1"/>
  <c r="A982" i="1"/>
  <c r="N981" i="1"/>
  <c r="M981" i="1"/>
  <c r="L981" i="1"/>
  <c r="K981" i="1"/>
  <c r="J981" i="1"/>
  <c r="I981" i="1"/>
  <c r="H981" i="1"/>
  <c r="G981" i="1"/>
  <c r="E981" i="1"/>
  <c r="F981" i="1" s="1"/>
  <c r="D981" i="1"/>
  <c r="C981" i="1"/>
  <c r="B981" i="1"/>
  <c r="A981" i="1"/>
  <c r="N980" i="1"/>
  <c r="M980" i="1"/>
  <c r="I980" i="1"/>
  <c r="H980" i="1"/>
  <c r="G980" i="1"/>
  <c r="E980" i="1"/>
  <c r="L980" i="1" s="1"/>
  <c r="D980" i="1"/>
  <c r="C980" i="1"/>
  <c r="B980" i="1"/>
  <c r="A980" i="1"/>
  <c r="N979" i="1"/>
  <c r="M979" i="1"/>
  <c r="L979" i="1"/>
  <c r="K979" i="1"/>
  <c r="I979" i="1"/>
  <c r="H979" i="1"/>
  <c r="G979" i="1"/>
  <c r="F979" i="1"/>
  <c r="E979" i="1"/>
  <c r="J979" i="1" s="1"/>
  <c r="D979" i="1"/>
  <c r="C979" i="1"/>
  <c r="B979" i="1"/>
  <c r="A979" i="1"/>
  <c r="N978" i="1"/>
  <c r="M978" i="1"/>
  <c r="I978" i="1"/>
  <c r="H978" i="1"/>
  <c r="G978" i="1"/>
  <c r="E978" i="1"/>
  <c r="D978" i="1"/>
  <c r="C978" i="1"/>
  <c r="B978" i="1"/>
  <c r="A978" i="1"/>
  <c r="N977" i="1"/>
  <c r="M977" i="1"/>
  <c r="I977" i="1"/>
  <c r="H977" i="1"/>
  <c r="G977" i="1"/>
  <c r="E977" i="1"/>
  <c r="D977" i="1"/>
  <c r="C977" i="1"/>
  <c r="B977" i="1"/>
  <c r="A977" i="1"/>
  <c r="N976" i="1"/>
  <c r="M976" i="1"/>
  <c r="L976" i="1"/>
  <c r="J976" i="1"/>
  <c r="I976" i="1"/>
  <c r="H976" i="1"/>
  <c r="G976" i="1"/>
  <c r="E976" i="1"/>
  <c r="K976" i="1" s="1"/>
  <c r="D976" i="1"/>
  <c r="C976" i="1"/>
  <c r="B976" i="1"/>
  <c r="A976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N974" i="1"/>
  <c r="M974" i="1"/>
  <c r="I974" i="1"/>
  <c r="H974" i="1"/>
  <c r="G974" i="1"/>
  <c r="E974" i="1"/>
  <c r="D974" i="1"/>
  <c r="C974" i="1"/>
  <c r="B974" i="1"/>
  <c r="A974" i="1"/>
  <c r="N973" i="1"/>
  <c r="M973" i="1"/>
  <c r="L973" i="1"/>
  <c r="K973" i="1"/>
  <c r="I973" i="1"/>
  <c r="H973" i="1"/>
  <c r="G973" i="1"/>
  <c r="F973" i="1"/>
  <c r="E973" i="1"/>
  <c r="J973" i="1" s="1"/>
  <c r="D973" i="1"/>
  <c r="C973" i="1"/>
  <c r="B973" i="1"/>
  <c r="A973" i="1"/>
  <c r="N972" i="1"/>
  <c r="M972" i="1"/>
  <c r="I972" i="1"/>
  <c r="H972" i="1"/>
  <c r="G972" i="1"/>
  <c r="E972" i="1"/>
  <c r="D972" i="1"/>
  <c r="C972" i="1"/>
  <c r="B972" i="1"/>
  <c r="A972" i="1"/>
  <c r="N971" i="1"/>
  <c r="M971" i="1"/>
  <c r="I971" i="1"/>
  <c r="H971" i="1"/>
  <c r="G971" i="1"/>
  <c r="E971" i="1"/>
  <c r="D971" i="1"/>
  <c r="C971" i="1"/>
  <c r="B971" i="1"/>
  <c r="A971" i="1"/>
  <c r="N970" i="1"/>
  <c r="M970" i="1"/>
  <c r="L970" i="1"/>
  <c r="J970" i="1"/>
  <c r="I970" i="1"/>
  <c r="H970" i="1"/>
  <c r="G970" i="1"/>
  <c r="E970" i="1"/>
  <c r="K970" i="1" s="1"/>
  <c r="D970" i="1"/>
  <c r="C970" i="1"/>
  <c r="B970" i="1"/>
  <c r="A970" i="1"/>
  <c r="N969" i="1"/>
  <c r="M969" i="1"/>
  <c r="L969" i="1"/>
  <c r="K969" i="1"/>
  <c r="J969" i="1"/>
  <c r="I969" i="1"/>
  <c r="H969" i="1"/>
  <c r="G969" i="1"/>
  <c r="E969" i="1"/>
  <c r="F969" i="1" s="1"/>
  <c r="D969" i="1"/>
  <c r="C969" i="1"/>
  <c r="B969" i="1"/>
  <c r="A969" i="1"/>
  <c r="N968" i="1"/>
  <c r="M968" i="1"/>
  <c r="I968" i="1"/>
  <c r="H968" i="1"/>
  <c r="G968" i="1"/>
  <c r="E968" i="1"/>
  <c r="D968" i="1"/>
  <c r="C968" i="1"/>
  <c r="B968" i="1"/>
  <c r="A968" i="1"/>
  <c r="N967" i="1"/>
  <c r="M967" i="1"/>
  <c r="L967" i="1"/>
  <c r="K967" i="1"/>
  <c r="I967" i="1"/>
  <c r="H967" i="1"/>
  <c r="G967" i="1"/>
  <c r="F967" i="1"/>
  <c r="E967" i="1"/>
  <c r="J967" i="1" s="1"/>
  <c r="D967" i="1"/>
  <c r="C967" i="1"/>
  <c r="B967" i="1"/>
  <c r="A967" i="1"/>
  <c r="N966" i="1"/>
  <c r="M966" i="1"/>
  <c r="I966" i="1"/>
  <c r="H966" i="1"/>
  <c r="G966" i="1"/>
  <c r="E966" i="1"/>
  <c r="D966" i="1"/>
  <c r="C966" i="1"/>
  <c r="B966" i="1"/>
  <c r="A966" i="1"/>
  <c r="N965" i="1"/>
  <c r="M965" i="1"/>
  <c r="K965" i="1"/>
  <c r="J965" i="1"/>
  <c r="I965" i="1"/>
  <c r="H965" i="1"/>
  <c r="G965" i="1"/>
  <c r="F965" i="1"/>
  <c r="E965" i="1"/>
  <c r="L965" i="1" s="1"/>
  <c r="D965" i="1"/>
  <c r="C965" i="1"/>
  <c r="B965" i="1"/>
  <c r="A965" i="1"/>
  <c r="N964" i="1"/>
  <c r="M964" i="1"/>
  <c r="L964" i="1"/>
  <c r="J964" i="1"/>
  <c r="I964" i="1"/>
  <c r="H964" i="1"/>
  <c r="G964" i="1"/>
  <c r="E964" i="1"/>
  <c r="K964" i="1" s="1"/>
  <c r="D964" i="1"/>
  <c r="C964" i="1"/>
  <c r="B964" i="1"/>
  <c r="A964" i="1"/>
  <c r="N963" i="1"/>
  <c r="M963" i="1"/>
  <c r="L963" i="1"/>
  <c r="K963" i="1"/>
  <c r="J963" i="1"/>
  <c r="I963" i="1"/>
  <c r="H963" i="1"/>
  <c r="G963" i="1"/>
  <c r="E963" i="1"/>
  <c r="F963" i="1" s="1"/>
  <c r="D963" i="1"/>
  <c r="C963" i="1"/>
  <c r="B963" i="1"/>
  <c r="A963" i="1"/>
  <c r="N962" i="1"/>
  <c r="M962" i="1"/>
  <c r="L962" i="1"/>
  <c r="K962" i="1"/>
  <c r="I962" i="1"/>
  <c r="H962" i="1"/>
  <c r="G962" i="1"/>
  <c r="E962" i="1"/>
  <c r="D962" i="1"/>
  <c r="C962" i="1"/>
  <c r="B962" i="1"/>
  <c r="A962" i="1"/>
  <c r="N961" i="1"/>
  <c r="M961" i="1"/>
  <c r="L961" i="1"/>
  <c r="K961" i="1"/>
  <c r="I961" i="1"/>
  <c r="H961" i="1"/>
  <c r="G961" i="1"/>
  <c r="F961" i="1"/>
  <c r="E961" i="1"/>
  <c r="J961" i="1" s="1"/>
  <c r="D961" i="1"/>
  <c r="C961" i="1"/>
  <c r="B961" i="1"/>
  <c r="A961" i="1"/>
  <c r="N960" i="1"/>
  <c r="M960" i="1"/>
  <c r="I960" i="1"/>
  <c r="H960" i="1"/>
  <c r="G960" i="1"/>
  <c r="F960" i="1"/>
  <c r="E960" i="1"/>
  <c r="D960" i="1"/>
  <c r="C960" i="1"/>
  <c r="B960" i="1"/>
  <c r="A960" i="1"/>
  <c r="N959" i="1"/>
  <c r="M959" i="1"/>
  <c r="K959" i="1"/>
  <c r="J959" i="1"/>
  <c r="I959" i="1"/>
  <c r="H959" i="1"/>
  <c r="G959" i="1"/>
  <c r="F959" i="1"/>
  <c r="E959" i="1"/>
  <c r="L959" i="1" s="1"/>
  <c r="D959" i="1"/>
  <c r="C959" i="1"/>
  <c r="B959" i="1"/>
  <c r="A959" i="1"/>
  <c r="N958" i="1"/>
  <c r="M958" i="1"/>
  <c r="L958" i="1"/>
  <c r="J958" i="1"/>
  <c r="I958" i="1"/>
  <c r="H958" i="1"/>
  <c r="G958" i="1"/>
  <c r="E958" i="1"/>
  <c r="D958" i="1"/>
  <c r="C958" i="1"/>
  <c r="B958" i="1"/>
  <c r="A958" i="1"/>
  <c r="N957" i="1"/>
  <c r="M957" i="1"/>
  <c r="L957" i="1"/>
  <c r="K957" i="1"/>
  <c r="J957" i="1"/>
  <c r="I957" i="1"/>
  <c r="H957" i="1"/>
  <c r="G957" i="1"/>
  <c r="E957" i="1"/>
  <c r="F957" i="1" s="1"/>
  <c r="D957" i="1"/>
  <c r="C957" i="1"/>
  <c r="B957" i="1"/>
  <c r="A957" i="1"/>
  <c r="N956" i="1"/>
  <c r="M956" i="1"/>
  <c r="L956" i="1"/>
  <c r="K956" i="1"/>
  <c r="I956" i="1"/>
  <c r="H956" i="1"/>
  <c r="G956" i="1"/>
  <c r="E956" i="1"/>
  <c r="D956" i="1"/>
  <c r="C956" i="1"/>
  <c r="B956" i="1"/>
  <c r="A956" i="1"/>
  <c r="N955" i="1"/>
  <c r="M955" i="1"/>
  <c r="L955" i="1"/>
  <c r="K955" i="1"/>
  <c r="I955" i="1"/>
  <c r="H955" i="1"/>
  <c r="G955" i="1"/>
  <c r="F955" i="1"/>
  <c r="E955" i="1"/>
  <c r="J955" i="1" s="1"/>
  <c r="D955" i="1"/>
  <c r="C955" i="1"/>
  <c r="B955" i="1"/>
  <c r="A955" i="1"/>
  <c r="N954" i="1"/>
  <c r="M954" i="1"/>
  <c r="I954" i="1"/>
  <c r="H954" i="1"/>
  <c r="G954" i="1"/>
  <c r="E954" i="1"/>
  <c r="D954" i="1"/>
  <c r="C954" i="1"/>
  <c r="B954" i="1"/>
  <c r="A954" i="1"/>
  <c r="N953" i="1"/>
  <c r="M953" i="1"/>
  <c r="K953" i="1"/>
  <c r="J953" i="1"/>
  <c r="I953" i="1"/>
  <c r="H953" i="1"/>
  <c r="G953" i="1"/>
  <c r="F953" i="1"/>
  <c r="E953" i="1"/>
  <c r="L953" i="1" s="1"/>
  <c r="D953" i="1"/>
  <c r="C953" i="1"/>
  <c r="B953" i="1"/>
  <c r="A953" i="1"/>
  <c r="N952" i="1"/>
  <c r="M952" i="1"/>
  <c r="L952" i="1"/>
  <c r="J952" i="1"/>
  <c r="I952" i="1"/>
  <c r="H952" i="1"/>
  <c r="G952" i="1"/>
  <c r="E952" i="1"/>
  <c r="D952" i="1"/>
  <c r="C952" i="1"/>
  <c r="B952" i="1"/>
  <c r="A952" i="1"/>
  <c r="N951" i="1"/>
  <c r="M951" i="1"/>
  <c r="L951" i="1"/>
  <c r="K951" i="1"/>
  <c r="J951" i="1"/>
  <c r="I951" i="1"/>
  <c r="H951" i="1"/>
  <c r="G951" i="1"/>
  <c r="E951" i="1"/>
  <c r="F951" i="1" s="1"/>
  <c r="D951" i="1"/>
  <c r="C951" i="1"/>
  <c r="B951" i="1"/>
  <c r="A951" i="1"/>
  <c r="N950" i="1"/>
  <c r="M950" i="1"/>
  <c r="L950" i="1"/>
  <c r="K950" i="1"/>
  <c r="I950" i="1"/>
  <c r="H950" i="1"/>
  <c r="G950" i="1"/>
  <c r="E950" i="1"/>
  <c r="D950" i="1"/>
  <c r="C950" i="1"/>
  <c r="B950" i="1"/>
  <c r="A950" i="1"/>
  <c r="N949" i="1"/>
  <c r="M949" i="1"/>
  <c r="L949" i="1"/>
  <c r="K949" i="1"/>
  <c r="I949" i="1"/>
  <c r="H949" i="1"/>
  <c r="G949" i="1"/>
  <c r="F949" i="1"/>
  <c r="E949" i="1"/>
  <c r="J949" i="1" s="1"/>
  <c r="D949" i="1"/>
  <c r="C949" i="1"/>
  <c r="B949" i="1"/>
  <c r="A949" i="1"/>
  <c r="N948" i="1"/>
  <c r="M948" i="1"/>
  <c r="I948" i="1"/>
  <c r="H948" i="1"/>
  <c r="G948" i="1"/>
  <c r="E948" i="1"/>
  <c r="D948" i="1"/>
  <c r="C948" i="1"/>
  <c r="B948" i="1"/>
  <c r="A948" i="1"/>
  <c r="N947" i="1"/>
  <c r="M947" i="1"/>
  <c r="I947" i="1"/>
  <c r="H947" i="1"/>
  <c r="G947" i="1"/>
  <c r="E947" i="1"/>
  <c r="L947" i="1" s="1"/>
  <c r="D947" i="1"/>
  <c r="C947" i="1"/>
  <c r="B947" i="1"/>
  <c r="A947" i="1"/>
  <c r="N946" i="1"/>
  <c r="M946" i="1"/>
  <c r="I946" i="1"/>
  <c r="H946" i="1"/>
  <c r="G946" i="1"/>
  <c r="E946" i="1"/>
  <c r="L946" i="1" s="1"/>
  <c r="D946" i="1"/>
  <c r="C946" i="1"/>
  <c r="B946" i="1"/>
  <c r="A946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N944" i="1"/>
  <c r="M944" i="1"/>
  <c r="I944" i="1"/>
  <c r="H944" i="1"/>
  <c r="G944" i="1"/>
  <c r="E944" i="1"/>
  <c r="D944" i="1"/>
  <c r="C944" i="1"/>
  <c r="B944" i="1"/>
  <c r="A944" i="1"/>
  <c r="N943" i="1"/>
  <c r="M943" i="1"/>
  <c r="L943" i="1"/>
  <c r="K943" i="1"/>
  <c r="I943" i="1"/>
  <c r="H943" i="1"/>
  <c r="G943" i="1"/>
  <c r="F943" i="1"/>
  <c r="E943" i="1"/>
  <c r="J943" i="1" s="1"/>
  <c r="D943" i="1"/>
  <c r="C943" i="1"/>
  <c r="B943" i="1"/>
  <c r="A943" i="1"/>
  <c r="N942" i="1"/>
  <c r="M942" i="1"/>
  <c r="I942" i="1"/>
  <c r="H942" i="1"/>
  <c r="G942" i="1"/>
  <c r="F942" i="1"/>
  <c r="E942" i="1"/>
  <c r="D942" i="1"/>
  <c r="C942" i="1"/>
  <c r="B942" i="1"/>
  <c r="A942" i="1"/>
  <c r="N941" i="1"/>
  <c r="M941" i="1"/>
  <c r="I941" i="1"/>
  <c r="H941" i="1"/>
  <c r="G941" i="1"/>
  <c r="E941" i="1"/>
  <c r="D941" i="1"/>
  <c r="C941" i="1"/>
  <c r="B941" i="1"/>
  <c r="A941" i="1"/>
  <c r="N940" i="1"/>
  <c r="M940" i="1"/>
  <c r="I940" i="1"/>
  <c r="H940" i="1"/>
  <c r="G940" i="1"/>
  <c r="E940" i="1"/>
  <c r="D940" i="1"/>
  <c r="C940" i="1"/>
  <c r="B940" i="1"/>
  <c r="A940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N938" i="1"/>
  <c r="M938" i="1"/>
  <c r="L938" i="1"/>
  <c r="K938" i="1"/>
  <c r="I938" i="1"/>
  <c r="H938" i="1"/>
  <c r="G938" i="1"/>
  <c r="E938" i="1"/>
  <c r="D938" i="1"/>
  <c r="C938" i="1"/>
  <c r="B938" i="1"/>
  <c r="A938" i="1"/>
  <c r="N937" i="1"/>
  <c r="M937" i="1"/>
  <c r="L937" i="1"/>
  <c r="K937" i="1"/>
  <c r="I937" i="1"/>
  <c r="H937" i="1"/>
  <c r="G937" i="1"/>
  <c r="F937" i="1"/>
  <c r="E937" i="1"/>
  <c r="J937" i="1" s="1"/>
  <c r="D937" i="1"/>
  <c r="C937" i="1"/>
  <c r="B937" i="1"/>
  <c r="A937" i="1"/>
  <c r="N936" i="1"/>
  <c r="M936" i="1"/>
  <c r="I936" i="1"/>
  <c r="H936" i="1"/>
  <c r="G936" i="1"/>
  <c r="E936" i="1"/>
  <c r="D936" i="1"/>
  <c r="C936" i="1"/>
  <c r="B936" i="1"/>
  <c r="A936" i="1"/>
  <c r="N935" i="1"/>
  <c r="M935" i="1"/>
  <c r="K935" i="1"/>
  <c r="J935" i="1"/>
  <c r="I935" i="1"/>
  <c r="H935" i="1"/>
  <c r="G935" i="1"/>
  <c r="F935" i="1"/>
  <c r="E935" i="1"/>
  <c r="L935" i="1" s="1"/>
  <c r="D935" i="1"/>
  <c r="C935" i="1"/>
  <c r="B935" i="1"/>
  <c r="A935" i="1"/>
  <c r="N934" i="1"/>
  <c r="M934" i="1"/>
  <c r="L934" i="1"/>
  <c r="J934" i="1"/>
  <c r="I934" i="1"/>
  <c r="H934" i="1"/>
  <c r="G934" i="1"/>
  <c r="E934" i="1"/>
  <c r="D934" i="1"/>
  <c r="C934" i="1"/>
  <c r="B934" i="1"/>
  <c r="A934" i="1"/>
  <c r="N933" i="1"/>
  <c r="M933" i="1"/>
  <c r="L933" i="1"/>
  <c r="K933" i="1"/>
  <c r="J933" i="1"/>
  <c r="I933" i="1"/>
  <c r="H933" i="1"/>
  <c r="G933" i="1"/>
  <c r="E933" i="1"/>
  <c r="F933" i="1" s="1"/>
  <c r="D933" i="1"/>
  <c r="C933" i="1"/>
  <c r="B933" i="1"/>
  <c r="A933" i="1"/>
  <c r="N932" i="1"/>
  <c r="M932" i="1"/>
  <c r="L932" i="1"/>
  <c r="K932" i="1"/>
  <c r="I932" i="1"/>
  <c r="H932" i="1"/>
  <c r="G932" i="1"/>
  <c r="E932" i="1"/>
  <c r="D932" i="1"/>
  <c r="C932" i="1"/>
  <c r="B932" i="1"/>
  <c r="A932" i="1"/>
  <c r="N931" i="1"/>
  <c r="M931" i="1"/>
  <c r="L931" i="1"/>
  <c r="K931" i="1"/>
  <c r="I931" i="1"/>
  <c r="H931" i="1"/>
  <c r="G931" i="1"/>
  <c r="F931" i="1"/>
  <c r="E931" i="1"/>
  <c r="J931" i="1" s="1"/>
  <c r="D931" i="1"/>
  <c r="C931" i="1"/>
  <c r="B931" i="1"/>
  <c r="A931" i="1"/>
  <c r="N930" i="1"/>
  <c r="M930" i="1"/>
  <c r="I930" i="1"/>
  <c r="H930" i="1"/>
  <c r="G930" i="1"/>
  <c r="F930" i="1"/>
  <c r="E930" i="1"/>
  <c r="D930" i="1"/>
  <c r="C930" i="1"/>
  <c r="B930" i="1"/>
  <c r="A930" i="1"/>
  <c r="N929" i="1"/>
  <c r="M929" i="1"/>
  <c r="K929" i="1"/>
  <c r="J929" i="1"/>
  <c r="I929" i="1"/>
  <c r="H929" i="1"/>
  <c r="G929" i="1"/>
  <c r="F929" i="1"/>
  <c r="E929" i="1"/>
  <c r="L929" i="1" s="1"/>
  <c r="D929" i="1"/>
  <c r="C929" i="1"/>
  <c r="B929" i="1"/>
  <c r="A929" i="1"/>
  <c r="N928" i="1"/>
  <c r="M928" i="1"/>
  <c r="L928" i="1"/>
  <c r="J928" i="1"/>
  <c r="I928" i="1"/>
  <c r="H928" i="1"/>
  <c r="G928" i="1"/>
  <c r="E928" i="1"/>
  <c r="D928" i="1"/>
  <c r="C928" i="1"/>
  <c r="B928" i="1"/>
  <c r="A928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N926" i="1"/>
  <c r="M926" i="1"/>
  <c r="L926" i="1"/>
  <c r="K926" i="1"/>
  <c r="I926" i="1"/>
  <c r="H926" i="1"/>
  <c r="G926" i="1"/>
  <c r="E926" i="1"/>
  <c r="D926" i="1"/>
  <c r="C926" i="1"/>
  <c r="B926" i="1"/>
  <c r="A926" i="1"/>
  <c r="N925" i="1"/>
  <c r="M925" i="1"/>
  <c r="L925" i="1"/>
  <c r="K925" i="1"/>
  <c r="I925" i="1"/>
  <c r="H925" i="1"/>
  <c r="G925" i="1"/>
  <c r="F925" i="1"/>
  <c r="E925" i="1"/>
  <c r="J925" i="1" s="1"/>
  <c r="D925" i="1"/>
  <c r="C925" i="1"/>
  <c r="B925" i="1"/>
  <c r="A925" i="1"/>
  <c r="N924" i="1"/>
  <c r="M924" i="1"/>
  <c r="I924" i="1"/>
  <c r="H924" i="1"/>
  <c r="G924" i="1"/>
  <c r="F924" i="1"/>
  <c r="E924" i="1"/>
  <c r="D924" i="1"/>
  <c r="C924" i="1"/>
  <c r="B924" i="1"/>
  <c r="A924" i="1"/>
  <c r="N923" i="1"/>
  <c r="M923" i="1"/>
  <c r="K923" i="1"/>
  <c r="J923" i="1"/>
  <c r="I923" i="1"/>
  <c r="H923" i="1"/>
  <c r="G923" i="1"/>
  <c r="E923" i="1"/>
  <c r="L923" i="1" s="1"/>
  <c r="D923" i="1"/>
  <c r="C923" i="1"/>
  <c r="B923" i="1"/>
  <c r="A923" i="1"/>
  <c r="N922" i="1"/>
  <c r="M922" i="1"/>
  <c r="L922" i="1"/>
  <c r="J922" i="1"/>
  <c r="I922" i="1"/>
  <c r="H922" i="1"/>
  <c r="G922" i="1"/>
  <c r="E922" i="1"/>
  <c r="D922" i="1"/>
  <c r="C922" i="1"/>
  <c r="B922" i="1"/>
  <c r="A922" i="1"/>
  <c r="N921" i="1"/>
  <c r="M921" i="1"/>
  <c r="L921" i="1"/>
  <c r="K921" i="1"/>
  <c r="J921" i="1"/>
  <c r="I921" i="1"/>
  <c r="H921" i="1"/>
  <c r="G921" i="1"/>
  <c r="E921" i="1"/>
  <c r="F921" i="1" s="1"/>
  <c r="D921" i="1"/>
  <c r="C921" i="1"/>
  <c r="B921" i="1"/>
  <c r="A921" i="1"/>
  <c r="N920" i="1"/>
  <c r="M920" i="1"/>
  <c r="I920" i="1"/>
  <c r="H920" i="1"/>
  <c r="G920" i="1"/>
  <c r="E920" i="1"/>
  <c r="D920" i="1"/>
  <c r="C920" i="1"/>
  <c r="B920" i="1"/>
  <c r="A920" i="1"/>
  <c r="N919" i="1"/>
  <c r="M919" i="1"/>
  <c r="K919" i="1"/>
  <c r="I919" i="1"/>
  <c r="H919" i="1"/>
  <c r="G919" i="1"/>
  <c r="F919" i="1"/>
  <c r="E919" i="1"/>
  <c r="J919" i="1" s="1"/>
  <c r="D919" i="1"/>
  <c r="C919" i="1"/>
  <c r="B919" i="1"/>
  <c r="A919" i="1"/>
  <c r="N918" i="1"/>
  <c r="M918" i="1"/>
  <c r="I918" i="1"/>
  <c r="H918" i="1"/>
  <c r="G918" i="1"/>
  <c r="E918" i="1"/>
  <c r="D918" i="1"/>
  <c r="C918" i="1"/>
  <c r="B918" i="1"/>
  <c r="A918" i="1"/>
  <c r="N917" i="1"/>
  <c r="M917" i="1"/>
  <c r="I917" i="1"/>
  <c r="H917" i="1"/>
  <c r="G917" i="1"/>
  <c r="E917" i="1"/>
  <c r="D917" i="1"/>
  <c r="C917" i="1"/>
  <c r="B917" i="1"/>
  <c r="A917" i="1"/>
  <c r="N916" i="1"/>
  <c r="M916" i="1"/>
  <c r="I916" i="1"/>
  <c r="H916" i="1"/>
  <c r="G916" i="1"/>
  <c r="E916" i="1"/>
  <c r="D916" i="1"/>
  <c r="C916" i="1"/>
  <c r="B916" i="1"/>
  <c r="A916" i="1"/>
  <c r="N915" i="1"/>
  <c r="M915" i="1"/>
  <c r="L915" i="1"/>
  <c r="K915" i="1"/>
  <c r="J915" i="1"/>
  <c r="I915" i="1"/>
  <c r="H915" i="1"/>
  <c r="G915" i="1"/>
  <c r="E915" i="1"/>
  <c r="F915" i="1" s="1"/>
  <c r="D915" i="1"/>
  <c r="C915" i="1"/>
  <c r="B915" i="1"/>
  <c r="A915" i="1"/>
  <c r="N914" i="1"/>
  <c r="M914" i="1"/>
  <c r="K914" i="1"/>
  <c r="I914" i="1"/>
  <c r="H914" i="1"/>
  <c r="G914" i="1"/>
  <c r="E914" i="1"/>
  <c r="D914" i="1"/>
  <c r="C914" i="1"/>
  <c r="B914" i="1"/>
  <c r="A914" i="1"/>
  <c r="N913" i="1"/>
  <c r="M913" i="1"/>
  <c r="K913" i="1"/>
  <c r="I913" i="1"/>
  <c r="H913" i="1"/>
  <c r="G913" i="1"/>
  <c r="F913" i="1"/>
  <c r="E913" i="1"/>
  <c r="J913" i="1" s="1"/>
  <c r="D913" i="1"/>
  <c r="C913" i="1"/>
  <c r="B913" i="1"/>
  <c r="A913" i="1"/>
  <c r="N912" i="1"/>
  <c r="M912" i="1"/>
  <c r="I912" i="1"/>
  <c r="H912" i="1"/>
  <c r="G912" i="1"/>
  <c r="E912" i="1"/>
  <c r="D912" i="1"/>
  <c r="C912" i="1"/>
  <c r="B912" i="1"/>
  <c r="A912" i="1"/>
  <c r="N911" i="1"/>
  <c r="M911" i="1"/>
  <c r="I911" i="1"/>
  <c r="H911" i="1"/>
  <c r="G911" i="1"/>
  <c r="E911" i="1"/>
  <c r="D911" i="1"/>
  <c r="C911" i="1"/>
  <c r="B911" i="1"/>
  <c r="A911" i="1"/>
  <c r="N910" i="1"/>
  <c r="M910" i="1"/>
  <c r="I910" i="1"/>
  <c r="H910" i="1"/>
  <c r="G910" i="1"/>
  <c r="E910" i="1"/>
  <c r="D910" i="1"/>
  <c r="C910" i="1"/>
  <c r="B910" i="1"/>
  <c r="A910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N908" i="1"/>
  <c r="M908" i="1"/>
  <c r="I908" i="1"/>
  <c r="H908" i="1"/>
  <c r="G908" i="1"/>
  <c r="E908" i="1"/>
  <c r="D908" i="1"/>
  <c r="C908" i="1"/>
  <c r="B908" i="1"/>
  <c r="A908" i="1"/>
  <c r="N907" i="1"/>
  <c r="M907" i="1"/>
  <c r="K907" i="1"/>
  <c r="I907" i="1"/>
  <c r="H907" i="1"/>
  <c r="G907" i="1"/>
  <c r="F907" i="1"/>
  <c r="E907" i="1"/>
  <c r="J907" i="1" s="1"/>
  <c r="D907" i="1"/>
  <c r="C907" i="1"/>
  <c r="B907" i="1"/>
  <c r="A907" i="1"/>
  <c r="N906" i="1"/>
  <c r="M906" i="1"/>
  <c r="I906" i="1"/>
  <c r="H906" i="1"/>
  <c r="G906" i="1"/>
  <c r="E906" i="1"/>
  <c r="D906" i="1"/>
  <c r="C906" i="1"/>
  <c r="B906" i="1"/>
  <c r="A906" i="1"/>
  <c r="N905" i="1"/>
  <c r="M905" i="1"/>
  <c r="I905" i="1"/>
  <c r="H905" i="1"/>
  <c r="G905" i="1"/>
  <c r="E905" i="1"/>
  <c r="D905" i="1"/>
  <c r="C905" i="1"/>
  <c r="B905" i="1"/>
  <c r="A905" i="1"/>
  <c r="N904" i="1"/>
  <c r="M904" i="1"/>
  <c r="I904" i="1"/>
  <c r="H904" i="1"/>
  <c r="G904" i="1"/>
  <c r="E904" i="1"/>
  <c r="D904" i="1"/>
  <c r="C904" i="1"/>
  <c r="B904" i="1"/>
  <c r="A904" i="1"/>
  <c r="N903" i="1"/>
  <c r="M903" i="1"/>
  <c r="L903" i="1"/>
  <c r="K903" i="1"/>
  <c r="J903" i="1"/>
  <c r="I903" i="1"/>
  <c r="H903" i="1"/>
  <c r="G903" i="1"/>
  <c r="E903" i="1"/>
  <c r="F903" i="1" s="1"/>
  <c r="D903" i="1"/>
  <c r="C903" i="1"/>
  <c r="B903" i="1"/>
  <c r="A903" i="1"/>
  <c r="N902" i="1"/>
  <c r="M902" i="1"/>
  <c r="I902" i="1"/>
  <c r="H902" i="1"/>
  <c r="G902" i="1"/>
  <c r="E902" i="1"/>
  <c r="D902" i="1"/>
  <c r="C902" i="1"/>
  <c r="B902" i="1"/>
  <c r="A902" i="1"/>
  <c r="N901" i="1"/>
  <c r="M901" i="1"/>
  <c r="K901" i="1"/>
  <c r="I901" i="1"/>
  <c r="H901" i="1"/>
  <c r="G901" i="1"/>
  <c r="F901" i="1"/>
  <c r="E901" i="1"/>
  <c r="J901" i="1" s="1"/>
  <c r="D901" i="1"/>
  <c r="C901" i="1"/>
  <c r="B901" i="1"/>
  <c r="A901" i="1"/>
  <c r="N900" i="1"/>
  <c r="M900" i="1"/>
  <c r="I900" i="1"/>
  <c r="H900" i="1"/>
  <c r="G900" i="1"/>
  <c r="E900" i="1"/>
  <c r="D900" i="1"/>
  <c r="C900" i="1"/>
  <c r="B900" i="1"/>
  <c r="A900" i="1"/>
  <c r="N899" i="1"/>
  <c r="M899" i="1"/>
  <c r="I899" i="1"/>
  <c r="H899" i="1"/>
  <c r="G899" i="1"/>
  <c r="E899" i="1"/>
  <c r="D899" i="1"/>
  <c r="C899" i="1"/>
  <c r="B899" i="1"/>
  <c r="A899" i="1"/>
  <c r="N898" i="1"/>
  <c r="M898" i="1"/>
  <c r="J898" i="1"/>
  <c r="I898" i="1"/>
  <c r="H898" i="1"/>
  <c r="G898" i="1"/>
  <c r="E898" i="1"/>
  <c r="D898" i="1"/>
  <c r="C898" i="1"/>
  <c r="B898" i="1"/>
  <c r="A898" i="1"/>
  <c r="N897" i="1"/>
  <c r="M897" i="1"/>
  <c r="L897" i="1"/>
  <c r="K897" i="1"/>
  <c r="J897" i="1"/>
  <c r="I897" i="1"/>
  <c r="H897" i="1"/>
  <c r="G897" i="1"/>
  <c r="E897" i="1"/>
  <c r="F897" i="1" s="1"/>
  <c r="D897" i="1"/>
  <c r="C897" i="1"/>
  <c r="B897" i="1"/>
  <c r="A897" i="1"/>
  <c r="N896" i="1"/>
  <c r="M896" i="1"/>
  <c r="I896" i="1"/>
  <c r="H896" i="1"/>
  <c r="G896" i="1"/>
  <c r="E896" i="1"/>
  <c r="D896" i="1"/>
  <c r="C896" i="1"/>
  <c r="B896" i="1"/>
  <c r="A896" i="1"/>
  <c r="N895" i="1"/>
  <c r="M895" i="1"/>
  <c r="K895" i="1"/>
  <c r="I895" i="1"/>
  <c r="H895" i="1"/>
  <c r="G895" i="1"/>
  <c r="F895" i="1"/>
  <c r="E895" i="1"/>
  <c r="J895" i="1" s="1"/>
  <c r="D895" i="1"/>
  <c r="C895" i="1"/>
  <c r="B895" i="1"/>
  <c r="A895" i="1"/>
  <c r="N894" i="1"/>
  <c r="M894" i="1"/>
  <c r="I894" i="1"/>
  <c r="H894" i="1"/>
  <c r="G894" i="1"/>
  <c r="E894" i="1"/>
  <c r="D894" i="1"/>
  <c r="C894" i="1"/>
  <c r="B894" i="1"/>
  <c r="A894" i="1"/>
  <c r="N893" i="1"/>
  <c r="M893" i="1"/>
  <c r="J893" i="1"/>
  <c r="I893" i="1"/>
  <c r="H893" i="1"/>
  <c r="G893" i="1"/>
  <c r="E893" i="1"/>
  <c r="D893" i="1"/>
  <c r="C893" i="1"/>
  <c r="B893" i="1"/>
  <c r="A893" i="1"/>
  <c r="N892" i="1"/>
  <c r="M892" i="1"/>
  <c r="L892" i="1"/>
  <c r="J892" i="1"/>
  <c r="I892" i="1"/>
  <c r="H892" i="1"/>
  <c r="G892" i="1"/>
  <c r="E892" i="1"/>
  <c r="D892" i="1"/>
  <c r="C892" i="1"/>
  <c r="B892" i="1"/>
  <c r="A892" i="1"/>
  <c r="N891" i="1"/>
  <c r="M891" i="1"/>
  <c r="L891" i="1"/>
  <c r="K891" i="1"/>
  <c r="J891" i="1"/>
  <c r="I891" i="1"/>
  <c r="H891" i="1"/>
  <c r="G891" i="1"/>
  <c r="E891" i="1"/>
  <c r="F891" i="1" s="1"/>
  <c r="D891" i="1"/>
  <c r="C891" i="1"/>
  <c r="B891" i="1"/>
  <c r="A891" i="1"/>
  <c r="N890" i="1"/>
  <c r="M890" i="1"/>
  <c r="L890" i="1"/>
  <c r="K890" i="1"/>
  <c r="I890" i="1"/>
  <c r="H890" i="1"/>
  <c r="G890" i="1"/>
  <c r="E890" i="1"/>
  <c r="D890" i="1"/>
  <c r="C890" i="1"/>
  <c r="B890" i="1"/>
  <c r="A890" i="1"/>
  <c r="N889" i="1"/>
  <c r="M889" i="1"/>
  <c r="K889" i="1"/>
  <c r="I889" i="1"/>
  <c r="H889" i="1"/>
  <c r="G889" i="1"/>
  <c r="F889" i="1"/>
  <c r="E889" i="1"/>
  <c r="J889" i="1" s="1"/>
  <c r="D889" i="1"/>
  <c r="C889" i="1"/>
  <c r="B889" i="1"/>
  <c r="A889" i="1"/>
  <c r="N888" i="1"/>
  <c r="M888" i="1"/>
  <c r="I888" i="1"/>
  <c r="H888" i="1"/>
  <c r="G888" i="1"/>
  <c r="E888" i="1"/>
  <c r="D888" i="1"/>
  <c r="C888" i="1"/>
  <c r="B888" i="1"/>
  <c r="A888" i="1"/>
  <c r="N887" i="1"/>
  <c r="M887" i="1"/>
  <c r="K887" i="1"/>
  <c r="J887" i="1"/>
  <c r="I887" i="1"/>
  <c r="H887" i="1"/>
  <c r="G887" i="1"/>
  <c r="F887" i="1"/>
  <c r="E887" i="1"/>
  <c r="L887" i="1" s="1"/>
  <c r="D887" i="1"/>
  <c r="C887" i="1"/>
  <c r="B887" i="1"/>
  <c r="A887" i="1"/>
  <c r="N886" i="1"/>
  <c r="M886" i="1"/>
  <c r="L886" i="1"/>
  <c r="J886" i="1"/>
  <c r="I886" i="1"/>
  <c r="H886" i="1"/>
  <c r="G886" i="1"/>
  <c r="E886" i="1"/>
  <c r="D886" i="1"/>
  <c r="C886" i="1"/>
  <c r="B886" i="1"/>
  <c r="A886" i="1"/>
  <c r="N885" i="1"/>
  <c r="M885" i="1"/>
  <c r="L885" i="1"/>
  <c r="K885" i="1"/>
  <c r="J885" i="1"/>
  <c r="I885" i="1"/>
  <c r="H885" i="1"/>
  <c r="G885" i="1"/>
  <c r="E885" i="1"/>
  <c r="F885" i="1" s="1"/>
  <c r="D885" i="1"/>
  <c r="C885" i="1"/>
  <c r="B885" i="1"/>
  <c r="A885" i="1"/>
  <c r="N884" i="1"/>
  <c r="M884" i="1"/>
  <c r="L884" i="1"/>
  <c r="K884" i="1"/>
  <c r="I884" i="1"/>
  <c r="H884" i="1"/>
  <c r="G884" i="1"/>
  <c r="E884" i="1"/>
  <c r="D884" i="1"/>
  <c r="C884" i="1"/>
  <c r="B884" i="1"/>
  <c r="A884" i="1"/>
  <c r="N883" i="1"/>
  <c r="M883" i="1"/>
  <c r="K883" i="1"/>
  <c r="I883" i="1"/>
  <c r="H883" i="1"/>
  <c r="G883" i="1"/>
  <c r="F883" i="1"/>
  <c r="E883" i="1"/>
  <c r="J883" i="1" s="1"/>
  <c r="D883" i="1"/>
  <c r="C883" i="1"/>
  <c r="B883" i="1"/>
  <c r="A883" i="1"/>
  <c r="N882" i="1"/>
  <c r="M882" i="1"/>
  <c r="I882" i="1"/>
  <c r="H882" i="1"/>
  <c r="G882" i="1"/>
  <c r="F882" i="1"/>
  <c r="E882" i="1"/>
  <c r="D882" i="1"/>
  <c r="C882" i="1"/>
  <c r="B882" i="1"/>
  <c r="A882" i="1"/>
  <c r="N881" i="1"/>
  <c r="M881" i="1"/>
  <c r="K881" i="1"/>
  <c r="J881" i="1"/>
  <c r="I881" i="1"/>
  <c r="H881" i="1"/>
  <c r="G881" i="1"/>
  <c r="E881" i="1"/>
  <c r="L881" i="1" s="1"/>
  <c r="D881" i="1"/>
  <c r="C881" i="1"/>
  <c r="B881" i="1"/>
  <c r="A881" i="1"/>
  <c r="N880" i="1"/>
  <c r="M880" i="1"/>
  <c r="L880" i="1"/>
  <c r="J880" i="1"/>
  <c r="I880" i="1"/>
  <c r="H880" i="1"/>
  <c r="G880" i="1"/>
  <c r="E880" i="1"/>
  <c r="D880" i="1"/>
  <c r="C880" i="1"/>
  <c r="B880" i="1"/>
  <c r="A880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N878" i="1"/>
  <c r="M878" i="1"/>
  <c r="I878" i="1"/>
  <c r="H878" i="1"/>
  <c r="G878" i="1"/>
  <c r="E878" i="1"/>
  <c r="D878" i="1"/>
  <c r="C878" i="1"/>
  <c r="B878" i="1"/>
  <c r="A878" i="1"/>
  <c r="N877" i="1"/>
  <c r="M877" i="1"/>
  <c r="K877" i="1"/>
  <c r="I877" i="1"/>
  <c r="H877" i="1"/>
  <c r="G877" i="1"/>
  <c r="F877" i="1"/>
  <c r="E877" i="1"/>
  <c r="J877" i="1" s="1"/>
  <c r="D877" i="1"/>
  <c r="C877" i="1"/>
  <c r="B877" i="1"/>
  <c r="A877" i="1"/>
  <c r="N876" i="1"/>
  <c r="M876" i="1"/>
  <c r="I876" i="1"/>
  <c r="H876" i="1"/>
  <c r="G876" i="1"/>
  <c r="F876" i="1"/>
  <c r="E876" i="1"/>
  <c r="D876" i="1"/>
  <c r="C876" i="1"/>
  <c r="B876" i="1"/>
  <c r="A876" i="1"/>
  <c r="N875" i="1"/>
  <c r="M875" i="1"/>
  <c r="I875" i="1"/>
  <c r="H875" i="1"/>
  <c r="G875" i="1"/>
  <c r="E875" i="1"/>
  <c r="D875" i="1"/>
  <c r="C875" i="1"/>
  <c r="B875" i="1"/>
  <c r="A875" i="1"/>
  <c r="N874" i="1"/>
  <c r="M874" i="1"/>
  <c r="I874" i="1"/>
  <c r="H874" i="1"/>
  <c r="G874" i="1"/>
  <c r="E874" i="1"/>
  <c r="D874" i="1"/>
  <c r="C874" i="1"/>
  <c r="B874" i="1"/>
  <c r="A874" i="1"/>
  <c r="N873" i="1"/>
  <c r="M873" i="1"/>
  <c r="L873" i="1"/>
  <c r="K873" i="1"/>
  <c r="J873" i="1"/>
  <c r="I873" i="1"/>
  <c r="H873" i="1"/>
  <c r="G873" i="1"/>
  <c r="E873" i="1"/>
  <c r="F873" i="1" s="1"/>
  <c r="D873" i="1"/>
  <c r="C873" i="1"/>
  <c r="B873" i="1"/>
  <c r="A873" i="1"/>
  <c r="N872" i="1"/>
  <c r="M872" i="1"/>
  <c r="L872" i="1"/>
  <c r="K872" i="1"/>
  <c r="I872" i="1"/>
  <c r="H872" i="1"/>
  <c r="G872" i="1"/>
  <c r="E872" i="1"/>
  <c r="D872" i="1"/>
  <c r="C872" i="1"/>
  <c r="B872" i="1"/>
  <c r="A872" i="1"/>
  <c r="N871" i="1"/>
  <c r="M871" i="1"/>
  <c r="K871" i="1"/>
  <c r="I871" i="1"/>
  <c r="H871" i="1"/>
  <c r="G871" i="1"/>
  <c r="F871" i="1"/>
  <c r="E871" i="1"/>
  <c r="J871" i="1" s="1"/>
  <c r="D871" i="1"/>
  <c r="C871" i="1"/>
  <c r="B871" i="1"/>
  <c r="A871" i="1"/>
  <c r="N870" i="1"/>
  <c r="M870" i="1"/>
  <c r="I870" i="1"/>
  <c r="H870" i="1"/>
  <c r="G870" i="1"/>
  <c r="E870" i="1"/>
  <c r="D870" i="1"/>
  <c r="C870" i="1"/>
  <c r="B870" i="1"/>
  <c r="A870" i="1"/>
  <c r="N869" i="1"/>
  <c r="M869" i="1"/>
  <c r="K869" i="1"/>
  <c r="J869" i="1"/>
  <c r="I869" i="1"/>
  <c r="H869" i="1"/>
  <c r="G869" i="1"/>
  <c r="F869" i="1"/>
  <c r="E869" i="1"/>
  <c r="L869" i="1" s="1"/>
  <c r="D869" i="1"/>
  <c r="C869" i="1"/>
  <c r="B869" i="1"/>
  <c r="A869" i="1"/>
  <c r="N868" i="1"/>
  <c r="M868" i="1"/>
  <c r="L868" i="1"/>
  <c r="J868" i="1"/>
  <c r="I868" i="1"/>
  <c r="H868" i="1"/>
  <c r="G868" i="1"/>
  <c r="E868" i="1"/>
  <c r="D868" i="1"/>
  <c r="C868" i="1"/>
  <c r="B868" i="1"/>
  <c r="A868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N866" i="1"/>
  <c r="M866" i="1"/>
  <c r="I866" i="1"/>
  <c r="H866" i="1"/>
  <c r="G866" i="1"/>
  <c r="E866" i="1"/>
  <c r="D866" i="1"/>
  <c r="C866" i="1"/>
  <c r="B866" i="1"/>
  <c r="A866" i="1"/>
  <c r="N865" i="1"/>
  <c r="M865" i="1"/>
  <c r="L865" i="1"/>
  <c r="K865" i="1"/>
  <c r="I865" i="1"/>
  <c r="H865" i="1"/>
  <c r="G865" i="1"/>
  <c r="F865" i="1"/>
  <c r="E865" i="1"/>
  <c r="J865" i="1" s="1"/>
  <c r="D865" i="1"/>
  <c r="C865" i="1"/>
  <c r="B865" i="1"/>
  <c r="A865" i="1"/>
  <c r="N864" i="1"/>
  <c r="M864" i="1"/>
  <c r="I864" i="1"/>
  <c r="H864" i="1"/>
  <c r="G864" i="1"/>
  <c r="E864" i="1"/>
  <c r="D864" i="1"/>
  <c r="C864" i="1"/>
  <c r="B864" i="1"/>
  <c r="A864" i="1"/>
  <c r="N863" i="1"/>
  <c r="M863" i="1"/>
  <c r="I863" i="1"/>
  <c r="H863" i="1"/>
  <c r="G863" i="1"/>
  <c r="E863" i="1"/>
  <c r="D863" i="1"/>
  <c r="C863" i="1"/>
  <c r="B863" i="1"/>
  <c r="A863" i="1"/>
  <c r="N862" i="1"/>
  <c r="M862" i="1"/>
  <c r="J862" i="1"/>
  <c r="I862" i="1"/>
  <c r="H862" i="1"/>
  <c r="G862" i="1"/>
  <c r="E862" i="1"/>
  <c r="D862" i="1"/>
  <c r="C862" i="1"/>
  <c r="B862" i="1"/>
  <c r="A862" i="1"/>
  <c r="N861" i="1"/>
  <c r="M861" i="1"/>
  <c r="L861" i="1"/>
  <c r="K861" i="1"/>
  <c r="J861" i="1"/>
  <c r="I861" i="1"/>
  <c r="H861" i="1"/>
  <c r="G861" i="1"/>
  <c r="E861" i="1"/>
  <c r="F861" i="1" s="1"/>
  <c r="D861" i="1"/>
  <c r="C861" i="1"/>
  <c r="B861" i="1"/>
  <c r="A861" i="1"/>
  <c r="N860" i="1"/>
  <c r="M860" i="1"/>
  <c r="J860" i="1"/>
  <c r="I860" i="1"/>
  <c r="H860" i="1"/>
  <c r="G860" i="1"/>
  <c r="E860" i="1"/>
  <c r="D860" i="1"/>
  <c r="C860" i="1"/>
  <c r="B860" i="1"/>
  <c r="A860" i="1"/>
  <c r="N859" i="1"/>
  <c r="M859" i="1"/>
  <c r="K859" i="1"/>
  <c r="I859" i="1"/>
  <c r="H859" i="1"/>
  <c r="G859" i="1"/>
  <c r="E859" i="1"/>
  <c r="D859" i="1"/>
  <c r="C859" i="1"/>
  <c r="B859" i="1"/>
  <c r="A859" i="1"/>
  <c r="N858" i="1"/>
  <c r="M858" i="1"/>
  <c r="I858" i="1"/>
  <c r="H858" i="1"/>
  <c r="G858" i="1"/>
  <c r="F858" i="1"/>
  <c r="E858" i="1"/>
  <c r="D858" i="1"/>
  <c r="C858" i="1"/>
  <c r="B858" i="1"/>
  <c r="A858" i="1"/>
  <c r="N857" i="1"/>
  <c r="M857" i="1"/>
  <c r="J857" i="1"/>
  <c r="I857" i="1"/>
  <c r="H857" i="1"/>
  <c r="G857" i="1"/>
  <c r="F857" i="1"/>
  <c r="E857" i="1"/>
  <c r="D857" i="1"/>
  <c r="C857" i="1"/>
  <c r="B857" i="1"/>
  <c r="A857" i="1"/>
  <c r="N856" i="1"/>
  <c r="M856" i="1"/>
  <c r="L856" i="1"/>
  <c r="K856" i="1"/>
  <c r="J856" i="1"/>
  <c r="I856" i="1"/>
  <c r="H856" i="1"/>
  <c r="G856" i="1"/>
  <c r="E856" i="1"/>
  <c r="F856" i="1" s="1"/>
  <c r="D856" i="1"/>
  <c r="C856" i="1"/>
  <c r="B856" i="1"/>
  <c r="A856" i="1"/>
  <c r="N855" i="1"/>
  <c r="M855" i="1"/>
  <c r="L855" i="1"/>
  <c r="K855" i="1"/>
  <c r="J855" i="1"/>
  <c r="I855" i="1"/>
  <c r="H855" i="1"/>
  <c r="G855" i="1"/>
  <c r="E855" i="1"/>
  <c r="F855" i="1" s="1"/>
  <c r="D855" i="1"/>
  <c r="C855" i="1"/>
  <c r="B855" i="1"/>
  <c r="A855" i="1"/>
  <c r="N854" i="1"/>
  <c r="M854" i="1"/>
  <c r="I854" i="1"/>
  <c r="H854" i="1"/>
  <c r="G854" i="1"/>
  <c r="E854" i="1"/>
  <c r="D854" i="1"/>
  <c r="C854" i="1"/>
  <c r="B854" i="1"/>
  <c r="A854" i="1"/>
  <c r="N853" i="1"/>
  <c r="M853" i="1"/>
  <c r="L853" i="1"/>
  <c r="K853" i="1"/>
  <c r="I853" i="1"/>
  <c r="H853" i="1"/>
  <c r="G853" i="1"/>
  <c r="F853" i="1"/>
  <c r="E853" i="1"/>
  <c r="J853" i="1" s="1"/>
  <c r="D853" i="1"/>
  <c r="C853" i="1"/>
  <c r="B853" i="1"/>
  <c r="A853" i="1"/>
  <c r="N852" i="1"/>
  <c r="M852" i="1"/>
  <c r="I852" i="1"/>
  <c r="H852" i="1"/>
  <c r="G852" i="1"/>
  <c r="E852" i="1"/>
  <c r="D852" i="1"/>
  <c r="C852" i="1"/>
  <c r="B852" i="1"/>
  <c r="A852" i="1"/>
  <c r="N851" i="1"/>
  <c r="M851" i="1"/>
  <c r="K851" i="1"/>
  <c r="J851" i="1"/>
  <c r="I851" i="1"/>
  <c r="H851" i="1"/>
  <c r="G851" i="1"/>
  <c r="F851" i="1"/>
  <c r="E851" i="1"/>
  <c r="L851" i="1" s="1"/>
  <c r="D851" i="1"/>
  <c r="C851" i="1"/>
  <c r="B851" i="1"/>
  <c r="A851" i="1"/>
  <c r="N850" i="1"/>
  <c r="M850" i="1"/>
  <c r="I850" i="1"/>
  <c r="H850" i="1"/>
  <c r="G850" i="1"/>
  <c r="E850" i="1"/>
  <c r="D850" i="1"/>
  <c r="C850" i="1"/>
  <c r="B850" i="1"/>
  <c r="A850" i="1"/>
  <c r="N849" i="1"/>
  <c r="M849" i="1"/>
  <c r="L849" i="1"/>
  <c r="K849" i="1"/>
  <c r="J849" i="1"/>
  <c r="I849" i="1"/>
  <c r="H849" i="1"/>
  <c r="G849" i="1"/>
  <c r="E849" i="1"/>
  <c r="F849" i="1" s="1"/>
  <c r="D849" i="1"/>
  <c r="C849" i="1"/>
  <c r="B849" i="1"/>
  <c r="A849" i="1"/>
  <c r="N848" i="1"/>
  <c r="M848" i="1"/>
  <c r="I848" i="1"/>
  <c r="H848" i="1"/>
  <c r="G848" i="1"/>
  <c r="E848" i="1"/>
  <c r="D848" i="1"/>
  <c r="C848" i="1"/>
  <c r="B848" i="1"/>
  <c r="A848" i="1"/>
  <c r="N847" i="1"/>
  <c r="M847" i="1"/>
  <c r="I847" i="1"/>
  <c r="H847" i="1"/>
  <c r="G847" i="1"/>
  <c r="E847" i="1"/>
  <c r="D847" i="1"/>
  <c r="C847" i="1"/>
  <c r="B847" i="1"/>
  <c r="A847" i="1"/>
  <c r="N846" i="1"/>
  <c r="M846" i="1"/>
  <c r="I846" i="1"/>
  <c r="H846" i="1"/>
  <c r="G846" i="1"/>
  <c r="E846" i="1"/>
  <c r="D846" i="1"/>
  <c r="C846" i="1"/>
  <c r="B846" i="1"/>
  <c r="A846" i="1"/>
  <c r="N845" i="1"/>
  <c r="M845" i="1"/>
  <c r="K845" i="1"/>
  <c r="I845" i="1"/>
  <c r="H845" i="1"/>
  <c r="G845" i="1"/>
  <c r="E845" i="1"/>
  <c r="D845" i="1"/>
  <c r="C845" i="1"/>
  <c r="B845" i="1"/>
  <c r="A845" i="1"/>
  <c r="N844" i="1"/>
  <c r="M844" i="1"/>
  <c r="J844" i="1"/>
  <c r="I844" i="1"/>
  <c r="H844" i="1"/>
  <c r="G844" i="1"/>
  <c r="E844" i="1"/>
  <c r="D844" i="1"/>
  <c r="C844" i="1"/>
  <c r="B844" i="1"/>
  <c r="A844" i="1"/>
  <c r="N843" i="1"/>
  <c r="M843" i="1"/>
  <c r="L843" i="1"/>
  <c r="K843" i="1"/>
  <c r="J843" i="1"/>
  <c r="I843" i="1"/>
  <c r="H843" i="1"/>
  <c r="G843" i="1"/>
  <c r="E843" i="1"/>
  <c r="F843" i="1" s="1"/>
  <c r="D843" i="1"/>
  <c r="C843" i="1"/>
  <c r="B843" i="1"/>
  <c r="A843" i="1"/>
  <c r="N842" i="1"/>
  <c r="M842" i="1"/>
  <c r="L842" i="1"/>
  <c r="K842" i="1"/>
  <c r="J842" i="1"/>
  <c r="I842" i="1"/>
  <c r="H842" i="1"/>
  <c r="G842" i="1"/>
  <c r="E842" i="1"/>
  <c r="F842" i="1" s="1"/>
  <c r="D842" i="1"/>
  <c r="C842" i="1"/>
  <c r="B842" i="1"/>
  <c r="A842" i="1"/>
  <c r="N841" i="1"/>
  <c r="M841" i="1"/>
  <c r="L841" i="1"/>
  <c r="K841" i="1"/>
  <c r="I841" i="1"/>
  <c r="H841" i="1"/>
  <c r="G841" i="1"/>
  <c r="F841" i="1"/>
  <c r="E841" i="1"/>
  <c r="J841" i="1" s="1"/>
  <c r="D841" i="1"/>
  <c r="C841" i="1"/>
  <c r="B841" i="1"/>
  <c r="A841" i="1"/>
  <c r="N840" i="1"/>
  <c r="M840" i="1"/>
  <c r="K840" i="1"/>
  <c r="I840" i="1"/>
  <c r="H840" i="1"/>
  <c r="G840" i="1"/>
  <c r="F840" i="1"/>
  <c r="E840" i="1"/>
  <c r="D840" i="1"/>
  <c r="C840" i="1"/>
  <c r="B840" i="1"/>
  <c r="A840" i="1"/>
  <c r="N839" i="1"/>
  <c r="M839" i="1"/>
  <c r="I839" i="1"/>
  <c r="H839" i="1"/>
  <c r="G839" i="1"/>
  <c r="E839" i="1"/>
  <c r="D839" i="1"/>
  <c r="C839" i="1"/>
  <c r="B839" i="1"/>
  <c r="A839" i="1"/>
  <c r="N838" i="1"/>
  <c r="M838" i="1"/>
  <c r="L838" i="1"/>
  <c r="K838" i="1"/>
  <c r="J838" i="1"/>
  <c r="I838" i="1"/>
  <c r="H838" i="1"/>
  <c r="G838" i="1"/>
  <c r="E838" i="1"/>
  <c r="F838" i="1" s="1"/>
  <c r="D838" i="1"/>
  <c r="C838" i="1"/>
  <c r="B838" i="1"/>
  <c r="A838" i="1"/>
  <c r="N837" i="1"/>
  <c r="M837" i="1"/>
  <c r="I837" i="1"/>
  <c r="H837" i="1"/>
  <c r="G837" i="1"/>
  <c r="E837" i="1"/>
  <c r="D837" i="1"/>
  <c r="C837" i="1"/>
  <c r="B837" i="1"/>
  <c r="A837" i="1"/>
  <c r="N836" i="1"/>
  <c r="M836" i="1"/>
  <c r="I836" i="1"/>
  <c r="H836" i="1"/>
  <c r="G836" i="1"/>
  <c r="E836" i="1"/>
  <c r="D836" i="1"/>
  <c r="C836" i="1"/>
  <c r="B836" i="1"/>
  <c r="A836" i="1"/>
  <c r="N835" i="1"/>
  <c r="M835" i="1"/>
  <c r="I835" i="1"/>
  <c r="H835" i="1"/>
  <c r="G835" i="1"/>
  <c r="E835" i="1"/>
  <c r="D835" i="1"/>
  <c r="C835" i="1"/>
  <c r="B835" i="1"/>
  <c r="A835" i="1"/>
  <c r="N834" i="1"/>
  <c r="M834" i="1"/>
  <c r="I834" i="1"/>
  <c r="H834" i="1"/>
  <c r="G834" i="1"/>
  <c r="E834" i="1"/>
  <c r="D834" i="1"/>
  <c r="C834" i="1"/>
  <c r="B834" i="1"/>
  <c r="A834" i="1"/>
  <c r="N833" i="1"/>
  <c r="M833" i="1"/>
  <c r="K833" i="1"/>
  <c r="I833" i="1"/>
  <c r="H833" i="1"/>
  <c r="G833" i="1"/>
  <c r="E833" i="1"/>
  <c r="D833" i="1"/>
  <c r="C833" i="1"/>
  <c r="B833" i="1"/>
  <c r="A833" i="1"/>
  <c r="N832" i="1"/>
  <c r="M832" i="1"/>
  <c r="J832" i="1"/>
  <c r="I832" i="1"/>
  <c r="H832" i="1"/>
  <c r="G832" i="1"/>
  <c r="E832" i="1"/>
  <c r="D832" i="1"/>
  <c r="C832" i="1"/>
  <c r="B832" i="1"/>
  <c r="A832" i="1"/>
  <c r="N831" i="1"/>
  <c r="M831" i="1"/>
  <c r="L831" i="1"/>
  <c r="K831" i="1"/>
  <c r="J831" i="1"/>
  <c r="I831" i="1"/>
  <c r="H831" i="1"/>
  <c r="G831" i="1"/>
  <c r="E831" i="1"/>
  <c r="F831" i="1" s="1"/>
  <c r="D831" i="1"/>
  <c r="C831" i="1"/>
  <c r="B831" i="1"/>
  <c r="A831" i="1"/>
  <c r="N830" i="1"/>
  <c r="M830" i="1"/>
  <c r="L830" i="1"/>
  <c r="I830" i="1"/>
  <c r="H830" i="1"/>
  <c r="G830" i="1"/>
  <c r="E830" i="1"/>
  <c r="F830" i="1" s="1"/>
  <c r="D830" i="1"/>
  <c r="C830" i="1"/>
  <c r="B830" i="1"/>
  <c r="A830" i="1"/>
  <c r="N829" i="1"/>
  <c r="M829" i="1"/>
  <c r="L829" i="1"/>
  <c r="K829" i="1"/>
  <c r="J829" i="1"/>
  <c r="I829" i="1"/>
  <c r="H829" i="1"/>
  <c r="G829" i="1"/>
  <c r="E829" i="1"/>
  <c r="F829" i="1" s="1"/>
  <c r="D829" i="1"/>
  <c r="C829" i="1"/>
  <c r="B829" i="1"/>
  <c r="A829" i="1"/>
  <c r="N828" i="1"/>
  <c r="M828" i="1"/>
  <c r="I828" i="1"/>
  <c r="H828" i="1"/>
  <c r="G828" i="1"/>
  <c r="E828" i="1"/>
  <c r="D828" i="1"/>
  <c r="C828" i="1"/>
  <c r="B828" i="1"/>
  <c r="A828" i="1"/>
  <c r="N827" i="1"/>
  <c r="M827" i="1"/>
  <c r="I827" i="1"/>
  <c r="H827" i="1"/>
  <c r="G827" i="1"/>
  <c r="E827" i="1"/>
  <c r="D827" i="1"/>
  <c r="C827" i="1"/>
  <c r="B827" i="1"/>
  <c r="A827" i="1"/>
  <c r="N826" i="1"/>
  <c r="M826" i="1"/>
  <c r="I826" i="1"/>
  <c r="H826" i="1"/>
  <c r="G826" i="1"/>
  <c r="E826" i="1"/>
  <c r="D826" i="1"/>
  <c r="C826" i="1"/>
  <c r="B826" i="1"/>
  <c r="A826" i="1"/>
  <c r="N825" i="1"/>
  <c r="M825" i="1"/>
  <c r="I825" i="1"/>
  <c r="H825" i="1"/>
  <c r="G825" i="1"/>
  <c r="F825" i="1"/>
  <c r="E825" i="1"/>
  <c r="D825" i="1"/>
  <c r="C825" i="1"/>
  <c r="B825" i="1"/>
  <c r="A825" i="1"/>
  <c r="N824" i="1"/>
  <c r="M824" i="1"/>
  <c r="I824" i="1"/>
  <c r="H824" i="1"/>
  <c r="G824" i="1"/>
  <c r="E824" i="1"/>
  <c r="D824" i="1"/>
  <c r="C824" i="1"/>
  <c r="B824" i="1"/>
  <c r="A824" i="1"/>
  <c r="N823" i="1"/>
  <c r="M823" i="1"/>
  <c r="L823" i="1"/>
  <c r="K823" i="1"/>
  <c r="J823" i="1"/>
  <c r="I823" i="1"/>
  <c r="H823" i="1"/>
  <c r="G823" i="1"/>
  <c r="E823" i="1"/>
  <c r="F823" i="1" s="1"/>
  <c r="D823" i="1"/>
  <c r="C823" i="1"/>
  <c r="B823" i="1"/>
  <c r="A823" i="1"/>
  <c r="N822" i="1"/>
  <c r="M822" i="1"/>
  <c r="K822" i="1"/>
  <c r="I822" i="1"/>
  <c r="H822" i="1"/>
  <c r="G822" i="1"/>
  <c r="F822" i="1"/>
  <c r="E822" i="1"/>
  <c r="J822" i="1" s="1"/>
  <c r="D822" i="1"/>
  <c r="C822" i="1"/>
  <c r="B822" i="1"/>
  <c r="A822" i="1"/>
  <c r="N821" i="1"/>
  <c r="M821" i="1"/>
  <c r="K821" i="1"/>
  <c r="I821" i="1"/>
  <c r="H821" i="1"/>
  <c r="G821" i="1"/>
  <c r="F821" i="1"/>
  <c r="E821" i="1"/>
  <c r="D821" i="1"/>
  <c r="C821" i="1"/>
  <c r="B821" i="1"/>
  <c r="A821" i="1"/>
  <c r="N820" i="1"/>
  <c r="M820" i="1"/>
  <c r="J820" i="1"/>
  <c r="I820" i="1"/>
  <c r="H820" i="1"/>
  <c r="G820" i="1"/>
  <c r="F820" i="1"/>
  <c r="E820" i="1"/>
  <c r="D820" i="1"/>
  <c r="C820" i="1"/>
  <c r="B820" i="1"/>
  <c r="A820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N818" i="1"/>
  <c r="M818" i="1"/>
  <c r="L818" i="1"/>
  <c r="K818" i="1"/>
  <c r="J818" i="1"/>
  <c r="I818" i="1"/>
  <c r="H818" i="1"/>
  <c r="G818" i="1"/>
  <c r="E818" i="1"/>
  <c r="F818" i="1" s="1"/>
  <c r="D818" i="1"/>
  <c r="C818" i="1"/>
  <c r="B818" i="1"/>
  <c r="A818" i="1"/>
  <c r="N817" i="1"/>
  <c r="M817" i="1"/>
  <c r="L817" i="1"/>
  <c r="K817" i="1"/>
  <c r="J817" i="1"/>
  <c r="I817" i="1"/>
  <c r="H817" i="1"/>
  <c r="G817" i="1"/>
  <c r="E817" i="1"/>
  <c r="F817" i="1" s="1"/>
  <c r="D817" i="1"/>
  <c r="C817" i="1"/>
  <c r="B817" i="1"/>
  <c r="A817" i="1"/>
  <c r="N816" i="1"/>
  <c r="M816" i="1"/>
  <c r="L816" i="1"/>
  <c r="K816" i="1"/>
  <c r="I816" i="1"/>
  <c r="H816" i="1"/>
  <c r="G816" i="1"/>
  <c r="E816" i="1"/>
  <c r="J816" i="1" s="1"/>
  <c r="D816" i="1"/>
  <c r="C816" i="1"/>
  <c r="B816" i="1"/>
  <c r="A816" i="1"/>
  <c r="N815" i="1"/>
  <c r="M815" i="1"/>
  <c r="K815" i="1"/>
  <c r="I815" i="1"/>
  <c r="H815" i="1"/>
  <c r="G815" i="1"/>
  <c r="E815" i="1"/>
  <c r="D815" i="1"/>
  <c r="C815" i="1"/>
  <c r="B815" i="1"/>
  <c r="A815" i="1"/>
  <c r="N814" i="1"/>
  <c r="M814" i="1"/>
  <c r="J814" i="1"/>
  <c r="I814" i="1"/>
  <c r="H814" i="1"/>
  <c r="G814" i="1"/>
  <c r="E814" i="1"/>
  <c r="D814" i="1"/>
  <c r="C814" i="1"/>
  <c r="B814" i="1"/>
  <c r="A814" i="1"/>
  <c r="N813" i="1"/>
  <c r="M813" i="1"/>
  <c r="L813" i="1"/>
  <c r="I813" i="1"/>
  <c r="H813" i="1"/>
  <c r="G813" i="1"/>
  <c r="E813" i="1"/>
  <c r="D813" i="1"/>
  <c r="C813" i="1"/>
  <c r="B813" i="1"/>
  <c r="A813" i="1"/>
  <c r="N812" i="1"/>
  <c r="M812" i="1"/>
  <c r="J812" i="1"/>
  <c r="I812" i="1"/>
  <c r="H812" i="1"/>
  <c r="G812" i="1"/>
  <c r="E812" i="1"/>
  <c r="D812" i="1"/>
  <c r="C812" i="1"/>
  <c r="B812" i="1"/>
  <c r="A812" i="1"/>
  <c r="N811" i="1"/>
  <c r="M811" i="1"/>
  <c r="L811" i="1"/>
  <c r="K811" i="1"/>
  <c r="J811" i="1"/>
  <c r="I811" i="1"/>
  <c r="H811" i="1"/>
  <c r="G811" i="1"/>
  <c r="E811" i="1"/>
  <c r="F811" i="1" s="1"/>
  <c r="D811" i="1"/>
  <c r="C811" i="1"/>
  <c r="B811" i="1"/>
  <c r="A811" i="1"/>
  <c r="N810" i="1"/>
  <c r="M810" i="1"/>
  <c r="L810" i="1"/>
  <c r="K810" i="1"/>
  <c r="I810" i="1"/>
  <c r="H810" i="1"/>
  <c r="G810" i="1"/>
  <c r="E810" i="1"/>
  <c r="J810" i="1" s="1"/>
  <c r="D810" i="1"/>
  <c r="C810" i="1"/>
  <c r="B810" i="1"/>
  <c r="A810" i="1"/>
  <c r="N809" i="1"/>
  <c r="M809" i="1"/>
  <c r="K809" i="1"/>
  <c r="I809" i="1"/>
  <c r="H809" i="1"/>
  <c r="G809" i="1"/>
  <c r="E809" i="1"/>
  <c r="D809" i="1"/>
  <c r="C809" i="1"/>
  <c r="B809" i="1"/>
  <c r="A809" i="1"/>
  <c r="N808" i="1"/>
  <c r="M808" i="1"/>
  <c r="J808" i="1"/>
  <c r="I808" i="1"/>
  <c r="H808" i="1"/>
  <c r="G808" i="1"/>
  <c r="E808" i="1"/>
  <c r="D808" i="1"/>
  <c r="C808" i="1"/>
  <c r="B808" i="1"/>
  <c r="A808" i="1"/>
  <c r="N807" i="1"/>
  <c r="M807" i="1"/>
  <c r="L807" i="1"/>
  <c r="J807" i="1"/>
  <c r="I807" i="1"/>
  <c r="H807" i="1"/>
  <c r="G807" i="1"/>
  <c r="E807" i="1"/>
  <c r="K807" i="1" s="1"/>
  <c r="D807" i="1"/>
  <c r="C807" i="1"/>
  <c r="B807" i="1"/>
  <c r="A807" i="1"/>
  <c r="N806" i="1"/>
  <c r="M806" i="1"/>
  <c r="L806" i="1"/>
  <c r="K806" i="1"/>
  <c r="J806" i="1"/>
  <c r="I806" i="1"/>
  <c r="H806" i="1"/>
  <c r="G806" i="1"/>
  <c r="E806" i="1"/>
  <c r="F806" i="1" s="1"/>
  <c r="D806" i="1"/>
  <c r="C806" i="1"/>
  <c r="B806" i="1"/>
  <c r="A806" i="1"/>
  <c r="N805" i="1"/>
  <c r="M805" i="1"/>
  <c r="L805" i="1"/>
  <c r="K805" i="1"/>
  <c r="J805" i="1"/>
  <c r="I805" i="1"/>
  <c r="H805" i="1"/>
  <c r="G805" i="1"/>
  <c r="E805" i="1"/>
  <c r="F805" i="1" s="1"/>
  <c r="D805" i="1"/>
  <c r="C805" i="1"/>
  <c r="B805" i="1"/>
  <c r="A805" i="1"/>
  <c r="N804" i="1"/>
  <c r="M804" i="1"/>
  <c r="L804" i="1"/>
  <c r="K804" i="1"/>
  <c r="I804" i="1"/>
  <c r="H804" i="1"/>
  <c r="G804" i="1"/>
  <c r="E804" i="1"/>
  <c r="J804" i="1" s="1"/>
  <c r="D804" i="1"/>
  <c r="C804" i="1"/>
  <c r="B804" i="1"/>
  <c r="A804" i="1"/>
  <c r="N803" i="1"/>
  <c r="M803" i="1"/>
  <c r="K803" i="1"/>
  <c r="I803" i="1"/>
  <c r="H803" i="1"/>
  <c r="G803" i="1"/>
  <c r="E803" i="1"/>
  <c r="D803" i="1"/>
  <c r="C803" i="1"/>
  <c r="B803" i="1"/>
  <c r="A803" i="1"/>
  <c r="N802" i="1"/>
  <c r="M802" i="1"/>
  <c r="J802" i="1"/>
  <c r="I802" i="1"/>
  <c r="H802" i="1"/>
  <c r="G802" i="1"/>
  <c r="E802" i="1"/>
  <c r="D802" i="1"/>
  <c r="C802" i="1"/>
  <c r="B802" i="1"/>
  <c r="A802" i="1"/>
  <c r="N801" i="1"/>
  <c r="M801" i="1"/>
  <c r="I801" i="1"/>
  <c r="H801" i="1"/>
  <c r="G801" i="1"/>
  <c r="E801" i="1"/>
  <c r="D801" i="1"/>
  <c r="C801" i="1"/>
  <c r="B801" i="1"/>
  <c r="A801" i="1"/>
  <c r="N800" i="1"/>
  <c r="M800" i="1"/>
  <c r="L800" i="1"/>
  <c r="I800" i="1"/>
  <c r="H800" i="1"/>
  <c r="G800" i="1"/>
  <c r="E800" i="1"/>
  <c r="F800" i="1" s="1"/>
  <c r="D800" i="1"/>
  <c r="C800" i="1"/>
  <c r="B800" i="1"/>
  <c r="A800" i="1"/>
  <c r="N799" i="1"/>
  <c r="M799" i="1"/>
  <c r="L799" i="1"/>
  <c r="K799" i="1"/>
  <c r="J799" i="1"/>
  <c r="I799" i="1"/>
  <c r="H799" i="1"/>
  <c r="G799" i="1"/>
  <c r="E799" i="1"/>
  <c r="F799" i="1" s="1"/>
  <c r="D799" i="1"/>
  <c r="C799" i="1"/>
  <c r="B799" i="1"/>
  <c r="A799" i="1"/>
  <c r="N798" i="1"/>
  <c r="M798" i="1"/>
  <c r="I798" i="1"/>
  <c r="H798" i="1"/>
  <c r="G798" i="1"/>
  <c r="E798" i="1"/>
  <c r="D798" i="1"/>
  <c r="C798" i="1"/>
  <c r="B798" i="1"/>
  <c r="A798" i="1"/>
  <c r="N797" i="1"/>
  <c r="M797" i="1"/>
  <c r="I797" i="1"/>
  <c r="H797" i="1"/>
  <c r="G797" i="1"/>
  <c r="E797" i="1"/>
  <c r="D797" i="1"/>
  <c r="C797" i="1"/>
  <c r="B797" i="1"/>
  <c r="A797" i="1"/>
  <c r="N796" i="1"/>
  <c r="M796" i="1"/>
  <c r="I796" i="1"/>
  <c r="H796" i="1"/>
  <c r="G796" i="1"/>
  <c r="E796" i="1"/>
  <c r="D796" i="1"/>
  <c r="C796" i="1"/>
  <c r="B796" i="1"/>
  <c r="A796" i="1"/>
  <c r="N795" i="1"/>
  <c r="M795" i="1"/>
  <c r="K795" i="1"/>
  <c r="J795" i="1"/>
  <c r="I795" i="1"/>
  <c r="H795" i="1"/>
  <c r="G795" i="1"/>
  <c r="E795" i="1"/>
  <c r="L795" i="1" s="1"/>
  <c r="D795" i="1"/>
  <c r="C795" i="1"/>
  <c r="B795" i="1"/>
  <c r="A795" i="1"/>
  <c r="N794" i="1"/>
  <c r="M794" i="1"/>
  <c r="L794" i="1"/>
  <c r="I794" i="1"/>
  <c r="H794" i="1"/>
  <c r="G794" i="1"/>
  <c r="E794" i="1"/>
  <c r="D794" i="1"/>
  <c r="C794" i="1"/>
  <c r="B794" i="1"/>
  <c r="A794" i="1"/>
  <c r="N793" i="1"/>
  <c r="M793" i="1"/>
  <c r="L793" i="1"/>
  <c r="K793" i="1"/>
  <c r="J793" i="1"/>
  <c r="I793" i="1"/>
  <c r="H793" i="1"/>
  <c r="G793" i="1"/>
  <c r="E793" i="1"/>
  <c r="F793" i="1" s="1"/>
  <c r="D793" i="1"/>
  <c r="C793" i="1"/>
  <c r="B793" i="1"/>
  <c r="A793" i="1"/>
  <c r="N792" i="1"/>
  <c r="M792" i="1"/>
  <c r="L792" i="1"/>
  <c r="K792" i="1"/>
  <c r="I792" i="1"/>
  <c r="H792" i="1"/>
  <c r="G792" i="1"/>
  <c r="F792" i="1"/>
  <c r="E792" i="1"/>
  <c r="J792" i="1" s="1"/>
  <c r="D792" i="1"/>
  <c r="C792" i="1"/>
  <c r="B792" i="1"/>
  <c r="A792" i="1"/>
  <c r="N791" i="1"/>
  <c r="M791" i="1"/>
  <c r="K791" i="1"/>
  <c r="I791" i="1"/>
  <c r="H791" i="1"/>
  <c r="G791" i="1"/>
  <c r="F791" i="1"/>
  <c r="E791" i="1"/>
  <c r="D791" i="1"/>
  <c r="C791" i="1"/>
  <c r="B791" i="1"/>
  <c r="A791" i="1"/>
  <c r="N790" i="1"/>
  <c r="M790" i="1"/>
  <c r="J790" i="1"/>
  <c r="I790" i="1"/>
  <c r="H790" i="1"/>
  <c r="G790" i="1"/>
  <c r="F790" i="1"/>
  <c r="E790" i="1"/>
  <c r="D790" i="1"/>
  <c r="C790" i="1"/>
  <c r="B790" i="1"/>
  <c r="A790" i="1"/>
  <c r="N789" i="1"/>
  <c r="M789" i="1"/>
  <c r="L789" i="1"/>
  <c r="K789" i="1"/>
  <c r="J789" i="1"/>
  <c r="I789" i="1"/>
  <c r="H789" i="1"/>
  <c r="G789" i="1"/>
  <c r="E789" i="1"/>
  <c r="F789" i="1" s="1"/>
  <c r="D789" i="1"/>
  <c r="C789" i="1"/>
  <c r="B789" i="1"/>
  <c r="A789" i="1"/>
  <c r="N788" i="1"/>
  <c r="M788" i="1"/>
  <c r="I788" i="1"/>
  <c r="H788" i="1"/>
  <c r="G788" i="1"/>
  <c r="E788" i="1"/>
  <c r="D788" i="1"/>
  <c r="C788" i="1"/>
  <c r="B788" i="1"/>
  <c r="A788" i="1"/>
  <c r="N787" i="1"/>
  <c r="M787" i="1"/>
  <c r="L787" i="1"/>
  <c r="K787" i="1"/>
  <c r="J787" i="1"/>
  <c r="I787" i="1"/>
  <c r="H787" i="1"/>
  <c r="G787" i="1"/>
  <c r="E787" i="1"/>
  <c r="F787" i="1" s="1"/>
  <c r="D787" i="1"/>
  <c r="C787" i="1"/>
  <c r="B787" i="1"/>
  <c r="A787" i="1"/>
  <c r="N786" i="1"/>
  <c r="M786" i="1"/>
  <c r="L786" i="1"/>
  <c r="I786" i="1"/>
  <c r="H786" i="1"/>
  <c r="G786" i="1"/>
  <c r="F786" i="1"/>
  <c r="E786" i="1"/>
  <c r="J786" i="1" s="1"/>
  <c r="D786" i="1"/>
  <c r="C786" i="1"/>
  <c r="B786" i="1"/>
  <c r="A786" i="1"/>
  <c r="N785" i="1"/>
  <c r="M785" i="1"/>
  <c r="I785" i="1"/>
  <c r="H785" i="1"/>
  <c r="G785" i="1"/>
  <c r="F785" i="1"/>
  <c r="E785" i="1"/>
  <c r="D785" i="1"/>
  <c r="C785" i="1"/>
  <c r="B785" i="1"/>
  <c r="A785" i="1"/>
  <c r="N784" i="1"/>
  <c r="M784" i="1"/>
  <c r="I784" i="1"/>
  <c r="H784" i="1"/>
  <c r="G784" i="1"/>
  <c r="F784" i="1"/>
  <c r="E784" i="1"/>
  <c r="D784" i="1"/>
  <c r="C784" i="1"/>
  <c r="B784" i="1"/>
  <c r="A784" i="1"/>
  <c r="N783" i="1"/>
  <c r="M783" i="1"/>
  <c r="I783" i="1"/>
  <c r="H783" i="1"/>
  <c r="G783" i="1"/>
  <c r="E783" i="1"/>
  <c r="D783" i="1"/>
  <c r="C783" i="1"/>
  <c r="B783" i="1"/>
  <c r="A783" i="1"/>
  <c r="N782" i="1"/>
  <c r="M782" i="1"/>
  <c r="I782" i="1"/>
  <c r="H782" i="1"/>
  <c r="G782" i="1"/>
  <c r="E782" i="1"/>
  <c r="D782" i="1"/>
  <c r="C782" i="1"/>
  <c r="B782" i="1"/>
  <c r="A782" i="1"/>
  <c r="N781" i="1"/>
  <c r="M781" i="1"/>
  <c r="L781" i="1"/>
  <c r="K781" i="1"/>
  <c r="J781" i="1"/>
  <c r="I781" i="1"/>
  <c r="H781" i="1"/>
  <c r="G781" i="1"/>
  <c r="E781" i="1"/>
  <c r="F781" i="1" s="1"/>
  <c r="D781" i="1"/>
  <c r="C781" i="1"/>
  <c r="B781" i="1"/>
  <c r="A781" i="1"/>
  <c r="N780" i="1"/>
  <c r="M780" i="1"/>
  <c r="I780" i="1"/>
  <c r="H780" i="1"/>
  <c r="G780" i="1"/>
  <c r="E780" i="1"/>
  <c r="D780" i="1"/>
  <c r="C780" i="1"/>
  <c r="B780" i="1"/>
  <c r="A780" i="1"/>
  <c r="N779" i="1"/>
  <c r="M779" i="1"/>
  <c r="I779" i="1"/>
  <c r="H779" i="1"/>
  <c r="G779" i="1"/>
  <c r="E779" i="1"/>
  <c r="D779" i="1"/>
  <c r="C779" i="1"/>
  <c r="B779" i="1"/>
  <c r="A779" i="1"/>
  <c r="N778" i="1"/>
  <c r="M778" i="1"/>
  <c r="I778" i="1"/>
  <c r="H778" i="1"/>
  <c r="G778" i="1"/>
  <c r="E778" i="1"/>
  <c r="D778" i="1"/>
  <c r="C778" i="1"/>
  <c r="B778" i="1"/>
  <c r="A778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N776" i="1"/>
  <c r="M776" i="1"/>
  <c r="L776" i="1"/>
  <c r="K776" i="1"/>
  <c r="J776" i="1"/>
  <c r="I776" i="1"/>
  <c r="H776" i="1"/>
  <c r="G776" i="1"/>
  <c r="E776" i="1"/>
  <c r="F776" i="1" s="1"/>
  <c r="D776" i="1"/>
  <c r="C776" i="1"/>
  <c r="B776" i="1"/>
  <c r="A776" i="1"/>
  <c r="N775" i="1"/>
  <c r="M775" i="1"/>
  <c r="L775" i="1"/>
  <c r="K775" i="1"/>
  <c r="J775" i="1"/>
  <c r="I775" i="1"/>
  <c r="H775" i="1"/>
  <c r="G775" i="1"/>
  <c r="E775" i="1"/>
  <c r="F775" i="1" s="1"/>
  <c r="D775" i="1"/>
  <c r="C775" i="1"/>
  <c r="B775" i="1"/>
  <c r="A775" i="1"/>
  <c r="N774" i="1"/>
  <c r="M774" i="1"/>
  <c r="I774" i="1"/>
  <c r="H774" i="1"/>
  <c r="G774" i="1"/>
  <c r="E774" i="1"/>
  <c r="D774" i="1"/>
  <c r="C774" i="1"/>
  <c r="B774" i="1"/>
  <c r="A774" i="1"/>
  <c r="N773" i="1"/>
  <c r="M773" i="1"/>
  <c r="I773" i="1"/>
  <c r="H773" i="1"/>
  <c r="G773" i="1"/>
  <c r="E773" i="1"/>
  <c r="D773" i="1"/>
  <c r="C773" i="1"/>
  <c r="B773" i="1"/>
  <c r="A773" i="1"/>
  <c r="N772" i="1"/>
  <c r="M772" i="1"/>
  <c r="I772" i="1"/>
  <c r="H772" i="1"/>
  <c r="G772" i="1"/>
  <c r="E772" i="1"/>
  <c r="D772" i="1"/>
  <c r="C772" i="1"/>
  <c r="B772" i="1"/>
  <c r="A772" i="1"/>
  <c r="N771" i="1"/>
  <c r="M771" i="1"/>
  <c r="I771" i="1"/>
  <c r="H771" i="1"/>
  <c r="G771" i="1"/>
  <c r="F771" i="1"/>
  <c r="E771" i="1"/>
  <c r="D771" i="1"/>
  <c r="C771" i="1"/>
  <c r="B771" i="1"/>
  <c r="A771" i="1"/>
  <c r="N770" i="1"/>
  <c r="M770" i="1"/>
  <c r="I770" i="1"/>
  <c r="H770" i="1"/>
  <c r="G770" i="1"/>
  <c r="E770" i="1"/>
  <c r="D770" i="1"/>
  <c r="C770" i="1"/>
  <c r="B770" i="1"/>
  <c r="A770" i="1"/>
  <c r="N769" i="1"/>
  <c r="M769" i="1"/>
  <c r="L769" i="1"/>
  <c r="K769" i="1"/>
  <c r="J769" i="1"/>
  <c r="I769" i="1"/>
  <c r="H769" i="1"/>
  <c r="G769" i="1"/>
  <c r="E769" i="1"/>
  <c r="F769" i="1" s="1"/>
  <c r="D769" i="1"/>
  <c r="C769" i="1"/>
  <c r="B769" i="1"/>
  <c r="A769" i="1"/>
  <c r="N768" i="1"/>
  <c r="M768" i="1"/>
  <c r="I768" i="1"/>
  <c r="H768" i="1"/>
  <c r="G768" i="1"/>
  <c r="F768" i="1"/>
  <c r="E768" i="1"/>
  <c r="D768" i="1"/>
  <c r="C768" i="1"/>
  <c r="B768" i="1"/>
  <c r="A768" i="1"/>
  <c r="N767" i="1"/>
  <c r="M767" i="1"/>
  <c r="I767" i="1"/>
  <c r="H767" i="1"/>
  <c r="G767" i="1"/>
  <c r="E767" i="1"/>
  <c r="D767" i="1"/>
  <c r="C767" i="1"/>
  <c r="B767" i="1"/>
  <c r="A767" i="1"/>
  <c r="N766" i="1"/>
  <c r="M766" i="1"/>
  <c r="I766" i="1"/>
  <c r="H766" i="1"/>
  <c r="G766" i="1"/>
  <c r="E766" i="1"/>
  <c r="D766" i="1"/>
  <c r="C766" i="1"/>
  <c r="B766" i="1"/>
  <c r="A766" i="1"/>
  <c r="N765" i="1"/>
  <c r="M765" i="1"/>
  <c r="I765" i="1"/>
  <c r="H765" i="1"/>
  <c r="G765" i="1"/>
  <c r="E765" i="1"/>
  <c r="D765" i="1"/>
  <c r="C765" i="1"/>
  <c r="B765" i="1"/>
  <c r="A765" i="1"/>
  <c r="N764" i="1"/>
  <c r="M764" i="1"/>
  <c r="K764" i="1"/>
  <c r="J764" i="1"/>
  <c r="I764" i="1"/>
  <c r="H764" i="1"/>
  <c r="G764" i="1"/>
  <c r="E764" i="1"/>
  <c r="F764" i="1" s="1"/>
  <c r="D764" i="1"/>
  <c r="C764" i="1"/>
  <c r="B764" i="1"/>
  <c r="A764" i="1"/>
  <c r="N763" i="1"/>
  <c r="M763" i="1"/>
  <c r="L763" i="1"/>
  <c r="K763" i="1"/>
  <c r="J763" i="1"/>
  <c r="I763" i="1"/>
  <c r="H763" i="1"/>
  <c r="G763" i="1"/>
  <c r="E763" i="1"/>
  <c r="F763" i="1" s="1"/>
  <c r="D763" i="1"/>
  <c r="C763" i="1"/>
  <c r="B763" i="1"/>
  <c r="A763" i="1"/>
  <c r="N762" i="1"/>
  <c r="M762" i="1"/>
  <c r="L762" i="1"/>
  <c r="K762" i="1"/>
  <c r="I762" i="1"/>
  <c r="H762" i="1"/>
  <c r="G762" i="1"/>
  <c r="F762" i="1"/>
  <c r="E762" i="1"/>
  <c r="J762" i="1" s="1"/>
  <c r="D762" i="1"/>
  <c r="C762" i="1"/>
  <c r="B762" i="1"/>
  <c r="A762" i="1"/>
  <c r="N761" i="1"/>
  <c r="M761" i="1"/>
  <c r="K761" i="1"/>
  <c r="I761" i="1"/>
  <c r="H761" i="1"/>
  <c r="G761" i="1"/>
  <c r="F761" i="1"/>
  <c r="E761" i="1"/>
  <c r="D761" i="1"/>
  <c r="C761" i="1"/>
  <c r="B761" i="1"/>
  <c r="A761" i="1"/>
  <c r="N760" i="1"/>
  <c r="M760" i="1"/>
  <c r="J760" i="1"/>
  <c r="I760" i="1"/>
  <c r="H760" i="1"/>
  <c r="G760" i="1"/>
  <c r="F760" i="1"/>
  <c r="E760" i="1"/>
  <c r="D760" i="1"/>
  <c r="C760" i="1"/>
  <c r="B760" i="1"/>
  <c r="A760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N758" i="1"/>
  <c r="M758" i="1"/>
  <c r="L758" i="1"/>
  <c r="K758" i="1"/>
  <c r="I758" i="1"/>
  <c r="H758" i="1"/>
  <c r="G758" i="1"/>
  <c r="E758" i="1"/>
  <c r="D758" i="1"/>
  <c r="C758" i="1"/>
  <c r="B758" i="1"/>
  <c r="A758" i="1"/>
  <c r="N757" i="1"/>
  <c r="M757" i="1"/>
  <c r="L757" i="1"/>
  <c r="K757" i="1"/>
  <c r="J757" i="1"/>
  <c r="I757" i="1"/>
  <c r="H757" i="1"/>
  <c r="G757" i="1"/>
  <c r="E757" i="1"/>
  <c r="F757" i="1" s="1"/>
  <c r="D757" i="1"/>
  <c r="C757" i="1"/>
  <c r="B757" i="1"/>
  <c r="A757" i="1"/>
  <c r="N756" i="1"/>
  <c r="M756" i="1"/>
  <c r="I756" i="1"/>
  <c r="H756" i="1"/>
  <c r="G756" i="1"/>
  <c r="F756" i="1"/>
  <c r="E756" i="1"/>
  <c r="D756" i="1"/>
  <c r="C756" i="1"/>
  <c r="B756" i="1"/>
  <c r="A756" i="1"/>
  <c r="N755" i="1"/>
  <c r="M755" i="1"/>
  <c r="I755" i="1"/>
  <c r="H755" i="1"/>
  <c r="G755" i="1"/>
  <c r="F755" i="1"/>
  <c r="E755" i="1"/>
  <c r="D755" i="1"/>
  <c r="C755" i="1"/>
  <c r="B755" i="1"/>
  <c r="A755" i="1"/>
  <c r="N754" i="1"/>
  <c r="M754" i="1"/>
  <c r="I754" i="1"/>
  <c r="H754" i="1"/>
  <c r="G754" i="1"/>
  <c r="F754" i="1"/>
  <c r="E754" i="1"/>
  <c r="D754" i="1"/>
  <c r="C754" i="1"/>
  <c r="B754" i="1"/>
  <c r="A754" i="1"/>
  <c r="N753" i="1"/>
  <c r="M753" i="1"/>
  <c r="K753" i="1"/>
  <c r="J753" i="1"/>
  <c r="I753" i="1"/>
  <c r="H753" i="1"/>
  <c r="G753" i="1"/>
  <c r="F753" i="1"/>
  <c r="E753" i="1"/>
  <c r="L753" i="1" s="1"/>
  <c r="D753" i="1"/>
  <c r="C753" i="1"/>
  <c r="B753" i="1"/>
  <c r="A753" i="1"/>
  <c r="N752" i="1"/>
  <c r="M752" i="1"/>
  <c r="L752" i="1"/>
  <c r="K752" i="1"/>
  <c r="J752" i="1"/>
  <c r="I752" i="1"/>
  <c r="H752" i="1"/>
  <c r="G752" i="1"/>
  <c r="E752" i="1"/>
  <c r="F752" i="1" s="1"/>
  <c r="D752" i="1"/>
  <c r="C752" i="1"/>
  <c r="B752" i="1"/>
  <c r="A752" i="1"/>
  <c r="N751" i="1"/>
  <c r="M751" i="1"/>
  <c r="L751" i="1"/>
  <c r="K751" i="1"/>
  <c r="J751" i="1"/>
  <c r="I751" i="1"/>
  <c r="H751" i="1"/>
  <c r="G751" i="1"/>
  <c r="E751" i="1"/>
  <c r="F751" i="1" s="1"/>
  <c r="D751" i="1"/>
  <c r="C751" i="1"/>
  <c r="B751" i="1"/>
  <c r="A751" i="1"/>
  <c r="N750" i="1"/>
  <c r="M750" i="1"/>
  <c r="L750" i="1"/>
  <c r="K750" i="1"/>
  <c r="I750" i="1"/>
  <c r="H750" i="1"/>
  <c r="G750" i="1"/>
  <c r="E750" i="1"/>
  <c r="J750" i="1" s="1"/>
  <c r="D750" i="1"/>
  <c r="C750" i="1"/>
  <c r="B750" i="1"/>
  <c r="A750" i="1"/>
  <c r="N749" i="1"/>
  <c r="M749" i="1"/>
  <c r="K749" i="1"/>
  <c r="I749" i="1"/>
  <c r="H749" i="1"/>
  <c r="G749" i="1"/>
  <c r="E749" i="1"/>
  <c r="D749" i="1"/>
  <c r="C749" i="1"/>
  <c r="B749" i="1"/>
  <c r="A749" i="1"/>
  <c r="N748" i="1"/>
  <c r="M748" i="1"/>
  <c r="J748" i="1"/>
  <c r="I748" i="1"/>
  <c r="H748" i="1"/>
  <c r="G748" i="1"/>
  <c r="E748" i="1"/>
  <c r="D748" i="1"/>
  <c r="C748" i="1"/>
  <c r="B748" i="1"/>
  <c r="A748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N746" i="1"/>
  <c r="M746" i="1"/>
  <c r="I746" i="1"/>
  <c r="H746" i="1"/>
  <c r="G746" i="1"/>
  <c r="E746" i="1"/>
  <c r="D746" i="1"/>
  <c r="C746" i="1"/>
  <c r="B746" i="1"/>
  <c r="A746" i="1"/>
  <c r="N745" i="1"/>
  <c r="M745" i="1"/>
  <c r="I745" i="1"/>
  <c r="H745" i="1"/>
  <c r="G745" i="1"/>
  <c r="E745" i="1"/>
  <c r="D745" i="1"/>
  <c r="C745" i="1"/>
  <c r="B745" i="1"/>
  <c r="A745" i="1"/>
  <c r="N744" i="1"/>
  <c r="M744" i="1"/>
  <c r="I744" i="1"/>
  <c r="H744" i="1"/>
  <c r="G744" i="1"/>
  <c r="E744" i="1"/>
  <c r="D744" i="1"/>
  <c r="C744" i="1"/>
  <c r="B744" i="1"/>
  <c r="A744" i="1"/>
  <c r="N743" i="1"/>
  <c r="M743" i="1"/>
  <c r="I743" i="1"/>
  <c r="H743" i="1"/>
  <c r="G743" i="1"/>
  <c r="E743" i="1"/>
  <c r="D743" i="1"/>
  <c r="C743" i="1"/>
  <c r="B743" i="1"/>
  <c r="A743" i="1"/>
  <c r="N742" i="1"/>
  <c r="M742" i="1"/>
  <c r="I742" i="1"/>
  <c r="H742" i="1"/>
  <c r="G742" i="1"/>
  <c r="F742" i="1"/>
  <c r="E742" i="1"/>
  <c r="D742" i="1"/>
  <c r="C742" i="1"/>
  <c r="B742" i="1"/>
  <c r="A742" i="1"/>
  <c r="N741" i="1"/>
  <c r="M741" i="1"/>
  <c r="I741" i="1"/>
  <c r="H741" i="1"/>
  <c r="G741" i="1"/>
  <c r="E741" i="1"/>
  <c r="D741" i="1"/>
  <c r="C741" i="1"/>
  <c r="B741" i="1"/>
  <c r="A741" i="1"/>
  <c r="N740" i="1"/>
  <c r="M740" i="1"/>
  <c r="K740" i="1"/>
  <c r="J740" i="1"/>
  <c r="I740" i="1"/>
  <c r="H740" i="1"/>
  <c r="G740" i="1"/>
  <c r="E740" i="1"/>
  <c r="F740" i="1" s="1"/>
  <c r="D740" i="1"/>
  <c r="C740" i="1"/>
  <c r="B740" i="1"/>
  <c r="A740" i="1"/>
  <c r="N739" i="1"/>
  <c r="M739" i="1"/>
  <c r="L739" i="1"/>
  <c r="K739" i="1"/>
  <c r="J739" i="1"/>
  <c r="I739" i="1"/>
  <c r="H739" i="1"/>
  <c r="G739" i="1"/>
  <c r="E739" i="1"/>
  <c r="F739" i="1" s="1"/>
  <c r="D739" i="1"/>
  <c r="C739" i="1"/>
  <c r="B739" i="1"/>
  <c r="A739" i="1"/>
  <c r="N738" i="1"/>
  <c r="M738" i="1"/>
  <c r="L738" i="1"/>
  <c r="K738" i="1"/>
  <c r="I738" i="1"/>
  <c r="H738" i="1"/>
  <c r="G738" i="1"/>
  <c r="F738" i="1"/>
  <c r="E738" i="1"/>
  <c r="J738" i="1" s="1"/>
  <c r="D738" i="1"/>
  <c r="C738" i="1"/>
  <c r="B738" i="1"/>
  <c r="A738" i="1"/>
  <c r="N737" i="1"/>
  <c r="M737" i="1"/>
  <c r="K737" i="1"/>
  <c r="I737" i="1"/>
  <c r="H737" i="1"/>
  <c r="G737" i="1"/>
  <c r="F737" i="1"/>
  <c r="E737" i="1"/>
  <c r="D737" i="1"/>
  <c r="C737" i="1"/>
  <c r="B737" i="1"/>
  <c r="A737" i="1"/>
  <c r="N736" i="1"/>
  <c r="M736" i="1"/>
  <c r="K736" i="1"/>
  <c r="J736" i="1"/>
  <c r="I736" i="1"/>
  <c r="H736" i="1"/>
  <c r="G736" i="1"/>
  <c r="F736" i="1"/>
  <c r="E736" i="1"/>
  <c r="L736" i="1" s="1"/>
  <c r="D736" i="1"/>
  <c r="C736" i="1"/>
  <c r="B736" i="1"/>
  <c r="A736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N734" i="1"/>
  <c r="M734" i="1"/>
  <c r="L734" i="1"/>
  <c r="K734" i="1"/>
  <c r="I734" i="1"/>
  <c r="H734" i="1"/>
  <c r="G734" i="1"/>
  <c r="E734" i="1"/>
  <c r="F734" i="1" s="1"/>
  <c r="D734" i="1"/>
  <c r="C734" i="1"/>
  <c r="B734" i="1"/>
  <c r="A734" i="1"/>
  <c r="N733" i="1"/>
  <c r="M733" i="1"/>
  <c r="I733" i="1"/>
  <c r="H733" i="1"/>
  <c r="G733" i="1"/>
  <c r="E733" i="1"/>
  <c r="D733" i="1"/>
  <c r="C733" i="1"/>
  <c r="B733" i="1"/>
  <c r="A733" i="1"/>
  <c r="N732" i="1"/>
  <c r="M732" i="1"/>
  <c r="I732" i="1"/>
  <c r="H732" i="1"/>
  <c r="G732" i="1"/>
  <c r="E732" i="1"/>
  <c r="D732" i="1"/>
  <c r="C732" i="1"/>
  <c r="B732" i="1"/>
  <c r="A732" i="1"/>
  <c r="N731" i="1"/>
  <c r="M731" i="1"/>
  <c r="I731" i="1"/>
  <c r="H731" i="1"/>
  <c r="G731" i="1"/>
  <c r="F731" i="1"/>
  <c r="E731" i="1"/>
  <c r="D731" i="1"/>
  <c r="C731" i="1"/>
  <c r="B731" i="1"/>
  <c r="A731" i="1"/>
  <c r="N730" i="1"/>
  <c r="M730" i="1"/>
  <c r="I730" i="1"/>
  <c r="H730" i="1"/>
  <c r="G730" i="1"/>
  <c r="F730" i="1"/>
  <c r="E730" i="1"/>
  <c r="D730" i="1"/>
  <c r="C730" i="1"/>
  <c r="B730" i="1"/>
  <c r="A730" i="1"/>
  <c r="N729" i="1"/>
  <c r="M729" i="1"/>
  <c r="I729" i="1"/>
  <c r="H729" i="1"/>
  <c r="G729" i="1"/>
  <c r="E729" i="1"/>
  <c r="D729" i="1"/>
  <c r="C729" i="1"/>
  <c r="B729" i="1"/>
  <c r="A729" i="1"/>
  <c r="N728" i="1"/>
  <c r="M728" i="1"/>
  <c r="I728" i="1"/>
  <c r="H728" i="1"/>
  <c r="G728" i="1"/>
  <c r="E728" i="1"/>
  <c r="D728" i="1"/>
  <c r="C728" i="1"/>
  <c r="B728" i="1"/>
  <c r="A728" i="1"/>
  <c r="N727" i="1"/>
  <c r="M727" i="1"/>
  <c r="I727" i="1"/>
  <c r="H727" i="1"/>
  <c r="G727" i="1"/>
  <c r="E727" i="1"/>
  <c r="D727" i="1"/>
  <c r="C727" i="1"/>
  <c r="B727" i="1"/>
  <c r="A727" i="1"/>
  <c r="N726" i="1"/>
  <c r="M726" i="1"/>
  <c r="I726" i="1"/>
  <c r="H726" i="1"/>
  <c r="G726" i="1"/>
  <c r="F726" i="1"/>
  <c r="E726" i="1"/>
  <c r="D726" i="1"/>
  <c r="C726" i="1"/>
  <c r="B726" i="1"/>
  <c r="A726" i="1"/>
  <c r="N725" i="1"/>
  <c r="M725" i="1"/>
  <c r="I725" i="1"/>
  <c r="H725" i="1"/>
  <c r="G725" i="1"/>
  <c r="E725" i="1"/>
  <c r="D725" i="1"/>
  <c r="C725" i="1"/>
  <c r="B725" i="1"/>
  <c r="A725" i="1"/>
  <c r="N724" i="1"/>
  <c r="M724" i="1"/>
  <c r="J724" i="1"/>
  <c r="I724" i="1"/>
  <c r="H724" i="1"/>
  <c r="G724" i="1"/>
  <c r="F724" i="1"/>
  <c r="E724" i="1"/>
  <c r="L724" i="1" s="1"/>
  <c r="D724" i="1"/>
  <c r="C724" i="1"/>
  <c r="B724" i="1"/>
  <c r="A724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N722" i="1"/>
  <c r="M722" i="1"/>
  <c r="L722" i="1"/>
  <c r="K722" i="1"/>
  <c r="J722" i="1"/>
  <c r="I722" i="1"/>
  <c r="H722" i="1"/>
  <c r="G722" i="1"/>
  <c r="E722" i="1"/>
  <c r="F722" i="1" s="1"/>
  <c r="D722" i="1"/>
  <c r="C722" i="1"/>
  <c r="B722" i="1"/>
  <c r="A722" i="1"/>
  <c r="N721" i="1"/>
  <c r="M721" i="1"/>
  <c r="L721" i="1"/>
  <c r="K721" i="1"/>
  <c r="J721" i="1"/>
  <c r="I721" i="1"/>
  <c r="H721" i="1"/>
  <c r="G721" i="1"/>
  <c r="E721" i="1"/>
  <c r="F721" i="1" s="1"/>
  <c r="D721" i="1"/>
  <c r="C721" i="1"/>
  <c r="B721" i="1"/>
  <c r="A721" i="1"/>
  <c r="N720" i="1"/>
  <c r="M720" i="1"/>
  <c r="L720" i="1"/>
  <c r="K720" i="1"/>
  <c r="I720" i="1"/>
  <c r="H720" i="1"/>
  <c r="G720" i="1"/>
  <c r="E720" i="1"/>
  <c r="J720" i="1" s="1"/>
  <c r="D720" i="1"/>
  <c r="C720" i="1"/>
  <c r="B720" i="1"/>
  <c r="A720" i="1"/>
  <c r="N719" i="1"/>
  <c r="M719" i="1"/>
  <c r="K719" i="1"/>
  <c r="I719" i="1"/>
  <c r="H719" i="1"/>
  <c r="G719" i="1"/>
  <c r="E719" i="1"/>
  <c r="D719" i="1"/>
  <c r="C719" i="1"/>
  <c r="B719" i="1"/>
  <c r="A719" i="1"/>
  <c r="N718" i="1"/>
  <c r="M718" i="1"/>
  <c r="K718" i="1"/>
  <c r="I718" i="1"/>
  <c r="H718" i="1"/>
  <c r="G718" i="1"/>
  <c r="E718" i="1"/>
  <c r="D718" i="1"/>
  <c r="C718" i="1"/>
  <c r="B718" i="1"/>
  <c r="A718" i="1"/>
  <c r="N717" i="1"/>
  <c r="M717" i="1"/>
  <c r="J717" i="1"/>
  <c r="I717" i="1"/>
  <c r="H717" i="1"/>
  <c r="G717" i="1"/>
  <c r="E717" i="1"/>
  <c r="D717" i="1"/>
  <c r="C717" i="1"/>
  <c r="B717" i="1"/>
  <c r="A717" i="1"/>
  <c r="N716" i="1"/>
  <c r="M716" i="1"/>
  <c r="L716" i="1"/>
  <c r="K716" i="1"/>
  <c r="I716" i="1"/>
  <c r="H716" i="1"/>
  <c r="G716" i="1"/>
  <c r="E716" i="1"/>
  <c r="F716" i="1" s="1"/>
  <c r="D716" i="1"/>
  <c r="C716" i="1"/>
  <c r="B716" i="1"/>
  <c r="A716" i="1"/>
  <c r="N715" i="1"/>
  <c r="M715" i="1"/>
  <c r="I715" i="1"/>
  <c r="H715" i="1"/>
  <c r="G715" i="1"/>
  <c r="E715" i="1"/>
  <c r="D715" i="1"/>
  <c r="C715" i="1"/>
  <c r="B715" i="1"/>
  <c r="A715" i="1"/>
  <c r="N714" i="1"/>
  <c r="M714" i="1"/>
  <c r="I714" i="1"/>
  <c r="H714" i="1"/>
  <c r="G714" i="1"/>
  <c r="E714" i="1"/>
  <c r="D714" i="1"/>
  <c r="C714" i="1"/>
  <c r="B714" i="1"/>
  <c r="A714" i="1"/>
  <c r="N713" i="1"/>
  <c r="M713" i="1"/>
  <c r="I713" i="1"/>
  <c r="H713" i="1"/>
  <c r="G713" i="1"/>
  <c r="E713" i="1"/>
  <c r="D713" i="1"/>
  <c r="C713" i="1"/>
  <c r="B713" i="1"/>
  <c r="A713" i="1"/>
  <c r="N712" i="1"/>
  <c r="M712" i="1"/>
  <c r="I712" i="1"/>
  <c r="H712" i="1"/>
  <c r="G712" i="1"/>
  <c r="F712" i="1"/>
  <c r="E712" i="1"/>
  <c r="D712" i="1"/>
  <c r="C712" i="1"/>
  <c r="B712" i="1"/>
  <c r="A712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N710" i="1"/>
  <c r="M710" i="1"/>
  <c r="K710" i="1"/>
  <c r="J710" i="1"/>
  <c r="I710" i="1"/>
  <c r="H710" i="1"/>
  <c r="G710" i="1"/>
  <c r="E710" i="1"/>
  <c r="F710" i="1" s="1"/>
  <c r="D710" i="1"/>
  <c r="C710" i="1"/>
  <c r="B710" i="1"/>
  <c r="A710" i="1"/>
  <c r="N709" i="1"/>
  <c r="M709" i="1"/>
  <c r="L709" i="1"/>
  <c r="K709" i="1"/>
  <c r="J709" i="1"/>
  <c r="I709" i="1"/>
  <c r="H709" i="1"/>
  <c r="G709" i="1"/>
  <c r="E709" i="1"/>
  <c r="F709" i="1" s="1"/>
  <c r="D709" i="1"/>
  <c r="C709" i="1"/>
  <c r="B709" i="1"/>
  <c r="A709" i="1"/>
  <c r="N708" i="1"/>
  <c r="M708" i="1"/>
  <c r="L708" i="1"/>
  <c r="K708" i="1"/>
  <c r="I708" i="1"/>
  <c r="H708" i="1"/>
  <c r="G708" i="1"/>
  <c r="F708" i="1"/>
  <c r="E708" i="1"/>
  <c r="J708" i="1" s="1"/>
  <c r="D708" i="1"/>
  <c r="C708" i="1"/>
  <c r="B708" i="1"/>
  <c r="A708" i="1"/>
  <c r="N707" i="1"/>
  <c r="M707" i="1"/>
  <c r="L707" i="1"/>
  <c r="I707" i="1"/>
  <c r="H707" i="1"/>
  <c r="G707" i="1"/>
  <c r="F707" i="1"/>
  <c r="E707" i="1"/>
  <c r="D707" i="1"/>
  <c r="C707" i="1"/>
  <c r="B707" i="1"/>
  <c r="A707" i="1"/>
  <c r="N706" i="1"/>
  <c r="M706" i="1"/>
  <c r="K706" i="1"/>
  <c r="J706" i="1"/>
  <c r="I706" i="1"/>
  <c r="H706" i="1"/>
  <c r="G706" i="1"/>
  <c r="F706" i="1"/>
  <c r="E706" i="1"/>
  <c r="L706" i="1" s="1"/>
  <c r="D706" i="1"/>
  <c r="C706" i="1"/>
  <c r="B706" i="1"/>
  <c r="A706" i="1"/>
  <c r="N705" i="1"/>
  <c r="M705" i="1"/>
  <c r="L705" i="1"/>
  <c r="K705" i="1"/>
  <c r="J705" i="1"/>
  <c r="I705" i="1"/>
  <c r="H705" i="1"/>
  <c r="G705" i="1"/>
  <c r="E705" i="1"/>
  <c r="F705" i="1" s="1"/>
  <c r="D705" i="1"/>
  <c r="C705" i="1"/>
  <c r="B705" i="1"/>
  <c r="A705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N703" i="1"/>
  <c r="M703" i="1"/>
  <c r="I703" i="1"/>
  <c r="H703" i="1"/>
  <c r="G703" i="1"/>
  <c r="E703" i="1"/>
  <c r="D703" i="1"/>
  <c r="C703" i="1"/>
  <c r="B703" i="1"/>
  <c r="A703" i="1"/>
  <c r="N702" i="1"/>
  <c r="M702" i="1"/>
  <c r="I702" i="1"/>
  <c r="H702" i="1"/>
  <c r="G702" i="1"/>
  <c r="F702" i="1"/>
  <c r="E702" i="1"/>
  <c r="D702" i="1"/>
  <c r="C702" i="1"/>
  <c r="B702" i="1"/>
  <c r="A702" i="1"/>
  <c r="N701" i="1"/>
  <c r="M701" i="1"/>
  <c r="I701" i="1"/>
  <c r="H701" i="1"/>
  <c r="G701" i="1"/>
  <c r="F701" i="1"/>
  <c r="E701" i="1"/>
  <c r="D701" i="1"/>
  <c r="C701" i="1"/>
  <c r="B701" i="1"/>
  <c r="A701" i="1"/>
  <c r="N700" i="1"/>
  <c r="M700" i="1"/>
  <c r="I700" i="1"/>
  <c r="H700" i="1"/>
  <c r="G700" i="1"/>
  <c r="E700" i="1"/>
  <c r="D700" i="1"/>
  <c r="C700" i="1"/>
  <c r="B700" i="1"/>
  <c r="A700" i="1"/>
  <c r="N699" i="1"/>
  <c r="M699" i="1"/>
  <c r="K699" i="1"/>
  <c r="J699" i="1"/>
  <c r="I699" i="1"/>
  <c r="H699" i="1"/>
  <c r="G699" i="1"/>
  <c r="E699" i="1"/>
  <c r="L699" i="1" s="1"/>
  <c r="D699" i="1"/>
  <c r="C699" i="1"/>
  <c r="B699" i="1"/>
  <c r="A699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N697" i="1"/>
  <c r="M697" i="1"/>
  <c r="L697" i="1"/>
  <c r="K697" i="1"/>
  <c r="J697" i="1"/>
  <c r="I697" i="1"/>
  <c r="H697" i="1"/>
  <c r="G697" i="1"/>
  <c r="E697" i="1"/>
  <c r="F697" i="1" s="1"/>
  <c r="D697" i="1"/>
  <c r="C697" i="1"/>
  <c r="B697" i="1"/>
  <c r="A697" i="1"/>
  <c r="N696" i="1"/>
  <c r="M696" i="1"/>
  <c r="L696" i="1"/>
  <c r="K696" i="1"/>
  <c r="J696" i="1"/>
  <c r="I696" i="1"/>
  <c r="H696" i="1"/>
  <c r="G696" i="1"/>
  <c r="E696" i="1"/>
  <c r="F696" i="1" s="1"/>
  <c r="D696" i="1"/>
  <c r="C696" i="1"/>
  <c r="B696" i="1"/>
  <c r="A696" i="1"/>
  <c r="N695" i="1"/>
  <c r="M695" i="1"/>
  <c r="L695" i="1"/>
  <c r="I695" i="1"/>
  <c r="H695" i="1"/>
  <c r="G695" i="1"/>
  <c r="E695" i="1"/>
  <c r="D695" i="1"/>
  <c r="C695" i="1"/>
  <c r="B695" i="1"/>
  <c r="A695" i="1"/>
  <c r="N694" i="1"/>
  <c r="M694" i="1"/>
  <c r="I694" i="1"/>
  <c r="H694" i="1"/>
  <c r="G694" i="1"/>
  <c r="E694" i="1"/>
  <c r="D694" i="1"/>
  <c r="C694" i="1"/>
  <c r="B694" i="1"/>
  <c r="A694" i="1"/>
  <c r="N693" i="1"/>
  <c r="M693" i="1"/>
  <c r="I693" i="1"/>
  <c r="H693" i="1"/>
  <c r="G693" i="1"/>
  <c r="E693" i="1"/>
  <c r="D693" i="1"/>
  <c r="C693" i="1"/>
  <c r="B693" i="1"/>
  <c r="A693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N691" i="1"/>
  <c r="M691" i="1"/>
  <c r="K691" i="1"/>
  <c r="J691" i="1"/>
  <c r="I691" i="1"/>
  <c r="H691" i="1"/>
  <c r="G691" i="1"/>
  <c r="E691" i="1"/>
  <c r="F691" i="1" s="1"/>
  <c r="D691" i="1"/>
  <c r="C691" i="1"/>
  <c r="B691" i="1"/>
  <c r="A691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N689" i="1"/>
  <c r="M689" i="1"/>
  <c r="L689" i="1"/>
  <c r="I689" i="1"/>
  <c r="H689" i="1"/>
  <c r="G689" i="1"/>
  <c r="F689" i="1"/>
  <c r="E689" i="1"/>
  <c r="D689" i="1"/>
  <c r="C689" i="1"/>
  <c r="B689" i="1"/>
  <c r="A689" i="1"/>
  <c r="N688" i="1"/>
  <c r="M688" i="1"/>
  <c r="K688" i="1"/>
  <c r="J688" i="1"/>
  <c r="I688" i="1"/>
  <c r="H688" i="1"/>
  <c r="G688" i="1"/>
  <c r="F688" i="1"/>
  <c r="E688" i="1"/>
  <c r="L688" i="1" s="1"/>
  <c r="D688" i="1"/>
  <c r="C688" i="1"/>
  <c r="B688" i="1"/>
  <c r="A688" i="1"/>
  <c r="N687" i="1"/>
  <c r="M687" i="1"/>
  <c r="L687" i="1"/>
  <c r="K687" i="1"/>
  <c r="J687" i="1"/>
  <c r="I687" i="1"/>
  <c r="H687" i="1"/>
  <c r="G687" i="1"/>
  <c r="E687" i="1"/>
  <c r="F687" i="1" s="1"/>
  <c r="D687" i="1"/>
  <c r="C687" i="1"/>
  <c r="B687" i="1"/>
  <c r="A687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N685" i="1"/>
  <c r="M685" i="1"/>
  <c r="I685" i="1"/>
  <c r="H685" i="1"/>
  <c r="G685" i="1"/>
  <c r="E685" i="1"/>
  <c r="D685" i="1"/>
  <c r="C685" i="1"/>
  <c r="B685" i="1"/>
  <c r="A685" i="1"/>
  <c r="N684" i="1"/>
  <c r="M684" i="1"/>
  <c r="I684" i="1"/>
  <c r="H684" i="1"/>
  <c r="G684" i="1"/>
  <c r="F684" i="1"/>
  <c r="E684" i="1"/>
  <c r="D684" i="1"/>
  <c r="C684" i="1"/>
  <c r="B684" i="1"/>
  <c r="A684" i="1"/>
  <c r="N683" i="1"/>
  <c r="M683" i="1"/>
  <c r="I683" i="1"/>
  <c r="H683" i="1"/>
  <c r="G683" i="1"/>
  <c r="F683" i="1"/>
  <c r="E683" i="1"/>
  <c r="D683" i="1"/>
  <c r="C683" i="1"/>
  <c r="B683" i="1"/>
  <c r="A683" i="1"/>
  <c r="N682" i="1"/>
  <c r="M682" i="1"/>
  <c r="I682" i="1"/>
  <c r="H682" i="1"/>
  <c r="G682" i="1"/>
  <c r="E682" i="1"/>
  <c r="D682" i="1"/>
  <c r="C682" i="1"/>
  <c r="B682" i="1"/>
  <c r="A682" i="1"/>
  <c r="N681" i="1"/>
  <c r="M681" i="1"/>
  <c r="K681" i="1"/>
  <c r="J681" i="1"/>
  <c r="I681" i="1"/>
  <c r="H681" i="1"/>
  <c r="G681" i="1"/>
  <c r="E681" i="1"/>
  <c r="D681" i="1"/>
  <c r="C681" i="1"/>
  <c r="B681" i="1"/>
  <c r="A681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N679" i="1"/>
  <c r="M679" i="1"/>
  <c r="L679" i="1"/>
  <c r="K679" i="1"/>
  <c r="J679" i="1"/>
  <c r="I679" i="1"/>
  <c r="H679" i="1"/>
  <c r="G679" i="1"/>
  <c r="E679" i="1"/>
  <c r="F679" i="1" s="1"/>
  <c r="D679" i="1"/>
  <c r="C679" i="1"/>
  <c r="B679" i="1"/>
  <c r="A679" i="1"/>
  <c r="N678" i="1"/>
  <c r="M678" i="1"/>
  <c r="L678" i="1"/>
  <c r="K678" i="1"/>
  <c r="J678" i="1"/>
  <c r="I678" i="1"/>
  <c r="H678" i="1"/>
  <c r="G678" i="1"/>
  <c r="E678" i="1"/>
  <c r="F678" i="1" s="1"/>
  <c r="D678" i="1"/>
  <c r="C678" i="1"/>
  <c r="B678" i="1"/>
  <c r="A678" i="1"/>
  <c r="N677" i="1"/>
  <c r="M677" i="1"/>
  <c r="L677" i="1"/>
  <c r="I677" i="1"/>
  <c r="H677" i="1"/>
  <c r="G677" i="1"/>
  <c r="E677" i="1"/>
  <c r="D677" i="1"/>
  <c r="C677" i="1"/>
  <c r="B677" i="1"/>
  <c r="A677" i="1"/>
  <c r="N676" i="1"/>
  <c r="M676" i="1"/>
  <c r="K676" i="1"/>
  <c r="I676" i="1"/>
  <c r="H676" i="1"/>
  <c r="G676" i="1"/>
  <c r="E676" i="1"/>
  <c r="D676" i="1"/>
  <c r="C676" i="1"/>
  <c r="B676" i="1"/>
  <c r="A676" i="1"/>
  <c r="N675" i="1"/>
  <c r="M675" i="1"/>
  <c r="I675" i="1"/>
  <c r="H675" i="1"/>
  <c r="G675" i="1"/>
  <c r="F675" i="1"/>
  <c r="E675" i="1"/>
  <c r="D675" i="1"/>
  <c r="C675" i="1"/>
  <c r="B675" i="1"/>
  <c r="A675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N673" i="1"/>
  <c r="M673" i="1"/>
  <c r="K673" i="1"/>
  <c r="J673" i="1"/>
  <c r="I673" i="1"/>
  <c r="H673" i="1"/>
  <c r="G673" i="1"/>
  <c r="E673" i="1"/>
  <c r="F673" i="1" s="1"/>
  <c r="D673" i="1"/>
  <c r="C673" i="1"/>
  <c r="B673" i="1"/>
  <c r="A673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N671" i="1"/>
  <c r="M671" i="1"/>
  <c r="L671" i="1"/>
  <c r="I671" i="1"/>
  <c r="H671" i="1"/>
  <c r="G671" i="1"/>
  <c r="F671" i="1"/>
  <c r="E671" i="1"/>
  <c r="D671" i="1"/>
  <c r="C671" i="1"/>
  <c r="B671" i="1"/>
  <c r="A671" i="1"/>
  <c r="N670" i="1"/>
  <c r="M670" i="1"/>
  <c r="K670" i="1"/>
  <c r="J670" i="1"/>
  <c r="I670" i="1"/>
  <c r="H670" i="1"/>
  <c r="G670" i="1"/>
  <c r="F670" i="1"/>
  <c r="E670" i="1"/>
  <c r="L670" i="1" s="1"/>
  <c r="D670" i="1"/>
  <c r="C670" i="1"/>
  <c r="B670" i="1"/>
  <c r="A670" i="1"/>
  <c r="N669" i="1"/>
  <c r="M669" i="1"/>
  <c r="L669" i="1"/>
  <c r="K669" i="1"/>
  <c r="J669" i="1"/>
  <c r="I669" i="1"/>
  <c r="H669" i="1"/>
  <c r="G669" i="1"/>
  <c r="E669" i="1"/>
  <c r="F669" i="1" s="1"/>
  <c r="D669" i="1"/>
  <c r="C669" i="1"/>
  <c r="B669" i="1"/>
  <c r="A669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N667" i="1"/>
  <c r="M667" i="1"/>
  <c r="I667" i="1"/>
  <c r="H667" i="1"/>
  <c r="G667" i="1"/>
  <c r="E667" i="1"/>
  <c r="D667" i="1"/>
  <c r="C667" i="1"/>
  <c r="B667" i="1"/>
  <c r="A667" i="1"/>
  <c r="N666" i="1"/>
  <c r="M666" i="1"/>
  <c r="I666" i="1"/>
  <c r="H666" i="1"/>
  <c r="G666" i="1"/>
  <c r="F666" i="1"/>
  <c r="E666" i="1"/>
  <c r="D666" i="1"/>
  <c r="C666" i="1"/>
  <c r="B666" i="1"/>
  <c r="A666" i="1"/>
  <c r="N665" i="1"/>
  <c r="M665" i="1"/>
  <c r="I665" i="1"/>
  <c r="H665" i="1"/>
  <c r="G665" i="1"/>
  <c r="E665" i="1"/>
  <c r="D665" i="1"/>
  <c r="C665" i="1"/>
  <c r="B665" i="1"/>
  <c r="A665" i="1"/>
  <c r="N664" i="1"/>
  <c r="M664" i="1"/>
  <c r="I664" i="1"/>
  <c r="H664" i="1"/>
  <c r="G664" i="1"/>
  <c r="E664" i="1"/>
  <c r="D664" i="1"/>
  <c r="C664" i="1"/>
  <c r="B664" i="1"/>
  <c r="A664" i="1"/>
  <c r="N663" i="1"/>
  <c r="M663" i="1"/>
  <c r="I663" i="1"/>
  <c r="H663" i="1"/>
  <c r="G663" i="1"/>
  <c r="E663" i="1"/>
  <c r="D663" i="1"/>
  <c r="C663" i="1"/>
  <c r="B663" i="1"/>
  <c r="A663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N661" i="1"/>
  <c r="M661" i="1"/>
  <c r="L661" i="1"/>
  <c r="K661" i="1"/>
  <c r="J661" i="1"/>
  <c r="I661" i="1"/>
  <c r="H661" i="1"/>
  <c r="G661" i="1"/>
  <c r="E661" i="1"/>
  <c r="F661" i="1" s="1"/>
  <c r="D661" i="1"/>
  <c r="C661" i="1"/>
  <c r="B661" i="1"/>
  <c r="A661" i="1"/>
  <c r="N660" i="1"/>
  <c r="M660" i="1"/>
  <c r="L660" i="1"/>
  <c r="K660" i="1"/>
  <c r="J660" i="1"/>
  <c r="I660" i="1"/>
  <c r="H660" i="1"/>
  <c r="G660" i="1"/>
  <c r="E660" i="1"/>
  <c r="F660" i="1" s="1"/>
  <c r="D660" i="1"/>
  <c r="C660" i="1"/>
  <c r="B660" i="1"/>
  <c r="A660" i="1"/>
  <c r="N659" i="1"/>
  <c r="M659" i="1"/>
  <c r="I659" i="1"/>
  <c r="H659" i="1"/>
  <c r="G659" i="1"/>
  <c r="E659" i="1"/>
  <c r="D659" i="1"/>
  <c r="C659" i="1"/>
  <c r="B659" i="1"/>
  <c r="A659" i="1"/>
  <c r="N658" i="1"/>
  <c r="M658" i="1"/>
  <c r="I658" i="1"/>
  <c r="H658" i="1"/>
  <c r="G658" i="1"/>
  <c r="F658" i="1"/>
  <c r="E658" i="1"/>
  <c r="D658" i="1"/>
  <c r="C658" i="1"/>
  <c r="B658" i="1"/>
  <c r="A658" i="1"/>
  <c r="N657" i="1"/>
  <c r="M657" i="1"/>
  <c r="I657" i="1"/>
  <c r="H657" i="1"/>
  <c r="G657" i="1"/>
  <c r="E657" i="1"/>
  <c r="D657" i="1"/>
  <c r="C657" i="1"/>
  <c r="B657" i="1"/>
  <c r="A657" i="1"/>
  <c r="N656" i="1"/>
  <c r="M656" i="1"/>
  <c r="I656" i="1"/>
  <c r="H656" i="1"/>
  <c r="G656" i="1"/>
  <c r="E656" i="1"/>
  <c r="D656" i="1"/>
  <c r="C656" i="1"/>
  <c r="B656" i="1"/>
  <c r="A656" i="1"/>
  <c r="N655" i="1"/>
  <c r="M655" i="1"/>
  <c r="I655" i="1"/>
  <c r="H655" i="1"/>
  <c r="G655" i="1"/>
  <c r="E655" i="1"/>
  <c r="F655" i="1" s="1"/>
  <c r="D655" i="1"/>
  <c r="C655" i="1"/>
  <c r="B655" i="1"/>
  <c r="A655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N653" i="1"/>
  <c r="M653" i="1"/>
  <c r="L653" i="1"/>
  <c r="K653" i="1"/>
  <c r="I653" i="1"/>
  <c r="H653" i="1"/>
  <c r="G653" i="1"/>
  <c r="F653" i="1"/>
  <c r="E653" i="1"/>
  <c r="J653" i="1" s="1"/>
  <c r="D653" i="1"/>
  <c r="C653" i="1"/>
  <c r="B653" i="1"/>
  <c r="A653" i="1"/>
  <c r="N652" i="1"/>
  <c r="M652" i="1"/>
  <c r="K652" i="1"/>
  <c r="J652" i="1"/>
  <c r="I652" i="1"/>
  <c r="H652" i="1"/>
  <c r="G652" i="1"/>
  <c r="E652" i="1"/>
  <c r="L652" i="1" s="1"/>
  <c r="D652" i="1"/>
  <c r="C652" i="1"/>
  <c r="B652" i="1"/>
  <c r="A652" i="1"/>
  <c r="N651" i="1"/>
  <c r="M651" i="1"/>
  <c r="I651" i="1"/>
  <c r="H651" i="1"/>
  <c r="G651" i="1"/>
  <c r="E651" i="1"/>
  <c r="D651" i="1"/>
  <c r="C651" i="1"/>
  <c r="B651" i="1"/>
  <c r="A651" i="1"/>
  <c r="N650" i="1"/>
  <c r="M650" i="1"/>
  <c r="I650" i="1"/>
  <c r="H650" i="1"/>
  <c r="G650" i="1"/>
  <c r="E650" i="1"/>
  <c r="D650" i="1"/>
  <c r="C650" i="1"/>
  <c r="B650" i="1"/>
  <c r="A650" i="1"/>
  <c r="N649" i="1"/>
  <c r="M649" i="1"/>
  <c r="I649" i="1"/>
  <c r="H649" i="1"/>
  <c r="G649" i="1"/>
  <c r="E649" i="1"/>
  <c r="D649" i="1"/>
  <c r="C649" i="1"/>
  <c r="B649" i="1"/>
  <c r="A649" i="1"/>
  <c r="N648" i="1"/>
  <c r="M648" i="1"/>
  <c r="I648" i="1"/>
  <c r="H648" i="1"/>
  <c r="G648" i="1"/>
  <c r="F648" i="1"/>
  <c r="E648" i="1"/>
  <c r="D648" i="1"/>
  <c r="C648" i="1"/>
  <c r="B648" i="1"/>
  <c r="A648" i="1"/>
  <c r="N647" i="1"/>
  <c r="M647" i="1"/>
  <c r="I647" i="1"/>
  <c r="H647" i="1"/>
  <c r="G647" i="1"/>
  <c r="E647" i="1"/>
  <c r="D647" i="1"/>
  <c r="C647" i="1"/>
  <c r="B647" i="1"/>
  <c r="A647" i="1"/>
  <c r="N646" i="1"/>
  <c r="M646" i="1"/>
  <c r="K646" i="1"/>
  <c r="J646" i="1"/>
  <c r="I646" i="1"/>
  <c r="H646" i="1"/>
  <c r="G646" i="1"/>
  <c r="F646" i="1"/>
  <c r="E646" i="1"/>
  <c r="L646" i="1" s="1"/>
  <c r="D646" i="1"/>
  <c r="C646" i="1"/>
  <c r="B646" i="1"/>
  <c r="A646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N644" i="1"/>
  <c r="M644" i="1"/>
  <c r="L644" i="1"/>
  <c r="K644" i="1"/>
  <c r="J644" i="1"/>
  <c r="I644" i="1"/>
  <c r="H644" i="1"/>
  <c r="G644" i="1"/>
  <c r="E644" i="1"/>
  <c r="F644" i="1" s="1"/>
  <c r="D644" i="1"/>
  <c r="C644" i="1"/>
  <c r="B644" i="1"/>
  <c r="A644" i="1"/>
  <c r="N643" i="1"/>
  <c r="M643" i="1"/>
  <c r="I643" i="1"/>
  <c r="H643" i="1"/>
  <c r="G643" i="1"/>
  <c r="E643" i="1"/>
  <c r="D643" i="1"/>
  <c r="C643" i="1"/>
  <c r="B643" i="1"/>
  <c r="A643" i="1"/>
  <c r="N642" i="1"/>
  <c r="M642" i="1"/>
  <c r="I642" i="1"/>
  <c r="H642" i="1"/>
  <c r="G642" i="1"/>
  <c r="F642" i="1"/>
  <c r="E642" i="1"/>
  <c r="D642" i="1"/>
  <c r="C642" i="1"/>
  <c r="B642" i="1"/>
  <c r="A642" i="1"/>
  <c r="N641" i="1"/>
  <c r="M641" i="1"/>
  <c r="I641" i="1"/>
  <c r="H641" i="1"/>
  <c r="G641" i="1"/>
  <c r="E641" i="1"/>
  <c r="D641" i="1"/>
  <c r="C641" i="1"/>
  <c r="B641" i="1"/>
  <c r="A641" i="1"/>
  <c r="N640" i="1"/>
  <c r="M640" i="1"/>
  <c r="I640" i="1"/>
  <c r="H640" i="1"/>
  <c r="G640" i="1"/>
  <c r="E640" i="1"/>
  <c r="D640" i="1"/>
  <c r="C640" i="1"/>
  <c r="B640" i="1"/>
  <c r="A640" i="1"/>
  <c r="N639" i="1"/>
  <c r="M639" i="1"/>
  <c r="I639" i="1"/>
  <c r="H639" i="1"/>
  <c r="G639" i="1"/>
  <c r="F639" i="1"/>
  <c r="E639" i="1"/>
  <c r="D639" i="1"/>
  <c r="C639" i="1"/>
  <c r="B639" i="1"/>
  <c r="A639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N637" i="1"/>
  <c r="M637" i="1"/>
  <c r="L637" i="1"/>
  <c r="K637" i="1"/>
  <c r="J637" i="1"/>
  <c r="I637" i="1"/>
  <c r="H637" i="1"/>
  <c r="G637" i="1"/>
  <c r="E637" i="1"/>
  <c r="F637" i="1" s="1"/>
  <c r="D637" i="1"/>
  <c r="C637" i="1"/>
  <c r="B637" i="1"/>
  <c r="A637" i="1"/>
  <c r="N636" i="1"/>
  <c r="M636" i="1"/>
  <c r="L636" i="1"/>
  <c r="K636" i="1"/>
  <c r="J636" i="1"/>
  <c r="I636" i="1"/>
  <c r="H636" i="1"/>
  <c r="G636" i="1"/>
  <c r="E636" i="1"/>
  <c r="F636" i="1" s="1"/>
  <c r="D636" i="1"/>
  <c r="C636" i="1"/>
  <c r="B636" i="1"/>
  <c r="A636" i="1"/>
  <c r="N635" i="1"/>
  <c r="M635" i="1"/>
  <c r="L635" i="1"/>
  <c r="I635" i="1"/>
  <c r="H635" i="1"/>
  <c r="G635" i="1"/>
  <c r="E635" i="1"/>
  <c r="D635" i="1"/>
  <c r="C635" i="1"/>
  <c r="B635" i="1"/>
  <c r="A635" i="1"/>
  <c r="N634" i="1"/>
  <c r="M634" i="1"/>
  <c r="I634" i="1"/>
  <c r="H634" i="1"/>
  <c r="G634" i="1"/>
  <c r="F634" i="1"/>
  <c r="E634" i="1"/>
  <c r="D634" i="1"/>
  <c r="C634" i="1"/>
  <c r="B634" i="1"/>
  <c r="A634" i="1"/>
  <c r="N633" i="1"/>
  <c r="M633" i="1"/>
  <c r="I633" i="1"/>
  <c r="H633" i="1"/>
  <c r="G633" i="1"/>
  <c r="E633" i="1"/>
  <c r="D633" i="1"/>
  <c r="C633" i="1"/>
  <c r="B633" i="1"/>
  <c r="A633" i="1"/>
  <c r="N632" i="1"/>
  <c r="M632" i="1"/>
  <c r="J632" i="1"/>
  <c r="I632" i="1"/>
  <c r="H632" i="1"/>
  <c r="G632" i="1"/>
  <c r="E632" i="1"/>
  <c r="D632" i="1"/>
  <c r="C632" i="1"/>
  <c r="B632" i="1"/>
  <c r="A632" i="1"/>
  <c r="N631" i="1"/>
  <c r="M631" i="1"/>
  <c r="L631" i="1"/>
  <c r="K631" i="1"/>
  <c r="I631" i="1"/>
  <c r="H631" i="1"/>
  <c r="G631" i="1"/>
  <c r="E631" i="1"/>
  <c r="D631" i="1"/>
  <c r="C631" i="1"/>
  <c r="B631" i="1"/>
  <c r="A631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N629" i="1"/>
  <c r="M629" i="1"/>
  <c r="L629" i="1"/>
  <c r="K629" i="1"/>
  <c r="I629" i="1"/>
  <c r="H629" i="1"/>
  <c r="G629" i="1"/>
  <c r="F629" i="1"/>
  <c r="E629" i="1"/>
  <c r="J629" i="1" s="1"/>
  <c r="D629" i="1"/>
  <c r="C629" i="1"/>
  <c r="B629" i="1"/>
  <c r="A629" i="1"/>
  <c r="N628" i="1"/>
  <c r="M628" i="1"/>
  <c r="K628" i="1"/>
  <c r="J628" i="1"/>
  <c r="I628" i="1"/>
  <c r="H628" i="1"/>
  <c r="G628" i="1"/>
  <c r="E628" i="1"/>
  <c r="L628" i="1" s="1"/>
  <c r="D628" i="1"/>
  <c r="C628" i="1"/>
  <c r="B628" i="1"/>
  <c r="A628" i="1"/>
  <c r="N627" i="1"/>
  <c r="M627" i="1"/>
  <c r="L627" i="1"/>
  <c r="K627" i="1"/>
  <c r="I627" i="1"/>
  <c r="H627" i="1"/>
  <c r="G627" i="1"/>
  <c r="E627" i="1"/>
  <c r="D627" i="1"/>
  <c r="C627" i="1"/>
  <c r="B627" i="1"/>
  <c r="A627" i="1"/>
  <c r="N626" i="1"/>
  <c r="M626" i="1"/>
  <c r="I626" i="1"/>
  <c r="H626" i="1"/>
  <c r="G626" i="1"/>
  <c r="E626" i="1"/>
  <c r="D626" i="1"/>
  <c r="C626" i="1"/>
  <c r="B626" i="1"/>
  <c r="A626" i="1"/>
  <c r="N625" i="1"/>
  <c r="M625" i="1"/>
  <c r="I625" i="1"/>
  <c r="H625" i="1"/>
  <c r="G625" i="1"/>
  <c r="E625" i="1"/>
  <c r="D625" i="1"/>
  <c r="C625" i="1"/>
  <c r="B625" i="1"/>
  <c r="A625" i="1"/>
  <c r="N624" i="1"/>
  <c r="M624" i="1"/>
  <c r="I624" i="1"/>
  <c r="H624" i="1"/>
  <c r="G624" i="1"/>
  <c r="F624" i="1"/>
  <c r="E624" i="1"/>
  <c r="D624" i="1"/>
  <c r="C624" i="1"/>
  <c r="B624" i="1"/>
  <c r="A624" i="1"/>
  <c r="N623" i="1"/>
  <c r="M623" i="1"/>
  <c r="L623" i="1"/>
  <c r="K623" i="1"/>
  <c r="I623" i="1"/>
  <c r="H623" i="1"/>
  <c r="G623" i="1"/>
  <c r="F623" i="1"/>
  <c r="E623" i="1"/>
  <c r="J623" i="1" s="1"/>
  <c r="D623" i="1"/>
  <c r="C623" i="1"/>
  <c r="B623" i="1"/>
  <c r="A623" i="1"/>
  <c r="N622" i="1"/>
  <c r="M622" i="1"/>
  <c r="K622" i="1"/>
  <c r="J622" i="1"/>
  <c r="I622" i="1"/>
  <c r="H622" i="1"/>
  <c r="G622" i="1"/>
  <c r="F622" i="1"/>
  <c r="E622" i="1"/>
  <c r="L622" i="1" s="1"/>
  <c r="D622" i="1"/>
  <c r="C622" i="1"/>
  <c r="B622" i="1"/>
  <c r="A622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N620" i="1"/>
  <c r="M620" i="1"/>
  <c r="L620" i="1"/>
  <c r="K620" i="1"/>
  <c r="J620" i="1"/>
  <c r="I620" i="1"/>
  <c r="H620" i="1"/>
  <c r="G620" i="1"/>
  <c r="E620" i="1"/>
  <c r="F620" i="1" s="1"/>
  <c r="D620" i="1"/>
  <c r="C620" i="1"/>
  <c r="B620" i="1"/>
  <c r="A620" i="1"/>
  <c r="N619" i="1"/>
  <c r="M619" i="1"/>
  <c r="L619" i="1"/>
  <c r="I619" i="1"/>
  <c r="H619" i="1"/>
  <c r="G619" i="1"/>
  <c r="E619" i="1"/>
  <c r="D619" i="1"/>
  <c r="C619" i="1"/>
  <c r="B619" i="1"/>
  <c r="A619" i="1"/>
  <c r="N618" i="1"/>
  <c r="M618" i="1"/>
  <c r="I618" i="1"/>
  <c r="H618" i="1"/>
  <c r="G618" i="1"/>
  <c r="F618" i="1"/>
  <c r="E618" i="1"/>
  <c r="D618" i="1"/>
  <c r="C618" i="1"/>
  <c r="B618" i="1"/>
  <c r="A618" i="1"/>
  <c r="N617" i="1"/>
  <c r="M617" i="1"/>
  <c r="I617" i="1"/>
  <c r="H617" i="1"/>
  <c r="G617" i="1"/>
  <c r="F617" i="1"/>
  <c r="E617" i="1"/>
  <c r="D617" i="1"/>
  <c r="C617" i="1"/>
  <c r="B617" i="1"/>
  <c r="A617" i="1"/>
  <c r="N616" i="1"/>
  <c r="M616" i="1"/>
  <c r="I616" i="1"/>
  <c r="H616" i="1"/>
  <c r="G616" i="1"/>
  <c r="F616" i="1"/>
  <c r="E616" i="1"/>
  <c r="D616" i="1"/>
  <c r="C616" i="1"/>
  <c r="B616" i="1"/>
  <c r="A616" i="1"/>
  <c r="N615" i="1"/>
  <c r="M615" i="1"/>
  <c r="K615" i="1"/>
  <c r="J615" i="1"/>
  <c r="I615" i="1"/>
  <c r="H615" i="1"/>
  <c r="G615" i="1"/>
  <c r="F615" i="1"/>
  <c r="E615" i="1"/>
  <c r="L615" i="1" s="1"/>
  <c r="D615" i="1"/>
  <c r="C615" i="1"/>
  <c r="B615" i="1"/>
  <c r="A615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N613" i="1"/>
  <c r="M613" i="1"/>
  <c r="L613" i="1"/>
  <c r="K613" i="1"/>
  <c r="J613" i="1"/>
  <c r="I613" i="1"/>
  <c r="H613" i="1"/>
  <c r="G613" i="1"/>
  <c r="E613" i="1"/>
  <c r="F613" i="1" s="1"/>
  <c r="D613" i="1"/>
  <c r="C613" i="1"/>
  <c r="B613" i="1"/>
  <c r="A613" i="1"/>
  <c r="N612" i="1"/>
  <c r="M612" i="1"/>
  <c r="L612" i="1"/>
  <c r="K612" i="1"/>
  <c r="J612" i="1"/>
  <c r="I612" i="1"/>
  <c r="H612" i="1"/>
  <c r="G612" i="1"/>
  <c r="E612" i="1"/>
  <c r="F612" i="1" s="1"/>
  <c r="D612" i="1"/>
  <c r="C612" i="1"/>
  <c r="B612" i="1"/>
  <c r="A612" i="1"/>
  <c r="N611" i="1"/>
  <c r="M611" i="1"/>
  <c r="L611" i="1"/>
  <c r="I611" i="1"/>
  <c r="H611" i="1"/>
  <c r="G611" i="1"/>
  <c r="E611" i="1"/>
  <c r="D611" i="1"/>
  <c r="C611" i="1"/>
  <c r="B611" i="1"/>
  <c r="A611" i="1"/>
  <c r="N610" i="1"/>
  <c r="M610" i="1"/>
  <c r="I610" i="1"/>
  <c r="H610" i="1"/>
  <c r="G610" i="1"/>
  <c r="F610" i="1"/>
  <c r="E610" i="1"/>
  <c r="D610" i="1"/>
  <c r="C610" i="1"/>
  <c r="B610" i="1"/>
  <c r="A610" i="1"/>
  <c r="N609" i="1"/>
  <c r="M609" i="1"/>
  <c r="I609" i="1"/>
  <c r="H609" i="1"/>
  <c r="G609" i="1"/>
  <c r="F609" i="1"/>
  <c r="E609" i="1"/>
  <c r="D609" i="1"/>
  <c r="C609" i="1"/>
  <c r="B609" i="1"/>
  <c r="A609" i="1"/>
  <c r="N608" i="1"/>
  <c r="M608" i="1"/>
  <c r="K608" i="1"/>
  <c r="J608" i="1"/>
  <c r="I608" i="1"/>
  <c r="H608" i="1"/>
  <c r="G608" i="1"/>
  <c r="F608" i="1"/>
  <c r="E608" i="1"/>
  <c r="L608" i="1" s="1"/>
  <c r="D608" i="1"/>
  <c r="C608" i="1"/>
  <c r="B608" i="1"/>
  <c r="A608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N606" i="1"/>
  <c r="M606" i="1"/>
  <c r="L606" i="1"/>
  <c r="K606" i="1"/>
  <c r="J606" i="1"/>
  <c r="I606" i="1"/>
  <c r="H606" i="1"/>
  <c r="G606" i="1"/>
  <c r="E606" i="1"/>
  <c r="F606" i="1" s="1"/>
  <c r="D606" i="1"/>
  <c r="C606" i="1"/>
  <c r="B606" i="1"/>
  <c r="A606" i="1"/>
  <c r="N605" i="1"/>
  <c r="M605" i="1"/>
  <c r="I605" i="1"/>
  <c r="H605" i="1"/>
  <c r="G605" i="1"/>
  <c r="E605" i="1"/>
  <c r="D605" i="1"/>
  <c r="C605" i="1"/>
  <c r="B605" i="1"/>
  <c r="A605" i="1"/>
  <c r="N604" i="1"/>
  <c r="M604" i="1"/>
  <c r="I604" i="1"/>
  <c r="H604" i="1"/>
  <c r="G604" i="1"/>
  <c r="E604" i="1"/>
  <c r="D604" i="1"/>
  <c r="C604" i="1"/>
  <c r="B604" i="1"/>
  <c r="A604" i="1"/>
  <c r="N603" i="1"/>
  <c r="M603" i="1"/>
  <c r="I603" i="1"/>
  <c r="H603" i="1"/>
  <c r="G603" i="1"/>
  <c r="E603" i="1"/>
  <c r="D603" i="1"/>
  <c r="C603" i="1"/>
  <c r="B603" i="1"/>
  <c r="A603" i="1"/>
  <c r="N602" i="1"/>
  <c r="M602" i="1"/>
  <c r="K602" i="1"/>
  <c r="I602" i="1"/>
  <c r="H602" i="1"/>
  <c r="G602" i="1"/>
  <c r="E602" i="1"/>
  <c r="D602" i="1"/>
  <c r="C602" i="1"/>
  <c r="B602" i="1"/>
  <c r="A602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N600" i="1"/>
  <c r="M600" i="1"/>
  <c r="L600" i="1"/>
  <c r="K600" i="1"/>
  <c r="J600" i="1"/>
  <c r="I600" i="1"/>
  <c r="H600" i="1"/>
  <c r="G600" i="1"/>
  <c r="E600" i="1"/>
  <c r="F600" i="1" s="1"/>
  <c r="D600" i="1"/>
  <c r="C600" i="1"/>
  <c r="B600" i="1"/>
  <c r="A600" i="1"/>
  <c r="N599" i="1"/>
  <c r="M599" i="1"/>
  <c r="I599" i="1"/>
  <c r="H599" i="1"/>
  <c r="G599" i="1"/>
  <c r="E599" i="1"/>
  <c r="D599" i="1"/>
  <c r="C599" i="1"/>
  <c r="B599" i="1"/>
  <c r="A599" i="1"/>
  <c r="N598" i="1"/>
  <c r="M598" i="1"/>
  <c r="I598" i="1"/>
  <c r="H598" i="1"/>
  <c r="G598" i="1"/>
  <c r="F598" i="1"/>
  <c r="E598" i="1"/>
  <c r="D598" i="1"/>
  <c r="C598" i="1"/>
  <c r="B598" i="1"/>
  <c r="A598" i="1"/>
  <c r="N597" i="1"/>
  <c r="M597" i="1"/>
  <c r="I597" i="1"/>
  <c r="H597" i="1"/>
  <c r="G597" i="1"/>
  <c r="E597" i="1"/>
  <c r="D597" i="1"/>
  <c r="C597" i="1"/>
  <c r="B597" i="1"/>
  <c r="A597" i="1"/>
  <c r="N596" i="1"/>
  <c r="M596" i="1"/>
  <c r="I596" i="1"/>
  <c r="H596" i="1"/>
  <c r="G596" i="1"/>
  <c r="F596" i="1"/>
  <c r="E596" i="1"/>
  <c r="L596" i="1" s="1"/>
  <c r="D596" i="1"/>
  <c r="C596" i="1"/>
  <c r="B596" i="1"/>
  <c r="A596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N594" i="1"/>
  <c r="M594" i="1"/>
  <c r="L594" i="1"/>
  <c r="K594" i="1"/>
  <c r="J594" i="1"/>
  <c r="I594" i="1"/>
  <c r="H594" i="1"/>
  <c r="G594" i="1"/>
  <c r="E594" i="1"/>
  <c r="F594" i="1" s="1"/>
  <c r="D594" i="1"/>
  <c r="C594" i="1"/>
  <c r="B594" i="1"/>
  <c r="A594" i="1"/>
  <c r="N593" i="1"/>
  <c r="M593" i="1"/>
  <c r="L593" i="1"/>
  <c r="K593" i="1"/>
  <c r="I593" i="1"/>
  <c r="H593" i="1"/>
  <c r="G593" i="1"/>
  <c r="E593" i="1"/>
  <c r="D593" i="1"/>
  <c r="C593" i="1"/>
  <c r="B593" i="1"/>
  <c r="A593" i="1"/>
  <c r="N592" i="1"/>
  <c r="M592" i="1"/>
  <c r="I592" i="1"/>
  <c r="H592" i="1"/>
  <c r="G592" i="1"/>
  <c r="F592" i="1"/>
  <c r="E592" i="1"/>
  <c r="D592" i="1"/>
  <c r="C592" i="1"/>
  <c r="B592" i="1"/>
  <c r="A592" i="1"/>
  <c r="N591" i="1"/>
  <c r="M591" i="1"/>
  <c r="I591" i="1"/>
  <c r="H591" i="1"/>
  <c r="G591" i="1"/>
  <c r="E591" i="1"/>
  <c r="D591" i="1"/>
  <c r="C591" i="1"/>
  <c r="B591" i="1"/>
  <c r="A591" i="1"/>
  <c r="N590" i="1"/>
  <c r="M590" i="1"/>
  <c r="I590" i="1"/>
  <c r="H590" i="1"/>
  <c r="G590" i="1"/>
  <c r="E590" i="1"/>
  <c r="F590" i="1" s="1"/>
  <c r="D590" i="1"/>
  <c r="C590" i="1"/>
  <c r="B590" i="1"/>
  <c r="A590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N588" i="1"/>
  <c r="M588" i="1"/>
  <c r="L588" i="1"/>
  <c r="K588" i="1"/>
  <c r="J588" i="1"/>
  <c r="I588" i="1"/>
  <c r="H588" i="1"/>
  <c r="G588" i="1"/>
  <c r="E588" i="1"/>
  <c r="F588" i="1" s="1"/>
  <c r="D588" i="1"/>
  <c r="C588" i="1"/>
  <c r="B588" i="1"/>
  <c r="A588" i="1"/>
  <c r="N587" i="1"/>
  <c r="M587" i="1"/>
  <c r="L587" i="1"/>
  <c r="K587" i="1"/>
  <c r="I587" i="1"/>
  <c r="H587" i="1"/>
  <c r="G587" i="1"/>
  <c r="E587" i="1"/>
  <c r="D587" i="1"/>
  <c r="C587" i="1"/>
  <c r="B587" i="1"/>
  <c r="A587" i="1"/>
  <c r="N586" i="1"/>
  <c r="M586" i="1"/>
  <c r="I586" i="1"/>
  <c r="H586" i="1"/>
  <c r="G586" i="1"/>
  <c r="E586" i="1"/>
  <c r="D586" i="1"/>
  <c r="C586" i="1"/>
  <c r="B586" i="1"/>
  <c r="A586" i="1"/>
  <c r="N585" i="1"/>
  <c r="M585" i="1"/>
  <c r="I585" i="1"/>
  <c r="H585" i="1"/>
  <c r="G585" i="1"/>
  <c r="F585" i="1"/>
  <c r="E585" i="1"/>
  <c r="D585" i="1"/>
  <c r="C585" i="1"/>
  <c r="B585" i="1"/>
  <c r="A585" i="1"/>
  <c r="N584" i="1"/>
  <c r="M584" i="1"/>
  <c r="I584" i="1"/>
  <c r="H584" i="1"/>
  <c r="G584" i="1"/>
  <c r="F584" i="1"/>
  <c r="E584" i="1"/>
  <c r="D584" i="1"/>
  <c r="C584" i="1"/>
  <c r="B584" i="1"/>
  <c r="A584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N582" i="1"/>
  <c r="M582" i="1"/>
  <c r="L582" i="1"/>
  <c r="K582" i="1"/>
  <c r="J582" i="1"/>
  <c r="I582" i="1"/>
  <c r="H582" i="1"/>
  <c r="G582" i="1"/>
  <c r="E582" i="1"/>
  <c r="F582" i="1" s="1"/>
  <c r="D582" i="1"/>
  <c r="C582" i="1"/>
  <c r="B582" i="1"/>
  <c r="A582" i="1"/>
  <c r="N581" i="1"/>
  <c r="M581" i="1"/>
  <c r="L581" i="1"/>
  <c r="K581" i="1"/>
  <c r="J581" i="1"/>
  <c r="I581" i="1"/>
  <c r="H581" i="1"/>
  <c r="G581" i="1"/>
  <c r="E581" i="1"/>
  <c r="F581" i="1" s="1"/>
  <c r="D581" i="1"/>
  <c r="C581" i="1"/>
  <c r="B581" i="1"/>
  <c r="A581" i="1"/>
  <c r="N580" i="1"/>
  <c r="M580" i="1"/>
  <c r="L580" i="1"/>
  <c r="I580" i="1"/>
  <c r="H580" i="1"/>
  <c r="G580" i="1"/>
  <c r="F580" i="1"/>
  <c r="E580" i="1"/>
  <c r="D580" i="1"/>
  <c r="C580" i="1"/>
  <c r="B580" i="1"/>
  <c r="A580" i="1"/>
  <c r="N579" i="1"/>
  <c r="M579" i="1"/>
  <c r="I579" i="1"/>
  <c r="H579" i="1"/>
  <c r="G579" i="1"/>
  <c r="F579" i="1"/>
  <c r="E579" i="1"/>
  <c r="D579" i="1"/>
  <c r="C579" i="1"/>
  <c r="B579" i="1"/>
  <c r="A579" i="1"/>
  <c r="N578" i="1"/>
  <c r="M578" i="1"/>
  <c r="K578" i="1"/>
  <c r="J578" i="1"/>
  <c r="I578" i="1"/>
  <c r="H578" i="1"/>
  <c r="G578" i="1"/>
  <c r="E578" i="1"/>
  <c r="L578" i="1" s="1"/>
  <c r="D578" i="1"/>
  <c r="C578" i="1"/>
  <c r="B578" i="1"/>
  <c r="A578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N576" i="1"/>
  <c r="M576" i="1"/>
  <c r="L576" i="1"/>
  <c r="K576" i="1"/>
  <c r="J576" i="1"/>
  <c r="I576" i="1"/>
  <c r="H576" i="1"/>
  <c r="G576" i="1"/>
  <c r="E576" i="1"/>
  <c r="F576" i="1" s="1"/>
  <c r="D576" i="1"/>
  <c r="C576" i="1"/>
  <c r="B576" i="1"/>
  <c r="A576" i="1"/>
  <c r="N575" i="1"/>
  <c r="M575" i="1"/>
  <c r="I575" i="1"/>
  <c r="H575" i="1"/>
  <c r="G575" i="1"/>
  <c r="E575" i="1"/>
  <c r="F575" i="1" s="1"/>
  <c r="D575" i="1"/>
  <c r="C575" i="1"/>
  <c r="B575" i="1"/>
  <c r="A575" i="1"/>
  <c r="N574" i="1"/>
  <c r="M574" i="1"/>
  <c r="I574" i="1"/>
  <c r="H574" i="1"/>
  <c r="G574" i="1"/>
  <c r="F574" i="1"/>
  <c r="E574" i="1"/>
  <c r="D574" i="1"/>
  <c r="C574" i="1"/>
  <c r="B574" i="1"/>
  <c r="A574" i="1"/>
  <c r="N573" i="1"/>
  <c r="M573" i="1"/>
  <c r="I573" i="1"/>
  <c r="H573" i="1"/>
  <c r="G573" i="1"/>
  <c r="E573" i="1"/>
  <c r="D573" i="1"/>
  <c r="C573" i="1"/>
  <c r="B573" i="1"/>
  <c r="A573" i="1"/>
  <c r="N572" i="1"/>
  <c r="M572" i="1"/>
  <c r="I572" i="1"/>
  <c r="H572" i="1"/>
  <c r="G572" i="1"/>
  <c r="F572" i="1"/>
  <c r="E572" i="1"/>
  <c r="L572" i="1" s="1"/>
  <c r="D572" i="1"/>
  <c r="C572" i="1"/>
  <c r="B572" i="1"/>
  <c r="A572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N570" i="1"/>
  <c r="M570" i="1"/>
  <c r="L570" i="1"/>
  <c r="K570" i="1"/>
  <c r="J570" i="1"/>
  <c r="I570" i="1"/>
  <c r="H570" i="1"/>
  <c r="G570" i="1"/>
  <c r="E570" i="1"/>
  <c r="F570" i="1" s="1"/>
  <c r="D570" i="1"/>
  <c r="C570" i="1"/>
  <c r="B570" i="1"/>
  <c r="A570" i="1"/>
  <c r="N569" i="1"/>
  <c r="M569" i="1"/>
  <c r="L569" i="1"/>
  <c r="K569" i="1"/>
  <c r="I569" i="1"/>
  <c r="H569" i="1"/>
  <c r="G569" i="1"/>
  <c r="E569" i="1"/>
  <c r="D569" i="1"/>
  <c r="C569" i="1"/>
  <c r="B569" i="1"/>
  <c r="A569" i="1"/>
  <c r="N568" i="1"/>
  <c r="M568" i="1"/>
  <c r="L568" i="1"/>
  <c r="I568" i="1"/>
  <c r="H568" i="1"/>
  <c r="G568" i="1"/>
  <c r="E568" i="1"/>
  <c r="D568" i="1"/>
  <c r="C568" i="1"/>
  <c r="B568" i="1"/>
  <c r="A568" i="1"/>
  <c r="N567" i="1"/>
  <c r="M567" i="1"/>
  <c r="J567" i="1"/>
  <c r="I567" i="1"/>
  <c r="H567" i="1"/>
  <c r="G567" i="1"/>
  <c r="E567" i="1"/>
  <c r="D567" i="1"/>
  <c r="C567" i="1"/>
  <c r="B567" i="1"/>
  <c r="A567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N564" i="1"/>
  <c r="M564" i="1"/>
  <c r="L564" i="1"/>
  <c r="K564" i="1"/>
  <c r="J564" i="1"/>
  <c r="I564" i="1"/>
  <c r="H564" i="1"/>
  <c r="G564" i="1"/>
  <c r="E564" i="1"/>
  <c r="F564" i="1" s="1"/>
  <c r="D564" i="1"/>
  <c r="C564" i="1"/>
  <c r="B564" i="1"/>
  <c r="A564" i="1"/>
  <c r="N563" i="1"/>
  <c r="M563" i="1"/>
  <c r="I563" i="1"/>
  <c r="H563" i="1"/>
  <c r="G563" i="1"/>
  <c r="E563" i="1"/>
  <c r="D563" i="1"/>
  <c r="C563" i="1"/>
  <c r="B563" i="1"/>
  <c r="A563" i="1"/>
  <c r="N562" i="1"/>
  <c r="M562" i="1"/>
  <c r="I562" i="1"/>
  <c r="H562" i="1"/>
  <c r="G562" i="1"/>
  <c r="F562" i="1"/>
  <c r="E562" i="1"/>
  <c r="D562" i="1"/>
  <c r="C562" i="1"/>
  <c r="B562" i="1"/>
  <c r="A562" i="1"/>
  <c r="N561" i="1"/>
  <c r="M561" i="1"/>
  <c r="I561" i="1"/>
  <c r="H561" i="1"/>
  <c r="G561" i="1"/>
  <c r="E561" i="1"/>
  <c r="D561" i="1"/>
  <c r="C561" i="1"/>
  <c r="B561" i="1"/>
  <c r="A561" i="1"/>
  <c r="N560" i="1"/>
  <c r="M560" i="1"/>
  <c r="I560" i="1"/>
  <c r="H560" i="1"/>
  <c r="G560" i="1"/>
  <c r="E560" i="1"/>
  <c r="D560" i="1"/>
  <c r="C560" i="1"/>
  <c r="B560" i="1"/>
  <c r="A560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N558" i="1"/>
  <c r="M558" i="1"/>
  <c r="L558" i="1"/>
  <c r="K558" i="1"/>
  <c r="J558" i="1"/>
  <c r="I558" i="1"/>
  <c r="H558" i="1"/>
  <c r="G558" i="1"/>
  <c r="E558" i="1"/>
  <c r="F558" i="1" s="1"/>
  <c r="D558" i="1"/>
  <c r="C558" i="1"/>
  <c r="B558" i="1"/>
  <c r="A558" i="1"/>
  <c r="N557" i="1"/>
  <c r="M557" i="1"/>
  <c r="L557" i="1"/>
  <c r="K557" i="1"/>
  <c r="J557" i="1"/>
  <c r="I557" i="1"/>
  <c r="H557" i="1"/>
  <c r="G557" i="1"/>
  <c r="E557" i="1"/>
  <c r="F557" i="1" s="1"/>
  <c r="D557" i="1"/>
  <c r="C557" i="1"/>
  <c r="B557" i="1"/>
  <c r="A557" i="1"/>
  <c r="N556" i="1"/>
  <c r="M556" i="1"/>
  <c r="L556" i="1"/>
  <c r="I556" i="1"/>
  <c r="H556" i="1"/>
  <c r="G556" i="1"/>
  <c r="F556" i="1"/>
  <c r="E556" i="1"/>
  <c r="D556" i="1"/>
  <c r="C556" i="1"/>
  <c r="B556" i="1"/>
  <c r="A556" i="1"/>
  <c r="N555" i="1"/>
  <c r="M555" i="1"/>
  <c r="J555" i="1"/>
  <c r="I555" i="1"/>
  <c r="H555" i="1"/>
  <c r="G555" i="1"/>
  <c r="F555" i="1"/>
  <c r="E555" i="1"/>
  <c r="D555" i="1"/>
  <c r="C555" i="1"/>
  <c r="B555" i="1"/>
  <c r="A555" i="1"/>
  <c r="N554" i="1"/>
  <c r="M554" i="1"/>
  <c r="L554" i="1"/>
  <c r="K554" i="1"/>
  <c r="J554" i="1"/>
  <c r="I554" i="1"/>
  <c r="H554" i="1"/>
  <c r="G554" i="1"/>
  <c r="E554" i="1"/>
  <c r="F554" i="1" s="1"/>
  <c r="D554" i="1"/>
  <c r="C554" i="1"/>
  <c r="B554" i="1"/>
  <c r="A554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N552" i="1"/>
  <c r="M552" i="1"/>
  <c r="L552" i="1"/>
  <c r="K552" i="1"/>
  <c r="J552" i="1"/>
  <c r="I552" i="1"/>
  <c r="H552" i="1"/>
  <c r="G552" i="1"/>
  <c r="E552" i="1"/>
  <c r="F552" i="1" s="1"/>
  <c r="D552" i="1"/>
  <c r="C552" i="1"/>
  <c r="B552" i="1"/>
  <c r="A552" i="1"/>
  <c r="N551" i="1"/>
  <c r="M551" i="1"/>
  <c r="I551" i="1"/>
  <c r="H551" i="1"/>
  <c r="G551" i="1"/>
  <c r="E551" i="1"/>
  <c r="D551" i="1"/>
  <c r="C551" i="1"/>
  <c r="B551" i="1"/>
  <c r="A551" i="1"/>
  <c r="N550" i="1"/>
  <c r="M550" i="1"/>
  <c r="I550" i="1"/>
  <c r="H550" i="1"/>
  <c r="G550" i="1"/>
  <c r="E550" i="1"/>
  <c r="D550" i="1"/>
  <c r="C550" i="1"/>
  <c r="B550" i="1"/>
  <c r="A550" i="1"/>
  <c r="N549" i="1"/>
  <c r="M549" i="1"/>
  <c r="I549" i="1"/>
  <c r="H549" i="1"/>
  <c r="G549" i="1"/>
  <c r="E549" i="1"/>
  <c r="D549" i="1"/>
  <c r="C549" i="1"/>
  <c r="B549" i="1"/>
  <c r="A549" i="1"/>
  <c r="N548" i="1"/>
  <c r="M548" i="1"/>
  <c r="I548" i="1"/>
  <c r="H548" i="1"/>
  <c r="G548" i="1"/>
  <c r="E548" i="1"/>
  <c r="D548" i="1"/>
  <c r="C548" i="1"/>
  <c r="B548" i="1"/>
  <c r="A548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N546" i="1"/>
  <c r="M546" i="1"/>
  <c r="L546" i="1"/>
  <c r="K546" i="1"/>
  <c r="J546" i="1"/>
  <c r="I546" i="1"/>
  <c r="H546" i="1"/>
  <c r="G546" i="1"/>
  <c r="E546" i="1"/>
  <c r="F546" i="1" s="1"/>
  <c r="D546" i="1"/>
  <c r="C546" i="1"/>
  <c r="B546" i="1"/>
  <c r="A546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N544" i="1"/>
  <c r="M544" i="1"/>
  <c r="L544" i="1"/>
  <c r="I544" i="1"/>
  <c r="H544" i="1"/>
  <c r="G544" i="1"/>
  <c r="F544" i="1"/>
  <c r="E544" i="1"/>
  <c r="D544" i="1"/>
  <c r="C544" i="1"/>
  <c r="B544" i="1"/>
  <c r="A544" i="1"/>
  <c r="N543" i="1"/>
  <c r="M543" i="1"/>
  <c r="J543" i="1"/>
  <c r="I543" i="1"/>
  <c r="H543" i="1"/>
  <c r="G543" i="1"/>
  <c r="F543" i="1"/>
  <c r="E543" i="1"/>
  <c r="D543" i="1"/>
  <c r="C543" i="1"/>
  <c r="B543" i="1"/>
  <c r="A543" i="1"/>
  <c r="N542" i="1"/>
  <c r="M542" i="1"/>
  <c r="I542" i="1"/>
  <c r="H542" i="1"/>
  <c r="G542" i="1"/>
  <c r="E542" i="1"/>
  <c r="D542" i="1"/>
  <c r="C542" i="1"/>
  <c r="B542" i="1"/>
  <c r="A542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N540" i="1"/>
  <c r="M540" i="1"/>
  <c r="L540" i="1"/>
  <c r="K540" i="1"/>
  <c r="J540" i="1"/>
  <c r="I540" i="1"/>
  <c r="H540" i="1"/>
  <c r="G540" i="1"/>
  <c r="E540" i="1"/>
  <c r="F540" i="1" s="1"/>
  <c r="D540" i="1"/>
  <c r="C540" i="1"/>
  <c r="B540" i="1"/>
  <c r="A540" i="1"/>
  <c r="N539" i="1"/>
  <c r="M539" i="1"/>
  <c r="J539" i="1"/>
  <c r="I539" i="1"/>
  <c r="H539" i="1"/>
  <c r="G539" i="1"/>
  <c r="F539" i="1"/>
  <c r="E539" i="1"/>
  <c r="D539" i="1"/>
  <c r="C539" i="1"/>
  <c r="B539" i="1"/>
  <c r="A539" i="1"/>
  <c r="N538" i="1"/>
  <c r="M538" i="1"/>
  <c r="L538" i="1"/>
  <c r="I538" i="1"/>
  <c r="H538" i="1"/>
  <c r="G538" i="1"/>
  <c r="F538" i="1"/>
  <c r="E538" i="1"/>
  <c r="D538" i="1"/>
  <c r="C538" i="1"/>
  <c r="B538" i="1"/>
  <c r="A538" i="1"/>
  <c r="N537" i="1"/>
  <c r="M537" i="1"/>
  <c r="J537" i="1"/>
  <c r="I537" i="1"/>
  <c r="H537" i="1"/>
  <c r="G537" i="1"/>
  <c r="F537" i="1"/>
  <c r="E537" i="1"/>
  <c r="D537" i="1"/>
  <c r="C537" i="1"/>
  <c r="B537" i="1"/>
  <c r="A537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N534" i="1"/>
  <c r="M534" i="1"/>
  <c r="L534" i="1"/>
  <c r="K534" i="1"/>
  <c r="J534" i="1"/>
  <c r="I534" i="1"/>
  <c r="H534" i="1"/>
  <c r="G534" i="1"/>
  <c r="E534" i="1"/>
  <c r="F534" i="1" s="1"/>
  <c r="D534" i="1"/>
  <c r="C534" i="1"/>
  <c r="B534" i="1"/>
  <c r="A534" i="1"/>
  <c r="N533" i="1"/>
  <c r="M533" i="1"/>
  <c r="K533" i="1"/>
  <c r="I533" i="1"/>
  <c r="H533" i="1"/>
  <c r="G533" i="1"/>
  <c r="E533" i="1"/>
  <c r="D533" i="1"/>
  <c r="C533" i="1"/>
  <c r="B533" i="1"/>
  <c r="A533" i="1"/>
  <c r="N532" i="1"/>
  <c r="M532" i="1"/>
  <c r="I532" i="1"/>
  <c r="H532" i="1"/>
  <c r="G532" i="1"/>
  <c r="E532" i="1"/>
  <c r="D532" i="1"/>
  <c r="C532" i="1"/>
  <c r="B532" i="1"/>
  <c r="A532" i="1"/>
  <c r="N531" i="1"/>
  <c r="M531" i="1"/>
  <c r="I531" i="1"/>
  <c r="H531" i="1"/>
  <c r="G531" i="1"/>
  <c r="E531" i="1"/>
  <c r="D531" i="1"/>
  <c r="C531" i="1"/>
  <c r="B531" i="1"/>
  <c r="A531" i="1"/>
  <c r="N530" i="1"/>
  <c r="M530" i="1"/>
  <c r="K530" i="1"/>
  <c r="I530" i="1"/>
  <c r="H530" i="1"/>
  <c r="G530" i="1"/>
  <c r="F530" i="1"/>
  <c r="E530" i="1"/>
  <c r="J530" i="1" s="1"/>
  <c r="D530" i="1"/>
  <c r="C530" i="1"/>
  <c r="B530" i="1"/>
  <c r="A530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N528" i="1"/>
  <c r="M528" i="1"/>
  <c r="L528" i="1"/>
  <c r="K528" i="1"/>
  <c r="J528" i="1"/>
  <c r="I528" i="1"/>
  <c r="H528" i="1"/>
  <c r="G528" i="1"/>
  <c r="E528" i="1"/>
  <c r="F528" i="1" s="1"/>
  <c r="D528" i="1"/>
  <c r="C528" i="1"/>
  <c r="B528" i="1"/>
  <c r="A528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N526" i="1"/>
  <c r="M526" i="1"/>
  <c r="L526" i="1"/>
  <c r="I526" i="1"/>
  <c r="H526" i="1"/>
  <c r="G526" i="1"/>
  <c r="F526" i="1"/>
  <c r="E526" i="1"/>
  <c r="D526" i="1"/>
  <c r="C526" i="1"/>
  <c r="B526" i="1"/>
  <c r="A526" i="1"/>
  <c r="N525" i="1"/>
  <c r="M525" i="1"/>
  <c r="J525" i="1"/>
  <c r="I525" i="1"/>
  <c r="H525" i="1"/>
  <c r="G525" i="1"/>
  <c r="F525" i="1"/>
  <c r="E525" i="1"/>
  <c r="D525" i="1"/>
  <c r="C525" i="1"/>
  <c r="B525" i="1"/>
  <c r="A525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N522" i="1"/>
  <c r="M522" i="1"/>
  <c r="L522" i="1"/>
  <c r="K522" i="1"/>
  <c r="J522" i="1"/>
  <c r="I522" i="1"/>
  <c r="H522" i="1"/>
  <c r="G522" i="1"/>
  <c r="E522" i="1"/>
  <c r="F522" i="1" s="1"/>
  <c r="D522" i="1"/>
  <c r="C522" i="1"/>
  <c r="B522" i="1"/>
  <c r="A522" i="1"/>
  <c r="N521" i="1"/>
  <c r="M521" i="1"/>
  <c r="K521" i="1"/>
  <c r="I521" i="1"/>
  <c r="H521" i="1"/>
  <c r="G521" i="1"/>
  <c r="F521" i="1"/>
  <c r="E521" i="1"/>
  <c r="J521" i="1" s="1"/>
  <c r="D521" i="1"/>
  <c r="C521" i="1"/>
  <c r="B521" i="1"/>
  <c r="A521" i="1"/>
  <c r="N520" i="1"/>
  <c r="M520" i="1"/>
  <c r="I520" i="1"/>
  <c r="H520" i="1"/>
  <c r="G520" i="1"/>
  <c r="F520" i="1"/>
  <c r="E520" i="1"/>
  <c r="D520" i="1"/>
  <c r="C520" i="1"/>
  <c r="B520" i="1"/>
  <c r="A520" i="1"/>
  <c r="N519" i="1"/>
  <c r="M519" i="1"/>
  <c r="I519" i="1"/>
  <c r="H519" i="1"/>
  <c r="G519" i="1"/>
  <c r="F519" i="1"/>
  <c r="E519" i="1"/>
  <c r="D519" i="1"/>
  <c r="C519" i="1"/>
  <c r="B519" i="1"/>
  <c r="A519" i="1"/>
  <c r="N518" i="1"/>
  <c r="M518" i="1"/>
  <c r="I518" i="1"/>
  <c r="H518" i="1"/>
  <c r="G518" i="1"/>
  <c r="E518" i="1"/>
  <c r="D518" i="1"/>
  <c r="C518" i="1"/>
  <c r="B518" i="1"/>
  <c r="A518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N516" i="1"/>
  <c r="M516" i="1"/>
  <c r="L516" i="1"/>
  <c r="K516" i="1"/>
  <c r="J516" i="1"/>
  <c r="I516" i="1"/>
  <c r="H516" i="1"/>
  <c r="G516" i="1"/>
  <c r="E516" i="1"/>
  <c r="F516" i="1" s="1"/>
  <c r="D516" i="1"/>
  <c r="C516" i="1"/>
  <c r="B516" i="1"/>
  <c r="A516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N514" i="1"/>
  <c r="M514" i="1"/>
  <c r="L514" i="1"/>
  <c r="I514" i="1"/>
  <c r="H514" i="1"/>
  <c r="G514" i="1"/>
  <c r="F514" i="1"/>
  <c r="E514" i="1"/>
  <c r="D514" i="1"/>
  <c r="C514" i="1"/>
  <c r="B514" i="1"/>
  <c r="A514" i="1"/>
  <c r="N513" i="1"/>
  <c r="M513" i="1"/>
  <c r="J513" i="1"/>
  <c r="I513" i="1"/>
  <c r="H513" i="1"/>
  <c r="G513" i="1"/>
  <c r="F513" i="1"/>
  <c r="E513" i="1"/>
  <c r="D513" i="1"/>
  <c r="C513" i="1"/>
  <c r="B513" i="1"/>
  <c r="A513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N510" i="1"/>
  <c r="M510" i="1"/>
  <c r="L510" i="1"/>
  <c r="K510" i="1"/>
  <c r="J510" i="1"/>
  <c r="I510" i="1"/>
  <c r="H510" i="1"/>
  <c r="G510" i="1"/>
  <c r="E510" i="1"/>
  <c r="F510" i="1" s="1"/>
  <c r="D510" i="1"/>
  <c r="C510" i="1"/>
  <c r="B510" i="1"/>
  <c r="A510" i="1"/>
  <c r="N509" i="1"/>
  <c r="M509" i="1"/>
  <c r="I509" i="1"/>
  <c r="H509" i="1"/>
  <c r="G509" i="1"/>
  <c r="F509" i="1"/>
  <c r="E509" i="1"/>
  <c r="D509" i="1"/>
  <c r="C509" i="1"/>
  <c r="B509" i="1"/>
  <c r="A509" i="1"/>
  <c r="N508" i="1"/>
  <c r="M508" i="1"/>
  <c r="I508" i="1"/>
  <c r="H508" i="1"/>
  <c r="G508" i="1"/>
  <c r="E508" i="1"/>
  <c r="D508" i="1"/>
  <c r="C508" i="1"/>
  <c r="B508" i="1"/>
  <c r="A508" i="1"/>
  <c r="N507" i="1"/>
  <c r="M507" i="1"/>
  <c r="I507" i="1"/>
  <c r="H507" i="1"/>
  <c r="G507" i="1"/>
  <c r="E507" i="1"/>
  <c r="D507" i="1"/>
  <c r="C507" i="1"/>
  <c r="B507" i="1"/>
  <c r="A507" i="1"/>
  <c r="N506" i="1"/>
  <c r="M506" i="1"/>
  <c r="I506" i="1"/>
  <c r="H506" i="1"/>
  <c r="G506" i="1"/>
  <c r="E506" i="1"/>
  <c r="D506" i="1"/>
  <c r="C506" i="1"/>
  <c r="B506" i="1"/>
  <c r="A506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N504" i="1"/>
  <c r="M504" i="1"/>
  <c r="L504" i="1"/>
  <c r="K504" i="1"/>
  <c r="J504" i="1"/>
  <c r="I504" i="1"/>
  <c r="H504" i="1"/>
  <c r="G504" i="1"/>
  <c r="E504" i="1"/>
  <c r="F504" i="1" s="1"/>
  <c r="D504" i="1"/>
  <c r="C504" i="1"/>
  <c r="B504" i="1"/>
  <c r="A504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N502" i="1"/>
  <c r="M502" i="1"/>
  <c r="L502" i="1"/>
  <c r="I502" i="1"/>
  <c r="H502" i="1"/>
  <c r="G502" i="1"/>
  <c r="F502" i="1"/>
  <c r="E502" i="1"/>
  <c r="D502" i="1"/>
  <c r="C502" i="1"/>
  <c r="B502" i="1"/>
  <c r="A502" i="1"/>
  <c r="N501" i="1"/>
  <c r="M501" i="1"/>
  <c r="J501" i="1"/>
  <c r="I501" i="1"/>
  <c r="H501" i="1"/>
  <c r="G501" i="1"/>
  <c r="F501" i="1"/>
  <c r="E501" i="1"/>
  <c r="D501" i="1"/>
  <c r="C501" i="1"/>
  <c r="B501" i="1"/>
  <c r="A501" i="1"/>
  <c r="N500" i="1"/>
  <c r="M500" i="1"/>
  <c r="L500" i="1"/>
  <c r="I500" i="1"/>
  <c r="H500" i="1"/>
  <c r="G500" i="1"/>
  <c r="E500" i="1"/>
  <c r="D500" i="1"/>
  <c r="C500" i="1"/>
  <c r="B500" i="1"/>
  <c r="A500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N498" i="1"/>
  <c r="M498" i="1"/>
  <c r="L498" i="1"/>
  <c r="K498" i="1"/>
  <c r="J498" i="1"/>
  <c r="I498" i="1"/>
  <c r="H498" i="1"/>
  <c r="G498" i="1"/>
  <c r="E498" i="1"/>
  <c r="F498" i="1" s="1"/>
  <c r="D498" i="1"/>
  <c r="C498" i="1"/>
  <c r="B498" i="1"/>
  <c r="A498" i="1"/>
  <c r="N497" i="1"/>
  <c r="M497" i="1"/>
  <c r="K497" i="1"/>
  <c r="J497" i="1"/>
  <c r="I497" i="1"/>
  <c r="H497" i="1"/>
  <c r="G497" i="1"/>
  <c r="E497" i="1"/>
  <c r="L497" i="1" s="1"/>
  <c r="D497" i="1"/>
  <c r="C497" i="1"/>
  <c r="B497" i="1"/>
  <c r="A497" i="1"/>
  <c r="N496" i="1"/>
  <c r="M496" i="1"/>
  <c r="L496" i="1"/>
  <c r="I496" i="1"/>
  <c r="H496" i="1"/>
  <c r="G496" i="1"/>
  <c r="E496" i="1"/>
  <c r="D496" i="1"/>
  <c r="C496" i="1"/>
  <c r="B496" i="1"/>
  <c r="A496" i="1"/>
  <c r="N495" i="1"/>
  <c r="M495" i="1"/>
  <c r="J495" i="1"/>
  <c r="I495" i="1"/>
  <c r="H495" i="1"/>
  <c r="G495" i="1"/>
  <c r="E495" i="1"/>
  <c r="D495" i="1"/>
  <c r="C495" i="1"/>
  <c r="B495" i="1"/>
  <c r="A495" i="1"/>
  <c r="N494" i="1"/>
  <c r="M494" i="1"/>
  <c r="L494" i="1"/>
  <c r="J494" i="1"/>
  <c r="I494" i="1"/>
  <c r="H494" i="1"/>
  <c r="G494" i="1"/>
  <c r="E494" i="1"/>
  <c r="K494" i="1" s="1"/>
  <c r="D494" i="1"/>
  <c r="C494" i="1"/>
  <c r="B494" i="1"/>
  <c r="A494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N492" i="1"/>
  <c r="M492" i="1"/>
  <c r="L492" i="1"/>
  <c r="K492" i="1"/>
  <c r="J492" i="1"/>
  <c r="I492" i="1"/>
  <c r="H492" i="1"/>
  <c r="G492" i="1"/>
  <c r="E492" i="1"/>
  <c r="F492" i="1" s="1"/>
  <c r="D492" i="1"/>
  <c r="C492" i="1"/>
  <c r="B492" i="1"/>
  <c r="A492" i="1"/>
  <c r="N491" i="1"/>
  <c r="M491" i="1"/>
  <c r="I491" i="1"/>
  <c r="H491" i="1"/>
  <c r="G491" i="1"/>
  <c r="E491" i="1"/>
  <c r="D491" i="1"/>
  <c r="C491" i="1"/>
  <c r="B491" i="1"/>
  <c r="A491" i="1"/>
  <c r="N490" i="1"/>
  <c r="M490" i="1"/>
  <c r="I490" i="1"/>
  <c r="H490" i="1"/>
  <c r="G490" i="1"/>
  <c r="E490" i="1"/>
  <c r="D490" i="1"/>
  <c r="C490" i="1"/>
  <c r="B490" i="1"/>
  <c r="A490" i="1"/>
  <c r="N489" i="1"/>
  <c r="M489" i="1"/>
  <c r="I489" i="1"/>
  <c r="H489" i="1"/>
  <c r="G489" i="1"/>
  <c r="F489" i="1"/>
  <c r="E489" i="1"/>
  <c r="D489" i="1"/>
  <c r="C489" i="1"/>
  <c r="B489" i="1"/>
  <c r="A489" i="1"/>
  <c r="N488" i="1"/>
  <c r="M488" i="1"/>
  <c r="I488" i="1"/>
  <c r="H488" i="1"/>
  <c r="G488" i="1"/>
  <c r="E488" i="1"/>
  <c r="D488" i="1"/>
  <c r="C488" i="1"/>
  <c r="B488" i="1"/>
  <c r="A488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N486" i="1"/>
  <c r="M486" i="1"/>
  <c r="L486" i="1"/>
  <c r="K486" i="1"/>
  <c r="I486" i="1"/>
  <c r="H486" i="1"/>
  <c r="G486" i="1"/>
  <c r="E486" i="1"/>
  <c r="D486" i="1"/>
  <c r="C486" i="1"/>
  <c r="B486" i="1"/>
  <c r="A486" i="1"/>
  <c r="N485" i="1"/>
  <c r="M485" i="1"/>
  <c r="L485" i="1"/>
  <c r="K485" i="1"/>
  <c r="J485" i="1"/>
  <c r="I485" i="1"/>
  <c r="H485" i="1"/>
  <c r="G485" i="1"/>
  <c r="E485" i="1"/>
  <c r="F485" i="1" s="1"/>
  <c r="D485" i="1"/>
  <c r="C485" i="1"/>
  <c r="B485" i="1"/>
  <c r="A485" i="1"/>
  <c r="N484" i="1"/>
  <c r="M484" i="1"/>
  <c r="L484" i="1"/>
  <c r="I484" i="1"/>
  <c r="H484" i="1"/>
  <c r="G484" i="1"/>
  <c r="E484" i="1"/>
  <c r="D484" i="1"/>
  <c r="C484" i="1"/>
  <c r="B484" i="1"/>
  <c r="A484" i="1"/>
  <c r="N483" i="1"/>
  <c r="M483" i="1"/>
  <c r="K483" i="1"/>
  <c r="J483" i="1"/>
  <c r="I483" i="1"/>
  <c r="H483" i="1"/>
  <c r="G483" i="1"/>
  <c r="F483" i="1"/>
  <c r="E483" i="1"/>
  <c r="L483" i="1" s="1"/>
  <c r="D483" i="1"/>
  <c r="C483" i="1"/>
  <c r="B483" i="1"/>
  <c r="A483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N480" i="1"/>
  <c r="M480" i="1"/>
  <c r="L480" i="1"/>
  <c r="I480" i="1"/>
  <c r="H480" i="1"/>
  <c r="G480" i="1"/>
  <c r="E480" i="1"/>
  <c r="F480" i="1" s="1"/>
  <c r="D480" i="1"/>
  <c r="C480" i="1"/>
  <c r="B480" i="1"/>
  <c r="A480" i="1"/>
  <c r="N479" i="1"/>
  <c r="M479" i="1"/>
  <c r="I479" i="1"/>
  <c r="H479" i="1"/>
  <c r="G479" i="1"/>
  <c r="F479" i="1"/>
  <c r="E479" i="1"/>
  <c r="D479" i="1"/>
  <c r="C479" i="1"/>
  <c r="B479" i="1"/>
  <c r="A479" i="1"/>
  <c r="N478" i="1"/>
  <c r="M478" i="1"/>
  <c r="I478" i="1"/>
  <c r="H478" i="1"/>
  <c r="G478" i="1"/>
  <c r="F478" i="1"/>
  <c r="E478" i="1"/>
  <c r="D478" i="1"/>
  <c r="C478" i="1"/>
  <c r="B478" i="1"/>
  <c r="A478" i="1"/>
  <c r="N477" i="1"/>
  <c r="M477" i="1"/>
  <c r="I477" i="1"/>
  <c r="H477" i="1"/>
  <c r="G477" i="1"/>
  <c r="E477" i="1"/>
  <c r="D477" i="1"/>
  <c r="C477" i="1"/>
  <c r="B477" i="1"/>
  <c r="A477" i="1"/>
  <c r="N476" i="1"/>
  <c r="M476" i="1"/>
  <c r="L476" i="1"/>
  <c r="J476" i="1"/>
  <c r="I476" i="1"/>
  <c r="H476" i="1"/>
  <c r="G476" i="1"/>
  <c r="E476" i="1"/>
  <c r="K476" i="1" s="1"/>
  <c r="D476" i="1"/>
  <c r="C476" i="1"/>
  <c r="B476" i="1"/>
  <c r="A476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N474" i="1"/>
  <c r="M474" i="1"/>
  <c r="L474" i="1"/>
  <c r="K474" i="1"/>
  <c r="J474" i="1"/>
  <c r="I474" i="1"/>
  <c r="H474" i="1"/>
  <c r="G474" i="1"/>
  <c r="E474" i="1"/>
  <c r="F474" i="1" s="1"/>
  <c r="D474" i="1"/>
  <c r="C474" i="1"/>
  <c r="B474" i="1"/>
  <c r="A474" i="1"/>
  <c r="N473" i="1"/>
  <c r="M473" i="1"/>
  <c r="I473" i="1"/>
  <c r="H473" i="1"/>
  <c r="G473" i="1"/>
  <c r="E473" i="1"/>
  <c r="D473" i="1"/>
  <c r="C473" i="1"/>
  <c r="B473" i="1"/>
  <c r="A473" i="1"/>
  <c r="N472" i="1"/>
  <c r="M472" i="1"/>
  <c r="I472" i="1"/>
  <c r="H472" i="1"/>
  <c r="G472" i="1"/>
  <c r="F472" i="1"/>
  <c r="E472" i="1"/>
  <c r="J472" i="1" s="1"/>
  <c r="D472" i="1"/>
  <c r="C472" i="1"/>
  <c r="B472" i="1"/>
  <c r="A472" i="1"/>
  <c r="N471" i="1"/>
  <c r="M471" i="1"/>
  <c r="I471" i="1"/>
  <c r="H471" i="1"/>
  <c r="G471" i="1"/>
  <c r="E471" i="1"/>
  <c r="D471" i="1"/>
  <c r="C471" i="1"/>
  <c r="B471" i="1"/>
  <c r="A471" i="1"/>
  <c r="N470" i="1"/>
  <c r="M470" i="1"/>
  <c r="I470" i="1"/>
  <c r="H470" i="1"/>
  <c r="G470" i="1"/>
  <c r="E470" i="1"/>
  <c r="D470" i="1"/>
  <c r="C470" i="1"/>
  <c r="B470" i="1"/>
  <c r="A470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N468" i="1"/>
  <c r="M468" i="1"/>
  <c r="L468" i="1"/>
  <c r="K468" i="1"/>
  <c r="J468" i="1"/>
  <c r="I468" i="1"/>
  <c r="H468" i="1"/>
  <c r="G468" i="1"/>
  <c r="E468" i="1"/>
  <c r="F468" i="1" s="1"/>
  <c r="D468" i="1"/>
  <c r="C468" i="1"/>
  <c r="B468" i="1"/>
  <c r="A468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N466" i="1"/>
  <c r="M466" i="1"/>
  <c r="L466" i="1"/>
  <c r="K466" i="1"/>
  <c r="I466" i="1"/>
  <c r="H466" i="1"/>
  <c r="G466" i="1"/>
  <c r="F466" i="1"/>
  <c r="E466" i="1"/>
  <c r="J466" i="1" s="1"/>
  <c r="D466" i="1"/>
  <c r="C466" i="1"/>
  <c r="B466" i="1"/>
  <c r="A466" i="1"/>
  <c r="N465" i="1"/>
  <c r="M465" i="1"/>
  <c r="K465" i="1"/>
  <c r="I465" i="1"/>
  <c r="H465" i="1"/>
  <c r="G465" i="1"/>
  <c r="E465" i="1"/>
  <c r="D465" i="1"/>
  <c r="C465" i="1"/>
  <c r="B465" i="1"/>
  <c r="A465" i="1"/>
  <c r="N464" i="1"/>
  <c r="M464" i="1"/>
  <c r="I464" i="1"/>
  <c r="H464" i="1"/>
  <c r="G464" i="1"/>
  <c r="F464" i="1"/>
  <c r="E464" i="1"/>
  <c r="J464" i="1" s="1"/>
  <c r="D464" i="1"/>
  <c r="C464" i="1"/>
  <c r="B464" i="1"/>
  <c r="A464" i="1"/>
  <c r="N463" i="1"/>
  <c r="M463" i="1"/>
  <c r="I463" i="1"/>
  <c r="H463" i="1"/>
  <c r="G463" i="1"/>
  <c r="E463" i="1"/>
  <c r="D463" i="1"/>
  <c r="C463" i="1"/>
  <c r="B463" i="1"/>
  <c r="A463" i="1"/>
  <c r="N462" i="1"/>
  <c r="M462" i="1"/>
  <c r="K462" i="1"/>
  <c r="I462" i="1"/>
  <c r="H462" i="1"/>
  <c r="G462" i="1"/>
  <c r="E462" i="1"/>
  <c r="D462" i="1"/>
  <c r="C462" i="1"/>
  <c r="B462" i="1"/>
  <c r="A462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N460" i="1"/>
  <c r="M460" i="1"/>
  <c r="L460" i="1"/>
  <c r="K460" i="1"/>
  <c r="I460" i="1"/>
  <c r="H460" i="1"/>
  <c r="G460" i="1"/>
  <c r="E460" i="1"/>
  <c r="J460" i="1" s="1"/>
  <c r="D460" i="1"/>
  <c r="C460" i="1"/>
  <c r="B460" i="1"/>
  <c r="A460" i="1"/>
  <c r="N459" i="1"/>
  <c r="M459" i="1"/>
  <c r="K459" i="1"/>
  <c r="J459" i="1"/>
  <c r="I459" i="1"/>
  <c r="H459" i="1"/>
  <c r="G459" i="1"/>
  <c r="F459" i="1"/>
  <c r="E459" i="1"/>
  <c r="L459" i="1" s="1"/>
  <c r="D459" i="1"/>
  <c r="C459" i="1"/>
  <c r="B459" i="1"/>
  <c r="A459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N457" i="1"/>
  <c r="M457" i="1"/>
  <c r="L457" i="1"/>
  <c r="I457" i="1"/>
  <c r="H457" i="1"/>
  <c r="G457" i="1"/>
  <c r="F457" i="1"/>
  <c r="E457" i="1"/>
  <c r="D457" i="1"/>
  <c r="C457" i="1"/>
  <c r="B457" i="1"/>
  <c r="A457" i="1"/>
  <c r="N456" i="1"/>
  <c r="M456" i="1"/>
  <c r="I456" i="1"/>
  <c r="H456" i="1"/>
  <c r="G456" i="1"/>
  <c r="E456" i="1"/>
  <c r="F456" i="1" s="1"/>
  <c r="D456" i="1"/>
  <c r="C456" i="1"/>
  <c r="B456" i="1"/>
  <c r="A456" i="1"/>
  <c r="N455" i="1"/>
  <c r="M455" i="1"/>
  <c r="I455" i="1"/>
  <c r="H455" i="1"/>
  <c r="G455" i="1"/>
  <c r="E455" i="1"/>
  <c r="D455" i="1"/>
  <c r="C455" i="1"/>
  <c r="B455" i="1"/>
  <c r="A455" i="1"/>
  <c r="N454" i="1"/>
  <c r="M454" i="1"/>
  <c r="K454" i="1"/>
  <c r="I454" i="1"/>
  <c r="H454" i="1"/>
  <c r="G454" i="1"/>
  <c r="E454" i="1"/>
  <c r="D454" i="1"/>
  <c r="C454" i="1"/>
  <c r="B454" i="1"/>
  <c r="A454" i="1"/>
  <c r="N453" i="1"/>
  <c r="M453" i="1"/>
  <c r="K453" i="1"/>
  <c r="J453" i="1"/>
  <c r="I453" i="1"/>
  <c r="H453" i="1"/>
  <c r="G453" i="1"/>
  <c r="F453" i="1"/>
  <c r="E453" i="1"/>
  <c r="L453" i="1" s="1"/>
  <c r="D453" i="1"/>
  <c r="C453" i="1"/>
  <c r="B453" i="1"/>
  <c r="A453" i="1"/>
  <c r="N452" i="1"/>
  <c r="M452" i="1"/>
  <c r="L452" i="1"/>
  <c r="K452" i="1"/>
  <c r="J452" i="1"/>
  <c r="I452" i="1"/>
  <c r="H452" i="1"/>
  <c r="G452" i="1"/>
  <c r="E452" i="1"/>
  <c r="F452" i="1" s="1"/>
  <c r="D452" i="1"/>
  <c r="C452" i="1"/>
  <c r="B452" i="1"/>
  <c r="A452" i="1"/>
  <c r="N451" i="1"/>
  <c r="M451" i="1"/>
  <c r="L451" i="1"/>
  <c r="K451" i="1"/>
  <c r="J451" i="1"/>
  <c r="I451" i="1"/>
  <c r="H451" i="1"/>
  <c r="G451" i="1"/>
  <c r="E451" i="1"/>
  <c r="F451" i="1" s="1"/>
  <c r="D451" i="1"/>
  <c r="C451" i="1"/>
  <c r="B451" i="1"/>
  <c r="A451" i="1"/>
  <c r="N450" i="1"/>
  <c r="M450" i="1"/>
  <c r="L450" i="1"/>
  <c r="K450" i="1"/>
  <c r="J450" i="1"/>
  <c r="I450" i="1"/>
  <c r="H450" i="1"/>
  <c r="G450" i="1"/>
  <c r="E450" i="1"/>
  <c r="F450" i="1" s="1"/>
  <c r="D450" i="1"/>
  <c r="C450" i="1"/>
  <c r="B450" i="1"/>
  <c r="A450" i="1"/>
  <c r="N449" i="1"/>
  <c r="M449" i="1"/>
  <c r="L449" i="1"/>
  <c r="I449" i="1"/>
  <c r="H449" i="1"/>
  <c r="G449" i="1"/>
  <c r="E449" i="1"/>
  <c r="D449" i="1"/>
  <c r="C449" i="1"/>
  <c r="B449" i="1"/>
  <c r="A449" i="1"/>
  <c r="N448" i="1"/>
  <c r="M448" i="1"/>
  <c r="I448" i="1"/>
  <c r="H448" i="1"/>
  <c r="G448" i="1"/>
  <c r="F448" i="1"/>
  <c r="E448" i="1"/>
  <c r="J448" i="1" s="1"/>
  <c r="D448" i="1"/>
  <c r="C448" i="1"/>
  <c r="B448" i="1"/>
  <c r="A448" i="1"/>
  <c r="N447" i="1"/>
  <c r="M447" i="1"/>
  <c r="I447" i="1"/>
  <c r="H447" i="1"/>
  <c r="G447" i="1"/>
  <c r="E447" i="1"/>
  <c r="D447" i="1"/>
  <c r="C447" i="1"/>
  <c r="B447" i="1"/>
  <c r="A447" i="1"/>
  <c r="N446" i="1"/>
  <c r="M446" i="1"/>
  <c r="J446" i="1"/>
  <c r="I446" i="1"/>
  <c r="H446" i="1"/>
  <c r="G446" i="1"/>
  <c r="F446" i="1"/>
  <c r="E446" i="1"/>
  <c r="D446" i="1"/>
  <c r="C446" i="1"/>
  <c r="B446" i="1"/>
  <c r="A446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N444" i="1"/>
  <c r="M444" i="1"/>
  <c r="L444" i="1"/>
  <c r="K444" i="1"/>
  <c r="J444" i="1"/>
  <c r="I444" i="1"/>
  <c r="H444" i="1"/>
  <c r="G444" i="1"/>
  <c r="E444" i="1"/>
  <c r="F444" i="1" s="1"/>
  <c r="D444" i="1"/>
  <c r="C444" i="1"/>
  <c r="B444" i="1"/>
  <c r="A444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N442" i="1"/>
  <c r="M442" i="1"/>
  <c r="L442" i="1"/>
  <c r="K442" i="1"/>
  <c r="I442" i="1"/>
  <c r="H442" i="1"/>
  <c r="G442" i="1"/>
  <c r="F442" i="1"/>
  <c r="E442" i="1"/>
  <c r="J442" i="1" s="1"/>
  <c r="D442" i="1"/>
  <c r="C442" i="1"/>
  <c r="B442" i="1"/>
  <c r="A442" i="1"/>
  <c r="N441" i="1"/>
  <c r="M441" i="1"/>
  <c r="K441" i="1"/>
  <c r="I441" i="1"/>
  <c r="H441" i="1"/>
  <c r="G441" i="1"/>
  <c r="E441" i="1"/>
  <c r="D441" i="1"/>
  <c r="C441" i="1"/>
  <c r="B441" i="1"/>
  <c r="A441" i="1"/>
  <c r="N440" i="1"/>
  <c r="M440" i="1"/>
  <c r="I440" i="1"/>
  <c r="H440" i="1"/>
  <c r="G440" i="1"/>
  <c r="F440" i="1"/>
  <c r="E440" i="1"/>
  <c r="J440" i="1" s="1"/>
  <c r="D440" i="1"/>
  <c r="C440" i="1"/>
  <c r="B440" i="1"/>
  <c r="A440" i="1"/>
  <c r="N439" i="1"/>
  <c r="M439" i="1"/>
  <c r="I439" i="1"/>
  <c r="H439" i="1"/>
  <c r="G439" i="1"/>
  <c r="E439" i="1"/>
  <c r="D439" i="1"/>
  <c r="C439" i="1"/>
  <c r="B439" i="1"/>
  <c r="A439" i="1"/>
  <c r="N438" i="1"/>
  <c r="M438" i="1"/>
  <c r="K438" i="1"/>
  <c r="J438" i="1"/>
  <c r="I438" i="1"/>
  <c r="H438" i="1"/>
  <c r="G438" i="1"/>
  <c r="E438" i="1"/>
  <c r="D438" i="1"/>
  <c r="C438" i="1"/>
  <c r="B438" i="1"/>
  <c r="A438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N436" i="1"/>
  <c r="M436" i="1"/>
  <c r="L436" i="1"/>
  <c r="K436" i="1"/>
  <c r="I436" i="1"/>
  <c r="H436" i="1"/>
  <c r="G436" i="1"/>
  <c r="E436" i="1"/>
  <c r="J436" i="1" s="1"/>
  <c r="D436" i="1"/>
  <c r="C436" i="1"/>
  <c r="B436" i="1"/>
  <c r="A436" i="1"/>
  <c r="N435" i="1"/>
  <c r="M435" i="1"/>
  <c r="K435" i="1"/>
  <c r="J435" i="1"/>
  <c r="I435" i="1"/>
  <c r="H435" i="1"/>
  <c r="G435" i="1"/>
  <c r="F435" i="1"/>
  <c r="E435" i="1"/>
  <c r="L435" i="1" s="1"/>
  <c r="D435" i="1"/>
  <c r="C435" i="1"/>
  <c r="B435" i="1"/>
  <c r="A435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N433" i="1"/>
  <c r="M433" i="1"/>
  <c r="I433" i="1"/>
  <c r="H433" i="1"/>
  <c r="G433" i="1"/>
  <c r="E433" i="1"/>
  <c r="F433" i="1" s="1"/>
  <c r="D433" i="1"/>
  <c r="C433" i="1"/>
  <c r="B433" i="1"/>
  <c r="A433" i="1"/>
  <c r="N432" i="1"/>
  <c r="M432" i="1"/>
  <c r="I432" i="1"/>
  <c r="H432" i="1"/>
  <c r="G432" i="1"/>
  <c r="E432" i="1"/>
  <c r="F432" i="1" s="1"/>
  <c r="D432" i="1"/>
  <c r="C432" i="1"/>
  <c r="B432" i="1"/>
  <c r="A432" i="1"/>
  <c r="N431" i="1"/>
  <c r="M431" i="1"/>
  <c r="I431" i="1"/>
  <c r="H431" i="1"/>
  <c r="G431" i="1"/>
  <c r="F431" i="1"/>
  <c r="E431" i="1"/>
  <c r="D431" i="1"/>
  <c r="C431" i="1"/>
  <c r="B431" i="1"/>
  <c r="A431" i="1"/>
  <c r="N430" i="1"/>
  <c r="M430" i="1"/>
  <c r="I430" i="1"/>
  <c r="H430" i="1"/>
  <c r="G430" i="1"/>
  <c r="F430" i="1"/>
  <c r="E430" i="1"/>
  <c r="D430" i="1"/>
  <c r="C430" i="1"/>
  <c r="B430" i="1"/>
  <c r="A430" i="1"/>
  <c r="N429" i="1"/>
  <c r="M429" i="1"/>
  <c r="I429" i="1"/>
  <c r="H429" i="1"/>
  <c r="G429" i="1"/>
  <c r="E429" i="1"/>
  <c r="D429" i="1"/>
  <c r="C429" i="1"/>
  <c r="B429" i="1"/>
  <c r="A429" i="1"/>
  <c r="N428" i="1"/>
  <c r="M428" i="1"/>
  <c r="L428" i="1"/>
  <c r="K428" i="1"/>
  <c r="J428" i="1"/>
  <c r="I428" i="1"/>
  <c r="H428" i="1"/>
  <c r="G428" i="1"/>
  <c r="E428" i="1"/>
  <c r="F428" i="1" s="1"/>
  <c r="D428" i="1"/>
  <c r="C428" i="1"/>
  <c r="B428" i="1"/>
  <c r="A428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N426" i="1"/>
  <c r="M426" i="1"/>
  <c r="L426" i="1"/>
  <c r="K426" i="1"/>
  <c r="J426" i="1"/>
  <c r="I426" i="1"/>
  <c r="H426" i="1"/>
  <c r="G426" i="1"/>
  <c r="E426" i="1"/>
  <c r="F426" i="1" s="1"/>
  <c r="D426" i="1"/>
  <c r="C426" i="1"/>
  <c r="B426" i="1"/>
  <c r="A426" i="1"/>
  <c r="N425" i="1"/>
  <c r="M425" i="1"/>
  <c r="I425" i="1"/>
  <c r="H425" i="1"/>
  <c r="G425" i="1"/>
  <c r="F425" i="1"/>
  <c r="E425" i="1"/>
  <c r="D425" i="1"/>
  <c r="C425" i="1"/>
  <c r="B425" i="1"/>
  <c r="A425" i="1"/>
  <c r="N424" i="1"/>
  <c r="M424" i="1"/>
  <c r="I424" i="1"/>
  <c r="H424" i="1"/>
  <c r="G424" i="1"/>
  <c r="F424" i="1"/>
  <c r="E424" i="1"/>
  <c r="J424" i="1" s="1"/>
  <c r="D424" i="1"/>
  <c r="C424" i="1"/>
  <c r="B424" i="1"/>
  <c r="A424" i="1"/>
  <c r="N423" i="1"/>
  <c r="M423" i="1"/>
  <c r="I423" i="1"/>
  <c r="H423" i="1"/>
  <c r="G423" i="1"/>
  <c r="E423" i="1"/>
  <c r="D423" i="1"/>
  <c r="C423" i="1"/>
  <c r="B423" i="1"/>
  <c r="A423" i="1"/>
  <c r="N422" i="1"/>
  <c r="M422" i="1"/>
  <c r="I422" i="1"/>
  <c r="H422" i="1"/>
  <c r="G422" i="1"/>
  <c r="E422" i="1"/>
  <c r="D422" i="1"/>
  <c r="C422" i="1"/>
  <c r="B422" i="1"/>
  <c r="A422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N420" i="1"/>
  <c r="M420" i="1"/>
  <c r="L420" i="1"/>
  <c r="K420" i="1"/>
  <c r="J420" i="1"/>
  <c r="I420" i="1"/>
  <c r="H420" i="1"/>
  <c r="G420" i="1"/>
  <c r="E420" i="1"/>
  <c r="F420" i="1" s="1"/>
  <c r="D420" i="1"/>
  <c r="C420" i="1"/>
  <c r="B420" i="1"/>
  <c r="A420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N418" i="1"/>
  <c r="M418" i="1"/>
  <c r="L418" i="1"/>
  <c r="K418" i="1"/>
  <c r="I418" i="1"/>
  <c r="H418" i="1"/>
  <c r="G418" i="1"/>
  <c r="F418" i="1"/>
  <c r="E418" i="1"/>
  <c r="J418" i="1" s="1"/>
  <c r="D418" i="1"/>
  <c r="C418" i="1"/>
  <c r="B418" i="1"/>
  <c r="A418" i="1"/>
  <c r="N417" i="1"/>
  <c r="M417" i="1"/>
  <c r="K417" i="1"/>
  <c r="I417" i="1"/>
  <c r="H417" i="1"/>
  <c r="G417" i="1"/>
  <c r="E417" i="1"/>
  <c r="D417" i="1"/>
  <c r="C417" i="1"/>
  <c r="B417" i="1"/>
  <c r="A417" i="1"/>
  <c r="N416" i="1"/>
  <c r="M416" i="1"/>
  <c r="I416" i="1"/>
  <c r="H416" i="1"/>
  <c r="G416" i="1"/>
  <c r="F416" i="1"/>
  <c r="E416" i="1"/>
  <c r="J416" i="1" s="1"/>
  <c r="D416" i="1"/>
  <c r="C416" i="1"/>
  <c r="B416" i="1"/>
  <c r="A416" i="1"/>
  <c r="N415" i="1"/>
  <c r="M415" i="1"/>
  <c r="I415" i="1"/>
  <c r="H415" i="1"/>
  <c r="G415" i="1"/>
  <c r="F415" i="1"/>
  <c r="E415" i="1"/>
  <c r="D415" i="1"/>
  <c r="C415" i="1"/>
  <c r="B415" i="1"/>
  <c r="A415" i="1"/>
  <c r="N414" i="1"/>
  <c r="M414" i="1"/>
  <c r="J414" i="1"/>
  <c r="I414" i="1"/>
  <c r="H414" i="1"/>
  <c r="G414" i="1"/>
  <c r="E414" i="1"/>
  <c r="D414" i="1"/>
  <c r="C414" i="1"/>
  <c r="B414" i="1"/>
  <c r="A414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N412" i="1"/>
  <c r="M412" i="1"/>
  <c r="L412" i="1"/>
  <c r="K412" i="1"/>
  <c r="I412" i="1"/>
  <c r="H412" i="1"/>
  <c r="G412" i="1"/>
  <c r="E412" i="1"/>
  <c r="J412" i="1" s="1"/>
  <c r="D412" i="1"/>
  <c r="C412" i="1"/>
  <c r="B412" i="1"/>
  <c r="A412" i="1"/>
  <c r="N411" i="1"/>
  <c r="M411" i="1"/>
  <c r="K411" i="1"/>
  <c r="J411" i="1"/>
  <c r="I411" i="1"/>
  <c r="H411" i="1"/>
  <c r="G411" i="1"/>
  <c r="F411" i="1"/>
  <c r="E411" i="1"/>
  <c r="L411" i="1" s="1"/>
  <c r="D411" i="1"/>
  <c r="C411" i="1"/>
  <c r="B411" i="1"/>
  <c r="A411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N409" i="1"/>
  <c r="M409" i="1"/>
  <c r="L409" i="1"/>
  <c r="I409" i="1"/>
  <c r="H409" i="1"/>
  <c r="G409" i="1"/>
  <c r="E409" i="1"/>
  <c r="D409" i="1"/>
  <c r="C409" i="1"/>
  <c r="B409" i="1"/>
  <c r="A409" i="1"/>
  <c r="N408" i="1"/>
  <c r="M408" i="1"/>
  <c r="I408" i="1"/>
  <c r="H408" i="1"/>
  <c r="G408" i="1"/>
  <c r="E408" i="1"/>
  <c r="F408" i="1" s="1"/>
  <c r="D408" i="1"/>
  <c r="C408" i="1"/>
  <c r="B408" i="1"/>
  <c r="A408" i="1"/>
  <c r="N407" i="1"/>
  <c r="M407" i="1"/>
  <c r="I407" i="1"/>
  <c r="H407" i="1"/>
  <c r="G407" i="1"/>
  <c r="F407" i="1"/>
  <c r="E407" i="1"/>
  <c r="D407" i="1"/>
  <c r="C407" i="1"/>
  <c r="B407" i="1"/>
  <c r="A407" i="1"/>
  <c r="N406" i="1"/>
  <c r="M406" i="1"/>
  <c r="K406" i="1"/>
  <c r="I406" i="1"/>
  <c r="H406" i="1"/>
  <c r="G406" i="1"/>
  <c r="F406" i="1"/>
  <c r="E406" i="1"/>
  <c r="D406" i="1"/>
  <c r="C406" i="1"/>
  <c r="B406" i="1"/>
  <c r="A406" i="1"/>
  <c r="N405" i="1"/>
  <c r="M405" i="1"/>
  <c r="K405" i="1"/>
  <c r="J405" i="1"/>
  <c r="I405" i="1"/>
  <c r="H405" i="1"/>
  <c r="G405" i="1"/>
  <c r="E405" i="1"/>
  <c r="L405" i="1" s="1"/>
  <c r="D405" i="1"/>
  <c r="C405" i="1"/>
  <c r="B405" i="1"/>
  <c r="A405" i="1"/>
  <c r="N404" i="1"/>
  <c r="M404" i="1"/>
  <c r="L404" i="1"/>
  <c r="K404" i="1"/>
  <c r="J404" i="1"/>
  <c r="I404" i="1"/>
  <c r="H404" i="1"/>
  <c r="G404" i="1"/>
  <c r="E404" i="1"/>
  <c r="F404" i="1" s="1"/>
  <c r="D404" i="1"/>
  <c r="C404" i="1"/>
  <c r="B404" i="1"/>
  <c r="A404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N402" i="1"/>
  <c r="M402" i="1"/>
  <c r="L402" i="1"/>
  <c r="K402" i="1"/>
  <c r="J402" i="1"/>
  <c r="I402" i="1"/>
  <c r="H402" i="1"/>
  <c r="G402" i="1"/>
  <c r="E402" i="1"/>
  <c r="F402" i="1" s="1"/>
  <c r="D402" i="1"/>
  <c r="C402" i="1"/>
  <c r="B402" i="1"/>
  <c r="A402" i="1"/>
  <c r="N401" i="1"/>
  <c r="M401" i="1"/>
  <c r="I401" i="1"/>
  <c r="H401" i="1"/>
  <c r="G401" i="1"/>
  <c r="F401" i="1"/>
  <c r="E401" i="1"/>
  <c r="D401" i="1"/>
  <c r="C401" i="1"/>
  <c r="B401" i="1"/>
  <c r="A401" i="1"/>
  <c r="N400" i="1"/>
  <c r="M400" i="1"/>
  <c r="I400" i="1"/>
  <c r="H400" i="1"/>
  <c r="G400" i="1"/>
  <c r="F400" i="1"/>
  <c r="E400" i="1"/>
  <c r="J400" i="1" s="1"/>
  <c r="D400" i="1"/>
  <c r="C400" i="1"/>
  <c r="B400" i="1"/>
  <c r="A400" i="1"/>
  <c r="N399" i="1"/>
  <c r="M399" i="1"/>
  <c r="I399" i="1"/>
  <c r="H399" i="1"/>
  <c r="G399" i="1"/>
  <c r="E399" i="1"/>
  <c r="D399" i="1"/>
  <c r="C399" i="1"/>
  <c r="B399" i="1"/>
  <c r="A399" i="1"/>
  <c r="N398" i="1"/>
  <c r="M398" i="1"/>
  <c r="J398" i="1"/>
  <c r="I398" i="1"/>
  <c r="H398" i="1"/>
  <c r="G398" i="1"/>
  <c r="F398" i="1"/>
  <c r="E398" i="1"/>
  <c r="D398" i="1"/>
  <c r="C398" i="1"/>
  <c r="B398" i="1"/>
  <c r="A398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N396" i="1"/>
  <c r="M396" i="1"/>
  <c r="L396" i="1"/>
  <c r="K396" i="1"/>
  <c r="J396" i="1"/>
  <c r="I396" i="1"/>
  <c r="H396" i="1"/>
  <c r="G396" i="1"/>
  <c r="E396" i="1"/>
  <c r="F396" i="1" s="1"/>
  <c r="D396" i="1"/>
  <c r="C396" i="1"/>
  <c r="B396" i="1"/>
  <c r="A396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N394" i="1"/>
  <c r="M394" i="1"/>
  <c r="L394" i="1"/>
  <c r="K394" i="1"/>
  <c r="I394" i="1"/>
  <c r="H394" i="1"/>
  <c r="G394" i="1"/>
  <c r="F394" i="1"/>
  <c r="E394" i="1"/>
  <c r="J394" i="1" s="1"/>
  <c r="D394" i="1"/>
  <c r="C394" i="1"/>
  <c r="B394" i="1"/>
  <c r="A394" i="1"/>
  <c r="N393" i="1"/>
  <c r="M393" i="1"/>
  <c r="I393" i="1"/>
  <c r="H393" i="1"/>
  <c r="G393" i="1"/>
  <c r="E393" i="1"/>
  <c r="D393" i="1"/>
  <c r="C393" i="1"/>
  <c r="B393" i="1"/>
  <c r="A393" i="1"/>
  <c r="N392" i="1"/>
  <c r="M392" i="1"/>
  <c r="I392" i="1"/>
  <c r="H392" i="1"/>
  <c r="G392" i="1"/>
  <c r="F392" i="1"/>
  <c r="E392" i="1"/>
  <c r="J392" i="1" s="1"/>
  <c r="D392" i="1"/>
  <c r="C392" i="1"/>
  <c r="B392" i="1"/>
  <c r="A392" i="1"/>
  <c r="N391" i="1"/>
  <c r="M391" i="1"/>
  <c r="I391" i="1"/>
  <c r="H391" i="1"/>
  <c r="G391" i="1"/>
  <c r="F391" i="1"/>
  <c r="E391" i="1"/>
  <c r="D391" i="1"/>
  <c r="C391" i="1"/>
  <c r="B391" i="1"/>
  <c r="A391" i="1"/>
  <c r="N390" i="1"/>
  <c r="M390" i="1"/>
  <c r="J390" i="1"/>
  <c r="I390" i="1"/>
  <c r="H390" i="1"/>
  <c r="G390" i="1"/>
  <c r="E390" i="1"/>
  <c r="D390" i="1"/>
  <c r="C390" i="1"/>
  <c r="B390" i="1"/>
  <c r="A390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N388" i="1"/>
  <c r="M388" i="1"/>
  <c r="L388" i="1"/>
  <c r="K388" i="1"/>
  <c r="I388" i="1"/>
  <c r="H388" i="1"/>
  <c r="G388" i="1"/>
  <c r="E388" i="1"/>
  <c r="J388" i="1" s="1"/>
  <c r="D388" i="1"/>
  <c r="C388" i="1"/>
  <c r="B388" i="1"/>
  <c r="A388" i="1"/>
  <c r="N387" i="1"/>
  <c r="M387" i="1"/>
  <c r="K387" i="1"/>
  <c r="J387" i="1"/>
  <c r="I387" i="1"/>
  <c r="H387" i="1"/>
  <c r="G387" i="1"/>
  <c r="F387" i="1"/>
  <c r="E387" i="1"/>
  <c r="L387" i="1" s="1"/>
  <c r="D387" i="1"/>
  <c r="C387" i="1"/>
  <c r="B387" i="1"/>
  <c r="A387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N385" i="1"/>
  <c r="M385" i="1"/>
  <c r="I385" i="1"/>
  <c r="H385" i="1"/>
  <c r="G385" i="1"/>
  <c r="F385" i="1"/>
  <c r="E385" i="1"/>
  <c r="D385" i="1"/>
  <c r="C385" i="1"/>
  <c r="B385" i="1"/>
  <c r="A385" i="1"/>
  <c r="N384" i="1"/>
  <c r="M384" i="1"/>
  <c r="I384" i="1"/>
  <c r="H384" i="1"/>
  <c r="G384" i="1"/>
  <c r="E384" i="1"/>
  <c r="F384" i="1" s="1"/>
  <c r="D384" i="1"/>
  <c r="C384" i="1"/>
  <c r="B384" i="1"/>
  <c r="A384" i="1"/>
  <c r="N383" i="1"/>
  <c r="M383" i="1"/>
  <c r="I383" i="1"/>
  <c r="H383" i="1"/>
  <c r="G383" i="1"/>
  <c r="F383" i="1"/>
  <c r="E383" i="1"/>
  <c r="D383" i="1"/>
  <c r="C383" i="1"/>
  <c r="B383" i="1"/>
  <c r="A383" i="1"/>
  <c r="N382" i="1"/>
  <c r="M382" i="1"/>
  <c r="I382" i="1"/>
  <c r="H382" i="1"/>
  <c r="G382" i="1"/>
  <c r="E382" i="1"/>
  <c r="F382" i="1" s="1"/>
  <c r="D382" i="1"/>
  <c r="C382" i="1"/>
  <c r="B382" i="1"/>
  <c r="A382" i="1"/>
  <c r="N381" i="1"/>
  <c r="M381" i="1"/>
  <c r="I381" i="1"/>
  <c r="H381" i="1"/>
  <c r="G381" i="1"/>
  <c r="E381" i="1"/>
  <c r="D381" i="1"/>
  <c r="C381" i="1"/>
  <c r="B381" i="1"/>
  <c r="A381" i="1"/>
  <c r="N380" i="1"/>
  <c r="M380" i="1"/>
  <c r="L380" i="1"/>
  <c r="K380" i="1"/>
  <c r="J380" i="1"/>
  <c r="I380" i="1"/>
  <c r="H380" i="1"/>
  <c r="G380" i="1"/>
  <c r="E380" i="1"/>
  <c r="F380" i="1" s="1"/>
  <c r="D380" i="1"/>
  <c r="C380" i="1"/>
  <c r="B380" i="1"/>
  <c r="A380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N378" i="1"/>
  <c r="M378" i="1"/>
  <c r="L378" i="1"/>
  <c r="K378" i="1"/>
  <c r="J378" i="1"/>
  <c r="I378" i="1"/>
  <c r="H378" i="1"/>
  <c r="G378" i="1"/>
  <c r="E378" i="1"/>
  <c r="F378" i="1" s="1"/>
  <c r="D378" i="1"/>
  <c r="C378" i="1"/>
  <c r="B378" i="1"/>
  <c r="A378" i="1"/>
  <c r="N377" i="1"/>
  <c r="M377" i="1"/>
  <c r="L377" i="1"/>
  <c r="I377" i="1"/>
  <c r="H377" i="1"/>
  <c r="G377" i="1"/>
  <c r="F377" i="1"/>
  <c r="E377" i="1"/>
  <c r="D377" i="1"/>
  <c r="C377" i="1"/>
  <c r="B377" i="1"/>
  <c r="A377" i="1"/>
  <c r="N376" i="1"/>
  <c r="M376" i="1"/>
  <c r="I376" i="1"/>
  <c r="H376" i="1"/>
  <c r="G376" i="1"/>
  <c r="F376" i="1"/>
  <c r="E376" i="1"/>
  <c r="J376" i="1" s="1"/>
  <c r="D376" i="1"/>
  <c r="C376" i="1"/>
  <c r="B376" i="1"/>
  <c r="A376" i="1"/>
  <c r="N375" i="1"/>
  <c r="M375" i="1"/>
  <c r="I375" i="1"/>
  <c r="H375" i="1"/>
  <c r="G375" i="1"/>
  <c r="E375" i="1"/>
  <c r="D375" i="1"/>
  <c r="C375" i="1"/>
  <c r="B375" i="1"/>
  <c r="A375" i="1"/>
  <c r="N374" i="1"/>
  <c r="M374" i="1"/>
  <c r="I374" i="1"/>
  <c r="H374" i="1"/>
  <c r="G374" i="1"/>
  <c r="E374" i="1"/>
  <c r="D374" i="1"/>
  <c r="C374" i="1"/>
  <c r="B374" i="1"/>
  <c r="A374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N370" i="1"/>
  <c r="M370" i="1"/>
  <c r="L370" i="1"/>
  <c r="I370" i="1"/>
  <c r="H370" i="1"/>
  <c r="G370" i="1"/>
  <c r="E370" i="1"/>
  <c r="D370" i="1"/>
  <c r="C370" i="1"/>
  <c r="B370" i="1"/>
  <c r="A370" i="1"/>
  <c r="N369" i="1"/>
  <c r="M369" i="1"/>
  <c r="I369" i="1"/>
  <c r="H369" i="1"/>
  <c r="G369" i="1"/>
  <c r="E369" i="1"/>
  <c r="D369" i="1"/>
  <c r="C369" i="1"/>
  <c r="B369" i="1"/>
  <c r="A369" i="1"/>
  <c r="N368" i="1"/>
  <c r="M368" i="1"/>
  <c r="J368" i="1"/>
  <c r="I368" i="1"/>
  <c r="H368" i="1"/>
  <c r="G368" i="1"/>
  <c r="E368" i="1"/>
  <c r="D368" i="1"/>
  <c r="C368" i="1"/>
  <c r="B368" i="1"/>
  <c r="A368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N364" i="1"/>
  <c r="M364" i="1"/>
  <c r="I364" i="1"/>
  <c r="H364" i="1"/>
  <c r="G364" i="1"/>
  <c r="F364" i="1"/>
  <c r="E364" i="1"/>
  <c r="D364" i="1"/>
  <c r="C364" i="1"/>
  <c r="B364" i="1"/>
  <c r="A364" i="1"/>
  <c r="N363" i="1"/>
  <c r="M363" i="1"/>
  <c r="I363" i="1"/>
  <c r="H363" i="1"/>
  <c r="G363" i="1"/>
  <c r="E363" i="1"/>
  <c r="D363" i="1"/>
  <c r="C363" i="1"/>
  <c r="B363" i="1"/>
  <c r="A363" i="1"/>
  <c r="N362" i="1"/>
  <c r="M362" i="1"/>
  <c r="I362" i="1"/>
  <c r="H362" i="1"/>
  <c r="G362" i="1"/>
  <c r="F362" i="1"/>
  <c r="E362" i="1"/>
  <c r="D362" i="1"/>
  <c r="C362" i="1"/>
  <c r="B362" i="1"/>
  <c r="A362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N358" i="1"/>
  <c r="M358" i="1"/>
  <c r="L358" i="1"/>
  <c r="I358" i="1"/>
  <c r="H358" i="1"/>
  <c r="G358" i="1"/>
  <c r="E358" i="1"/>
  <c r="D358" i="1"/>
  <c r="C358" i="1"/>
  <c r="B358" i="1"/>
  <c r="A358" i="1"/>
  <c r="N357" i="1"/>
  <c r="M357" i="1"/>
  <c r="I357" i="1"/>
  <c r="H357" i="1"/>
  <c r="G357" i="1"/>
  <c r="E357" i="1"/>
  <c r="D357" i="1"/>
  <c r="C357" i="1"/>
  <c r="B357" i="1"/>
  <c r="A357" i="1"/>
  <c r="N356" i="1"/>
  <c r="M356" i="1"/>
  <c r="J356" i="1"/>
  <c r="I356" i="1"/>
  <c r="H356" i="1"/>
  <c r="G356" i="1"/>
  <c r="F356" i="1"/>
  <c r="E356" i="1"/>
  <c r="D356" i="1"/>
  <c r="C356" i="1"/>
  <c r="B356" i="1"/>
  <c r="A356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N352" i="1"/>
  <c r="M352" i="1"/>
  <c r="L352" i="1"/>
  <c r="I352" i="1"/>
  <c r="H352" i="1"/>
  <c r="G352" i="1"/>
  <c r="E352" i="1"/>
  <c r="D352" i="1"/>
  <c r="C352" i="1"/>
  <c r="B352" i="1"/>
  <c r="A352" i="1"/>
  <c r="N351" i="1"/>
  <c r="M351" i="1"/>
  <c r="I351" i="1"/>
  <c r="H351" i="1"/>
  <c r="G351" i="1"/>
  <c r="E351" i="1"/>
  <c r="D351" i="1"/>
  <c r="C351" i="1"/>
  <c r="B351" i="1"/>
  <c r="A351" i="1"/>
  <c r="N350" i="1"/>
  <c r="M350" i="1"/>
  <c r="J350" i="1"/>
  <c r="I350" i="1"/>
  <c r="H350" i="1"/>
  <c r="G350" i="1"/>
  <c r="E350" i="1"/>
  <c r="D350" i="1"/>
  <c r="C350" i="1"/>
  <c r="B350" i="1"/>
  <c r="A350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N346" i="1"/>
  <c r="M346" i="1"/>
  <c r="I346" i="1"/>
  <c r="H346" i="1"/>
  <c r="G346" i="1"/>
  <c r="E346" i="1"/>
  <c r="D346" i="1"/>
  <c r="C346" i="1"/>
  <c r="B346" i="1"/>
  <c r="A346" i="1"/>
  <c r="N345" i="1"/>
  <c r="M345" i="1"/>
  <c r="I345" i="1"/>
  <c r="H345" i="1"/>
  <c r="G345" i="1"/>
  <c r="E345" i="1"/>
  <c r="D345" i="1"/>
  <c r="C345" i="1"/>
  <c r="B345" i="1"/>
  <c r="A345" i="1"/>
  <c r="N344" i="1"/>
  <c r="M344" i="1"/>
  <c r="I344" i="1"/>
  <c r="H344" i="1"/>
  <c r="G344" i="1"/>
  <c r="F344" i="1"/>
  <c r="E344" i="1"/>
  <c r="D344" i="1"/>
  <c r="C344" i="1"/>
  <c r="B344" i="1"/>
  <c r="A344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N341" i="1"/>
  <c r="M341" i="1"/>
  <c r="L341" i="1"/>
  <c r="K341" i="1"/>
  <c r="J341" i="1"/>
  <c r="I341" i="1"/>
  <c r="H341" i="1"/>
  <c r="G341" i="1"/>
  <c r="E341" i="1"/>
  <c r="F341" i="1" s="1"/>
  <c r="D341" i="1"/>
  <c r="C341" i="1"/>
  <c r="B341" i="1"/>
  <c r="A341" i="1"/>
  <c r="N340" i="1"/>
  <c r="M340" i="1"/>
  <c r="I340" i="1"/>
  <c r="H340" i="1"/>
  <c r="G340" i="1"/>
  <c r="F340" i="1"/>
  <c r="E340" i="1"/>
  <c r="D340" i="1"/>
  <c r="C340" i="1"/>
  <c r="B340" i="1"/>
  <c r="A340" i="1"/>
  <c r="N339" i="1"/>
  <c r="M339" i="1"/>
  <c r="I339" i="1"/>
  <c r="H339" i="1"/>
  <c r="G339" i="1"/>
  <c r="E339" i="1"/>
  <c r="D339" i="1"/>
  <c r="C339" i="1"/>
  <c r="B339" i="1"/>
  <c r="A339" i="1"/>
  <c r="N338" i="1"/>
  <c r="M338" i="1"/>
  <c r="I338" i="1"/>
  <c r="H338" i="1"/>
  <c r="G338" i="1"/>
  <c r="E338" i="1"/>
  <c r="D338" i="1"/>
  <c r="C338" i="1"/>
  <c r="B338" i="1"/>
  <c r="A338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N334" i="1"/>
  <c r="M334" i="1"/>
  <c r="L334" i="1"/>
  <c r="I334" i="1"/>
  <c r="H334" i="1"/>
  <c r="G334" i="1"/>
  <c r="F334" i="1"/>
  <c r="E334" i="1"/>
  <c r="D334" i="1"/>
  <c r="C334" i="1"/>
  <c r="B334" i="1"/>
  <c r="A334" i="1"/>
  <c r="N333" i="1"/>
  <c r="M333" i="1"/>
  <c r="I333" i="1"/>
  <c r="H333" i="1"/>
  <c r="G333" i="1"/>
  <c r="E333" i="1"/>
  <c r="D333" i="1"/>
  <c r="C333" i="1"/>
  <c r="B333" i="1"/>
  <c r="A333" i="1"/>
  <c r="N332" i="1"/>
  <c r="M332" i="1"/>
  <c r="J332" i="1"/>
  <c r="I332" i="1"/>
  <c r="H332" i="1"/>
  <c r="G332" i="1"/>
  <c r="F332" i="1"/>
  <c r="E332" i="1"/>
  <c r="D332" i="1"/>
  <c r="C332" i="1"/>
  <c r="B332" i="1"/>
  <c r="A332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N328" i="1"/>
  <c r="M328" i="1"/>
  <c r="I328" i="1"/>
  <c r="H328" i="1"/>
  <c r="G328" i="1"/>
  <c r="E328" i="1"/>
  <c r="D328" i="1"/>
  <c r="C328" i="1"/>
  <c r="B328" i="1"/>
  <c r="A328" i="1"/>
  <c r="N327" i="1"/>
  <c r="M327" i="1"/>
  <c r="I327" i="1"/>
  <c r="H327" i="1"/>
  <c r="G327" i="1"/>
  <c r="E327" i="1"/>
  <c r="D327" i="1"/>
  <c r="C327" i="1"/>
  <c r="B327" i="1"/>
  <c r="A327" i="1"/>
  <c r="N326" i="1"/>
  <c r="M326" i="1"/>
  <c r="I326" i="1"/>
  <c r="H326" i="1"/>
  <c r="G326" i="1"/>
  <c r="E326" i="1"/>
  <c r="D326" i="1"/>
  <c r="C326" i="1"/>
  <c r="B326" i="1"/>
  <c r="A326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N323" i="1"/>
  <c r="M323" i="1"/>
  <c r="L323" i="1"/>
  <c r="K323" i="1"/>
  <c r="J323" i="1"/>
  <c r="I323" i="1"/>
  <c r="H323" i="1"/>
  <c r="G323" i="1"/>
  <c r="E323" i="1"/>
  <c r="F323" i="1" s="1"/>
  <c r="D323" i="1"/>
  <c r="C323" i="1"/>
  <c r="B323" i="1"/>
  <c r="A323" i="1"/>
  <c r="N322" i="1"/>
  <c r="M322" i="1"/>
  <c r="L322" i="1"/>
  <c r="I322" i="1"/>
  <c r="H322" i="1"/>
  <c r="G322" i="1"/>
  <c r="F322" i="1"/>
  <c r="E322" i="1"/>
  <c r="D322" i="1"/>
  <c r="C322" i="1"/>
  <c r="B322" i="1"/>
  <c r="A322" i="1"/>
  <c r="N321" i="1"/>
  <c r="M321" i="1"/>
  <c r="I321" i="1"/>
  <c r="H321" i="1"/>
  <c r="G321" i="1"/>
  <c r="E321" i="1"/>
  <c r="D321" i="1"/>
  <c r="C321" i="1"/>
  <c r="B321" i="1"/>
  <c r="A321" i="1"/>
  <c r="N320" i="1"/>
  <c r="M320" i="1"/>
  <c r="I320" i="1"/>
  <c r="H320" i="1"/>
  <c r="G320" i="1"/>
  <c r="F320" i="1"/>
  <c r="E320" i="1"/>
  <c r="D320" i="1"/>
  <c r="C320" i="1"/>
  <c r="B320" i="1"/>
  <c r="A320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N316" i="1"/>
  <c r="M316" i="1"/>
  <c r="L316" i="1"/>
  <c r="I316" i="1"/>
  <c r="H316" i="1"/>
  <c r="G316" i="1"/>
  <c r="E316" i="1"/>
  <c r="D316" i="1"/>
  <c r="C316" i="1"/>
  <c r="B316" i="1"/>
  <c r="A316" i="1"/>
  <c r="N315" i="1"/>
  <c r="M315" i="1"/>
  <c r="I315" i="1"/>
  <c r="H315" i="1"/>
  <c r="G315" i="1"/>
  <c r="E315" i="1"/>
  <c r="D315" i="1"/>
  <c r="C315" i="1"/>
  <c r="B315" i="1"/>
  <c r="A315" i="1"/>
  <c r="N314" i="1"/>
  <c r="M314" i="1"/>
  <c r="J314" i="1"/>
  <c r="I314" i="1"/>
  <c r="H314" i="1"/>
  <c r="G314" i="1"/>
  <c r="E314" i="1"/>
  <c r="D314" i="1"/>
  <c r="C314" i="1"/>
  <c r="B314" i="1"/>
  <c r="A314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N310" i="1"/>
  <c r="M310" i="1"/>
  <c r="I310" i="1"/>
  <c r="H310" i="1"/>
  <c r="G310" i="1"/>
  <c r="F310" i="1"/>
  <c r="E310" i="1"/>
  <c r="D310" i="1"/>
  <c r="C310" i="1"/>
  <c r="B310" i="1"/>
  <c r="A310" i="1"/>
  <c r="N309" i="1"/>
  <c r="M309" i="1"/>
  <c r="I309" i="1"/>
  <c r="H309" i="1"/>
  <c r="G309" i="1"/>
  <c r="E309" i="1"/>
  <c r="D309" i="1"/>
  <c r="C309" i="1"/>
  <c r="B309" i="1"/>
  <c r="A309" i="1"/>
  <c r="N308" i="1"/>
  <c r="M308" i="1"/>
  <c r="J308" i="1"/>
  <c r="I308" i="1"/>
  <c r="H308" i="1"/>
  <c r="G308" i="1"/>
  <c r="E308" i="1"/>
  <c r="D308" i="1"/>
  <c r="C308" i="1"/>
  <c r="B308" i="1"/>
  <c r="A308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N304" i="1"/>
  <c r="M304" i="1"/>
  <c r="I304" i="1"/>
  <c r="H304" i="1"/>
  <c r="G304" i="1"/>
  <c r="E304" i="1"/>
  <c r="D304" i="1"/>
  <c r="C304" i="1"/>
  <c r="B304" i="1"/>
  <c r="A304" i="1"/>
  <c r="N303" i="1"/>
  <c r="M303" i="1"/>
  <c r="I303" i="1"/>
  <c r="H303" i="1"/>
  <c r="G303" i="1"/>
  <c r="E303" i="1"/>
  <c r="D303" i="1"/>
  <c r="C303" i="1"/>
  <c r="B303" i="1"/>
  <c r="A303" i="1"/>
  <c r="N302" i="1"/>
  <c r="M302" i="1"/>
  <c r="I302" i="1"/>
  <c r="H302" i="1"/>
  <c r="G302" i="1"/>
  <c r="F302" i="1"/>
  <c r="E302" i="1"/>
  <c r="D302" i="1"/>
  <c r="C302" i="1"/>
  <c r="B302" i="1"/>
  <c r="A302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N298" i="1"/>
  <c r="M298" i="1"/>
  <c r="L298" i="1"/>
  <c r="I298" i="1"/>
  <c r="H298" i="1"/>
  <c r="G298" i="1"/>
  <c r="E298" i="1"/>
  <c r="D298" i="1"/>
  <c r="C298" i="1"/>
  <c r="B298" i="1"/>
  <c r="A298" i="1"/>
  <c r="N297" i="1"/>
  <c r="M297" i="1"/>
  <c r="I297" i="1"/>
  <c r="H297" i="1"/>
  <c r="G297" i="1"/>
  <c r="E297" i="1"/>
  <c r="D297" i="1"/>
  <c r="C297" i="1"/>
  <c r="B297" i="1"/>
  <c r="A297" i="1"/>
  <c r="N296" i="1"/>
  <c r="M296" i="1"/>
  <c r="J296" i="1"/>
  <c r="I296" i="1"/>
  <c r="H296" i="1"/>
  <c r="G296" i="1"/>
  <c r="E296" i="1"/>
  <c r="D296" i="1"/>
  <c r="C296" i="1"/>
  <c r="B296" i="1"/>
  <c r="A296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N292" i="1"/>
  <c r="M292" i="1"/>
  <c r="I292" i="1"/>
  <c r="H292" i="1"/>
  <c r="G292" i="1"/>
  <c r="F292" i="1"/>
  <c r="E292" i="1"/>
  <c r="D292" i="1"/>
  <c r="C292" i="1"/>
  <c r="B292" i="1"/>
  <c r="A292" i="1"/>
  <c r="N291" i="1"/>
  <c r="M291" i="1"/>
  <c r="I291" i="1"/>
  <c r="H291" i="1"/>
  <c r="G291" i="1"/>
  <c r="E291" i="1"/>
  <c r="D291" i="1"/>
  <c r="C291" i="1"/>
  <c r="B291" i="1"/>
  <c r="A291" i="1"/>
  <c r="N290" i="1"/>
  <c r="M290" i="1"/>
  <c r="J290" i="1"/>
  <c r="I290" i="1"/>
  <c r="H290" i="1"/>
  <c r="G290" i="1"/>
  <c r="E290" i="1"/>
  <c r="D290" i="1"/>
  <c r="C290" i="1"/>
  <c r="B290" i="1"/>
  <c r="A290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N286" i="1"/>
  <c r="M286" i="1"/>
  <c r="I286" i="1"/>
  <c r="H286" i="1"/>
  <c r="G286" i="1"/>
  <c r="E286" i="1"/>
  <c r="L286" i="1" s="1"/>
  <c r="D286" i="1"/>
  <c r="C286" i="1"/>
  <c r="B286" i="1"/>
  <c r="A286" i="1"/>
  <c r="N285" i="1"/>
  <c r="M285" i="1"/>
  <c r="I285" i="1"/>
  <c r="H285" i="1"/>
  <c r="G285" i="1"/>
  <c r="E285" i="1"/>
  <c r="D285" i="1"/>
  <c r="C285" i="1"/>
  <c r="B285" i="1"/>
  <c r="A285" i="1"/>
  <c r="N284" i="1"/>
  <c r="M284" i="1"/>
  <c r="I284" i="1"/>
  <c r="H284" i="1"/>
  <c r="G284" i="1"/>
  <c r="E284" i="1"/>
  <c r="D284" i="1"/>
  <c r="C284" i="1"/>
  <c r="B284" i="1"/>
  <c r="A284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N280" i="1"/>
  <c r="M280" i="1"/>
  <c r="L280" i="1"/>
  <c r="I280" i="1"/>
  <c r="H280" i="1"/>
  <c r="G280" i="1"/>
  <c r="E280" i="1"/>
  <c r="D280" i="1"/>
  <c r="C280" i="1"/>
  <c r="B280" i="1"/>
  <c r="A280" i="1"/>
  <c r="N279" i="1"/>
  <c r="M279" i="1"/>
  <c r="I279" i="1"/>
  <c r="H279" i="1"/>
  <c r="G279" i="1"/>
  <c r="E279" i="1"/>
  <c r="D279" i="1"/>
  <c r="C279" i="1"/>
  <c r="B279" i="1"/>
  <c r="A279" i="1"/>
  <c r="N278" i="1"/>
  <c r="M278" i="1"/>
  <c r="J278" i="1"/>
  <c r="I278" i="1"/>
  <c r="H278" i="1"/>
  <c r="G278" i="1"/>
  <c r="E278" i="1"/>
  <c r="D278" i="1"/>
  <c r="C278" i="1"/>
  <c r="B278" i="1"/>
  <c r="A278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N274" i="1"/>
  <c r="M274" i="1"/>
  <c r="I274" i="1"/>
  <c r="H274" i="1"/>
  <c r="G274" i="1"/>
  <c r="F274" i="1"/>
  <c r="E274" i="1"/>
  <c r="D274" i="1"/>
  <c r="C274" i="1"/>
  <c r="B274" i="1"/>
  <c r="A274" i="1"/>
  <c r="N273" i="1"/>
  <c r="M273" i="1"/>
  <c r="I273" i="1"/>
  <c r="H273" i="1"/>
  <c r="G273" i="1"/>
  <c r="E273" i="1"/>
  <c r="D273" i="1"/>
  <c r="C273" i="1"/>
  <c r="B273" i="1"/>
  <c r="A273" i="1"/>
  <c r="N272" i="1"/>
  <c r="M272" i="1"/>
  <c r="I272" i="1"/>
  <c r="H272" i="1"/>
  <c r="G272" i="1"/>
  <c r="E272" i="1"/>
  <c r="D272" i="1"/>
  <c r="C272" i="1"/>
  <c r="B272" i="1"/>
  <c r="A272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N269" i="1"/>
  <c r="M269" i="1"/>
  <c r="L269" i="1"/>
  <c r="K269" i="1"/>
  <c r="J269" i="1"/>
  <c r="I269" i="1"/>
  <c r="H269" i="1"/>
  <c r="G269" i="1"/>
  <c r="E269" i="1"/>
  <c r="F269" i="1" s="1"/>
  <c r="D269" i="1"/>
  <c r="C269" i="1"/>
  <c r="B269" i="1"/>
  <c r="A269" i="1"/>
  <c r="N268" i="1"/>
  <c r="M268" i="1"/>
  <c r="I268" i="1"/>
  <c r="H268" i="1"/>
  <c r="G268" i="1"/>
  <c r="E268" i="1"/>
  <c r="F268" i="1" s="1"/>
  <c r="D268" i="1"/>
  <c r="C268" i="1"/>
  <c r="B268" i="1"/>
  <c r="A268" i="1"/>
  <c r="N267" i="1"/>
  <c r="M267" i="1"/>
  <c r="I267" i="1"/>
  <c r="H267" i="1"/>
  <c r="G267" i="1"/>
  <c r="E267" i="1"/>
  <c r="F267" i="1" s="1"/>
  <c r="D267" i="1"/>
  <c r="C267" i="1"/>
  <c r="B267" i="1"/>
  <c r="A267" i="1"/>
  <c r="N266" i="1"/>
  <c r="M266" i="1"/>
  <c r="I266" i="1"/>
  <c r="H266" i="1"/>
  <c r="G266" i="1"/>
  <c r="E266" i="1"/>
  <c r="D266" i="1"/>
  <c r="C266" i="1"/>
  <c r="B266" i="1"/>
  <c r="A266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N262" i="1"/>
  <c r="M262" i="1"/>
  <c r="L262" i="1"/>
  <c r="I262" i="1"/>
  <c r="H262" i="1"/>
  <c r="G262" i="1"/>
  <c r="F262" i="1"/>
  <c r="E262" i="1"/>
  <c r="D262" i="1"/>
  <c r="C262" i="1"/>
  <c r="B262" i="1"/>
  <c r="A262" i="1"/>
  <c r="N261" i="1"/>
  <c r="M261" i="1"/>
  <c r="I261" i="1"/>
  <c r="H261" i="1"/>
  <c r="G261" i="1"/>
  <c r="E261" i="1"/>
  <c r="D261" i="1"/>
  <c r="C261" i="1"/>
  <c r="B261" i="1"/>
  <c r="A261" i="1"/>
  <c r="N260" i="1"/>
  <c r="M260" i="1"/>
  <c r="J260" i="1"/>
  <c r="I260" i="1"/>
  <c r="H260" i="1"/>
  <c r="G260" i="1"/>
  <c r="E260" i="1"/>
  <c r="D260" i="1"/>
  <c r="C260" i="1"/>
  <c r="B260" i="1"/>
  <c r="A260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N256" i="1"/>
  <c r="M256" i="1"/>
  <c r="I256" i="1"/>
  <c r="H256" i="1"/>
  <c r="G256" i="1"/>
  <c r="E256" i="1"/>
  <c r="D256" i="1"/>
  <c r="C256" i="1"/>
  <c r="B256" i="1"/>
  <c r="A256" i="1"/>
  <c r="N255" i="1"/>
  <c r="M255" i="1"/>
  <c r="I255" i="1"/>
  <c r="H255" i="1"/>
  <c r="G255" i="1"/>
  <c r="E255" i="1"/>
  <c r="D255" i="1"/>
  <c r="C255" i="1"/>
  <c r="B255" i="1"/>
  <c r="A255" i="1"/>
  <c r="N254" i="1"/>
  <c r="M254" i="1"/>
  <c r="I254" i="1"/>
  <c r="H254" i="1"/>
  <c r="G254" i="1"/>
  <c r="E254" i="1"/>
  <c r="D254" i="1"/>
  <c r="C254" i="1"/>
  <c r="B254" i="1"/>
  <c r="A254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N250" i="1"/>
  <c r="M250" i="1"/>
  <c r="L250" i="1"/>
  <c r="I250" i="1"/>
  <c r="H250" i="1"/>
  <c r="G250" i="1"/>
  <c r="F250" i="1"/>
  <c r="E250" i="1"/>
  <c r="D250" i="1"/>
  <c r="C250" i="1"/>
  <c r="B250" i="1"/>
  <c r="A250" i="1"/>
  <c r="N249" i="1"/>
  <c r="M249" i="1"/>
  <c r="I249" i="1"/>
  <c r="H249" i="1"/>
  <c r="G249" i="1"/>
  <c r="E249" i="1"/>
  <c r="D249" i="1"/>
  <c r="C249" i="1"/>
  <c r="B249" i="1"/>
  <c r="A249" i="1"/>
  <c r="N248" i="1"/>
  <c r="M248" i="1"/>
  <c r="J248" i="1"/>
  <c r="I248" i="1"/>
  <c r="H248" i="1"/>
  <c r="G248" i="1"/>
  <c r="E248" i="1"/>
  <c r="D248" i="1"/>
  <c r="C248" i="1"/>
  <c r="B248" i="1"/>
  <c r="A248" i="1"/>
  <c r="N247" i="1"/>
  <c r="M247" i="1"/>
  <c r="L247" i="1"/>
  <c r="K247" i="1"/>
  <c r="J247" i="1"/>
  <c r="I247" i="1"/>
  <c r="H247" i="1"/>
  <c r="G247" i="1"/>
  <c r="E247" i="1"/>
  <c r="F247" i="1" s="1"/>
  <c r="D247" i="1"/>
  <c r="C247" i="1"/>
  <c r="B247" i="1"/>
  <c r="A247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N244" i="1"/>
  <c r="M244" i="1"/>
  <c r="I244" i="1"/>
  <c r="H244" i="1"/>
  <c r="G244" i="1"/>
  <c r="F244" i="1"/>
  <c r="E244" i="1"/>
  <c r="D244" i="1"/>
  <c r="C244" i="1"/>
  <c r="B244" i="1"/>
  <c r="A244" i="1"/>
  <c r="N243" i="1"/>
  <c r="M243" i="1"/>
  <c r="I243" i="1"/>
  <c r="H243" i="1"/>
  <c r="G243" i="1"/>
  <c r="E243" i="1"/>
  <c r="D243" i="1"/>
  <c r="C243" i="1"/>
  <c r="B243" i="1"/>
  <c r="A243" i="1"/>
  <c r="N242" i="1"/>
  <c r="M242" i="1"/>
  <c r="I242" i="1"/>
  <c r="H242" i="1"/>
  <c r="G242" i="1"/>
  <c r="E242" i="1"/>
  <c r="D242" i="1"/>
  <c r="C242" i="1"/>
  <c r="B242" i="1"/>
  <c r="A242" i="1"/>
  <c r="N241" i="1"/>
  <c r="M241" i="1"/>
  <c r="I241" i="1"/>
  <c r="H241" i="1"/>
  <c r="G241" i="1"/>
  <c r="E241" i="1"/>
  <c r="J241" i="1" s="1"/>
  <c r="D241" i="1"/>
  <c r="C241" i="1"/>
  <c r="B241" i="1"/>
  <c r="A241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N238" i="1"/>
  <c r="M238" i="1"/>
  <c r="L238" i="1"/>
  <c r="K238" i="1"/>
  <c r="J238" i="1"/>
  <c r="I238" i="1"/>
  <c r="H238" i="1"/>
  <c r="G238" i="1"/>
  <c r="E238" i="1"/>
  <c r="F238" i="1" s="1"/>
  <c r="D238" i="1"/>
  <c r="C238" i="1"/>
  <c r="B238" i="1"/>
  <c r="A238" i="1"/>
  <c r="N237" i="1"/>
  <c r="M237" i="1"/>
  <c r="L237" i="1"/>
  <c r="I237" i="1"/>
  <c r="H237" i="1"/>
  <c r="G237" i="1"/>
  <c r="E237" i="1"/>
  <c r="D237" i="1"/>
  <c r="C237" i="1"/>
  <c r="B237" i="1"/>
  <c r="A237" i="1"/>
  <c r="N236" i="1"/>
  <c r="M236" i="1"/>
  <c r="J236" i="1"/>
  <c r="I236" i="1"/>
  <c r="H236" i="1"/>
  <c r="G236" i="1"/>
  <c r="E236" i="1"/>
  <c r="D236" i="1"/>
  <c r="C236" i="1"/>
  <c r="B236" i="1"/>
  <c r="A236" i="1"/>
  <c r="N235" i="1"/>
  <c r="M235" i="1"/>
  <c r="L235" i="1"/>
  <c r="K235" i="1"/>
  <c r="I235" i="1"/>
  <c r="H235" i="1"/>
  <c r="G235" i="1"/>
  <c r="F235" i="1"/>
  <c r="E235" i="1"/>
  <c r="J235" i="1" s="1"/>
  <c r="D235" i="1"/>
  <c r="C235" i="1"/>
  <c r="B235" i="1"/>
  <c r="A235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N232" i="1"/>
  <c r="M232" i="1"/>
  <c r="L232" i="1"/>
  <c r="J232" i="1"/>
  <c r="I232" i="1"/>
  <c r="H232" i="1"/>
  <c r="G232" i="1"/>
  <c r="E232" i="1"/>
  <c r="K232" i="1" s="1"/>
  <c r="D232" i="1"/>
  <c r="C232" i="1"/>
  <c r="B232" i="1"/>
  <c r="A232" i="1"/>
  <c r="N231" i="1"/>
  <c r="M231" i="1"/>
  <c r="L231" i="1"/>
  <c r="I231" i="1"/>
  <c r="H231" i="1"/>
  <c r="G231" i="1"/>
  <c r="E231" i="1"/>
  <c r="D231" i="1"/>
  <c r="C231" i="1"/>
  <c r="B231" i="1"/>
  <c r="A231" i="1"/>
  <c r="N230" i="1"/>
  <c r="M230" i="1"/>
  <c r="J230" i="1"/>
  <c r="I230" i="1"/>
  <c r="H230" i="1"/>
  <c r="G230" i="1"/>
  <c r="E230" i="1"/>
  <c r="D230" i="1"/>
  <c r="C230" i="1"/>
  <c r="B230" i="1"/>
  <c r="A230" i="1"/>
  <c r="N229" i="1"/>
  <c r="M229" i="1"/>
  <c r="L229" i="1"/>
  <c r="K229" i="1"/>
  <c r="J229" i="1"/>
  <c r="I229" i="1"/>
  <c r="H229" i="1"/>
  <c r="G229" i="1"/>
  <c r="E229" i="1"/>
  <c r="F229" i="1" s="1"/>
  <c r="D229" i="1"/>
  <c r="C229" i="1"/>
  <c r="B229" i="1"/>
  <c r="A229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N226" i="1"/>
  <c r="M226" i="1"/>
  <c r="I226" i="1"/>
  <c r="H226" i="1"/>
  <c r="G226" i="1"/>
  <c r="F226" i="1"/>
  <c r="E226" i="1"/>
  <c r="D226" i="1"/>
  <c r="C226" i="1"/>
  <c r="B226" i="1"/>
  <c r="A226" i="1"/>
  <c r="N225" i="1"/>
  <c r="M225" i="1"/>
  <c r="I225" i="1"/>
  <c r="H225" i="1"/>
  <c r="G225" i="1"/>
  <c r="E225" i="1"/>
  <c r="D225" i="1"/>
  <c r="C225" i="1"/>
  <c r="B225" i="1"/>
  <c r="A225" i="1"/>
  <c r="N224" i="1"/>
  <c r="M224" i="1"/>
  <c r="I224" i="1"/>
  <c r="H224" i="1"/>
  <c r="G224" i="1"/>
  <c r="F224" i="1"/>
  <c r="E224" i="1"/>
  <c r="D224" i="1"/>
  <c r="C224" i="1"/>
  <c r="B224" i="1"/>
  <c r="A224" i="1"/>
  <c r="N223" i="1"/>
  <c r="M223" i="1"/>
  <c r="K223" i="1"/>
  <c r="I223" i="1"/>
  <c r="H223" i="1"/>
  <c r="G223" i="1"/>
  <c r="F223" i="1"/>
  <c r="E223" i="1"/>
  <c r="L223" i="1" s="1"/>
  <c r="D223" i="1"/>
  <c r="C223" i="1"/>
  <c r="B223" i="1"/>
  <c r="A223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N220" i="1"/>
  <c r="M220" i="1"/>
  <c r="L220" i="1"/>
  <c r="I220" i="1"/>
  <c r="H220" i="1"/>
  <c r="G220" i="1"/>
  <c r="E220" i="1"/>
  <c r="D220" i="1"/>
  <c r="C220" i="1"/>
  <c r="B220" i="1"/>
  <c r="A220" i="1"/>
  <c r="N219" i="1"/>
  <c r="M219" i="1"/>
  <c r="L219" i="1"/>
  <c r="I219" i="1"/>
  <c r="H219" i="1"/>
  <c r="G219" i="1"/>
  <c r="F219" i="1"/>
  <c r="E219" i="1"/>
  <c r="J219" i="1" s="1"/>
  <c r="D219" i="1"/>
  <c r="C219" i="1"/>
  <c r="B219" i="1"/>
  <c r="A219" i="1"/>
  <c r="N218" i="1"/>
  <c r="M218" i="1"/>
  <c r="I218" i="1"/>
  <c r="H218" i="1"/>
  <c r="G218" i="1"/>
  <c r="F218" i="1"/>
  <c r="E218" i="1"/>
  <c r="D218" i="1"/>
  <c r="C218" i="1"/>
  <c r="B218" i="1"/>
  <c r="A218" i="1"/>
  <c r="N217" i="1"/>
  <c r="M217" i="1"/>
  <c r="I217" i="1"/>
  <c r="H217" i="1"/>
  <c r="G217" i="1"/>
  <c r="F217" i="1"/>
  <c r="E217" i="1"/>
  <c r="D217" i="1"/>
  <c r="C217" i="1"/>
  <c r="B217" i="1"/>
  <c r="A217" i="1"/>
  <c r="N216" i="1"/>
  <c r="M216" i="1"/>
  <c r="J216" i="1"/>
  <c r="I216" i="1"/>
  <c r="H216" i="1"/>
  <c r="G216" i="1"/>
  <c r="F216" i="1"/>
  <c r="E216" i="1"/>
  <c r="D216" i="1"/>
  <c r="C216" i="1"/>
  <c r="B216" i="1"/>
  <c r="A216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N214" i="1"/>
  <c r="M214" i="1"/>
  <c r="L214" i="1"/>
  <c r="K214" i="1"/>
  <c r="J214" i="1"/>
  <c r="I214" i="1"/>
  <c r="H214" i="1"/>
  <c r="G214" i="1"/>
  <c r="E214" i="1"/>
  <c r="F214" i="1" s="1"/>
  <c r="D214" i="1"/>
  <c r="C214" i="1"/>
  <c r="B214" i="1"/>
  <c r="A214" i="1"/>
  <c r="N213" i="1"/>
  <c r="M213" i="1"/>
  <c r="L213" i="1"/>
  <c r="K213" i="1"/>
  <c r="I213" i="1"/>
  <c r="H213" i="1"/>
  <c r="G213" i="1"/>
  <c r="F213" i="1"/>
  <c r="E213" i="1"/>
  <c r="J213" i="1" s="1"/>
  <c r="D213" i="1"/>
  <c r="C213" i="1"/>
  <c r="B213" i="1"/>
  <c r="A213" i="1"/>
  <c r="N212" i="1"/>
  <c r="M212" i="1"/>
  <c r="J212" i="1"/>
  <c r="I212" i="1"/>
  <c r="H212" i="1"/>
  <c r="G212" i="1"/>
  <c r="F212" i="1"/>
  <c r="E212" i="1"/>
  <c r="D212" i="1"/>
  <c r="C212" i="1"/>
  <c r="B212" i="1"/>
  <c r="A212" i="1"/>
  <c r="N211" i="1"/>
  <c r="M211" i="1"/>
  <c r="I211" i="1"/>
  <c r="H211" i="1"/>
  <c r="G211" i="1"/>
  <c r="E211" i="1"/>
  <c r="D211" i="1"/>
  <c r="C211" i="1"/>
  <c r="B211" i="1"/>
  <c r="A211" i="1"/>
  <c r="N210" i="1"/>
  <c r="M210" i="1"/>
  <c r="I210" i="1"/>
  <c r="H210" i="1"/>
  <c r="G210" i="1"/>
  <c r="E210" i="1"/>
  <c r="D210" i="1"/>
  <c r="C210" i="1"/>
  <c r="B210" i="1"/>
  <c r="A210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N208" i="1"/>
  <c r="M208" i="1"/>
  <c r="K208" i="1"/>
  <c r="I208" i="1"/>
  <c r="H208" i="1"/>
  <c r="G208" i="1"/>
  <c r="F208" i="1"/>
  <c r="E208" i="1"/>
  <c r="L208" i="1" s="1"/>
  <c r="D208" i="1"/>
  <c r="C208" i="1"/>
  <c r="B208" i="1"/>
  <c r="A208" i="1"/>
  <c r="N207" i="1"/>
  <c r="M207" i="1"/>
  <c r="I207" i="1"/>
  <c r="H207" i="1"/>
  <c r="G207" i="1"/>
  <c r="E207" i="1"/>
  <c r="D207" i="1"/>
  <c r="C207" i="1"/>
  <c r="B207" i="1"/>
  <c r="A207" i="1"/>
  <c r="N206" i="1"/>
  <c r="M206" i="1"/>
  <c r="I206" i="1"/>
  <c r="H206" i="1"/>
  <c r="G206" i="1"/>
  <c r="E206" i="1"/>
  <c r="D206" i="1"/>
  <c r="C206" i="1"/>
  <c r="B206" i="1"/>
  <c r="A206" i="1"/>
  <c r="N205" i="1"/>
  <c r="M205" i="1"/>
  <c r="L205" i="1"/>
  <c r="K205" i="1"/>
  <c r="J205" i="1"/>
  <c r="I205" i="1"/>
  <c r="H205" i="1"/>
  <c r="G205" i="1"/>
  <c r="E205" i="1"/>
  <c r="F205" i="1" s="1"/>
  <c r="D205" i="1"/>
  <c r="C205" i="1"/>
  <c r="B205" i="1"/>
  <c r="A205" i="1"/>
  <c r="N204" i="1"/>
  <c r="M204" i="1"/>
  <c r="L204" i="1"/>
  <c r="K204" i="1"/>
  <c r="J204" i="1"/>
  <c r="I204" i="1"/>
  <c r="H204" i="1"/>
  <c r="G204" i="1"/>
  <c r="E204" i="1"/>
  <c r="F204" i="1" s="1"/>
  <c r="D204" i="1"/>
  <c r="C204" i="1"/>
  <c r="B204" i="1"/>
  <c r="A204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N202" i="1"/>
  <c r="M202" i="1"/>
  <c r="I202" i="1"/>
  <c r="H202" i="1"/>
  <c r="G202" i="1"/>
  <c r="E202" i="1"/>
  <c r="F202" i="1" s="1"/>
  <c r="D202" i="1"/>
  <c r="C202" i="1"/>
  <c r="B202" i="1"/>
  <c r="A202" i="1"/>
  <c r="N201" i="1"/>
  <c r="M201" i="1"/>
  <c r="I201" i="1"/>
  <c r="H201" i="1"/>
  <c r="G201" i="1"/>
  <c r="E201" i="1"/>
  <c r="D201" i="1"/>
  <c r="C201" i="1"/>
  <c r="B201" i="1"/>
  <c r="A201" i="1"/>
  <c r="N200" i="1"/>
  <c r="M200" i="1"/>
  <c r="I200" i="1"/>
  <c r="H200" i="1"/>
  <c r="G200" i="1"/>
  <c r="F200" i="1"/>
  <c r="E200" i="1"/>
  <c r="D200" i="1"/>
  <c r="C200" i="1"/>
  <c r="B200" i="1"/>
  <c r="A200" i="1"/>
  <c r="N199" i="1"/>
  <c r="M199" i="1"/>
  <c r="K199" i="1"/>
  <c r="I199" i="1"/>
  <c r="H199" i="1"/>
  <c r="G199" i="1"/>
  <c r="F199" i="1"/>
  <c r="E199" i="1"/>
  <c r="L199" i="1" s="1"/>
  <c r="D199" i="1"/>
  <c r="C199" i="1"/>
  <c r="B199" i="1"/>
  <c r="A199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N196" i="1"/>
  <c r="M196" i="1"/>
  <c r="L196" i="1"/>
  <c r="I196" i="1"/>
  <c r="H196" i="1"/>
  <c r="G196" i="1"/>
  <c r="E196" i="1"/>
  <c r="D196" i="1"/>
  <c r="C196" i="1"/>
  <c r="B196" i="1"/>
  <c r="A196" i="1"/>
  <c r="N195" i="1"/>
  <c r="M195" i="1"/>
  <c r="L195" i="1"/>
  <c r="I195" i="1"/>
  <c r="H195" i="1"/>
  <c r="G195" i="1"/>
  <c r="F195" i="1"/>
  <c r="E195" i="1"/>
  <c r="J195" i="1" s="1"/>
  <c r="D195" i="1"/>
  <c r="C195" i="1"/>
  <c r="B195" i="1"/>
  <c r="A195" i="1"/>
  <c r="N194" i="1"/>
  <c r="M194" i="1"/>
  <c r="I194" i="1"/>
  <c r="H194" i="1"/>
  <c r="G194" i="1"/>
  <c r="F194" i="1"/>
  <c r="E194" i="1"/>
  <c r="D194" i="1"/>
  <c r="C194" i="1"/>
  <c r="B194" i="1"/>
  <c r="A194" i="1"/>
  <c r="N193" i="1"/>
  <c r="M193" i="1"/>
  <c r="I193" i="1"/>
  <c r="H193" i="1"/>
  <c r="G193" i="1"/>
  <c r="E193" i="1"/>
  <c r="D193" i="1"/>
  <c r="C193" i="1"/>
  <c r="B193" i="1"/>
  <c r="A193" i="1"/>
  <c r="N192" i="1"/>
  <c r="M192" i="1"/>
  <c r="I192" i="1"/>
  <c r="H192" i="1"/>
  <c r="G192" i="1"/>
  <c r="E192" i="1"/>
  <c r="F192" i="1" s="1"/>
  <c r="D192" i="1"/>
  <c r="C192" i="1"/>
  <c r="B192" i="1"/>
  <c r="A192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N190" i="1"/>
  <c r="M190" i="1"/>
  <c r="L190" i="1"/>
  <c r="K190" i="1"/>
  <c r="J190" i="1"/>
  <c r="I190" i="1"/>
  <c r="H190" i="1"/>
  <c r="G190" i="1"/>
  <c r="E190" i="1"/>
  <c r="F190" i="1" s="1"/>
  <c r="D190" i="1"/>
  <c r="C190" i="1"/>
  <c r="B190" i="1"/>
  <c r="A190" i="1"/>
  <c r="N189" i="1"/>
  <c r="M189" i="1"/>
  <c r="L189" i="1"/>
  <c r="K189" i="1"/>
  <c r="I189" i="1"/>
  <c r="H189" i="1"/>
  <c r="G189" i="1"/>
  <c r="F189" i="1"/>
  <c r="E189" i="1"/>
  <c r="J189" i="1" s="1"/>
  <c r="D189" i="1"/>
  <c r="C189" i="1"/>
  <c r="B189" i="1"/>
  <c r="A189" i="1"/>
  <c r="N188" i="1"/>
  <c r="M188" i="1"/>
  <c r="J188" i="1"/>
  <c r="I188" i="1"/>
  <c r="H188" i="1"/>
  <c r="G188" i="1"/>
  <c r="F188" i="1"/>
  <c r="E188" i="1"/>
  <c r="D188" i="1"/>
  <c r="C188" i="1"/>
  <c r="B188" i="1"/>
  <c r="A188" i="1"/>
  <c r="N187" i="1"/>
  <c r="M187" i="1"/>
  <c r="L187" i="1"/>
  <c r="J187" i="1"/>
  <c r="I187" i="1"/>
  <c r="H187" i="1"/>
  <c r="G187" i="1"/>
  <c r="E187" i="1"/>
  <c r="D187" i="1"/>
  <c r="C187" i="1"/>
  <c r="B187" i="1"/>
  <c r="A187" i="1"/>
  <c r="N186" i="1"/>
  <c r="M186" i="1"/>
  <c r="L186" i="1"/>
  <c r="I186" i="1"/>
  <c r="H186" i="1"/>
  <c r="G186" i="1"/>
  <c r="E186" i="1"/>
  <c r="D186" i="1"/>
  <c r="C186" i="1"/>
  <c r="B186" i="1"/>
  <c r="A186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N184" i="1"/>
  <c r="M184" i="1"/>
  <c r="K184" i="1"/>
  <c r="I184" i="1"/>
  <c r="H184" i="1"/>
  <c r="G184" i="1"/>
  <c r="F184" i="1"/>
  <c r="E184" i="1"/>
  <c r="L184" i="1" s="1"/>
  <c r="D184" i="1"/>
  <c r="C184" i="1"/>
  <c r="B184" i="1"/>
  <c r="A184" i="1"/>
  <c r="N183" i="1"/>
  <c r="M183" i="1"/>
  <c r="K183" i="1"/>
  <c r="I183" i="1"/>
  <c r="H183" i="1"/>
  <c r="G183" i="1"/>
  <c r="E183" i="1"/>
  <c r="D183" i="1"/>
  <c r="C183" i="1"/>
  <c r="B183" i="1"/>
  <c r="A183" i="1"/>
  <c r="N182" i="1"/>
  <c r="M182" i="1"/>
  <c r="J182" i="1"/>
  <c r="I182" i="1"/>
  <c r="H182" i="1"/>
  <c r="G182" i="1"/>
  <c r="E182" i="1"/>
  <c r="D182" i="1"/>
  <c r="C182" i="1"/>
  <c r="B182" i="1"/>
  <c r="A182" i="1"/>
  <c r="N181" i="1"/>
  <c r="M181" i="1"/>
  <c r="L181" i="1"/>
  <c r="K181" i="1"/>
  <c r="J181" i="1"/>
  <c r="I181" i="1"/>
  <c r="H181" i="1"/>
  <c r="G181" i="1"/>
  <c r="E181" i="1"/>
  <c r="F181" i="1" s="1"/>
  <c r="D181" i="1"/>
  <c r="C181" i="1"/>
  <c r="B181" i="1"/>
  <c r="A181" i="1"/>
  <c r="N180" i="1"/>
  <c r="M180" i="1"/>
  <c r="L180" i="1"/>
  <c r="K180" i="1"/>
  <c r="J180" i="1"/>
  <c r="I180" i="1"/>
  <c r="H180" i="1"/>
  <c r="G180" i="1"/>
  <c r="E180" i="1"/>
  <c r="F180" i="1" s="1"/>
  <c r="D180" i="1"/>
  <c r="C180" i="1"/>
  <c r="B180" i="1"/>
  <c r="A180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N178" i="1"/>
  <c r="M178" i="1"/>
  <c r="I178" i="1"/>
  <c r="H178" i="1"/>
  <c r="G178" i="1"/>
  <c r="F178" i="1"/>
  <c r="E178" i="1"/>
  <c r="D178" i="1"/>
  <c r="C178" i="1"/>
  <c r="B178" i="1"/>
  <c r="A178" i="1"/>
  <c r="N177" i="1"/>
  <c r="M177" i="1"/>
  <c r="I177" i="1"/>
  <c r="H177" i="1"/>
  <c r="G177" i="1"/>
  <c r="E177" i="1"/>
  <c r="D177" i="1"/>
  <c r="C177" i="1"/>
  <c r="B177" i="1"/>
  <c r="A177" i="1"/>
  <c r="N176" i="1"/>
  <c r="M176" i="1"/>
  <c r="I176" i="1"/>
  <c r="H176" i="1"/>
  <c r="G176" i="1"/>
  <c r="F176" i="1"/>
  <c r="E176" i="1"/>
  <c r="D176" i="1"/>
  <c r="C176" i="1"/>
  <c r="B176" i="1"/>
  <c r="A176" i="1"/>
  <c r="N175" i="1"/>
  <c r="M175" i="1"/>
  <c r="K175" i="1"/>
  <c r="I175" i="1"/>
  <c r="H175" i="1"/>
  <c r="G175" i="1"/>
  <c r="F175" i="1"/>
  <c r="E175" i="1"/>
  <c r="D175" i="1"/>
  <c r="C175" i="1"/>
  <c r="B175" i="1"/>
  <c r="A175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N172" i="1"/>
  <c r="M172" i="1"/>
  <c r="I172" i="1"/>
  <c r="H172" i="1"/>
  <c r="G172" i="1"/>
  <c r="E172" i="1"/>
  <c r="F172" i="1" s="1"/>
  <c r="D172" i="1"/>
  <c r="C172" i="1"/>
  <c r="B172" i="1"/>
  <c r="A172" i="1"/>
  <c r="N171" i="1"/>
  <c r="M171" i="1"/>
  <c r="L171" i="1"/>
  <c r="I171" i="1"/>
  <c r="H171" i="1"/>
  <c r="G171" i="1"/>
  <c r="F171" i="1"/>
  <c r="E171" i="1"/>
  <c r="J171" i="1" s="1"/>
  <c r="D171" i="1"/>
  <c r="C171" i="1"/>
  <c r="B171" i="1"/>
  <c r="A171" i="1"/>
  <c r="N170" i="1"/>
  <c r="M170" i="1"/>
  <c r="I170" i="1"/>
  <c r="H170" i="1"/>
  <c r="G170" i="1"/>
  <c r="F170" i="1"/>
  <c r="E170" i="1"/>
  <c r="D170" i="1"/>
  <c r="C170" i="1"/>
  <c r="B170" i="1"/>
  <c r="A170" i="1"/>
  <c r="N169" i="1"/>
  <c r="M169" i="1"/>
  <c r="I169" i="1"/>
  <c r="H169" i="1"/>
  <c r="G169" i="1"/>
  <c r="E169" i="1"/>
  <c r="D169" i="1"/>
  <c r="C169" i="1"/>
  <c r="B169" i="1"/>
  <c r="A169" i="1"/>
  <c r="N168" i="1"/>
  <c r="M168" i="1"/>
  <c r="I168" i="1"/>
  <c r="H168" i="1"/>
  <c r="G168" i="1"/>
  <c r="E168" i="1"/>
  <c r="J168" i="1" s="1"/>
  <c r="D168" i="1"/>
  <c r="C168" i="1"/>
  <c r="B168" i="1"/>
  <c r="A168" i="1"/>
  <c r="N167" i="1"/>
  <c r="M167" i="1"/>
  <c r="I167" i="1"/>
  <c r="H167" i="1"/>
  <c r="G167" i="1"/>
  <c r="E167" i="1"/>
  <c r="L167" i="1" s="1"/>
  <c r="D167" i="1"/>
  <c r="C167" i="1"/>
  <c r="B167" i="1"/>
  <c r="A167" i="1"/>
  <c r="N166" i="1"/>
  <c r="M166" i="1"/>
  <c r="I166" i="1"/>
  <c r="H166" i="1"/>
  <c r="G166" i="1"/>
  <c r="E166" i="1"/>
  <c r="F166" i="1" s="1"/>
  <c r="D166" i="1"/>
  <c r="C166" i="1"/>
  <c r="B166" i="1"/>
  <c r="A166" i="1"/>
  <c r="N165" i="1"/>
  <c r="M165" i="1"/>
  <c r="I165" i="1"/>
  <c r="H165" i="1"/>
  <c r="G165" i="1"/>
  <c r="E165" i="1"/>
  <c r="F165" i="1" s="1"/>
  <c r="D165" i="1"/>
  <c r="C165" i="1"/>
  <c r="B165" i="1"/>
  <c r="A165" i="1"/>
  <c r="N164" i="1"/>
  <c r="M164" i="1"/>
  <c r="I164" i="1"/>
  <c r="H164" i="1"/>
  <c r="G164" i="1"/>
  <c r="E164" i="1"/>
  <c r="D164" i="1"/>
  <c r="C164" i="1"/>
  <c r="B164" i="1"/>
  <c r="A164" i="1"/>
  <c r="N163" i="1"/>
  <c r="M163" i="1"/>
  <c r="I163" i="1"/>
  <c r="H163" i="1"/>
  <c r="G163" i="1"/>
  <c r="E163" i="1"/>
  <c r="D163" i="1"/>
  <c r="C163" i="1"/>
  <c r="B163" i="1"/>
  <c r="A163" i="1"/>
  <c r="N162" i="1"/>
  <c r="M162" i="1"/>
  <c r="I162" i="1"/>
  <c r="H162" i="1"/>
  <c r="G162" i="1"/>
  <c r="E162" i="1"/>
  <c r="F162" i="1" s="1"/>
  <c r="D162" i="1"/>
  <c r="C162" i="1"/>
  <c r="B162" i="1"/>
  <c r="A162" i="1"/>
  <c r="N161" i="1"/>
  <c r="M161" i="1"/>
  <c r="I161" i="1"/>
  <c r="H161" i="1"/>
  <c r="G161" i="1"/>
  <c r="E161" i="1"/>
  <c r="F161" i="1" s="1"/>
  <c r="D161" i="1"/>
  <c r="C161" i="1"/>
  <c r="B161" i="1"/>
  <c r="A161" i="1"/>
  <c r="N160" i="1"/>
  <c r="M160" i="1"/>
  <c r="I160" i="1"/>
  <c r="H160" i="1"/>
  <c r="G160" i="1"/>
  <c r="F160" i="1"/>
  <c r="E160" i="1"/>
  <c r="K160" i="1" s="1"/>
  <c r="D160" i="1"/>
  <c r="C160" i="1"/>
  <c r="B160" i="1"/>
  <c r="A160" i="1"/>
  <c r="N159" i="1"/>
  <c r="M159" i="1"/>
  <c r="I159" i="1"/>
  <c r="H159" i="1"/>
  <c r="G159" i="1"/>
  <c r="E159" i="1"/>
  <c r="L159" i="1" s="1"/>
  <c r="D159" i="1"/>
  <c r="C159" i="1"/>
  <c r="B159" i="1"/>
  <c r="A159" i="1"/>
  <c r="N158" i="1"/>
  <c r="M158" i="1"/>
  <c r="I158" i="1"/>
  <c r="H158" i="1"/>
  <c r="G158" i="1"/>
  <c r="E158" i="1"/>
  <c r="K158" i="1" s="1"/>
  <c r="D158" i="1"/>
  <c r="C158" i="1"/>
  <c r="B158" i="1"/>
  <c r="A158" i="1"/>
  <c r="N157" i="1"/>
  <c r="M157" i="1"/>
  <c r="I157" i="1"/>
  <c r="H157" i="1"/>
  <c r="G157" i="1"/>
  <c r="E157" i="1"/>
  <c r="J157" i="1" s="1"/>
  <c r="D157" i="1"/>
  <c r="C157" i="1"/>
  <c r="B157" i="1"/>
  <c r="A157" i="1"/>
  <c r="N156" i="1"/>
  <c r="M156" i="1"/>
  <c r="I156" i="1"/>
  <c r="H156" i="1"/>
  <c r="G156" i="1"/>
  <c r="E156" i="1"/>
  <c r="K156" i="1" s="1"/>
  <c r="D156" i="1"/>
  <c r="C156" i="1"/>
  <c r="B156" i="1"/>
  <c r="A156" i="1"/>
  <c r="N155" i="1"/>
  <c r="M155" i="1"/>
  <c r="I155" i="1"/>
  <c r="H155" i="1"/>
  <c r="G155" i="1"/>
  <c r="E155" i="1"/>
  <c r="L155" i="1" s="1"/>
  <c r="D155" i="1"/>
  <c r="C155" i="1"/>
  <c r="B155" i="1"/>
  <c r="A155" i="1"/>
  <c r="N154" i="1"/>
  <c r="M154" i="1"/>
  <c r="I154" i="1"/>
  <c r="H154" i="1"/>
  <c r="G154" i="1"/>
  <c r="E154" i="1"/>
  <c r="J154" i="1" s="1"/>
  <c r="D154" i="1"/>
  <c r="C154" i="1"/>
  <c r="B154" i="1"/>
  <c r="A154" i="1"/>
  <c r="N153" i="1"/>
  <c r="M153" i="1"/>
  <c r="I153" i="1"/>
  <c r="H153" i="1"/>
  <c r="G153" i="1"/>
  <c r="E153" i="1"/>
  <c r="F153" i="1" s="1"/>
  <c r="D153" i="1"/>
  <c r="C153" i="1"/>
  <c r="B153" i="1"/>
  <c r="A153" i="1"/>
  <c r="N152" i="1"/>
  <c r="M152" i="1"/>
  <c r="I152" i="1"/>
  <c r="H152" i="1"/>
  <c r="G152" i="1"/>
  <c r="E152" i="1"/>
  <c r="K152" i="1" s="1"/>
  <c r="D152" i="1"/>
  <c r="C152" i="1"/>
  <c r="B152" i="1"/>
  <c r="A152" i="1"/>
  <c r="N151" i="1"/>
  <c r="M151" i="1"/>
  <c r="I151" i="1"/>
  <c r="H151" i="1"/>
  <c r="G151" i="1"/>
  <c r="E151" i="1"/>
  <c r="F151" i="1" s="1"/>
  <c r="D151" i="1"/>
  <c r="C151" i="1"/>
  <c r="B151" i="1"/>
  <c r="A151" i="1"/>
  <c r="N150" i="1"/>
  <c r="M150" i="1"/>
  <c r="I150" i="1"/>
  <c r="H150" i="1"/>
  <c r="G150" i="1"/>
  <c r="E150" i="1"/>
  <c r="K150" i="1" s="1"/>
  <c r="D150" i="1"/>
  <c r="C150" i="1"/>
  <c r="B150" i="1"/>
  <c r="A150" i="1"/>
  <c r="N149" i="1"/>
  <c r="M149" i="1"/>
  <c r="I149" i="1"/>
  <c r="H149" i="1"/>
  <c r="G149" i="1"/>
  <c r="E149" i="1"/>
  <c r="F149" i="1" s="1"/>
  <c r="D149" i="1"/>
  <c r="C149" i="1"/>
  <c r="B149" i="1"/>
  <c r="A149" i="1"/>
  <c r="N148" i="1"/>
  <c r="M148" i="1"/>
  <c r="I148" i="1"/>
  <c r="H148" i="1"/>
  <c r="G148" i="1"/>
  <c r="E148" i="1"/>
  <c r="L148" i="1" s="1"/>
  <c r="D148" i="1"/>
  <c r="C148" i="1"/>
  <c r="B148" i="1"/>
  <c r="A148" i="1"/>
  <c r="N147" i="1"/>
  <c r="M147" i="1"/>
  <c r="I147" i="1"/>
  <c r="H147" i="1"/>
  <c r="G147" i="1"/>
  <c r="E147" i="1"/>
  <c r="L147" i="1" s="1"/>
  <c r="D147" i="1"/>
  <c r="C147" i="1"/>
  <c r="B147" i="1"/>
  <c r="A147" i="1"/>
  <c r="N146" i="1"/>
  <c r="M146" i="1"/>
  <c r="I146" i="1"/>
  <c r="H146" i="1"/>
  <c r="G146" i="1"/>
  <c r="E146" i="1"/>
  <c r="F146" i="1" s="1"/>
  <c r="D146" i="1"/>
  <c r="C146" i="1"/>
  <c r="B146" i="1"/>
  <c r="A146" i="1"/>
  <c r="N145" i="1"/>
  <c r="M145" i="1"/>
  <c r="I145" i="1"/>
  <c r="H145" i="1"/>
  <c r="G145" i="1"/>
  <c r="E145" i="1"/>
  <c r="F145" i="1" s="1"/>
  <c r="D145" i="1"/>
  <c r="C145" i="1"/>
  <c r="B145" i="1"/>
  <c r="A145" i="1"/>
  <c r="N144" i="1"/>
  <c r="M144" i="1"/>
  <c r="I144" i="1"/>
  <c r="H144" i="1"/>
  <c r="G144" i="1"/>
  <c r="E144" i="1"/>
  <c r="K144" i="1" s="1"/>
  <c r="D144" i="1"/>
  <c r="C144" i="1"/>
  <c r="B144" i="1"/>
  <c r="A144" i="1"/>
  <c r="N143" i="1"/>
  <c r="M143" i="1"/>
  <c r="I143" i="1"/>
  <c r="H143" i="1"/>
  <c r="G143" i="1"/>
  <c r="E143" i="1"/>
  <c r="D143" i="1"/>
  <c r="C143" i="1"/>
  <c r="B143" i="1"/>
  <c r="A143" i="1"/>
  <c r="N142" i="1"/>
  <c r="M142" i="1"/>
  <c r="I142" i="1"/>
  <c r="J142" i="1" s="1"/>
  <c r="H142" i="1"/>
  <c r="G142" i="1"/>
  <c r="E142" i="1"/>
  <c r="L142" i="1" s="1"/>
  <c r="D142" i="1"/>
  <c r="C142" i="1"/>
  <c r="B142" i="1"/>
  <c r="A142" i="1"/>
  <c r="N141" i="1"/>
  <c r="M141" i="1"/>
  <c r="L141" i="1"/>
  <c r="K141" i="1"/>
  <c r="I141" i="1"/>
  <c r="J141" i="1" s="1"/>
  <c r="H141" i="1"/>
  <c r="G141" i="1"/>
  <c r="E141" i="1"/>
  <c r="F141" i="1" s="1"/>
  <c r="D141" i="1"/>
  <c r="C141" i="1"/>
  <c r="B141" i="1"/>
  <c r="A141" i="1"/>
  <c r="N140" i="1"/>
  <c r="M140" i="1"/>
  <c r="L140" i="1"/>
  <c r="K140" i="1"/>
  <c r="I140" i="1"/>
  <c r="H140" i="1"/>
  <c r="G140" i="1"/>
  <c r="E140" i="1"/>
  <c r="F140" i="1" s="1"/>
  <c r="D140" i="1"/>
  <c r="C140" i="1"/>
  <c r="B140" i="1"/>
  <c r="A140" i="1"/>
  <c r="N139" i="1"/>
  <c r="M139" i="1"/>
  <c r="I139" i="1"/>
  <c r="H139" i="1"/>
  <c r="G139" i="1"/>
  <c r="E139" i="1"/>
  <c r="F139" i="1" s="1"/>
  <c r="D139" i="1"/>
  <c r="C139" i="1"/>
  <c r="B139" i="1"/>
  <c r="A139" i="1"/>
  <c r="N138" i="1"/>
  <c r="M138" i="1"/>
  <c r="I138" i="1"/>
  <c r="H138" i="1"/>
  <c r="G138" i="1"/>
  <c r="E138" i="1"/>
  <c r="K138" i="1" s="1"/>
  <c r="D138" i="1"/>
  <c r="C138" i="1"/>
  <c r="B138" i="1"/>
  <c r="A138" i="1"/>
  <c r="N137" i="1"/>
  <c r="M137" i="1"/>
  <c r="I137" i="1"/>
  <c r="H137" i="1"/>
  <c r="G137" i="1"/>
  <c r="E137" i="1"/>
  <c r="L137" i="1" s="1"/>
  <c r="D137" i="1"/>
  <c r="C137" i="1"/>
  <c r="B137" i="1"/>
  <c r="A137" i="1"/>
  <c r="N136" i="1"/>
  <c r="M136" i="1"/>
  <c r="I136" i="1"/>
  <c r="H136" i="1"/>
  <c r="G136" i="1"/>
  <c r="E136" i="1"/>
  <c r="L136" i="1" s="1"/>
  <c r="D136" i="1"/>
  <c r="C136" i="1"/>
  <c r="B136" i="1"/>
  <c r="A136" i="1"/>
  <c r="N135" i="1"/>
  <c r="M135" i="1"/>
  <c r="I135" i="1"/>
  <c r="H135" i="1"/>
  <c r="G135" i="1"/>
  <c r="E135" i="1"/>
  <c r="K135" i="1" s="1"/>
  <c r="D135" i="1"/>
  <c r="C135" i="1"/>
  <c r="B135" i="1"/>
  <c r="A135" i="1"/>
  <c r="N134" i="1"/>
  <c r="M134" i="1"/>
  <c r="I134" i="1"/>
  <c r="H134" i="1"/>
  <c r="G134" i="1"/>
  <c r="E134" i="1"/>
  <c r="L134" i="1" s="1"/>
  <c r="D134" i="1"/>
  <c r="C134" i="1"/>
  <c r="B134" i="1"/>
  <c r="A134" i="1"/>
  <c r="N133" i="1"/>
  <c r="M133" i="1"/>
  <c r="I133" i="1"/>
  <c r="H133" i="1"/>
  <c r="G133" i="1"/>
  <c r="E133" i="1"/>
  <c r="F133" i="1" s="1"/>
  <c r="D133" i="1"/>
  <c r="C133" i="1"/>
  <c r="B133" i="1"/>
  <c r="A133" i="1"/>
  <c r="N132" i="1"/>
  <c r="M132" i="1"/>
  <c r="I132" i="1"/>
  <c r="H132" i="1"/>
  <c r="G132" i="1"/>
  <c r="E132" i="1"/>
  <c r="K132" i="1" s="1"/>
  <c r="D132" i="1"/>
  <c r="C132" i="1"/>
  <c r="B132" i="1"/>
  <c r="A132" i="1"/>
  <c r="N131" i="1"/>
  <c r="M131" i="1"/>
  <c r="I131" i="1"/>
  <c r="H131" i="1"/>
  <c r="G131" i="1"/>
  <c r="E131" i="1"/>
  <c r="D131" i="1"/>
  <c r="C131" i="1"/>
  <c r="B131" i="1"/>
  <c r="A131" i="1"/>
  <c r="N130" i="1"/>
  <c r="M130" i="1"/>
  <c r="I130" i="1"/>
  <c r="H130" i="1"/>
  <c r="G130" i="1"/>
  <c r="E130" i="1"/>
  <c r="L130" i="1" s="1"/>
  <c r="D130" i="1"/>
  <c r="C130" i="1"/>
  <c r="B130" i="1"/>
  <c r="A130" i="1"/>
  <c r="N129" i="1"/>
  <c r="M129" i="1"/>
  <c r="I129" i="1"/>
  <c r="H129" i="1"/>
  <c r="G129" i="1"/>
  <c r="E129" i="1"/>
  <c r="L129" i="1" s="1"/>
  <c r="D129" i="1"/>
  <c r="C129" i="1"/>
  <c r="B129" i="1"/>
  <c r="A129" i="1"/>
  <c r="N128" i="1"/>
  <c r="M128" i="1"/>
  <c r="I128" i="1"/>
  <c r="H128" i="1"/>
  <c r="G128" i="1"/>
  <c r="E128" i="1"/>
  <c r="F128" i="1" s="1"/>
  <c r="D128" i="1"/>
  <c r="C128" i="1"/>
  <c r="B128" i="1"/>
  <c r="A128" i="1"/>
  <c r="N127" i="1"/>
  <c r="M127" i="1"/>
  <c r="I127" i="1"/>
  <c r="H127" i="1"/>
  <c r="G127" i="1"/>
  <c r="E127" i="1"/>
  <c r="F127" i="1" s="1"/>
  <c r="D127" i="1"/>
  <c r="C127" i="1"/>
  <c r="B127" i="1"/>
  <c r="A127" i="1"/>
  <c r="N126" i="1"/>
  <c r="M126" i="1"/>
  <c r="I126" i="1"/>
  <c r="H126" i="1"/>
  <c r="G126" i="1"/>
  <c r="E126" i="1"/>
  <c r="K126" i="1" s="1"/>
  <c r="D126" i="1"/>
  <c r="C126" i="1"/>
  <c r="B126" i="1"/>
  <c r="A126" i="1"/>
  <c r="N125" i="1"/>
  <c r="M125" i="1"/>
  <c r="I125" i="1"/>
  <c r="H125" i="1"/>
  <c r="G125" i="1"/>
  <c r="E125" i="1"/>
  <c r="L125" i="1" s="1"/>
  <c r="D125" i="1"/>
  <c r="C125" i="1"/>
  <c r="B125" i="1"/>
  <c r="A125" i="1"/>
  <c r="N124" i="1"/>
  <c r="M124" i="1"/>
  <c r="J124" i="1"/>
  <c r="I124" i="1"/>
  <c r="H124" i="1"/>
  <c r="G124" i="1"/>
  <c r="E124" i="1"/>
  <c r="L124" i="1" s="1"/>
  <c r="D124" i="1"/>
  <c r="C124" i="1"/>
  <c r="B124" i="1"/>
  <c r="A124" i="1"/>
  <c r="N123" i="1"/>
  <c r="M123" i="1"/>
  <c r="I123" i="1"/>
  <c r="H123" i="1"/>
  <c r="G123" i="1"/>
  <c r="E123" i="1"/>
  <c r="L123" i="1" s="1"/>
  <c r="D123" i="1"/>
  <c r="C123" i="1"/>
  <c r="B123" i="1"/>
  <c r="A123" i="1"/>
  <c r="N122" i="1"/>
  <c r="M122" i="1"/>
  <c r="I122" i="1"/>
  <c r="H122" i="1"/>
  <c r="G122" i="1"/>
  <c r="E122" i="1"/>
  <c r="L122" i="1" s="1"/>
  <c r="D122" i="1"/>
  <c r="C122" i="1"/>
  <c r="B122" i="1"/>
  <c r="A122" i="1"/>
  <c r="N121" i="1"/>
  <c r="M121" i="1"/>
  <c r="I121" i="1"/>
  <c r="H121" i="1"/>
  <c r="G121" i="1"/>
  <c r="E121" i="1"/>
  <c r="F121" i="1" s="1"/>
  <c r="D121" i="1"/>
  <c r="C121" i="1"/>
  <c r="B121" i="1"/>
  <c r="A121" i="1"/>
  <c r="N120" i="1"/>
  <c r="M120" i="1"/>
  <c r="I120" i="1"/>
  <c r="H120" i="1"/>
  <c r="G120" i="1"/>
  <c r="E120" i="1"/>
  <c r="K120" i="1" s="1"/>
  <c r="D120" i="1"/>
  <c r="C120" i="1"/>
  <c r="B120" i="1"/>
  <c r="A120" i="1"/>
  <c r="N119" i="1"/>
  <c r="M119" i="1"/>
  <c r="I119" i="1"/>
  <c r="H119" i="1"/>
  <c r="G119" i="1"/>
  <c r="E119" i="1"/>
  <c r="F119" i="1" s="1"/>
  <c r="D119" i="1"/>
  <c r="C119" i="1"/>
  <c r="B119" i="1"/>
  <c r="A119" i="1"/>
  <c r="N118" i="1"/>
  <c r="M118" i="1"/>
  <c r="I118" i="1"/>
  <c r="H118" i="1"/>
  <c r="G118" i="1"/>
  <c r="E118" i="1"/>
  <c r="L118" i="1" s="1"/>
  <c r="D118" i="1"/>
  <c r="C118" i="1"/>
  <c r="B118" i="1"/>
  <c r="A118" i="1"/>
  <c r="N117" i="1"/>
  <c r="M117" i="1"/>
  <c r="L117" i="1"/>
  <c r="K117" i="1"/>
  <c r="I117" i="1"/>
  <c r="H117" i="1"/>
  <c r="G117" i="1"/>
  <c r="E117" i="1"/>
  <c r="F117" i="1" s="1"/>
  <c r="D117" i="1"/>
  <c r="C117" i="1"/>
  <c r="B117" i="1"/>
  <c r="A117" i="1"/>
  <c r="N116" i="1"/>
  <c r="M116" i="1"/>
  <c r="L116" i="1"/>
  <c r="I116" i="1"/>
  <c r="H116" i="1"/>
  <c r="G116" i="1"/>
  <c r="E116" i="1"/>
  <c r="F116" i="1" s="1"/>
  <c r="D116" i="1"/>
  <c r="C116" i="1"/>
  <c r="B116" i="1"/>
  <c r="A116" i="1"/>
  <c r="N115" i="1"/>
  <c r="M115" i="1"/>
  <c r="I115" i="1"/>
  <c r="J115" i="1" s="1"/>
  <c r="H115" i="1"/>
  <c r="G115" i="1"/>
  <c r="E115" i="1"/>
  <c r="F115" i="1" s="1"/>
  <c r="D115" i="1"/>
  <c r="C115" i="1"/>
  <c r="B115" i="1"/>
  <c r="A115" i="1"/>
  <c r="N114" i="1"/>
  <c r="M114" i="1"/>
  <c r="I114" i="1"/>
  <c r="J114" i="1" s="1"/>
  <c r="H114" i="1"/>
  <c r="G114" i="1"/>
  <c r="E114" i="1"/>
  <c r="K114" i="1" s="1"/>
  <c r="D114" i="1"/>
  <c r="C114" i="1"/>
  <c r="B114" i="1"/>
  <c r="A114" i="1"/>
  <c r="N113" i="1"/>
  <c r="M113" i="1"/>
  <c r="I113" i="1"/>
  <c r="H113" i="1"/>
  <c r="G113" i="1"/>
  <c r="E113" i="1"/>
  <c r="L113" i="1" s="1"/>
  <c r="D113" i="1"/>
  <c r="C113" i="1"/>
  <c r="B113" i="1"/>
  <c r="A113" i="1"/>
  <c r="N112" i="1"/>
  <c r="M112" i="1"/>
  <c r="I112" i="1"/>
  <c r="H112" i="1"/>
  <c r="G112" i="1"/>
  <c r="E112" i="1"/>
  <c r="L112" i="1" s="1"/>
  <c r="D112" i="1"/>
  <c r="C112" i="1"/>
  <c r="B112" i="1"/>
  <c r="A112" i="1"/>
  <c r="N111" i="1"/>
  <c r="M111" i="1"/>
  <c r="I111" i="1"/>
  <c r="H111" i="1"/>
  <c r="G111" i="1"/>
  <c r="E111" i="1"/>
  <c r="F111" i="1" s="1"/>
  <c r="D111" i="1"/>
  <c r="C111" i="1"/>
  <c r="B111" i="1"/>
  <c r="A111" i="1"/>
  <c r="N110" i="1"/>
  <c r="M110" i="1"/>
  <c r="I110" i="1"/>
  <c r="H110" i="1"/>
  <c r="G110" i="1"/>
  <c r="E110" i="1"/>
  <c r="F110" i="1" s="1"/>
  <c r="D110" i="1"/>
  <c r="C110" i="1"/>
  <c r="B110" i="1"/>
  <c r="A110" i="1"/>
  <c r="N109" i="1"/>
  <c r="M109" i="1"/>
  <c r="I109" i="1"/>
  <c r="H109" i="1"/>
  <c r="G109" i="1"/>
  <c r="E109" i="1"/>
  <c r="F109" i="1" s="1"/>
  <c r="D109" i="1"/>
  <c r="C109" i="1"/>
  <c r="B109" i="1"/>
  <c r="A109" i="1"/>
  <c r="N108" i="1"/>
  <c r="M108" i="1"/>
  <c r="I108" i="1"/>
  <c r="H108" i="1"/>
  <c r="G108" i="1"/>
  <c r="E108" i="1"/>
  <c r="K108" i="1" s="1"/>
  <c r="D108" i="1"/>
  <c r="C108" i="1"/>
  <c r="B108" i="1"/>
  <c r="A108" i="1"/>
  <c r="N107" i="1"/>
  <c r="M107" i="1"/>
  <c r="I107" i="1"/>
  <c r="H107" i="1"/>
  <c r="G107" i="1"/>
  <c r="E107" i="1"/>
  <c r="F107" i="1" s="1"/>
  <c r="D107" i="1"/>
  <c r="C107" i="1"/>
  <c r="B107" i="1"/>
  <c r="A107" i="1"/>
  <c r="N106" i="1"/>
  <c r="M106" i="1"/>
  <c r="K106" i="1"/>
  <c r="I106" i="1"/>
  <c r="J106" i="1" s="1"/>
  <c r="H106" i="1"/>
  <c r="G106" i="1"/>
  <c r="E106" i="1"/>
  <c r="L106" i="1" s="1"/>
  <c r="D106" i="1"/>
  <c r="C106" i="1"/>
  <c r="B106" i="1"/>
  <c r="A106" i="1"/>
  <c r="N105" i="1"/>
  <c r="M105" i="1"/>
  <c r="L105" i="1"/>
  <c r="I105" i="1"/>
  <c r="H105" i="1"/>
  <c r="G105" i="1"/>
  <c r="E105" i="1"/>
  <c r="F105" i="1" s="1"/>
  <c r="D105" i="1"/>
  <c r="C105" i="1"/>
  <c r="B105" i="1"/>
  <c r="A105" i="1"/>
  <c r="N104" i="1"/>
  <c r="M104" i="1"/>
  <c r="I104" i="1"/>
  <c r="H104" i="1"/>
  <c r="G104" i="1"/>
  <c r="E104" i="1"/>
  <c r="K104" i="1" s="1"/>
  <c r="D104" i="1"/>
  <c r="C104" i="1"/>
  <c r="B104" i="1"/>
  <c r="A104" i="1"/>
  <c r="N103" i="1"/>
  <c r="M103" i="1"/>
  <c r="I103" i="1"/>
  <c r="H103" i="1"/>
  <c r="G103" i="1"/>
  <c r="E103" i="1"/>
  <c r="F103" i="1" s="1"/>
  <c r="D103" i="1"/>
  <c r="C103" i="1"/>
  <c r="B103" i="1"/>
  <c r="A103" i="1"/>
  <c r="N102" i="1"/>
  <c r="M102" i="1"/>
  <c r="I102" i="1"/>
  <c r="H102" i="1"/>
  <c r="G102" i="1"/>
  <c r="E102" i="1"/>
  <c r="K102" i="1" s="1"/>
  <c r="D102" i="1"/>
  <c r="C102" i="1"/>
  <c r="B102" i="1"/>
  <c r="A102" i="1"/>
  <c r="N101" i="1"/>
  <c r="M101" i="1"/>
  <c r="I101" i="1"/>
  <c r="H101" i="1"/>
  <c r="G101" i="1"/>
  <c r="E101" i="1"/>
  <c r="F101" i="1" s="1"/>
  <c r="D101" i="1"/>
  <c r="C101" i="1"/>
  <c r="B101" i="1"/>
  <c r="A101" i="1"/>
  <c r="N100" i="1"/>
  <c r="M100" i="1"/>
  <c r="I100" i="1"/>
  <c r="H100" i="1"/>
  <c r="G100" i="1"/>
  <c r="E100" i="1"/>
  <c r="L100" i="1" s="1"/>
  <c r="D100" i="1"/>
  <c r="C100" i="1"/>
  <c r="B100" i="1"/>
  <c r="A100" i="1"/>
  <c r="N99" i="1"/>
  <c r="M99" i="1"/>
  <c r="L99" i="1"/>
  <c r="I99" i="1"/>
  <c r="H99" i="1"/>
  <c r="G99" i="1"/>
  <c r="E99" i="1"/>
  <c r="F99" i="1" s="1"/>
  <c r="D99" i="1"/>
  <c r="C99" i="1"/>
  <c r="B99" i="1"/>
  <c r="A99" i="1"/>
  <c r="N98" i="1"/>
  <c r="M98" i="1"/>
  <c r="I98" i="1"/>
  <c r="H98" i="1"/>
  <c r="G98" i="1"/>
  <c r="E98" i="1"/>
  <c r="F98" i="1" s="1"/>
  <c r="D98" i="1"/>
  <c r="C98" i="1"/>
  <c r="B98" i="1"/>
  <c r="A98" i="1"/>
  <c r="N97" i="1"/>
  <c r="M97" i="1"/>
  <c r="I97" i="1"/>
  <c r="H97" i="1"/>
  <c r="G97" i="1"/>
  <c r="E97" i="1"/>
  <c r="F97" i="1" s="1"/>
  <c r="D97" i="1"/>
  <c r="C97" i="1"/>
  <c r="B97" i="1"/>
  <c r="A97" i="1"/>
  <c r="N96" i="1"/>
  <c r="M96" i="1"/>
  <c r="I96" i="1"/>
  <c r="H96" i="1"/>
  <c r="G96" i="1"/>
  <c r="E96" i="1"/>
  <c r="K96" i="1" s="1"/>
  <c r="D96" i="1"/>
  <c r="C96" i="1"/>
  <c r="B96" i="1"/>
  <c r="A96" i="1"/>
  <c r="N95" i="1"/>
  <c r="M95" i="1"/>
  <c r="I95" i="1"/>
  <c r="H95" i="1"/>
  <c r="G95" i="1"/>
  <c r="E95" i="1"/>
  <c r="L95" i="1" s="1"/>
  <c r="D95" i="1"/>
  <c r="C95" i="1"/>
  <c r="B95" i="1"/>
  <c r="A95" i="1"/>
  <c r="N94" i="1"/>
  <c r="M94" i="1"/>
  <c r="I94" i="1"/>
  <c r="H94" i="1"/>
  <c r="G94" i="1"/>
  <c r="E94" i="1"/>
  <c r="L94" i="1" s="1"/>
  <c r="D94" i="1"/>
  <c r="C94" i="1"/>
  <c r="B94" i="1"/>
  <c r="A94" i="1"/>
  <c r="N93" i="1"/>
  <c r="M93" i="1"/>
  <c r="I93" i="1"/>
  <c r="H93" i="1"/>
  <c r="G93" i="1"/>
  <c r="E93" i="1"/>
  <c r="L93" i="1" s="1"/>
  <c r="D93" i="1"/>
  <c r="C93" i="1"/>
  <c r="B93" i="1"/>
  <c r="A93" i="1"/>
  <c r="N92" i="1"/>
  <c r="M92" i="1"/>
  <c r="I92" i="1"/>
  <c r="H92" i="1"/>
  <c r="G92" i="1"/>
  <c r="E92" i="1"/>
  <c r="L92" i="1" s="1"/>
  <c r="D92" i="1"/>
  <c r="C92" i="1"/>
  <c r="B92" i="1"/>
  <c r="A92" i="1"/>
  <c r="N91" i="1"/>
  <c r="M91" i="1"/>
  <c r="I91" i="1"/>
  <c r="H91" i="1"/>
  <c r="G91" i="1"/>
  <c r="E91" i="1"/>
  <c r="F91" i="1" s="1"/>
  <c r="D91" i="1"/>
  <c r="C91" i="1"/>
  <c r="B91" i="1"/>
  <c r="A91" i="1"/>
  <c r="N90" i="1"/>
  <c r="M90" i="1"/>
  <c r="I90" i="1"/>
  <c r="H90" i="1"/>
  <c r="G90" i="1"/>
  <c r="E90" i="1"/>
  <c r="K90" i="1" s="1"/>
  <c r="D90" i="1"/>
  <c r="C90" i="1"/>
  <c r="B90" i="1"/>
  <c r="A90" i="1"/>
  <c r="N89" i="1"/>
  <c r="M89" i="1"/>
  <c r="I89" i="1"/>
  <c r="H89" i="1"/>
  <c r="G89" i="1"/>
  <c r="E89" i="1"/>
  <c r="F89" i="1" s="1"/>
  <c r="D89" i="1"/>
  <c r="C89" i="1"/>
  <c r="B89" i="1"/>
  <c r="A89" i="1"/>
  <c r="N88" i="1"/>
  <c r="M88" i="1"/>
  <c r="I88" i="1"/>
  <c r="H88" i="1"/>
  <c r="G88" i="1"/>
  <c r="E88" i="1"/>
  <c r="L88" i="1" s="1"/>
  <c r="D88" i="1"/>
  <c r="C88" i="1"/>
  <c r="B88" i="1"/>
  <c r="A88" i="1"/>
  <c r="N87" i="1"/>
  <c r="M87" i="1"/>
  <c r="I87" i="1"/>
  <c r="H87" i="1"/>
  <c r="G87" i="1"/>
  <c r="E87" i="1"/>
  <c r="F87" i="1" s="1"/>
  <c r="D87" i="1"/>
  <c r="C87" i="1"/>
  <c r="B87" i="1"/>
  <c r="A87" i="1"/>
  <c r="N86" i="1"/>
  <c r="M86" i="1"/>
  <c r="I86" i="1"/>
  <c r="H86" i="1"/>
  <c r="G86" i="1"/>
  <c r="E86" i="1"/>
  <c r="F86" i="1" s="1"/>
  <c r="D86" i="1"/>
  <c r="C86" i="1"/>
  <c r="B86" i="1"/>
  <c r="A86" i="1"/>
  <c r="N85" i="1"/>
  <c r="M85" i="1"/>
  <c r="I85" i="1"/>
  <c r="J85" i="1" s="1"/>
  <c r="H85" i="1"/>
  <c r="G85" i="1"/>
  <c r="E85" i="1"/>
  <c r="F85" i="1" s="1"/>
  <c r="D85" i="1"/>
  <c r="C85" i="1"/>
  <c r="B85" i="1"/>
  <c r="A85" i="1"/>
  <c r="N84" i="1"/>
  <c r="M84" i="1"/>
  <c r="I84" i="1"/>
  <c r="J84" i="1" s="1"/>
  <c r="H84" i="1"/>
  <c r="G84" i="1"/>
  <c r="E84" i="1"/>
  <c r="K84" i="1" s="1"/>
  <c r="D84" i="1"/>
  <c r="C84" i="1"/>
  <c r="B84" i="1"/>
  <c r="A84" i="1"/>
  <c r="N83" i="1"/>
  <c r="M83" i="1"/>
  <c r="I83" i="1"/>
  <c r="H83" i="1"/>
  <c r="G83" i="1"/>
  <c r="E83" i="1"/>
  <c r="L83" i="1" s="1"/>
  <c r="D83" i="1"/>
  <c r="C83" i="1"/>
  <c r="B83" i="1"/>
  <c r="A83" i="1"/>
  <c r="N82" i="1"/>
  <c r="M82" i="1"/>
  <c r="I82" i="1"/>
  <c r="H82" i="1"/>
  <c r="G82" i="1"/>
  <c r="E82" i="1"/>
  <c r="L82" i="1" s="1"/>
  <c r="D82" i="1"/>
  <c r="C82" i="1"/>
  <c r="B82" i="1"/>
  <c r="A82" i="1"/>
  <c r="N81" i="1"/>
  <c r="M81" i="1"/>
  <c r="I81" i="1"/>
  <c r="H81" i="1"/>
  <c r="G81" i="1"/>
  <c r="E81" i="1"/>
  <c r="K81" i="1" s="1"/>
  <c r="D81" i="1"/>
  <c r="C81" i="1"/>
  <c r="B81" i="1"/>
  <c r="A81" i="1"/>
  <c r="N80" i="1"/>
  <c r="M80" i="1"/>
  <c r="I80" i="1"/>
  <c r="H80" i="1"/>
  <c r="G80" i="1"/>
  <c r="E80" i="1"/>
  <c r="L80" i="1" s="1"/>
  <c r="D80" i="1"/>
  <c r="C80" i="1"/>
  <c r="B80" i="1"/>
  <c r="A80" i="1"/>
  <c r="N79" i="1"/>
  <c r="M79" i="1"/>
  <c r="I79" i="1"/>
  <c r="H79" i="1"/>
  <c r="G79" i="1"/>
  <c r="E79" i="1"/>
  <c r="F79" i="1" s="1"/>
  <c r="D79" i="1"/>
  <c r="C79" i="1"/>
  <c r="B79" i="1"/>
  <c r="A79" i="1"/>
  <c r="N78" i="1"/>
  <c r="M78" i="1"/>
  <c r="I78" i="1"/>
  <c r="H78" i="1"/>
  <c r="G78" i="1"/>
  <c r="F78" i="1"/>
  <c r="E78" i="1"/>
  <c r="K78" i="1" s="1"/>
  <c r="D78" i="1"/>
  <c r="C78" i="1"/>
  <c r="B78" i="1"/>
  <c r="A78" i="1"/>
  <c r="N77" i="1"/>
  <c r="M77" i="1"/>
  <c r="I77" i="1"/>
  <c r="H77" i="1"/>
  <c r="G77" i="1"/>
  <c r="E77" i="1"/>
  <c r="L77" i="1" s="1"/>
  <c r="D77" i="1"/>
  <c r="C77" i="1"/>
  <c r="B77" i="1"/>
  <c r="A77" i="1"/>
  <c r="N76" i="1"/>
  <c r="M76" i="1"/>
  <c r="I76" i="1"/>
  <c r="H76" i="1"/>
  <c r="G76" i="1"/>
  <c r="F76" i="1"/>
  <c r="E76" i="1"/>
  <c r="L76" i="1" s="1"/>
  <c r="D76" i="1"/>
  <c r="C76" i="1"/>
  <c r="B76" i="1"/>
  <c r="A76" i="1"/>
  <c r="N75" i="1"/>
  <c r="M75" i="1"/>
  <c r="I75" i="1"/>
  <c r="H75" i="1"/>
  <c r="G75" i="1"/>
  <c r="E75" i="1"/>
  <c r="L75" i="1" s="1"/>
  <c r="D75" i="1"/>
  <c r="C75" i="1"/>
  <c r="B75" i="1"/>
  <c r="A75" i="1"/>
  <c r="N74" i="1"/>
  <c r="M74" i="1"/>
  <c r="I74" i="1"/>
  <c r="H74" i="1"/>
  <c r="G74" i="1"/>
  <c r="E74" i="1"/>
  <c r="L74" i="1" s="1"/>
  <c r="D74" i="1"/>
  <c r="C74" i="1"/>
  <c r="B74" i="1"/>
  <c r="A74" i="1"/>
  <c r="N73" i="1"/>
  <c r="M73" i="1"/>
  <c r="I73" i="1"/>
  <c r="H73" i="1"/>
  <c r="G73" i="1"/>
  <c r="E73" i="1"/>
  <c r="J73" i="1" s="1"/>
  <c r="D73" i="1"/>
  <c r="C73" i="1"/>
  <c r="B73" i="1"/>
  <c r="A73" i="1"/>
  <c r="N72" i="1"/>
  <c r="M72" i="1"/>
  <c r="I72" i="1"/>
  <c r="H72" i="1"/>
  <c r="G72" i="1"/>
  <c r="E72" i="1"/>
  <c r="K72" i="1" s="1"/>
  <c r="D72" i="1"/>
  <c r="C72" i="1"/>
  <c r="B72" i="1"/>
  <c r="A72" i="1"/>
  <c r="N71" i="1"/>
  <c r="M71" i="1"/>
  <c r="I71" i="1"/>
  <c r="H71" i="1"/>
  <c r="G71" i="1"/>
  <c r="E71" i="1"/>
  <c r="K71" i="1" s="1"/>
  <c r="D71" i="1"/>
  <c r="C71" i="1"/>
  <c r="B71" i="1"/>
  <c r="A71" i="1"/>
  <c r="N70" i="1"/>
  <c r="M70" i="1"/>
  <c r="I70" i="1"/>
  <c r="H70" i="1"/>
  <c r="G70" i="1"/>
  <c r="E70" i="1"/>
  <c r="L70" i="1" s="1"/>
  <c r="D70" i="1"/>
  <c r="C70" i="1"/>
  <c r="B70" i="1"/>
  <c r="A70" i="1"/>
  <c r="N69" i="1"/>
  <c r="M69" i="1"/>
  <c r="I69" i="1"/>
  <c r="H69" i="1"/>
  <c r="G69" i="1"/>
  <c r="E69" i="1"/>
  <c r="F69" i="1" s="1"/>
  <c r="D69" i="1"/>
  <c r="C69" i="1"/>
  <c r="B69" i="1"/>
  <c r="A69" i="1"/>
  <c r="N68" i="1"/>
  <c r="M68" i="1"/>
  <c r="I68" i="1"/>
  <c r="H68" i="1"/>
  <c r="G68" i="1"/>
  <c r="E68" i="1"/>
  <c r="K68" i="1" s="1"/>
  <c r="D68" i="1"/>
  <c r="C68" i="1"/>
  <c r="B68" i="1"/>
  <c r="A68" i="1"/>
  <c r="N67" i="1"/>
  <c r="M67" i="1"/>
  <c r="I67" i="1"/>
  <c r="H67" i="1"/>
  <c r="G67" i="1"/>
  <c r="E67" i="1"/>
  <c r="L67" i="1" s="1"/>
  <c r="D67" i="1"/>
  <c r="C67" i="1"/>
  <c r="B67" i="1"/>
  <c r="A67" i="1"/>
  <c r="N66" i="1"/>
  <c r="M66" i="1"/>
  <c r="I66" i="1"/>
  <c r="H66" i="1"/>
  <c r="G66" i="1"/>
  <c r="E66" i="1"/>
  <c r="K66" i="1" s="1"/>
  <c r="D66" i="1"/>
  <c r="C66" i="1"/>
  <c r="B66" i="1"/>
  <c r="A66" i="1"/>
  <c r="N65" i="1"/>
  <c r="M65" i="1"/>
  <c r="I65" i="1"/>
  <c r="H65" i="1"/>
  <c r="G65" i="1"/>
  <c r="E65" i="1"/>
  <c r="K65" i="1" s="1"/>
  <c r="D65" i="1"/>
  <c r="C65" i="1"/>
  <c r="B65" i="1"/>
  <c r="A65" i="1"/>
  <c r="N64" i="1"/>
  <c r="M64" i="1"/>
  <c r="I64" i="1"/>
  <c r="H64" i="1"/>
  <c r="G64" i="1"/>
  <c r="E64" i="1"/>
  <c r="L64" i="1" s="1"/>
  <c r="D64" i="1"/>
  <c r="C64" i="1"/>
  <c r="B64" i="1"/>
  <c r="A64" i="1"/>
  <c r="N63" i="1"/>
  <c r="M63" i="1"/>
  <c r="I63" i="1"/>
  <c r="H63" i="1"/>
  <c r="G63" i="1"/>
  <c r="E63" i="1"/>
  <c r="F63" i="1" s="1"/>
  <c r="D63" i="1"/>
  <c r="C63" i="1"/>
  <c r="B63" i="1"/>
  <c r="A63" i="1"/>
  <c r="N62" i="1"/>
  <c r="M62" i="1"/>
  <c r="I62" i="1"/>
  <c r="H62" i="1"/>
  <c r="G62" i="1"/>
  <c r="E62" i="1"/>
  <c r="K62" i="1" s="1"/>
  <c r="D62" i="1"/>
  <c r="C62" i="1"/>
  <c r="B62" i="1"/>
  <c r="A62" i="1"/>
  <c r="N61" i="1"/>
  <c r="M61" i="1"/>
  <c r="I61" i="1"/>
  <c r="H61" i="1"/>
  <c r="G61" i="1"/>
  <c r="E61" i="1"/>
  <c r="F61" i="1" s="1"/>
  <c r="D61" i="1"/>
  <c r="C61" i="1"/>
  <c r="B61" i="1"/>
  <c r="A61" i="1"/>
  <c r="N60" i="1"/>
  <c r="M60" i="1"/>
  <c r="I60" i="1"/>
  <c r="H60" i="1"/>
  <c r="G60" i="1"/>
  <c r="E60" i="1"/>
  <c r="K60" i="1" s="1"/>
  <c r="D60" i="1"/>
  <c r="C60" i="1"/>
  <c r="B60" i="1"/>
  <c r="A60" i="1"/>
  <c r="N59" i="1"/>
  <c r="M59" i="1"/>
  <c r="I59" i="1"/>
  <c r="H59" i="1"/>
  <c r="G59" i="1"/>
  <c r="E59" i="1"/>
  <c r="K59" i="1" s="1"/>
  <c r="D59" i="1"/>
  <c r="C59" i="1"/>
  <c r="B59" i="1"/>
  <c r="A59" i="1"/>
  <c r="N58" i="1"/>
  <c r="M58" i="1"/>
  <c r="I58" i="1"/>
  <c r="H58" i="1"/>
  <c r="G58" i="1"/>
  <c r="E58" i="1"/>
  <c r="J58" i="1" s="1"/>
  <c r="D58" i="1"/>
  <c r="C58" i="1"/>
  <c r="B58" i="1"/>
  <c r="A58" i="1"/>
  <c r="N57" i="1"/>
  <c r="M57" i="1"/>
  <c r="I57" i="1"/>
  <c r="H57" i="1"/>
  <c r="G57" i="1"/>
  <c r="E57" i="1"/>
  <c r="L57" i="1" s="1"/>
  <c r="D57" i="1"/>
  <c r="C57" i="1"/>
  <c r="B57" i="1"/>
  <c r="A57" i="1"/>
  <c r="N56" i="1"/>
  <c r="M56" i="1"/>
  <c r="I56" i="1"/>
  <c r="H56" i="1"/>
  <c r="G56" i="1"/>
  <c r="E56" i="1"/>
  <c r="L56" i="1" s="1"/>
  <c r="D56" i="1"/>
  <c r="C56" i="1"/>
  <c r="B56" i="1"/>
  <c r="A56" i="1"/>
  <c r="N55" i="1"/>
  <c r="M55" i="1"/>
  <c r="I55" i="1"/>
  <c r="H55" i="1"/>
  <c r="G55" i="1"/>
  <c r="E55" i="1"/>
  <c r="L55" i="1" s="1"/>
  <c r="D55" i="1"/>
  <c r="C55" i="1"/>
  <c r="B55" i="1"/>
  <c r="A55" i="1"/>
  <c r="N54" i="1"/>
  <c r="M54" i="1"/>
  <c r="I54" i="1"/>
  <c r="H54" i="1"/>
  <c r="G54" i="1"/>
  <c r="E54" i="1"/>
  <c r="K54" i="1" s="1"/>
  <c r="D54" i="1"/>
  <c r="C54" i="1"/>
  <c r="B54" i="1"/>
  <c r="A54" i="1"/>
  <c r="N53" i="1"/>
  <c r="M53" i="1"/>
  <c r="I53" i="1"/>
  <c r="H53" i="1"/>
  <c r="G53" i="1"/>
  <c r="E53" i="1"/>
  <c r="K53" i="1" s="1"/>
  <c r="D53" i="1"/>
  <c r="C53" i="1"/>
  <c r="B53" i="1"/>
  <c r="A53" i="1"/>
  <c r="N52" i="1"/>
  <c r="M52" i="1"/>
  <c r="I52" i="1"/>
  <c r="H52" i="1"/>
  <c r="G52" i="1"/>
  <c r="E52" i="1"/>
  <c r="L52" i="1" s="1"/>
  <c r="D52" i="1"/>
  <c r="C52" i="1"/>
  <c r="B52" i="1"/>
  <c r="A52" i="1"/>
  <c r="N51" i="1"/>
  <c r="M51" i="1"/>
  <c r="I51" i="1"/>
  <c r="H51" i="1"/>
  <c r="G51" i="1"/>
  <c r="E51" i="1"/>
  <c r="L51" i="1" s="1"/>
  <c r="D51" i="1"/>
  <c r="C51" i="1"/>
  <c r="B51" i="1"/>
  <c r="A51" i="1"/>
  <c r="N50" i="1"/>
  <c r="M50" i="1"/>
  <c r="I50" i="1"/>
  <c r="H50" i="1"/>
  <c r="G50" i="1"/>
  <c r="E50" i="1"/>
  <c r="F50" i="1" s="1"/>
  <c r="D50" i="1"/>
  <c r="C50" i="1"/>
  <c r="B50" i="1"/>
  <c r="A50" i="1"/>
  <c r="N49" i="1"/>
  <c r="M49" i="1"/>
  <c r="I49" i="1"/>
  <c r="H49" i="1"/>
  <c r="G49" i="1"/>
  <c r="E49" i="1"/>
  <c r="L49" i="1" s="1"/>
  <c r="D49" i="1"/>
  <c r="C49" i="1"/>
  <c r="B49" i="1"/>
  <c r="A49" i="1"/>
  <c r="N48" i="1"/>
  <c r="M48" i="1"/>
  <c r="I48" i="1"/>
  <c r="H48" i="1"/>
  <c r="G48" i="1"/>
  <c r="E48" i="1"/>
  <c r="K48" i="1" s="1"/>
  <c r="D48" i="1"/>
  <c r="C48" i="1"/>
  <c r="B48" i="1"/>
  <c r="A48" i="1"/>
  <c r="N47" i="1"/>
  <c r="M47" i="1"/>
  <c r="L47" i="1"/>
  <c r="I47" i="1"/>
  <c r="H47" i="1"/>
  <c r="G47" i="1"/>
  <c r="E47" i="1"/>
  <c r="K47" i="1" s="1"/>
  <c r="D47" i="1"/>
  <c r="C47" i="1"/>
  <c r="B47" i="1"/>
  <c r="A47" i="1"/>
  <c r="N46" i="1"/>
  <c r="M46" i="1"/>
  <c r="K46" i="1"/>
  <c r="I46" i="1"/>
  <c r="H46" i="1"/>
  <c r="G46" i="1"/>
  <c r="E46" i="1"/>
  <c r="F46" i="1" s="1"/>
  <c r="D46" i="1"/>
  <c r="C46" i="1"/>
  <c r="B46" i="1"/>
  <c r="A46" i="1"/>
  <c r="N45" i="1"/>
  <c r="M45" i="1"/>
  <c r="L45" i="1"/>
  <c r="K45" i="1"/>
  <c r="I45" i="1"/>
  <c r="H45" i="1"/>
  <c r="G45" i="1"/>
  <c r="E45" i="1"/>
  <c r="F45" i="1" s="1"/>
  <c r="D45" i="1"/>
  <c r="C45" i="1"/>
  <c r="B45" i="1"/>
  <c r="A45" i="1"/>
  <c r="N44" i="1"/>
  <c r="M44" i="1"/>
  <c r="L44" i="1"/>
  <c r="I44" i="1"/>
  <c r="H44" i="1"/>
  <c r="G44" i="1"/>
  <c r="E44" i="1"/>
  <c r="F44" i="1" s="1"/>
  <c r="D44" i="1"/>
  <c r="C44" i="1"/>
  <c r="B44" i="1"/>
  <c r="A44" i="1"/>
  <c r="N43" i="1"/>
  <c r="M43" i="1"/>
  <c r="I43" i="1"/>
  <c r="H43" i="1"/>
  <c r="G43" i="1"/>
  <c r="E43" i="1"/>
  <c r="L43" i="1" s="1"/>
  <c r="D43" i="1"/>
  <c r="C43" i="1"/>
  <c r="B43" i="1"/>
  <c r="A43" i="1"/>
  <c r="N42" i="1"/>
  <c r="M42" i="1"/>
  <c r="I42" i="1"/>
  <c r="H42" i="1"/>
  <c r="G42" i="1"/>
  <c r="E42" i="1"/>
  <c r="K42" i="1" s="1"/>
  <c r="D42" i="1"/>
  <c r="C42" i="1"/>
  <c r="B42" i="1"/>
  <c r="A42" i="1"/>
  <c r="N41" i="1"/>
  <c r="M41" i="1"/>
  <c r="I41" i="1"/>
  <c r="H41" i="1"/>
  <c r="G41" i="1"/>
  <c r="E41" i="1"/>
  <c r="K41" i="1" s="1"/>
  <c r="D41" i="1"/>
  <c r="C41" i="1"/>
  <c r="B41" i="1"/>
  <c r="A41" i="1"/>
  <c r="N40" i="1"/>
  <c r="M40" i="1"/>
  <c r="I40" i="1"/>
  <c r="H40" i="1"/>
  <c r="G40" i="1"/>
  <c r="E40" i="1"/>
  <c r="L40" i="1" s="1"/>
  <c r="D40" i="1"/>
  <c r="C40" i="1"/>
  <c r="B40" i="1"/>
  <c r="A40" i="1"/>
  <c r="N39" i="1"/>
  <c r="M39" i="1"/>
  <c r="I39" i="1"/>
  <c r="H39" i="1"/>
  <c r="G39" i="1"/>
  <c r="E39" i="1"/>
  <c r="L39" i="1" s="1"/>
  <c r="D39" i="1"/>
  <c r="C39" i="1"/>
  <c r="B39" i="1"/>
  <c r="A39" i="1"/>
  <c r="N38" i="1"/>
  <c r="M38" i="1"/>
  <c r="I38" i="1"/>
  <c r="H38" i="1"/>
  <c r="G38" i="1"/>
  <c r="E38" i="1"/>
  <c r="L38" i="1" s="1"/>
  <c r="D38" i="1"/>
  <c r="C38" i="1"/>
  <c r="B38" i="1"/>
  <c r="A38" i="1"/>
  <c r="N37" i="1"/>
  <c r="M37" i="1"/>
  <c r="I37" i="1"/>
  <c r="H37" i="1"/>
  <c r="G37" i="1"/>
  <c r="E37" i="1"/>
  <c r="J37" i="1" s="1"/>
  <c r="D37" i="1"/>
  <c r="C37" i="1"/>
  <c r="B37" i="1"/>
  <c r="A37" i="1"/>
  <c r="N36" i="1"/>
  <c r="M36" i="1"/>
  <c r="I36" i="1"/>
  <c r="H36" i="1"/>
  <c r="G36" i="1"/>
  <c r="E36" i="1"/>
  <c r="K36" i="1" s="1"/>
  <c r="D36" i="1"/>
  <c r="C36" i="1"/>
  <c r="B36" i="1"/>
  <c r="A36" i="1"/>
  <c r="N35" i="1"/>
  <c r="M35" i="1"/>
  <c r="I35" i="1"/>
  <c r="H35" i="1"/>
  <c r="G35" i="1"/>
  <c r="E35" i="1"/>
  <c r="K35" i="1" s="1"/>
  <c r="D35" i="1"/>
  <c r="C35" i="1"/>
  <c r="B35" i="1"/>
  <c r="A35" i="1"/>
  <c r="N34" i="1"/>
  <c r="M34" i="1"/>
  <c r="I34" i="1"/>
  <c r="H34" i="1"/>
  <c r="G34" i="1"/>
  <c r="E34" i="1"/>
  <c r="L34" i="1" s="1"/>
  <c r="D34" i="1"/>
  <c r="C34" i="1"/>
  <c r="B34" i="1"/>
  <c r="A34" i="1"/>
  <c r="N33" i="1"/>
  <c r="M33" i="1"/>
  <c r="I33" i="1"/>
  <c r="H33" i="1"/>
  <c r="G33" i="1"/>
  <c r="E33" i="1"/>
  <c r="K33" i="1" s="1"/>
  <c r="D33" i="1"/>
  <c r="C33" i="1"/>
  <c r="B33" i="1"/>
  <c r="A33" i="1"/>
  <c r="N32" i="1"/>
  <c r="M32" i="1"/>
  <c r="I32" i="1"/>
  <c r="H32" i="1"/>
  <c r="G32" i="1"/>
  <c r="E32" i="1"/>
  <c r="L32" i="1" s="1"/>
  <c r="D32" i="1"/>
  <c r="C32" i="1"/>
  <c r="B32" i="1"/>
  <c r="A32" i="1"/>
  <c r="N31" i="1"/>
  <c r="M31" i="1"/>
  <c r="I31" i="1"/>
  <c r="H31" i="1"/>
  <c r="G31" i="1"/>
  <c r="E31" i="1"/>
  <c r="L31" i="1" s="1"/>
  <c r="D31" i="1"/>
  <c r="C31" i="1"/>
  <c r="B31" i="1"/>
  <c r="A31" i="1"/>
  <c r="N30" i="1"/>
  <c r="M30" i="1"/>
  <c r="I30" i="1"/>
  <c r="H30" i="1"/>
  <c r="G30" i="1"/>
  <c r="E30" i="1"/>
  <c r="K30" i="1" s="1"/>
  <c r="D30" i="1"/>
  <c r="C30" i="1"/>
  <c r="B30" i="1"/>
  <c r="A30" i="1"/>
  <c r="N29" i="1"/>
  <c r="M29" i="1"/>
  <c r="I29" i="1"/>
  <c r="H29" i="1"/>
  <c r="G29" i="1"/>
  <c r="E29" i="1"/>
  <c r="K29" i="1" s="1"/>
  <c r="D29" i="1"/>
  <c r="C29" i="1"/>
  <c r="B29" i="1"/>
  <c r="A29" i="1"/>
  <c r="N28" i="1"/>
  <c r="M28" i="1"/>
  <c r="I28" i="1"/>
  <c r="H28" i="1"/>
  <c r="G28" i="1"/>
  <c r="E28" i="1"/>
  <c r="L28" i="1" s="1"/>
  <c r="D28" i="1"/>
  <c r="C28" i="1"/>
  <c r="B28" i="1"/>
  <c r="A28" i="1"/>
  <c r="N27" i="1"/>
  <c r="M27" i="1"/>
  <c r="I27" i="1"/>
  <c r="H27" i="1"/>
  <c r="G27" i="1"/>
  <c r="E27" i="1"/>
  <c r="K27" i="1" s="1"/>
  <c r="D27" i="1"/>
  <c r="C27" i="1"/>
  <c r="B27" i="1"/>
  <c r="A27" i="1"/>
  <c r="N26" i="1"/>
  <c r="M26" i="1"/>
  <c r="I26" i="1"/>
  <c r="H26" i="1"/>
  <c r="G26" i="1"/>
  <c r="E26" i="1"/>
  <c r="L26" i="1" s="1"/>
  <c r="D26" i="1"/>
  <c r="C26" i="1"/>
  <c r="B26" i="1"/>
  <c r="A26" i="1"/>
  <c r="N25" i="1"/>
  <c r="M25" i="1"/>
  <c r="I25" i="1"/>
  <c r="H25" i="1"/>
  <c r="G25" i="1"/>
  <c r="E25" i="1"/>
  <c r="F25" i="1" s="1"/>
  <c r="D25" i="1"/>
  <c r="C25" i="1"/>
  <c r="B25" i="1"/>
  <c r="A25" i="1"/>
  <c r="N24" i="1"/>
  <c r="M24" i="1"/>
  <c r="I24" i="1"/>
  <c r="H24" i="1"/>
  <c r="G24" i="1"/>
  <c r="E24" i="1"/>
  <c r="K24" i="1" s="1"/>
  <c r="D24" i="1"/>
  <c r="C24" i="1"/>
  <c r="B24" i="1"/>
  <c r="A24" i="1"/>
  <c r="N23" i="1"/>
  <c r="M23" i="1"/>
  <c r="I23" i="1"/>
  <c r="H23" i="1"/>
  <c r="G23" i="1"/>
  <c r="E23" i="1"/>
  <c r="K23" i="1" s="1"/>
  <c r="D23" i="1"/>
  <c r="C23" i="1"/>
  <c r="B23" i="1"/>
  <c r="A23" i="1"/>
  <c r="N22" i="1"/>
  <c r="M22" i="1"/>
  <c r="I22" i="1"/>
  <c r="H22" i="1"/>
  <c r="G22" i="1"/>
  <c r="E22" i="1"/>
  <c r="D22" i="1"/>
  <c r="C22" i="1"/>
  <c r="B22" i="1"/>
  <c r="A22" i="1"/>
  <c r="N21" i="1"/>
  <c r="M21" i="1"/>
  <c r="I21" i="1"/>
  <c r="H21" i="1"/>
  <c r="G21" i="1"/>
  <c r="E21" i="1"/>
  <c r="L21" i="1" s="1"/>
  <c r="D21" i="1"/>
  <c r="C21" i="1"/>
  <c r="B21" i="1"/>
  <c r="A21" i="1"/>
  <c r="N20" i="1"/>
  <c r="M20" i="1"/>
  <c r="I20" i="1"/>
  <c r="H20" i="1"/>
  <c r="G20" i="1"/>
  <c r="E20" i="1"/>
  <c r="L20" i="1" s="1"/>
  <c r="D20" i="1"/>
  <c r="C20" i="1"/>
  <c r="B20" i="1"/>
  <c r="A20" i="1"/>
  <c r="N19" i="1"/>
  <c r="M19" i="1"/>
  <c r="I19" i="1"/>
  <c r="H19" i="1"/>
  <c r="G19" i="1"/>
  <c r="E19" i="1"/>
  <c r="L19" i="1" s="1"/>
  <c r="D19" i="1"/>
  <c r="C19" i="1"/>
  <c r="B19" i="1"/>
  <c r="A19" i="1"/>
  <c r="N18" i="1"/>
  <c r="M18" i="1"/>
  <c r="I18" i="1"/>
  <c r="H18" i="1"/>
  <c r="G18" i="1"/>
  <c r="E18" i="1"/>
  <c r="K18" i="1" s="1"/>
  <c r="D18" i="1"/>
  <c r="C18" i="1"/>
  <c r="B18" i="1"/>
  <c r="A18" i="1"/>
  <c r="N17" i="1"/>
  <c r="M17" i="1"/>
  <c r="I17" i="1"/>
  <c r="H17" i="1"/>
  <c r="G17" i="1"/>
  <c r="E17" i="1"/>
  <c r="K17" i="1" s="1"/>
  <c r="D17" i="1"/>
  <c r="C17" i="1"/>
  <c r="B17" i="1"/>
  <c r="A17" i="1"/>
  <c r="N16" i="1"/>
  <c r="M16" i="1"/>
  <c r="L16" i="1"/>
  <c r="I16" i="1"/>
  <c r="H16" i="1"/>
  <c r="G16" i="1"/>
  <c r="E16" i="1"/>
  <c r="K16" i="1" s="1"/>
  <c r="D16" i="1"/>
  <c r="C16" i="1"/>
  <c r="B16" i="1"/>
  <c r="A16" i="1"/>
  <c r="N15" i="1"/>
  <c r="M15" i="1"/>
  <c r="I15" i="1"/>
  <c r="H15" i="1"/>
  <c r="G15" i="1"/>
  <c r="E15" i="1"/>
  <c r="L15" i="1" s="1"/>
  <c r="D15" i="1"/>
  <c r="C15" i="1"/>
  <c r="B15" i="1"/>
  <c r="A15" i="1"/>
  <c r="N14" i="1"/>
  <c r="M14" i="1"/>
  <c r="I14" i="1"/>
  <c r="H14" i="1"/>
  <c r="G14" i="1"/>
  <c r="E14" i="1"/>
  <c r="L14" i="1" s="1"/>
  <c r="D14" i="1"/>
  <c r="C14" i="1"/>
  <c r="B14" i="1"/>
  <c r="A14" i="1"/>
  <c r="N13" i="1"/>
  <c r="M13" i="1"/>
  <c r="I13" i="1"/>
  <c r="H13" i="1"/>
  <c r="G13" i="1"/>
  <c r="E13" i="1"/>
  <c r="L13" i="1" s="1"/>
  <c r="D13" i="1"/>
  <c r="C13" i="1"/>
  <c r="B13" i="1"/>
  <c r="A13" i="1"/>
  <c r="N12" i="1"/>
  <c r="M12" i="1"/>
  <c r="I12" i="1"/>
  <c r="H12" i="1"/>
  <c r="G12" i="1"/>
  <c r="E12" i="1"/>
  <c r="K12" i="1" s="1"/>
  <c r="D12" i="1"/>
  <c r="C12" i="1"/>
  <c r="B12" i="1"/>
  <c r="A12" i="1"/>
  <c r="N11" i="1"/>
  <c r="M11" i="1"/>
  <c r="I11" i="1"/>
  <c r="H11" i="1"/>
  <c r="G11" i="1"/>
  <c r="E11" i="1"/>
  <c r="K11" i="1" s="1"/>
  <c r="D11" i="1"/>
  <c r="C11" i="1"/>
  <c r="B11" i="1"/>
  <c r="A11" i="1"/>
  <c r="N10" i="1"/>
  <c r="M10" i="1"/>
  <c r="I10" i="1"/>
  <c r="H10" i="1"/>
  <c r="G10" i="1"/>
  <c r="E10" i="1"/>
  <c r="F10" i="1" s="1"/>
  <c r="D10" i="1"/>
  <c r="C10" i="1"/>
  <c r="B10" i="1"/>
  <c r="A10" i="1"/>
  <c r="N9" i="1"/>
  <c r="M9" i="1"/>
  <c r="L9" i="1"/>
  <c r="I9" i="1"/>
  <c r="H9" i="1"/>
  <c r="G9" i="1"/>
  <c r="E9" i="1"/>
  <c r="F9" i="1" s="1"/>
  <c r="D9" i="1"/>
  <c r="C9" i="1"/>
  <c r="B9" i="1"/>
  <c r="A9" i="1"/>
  <c r="N8" i="1"/>
  <c r="M8" i="1"/>
  <c r="L8" i="1"/>
  <c r="I8" i="1"/>
  <c r="H8" i="1"/>
  <c r="G8" i="1"/>
  <c r="E8" i="1"/>
  <c r="K8" i="1" s="1"/>
  <c r="D8" i="1"/>
  <c r="C8" i="1"/>
  <c r="B8" i="1"/>
  <c r="A8" i="1"/>
  <c r="N7" i="1"/>
  <c r="M7" i="1"/>
  <c r="I7" i="1"/>
  <c r="H7" i="1"/>
  <c r="G7" i="1"/>
  <c r="E7" i="1"/>
  <c r="L7" i="1" s="1"/>
  <c r="D7" i="1"/>
  <c r="C7" i="1"/>
  <c r="B7" i="1"/>
  <c r="A7" i="1"/>
  <c r="N6" i="1"/>
  <c r="M6" i="1"/>
  <c r="I6" i="1"/>
  <c r="H6" i="1"/>
  <c r="G6" i="1"/>
  <c r="E6" i="1"/>
  <c r="K6" i="1" s="1"/>
  <c r="D6" i="1"/>
  <c r="C6" i="1"/>
  <c r="B6" i="1"/>
  <c r="A6" i="1"/>
  <c r="N5" i="1"/>
  <c r="M5" i="1"/>
  <c r="I5" i="1"/>
  <c r="H5" i="1"/>
  <c r="G5" i="1"/>
  <c r="E5" i="1"/>
  <c r="K5" i="1" s="1"/>
  <c r="D5" i="1"/>
  <c r="C5" i="1"/>
  <c r="B5" i="1"/>
  <c r="A5" i="1"/>
  <c r="N4" i="1"/>
  <c r="M4" i="1"/>
  <c r="I4" i="1"/>
  <c r="H4" i="1"/>
  <c r="G4" i="1"/>
  <c r="E4" i="1"/>
  <c r="L4" i="1" s="1"/>
  <c r="D4" i="1"/>
  <c r="C4" i="1"/>
  <c r="B4" i="1"/>
  <c r="A4" i="1"/>
  <c r="N3" i="1"/>
  <c r="M3" i="1"/>
  <c r="I3" i="1"/>
  <c r="H3" i="1"/>
  <c r="G3" i="1"/>
  <c r="E3" i="1"/>
  <c r="L3" i="1" s="1"/>
  <c r="D3" i="1"/>
  <c r="C3" i="1"/>
  <c r="B3" i="1"/>
  <c r="A3" i="1"/>
  <c r="N2" i="1"/>
  <c r="I2" i="1"/>
  <c r="H2" i="1"/>
  <c r="E2" i="1"/>
  <c r="L2" i="1" s="1"/>
  <c r="D2" i="1"/>
  <c r="C2" i="1"/>
  <c r="B2" i="1"/>
  <c r="M2" i="1"/>
  <c r="G2" i="1"/>
  <c r="A2" i="1"/>
  <c r="L146" i="1" l="1"/>
  <c r="K147" i="1"/>
  <c r="K148" i="1"/>
  <c r="L149" i="1"/>
  <c r="F68" i="1"/>
  <c r="F138" i="1"/>
  <c r="F147" i="1"/>
  <c r="F129" i="1"/>
  <c r="F137" i="1"/>
  <c r="F14" i="1"/>
  <c r="F51" i="1"/>
  <c r="J148" i="1"/>
  <c r="F52" i="1"/>
  <c r="F94" i="1"/>
  <c r="F16" i="1"/>
  <c r="J129" i="1"/>
  <c r="J14" i="1"/>
  <c r="F47" i="1"/>
  <c r="F48" i="1"/>
  <c r="K50" i="1"/>
  <c r="J51" i="1"/>
  <c r="F125" i="1"/>
  <c r="K129" i="1"/>
  <c r="K14" i="1"/>
  <c r="J15" i="1"/>
  <c r="J18" i="1"/>
  <c r="J38" i="1"/>
  <c r="L50" i="1"/>
  <c r="K51" i="1"/>
  <c r="J52" i="1"/>
  <c r="F62" i="1"/>
  <c r="K149" i="1"/>
  <c r="F15" i="1"/>
  <c r="J96" i="1"/>
  <c r="F8" i="1"/>
  <c r="F11" i="1"/>
  <c r="J50" i="1"/>
  <c r="L111" i="1"/>
  <c r="J8" i="1"/>
  <c r="J9" i="1"/>
  <c r="J10" i="1"/>
  <c r="J12" i="1"/>
  <c r="K15" i="1"/>
  <c r="J16" i="1"/>
  <c r="L18" i="1"/>
  <c r="K38" i="1"/>
  <c r="J44" i="1"/>
  <c r="K52" i="1"/>
  <c r="L87" i="1"/>
  <c r="J160" i="1"/>
  <c r="L161" i="1"/>
  <c r="F27" i="1"/>
  <c r="F33" i="1"/>
  <c r="L69" i="1"/>
  <c r="J149" i="1"/>
  <c r="J97" i="1"/>
  <c r="J138" i="1"/>
  <c r="J147" i="1"/>
  <c r="F18" i="1"/>
  <c r="F38" i="1"/>
  <c r="F12" i="1"/>
  <c r="F126" i="1"/>
  <c r="L128" i="1"/>
  <c r="K9" i="1"/>
  <c r="K10" i="1"/>
  <c r="L11" i="1"/>
  <c r="J22" i="1"/>
  <c r="K44" i="1"/>
  <c r="J45" i="1"/>
  <c r="J46" i="1"/>
  <c r="J48" i="1"/>
  <c r="F77" i="1"/>
  <c r="F106" i="1"/>
  <c r="J117" i="1"/>
  <c r="J118" i="1"/>
  <c r="L160" i="1"/>
  <c r="F74" i="1"/>
  <c r="J27" i="1"/>
  <c r="L27" i="1"/>
  <c r="L33" i="1"/>
  <c r="L62" i="1"/>
  <c r="K63" i="1"/>
  <c r="L68" i="1"/>
  <c r="J69" i="1"/>
  <c r="L81" i="1"/>
  <c r="K82" i="1"/>
  <c r="L85" i="1"/>
  <c r="K86" i="1"/>
  <c r="J87" i="1"/>
  <c r="K94" i="1"/>
  <c r="L97" i="1"/>
  <c r="K98" i="1"/>
  <c r="J99" i="1"/>
  <c r="L101" i="1"/>
  <c r="J102" i="1"/>
  <c r="L104" i="1"/>
  <c r="J105" i="1"/>
  <c r="K109" i="1"/>
  <c r="K110" i="1"/>
  <c r="J111" i="1"/>
  <c r="L115" i="1"/>
  <c r="J116" i="1"/>
  <c r="L126" i="1"/>
  <c r="K127" i="1"/>
  <c r="J128" i="1"/>
  <c r="L135" i="1"/>
  <c r="L138" i="1"/>
  <c r="K139" i="1"/>
  <c r="F142" i="1"/>
  <c r="L145" i="1"/>
  <c r="J146" i="1"/>
  <c r="L152" i="1"/>
  <c r="J161" i="1"/>
  <c r="L63" i="1"/>
  <c r="K69" i="1"/>
  <c r="L86" i="1"/>
  <c r="K87" i="1"/>
  <c r="L98" i="1"/>
  <c r="K99" i="1"/>
  <c r="K105" i="1"/>
  <c r="L108" i="1"/>
  <c r="L110" i="1"/>
  <c r="K111" i="1"/>
  <c r="K116" i="1"/>
  <c r="L127" i="1"/>
  <c r="K128" i="1"/>
  <c r="L139" i="1"/>
  <c r="J140" i="1"/>
  <c r="K146" i="1"/>
  <c r="K161" i="1"/>
  <c r="F24" i="1"/>
  <c r="J3" i="1"/>
  <c r="L17" i="1"/>
  <c r="J20" i="1"/>
  <c r="F26" i="1"/>
  <c r="F32" i="1"/>
  <c r="J53" i="1"/>
  <c r="F60" i="1"/>
  <c r="F72" i="1"/>
  <c r="F75" i="1"/>
  <c r="F81" i="1"/>
  <c r="F90" i="1"/>
  <c r="F104" i="1"/>
  <c r="F123" i="1"/>
  <c r="F135" i="1"/>
  <c r="F167" i="1"/>
  <c r="F92" i="1"/>
  <c r="F4" i="1"/>
  <c r="F21" i="1"/>
  <c r="F23" i="1"/>
  <c r="F31" i="1"/>
  <c r="F36" i="1"/>
  <c r="F39" i="1"/>
  <c r="F57" i="1"/>
  <c r="F59" i="1"/>
  <c r="F67" i="1"/>
  <c r="F134" i="1"/>
  <c r="F159" i="1"/>
  <c r="K20" i="1"/>
  <c r="J54" i="1"/>
  <c r="K4" i="1"/>
  <c r="J21" i="1"/>
  <c r="J23" i="1"/>
  <c r="L30" i="1"/>
  <c r="J36" i="1"/>
  <c r="J66" i="1"/>
  <c r="J165" i="1"/>
  <c r="J166" i="1"/>
  <c r="F3" i="1"/>
  <c r="F19" i="1"/>
  <c r="F20" i="1"/>
  <c r="F54" i="1"/>
  <c r="F55" i="1"/>
  <c r="F56" i="1"/>
  <c r="J17" i="1"/>
  <c r="F40" i="1"/>
  <c r="F80" i="1"/>
  <c r="F122" i="1"/>
  <c r="F155" i="1"/>
  <c r="K3" i="1"/>
  <c r="K19" i="1"/>
  <c r="J30" i="1"/>
  <c r="J39" i="1"/>
  <c r="L53" i="1"/>
  <c r="J56" i="1"/>
  <c r="J92" i="1"/>
  <c r="J31" i="1"/>
  <c r="K39" i="1"/>
  <c r="L54" i="1"/>
  <c r="K55" i="1"/>
  <c r="K56" i="1"/>
  <c r="J74" i="1"/>
  <c r="J80" i="1"/>
  <c r="K92" i="1"/>
  <c r="F102" i="1"/>
  <c r="J122" i="1"/>
  <c r="J134" i="1"/>
  <c r="F152" i="1"/>
  <c r="J158" i="1"/>
  <c r="K21" i="1"/>
  <c r="L23" i="1"/>
  <c r="J24" i="1"/>
  <c r="J25" i="1"/>
  <c r="J26" i="1"/>
  <c r="K31" i="1"/>
  <c r="J32" i="1"/>
  <c r="K40" i="1"/>
  <c r="J57" i="1"/>
  <c r="J59" i="1"/>
  <c r="L66" i="1"/>
  <c r="J67" i="1"/>
  <c r="K74" i="1"/>
  <c r="J75" i="1"/>
  <c r="K80" i="1"/>
  <c r="J93" i="1"/>
  <c r="F108" i="1"/>
  <c r="K122" i="1"/>
  <c r="J123" i="1"/>
  <c r="K133" i="1"/>
  <c r="K134" i="1"/>
  <c r="J155" i="1"/>
  <c r="K157" i="1"/>
  <c r="L158" i="1"/>
  <c r="J159" i="1"/>
  <c r="K165" i="1"/>
  <c r="K166" i="1"/>
  <c r="J167" i="1"/>
  <c r="F93" i="1"/>
  <c r="L24" i="1"/>
  <c r="K26" i="1"/>
  <c r="K32" i="1"/>
  <c r="J33" i="1"/>
  <c r="K57" i="1"/>
  <c r="L59" i="1"/>
  <c r="J60" i="1"/>
  <c r="J61" i="1"/>
  <c r="J62" i="1"/>
  <c r="K67" i="1"/>
  <c r="J68" i="1"/>
  <c r="J72" i="1"/>
  <c r="J81" i="1"/>
  <c r="K93" i="1"/>
  <c r="J104" i="1"/>
  <c r="K123" i="1"/>
  <c r="J135" i="1"/>
  <c r="J136" i="1"/>
  <c r="K155" i="1"/>
  <c r="L157" i="1"/>
  <c r="K159" i="1"/>
  <c r="L165" i="1"/>
  <c r="L166" i="1"/>
  <c r="K167" i="1"/>
  <c r="K25" i="1"/>
  <c r="K75" i="1"/>
  <c r="L60" i="1"/>
  <c r="K61" i="1"/>
  <c r="J63" i="1"/>
  <c r="K76" i="1"/>
  <c r="J78" i="1"/>
  <c r="J82" i="1"/>
  <c r="L84" i="1"/>
  <c r="K85" i="1"/>
  <c r="J86" i="1"/>
  <c r="J94" i="1"/>
  <c r="L96" i="1"/>
  <c r="K97" i="1"/>
  <c r="J98" i="1"/>
  <c r="J110" i="1"/>
  <c r="L114" i="1"/>
  <c r="K115" i="1"/>
  <c r="F118" i="1"/>
  <c r="K124" i="1"/>
  <c r="J126" i="1"/>
  <c r="J127" i="1"/>
  <c r="K136" i="1"/>
  <c r="J139" i="1"/>
  <c r="K145" i="1"/>
  <c r="F148" i="1"/>
  <c r="J152" i="1"/>
  <c r="K153" i="1"/>
  <c r="K491" i="1"/>
  <c r="J491" i="1"/>
  <c r="F491" i="1"/>
  <c r="L491" i="1"/>
  <c r="K22" i="1"/>
  <c r="L29" i="1"/>
  <c r="K37" i="1"/>
  <c r="K58" i="1"/>
  <c r="L65" i="1"/>
  <c r="K73" i="1"/>
  <c r="L103" i="1"/>
  <c r="K107" i="1"/>
  <c r="J107" i="1"/>
  <c r="K112" i="1"/>
  <c r="L144" i="1"/>
  <c r="K154" i="1"/>
  <c r="L172" i="1"/>
  <c r="L182" i="1"/>
  <c r="K182" i="1"/>
  <c r="F182" i="1"/>
  <c r="K186" i="1"/>
  <c r="J186" i="1"/>
  <c r="F186" i="1"/>
  <c r="L254" i="1"/>
  <c r="K254" i="1"/>
  <c r="J254" i="1"/>
  <c r="F254" i="1"/>
  <c r="L320" i="1"/>
  <c r="K320" i="1"/>
  <c r="J320" i="1"/>
  <c r="K327" i="1"/>
  <c r="J327" i="1"/>
  <c r="F327" i="1"/>
  <c r="L327" i="1"/>
  <c r="K551" i="1"/>
  <c r="J551" i="1"/>
  <c r="F551" i="1"/>
  <c r="L551" i="1"/>
  <c r="L656" i="1"/>
  <c r="K656" i="1"/>
  <c r="J656" i="1"/>
  <c r="F656" i="1"/>
  <c r="L693" i="1"/>
  <c r="K693" i="1"/>
  <c r="J693" i="1"/>
  <c r="F693" i="1"/>
  <c r="L22" i="1"/>
  <c r="L37" i="1"/>
  <c r="L58" i="1"/>
  <c r="L73" i="1"/>
  <c r="K77" i="1"/>
  <c r="J77" i="1"/>
  <c r="L154" i="1"/>
  <c r="F196" i="1"/>
  <c r="K196" i="1"/>
  <c r="L506" i="1"/>
  <c r="F506" i="1"/>
  <c r="K506" i="1"/>
  <c r="J506" i="1"/>
  <c r="K563" i="1"/>
  <c r="J563" i="1"/>
  <c r="L563" i="1"/>
  <c r="F563" i="1"/>
  <c r="J651" i="1"/>
  <c r="F651" i="1"/>
  <c r="L651" i="1"/>
  <c r="K651" i="1"/>
  <c r="K304" i="1"/>
  <c r="J304" i="1"/>
  <c r="F542" i="1"/>
  <c r="J542" i="1"/>
  <c r="K542" i="1"/>
  <c r="L767" i="1"/>
  <c r="J767" i="1"/>
  <c r="K767" i="1"/>
  <c r="L783" i="1"/>
  <c r="K783" i="1"/>
  <c r="J783" i="1"/>
  <c r="F783" i="1"/>
  <c r="F13" i="1"/>
  <c r="L193" i="1"/>
  <c r="K193" i="1"/>
  <c r="J193" i="1"/>
  <c r="F304" i="1"/>
  <c r="L650" i="1"/>
  <c r="K650" i="1"/>
  <c r="J650" i="1"/>
  <c r="F650" i="1"/>
  <c r="F745" i="1"/>
  <c r="L745" i="1"/>
  <c r="K745" i="1"/>
  <c r="J745" i="1"/>
  <c r="L766" i="1"/>
  <c r="K766" i="1"/>
  <c r="J766" i="1"/>
  <c r="F767" i="1"/>
  <c r="F824" i="1"/>
  <c r="J824" i="1"/>
  <c r="L824" i="1"/>
  <c r="K824" i="1"/>
  <c r="F6" i="1"/>
  <c r="F42" i="1"/>
  <c r="F130" i="1"/>
  <c r="K131" i="1"/>
  <c r="J131" i="1"/>
  <c r="K163" i="1"/>
  <c r="J163" i="1"/>
  <c r="K164" i="1"/>
  <c r="F164" i="1"/>
  <c r="F193" i="1"/>
  <c r="J201" i="1"/>
  <c r="L201" i="1"/>
  <c r="K201" i="1"/>
  <c r="L266" i="1"/>
  <c r="K266" i="1"/>
  <c r="J266" i="1"/>
  <c r="K303" i="1"/>
  <c r="J303" i="1"/>
  <c r="F303" i="1"/>
  <c r="L303" i="1"/>
  <c r="K346" i="1"/>
  <c r="J346" i="1"/>
  <c r="L346" i="1"/>
  <c r="L518" i="1"/>
  <c r="K518" i="1"/>
  <c r="J518" i="1"/>
  <c r="L549" i="1"/>
  <c r="K549" i="1"/>
  <c r="J549" i="1"/>
  <c r="F549" i="1"/>
  <c r="L561" i="1"/>
  <c r="K561" i="1"/>
  <c r="J561" i="1"/>
  <c r="F561" i="1"/>
  <c r="L586" i="1"/>
  <c r="K586" i="1"/>
  <c r="J586" i="1"/>
  <c r="L597" i="1"/>
  <c r="K597" i="1"/>
  <c r="J597" i="1"/>
  <c r="J744" i="1"/>
  <c r="L744" i="1"/>
  <c r="K744" i="1"/>
  <c r="L765" i="1"/>
  <c r="K765" i="1"/>
  <c r="J765" i="1"/>
  <c r="F766" i="1"/>
  <c r="J780" i="1"/>
  <c r="K780" i="1"/>
  <c r="L780" i="1"/>
  <c r="F782" i="1"/>
  <c r="L782" i="1"/>
  <c r="K782" i="1"/>
  <c r="J782" i="1"/>
  <c r="J4" i="1"/>
  <c r="F7" i="1"/>
  <c r="L10" i="1"/>
  <c r="J11" i="1"/>
  <c r="J19" i="1"/>
  <c r="L25" i="1"/>
  <c r="F28" i="1"/>
  <c r="F35" i="1"/>
  <c r="J40" i="1"/>
  <c r="F43" i="1"/>
  <c r="L46" i="1"/>
  <c r="J47" i="1"/>
  <c r="J55" i="1"/>
  <c r="L61" i="1"/>
  <c r="F64" i="1"/>
  <c r="F71" i="1"/>
  <c r="J76" i="1"/>
  <c r="F100" i="1"/>
  <c r="K101" i="1"/>
  <c r="J101" i="1"/>
  <c r="L107" i="1"/>
  <c r="J108" i="1"/>
  <c r="J109" i="1"/>
  <c r="F131" i="1"/>
  <c r="F132" i="1"/>
  <c r="L162" i="1"/>
  <c r="K162" i="1"/>
  <c r="J162" i="1"/>
  <c r="F163" i="1"/>
  <c r="J196" i="1"/>
  <c r="L200" i="1"/>
  <c r="K200" i="1"/>
  <c r="J200" i="1"/>
  <c r="F201" i="1"/>
  <c r="J207" i="1"/>
  <c r="L207" i="1"/>
  <c r="F207" i="1"/>
  <c r="F211" i="1"/>
  <c r="K211" i="1"/>
  <c r="L244" i="1"/>
  <c r="K244" i="1"/>
  <c r="J244" i="1"/>
  <c r="F266" i="1"/>
  <c r="K273" i="1"/>
  <c r="J273" i="1"/>
  <c r="L273" i="1"/>
  <c r="F273" i="1"/>
  <c r="L302" i="1"/>
  <c r="K302" i="1"/>
  <c r="J302" i="1"/>
  <c r="K339" i="1"/>
  <c r="J339" i="1"/>
  <c r="F339" i="1"/>
  <c r="L339" i="1"/>
  <c r="F346" i="1"/>
  <c r="L383" i="1"/>
  <c r="K383" i="1"/>
  <c r="J383" i="1"/>
  <c r="F518" i="1"/>
  <c r="L584" i="1"/>
  <c r="K584" i="1"/>
  <c r="L585" i="1"/>
  <c r="K585" i="1"/>
  <c r="J585" i="1"/>
  <c r="F586" i="1"/>
  <c r="L591" i="1"/>
  <c r="K591" i="1"/>
  <c r="J591" i="1"/>
  <c r="F591" i="1"/>
  <c r="F597" i="1"/>
  <c r="F744" i="1"/>
  <c r="F765" i="1"/>
  <c r="F780" i="1"/>
  <c r="K801" i="1"/>
  <c r="J801" i="1"/>
  <c r="F801" i="1"/>
  <c r="L801" i="1"/>
  <c r="K119" i="1"/>
  <c r="J119" i="1"/>
  <c r="K268" i="1"/>
  <c r="J268" i="1"/>
  <c r="L326" i="1"/>
  <c r="K326" i="1"/>
  <c r="F326" i="1"/>
  <c r="J326" i="1"/>
  <c r="F49" i="1"/>
  <c r="F70" i="1"/>
  <c r="K89" i="1"/>
  <c r="J89" i="1"/>
  <c r="F120" i="1"/>
  <c r="F150" i="1"/>
  <c r="L192" i="1"/>
  <c r="K192" i="1"/>
  <c r="L202" i="1"/>
  <c r="K202" i="1"/>
  <c r="J202" i="1"/>
  <c r="K143" i="1"/>
  <c r="J143" i="1"/>
  <c r="L206" i="1"/>
  <c r="K206" i="1"/>
  <c r="F206" i="1"/>
  <c r="K243" i="1"/>
  <c r="J243" i="1"/>
  <c r="L243" i="1"/>
  <c r="L338" i="1"/>
  <c r="K338" i="1"/>
  <c r="J338" i="1"/>
  <c r="L374" i="1"/>
  <c r="K374" i="1"/>
  <c r="K473" i="1"/>
  <c r="J473" i="1"/>
  <c r="L542" i="1"/>
  <c r="F733" i="1"/>
  <c r="K733" i="1"/>
  <c r="J733" i="1"/>
  <c r="L733" i="1"/>
  <c r="J5" i="1"/>
  <c r="L12" i="1"/>
  <c r="J13" i="1"/>
  <c r="F22" i="1"/>
  <c r="F29" i="1"/>
  <c r="J34" i="1"/>
  <c r="F37" i="1"/>
  <c r="J41" i="1"/>
  <c r="L48" i="1"/>
  <c r="J49" i="1"/>
  <c r="F58" i="1"/>
  <c r="F65" i="1"/>
  <c r="J70" i="1"/>
  <c r="F73" i="1"/>
  <c r="L78" i="1"/>
  <c r="K79" i="1"/>
  <c r="J88" i="1"/>
  <c r="L109" i="1"/>
  <c r="F112" i="1"/>
  <c r="K113" i="1"/>
  <c r="J113" i="1"/>
  <c r="K118" i="1"/>
  <c r="L119" i="1"/>
  <c r="J120" i="1"/>
  <c r="J121" i="1"/>
  <c r="F143" i="1"/>
  <c r="F144" i="1"/>
  <c r="J150" i="1"/>
  <c r="J151" i="1"/>
  <c r="F154" i="1"/>
  <c r="F220" i="1"/>
  <c r="K220" i="1"/>
  <c r="L241" i="1"/>
  <c r="K241" i="1"/>
  <c r="L242" i="1"/>
  <c r="K242" i="1"/>
  <c r="J242" i="1"/>
  <c r="F243" i="1"/>
  <c r="L268" i="1"/>
  <c r="L272" i="1"/>
  <c r="K272" i="1"/>
  <c r="F272" i="1"/>
  <c r="J272" i="1"/>
  <c r="K286" i="1"/>
  <c r="J286" i="1"/>
  <c r="L304" i="1"/>
  <c r="F338" i="1"/>
  <c r="F374" i="1"/>
  <c r="L381" i="1"/>
  <c r="K381" i="1"/>
  <c r="J381" i="1"/>
  <c r="F473" i="1"/>
  <c r="L725" i="1"/>
  <c r="J725" i="1"/>
  <c r="K725" i="1"/>
  <c r="F725" i="1"/>
  <c r="L5" i="1"/>
  <c r="J6" i="1"/>
  <c r="K13" i="1"/>
  <c r="F30" i="1"/>
  <c r="K34" i="1"/>
  <c r="L41" i="1"/>
  <c r="J42" i="1"/>
  <c r="K49" i="1"/>
  <c r="F66" i="1"/>
  <c r="K70" i="1"/>
  <c r="L79" i="1"/>
  <c r="F82" i="1"/>
  <c r="K83" i="1"/>
  <c r="J83" i="1"/>
  <c r="K88" i="1"/>
  <c r="L89" i="1"/>
  <c r="J90" i="1"/>
  <c r="J91" i="1"/>
  <c r="F113" i="1"/>
  <c r="F114" i="1"/>
  <c r="L120" i="1"/>
  <c r="K121" i="1"/>
  <c r="J130" i="1"/>
  <c r="L150" i="1"/>
  <c r="K151" i="1"/>
  <c r="J164" i="1"/>
  <c r="L168" i="1"/>
  <c r="K168" i="1"/>
  <c r="L169" i="1"/>
  <c r="K169" i="1"/>
  <c r="J169" i="1"/>
  <c r="J192" i="1"/>
  <c r="F241" i="1"/>
  <c r="F242" i="1"/>
  <c r="K256" i="1"/>
  <c r="J256" i="1"/>
  <c r="L256" i="1"/>
  <c r="F286" i="1"/>
  <c r="F381" i="1"/>
  <c r="L463" i="1"/>
  <c r="K463" i="1"/>
  <c r="J463" i="1"/>
  <c r="K500" i="1"/>
  <c r="J500" i="1"/>
  <c r="J659" i="1"/>
  <c r="K659" i="1"/>
  <c r="F659" i="1"/>
  <c r="L659" i="1"/>
  <c r="L664" i="1"/>
  <c r="K664" i="1"/>
  <c r="J664" i="1"/>
  <c r="F664" i="1"/>
  <c r="J732" i="1"/>
  <c r="L732" i="1"/>
  <c r="K732" i="1"/>
  <c r="F732" i="1"/>
  <c r="K550" i="1"/>
  <c r="J550" i="1"/>
  <c r="L550" i="1"/>
  <c r="F550" i="1"/>
  <c r="F34" i="1"/>
  <c r="F88" i="1"/>
  <c r="K267" i="1"/>
  <c r="J267" i="1"/>
  <c r="L267" i="1"/>
  <c r="L393" i="1"/>
  <c r="F393" i="1"/>
  <c r="J393" i="1"/>
  <c r="K393" i="1"/>
  <c r="K433" i="1"/>
  <c r="J433" i="1"/>
  <c r="L433" i="1"/>
  <c r="J79" i="1"/>
  <c r="K210" i="1"/>
  <c r="J210" i="1"/>
  <c r="F210" i="1"/>
  <c r="L375" i="1"/>
  <c r="K375" i="1"/>
  <c r="J375" i="1"/>
  <c r="F375" i="1"/>
  <c r="J382" i="1"/>
  <c r="L382" i="1"/>
  <c r="K382" i="1"/>
  <c r="L548" i="1"/>
  <c r="K548" i="1"/>
  <c r="F548" i="1"/>
  <c r="J548" i="1"/>
  <c r="L590" i="1"/>
  <c r="K590" i="1"/>
  <c r="J590" i="1"/>
  <c r="L6" i="1"/>
  <c r="J7" i="1"/>
  <c r="J28" i="1"/>
  <c r="J35" i="1"/>
  <c r="L42" i="1"/>
  <c r="J43" i="1"/>
  <c r="J64" i="1"/>
  <c r="J71" i="1"/>
  <c r="F83" i="1"/>
  <c r="F84" i="1"/>
  <c r="L90" i="1"/>
  <c r="K91" i="1"/>
  <c r="J100" i="1"/>
  <c r="L121" i="1"/>
  <c r="F124" i="1"/>
  <c r="K125" i="1"/>
  <c r="J125" i="1"/>
  <c r="K130" i="1"/>
  <c r="L131" i="1"/>
  <c r="J132" i="1"/>
  <c r="J133" i="1"/>
  <c r="L151" i="1"/>
  <c r="J153" i="1"/>
  <c r="L163" i="1"/>
  <c r="L164" i="1"/>
  <c r="F168" i="1"/>
  <c r="F169" i="1"/>
  <c r="L178" i="1"/>
  <c r="K178" i="1"/>
  <c r="J178" i="1"/>
  <c r="K207" i="1"/>
  <c r="J211" i="1"/>
  <c r="L216" i="1"/>
  <c r="K216" i="1"/>
  <c r="L217" i="1"/>
  <c r="K217" i="1"/>
  <c r="J217" i="1"/>
  <c r="L226" i="1"/>
  <c r="K226" i="1"/>
  <c r="J226" i="1"/>
  <c r="F256" i="1"/>
  <c r="K285" i="1"/>
  <c r="J285" i="1"/>
  <c r="F285" i="1"/>
  <c r="L285" i="1"/>
  <c r="K322" i="1"/>
  <c r="J322" i="1"/>
  <c r="L423" i="1"/>
  <c r="K423" i="1"/>
  <c r="J423" i="1"/>
  <c r="F423" i="1"/>
  <c r="L429" i="1"/>
  <c r="K429" i="1"/>
  <c r="J429" i="1"/>
  <c r="F429" i="1"/>
  <c r="F462" i="1"/>
  <c r="L462" i="1"/>
  <c r="J462" i="1"/>
  <c r="F463" i="1"/>
  <c r="L471" i="1"/>
  <c r="K471" i="1"/>
  <c r="J471" i="1"/>
  <c r="F471" i="1"/>
  <c r="L477" i="1"/>
  <c r="K477" i="1"/>
  <c r="J477" i="1"/>
  <c r="F477" i="1"/>
  <c r="F500" i="1"/>
  <c r="K508" i="1"/>
  <c r="J508" i="1"/>
  <c r="L508" i="1"/>
  <c r="F508" i="1"/>
  <c r="K7" i="1"/>
  <c r="K28" i="1"/>
  <c r="L35" i="1"/>
  <c r="K43" i="1"/>
  <c r="K64" i="1"/>
  <c r="L71" i="1"/>
  <c r="L91" i="1"/>
  <c r="K95" i="1"/>
  <c r="J95" i="1"/>
  <c r="K100" i="1"/>
  <c r="J103" i="1"/>
  <c r="L132" i="1"/>
  <c r="L156" i="1"/>
  <c r="J156" i="1"/>
  <c r="J172" i="1"/>
  <c r="J177" i="1"/>
  <c r="L177" i="1"/>
  <c r="K177" i="1"/>
  <c r="J206" i="1"/>
  <c r="L210" i="1"/>
  <c r="L211" i="1"/>
  <c r="J225" i="1"/>
  <c r="L225" i="1"/>
  <c r="K225" i="1"/>
  <c r="K255" i="1"/>
  <c r="J255" i="1"/>
  <c r="L255" i="1"/>
  <c r="F255" i="1"/>
  <c r="L284" i="1"/>
  <c r="K284" i="1"/>
  <c r="J284" i="1"/>
  <c r="K328" i="1"/>
  <c r="J328" i="1"/>
  <c r="L328" i="1"/>
  <c r="F328" i="1"/>
  <c r="L422" i="1"/>
  <c r="K422" i="1"/>
  <c r="J422" i="1"/>
  <c r="J584" i="1"/>
  <c r="L657" i="1"/>
  <c r="K657" i="1"/>
  <c r="J657" i="1"/>
  <c r="L663" i="1"/>
  <c r="F663" i="1"/>
  <c r="K663" i="1"/>
  <c r="J663" i="1"/>
  <c r="J714" i="1"/>
  <c r="L714" i="1"/>
  <c r="K714" i="1"/>
  <c r="F714" i="1"/>
  <c r="F5" i="1"/>
  <c r="F41" i="1"/>
  <c r="F17" i="1"/>
  <c r="J29" i="1"/>
  <c r="L36" i="1"/>
  <c r="F53" i="1"/>
  <c r="J65" i="1"/>
  <c r="L72" i="1"/>
  <c r="F95" i="1"/>
  <c r="F96" i="1"/>
  <c r="L102" i="1"/>
  <c r="K103" i="1"/>
  <c r="J112" i="1"/>
  <c r="L133" i="1"/>
  <c r="F136" i="1"/>
  <c r="K137" i="1"/>
  <c r="J137" i="1"/>
  <c r="K142" i="1"/>
  <c r="L143" i="1"/>
  <c r="J144" i="1"/>
  <c r="J145" i="1"/>
  <c r="L153" i="1"/>
  <c r="F156" i="1"/>
  <c r="F157" i="1"/>
  <c r="K172" i="1"/>
  <c r="L175" i="1"/>
  <c r="J175" i="1"/>
  <c r="L176" i="1"/>
  <c r="K176" i="1"/>
  <c r="J176" i="1"/>
  <c r="F177" i="1"/>
  <c r="J183" i="1"/>
  <c r="L183" i="1"/>
  <c r="F183" i="1"/>
  <c r="F187" i="1"/>
  <c r="K187" i="1"/>
  <c r="J220" i="1"/>
  <c r="L224" i="1"/>
  <c r="K224" i="1"/>
  <c r="J224" i="1"/>
  <c r="F225" i="1"/>
  <c r="F284" i="1"/>
  <c r="K321" i="1"/>
  <c r="J321" i="1"/>
  <c r="F321" i="1"/>
  <c r="L321" i="1"/>
  <c r="L356" i="1"/>
  <c r="K356" i="1"/>
  <c r="K357" i="1"/>
  <c r="J357" i="1"/>
  <c r="F357" i="1"/>
  <c r="L357" i="1"/>
  <c r="K364" i="1"/>
  <c r="J364" i="1"/>
  <c r="L364" i="1"/>
  <c r="J374" i="1"/>
  <c r="F422" i="1"/>
  <c r="L470" i="1"/>
  <c r="K470" i="1"/>
  <c r="J470" i="1"/>
  <c r="F470" i="1"/>
  <c r="L473" i="1"/>
  <c r="F657" i="1"/>
  <c r="L700" i="1"/>
  <c r="K700" i="1"/>
  <c r="J700" i="1"/>
  <c r="F700" i="1"/>
  <c r="L230" i="1"/>
  <c r="K230" i="1"/>
  <c r="K231" i="1"/>
  <c r="J231" i="1"/>
  <c r="L248" i="1"/>
  <c r="K248" i="1"/>
  <c r="K249" i="1"/>
  <c r="J249" i="1"/>
  <c r="L249" i="1"/>
  <c r="L278" i="1"/>
  <c r="K278" i="1"/>
  <c r="K279" i="1"/>
  <c r="J279" i="1"/>
  <c r="F279" i="1"/>
  <c r="L279" i="1"/>
  <c r="L296" i="1"/>
  <c r="K296" i="1"/>
  <c r="K297" i="1"/>
  <c r="J297" i="1"/>
  <c r="F297" i="1"/>
  <c r="L297" i="1"/>
  <c r="L314" i="1"/>
  <c r="K314" i="1"/>
  <c r="K315" i="1"/>
  <c r="J315" i="1"/>
  <c r="F315" i="1"/>
  <c r="L315" i="1"/>
  <c r="K358" i="1"/>
  <c r="J358" i="1"/>
  <c r="J454" i="1"/>
  <c r="L454" i="1"/>
  <c r="L455" i="1"/>
  <c r="K455" i="1"/>
  <c r="J455" i="1"/>
  <c r="L465" i="1"/>
  <c r="F465" i="1"/>
  <c r="J465" i="1"/>
  <c r="L573" i="1"/>
  <c r="K573" i="1"/>
  <c r="J573" i="1"/>
  <c r="J593" i="1"/>
  <c r="F593" i="1"/>
  <c r="J599" i="1"/>
  <c r="F599" i="1"/>
  <c r="L599" i="1"/>
  <c r="K599" i="1"/>
  <c r="F631" i="1"/>
  <c r="J631" i="1"/>
  <c r="L632" i="1"/>
  <c r="K632" i="1"/>
  <c r="L633" i="1"/>
  <c r="K633" i="1"/>
  <c r="J633" i="1"/>
  <c r="L640" i="1"/>
  <c r="K640" i="1"/>
  <c r="J640" i="1"/>
  <c r="F640" i="1"/>
  <c r="K665" i="1"/>
  <c r="J665" i="1"/>
  <c r="L665" i="1"/>
  <c r="F230" i="1"/>
  <c r="F231" i="1"/>
  <c r="F232" i="1"/>
  <c r="F248" i="1"/>
  <c r="F249" i="1"/>
  <c r="F278" i="1"/>
  <c r="F296" i="1"/>
  <c r="F314" i="1"/>
  <c r="K340" i="1"/>
  <c r="J340" i="1"/>
  <c r="F358" i="1"/>
  <c r="K385" i="1"/>
  <c r="J385" i="1"/>
  <c r="F414" i="1"/>
  <c r="L414" i="1"/>
  <c r="L415" i="1"/>
  <c r="K415" i="1"/>
  <c r="J415" i="1"/>
  <c r="K425" i="1"/>
  <c r="J425" i="1"/>
  <c r="F454" i="1"/>
  <c r="F455" i="1"/>
  <c r="F573" i="1"/>
  <c r="L592" i="1"/>
  <c r="K592" i="1"/>
  <c r="J592" i="1"/>
  <c r="L602" i="1"/>
  <c r="F602" i="1"/>
  <c r="J602" i="1"/>
  <c r="L624" i="1"/>
  <c r="K624" i="1"/>
  <c r="F625" i="1"/>
  <c r="L625" i="1"/>
  <c r="K625" i="1"/>
  <c r="J625" i="1"/>
  <c r="F632" i="1"/>
  <c r="F633" i="1"/>
  <c r="L639" i="1"/>
  <c r="K639" i="1"/>
  <c r="J639" i="1"/>
  <c r="F665" i="1"/>
  <c r="L170" i="1"/>
  <c r="K170" i="1"/>
  <c r="J184" i="1"/>
  <c r="L194" i="1"/>
  <c r="K194" i="1"/>
  <c r="J199" i="1"/>
  <c r="J208" i="1"/>
  <c r="L218" i="1"/>
  <c r="K218" i="1"/>
  <c r="J223" i="1"/>
  <c r="K274" i="1"/>
  <c r="J274" i="1"/>
  <c r="K292" i="1"/>
  <c r="J292" i="1"/>
  <c r="K310" i="1"/>
  <c r="J310" i="1"/>
  <c r="L340" i="1"/>
  <c r="L344" i="1"/>
  <c r="K344" i="1"/>
  <c r="K345" i="1"/>
  <c r="J345" i="1"/>
  <c r="F345" i="1"/>
  <c r="L345" i="1"/>
  <c r="L362" i="1"/>
  <c r="K362" i="1"/>
  <c r="K363" i="1"/>
  <c r="J363" i="1"/>
  <c r="F363" i="1"/>
  <c r="L363" i="1"/>
  <c r="L385" i="1"/>
  <c r="F390" i="1"/>
  <c r="L390" i="1"/>
  <c r="L391" i="1"/>
  <c r="K391" i="1"/>
  <c r="J391" i="1"/>
  <c r="K401" i="1"/>
  <c r="J401" i="1"/>
  <c r="K414" i="1"/>
  <c r="L425" i="1"/>
  <c r="J430" i="1"/>
  <c r="L430" i="1"/>
  <c r="L431" i="1"/>
  <c r="K431" i="1"/>
  <c r="J431" i="1"/>
  <c r="L441" i="1"/>
  <c r="F441" i="1"/>
  <c r="J441" i="1"/>
  <c r="J478" i="1"/>
  <c r="L478" i="1"/>
  <c r="L479" i="1"/>
  <c r="K479" i="1"/>
  <c r="J479" i="1"/>
  <c r="L509" i="1"/>
  <c r="K509" i="1"/>
  <c r="J509" i="1"/>
  <c r="F533" i="1"/>
  <c r="J533" i="1"/>
  <c r="K562" i="1"/>
  <c r="J562" i="1"/>
  <c r="L562" i="1"/>
  <c r="J624" i="1"/>
  <c r="L694" i="1"/>
  <c r="J694" i="1"/>
  <c r="F694" i="1"/>
  <c r="K694" i="1"/>
  <c r="K701" i="1"/>
  <c r="J701" i="1"/>
  <c r="L701" i="1"/>
  <c r="F715" i="1"/>
  <c r="K715" i="1"/>
  <c r="J715" i="1"/>
  <c r="L715" i="1"/>
  <c r="L743" i="1"/>
  <c r="J743" i="1"/>
  <c r="K743" i="1"/>
  <c r="F743" i="1"/>
  <c r="L236" i="1"/>
  <c r="K236" i="1"/>
  <c r="K237" i="1"/>
  <c r="J237" i="1"/>
  <c r="L290" i="1"/>
  <c r="K290" i="1"/>
  <c r="K291" i="1"/>
  <c r="J291" i="1"/>
  <c r="F291" i="1"/>
  <c r="L291" i="1"/>
  <c r="L308" i="1"/>
  <c r="K308" i="1"/>
  <c r="K309" i="1"/>
  <c r="J309" i="1"/>
  <c r="F309" i="1"/>
  <c r="L309" i="1"/>
  <c r="K352" i="1"/>
  <c r="J352" i="1"/>
  <c r="K370" i="1"/>
  <c r="J370" i="1"/>
  <c r="K409" i="1"/>
  <c r="J409" i="1"/>
  <c r="F438" i="1"/>
  <c r="L438" i="1"/>
  <c r="L439" i="1"/>
  <c r="K439" i="1"/>
  <c r="J439" i="1"/>
  <c r="K449" i="1"/>
  <c r="J449" i="1"/>
  <c r="K490" i="1"/>
  <c r="J490" i="1"/>
  <c r="L490" i="1"/>
  <c r="L507" i="1"/>
  <c r="K507" i="1"/>
  <c r="J507" i="1"/>
  <c r="K532" i="1"/>
  <c r="J532" i="1"/>
  <c r="F532" i="1"/>
  <c r="L532" i="1"/>
  <c r="J605" i="1"/>
  <c r="F605" i="1"/>
  <c r="K605" i="1"/>
  <c r="L605" i="1"/>
  <c r="F643" i="1"/>
  <c r="K643" i="1"/>
  <c r="J643" i="1"/>
  <c r="L643" i="1"/>
  <c r="L741" i="1"/>
  <c r="K741" i="1"/>
  <c r="J741" i="1"/>
  <c r="L773" i="1"/>
  <c r="J773" i="1"/>
  <c r="F773" i="1"/>
  <c r="K773" i="1"/>
  <c r="F158" i="1"/>
  <c r="L188" i="1"/>
  <c r="K188" i="1"/>
  <c r="L212" i="1"/>
  <c r="K212" i="1"/>
  <c r="F236" i="1"/>
  <c r="F237" i="1"/>
  <c r="K262" i="1"/>
  <c r="J262" i="1"/>
  <c r="F290" i="1"/>
  <c r="F308" i="1"/>
  <c r="K334" i="1"/>
  <c r="J334" i="1"/>
  <c r="F352" i="1"/>
  <c r="F370" i="1"/>
  <c r="L398" i="1"/>
  <c r="K398" i="1"/>
  <c r="L399" i="1"/>
  <c r="K399" i="1"/>
  <c r="J399" i="1"/>
  <c r="F399" i="1"/>
  <c r="F409" i="1"/>
  <c r="F439" i="1"/>
  <c r="F449" i="1"/>
  <c r="K457" i="1"/>
  <c r="J457" i="1"/>
  <c r="F486" i="1"/>
  <c r="J486" i="1"/>
  <c r="L489" i="1"/>
  <c r="K489" i="1"/>
  <c r="J489" i="1"/>
  <c r="F490" i="1"/>
  <c r="F507" i="1"/>
  <c r="K560" i="1"/>
  <c r="J560" i="1"/>
  <c r="F560" i="1"/>
  <c r="L560" i="1"/>
  <c r="L642" i="1"/>
  <c r="K642" i="1"/>
  <c r="J642" i="1"/>
  <c r="L713" i="1"/>
  <c r="J713" i="1"/>
  <c r="K713" i="1"/>
  <c r="F713" i="1"/>
  <c r="L730" i="1"/>
  <c r="J730" i="1"/>
  <c r="K730" i="1"/>
  <c r="F741" i="1"/>
  <c r="L260" i="1"/>
  <c r="K260" i="1"/>
  <c r="K261" i="1"/>
  <c r="J261" i="1"/>
  <c r="L261" i="1"/>
  <c r="K280" i="1"/>
  <c r="J280" i="1"/>
  <c r="K298" i="1"/>
  <c r="J298" i="1"/>
  <c r="K316" i="1"/>
  <c r="J316" i="1"/>
  <c r="L350" i="1"/>
  <c r="K350" i="1"/>
  <c r="K351" i="1"/>
  <c r="J351" i="1"/>
  <c r="F351" i="1"/>
  <c r="L351" i="1"/>
  <c r="L368" i="1"/>
  <c r="K368" i="1"/>
  <c r="K369" i="1"/>
  <c r="J369" i="1"/>
  <c r="F369" i="1"/>
  <c r="L369" i="1"/>
  <c r="L495" i="1"/>
  <c r="K495" i="1"/>
  <c r="K496" i="1"/>
  <c r="J496" i="1"/>
  <c r="L531" i="1"/>
  <c r="K531" i="1"/>
  <c r="F531" i="1"/>
  <c r="J531" i="1"/>
  <c r="L567" i="1"/>
  <c r="K567" i="1"/>
  <c r="K568" i="1"/>
  <c r="J568" i="1"/>
  <c r="F569" i="1"/>
  <c r="J569" i="1"/>
  <c r="L604" i="1"/>
  <c r="K604" i="1"/>
  <c r="J604" i="1"/>
  <c r="F604" i="1"/>
  <c r="J641" i="1"/>
  <c r="L641" i="1"/>
  <c r="K641" i="1"/>
  <c r="J647" i="1"/>
  <c r="L647" i="1"/>
  <c r="K647" i="1"/>
  <c r="F647" i="1"/>
  <c r="F667" i="1"/>
  <c r="L667" i="1"/>
  <c r="K667" i="1"/>
  <c r="J667" i="1"/>
  <c r="J170" i="1"/>
  <c r="K171" i="1"/>
  <c r="J194" i="1"/>
  <c r="K195" i="1"/>
  <c r="J218" i="1"/>
  <c r="K219" i="1"/>
  <c r="K250" i="1"/>
  <c r="J250" i="1"/>
  <c r="F260" i="1"/>
  <c r="F261" i="1"/>
  <c r="L274" i="1"/>
  <c r="F280" i="1"/>
  <c r="L292" i="1"/>
  <c r="F298" i="1"/>
  <c r="L310" i="1"/>
  <c r="F316" i="1"/>
  <c r="L332" i="1"/>
  <c r="K332" i="1"/>
  <c r="K333" i="1"/>
  <c r="J333" i="1"/>
  <c r="F333" i="1"/>
  <c r="L333" i="1"/>
  <c r="J344" i="1"/>
  <c r="F350" i="1"/>
  <c r="J362" i="1"/>
  <c r="F368" i="1"/>
  <c r="K377" i="1"/>
  <c r="J377" i="1"/>
  <c r="K390" i="1"/>
  <c r="L401" i="1"/>
  <c r="F405" i="1"/>
  <c r="J406" i="1"/>
  <c r="L406" i="1"/>
  <c r="L407" i="1"/>
  <c r="K407" i="1"/>
  <c r="J407" i="1"/>
  <c r="L417" i="1"/>
  <c r="F417" i="1"/>
  <c r="J417" i="1"/>
  <c r="K430" i="1"/>
  <c r="L446" i="1"/>
  <c r="K446" i="1"/>
  <c r="L447" i="1"/>
  <c r="K447" i="1"/>
  <c r="J447" i="1"/>
  <c r="F447" i="1"/>
  <c r="K478" i="1"/>
  <c r="K488" i="1"/>
  <c r="J488" i="1"/>
  <c r="F488" i="1"/>
  <c r="L488" i="1"/>
  <c r="F495" i="1"/>
  <c r="F496" i="1"/>
  <c r="F497" i="1"/>
  <c r="L533" i="1"/>
  <c r="L537" i="1"/>
  <c r="K537" i="1"/>
  <c r="K538" i="1"/>
  <c r="J538" i="1"/>
  <c r="L539" i="1"/>
  <c r="K539" i="1"/>
  <c r="F567" i="1"/>
  <c r="F568" i="1"/>
  <c r="L634" i="1"/>
  <c r="K634" i="1"/>
  <c r="J634" i="1"/>
  <c r="F641" i="1"/>
  <c r="L729" i="1"/>
  <c r="K729" i="1"/>
  <c r="J729" i="1"/>
  <c r="F729" i="1"/>
  <c r="L376" i="1"/>
  <c r="L384" i="1"/>
  <c r="K392" i="1"/>
  <c r="L400" i="1"/>
  <c r="L408" i="1"/>
  <c r="K416" i="1"/>
  <c r="L424" i="1"/>
  <c r="L432" i="1"/>
  <c r="K440" i="1"/>
  <c r="L448" i="1"/>
  <c r="L456" i="1"/>
  <c r="K464" i="1"/>
  <c r="L472" i="1"/>
  <c r="K484" i="1"/>
  <c r="J484" i="1"/>
  <c r="L555" i="1"/>
  <c r="K555" i="1"/>
  <c r="K556" i="1"/>
  <c r="J556" i="1"/>
  <c r="K572" i="1"/>
  <c r="L575" i="1"/>
  <c r="K596" i="1"/>
  <c r="J617" i="1"/>
  <c r="L617" i="1"/>
  <c r="K617" i="1"/>
  <c r="L626" i="1"/>
  <c r="K626" i="1"/>
  <c r="J626" i="1"/>
  <c r="L655" i="1"/>
  <c r="L681" i="1"/>
  <c r="F681" i="1"/>
  <c r="L682" i="1"/>
  <c r="K682" i="1"/>
  <c r="J682" i="1"/>
  <c r="F703" i="1"/>
  <c r="L703" i="1"/>
  <c r="K703" i="1"/>
  <c r="J703" i="1"/>
  <c r="F727" i="1"/>
  <c r="L727" i="1"/>
  <c r="K727" i="1"/>
  <c r="J727" i="1"/>
  <c r="L826" i="1"/>
  <c r="K826" i="1"/>
  <c r="J826" i="1"/>
  <c r="F826" i="1"/>
  <c r="F896" i="1"/>
  <c r="J896" i="1"/>
  <c r="L896" i="1"/>
  <c r="K896" i="1"/>
  <c r="F388" i="1"/>
  <c r="L392" i="1"/>
  <c r="F412" i="1"/>
  <c r="L416" i="1"/>
  <c r="F436" i="1"/>
  <c r="L440" i="1"/>
  <c r="F460" i="1"/>
  <c r="L464" i="1"/>
  <c r="F476" i="1"/>
  <c r="F484" i="1"/>
  <c r="F494" i="1"/>
  <c r="L521" i="1"/>
  <c r="L525" i="1"/>
  <c r="K525" i="1"/>
  <c r="K526" i="1"/>
  <c r="J526" i="1"/>
  <c r="L530" i="1"/>
  <c r="J587" i="1"/>
  <c r="F587" i="1"/>
  <c r="L616" i="1"/>
  <c r="K616" i="1"/>
  <c r="J616" i="1"/>
  <c r="F626" i="1"/>
  <c r="J635" i="1"/>
  <c r="K635" i="1"/>
  <c r="F635" i="1"/>
  <c r="F682" i="1"/>
  <c r="L702" i="1"/>
  <c r="K702" i="1"/>
  <c r="J702" i="1"/>
  <c r="J726" i="1"/>
  <c r="L726" i="1"/>
  <c r="K726" i="1"/>
  <c r="F746" i="1"/>
  <c r="L746" i="1"/>
  <c r="K746" i="1"/>
  <c r="J746" i="1"/>
  <c r="J768" i="1"/>
  <c r="L768" i="1"/>
  <c r="K768" i="1"/>
  <c r="F770" i="1"/>
  <c r="L770" i="1"/>
  <c r="K770" i="1"/>
  <c r="J770" i="1"/>
  <c r="L825" i="1"/>
  <c r="K825" i="1"/>
  <c r="J825" i="1"/>
  <c r="F836" i="1"/>
  <c r="K836" i="1"/>
  <c r="L836" i="1"/>
  <c r="J836" i="1"/>
  <c r="L519" i="1"/>
  <c r="K519" i="1"/>
  <c r="K520" i="1"/>
  <c r="J520" i="1"/>
  <c r="K574" i="1"/>
  <c r="J574" i="1"/>
  <c r="L598" i="1"/>
  <c r="K598" i="1"/>
  <c r="J598" i="1"/>
  <c r="L648" i="1"/>
  <c r="K648" i="1"/>
  <c r="F649" i="1"/>
  <c r="L649" i="1"/>
  <c r="K649" i="1"/>
  <c r="J649" i="1"/>
  <c r="L658" i="1"/>
  <c r="K658" i="1"/>
  <c r="J658" i="1"/>
  <c r="L666" i="1"/>
  <c r="K666" i="1"/>
  <c r="J666" i="1"/>
  <c r="L712" i="1"/>
  <c r="K712" i="1"/>
  <c r="J712" i="1"/>
  <c r="L731" i="1"/>
  <c r="J731" i="1"/>
  <c r="K731" i="1"/>
  <c r="L742" i="1"/>
  <c r="J742" i="1"/>
  <c r="K742" i="1"/>
  <c r="J774" i="1"/>
  <c r="F774" i="1"/>
  <c r="L774" i="1"/>
  <c r="K774" i="1"/>
  <c r="L779" i="1"/>
  <c r="J779" i="1"/>
  <c r="K779" i="1"/>
  <c r="F779" i="1"/>
  <c r="L996" i="1"/>
  <c r="K996" i="1"/>
  <c r="J996" i="1"/>
  <c r="F996" i="1"/>
  <c r="L501" i="1"/>
  <c r="K501" i="1"/>
  <c r="K502" i="1"/>
  <c r="J502" i="1"/>
  <c r="L603" i="1"/>
  <c r="K603" i="1"/>
  <c r="J603" i="1"/>
  <c r="J611" i="1"/>
  <c r="K611" i="1"/>
  <c r="F611" i="1"/>
  <c r="F685" i="1"/>
  <c r="L685" i="1"/>
  <c r="K685" i="1"/>
  <c r="J685" i="1"/>
  <c r="L911" i="1"/>
  <c r="J911" i="1"/>
  <c r="K911" i="1"/>
  <c r="F911" i="1"/>
  <c r="J384" i="1"/>
  <c r="J408" i="1"/>
  <c r="J432" i="1"/>
  <c r="J456" i="1"/>
  <c r="J480" i="1"/>
  <c r="L543" i="1"/>
  <c r="K543" i="1"/>
  <c r="K544" i="1"/>
  <c r="J544" i="1"/>
  <c r="J575" i="1"/>
  <c r="K580" i="1"/>
  <c r="J580" i="1"/>
  <c r="F603" i="1"/>
  <c r="L610" i="1"/>
  <c r="K610" i="1"/>
  <c r="J610" i="1"/>
  <c r="F619" i="1"/>
  <c r="K619" i="1"/>
  <c r="J619" i="1"/>
  <c r="J655" i="1"/>
  <c r="L676" i="1"/>
  <c r="J676" i="1"/>
  <c r="F676" i="1"/>
  <c r="L684" i="1"/>
  <c r="K684" i="1"/>
  <c r="J684" i="1"/>
  <c r="F728" i="1"/>
  <c r="L728" i="1"/>
  <c r="K728" i="1"/>
  <c r="J728" i="1"/>
  <c r="L772" i="1"/>
  <c r="K772" i="1"/>
  <c r="F772" i="1"/>
  <c r="J772" i="1"/>
  <c r="L899" i="1"/>
  <c r="K899" i="1"/>
  <c r="J899" i="1"/>
  <c r="F899" i="1"/>
  <c r="K376" i="1"/>
  <c r="K384" i="1"/>
  <c r="K400" i="1"/>
  <c r="K408" i="1"/>
  <c r="K424" i="1"/>
  <c r="K432" i="1"/>
  <c r="K448" i="1"/>
  <c r="K456" i="1"/>
  <c r="K472" i="1"/>
  <c r="K480" i="1"/>
  <c r="L513" i="1"/>
  <c r="K513" i="1"/>
  <c r="K514" i="1"/>
  <c r="J514" i="1"/>
  <c r="J519" i="1"/>
  <c r="L520" i="1"/>
  <c r="J572" i="1"/>
  <c r="L574" i="1"/>
  <c r="K575" i="1"/>
  <c r="F578" i="1"/>
  <c r="L579" i="1"/>
  <c r="K579" i="1"/>
  <c r="J579" i="1"/>
  <c r="J596" i="1"/>
  <c r="L609" i="1"/>
  <c r="K609" i="1"/>
  <c r="J609" i="1"/>
  <c r="L618" i="1"/>
  <c r="K618" i="1"/>
  <c r="J618" i="1"/>
  <c r="J627" i="1"/>
  <c r="F627" i="1"/>
  <c r="J648" i="1"/>
  <c r="K655" i="1"/>
  <c r="L675" i="1"/>
  <c r="K675" i="1"/>
  <c r="J675" i="1"/>
  <c r="K683" i="1"/>
  <c r="J683" i="1"/>
  <c r="L683" i="1"/>
  <c r="J771" i="1"/>
  <c r="L771" i="1"/>
  <c r="K771" i="1"/>
  <c r="F788" i="1"/>
  <c r="L788" i="1"/>
  <c r="K788" i="1"/>
  <c r="J788" i="1"/>
  <c r="F837" i="1"/>
  <c r="J837" i="1"/>
  <c r="L837" i="1"/>
  <c r="K837" i="1"/>
  <c r="L827" i="1"/>
  <c r="J827" i="1"/>
  <c r="K827" i="1"/>
  <c r="F827" i="1"/>
  <c r="F866" i="1"/>
  <c r="J866" i="1"/>
  <c r="K866" i="1"/>
  <c r="L866" i="1"/>
  <c r="K874" i="1"/>
  <c r="F874" i="1"/>
  <c r="J874" i="1"/>
  <c r="L874" i="1"/>
  <c r="L900" i="1"/>
  <c r="K900" i="1"/>
  <c r="J900" i="1"/>
  <c r="F699" i="1"/>
  <c r="L820" i="1"/>
  <c r="K820" i="1"/>
  <c r="L821" i="1"/>
  <c r="J821" i="1"/>
  <c r="L864" i="1"/>
  <c r="K864" i="1"/>
  <c r="J864" i="1"/>
  <c r="F864" i="1"/>
  <c r="L870" i="1"/>
  <c r="K870" i="1"/>
  <c r="J870" i="1"/>
  <c r="F870" i="1"/>
  <c r="F900" i="1"/>
  <c r="L778" i="1"/>
  <c r="K778" i="1"/>
  <c r="J778" i="1"/>
  <c r="J798" i="1"/>
  <c r="L798" i="1"/>
  <c r="K798" i="1"/>
  <c r="J835" i="1"/>
  <c r="L835" i="1"/>
  <c r="F835" i="1"/>
  <c r="F854" i="1"/>
  <c r="J854" i="1"/>
  <c r="L854" i="1"/>
  <c r="K854" i="1"/>
  <c r="F908" i="1"/>
  <c r="J908" i="1"/>
  <c r="L908" i="1"/>
  <c r="K908" i="1"/>
  <c r="K910" i="1"/>
  <c r="F910" i="1"/>
  <c r="L910" i="1"/>
  <c r="F974" i="1"/>
  <c r="J974" i="1"/>
  <c r="L974" i="1"/>
  <c r="K974" i="1"/>
  <c r="L977" i="1"/>
  <c r="J977" i="1"/>
  <c r="F977" i="1"/>
  <c r="K977" i="1"/>
  <c r="L1001" i="1"/>
  <c r="K1001" i="1"/>
  <c r="J1001" i="1"/>
  <c r="F1001" i="1"/>
  <c r="L673" i="1"/>
  <c r="K677" i="1"/>
  <c r="J677" i="1"/>
  <c r="L691" i="1"/>
  <c r="K695" i="1"/>
  <c r="J695" i="1"/>
  <c r="L710" i="1"/>
  <c r="K724" i="1"/>
  <c r="L740" i="1"/>
  <c r="L748" i="1"/>
  <c r="K748" i="1"/>
  <c r="L749" i="1"/>
  <c r="J749" i="1"/>
  <c r="L764" i="1"/>
  <c r="F778" i="1"/>
  <c r="F794" i="1"/>
  <c r="K794" i="1"/>
  <c r="L797" i="1"/>
  <c r="J797" i="1"/>
  <c r="K797" i="1"/>
  <c r="F798" i="1"/>
  <c r="L834" i="1"/>
  <c r="J834" i="1"/>
  <c r="F834" i="1"/>
  <c r="L852" i="1"/>
  <c r="K852" i="1"/>
  <c r="J852" i="1"/>
  <c r="F852" i="1"/>
  <c r="L906" i="1"/>
  <c r="K906" i="1"/>
  <c r="J906" i="1"/>
  <c r="F677" i="1"/>
  <c r="F695" i="1"/>
  <c r="L717" i="1"/>
  <c r="K717" i="1"/>
  <c r="L718" i="1"/>
  <c r="J718" i="1"/>
  <c r="L719" i="1"/>
  <c r="J719" i="1"/>
  <c r="F748" i="1"/>
  <c r="F749" i="1"/>
  <c r="F750" i="1"/>
  <c r="F795" i="1"/>
  <c r="L796" i="1"/>
  <c r="K796" i="1"/>
  <c r="J796" i="1"/>
  <c r="F797" i="1"/>
  <c r="F807" i="1"/>
  <c r="L808" i="1"/>
  <c r="K808" i="1"/>
  <c r="L809" i="1"/>
  <c r="J809" i="1"/>
  <c r="L814" i="1"/>
  <c r="K814" i="1"/>
  <c r="L815" i="1"/>
  <c r="J815" i="1"/>
  <c r="L833" i="1"/>
  <c r="J833" i="1"/>
  <c r="F833" i="1"/>
  <c r="F850" i="1"/>
  <c r="K850" i="1"/>
  <c r="J850" i="1"/>
  <c r="L850" i="1"/>
  <c r="L905" i="1"/>
  <c r="J905" i="1"/>
  <c r="K905" i="1"/>
  <c r="F906" i="1"/>
  <c r="F920" i="1"/>
  <c r="J920" i="1"/>
  <c r="K920" i="1"/>
  <c r="L920" i="1"/>
  <c r="L971" i="1"/>
  <c r="K971" i="1"/>
  <c r="J971" i="1"/>
  <c r="F628" i="1"/>
  <c r="F652" i="1"/>
  <c r="F717" i="1"/>
  <c r="F718" i="1"/>
  <c r="F719" i="1"/>
  <c r="F720" i="1"/>
  <c r="J756" i="1"/>
  <c r="L756" i="1"/>
  <c r="K756" i="1"/>
  <c r="F758" i="1"/>
  <c r="J758" i="1"/>
  <c r="F796" i="1"/>
  <c r="F808" i="1"/>
  <c r="F809" i="1"/>
  <c r="F810" i="1"/>
  <c r="K813" i="1"/>
  <c r="J813" i="1"/>
  <c r="F813" i="1"/>
  <c r="F814" i="1"/>
  <c r="F815" i="1"/>
  <c r="F816" i="1"/>
  <c r="L832" i="1"/>
  <c r="K832" i="1"/>
  <c r="F832" i="1"/>
  <c r="F848" i="1"/>
  <c r="L848" i="1"/>
  <c r="J848" i="1"/>
  <c r="K848" i="1"/>
  <c r="F905" i="1"/>
  <c r="L966" i="1"/>
  <c r="K966" i="1"/>
  <c r="J966" i="1"/>
  <c r="F968" i="1"/>
  <c r="J968" i="1"/>
  <c r="L968" i="1"/>
  <c r="K968" i="1"/>
  <c r="F971" i="1"/>
  <c r="L755" i="1"/>
  <c r="J755" i="1"/>
  <c r="K755" i="1"/>
  <c r="F812" i="1"/>
  <c r="L812" i="1"/>
  <c r="K812" i="1"/>
  <c r="J828" i="1"/>
  <c r="L828" i="1"/>
  <c r="K828" i="1"/>
  <c r="F828" i="1"/>
  <c r="K835" i="1"/>
  <c r="L875" i="1"/>
  <c r="F875" i="1"/>
  <c r="J875" i="1"/>
  <c r="K875" i="1"/>
  <c r="J910" i="1"/>
  <c r="F966" i="1"/>
  <c r="K671" i="1"/>
  <c r="J671" i="1"/>
  <c r="K689" i="1"/>
  <c r="J689" i="1"/>
  <c r="K707" i="1"/>
  <c r="J707" i="1"/>
  <c r="J716" i="1"/>
  <c r="J734" i="1"/>
  <c r="L737" i="1"/>
  <c r="J737" i="1"/>
  <c r="L754" i="1"/>
  <c r="K754" i="1"/>
  <c r="J754" i="1"/>
  <c r="J794" i="1"/>
  <c r="K834" i="1"/>
  <c r="J847" i="1"/>
  <c r="K847" i="1"/>
  <c r="F847" i="1"/>
  <c r="L847" i="1"/>
  <c r="L912" i="1"/>
  <c r="K912" i="1"/>
  <c r="J912" i="1"/>
  <c r="F912" i="1"/>
  <c r="L784" i="1"/>
  <c r="K784" i="1"/>
  <c r="L785" i="1"/>
  <c r="J785" i="1"/>
  <c r="L822" i="1"/>
  <c r="L839" i="1"/>
  <c r="F839" i="1"/>
  <c r="F878" i="1"/>
  <c r="J878" i="1"/>
  <c r="F902" i="1"/>
  <c r="J902" i="1"/>
  <c r="L902" i="1"/>
  <c r="K904" i="1"/>
  <c r="F904" i="1"/>
  <c r="L904" i="1"/>
  <c r="J904" i="1"/>
  <c r="L972" i="1"/>
  <c r="K972" i="1"/>
  <c r="J972" i="1"/>
  <c r="F972" i="1"/>
  <c r="L802" i="1"/>
  <c r="K802" i="1"/>
  <c r="L803" i="1"/>
  <c r="J803" i="1"/>
  <c r="L844" i="1"/>
  <c r="K844" i="1"/>
  <c r="L845" i="1"/>
  <c r="J845" i="1"/>
  <c r="L846" i="1"/>
  <c r="K846" i="1"/>
  <c r="J846" i="1"/>
  <c r="J859" i="1"/>
  <c r="L859" i="1"/>
  <c r="F860" i="1"/>
  <c r="L860" i="1"/>
  <c r="K860" i="1"/>
  <c r="K862" i="1"/>
  <c r="L862" i="1"/>
  <c r="L863" i="1"/>
  <c r="J863" i="1"/>
  <c r="K863" i="1"/>
  <c r="L888" i="1"/>
  <c r="K888" i="1"/>
  <c r="J888" i="1"/>
  <c r="K892" i="1"/>
  <c r="F892" i="1"/>
  <c r="L893" i="1"/>
  <c r="K893" i="1"/>
  <c r="L894" i="1"/>
  <c r="K894" i="1"/>
  <c r="J894" i="1"/>
  <c r="K898" i="1"/>
  <c r="F898" i="1"/>
  <c r="L898" i="1"/>
  <c r="L917" i="1"/>
  <c r="F917" i="1"/>
  <c r="K917" i="1"/>
  <c r="J917" i="1"/>
  <c r="L936" i="1"/>
  <c r="K936" i="1"/>
  <c r="J936" i="1"/>
  <c r="F938" i="1"/>
  <c r="J938" i="1"/>
  <c r="L941" i="1"/>
  <c r="K941" i="1"/>
  <c r="J941" i="1"/>
  <c r="F941" i="1"/>
  <c r="L760" i="1"/>
  <c r="K760" i="1"/>
  <c r="L761" i="1"/>
  <c r="J761" i="1"/>
  <c r="J800" i="1"/>
  <c r="F802" i="1"/>
  <c r="F803" i="1"/>
  <c r="F804" i="1"/>
  <c r="J830" i="1"/>
  <c r="J839" i="1"/>
  <c r="F844" i="1"/>
  <c r="F845" i="1"/>
  <c r="F846" i="1"/>
  <c r="L857" i="1"/>
  <c r="K857" i="1"/>
  <c r="L858" i="1"/>
  <c r="K858" i="1"/>
  <c r="J858" i="1"/>
  <c r="F859" i="1"/>
  <c r="F862" i="1"/>
  <c r="F863" i="1"/>
  <c r="K878" i="1"/>
  <c r="F888" i="1"/>
  <c r="F893" i="1"/>
  <c r="F894" i="1"/>
  <c r="K902" i="1"/>
  <c r="F936" i="1"/>
  <c r="J784" i="1"/>
  <c r="K785" i="1"/>
  <c r="K786" i="1"/>
  <c r="L790" i="1"/>
  <c r="K790" i="1"/>
  <c r="L791" i="1"/>
  <c r="J791" i="1"/>
  <c r="K800" i="1"/>
  <c r="K830" i="1"/>
  <c r="K839" i="1"/>
  <c r="L878" i="1"/>
  <c r="F914" i="1"/>
  <c r="J914" i="1"/>
  <c r="L914" i="1"/>
  <c r="K916" i="1"/>
  <c r="F916" i="1"/>
  <c r="J916" i="1"/>
  <c r="L916" i="1"/>
  <c r="K940" i="1"/>
  <c r="F940" i="1"/>
  <c r="L940" i="1"/>
  <c r="J940" i="1"/>
  <c r="K880" i="1"/>
  <c r="F880" i="1"/>
  <c r="F884" i="1"/>
  <c r="J884" i="1"/>
  <c r="L930" i="1"/>
  <c r="K930" i="1"/>
  <c r="J930" i="1"/>
  <c r="F932" i="1"/>
  <c r="J932" i="1"/>
  <c r="J947" i="1"/>
  <c r="L960" i="1"/>
  <c r="K960" i="1"/>
  <c r="J960" i="1"/>
  <c r="F962" i="1"/>
  <c r="J962" i="1"/>
  <c r="F881" i="1"/>
  <c r="L882" i="1"/>
  <c r="K882" i="1"/>
  <c r="J882" i="1"/>
  <c r="K886" i="1"/>
  <c r="F886" i="1"/>
  <c r="F890" i="1"/>
  <c r="J890" i="1"/>
  <c r="K934" i="1"/>
  <c r="F934" i="1"/>
  <c r="K947" i="1"/>
  <c r="J983" i="1"/>
  <c r="F998" i="1"/>
  <c r="J998" i="1"/>
  <c r="L942" i="1"/>
  <c r="K942" i="1"/>
  <c r="J942" i="1"/>
  <c r="F944" i="1"/>
  <c r="J944" i="1"/>
  <c r="K946" i="1"/>
  <c r="F946" i="1"/>
  <c r="L978" i="1"/>
  <c r="K978" i="1"/>
  <c r="J978" i="1"/>
  <c r="F980" i="1"/>
  <c r="J980" i="1"/>
  <c r="L918" i="1"/>
  <c r="K918" i="1"/>
  <c r="J918" i="1"/>
  <c r="K922" i="1"/>
  <c r="F922" i="1"/>
  <c r="F947" i="1"/>
  <c r="L948" i="1"/>
  <c r="K948" i="1"/>
  <c r="J948" i="1"/>
  <c r="F950" i="1"/>
  <c r="J950" i="1"/>
  <c r="F978" i="1"/>
  <c r="K868" i="1"/>
  <c r="F868" i="1"/>
  <c r="F872" i="1"/>
  <c r="J872" i="1"/>
  <c r="F918" i="1"/>
  <c r="F923" i="1"/>
  <c r="L924" i="1"/>
  <c r="K924" i="1"/>
  <c r="J924" i="1"/>
  <c r="F926" i="1"/>
  <c r="J926" i="1"/>
  <c r="K944" i="1"/>
  <c r="F948" i="1"/>
  <c r="K952" i="1"/>
  <c r="F952" i="1"/>
  <c r="F983" i="1"/>
  <c r="L984" i="1"/>
  <c r="K984" i="1"/>
  <c r="J984" i="1"/>
  <c r="F986" i="1"/>
  <c r="J986" i="1"/>
  <c r="L944" i="1"/>
  <c r="L954" i="1"/>
  <c r="K954" i="1"/>
  <c r="J954" i="1"/>
  <c r="F956" i="1"/>
  <c r="J956" i="1"/>
  <c r="L840" i="1"/>
  <c r="J840" i="1"/>
  <c r="L876" i="1"/>
  <c r="K876" i="1"/>
  <c r="J876" i="1"/>
  <c r="K928" i="1"/>
  <c r="F928" i="1"/>
  <c r="J946" i="1"/>
  <c r="F954" i="1"/>
  <c r="K958" i="1"/>
  <c r="F958" i="1"/>
  <c r="K980" i="1"/>
  <c r="F989" i="1"/>
  <c r="L990" i="1"/>
  <c r="K990" i="1"/>
  <c r="J990" i="1"/>
  <c r="F992" i="1"/>
  <c r="J992" i="1"/>
  <c r="L871" i="1"/>
  <c r="L877" i="1"/>
  <c r="L883" i="1"/>
  <c r="L889" i="1"/>
  <c r="L895" i="1"/>
  <c r="L901" i="1"/>
  <c r="L907" i="1"/>
  <c r="L913" i="1"/>
  <c r="L919" i="1"/>
  <c r="F964" i="1"/>
  <c r="F970" i="1"/>
  <c r="F976" i="1"/>
  <c r="F982" i="1"/>
  <c r="F988" i="1"/>
  <c r="F994" i="1"/>
  <c r="L997" i="1"/>
  <c r="F1000" i="1"/>
  <c r="F2" i="1"/>
  <c r="J2" i="1"/>
  <c r="K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504BD3-6B00-42BB-9DF4-6A38D32F2F22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<sst xmlns="http://schemas.openxmlformats.org/spreadsheetml/2006/main" count="31168" uniqueCount="6989">
  <si>
    <t>Descripción</t>
  </si>
  <si>
    <t xml:space="preserve">SKU </t>
  </si>
  <si>
    <t xml:space="preserve">Lote </t>
  </si>
  <si>
    <t>Finca</t>
  </si>
  <si>
    <t>Destino</t>
  </si>
  <si>
    <t>NIVEL CRITICO</t>
  </si>
  <si>
    <t>Cantidad</t>
  </si>
  <si>
    <t>Pallets</t>
  </si>
  <si>
    <t xml:space="preserve">Fecha de proceso </t>
  </si>
  <si>
    <t>SEMANA</t>
  </si>
  <si>
    <t>DIAS TRANSITO</t>
  </si>
  <si>
    <t>HORAS TRANSITO</t>
  </si>
  <si>
    <t>FECHA CITA</t>
  </si>
  <si>
    <t>A11 045 Sector Mazatan</t>
  </si>
  <si>
    <t>McAllen</t>
  </si>
  <si>
    <t>A01 002 Fortaleza</t>
  </si>
  <si>
    <t>VSA</t>
  </si>
  <si>
    <t>Chalco</t>
  </si>
  <si>
    <t>QRO</t>
  </si>
  <si>
    <t>CEDA</t>
  </si>
  <si>
    <t>A01 001 Marbella</t>
  </si>
  <si>
    <t>A01 003 Doña Nelly</t>
  </si>
  <si>
    <t>SMO</t>
  </si>
  <si>
    <t>A04 084 Lisboa</t>
  </si>
  <si>
    <t>A04 039 San Jose Morelia Nava</t>
  </si>
  <si>
    <t>S-MTY</t>
  </si>
  <si>
    <t>Japon</t>
  </si>
  <si>
    <t>A41 100 Doña Lupe JV</t>
  </si>
  <si>
    <t>A01 004 La Ceiba</t>
  </si>
  <si>
    <t>A04 037 Josefina Nava</t>
  </si>
  <si>
    <t>A06 043 Nuestra señora</t>
  </si>
  <si>
    <t>MTY</t>
  </si>
  <si>
    <t>A27 073 Plantacion</t>
  </si>
  <si>
    <t>PREENFRIO NELLY</t>
  </si>
  <si>
    <t>ALTA</t>
  </si>
  <si>
    <t>VOLUMEN / CAPACIDAD INSTALADA</t>
  </si>
  <si>
    <t>CLIENTE</t>
  </si>
  <si>
    <t>DESTINO</t>
  </si>
  <si>
    <t>TRÁNSITO (DÍAS)</t>
  </si>
  <si>
    <t>TRÁNSITO (HRS)</t>
  </si>
  <si>
    <t>CICLO HORAS FORTALEZA</t>
  </si>
  <si>
    <t>CICLO HORAS NELLY</t>
  </si>
  <si>
    <t>CRITICIDAD</t>
  </si>
  <si>
    <t>PREENFRIO FORTALEZA</t>
  </si>
  <si>
    <t>NORMAL</t>
  </si>
  <si>
    <t>POSICIONAMIENTO DE TRANSPORTE</t>
  </si>
  <si>
    <t>SMART</t>
  </si>
  <si>
    <t>Cd. Juárez</t>
  </si>
  <si>
    <t>DIRECTO SIN PREENFRIO</t>
  </si>
  <si>
    <t>BAJA</t>
  </si>
  <si>
    <t>EMPAQUE TARDIO</t>
  </si>
  <si>
    <t>CHANITOS</t>
  </si>
  <si>
    <t>FALLA ELECTRICA</t>
  </si>
  <si>
    <t>Chihuahua</t>
  </si>
  <si>
    <t>MANTENIMIENTO CORRECTIVO</t>
  </si>
  <si>
    <t>CHIQUITA</t>
  </si>
  <si>
    <t>Chiquita</t>
  </si>
  <si>
    <t>MANTENIMIENTO PREVENTIVO</t>
  </si>
  <si>
    <t>Colima</t>
  </si>
  <si>
    <t>JAPON</t>
  </si>
  <si>
    <t>PREENFRIO</t>
  </si>
  <si>
    <t>PALLETS</t>
  </si>
  <si>
    <t>NELLY</t>
  </si>
  <si>
    <t>WALMART</t>
  </si>
  <si>
    <t>FORTALEZA</t>
  </si>
  <si>
    <t>Ciudad Juarez</t>
  </si>
  <si>
    <t>Tulti-CEDA</t>
  </si>
  <si>
    <t>Tabasco</t>
  </si>
  <si>
    <t>Zumpango</t>
  </si>
  <si>
    <t>Trazabilidad de finca</t>
  </si>
  <si>
    <t>B21 274 Chical AR</t>
  </si>
  <si>
    <t>A04 005 La Gloria</t>
  </si>
  <si>
    <t>A08 006 San Joaquin</t>
  </si>
  <si>
    <t>A02 007 Hydro Marte R Gomez</t>
  </si>
  <si>
    <t>A02 008 La Joya</t>
  </si>
  <si>
    <t>A02 009 Las Lomas</t>
  </si>
  <si>
    <t>A08 010 Las Flores</t>
  </si>
  <si>
    <t>A02 011 Herradura del carmen</t>
  </si>
  <si>
    <t>A02 012 Thomas</t>
  </si>
  <si>
    <t>A02 013 Marigabriela 1</t>
  </si>
  <si>
    <t>A02 014 Carmen 12 Nativa</t>
  </si>
  <si>
    <t>A02 015 Progreso Nativa</t>
  </si>
  <si>
    <t>A02 016 Union</t>
  </si>
  <si>
    <t>A02 017 Rancho Nuevo</t>
  </si>
  <si>
    <t>A02 018 Marigabriela 2</t>
  </si>
  <si>
    <t>A02 019 Vergel Nativa</t>
  </si>
  <si>
    <t>A02 020 California</t>
  </si>
  <si>
    <t>A02 021 Santa Barbara Nativa</t>
  </si>
  <si>
    <t>A25 022 Doña Mildred</t>
  </si>
  <si>
    <t>A08 023 Las Eloisas</t>
  </si>
  <si>
    <t>A02 024 no usar El Cuerudo</t>
  </si>
  <si>
    <t>A03 025 Bondad</t>
  </si>
  <si>
    <t>A03 026 Santa Fe</t>
  </si>
  <si>
    <t>A03 027 El Cahua</t>
  </si>
  <si>
    <t>A03 028 Romina</t>
  </si>
  <si>
    <t>A03 029 Esmeralda</t>
  </si>
  <si>
    <t>A24 030 Venezuela</t>
  </si>
  <si>
    <t>A25 031 Vigor</t>
  </si>
  <si>
    <t>A24 032 Ojo de agua</t>
  </si>
  <si>
    <t>A04 033 Carlota Nava</t>
  </si>
  <si>
    <t xml:space="preserve">A04 034 </t>
  </si>
  <si>
    <t>A04 035 Guadalupe Nava</t>
  </si>
  <si>
    <t>A04 036 Esperanza Nava</t>
  </si>
  <si>
    <t>A04 038 El Triunfo Nava</t>
  </si>
  <si>
    <t>A05 040 Plataneros Unidos 1</t>
  </si>
  <si>
    <t>A05 041 Plataneros Unidos 2 Cotan o Micros</t>
  </si>
  <si>
    <t>A05 042 El Conde</t>
  </si>
  <si>
    <t>A06 044 Anexo 04</t>
  </si>
  <si>
    <t>A07 046 Las Conchas Asake</t>
  </si>
  <si>
    <t>A07 047 San Antonio Asake</t>
  </si>
  <si>
    <t>A07 048 Caridad Asake</t>
  </si>
  <si>
    <t>A08 049 Dos Hermanos</t>
  </si>
  <si>
    <t>A08 050 Santa Marta</t>
  </si>
  <si>
    <t>A09 051 Miguel Aleman 1</t>
  </si>
  <si>
    <t>A09 052 Miguel Aleman 2</t>
  </si>
  <si>
    <t>A10 053 Santa Cruz</t>
  </si>
  <si>
    <t>A10 054 San Rafael</t>
  </si>
  <si>
    <t xml:space="preserve">A11 055 Sector Mazatan Valle Verde </t>
  </si>
  <si>
    <t>A11 056 San Isidro</t>
  </si>
  <si>
    <t>A12 057 Tiquisate 1</t>
  </si>
  <si>
    <t>A12 058 Tiquisate 2</t>
  </si>
  <si>
    <t>A13 059 Skarlet</t>
  </si>
  <si>
    <t>A13 060 Los Angeles</t>
  </si>
  <si>
    <t>A14 061 Corozal</t>
  </si>
  <si>
    <t>A14 062 Charly</t>
  </si>
  <si>
    <t xml:space="preserve">A15 063 Zaragoza </t>
  </si>
  <si>
    <t>A16 064 Santa Elena</t>
  </si>
  <si>
    <t>A17 065 Anvirama</t>
  </si>
  <si>
    <t>A18 066 Chaparral</t>
  </si>
  <si>
    <t>A25 067 El Cuerudo GT</t>
  </si>
  <si>
    <t>A20 068 Faja de Oro</t>
  </si>
  <si>
    <t xml:space="preserve">A21 069 San Carlos </t>
  </si>
  <si>
    <t>A22 070 Normandia</t>
  </si>
  <si>
    <t>A23 071 El Porvenir</t>
  </si>
  <si>
    <t xml:space="preserve"> 072 Santa Marta</t>
  </si>
  <si>
    <t>A28 074 El Aguacate</t>
  </si>
  <si>
    <t>A29 075 Heidy</t>
  </si>
  <si>
    <t>A30 076 Miguel Navarro</t>
  </si>
  <si>
    <t>A26 077 Dorado  Nuevo</t>
  </si>
  <si>
    <t xml:space="preserve">A24 078 Santa Clara </t>
  </si>
  <si>
    <t xml:space="preserve">A31 079 Rancho Grande </t>
  </si>
  <si>
    <t xml:space="preserve">A03 080 Altamira </t>
  </si>
  <si>
    <t>A32 081 Finca Rancho Nuevo</t>
  </si>
  <si>
    <t>A35 082 Empaque de Macho Ej Libertad</t>
  </si>
  <si>
    <t>A04 083 Santa Maria</t>
  </si>
  <si>
    <t>A02 085 Rosalinda</t>
  </si>
  <si>
    <t>A02 086 Galicia</t>
  </si>
  <si>
    <t>A11 087 19 de Abril</t>
  </si>
  <si>
    <t>A25 088 Doña Lupe</t>
  </si>
  <si>
    <t>A33 089 Jennys Bananas</t>
  </si>
  <si>
    <t>A36 090 Heavy</t>
  </si>
  <si>
    <t>A37 091 Los Potrillos</t>
  </si>
  <si>
    <t>A11 092 Composta</t>
  </si>
  <si>
    <t>A26 093 Tres Hermanos MT</t>
  </si>
  <si>
    <t>A38 094 Lagartero</t>
  </si>
  <si>
    <t>A39 095 Esquipulas</t>
  </si>
  <si>
    <t>A40 096 Cuauhtemoc</t>
  </si>
  <si>
    <t>A40 097 Anexo 2</t>
  </si>
  <si>
    <t>A04 098 Trinidad y Lindavista</t>
  </si>
  <si>
    <t>A26 099 Empaque 1 Diaz Ordaz</t>
  </si>
  <si>
    <t xml:space="preserve">B03 001 Los Cedros </t>
  </si>
  <si>
    <t xml:space="preserve">B01 002 Manguera Loca </t>
  </si>
  <si>
    <t>B01 003 Pitillo</t>
  </si>
  <si>
    <t>B04 004 La Peña</t>
  </si>
  <si>
    <t xml:space="preserve"> 005 Panadero</t>
  </si>
  <si>
    <t>B01 006 Chocokillo</t>
  </si>
  <si>
    <t xml:space="preserve">B01 007 Juan Choncupa </t>
  </si>
  <si>
    <t>B01 008 Wili Espindola</t>
  </si>
  <si>
    <t>B01 009 Las Casitas</t>
  </si>
  <si>
    <t xml:space="preserve"> 010 Julio Medina</t>
  </si>
  <si>
    <t xml:space="preserve"> 011 Edgar Gonzales</t>
  </si>
  <si>
    <t xml:space="preserve"> 012 La Nave</t>
  </si>
  <si>
    <t xml:space="preserve"> 013 Nenita</t>
  </si>
  <si>
    <t>B01 014 El Ranchito</t>
  </si>
  <si>
    <t>B12 015 San Rafael</t>
  </si>
  <si>
    <t>B01 016 Aldo Bravo</t>
  </si>
  <si>
    <t>B05 017 Jarabia</t>
  </si>
  <si>
    <t>B01 018 Chuy Peregrino</t>
  </si>
  <si>
    <t>B01 019 Jesus Mendoza</t>
  </si>
  <si>
    <t>B01 020 Ada Nares</t>
  </si>
  <si>
    <t xml:space="preserve"> 021 Roberto Medina</t>
  </si>
  <si>
    <t>B01 022 Ticho</t>
  </si>
  <si>
    <t>B01 023 Milagritos (Repetido con 097)</t>
  </si>
  <si>
    <t>B01 024 Ricardo Botelo</t>
  </si>
  <si>
    <t>B3 025 Zanja Prieta</t>
  </si>
  <si>
    <t>B01 026 Orliz</t>
  </si>
  <si>
    <t xml:space="preserve">B01 027 Las Fosas </t>
  </si>
  <si>
    <t>B01 028 Boro Serrano</t>
  </si>
  <si>
    <t xml:space="preserve"> 029 Jose Gomez</t>
  </si>
  <si>
    <t>B05 030 Fernando Velazco</t>
  </si>
  <si>
    <t xml:space="preserve"> 031 Colorin</t>
  </si>
  <si>
    <t xml:space="preserve"> 032 Piloto</t>
  </si>
  <si>
    <t>B01 033 Soledad</t>
  </si>
  <si>
    <t>B01 034 Mezcales</t>
  </si>
  <si>
    <t xml:space="preserve"> 035 Lobos</t>
  </si>
  <si>
    <t>B01 036 Rio WP</t>
  </si>
  <si>
    <t>B24 037 Jorge Ochoa</t>
  </si>
  <si>
    <t>B07 038 Puerta de Golpe</t>
  </si>
  <si>
    <t>B02 039 Cofradia Ochoa</t>
  </si>
  <si>
    <t>B02 040 Chuy Acebedo</t>
  </si>
  <si>
    <t>B20 041 Mariana 1</t>
  </si>
  <si>
    <t>B02 042 Mariana 4</t>
  </si>
  <si>
    <t>B02 043 Mariana 6</t>
  </si>
  <si>
    <t>B02 044 Delfina</t>
  </si>
  <si>
    <t>B21 045 Valle Nuevo 1</t>
  </si>
  <si>
    <t>B02 046 Valle Nuevo 2</t>
  </si>
  <si>
    <t>B02 047 Vallenato</t>
  </si>
  <si>
    <t>B02 048 Tango</t>
  </si>
  <si>
    <t xml:space="preserve"> 049 Conchas</t>
  </si>
  <si>
    <t xml:space="preserve"> 050 Camichin</t>
  </si>
  <si>
    <t>B03 051 La Limonera</t>
  </si>
  <si>
    <t xml:space="preserve">B01 052 El Manguito </t>
  </si>
  <si>
    <t>B20 053 Cahuite ES</t>
  </si>
  <si>
    <t xml:space="preserve"> 054 Koki</t>
  </si>
  <si>
    <t>B03 055 San Jorge</t>
  </si>
  <si>
    <t>B03 056 La Tigrera</t>
  </si>
  <si>
    <t>B03 057 Colomo</t>
  </si>
  <si>
    <t>B03 058 El Banco</t>
  </si>
  <si>
    <t>B03 059 La Vena B3</t>
  </si>
  <si>
    <t>B03 060 Chave</t>
  </si>
  <si>
    <t>B05 061 La Tostada</t>
  </si>
  <si>
    <t>B03 062 No usar Magallon repetida con  057 Colomos</t>
  </si>
  <si>
    <t>B03 063 Pedro Sandoval</t>
  </si>
  <si>
    <t>B03 064 Yagui</t>
  </si>
  <si>
    <t>B03 065 La Lima</t>
  </si>
  <si>
    <t xml:space="preserve"> 066 La Guacima</t>
  </si>
  <si>
    <t xml:space="preserve"> 067 David Gonzales</t>
  </si>
  <si>
    <t xml:space="preserve"> 068 Juan Nava</t>
  </si>
  <si>
    <t>B01 069 Sapo de Oro EF</t>
  </si>
  <si>
    <t>B05 070 Mario Garcia</t>
  </si>
  <si>
    <t>B03 071 Paraiso</t>
  </si>
  <si>
    <t xml:space="preserve"> 072 Hugo Moreo</t>
  </si>
  <si>
    <t xml:space="preserve"> 073 Jesus Quintero</t>
  </si>
  <si>
    <t>B04 074 La Playa B4</t>
  </si>
  <si>
    <t>B07 075 Las Palmas</t>
  </si>
  <si>
    <t>B02 076 La Peña B02</t>
  </si>
  <si>
    <t>B01 077 Las Parotas</t>
  </si>
  <si>
    <t>B01 078 Ticuiz</t>
  </si>
  <si>
    <t>B04 079 La Luna</t>
  </si>
  <si>
    <t>B04 080 San Cristobal</t>
  </si>
  <si>
    <t>B04 081 Nacho Hernandez</t>
  </si>
  <si>
    <t>B03 082 Albercas</t>
  </si>
  <si>
    <t>B01 083 Sapo de Oro MF</t>
  </si>
  <si>
    <t xml:space="preserve">b06 084 Caspejo </t>
  </si>
  <si>
    <t xml:space="preserve"> 085 Guanabas</t>
  </si>
  <si>
    <t>B05 086 Agua Sanchez</t>
  </si>
  <si>
    <t xml:space="preserve"> 087 Verduguillo</t>
  </si>
  <si>
    <t xml:space="preserve"> 088 El Naranjal</t>
  </si>
  <si>
    <t>B02 089 Callejones la curva</t>
  </si>
  <si>
    <t>B07 090 La Garrapata</t>
  </si>
  <si>
    <t>B01 091 Caspejo  repetida con 84</t>
  </si>
  <si>
    <t xml:space="preserve"> 092 No usar, Rigo Abarca duplicada con 231</t>
  </si>
  <si>
    <t>B01 093 Productores WP</t>
  </si>
  <si>
    <t xml:space="preserve">B15  094 Camalote </t>
  </si>
  <si>
    <t>B15 095 Los dos Hermanos Juan Valdivia</t>
  </si>
  <si>
    <t>B15 096 La Ilusion</t>
  </si>
  <si>
    <t>B03 097 Los Milagritos</t>
  </si>
  <si>
    <t xml:space="preserve">B01 098 El Chical </t>
  </si>
  <si>
    <t xml:space="preserve">B01 099 La Yony </t>
  </si>
  <si>
    <t>B01 100 Castrejon</t>
  </si>
  <si>
    <t>B12 101 La Lguna  (repetido con 140)</t>
  </si>
  <si>
    <t xml:space="preserve">B20 102 Manuel Leiva </t>
  </si>
  <si>
    <t xml:space="preserve">B01 103 Palomas </t>
  </si>
  <si>
    <t xml:space="preserve">B01 104 Panteon </t>
  </si>
  <si>
    <t xml:space="preserve">B01 105 Las 500 </t>
  </si>
  <si>
    <t xml:space="preserve">B01 106 Las Trancas  </t>
  </si>
  <si>
    <t>B01 107 Lomas y Lopez</t>
  </si>
  <si>
    <t>B01 108 Productores MA</t>
  </si>
  <si>
    <t xml:space="preserve"> 109 Los Corrales el Zapotal </t>
  </si>
  <si>
    <t xml:space="preserve">B08 110 Santa Marta </t>
  </si>
  <si>
    <t xml:space="preserve">B05 111 Leonarda </t>
  </si>
  <si>
    <t>B05 112 La Guinea</t>
  </si>
  <si>
    <t xml:space="preserve"> 113 Kway</t>
  </si>
  <si>
    <t>B25 114 El mango DF</t>
  </si>
  <si>
    <t xml:space="preserve">B13 115 El Sacrificio </t>
  </si>
  <si>
    <t>B01 116 Rocio Ibarra</t>
  </si>
  <si>
    <t>B01 117 El Egido</t>
  </si>
  <si>
    <t>B01 118  Norma  (Repetido con 189)</t>
  </si>
  <si>
    <t>B03 119 La Parcela Escolar</t>
  </si>
  <si>
    <t>B02 120 Rio Ochoa</t>
  </si>
  <si>
    <t>B05 121 Ibanaba</t>
  </si>
  <si>
    <t xml:space="preserve"> 122 Cesar Diaz Ochoa</t>
  </si>
  <si>
    <t>B04 123 Parota, Banamac</t>
  </si>
  <si>
    <t>B03 124 La Herradura</t>
  </si>
  <si>
    <t>B03 125 Zapotan</t>
  </si>
  <si>
    <t xml:space="preserve">B03 126 Laberinto </t>
  </si>
  <si>
    <t xml:space="preserve"> 127 Pipe gonzalez</t>
  </si>
  <si>
    <t xml:space="preserve"> 128 San Jose</t>
  </si>
  <si>
    <t xml:space="preserve">B01 129 Elvis Escalera </t>
  </si>
  <si>
    <t>B01 130 Chueco</t>
  </si>
  <si>
    <t xml:space="preserve">B03 131 Bugambilias </t>
  </si>
  <si>
    <t>B03 132 Camichines</t>
  </si>
  <si>
    <t>B03 133 El Ahijadero</t>
  </si>
  <si>
    <t>B01 134 Cesar Marquez</t>
  </si>
  <si>
    <t>B03 135 Camalote (Se repite con 094)</t>
  </si>
  <si>
    <t>B05 136 Abdias María Acevedo</t>
  </si>
  <si>
    <t>B01 137 Carlos  Solis</t>
  </si>
  <si>
    <t>B03 138 La mojonera</t>
  </si>
  <si>
    <t>B13 139 El Martirio</t>
  </si>
  <si>
    <t>B12 140 La Laguna</t>
  </si>
  <si>
    <t>B01 141 Jose Avila</t>
  </si>
  <si>
    <t xml:space="preserve">B01 142 La Popa </t>
  </si>
  <si>
    <t>B03 143 Guanabas</t>
  </si>
  <si>
    <t>B03 144 Los Marias</t>
  </si>
  <si>
    <t>B03 145 Los Mangos</t>
  </si>
  <si>
    <t>B03 146 Maria Luisa</t>
  </si>
  <si>
    <t>B15 147 Victor Martinez</t>
  </si>
  <si>
    <t>B03 148 El Circulo</t>
  </si>
  <si>
    <t>B03 149 Zanja Prieta (repetido con 025)</t>
  </si>
  <si>
    <t xml:space="preserve">B08 150 La Alcancia </t>
  </si>
  <si>
    <t>B03 151 Finca Las Hamacas</t>
  </si>
  <si>
    <t>B01 152 Baltazar Campuzano</t>
  </si>
  <si>
    <t>B09 153 La Espinal</t>
  </si>
  <si>
    <t>B09 154 La Vena CG</t>
  </si>
  <si>
    <t>B01 155 La piedrera</t>
  </si>
  <si>
    <t>B03 156 Bananas Moreno</t>
  </si>
  <si>
    <t>B13 157 Chapis</t>
  </si>
  <si>
    <t>B03 158 El Bado</t>
  </si>
  <si>
    <t>B01 159 Las Polas</t>
  </si>
  <si>
    <t>B03 160 Las 30</t>
  </si>
  <si>
    <t>B05 161 Jesus Campuzano</t>
  </si>
  <si>
    <t>B07 162 Memin</t>
  </si>
  <si>
    <t>B01 163 La Gata</t>
  </si>
  <si>
    <t>B07 164 Ticuiz EV (repetido con 78)</t>
  </si>
  <si>
    <t>B14 165 El Saucito 1 GG</t>
  </si>
  <si>
    <t>B03 166 Parotas</t>
  </si>
  <si>
    <t>B14 167 Callejones</t>
  </si>
  <si>
    <t>B01 168 Miguel Cabello</t>
  </si>
  <si>
    <t>B01 169 El Barrial</t>
  </si>
  <si>
    <t xml:space="preserve">B02 170 Mariana 2 </t>
  </si>
  <si>
    <t>B04 171 La Escondida</t>
  </si>
  <si>
    <t>B03 172 La Victoria</t>
  </si>
  <si>
    <t>B20 173 La Playa UE</t>
  </si>
  <si>
    <t>B14 174 El Saucito 2 GG</t>
  </si>
  <si>
    <t>B14 175 Santa Elena</t>
  </si>
  <si>
    <t xml:space="preserve">B03 176 El Empaque </t>
  </si>
  <si>
    <t xml:space="preserve">B03 177 Las Palmas </t>
  </si>
  <si>
    <t>B15 178 Los Almendros</t>
  </si>
  <si>
    <t xml:space="preserve"> 179 Nono Moreno</t>
  </si>
  <si>
    <t>B07 180 Rancho Grande</t>
  </si>
  <si>
    <t>B01 181 Cabañas</t>
  </si>
  <si>
    <t>B07 182 La Playa SP</t>
  </si>
  <si>
    <t>B02 183 Ceiba</t>
  </si>
  <si>
    <t>B13 184 El Saucito PP</t>
  </si>
  <si>
    <t>B20 185 El Sueño</t>
  </si>
  <si>
    <t>B15 186 Topete</t>
  </si>
  <si>
    <t>B02 187 Fabiola Moreno Ochoa</t>
  </si>
  <si>
    <t>B14 188 Chanchopa</t>
  </si>
  <si>
    <t>B01 189 Norma</t>
  </si>
  <si>
    <t>B03 190 Los 3 hermanos</t>
  </si>
  <si>
    <t>B01 191 Rio</t>
  </si>
  <si>
    <t>B03 192 Valentina</t>
  </si>
  <si>
    <t>B05 193 El Palmar Gladis Garcia</t>
  </si>
  <si>
    <t>B12 194 El Café</t>
  </si>
  <si>
    <t>B03 195 El Bambú</t>
  </si>
  <si>
    <t>B05 196 Paraiso 2</t>
  </si>
  <si>
    <t>B02 197 Santa Rosa</t>
  </si>
  <si>
    <t>B07 198 Macario Rios</t>
  </si>
  <si>
    <t>B05 199 Paraiso 1</t>
  </si>
  <si>
    <t>B15 200 EL Chato</t>
  </si>
  <si>
    <t>B07 201 Las Guasimas</t>
  </si>
  <si>
    <t>B07 202 Empacadora Maco repetido con 198</t>
  </si>
  <si>
    <t>B07 203 Saucito EV</t>
  </si>
  <si>
    <t>B07 204 Guanabana</t>
  </si>
  <si>
    <t>B18 205 El Salvador</t>
  </si>
  <si>
    <t>B01 207 El bajio</t>
  </si>
  <si>
    <t>B01 208 Ruben Orozco</t>
  </si>
  <si>
    <t>B15 209 San Vicente</t>
  </si>
  <si>
    <t>B03 210 La Popa</t>
  </si>
  <si>
    <t xml:space="preserve">B07 211 San Miguel Ojo de Agua </t>
  </si>
  <si>
    <t>B01 212 Rigoberto Martinez</t>
  </si>
  <si>
    <t>B01 213 Los Morenos</t>
  </si>
  <si>
    <t>B01 214 El Minuto</t>
  </si>
  <si>
    <t xml:space="preserve">B3 215 Primavera </t>
  </si>
  <si>
    <t>B04 216 Palmas</t>
  </si>
  <si>
    <t>B07 217 Santa Cruz</t>
  </si>
  <si>
    <t>B15 218 Juan Rocha</t>
  </si>
  <si>
    <t>B3 219 Las Pilas</t>
  </si>
  <si>
    <t xml:space="preserve">B01 220 Alfonso salgado </t>
  </si>
  <si>
    <t>B07 221 La Perla del Rincon</t>
  </si>
  <si>
    <t>B15 222 Alfonso Ortega</t>
  </si>
  <si>
    <t xml:space="preserve"> 223 El Ejemplo</t>
  </si>
  <si>
    <t>B07 224 Parotas EV</t>
  </si>
  <si>
    <t>B20 225 La Gloria RL</t>
  </si>
  <si>
    <t>B06 226 Francisco Tapia</t>
  </si>
  <si>
    <t>B07 227 La Higuerita</t>
  </si>
  <si>
    <t>B07 228 Zaragoza</t>
  </si>
  <si>
    <t xml:space="preserve"> 229 El Empaque</t>
  </si>
  <si>
    <t>B06 230 El Vado No usar El Vado Repetida con 267 La Hermita</t>
  </si>
  <si>
    <t>B06 231 Frutas Valle Abarca</t>
  </si>
  <si>
    <t>B01 232 Guatepots</t>
  </si>
  <si>
    <t>B03 233 La Laguna FP</t>
  </si>
  <si>
    <t>B07 234 El Caracol</t>
  </si>
  <si>
    <t>B05 235 Rancho Amela</t>
  </si>
  <si>
    <t>B06 236 Don Goyo</t>
  </si>
  <si>
    <t>B03 237 Don Lupe</t>
  </si>
  <si>
    <t>B20 238 Empaque Moreno</t>
  </si>
  <si>
    <t>B03 239 La peña</t>
  </si>
  <si>
    <t>B20 240 Javier Leyva</t>
  </si>
  <si>
    <t>B05 241 Manguito ME</t>
  </si>
  <si>
    <t>B19 242 Cahuite Arceo</t>
  </si>
  <si>
    <t>B19 243 Cofradia DA</t>
  </si>
  <si>
    <t>B19 244 Mocambo DA</t>
  </si>
  <si>
    <t>B19 245 Parota DA</t>
  </si>
  <si>
    <t>B07 246 Cartagena</t>
  </si>
  <si>
    <t>B07 247 Los Cuartones</t>
  </si>
  <si>
    <t>B01 248 La Escolar JR</t>
  </si>
  <si>
    <t>B20 249 Parotas JG</t>
  </si>
  <si>
    <t>B02 250 Cahuite O</t>
  </si>
  <si>
    <t>B05  251 Paraiso 3</t>
  </si>
  <si>
    <t>B07 252 Las Planas Callejones Erick V.</t>
  </si>
  <si>
    <t>B06 253 Hermanos Rivera (Jose Rivera)</t>
  </si>
  <si>
    <t>B01 254 Chiclon Hector Tapia</t>
  </si>
  <si>
    <t>B06 255 Triunfo JR</t>
  </si>
  <si>
    <t>B03 256 Sayulita</t>
  </si>
  <si>
    <t>B20 257 Mariachi</t>
  </si>
  <si>
    <t>B01 258 Montezuma</t>
  </si>
  <si>
    <t xml:space="preserve"> 259 Alberto Ortega JV</t>
  </si>
  <si>
    <t xml:space="preserve">B03 260 El Espinal </t>
  </si>
  <si>
    <t>B20 261 Ruben Bravo</t>
  </si>
  <si>
    <t>B07 262 El Venado EV</t>
  </si>
  <si>
    <t>B19 263 Nenitas</t>
  </si>
  <si>
    <t>B19 264 Coahuayana</t>
  </si>
  <si>
    <t>B20 265 Laguna JG</t>
  </si>
  <si>
    <t>B03 266 El Aguacate JL</t>
  </si>
  <si>
    <t>B20 267 La Hermita</t>
  </si>
  <si>
    <t>B20 268 Esteban Mendoza</t>
  </si>
  <si>
    <t>B20 269 Raulin</t>
  </si>
  <si>
    <t>B20 270 Cerrito de aguilar</t>
  </si>
  <si>
    <t>B05 271 Pacifico</t>
  </si>
  <si>
    <t>B02 272 La Coneja</t>
  </si>
  <si>
    <t>B23 273 Caleras Moreno</t>
  </si>
  <si>
    <t>B20 275 Ticuiz al Ogro JG</t>
  </si>
  <si>
    <t>B01 276 Raul Ortega</t>
  </si>
  <si>
    <t>B05 277 Adan Ursua</t>
  </si>
  <si>
    <t>B20 278 Crucero del Ticuiz</t>
  </si>
  <si>
    <t>B20 279 Las animas</t>
  </si>
  <si>
    <t>B24 280 La Guerita</t>
  </si>
  <si>
    <t>B03 281 El Aguila</t>
  </si>
  <si>
    <t>B20 282 Moreno La Peña</t>
  </si>
  <si>
    <t>B14 283 La Laguna GG</t>
  </si>
  <si>
    <t>B15 284 Saucera</t>
  </si>
  <si>
    <t>B03 285 Magaña</t>
  </si>
  <si>
    <t>B03 286 El Rio Arif</t>
  </si>
  <si>
    <t>B20 287 El Pilar</t>
  </si>
  <si>
    <t>B04 288 El Rastro</t>
  </si>
  <si>
    <t>B21 289 Mendoza</t>
  </si>
  <si>
    <t>B20 290 Los Patios</t>
  </si>
  <si>
    <t>B21 291 La Reversa</t>
  </si>
  <si>
    <t>B06 292 La Lupita</t>
  </si>
  <si>
    <t>B04 293 El Tesoro</t>
  </si>
  <si>
    <t>B01 294 Los Hernandez</t>
  </si>
  <si>
    <t>B06 295 La Noria</t>
  </si>
  <si>
    <t>B06 296 Iñiguez</t>
  </si>
  <si>
    <t>B25 297 Ticuiz IS</t>
  </si>
  <si>
    <t>B27 298 La Plantilla</t>
  </si>
  <si>
    <t>B27 299 Las Palmas IS</t>
  </si>
  <si>
    <t>B03 300 Ema RM</t>
  </si>
  <si>
    <t>B21 301 Miguel Mendoza</t>
  </si>
  <si>
    <t>C01 0G1 Genesis 1</t>
  </si>
  <si>
    <t>C01 0G2 Genesis 2</t>
  </si>
  <si>
    <t>C01 0G3 Genesis 3</t>
  </si>
  <si>
    <t>C01 0G4 Genesis 4</t>
  </si>
  <si>
    <t>C02 002 Las Lilias</t>
  </si>
  <si>
    <t>C20 003 San Lorenzo</t>
  </si>
  <si>
    <t xml:space="preserve"> 004 El Peru</t>
  </si>
  <si>
    <t>C02 005 La Ponderosa</t>
  </si>
  <si>
    <t xml:space="preserve"> 006 Chemizal</t>
  </si>
  <si>
    <t xml:space="preserve"> 007 La Rampa</t>
  </si>
  <si>
    <t xml:space="preserve"> 008 El Porvenir</t>
  </si>
  <si>
    <t xml:space="preserve"> 009  Santa Fe</t>
  </si>
  <si>
    <t xml:space="preserve"> 010 San Antonio</t>
  </si>
  <si>
    <t xml:space="preserve"> 011 San Miguel</t>
  </si>
  <si>
    <t xml:space="preserve"> 012 Esmeralda Dos</t>
  </si>
  <si>
    <t xml:space="preserve"> 013 Delicias 1</t>
  </si>
  <si>
    <t xml:space="preserve"> 014 Delicias 2</t>
  </si>
  <si>
    <t xml:space="preserve"> 015 Sarabia</t>
  </si>
  <si>
    <t xml:space="preserve"> 016 San Joaquin </t>
  </si>
  <si>
    <t>C04 017 Jaguar</t>
  </si>
  <si>
    <t xml:space="preserve"> 018 El Amparo</t>
  </si>
  <si>
    <t xml:space="preserve"> 019 Los Remedios</t>
  </si>
  <si>
    <t>C05 020 Candelaria</t>
  </si>
  <si>
    <t>C05 021 Tembladera</t>
  </si>
  <si>
    <t xml:space="preserve"> 022 El Tirol</t>
  </si>
  <si>
    <t xml:space="preserve"> 023 Plantacion Sonora</t>
  </si>
  <si>
    <t xml:space="preserve"> 024 Sonora Galeana</t>
  </si>
  <si>
    <t>C14 025 Sabe Bananas</t>
  </si>
  <si>
    <t xml:space="preserve"> 026 La Alianza</t>
  </si>
  <si>
    <t xml:space="preserve"> 027 Santa Rosa</t>
  </si>
  <si>
    <t>C09 028 San Jose Gonzales</t>
  </si>
  <si>
    <t xml:space="preserve"> 029 Chula Bananas</t>
  </si>
  <si>
    <t>C16 030 Chela Bananas</t>
  </si>
  <si>
    <t>C11 031 El Dolar</t>
  </si>
  <si>
    <t xml:space="preserve"> 032 San Antonio Tacotalpa</t>
  </si>
  <si>
    <t xml:space="preserve"> 033 El Misterio</t>
  </si>
  <si>
    <t xml:space="preserve"> 034 Chicho Bananas</t>
  </si>
  <si>
    <t>C14 035 San Roman</t>
  </si>
  <si>
    <t xml:space="preserve"> 036 Agropecuaria Eart</t>
  </si>
  <si>
    <t xml:space="preserve"> 037 La Montaña</t>
  </si>
  <si>
    <t xml:space="preserve"> 038 La Santisima Trinidad</t>
  </si>
  <si>
    <t>C17 039 Hevi Regional</t>
  </si>
  <si>
    <t>C07 040 Cofruver</t>
  </si>
  <si>
    <t>C18 041 Santos Soberano</t>
  </si>
  <si>
    <t>C18 042 Roberto Martinez Rueda</t>
  </si>
  <si>
    <t>C19 043 Felipe Martinez Ruiz</t>
  </si>
  <si>
    <t>C20 044 El Macayo</t>
  </si>
  <si>
    <t>C07 045 Santa Rosa FC</t>
  </si>
  <si>
    <t>C20 046 El Merodio</t>
  </si>
  <si>
    <t>C07 047 Victoria</t>
  </si>
  <si>
    <t>C07 048 Colocha</t>
  </si>
  <si>
    <t>D01 "001 1 Mundo Nuevo</t>
  </si>
  <si>
    <t>E01 001 Moises Bautista Martinez</t>
  </si>
  <si>
    <t>E02 002 Comercializadora Ranvel</t>
  </si>
  <si>
    <t>E03 003 Dora Maria Martinez Rueda</t>
  </si>
  <si>
    <t>E04 004 Bananas Tuba</t>
  </si>
  <si>
    <t>E05 005 Banarana</t>
  </si>
  <si>
    <t>E06 006 Leonter Martinez Gonzalez</t>
  </si>
  <si>
    <t>E07 007 Leobardo Jair Velazquez Rangel</t>
  </si>
  <si>
    <t>E08 008 Navafrut Maduraciones</t>
  </si>
  <si>
    <t>E09 009 Margarita Roman Arroyo</t>
  </si>
  <si>
    <t>E10 010 Felipe de Jesus Cervantes Ledezma</t>
  </si>
  <si>
    <t>E11 011 Comercializadora Banamachos</t>
  </si>
  <si>
    <t>Domicilio</t>
  </si>
  <si>
    <t>Estado</t>
  </si>
  <si>
    <t>Municipio</t>
  </si>
  <si>
    <t>Codigo postal</t>
  </si>
  <si>
    <t>Coordenadas</t>
  </si>
  <si>
    <t>Link</t>
  </si>
  <si>
    <t>Destinos</t>
  </si>
  <si>
    <t>Carretera a Jaritas Km. 13</t>
  </si>
  <si>
    <t>Chiapas</t>
  </si>
  <si>
    <t>Tapachula</t>
  </si>
  <si>
    <t>14°41'01.6"N 92°17'06.9"W</t>
  </si>
  <si>
    <t>https://goo.gl/maps/qGeGDXzmmymVyzLP9</t>
  </si>
  <si>
    <t>Japón</t>
  </si>
  <si>
    <t xml:space="preserve">Colonia Marta R. Gomez </t>
  </si>
  <si>
    <t xml:space="preserve">Chiapas </t>
  </si>
  <si>
    <t>Mazatan</t>
  </si>
  <si>
    <t>14°57'15.3"N 92°26'59.0"W</t>
  </si>
  <si>
    <t>https://goo.gl/maps/fnW8DDkT3wNtEXeSA</t>
  </si>
  <si>
    <t>Plan de Ayala</t>
  </si>
  <si>
    <t>Huehuetan</t>
  </si>
  <si>
    <t>14°59'48.9"N 92°29'52.8"W</t>
  </si>
  <si>
    <t>https://goo.gl/maps/C1cgsvYkCYKNJPny6</t>
  </si>
  <si>
    <t>Guamuchal</t>
  </si>
  <si>
    <t>14°59'11.9"N 92°30'06.8"W</t>
  </si>
  <si>
    <t>https://goo.gl/maps/gNwRwT3qCacQ9pMt8</t>
  </si>
  <si>
    <t xml:space="preserve">Barra de Cahoacan </t>
  </si>
  <si>
    <t>Suchiate</t>
  </si>
  <si>
    <t>14°38'20.2"N 92°18'48.1"W</t>
  </si>
  <si>
    <t>https://goo.gl/maps/4aw6M19uK4XBNera9</t>
  </si>
  <si>
    <t>Rancho Don Ramon</t>
  </si>
  <si>
    <t>14°37'00.0"N 92°13'15.2"W</t>
  </si>
  <si>
    <t>https://goo.gl/maps/3T8XwxYkNNWHompB7</t>
  </si>
  <si>
    <t>14°55'13.7"N 92°27'15.4"W</t>
  </si>
  <si>
    <t>https://goo.gl/maps/AAM9qnwxs3bxE34W7</t>
  </si>
  <si>
    <t>Rancheria Paloma Blanca</t>
  </si>
  <si>
    <t>Acapetahua</t>
  </si>
  <si>
    <t>15°18'31.1"N 92°45'06.1"W</t>
  </si>
  <si>
    <t>https://goo.gl/maps/XvfzqdkZQYTYc8RP8</t>
  </si>
  <si>
    <t xml:space="preserve">Ejido Jiquilpan </t>
  </si>
  <si>
    <t>15°20'35.2"N 92°48'31.1"W</t>
  </si>
  <si>
    <t>https://goo.gl/maps/m7xMRRD56wuNJTsN6</t>
  </si>
  <si>
    <t>14°37'29.6"N 92°14'14.1"W</t>
  </si>
  <si>
    <t>https://goo.gl/maps/F7kNcEaYeHMMGVqv8</t>
  </si>
  <si>
    <t xml:space="preserve">Rancheria Las Trancas </t>
  </si>
  <si>
    <t>14°54'57.3"N 92°24'24.1"W</t>
  </si>
  <si>
    <t>https://goo.gl/maps/8MhTkiqK1NEpgPz99</t>
  </si>
  <si>
    <t>Rancheria Canton Genova</t>
  </si>
  <si>
    <t>14°38'33.6"N 92°11'54.1"W</t>
  </si>
  <si>
    <t>https://goo.gl/maps/KtztzUgWgS8bmNGD8</t>
  </si>
  <si>
    <t xml:space="preserve">Ejido Jesus </t>
  </si>
  <si>
    <t>14°38'34.7"N 92°11'04.9"W</t>
  </si>
  <si>
    <t>https://goo.gl/maps/gGd8TGPRhwRBEgwD7</t>
  </si>
  <si>
    <t xml:space="preserve">Rancheria El Corralito </t>
  </si>
  <si>
    <t>14°54'58.3"N 92°25'05.4"W</t>
  </si>
  <si>
    <t>https://goo.gl/maps/bGEqBQJrqS7YnCb36</t>
  </si>
  <si>
    <t>14°55'26.7"N 92°25'59.3"W</t>
  </si>
  <si>
    <t>https://goo.gl/maps/JTQpMgz28A4yuzbTA</t>
  </si>
  <si>
    <t>Colonia Ignacio Lopez Rayon</t>
  </si>
  <si>
    <t>14°38'08.7"N 92°11'12.8"W</t>
  </si>
  <si>
    <t>https://goo.gl/maps/SVDQksmscgMpDhxX8</t>
  </si>
  <si>
    <t>Ejido El Cascabel</t>
  </si>
  <si>
    <t>14°38'53.8"N 92°10'32.4"W</t>
  </si>
  <si>
    <t>https://maps.app.goo.gl/yyVyQFw9kYe3kd349</t>
  </si>
  <si>
    <t>14°38'37.2"N 92°11'28.1"W</t>
  </si>
  <si>
    <t>https://goo.gl/maps/BPNhgU1iNC3toZbN7</t>
  </si>
  <si>
    <t>14°55'19.8"N 92°27'43.8"W</t>
  </si>
  <si>
    <t>https://goo.gl/maps/c6DAUZDSSvCqA4YA8</t>
  </si>
  <si>
    <t>14°38'07.7"N 92°12'15.8"W</t>
  </si>
  <si>
    <t>https://goo.gl/maps/x3TxYup3gcXf7TP4A</t>
  </si>
  <si>
    <t xml:space="preserve">Las Carolinas </t>
  </si>
  <si>
    <t>14°54'38.3"N 92°27'50.9"W</t>
  </si>
  <si>
    <t>https://goo.gl/maps/npMLCwRWHRrnXCZ76</t>
  </si>
  <si>
    <t>14°54'24.0"N 92°26'26.3"W</t>
  </si>
  <si>
    <t>https://goo.gl/maps/8nHEzgxoTb9X5sZY7</t>
  </si>
  <si>
    <t>Rancho Leoncillos</t>
  </si>
  <si>
    <t>14°45'45.9"N 92°23'47.9"W</t>
  </si>
  <si>
    <t>https://goo.gl/maps/DG8BsFRpcQPzaEzh7</t>
  </si>
  <si>
    <t>Altamira</t>
  </si>
  <si>
    <t>14°40'39.5"N 92°17'37.8"W</t>
  </si>
  <si>
    <t>https://goo.gl/maps/PphkbMkuv1AH61iV6</t>
  </si>
  <si>
    <t xml:space="preserve">La Herradura </t>
  </si>
  <si>
    <t>14°34'35.0"N 92°13'00.3"W</t>
  </si>
  <si>
    <t>https://maps.app.goo.gl/shQUvUBQ71mZEDyE9</t>
  </si>
  <si>
    <t xml:space="preserve">La Innominada </t>
  </si>
  <si>
    <t>14°39'38.6"N 92°17'03.3"W</t>
  </si>
  <si>
    <t>https://goo.gl/maps/UD9VxJeq7R3LSwZj7</t>
  </si>
  <si>
    <t xml:space="preserve">Benito Juarez </t>
  </si>
  <si>
    <t>14°38'30.0"N 92°17'02.8"W</t>
  </si>
  <si>
    <t>https://goo.gl/maps/tK1iT4gHmAHp8ESx7</t>
  </si>
  <si>
    <t>Cuauhtemoc</t>
  </si>
  <si>
    <t>14°35'07.6"N 92°13'03.6"W</t>
  </si>
  <si>
    <t>https://goo.gl/maps/5PxHAbGx6Mt1j4Bv6</t>
  </si>
  <si>
    <t xml:space="preserve">Rancheria Isleven </t>
  </si>
  <si>
    <t>14°47'54.2"N 92°17'38.2"W</t>
  </si>
  <si>
    <t>https://maps.app.goo.gl/D1kHYtV3Q9vsxafm9</t>
  </si>
  <si>
    <t>Ejido La Libertad</t>
  </si>
  <si>
    <t>14°35'29.2"N 92°12'35.1"W</t>
  </si>
  <si>
    <t>https://goo.gl/maps/QqHfzP5USaXt4oFm6</t>
  </si>
  <si>
    <t>Cuatro Caminos</t>
  </si>
  <si>
    <t>14°53'37.4"N 92°24'31.9"W</t>
  </si>
  <si>
    <t>https://goo.gl/maps/dFEGsT47n5G8w6DD8</t>
  </si>
  <si>
    <t>Finca Santa Teresa</t>
  </si>
  <si>
    <t>14°50'47.6"N 92°19'33.9"W</t>
  </si>
  <si>
    <t>https://goo.gl/maps/k3e7xCWrpgYf7pWWA</t>
  </si>
  <si>
    <t>Los Toros, Estación</t>
  </si>
  <si>
    <t>14°48'33.1"N 92°19'55.0"W</t>
  </si>
  <si>
    <t>https://goo.gl/maps/VjxcwdTTfPQVtKEN8</t>
  </si>
  <si>
    <t>San Juan Cintahuayate</t>
  </si>
  <si>
    <t>14°45'58.2"N 92°14'39.1"W</t>
  </si>
  <si>
    <t>https://goo.gl/maps/PCtXDhAWkCfYehYY9</t>
  </si>
  <si>
    <t xml:space="preserve">Leoncillos </t>
  </si>
  <si>
    <t>14°47'26.0"N 92°24'52.0"W</t>
  </si>
  <si>
    <t>https://goo.gl/maps/bqehwq2po61ugXeJA</t>
  </si>
  <si>
    <t xml:space="preserve">Las Josefinas </t>
  </si>
  <si>
    <t>14°37'49.3"N 92°11'40.0"W</t>
  </si>
  <si>
    <t>https://goo.gl/maps/TUsTqi3ZsyyV9n3V7</t>
  </si>
  <si>
    <t xml:space="preserve">Cuauhtemoc </t>
  </si>
  <si>
    <t>14°35'17.8"N 92°12'51.2"W</t>
  </si>
  <si>
    <t>https://goo.gl/maps/PTjiNga8TkWKQ5ANA</t>
  </si>
  <si>
    <t>14°34'14.9"N 92°12'32.8"W</t>
  </si>
  <si>
    <t>https://goo.gl/maps/kegNtUJZ95coAo5FA</t>
  </si>
  <si>
    <t>14°35'09.7"N 92°13'37.1"W</t>
  </si>
  <si>
    <t>https://goo.gl/maps/JfFxbh8cgjZ8Xvjq9</t>
  </si>
  <si>
    <t xml:space="preserve">San Jorge </t>
  </si>
  <si>
    <t>14°35'43.8"N 92°12'02.1"W</t>
  </si>
  <si>
    <t>https://goo.gl/maps/hrrPGiy3fJjXt1BWA</t>
  </si>
  <si>
    <t>14°39'31.9"N 92°11'09.3"W</t>
  </si>
  <si>
    <t>https://goo.gl/maps/9A1a3JxJRJ7VCkCK6</t>
  </si>
  <si>
    <t>14°51'48.2"N 92°25'11.4"W</t>
  </si>
  <si>
    <t>https://goo.gl/maps/VqyewcdFagBqvL6U8</t>
  </si>
  <si>
    <t>14°49'35.8"N 92°27'36.5"W</t>
  </si>
  <si>
    <t>https://goo.gl/maps/tSzooT2k31FpuMFv6</t>
  </si>
  <si>
    <t>El Triunfo I</t>
  </si>
  <si>
    <t>14°49'15.6"N 92°27'52.5"W</t>
  </si>
  <si>
    <t>https://maps.app.goo.gl/rqD3g8jWfPyANZqu5</t>
  </si>
  <si>
    <t>14°39'16.0"N 92°18'13.0"W</t>
  </si>
  <si>
    <t>https://goo.gl/maps/7F5RPs3umWHR2Rc1A</t>
  </si>
  <si>
    <t>14°39'02.8"N 92°19'06.9"W</t>
  </si>
  <si>
    <t>https://goo.gl/maps/bxcUK2v7UuGm7v9z7</t>
  </si>
  <si>
    <t>14°45'47.6"N 92°23'11.2"W</t>
  </si>
  <si>
    <t>https://maps.app.goo.gl/UWoTXNrLhnG4FYEc6</t>
  </si>
  <si>
    <t xml:space="preserve">Genaro Vazquez Rojas </t>
  </si>
  <si>
    <t>14°41'52.0"N 92°21'26.3"W</t>
  </si>
  <si>
    <t>https://maps.app.goo.gl/uVwU5PurVPx9kVHw5</t>
  </si>
  <si>
    <t>Santa Martha</t>
  </si>
  <si>
    <t>14°37'06.6"N 92°11'41.8"W</t>
  </si>
  <si>
    <t>https://goo.gl/maps/JXCSzYAeFFVLY2eHA</t>
  </si>
  <si>
    <t xml:space="preserve">Miguel  Aleman </t>
  </si>
  <si>
    <t>14°33'11.7"N 92°13'25.3"W</t>
  </si>
  <si>
    <t>https://goo.gl/maps/8EnHPurb8KSbWAGF9</t>
  </si>
  <si>
    <t>14°33'21.2"N 92°13'04.1"W</t>
  </si>
  <si>
    <t>https://goo.gl/maps/VHgACYdFbVXFQVJG9</t>
  </si>
  <si>
    <t xml:space="preserve">Santa Monica </t>
  </si>
  <si>
    <t>14°43'25.4"N 92°09'47.1"W</t>
  </si>
  <si>
    <t>https://goo.gl/maps/J4EkMP2KVDzF64AfA</t>
  </si>
  <si>
    <t xml:space="preserve">El Campito </t>
  </si>
  <si>
    <t>14°40'11.7"N 92°10'42.8"W</t>
  </si>
  <si>
    <t>https://goo.gl/maps/8ZGRFn9VVuGoAd78A</t>
  </si>
  <si>
    <t>14°49'15.9"N 92°27'52.7"W</t>
  </si>
  <si>
    <t>https://maps.app.goo.gl/S3jWEgspTsVvBMuy9</t>
  </si>
  <si>
    <t>Guanacaxtal</t>
  </si>
  <si>
    <t>14°49'50.8"N 92°27'31.0"W</t>
  </si>
  <si>
    <t>https://goo.gl/maps/spB851tWFMFw8oFV6</t>
  </si>
  <si>
    <t>El Triunfo 2da seccion</t>
  </si>
  <si>
    <t>14°49'55.0"N 92°27'03.7"W</t>
  </si>
  <si>
    <t>https://goo.gl/maps/7LqY8eAYQsbqvYb56</t>
  </si>
  <si>
    <t xml:space="preserve">San Judas Tadeo </t>
  </si>
  <si>
    <t>14°50'19.9"N 92°26'41.6"W</t>
  </si>
  <si>
    <t>https://goo.gl/maps/ZfYCbsRGBJhm13mr6</t>
  </si>
  <si>
    <t xml:space="preserve">Poblacion 5 de febrero </t>
  </si>
  <si>
    <t>15°00'22.9"N 92°28'29.5"W</t>
  </si>
  <si>
    <t>https://goo.gl/maps/iVPW93wEVUpUoL919</t>
  </si>
  <si>
    <t>14°42'54.4"N 92°09'41.3"W</t>
  </si>
  <si>
    <t>https://goo.gl/maps/FRyoYUTxMLVmWMFq8</t>
  </si>
  <si>
    <t>Ignacio Zaragoza</t>
  </si>
  <si>
    <t>14°44'26.2"N 92°10'15.8"W</t>
  </si>
  <si>
    <t>https://goo.gl/maps/bFQhTdj4k4rnRjQr9</t>
  </si>
  <si>
    <t xml:space="preserve">Pilar Sitala </t>
  </si>
  <si>
    <t>14°57'02.1"N 92°29'48.5"W</t>
  </si>
  <si>
    <t>https://goo.gl/maps/xTd632Tk6bUJDZDv5</t>
  </si>
  <si>
    <t>Las Viudas</t>
  </si>
  <si>
    <t>14°42'46.4"N 92°12'07.5"W</t>
  </si>
  <si>
    <t>https://goo.gl/maps/j2iMYbYmkfqLxxYo9</t>
  </si>
  <si>
    <t>El Coquito</t>
  </si>
  <si>
    <t>14°49'42.4"N 92°22'44.8"W</t>
  </si>
  <si>
    <t>https://goo.gl/maps/eRVzs5rm2RN8QXhp8</t>
  </si>
  <si>
    <t>Audon Barrios</t>
  </si>
  <si>
    <t>14°55'34.3"N 92°28'56.5"W</t>
  </si>
  <si>
    <t>https://goo.gl/maps/8zH9SEAJF3Bp1PAz9</t>
  </si>
  <si>
    <t xml:space="preserve">Jesus </t>
  </si>
  <si>
    <t>14°38'32.1"N 92°10'11.7"W</t>
  </si>
  <si>
    <t>https://goo.gl/maps/1UXRFoCcWiB3qDty8</t>
  </si>
  <si>
    <t>Marte R Gomez</t>
  </si>
  <si>
    <t>14°55'13.9"N 92°26'19.3"W</t>
  </si>
  <si>
    <t>https://goo.gl/maps/pAjrPJ5ehDdu2VLT9</t>
  </si>
  <si>
    <t>El Paraiso</t>
  </si>
  <si>
    <t>14°39'14.6"N 92°13'12.4"W</t>
  </si>
  <si>
    <t>https://goo.gl/maps/zY8bnSWgQ9DCLUdu6</t>
  </si>
  <si>
    <t>El Trocadero</t>
  </si>
  <si>
    <t>14°36'20.0"N 92°12'17.8"W</t>
  </si>
  <si>
    <t>https://goo.gl/maps/AWKSJXMoE5vkK5TF6</t>
  </si>
  <si>
    <t>14°36'58.3"N 92°14'32.6"W</t>
  </si>
  <si>
    <t>https://goo.gl/maps/3BYEvDeX7Ng6yb1f8</t>
  </si>
  <si>
    <t>Plantain</t>
  </si>
  <si>
    <t>El Aguacate</t>
  </si>
  <si>
    <t>14°50'25.1"N 92°25'44.8"W</t>
  </si>
  <si>
    <t>https://goo.gl/maps/yi7LfEdxyPyjDeMY6</t>
  </si>
  <si>
    <t>14°38'18.0"N 92°15'48.3"W</t>
  </si>
  <si>
    <t>https://goo.gl/maps/yAqyFintzuZNYTKf7</t>
  </si>
  <si>
    <t>Nuevo Dorado</t>
  </si>
  <si>
    <t>14°40'20.3"N 92°12'33.9"W</t>
  </si>
  <si>
    <t>https://goo.gl/maps/FWXvwAXKFChMWTW36</t>
  </si>
  <si>
    <t xml:space="preserve">Alvaro Obregon </t>
  </si>
  <si>
    <t>14°54'00.1"N 92°23'33.9"W</t>
  </si>
  <si>
    <t>https://maps.app.goo.gl/y3mjUejGwEWrn8vt5</t>
  </si>
  <si>
    <t>Guadalupe Victoria</t>
  </si>
  <si>
    <t>14°47'36.6"N 92°16'25.5"W</t>
  </si>
  <si>
    <t>https://maps.app.goo.gl/gjdFGZvcxGyk88WLA</t>
  </si>
  <si>
    <t>14°40'55.0"N 92°16'56.0"W</t>
  </si>
  <si>
    <t>https://maps.app.goo.gl/aH3VzJDkHxjSUcaL7</t>
  </si>
  <si>
    <t xml:space="preserve">Ejido La Libertad </t>
  </si>
  <si>
    <t>14°35'08.7"N 92°12'03.4"W</t>
  </si>
  <si>
    <t>https://maps.app.goo.gl/zYBPbiTR2FmApFv19</t>
  </si>
  <si>
    <t>14°47'10.3"N 92°16'14.0"W</t>
  </si>
  <si>
    <t>https://goo.gl/maps/V1Uj3rKBvFuLJaMg6</t>
  </si>
  <si>
    <t>14°45'24.9"N 92°24'53.2"W</t>
  </si>
  <si>
    <t>https://maps.app.goo.gl/EQR4UG9PCH85DrfU7</t>
  </si>
  <si>
    <t>14°44'41.9"N 92°22'43.5"W</t>
  </si>
  <si>
    <t>https://maps.app.goo.gl/C3h47BZMt5UrJBJ2A</t>
  </si>
  <si>
    <t xml:space="preserve">Abril </t>
  </si>
  <si>
    <t>14°48'28.1"N 92°29'47.6"W</t>
  </si>
  <si>
    <t>https://maps.app.goo.gl/JNVKY9PRxmSrYqKp7</t>
  </si>
  <si>
    <t>14°56'00.0"N 92°26'26.1"W</t>
  </si>
  <si>
    <t>https://maps.app.goo.gl/55tvsdMp4dMUfQRr9</t>
  </si>
  <si>
    <t xml:space="preserve">El Manglar </t>
  </si>
  <si>
    <t>14°40'44.0"N 92°21'01.5"W</t>
  </si>
  <si>
    <t>https://maps.app.goo.gl/2Yk1XLrTbRsDWkZq8</t>
  </si>
  <si>
    <t>14°49'16.0"N 92°27'53.0"W</t>
  </si>
  <si>
    <t>https://maps.app.goo.gl/P3zfosMR8iM2Yuma8</t>
  </si>
  <si>
    <t>Ejido Quince de Abril</t>
  </si>
  <si>
    <t>14°41'25.3"N 92°14'45.2"W</t>
  </si>
  <si>
    <t>Ranchería Isleven</t>
  </si>
  <si>
    <t>14°47'08.9"N 92°16'41.1"W</t>
  </si>
  <si>
    <t>https://maps.app.goo.gl/4sHPwmnAxxLbsqtQ6</t>
  </si>
  <si>
    <t xml:space="preserve"> Guanacaxtal</t>
  </si>
  <si>
    <t>14°50'35.2"N 92°28'29.0"W</t>
  </si>
  <si>
    <t>https://maps.app.goo.gl/YPt6U3gQ83ok9U5DA</t>
  </si>
  <si>
    <t>14°37'09.0"N 92°14'36.1"W</t>
  </si>
  <si>
    <t>https://maps.app.goo.gl/sagEuodLPjT7C7eXA</t>
  </si>
  <si>
    <t>Domicilio conocido, Reforma s/n, 30820 Tapachula de Córdova y Ordóñez, Chis.</t>
  </si>
  <si>
    <t>14.811272463599213, -92.30772746692472</t>
  </si>
  <si>
    <t>https://maps.app.goo.gl/MqH55Zx5WPoifSoY7</t>
  </si>
  <si>
    <t>Banano</t>
  </si>
  <si>
    <t>Santa Lucía I, Chiapas</t>
  </si>
  <si>
    <t>14°43'53.3"N 92°14'13.9"W</t>
  </si>
  <si>
    <t>https://maps.app.goo.gl/Hwt3oaNpJZXpN8S2A</t>
  </si>
  <si>
    <t>14°47'54.1"N 92°13'53.9"W</t>
  </si>
  <si>
    <t>https://maps.app.goo.gl/AZj7qurmCn1efpxj9</t>
  </si>
  <si>
    <t>Veinte de Noviembre</t>
  </si>
  <si>
    <t xml:space="preserve">Michoacan </t>
  </si>
  <si>
    <t>Coahuayana Michoacan</t>
  </si>
  <si>
    <t>18°46'45.9"N 103°38'08.1"W</t>
  </si>
  <si>
    <t>Col. Veinte de Noviembre, Michoacán</t>
  </si>
  <si>
    <t>18°45'28.5"N 103°38'54.7"W</t>
  </si>
  <si>
    <t>https://maps.app.goo.gl/fhQZ4CCSjUT3ydos6</t>
  </si>
  <si>
    <t>Coahuayana Viejo Michoacan</t>
  </si>
  <si>
    <t>18°45'52.9"N 103°39'18.4"W</t>
  </si>
  <si>
    <t>https://goo.gl/maps/c5t6rjv5c6EWUyzq9</t>
  </si>
  <si>
    <t xml:space="preserve">Boca de Apiza </t>
  </si>
  <si>
    <t>Almendras Michoacan</t>
  </si>
  <si>
    <t>18°42'17.9"N 103°43'16.3"W</t>
  </si>
  <si>
    <t>https://goo.gl/maps/RcniYV539Ch71jzs9</t>
  </si>
  <si>
    <t>Ejido La Peña Coahuayana</t>
  </si>
  <si>
    <t>18°41'40.0"N 103°42'05.6"W</t>
  </si>
  <si>
    <t>https://maps.app.goo.gl/3Q2rF313LhmGMeed6</t>
  </si>
  <si>
    <t>18°44'11.8"N 103°39'37.9"W</t>
  </si>
  <si>
    <t>https://maps.app.goo.gl/rUVzYMWTZb7oXpKE9</t>
  </si>
  <si>
    <t>El Ranchito</t>
  </si>
  <si>
    <t>18°40'20.9"N 103°39'28.0"W</t>
  </si>
  <si>
    <t>https://goo.gl/maps/KunoBwzK4uyH852DA</t>
  </si>
  <si>
    <t>Colonia San Rafael</t>
  </si>
  <si>
    <t>Tecoman Colima</t>
  </si>
  <si>
    <t>18°46'36.7"N 103°50'12.2"W</t>
  </si>
  <si>
    <t>https://maps.app.goo.gl/D9kh1a4zD5ioZBsu7</t>
  </si>
  <si>
    <t xml:space="preserve">Colonia Veinte de Noviembre El Camalote </t>
  </si>
  <si>
    <t>18°46'45.7"N 103°38'07.6"W</t>
  </si>
  <si>
    <t>https://goo.gl/maps/8C22EGCkdJKLgeQG9</t>
  </si>
  <si>
    <t>Lomas Michoacan</t>
  </si>
  <si>
    <t>60805 Coahuayana, Michoacan. </t>
  </si>
  <si>
    <t>Michoaca</t>
  </si>
  <si>
    <t>18°44'41.4"N 103°39'47.8"W</t>
  </si>
  <si>
    <t>Coahuayana Viejo, Michoacán</t>
  </si>
  <si>
    <t>18°44'54.5"N 103°39'40.8"W</t>
  </si>
  <si>
    <t>Coahuayana Viejo, Michoacan</t>
  </si>
  <si>
    <t>Michoacan</t>
  </si>
  <si>
    <t>18°45'37.3"N 103°40'24.4"W</t>
  </si>
  <si>
    <t>https://maps.app.goo.gl/gdYNwo33hZUgKhHH6</t>
  </si>
  <si>
    <t>El Pilar</t>
  </si>
  <si>
    <t>18°47'14.9"N 103°47'04.7"W</t>
  </si>
  <si>
    <t>https://maps.app.goo.gl/VKz7j5o4bxYf2FBv6</t>
  </si>
  <si>
    <t>El Ticuiz Coahuayana Michoacan</t>
  </si>
  <si>
    <t>18°40'09.6"N 103°41'42.2"W</t>
  </si>
  <si>
    <t>https://maps.app.goo.gl/HMGXmTfGZ3hDxjU18</t>
  </si>
  <si>
    <t xml:space="preserve"> Pueblo Cerro de Ortega</t>
  </si>
  <si>
    <t>Cerro de Ortega Tecoman Colima</t>
  </si>
  <si>
    <t>18°46'42.7"N 103°41'29.5"W</t>
  </si>
  <si>
    <t>https://goo.gl/maps/3g9Gp2nSaWDryRMC8</t>
  </si>
  <si>
    <t xml:space="preserve">Villa Esther </t>
  </si>
  <si>
    <t>18°46'43.3"N 103°49'14.2"W</t>
  </si>
  <si>
    <t>https://maps.app.goo.gl/8L7bDJMVZC1owYFWA</t>
  </si>
  <si>
    <t>18°39'35.7"N 103°39'54.1"W</t>
  </si>
  <si>
    <t>https://goo.gl/maps/dSzRbokj1YncrE7K7</t>
  </si>
  <si>
    <t>18°47'06.7"N 103°40'06.4"W</t>
  </si>
  <si>
    <t>https://goo.gl/maps/VH89CktzjKLYUkoW8</t>
  </si>
  <si>
    <t>18°44'50.6"N 103°42'40.9"W</t>
  </si>
  <si>
    <t>https://goo.gl/maps/pRe6oFb9jfdqbBve7</t>
  </si>
  <si>
    <t>San Vicente</t>
  </si>
  <si>
    <t>18°44'26.7"N 103°41'59.1"W</t>
  </si>
  <si>
    <t>https://goo.gl/maps/LL5kpKrREHUfcoBh6</t>
  </si>
  <si>
    <t xml:space="preserve">Cerro de Ortega </t>
  </si>
  <si>
    <t>18°46'33.8"N 103°42'18.0"W</t>
  </si>
  <si>
    <t>https://maps.app.goo.gl/NrZTL2yQnwqXGBXN9</t>
  </si>
  <si>
    <t>Pueblo Cerro de Ortega</t>
  </si>
  <si>
    <t>18°44'20.7"N 103°42'53.2"W</t>
  </si>
  <si>
    <t>https://maps.app.goo.gl/kbjMjuQ3q5SijRGKA</t>
  </si>
  <si>
    <t xml:space="preserve">Pueblo Cofradia de Morelos </t>
  </si>
  <si>
    <t>18.8726267,-103.8293533</t>
  </si>
  <si>
    <t>https://goo.gl/maps/hGCLGWXRwWTdVC2N8</t>
  </si>
  <si>
    <t>Ejido San Vicente</t>
  </si>
  <si>
    <t>San Vicente Michoacan</t>
  </si>
  <si>
    <t>18.732472, -103.683686</t>
  </si>
  <si>
    <t>https://maps.app.goo.gl/joifys4oofzoakiF7</t>
  </si>
  <si>
    <t>Rancheria El Saucito</t>
  </si>
  <si>
    <t>18°51'41.9"N 103°47'49.1"W</t>
  </si>
  <si>
    <t>https://goo.gl/maps/fvGx93iB49nJ331a6</t>
  </si>
  <si>
    <t>18°51'51.6"N 103°48'05.8"W</t>
  </si>
  <si>
    <t>https://maps.app.goo.gl/iRKSpFFKn7QKYgxm6</t>
  </si>
  <si>
    <t>18°51'59.9"N 103°48'03.5"W</t>
  </si>
  <si>
    <t>https://maps.app.goo.gl/cCpHYoY99aD51yJV9</t>
  </si>
  <si>
    <t>18°51'11.52"N 103°48'44.89"W</t>
  </si>
  <si>
    <t>https://maps.app.goo.gl/g3MHC5yARDsEDGrX9</t>
  </si>
  <si>
    <t xml:space="preserve">Colonia San Antonio </t>
  </si>
  <si>
    <t>18°47'31.9"N 103°48'28.6"W</t>
  </si>
  <si>
    <t>https://goo.gl/maps/Xn45YMFUr1GofhD99</t>
  </si>
  <si>
    <t>18°47'31.6"N 103°48'29.3"W</t>
  </si>
  <si>
    <t>https://goo.gl/maps/gowVyiQ52odPD7Hm9</t>
  </si>
  <si>
    <t>El Tunel</t>
  </si>
  <si>
    <t>19°01'45.0"N 103°52'24.9"W</t>
  </si>
  <si>
    <t>https://goo.gl/maps/uacBdYo8JdekTW8FA</t>
  </si>
  <si>
    <t>Caleras</t>
  </si>
  <si>
    <t>19° 0'34.91"N 103°52'28.16"W</t>
  </si>
  <si>
    <t>https://maps.app.goo.gl/xQkzQ6dPPdSZr761A</t>
  </si>
  <si>
    <t>Coahuayana de Hidalgo</t>
  </si>
  <si>
    <t>Ranchito Michoacan</t>
  </si>
  <si>
    <t>18°42'13.9"N 103°38'28.4"W</t>
  </si>
  <si>
    <t>https://maps.app.goo.gl/LRxCj5KaxjzX5ACY6</t>
  </si>
  <si>
    <t>18°44'56.7"N 103°39'34.6"W</t>
  </si>
  <si>
    <t>https://maps.app.goo.gl/WP1S5arXC33wrWSA8</t>
  </si>
  <si>
    <t>18°46'09.3"N 103°39'29.3"W</t>
  </si>
  <si>
    <t>https://goo.gl/maps/EYapWKaP29J3hf1r5</t>
  </si>
  <si>
    <t>Puerta de Caleras</t>
  </si>
  <si>
    <t>18°58'20.6"N 103°51'13.3"W</t>
  </si>
  <si>
    <t>https://goo.gl/maps/eJLZ8HesXqjgk2JQA</t>
  </si>
  <si>
    <t>Colomos Colima</t>
  </si>
  <si>
    <t>El Frijol</t>
  </si>
  <si>
    <t>19°02'05.2"N 104°13'24.5"W</t>
  </si>
  <si>
    <t>https://maps.app.goo.gl/WgvwxscymYCBR5SZ6</t>
  </si>
  <si>
    <t>Ejido Rio Marabasco</t>
  </si>
  <si>
    <t xml:space="preserve">Cihuatlan Jalisco </t>
  </si>
  <si>
    <t>19°14'02.0"N 104°32'23.2"W</t>
  </si>
  <si>
    <t>https://goo.gl/maps/CvFaYPvnLH9yyzhQ9</t>
  </si>
  <si>
    <t>28838, El Centinela de Arriba, Manzanillo. Colima</t>
  </si>
  <si>
    <t>19°10'08.0"N 104°34'11.2"W</t>
  </si>
  <si>
    <t>19°02'00.6"N 104°13'24.0"W</t>
  </si>
  <si>
    <t>https://goo.gl/maps/LSBb3FFE3yaBgsL77</t>
  </si>
  <si>
    <t xml:space="preserve">El Rebalse </t>
  </si>
  <si>
    <t>Jalisco</t>
  </si>
  <si>
    <t>19°11'00.5"N 104°34'55.8"W</t>
  </si>
  <si>
    <t>https://goo.gl/maps/mXfzEnM61YhQ276e9</t>
  </si>
  <si>
    <t>19°11'00.9"N 104°34'56.4"W</t>
  </si>
  <si>
    <t>https://goo.gl/maps/EH4UEanhofKeoe2X8</t>
  </si>
  <si>
    <t xml:space="preserve">el banco </t>
  </si>
  <si>
    <t>https://goo.gl/maps/sPHyMe9dxbB5bJow6</t>
  </si>
  <si>
    <t>18°45'26.1"N 103°40'10.6"W</t>
  </si>
  <si>
    <t>https://maps.app.goo.gl/CkbP2X1j66XUKANX6</t>
  </si>
  <si>
    <t>Marabasco Colima</t>
  </si>
  <si>
    <t>19°13'55.7"N 104°32'49.6"W</t>
  </si>
  <si>
    <t>https://maps.app.goo.gl/kJ4bjKpLJ18V1PzTA</t>
  </si>
  <si>
    <t xml:space="preserve">Rancheria Callejones </t>
  </si>
  <si>
    <t>18°48'42.6"N 103°37'30.3"W</t>
  </si>
  <si>
    <t>https://goo.gl/maps/mmc3LQ46LLawdSDX7</t>
  </si>
  <si>
    <t>18°47'52.2"N 103°38'41.3"W</t>
  </si>
  <si>
    <t>https://goo.gl/maps/ZEijyrqT3KwjhLus6</t>
  </si>
  <si>
    <t>Ejido La Peña</t>
  </si>
  <si>
    <t>La Peña Michoacan</t>
  </si>
  <si>
    <t>18.694144, -103.712185</t>
  </si>
  <si>
    <t>https://maps.app.goo.gl/PEaQ1zFsRBSDowrBA</t>
  </si>
  <si>
    <t>Col. Veinte de Noviembre</t>
  </si>
  <si>
    <t>18°45'46.1"N 103°38'44.3"W</t>
  </si>
  <si>
    <t>18°40'12.8"N 103°41'40.4"W</t>
  </si>
  <si>
    <t>https://goo.gl/maps/oEcZhvA4abC2uqXGA</t>
  </si>
  <si>
    <t xml:space="preserve">Los Ciruelos </t>
  </si>
  <si>
    <t>18°44'18.8"N 103°39'03.3"W</t>
  </si>
  <si>
    <t>https://goo.gl/maps/UCgoJF2Prykgwrjv7</t>
  </si>
  <si>
    <t>Colonia Veinte de Noviembre</t>
  </si>
  <si>
    <t>Camalote Michoacan</t>
  </si>
  <si>
    <t>18°46'16.7"N 103°38'35.7"W</t>
  </si>
  <si>
    <t>https://goo.gl/maps/HRA7eyUyxA92YjeeA</t>
  </si>
  <si>
    <t>El Camalote</t>
  </si>
  <si>
    <t>18°46'46.3"N 103°38'05.3"W</t>
  </si>
  <si>
    <t>https://goo.gl/maps/AQmrmSd9bJVZ62YT7</t>
  </si>
  <si>
    <t>18°44'35.3"N 103°39'35.5"W</t>
  </si>
  <si>
    <t>https://goo.gl/maps/pAQAncpMWYxAaPEk9</t>
  </si>
  <si>
    <t>18°44'34.4"N 103°39'35.7"W</t>
  </si>
  <si>
    <t>https://goo.gl/maps/H1xZ5eqPzgevEoQg6</t>
  </si>
  <si>
    <t>18°46'04.4"N 103°39'56.7"W</t>
  </si>
  <si>
    <t>https://maps.app.goo.gl/g2wjXioJnKH4KAXM6</t>
  </si>
  <si>
    <t>El Antojo, Colima</t>
  </si>
  <si>
    <t>18°49'25.3"N 103°50'52.2"W</t>
  </si>
  <si>
    <t>18°44'49.7"N 103°42'41.1"W</t>
  </si>
  <si>
    <t>https://goo.gl/maps/hBJ29DwGzwDdXwEy7</t>
  </si>
  <si>
    <t>Ojo de Agua de San Telmo, Pueblo, 60804, Coahuayana · Michoacán de Ocampo ; Quinta Rosario, Rancho</t>
  </si>
  <si>
    <t>18°43'02.1"N 103°42'02.8"W</t>
  </si>
  <si>
    <t>Jungapeo</t>
  </si>
  <si>
    <t>18°44'39.9"N 103°39'18.8"W</t>
  </si>
  <si>
    <t>https://maps.app.goo.gl/EunFqB3z5pdUE4Wp6</t>
  </si>
  <si>
    <t>18°44'09.8"N 103°42'04.1"W</t>
  </si>
  <si>
    <t>La Limonera</t>
  </si>
  <si>
    <t>18°43'31.3"N 103°42'24.9"W</t>
  </si>
  <si>
    <t>https://goo.gl/maps/wBPwNoKYNX5S73eD7</t>
  </si>
  <si>
    <t>18°45'21.6"N 103°42'21.8"W</t>
  </si>
  <si>
    <t>https://goo.gl/maps/pKZtBr4zSfWPCFqD6</t>
  </si>
  <si>
    <t>La Platanera</t>
  </si>
  <si>
    <t>Ahijadero Tecoman Colima</t>
  </si>
  <si>
    <t>18°54'12.6"N 103°48'08.7"W</t>
  </si>
  <si>
    <t>https://maps.app.goo.gl/bSsVcgetdfyxdAV86</t>
  </si>
  <si>
    <t>El Ranchito, Michoacán</t>
  </si>
  <si>
    <t>18°40'44.7"N 103°40'38.5"W</t>
  </si>
  <si>
    <t>18°45'01.2"N 103°39'51.6"W</t>
  </si>
  <si>
    <t>18°45'24.7"N 103°39'14.7"W</t>
  </si>
  <si>
    <t>18°45'11.1"N 103°40'48.0"W</t>
  </si>
  <si>
    <t>https://goo.gl/maps/ozVXdcE6wbjjqYdB9</t>
  </si>
  <si>
    <t>18°45'43.3"N 103°39'30.8"W</t>
  </si>
  <si>
    <t>https://maps.app.goo.gl/DutkdPxFzdHxqPZn9</t>
  </si>
  <si>
    <t>El zapotal</t>
  </si>
  <si>
    <t>Villa Fantasia</t>
  </si>
  <si>
    <t>18°50'10.0"N 103°52'56.4"W</t>
  </si>
  <si>
    <t>https://goo.gl/maps/9Lam2WDn1o1GZ7xA9</t>
  </si>
  <si>
    <t>Coahuayana viejo, Michoacan</t>
  </si>
  <si>
    <t>18°44'29.7"N 103°40'38.4"W</t>
  </si>
  <si>
    <t>18°59'33.3"N 103°52'37.0"W</t>
  </si>
  <si>
    <t>https://maps.app.goo.gl/i8sgoYUfkCq7ekhm9</t>
  </si>
  <si>
    <t>Los Ciruelos, Michoacán</t>
  </si>
  <si>
    <t>18°44'17.0"N 103°39'33.7"W</t>
  </si>
  <si>
    <t>https://maps.app.goo.gl/tZUVhFinF6q8qUBT8</t>
  </si>
  <si>
    <t>El Sacrificio, Colima.</t>
  </si>
  <si>
    <t>18°55'07.4"N 103°49'37.7"W</t>
  </si>
  <si>
    <t>https://maps.app.goo.gl/WofwSet8oD3aqK4U8</t>
  </si>
  <si>
    <t>El Ranchito Michoacan</t>
  </si>
  <si>
    <t>18°40'37.3"N 103°39'45.9"W</t>
  </si>
  <si>
    <t>https://maps.app.goo.gl/JKRS8Ps5oLKywRdm7</t>
  </si>
  <si>
    <t>18°45'33.13"N 103°41'52.23"W</t>
  </si>
  <si>
    <t>https://maps.app.goo.gl/8DdEc9xwbeVuUkG27</t>
  </si>
  <si>
    <t>Quinta Rosario Coahuayana Michoacan</t>
  </si>
  <si>
    <t>18°42'00.6"N 103°42'16.0"W</t>
  </si>
  <si>
    <t>https://goo.gl/maps/Bi44bnCeXtnjXgap8</t>
  </si>
  <si>
    <t>Zapotan, Michoacan</t>
  </si>
  <si>
    <t>18°42'48.2"N 103°36'51.7"W</t>
  </si>
  <si>
    <t>https://maps.app.goo.gl/66hiErXAhFC4DmZSA</t>
  </si>
  <si>
    <t>Cihuatlan</t>
  </si>
  <si>
    <t>19°13'39.4"N 104°34'17.0"W</t>
  </si>
  <si>
    <t>https://maps.app.goo.gl/9kULdY8QS5sc8Dw27</t>
  </si>
  <si>
    <t>Zapotan Coahuayana Michoacan</t>
  </si>
  <si>
    <t>Zapotan</t>
  </si>
  <si>
    <t>https://maps.app.goo.gl/rHCi5ctJfZhHxRHv7</t>
  </si>
  <si>
    <t> El Ahijadero, Michoacán</t>
  </si>
  <si>
    <t>18°41'44.2"N 103°37'22.4"W</t>
  </si>
  <si>
    <t>18°45'40.5"N 103°40'19.6"W</t>
  </si>
  <si>
    <t>https://goo.gl/maps/EiZpKvJ1U3NsayM38</t>
  </si>
  <si>
    <t>18°45'30.4"N 103°40'38.5"W</t>
  </si>
  <si>
    <t>https://maps.app.goo.gl/yTsgn2dAR1EFV1vA9</t>
  </si>
  <si>
    <t>Chalipa, Colima</t>
  </si>
  <si>
    <t>18°53'56.9"N 103°49'40.6"W</t>
  </si>
  <si>
    <t>https://maps.app.goo.gl/wT6wK9uYL8WMF5z69</t>
  </si>
  <si>
    <t xml:space="preserve">Cerrito de Aguilar </t>
  </si>
  <si>
    <t>18°49'12.0"N 103°50'27.2"W</t>
  </si>
  <si>
    <t>https://maps.app.goo.gl/wEhRmQyBMKTCPSAy8</t>
  </si>
  <si>
    <t>18°41'52.4"N 103°42'55.9"W</t>
  </si>
  <si>
    <t>https://goo.gl/maps/s5D2ET4zmZfmNt4q7</t>
  </si>
  <si>
    <t>Coahuayana Viejo.</t>
  </si>
  <si>
    <t>18°45'07.0"N 103°41'32.6"W</t>
  </si>
  <si>
    <t>Boca de apiza Michoacan</t>
  </si>
  <si>
    <t>Cihuatlán, Jalisco</t>
  </si>
  <si>
    <t>19°12'29.7"N 104°34'49.6"W</t>
  </si>
  <si>
    <t>Quinta Rosario (Rancho) en Coahuayana, Michoacán de Ocampo, México.</t>
  </si>
  <si>
    <t>18°42'06.9"N 103°42'30.9"W</t>
  </si>
  <si>
    <t xml:space="preserve">Código postal. 28935. Tecomán Colima · Cofradía de Morelos. </t>
  </si>
  <si>
    <t>Ticuiz Michoacan</t>
  </si>
  <si>
    <t xml:space="preserve">El Saucito </t>
  </si>
  <si>
    <t>18°51'17.8"N 103°47'38.5"W</t>
  </si>
  <si>
    <t>https://maps.app.goo.gl/9b4zrWbqJjTofZay7</t>
  </si>
  <si>
    <t>Callejones Los Olivos Tecoman Colima CP 28219</t>
  </si>
  <si>
    <t>18°49'11.1"N 103°38'41.9"W</t>
  </si>
  <si>
    <t>https://maps.app.goo.gl/yqNsW66zfotNMCLF7</t>
  </si>
  <si>
    <t>Callejones Tecoman Colima CP 28219</t>
  </si>
  <si>
    <t>18°49'00.0"N 103°38'22.9"W</t>
  </si>
  <si>
    <t>https://maps.app.goo.gl/WjhYVctXRA2aTtRV9</t>
  </si>
  <si>
    <t>18°51'34.60"N 103°48'10.99"W</t>
  </si>
  <si>
    <t>https://maps.app.goo.gl/tvV6ah8oUGNtqThy7</t>
  </si>
  <si>
    <t>Coahuayana</t>
  </si>
  <si>
    <t>18°51'05.7"N 103°37'14.5"W</t>
  </si>
  <si>
    <t>https://goo.gl/maps/5bLUadGBYuhUfZxi7</t>
  </si>
  <si>
    <t>Cerrito de Aguilar Colima</t>
  </si>
  <si>
    <t>Cerro Aguilar Chanchopa</t>
  </si>
  <si>
    <t>18°49'23.1"N 103°50'21.4"W</t>
  </si>
  <si>
    <t>https://maps.app.goo.gl/VJZBd7sxYdUxqtku5</t>
  </si>
  <si>
    <t>Cllejones, Colima</t>
  </si>
  <si>
    <t>Callejones Tecoman Colima</t>
  </si>
  <si>
    <t>18°48'43.7"N 103°37'31.3"W</t>
  </si>
  <si>
    <t>Rancheria el Saucito Tecoman Colima</t>
  </si>
  <si>
    <t>Chanchopa Tecoman Colima</t>
  </si>
  <si>
    <t>18°50'54.3"N 103°47'57.1"W</t>
  </si>
  <si>
    <t>https://maps.app.goo.gl/tRJopNV8bTDm8xHt7</t>
  </si>
  <si>
    <t>Rancho el Bonito</t>
  </si>
  <si>
    <t>Las Antenas Tecoman Colima</t>
  </si>
  <si>
    <t>18°50'36.2"N 103°48'47.5"W</t>
  </si>
  <si>
    <t>https://maps.app.goo.gl/sNKf18mgeBDY6idV8</t>
  </si>
  <si>
    <t>COAHUAYANA, MICHOACAN DE OCAMPO. MÉXICO CP. 60805</t>
  </si>
  <si>
    <t>18°45'42.2"N 103°39'25.1"W</t>
  </si>
  <si>
    <t>18°45'16.9"N 103°39'52.6"W</t>
  </si>
  <si>
    <t>https://maps.app.goo.gl/drbWFsspF6cdf2Er6</t>
  </si>
  <si>
    <t>Crucero boca de Apiza Michoacan</t>
  </si>
  <si>
    <t>Boca de Apiza Tecoman</t>
  </si>
  <si>
    <t>18.762975, -103.694294</t>
  </si>
  <si>
    <t>https://maps.app.goo.gl/uP9FLHfz72j4fqkU9</t>
  </si>
  <si>
    <t xml:space="preserve">La Vainilla </t>
  </si>
  <si>
    <t>18°58'12.0"N 103°50'45.2"W</t>
  </si>
  <si>
    <t>18°46'02.8"N 103°39'39.4"W</t>
  </si>
  <si>
    <t>Caleras Tecoman Colima</t>
  </si>
  <si>
    <t>18.703590, -103.641208</t>
  </si>
  <si>
    <t>https://maps.app.goo.gl/C5V25idEJttPcsnq9</t>
  </si>
  <si>
    <t>https://maps.app.goo.gl/6rHCxfoLzz9mrycr6</t>
  </si>
  <si>
    <t>Col. Veinte De Noviembre</t>
  </si>
  <si>
    <t>18°46'15.8"N 103°39'00.7"W</t>
  </si>
  <si>
    <t>18°45'37.0"N 103°40'24.8"W</t>
  </si>
  <si>
    <t>https://maps.app.goo.gl/N4VD3Sn8c5nttxDX7</t>
  </si>
  <si>
    <t>18°45'23.5"N 103°39'34.2"W</t>
  </si>
  <si>
    <t>https://maps.app.goo.gl/wRou1iKEnd5szNcX7</t>
  </si>
  <si>
    <t xml:space="preserve">Rio Marabasco </t>
  </si>
  <si>
    <t>19°13'58.8"N 104°32'18.1"W</t>
  </si>
  <si>
    <t>https://maps.app.goo.gl/bHzdtFhDYFtEYYUo7</t>
  </si>
  <si>
    <t>Boca de Apiza, Mich. Cp. 60804</t>
  </si>
  <si>
    <t>19°13'53.5"N 104°32'42.9"W</t>
  </si>
  <si>
    <t>AV. PROGRESO 44, CP 28900. TECOMÁN, MX.</t>
  </si>
  <si>
    <t>18°45'49.4"N 103°42'06.2"W</t>
  </si>
  <si>
    <t>https://maps.app.goo.gl/dbUuhe32n8iPJhFd9</t>
  </si>
  <si>
    <t>18°44'30.1"N 103°42'51.6"W</t>
  </si>
  <si>
    <t>Ranchería callejones Tecoman, Colima. Cp 28906</t>
  </si>
  <si>
    <t>18.8143 -103.6334</t>
  </si>
  <si>
    <t>18°48'14.4"N 103°37'39.1"W</t>
  </si>
  <si>
    <t>https://maps.app.goo.gl/EpErFbFCLZDimAwC7</t>
  </si>
  <si>
    <t>https://maps.app.goo.gl/LtdLmn58WSHGP2LM9</t>
  </si>
  <si>
    <t>El Diecinueve Tecoman Colima</t>
  </si>
  <si>
    <t>El diecinueve Tecoman Colima</t>
  </si>
  <si>
    <t>18°47'56.1"N 103°48'14.1"W</t>
  </si>
  <si>
    <t>https://maps.app.goo.gl/SBduqo9VawswQFQx9</t>
  </si>
  <si>
    <t>18°46'50.6"N 103°37'57.8"W</t>
  </si>
  <si>
    <t>https://maps.app.goo.gl/Vf6qfYDdyvUcv1hy9</t>
  </si>
  <si>
    <t>Rancheria Puerta de Caleras</t>
  </si>
  <si>
    <t>18°58'02.5"N 103°52'00.7"W</t>
  </si>
  <si>
    <t>https://maps.app.goo.gl/xwHEzM7C7JMYYMjJ6</t>
  </si>
  <si>
    <t> San Vicente en Coahuayana, Michoacán de Ocampo. CP 60804</t>
  </si>
  <si>
    <t>18°44'43.7"N 103°41'22.2"W</t>
  </si>
  <si>
    <t>18°45'36.3"N 103°40'23.7"W</t>
  </si>
  <si>
    <t>18°46'51.0"N 103°44'16.7"W</t>
  </si>
  <si>
    <t>https://maps.app.goo.gl/jPJmjJKVNaotzdUN8</t>
  </si>
  <si>
    <t>18°46'25.8"N 103°38'43.9"W</t>
  </si>
  <si>
    <t>Callejones, Colima</t>
  </si>
  <si>
    <t>18°48'04.8"N 103°38'04.9"W</t>
  </si>
  <si>
    <t>18°44'51.4"N 103°42'47.9"W</t>
  </si>
  <si>
    <t>https://maps.app.goo.gl/yYJic2wsNynHJGap8</t>
  </si>
  <si>
    <t>18.75342 103.66482</t>
  </si>
  <si>
    <t>20 de Noviembre, Michoacan.</t>
  </si>
  <si>
    <t>18°46'05.2"N 103°37'57.0"W</t>
  </si>
  <si>
    <t>28900 Carr. a Callejones,  Colima.</t>
  </si>
  <si>
    <t>18.9271105930887 -103.877928447091</t>
  </si>
  <si>
    <t>Puerta de Caleras Tecoman Colima</t>
  </si>
  <si>
    <t>18°58'21.0"N 103°51'13.0"W</t>
  </si>
  <si>
    <t>https://maps.app.goo.gl/jwxZpck87Acfhp6NA</t>
  </si>
  <si>
    <t>Zapotan Coahuayana</t>
  </si>
  <si>
    <t>18°43'04.9"N 103°36'46.8"W</t>
  </si>
  <si>
    <t>https://maps.app.goo.gl/DDMePiTmPAKABt1A7</t>
  </si>
  <si>
    <t>60804, Coahuayana, Mich. México</t>
  </si>
  <si>
    <t>18°42'35.5"N 103°42'49.4"W</t>
  </si>
  <si>
    <t>Cofradia Morelos</t>
  </si>
  <si>
    <t>El Vado No usar El Vado Repetida con 267 La Hermita</t>
  </si>
  <si>
    <t>18°39'43.6"N 103°40'57.6"W</t>
  </si>
  <si>
    <t>https://maps.app.goo.gl/qw2H9PcMDwgW6EBC9</t>
  </si>
  <si>
    <t>18°43'24.7"N 103°41'27.6"W</t>
  </si>
  <si>
    <t>https://maps.app.goo.gl/7GqV6JDt95whSo3w9</t>
  </si>
  <si>
    <t>La Platanera Laguna Alcuzahue Tecoman Colima</t>
  </si>
  <si>
    <t>18°53'45.5"N 103°48'32.2"W</t>
  </si>
  <si>
    <t>https://maps.app.goo.gl/v6VHmkLDBuHrWjR3A</t>
  </si>
  <si>
    <t>La Cuarta Tecoman Colima</t>
  </si>
  <si>
    <t>18°54'51.7"N 103°49'31.8"W</t>
  </si>
  <si>
    <t>https://maps.app.goo.gl/v3d8sSBtmN1mpxNr7</t>
  </si>
  <si>
    <t>18°48'31.1"N 103°47'07.2"W</t>
  </si>
  <si>
    <t>https://maps.app.goo.gl/cQ4GNfkeZnKZkGSw6</t>
  </si>
  <si>
    <t>18°42'21.6"N 103°42'49.9"W</t>
  </si>
  <si>
    <t>https://maps.app.goo.gl/mrVBFwNMwr7MCfko6</t>
  </si>
  <si>
    <t>Coahuyana viejo michoacan</t>
  </si>
  <si>
    <t>18°45'34.8"N 103°39'06.0"W</t>
  </si>
  <si>
    <t>https://maps.app.goo.gl/Pky5AWWMJew9jBW9A</t>
  </si>
  <si>
    <t>Calle 20 de Nov. Num 24. Cp 60805, Michoacan de Ocampo.</t>
  </si>
  <si>
    <t>18.740927972984 -103.657441589506</t>
  </si>
  <si>
    <t>18°42'19.7"N 103°42'48.8"W</t>
  </si>
  <si>
    <t>https://maps.app.goo.gl/MBFz6arwPm2vjgxh9</t>
  </si>
  <si>
    <t>18°40'41.3"N 103°40'28.9"W</t>
  </si>
  <si>
    <t>https://maps.app.goo.gl/DugyetdoUVir9N1c6</t>
  </si>
  <si>
    <t>Plantilla del canal. San Francisco</t>
  </si>
  <si>
    <t>CALLE VICENTE GUERRERO, SN. COFRADIA DE HIDALGO. TECOMAN, COLIMA. CP 28929.</t>
  </si>
  <si>
    <t>18.90264 -103.792</t>
  </si>
  <si>
    <t>18.82829 -103.83216</t>
  </si>
  <si>
    <t>18.88909 -103.81571</t>
  </si>
  <si>
    <t>18°46'35.3"N 103°40'38.9"W</t>
  </si>
  <si>
    <t>CALLEJONES #12 COL. COAHUAYANA VIEJO, CP.60805, MICHOACAN, MICHOACAN, MEXICO</t>
  </si>
  <si>
    <t>michoacan</t>
  </si>
  <si>
    <t>18.7522457251526 -103.66740327716</t>
  </si>
  <si>
    <t>18°47'57.1"N 103°37'52.1"W</t>
  </si>
  <si>
    <t>https://maps.app.goo.gl/831zukQ73ZmvFGFs9</t>
  </si>
  <si>
    <t>San Francisco ( El Chavarín)</t>
  </si>
  <si>
    <t>18°49'21.5"N 103°47'48.7"W</t>
  </si>
  <si>
    <t>18.740995507582134, -103.65424639847143</t>
  </si>
  <si>
    <t>Arturo Noriega Pizano, Ranchería, 28900, Tecomán. Colima ; Cerro de Ortega. Pueblo</t>
  </si>
  <si>
    <t>18°44'18.6"N 103°43'54.5"W</t>
  </si>
  <si>
    <t>Veinte de Noviembre, Michoacán</t>
  </si>
  <si>
    <t>coahuayana michoacan</t>
  </si>
  <si>
    <t>18°46'21.2"N 103°39'16.2"W</t>
  </si>
  <si>
    <t>Congregación El Rebalse en Cihuatlán, estado de Jalisco. Es un código postal de tipo Rural</t>
  </si>
  <si>
    <t>19°11'18.7"N 104°35'34.3"W</t>
  </si>
  <si>
    <t>El Pacifico Manzanillo Colima CP 28943</t>
  </si>
  <si>
    <t>Manzanillo Colima</t>
  </si>
  <si>
    <t>18°49'07.2"N 103°52'03.0"W</t>
  </si>
  <si>
    <t>https://maps.app.goo.gl/Q4sUqzAyTd6P1j1Y9</t>
  </si>
  <si>
    <t>CARRETERA RAMAL A CERRO DE ORTEGA, TECOMAN, COLIMA. CP 28906. MÉXICO.</t>
  </si>
  <si>
    <t>Tecoman colima</t>
  </si>
  <si>
    <t>18°47'20.7"N 103°39'50.2"W</t>
  </si>
  <si>
    <t>18°45'07.7"N 103°41'32.6"W</t>
  </si>
  <si>
    <t>COL. VEINTE DE NOVIEMBRE, MICHOACAN.  CP. 60805</t>
  </si>
  <si>
    <t>18°46'49.3"N 103°37'53.7"W</t>
  </si>
  <si>
    <t>18°47'19.2"N 103°39'50.2"W</t>
  </si>
  <si>
    <t>https://maps.app.goo.gl/Fw3memVAk4HV4Mdu9</t>
  </si>
  <si>
    <t>AV. REVOLUCIÓN, TECOMAN, COLIMA. MX. CP 28900</t>
  </si>
  <si>
    <t>18°44'07.0"N 103°42'49.3"W</t>
  </si>
  <si>
    <t>18°44'15.2"N 103°39'39.0"W</t>
  </si>
  <si>
    <t>https://maps.app.goo.gl/WEpUVPjwCdmiPzNT6</t>
  </si>
  <si>
    <t xml:space="preserve">Cofradia de Hidalgo, Tecoman Colima </t>
  </si>
  <si>
    <t>18°53'42.7"N 103°47'27.7"W</t>
  </si>
  <si>
    <t>https://maps.app.goo.gl/SgM2kVERArbsmCXW8</t>
  </si>
  <si>
    <t>CAMINO ANTIGUO A BARRA  DE NAVIDAD 1, CIHUATLÁN. JAL.</t>
  </si>
  <si>
    <t>19°13'20.9"N 104°39'08.6"W</t>
  </si>
  <si>
    <t>CALLE REFORMA S 209, EL RANCHITO. COAHUAYANA DE HIDALGO, MICHOACAN.</t>
  </si>
  <si>
    <t>18°40'54.1"N 103°39'39.0"W</t>
  </si>
  <si>
    <t>18°45'37.3"N 103°38'45.9"W</t>
  </si>
  <si>
    <t>CARRETERA RAMAL A CERRITO DE AGUILAR, EJ.EL ANTOJO. TECOMAN, COLIMA.</t>
  </si>
  <si>
    <t>18°49'26.9"N 103°50'50.4"W</t>
  </si>
  <si>
    <t>El Pacífico, Colima</t>
  </si>
  <si>
    <t>18°49'06.0"N 103°52'03.8"W</t>
  </si>
  <si>
    <t>18°48'23.3"N 103°38'15.2"W</t>
  </si>
  <si>
    <t>https://maps.app.goo.gl/A1hrHpj6t87YyWMF9</t>
  </si>
  <si>
    <t xml:space="preserve">CARRETERA PUERTA DE CALERAS, MADRID. TECOMAN, COLIMA. </t>
  </si>
  <si>
    <t>19°03'57.3"N 103°52'34.4"W</t>
  </si>
  <si>
    <t>https://maps.app.goo.gl/9F6vcmyCYkra6HMT6</t>
  </si>
  <si>
    <t>CARRETERA RAMAL A COAHUAYANA, 60804. COAHUAYANA DE HIDALGO, MICH, MX.</t>
  </si>
  <si>
    <t>18°44'13.9"N 103°40'51.7"W</t>
  </si>
  <si>
    <t>El Ticuiz, Michoacán</t>
  </si>
  <si>
    <t>18°39'51.4"N 103°40'43.7"W</t>
  </si>
  <si>
    <t>18°45'34.3"N 103°38'47.7"W</t>
  </si>
  <si>
    <t>LA VAINILLA, TECOMAN, MEXICO.</t>
  </si>
  <si>
    <t>18°48'48.0"N 103°39'17.1"W</t>
  </si>
  <si>
    <t>18°40'19.9"N 103°40'46.3"W</t>
  </si>
  <si>
    <t>Los Ciruelos</t>
  </si>
  <si>
    <t>18°44'34.8"N 103°39'02.9"W</t>
  </si>
  <si>
    <t> Cerro de Ortega, Colima</t>
  </si>
  <si>
    <t>18°46'36.4"N 103°44'22.3"W</t>
  </si>
  <si>
    <t>San Vicente, Michoacan</t>
  </si>
  <si>
    <t>18°44'26.5"N 103°41'36.0"W</t>
  </si>
  <si>
    <t>https://maps.app.goo.gl/Y1rrQr2rxWwWbDpt5</t>
  </si>
  <si>
    <t>La platanera, Colima</t>
  </si>
  <si>
    <t>18°54'24.6"N 103°48'33.7"W</t>
  </si>
  <si>
    <t>18°45'40.3"N 103°40'49.5"W</t>
  </si>
  <si>
    <t>18°45'33.8"N 103°39'05.3"W</t>
  </si>
  <si>
    <t>18°45'58.5"N 103°40'28.8"W</t>
  </si>
  <si>
    <t>https://www.google.com/maps/place/18%C2%B045'58.5%22N+103%C2%B040'28.8%22W/@18.7662508,-103.6772486,661m/data=!3m2!1e3!4b1!4m4!3m3!8m2!3d18.7662508!4d-103.6746737?hl=es&amp;entry=ttu&amp;g_ep=EgoyMDI2MDUyNy4wIKXMDSoASAFQAw%3D%3D</t>
  </si>
  <si>
    <t>El Pilar, Colima</t>
  </si>
  <si>
    <t>El Pilar Colima</t>
  </si>
  <si>
    <t>18°47'21.4"N 103°47'08.6"W</t>
  </si>
  <si>
    <t>https://www.google.com/maps/place/18%C2%B047'21.4%22N+103%C2%B047'08.6%22W/@18.7892784,-103.7882975,661m/data=!3m2!1e3!4b1!4m4!3m3!8m2!3d18.7892784!4d-103.7857226?hl=es&amp;entry=ttu&amp;g_ep=EgoyMDI2MDUyNy4wIKXMDSoASAFQAw%3D%3D</t>
  </si>
  <si>
    <t>18°54'28.5"N 103°50'36.7"W</t>
  </si>
  <si>
    <t>https://www.google.com/maps/place/18%C2%B054'28.5%22N+103%C2%B050'36.7%22W/@18.90791,-103.846097,660m/data=!3m2!1e3!4b1!4m4!3m3!8m2!3d18.90791!4d-103.8435221?hl=es&amp;entry=ttu&amp;g_ep=EgoyMDI2MDUyNy4wIKXMDSoASAFQAw%3D%3D</t>
  </si>
  <si>
    <t xml:space="preserve">Col. Veinte de Noviembre, Michoacan </t>
  </si>
  <si>
    <t>18°46'13.1"N 103°38'04.2"W</t>
  </si>
  <si>
    <t>https://maps.app.goo.gl/ciiBEJZWWzDyRLmq9</t>
  </si>
  <si>
    <t>Los Ciruelos Michoacan</t>
  </si>
  <si>
    <t>18°44'17.0"N 103°39'18.2"W</t>
  </si>
  <si>
    <t>https://maps.app.goo.gl/z2rmDLj78hFzRV2a8</t>
  </si>
  <si>
    <t>Ejido Coahuayana, MichoacáN</t>
  </si>
  <si>
    <t>18°44'18.3"N 103°39'42.6"W</t>
  </si>
  <si>
    <t>https://maps.app.goo.gl/3nfmogUMrma7LrHKA</t>
  </si>
  <si>
    <t>18°40'53.8"N 103°39'38.2"W</t>
  </si>
  <si>
    <t>https://maps.app.goo.gl/qayenuyS5wHBRZ7S9</t>
  </si>
  <si>
    <t>18°53'19.1"N 103°47'53.4"W</t>
  </si>
  <si>
    <t>https://maps.app.goo.gl/a6ogrbc6bGcnxHVs8</t>
  </si>
  <si>
    <t>18°46'20.1"N 103°39'47.7"W</t>
  </si>
  <si>
    <t>https://maps.app.goo.gl/FrvFG8aFB6aob25YA</t>
  </si>
  <si>
    <t>Zapotan Michoacan</t>
  </si>
  <si>
    <t>18°42'37.5"N 103°37'15.7"W</t>
  </si>
  <si>
    <t>https://maps.app.goo.gl/9vWHfv48M2u7rr4U9</t>
  </si>
  <si>
    <t>18°46'02.5"N 103°41'21.1"W</t>
  </si>
  <si>
    <t>https://maps.app.goo.gl/ZQQr8XsfjL8AMHkR9</t>
  </si>
  <si>
    <t xml:space="preserve"> Ticuiz, Michoacán</t>
  </si>
  <si>
    <t>18°40'00.6"N 103°40'29.2"W</t>
  </si>
  <si>
    <t>https://maps.app.goo.gl/7YbtesX2CSjUt8JW6</t>
  </si>
  <si>
    <t>Quinta Rosario, Michoacán</t>
  </si>
  <si>
    <t>18°42'16.8"N 103°42'53.5"W</t>
  </si>
  <si>
    <t>https://maps.app.goo.gl/Qwd77RscJUqPSprn8</t>
  </si>
  <si>
    <t>Boca de Apiza, Michoacán</t>
  </si>
  <si>
    <t>18°41'55.9"N 103°42'53.4"W</t>
  </si>
  <si>
    <t>https://maps.app.goo.gl/noH2xh2daxfjrCrK8</t>
  </si>
  <si>
    <t>https://maps.app.goo.gl/8YNDFJ9u9dHPF2wi9</t>
  </si>
  <si>
    <t>los ciuruelos michoacan</t>
  </si>
  <si>
    <t>18°44'41.5"N 103°38'36.4"W</t>
  </si>
  <si>
    <t>https://maps.app.goo.gl/m1yBC1q9QBKPdrkv5</t>
  </si>
  <si>
    <t xml:space="preserve">Blanquillo 1a Seccion </t>
  </si>
  <si>
    <t xml:space="preserve">Pichucalco </t>
  </si>
  <si>
    <t xml:space="preserve">C010G1
</t>
  </si>
  <si>
    <t>17°34'35.8"N 93°03'33.1"W</t>
  </si>
  <si>
    <t>https://maps.app.goo.gl/akfFmyjaVypbfggG7</t>
  </si>
  <si>
    <t xml:space="preserve">C010G2
</t>
  </si>
  <si>
    <t>17°35'12.0"N 93°04'43.7"W</t>
  </si>
  <si>
    <t>https://maps.app.goo.gl/5GT597tCsGWhhCcFA</t>
  </si>
  <si>
    <t xml:space="preserve">C010G3
</t>
  </si>
  <si>
    <t xml:space="preserve">C010G4
</t>
  </si>
  <si>
    <t xml:space="preserve">Las Lilias </t>
  </si>
  <si>
    <t>Teapa</t>
  </si>
  <si>
    <t>17°40'21.8"N 92°57'01.3"W</t>
  </si>
  <si>
    <t>https://goo.gl/maps/kS1HP13td3kuU4Hs9</t>
  </si>
  <si>
    <t>Ejido Andres Quintana Roo</t>
  </si>
  <si>
    <t>17°42'20.0"N 93°02'06.7"W</t>
  </si>
  <si>
    <t>https://goo.gl/maps/xP9ksPjbetFdCPwAA</t>
  </si>
  <si>
    <t xml:space="preserve">El Peru </t>
  </si>
  <si>
    <t>17°40'04.3"N 92°56'49.7"W</t>
  </si>
  <si>
    <t>https://goo.gl/maps/MBzbKTGBiF2HKQUx7</t>
  </si>
  <si>
    <t>17°37'57.2"N 92°58'35.0"W</t>
  </si>
  <si>
    <t>https://maps.app.goo.gl/qxZsy9j3rKLx6DhVA</t>
  </si>
  <si>
    <t>Miguel Hidalgo 2da Seccion</t>
  </si>
  <si>
    <t xml:space="preserve">Balancan Tabasco </t>
  </si>
  <si>
    <t>17°36'46.7"N 92°56'26.8"W</t>
  </si>
  <si>
    <t>https://goo.gl/maps/RjTcbZDDuaX9jZ61A</t>
  </si>
  <si>
    <t>C05020
2518061</t>
  </si>
  <si>
    <t>Jose Maria Morelos y Pavon</t>
  </si>
  <si>
    <t>Huimanguillo</t>
  </si>
  <si>
    <t>17°37'46.1"N 92°55'12.9"W</t>
  </si>
  <si>
    <t>https://goo.gl/maps/zmNr1WMTahdmbXGYA</t>
  </si>
  <si>
    <t>C05021
2518061</t>
  </si>
  <si>
    <t>Miguel Hidalgo 2da. Secc., Tabasco</t>
  </si>
  <si>
    <t>17°36'14.5"N 92°57'01.8"W</t>
  </si>
  <si>
    <t>https://maps.app.goo.gl/ujJsiCdaqV9u2MxU9</t>
  </si>
  <si>
    <t>Matamoros, Tabasco</t>
  </si>
  <si>
    <t>17°34'26.9"N 92°53'25.6"W</t>
  </si>
  <si>
    <t>https://maps.app.goo.gl/ib8xC2HXDgLKQAeo9</t>
  </si>
  <si>
    <t>Ranchería Blanquillo 2a Sección, Rural ; Chiapas, Pichucalco · Pueblo Nuevo Nicapa, Rural</t>
  </si>
  <si>
    <t>17.6093404499213, -93.05199199334615</t>
  </si>
  <si>
    <t>Teapa Tabasco</t>
  </si>
  <si>
    <t>17.61225999450492, -92.9537632423287</t>
  </si>
  <si>
    <t>https://maps.app.goo.gl/rZRh7UwzskXU4r2L6</t>
  </si>
  <si>
    <t>17°36'38.7"N 93°03'10.4"W</t>
  </si>
  <si>
    <t>Tacotalpa</t>
  </si>
  <si>
    <t>Cucuyulapa</t>
  </si>
  <si>
    <t>Cardenas</t>
  </si>
  <si>
    <t>17°57'53.9"N 93°15'43.8"W</t>
  </si>
  <si>
    <t>https://maps.app.goo.gl/XLgiJztWocvKN4Zj7</t>
  </si>
  <si>
    <t>17°59'54.3"N 93°13'44.1"W</t>
  </si>
  <si>
    <t>https://maps.app.goo.gl/deuMz3zyNzfu6Liz6</t>
  </si>
  <si>
    <t>17°35'12.1"N 92°50'58.5"W</t>
  </si>
  <si>
    <t>https://maps.app.goo.gl/rSenNTiBJr7PmLWV6</t>
  </si>
  <si>
    <t>Oaxaca</t>
  </si>
  <si>
    <t>CDMX</t>
  </si>
  <si>
    <t>Coahuayana Viejo, Pueblo, 60805. Michoacán de Ocampo; El Sifón, Rancho, 60805.</t>
  </si>
  <si>
    <t>Tultitlan</t>
  </si>
  <si>
    <t>OV OM</t>
  </si>
  <si>
    <t>Chanitos Premium Tarima Chep</t>
  </si>
  <si>
    <t>Chanitos Organic Banded Market Side Mexico</t>
  </si>
  <si>
    <t>Chanitos Premium Granel</t>
  </si>
  <si>
    <t>Chanitos Cha Cha Cha (2da) Granel</t>
  </si>
  <si>
    <t>Chanitos Manitas Granel</t>
  </si>
  <si>
    <t>Chanitos Cha Cha Cha (DS) Granel</t>
  </si>
  <si>
    <t>Platano de Chiapas BAE UPC 3237</t>
  </si>
  <si>
    <t>Chanitos Premium EUA Tarima Americana</t>
  </si>
  <si>
    <t>Chanitos Plantain 20Kg Tarima Americana</t>
  </si>
  <si>
    <t>Chanitos Cha Cha Cha 22XU  CP34 Mar Kodawari</t>
  </si>
  <si>
    <t>Chanitos Cha Cha Cha 22XU CP27 Mar Kodawari</t>
  </si>
  <si>
    <t>Chanitos Premium Tarima Americana</t>
  </si>
  <si>
    <t>Chanitos Plantain 20Kg Tarima Chep</t>
  </si>
  <si>
    <t>Chanitos Plantain 50lb Tarima Americana</t>
  </si>
  <si>
    <t>CPR01102</t>
  </si>
  <si>
    <t>CRG07128</t>
  </si>
  <si>
    <t>CPR01101</t>
  </si>
  <si>
    <t>CSA04120</t>
  </si>
  <si>
    <t>CMN05123</t>
  </si>
  <si>
    <t>CDS04122</t>
  </si>
  <si>
    <t>CPR01114</t>
  </si>
  <si>
    <t>CPR01104</t>
  </si>
  <si>
    <t>CPL08134</t>
  </si>
  <si>
    <t>CPR03119</t>
  </si>
  <si>
    <t>CPR03124</t>
  </si>
  <si>
    <t>CPR01103</t>
  </si>
  <si>
    <t>CPL08141</t>
  </si>
  <si>
    <t>CPL08133</t>
  </si>
  <si>
    <t>A01002-381409-1</t>
  </si>
  <si>
    <t>A01002-381409-4</t>
  </si>
  <si>
    <t>A01002-381409-3</t>
  </si>
  <si>
    <t>A01002-381409-5</t>
  </si>
  <si>
    <t>A01001-381409-1</t>
  </si>
  <si>
    <t>A01001-381409-4</t>
  </si>
  <si>
    <t>A01001-381409-3</t>
  </si>
  <si>
    <t>A01001-381409-5</t>
  </si>
  <si>
    <t>A01003-381409-1</t>
  </si>
  <si>
    <t>A01003-381409-4</t>
  </si>
  <si>
    <t>A01003-381409-3</t>
  </si>
  <si>
    <t>A01003-381409-5</t>
  </si>
  <si>
    <t>A11045-381409-1</t>
  </si>
  <si>
    <t>A11056-381409-1</t>
  </si>
  <si>
    <t>A11045-381509-1</t>
  </si>
  <si>
    <t>A04084-381509-1</t>
  </si>
  <si>
    <t>A41100-381509-1</t>
  </si>
  <si>
    <t>A01001-381509-1</t>
  </si>
  <si>
    <t>A01001-381509-4</t>
  </si>
  <si>
    <t>A01001-381509-3</t>
  </si>
  <si>
    <t>A01001-381509-5</t>
  </si>
  <si>
    <t>A01003-381509-1</t>
  </si>
  <si>
    <t>A01003-381509-4</t>
  </si>
  <si>
    <t>A01003-381509-3</t>
  </si>
  <si>
    <t>A01003-381509-5</t>
  </si>
  <si>
    <t>A01002-381509-1</t>
  </si>
  <si>
    <t>A01002-381509-4</t>
  </si>
  <si>
    <t>A01002-381509-3</t>
  </si>
  <si>
    <t>A01002-381509-5</t>
  </si>
  <si>
    <t>A04039-381609-1</t>
  </si>
  <si>
    <t>A04084-381609-1</t>
  </si>
  <si>
    <t>A41100-381709-1</t>
  </si>
  <si>
    <t>A06043-381709-1</t>
  </si>
  <si>
    <t>A04039-381709-1</t>
  </si>
  <si>
    <t>A04084-381709-1</t>
  </si>
  <si>
    <t>A04039-381809-1</t>
  </si>
  <si>
    <t>A01002-381709-1</t>
  </si>
  <si>
    <t>A01002-381709-4</t>
  </si>
  <si>
    <t>A01002-381709-3</t>
  </si>
  <si>
    <t>A01002-381709-5</t>
  </si>
  <si>
    <t>A01001-381709-1</t>
  </si>
  <si>
    <t>A01001-381709-4</t>
  </si>
  <si>
    <t>A01001-381709-3</t>
  </si>
  <si>
    <t>A01001-381709-5</t>
  </si>
  <si>
    <t>A01003-381709-1</t>
  </si>
  <si>
    <t>A01003-381709-4</t>
  </si>
  <si>
    <t>A01003-381709-3</t>
  </si>
  <si>
    <t>A01003-381709-5</t>
  </si>
  <si>
    <t>A06043-381809-1</t>
  </si>
  <si>
    <t>A04084-381809-1</t>
  </si>
  <si>
    <t>A01001-381809-1</t>
  </si>
  <si>
    <t>A01001-381809-4</t>
  </si>
  <si>
    <t>A01001-381809-3</t>
  </si>
  <si>
    <t>A01001-381809-5</t>
  </si>
  <si>
    <t>A01002-381809-1</t>
  </si>
  <si>
    <t>A01002-381809-4</t>
  </si>
  <si>
    <t>A01002-381809-3</t>
  </si>
  <si>
    <t>A01002-381809-5</t>
  </si>
  <si>
    <t>A01004-381809-1</t>
  </si>
  <si>
    <t>A01004-381809-4</t>
  </si>
  <si>
    <t>A01004-381809-3</t>
  </si>
  <si>
    <t>A01004-381809-5</t>
  </si>
  <si>
    <t>A27073-381809-1</t>
  </si>
  <si>
    <t>A41100-381809-1</t>
  </si>
  <si>
    <t>A01002-381909-1</t>
  </si>
  <si>
    <t>A01002-381909-4</t>
  </si>
  <si>
    <t>A01002-381909-3</t>
  </si>
  <si>
    <t>A01002-381909-5</t>
  </si>
  <si>
    <t>A01003-381909-1</t>
  </si>
  <si>
    <t>A01003-381909-4</t>
  </si>
  <si>
    <t>A01003-381909-3</t>
  </si>
  <si>
    <t>A01003-381909-5</t>
  </si>
  <si>
    <t>A01001-381909-1</t>
  </si>
  <si>
    <t>A01001-381909-4</t>
  </si>
  <si>
    <t>A01001-381909-3</t>
  </si>
  <si>
    <t>A01001-381909-5</t>
  </si>
  <si>
    <t>A04039-381909-1</t>
  </si>
  <si>
    <t>A04083-381909-1</t>
  </si>
  <si>
    <t>Granel</t>
  </si>
  <si>
    <t>SKU</t>
  </si>
  <si>
    <t>Lote</t>
  </si>
  <si>
    <t>Fecha de proceso</t>
  </si>
  <si>
    <t>Llave_Base_Consulta</t>
  </si>
  <si>
    <t>Ocurrencia_Consulta</t>
  </si>
  <si>
    <t>Llave_Embarque_Consulta</t>
  </si>
  <si>
    <t>Archivo_Origen</t>
  </si>
  <si>
    <t>Chanitos Cha Cha Cha 22XU CP26 Mar Kodawari</t>
  </si>
  <si>
    <t>CPR03117</t>
  </si>
  <si>
    <t>A01001-012912-1</t>
  </si>
  <si>
    <t>16667</t>
  </si>
  <si>
    <t>Programa Embarques 2026 S-01.xlsx</t>
  </si>
  <si>
    <t>A01001-012912-4</t>
  </si>
  <si>
    <t>A01001-012912-3</t>
  </si>
  <si>
    <t>A01001-012912-5</t>
  </si>
  <si>
    <t>A04084-012912-1</t>
  </si>
  <si>
    <t>16130</t>
  </si>
  <si>
    <t>A01002-012912-1</t>
  </si>
  <si>
    <t>16093</t>
  </si>
  <si>
    <t>A11045-012912-1</t>
  </si>
  <si>
    <t>16315</t>
  </si>
  <si>
    <t>A11092-012912-1</t>
  </si>
  <si>
    <t>16316</t>
  </si>
  <si>
    <t>A01004-012912-1</t>
  </si>
  <si>
    <t>Chanitos Snack</t>
  </si>
  <si>
    <t>CDS06124</t>
  </si>
  <si>
    <t>A01001-013012-1</t>
  </si>
  <si>
    <t>16314</t>
  </si>
  <si>
    <t>A01001-013012-4</t>
  </si>
  <si>
    <t>A01001-013012-3</t>
  </si>
  <si>
    <t>A01001-013012-5</t>
  </si>
  <si>
    <t>A01002-013012-1</t>
  </si>
  <si>
    <t>16098</t>
  </si>
  <si>
    <t>A04084-013012-1</t>
  </si>
  <si>
    <t>16681</t>
  </si>
  <si>
    <t>A26077-013012-1</t>
  </si>
  <si>
    <t>16840</t>
  </si>
  <si>
    <t>A01004-013012-1</t>
  </si>
  <si>
    <t>A11087-013012-1</t>
  </si>
  <si>
    <t>A27073-013012-1</t>
  </si>
  <si>
    <t>15769</t>
  </si>
  <si>
    <t>A27073-010201-1</t>
  </si>
  <si>
    <t>16104</t>
  </si>
  <si>
    <t>A01002-010201-1</t>
  </si>
  <si>
    <t>A01001-010201-1</t>
  </si>
  <si>
    <t>A01001-010201-4</t>
  </si>
  <si>
    <t>A01001-010201-3</t>
  </si>
  <si>
    <t>A01001-010201-5</t>
  </si>
  <si>
    <t>A01002-010201-4</t>
  </si>
  <si>
    <t>A01002-010201-3</t>
  </si>
  <si>
    <t>A01002-010201-5</t>
  </si>
  <si>
    <t>A01003-010201-1</t>
  </si>
  <si>
    <t>16673</t>
  </si>
  <si>
    <t>16675</t>
  </si>
  <si>
    <t>A01003-010201-4</t>
  </si>
  <si>
    <t>A01003-010201-5</t>
  </si>
  <si>
    <t>A05041-010301-1</t>
  </si>
  <si>
    <t>A05 041 Plataneros Unidos 2</t>
  </si>
  <si>
    <t>17208</t>
  </si>
  <si>
    <t>A05042-010301-1</t>
  </si>
  <si>
    <t>A01003-010301-1</t>
  </si>
  <si>
    <t>16831</t>
  </si>
  <si>
    <t>A01003-010301-4</t>
  </si>
  <si>
    <t>A01003-010301-3</t>
  </si>
  <si>
    <t>A01003-010301-5</t>
  </si>
  <si>
    <t>A01001-010301-1</t>
  </si>
  <si>
    <t>16829</t>
  </si>
  <si>
    <t>A01001-010301-4</t>
  </si>
  <si>
    <t>A01001-010301-3</t>
  </si>
  <si>
    <t>A01001-010301-5</t>
  </si>
  <si>
    <t>A01002-010301-1</t>
  </si>
  <si>
    <t>A01002-010301-4</t>
  </si>
  <si>
    <t>A01002-010301-3</t>
  </si>
  <si>
    <t>A01002-010301-5</t>
  </si>
  <si>
    <t>A04084-020501-1</t>
  </si>
  <si>
    <t>17065</t>
  </si>
  <si>
    <t>Programa Embarques 2026 S-02.xlsx</t>
  </si>
  <si>
    <t>A01002-020501-1</t>
  </si>
  <si>
    <t>16962</t>
  </si>
  <si>
    <t>A01002-020501-4</t>
  </si>
  <si>
    <t>A01002-020501-3</t>
  </si>
  <si>
    <t>A01002-020501-5</t>
  </si>
  <si>
    <t>A01003-020501-1</t>
  </si>
  <si>
    <t>16956</t>
  </si>
  <si>
    <t>A01003-020501-4</t>
  </si>
  <si>
    <t>A01003-020501-3</t>
  </si>
  <si>
    <t>A01003-020501-5</t>
  </si>
  <si>
    <t>A01001-020501-1</t>
  </si>
  <si>
    <t>17230</t>
  </si>
  <si>
    <t>A01001-020501-4</t>
  </si>
  <si>
    <t>A01001-020501-3</t>
  </si>
  <si>
    <t>A01001-020501-5</t>
  </si>
  <si>
    <t>A27073-020501-1</t>
  </si>
  <si>
    <t>16101</t>
  </si>
  <si>
    <t>A04084-020601-1</t>
  </si>
  <si>
    <t>17043</t>
  </si>
  <si>
    <t>A01002-020601-1</t>
  </si>
  <si>
    <t>17044</t>
  </si>
  <si>
    <t>17053</t>
  </si>
  <si>
    <t>A01002-020601-4</t>
  </si>
  <si>
    <t>A01002-020601-3</t>
  </si>
  <si>
    <t>A01002-020601-5</t>
  </si>
  <si>
    <t>A01004-020601-1</t>
  </si>
  <si>
    <t>A26077-020601-1</t>
  </si>
  <si>
    <t>17139</t>
  </si>
  <si>
    <t>A11056-020601-1</t>
  </si>
  <si>
    <t>A01001-020601-1</t>
  </si>
  <si>
    <t>17232</t>
  </si>
  <si>
    <t>A01001-020601-4</t>
  </si>
  <si>
    <t>A01001-020601-3</t>
  </si>
  <si>
    <t>A01001-020601-5</t>
  </si>
  <si>
    <t>A01004-020601-4</t>
  </si>
  <si>
    <t>A01004-020601-3</t>
  </si>
  <si>
    <t>A01004-020601-5</t>
  </si>
  <si>
    <t>A01001-020701-1</t>
  </si>
  <si>
    <t>A01001-020701-4</t>
  </si>
  <si>
    <t>A01001-020701-3</t>
  </si>
  <si>
    <t>A01001-020701-5</t>
  </si>
  <si>
    <t>A01002-020701-1</t>
  </si>
  <si>
    <t>17126</t>
  </si>
  <si>
    <t>A01002-020701-4</t>
  </si>
  <si>
    <t>A01002-020701-3</t>
  </si>
  <si>
    <t>A01002-020701-5</t>
  </si>
  <si>
    <t>A11092-020701-1</t>
  </si>
  <si>
    <t>17224</t>
  </si>
  <si>
    <t>A04084-020701-1</t>
  </si>
  <si>
    <t>A01004-020701-1</t>
  </si>
  <si>
    <t>A01004-020701-4</t>
  </si>
  <si>
    <t>A01004-020701-3</t>
  </si>
  <si>
    <t>A01004-020701-5</t>
  </si>
  <si>
    <t>A01001-020801-1</t>
  </si>
  <si>
    <t>A01001-020801-4</t>
  </si>
  <si>
    <t>A01001-020801-3</t>
  </si>
  <si>
    <t>A01001-020801-5</t>
  </si>
  <si>
    <t>A04084-020801-1</t>
  </si>
  <si>
    <t>17129</t>
  </si>
  <si>
    <t>17497</t>
  </si>
  <si>
    <t>A01003-020801-1</t>
  </si>
  <si>
    <t>17131</t>
  </si>
  <si>
    <t>A01003-020801-4</t>
  </si>
  <si>
    <t>A01003-020801-3</t>
  </si>
  <si>
    <t>A01003-020801-5</t>
  </si>
  <si>
    <t>A01003-020901-1</t>
  </si>
  <si>
    <t>A01003-020901-4</t>
  </si>
  <si>
    <t>A01003-020901-3</t>
  </si>
  <si>
    <t>A01003-020901-5</t>
  </si>
  <si>
    <t>Chanitos Premium Tarima Chep Banda 3b</t>
  </si>
  <si>
    <t>CPR03123</t>
  </si>
  <si>
    <t>A01002-031201-1</t>
  </si>
  <si>
    <t>Programa Embarques 2026 S-03.xlsx</t>
  </si>
  <si>
    <t>A01002-031201-4</t>
  </si>
  <si>
    <t>A01002-031201-3</t>
  </si>
  <si>
    <t>A01002-031201-5</t>
  </si>
  <si>
    <t>A01004-031201-1</t>
  </si>
  <si>
    <t>A01004-031201-4</t>
  </si>
  <si>
    <t>A01004-031201-5</t>
  </si>
  <si>
    <t>A27073-031201-1</t>
  </si>
  <si>
    <t>16103</t>
  </si>
  <si>
    <t>A01001-031201-1</t>
  </si>
  <si>
    <t>17919</t>
  </si>
  <si>
    <t>A01001-031201-4</t>
  </si>
  <si>
    <t>A01001-031201-3</t>
  </si>
  <si>
    <t>A01001-031201-5</t>
  </si>
  <si>
    <t>A04084-031201-1</t>
  </si>
  <si>
    <t>17754</t>
  </si>
  <si>
    <t>17756</t>
  </si>
  <si>
    <t>17881</t>
  </si>
  <si>
    <t>A01002-031301-1</t>
  </si>
  <si>
    <t>A01002-031301-4</t>
  </si>
  <si>
    <t>A01002-031301-3</t>
  </si>
  <si>
    <t>A01002-031301-5</t>
  </si>
  <si>
    <t>A01001-031301-1</t>
  </si>
  <si>
    <t>18147</t>
  </si>
  <si>
    <t>17988</t>
  </si>
  <si>
    <t>17905</t>
  </si>
  <si>
    <t>A01001-031301-4</t>
  </si>
  <si>
    <t>A01001-031301-3</t>
  </si>
  <si>
    <t>A01001-031301-5</t>
  </si>
  <si>
    <t>A11045-031301-1</t>
  </si>
  <si>
    <t>17918</t>
  </si>
  <si>
    <t>A11092-031301-1</t>
  </si>
  <si>
    <t>A01003-031301-1</t>
  </si>
  <si>
    <t>17900</t>
  </si>
  <si>
    <t>A01003-031301-4</t>
  </si>
  <si>
    <t>A01003-031301-3</t>
  </si>
  <si>
    <t>A01003-031301-5</t>
  </si>
  <si>
    <t>A04084-031301-1</t>
  </si>
  <si>
    <t>17876</t>
  </si>
  <si>
    <t>A01002-031401-1</t>
  </si>
  <si>
    <t>17989</t>
  </si>
  <si>
    <t>A01002-031401-4</t>
  </si>
  <si>
    <t>A01002-031401-3</t>
  </si>
  <si>
    <t>A01002-031401-5</t>
  </si>
  <si>
    <t>A11087-031401-1</t>
  </si>
  <si>
    <t>A01003-031401-1</t>
  </si>
  <si>
    <t>18022</t>
  </si>
  <si>
    <t>17907</t>
  </si>
  <si>
    <t>18016</t>
  </si>
  <si>
    <t>A01003-031401-4</t>
  </si>
  <si>
    <t>A01003-031401-3</t>
  </si>
  <si>
    <t>A01003-031401-5</t>
  </si>
  <si>
    <t>A04084-031401-1</t>
  </si>
  <si>
    <t>A01001-031401-1</t>
  </si>
  <si>
    <t>A01001-031401-4</t>
  </si>
  <si>
    <t>A01001-031401-3</t>
  </si>
  <si>
    <t>A01001-031401-5</t>
  </si>
  <si>
    <t>A04084-031501-1</t>
  </si>
  <si>
    <t>18086</t>
  </si>
  <si>
    <t>A36090-031501-1</t>
  </si>
  <si>
    <t>18021</t>
  </si>
  <si>
    <t>A01001-031501-1</t>
  </si>
  <si>
    <t>18015</t>
  </si>
  <si>
    <t>A01001-031501-4</t>
  </si>
  <si>
    <t>A01001-031501-3</t>
  </si>
  <si>
    <t>A01001-031501-5</t>
  </si>
  <si>
    <t>A01003-031501-1</t>
  </si>
  <si>
    <t>A01003-031501-4</t>
  </si>
  <si>
    <t>A01003-031501-3</t>
  </si>
  <si>
    <t>A01003-031501-5</t>
  </si>
  <si>
    <t>A26077-031501-1</t>
  </si>
  <si>
    <t>A01002-031501-1</t>
  </si>
  <si>
    <t>18090</t>
  </si>
  <si>
    <t>A01002-031501-4</t>
  </si>
  <si>
    <t>A01002-031501-3</t>
  </si>
  <si>
    <t>A01002-031501-5</t>
  </si>
  <si>
    <t>A25022-031601-1</t>
  </si>
  <si>
    <t>18227</t>
  </si>
  <si>
    <t>A04084-031601-1</t>
  </si>
  <si>
    <t>A01002-031601-1</t>
  </si>
  <si>
    <t>Chanitos (DS) Granel Carton y Sello Premium</t>
  </si>
  <si>
    <t>A01002-031601-5</t>
  </si>
  <si>
    <t>A01002-031601-4</t>
  </si>
  <si>
    <t>A01002-031601-3</t>
  </si>
  <si>
    <t>Marketside</t>
  </si>
  <si>
    <t>23</t>
  </si>
  <si>
    <t>4</t>
  </si>
  <si>
    <t>0</t>
  </si>
  <si>
    <t>A27073-041901-1</t>
  </si>
  <si>
    <t>16726</t>
  </si>
  <si>
    <t>Programa Embarques 2026 S-04.xlsx</t>
  </si>
  <si>
    <t>A01003-041901-1</t>
  </si>
  <si>
    <t>18495</t>
  </si>
  <si>
    <t>A01003-041901-4</t>
  </si>
  <si>
    <t>A01003-041901-3</t>
  </si>
  <si>
    <t>A01003-041901-5</t>
  </si>
  <si>
    <t>A04084-041901-1</t>
  </si>
  <si>
    <t>18472</t>
  </si>
  <si>
    <t>A11045-041901-1</t>
  </si>
  <si>
    <t>18498</t>
  </si>
  <si>
    <t>A01001-041901-1</t>
  </si>
  <si>
    <t>18682</t>
  </si>
  <si>
    <t>A01001-041901-4</t>
  </si>
  <si>
    <t>A01001-041901-3</t>
  </si>
  <si>
    <t>A01001-041901-5</t>
  </si>
  <si>
    <t>A01002-041901-1</t>
  </si>
  <si>
    <t>18473</t>
  </si>
  <si>
    <t>A01002-041901-4</t>
  </si>
  <si>
    <t>A01002-041901-3</t>
  </si>
  <si>
    <t>A01002-041901-5</t>
  </si>
  <si>
    <t>A11045-042001-1</t>
  </si>
  <si>
    <t>A11092-042001-1</t>
  </si>
  <si>
    <t>18605</t>
  </si>
  <si>
    <t>A26077-042001-1</t>
  </si>
  <si>
    <t>A01002-042001-1</t>
  </si>
  <si>
    <t>A01002-042001-4</t>
  </si>
  <si>
    <t>A01002-042001-3</t>
  </si>
  <si>
    <t>A01002-042001-5</t>
  </si>
  <si>
    <t>A01001-042001-1</t>
  </si>
  <si>
    <t>18683</t>
  </si>
  <si>
    <t>A01001-042001-4</t>
  </si>
  <si>
    <t>A01001-042001-3</t>
  </si>
  <si>
    <t>A01001-042001-5</t>
  </si>
  <si>
    <t>A01004-042001-1</t>
  </si>
  <si>
    <t>A01004-042001-4</t>
  </si>
  <si>
    <t>A01004-042001-5</t>
  </si>
  <si>
    <t>A04084-042001-1</t>
  </si>
  <si>
    <t>18604</t>
  </si>
  <si>
    <t>A01002-042101-1</t>
  </si>
  <si>
    <t>18607</t>
  </si>
  <si>
    <t>18621</t>
  </si>
  <si>
    <t>A01002-042101-4</t>
  </si>
  <si>
    <t>A01002-042101-3</t>
  </si>
  <si>
    <t>A01002-042101-5</t>
  </si>
  <si>
    <t>A25022-042101-1</t>
  </si>
  <si>
    <t>18691</t>
  </si>
  <si>
    <t>A01001-042101-1</t>
  </si>
  <si>
    <t>A01001-042101-4</t>
  </si>
  <si>
    <t>A01001-042101-3</t>
  </si>
  <si>
    <t>A01001-042101-5</t>
  </si>
  <si>
    <t>A01004-042101-1</t>
  </si>
  <si>
    <t>A01004-042101-4</t>
  </si>
  <si>
    <t>A01004-042101-5</t>
  </si>
  <si>
    <t>A04084-042101-1</t>
  </si>
  <si>
    <t>18620</t>
  </si>
  <si>
    <t>A01003-042201-1</t>
  </si>
  <si>
    <t>18614</t>
  </si>
  <si>
    <t>A01003-042201-4</t>
  </si>
  <si>
    <t>A01003-042201-3</t>
  </si>
  <si>
    <t>A01003-042201-5</t>
  </si>
  <si>
    <t>A04084-042201-1</t>
  </si>
  <si>
    <t>A25022-042201-1</t>
  </si>
  <si>
    <t>A36090-042201-1</t>
  </si>
  <si>
    <t>A01002-042201-1</t>
  </si>
  <si>
    <t>A01001-042201-1</t>
  </si>
  <si>
    <t>A01001-042201-4</t>
  </si>
  <si>
    <t>A01001-042201-3</t>
  </si>
  <si>
    <t>A01001-042201-5</t>
  </si>
  <si>
    <t>A01002-042201-4</t>
  </si>
  <si>
    <t>A01002-042201-3</t>
  </si>
  <si>
    <t>A01002-042201-5</t>
  </si>
  <si>
    <t>A27073-042301-1</t>
  </si>
  <si>
    <t>17280</t>
  </si>
  <si>
    <t>A01003-042301-1</t>
  </si>
  <si>
    <t>A01003-042301-4</t>
  </si>
  <si>
    <t>A01003-042301-3</t>
  </si>
  <si>
    <t>A01003-042301-5</t>
  </si>
  <si>
    <t>A36090-042301-1</t>
  </si>
  <si>
    <t>18773</t>
  </si>
  <si>
    <t>A04084-042301-1</t>
  </si>
  <si>
    <t>18771</t>
  </si>
  <si>
    <t>A01003-042401-1</t>
  </si>
  <si>
    <t>18772</t>
  </si>
  <si>
    <t>18774</t>
  </si>
  <si>
    <t>A01003-042401-4</t>
  </si>
  <si>
    <t>A01003-042401-3</t>
  </si>
  <si>
    <t>A01003-042401-5</t>
  </si>
  <si>
    <t>24</t>
  </si>
  <si>
    <t>0.35</t>
  </si>
  <si>
    <t>A01004-052601-1</t>
  </si>
  <si>
    <t>18888</t>
  </si>
  <si>
    <t>Programa Embarques 2026 S-05.xlsx</t>
  </si>
  <si>
    <t>19343</t>
  </si>
  <si>
    <t>A01004-052601-4</t>
  </si>
  <si>
    <t>A01004-052601-5</t>
  </si>
  <si>
    <t>A04084-052601-1</t>
  </si>
  <si>
    <t>18891</t>
  </si>
  <si>
    <t>A01002-052601-1</t>
  </si>
  <si>
    <t>18892</t>
  </si>
  <si>
    <t>A27073-052601-1</t>
  </si>
  <si>
    <t>16107</t>
  </si>
  <si>
    <t>A01001-052601-1</t>
  </si>
  <si>
    <t>19622</t>
  </si>
  <si>
    <t>A01001-052601-4</t>
  </si>
  <si>
    <t>A01001-052601-3</t>
  </si>
  <si>
    <t>A01001-052601-5</t>
  </si>
  <si>
    <t>A01002-052601-4</t>
  </si>
  <si>
    <t>A01002-052601-3</t>
  </si>
  <si>
    <t>A01002-052601-5</t>
  </si>
  <si>
    <t>A04084-052701-1</t>
  </si>
  <si>
    <t>19348</t>
  </si>
  <si>
    <t>A01002-052701-1</t>
  </si>
  <si>
    <t>19366</t>
  </si>
  <si>
    <t>19342</t>
  </si>
  <si>
    <t>A01002-052701-4</t>
  </si>
  <si>
    <t>A01002-052701-3</t>
  </si>
  <si>
    <t>A01002-052701-5</t>
  </si>
  <si>
    <t>A01004-052701-1</t>
  </si>
  <si>
    <t>A01004-052701-4</t>
  </si>
  <si>
    <t>A01004-052701-5</t>
  </si>
  <si>
    <t>A11087-052701-1</t>
  </si>
  <si>
    <t>19368</t>
  </si>
  <si>
    <t>A11045-052701-1</t>
  </si>
  <si>
    <t>A01001-052701-1</t>
  </si>
  <si>
    <t>A01001-052701-4</t>
  </si>
  <si>
    <t>A01001-052701-3</t>
  </si>
  <si>
    <t>A01001-052701-5</t>
  </si>
  <si>
    <t>A01002-052801-1</t>
  </si>
  <si>
    <t>A01002-052801-4</t>
  </si>
  <si>
    <t>A01002-052801-3</t>
  </si>
  <si>
    <t>A01002-052801-5</t>
  </si>
  <si>
    <t>A01001-052801-1</t>
  </si>
  <si>
    <t>A01001-052801-4</t>
  </si>
  <si>
    <t>A01001-052801-3</t>
  </si>
  <si>
    <t>A01001-052801-5</t>
  </si>
  <si>
    <t>A26077-052801-1</t>
  </si>
  <si>
    <t>A04084-052801-1</t>
  </si>
  <si>
    <t>A01003-052801-1</t>
  </si>
  <si>
    <t>A01003-052801-4</t>
  </si>
  <si>
    <t>A01003-052801-3</t>
  </si>
  <si>
    <t>A01003-052801-5</t>
  </si>
  <si>
    <t>A01003-052901-1</t>
  </si>
  <si>
    <t>19389</t>
  </si>
  <si>
    <t>A01003-052901-4</t>
  </si>
  <si>
    <t>A01003-052901-3</t>
  </si>
  <si>
    <t>A01003-052901-5</t>
  </si>
  <si>
    <t>A01001-052901-1</t>
  </si>
  <si>
    <t>19647</t>
  </si>
  <si>
    <t>A01001-052901-4</t>
  </si>
  <si>
    <t>A01001-052901-3</t>
  </si>
  <si>
    <t>A01001-052901-5</t>
  </si>
  <si>
    <t>A01002-052901-1</t>
  </si>
  <si>
    <t>19401</t>
  </si>
  <si>
    <t>19402</t>
  </si>
  <si>
    <t>A01002-052901-4</t>
  </si>
  <si>
    <t>A01002-052901-3</t>
  </si>
  <si>
    <t>A01002-052901-5</t>
  </si>
  <si>
    <t>A04084-052901-1</t>
  </si>
  <si>
    <t>A25031-053001-1</t>
  </si>
  <si>
    <t>19752</t>
  </si>
  <si>
    <t>A01003-053001-1</t>
  </si>
  <si>
    <t>19521</t>
  </si>
  <si>
    <t>19525</t>
  </si>
  <si>
    <t>A01003-053001-4</t>
  </si>
  <si>
    <t>A01003-053001-3</t>
  </si>
  <si>
    <t>A01003-053001-5</t>
  </si>
  <si>
    <t>A04084-053001-1</t>
  </si>
  <si>
    <t>A01002-053001-1</t>
  </si>
  <si>
    <t>A01002-053001-4</t>
  </si>
  <si>
    <t>A01002-053001-3</t>
  </si>
  <si>
    <t>A01002-053001-5</t>
  </si>
  <si>
    <t>A25022-053101-1</t>
  </si>
  <si>
    <t>A01003-053101-1</t>
  </si>
  <si>
    <t>A01003-053101-4</t>
  </si>
  <si>
    <t>A01003-053101-3</t>
  </si>
  <si>
    <t>A01003-053101-5</t>
  </si>
  <si>
    <t>A01004-070902-1</t>
  </si>
  <si>
    <t>20558</t>
  </si>
  <si>
    <t>Programa Embarques 2026 S-07.xlsx</t>
  </si>
  <si>
    <t>20953</t>
  </si>
  <si>
    <t>A01004-070902-4</t>
  </si>
  <si>
    <t>A01004-070902-3</t>
  </si>
  <si>
    <t>A01004-070902-5</t>
  </si>
  <si>
    <t>A11045-070902-1</t>
  </si>
  <si>
    <t>21162</t>
  </si>
  <si>
    <t>A01001-070902-1</t>
  </si>
  <si>
    <t>20411</t>
  </si>
  <si>
    <t>A01001-070902-4</t>
  </si>
  <si>
    <t>A01001-070902-3</t>
  </si>
  <si>
    <t>A01001-070902-5</t>
  </si>
  <si>
    <t>A01002-070902-1</t>
  </si>
  <si>
    <t>20561</t>
  </si>
  <si>
    <t>20438</t>
  </si>
  <si>
    <t>A01002-070902-4</t>
  </si>
  <si>
    <t>A01002-070902-3</t>
  </si>
  <si>
    <t>A01002-070902-5</t>
  </si>
  <si>
    <t>A27073-070902-1</t>
  </si>
  <si>
    <t>18866</t>
  </si>
  <si>
    <t>A01004-071002-1</t>
  </si>
  <si>
    <t>20559</t>
  </si>
  <si>
    <t>A01004-071002-4</t>
  </si>
  <si>
    <t>A01004-071002-5</t>
  </si>
  <si>
    <t>A11045-071002-1</t>
  </si>
  <si>
    <t>A11045-071102-1</t>
  </si>
  <si>
    <t>21255</t>
  </si>
  <si>
    <t>A26077-071102-1</t>
  </si>
  <si>
    <t>A25067-071002-1</t>
  </si>
  <si>
    <t>A26077-071002-1</t>
  </si>
  <si>
    <t>A04084-071002-1</t>
  </si>
  <si>
    <t>20436</t>
  </si>
  <si>
    <t>A01002-071002-1</t>
  </si>
  <si>
    <t>20562</t>
  </si>
  <si>
    <t>21244</t>
  </si>
  <si>
    <t>A01002-071002-4</t>
  </si>
  <si>
    <t>A01002-071002-3</t>
  </si>
  <si>
    <t>A01002-071002-5</t>
  </si>
  <si>
    <t>A01001-071002-1</t>
  </si>
  <si>
    <t>A01001-071002-4</t>
  </si>
  <si>
    <t>A01001-071002-3</t>
  </si>
  <si>
    <t>A01001-071002-5</t>
  </si>
  <si>
    <t>A01002-071102-1</t>
  </si>
  <si>
    <t>21267</t>
  </si>
  <si>
    <t>A01002-071102-4</t>
  </si>
  <si>
    <t>A01002-071102-3</t>
  </si>
  <si>
    <t>A01002-071102-5</t>
  </si>
  <si>
    <t>A01003-071102-1</t>
  </si>
  <si>
    <t>A01003-071102-4</t>
  </si>
  <si>
    <t>A01003-071102-3</t>
  </si>
  <si>
    <t>A01003-071102-5</t>
  </si>
  <si>
    <t>A04084-071102-1</t>
  </si>
  <si>
    <t>20567</t>
  </si>
  <si>
    <t>A25067-071102-1</t>
  </si>
  <si>
    <t>A01001-071102-1</t>
  </si>
  <si>
    <t>21694</t>
  </si>
  <si>
    <t>A01001-071102-4</t>
  </si>
  <si>
    <t>A01001-071102-3</t>
  </si>
  <si>
    <t>A01001-071102-5</t>
  </si>
  <si>
    <t>A04084-071202-1</t>
  </si>
  <si>
    <t>A01002-071202-1</t>
  </si>
  <si>
    <t>21253</t>
  </si>
  <si>
    <t>A01002-071202-4</t>
  </si>
  <si>
    <t>A01002-071202-3</t>
  </si>
  <si>
    <t>A01002-071202-5</t>
  </si>
  <si>
    <t>A01003-071202-1</t>
  </si>
  <si>
    <t>21593</t>
  </si>
  <si>
    <t>A01003-071202-4</t>
  </si>
  <si>
    <t>A01003-071202-3</t>
  </si>
  <si>
    <t>A01003-071202-5</t>
  </si>
  <si>
    <t>A25031-071202-1</t>
  </si>
  <si>
    <t>A01001-071202-1</t>
  </si>
  <si>
    <t>A01001-071202-4</t>
  </si>
  <si>
    <t>A01001-071202-3</t>
  </si>
  <si>
    <t>A01001-071202-5</t>
  </si>
  <si>
    <t>A04084-071302-1</t>
  </si>
  <si>
    <t>A01002-071302-1</t>
  </si>
  <si>
    <t>21417</t>
  </si>
  <si>
    <t>A01002-071302-4</t>
  </si>
  <si>
    <t>A01002-071302-3</t>
  </si>
  <si>
    <t>A01002-071302-5</t>
  </si>
  <si>
    <t>A01003-071302-1</t>
  </si>
  <si>
    <t>21416</t>
  </si>
  <si>
    <t>A01003-071302-4</t>
  </si>
  <si>
    <t>A01003-071302-3</t>
  </si>
  <si>
    <t>A01003-071302-5</t>
  </si>
  <si>
    <t>A25031-071402-1</t>
  </si>
  <si>
    <t>21732</t>
  </si>
  <si>
    <t>A04084-071402-1</t>
  </si>
  <si>
    <t>A01003-081602-1</t>
  </si>
  <si>
    <t>21828</t>
  </si>
  <si>
    <t>Programa Embarques 2026 S-08.xlsx</t>
  </si>
  <si>
    <t>21839</t>
  </si>
  <si>
    <t>A01003-081602-4</t>
  </si>
  <si>
    <t>A01003-081602-3</t>
  </si>
  <si>
    <t>A01003-081602-5</t>
  </si>
  <si>
    <t>A11045-081602-1</t>
  </si>
  <si>
    <t>21842</t>
  </si>
  <si>
    <t>A01001-081602-1</t>
  </si>
  <si>
    <t>22143</t>
  </si>
  <si>
    <t>A01001-081602-4</t>
  </si>
  <si>
    <t>A01001-081602-3</t>
  </si>
  <si>
    <t>A01001-081602-5</t>
  </si>
  <si>
    <t>A27073-081602-1</t>
  </si>
  <si>
    <t>21697</t>
  </si>
  <si>
    <t>A01003-081702-1</t>
  </si>
  <si>
    <t>A01003-081702-4</t>
  </si>
  <si>
    <t>A01003-081702-3</t>
  </si>
  <si>
    <t>A01003-081702-5</t>
  </si>
  <si>
    <t>A01002-081702-1</t>
  </si>
  <si>
    <t>21924</t>
  </si>
  <si>
    <t>21925</t>
  </si>
  <si>
    <t>21948</t>
  </si>
  <si>
    <t>A01002-081702-4</t>
  </si>
  <si>
    <t>A01002-081702-3</t>
  </si>
  <si>
    <t>A01002-081702-5</t>
  </si>
  <si>
    <t>A11045-081702-1</t>
  </si>
  <si>
    <t>A01001-081702-1</t>
  </si>
  <si>
    <t>22155</t>
  </si>
  <si>
    <t>A01001-081702-4</t>
  </si>
  <si>
    <t>A01001-081702-3</t>
  </si>
  <si>
    <t>A01001-081702-5</t>
  </si>
  <si>
    <t>A26077-081702-1</t>
  </si>
  <si>
    <t>A04084-081702-1</t>
  </si>
  <si>
    <t>A25067-081702-1</t>
  </si>
  <si>
    <t>21945</t>
  </si>
  <si>
    <t>A04084-081802-1</t>
  </si>
  <si>
    <t>21941</t>
  </si>
  <si>
    <t>A01002-081802-1</t>
  </si>
  <si>
    <t>22234</t>
  </si>
  <si>
    <t>22235</t>
  </si>
  <si>
    <t>A01002-081802-4</t>
  </si>
  <si>
    <t>A01002-081802-3</t>
  </si>
  <si>
    <t>A01002-081802-5</t>
  </si>
  <si>
    <t>A25067-081802-1</t>
  </si>
  <si>
    <t>A01004-081802-1</t>
  </si>
  <si>
    <t>22175</t>
  </si>
  <si>
    <t>21953</t>
  </si>
  <si>
    <t>A01004-081802-4</t>
  </si>
  <si>
    <t>A01004-081802-3</t>
  </si>
  <si>
    <t>A01004-081802-5</t>
  </si>
  <si>
    <t>A11045-081802-1</t>
  </si>
  <si>
    <t>A11056-081802-1</t>
  </si>
  <si>
    <t>22070</t>
  </si>
  <si>
    <t>A01001-081802-1</t>
  </si>
  <si>
    <t>A01001-081802-4</t>
  </si>
  <si>
    <t>A01001-081802-3</t>
  </si>
  <si>
    <t>A01001-081802-5</t>
  </si>
  <si>
    <t>A01002-081902-1</t>
  </si>
  <si>
    <t>A01002-081902-4</t>
  </si>
  <si>
    <t>A01002-081902-3</t>
  </si>
  <si>
    <t>A01002-081902-5</t>
  </si>
  <si>
    <t>A25067-081902-1</t>
  </si>
  <si>
    <t>22344</t>
  </si>
  <si>
    <t>A11045-081902-1</t>
  </si>
  <si>
    <t>A01003-081902-1</t>
  </si>
  <si>
    <t>22179</t>
  </si>
  <si>
    <t>A01003-081902-4</t>
  </si>
  <si>
    <t>A01003-081902-3</t>
  </si>
  <si>
    <t>A01003-081902-5</t>
  </si>
  <si>
    <t>A01001-081902-1</t>
  </si>
  <si>
    <t>22318</t>
  </si>
  <si>
    <t>A01001-081902-4</t>
  </si>
  <si>
    <t>A01001-081902-3</t>
  </si>
  <si>
    <t>A01001-081902-5</t>
  </si>
  <si>
    <t>A04084-081902-1</t>
  </si>
  <si>
    <t>A26077-081902-1</t>
  </si>
  <si>
    <t>A04084-082002-1</t>
  </si>
  <si>
    <t>A25067-082002-1</t>
  </si>
  <si>
    <t>A01002-082002-1</t>
  </si>
  <si>
    <t>22322</t>
  </si>
  <si>
    <t>22481</t>
  </si>
  <si>
    <t>22346</t>
  </si>
  <si>
    <t>A01002-082002-4</t>
  </si>
  <si>
    <t>A01002-082002-3</t>
  </si>
  <si>
    <t>A01002-082002-5</t>
  </si>
  <si>
    <t>A01003-082002-1</t>
  </si>
  <si>
    <t>A01003-082002-4</t>
  </si>
  <si>
    <t>A01003-082002-3</t>
  </si>
  <si>
    <t>A01003-082002-5</t>
  </si>
  <si>
    <t>A01004-082102-1</t>
  </si>
  <si>
    <t>A01004-082102-4</t>
  </si>
  <si>
    <t>A01004-082102-3</t>
  </si>
  <si>
    <t>A01004-082102-5</t>
  </si>
  <si>
    <t>A25022-082102-1</t>
  </si>
  <si>
    <t>22613</t>
  </si>
  <si>
    <t>A01002-082102-1</t>
  </si>
  <si>
    <t>22614</t>
  </si>
  <si>
    <t>A01002-082102-4</t>
  </si>
  <si>
    <t>A01002-082102-3</t>
  </si>
  <si>
    <t>A01002-082102-5</t>
  </si>
  <si>
    <t>A01001-092302-1</t>
  </si>
  <si>
    <t>22615</t>
  </si>
  <si>
    <t>Programa Embarques 2026 S-09.xlsx</t>
  </si>
  <si>
    <t>A01001-092302-4</t>
  </si>
  <si>
    <t>A01001-092302-3</t>
  </si>
  <si>
    <t>A01001-092302-5</t>
  </si>
  <si>
    <t>A01002-092302-1</t>
  </si>
  <si>
    <t>22616</t>
  </si>
  <si>
    <t>A01002-092302-4</t>
  </si>
  <si>
    <t>A01002-092302-3</t>
  </si>
  <si>
    <t>A01002-092302-5</t>
  </si>
  <si>
    <t>A26077-092302-1</t>
  </si>
  <si>
    <t>21701</t>
  </si>
  <si>
    <t>A11045-092302-1</t>
  </si>
  <si>
    <t>22591</t>
  </si>
  <si>
    <t>A01003-092302-1</t>
  </si>
  <si>
    <t>A01003-092302-4</t>
  </si>
  <si>
    <t>A01003-092302-3</t>
  </si>
  <si>
    <t>A01003-092302-5</t>
  </si>
  <si>
    <t>A26077-092402-1</t>
  </si>
  <si>
    <t>A11045-092402-1</t>
  </si>
  <si>
    <t>22735</t>
  </si>
  <si>
    <t>A01002-092402-1</t>
  </si>
  <si>
    <t>22648</t>
  </si>
  <si>
    <t>22850</t>
  </si>
  <si>
    <t>A01002-092402-4</t>
  </si>
  <si>
    <t>A01002-092402-3</t>
  </si>
  <si>
    <t>A01002-092402-5</t>
  </si>
  <si>
    <t>A01001-092402-1</t>
  </si>
  <si>
    <t>23023</t>
  </si>
  <si>
    <t>A01001-092402-4</t>
  </si>
  <si>
    <t>A01001-092402-3</t>
  </si>
  <si>
    <t>A01001-092402-5</t>
  </si>
  <si>
    <t>A01003-092402-1</t>
  </si>
  <si>
    <t>22734</t>
  </si>
  <si>
    <t>22728</t>
  </si>
  <si>
    <t>A01003-092402-4</t>
  </si>
  <si>
    <t>A01003-092402-3</t>
  </si>
  <si>
    <t>A01003-092402-5</t>
  </si>
  <si>
    <t>A04084-092402-1</t>
  </si>
  <si>
    <t>A11087-092502-1</t>
  </si>
  <si>
    <t>22858</t>
  </si>
  <si>
    <t>A01003-092502-1</t>
  </si>
  <si>
    <t>22852</t>
  </si>
  <si>
    <t>22854</t>
  </si>
  <si>
    <t>22897</t>
  </si>
  <si>
    <t>A01003-092502-4</t>
  </si>
  <si>
    <t>A01003-092502-3</t>
  </si>
  <si>
    <t>A01003-092502-5</t>
  </si>
  <si>
    <t>A25067-092502-1</t>
  </si>
  <si>
    <t>A01001-092502-1</t>
  </si>
  <si>
    <t>22857</t>
  </si>
  <si>
    <t>A01001-092502-4</t>
  </si>
  <si>
    <t>A01001-092502-3</t>
  </si>
  <si>
    <t>A01001-092502-5</t>
  </si>
  <si>
    <t>A04084-092502-1</t>
  </si>
  <si>
    <t>22853</t>
  </si>
  <si>
    <t>A01002-092502-1</t>
  </si>
  <si>
    <t>22650</t>
  </si>
  <si>
    <t>A01002-092502-4</t>
  </si>
  <si>
    <t>A01002-092502-3</t>
  </si>
  <si>
    <t>A01002-092502-5</t>
  </si>
  <si>
    <t>A04084-092602-1</t>
  </si>
  <si>
    <t>22958</t>
  </si>
  <si>
    <t>A01004-092602-1</t>
  </si>
  <si>
    <t>A01004-092602-4</t>
  </si>
  <si>
    <t>A01004-092602-3</t>
  </si>
  <si>
    <t>A01004-092602-5</t>
  </si>
  <si>
    <t>A25067-092602-1</t>
  </si>
  <si>
    <t>A25022-092602-1</t>
  </si>
  <si>
    <t>A01001-092602-1</t>
  </si>
  <si>
    <t>A01001-092602-4</t>
  </si>
  <si>
    <t>A01001-092602-3</t>
  </si>
  <si>
    <t>A01001-092602-5</t>
  </si>
  <si>
    <t>A01002-092602-1</t>
  </si>
  <si>
    <t>22664</t>
  </si>
  <si>
    <t>A01002-092602-4</t>
  </si>
  <si>
    <t>A01002-092602-3</t>
  </si>
  <si>
    <t>A01002-092602-5</t>
  </si>
  <si>
    <t>A3994-092602-1</t>
  </si>
  <si>
    <t>A39 95 Esquipulas</t>
  </si>
  <si>
    <t>23228</t>
  </si>
  <si>
    <t>A01002-092702-1</t>
  </si>
  <si>
    <t>22665</t>
  </si>
  <si>
    <t>A01002-092702-4</t>
  </si>
  <si>
    <t>A01002-092702-3</t>
  </si>
  <si>
    <t>A01002-092702-5</t>
  </si>
  <si>
    <t>A3994-092702-1</t>
  </si>
  <si>
    <t>A25067-092702-1</t>
  </si>
  <si>
    <t>22984</t>
  </si>
  <si>
    <t>A01001-092702-1</t>
  </si>
  <si>
    <t>22668</t>
  </si>
  <si>
    <t>A01001-092702-4</t>
  </si>
  <si>
    <t>A01001-092702-3</t>
  </si>
  <si>
    <t>A01001-092702-5</t>
  </si>
  <si>
    <t>A04084-092702-1</t>
  </si>
  <si>
    <t>23065</t>
  </si>
  <si>
    <t>A01003-092702-1</t>
  </si>
  <si>
    <t>23020</t>
  </si>
  <si>
    <t>23019</t>
  </si>
  <si>
    <t>A01003-092702-4</t>
  </si>
  <si>
    <t>A01003-092702-3</t>
  </si>
  <si>
    <t>A01003-092702-5</t>
  </si>
  <si>
    <t>A04084-092802-1</t>
  </si>
  <si>
    <t>A25022-092802-1</t>
  </si>
  <si>
    <t>23229</t>
  </si>
  <si>
    <t>A25031-092802-1</t>
  </si>
  <si>
    <t>A01004-092802-1</t>
  </si>
  <si>
    <t>22671</t>
  </si>
  <si>
    <t>A01004-092802-4</t>
  </si>
  <si>
    <t>A01004-092802-3</t>
  </si>
  <si>
    <t>A01004-092802-5</t>
  </si>
  <si>
    <t>A25067-092802-1</t>
  </si>
  <si>
    <t>A01001-100203-1</t>
  </si>
  <si>
    <t>23242</t>
  </si>
  <si>
    <t>Programa Embarques 2026 S-10.xlsx</t>
  </si>
  <si>
    <t>A01001-100203-3</t>
  </si>
  <si>
    <t>A01001-100203-4</t>
  </si>
  <si>
    <t>A01001-100203-5</t>
  </si>
  <si>
    <t>A01002-100203-1</t>
  </si>
  <si>
    <t>23385</t>
  </si>
  <si>
    <t>23415</t>
  </si>
  <si>
    <t>A01002-100203-3</t>
  </si>
  <si>
    <t>A01002-100203-4</t>
  </si>
  <si>
    <t>A01002-100203-5</t>
  </si>
  <si>
    <t>A25022-100203-1</t>
  </si>
  <si>
    <t>23386</t>
  </si>
  <si>
    <t>A01003-100203-1</t>
  </si>
  <si>
    <t>23334</t>
  </si>
  <si>
    <t>23335</t>
  </si>
  <si>
    <t>23502</t>
  </si>
  <si>
    <t>A01003-100203-3</t>
  </si>
  <si>
    <t>A01003-100203-4</t>
  </si>
  <si>
    <t>A01003-100203-5</t>
  </si>
  <si>
    <t>A01002-100303-1</t>
  </si>
  <si>
    <t>A01002-100303-3</t>
  </si>
  <si>
    <t>A01002-100303-4</t>
  </si>
  <si>
    <t>A01002-100303-5</t>
  </si>
  <si>
    <t>A04084-100303-1</t>
  </si>
  <si>
    <t>23416</t>
  </si>
  <si>
    <t>A27073-100303-1</t>
  </si>
  <si>
    <t>A11045-100303-1</t>
  </si>
  <si>
    <t>23506</t>
  </si>
  <si>
    <t>A01003-100303-1</t>
  </si>
  <si>
    <t>23441</t>
  </si>
  <si>
    <t>A01003-100303-3</t>
  </si>
  <si>
    <t>A01003-100303-4</t>
  </si>
  <si>
    <t>A01003-100303-5</t>
  </si>
  <si>
    <t>A11056-100303-1</t>
  </si>
  <si>
    <t>A01001-100303-1</t>
  </si>
  <si>
    <t>23593</t>
  </si>
  <si>
    <t>A01001-100303-3</t>
  </si>
  <si>
    <t>A01001-100303-4</t>
  </si>
  <si>
    <t>A01001-100303-5</t>
  </si>
  <si>
    <t>A25022-100403-1</t>
  </si>
  <si>
    <t>23428</t>
  </si>
  <si>
    <t>A01003-100403-1</t>
  </si>
  <si>
    <t>23444</t>
  </si>
  <si>
    <t>23532</t>
  </si>
  <si>
    <t>23531</t>
  </si>
  <si>
    <t>A01003-100403-3</t>
  </si>
  <si>
    <t>A01003-100403-4</t>
  </si>
  <si>
    <t>A01003-100403-5</t>
  </si>
  <si>
    <t>A01002-100403-1</t>
  </si>
  <si>
    <t>23445</t>
  </si>
  <si>
    <t>A01002-100403-3</t>
  </si>
  <si>
    <t>A01002-100403-4</t>
  </si>
  <si>
    <t>A01002-100403-5</t>
  </si>
  <si>
    <t>A01001-100403-1</t>
  </si>
  <si>
    <t>23429</t>
  </si>
  <si>
    <t>A01001-100403-3</t>
  </si>
  <si>
    <t>A01001-100403-4</t>
  </si>
  <si>
    <t>A01001-100403-5</t>
  </si>
  <si>
    <t>A01001-100503-1</t>
  </si>
  <si>
    <t>23550</t>
  </si>
  <si>
    <t>A01001-100503-3</t>
  </si>
  <si>
    <t>A01001-100503-4</t>
  </si>
  <si>
    <t>A01001-100503-5</t>
  </si>
  <si>
    <t>A04084-100503-1</t>
  </si>
  <si>
    <t>23440</t>
  </si>
  <si>
    <t>A39095-100503-1</t>
  </si>
  <si>
    <t>23482</t>
  </si>
  <si>
    <t>A01002-100503-1</t>
  </si>
  <si>
    <t>23437</t>
  </si>
  <si>
    <t>A01002-100503-3</t>
  </si>
  <si>
    <t>A01002-100503-4</t>
  </si>
  <si>
    <t>A01002-100503-5</t>
  </si>
  <si>
    <t>A01003-100503-1</t>
  </si>
  <si>
    <t>23575</t>
  </si>
  <si>
    <t>A01003-100503-3</t>
  </si>
  <si>
    <t>A01003-100503-4</t>
  </si>
  <si>
    <t>A01003-100503-5</t>
  </si>
  <si>
    <t>A27073-100503-1</t>
  </si>
  <si>
    <t>A01002-100603-1</t>
  </si>
  <si>
    <t>23457</t>
  </si>
  <si>
    <t>A01002-100603-3</t>
  </si>
  <si>
    <t>A01002-100603-4</t>
  </si>
  <si>
    <t>A01002-100603-5</t>
  </si>
  <si>
    <t>A01001-100603-1</t>
  </si>
  <si>
    <t>23579</t>
  </si>
  <si>
    <t>A01001-100603-3</t>
  </si>
  <si>
    <t>A01001-100603-4</t>
  </si>
  <si>
    <t>A01001-100603-5</t>
  </si>
  <si>
    <t>A01004-100603-1</t>
  </si>
  <si>
    <t>23943</t>
  </si>
  <si>
    <t>A01004-100603-3</t>
  </si>
  <si>
    <t>A01004-100603-5</t>
  </si>
  <si>
    <t>A01004-100603-4</t>
  </si>
  <si>
    <t>A39095-100603-1</t>
  </si>
  <si>
    <t>A04084-100603-1</t>
  </si>
  <si>
    <t>A25022-100703-1</t>
  </si>
  <si>
    <t>23460</t>
  </si>
  <si>
    <t>A25031-100703-1</t>
  </si>
  <si>
    <t>A04084-100703-1</t>
  </si>
  <si>
    <t>A01002-132303-1</t>
  </si>
  <si>
    <t>25566</t>
  </si>
  <si>
    <t>Programa Embarques 2026 S-13.xlsx</t>
  </si>
  <si>
    <t>25564</t>
  </si>
  <si>
    <t>A11045-132303-1</t>
  </si>
  <si>
    <t>25676</t>
  </si>
  <si>
    <t>A04084-132303-1</t>
  </si>
  <si>
    <t>A01004-132303-1</t>
  </si>
  <si>
    <t>25906 / 25907</t>
  </si>
  <si>
    <t>A01002-132303-4</t>
  </si>
  <si>
    <t>A01002-132303-3</t>
  </si>
  <si>
    <t>A01002-132303-5</t>
  </si>
  <si>
    <t>A01001-132303-4</t>
  </si>
  <si>
    <t>A01001-132303-3</t>
  </si>
  <si>
    <t>A01001-132303-5</t>
  </si>
  <si>
    <t>A01004-132303-4</t>
  </si>
  <si>
    <t>A01004-132303-3</t>
  </si>
  <si>
    <t>A01004-132303-5</t>
  </si>
  <si>
    <t>A01001-132303-1</t>
  </si>
  <si>
    <t>A01003-132403-1</t>
  </si>
  <si>
    <t>25580</t>
  </si>
  <si>
    <t>25671</t>
  </si>
  <si>
    <t>A01003-132403-4</t>
  </si>
  <si>
    <t>A01003-132403-3</t>
  </si>
  <si>
    <t>A01003-132403-5</t>
  </si>
  <si>
    <t>A04084-132403-1</t>
  </si>
  <si>
    <t>A26077-132403-1</t>
  </si>
  <si>
    <t>25677</t>
  </si>
  <si>
    <t>A01001-132403-1</t>
  </si>
  <si>
    <t>26090</t>
  </si>
  <si>
    <t>A01001-132403-4</t>
  </si>
  <si>
    <t>A01001-132403-3</t>
  </si>
  <si>
    <t>A01001-132403-5</t>
  </si>
  <si>
    <t>A01002-132403-1</t>
  </si>
  <si>
    <t>25673</t>
  </si>
  <si>
    <t>25674</t>
  </si>
  <si>
    <t>A01002-132403-4</t>
  </si>
  <si>
    <t>A01002-132403-3</t>
  </si>
  <si>
    <t>A01002-132403-5</t>
  </si>
  <si>
    <t>A01003-132503-1</t>
  </si>
  <si>
    <t>26174</t>
  </si>
  <si>
    <t>25672</t>
  </si>
  <si>
    <t>26176</t>
  </si>
  <si>
    <t>A01003-132503-4</t>
  </si>
  <si>
    <t>A01003-132503-3</t>
  </si>
  <si>
    <t>A01003-132503-5</t>
  </si>
  <si>
    <t>A11056-132503-1</t>
  </si>
  <si>
    <t>A11045-132503-1</t>
  </si>
  <si>
    <t>A04084-132503-1</t>
  </si>
  <si>
    <t>25781</t>
  </si>
  <si>
    <t>A01001-132503-1</t>
  </si>
  <si>
    <t>A01001-132503-4</t>
  </si>
  <si>
    <t>A01001-132503-3</t>
  </si>
  <si>
    <t>A01001-132503-5</t>
  </si>
  <si>
    <t>A01002-132503-1</t>
  </si>
  <si>
    <t>25776</t>
  </si>
  <si>
    <t>A01002-132503-4</t>
  </si>
  <si>
    <t>A01002-132503-3</t>
  </si>
  <si>
    <t>A01002-132503-5</t>
  </si>
  <si>
    <t>A01001-132603-1</t>
  </si>
  <si>
    <t>26175</t>
  </si>
  <si>
    <t>26170</t>
  </si>
  <si>
    <t>A01001-132603-4</t>
  </si>
  <si>
    <t>A01001-132603-3</t>
  </si>
  <si>
    <t>A01001-132603-5</t>
  </si>
  <si>
    <t>A01004-132603-1</t>
  </si>
  <si>
    <t>25777</t>
  </si>
  <si>
    <t>A01004-132603-4</t>
  </si>
  <si>
    <t>A01004-132603-3</t>
  </si>
  <si>
    <t>A01004-132603-5</t>
  </si>
  <si>
    <t>A3994-132603-1</t>
  </si>
  <si>
    <t>25804</t>
  </si>
  <si>
    <t>A04084-132603-1</t>
  </si>
  <si>
    <t>25791</t>
  </si>
  <si>
    <t>A01002-132603-1</t>
  </si>
  <si>
    <t>25782</t>
  </si>
  <si>
    <t>A01002-132603-4</t>
  </si>
  <si>
    <t>A01002-132603-3</t>
  </si>
  <si>
    <t>A01002-132603-5</t>
  </si>
  <si>
    <t>A05041-132703-1</t>
  </si>
  <si>
    <t>26101</t>
  </si>
  <si>
    <t>A25022-132703-1</t>
  </si>
  <si>
    <t>26473</t>
  </si>
  <si>
    <t>A01003-132703-1</t>
  </si>
  <si>
    <t>26173</t>
  </si>
  <si>
    <t>25792</t>
  </si>
  <si>
    <t>A01003-132703-4</t>
  </si>
  <si>
    <t>A01003-132703-3</t>
  </si>
  <si>
    <t>A01003-132703-5</t>
  </si>
  <si>
    <t>A01001-132703-1</t>
  </si>
  <si>
    <t>26641</t>
  </si>
  <si>
    <t>A01001-132703-4</t>
  </si>
  <si>
    <t>A01001-132703-3</t>
  </si>
  <si>
    <t>A01001-132703-5</t>
  </si>
  <si>
    <t>A3994-132703-1</t>
  </si>
  <si>
    <t>A04084-132703-1</t>
  </si>
  <si>
    <t>26614</t>
  </si>
  <si>
    <t>25795</t>
  </si>
  <si>
    <t>A01002-132703-1</t>
  </si>
  <si>
    <t>26265</t>
  </si>
  <si>
    <t>26471</t>
  </si>
  <si>
    <t>A01002-132703-4</t>
  </si>
  <si>
    <t>A01002-132703-3</t>
  </si>
  <si>
    <t>A01002-132703-5</t>
  </si>
  <si>
    <t>A26077-132703-1</t>
  </si>
  <si>
    <t>A01003-132803-1</t>
  </si>
  <si>
    <t>25802</t>
  </si>
  <si>
    <t>A01003-132803-4</t>
  </si>
  <si>
    <t>A01003-132803-3</t>
  </si>
  <si>
    <t>A01003-132803-5</t>
  </si>
  <si>
    <t>A05040-132803-1</t>
  </si>
  <si>
    <t>A11045-132803-1</t>
  </si>
  <si>
    <t>26177</t>
  </si>
  <si>
    <t>A11087-132803-1</t>
  </si>
  <si>
    <t>A25031-132803-1</t>
  </si>
  <si>
    <t>A04084-132803-1</t>
  </si>
  <si>
    <t>A01001-132803-1</t>
  </si>
  <si>
    <t>25796</t>
  </si>
  <si>
    <t>A01001-132803-4</t>
  </si>
  <si>
    <t>A01001-132803-3</t>
  </si>
  <si>
    <t>A01001-132803-5</t>
  </si>
  <si>
    <t>A01002-132803-1</t>
  </si>
  <si>
    <t>25803</t>
  </si>
  <si>
    <t>A01002-132803-4</t>
  </si>
  <si>
    <t>A01002-132803-3</t>
  </si>
  <si>
    <t>A01002-132803-5</t>
  </si>
  <si>
    <t>A11092-121603-1</t>
  </si>
  <si>
    <t>24527</t>
  </si>
  <si>
    <t>Programa Embarques 2026 S-12.xlsx</t>
  </si>
  <si>
    <t>A11045-121603-1</t>
  </si>
  <si>
    <t>24814</t>
  </si>
  <si>
    <t>A04084-121603-1</t>
  </si>
  <si>
    <t>24747</t>
  </si>
  <si>
    <t>A01002-121703-1</t>
  </si>
  <si>
    <t>24595</t>
  </si>
  <si>
    <t>25231</t>
  </si>
  <si>
    <t>A01002-121703-4</t>
  </si>
  <si>
    <t>A01002-121703-3</t>
  </si>
  <si>
    <t>A01002-121703-5</t>
  </si>
  <si>
    <t>A26077-121703-1</t>
  </si>
  <si>
    <t>A11045-121703-1</t>
  </si>
  <si>
    <t>A04084-121703-1</t>
  </si>
  <si>
    <t>A01003-121703-1</t>
  </si>
  <si>
    <t>A01003-121703-4</t>
  </si>
  <si>
    <t>A01003-121703-3</t>
  </si>
  <si>
    <t>A01003-121703-5</t>
  </si>
  <si>
    <t>A01001-121703-1</t>
  </si>
  <si>
    <t>A01001-121703-4</t>
  </si>
  <si>
    <t>A01001-121703-3</t>
  </si>
  <si>
    <t>A01001-121703-5</t>
  </si>
  <si>
    <t>A01003-121803-1</t>
  </si>
  <si>
    <t>24789</t>
  </si>
  <si>
    <t>24968</t>
  </si>
  <si>
    <t>A01003-121803-4</t>
  </si>
  <si>
    <t>A01003-121803-3</t>
  </si>
  <si>
    <t>A01003-121803-5</t>
  </si>
  <si>
    <t>A04084-121803-1</t>
  </si>
  <si>
    <t>A01001-121803-1</t>
  </si>
  <si>
    <t>24785</t>
  </si>
  <si>
    <t>24800</t>
  </si>
  <si>
    <t>A01001-121803-4</t>
  </si>
  <si>
    <t>A01001-121803-3</t>
  </si>
  <si>
    <t>A01001-121803-5</t>
  </si>
  <si>
    <t>A01002-121803-1</t>
  </si>
  <si>
    <t>24971</t>
  </si>
  <si>
    <t>A01002-121803-4</t>
  </si>
  <si>
    <t>A01002-121803-3</t>
  </si>
  <si>
    <t>A01002-121803-5</t>
  </si>
  <si>
    <t>A3995-121903-1</t>
  </si>
  <si>
    <t>24982</t>
  </si>
  <si>
    <t>A01003-121903-1</t>
  </si>
  <si>
    <t>A01003-121903-4</t>
  </si>
  <si>
    <t>A01003-121903-3</t>
  </si>
  <si>
    <t>A01003-121903-5</t>
  </si>
  <si>
    <t>A01002-121903-1</t>
  </si>
  <si>
    <t>24975</t>
  </si>
  <si>
    <t>25508</t>
  </si>
  <si>
    <t>A01002-121903-4</t>
  </si>
  <si>
    <t>A01002-121903-3</t>
  </si>
  <si>
    <t>A01002-121903-5</t>
  </si>
  <si>
    <t>A04084-121903-1</t>
  </si>
  <si>
    <t>A26077-121903-1</t>
  </si>
  <si>
    <t>A01001-121903-1</t>
  </si>
  <si>
    <t>A01001-121903-4</t>
  </si>
  <si>
    <t>A01001-121903-3</t>
  </si>
  <si>
    <t>A01001-121903-5</t>
  </si>
  <si>
    <t>A3995-122003-1</t>
  </si>
  <si>
    <t>A01003-122003-1</t>
  </si>
  <si>
    <t>25513</t>
  </si>
  <si>
    <t>25511</t>
  </si>
  <si>
    <t>A01003-122003-4</t>
  </si>
  <si>
    <t>A01003-122003-3</t>
  </si>
  <si>
    <t>A01003-122003-5</t>
  </si>
  <si>
    <t>A04084-122003-1</t>
  </si>
  <si>
    <t>25895</t>
  </si>
  <si>
    <t>A01001-122003-1</t>
  </si>
  <si>
    <t>25515</t>
  </si>
  <si>
    <t>A01001-122003-4</t>
  </si>
  <si>
    <t>A01001-122003-3</t>
  </si>
  <si>
    <t>A01001-122003-5</t>
  </si>
  <si>
    <t>A01002-122003-1</t>
  </si>
  <si>
    <t>25563</t>
  </si>
  <si>
    <t>25560</t>
  </si>
  <si>
    <t>A01002-122003-4</t>
  </si>
  <si>
    <t>A01002-122003-3</t>
  </si>
  <si>
    <t>A01002-122003-5</t>
  </si>
  <si>
    <t>A01004-122103-1</t>
  </si>
  <si>
    <t>24977</t>
  </si>
  <si>
    <t>A01004-122103-4</t>
  </si>
  <si>
    <t>A01004-122103-3</t>
  </si>
  <si>
    <t>A01004-122103-5</t>
  </si>
  <si>
    <t>A25031-122103-1</t>
  </si>
  <si>
    <t>25577</t>
  </si>
  <si>
    <t>A25022-122103-1</t>
  </si>
  <si>
    <t>A01002-122103-1</t>
  </si>
  <si>
    <t>25765</t>
  </si>
  <si>
    <t>A01002-122103-4</t>
  </si>
  <si>
    <t>A01002-122103-3</t>
  </si>
  <si>
    <t>A01002-122103-5</t>
  </si>
  <si>
    <t>A11045-122103-1</t>
  </si>
  <si>
    <t>25768</t>
  </si>
  <si>
    <t>A11092-122103-1</t>
  </si>
  <si>
    <t>A01001-122103-1</t>
  </si>
  <si>
    <t>A01001-122103-4</t>
  </si>
  <si>
    <t>A01001-122103-3</t>
  </si>
  <si>
    <t>A01001-122103-5</t>
  </si>
  <si>
    <t>A01001-161304-1</t>
  </si>
  <si>
    <t>28373</t>
  </si>
  <si>
    <t>Programa Embarques 2026 S-16.xlsx</t>
  </si>
  <si>
    <t>A01001-161304-4</t>
  </si>
  <si>
    <t>A01001-161304-3</t>
  </si>
  <si>
    <t>A01001-161304-5</t>
  </si>
  <si>
    <t>A01002-161304-1</t>
  </si>
  <si>
    <t>27790</t>
  </si>
  <si>
    <t>28070</t>
  </si>
  <si>
    <t>28061</t>
  </si>
  <si>
    <t>A01002-161304-4</t>
  </si>
  <si>
    <t>A01002-161304-3</t>
  </si>
  <si>
    <t>A01002-161304-5</t>
  </si>
  <si>
    <t>A11056-161304-1</t>
  </si>
  <si>
    <t>27793</t>
  </si>
  <si>
    <t>A11092-161304-1</t>
  </si>
  <si>
    <t>A01003-161304-1</t>
  </si>
  <si>
    <t>27795</t>
  </si>
  <si>
    <t>A01003-161304-4</t>
  </si>
  <si>
    <t>A01003-161304-3</t>
  </si>
  <si>
    <t>A01003-161304-5</t>
  </si>
  <si>
    <t>A11045-161404-1</t>
  </si>
  <si>
    <t>27796</t>
  </si>
  <si>
    <t>A11056-161404-1</t>
  </si>
  <si>
    <t>A04033-161404-1</t>
  </si>
  <si>
    <t>27801</t>
  </si>
  <si>
    <t>A01002-161404-1</t>
  </si>
  <si>
    <t>27806</t>
  </si>
  <si>
    <t>27800</t>
  </si>
  <si>
    <t>A01002-161404-4</t>
  </si>
  <si>
    <t>A01002-161404-3</t>
  </si>
  <si>
    <t>A01002-161404-5</t>
  </si>
  <si>
    <t>A04084-161404-1</t>
  </si>
  <si>
    <t>28197</t>
  </si>
  <si>
    <t>A01003-161404-1</t>
  </si>
  <si>
    <t>A01003-161404-4</t>
  </si>
  <si>
    <t>A01003-161404-3</t>
  </si>
  <si>
    <t>A01003-161404-5</t>
  </si>
  <si>
    <t>A26077-161404-1</t>
  </si>
  <si>
    <t>A01001-161404-1</t>
  </si>
  <si>
    <t>28195</t>
  </si>
  <si>
    <t>A01001-161404-4</t>
  </si>
  <si>
    <t>A01001-161404-3</t>
  </si>
  <si>
    <t>A01001-161404-5</t>
  </si>
  <si>
    <t>A01001-161504-1</t>
  </si>
  <si>
    <t>28374</t>
  </si>
  <si>
    <t>A01001-161504-4</t>
  </si>
  <si>
    <t>A01001-161504-3</t>
  </si>
  <si>
    <t>A01001-161504-5</t>
  </si>
  <si>
    <t>A01002-161504-1</t>
  </si>
  <si>
    <t>28311</t>
  </si>
  <si>
    <t>A01002-161504-4</t>
  </si>
  <si>
    <t>A01002-161504-3</t>
  </si>
  <si>
    <t>A01002-161504-5</t>
  </si>
  <si>
    <t>A01003-161504-1</t>
  </si>
  <si>
    <t>28255</t>
  </si>
  <si>
    <t>28256</t>
  </si>
  <si>
    <t>A01003-161504-4</t>
  </si>
  <si>
    <t>A01003-161504-3</t>
  </si>
  <si>
    <t>A01003-161504-5</t>
  </si>
  <si>
    <t>A04084-161504-1</t>
  </si>
  <si>
    <t>27816</t>
  </si>
  <si>
    <t>A04083-161504-1</t>
  </si>
  <si>
    <t>27807</t>
  </si>
  <si>
    <t>A04084-161604-1</t>
  </si>
  <si>
    <t>28368</t>
  </si>
  <si>
    <t>A04083-161604-1</t>
  </si>
  <si>
    <t>A01001-161604-1</t>
  </si>
  <si>
    <t>28421</t>
  </si>
  <si>
    <t>A01001-161604-4</t>
  </si>
  <si>
    <t>A01001-161604-3</t>
  </si>
  <si>
    <t>A01001-161604-5</t>
  </si>
  <si>
    <t>A01002-161604-1</t>
  </si>
  <si>
    <t>28367</t>
  </si>
  <si>
    <t>28366</t>
  </si>
  <si>
    <t>28361</t>
  </si>
  <si>
    <t>A01002-161604-4</t>
  </si>
  <si>
    <t>A01002-161604-3</t>
  </si>
  <si>
    <t>A01002-161604-5</t>
  </si>
  <si>
    <t>A01004-161604-1</t>
  </si>
  <si>
    <t>27818</t>
  </si>
  <si>
    <t>A01004-161604-4</t>
  </si>
  <si>
    <t>A01004-161604-3</t>
  </si>
  <si>
    <t>A01004-161604-5</t>
  </si>
  <si>
    <t>A01002-161704-1</t>
  </si>
  <si>
    <t>28508</t>
  </si>
  <si>
    <t>A01002-161704-4</t>
  </si>
  <si>
    <t>A01002-161704-3</t>
  </si>
  <si>
    <t>A01002-161704-5</t>
  </si>
  <si>
    <t>A01001-161704-1</t>
  </si>
  <si>
    <t>A01001-161704-4</t>
  </si>
  <si>
    <t>A01001-161704-3</t>
  </si>
  <si>
    <t>A01001-161704-5</t>
  </si>
  <si>
    <t>A04084-161704-1</t>
  </si>
  <si>
    <t>28507</t>
  </si>
  <si>
    <t>A04083-161704-1</t>
  </si>
  <si>
    <t>A27073-161704-1</t>
  </si>
  <si>
    <t>27794</t>
  </si>
  <si>
    <t>A26077-161704-1</t>
  </si>
  <si>
    <t>A01002-161804-1</t>
  </si>
  <si>
    <t>28410</t>
  </si>
  <si>
    <t>A01002-161804-4</t>
  </si>
  <si>
    <t>A01002-161804-3</t>
  </si>
  <si>
    <t>A01002-161804-5</t>
  </si>
  <si>
    <t>A11045-182704-1</t>
  </si>
  <si>
    <t>29741</t>
  </si>
  <si>
    <t>Programa Embarques 2026 S-18.xlsx</t>
  </si>
  <si>
    <t>A01001-182704-1</t>
  </si>
  <si>
    <t>29515</t>
  </si>
  <si>
    <t>29119</t>
  </si>
  <si>
    <t>A01001-182704-4</t>
  </si>
  <si>
    <t>A01001-182704-3</t>
  </si>
  <si>
    <t>A01001-182704-5</t>
  </si>
  <si>
    <t>A01002-182704-1</t>
  </si>
  <si>
    <t>29048</t>
  </si>
  <si>
    <t>29049</t>
  </si>
  <si>
    <t>29733</t>
  </si>
  <si>
    <t>A01002-182704-4</t>
  </si>
  <si>
    <t>A01002-182704-3</t>
  </si>
  <si>
    <t>A01002-182704-5</t>
  </si>
  <si>
    <t>A01003-182704-1</t>
  </si>
  <si>
    <t>29131</t>
  </si>
  <si>
    <t>A01003-182704-4</t>
  </si>
  <si>
    <t>A01003-182704-3</t>
  </si>
  <si>
    <t>A01003-182704-5</t>
  </si>
  <si>
    <t>A11045-182804-1</t>
  </si>
  <si>
    <t>29903</t>
  </si>
  <si>
    <t>A04084-182804-1</t>
  </si>
  <si>
    <t>A01001-182804-1</t>
  </si>
  <si>
    <t>29729</t>
  </si>
  <si>
    <t>29889</t>
  </si>
  <si>
    <t>A01001-182804-4</t>
  </si>
  <si>
    <t>A01001-182804-3</t>
  </si>
  <si>
    <t>A01001-182804-5</t>
  </si>
  <si>
    <t>A01002-182804-1</t>
  </si>
  <si>
    <t>29735</t>
  </si>
  <si>
    <t>29050</t>
  </si>
  <si>
    <t>A01002-182804-4</t>
  </si>
  <si>
    <t>A01002-182804-3</t>
  </si>
  <si>
    <t>A01002-182804-5</t>
  </si>
  <si>
    <t>A01003-182804-1</t>
  </si>
  <si>
    <t>29771</t>
  </si>
  <si>
    <t>29738</t>
  </si>
  <si>
    <t>29739</t>
  </si>
  <si>
    <t>A01003-182804-4</t>
  </si>
  <si>
    <t>A01003-182804-3</t>
  </si>
  <si>
    <t>A01003-182804-5</t>
  </si>
  <si>
    <t>A26077-182804-1</t>
  </si>
  <si>
    <t>A01001-182904-1</t>
  </si>
  <si>
    <t>29051</t>
  </si>
  <si>
    <t>A01001-182904-4</t>
  </si>
  <si>
    <t>A01001-182904-3</t>
  </si>
  <si>
    <t>A01001-182904-5</t>
  </si>
  <si>
    <t>A05041-182904-1</t>
  </si>
  <si>
    <t>A26077-182904-1</t>
  </si>
  <si>
    <t>29564</t>
  </si>
  <si>
    <t>A04084-182904-1</t>
  </si>
  <si>
    <t>A01003-182904-1</t>
  </si>
  <si>
    <t>29052</t>
  </si>
  <si>
    <t>A01003-182904-4</t>
  </si>
  <si>
    <t>A01003-182904-3</t>
  </si>
  <si>
    <t>A01003-182904-5</t>
  </si>
  <si>
    <t>A01002-182904-1</t>
  </si>
  <si>
    <t>29053</t>
  </si>
  <si>
    <t>A01002-182904-4</t>
  </si>
  <si>
    <t>A01002-182904-3</t>
  </si>
  <si>
    <t>A01002-182904-5</t>
  </si>
  <si>
    <t>A04084-183004-1</t>
  </si>
  <si>
    <t>29054</t>
  </si>
  <si>
    <t>A05040-183004-1</t>
  </si>
  <si>
    <t>30118</t>
  </si>
  <si>
    <t>A01004-183004-1</t>
  </si>
  <si>
    <t>A01004-183004-4</t>
  </si>
  <si>
    <t>A01004-183004-3</t>
  </si>
  <si>
    <t>A01004-183004-5</t>
  </si>
  <si>
    <t>A01001-183004-1</t>
  </si>
  <si>
    <t>29056</t>
  </si>
  <si>
    <t>A01001-183004-4</t>
  </si>
  <si>
    <t>A01001-183004-3</t>
  </si>
  <si>
    <t>A01001-183004-5</t>
  </si>
  <si>
    <t>A01002-183004-1</t>
  </si>
  <si>
    <t>29909</t>
  </si>
  <si>
    <t>A01002-183004-4</t>
  </si>
  <si>
    <t>29910</t>
  </si>
  <si>
    <t>A01002-183004-3</t>
  </si>
  <si>
    <t>A01002-183004-5</t>
  </si>
  <si>
    <t>A04083-180105-1</t>
  </si>
  <si>
    <t>30138</t>
  </si>
  <si>
    <t>A04038-180105-1</t>
  </si>
  <si>
    <t>A04084-180105-1</t>
  </si>
  <si>
    <t>29867</t>
  </si>
  <si>
    <t>A27073-180105-1</t>
  </si>
  <si>
    <t>29885</t>
  </si>
  <si>
    <t>A05042-180105-1</t>
  </si>
  <si>
    <t>29057</t>
  </si>
  <si>
    <t>29058</t>
  </si>
  <si>
    <t>A05040-180105-1</t>
  </si>
  <si>
    <t>A04005-180105-1</t>
  </si>
  <si>
    <t>30122</t>
  </si>
  <si>
    <t>A26077-180105-1</t>
  </si>
  <si>
    <t>A04083-180205-1</t>
  </si>
  <si>
    <t>30316</t>
  </si>
  <si>
    <t>A25022-180205-1</t>
  </si>
  <si>
    <t>A01003-180205-1</t>
  </si>
  <si>
    <t>30123</t>
  </si>
  <si>
    <t>30124</t>
  </si>
  <si>
    <t>A01003-180205-4</t>
  </si>
  <si>
    <t>A01003-180205-3</t>
  </si>
  <si>
    <t>A01003-180205-5</t>
  </si>
  <si>
    <t>A01002-180205-1</t>
  </si>
  <si>
    <t>29870</t>
  </si>
  <si>
    <t>A01002-180205-4</t>
  </si>
  <si>
    <t>A01002-180205-3</t>
  </si>
  <si>
    <t>A01002-180205-5</t>
  </si>
  <si>
    <t>A01004-142903-1</t>
  </si>
  <si>
    <t>26349</t>
  </si>
  <si>
    <t>Programa Embarques 2026 S-14.xlsx</t>
  </si>
  <si>
    <t>A01004-142903-4</t>
  </si>
  <si>
    <t>A01004-142903-3</t>
  </si>
  <si>
    <t>A01004-142903-5</t>
  </si>
  <si>
    <t>A01001-143003-1</t>
  </si>
  <si>
    <t>26351</t>
  </si>
  <si>
    <t>A01001-143003-4</t>
  </si>
  <si>
    <t>A01001-143003-3</t>
  </si>
  <si>
    <t>A01001-143003-5</t>
  </si>
  <si>
    <t>A01003-143003-1</t>
  </si>
  <si>
    <t>26458</t>
  </si>
  <si>
    <t>26696</t>
  </si>
  <si>
    <t>A01003-143003-4</t>
  </si>
  <si>
    <t>A01003-143003-3</t>
  </si>
  <si>
    <t>A01003-143003-5</t>
  </si>
  <si>
    <t>A01002-143003-1</t>
  </si>
  <si>
    <t>26737</t>
  </si>
  <si>
    <t>26698</t>
  </si>
  <si>
    <t>A01002-143003-4</t>
  </si>
  <si>
    <t>A01002-143003-3</t>
  </si>
  <si>
    <t>A01002-143003-5</t>
  </si>
  <si>
    <t>A04084-143003-1</t>
  </si>
  <si>
    <t>A04084-143103-1</t>
  </si>
  <si>
    <t>26709</t>
  </si>
  <si>
    <t>A01003-143103-1</t>
  </si>
  <si>
    <t>26096</t>
  </si>
  <si>
    <t>26099</t>
  </si>
  <si>
    <t>A01003-143103-4</t>
  </si>
  <si>
    <t>A01003-143103-3</t>
  </si>
  <si>
    <t>A01003-143103-5</t>
  </si>
  <si>
    <t>A27073-143103-1</t>
  </si>
  <si>
    <t>A01002-143103-1</t>
  </si>
  <si>
    <t>26461</t>
  </si>
  <si>
    <t>A01002-143103-4</t>
  </si>
  <si>
    <t>A01002-143103-3</t>
  </si>
  <si>
    <t>A01002-143103-5</t>
  </si>
  <si>
    <t>A01001-143103-1</t>
  </si>
  <si>
    <t>A01001-143103-4</t>
  </si>
  <si>
    <t>A01001-143103-3</t>
  </si>
  <si>
    <t>A01001-143103-5</t>
  </si>
  <si>
    <t>A11092-140104-1</t>
  </si>
  <si>
    <t>26783</t>
  </si>
  <si>
    <t>A27073-140104-1</t>
  </si>
  <si>
    <t>26884</t>
  </si>
  <si>
    <t>A01001-140104-1</t>
  </si>
  <si>
    <t>26468</t>
  </si>
  <si>
    <t>A01001-140104-4</t>
  </si>
  <si>
    <t>A01001-140104-3</t>
  </si>
  <si>
    <t>A01001-140104-5</t>
  </si>
  <si>
    <t>A01002-140104-1</t>
  </si>
  <si>
    <t>26469</t>
  </si>
  <si>
    <t>26771</t>
  </si>
  <si>
    <t>26758</t>
  </si>
  <si>
    <t>26763</t>
  </si>
  <si>
    <t>26772</t>
  </si>
  <si>
    <t>A01002-140104-4</t>
  </si>
  <si>
    <t>A01002-140104-3</t>
  </si>
  <si>
    <t>A01002-140104-5</t>
  </si>
  <si>
    <t>A01003-140104-1</t>
  </si>
  <si>
    <t>26100</t>
  </si>
  <si>
    <t>26474</t>
  </si>
  <si>
    <t>26733</t>
  </si>
  <si>
    <t>A01003-140104-4</t>
  </si>
  <si>
    <t>A01003-140104-3</t>
  </si>
  <si>
    <t>A01003-140104-5</t>
  </si>
  <si>
    <t>A04084-140104-1</t>
  </si>
  <si>
    <t>A01002-140204-1</t>
  </si>
  <si>
    <t>A01002-140204-4</t>
  </si>
  <si>
    <t>A01002-140204-3</t>
  </si>
  <si>
    <t>A01002-140204-5</t>
  </si>
  <si>
    <t>A01004-140204-1</t>
  </si>
  <si>
    <t>26475</t>
  </si>
  <si>
    <t>A01004-140204-4</t>
  </si>
  <si>
    <t>A01004-140204-3</t>
  </si>
  <si>
    <t>A01004-140204-5</t>
  </si>
  <si>
    <t>A11045-140204-1</t>
  </si>
  <si>
    <t>A01001-140204-1</t>
  </si>
  <si>
    <t>A01001-140204-4</t>
  </si>
  <si>
    <t>A01001-140204-3</t>
  </si>
  <si>
    <t>A01001-140204-5</t>
  </si>
  <si>
    <t>A01001-172004-1</t>
  </si>
  <si>
    <t>28883</t>
  </si>
  <si>
    <t>Programa Embarques 2026 S-17.xlsx</t>
  </si>
  <si>
    <t>28491</t>
  </si>
  <si>
    <t>A01001-172004-4</t>
  </si>
  <si>
    <t>A01001-172004-3</t>
  </si>
  <si>
    <t>A01001-172004-5</t>
  </si>
  <si>
    <t>A25067-172004-1</t>
  </si>
  <si>
    <t>28850</t>
  </si>
  <si>
    <t>A01002-172004-1</t>
  </si>
  <si>
    <t>28844</t>
  </si>
  <si>
    <t>28493</t>
  </si>
  <si>
    <t>A01002-172004-4</t>
  </si>
  <si>
    <t>A01002-172004-3</t>
  </si>
  <si>
    <t>A01002-172004-5</t>
  </si>
  <si>
    <t>A04038-172004-1</t>
  </si>
  <si>
    <t>28448</t>
  </si>
  <si>
    <t>A11056-172004-1</t>
  </si>
  <si>
    <t>28455</t>
  </si>
  <si>
    <t>A01003-172004-1</t>
  </si>
  <si>
    <t>28450</t>
  </si>
  <si>
    <t>A01003-172004-4</t>
  </si>
  <si>
    <t>A01003-172004-3</t>
  </si>
  <si>
    <t>A01003-172004-5</t>
  </si>
  <si>
    <t>A11045-172004-1</t>
  </si>
  <si>
    <t>A11092-172104-1</t>
  </si>
  <si>
    <t>A01001-172104-1</t>
  </si>
  <si>
    <t>28895</t>
  </si>
  <si>
    <t>29005</t>
  </si>
  <si>
    <t>A01001-172104-4</t>
  </si>
  <si>
    <t>A01001-172104-3</t>
  </si>
  <si>
    <t>A01001-172104-5</t>
  </si>
  <si>
    <t>A01002-172104-1</t>
  </si>
  <si>
    <t>28457</t>
  </si>
  <si>
    <t>29007</t>
  </si>
  <si>
    <t>A01002-172104-4</t>
  </si>
  <si>
    <t>A01002-172104-3</t>
  </si>
  <si>
    <t>A01002-172104-5</t>
  </si>
  <si>
    <t>A01003-172104-1</t>
  </si>
  <si>
    <t>28458</t>
  </si>
  <si>
    <t>A01003-172104-4</t>
  </si>
  <si>
    <t>A01003-172104-3</t>
  </si>
  <si>
    <t>A01003-172104-5</t>
  </si>
  <si>
    <t>A04084-172104-1</t>
  </si>
  <si>
    <t>A01003-172204-1</t>
  </si>
  <si>
    <t>29012</t>
  </si>
  <si>
    <t>A01003-172204-4</t>
  </si>
  <si>
    <t>A01003-172204-3</t>
  </si>
  <si>
    <t>A01003-172204-5</t>
  </si>
  <si>
    <t>A04084-172204-1</t>
  </si>
  <si>
    <t>A01001-172204-1</t>
  </si>
  <si>
    <t>29232</t>
  </si>
  <si>
    <t>A01001-172204-4</t>
  </si>
  <si>
    <t>A01001-172204-3</t>
  </si>
  <si>
    <t>A01001-172204-5</t>
  </si>
  <si>
    <t>A01002-172204-1</t>
  </si>
  <si>
    <t>28460</t>
  </si>
  <si>
    <t>A01002-172204-4</t>
  </si>
  <si>
    <t>A01002-172204-3</t>
  </si>
  <si>
    <t>A01002-172204-5</t>
  </si>
  <si>
    <t>A27073-172204-1</t>
  </si>
  <si>
    <t>28416</t>
  </si>
  <si>
    <t>A26077-172204-1</t>
  </si>
  <si>
    <t>A04084-172304-1</t>
  </si>
  <si>
    <t>29041</t>
  </si>
  <si>
    <t>A05041-172304-1</t>
  </si>
  <si>
    <t>29037</t>
  </si>
  <si>
    <t>A01001-172304-1</t>
  </si>
  <si>
    <t>28548</t>
  </si>
  <si>
    <t>A01001-172304-4</t>
  </si>
  <si>
    <t>A01001-172304-3</t>
  </si>
  <si>
    <t>A01001-172304-5</t>
  </si>
  <si>
    <t>A01002-172304-1</t>
  </si>
  <si>
    <t>29035</t>
  </si>
  <si>
    <t>29032</t>
  </si>
  <si>
    <t>A01002-172304-4</t>
  </si>
  <si>
    <t>A01002-172304-3</t>
  </si>
  <si>
    <t>A01002-172304-5</t>
  </si>
  <si>
    <t>A01004-172304-1</t>
  </si>
  <si>
    <t>28552</t>
  </si>
  <si>
    <t>A01004-172304-4</t>
  </si>
  <si>
    <t>A01004-172304-3</t>
  </si>
  <si>
    <t>A01004-172304-5</t>
  </si>
  <si>
    <t>A04084-172404-1</t>
  </si>
  <si>
    <t>A26077-172404-1</t>
  </si>
  <si>
    <t>29141</t>
  </si>
  <si>
    <t>A04083-172404-1</t>
  </si>
  <si>
    <t>28557</t>
  </si>
  <si>
    <t>A01001-172404-1</t>
  </si>
  <si>
    <t>A01001-172404-4</t>
  </si>
  <si>
    <t>A01001-172404-3</t>
  </si>
  <si>
    <t>A01001-172404-5</t>
  </si>
  <si>
    <t>A01003-172404-1</t>
  </si>
  <si>
    <t>28558</t>
  </si>
  <si>
    <t>A01003-172404-4</t>
  </si>
  <si>
    <t>A01003-172404-3</t>
  </si>
  <si>
    <t>A01003-172404-5</t>
  </si>
  <si>
    <t>A05042-172404-1</t>
  </si>
  <si>
    <t>29044</t>
  </si>
  <si>
    <t>A01002-172404-1</t>
  </si>
  <si>
    <t>29045</t>
  </si>
  <si>
    <t>29117</t>
  </si>
  <si>
    <t>A01002-172404-4</t>
  </si>
  <si>
    <t>A01002-172404-3</t>
  </si>
  <si>
    <t>A01002-172404-5</t>
  </si>
  <si>
    <t>A01004-172504-1</t>
  </si>
  <si>
    <t>A01004-172504-4</t>
  </si>
  <si>
    <t>A01004-172504-3</t>
  </si>
  <si>
    <t>A01004-172504-5</t>
  </si>
  <si>
    <t>A05040-172504-1</t>
  </si>
  <si>
    <t>A04038-172504-1</t>
  </si>
  <si>
    <t>29046</t>
  </si>
  <si>
    <t>A04083-172504-1</t>
  </si>
  <si>
    <t>29047</t>
  </si>
  <si>
    <t>A11045-190405-1</t>
  </si>
  <si>
    <t>29876</t>
  </si>
  <si>
    <t>Programa Embarques 2026 S-19.xlsx</t>
  </si>
  <si>
    <t>A01002-190405-1</t>
  </si>
  <si>
    <t>29877</t>
  </si>
  <si>
    <t>A01002-190405-4</t>
  </si>
  <si>
    <t>A01002-190405-3</t>
  </si>
  <si>
    <t>A01002-190405-5</t>
  </si>
  <si>
    <t>A01003-190405-1</t>
  </si>
  <si>
    <t>30410</t>
  </si>
  <si>
    <t>A01003-190405-4</t>
  </si>
  <si>
    <t>A01003-190405-3</t>
  </si>
  <si>
    <t>A01003-190405-5</t>
  </si>
  <si>
    <t>A01001-190405-1</t>
  </si>
  <si>
    <t>30409</t>
  </si>
  <si>
    <t>A01001-190405-4</t>
  </si>
  <si>
    <t>A01001-190405-3</t>
  </si>
  <si>
    <t>A01001-190405-5</t>
  </si>
  <si>
    <t>A01001-190505-1</t>
  </si>
  <si>
    <t>30317</t>
  </si>
  <si>
    <t>A01001-190505-4</t>
  </si>
  <si>
    <t>A01001-190505-3</t>
  </si>
  <si>
    <t>A01001-190505-5</t>
  </si>
  <si>
    <t>A01004-190505-1</t>
  </si>
  <si>
    <t>30028</t>
  </si>
  <si>
    <t>A01004-190505-4</t>
  </si>
  <si>
    <t>A01004-190505-3</t>
  </si>
  <si>
    <t>A01004-190505-5</t>
  </si>
  <si>
    <t>A01002-190505-1</t>
  </si>
  <si>
    <t>30030</t>
  </si>
  <si>
    <t>A01002-190505-4</t>
  </si>
  <si>
    <t>A01002-190505-3</t>
  </si>
  <si>
    <t>A01002-190505-5</t>
  </si>
  <si>
    <t>A11045-190505-1</t>
  </si>
  <si>
    <t>30514</t>
  </si>
  <si>
    <t>A04084-190505-1</t>
  </si>
  <si>
    <t>A05042-190505-1</t>
  </si>
  <si>
    <t>30038</t>
  </si>
  <si>
    <t>A26077-190505-1</t>
  </si>
  <si>
    <t>A01003-190605-1</t>
  </si>
  <si>
    <t>30040</t>
  </si>
  <si>
    <t>30550</t>
  </si>
  <si>
    <t>A01003-190605-4</t>
  </si>
  <si>
    <t>A01003-190605-3</t>
  </si>
  <si>
    <t>A01003-190605-5</t>
  </si>
  <si>
    <t>A04084-190605-1</t>
  </si>
  <si>
    <t>30567</t>
  </si>
  <si>
    <t>A05041-190605-1</t>
  </si>
  <si>
    <t>A01002-190605-1</t>
  </si>
  <si>
    <t>30484</t>
  </si>
  <si>
    <t>30045</t>
  </si>
  <si>
    <t>31008</t>
  </si>
  <si>
    <t>A01002-190605-4</t>
  </si>
  <si>
    <t>A01002-190605-3</t>
  </si>
  <si>
    <t>A01002-190605-5</t>
  </si>
  <si>
    <t>A26077-190605-1</t>
  </si>
  <si>
    <t>30661</t>
  </si>
  <si>
    <t>A01001-190605-1</t>
  </si>
  <si>
    <t>30483</t>
  </si>
  <si>
    <t>A01001-190605-4</t>
  </si>
  <si>
    <t>A01001-190605-3</t>
  </si>
  <si>
    <t>A01001-190605-5</t>
  </si>
  <si>
    <t>A05042-190705-1</t>
  </si>
  <si>
    <t>30046</t>
  </si>
  <si>
    <t>A04084-190705-1</t>
  </si>
  <si>
    <t>30690</t>
  </si>
  <si>
    <t>A01001-190705-1</t>
  </si>
  <si>
    <t>30563</t>
  </si>
  <si>
    <t>30076</t>
  </si>
  <si>
    <t>A01001-190705-4</t>
  </si>
  <si>
    <t>A01001-190705-3</t>
  </si>
  <si>
    <t>A01001-190705-5</t>
  </si>
  <si>
    <t>A01002-190705-1</t>
  </si>
  <si>
    <t>30682</t>
  </si>
  <si>
    <t>A01002-190705-4</t>
  </si>
  <si>
    <t>A01002-190705-3</t>
  </si>
  <si>
    <t>A01002-190705-5</t>
  </si>
  <si>
    <t>A01003-190705-1</t>
  </si>
  <si>
    <t>A01003-190705-4</t>
  </si>
  <si>
    <t>A01003-190705-3</t>
  </si>
  <si>
    <t>A01003-190705-5</t>
  </si>
  <si>
    <t>A27073-190805-1</t>
  </si>
  <si>
    <t>31010</t>
  </si>
  <si>
    <t>A04005-190805-1</t>
  </si>
  <si>
    <t>30078</t>
  </si>
  <si>
    <t>A01002-190805-1</t>
  </si>
  <si>
    <t>30564</t>
  </si>
  <si>
    <t>30565</t>
  </si>
  <si>
    <t>A01002-190805-4</t>
  </si>
  <si>
    <t>A01002-190805-3</t>
  </si>
  <si>
    <t>A01002-190805-5</t>
  </si>
  <si>
    <t>A05041-190805-1</t>
  </si>
  <si>
    <t>30767</t>
  </si>
  <si>
    <t>A01003-190805-1</t>
  </si>
  <si>
    <t>A01003-190805-4</t>
  </si>
  <si>
    <t>A01003-190805-3</t>
  </si>
  <si>
    <t>A01003-190805-5</t>
  </si>
  <si>
    <t>A26077-190805-1</t>
  </si>
  <si>
    <t>A25022-190905-1</t>
  </si>
  <si>
    <t>A01004-190905-1</t>
  </si>
  <si>
    <t>30314</t>
  </si>
  <si>
    <t>A01004-190905-4</t>
  </si>
  <si>
    <t>A01004-190905-3</t>
  </si>
  <si>
    <t>A01004-190905-5</t>
  </si>
  <si>
    <t>A01002-190905-1</t>
  </si>
  <si>
    <t>A01002-190905-4</t>
  </si>
  <si>
    <t>A01002-190905-3</t>
  </si>
  <si>
    <t>A01002-190905-5</t>
  </si>
  <si>
    <t>A11045-201105-1</t>
  </si>
  <si>
    <t>31111</t>
  </si>
  <si>
    <t>Programa Embarques 2026 S-20.xlsx</t>
  </si>
  <si>
    <t>A11056-201105-1</t>
  </si>
  <si>
    <t>31112</t>
  </si>
  <si>
    <t>A26077-201105-1</t>
  </si>
  <si>
    <t>31256</t>
  </si>
  <si>
    <t>A01001-201105-1</t>
  </si>
  <si>
    <t>30696</t>
  </si>
  <si>
    <t>A01001-201105-4</t>
  </si>
  <si>
    <t>A01001-201105-3</t>
  </si>
  <si>
    <t>A01001-201105-5</t>
  </si>
  <si>
    <t>A01003-201105-1</t>
  </si>
  <si>
    <t>31146</t>
  </si>
  <si>
    <t>30315</t>
  </si>
  <si>
    <t>A01003-201105-4</t>
  </si>
  <si>
    <t>A01003-201105-3</t>
  </si>
  <si>
    <t>A01003-201105-5</t>
  </si>
  <si>
    <t>A01002-201105-1</t>
  </si>
  <si>
    <t>31149</t>
  </si>
  <si>
    <t>A01002-201105-4</t>
  </si>
  <si>
    <t>A01002-201105-3</t>
  </si>
  <si>
    <t>A01002-201105-5</t>
  </si>
  <si>
    <t>A26077-201205-1</t>
  </si>
  <si>
    <t>A11056-201205-1</t>
  </si>
  <si>
    <t>30834</t>
  </si>
  <si>
    <t>A04084-201205-1</t>
  </si>
  <si>
    <t>A01001-201205-1</t>
  </si>
  <si>
    <t>31007</t>
  </si>
  <si>
    <t>30775</t>
  </si>
  <si>
    <t>A01001-201205-4</t>
  </si>
  <si>
    <t>A01001-201205-3</t>
  </si>
  <si>
    <t>A01001-201205-5</t>
  </si>
  <si>
    <t>A01003-201205-1</t>
  </si>
  <si>
    <t>31122</t>
  </si>
  <si>
    <t>30766</t>
  </si>
  <si>
    <t>A01003-201205-4</t>
  </si>
  <si>
    <t>A01003-201205-3</t>
  </si>
  <si>
    <t>A01003-201205-5</t>
  </si>
  <si>
    <t>A01002-201205-1</t>
  </si>
  <si>
    <t>31125</t>
  </si>
  <si>
    <t>A01002-201205-4</t>
  </si>
  <si>
    <t>A01002-201205-3</t>
  </si>
  <si>
    <t>A01002-201205-5</t>
  </si>
  <si>
    <t>A04084-201305-1</t>
  </si>
  <si>
    <t>31141</t>
  </si>
  <si>
    <t>A26077-201305-1</t>
  </si>
  <si>
    <t>A05042-201305-1</t>
  </si>
  <si>
    <t>31142</t>
  </si>
  <si>
    <t>A01004-201305-1</t>
  </si>
  <si>
    <t>30835</t>
  </si>
  <si>
    <t>31235</t>
  </si>
  <si>
    <t>A01004-201305-4</t>
  </si>
  <si>
    <t>A01004-201305-3</t>
  </si>
  <si>
    <t>A01004-201305-5</t>
  </si>
  <si>
    <t>A01002-201305-1</t>
  </si>
  <si>
    <t>30776</t>
  </si>
  <si>
    <t>A01002-201305-4</t>
  </si>
  <si>
    <t>A01002-201305-3</t>
  </si>
  <si>
    <t>A01002-201305-5</t>
  </si>
  <si>
    <t>A01001-201305-1</t>
  </si>
  <si>
    <t>30796</t>
  </si>
  <si>
    <t>A01001-201305-4</t>
  </si>
  <si>
    <t>A01001-201305-3</t>
  </si>
  <si>
    <t>A01001-201305-5</t>
  </si>
  <si>
    <t>A05042-201405-1</t>
  </si>
  <si>
    <t>31293</t>
  </si>
  <si>
    <t>A01001-201405-1</t>
  </si>
  <si>
    <t>30792</t>
  </si>
  <si>
    <t>31237</t>
  </si>
  <si>
    <t>A01001-201405-4</t>
  </si>
  <si>
    <t>A01001-201405-3</t>
  </si>
  <si>
    <t>A01001-201405-5</t>
  </si>
  <si>
    <t>A01002-201405-1</t>
  </si>
  <si>
    <t>A01002-201405-4</t>
  </si>
  <si>
    <t>A01002-201405-3</t>
  </si>
  <si>
    <t>A01002-201405-5</t>
  </si>
  <si>
    <t>A01003-201405-1</t>
  </si>
  <si>
    <t>30832</t>
  </si>
  <si>
    <t>A01003-201405-4</t>
  </si>
  <si>
    <t>A01003-201405-3</t>
  </si>
  <si>
    <t>A01003-201405-5</t>
  </si>
  <si>
    <t>A04084-201405-1</t>
  </si>
  <si>
    <t>A27073-201505-1</t>
  </si>
  <si>
    <t>31660</t>
  </si>
  <si>
    <t>A04005-201505-1</t>
  </si>
  <si>
    <t>31258</t>
  </si>
  <si>
    <t>A25067-201505-1</t>
  </si>
  <si>
    <t>31166</t>
  </si>
  <si>
    <t>A01002-201505-1</t>
  </si>
  <si>
    <t>31249</t>
  </si>
  <si>
    <t>A01002-201505-4</t>
  </si>
  <si>
    <t>A01002-201505-3</t>
  </si>
  <si>
    <t>A01002-201505-5</t>
  </si>
  <si>
    <t>A01003-201505-1</t>
  </si>
  <si>
    <t>31251</t>
  </si>
  <si>
    <t>30833</t>
  </si>
  <si>
    <t>A01003-201505-4</t>
  </si>
  <si>
    <t>A01003-201505-3</t>
  </si>
  <si>
    <t>A01003-201505-5</t>
  </si>
  <si>
    <t>A01001-201505-1</t>
  </si>
  <si>
    <t>A01001-201505-4</t>
  </si>
  <si>
    <t>A01001-201505-3</t>
  </si>
  <si>
    <t>A01001-201505-5</t>
  </si>
  <si>
    <t>A25067-201605-1</t>
  </si>
  <si>
    <t>A25022-201605-1</t>
  </si>
  <si>
    <t>31306</t>
  </si>
  <si>
    <t>A01003-201605-1</t>
  </si>
  <si>
    <t>A01003-201605-4</t>
  </si>
  <si>
    <t>A01003-201605-3</t>
  </si>
  <si>
    <t>A01003-201605-5</t>
  </si>
  <si>
    <t>A11045-211805-1</t>
  </si>
  <si>
    <t>31259</t>
  </si>
  <si>
    <t>Programa Embarques 2026 S-21.xlsx</t>
  </si>
  <si>
    <t>31657</t>
  </si>
  <si>
    <t>A01001-211805-1</t>
  </si>
  <si>
    <t>31301</t>
  </si>
  <si>
    <t>31286</t>
  </si>
  <si>
    <t>A01001-211805-4</t>
  </si>
  <si>
    <t>A01001-211805-3</t>
  </si>
  <si>
    <t>A01001-211805-5</t>
  </si>
  <si>
    <t>A01004-211805-1</t>
  </si>
  <si>
    <t>31384</t>
  </si>
  <si>
    <t>A01004-211805-4</t>
  </si>
  <si>
    <t>A01004-211805-3</t>
  </si>
  <si>
    <t>A01004-211805-5</t>
  </si>
  <si>
    <t>A01002-211805-1</t>
  </si>
  <si>
    <t>31287</t>
  </si>
  <si>
    <t>31537</t>
  </si>
  <si>
    <t>A01002-211805-4</t>
  </si>
  <si>
    <t>A01002-211805-3</t>
  </si>
  <si>
    <t>A01002-211805-5</t>
  </si>
  <si>
    <t>A40096-211905-1</t>
  </si>
  <si>
    <t>31809</t>
  </si>
  <si>
    <t>A04084-211905-1</t>
  </si>
  <si>
    <t>31523</t>
  </si>
  <si>
    <t>A11045-211905-1</t>
  </si>
  <si>
    <t>A01001-211905-1</t>
  </si>
  <si>
    <t>31727</t>
  </si>
  <si>
    <t>31434</t>
  </si>
  <si>
    <t>A01001-211905-4</t>
  </si>
  <si>
    <t>A01001-211905-3</t>
  </si>
  <si>
    <t>A01001-211905-5</t>
  </si>
  <si>
    <t>A01003-211905-1</t>
  </si>
  <si>
    <t>31658</t>
  </si>
  <si>
    <t>31311</t>
  </si>
  <si>
    <t>A01003-211905-4</t>
  </si>
  <si>
    <t>A01003-211905-3</t>
  </si>
  <si>
    <t>A01003-211905-5</t>
  </si>
  <si>
    <t>A01002-211905-1</t>
  </si>
  <si>
    <t>31305</t>
  </si>
  <si>
    <t>A01002-211905-4</t>
  </si>
  <si>
    <t>A01002-211905-3</t>
  </si>
  <si>
    <t>A01002-211905-5</t>
  </si>
  <si>
    <t>A04097-212005-1</t>
  </si>
  <si>
    <t>31521</t>
  </si>
  <si>
    <t>A04084-212005-1</t>
  </si>
  <si>
    <t>A26077-212005-1</t>
  </si>
  <si>
    <t>A05042-212005-1</t>
  </si>
  <si>
    <t>31799</t>
  </si>
  <si>
    <t>A01003-212005-1</t>
  </si>
  <si>
    <t>A01003-212005-4</t>
  </si>
  <si>
    <t>A01003-212005-3</t>
  </si>
  <si>
    <t>A01003-212005-5</t>
  </si>
  <si>
    <t>A01002-212005-1</t>
  </si>
  <si>
    <t>31663</t>
  </si>
  <si>
    <t>31313</t>
  </si>
  <si>
    <t>A01002-212005-4</t>
  </si>
  <si>
    <t>A01002-212005-3</t>
  </si>
  <si>
    <t>A01002-212005-5</t>
  </si>
  <si>
    <t>A01001-212005-1</t>
  </si>
  <si>
    <t>31664</t>
  </si>
  <si>
    <t>A01001-212005-4</t>
  </si>
  <si>
    <t>A01001-212005-3</t>
  </si>
  <si>
    <t>A01001-212005-5</t>
  </si>
  <si>
    <t>A04084-212105-1</t>
  </si>
  <si>
    <t>31597</t>
  </si>
  <si>
    <t>A25067-212105-1</t>
  </si>
  <si>
    <t>31447</t>
  </si>
  <si>
    <t>A01001-212105-1</t>
  </si>
  <si>
    <t>31441</t>
  </si>
  <si>
    <t>A01001-212105-4</t>
  </si>
  <si>
    <t>A01001-212105-3</t>
  </si>
  <si>
    <t>A01001-212105-5</t>
  </si>
  <si>
    <t>A01003-212105-1</t>
  </si>
  <si>
    <t>A01003-212105-4</t>
  </si>
  <si>
    <t>A01003-212105-3</t>
  </si>
  <si>
    <t>A01003-212105-5</t>
  </si>
  <si>
    <t>A01002-212105-1</t>
  </si>
  <si>
    <t>31800</t>
  </si>
  <si>
    <t>A01002-212105-4</t>
  </si>
  <si>
    <t>A01002-212105-3</t>
  </si>
  <si>
    <t>A01002-212105-5</t>
  </si>
  <si>
    <t>A27073-212205-1</t>
  </si>
  <si>
    <t>32346</t>
  </si>
  <si>
    <t>A06043-212205-1</t>
  </si>
  <si>
    <t>31821</t>
  </si>
  <si>
    <t>A04084-212205-1</t>
  </si>
  <si>
    <t>31823</t>
  </si>
  <si>
    <t>A01001-212205-1</t>
  </si>
  <si>
    <t>31590</t>
  </si>
  <si>
    <t>A01001-212205-4</t>
  </si>
  <si>
    <t>A01001-212205-3</t>
  </si>
  <si>
    <t>A01001-212205-5</t>
  </si>
  <si>
    <t>A01003-212205-1</t>
  </si>
  <si>
    <t>31449</t>
  </si>
  <si>
    <t>31923</t>
  </si>
  <si>
    <t>A01003-212205-4</t>
  </si>
  <si>
    <t>A01003-212205-3</t>
  </si>
  <si>
    <t>A01003-212205-5</t>
  </si>
  <si>
    <t>A01002-212205-1</t>
  </si>
  <si>
    <t>31924</t>
  </si>
  <si>
    <t>31451</t>
  </si>
  <si>
    <t>A01002-212205-4</t>
  </si>
  <si>
    <t>A01002-212205-3</t>
  </si>
  <si>
    <t>A01002-212205-5</t>
  </si>
  <si>
    <t>A06043-212305-1</t>
  </si>
  <si>
    <t>A01002-212305-1</t>
  </si>
  <si>
    <t>32014</t>
  </si>
  <si>
    <t>A01002-212305-4</t>
  </si>
  <si>
    <t>A01002-212305-3</t>
  </si>
  <si>
    <t>A01002-212305-5</t>
  </si>
  <si>
    <t>A01004-212305-1</t>
  </si>
  <si>
    <t>A01004-212305-4</t>
  </si>
  <si>
    <t>A01004-212305-3</t>
  </si>
  <si>
    <t>A01004-212305-5</t>
  </si>
  <si>
    <t>A27073-222505-1</t>
  </si>
  <si>
    <t>32440</t>
  </si>
  <si>
    <t>Programa Embarques 2026 S-22.xlsx</t>
  </si>
  <si>
    <t>A26077-222505-1</t>
  </si>
  <si>
    <t>32252</t>
  </si>
  <si>
    <t>A01001-222505-1</t>
  </si>
  <si>
    <t>32011</t>
  </si>
  <si>
    <t>A01001-222505-4</t>
  </si>
  <si>
    <t>A01001-222505-3</t>
  </si>
  <si>
    <t>A01001-222505-5</t>
  </si>
  <si>
    <t>A01003-222505-1</t>
  </si>
  <si>
    <t>31594</t>
  </si>
  <si>
    <t>31595</t>
  </si>
  <si>
    <t>A01003-222505-4</t>
  </si>
  <si>
    <t>A01003-222505-3</t>
  </si>
  <si>
    <t>A01003-222505-5</t>
  </si>
  <si>
    <t>A01002-222505-1</t>
  </si>
  <si>
    <t>32336</t>
  </si>
  <si>
    <t>32822</t>
  </si>
  <si>
    <t>A01002-222505-4</t>
  </si>
  <si>
    <t>A01002-222505-3</t>
  </si>
  <si>
    <t>A01002-222505-5</t>
  </si>
  <si>
    <t>A11045-222605-1</t>
  </si>
  <si>
    <t>A04084-222605-1</t>
  </si>
  <si>
    <t>A04038-222605-1</t>
  </si>
  <si>
    <t>32337</t>
  </si>
  <si>
    <t>A11056-222605-1</t>
  </si>
  <si>
    <t>32354</t>
  </si>
  <si>
    <t>A01001-222605-1</t>
  </si>
  <si>
    <t>32633</t>
  </si>
  <si>
    <t>A01001-222605-4</t>
  </si>
  <si>
    <t>A01001-222605-3</t>
  </si>
  <si>
    <t>A01001-222605-5</t>
  </si>
  <si>
    <t>A01002-222605-1</t>
  </si>
  <si>
    <t>32782</t>
  </si>
  <si>
    <t>32784</t>
  </si>
  <si>
    <t>A01002-222605-4</t>
  </si>
  <si>
    <t>A01002-222605-3</t>
  </si>
  <si>
    <t>A01002-222605-5</t>
  </si>
  <si>
    <t>A01004-222605-1</t>
  </si>
  <si>
    <t>32730</t>
  </si>
  <si>
    <t>A01004-222605-4</t>
  </si>
  <si>
    <t>A01004-222605-3</t>
  </si>
  <si>
    <t>A01004-222605-5</t>
  </si>
  <si>
    <t>A04084-222705-1</t>
  </si>
  <si>
    <t>A11045-222705-1</t>
  </si>
  <si>
    <t>A04033-222705-1</t>
  </si>
  <si>
    <t>32427</t>
  </si>
  <si>
    <t>A01002-222705-1</t>
  </si>
  <si>
    <t>32825</t>
  </si>
  <si>
    <t>32823</t>
  </si>
  <si>
    <t>A01002-222705-4</t>
  </si>
  <si>
    <t>A01002-222705-3</t>
  </si>
  <si>
    <t>A01002-222705-5</t>
  </si>
  <si>
    <t>A01004-222705-1</t>
  </si>
  <si>
    <t>32484</t>
  </si>
  <si>
    <t>A01004-222705-4</t>
  </si>
  <si>
    <t>A01004-222705-3</t>
  </si>
  <si>
    <t>A01004-222705-5</t>
  </si>
  <si>
    <t>A01001-222705-1</t>
  </si>
  <si>
    <t>32902</t>
  </si>
  <si>
    <t>A01001-222705-4</t>
  </si>
  <si>
    <t>A01001-222705-3</t>
  </si>
  <si>
    <t>A01001-222705-5</t>
  </si>
  <si>
    <t>A04084-222805-1</t>
  </si>
  <si>
    <t>32826</t>
  </si>
  <si>
    <t>A06043-222805-1</t>
  </si>
  <si>
    <t>32485</t>
  </si>
  <si>
    <t>A01002-222805-1</t>
  </si>
  <si>
    <t>32466</t>
  </si>
  <si>
    <t>32456</t>
  </si>
  <si>
    <t>A01002-222805-4</t>
  </si>
  <si>
    <t>A01002-222805-3</t>
  </si>
  <si>
    <t>A01002-222805-5</t>
  </si>
  <si>
    <t>A01001-222805-1</t>
  </si>
  <si>
    <t>32829</t>
  </si>
  <si>
    <t>A01001-222805-4</t>
  </si>
  <si>
    <t>A01001-222805-3</t>
  </si>
  <si>
    <t>A01001-222805-5</t>
  </si>
  <si>
    <t>A01003-222805-1</t>
  </si>
  <si>
    <t>32824</t>
  </si>
  <si>
    <t>A01003-222805-4</t>
  </si>
  <si>
    <t>A01003-222805-3</t>
  </si>
  <si>
    <t>A01003-222805-5</t>
  </si>
  <si>
    <t>A4094-222905-1</t>
  </si>
  <si>
    <t>33331</t>
  </si>
  <si>
    <t>A04084-222905-1</t>
  </si>
  <si>
    <t>32489</t>
  </si>
  <si>
    <t>A06043-222905-1</t>
  </si>
  <si>
    <t>A01001-222905-1</t>
  </si>
  <si>
    <t>32487</t>
  </si>
  <si>
    <t>A01001-222905-4</t>
  </si>
  <si>
    <t>A01001-222905-3</t>
  </si>
  <si>
    <t>A01001-222905-5</t>
  </si>
  <si>
    <t>A01004-222905-1</t>
  </si>
  <si>
    <t>32841</t>
  </si>
  <si>
    <t>A01004-222905-4</t>
  </si>
  <si>
    <t>A01004-222905-3</t>
  </si>
  <si>
    <t>A01004-222905-5</t>
  </si>
  <si>
    <t>A01002-223005-1</t>
  </si>
  <si>
    <t>32836</t>
  </si>
  <si>
    <t>A01002-223005-4</t>
  </si>
  <si>
    <t>A01002-223005-3</t>
  </si>
  <si>
    <t>A01002-223005-5</t>
  </si>
  <si>
    <t>A01003-223005-1</t>
  </si>
  <si>
    <t>33341</t>
  </si>
  <si>
    <t>A01003-223005-4</t>
  </si>
  <si>
    <t>A01003-223005-3</t>
  </si>
  <si>
    <t>A01003-223005-5</t>
  </si>
  <si>
    <t>A26077-230106-1</t>
  </si>
  <si>
    <t>33490</t>
  </si>
  <si>
    <t>Programa Embarques 2026 S-23.xlsx</t>
  </si>
  <si>
    <t>32853</t>
  </si>
  <si>
    <t>A25067-230106-1</t>
  </si>
  <si>
    <t>33291</t>
  </si>
  <si>
    <t>A01003-230106-1</t>
  </si>
  <si>
    <t>33295</t>
  </si>
  <si>
    <t>A01003-230106-4</t>
  </si>
  <si>
    <t>A01003-230106-3</t>
  </si>
  <si>
    <t>A01003-230106-5</t>
  </si>
  <si>
    <t>A04084-230206-1</t>
  </si>
  <si>
    <t>A11056-230206-1</t>
  </si>
  <si>
    <t>A11045-230206-1</t>
  </si>
  <si>
    <t>A25067-230206-1</t>
  </si>
  <si>
    <t>A01003-230206-1</t>
  </si>
  <si>
    <t>32837</t>
  </si>
  <si>
    <t>A01003-230206-4</t>
  </si>
  <si>
    <t>A01003-230206-3</t>
  </si>
  <si>
    <t>A01003-230206-5</t>
  </si>
  <si>
    <t>A01002-230206-1</t>
  </si>
  <si>
    <t>33339</t>
  </si>
  <si>
    <t>32842</t>
  </si>
  <si>
    <t>A01002-230206-4</t>
  </si>
  <si>
    <t>A01002-230206-3</t>
  </si>
  <si>
    <t>A01002-230206-5</t>
  </si>
  <si>
    <t>A01001-230206-1</t>
  </si>
  <si>
    <t>33358</t>
  </si>
  <si>
    <t>A01001-230206-4</t>
  </si>
  <si>
    <t>A01001-230206-3</t>
  </si>
  <si>
    <t>A01001-230206-5</t>
  </si>
  <si>
    <t>A04084-230306-1</t>
  </si>
  <si>
    <t>33332</t>
  </si>
  <si>
    <t>A11045-230306-1</t>
  </si>
  <si>
    <t>33641</t>
  </si>
  <si>
    <t>A06043-230306-1</t>
  </si>
  <si>
    <t>A04033-230306-1</t>
  </si>
  <si>
    <t>33340</t>
  </si>
  <si>
    <t>A01003-230306-1</t>
  </si>
  <si>
    <t>33333</t>
  </si>
  <si>
    <t>32846</t>
  </si>
  <si>
    <t>A01003-230306-4</t>
  </si>
  <si>
    <t>A01003-230306-3</t>
  </si>
  <si>
    <t>A01003-230306-5</t>
  </si>
  <si>
    <t>A01002-230306-1</t>
  </si>
  <si>
    <t>A01002-230306-4</t>
  </si>
  <si>
    <t>A01002-230306-3</t>
  </si>
  <si>
    <t>A01002-230306-5</t>
  </si>
  <si>
    <t>A01001-230306-1</t>
  </si>
  <si>
    <t>33621</t>
  </si>
  <si>
    <t>A01001-230306-4</t>
  </si>
  <si>
    <t>A01001-230306-3</t>
  </si>
  <si>
    <t>A01001-230306-5</t>
  </si>
  <si>
    <t>A04084-230406-1</t>
  </si>
  <si>
    <t>A26077-230406-1</t>
  </si>
  <si>
    <t>33768</t>
  </si>
  <si>
    <t>A06043-230406-1</t>
  </si>
  <si>
    <t>A05040-230406-1</t>
  </si>
  <si>
    <t>A05041-230406-1</t>
  </si>
  <si>
    <t>A01004-230406-1</t>
  </si>
  <si>
    <t>33353</t>
  </si>
  <si>
    <t>34099</t>
  </si>
  <si>
    <t>32845</t>
  </si>
  <si>
    <t>A01004-230406-4</t>
  </si>
  <si>
    <t>A01004-230406-3</t>
  </si>
  <si>
    <t>A01004-230406-5</t>
  </si>
  <si>
    <t>A01002-230406-1</t>
  </si>
  <si>
    <t>32859</t>
  </si>
  <si>
    <t>A01002-230406-4</t>
  </si>
  <si>
    <t>A01002-230406-3</t>
  </si>
  <si>
    <t>A01002-230406-5</t>
  </si>
  <si>
    <t>A01001-230406-1</t>
  </si>
  <si>
    <t>33628</t>
  </si>
  <si>
    <t>A01001-230406-4</t>
  </si>
  <si>
    <t>A01001-230406-3</t>
  </si>
  <si>
    <t>A01001-230406-5</t>
  </si>
  <si>
    <t>A05040-230506-1</t>
  </si>
  <si>
    <t>A05042-230506-1</t>
  </si>
  <si>
    <t>A36090-230506-1</t>
  </si>
  <si>
    <t>33719</t>
  </si>
  <si>
    <t>A27073-230506-1</t>
  </si>
  <si>
    <t>A04084-230506-1</t>
  </si>
  <si>
    <t>33361</t>
  </si>
  <si>
    <t>A01001-230506-1</t>
  </si>
  <si>
    <t>34102</t>
  </si>
  <si>
    <t>A01001-230506-4</t>
  </si>
  <si>
    <t>A01001-230506-3</t>
  </si>
  <si>
    <t>A01001-230506-5</t>
  </si>
  <si>
    <t>A01002-230506-1</t>
  </si>
  <si>
    <t>34100</t>
  </si>
  <si>
    <t>32860</t>
  </si>
  <si>
    <t>33636</t>
  </si>
  <si>
    <t>A01002-230506-4</t>
  </si>
  <si>
    <t>A01002-230506-3</t>
  </si>
  <si>
    <t>A01002-230506-5</t>
  </si>
  <si>
    <t>A01003-230506-1</t>
  </si>
  <si>
    <t>33647</t>
  </si>
  <si>
    <t>A01003-230506-4</t>
  </si>
  <si>
    <t>A01003-230506-3</t>
  </si>
  <si>
    <t>A01003-230506-5</t>
  </si>
  <si>
    <t>A11092-230606-1</t>
  </si>
  <si>
    <t>A11045-230606-1</t>
  </si>
  <si>
    <t>A36090-230606-1</t>
  </si>
  <si>
    <t>A25031-230606-1</t>
  </si>
  <si>
    <t>33638</t>
  </si>
  <si>
    <t>A25022-230606-1</t>
  </si>
  <si>
    <t>A01001-230606-1</t>
  </si>
  <si>
    <t>34083</t>
  </si>
  <si>
    <t>A01001-230606-4</t>
  </si>
  <si>
    <t>A01001-230606-3</t>
  </si>
  <si>
    <t>A01001-230606-5</t>
  </si>
  <si>
    <t>A01002-230606-1</t>
  </si>
  <si>
    <t>34104</t>
  </si>
  <si>
    <t>34086</t>
  </si>
  <si>
    <t>A01002-230606-4</t>
  </si>
  <si>
    <t>A01002-230606-3</t>
  </si>
  <si>
    <t>A01002-230606-5</t>
  </si>
  <si>
    <t>A11045-240806-1</t>
  </si>
  <si>
    <t>34257</t>
  </si>
  <si>
    <t>Programa Embarques 2026 S-24.xlsx</t>
  </si>
  <si>
    <t>A01001-240806-1</t>
  </si>
  <si>
    <t>33715</t>
  </si>
  <si>
    <t>A01001-240806-4</t>
  </si>
  <si>
    <t>A01001-240806-3</t>
  </si>
  <si>
    <t>A01001-240806-5</t>
  </si>
  <si>
    <t>A01002-240806-1</t>
  </si>
  <si>
    <t>33778</t>
  </si>
  <si>
    <t>34269</t>
  </si>
  <si>
    <t>33648</t>
  </si>
  <si>
    <t>A01002-240806-4</t>
  </si>
  <si>
    <t>A01002-240806-3</t>
  </si>
  <si>
    <t>A01002-240806-5</t>
  </si>
  <si>
    <t>A01004-240806-1</t>
  </si>
  <si>
    <t>34258</t>
  </si>
  <si>
    <t>A01004-240806-4</t>
  </si>
  <si>
    <t>A01004-240806-3</t>
  </si>
  <si>
    <t>A01004-240806-5</t>
  </si>
  <si>
    <t>A11056-240906-1</t>
  </si>
  <si>
    <t>33875</t>
  </si>
  <si>
    <t>A04084-240906-1</t>
  </si>
  <si>
    <t>34313</t>
  </si>
  <si>
    <t>A26077-240906-1</t>
  </si>
  <si>
    <t>A01002-240906-1</t>
  </si>
  <si>
    <t>34315</t>
  </si>
  <si>
    <t>A01002-240906-4</t>
  </si>
  <si>
    <t>A01002-240906-3</t>
  </si>
  <si>
    <t>A01002-240906-5</t>
  </si>
  <si>
    <t>A01003-240906-1</t>
  </si>
  <si>
    <t>34270</t>
  </si>
  <si>
    <t>A01003-240906-4</t>
  </si>
  <si>
    <t>A01003-240906-3</t>
  </si>
  <si>
    <t>A01003-240906-5</t>
  </si>
  <si>
    <t>A01001-240906-1</t>
  </si>
  <si>
    <t>34108</t>
  </si>
  <si>
    <t>A01001-240906-4</t>
  </si>
  <si>
    <t>A01001-240906-3</t>
  </si>
  <si>
    <t>A01001-240906-5</t>
  </si>
  <si>
    <t>A04084-241006-1</t>
  </si>
  <si>
    <t>34409</t>
  </si>
  <si>
    <t>A01002-241006-1</t>
  </si>
  <si>
    <t>33770</t>
  </si>
  <si>
    <t>33873</t>
  </si>
  <si>
    <t>33874</t>
  </si>
  <si>
    <t>A01002-241006-4</t>
  </si>
  <si>
    <t>A01002-241006-3</t>
  </si>
  <si>
    <t>A01002-241006-5</t>
  </si>
  <si>
    <t>A01003-241006-1</t>
  </si>
  <si>
    <t>34317</t>
  </si>
  <si>
    <t>A01003-241006-4</t>
  </si>
  <si>
    <t>A01003-241006-3</t>
  </si>
  <si>
    <t>A01003-241006-5</t>
  </si>
  <si>
    <t>A01001-241006-1</t>
  </si>
  <si>
    <t>34274</t>
  </si>
  <si>
    <t>A01001-241006-4</t>
  </si>
  <si>
    <t>A01001-241006-3</t>
  </si>
  <si>
    <t>A01001-241006-5</t>
  </si>
  <si>
    <t>A04084-241106-1</t>
  </si>
  <si>
    <t>A36090-241106-1</t>
  </si>
  <si>
    <t>34330</t>
  </si>
  <si>
    <t>A01003-241106-1</t>
  </si>
  <si>
    <t>34323</t>
  </si>
  <si>
    <t>34279</t>
  </si>
  <si>
    <t>A01003-241106-4</t>
  </si>
  <si>
    <t>A01003-241106-3</t>
  </si>
  <si>
    <t>A01003-241106-5</t>
  </si>
  <si>
    <t>A01002-241106-1</t>
  </si>
  <si>
    <t>34275</t>
  </si>
  <si>
    <t>34276</t>
  </si>
  <si>
    <t>A01002-241106-4</t>
  </si>
  <si>
    <t>A01002-241106-3</t>
  </si>
  <si>
    <t>A01002-241106-5</t>
  </si>
  <si>
    <t>A01001-241106-1</t>
  </si>
  <si>
    <t>34389</t>
  </si>
  <si>
    <t>A01001-241106-4</t>
  </si>
  <si>
    <t>A01001-241106-3</t>
  </si>
  <si>
    <t>A01001-241106-5</t>
  </si>
  <si>
    <t>A27073-241206-1</t>
  </si>
  <si>
    <t>A04084-241206-1</t>
  </si>
  <si>
    <t>34624</t>
  </si>
  <si>
    <t>A36090-241206-1</t>
  </si>
  <si>
    <t>A01004-241206-1</t>
  </si>
  <si>
    <t>34333</t>
  </si>
  <si>
    <t>34371</t>
  </si>
  <si>
    <t>34605</t>
  </si>
  <si>
    <t>A01004-241206-4</t>
  </si>
  <si>
    <t>A01004-241206-3</t>
  </si>
  <si>
    <t>A01004-241206-5</t>
  </si>
  <si>
    <t>A01002-241206-1</t>
  </si>
  <si>
    <t>34280</t>
  </si>
  <si>
    <t>A01002-241206-4</t>
  </si>
  <si>
    <t>A01002-241206-3</t>
  </si>
  <si>
    <t>A01002-241206-5</t>
  </si>
  <si>
    <t>A01001-241206-1</t>
  </si>
  <si>
    <t>34399</t>
  </si>
  <si>
    <t>A01001-241206-4</t>
  </si>
  <si>
    <t>A01001-241206-3</t>
  </si>
  <si>
    <t>A01001-241206-5</t>
  </si>
  <si>
    <t>A05040-241306-1</t>
  </si>
  <si>
    <t>34370</t>
  </si>
  <si>
    <t>A05042-241306-1</t>
  </si>
  <si>
    <t>A01003-241306-1</t>
  </si>
  <si>
    <t>34734</t>
  </si>
  <si>
    <t>34402</t>
  </si>
  <si>
    <t>A01003-241306-4</t>
  </si>
  <si>
    <t>A01003-241306-3</t>
  </si>
  <si>
    <t>A01003-241306-5</t>
  </si>
  <si>
    <t>33</t>
  </si>
  <si>
    <t>A11045-251506-1</t>
  </si>
  <si>
    <t/>
  </si>
  <si>
    <t>Programa Embarques 2026 S-25.xlsx</t>
  </si>
  <si>
    <t>A01002-251506-1</t>
  </si>
  <si>
    <t>34530</t>
  </si>
  <si>
    <t>34607</t>
  </si>
  <si>
    <t>A01002-251506-4</t>
  </si>
  <si>
    <t>A01002-251506-3</t>
  </si>
  <si>
    <t>A01002-251506-5</t>
  </si>
  <si>
    <t>A01001-251506-1</t>
  </si>
  <si>
    <t>34625</t>
  </si>
  <si>
    <t>34528</t>
  </si>
  <si>
    <t>A01001-251506-4</t>
  </si>
  <si>
    <t>A01001-251506-3</t>
  </si>
  <si>
    <t>A01001-251506-5</t>
  </si>
  <si>
    <t>A11056-251606-1</t>
  </si>
  <si>
    <t>34542</t>
  </si>
  <si>
    <t>A05042-251606-1</t>
  </si>
  <si>
    <t>34744</t>
  </si>
  <si>
    <t>A04084-251606-1</t>
  </si>
  <si>
    <t>A01003-251606-1</t>
  </si>
  <si>
    <t>34616</t>
  </si>
  <si>
    <t>34617</t>
  </si>
  <si>
    <t>34546</t>
  </si>
  <si>
    <t>A01003-251606-4</t>
  </si>
  <si>
    <t>A01003-251606-3</t>
  </si>
  <si>
    <t>A01003-251606-5</t>
  </si>
  <si>
    <t>A01001-251606-1</t>
  </si>
  <si>
    <t>34923</t>
  </si>
  <si>
    <t>A01001-251606-4</t>
  </si>
  <si>
    <t>A01001-251606-3</t>
  </si>
  <si>
    <t>A01001-251606-5</t>
  </si>
  <si>
    <t>A01002-251606-1</t>
  </si>
  <si>
    <t>34541</t>
  </si>
  <si>
    <t>34547</t>
  </si>
  <si>
    <t>A01002-251606-5</t>
  </si>
  <si>
    <t>A01002-251606-4</t>
  </si>
  <si>
    <t>A01002-251606-3</t>
  </si>
  <si>
    <t>A04084-251706-1</t>
  </si>
  <si>
    <t>34545</t>
  </si>
  <si>
    <t>A27073-251706-1</t>
  </si>
  <si>
    <t>34740</t>
  </si>
  <si>
    <t>A01003-251706-1</t>
  </si>
  <si>
    <t>34548</t>
  </si>
  <si>
    <t>A01003-251706-4</t>
  </si>
  <si>
    <t>A01003-251706-3</t>
  </si>
  <si>
    <t>A01003-251706-5</t>
  </si>
  <si>
    <t>A01001-251706-1</t>
  </si>
  <si>
    <t>34739</t>
  </si>
  <si>
    <t>A01001-251706-4</t>
  </si>
  <si>
    <t>A01001-251706-3</t>
  </si>
  <si>
    <t>A01001-251706-5</t>
  </si>
  <si>
    <t>A01002-251706-1</t>
  </si>
  <si>
    <t>34560</t>
  </si>
  <si>
    <t>34741</t>
  </si>
  <si>
    <t>A01002-251706-4</t>
  </si>
  <si>
    <t>A01002-251706-3</t>
  </si>
  <si>
    <t>A01002-251706-5</t>
  </si>
  <si>
    <t>A04084-251806-1</t>
  </si>
  <si>
    <t>34558</t>
  </si>
  <si>
    <t>A01002-251806-1</t>
  </si>
  <si>
    <t>34564</t>
  </si>
  <si>
    <t>34751</t>
  </si>
  <si>
    <t>34756</t>
  </si>
  <si>
    <t>34757</t>
  </si>
  <si>
    <t>A01002-251806-4</t>
  </si>
  <si>
    <t>A01002-251806-3</t>
  </si>
  <si>
    <t>A01002-251806-5</t>
  </si>
  <si>
    <t>A01001-251806-1</t>
  </si>
  <si>
    <t>35773</t>
  </si>
  <si>
    <t>34749</t>
  </si>
  <si>
    <t>A01001-251806-4</t>
  </si>
  <si>
    <t>A01001-251806-3</t>
  </si>
  <si>
    <t>A01001-251806-5</t>
  </si>
  <si>
    <t>A01003-251806-1</t>
  </si>
  <si>
    <t>34760</t>
  </si>
  <si>
    <t>34767</t>
  </si>
  <si>
    <t>A01003-251806-4</t>
  </si>
  <si>
    <t>A01003-251806-3</t>
  </si>
  <si>
    <t>A01003-251806-5</t>
  </si>
  <si>
    <t>A36090-251806-1</t>
  </si>
  <si>
    <t>A36090-251906-1</t>
  </si>
  <si>
    <t>A08006-251906-1</t>
  </si>
  <si>
    <t>A01001-251906-1</t>
  </si>
  <si>
    <t>34758</t>
  </si>
  <si>
    <t>A01001-251906-4</t>
  </si>
  <si>
    <t>A01001-251906-3</t>
  </si>
  <si>
    <t>A01001-251906-5</t>
  </si>
  <si>
    <t>A01002-251906-1</t>
  </si>
  <si>
    <t>34565</t>
  </si>
  <si>
    <t>34762</t>
  </si>
  <si>
    <t>34773</t>
  </si>
  <si>
    <t>A01002-251906-4</t>
  </si>
  <si>
    <t>A01002-251906-3</t>
  </si>
  <si>
    <t>A01002-251906-5</t>
  </si>
  <si>
    <t>A01004-251906-1</t>
  </si>
  <si>
    <t>34570</t>
  </si>
  <si>
    <t>34573</t>
  </si>
  <si>
    <t>A01004-251906-4</t>
  </si>
  <si>
    <t>A01004-251906-3</t>
  </si>
  <si>
    <t>A01004-251906-5</t>
  </si>
  <si>
    <t>A08006-252006-1</t>
  </si>
  <si>
    <t>A05040-252006-1</t>
  </si>
  <si>
    <t>34742</t>
  </si>
  <si>
    <t>A01002-252006-1</t>
  </si>
  <si>
    <t>34761</t>
  </si>
  <si>
    <t>A01002-252006-4</t>
  </si>
  <si>
    <t>A01002-252006-3</t>
  </si>
  <si>
    <t>A01002-252006-5</t>
  </si>
  <si>
    <t>A01004-252006-1</t>
  </si>
  <si>
    <t>34743</t>
  </si>
  <si>
    <t>A01004-252006-4</t>
  </si>
  <si>
    <t>A01004-252006-3</t>
  </si>
  <si>
    <t>A01004-252006-5</t>
  </si>
  <si>
    <t>34</t>
  </si>
  <si>
    <t>A11045-262206-1</t>
  </si>
  <si>
    <t>35310</t>
  </si>
  <si>
    <t>Programa Embarques 2026 S-26.xlsx</t>
  </si>
  <si>
    <t>A01003-262206-1</t>
  </si>
  <si>
    <t>35262</t>
  </si>
  <si>
    <t>35203</t>
  </si>
  <si>
    <t>35204</t>
  </si>
  <si>
    <t>A01003-262206-4</t>
  </si>
  <si>
    <t>A01003-262206-3</t>
  </si>
  <si>
    <t>A01003-262206-5</t>
  </si>
  <si>
    <t>A01002-262206-1</t>
  </si>
  <si>
    <t>35260</t>
  </si>
  <si>
    <t>34774</t>
  </si>
  <si>
    <t>A01002-262206-4</t>
  </si>
  <si>
    <t>A01002-262206-3</t>
  </si>
  <si>
    <t>A01002-262206-5</t>
  </si>
  <si>
    <t>A01001-262206-1</t>
  </si>
  <si>
    <t>35760</t>
  </si>
  <si>
    <t>A01001-262206-4</t>
  </si>
  <si>
    <t>A01001-262206-3</t>
  </si>
  <si>
    <t>A01001-262206-5</t>
  </si>
  <si>
    <t>A11056-262306-1</t>
  </si>
  <si>
    <t>A11092-262306-1</t>
  </si>
  <si>
    <t>35720</t>
  </si>
  <si>
    <t>A27073-262306-1</t>
  </si>
  <si>
    <t>35417</t>
  </si>
  <si>
    <t>A04084-262306-1</t>
  </si>
  <si>
    <t>35266</t>
  </si>
  <si>
    <t>A26099-262306-1</t>
  </si>
  <si>
    <t>A01004-262306-1</t>
  </si>
  <si>
    <t>A01004-262306-4</t>
  </si>
  <si>
    <t>A01004-262306-3</t>
  </si>
  <si>
    <t>A01004-262306-5</t>
  </si>
  <si>
    <t>A01001-262306-1</t>
  </si>
  <si>
    <t>36441</t>
  </si>
  <si>
    <t>35308</t>
  </si>
  <si>
    <t>35306</t>
  </si>
  <si>
    <t>A01001-262306-4</t>
  </si>
  <si>
    <t>A01001-262306-3</t>
  </si>
  <si>
    <t>A01001-262306-5</t>
  </si>
  <si>
    <t>A01002-262306-1</t>
  </si>
  <si>
    <t>35211</t>
  </si>
  <si>
    <t>35233</t>
  </si>
  <si>
    <t>A01002-262306-4</t>
  </si>
  <si>
    <t>A01002-262306-3</t>
  </si>
  <si>
    <t>A01002-262306-5</t>
  </si>
  <si>
    <t>A36090-262406-1</t>
  </si>
  <si>
    <t>35289</t>
  </si>
  <si>
    <t>A04084-262406-1</t>
  </si>
  <si>
    <t>35394</t>
  </si>
  <si>
    <t>A01002-262406-1</t>
  </si>
  <si>
    <t>35304</t>
  </si>
  <si>
    <t>35492</t>
  </si>
  <si>
    <t>A01002-262406-4</t>
  </si>
  <si>
    <t>A01002-262406-3</t>
  </si>
  <si>
    <t>A01002-262406-5</t>
  </si>
  <si>
    <t>A01001-262406-1</t>
  </si>
  <si>
    <t>35491</t>
  </si>
  <si>
    <t>A01001-262406-4</t>
  </si>
  <si>
    <t>A01001-262406-3</t>
  </si>
  <si>
    <t>A01001-262406-5</t>
  </si>
  <si>
    <t>A01003-262406-1</t>
  </si>
  <si>
    <t>35389</t>
  </si>
  <si>
    <t>35322</t>
  </si>
  <si>
    <t>A01003-262406-4</t>
  </si>
  <si>
    <t>A01003-262406-3</t>
  </si>
  <si>
    <t>A01003-262406-5</t>
  </si>
  <si>
    <t>A04084-262506-1</t>
  </si>
  <si>
    <t>35498</t>
  </si>
  <si>
    <t>A36090-262506-1</t>
  </si>
  <si>
    <t>35553</t>
  </si>
  <si>
    <t>A06043-262506-1</t>
  </si>
  <si>
    <t>35397</t>
  </si>
  <si>
    <t>A04038-262506-1</t>
  </si>
  <si>
    <t>A01003-262506-1</t>
  </si>
  <si>
    <t>35387</t>
  </si>
  <si>
    <t>35324</t>
  </si>
  <si>
    <t>A01003-262506-4</t>
  </si>
  <si>
    <t>A01003-262506-3</t>
  </si>
  <si>
    <t>A01003-262506-5</t>
  </si>
  <si>
    <t>A01001-262506-1</t>
  </si>
  <si>
    <t>35501</t>
  </si>
  <si>
    <t>A01001-262506-4</t>
  </si>
  <si>
    <t>A01001-262506-3</t>
  </si>
  <si>
    <t>A01001-262506-5</t>
  </si>
  <si>
    <t>A01002-262506-1</t>
  </si>
  <si>
    <t>35497</t>
  </si>
  <si>
    <t>35496</t>
  </si>
  <si>
    <t>35499</t>
  </si>
  <si>
    <t>A01002-262506-4</t>
  </si>
  <si>
    <t>A01002-262506-3</t>
  </si>
  <si>
    <t>A01002-262506-5</t>
  </si>
  <si>
    <t>A26077-262606-1</t>
  </si>
  <si>
    <t>35560</t>
  </si>
  <si>
    <t>A01002-262606-1</t>
  </si>
  <si>
    <t>35493</t>
  </si>
  <si>
    <t>A36090-262606-1</t>
  </si>
  <si>
    <t>35559</t>
  </si>
  <si>
    <t>A11087-262606-1</t>
  </si>
  <si>
    <t>36151</t>
  </si>
  <si>
    <t>A11092-262606-1</t>
  </si>
  <si>
    <t>A06043-262606-1</t>
  </si>
  <si>
    <t>A03027-262606-1</t>
  </si>
  <si>
    <t>35561</t>
  </si>
  <si>
    <t>A01004-262606-1</t>
  </si>
  <si>
    <t>35552</t>
  </si>
  <si>
    <t>A01004-262606-4</t>
  </si>
  <si>
    <t>A01004-262606-3</t>
  </si>
  <si>
    <t>A01004-262606-5</t>
  </si>
  <si>
    <t>A01001-262606-1</t>
  </si>
  <si>
    <t>35504</t>
  </si>
  <si>
    <t>A01001-262606-4</t>
  </si>
  <si>
    <t>A01001-262606-3</t>
  </si>
  <si>
    <t>A01001-262606-5</t>
  </si>
  <si>
    <t>36214</t>
  </si>
  <si>
    <t>35505</t>
  </si>
  <si>
    <t>35500</t>
  </si>
  <si>
    <t>A01002-262606-4</t>
  </si>
  <si>
    <t>A01002-262606-3</t>
  </si>
  <si>
    <t>A01002-262606-5</t>
  </si>
  <si>
    <t>A01002-262706-1</t>
  </si>
  <si>
    <t>A04084-262706-1</t>
  </si>
  <si>
    <t>36553</t>
  </si>
  <si>
    <t>A03027-262706-1</t>
  </si>
  <si>
    <t>A03026-262706-1</t>
  </si>
  <si>
    <t>A41005-262706-1</t>
  </si>
  <si>
    <t>A41 005 La Gloria</t>
  </si>
  <si>
    <t>36160</t>
  </si>
  <si>
    <t>A01003-262706-1</t>
  </si>
  <si>
    <t>35509</t>
  </si>
  <si>
    <t>A01003-262706-4</t>
  </si>
  <si>
    <t>A01003-262706-3</t>
  </si>
  <si>
    <t>A01003-262706-5</t>
  </si>
  <si>
    <t>A01002-262706-4</t>
  </si>
  <si>
    <t>A01002-262706-3</t>
  </si>
  <si>
    <t>A01002-262706-5</t>
  </si>
  <si>
    <t>A04084-272906-1</t>
  </si>
  <si>
    <t>36554</t>
  </si>
  <si>
    <t>Programa Embarques 2026 S-27.xlsx</t>
  </si>
  <si>
    <t>A26099-272906-1</t>
  </si>
  <si>
    <t>35562</t>
  </si>
  <si>
    <t>A01001-272906-1</t>
  </si>
  <si>
    <t>36217</t>
  </si>
  <si>
    <t>36176</t>
  </si>
  <si>
    <t>A01001-272906-4</t>
  </si>
  <si>
    <t>A01001-272906-5</t>
  </si>
  <si>
    <t>A01002-272906-1</t>
  </si>
  <si>
    <t>35510</t>
  </si>
  <si>
    <t>A01002-272906-4</t>
  </si>
  <si>
    <t>A01002-272906-5</t>
  </si>
  <si>
    <t>A04084-273006-1</t>
  </si>
  <si>
    <t>A11045-273006-1</t>
  </si>
  <si>
    <t>34846</t>
  </si>
  <si>
    <t>A11092-273006-1</t>
  </si>
  <si>
    <t>A36090-273006-1</t>
  </si>
  <si>
    <t>A01002-273006-1</t>
  </si>
  <si>
    <t>36178</t>
  </si>
  <si>
    <t>36234</t>
  </si>
  <si>
    <t>A01002-273006-4</t>
  </si>
  <si>
    <t>A01002-273006-5</t>
  </si>
  <si>
    <t>A01004-273006-1</t>
  </si>
  <si>
    <t>A01004-273006-4</t>
  </si>
  <si>
    <t>A01004-273006-5</t>
  </si>
  <si>
    <t>A01001-273006-1</t>
  </si>
  <si>
    <t>36393</t>
  </si>
  <si>
    <t>A01001-273006-4</t>
  </si>
  <si>
    <t>A01001-273006-5</t>
  </si>
  <si>
    <t>A04084-270107-1</t>
  </si>
  <si>
    <t>36249</t>
  </si>
  <si>
    <t>A36090-270107-1</t>
  </si>
  <si>
    <t>36258</t>
  </si>
  <si>
    <t>A11045-270107-1</t>
  </si>
  <si>
    <t>36252</t>
  </si>
  <si>
    <t>A01003-270107-1</t>
  </si>
  <si>
    <t>36238</t>
  </si>
  <si>
    <t>36284</t>
  </si>
  <si>
    <t>A01003-270107-4</t>
  </si>
  <si>
    <t>A01003-270107-5</t>
  </si>
  <si>
    <t>A01002-270107-1</t>
  </si>
  <si>
    <t>36276</t>
  </si>
  <si>
    <t>A01002-270107-4</t>
  </si>
  <si>
    <t>A01002-270107-5</t>
  </si>
  <si>
    <t>A01001-270107-1</t>
  </si>
  <si>
    <t>36351</t>
  </si>
  <si>
    <t>A01001-270107-4</t>
  </si>
  <si>
    <t>A01001-270107-5</t>
  </si>
  <si>
    <t>A26099-270207-1</t>
  </si>
  <si>
    <t>A06043-270207-1</t>
  </si>
  <si>
    <t>36387</t>
  </si>
  <si>
    <t>A01001-270207-1</t>
  </si>
  <si>
    <t>36172</t>
  </si>
  <si>
    <t>36278</t>
  </si>
  <si>
    <t>36289</t>
  </si>
  <si>
    <t>A01001-270207-4</t>
  </si>
  <si>
    <t>A01001-270207-5</t>
  </si>
  <si>
    <t>A01002-270207-1</t>
  </si>
  <si>
    <t>36174</t>
  </si>
  <si>
    <t>36369</t>
  </si>
  <si>
    <t>A01002-270207-4</t>
  </si>
  <si>
    <t>A01002-270207-5</t>
  </si>
  <si>
    <t>A01003-270207-1</t>
  </si>
  <si>
    <t>36352</t>
  </si>
  <si>
    <t>A01003-270207-4</t>
  </si>
  <si>
    <t>A01003-270207-5</t>
  </si>
  <si>
    <t>A04084-270307-1</t>
  </si>
  <si>
    <t>36718</t>
  </si>
  <si>
    <t>A27073-270307-1</t>
  </si>
  <si>
    <t>34738</t>
  </si>
  <si>
    <t>A25031-270307-1</t>
  </si>
  <si>
    <t>36388</t>
  </si>
  <si>
    <t>A25022-270307-1</t>
  </si>
  <si>
    <t>36792</t>
  </si>
  <si>
    <t>A06043-270307-1</t>
  </si>
  <si>
    <t>A01002-270307-1</t>
  </si>
  <si>
    <t>36285</t>
  </si>
  <si>
    <t>36364</t>
  </si>
  <si>
    <t>A01002-270307-4</t>
  </si>
  <si>
    <t>A01002-270307-5</t>
  </si>
  <si>
    <t>A01003-270307-1</t>
  </si>
  <si>
    <t>36290</t>
  </si>
  <si>
    <t>36298</t>
  </si>
  <si>
    <t>A01003-270307-4</t>
  </si>
  <si>
    <t>A01003-270307-5</t>
  </si>
  <si>
    <t>A01001-270307-1</t>
  </si>
  <si>
    <t>A01001-270307-4</t>
  </si>
  <si>
    <t>A01001-270307-5</t>
  </si>
  <si>
    <t>A03026-270407-1</t>
  </si>
  <si>
    <t>36793</t>
  </si>
  <si>
    <t>A03027-270407-1</t>
  </si>
  <si>
    <t>A25031-270407-1</t>
  </si>
  <si>
    <t>A25022-270407-1</t>
  </si>
  <si>
    <t>A01002-270407-1</t>
  </si>
  <si>
    <t>A01002-270407-4</t>
  </si>
  <si>
    <t>A01002-270407-5</t>
  </si>
  <si>
    <t>A01003-270407-1</t>
  </si>
  <si>
    <t>A01003-270407-4</t>
  </si>
  <si>
    <t>A01003-270407-3</t>
  </si>
  <si>
    <t>A01003-270407-5</t>
  </si>
  <si>
    <t>A11045-280607-1</t>
  </si>
  <si>
    <t>36389</t>
  </si>
  <si>
    <t>Programa Embarques 2026 S-28.xlsx</t>
  </si>
  <si>
    <t>A01002-280607-1</t>
  </si>
  <si>
    <t>36390</t>
  </si>
  <si>
    <t>A01002-280607-4</t>
  </si>
  <si>
    <t>A01002-280607-3</t>
  </si>
  <si>
    <t>A01002-280607-5</t>
  </si>
  <si>
    <t>A01004-280607-1</t>
  </si>
  <si>
    <t>36784</t>
  </si>
  <si>
    <t>A01004-280607-4</t>
  </si>
  <si>
    <t>A01004-280607-3</t>
  </si>
  <si>
    <t>A01004-280607-5</t>
  </si>
  <si>
    <t>A04084-280707-1</t>
  </si>
  <si>
    <t>36794</t>
  </si>
  <si>
    <t>A11056-280707-1</t>
  </si>
  <si>
    <t>A11087-280707-1</t>
  </si>
  <si>
    <t>A26099-280707-1</t>
  </si>
  <si>
    <t>A01002-280707-1</t>
  </si>
  <si>
    <t>36391</t>
  </si>
  <si>
    <t>36299</t>
  </si>
  <si>
    <t>A01002-280707-4</t>
  </si>
  <si>
    <t>A01002-280707-3</t>
  </si>
  <si>
    <t>A01002-280707-5</t>
  </si>
  <si>
    <t>A01001-280707-1</t>
  </si>
  <si>
    <t>37190</t>
  </si>
  <si>
    <t>A01001-280707-4</t>
  </si>
  <si>
    <t>A01001-280707-3</t>
  </si>
  <si>
    <t>A01001-280707-5</t>
  </si>
  <si>
    <t>A01003-280707-1</t>
  </si>
  <si>
    <t>36392</t>
  </si>
  <si>
    <t>A01003-280707-4</t>
  </si>
  <si>
    <t>A01003-280707-3</t>
  </si>
  <si>
    <t>A01003-280707-5</t>
  </si>
  <si>
    <t>A25031-280807-1</t>
  </si>
  <si>
    <t>37668</t>
  </si>
  <si>
    <t>A01001-280807-1</t>
  </si>
  <si>
    <t>37779</t>
  </si>
  <si>
    <t>A01001-280807-4</t>
  </si>
  <si>
    <t>A01001-280807-3</t>
  </si>
  <si>
    <t>A01001-280807-5</t>
  </si>
  <si>
    <t>A01003-280807-1</t>
  </si>
  <si>
    <t>37599</t>
  </si>
  <si>
    <t>37601</t>
  </si>
  <si>
    <t>A01003-280807-4</t>
  </si>
  <si>
    <t>A01003-280807-3</t>
  </si>
  <si>
    <t>A01003-280807-5</t>
  </si>
  <si>
    <t>A01002-280807-1</t>
  </si>
  <si>
    <t>36844</t>
  </si>
  <si>
    <t>37675</t>
  </si>
  <si>
    <t>A01002-280807-4</t>
  </si>
  <si>
    <t>A01002-280807-3</t>
  </si>
  <si>
    <t>A01002-280807-5</t>
  </si>
  <si>
    <t>A06043-280907-1</t>
  </si>
  <si>
    <t>36854</t>
  </si>
  <si>
    <t>A12057-280907-1</t>
  </si>
  <si>
    <t>A26099-280907-1</t>
  </si>
  <si>
    <t>A36090-280907-1</t>
  </si>
  <si>
    <t>36845</t>
  </si>
  <si>
    <t>A04084-280907-1</t>
  </si>
  <si>
    <t>36795</t>
  </si>
  <si>
    <t>A01003-280907-1</t>
  </si>
  <si>
    <t>A01003-280907-4</t>
  </si>
  <si>
    <t>A01003-280907-3</t>
  </si>
  <si>
    <t>A01003-280907-5</t>
  </si>
  <si>
    <t>A01002-280907-1</t>
  </si>
  <si>
    <t>37674</t>
  </si>
  <si>
    <t>A01002-280907-4</t>
  </si>
  <si>
    <t>A01002-280907-3</t>
  </si>
  <si>
    <t>A01002-280907-5</t>
  </si>
  <si>
    <t>A01001-280907-1</t>
  </si>
  <si>
    <t>36857</t>
  </si>
  <si>
    <t>A01001-280907-4</t>
  </si>
  <si>
    <t>A01001-280907-3</t>
  </si>
  <si>
    <t>A01001-280907-5</t>
  </si>
  <si>
    <t>A27073-281007-1</t>
  </si>
  <si>
    <t>36858</t>
  </si>
  <si>
    <t>A06043-281007-1</t>
  </si>
  <si>
    <t>36865</t>
  </si>
  <si>
    <t>A12057-281007-1</t>
  </si>
  <si>
    <t>A04084-281007-1</t>
  </si>
  <si>
    <t>36796</t>
  </si>
  <si>
    <t>A36090-281007-1</t>
  </si>
  <si>
    <t>36982</t>
  </si>
  <si>
    <t>A03026-281007-1</t>
  </si>
  <si>
    <t>36883</t>
  </si>
  <si>
    <t>A03028-281007-1</t>
  </si>
  <si>
    <t>38662</t>
  </si>
  <si>
    <t>A01004-281007-4</t>
  </si>
  <si>
    <t>A01001-281007-1</t>
  </si>
  <si>
    <t>A01001-281007-4</t>
  </si>
  <si>
    <t>A01001-281007-3</t>
  </si>
  <si>
    <t>A01001-281007-5</t>
  </si>
  <si>
    <t>A01002-281007-1</t>
  </si>
  <si>
    <t>37672</t>
  </si>
  <si>
    <t>37682</t>
  </si>
  <si>
    <t>A01002-281007-4</t>
  </si>
  <si>
    <t>A01002-281007-3</t>
  </si>
  <si>
    <t>A01002-281007-5</t>
  </si>
  <si>
    <t>A01004-281007-1</t>
  </si>
  <si>
    <t>36880</t>
  </si>
  <si>
    <t>A01004-281007-5</t>
  </si>
  <si>
    <t>A11087-281107-1</t>
  </si>
  <si>
    <t>A11045-281107-1</t>
  </si>
  <si>
    <t>A01002-281107-1</t>
  </si>
  <si>
    <t>37687</t>
  </si>
  <si>
    <t>A01002-281107-4</t>
  </si>
  <si>
    <t>A01002-281107-3</t>
  </si>
  <si>
    <t>A01002-281107-5</t>
  </si>
  <si>
    <t>36864</t>
  </si>
  <si>
    <t>A01004-281007-3</t>
  </si>
  <si>
    <t>A01002-291307-1</t>
  </si>
  <si>
    <t>37998</t>
  </si>
  <si>
    <t>Programa Embarques 2026 S-29.xlsx</t>
  </si>
  <si>
    <t>A01003-291307-1</t>
  </si>
  <si>
    <t>37686</t>
  </si>
  <si>
    <t>36986</t>
  </si>
  <si>
    <t>A11087-291307-1</t>
  </si>
  <si>
    <t>36987</t>
  </si>
  <si>
    <t>A11045-291307-1</t>
  </si>
  <si>
    <t>A01002-291307-4</t>
  </si>
  <si>
    <t>A01002-291307-3</t>
  </si>
  <si>
    <t>A01002-291307-5</t>
  </si>
  <si>
    <t>A01003-291307-4</t>
  </si>
  <si>
    <t>A01003-291307-3</t>
  </si>
  <si>
    <t>A01003-291307-5</t>
  </si>
  <si>
    <t>A01002-291407-1</t>
  </si>
  <si>
    <t>38013</t>
  </si>
  <si>
    <t>A01004-291407-1</t>
  </si>
  <si>
    <t>36797</t>
  </si>
  <si>
    <t>A04084-291407-1</t>
  </si>
  <si>
    <t>A01001-291407-1</t>
  </si>
  <si>
    <t>38050</t>
  </si>
  <si>
    <t>37752</t>
  </si>
  <si>
    <t>A11045-291407-1</t>
  </si>
  <si>
    <t>37750</t>
  </si>
  <si>
    <t>A01001-291407-4</t>
  </si>
  <si>
    <t>A01001-291407-3</t>
  </si>
  <si>
    <t>A01001-291407-5</t>
  </si>
  <si>
    <t>A01004-291407-4</t>
  </si>
  <si>
    <t>A01004-291407-3</t>
  </si>
  <si>
    <t>A01004-291407-5</t>
  </si>
  <si>
    <t>A01002-291407-4</t>
  </si>
  <si>
    <t>A01002-291407-3</t>
  </si>
  <si>
    <t>A01002-291407-5</t>
  </si>
  <si>
    <t>A26099-291407-1</t>
  </si>
  <si>
    <t>A01003-291507-1</t>
  </si>
  <si>
    <t>38028</t>
  </si>
  <si>
    <t>A01002-291507-1</t>
  </si>
  <si>
    <t>38011</t>
  </si>
  <si>
    <t>38030</t>
  </si>
  <si>
    <t>A01001-291507-1</t>
  </si>
  <si>
    <t>37838</t>
  </si>
  <si>
    <t>A04084-291507-1</t>
  </si>
  <si>
    <t>37839</t>
  </si>
  <si>
    <t>A01003-291507-4</t>
  </si>
  <si>
    <t>A01003-291507-3</t>
  </si>
  <si>
    <t>A01003-291507-5</t>
  </si>
  <si>
    <t>A01001-291507-4</t>
  </si>
  <si>
    <t>A01001-291507-3</t>
  </si>
  <si>
    <t>A01001-291507-5</t>
  </si>
  <si>
    <t>A01002-291507-4</t>
  </si>
  <si>
    <t>A01002-291507-3</t>
  </si>
  <si>
    <t>A01002-291507-5</t>
  </si>
  <si>
    <t>A01002-291607-1</t>
  </si>
  <si>
    <t>38034</t>
  </si>
  <si>
    <t>A01004-291607-1</t>
  </si>
  <si>
    <t>36798</t>
  </si>
  <si>
    <t>A04084-291607-1</t>
  </si>
  <si>
    <t>A01001-291607-1</t>
  </si>
  <si>
    <t>37846</t>
  </si>
  <si>
    <t>A06043-291607-1</t>
  </si>
  <si>
    <t>37860</t>
  </si>
  <si>
    <t>A12057-291607-1</t>
  </si>
  <si>
    <t>37847</t>
  </si>
  <si>
    <t>A01001-291607-4</t>
  </si>
  <si>
    <t>A01001-291607-3</t>
  </si>
  <si>
    <t>A01001-291607-5</t>
  </si>
  <si>
    <t>A01002-291607-4</t>
  </si>
  <si>
    <t>A01002-291607-3</t>
  </si>
  <si>
    <t>A01002-291607-5</t>
  </si>
  <si>
    <t>A01004-291607-4</t>
  </si>
  <si>
    <t>A01004-291607-3</t>
  </si>
  <si>
    <t>A01004-291607-5</t>
  </si>
  <si>
    <t>A01001-291707-1</t>
  </si>
  <si>
    <t>38207</t>
  </si>
  <si>
    <t>A01002-291707-1</t>
  </si>
  <si>
    <t>38032</t>
  </si>
  <si>
    <t>38033</t>
  </si>
  <si>
    <t>A25022-291707-1</t>
  </si>
  <si>
    <t>A26099-291707-1</t>
  </si>
  <si>
    <t>36935</t>
  </si>
  <si>
    <t>A05040-291707-1</t>
  </si>
  <si>
    <t>A01003-291707-1</t>
  </si>
  <si>
    <t>37852</t>
  </si>
  <si>
    <t>A04083-291707-1</t>
  </si>
  <si>
    <t>37853</t>
  </si>
  <si>
    <t>A06043-291707-1</t>
  </si>
  <si>
    <t>A27073-291707-1</t>
  </si>
  <si>
    <t>37843</t>
  </si>
  <si>
    <t>A01003-291707-4</t>
  </si>
  <si>
    <t>A01003-291707-3</t>
  </si>
  <si>
    <t>A01003-291707-5</t>
  </si>
  <si>
    <t>A01002-291707-4</t>
  </si>
  <si>
    <t>A01002-291707-3</t>
  </si>
  <si>
    <t>A01002-291707-5</t>
  </si>
  <si>
    <t>A01001-291707-4</t>
  </si>
  <si>
    <t>A01001-291707-3</t>
  </si>
  <si>
    <t>A01001-291707-5</t>
  </si>
  <si>
    <t>A09052-291807-1</t>
  </si>
  <si>
    <t>A25022-291807-1</t>
  </si>
  <si>
    <t>A04083-291807-1</t>
  </si>
  <si>
    <t>A11056-291807-1</t>
  </si>
  <si>
    <t>A11087-291807-1</t>
  </si>
  <si>
    <t>A01003-291807-1</t>
  </si>
  <si>
    <t>38213</t>
  </si>
  <si>
    <t>38215</t>
  </si>
  <si>
    <t>38219</t>
  </si>
  <si>
    <t>A01003-291807-4</t>
  </si>
  <si>
    <t>A01003-291807-3</t>
  </si>
  <si>
    <t>A01003-291807-5</t>
  </si>
  <si>
    <t>A11092-302007-1</t>
  </si>
  <si>
    <t>Programa Embarques 2026 S-30.xlsx</t>
  </si>
  <si>
    <t>A04083-302007-1</t>
  </si>
  <si>
    <t>37864</t>
  </si>
  <si>
    <t>A11045-302007-1</t>
  </si>
  <si>
    <t>37865</t>
  </si>
  <si>
    <t>A01004-302007-1</t>
  </si>
  <si>
    <t>38223</t>
  </si>
  <si>
    <t>39426</t>
  </si>
  <si>
    <t>A01004-302007-4</t>
  </si>
  <si>
    <t>39345</t>
  </si>
  <si>
    <t>A01004-302007-3</t>
  </si>
  <si>
    <t>A01004-302007-5</t>
  </si>
  <si>
    <t>A01001-302007-1</t>
  </si>
  <si>
    <t>A01001-302007-4</t>
  </si>
  <si>
    <t>A01001-302007-3</t>
  </si>
  <si>
    <t>A01001-302007-5</t>
  </si>
  <si>
    <t>A04084-302107-1</t>
  </si>
  <si>
    <t>37064</t>
  </si>
  <si>
    <t>A11092-302107-1</t>
  </si>
  <si>
    <t>A26099-302107-1</t>
  </si>
  <si>
    <t>39491</t>
  </si>
  <si>
    <t>A01003-302107-1</t>
  </si>
  <si>
    <t>A01003-302107-4</t>
  </si>
  <si>
    <t>39471</t>
  </si>
  <si>
    <t>A01003-302107-3</t>
  </si>
  <si>
    <t>A01003-302107-5</t>
  </si>
  <si>
    <t>A01002-302107-1</t>
  </si>
  <si>
    <t>38447</t>
  </si>
  <si>
    <t>38211</t>
  </si>
  <si>
    <t>A01002-302107-4</t>
  </si>
  <si>
    <t>A01002-302107-3</t>
  </si>
  <si>
    <t>A01002-302107-5</t>
  </si>
  <si>
    <t>A01001-302107-1</t>
  </si>
  <si>
    <t>38917</t>
  </si>
  <si>
    <t>A01001-302107-4</t>
  </si>
  <si>
    <t>A01001-302107-3</t>
  </si>
  <si>
    <t>A01001-302107-5</t>
  </si>
  <si>
    <t>A12057-302207-1</t>
  </si>
  <si>
    <t>37063</t>
  </si>
  <si>
    <t>A04084-302207-1</t>
  </si>
  <si>
    <t>37070</t>
  </si>
  <si>
    <t>A01002-302207-1</t>
  </si>
  <si>
    <t>38448</t>
  </si>
  <si>
    <t>37873</t>
  </si>
  <si>
    <t>A01002-302207-4</t>
  </si>
  <si>
    <t>39633</t>
  </si>
  <si>
    <t>A01002-302207-3</t>
  </si>
  <si>
    <t>A01002-302207-5</t>
  </si>
  <si>
    <t>A01003-302207-1</t>
  </si>
  <si>
    <t>A01003-302207-4</t>
  </si>
  <si>
    <t>A01003-302207-3</t>
  </si>
  <si>
    <t>A01003-302207-5</t>
  </si>
  <si>
    <t>A01001-302207-1</t>
  </si>
  <si>
    <t>38461</t>
  </si>
  <si>
    <t>37872</t>
  </si>
  <si>
    <t>A01001-302207-4</t>
  </si>
  <si>
    <t>A01001-302207-3</t>
  </si>
  <si>
    <t>A01001-302207-5</t>
  </si>
  <si>
    <t>A04084-302307-1</t>
  </si>
  <si>
    <t>A36090-302307-1</t>
  </si>
  <si>
    <t>38623</t>
  </si>
  <si>
    <t>A06043-302307-1</t>
  </si>
  <si>
    <t>38625</t>
  </si>
  <si>
    <t>A01001-302307-1</t>
  </si>
  <si>
    <t>39769</t>
  </si>
  <si>
    <t>A01001-302307-4</t>
  </si>
  <si>
    <t>39759</t>
  </si>
  <si>
    <t>A01001-302307-3</t>
  </si>
  <si>
    <t>39766</t>
  </si>
  <si>
    <t>A01001-302307-5</t>
  </si>
  <si>
    <t>A01002-302307-1</t>
  </si>
  <si>
    <t>39676</t>
  </si>
  <si>
    <t>39428</t>
  </si>
  <si>
    <t>A01002-302307-4</t>
  </si>
  <si>
    <t>A01002-302307-3</t>
  </si>
  <si>
    <t>A01002-302307-5</t>
  </si>
  <si>
    <t>A01004-302307-1</t>
  </si>
  <si>
    <t>38454</t>
  </si>
  <si>
    <t>A01004-302307-4</t>
  </si>
  <si>
    <t>A01004-302307-3</t>
  </si>
  <si>
    <t>A01004-302307-5</t>
  </si>
  <si>
    <t>A26099-302407-1</t>
  </si>
  <si>
    <t>37073</t>
  </si>
  <si>
    <t>38798</t>
  </si>
  <si>
    <t>A27073-302407-1</t>
  </si>
  <si>
    <t>37874</t>
  </si>
  <si>
    <t>A06043-302407-1</t>
  </si>
  <si>
    <t>39972</t>
  </si>
  <si>
    <t>A11056-302407-1</t>
  </si>
  <si>
    <t>A36090-302407-1</t>
  </si>
  <si>
    <t>38636</t>
  </si>
  <si>
    <t>A05040-302407-1</t>
  </si>
  <si>
    <t>38635</t>
  </si>
  <si>
    <t>A01002-302407-1</t>
  </si>
  <si>
    <t>38455</t>
  </si>
  <si>
    <t>38467</t>
  </si>
  <si>
    <t>A01002-302407-4</t>
  </si>
  <si>
    <t>39802</t>
  </si>
  <si>
    <t>A01002-302407-3</t>
  </si>
  <si>
    <t>A01002-302407-5</t>
  </si>
  <si>
    <t>A01003-302407-1</t>
  </si>
  <si>
    <t>38466</t>
  </si>
  <si>
    <t>38465</t>
  </si>
  <si>
    <t>A01003-302407-4</t>
  </si>
  <si>
    <t>A01003-302407-3</t>
  </si>
  <si>
    <t>A01003-302407-5</t>
  </si>
  <si>
    <t>A09052-302507-1</t>
  </si>
  <si>
    <t>38799</t>
  </si>
  <si>
    <t>A11045-302507-1</t>
  </si>
  <si>
    <t>A36090-302507-1</t>
  </si>
  <si>
    <t>38538</t>
  </si>
  <si>
    <t>A25022-302507-1</t>
  </si>
  <si>
    <t>38652</t>
  </si>
  <si>
    <t>A01003-302507-1</t>
  </si>
  <si>
    <t>38464</t>
  </si>
  <si>
    <t>39856</t>
  </si>
  <si>
    <t>A01003-302507-4</t>
  </si>
  <si>
    <t>39858</t>
  </si>
  <si>
    <t>A01003-302507-3</t>
  </si>
  <si>
    <t>39862</t>
  </si>
  <si>
    <t>A01003-302507-5</t>
  </si>
  <si>
    <t>A01002-302507-1</t>
  </si>
  <si>
    <t>A01002-302507-4</t>
  </si>
  <si>
    <t>A01002-302507-3</t>
  </si>
  <si>
    <t>A01002-302507-5</t>
  </si>
  <si>
    <t>A11045-312707-1</t>
  </si>
  <si>
    <t>38800</t>
  </si>
  <si>
    <t>Programa Embarques 2026 S-31.xlsx</t>
  </si>
  <si>
    <t>A11087-312707-1</t>
  </si>
  <si>
    <t>A01002-312707-1</t>
  </si>
  <si>
    <t>38535</t>
  </si>
  <si>
    <t>A01002-312707-4</t>
  </si>
  <si>
    <t>A01002-312707-3</t>
  </si>
  <si>
    <t>A01002-312707-5</t>
  </si>
  <si>
    <t>A01004-312707-1</t>
  </si>
  <si>
    <t>A01004-312707-4</t>
  </si>
  <si>
    <t>A01004-312707-3</t>
  </si>
  <si>
    <t>A01004-312707-5</t>
  </si>
  <si>
    <t>A01001-312707-1</t>
  </si>
  <si>
    <t>38661</t>
  </si>
  <si>
    <t>A01001-312707-4</t>
  </si>
  <si>
    <t>A01001-312707-3</t>
  </si>
  <si>
    <t>A01001-312707-5</t>
  </si>
  <si>
    <t>A11092-312807-1</t>
  </si>
  <si>
    <t>A04084-312807-1</t>
  </si>
  <si>
    <t>38672</t>
  </si>
  <si>
    <t>A36090-312807-1</t>
  </si>
  <si>
    <t>38664</t>
  </si>
  <si>
    <t>A01002-312807-1</t>
  </si>
  <si>
    <t>38804</t>
  </si>
  <si>
    <t>38802</t>
  </si>
  <si>
    <t>A01002-312807-4</t>
  </si>
  <si>
    <t>A01002-312807-3</t>
  </si>
  <si>
    <t>A01002-312807-5</t>
  </si>
  <si>
    <t>A01001-312807-1</t>
  </si>
  <si>
    <t>39637</t>
  </si>
  <si>
    <t>A01001-312807-4</t>
  </si>
  <si>
    <t>A01001-312807-3</t>
  </si>
  <si>
    <t>A01001-312807-5</t>
  </si>
  <si>
    <t>A01003-312807-1</t>
  </si>
  <si>
    <t>38673</t>
  </si>
  <si>
    <t>A01003-312807-4</t>
  </si>
  <si>
    <t>A01003-312807-3</t>
  </si>
  <si>
    <t>A01003-312807-5</t>
  </si>
  <si>
    <t>A04084-312907-1</t>
  </si>
  <si>
    <t>39319</t>
  </si>
  <si>
    <t>A03080-312907-1</t>
  </si>
  <si>
    <t>A03 080 Altamira</t>
  </si>
  <si>
    <t>A12057-312907-1</t>
  </si>
  <si>
    <t>40117</t>
  </si>
  <si>
    <t>A01001-312907-1</t>
  </si>
  <si>
    <t>40053</t>
  </si>
  <si>
    <t>A01001-312907-4</t>
  </si>
  <si>
    <t>A01001-312907-3</t>
  </si>
  <si>
    <t>A01001-312907-5</t>
  </si>
  <si>
    <t>A01002-312907-1</t>
  </si>
  <si>
    <t>A01002-312907-4</t>
  </si>
  <si>
    <t>A01002-312907-3</t>
  </si>
  <si>
    <t>A01002-312907-5</t>
  </si>
  <si>
    <t>A01003-312907-1</t>
  </si>
  <si>
    <t>40118</t>
  </si>
  <si>
    <t>A01003-312907-4</t>
  </si>
  <si>
    <t>A01003-312907-3</t>
  </si>
  <si>
    <t>A01003-312907-5</t>
  </si>
  <si>
    <t>A04084-313007-1</t>
  </si>
  <si>
    <t>39321</t>
  </si>
  <si>
    <t>A36090-313007-1</t>
  </si>
  <si>
    <t>A06043-313007-1</t>
  </si>
  <si>
    <t>39324</t>
  </si>
  <si>
    <t>A36005-313007-1</t>
  </si>
  <si>
    <t>A36 005 La Gloria</t>
  </si>
  <si>
    <t>38768</t>
  </si>
  <si>
    <t>A01002-313007-1</t>
  </si>
  <si>
    <t>39325</t>
  </si>
  <si>
    <t>39204</t>
  </si>
  <si>
    <t>39206</t>
  </si>
  <si>
    <t>A01002-313007-4</t>
  </si>
  <si>
    <t>A01002-313007-3</t>
  </si>
  <si>
    <t>A01002-313007-5</t>
  </si>
  <si>
    <t>A01001-313007-1</t>
  </si>
  <si>
    <t>A01001-313007-4</t>
  </si>
  <si>
    <t>A01001-313007-3</t>
  </si>
  <si>
    <t>A01001-313007-5</t>
  </si>
  <si>
    <t>A01004-313007-1</t>
  </si>
  <si>
    <t>A01004-313007-4</t>
  </si>
  <si>
    <t>A01004-313007-3</t>
  </si>
  <si>
    <t>A01004-313007-5</t>
  </si>
  <si>
    <t>A41100-313107-1</t>
  </si>
  <si>
    <t>39389</t>
  </si>
  <si>
    <t>A11045-313107-1</t>
  </si>
  <si>
    <t>39327</t>
  </si>
  <si>
    <t>A27073-313107-1</t>
  </si>
  <si>
    <t>39323</t>
  </si>
  <si>
    <t>A06043-313107-1</t>
  </si>
  <si>
    <t>39326</t>
  </si>
  <si>
    <t>A25031-313107-1</t>
  </si>
  <si>
    <t>39328</t>
  </si>
  <si>
    <t>A01003-313107-1</t>
  </si>
  <si>
    <t>39383</t>
  </si>
  <si>
    <t>A01003-313107-4</t>
  </si>
  <si>
    <t>A01003-313107-3</t>
  </si>
  <si>
    <t>A01003-313107-5</t>
  </si>
  <si>
    <t>A01001-313107-1</t>
  </si>
  <si>
    <t>A01001-313107-4</t>
  </si>
  <si>
    <t>A01001-313107-3</t>
  </si>
  <si>
    <t>A01001-313107-5</t>
  </si>
  <si>
    <t>A01002-313107-1</t>
  </si>
  <si>
    <t>39384</t>
  </si>
  <si>
    <t>39393</t>
  </si>
  <si>
    <t>A01002-313107-4</t>
  </si>
  <si>
    <t>A01002-313107-3</t>
  </si>
  <si>
    <t>A01002-313107-5</t>
  </si>
  <si>
    <t>A09051-310108-1</t>
  </si>
  <si>
    <t>A04039-310108-1</t>
  </si>
  <si>
    <t>A11092-310108-1</t>
  </si>
  <si>
    <t>A25031-310108-1</t>
  </si>
  <si>
    <t>A11045-320308-1</t>
  </si>
  <si>
    <t>40359</t>
  </si>
  <si>
    <t>Programa Embarques 2026 S-32.xlsx</t>
  </si>
  <si>
    <t>39337</t>
  </si>
  <si>
    <t>A01002-320308-1</t>
  </si>
  <si>
    <t>39390</t>
  </si>
  <si>
    <t>A01002-320308-4</t>
  </si>
  <si>
    <t>A01002-320308-3</t>
  </si>
  <si>
    <t>A01002-320308-5</t>
  </si>
  <si>
    <t>A01001-320308-1</t>
  </si>
  <si>
    <t>39335</t>
  </si>
  <si>
    <t>A01001-320308-4</t>
  </si>
  <si>
    <t>A01001-320308-3</t>
  </si>
  <si>
    <t>A01001-320308-5</t>
  </si>
  <si>
    <t>A01003-320308-1</t>
  </si>
  <si>
    <t>39336</t>
  </si>
  <si>
    <t>A01003-320308-4</t>
  </si>
  <si>
    <t>A01003-320308-3</t>
  </si>
  <si>
    <t>A01003-320308-5</t>
  </si>
  <si>
    <t>A36090-320408-1</t>
  </si>
  <si>
    <t>40335</t>
  </si>
  <si>
    <t>A27073-320408-1</t>
  </si>
  <si>
    <t>A11092-320408-1</t>
  </si>
  <si>
    <t>A01002-320408-1</t>
  </si>
  <si>
    <t>39396</t>
  </si>
  <si>
    <t>39399</t>
  </si>
  <si>
    <t>39928</t>
  </si>
  <si>
    <t>39397</t>
  </si>
  <si>
    <t>A01002-320408-4</t>
  </si>
  <si>
    <t>A01002-320408-3</t>
  </si>
  <si>
    <t>A01002-320408-5</t>
  </si>
  <si>
    <t>A01004-320408-1</t>
  </si>
  <si>
    <t>A01004-320408-4</t>
  </si>
  <si>
    <t>A01004-320408-3</t>
  </si>
  <si>
    <t>A01004-320408-5</t>
  </si>
  <si>
    <t>A01001-320408-1</t>
  </si>
  <si>
    <t>40279</t>
  </si>
  <si>
    <t>A01001-320408-4</t>
  </si>
  <si>
    <t>A01001-320408-3</t>
  </si>
  <si>
    <t>A01001-320408-5</t>
  </si>
  <si>
    <t>A12057-320508-1</t>
  </si>
  <si>
    <t>40360</t>
  </si>
  <si>
    <t>A36090-320508-1</t>
  </si>
  <si>
    <t>39338</t>
  </si>
  <si>
    <t>A04084-320508-1</t>
  </si>
  <si>
    <t>A01002-320508-1</t>
  </si>
  <si>
    <t>A01002-320508-4</t>
  </si>
  <si>
    <t>A01002-320508-3</t>
  </si>
  <si>
    <t>A01002-320508-5</t>
  </si>
  <si>
    <t>A01003-320408-1</t>
  </si>
  <si>
    <t>A01003-320508-1</t>
  </si>
  <si>
    <t>A01003-320508-4</t>
  </si>
  <si>
    <t>A01003-320508-3</t>
  </si>
  <si>
    <t>A01003-320508-5</t>
  </si>
  <si>
    <t>A01001-320508-1</t>
  </si>
  <si>
    <t>39947</t>
  </si>
  <si>
    <t>A01001-320508-4</t>
  </si>
  <si>
    <t>A01001-320508-3</t>
  </si>
  <si>
    <t>A01001-320508-5</t>
  </si>
  <si>
    <t>A04084-320608-1</t>
  </si>
  <si>
    <t>39339</t>
  </si>
  <si>
    <t>A36090-320608-1</t>
  </si>
  <si>
    <t>40029</t>
  </si>
  <si>
    <t>A36005-320608-1</t>
  </si>
  <si>
    <t>40028</t>
  </si>
  <si>
    <t>40057</t>
  </si>
  <si>
    <t>A01003-320608-1</t>
  </si>
  <si>
    <t>A01003-320608-4</t>
  </si>
  <si>
    <t>A01003-320608-3</t>
  </si>
  <si>
    <t>A01003-320608-5</t>
  </si>
  <si>
    <t>A01002-320608-1</t>
  </si>
  <si>
    <t>39682</t>
  </si>
  <si>
    <t>40079</t>
  </si>
  <si>
    <t>A01002-320608-4</t>
  </si>
  <si>
    <t>A01002-320608-3</t>
  </si>
  <si>
    <t>A01002-320608-5</t>
  </si>
  <si>
    <t>A01001-320608-1</t>
  </si>
  <si>
    <t>39932</t>
  </si>
  <si>
    <t>A01001-320608-4</t>
  </si>
  <si>
    <t>A01001-320608-3</t>
  </si>
  <si>
    <t>A01001-320608-5</t>
  </si>
  <si>
    <t>A04084-320708-1</t>
  </si>
  <si>
    <t>40041</t>
  </si>
  <si>
    <t>A27073-320708-1</t>
  </si>
  <si>
    <t>40027</t>
  </si>
  <si>
    <t>A11056-320708-1</t>
  </si>
  <si>
    <t>40337</t>
  </si>
  <si>
    <t>A36005-320708-1</t>
  </si>
  <si>
    <t>A41100-320708-1</t>
  </si>
  <si>
    <t>A01001-320708-1</t>
  </si>
  <si>
    <t>40058</t>
  </si>
  <si>
    <t>A01001-320708-4</t>
  </si>
  <si>
    <t>A01001-320708-3</t>
  </si>
  <si>
    <t>A01001-320708-5</t>
  </si>
  <si>
    <t>A01004-320708-1</t>
  </si>
  <si>
    <t>40047</t>
  </si>
  <si>
    <t>A01004-320708-3</t>
  </si>
  <si>
    <t>A01004-320708-5</t>
  </si>
  <si>
    <t>A01002-320708-1</t>
  </si>
  <si>
    <t>40086</t>
  </si>
  <si>
    <t>A01002-320708-4</t>
  </si>
  <si>
    <t>A01002-320708-3</t>
  </si>
  <si>
    <t>A01002-320708-5</t>
  </si>
  <si>
    <t>A25022-320808-1</t>
  </si>
  <si>
    <t>A01003-320808-1</t>
  </si>
  <si>
    <t>40091</t>
  </si>
  <si>
    <t>A01003-320808-4</t>
  </si>
  <si>
    <t>A01003-320808-3</t>
  </si>
  <si>
    <t>A01003-320808-5</t>
  </si>
  <si>
    <t>A04084-341708-1</t>
  </si>
  <si>
    <t>40781</t>
  </si>
  <si>
    <t>CHIAPAS|A04 084 LISBOA|20260817|20260821|MCALLEN|CHANITOS INT|CPR01104|20 CONVENCIONAL F1-1</t>
  </si>
  <si>
    <t>CHIAPAS|A04 084 LISBOA|20260817|20260821|MCALLEN|CHANITOS INT|CPR01104|20 CONVENCIONAL F1-1|1</t>
  </si>
  <si>
    <t>Programa Embarques 2026 S-34.xlsx</t>
  </si>
  <si>
    <t>A11045-341708-1</t>
  </si>
  <si>
    <t>40782</t>
  </si>
  <si>
    <t>CHIAPAS|A11 045 SECTOR MAZATAN|20260817|20260822|MCALLEN|CHANITOS INT|CPR01104|20 CONVENCIONAL F1-2</t>
  </si>
  <si>
    <t>CHIAPAS|A11 045 SECTOR MAZATAN|20260817|20260822|MCALLEN|CHANITOS INT|CPR01104|20 CONVENCIONAL F1-2|1</t>
  </si>
  <si>
    <t>40783</t>
  </si>
  <si>
    <t>CHIAPAS|A11 045 SECTOR MAZATAN|20260817|20260822|MCALLEN|CHANITOS INT|CPR01104|20 CONVENCIONAL F2-1</t>
  </si>
  <si>
    <t>CHIAPAS|A11 045 SECTOR MAZATAN|20260817|20260822|MCALLEN|CHANITOS INT|CPR01104|20 CONVENCIONAL F2-1|1</t>
  </si>
  <si>
    <t>A01004-341708-1</t>
  </si>
  <si>
    <t>41835</t>
  </si>
  <si>
    <t>CHIAPAS|A01 004 LA CEIBA|20260817|20260822|SMO|WM|CPR01102|24 CONVENCIONAL</t>
  </si>
  <si>
    <t>CHIAPAS|A01 004 LA CEIBA|20260817|20260822|SMO|WM|CPR01102|24 CONVENCIONAL|1</t>
  </si>
  <si>
    <t>A01002-341708-1</t>
  </si>
  <si>
    <t>42030</t>
  </si>
  <si>
    <t>CHIAPAS|A01 002 FORTALEZA|20260817|20260822|CHALCO|WM|CPR01102|23 CONVENCIONAL Y 1 BAE</t>
  </si>
  <si>
    <t>CHIAPAS|A01 002 FORTALEZA|20260817|20260822|CHALCO|WM|CPR01102|23 CONVENCIONAL Y 1 BAE|1</t>
  </si>
  <si>
    <t>CHIAPAS|A01 002 FORTALEZA|20260817|20260822|SMO|WM|CPR01102|24 CONVENCIONAL</t>
  </si>
  <si>
    <t>CHIAPAS|A01 002 FORTALEZA|20260817|20260822|SMO|WM|CPR01102|24 CONVENCIONAL|1</t>
  </si>
  <si>
    <t>40814</t>
  </si>
  <si>
    <t>CHIAPAS|A01 002 FORTALEZA|20260817|20260822|VSA|WM|CPR01102|19 CONVENCIONAL Y 5 ORG</t>
  </si>
  <si>
    <t>CHIAPAS|A01 002 FORTALEZA|20260817|20260822|VSA|WM|CPR01102|19 CONVENCIONAL Y 5 ORG|1</t>
  </si>
  <si>
    <t>CHIAPAS|A01 002 FORTALEZA|20260817|20260821|CEDA|CEDA PISO|CPR01101|CEDA PISO PRODUCTORAS</t>
  </si>
  <si>
    <t>CHIAPAS|A01 002 FORTALEZA|20260817|20260821|CEDA|CEDA PISO|CPR01101|CEDA PISO PRODUCTORAS|1</t>
  </si>
  <si>
    <t>40815</t>
  </si>
  <si>
    <t>CHIAPAS|A01 002 FORTALEZA|20260817|20260822|VSA|WM|CRG07128|19 CONVENCIONAL Y 5 ORG</t>
  </si>
  <si>
    <t>CHIAPAS|A01 002 FORTALEZA|20260817|20260822|VSA|WM|CRG07128|19 CONVENCIONAL Y 5 ORG|1</t>
  </si>
  <si>
    <t>A01001-341708-1</t>
  </si>
  <si>
    <t>40766</t>
  </si>
  <si>
    <t>CHIAPAS|A01 001 MARBELLA|20260817|20260821|CHALCO|WM|CPR01114|900 CAJAS CONV Y 60CAJAS BAE</t>
  </si>
  <si>
    <t>CHIAPAS|A01 001 MARBELLA|20260817|20260821|CHALCO|WM|CPR01114|900 CAJAS CONV Y 60CAJAS BAE|1</t>
  </si>
  <si>
    <t>CHIAPAS|A01 001 MARBELLA|20260817|20260821|CHALCO|WM|CPR01102|900 CAJAS CONV Y 60CAJAS BAE</t>
  </si>
  <si>
    <t>CHIAPAS|A01 001 MARBELLA|20260817|20260821|CHALCO|WM|CPR01102|900 CAJAS CONV Y 60CAJAS BAE|1</t>
  </si>
  <si>
    <t>CHIAPAS|A01 001 MARBELLA|20260817|20260821|CEDA|CEDA AUTOSERVICIO|CPR01102|CEDA</t>
  </si>
  <si>
    <t>CHIAPAS|A01 001 MARBELLA|20260817|20260821|CEDA|CEDA AUTOSERVICIO|CPR01102|CEDA|1</t>
  </si>
  <si>
    <t>CHIAPAS|A01 001 MARBELLA|20260817|20260821|CEDA|CEDA PISO|CPR01101|CEDA PISO PRODUCTORAS</t>
  </si>
  <si>
    <t>CHIAPAS|A01 001 MARBELLA|20260817|20260821|CEDA|CEDA PISO|CPR01101|CEDA PISO PRODUCTORAS|1</t>
  </si>
  <si>
    <t>A01001-341708-4</t>
  </si>
  <si>
    <t>CHIAPAS|A01 001 MARBELLA|20260817|20260821|CEDA|CEDA PISO|CSA04120|MISCELANEOS</t>
  </si>
  <si>
    <t>CHIAPAS|A01 001 MARBELLA|20260817|20260821|CEDA|CEDA PISO|CSA04120|MISCELANEOS|1</t>
  </si>
  <si>
    <t>A01001-341708-3</t>
  </si>
  <si>
    <t>CHIAPAS|A01 001 MARBELLA|20260817|20260821|CEDA|CEDA PISO|CMN05123|MISCELANEOS</t>
  </si>
  <si>
    <t>CHIAPAS|A01 001 MARBELLA|20260817|20260821|CEDA|CEDA PISO|CMN05123|MISCELANEOS|1</t>
  </si>
  <si>
    <t>A01001-341708-5</t>
  </si>
  <si>
    <t>CHIAPAS|A01 001 MARBELLA|20260817|20260821|CEDA|CEDA PISO|CDS04122|MISCELANEOS</t>
  </si>
  <si>
    <t>CHIAPAS|A01 001 MARBELLA|20260817|20260821|CEDA|CEDA PISO|CDS04122|MISCELANEOS|1</t>
  </si>
  <si>
    <t>CHIAPAS|A01 004 LA CEIBA|20260817|20260821|CEDA|CEDA PISO|CPR01101|CEDA PISO PRODUCTORAS</t>
  </si>
  <si>
    <t>CHIAPAS|A01 004 LA CEIBA|20260817|20260821|CEDA|CEDA PISO|CPR01101|CEDA PISO PRODUCTORAS|1</t>
  </si>
  <si>
    <t>A01004-341708-4</t>
  </si>
  <si>
    <t>CHIAPAS|A01 004 LA CEIBA|20260817|20260821|CEDA|CEDA PISO|CSA04120|MISCELANEOS</t>
  </si>
  <si>
    <t>CHIAPAS|A01 004 LA CEIBA|20260817|20260821|CEDA|CEDA PISO|CSA04120|MISCELANEOS|1</t>
  </si>
  <si>
    <t>A01004-341708-3</t>
  </si>
  <si>
    <t>CHIAPAS|A01 004 LA CEIBA|20260817|20260821|CEDA|CEDA PISO|CMN05123|MISCELANEOS</t>
  </si>
  <si>
    <t>CHIAPAS|A01 004 LA CEIBA|20260817|20260821|CEDA|CEDA PISO|CMN05123|MISCELANEOS|1</t>
  </si>
  <si>
    <t>A01004-341708-5</t>
  </si>
  <si>
    <t>CHIAPAS|A01 004 LA CEIBA|20260817|20260821|CEDA|CEDA PISO|CDS04122|MISCELANEOS</t>
  </si>
  <si>
    <t>CHIAPAS|A01 004 LA CEIBA|20260817|20260821|CEDA|CEDA PISO|CDS04122|MISCELANEOS|1</t>
  </si>
  <si>
    <t>A01002-341708-4</t>
  </si>
  <si>
    <t>CHIAPAS|A01 002 FORTALEZA|20260817|20260821|CEDA|CEDA PISO|CSA04120|MISCELANEOS</t>
  </si>
  <si>
    <t>CHIAPAS|A01 002 FORTALEZA|20260817|20260821|CEDA|CEDA PISO|CSA04120|MISCELANEOS|1</t>
  </si>
  <si>
    <t>A01002-341708-3</t>
  </si>
  <si>
    <t>CHIAPAS|A01 002 FORTALEZA|20260817|20260821|CEDA|CEDA PISO|CMN05123|MISCELANEOS</t>
  </si>
  <si>
    <t>CHIAPAS|A01 002 FORTALEZA|20260817|20260821|CEDA|CEDA PISO|CMN05123|MISCELANEOS|1</t>
  </si>
  <si>
    <t>A01002-341708-5</t>
  </si>
  <si>
    <t>CHIAPAS|A01 002 FORTALEZA|20260817|20260821|CEDA|CEDA PISO|CDS04122|MISCELANEOS</t>
  </si>
  <si>
    <t>CHIAPAS|A01 002 FORTALEZA|20260817|20260821|CEDA|CEDA PISO|CDS04122|MISCELANEOS|1</t>
  </si>
  <si>
    <t>A01002-341808-1</t>
  </si>
  <si>
    <t>CHIAPAS|A01 002 FORTALEZA|20260818|20260822|CHALCO|WM|CPR01114|23 CONVENCIONAL Y 1 BAE</t>
  </si>
  <si>
    <t>CHIAPAS|A01 002 FORTALEZA|20260818|20260822|CHALCO|WM|CPR01114|23 CONVENCIONAL Y 1 BAE|1</t>
  </si>
  <si>
    <t>CHIAPAS|A01 002 FORTALEZA|20260818|20260822|CHALCO|WM|CPR01102|23 CONVENCIONAL Y 1 BAE</t>
  </si>
  <si>
    <t>CHIAPAS|A01 002 FORTALEZA|20260818|20260822|CHALCO|WM|CPR01102|23 CONVENCIONAL Y 1 BAE|1</t>
  </si>
  <si>
    <t>42031</t>
  </si>
  <si>
    <t>CHIAPAS|A01 002 FORTALEZA|20260818|20260824|CHALCO|WM|CPR01102|1230 CAJAS CONV Y 66 CAJAS BAE</t>
  </si>
  <si>
    <t>CHIAPAS|A01 002 FORTALEZA|20260818|20260824|CHALCO|WM|CPR01102|1230 CAJAS CONV Y 66 CAJAS BAE|1</t>
  </si>
  <si>
    <t>CHIAPAS|A01 002 FORTALEZA|20260818|20260822|VSA|WM|CPR01102|19 CONVENCIONAL Y 5 ORG</t>
  </si>
  <si>
    <t>CHIAPAS|A01 002 FORTALEZA|20260818|20260822|VSA|WM|CPR01102|19 CONVENCIONAL Y 5 ORG|1</t>
  </si>
  <si>
    <t>A04084-341808-1</t>
  </si>
  <si>
    <t>40671</t>
  </si>
  <si>
    <t>CHIAPAS|A04 084 LISBOA|20260818|20260825|CIUDAD JUAREZ|SMART|CPR01103|20 CONVENCIONAL SCJ1</t>
  </si>
  <si>
    <t>CHIAPAS|A04 084 LISBOA|20260818|20260825|CIUDAD JUAREZ|SMART|CPR01103|20 CONVENCIONAL SCJ1|1</t>
  </si>
  <si>
    <t>A01001-341808-1</t>
  </si>
  <si>
    <t>41565</t>
  </si>
  <si>
    <t>CHIAPAS|A01 001 MARBELLA|20260818|20260824|JAPON|MAR|CPR03124|CP27-17 CP34-3</t>
  </si>
  <si>
    <t>CHIAPAS|A01 001 MARBELLA|20260818|20260824|JAPON|MAR|CPR03124|CP27-17 CP34-3|1</t>
  </si>
  <si>
    <t>CHIAPAS|A01 001 MARBELLA|20260818|20260824|JAPON|MAR|CPR03119|CP27-17 CP34-3</t>
  </si>
  <si>
    <t>CHIAPAS|A01 001 MARBELLA|20260818|20260824|JAPON|MAR|CPR03119|CP27-17 CP34-3|1</t>
  </si>
  <si>
    <t>CHIAPAS|A01 001 MARBELLA|20260818|20260821|CEDA|CEDA AUTOSERVICIO|CPR01102|CEDA</t>
  </si>
  <si>
    <t>CHIAPAS|A01 001 MARBELLA|20260818|20260821|CEDA|CEDA AUTOSERVICIO|CPR01102|CEDA|1</t>
  </si>
  <si>
    <t>A11092-341808-1</t>
  </si>
  <si>
    <t>CHIAPAS|A11 092 COMPOSTA|20260818|20260822|MCALLEN|CHANITOS INT|CPR01104|20 CONVENCIONAL F2-1</t>
  </si>
  <si>
    <t>CHIAPAS|A11 092 COMPOSTA|20260818|20260822|MCALLEN|CHANITOS INT|CPR01104|20 CONVENCIONAL F2-1|1</t>
  </si>
  <si>
    <t>A01003-341808-1</t>
  </si>
  <si>
    <t>40784</t>
  </si>
  <si>
    <t>CHIAPAS|A01 003 DONA NELLY|20260818|20260824|MCALLEN|CHANITOS INT|CPR01104|20 CONVENCIONAL F2-2</t>
  </si>
  <si>
    <t>CHIAPAS|A01 003 DONA NELLY|20260818|20260824|MCALLEN|CHANITOS INT|CPR01104|20 CONVENCIONAL F2-2|1</t>
  </si>
  <si>
    <t>CHIAPAS|A01 002 FORTALEZA|20260818|20260821|CEDA|CEDA PISO|CPR01101|CEDA PISO PRODUCTORAS</t>
  </si>
  <si>
    <t>CHIAPAS|A01 002 FORTALEZA|20260818|20260821|CEDA|CEDA PISO|CPR01101|CEDA PISO PRODUCTORAS|1</t>
  </si>
  <si>
    <t>A01002-341808-4</t>
  </si>
  <si>
    <t>CHIAPAS|A01 002 FORTALEZA|20260818|20260821|CEDA|CEDA PISO|CSA04120|MISCELANEOS</t>
  </si>
  <si>
    <t>CHIAPAS|A01 002 FORTALEZA|20260818|20260821|CEDA|CEDA PISO|CSA04120|MISCELANEOS|1</t>
  </si>
  <si>
    <t>A01002-341808-3</t>
  </si>
  <si>
    <t>CHIAPAS|A01 002 FORTALEZA|20260818|20260821|CEDA|CEDA PISO|CMN05123|MISCELANEOS</t>
  </si>
  <si>
    <t>CHIAPAS|A01 002 FORTALEZA|20260818|20260821|CEDA|CEDA PISO|CMN05123|MISCELANEOS|1</t>
  </si>
  <si>
    <t>A01002-341808-5</t>
  </si>
  <si>
    <t>CHIAPAS|A01 002 FORTALEZA|20260818|20260821|CEDA|CEDA PISO|CDS04122|MISCELANEOS</t>
  </si>
  <si>
    <t>CHIAPAS|A01 002 FORTALEZA|20260818|20260821|CEDA|CEDA PISO|CDS04122|MISCELANEOS|1</t>
  </si>
  <si>
    <t>A01001-341808-4</t>
  </si>
  <si>
    <t>CHIAPAS|A01 001 MARBELLA|20260818|20260821|CEDA|CEDA PISO|CSA04120|MISCELANEOS</t>
  </si>
  <si>
    <t>CHIAPAS|A01 001 MARBELLA|20260818|20260821|CEDA|CEDA PISO|CSA04120|MISCELANEOS|1</t>
  </si>
  <si>
    <t>A01001-341808-3</t>
  </si>
  <si>
    <t>CHIAPAS|A01 001 MARBELLA|20260818|20260821|CEDA|CEDA PISO|CMN05123|MISCELANEOS</t>
  </si>
  <si>
    <t>CHIAPAS|A01 001 MARBELLA|20260818|20260821|CEDA|CEDA PISO|CMN05123|MISCELANEOS|1</t>
  </si>
  <si>
    <t>A01001-341808-5</t>
  </si>
  <si>
    <t>CHIAPAS|A01 001 MARBELLA|20260818|20260821|CEDA|CEDA PISO|CDS04122|MISCELANEOS</t>
  </si>
  <si>
    <t>CHIAPAS|A01 001 MARBELLA|20260818|20260821|CEDA|CEDA PISO|CDS04122|MISCELANEOS|1</t>
  </si>
  <si>
    <t>CHIAPAS|A01 003 DONA NELLY|20260818|20260821|CEDA|CEDA PISO|CPR01101|CEDA PISO PRODUCTORAS</t>
  </si>
  <si>
    <t>CHIAPAS|A01 003 DONA NELLY|20260818|20260821|CEDA|CEDA PISO|CPR01101|CEDA PISO PRODUCTORAS|1</t>
  </si>
  <si>
    <t>A01003-341808-4</t>
  </si>
  <si>
    <t>CHIAPAS|A01 003 DONA NELLY|20260818|20260821|CEDA|CEDA PISO|CSA04120|MISCELANEOS</t>
  </si>
  <si>
    <t>CHIAPAS|A01 003 DONA NELLY|20260818|20260821|CEDA|CEDA PISO|CSA04120|MISCELANEOS|1</t>
  </si>
  <si>
    <t>A01003-341808-3</t>
  </si>
  <si>
    <t>CHIAPAS|A01 003 DONA NELLY|20260818|20260821|CEDA|CEDA PISO|CMN05123|MISCELANEOS</t>
  </si>
  <si>
    <t>CHIAPAS|A01 003 DONA NELLY|20260818|20260821|CEDA|CEDA PISO|CMN05123|MISCELANEOS|1</t>
  </si>
  <si>
    <t>A01003-341808-5</t>
  </si>
  <si>
    <t>CHIAPAS|A01 003 DONA NELLY|20260818|20260821|CEDA|CEDA PISO|CDS04122|MISCELANEOS</t>
  </si>
  <si>
    <t>CHIAPAS|A01 003 DONA NELLY|20260818|20260821|CEDA|CEDA PISO|CDS04122|MISCELANEOS|1</t>
  </si>
  <si>
    <t>CHIAPAS|A01 003 DONA NELLY|20260818|20260821|CEDA|CEDA AUTOSERVICIO|CPR01102|CEDA</t>
  </si>
  <si>
    <t>CHIAPAS|A01 003 DONA NELLY|20260818|20260821|CEDA|CEDA AUTOSERVICIO|CPR01102|CEDA|1</t>
  </si>
  <si>
    <t>CHIAPAS|A01 003 DONA NELLY|20260818|20260821|CEDA|CEDA AUTOSERVICIO|CPR01102|CEDA|2</t>
  </si>
  <si>
    <t>A01002-341908-1</t>
  </si>
  <si>
    <t>CHIAPAS|A01 002 FORTALEZA|20260819|20260824|CHALCO|WM|CPR01102|1230 CAJAS CONV Y 66 CAJAS BAE</t>
  </si>
  <si>
    <t>CHIAPAS|A01 002 FORTALEZA|20260819|20260824|CHALCO|WM|CPR01102|1230 CAJAS CONV Y 66 CAJAS BAE|1</t>
  </si>
  <si>
    <t>CHIAPAS|A01 002 FORTALEZA|20260819|20260824|CHALCO|WM|CPR01114|1230 CAJAS CONV Y 66 CAJAS BAE</t>
  </si>
  <si>
    <t>CHIAPAS|A01 002 FORTALEZA|20260819|20260824|CHALCO|WM|CPR01114|1230 CAJAS CONV Y 66 CAJAS BAE|1</t>
  </si>
  <si>
    <t>A01001-341908-1</t>
  </si>
  <si>
    <t>41836</t>
  </si>
  <si>
    <t>CHIAPAS|A01 001 MARBELLA|20260819|20260823|SMO|WM|CPR01102|24 CONVENCIONAL</t>
  </si>
  <si>
    <t>CHIAPAS|A01 001 MARBELLA|20260819|20260823|SMO|WM|CPR01102|24 CONVENCIONAL|1</t>
  </si>
  <si>
    <t>A41100-341908-1</t>
  </si>
  <si>
    <t>CHIAPAS|A41 100 DONA LUPE JV|20260819|20260825|CIUDAD JUAREZ|SMART|CPL08134|17 CONVENCIONAL Y 3 PLANTAIN</t>
  </si>
  <si>
    <t>CHIAPAS|A41 100 DONA LUPE JV|20260819|20260825|CIUDAD JUAREZ|SMART|CPL08134|17 CONVENCIONAL Y 3 PLANTAIN|1</t>
  </si>
  <si>
    <t>A01003-341908-1</t>
  </si>
  <si>
    <t>CHIAPAS|A01 003 DONA NELLY|20260819|20260825|CIUDAD JUAREZ|SMART|CPR01103|17 CONVENCIONAL Y 3 PLANTAIN</t>
  </si>
  <si>
    <t>CHIAPAS|A01 003 DONA NELLY|20260819|20260825|CIUDAD JUAREZ|SMART|CPR01103|17 CONVENCIONAL Y 3 PLANTAIN|1</t>
  </si>
  <si>
    <t>A04084-341908-1</t>
  </si>
  <si>
    <t>42592</t>
  </si>
  <si>
    <t>CHIAPAS|A04 084 LISBOA|20260819|20260826|CIUDAD JUAREZ|SMART|CPR01103|20 CONVENCIONAL SM1</t>
  </si>
  <si>
    <t>CHIAPAS|A04 084 LISBOA|20260819|20260826|CIUDAD JUAREZ|SMART|CPR01103|20 CONVENCIONAL SM1|1</t>
  </si>
  <si>
    <t>A36090-341908-1</t>
  </si>
  <si>
    <t>40785</t>
  </si>
  <si>
    <t>CHIAPAS|A36 090 HEAVY|20260819|20260824|MCALLEN|CHANITOS INT|CPR01104|20 CONVENCIONAL F3-1</t>
  </si>
  <si>
    <t>CHIAPAS|A36 090 HEAVY|20260819|20260824|MCALLEN|CHANITOS INT|CPR01104|20 CONVENCIONAL F3-1|1</t>
  </si>
  <si>
    <t>CHIAPAS|A01 002 FORTALEZA|20260819|20260821|CEDA|CEDA AUTOSERVICIO|CPR01102|CEDA</t>
  </si>
  <si>
    <t>CHIAPAS|A01 002 FORTALEZA|20260819|20260821|CEDA|CEDA AUTOSERVICIO|CPR01102|CEDA|1</t>
  </si>
  <si>
    <t>CHIAPAS|A01 002 FORTALEZA|20260819|20260821|CEDA|CEDA PISO|CPR01101|CEDA PISO PRODUCTORAS</t>
  </si>
  <si>
    <t>CHIAPAS|A01 002 FORTALEZA|20260819|20260821|CEDA|CEDA PISO|CPR01101|CEDA PISO PRODUCTORAS|1</t>
  </si>
  <si>
    <t>A01002-341908-4</t>
  </si>
  <si>
    <t>CHIAPAS|A01 002 FORTALEZA|20260819|20260821|CEDA|CEDA PISO|CSA04120|MISCELANEOS</t>
  </si>
  <si>
    <t>CHIAPAS|A01 002 FORTALEZA|20260819|20260821|CEDA|CEDA PISO|CSA04120|MISCELANEOS|1</t>
  </si>
  <si>
    <t>A01002-341908-3</t>
  </si>
  <si>
    <t>CHIAPAS|A01 002 FORTALEZA|20260819|20260821|CEDA|CEDA PISO|CMN05123|MISCELANEOS</t>
  </si>
  <si>
    <t>CHIAPAS|A01 002 FORTALEZA|20260819|20260821|CEDA|CEDA PISO|CMN05123|MISCELANEOS|1</t>
  </si>
  <si>
    <t>A01002-341908-5</t>
  </si>
  <si>
    <t>CHIAPAS|A01 002 FORTALEZA|20260819|20260821|CEDA|CEDA PISO|CDS04122|MISCELANEOS</t>
  </si>
  <si>
    <t>CHIAPAS|A01 002 FORTALEZA|20260819|20260821|CEDA|CEDA PISO|CDS04122|MISCELANEOS|1</t>
  </si>
  <si>
    <t>CHIAPAS|A01 001 MARBELLA|20260819|20260821|CEDA|CEDA AUTOSERVICIO|CPR01102|CEDA</t>
  </si>
  <si>
    <t>CHIAPAS|A01 001 MARBELLA|20260819|20260821|CEDA|CEDA AUTOSERVICIO|CPR01102|CEDA|1</t>
  </si>
  <si>
    <t>CHIAPAS|A01 001 MARBELLA|20260819|20260821|CEDA|CEDA PISO|CPR01101|CEDA PISO PRODUCTORAS</t>
  </si>
  <si>
    <t>CHIAPAS|A01 001 MARBELLA|20260819|20260821|CEDA|CEDA PISO|CPR01101|CEDA PISO PRODUCTORAS|1</t>
  </si>
  <si>
    <t>A01001-341908-4</t>
  </si>
  <si>
    <t>CHIAPAS|A01 001 MARBELLA|20260819|20260821|CEDA|CEDA PISO|CSA04120|MISCELANEOS</t>
  </si>
  <si>
    <t>CHIAPAS|A01 001 MARBELLA|20260819|20260821|CEDA|CEDA PISO|CSA04120|MISCELANEOS|1</t>
  </si>
  <si>
    <t>A01001-341908-3</t>
  </si>
  <si>
    <t>CHIAPAS|A01 001 MARBELLA|20260819|20260821|CEDA|CEDA PISO|CMN05123|MISCELANEOS</t>
  </si>
  <si>
    <t>CHIAPAS|A01 001 MARBELLA|20260819|20260821|CEDA|CEDA PISO|CMN05123|MISCELANEOS|1</t>
  </si>
  <si>
    <t>A01001-341908-5</t>
  </si>
  <si>
    <t>CHIAPAS|A01 001 MARBELLA|20260819|20260821|CEDA|CEDA PISO|CDS04122|MISCELANEOS</t>
  </si>
  <si>
    <t>CHIAPAS|A01 001 MARBELLA|20260819|20260821|CEDA|CEDA PISO|CDS04122|MISCELANEOS|1</t>
  </si>
  <si>
    <t>CHIAPAS|A01 003 DONA NELLY|20260819|20260821|CEDA|CEDA PISO|CPR01101|CEDA PISO PRODUCTORAS</t>
  </si>
  <si>
    <t>CHIAPAS|A01 003 DONA NELLY|20260819|20260821|CEDA|CEDA PISO|CPR01101|CEDA PISO PRODUCTORAS|1</t>
  </si>
  <si>
    <t>CHIAPAS|A01 003 DONA NELLY|20260819|20260821|CEDA|CEDA PISO|CPR01101|CEDA PISO PRODUCTORAS|2</t>
  </si>
  <si>
    <t>A01003-341908-4</t>
  </si>
  <si>
    <t>CHIAPAS|A01 003 DONA NELLY|20260819|20260821|CEDA|CEDA PISO|CSA04120|MISCELANEOS</t>
  </si>
  <si>
    <t>CHIAPAS|A01 003 DONA NELLY|20260819|20260821|CEDA|CEDA PISO|CSA04120|MISCELANEOS|1</t>
  </si>
  <si>
    <t>A01003-341908-3</t>
  </si>
  <si>
    <t>CHIAPAS|A01 003 DONA NELLY|20260819|20260821|CEDA|CEDA PISO|CMN05123|MISCELANEOS</t>
  </si>
  <si>
    <t>CHIAPAS|A01 003 DONA NELLY|20260819|20260821|CEDA|CEDA PISO|CMN05123|MISCELANEOS|1</t>
  </si>
  <si>
    <t>A01003-341908-5</t>
  </si>
  <si>
    <t>CHIAPAS|A01 003 DONA NELLY|20260819|20260821|CEDA|CEDA PISO|CDS04122|MISCELANEOS</t>
  </si>
  <si>
    <t>CHIAPAS|A01 003 DONA NELLY|20260819|20260821|CEDA|CEDA PISO|CDS04122|MISCELANEOS|1</t>
  </si>
  <si>
    <t>CHIAPAS|A41 100 DONA LUPE JV|20260819|20260821|CEDA|CEDA AUTOSERVICIO|CPL08141|CEDA PLANTAIN</t>
  </si>
  <si>
    <t>CHIAPAS|A41 100 DONA LUPE JV|20260819|20260821|CEDA|CEDA AUTOSERVICIO|CPL08141|CEDA PLANTAIN|1</t>
  </si>
  <si>
    <t>41990</t>
  </si>
  <si>
    <t>CHIAPAS|A01 003 DONA NELLY|20260819|20260824|MTY|WM|CPR01102|22 CONVENCIONAL CON 5 CAJAS BAE Y 2 ORG</t>
  </si>
  <si>
    <t>CHIAPAS|A01 003 DONA NELLY|20260819|20260824|MTY|WM|CPR01102|22 CONVENCIONAL CON 5 CAJAS BAE Y 2 ORG|1</t>
  </si>
  <si>
    <t>A36005-342008-1</t>
  </si>
  <si>
    <t>41839</t>
  </si>
  <si>
    <t>CHIAPAS|A36 005 LA GLORIA|20260820|20260824|SMO|WM|CPR01102|24 CONVENCIONAL</t>
  </si>
  <si>
    <t>CHIAPAS|A36 005 LA GLORIA|20260820|20260824|SMO|WM|CPR01102|24 CONVENCIONAL|1</t>
  </si>
  <si>
    <t>A06043-342008-1</t>
  </si>
  <si>
    <t>40787</t>
  </si>
  <si>
    <t>CHIAPAS|A06 043 NUESTRA SENORA|20260820|20260825|MCALLEN|CHANITOS INT|CPR01104|20 CONVENCIONAL F3-2</t>
  </si>
  <si>
    <t>CHIAPAS|A06 043 NUESTRA SENORA|20260820|20260825|MCALLEN|CHANITOS INT|CPR01104|20 CONVENCIONAL F3-2|1</t>
  </si>
  <si>
    <t>A04084-342008-1</t>
  </si>
  <si>
    <t>40668</t>
  </si>
  <si>
    <t>CHIAPAS|A04 084 LISBOA|20260820|20260826|S-MTY|SMART|CPR01103|20 CONVENCIONAL SCJ1</t>
  </si>
  <si>
    <t>CHIAPAS|A04 084 LISBOA|20260820|20260826|S-MTY|SMART|CPR01103|20 CONVENCIONAL SCJ1|1</t>
  </si>
  <si>
    <t>A12057-342008-1</t>
  </si>
  <si>
    <t>41680</t>
  </si>
  <si>
    <t>CHIAPAS|A12 057 TIQUISATE 1|20260820|20260824|VSA|WM|CPR01102|19 CONVENCIONAL Y 5 ORG</t>
  </si>
  <si>
    <t>CHIAPAS|A12 057 TIQUISATE 1|20260820|20260824|VSA|WM|CPR01102|19 CONVENCIONAL Y 5 ORG|1</t>
  </si>
  <si>
    <t>A36090-342008-1</t>
  </si>
  <si>
    <t>CHIAPAS|A36 090 HEAVY|20260820|20260826|CIUDAD JUAREZ|SMART|CPR01103|20 CONVENCIONAL SM2</t>
  </si>
  <si>
    <t>CHIAPAS|A36 090 HEAVY|20260820|20260826|CIUDAD JUAREZ|SMART|CPR01103|20 CONVENCIONAL SM2|1</t>
  </si>
  <si>
    <t>A01003-342008-1</t>
  </si>
  <si>
    <t>42008</t>
  </si>
  <si>
    <t>CHIAPAS|A01 003 DONA NELLY|20260820|20260824|MTY|WM|CPR01114|22 CONVENCIONAL CON 5 CAJAS BAE Y 2 ORG</t>
  </si>
  <si>
    <t>CHIAPAS|A01 003 DONA NELLY|20260820|20260824|MTY|WM|CPR01114|22 CONVENCIONAL CON 5 CAJAS BAE Y 2 ORG|1</t>
  </si>
  <si>
    <t>41995</t>
  </si>
  <si>
    <t>CHIAPAS|A01 003 DONA NELLY|20260820|20260824|MTY|WM|CRG07128|22 CONVENCIONAL CON 5 CAJAS BAE Y 2 ORG</t>
  </si>
  <si>
    <t>CHIAPAS|A01 003 DONA NELLY|20260820|20260824|MTY|WM|CRG07128|22 CONVENCIONAL CON 5 CAJAS BAE Y 2 ORG|1</t>
  </si>
  <si>
    <t>CHIAPAS|A01 003 DONA NELLY|20260820|20260824|MTY|WM|CPR01102|22 CONVENCIONAL CON 5 CAJAS BAE Y 2 ORG</t>
  </si>
  <si>
    <t>CHIAPAS|A01 003 DONA NELLY|20260820|20260824|MTY|WM|CPR01102|22 CONVENCIONAL CON 5 CAJAS BAE Y 2 ORG|1</t>
  </si>
  <si>
    <t>42021</t>
  </si>
  <si>
    <t>CHIAPAS|A01 003 DONA NELLY|20260820|20260826|QRO|WM|CPR01102|22 CONVENCIONAL Y 2 ORG</t>
  </si>
  <si>
    <t>CHIAPAS|A01 003 DONA NELLY|20260820|20260826|QRO|WM|CPR01102|22 CONVENCIONAL Y 2 ORG|1</t>
  </si>
  <si>
    <t>CHIAPAS|A01 003 DONA NELLY|20260820|20260821|CEDA|CEDA AUTOSERVICIO|CPR01103|CEDA</t>
  </si>
  <si>
    <t>CHIAPAS|A01 003 DONA NELLY|20260820|20260821|CEDA|CEDA AUTOSERVICIO|CPR01103|CEDA|1</t>
  </si>
  <si>
    <t>CHIAPAS|A01 003 DONA NELLY|20260820|20260821|CEDA|CEDA AUTOSERVICIO|CPR01103|CEDA|2</t>
  </si>
  <si>
    <t>CHIAPAS|A01 003 DONA NELLY|20260820|20260821|CEDA|CEDA PISO|CPR01101|CEDA PISO PRODUCTORAS</t>
  </si>
  <si>
    <t>CHIAPAS|A01 003 DONA NELLY|20260820|20260821|CEDA|CEDA PISO|CPR01101|CEDA PISO PRODUCTORAS|1</t>
  </si>
  <si>
    <t>CHIAPAS|A01 003 DONA NELLY|20260820|20260821|CEDA|CEDA PISO|CSA04120|MISCELANEOS</t>
  </si>
  <si>
    <t>CHIAPAS|A01 003 DONA NELLY|20260820|20260821|CEDA|CEDA PISO|CSA04120|MISCELANEOS|1</t>
  </si>
  <si>
    <t>CHIAPAS|A01 003 DONA NELLY|20260820|20260821|CEDA|CEDA PISO|CMN05123|MISCELANEOS</t>
  </si>
  <si>
    <t>CHIAPAS|A01 003 DONA NELLY|20260820|20260821|CEDA|CEDA PISO|CMN05123|MISCELANEOS|1</t>
  </si>
  <si>
    <t>CHIAPAS|A01 003 DONA NELLY|20260820|20260821|CEDA|CEDA PISO|CDS04122|MISCELANEOS</t>
  </si>
  <si>
    <t>CHIAPAS|A01 003 DONA NELLY|20260820|20260821|CEDA|CEDA PISO|CDS04122|MISCELANEOS|1</t>
  </si>
  <si>
    <t>A01001-342008-1</t>
  </si>
  <si>
    <t>42020</t>
  </si>
  <si>
    <t>CHIAPAS|A01 001 MARBELLA|20260820|20260824|QRO|WM|CPR01102|22 CONVENCIONAL Y 2 ORG</t>
  </si>
  <si>
    <t>CHIAPAS|A01 001 MARBELLA|20260820|20260824|QRO|WM|CPR01102|22 CONVENCIONAL Y 2 ORG|1</t>
  </si>
  <si>
    <t>CHIAPAS|A01 001 MARBELLA|20260820|20260821|CEDA|CEDA AUTOSERVICIO|CPL08141|CEDA PLANTAIN</t>
  </si>
  <si>
    <t>CHIAPAS|A01 001 MARBELLA|20260820|20260821|CEDA|CEDA AUTOSERVICIO|CPL08141|CEDA PLANTAIN|1</t>
  </si>
  <si>
    <t>CHIAPAS|A01 001 MARBELLA|20260820|20260821|CEDA|CEDA AUTOSERVICIO|CPR01102|CEDA</t>
  </si>
  <si>
    <t>CHIAPAS|A01 001 MARBELLA|20260820|20260821|CEDA|CEDA AUTOSERVICIO|CPR01102|CEDA|1</t>
  </si>
  <si>
    <t>CHIAPAS|A01 001 MARBELLA|20260820|20260821|CEDA|CEDA PISO|CPR01101|CEDA PISO PRODUCTORAS</t>
  </si>
  <si>
    <t>CHIAPAS|A01 001 MARBELLA|20260820|20260821|CEDA|CEDA PISO|CPR01101|CEDA PISO PRODUCTORAS|1</t>
  </si>
  <si>
    <t>A01001-342008-4</t>
  </si>
  <si>
    <t>CHIAPAS|A01 001 MARBELLA|20260820|20260821|CEDA|CEDA PISO|CSA04120|MISCELANEOS</t>
  </si>
  <si>
    <t>CHIAPAS|A01 001 MARBELLA|20260820|20260821|CEDA|CEDA PISO|CSA04120|MISCELANEOS|1</t>
  </si>
  <si>
    <t>A01001-342008-3</t>
  </si>
  <si>
    <t>CHIAPAS|A01 001 MARBELLA|20260820|20260821|CEDA|CEDA PISO|CMN05123|MISCELANEOS</t>
  </si>
  <si>
    <t>CHIAPAS|A01 001 MARBELLA|20260820|20260821|CEDA|CEDA PISO|CMN05123|MISCELANEOS|1</t>
  </si>
  <si>
    <t>A01001-342008-5</t>
  </si>
  <si>
    <t>CHIAPAS|A01 001 MARBELLA|20260820|20260821|CEDA|CEDA PISO|CDS04122|MISCELANEOS</t>
  </si>
  <si>
    <t>CHIAPAS|A01 001 MARBELLA|20260820|20260821|CEDA|CEDA PISO|CDS04122|MISCELANEOS|1</t>
  </si>
  <si>
    <t>42350</t>
  </si>
  <si>
    <t>CHIAPAS|A01 001 MARBELLA|20260820|20260825|SMO|WM|CPR01102|24 CONVENCIONAL REPOSICION</t>
  </si>
  <si>
    <t>CHIAPAS|A01 001 MARBELLA|20260820|20260825|SMO|WM|CPR01102|24 CONVENCIONAL REPOSICION|1</t>
  </si>
  <si>
    <t>A01002-342008-1</t>
  </si>
  <si>
    <t>CHIAPAS|A01 002 FORTALEZA|20260820|20260825|SMO|WM|CPR01102|24 CONVENCIONAL REPOSICION</t>
  </si>
  <si>
    <t>CHIAPAS|A01 002 FORTALEZA|20260820|20260825|SMO|WM|CPR01102|24 CONVENCIONAL REPOSICION|1</t>
  </si>
  <si>
    <t>42032</t>
  </si>
  <si>
    <t>CHIAPAS|A01 002 FORTALEZA|20260820|20260826|CHALCO|WM|CPR01102|906 CAJAS CONV Y 54 CAJAS BAE</t>
  </si>
  <si>
    <t>CHIAPAS|A01 002 FORTALEZA|20260820|20260826|CHALCO|WM|CPR01102|906 CAJAS CONV Y 54 CAJAS BAE|1</t>
  </si>
  <si>
    <t>CHIAPAS|A01 002 FORTALEZA|20260820|20260826|CHALCO|WM|CPR01114|906 CAJAS CONV Y 54 CAJAS BAE</t>
  </si>
  <si>
    <t>CHIAPAS|A01 002 FORTALEZA|20260820|20260826|CHALCO|WM|CPR01114|906 CAJAS CONV Y 54 CAJAS BAE|1</t>
  </si>
  <si>
    <t>CHIAPAS|A01 002 FORTALEZA|20260820|20260824|QRO|WM|CRG07128|22 CONVENCIONAL Y 2 ORG</t>
  </si>
  <si>
    <t>CHIAPAS|A01 002 FORTALEZA|20260820|20260824|QRO|WM|CRG07128|22 CONVENCIONAL Y 2 ORG|1</t>
  </si>
  <si>
    <t>41722</t>
  </si>
  <si>
    <t>CHIAPAS|A01 002 FORTALEZA|20260820|20260824|VSA|WM|CRG07128|19 CONVENCIONAL Y 5 ORG</t>
  </si>
  <si>
    <t>CHIAPAS|A01 002 FORTALEZA|20260820|20260824|VSA|WM|CRG07128|19 CONVENCIONAL Y 5 ORG|1</t>
  </si>
  <si>
    <t>CHIAPAS|A01 002 FORTALEZA|20260820|20260821|CEDA|CEDA PISO|CPR01114|CEDA PISO PRODUCTORAS</t>
  </si>
  <si>
    <t>CHIAPAS|A01 002 FORTALEZA|20260820|20260821|CEDA|CEDA PISO|CPR01114|CEDA PISO PRODUCTORAS|1</t>
  </si>
  <si>
    <t>CHIAPAS|A01 002 FORTALEZA|20260820|20260821|CEDA|CEDA PISO|CPR01101|CEDA PISO PRODUCTORAS</t>
  </si>
  <si>
    <t>CHIAPAS|A01 002 FORTALEZA|20260820|20260821|CEDA|CEDA PISO|CPR01101|CEDA PISO PRODUCTORAS|1</t>
  </si>
  <si>
    <t>A01002-342008-4</t>
  </si>
  <si>
    <t>CHIAPAS|A01 002 FORTALEZA|20260820|20260821|CEDA|CEDA PISO|CSA04120|MISCELANEOS</t>
  </si>
  <si>
    <t>CHIAPAS|A01 002 FORTALEZA|20260820|20260821|CEDA|CEDA PISO|CSA04120|MISCELANEOS|1</t>
  </si>
  <si>
    <t>A01002-342008-3</t>
  </si>
  <si>
    <t>CHIAPAS|A01 002 FORTALEZA|20260820|20260821|CEDA|CEDA PISO|CMN05123|MISCELANEOS</t>
  </si>
  <si>
    <t>CHIAPAS|A01 002 FORTALEZA|20260820|20260821|CEDA|CEDA PISO|CMN05123|MISCELANEOS|1</t>
  </si>
  <si>
    <t>A01002-342008-5</t>
  </si>
  <si>
    <t>CHIAPAS|A01 002 FORTALEZA|20260820|20260821|CEDA|CEDA PISO|CDS04122|MISCELANEOS</t>
  </si>
  <si>
    <t>CHIAPAS|A01 002 FORTALEZA|20260820|20260821|CEDA|CEDA PISO|CDS04122|MISCELANEOS|1</t>
  </si>
  <si>
    <t>A36090-342108-1</t>
  </si>
  <si>
    <t>CHIAPAS|A36 090 HEAVY|20260821|20260825|SMO|WM|CPR01102|24 CONVENCIONAL REPOSICION</t>
  </si>
  <si>
    <t>CHIAPAS|A36 090 HEAVY|20260821|20260825|SMO|WM|CPR01102|24 CONVENCIONAL REPOSICION|1</t>
  </si>
  <si>
    <t>CHIAPAS|A36 090 HEAVY|20260821|20260826|CHALCO|WM|CPR01102|906 CAJAS CONV Y 54 CAJAS BAE</t>
  </si>
  <si>
    <t>CHIAPAS|A36 090 HEAVY|20260821|20260826|CHALCO|WM|CPR01102|906 CAJAS CONV Y 54 CAJAS BAE|1</t>
  </si>
  <si>
    <t>A05040-342108-1</t>
  </si>
  <si>
    <t>42740</t>
  </si>
  <si>
    <t>CHIAPAS|A05 040 PLATANEROS UNIDOS 1|20260821|20260826|SMO|WM|CPR01102|24 CONVENCIONAL ADICIONAL BTS</t>
  </si>
  <si>
    <t>CHIAPAS|A05 040 PLATANEROS UNIDOS 1|20260821|20260826|SMO|WM|CPR01102|24 CONVENCIONAL ADICIONAL BTS|1</t>
  </si>
  <si>
    <t>A04084-342108-1</t>
  </si>
  <si>
    <t>CHIAPAS|A04 084 LISBOA|20260821|20260826|S-MTY|SMART|CPR01103|20 CONVENCIONAL SCJ2</t>
  </si>
  <si>
    <t>CHIAPAS|A04 084 LISBOA|20260821|20260826|S-MTY|SMART|CPR01103|20 CONVENCIONAL SCJ2|1</t>
  </si>
  <si>
    <t>A25022-342108-1</t>
  </si>
  <si>
    <t>40786</t>
  </si>
  <si>
    <t>CHIAPAS|A25 022 DONA MILDRED|20260821|20260825|MCALLEN|CHANITOS INT|CPR01104|20 CONVENCIONAL F4-2</t>
  </si>
  <si>
    <t>CHIAPAS|A25 022 DONA MILDRED|20260821|20260825|MCALLEN|CHANITOS INT|CPR01104|20 CONVENCIONAL F4-2|1</t>
  </si>
  <si>
    <t>A06043-342108-1</t>
  </si>
  <si>
    <t>CHIAPAS|A06 043 NUESTRA SENORA|20260821|20260825|MCALLEN|CHANITOS INT|CPR01104|20 CONVENCIONAL F3-2</t>
  </si>
  <si>
    <t>CHIAPAS|A06 043 NUESTRA SENORA|20260821|20260825|MCALLEN|CHANITOS INT|CPR01104|20 CONVENCIONAL F3-2|1</t>
  </si>
  <si>
    <t>A27073-342108-1</t>
  </si>
  <si>
    <t>42493</t>
  </si>
  <si>
    <t>CHIAPAS|A27 073 PLANTACION|20260821|20260825|MCALLEN|CHANITOS INT|CPL08133|24 PLANTAIN</t>
  </si>
  <si>
    <t>CHIAPAS|A27 073 PLANTACION|20260821|20260825|MCALLEN|CHANITOS INT|CPL08133|24 PLANTAIN|1</t>
  </si>
  <si>
    <t>A04039-342108-1</t>
  </si>
  <si>
    <t>41459</t>
  </si>
  <si>
    <t>CHIAPAS|A04 039 SAN JOSE MORELIA NAVA|20260821|20260827|MCALLEN|CHANITOS INT|CPR01104|20 CONVENCIONAL F5-1</t>
  </si>
  <si>
    <t>CHIAPAS|A04 039 SAN JOSE MORELIA NAVA|20260821|20260827|MCALLEN|CHANITOS INT|CPR01104|20 CONVENCIONAL F5-1|1</t>
  </si>
  <si>
    <t>A11092-342108-1</t>
  </si>
  <si>
    <t>41464</t>
  </si>
  <si>
    <t>CHIAPAS|A11 092 COMPOSTA|20260821|20260828|MCALLEN|CHANITOS INT|CPR01104|20 CONVENCIONAL F5-2</t>
  </si>
  <si>
    <t>CHIAPAS|A11 092 COMPOSTA|20260821|20260828|MCALLEN|CHANITOS INT|CPR01104|20 CONVENCIONAL F5-2|1</t>
  </si>
  <si>
    <t>A11045-342108-1</t>
  </si>
  <si>
    <t>CHIAPAS|A11 045 SECTOR MAZATAN|20260821|20260828|MCALLEN|CHANITOS INT|CPR01104|20 CONVENCIONAL F5-2</t>
  </si>
  <si>
    <t>CHIAPAS|A11 045 SECTOR MAZATAN|20260821|20260828|MCALLEN|CHANITOS INT|CPR01104|20 CONVENCIONAL F5-2|1</t>
  </si>
  <si>
    <t>41998</t>
  </si>
  <si>
    <t>CHIAPAS|A11 045 SECTOR MAZATAN|20260821|20260826|MTY|WM|CPR01102|23 CONVENCIONAL Y 1 ORG</t>
  </si>
  <si>
    <t>CHIAPAS|A11 045 SECTOR MAZATAN|20260821|20260826|MTY|WM|CPR01102|23 CONVENCIONAL Y 1 ORG|1</t>
  </si>
  <si>
    <t>CHIAPAS|A11 092 COMPOSTA|20260821|20260826|MTY|WM|CPR01102|23 CONVENCIONAL Y 1 ORG</t>
  </si>
  <si>
    <t>CHIAPAS|A11 092 COMPOSTA|20260821|20260826|MTY|WM|CPR01102|23 CONVENCIONAL Y 1 ORG|1</t>
  </si>
  <si>
    <t>40673</t>
  </si>
  <si>
    <t>CHIAPAS|A11 045 SECTOR MAZATAN|20260821|20260828|CIUDAD JUAREZ|SMART|CPR01103|20 CONVENCIONAL SM5</t>
  </si>
  <si>
    <t>CHIAPAS|A11 045 SECTOR MAZATAN|20260821|20260828|CIUDAD JUAREZ|SMART|CPR01103|20 CONVENCIONAL SM5|1</t>
  </si>
  <si>
    <t>CHIAPAS|A11 092 COMPOSTA|20260821|20260828|CIUDAD JUAREZ|SMART|CPR01103|20 CONVENCIONAL SM5</t>
  </si>
  <si>
    <t>CHIAPAS|A11 092 COMPOSTA|20260821|20260828|CIUDAD JUAREZ|SMART|CPR01103|20 CONVENCIONAL SM5|1</t>
  </si>
  <si>
    <t>A01003-342108-1</t>
  </si>
  <si>
    <t>CHIAPAS|A01 003 DONA NELLY|20260821|20260826|QRO|WM|CPR01102|22 CONVENCIONAL Y 2 ORG</t>
  </si>
  <si>
    <t>CHIAPAS|A01 003 DONA NELLY|20260821|20260826|QRO|WM|CPR01102|22 CONVENCIONAL Y 2 ORG|1</t>
  </si>
  <si>
    <t>CHIAPAS|A01 003 DONA NELLY|20260821|20260826|QRO|WM|CRG07128|22 CONVENCIONAL Y 2 ORG</t>
  </si>
  <si>
    <t>CHIAPAS|A01 003 DONA NELLY|20260821|20260826|QRO|WM|CRG07128|22 CONVENCIONAL Y 2 ORG|1</t>
  </si>
  <si>
    <t>CHIAPAS|A01 003 DONA NELLY|20260821|20260826|MTY|WM|CPR01102|23 CONVENCIONAL Y 1 ORG</t>
  </si>
  <si>
    <t>CHIAPAS|A01 003 DONA NELLY|20260821|20260826|MTY|WM|CPR01102|23 CONVENCIONAL Y 1 ORG|1</t>
  </si>
  <si>
    <t>CHIAPAS|A01 003 DONA NELLY|20260821|20260821|CEDA|CEDA PISO|CPR01101|CEDA PISO PRODUCTORAS</t>
  </si>
  <si>
    <t>CHIAPAS|A01 003 DONA NELLY|20260821|20260821|CEDA|CEDA PISO|CPR01101|CEDA PISO PRODUCTORAS|1</t>
  </si>
  <si>
    <t>A01003-342108-4</t>
  </si>
  <si>
    <t>CHIAPAS|A01 003 DONA NELLY|20260821|20260821|CEDA|CEDA PISO|CSA04120|MISCELANEOS</t>
  </si>
  <si>
    <t>CHIAPAS|A01 003 DONA NELLY|20260821|20260821|CEDA|CEDA PISO|CSA04120|MISCELANEOS|1</t>
  </si>
  <si>
    <t>A01003-342108-3</t>
  </si>
  <si>
    <t>CHIAPAS|A01 003 DONA NELLY|20260821|20260821|CEDA|CEDA PISO|CMN05123|MISCELANEOS</t>
  </si>
  <si>
    <t>CHIAPAS|A01 003 DONA NELLY|20260821|20260821|CEDA|CEDA PISO|CMN05123|MISCELANEOS|1</t>
  </si>
  <si>
    <t>A01003-342108-5</t>
  </si>
  <si>
    <t>CHIAPAS|A01 003 DONA NELLY|20260821|20260821|CEDA|CEDA PISO|CDS04122|MISCELANEOS</t>
  </si>
  <si>
    <t>CHIAPAS|A01 003 DONA NELLY|20260821|20260821|CEDA|CEDA PISO|CDS04122|MISCELANEOS|1</t>
  </si>
  <si>
    <t>A01002-342108-1</t>
  </si>
  <si>
    <t>CHIAPAS|A01 002 FORTALEZA|20260821|20260826|CHALCO|WM|CPR01102|906 CAJAS CONV Y 54 CAJAS BAE</t>
  </si>
  <si>
    <t>CHIAPAS|A01 002 FORTALEZA|20260821|20260826|CHALCO|WM|CPR01102|906 CAJAS CONV Y 54 CAJAS BAE|1</t>
  </si>
  <si>
    <t>CHIAPAS|A01 002 FORTALEZA|20260821|20260821|CEDA|CEDA PISO|CPR01101|CEDA PISO PRODUCTORAS</t>
  </si>
  <si>
    <t>CHIAPAS|A01 002 FORTALEZA|20260821|20260821|CEDA|CEDA PISO|CPR01101|CEDA PISO PRODUCTORAS|1</t>
  </si>
  <si>
    <t>A01002-342108-4</t>
  </si>
  <si>
    <t>CHIAPAS|A01 002 FORTALEZA|20260821|20260821|CEDA|CEDA PISO|CSA04120|MISCELANEOS</t>
  </si>
  <si>
    <t>CHIAPAS|A01 002 FORTALEZA|20260821|20260821|CEDA|CEDA PISO|CSA04120|MISCELANEOS|1</t>
  </si>
  <si>
    <t>A01002-342108-3</t>
  </si>
  <si>
    <t>CHIAPAS|A01 002 FORTALEZA|20260821|20260821|CEDA|CEDA PISO|CMN05123|MISCELANEOS</t>
  </si>
  <si>
    <t>CHIAPAS|A01 002 FORTALEZA|20260821|20260821|CEDA|CEDA PISO|CMN05123|MISCELANEOS|1</t>
  </si>
  <si>
    <t>A01002-342108-5</t>
  </si>
  <si>
    <t>CHIAPAS|A01 002 FORTALEZA|20260821|20260821|CEDA|CEDA PISO|CDS04122|MISCELANEOS</t>
  </si>
  <si>
    <t>CHIAPAS|A01 002 FORTALEZA|20260821|20260821|CEDA|CEDA PISO|CDS04122|MISCELANEOS|1</t>
  </si>
  <si>
    <t>CHIAPAS|A01 002 FORTALEZA|20260821|20260826|CHALCO|WM|CPR01102|906 CAJAS CONV Y 54 CAJAS BAE|2</t>
  </si>
  <si>
    <t>41727</t>
  </si>
  <si>
    <t>CHIAPAS|A01 002 FORTALEZA|20260821|20260827|VSA|WM|CPR01102|19 CONVENCIONAL Y 5 ORG</t>
  </si>
  <si>
    <t>CHIAPAS|A01 002 FORTALEZA|20260821|20260827|VSA|WM|CPR01102|19 CONVENCIONAL Y 5 ORG|1</t>
  </si>
  <si>
    <t>41729</t>
  </si>
  <si>
    <t>CHIAPAS|A01 002 FORTALEZA|20260821|20260827|VSA|WM|CRG07128|19 CONVENCIONAL Y 5 ORG</t>
  </si>
  <si>
    <t>CHIAPAS|A01 002 FORTALEZA|20260821|20260827|VSA|WM|CRG07128|19 CONVENCIONAL Y 5 ORG|1</t>
  </si>
  <si>
    <t>A01004-342108-1</t>
  </si>
  <si>
    <t>41460</t>
  </si>
  <si>
    <t>CHIAPAS|A01 004 LA CEIBA|20260821|20260827|MCALLEN|CHANITOS INT|CPR01104|20 CONVENCIONAL F4-1</t>
  </si>
  <si>
    <t>CHIAPAS|A01 004 LA CEIBA|20260821|20260827|MCALLEN|CHANITOS INT|CPR01104|20 CONVENCIONAL F4-1|1</t>
  </si>
  <si>
    <t>CHIAPAS|A01 004 LA CEIBA|20260821|20260821|CEDA|CEDA PISO|CPR01101|CEDA PISO PRODUCTORAS</t>
  </si>
  <si>
    <t>CHIAPAS|A01 004 LA CEIBA|20260821|20260821|CEDA|CEDA PISO|CPR01101|CEDA PISO PRODUCTORAS|1</t>
  </si>
  <si>
    <t>CHIAPAS|A01 004 LA CEIBA|20260821|20260821|CEDA|CEDA PISO|CPR01101|CEDA PISO PRODUCTORAS|2</t>
  </si>
  <si>
    <t>A01004-342108-4</t>
  </si>
  <si>
    <t>CHIAPAS|A01 004 LA CEIBA|20260821|20260821|CEDA|CEDA PISO|CSA04120|MISCELANEOS</t>
  </si>
  <si>
    <t>CHIAPAS|A01 004 LA CEIBA|20260821|20260821|CEDA|CEDA PISO|CSA04120|MISCELANEOS|1</t>
  </si>
  <si>
    <t>A01004-342108-3</t>
  </si>
  <si>
    <t>CHIAPAS|A01 004 LA CEIBA|20260821|20260821|CEDA|CEDA PISO|CMN05123|MISCELANEOS</t>
  </si>
  <si>
    <t>CHIAPAS|A01 004 LA CEIBA|20260821|20260821|CEDA|CEDA PISO|CMN05123|MISCELANEOS|1</t>
  </si>
  <si>
    <t>A01004-342108-5</t>
  </si>
  <si>
    <t>CHIAPAS|A01 004 LA CEIBA|20260821|20260821|CEDA|CEDA PISO|CDS04122|MISCELANEOS</t>
  </si>
  <si>
    <t>CHIAPAS|A01 004 LA CEIBA|20260821|20260821|CEDA|CEDA PISO|CDS04122|MISCELANEOS|1</t>
  </si>
  <si>
    <t>A04039-342208-1</t>
  </si>
  <si>
    <t>CHIAPAS|A04 039 SAN JOSE MORELIA NAVA|20260822|20260828|CIUDAD JUAREZ|SMART|CPR01103|20 CONVENCIONAL SM5</t>
  </si>
  <si>
    <t>CHIAPAS|A04 039 SAN JOSE MORELIA NAVA|20260822|20260828|CIUDAD JUAREZ|SMART|CPR01103|20 CONVENCIONAL SM5|1</t>
  </si>
  <si>
    <t>A25022-342208-1</t>
  </si>
  <si>
    <t>40669</t>
  </si>
  <si>
    <t>CHIAPAS|A25 022 DONA MILDRED|20260822|20260828|S-MTY|SMART|CPR01103|20 CONVENCIONAL SM5</t>
  </si>
  <si>
    <t>CHIAPAS|A25 022 DONA MILDRED|20260822|20260828|S-MTY|SMART|CPR01103|20 CONVENCIONAL SM5|1</t>
  </si>
  <si>
    <t>A11045-342208-1</t>
  </si>
  <si>
    <t>CHIAPAS|A11 045 SECTOR MAZATAN|20260822|20260828|CIUDAD JUAREZ|SMART|CPR01103|20 CONVENCIONAL SM5</t>
  </si>
  <si>
    <t>CHIAPAS|A11 045 SECTOR MAZATAN|20260822|20260828|CIUDAD JUAREZ|SMART|CPR01103|20 CONVENCIONAL SM5|1</t>
  </si>
  <si>
    <t>A01001-342208-1</t>
  </si>
  <si>
    <t>41917</t>
  </si>
  <si>
    <t>CHIAPAS|A01 001 MARBELLA|20260822|20260827|SMO|WM|CPR01102|24 CONVENCIONAL</t>
  </si>
  <si>
    <t>CHIAPAS|A01 001 MARBELLA|20260822|20260827|SMO|WM|CPR01102|24 CONVENCIONAL|1</t>
  </si>
  <si>
    <t>CHIAPAS|A01 001 MARBELLA|20260822|20260824|CEDA|CEDA AUTOSERVICIO|CPR01102|CEDA</t>
  </si>
  <si>
    <t>CHIAPAS|A01 001 MARBELLA|20260822|20260824|CEDA|CEDA AUTOSERVICIO|CPR01102|CEDA|1</t>
  </si>
  <si>
    <t>CHIAPAS|A01 001 MARBELLA|20260822|20260824|CEDA|CEDA PISO|CPR01101|CEDA PISO PRODUCTORAS</t>
  </si>
  <si>
    <t>CHIAPAS|A01 001 MARBELLA|20260822|20260824|CEDA|CEDA PISO|CPR01101|CEDA PISO PRODUCTORAS|1</t>
  </si>
  <si>
    <t>A01001-342208-4</t>
  </si>
  <si>
    <t>CHIAPAS|A01 001 MARBELLA|20260822|20260824|CEDA|CEDA PISO|CSA04120|MISCELANEOS</t>
  </si>
  <si>
    <t>CHIAPAS|A01 001 MARBELLA|20260822|20260824|CEDA|CEDA PISO|CSA04120|MISCELANEOS|1</t>
  </si>
  <si>
    <t>A01001-342208-3</t>
  </si>
  <si>
    <t>CHIAPAS|A01 001 MARBELLA|20260822|20260824|CEDA|CEDA PISO|CMN05123|MISCELANEOS</t>
  </si>
  <si>
    <t>CHIAPAS|A01 001 MARBELLA|20260822|20260824|CEDA|CEDA PISO|CMN05123|MISCELANEOS|1</t>
  </si>
  <si>
    <t>A01001-342208-5</t>
  </si>
  <si>
    <t>CHIAPAS|A01 001 MARBELLA|20260822|20260824|CEDA|CEDA PISO|CDS04122|MISCELANEOS</t>
  </si>
  <si>
    <t>CHIAPAS|A01 001 MARBELLA|20260822|20260824|CEDA|CEDA PISO|CDS04122|MISCELANEOS|1</t>
  </si>
  <si>
    <t>A01003-342208-1</t>
  </si>
  <si>
    <t>CHIAPAS|A01 003 DONA NELLY|20260822|20260828|CIUDAD JUAREZ|SMART|CPR01103|20 CONVENCIONAL SM5</t>
  </si>
  <si>
    <t>CHIAPAS|A01 003 DONA NELLY|20260822|20260828|CIUDAD JUAREZ|SMART|CPR01103|20 CONVENCIONAL SM5|1</t>
  </si>
  <si>
    <t>CHIAPAS|A01 003 DONA NELLY|20260822|20260826|MTY|WM|CPR01102|23 CONVENCIONAL Y 1 ORG</t>
  </si>
  <si>
    <t>CHIAPAS|A01 003 DONA NELLY|20260822|20260826|MTY|WM|CPR01102|23 CONVENCIONAL Y 1 ORG|1</t>
  </si>
  <si>
    <t>42000</t>
  </si>
  <si>
    <t>CHIAPAS|A01 003 DONA NELLY|20260822|20260826|MTY|WM|CRG07128|23 CONVENCIONAL Y 1 ORG</t>
  </si>
  <si>
    <t>CHIAPAS|A01 003 DONA NELLY|20260822|20260826|MTY|WM|CRG07128|23 CONVENCIONAL Y 1 ORG|1</t>
  </si>
  <si>
    <t>42273</t>
  </si>
  <si>
    <t>CHIAPAS|A01 003 DONA NELLY|20260822|20260827|CHALCO|WM|CPR01102|1086 CAJAS CONVENCIONAL Y 66 CAJAS BAE</t>
  </si>
  <si>
    <t>CHIAPAS|A01 003 DONA NELLY|20260822|20260827|CHALCO|WM|CPR01102|1086 CAJAS CONVENCIONAL Y 66 CAJAS BAE|1</t>
  </si>
  <si>
    <t>CHIAPAS|A01 003 DONA NELLY|20260822|20260824|CEDA|CEDA PISO|CPR01101|CEDA PISO PRODUCTORAS</t>
  </si>
  <si>
    <t>CHIAPAS|A01 003 DONA NELLY|20260822|20260824|CEDA|CEDA PISO|CPR01101|CEDA PISO PRODUCTORAS|1</t>
  </si>
  <si>
    <t>A01003-342208-4</t>
  </si>
  <si>
    <t>CHIAPAS|A01 003 DONA NELLY|20260822|20260821|CEDA|CEDA PISO|CSA04120|MISCELANEOS</t>
  </si>
  <si>
    <t>CHIAPAS|A01 003 DONA NELLY|20260822|20260821|CEDA|CEDA PISO|CSA04120|MISCELANEOS|1</t>
  </si>
  <si>
    <t>A01003-342208-3</t>
  </si>
  <si>
    <t>CHIAPAS|A01 003 DONA NELLY|20260822|20260821|CEDA|CEDA PISO|CMN05123|MISCELANEOS</t>
  </si>
  <si>
    <t>CHIAPAS|A01 003 DONA NELLY|20260822|20260821|CEDA|CEDA PISO|CMN05123|MISCELANEOS|1</t>
  </si>
  <si>
    <t>A01003-342208-5</t>
  </si>
  <si>
    <t>CHIAPAS|A01 003 DONA NELLY|20260822|20260821|CEDA|CEDA PISO|CDS04122|MISCELANEOS</t>
  </si>
  <si>
    <t>CHIAPAS|A01 003 DONA NELLY|20260822|20260821|CEDA|CEDA PISO|CDS04122|MISCELANEOS|1</t>
  </si>
  <si>
    <t>OV ND para ese SKU vs esa cantidad</t>
  </si>
  <si>
    <t>A11056-352408-1</t>
  </si>
  <si>
    <t>CHIAPAS|A11 056 SAN ISIDRO|20260824|20260828|S-MTY|SMART|CPR01103|20 CONVENCIONAL SM1</t>
  </si>
  <si>
    <t>CHIAPAS|A11 056 SAN ISIDRO|20260824|20260828|S-MTY|SMART|CPR01103|20 CONVENCIONAL SM1|1</t>
  </si>
  <si>
    <t>Programa Embarques 2026 S-35.xlsx</t>
  </si>
  <si>
    <t>A01003-352408-1</t>
  </si>
  <si>
    <t>CHIAPAS|A01 003 DONA NELLY|20260824|20260827|CHALCO|WM|CPR01102|1086 CAJAS CONVENCIONAL Y 66 CAJAS BAE</t>
  </si>
  <si>
    <t>CHIAPAS|A01 003 DONA NELLY|20260824|20260827|CHALCO|WM|CPR01102|1086 CAJAS CONVENCIONAL Y 66 CAJAS BAE|1</t>
  </si>
  <si>
    <t>CHIAPAS|A01 003 DONA NELLY|20260824|20260827|CHALCO|WM|CPR01114|1086 CAJAS CONVENCIONAL Y 66 CAJAS BAE</t>
  </si>
  <si>
    <t>CHIAPAS|A01 003 DONA NELLY|20260824|20260827|CHALCO|WM|CPR01114|1086 CAJAS CONVENCIONAL Y 66 CAJAS BAE|1</t>
  </si>
  <si>
    <t>42276</t>
  </si>
  <si>
    <t>CHIAPAS|A01 003 DONA NELLY|20260824|20260828|CHALCO|WM|CPR01114|22 CONVENCIONAL Y 96 CAJAS BAE</t>
  </si>
  <si>
    <t>CHIAPAS|A01 003 DONA NELLY|20260824|20260828|CHALCO|WM|CPR01114|22 CONVENCIONAL Y 96 CAJAS BAE|1</t>
  </si>
  <si>
    <t>CHIAPAS|A01 003 DONA NELLY|20260824|20260828|CHALCO|WM|CPR01102|22 CONVENCIONAL Y 96 CAJAS BAE</t>
  </si>
  <si>
    <t>CHIAPAS|A01 003 DONA NELLY|20260824|20260828|CHALCO|WM|CPR01102|22 CONVENCIONAL Y 96 CAJAS BAE|1</t>
  </si>
  <si>
    <t>CHIAPAS|A01 003 DONA NELLY|20260824|20260828|CEDA|CEDA PISO|CPR01101|CEDA PISO PRODUCTORAS</t>
  </si>
  <si>
    <t>CHIAPAS|A01 003 DONA NELLY|20260824|20260828|CEDA|CEDA PISO|CPR01101|CEDA PISO PRODUCTORAS|1</t>
  </si>
  <si>
    <t>A01003-352408-4</t>
  </si>
  <si>
    <t>CHIAPAS|A01 003 DONA NELLY|20260824|20260826|CEDA|CEDA PISO|CSA04120|MISCELANEOS</t>
  </si>
  <si>
    <t>CHIAPAS|A01 003 DONA NELLY|20260824|20260826|CEDA|CEDA PISO|CSA04120|MISCELANEOS|1</t>
  </si>
  <si>
    <t>A01003-352408-3</t>
  </si>
  <si>
    <t>CHIAPAS|A01 003 DONA NELLY|20260824|20260826|CEDA|CEDA PISO|CMN05123|MISCELANEOS</t>
  </si>
  <si>
    <t>CHIAPAS|A01 003 DONA NELLY|20260824|20260826|CEDA|CEDA PISO|CMN05123|MISCELANEOS|1</t>
  </si>
  <si>
    <t>A01003-352408-5</t>
  </si>
  <si>
    <t>CHIAPAS|A01 003 DONA NELLY|20260824|20260826|CEDA|CEDA PISO|CDS04122|MISCELANEOS</t>
  </si>
  <si>
    <t>CHIAPAS|A01 003 DONA NELLY|20260824|20260826|CEDA|CEDA PISO|CDS04122|MISCELANEOS|1</t>
  </si>
  <si>
    <t>A01002-352408-1</t>
  </si>
  <si>
    <t>42023</t>
  </si>
  <si>
    <t>CHIAPAS|A01 002 FORTALEZA|20260824|20260828|QRO|WM|CPR01102|23 CONVENCIONAL Y 1 ORG</t>
  </si>
  <si>
    <t>CHIAPAS|A01 002 FORTALEZA|20260824|20260828|QRO|WM|CPR01102|23 CONVENCIONAL Y 1 ORG|1</t>
  </si>
  <si>
    <t>CHIAPAS|A01 002 FORTALEZA|20260824|20260827|VSA|WM|CPR01102|19 CONVENCIONAL Y 5 ORG</t>
  </si>
  <si>
    <t>CHIAPAS|A01 002 FORTALEZA|20260824|20260827|VSA|WM|CPR01102|19 CONVENCIONAL Y 5 ORG|1</t>
  </si>
  <si>
    <t>CHIAPAS|A01 002 FORTALEZA|20260824|20260827|VSA|WM|CRG07128|19 CONVENCIONAL Y 5 ORG</t>
  </si>
  <si>
    <t>CHIAPAS|A01 002 FORTALEZA|20260824|20260827|VSA|WM|CRG07128|19 CONVENCIONAL Y 5 ORG|1</t>
  </si>
  <si>
    <t>A01002-352408-4</t>
  </si>
  <si>
    <t>CHIAPAS|A01 002 FORTALEZA|20260824|20260826|CEDA|CEDA PISO|CSA04120|MISCELANEOS</t>
  </si>
  <si>
    <t>CHIAPAS|A01 002 FORTALEZA|20260824|20260826|CEDA|CEDA PISO|CSA04120|MISCELANEOS|1</t>
  </si>
  <si>
    <t>A01002-352408-3</t>
  </si>
  <si>
    <t>CHIAPAS|A01 002 FORTALEZA|20260824|20260826|CEDA|CEDA PISO|CMN05123|MISCELANEOS</t>
  </si>
  <si>
    <t>CHIAPAS|A01 002 FORTALEZA|20260824|20260826|CEDA|CEDA PISO|CMN05123|MISCELANEOS|1</t>
  </si>
  <si>
    <t>A01002-352408-5</t>
  </si>
  <si>
    <t>CHIAPAS|A01 002 FORTALEZA|20260824|20260826|CEDA|CEDA PISO|CDS04122|MISCELANEOS</t>
  </si>
  <si>
    <t>CHIAPAS|A01 002 FORTALEZA|20260824|20260826|CEDA|CEDA PISO|CDS04122|MISCELANEOS|1</t>
  </si>
  <si>
    <t>A01004-352408-1</t>
  </si>
  <si>
    <t>41467</t>
  </si>
  <si>
    <t>CHIAPAS|A01 004 LA CEIBA|20260824|20260828|MCALLEN|CHANITOS INT|CPR01104|20 CONVENCIONAL F1-1</t>
  </si>
  <si>
    <t>CHIAPAS|A01 004 LA CEIBA|20260824|20260828|MCALLEN|CHANITOS INT|CPR01104|20 CONVENCIONAL F1-1|1</t>
  </si>
  <si>
    <t>42281</t>
  </si>
  <si>
    <t>CHIAPAS|A01 004 LA CEIBA|20260824|20260829|CHALCO|WM|CPR01114|1086 CAJAS CONVENCIONAL Y 66 CAJAS BAE</t>
  </si>
  <si>
    <t>CHIAPAS|A01 004 LA CEIBA|20260824|20260829|CHALCO|WM|CPR01114|1086 CAJAS CONVENCIONAL Y 66 CAJAS BAE|1</t>
  </si>
  <si>
    <t>CHIAPAS|A01 004 LA CEIBA|20260824|20260828|CPR01114|CEDA PISO|CPR01114|CEDA PISO PRODUCTORAS</t>
  </si>
  <si>
    <t>CHIAPAS|A01 004 LA CEIBA|20260824|20260828|CPR01114|CEDA PISO|CPR01114|CEDA PISO PRODUCTORAS|1</t>
  </si>
  <si>
    <t>CHIAPAS|A01 004 LA CEIBA|20260824|20260828|CHALCO|WM|CPR01102|22 CONVENCIONAL Y 96 CAJAS BAE</t>
  </si>
  <si>
    <t>CHIAPAS|A01 004 LA CEIBA|20260824|20260828|CHALCO|WM|CPR01102|22 CONVENCIONAL Y 96 CAJAS BAE|1</t>
  </si>
  <si>
    <t>CHIAPAS|A01 004 LA CEIBA|20260824|20260829|CHALCO|WM|CPR01102|1086 CAJAS CONVENCIONAL Y 66 CAJAS BAE</t>
  </si>
  <si>
    <t>CHIAPAS|A01 004 LA CEIBA|20260824|20260829|CHALCO|WM|CPR01102|1086 CAJAS CONVENCIONAL Y 66 CAJAS BAE|1</t>
  </si>
  <si>
    <t>CHIAPAS|A01 004 LA CEIBA|20260824|20260828|CEDA|CEDA PISO|CPR01101|CEDA PISO PRODUCTORAS</t>
  </si>
  <si>
    <t>CHIAPAS|A01 004 LA CEIBA|20260824|20260828|CEDA|CEDA PISO|CPR01101|CEDA PISO PRODUCTORAS|1</t>
  </si>
  <si>
    <t>A01004-352408-4</t>
  </si>
  <si>
    <t>CHIAPAS|A01 004 LA CEIBA|20260824|20260826|CEDA|CEDA PISO|CSA04120|MISCELANEOS</t>
  </si>
  <si>
    <t>CHIAPAS|A01 004 LA CEIBA|20260824|20260826|CEDA|CEDA PISO|CSA04120|MISCELANEOS|1</t>
  </si>
  <si>
    <t>A01004-352408-3</t>
  </si>
  <si>
    <t>CHIAPAS|A01 004 LA CEIBA|20260824|20260826|CEDA|CEDA PISO|CMN05123|MISCELANEOS</t>
  </si>
  <si>
    <t>CHIAPAS|A01 004 LA CEIBA|20260824|20260826|CEDA|CEDA PISO|CMN05123|MISCELANEOS|1</t>
  </si>
  <si>
    <t>A01004-352408-5</t>
  </si>
  <si>
    <t>CHIAPAS|A01 004 LA CEIBA|20260824|20260826|CEDA|CEDA PISO|CDS04122|MISCELANEOS</t>
  </si>
  <si>
    <t>CHIAPAS|A01 004 LA CEIBA|20260824|20260826|CEDA|CEDA PISO|CDS04122|MISCELANEOS|1</t>
  </si>
  <si>
    <t>A11045-352508-1</t>
  </si>
  <si>
    <t>CHIAPAS|A11 045 SECTOR MAZATAN|20260825|20260829|CHALCO|WM|CPR01102|1086 CAJAS CONVENCIONAL Y 66 CAJAS BAE</t>
  </si>
  <si>
    <t>CHIAPAS|A11 045 SECTOR MAZATAN|20260825|20260829|CHALCO|WM|CPR01102|1086 CAJAS CONVENCIONAL Y 66 CAJAS BAE|1</t>
  </si>
  <si>
    <t>40674</t>
  </si>
  <si>
    <t>CHIAPAS|A11 045 SECTOR MAZATAN|20260825|20260901|CIUDAD JUAREZ|SMART|CPR01103|20 CONVENCIONAL SCJ1</t>
  </si>
  <si>
    <t>CHIAPAS|A11 045 SECTOR MAZATAN|20260825|20260901|CIUDAD JUAREZ|SMART|CPR01103|20 CONVENCIONAL SCJ1|1</t>
  </si>
  <si>
    <t>CHIAPAS|A11 045 SECTOR MAZATAN|20260825|20260901|CIUDAD JUAREZ|SMART|CPR01103|17 CONVENCIONAL Y 3 PLANTAIN</t>
  </si>
  <si>
    <t>CHIAPAS|A11 045 SECTOR MAZATAN|20260825|20260901|CIUDAD JUAREZ|SMART|CPR01103|17 CONVENCIONAL Y 3 PLANTAIN|1</t>
  </si>
  <si>
    <t>A11056-352508-1</t>
  </si>
  <si>
    <t>CHIAPAS|A11 056 SAN ISIDRO|20260825|20260901|CIUDAD JUAREZ|SMART|CPR01103|17 CONVENCIONAL Y 3 PLANTAIN</t>
  </si>
  <si>
    <t>CHIAPAS|A11 056 SAN ISIDRO|20260825|20260901|CIUDAD JUAREZ|SMART|CPR01103|17 CONVENCIONAL Y 3 PLANTAIN|1</t>
  </si>
  <si>
    <t>A04084-352508-1</t>
  </si>
  <si>
    <t>41477</t>
  </si>
  <si>
    <t>CHIAPAS|A04 084 LISBOA|20260825|20260829|MCALLEN|CHANITOS INT|CPR01104|20 CONVENCIONAL F1-2</t>
  </si>
  <si>
    <t>CHIAPAS|A04 084 LISBOA|20260825|20260829|MCALLEN|CHANITOS INT|CPR01104|20 CONVENCIONAL F1-2|1</t>
  </si>
  <si>
    <t>A27073-352508-1</t>
  </si>
  <si>
    <t>CHIAPAS|A27 073 PLANTACION|20260825|20260826|CEDA|CEDA AUTOSERVICIO|CPL08141|CEDA PLANTAIN</t>
  </si>
  <si>
    <t>CHIAPAS|A27 073 PLANTACION|20260825|20260826|CEDA|CEDA AUTOSERVICIO|CPL08141|CEDA PLANTAIN|1</t>
  </si>
  <si>
    <t>CHIAPAS|A27 073 PLANTACION|20260825|20260901|CIUDAD JUAREZ|SMART|CPL08134|17 CONVENCIONAL Y 3 PLANTAIN</t>
  </si>
  <si>
    <t>CHIAPAS|A27 073 PLANTACION|20260825|20260901|CIUDAD JUAREZ|SMART|CPL08134|17 CONVENCIONAL Y 3 PLANTAIN|1</t>
  </si>
  <si>
    <t>A01003-352508-1</t>
  </si>
  <si>
    <t>41478</t>
  </si>
  <si>
    <t>CHIAPAS|A01 003 DONA NELLY|20260825|20260829|MCALLEN|CHANITOS INT|CPR01104|20 CONVENCIONAL F2-1</t>
  </si>
  <si>
    <t>CHIAPAS|A01 003 DONA NELLY|20260825|20260829|MCALLEN|CHANITOS INT|CPR01104|20 CONVENCIONAL F2-1|1</t>
  </si>
  <si>
    <t>CHIAPAS|A01 003 DONA NELLY|20260825|20260829|CHALCO|WM|CPR01102|1086 CAJAS CONVENCIONAL Y 66 CAJAS BAE</t>
  </si>
  <si>
    <t>CHIAPAS|A01 003 DONA NELLY|20260825|20260829|CHALCO|WM|CPR01102|1086 CAJAS CONVENCIONAL Y 66 CAJAS BAE|1</t>
  </si>
  <si>
    <t>CHIAPAS|A01 003 DONA NELLY|20260825|20260827|CEDA|CEDA AUTOSERVICIO|CPR01102|CEDA</t>
  </si>
  <si>
    <t>CHIAPAS|A01 003 DONA NELLY|20260825|20260827|CEDA|CEDA AUTOSERVICIO|CPR01102|CEDA|1</t>
  </si>
  <si>
    <t>CHIAPAS|A01 003 DONA NELLY|20260825|20260828|CEDA|CEDA PISO|CPR01101|CEDA PISO PRODUCTORAS</t>
  </si>
  <si>
    <t>CHIAPAS|A01 003 DONA NELLY|20260825|20260828|CEDA|CEDA PISO|CPR01101|CEDA PISO PRODUCTORAS|1</t>
  </si>
  <si>
    <t>A01003-352508-4</t>
  </si>
  <si>
    <t>CHIAPAS|A01 003 DONA NELLY|20260825|20260827|CEDA|CEDA PISO|CSA04120|MISCELANEOS</t>
  </si>
  <si>
    <t>CHIAPAS|A01 003 DONA NELLY|20260825|20260827|CEDA|CEDA PISO|CSA04120|MISCELANEOS|1</t>
  </si>
  <si>
    <t>A01003-352508-3</t>
  </si>
  <si>
    <t>CHIAPAS|A01 003 DONA NELLY|20260825|20260827|CEDA|CEDA PISO|CMN05123|MISCELANEOS</t>
  </si>
  <si>
    <t>CHIAPAS|A01 003 DONA NELLY|20260825|20260827|CEDA|CEDA PISO|CMN05123|MISCELANEOS|1</t>
  </si>
  <si>
    <t>A01003-352508-5</t>
  </si>
  <si>
    <t>CHIAPAS|A01 003 DONA NELLY|20260825|20260827|CEDA|CEDA PISO|CDS04122|MISCELANEOS</t>
  </si>
  <si>
    <t>CHIAPAS|A01 003 DONA NELLY|20260825|20260827|CEDA|CEDA PISO|CDS04122|MISCELANEOS|1</t>
  </si>
  <si>
    <t>A01002-352508-1</t>
  </si>
  <si>
    <t>CHIAPAS|A01 002 FORTALEZA|20260825|20260828|QRO|WM|CPR01102|23 CONVENCIONAL Y 1 ORG</t>
  </si>
  <si>
    <t>CHIAPAS|A01 002 FORTALEZA|20260825|20260828|QRO|WM|CPR01102|23 CONVENCIONAL Y 1 ORG|1</t>
  </si>
  <si>
    <t>CHIAPAS|A01 002 FORTALEZA|20260825|20260828|QRO|WM|CRG07128|23 CONVENCIONAL Y 1 ORG</t>
  </si>
  <si>
    <t>CHIAPAS|A01 002 FORTALEZA|20260825|20260828|QRO|WM|CRG07128|23 CONVENCIONAL Y 1 ORG|1</t>
  </si>
  <si>
    <t>41918</t>
  </si>
  <si>
    <t>CHIAPAS|A01 002 FORTALEZA|20260825|20260829|SMO|WM|CPR01102|24 CONVENCIONAL</t>
  </si>
  <si>
    <t>CHIAPAS|A01 002 FORTALEZA|20260825|20260829|SMO|WM|CPR01102|24 CONVENCIONAL|1</t>
  </si>
  <si>
    <t>41927</t>
  </si>
  <si>
    <t>CHIAPAS|A01 002 FORTALEZA|20260825|20260828|VSA|WM|CPR01102|24 CONVENCIONAL</t>
  </si>
  <si>
    <t>CHIAPAS|A01 002 FORTALEZA|20260825|20260828|VSA|WM|CPR01102|24 CONVENCIONAL|1</t>
  </si>
  <si>
    <t>CHIAPAS|A01 002 FORTALEZA|20260825|20260828|CEDA|CEDA PISO|CPR01101|CEDA PISO PRODUCTORAS</t>
  </si>
  <si>
    <t>CHIAPAS|A01 002 FORTALEZA|20260825|20260828|CEDA|CEDA PISO|CPR01101|CEDA PISO PRODUCTORAS|1</t>
  </si>
  <si>
    <t>A01002-352508-4</t>
  </si>
  <si>
    <t>CHIAPAS|A01 002 FORTALEZA|20260825|20260827|CEDA|CEDA PISO|CSA04120|MISCELANEOS</t>
  </si>
  <si>
    <t>CHIAPAS|A01 002 FORTALEZA|20260825|20260827|CEDA|CEDA PISO|CSA04120|MISCELANEOS|1</t>
  </si>
  <si>
    <t>A01002-352508-3</t>
  </si>
  <si>
    <t>CHIAPAS|A01 002 FORTALEZA|20260825|20260827|CEDA|CEDA PISO|CMN05123|MISCELANEOS</t>
  </si>
  <si>
    <t>CHIAPAS|A01 002 FORTALEZA|20260825|20260827|CEDA|CEDA PISO|CMN05123|MISCELANEOS|1</t>
  </si>
  <si>
    <t>A01002-352508-5</t>
  </si>
  <si>
    <t>CHIAPAS|A01 002 FORTALEZA|20260825|20260827|CEDA|CEDA PISO|CDS04122|MISCELANEOS</t>
  </si>
  <si>
    <t>CHIAPAS|A01 002 FORTALEZA|20260825|20260827|CEDA|CEDA PISO|CDS04122|MISCELANEOS|1</t>
  </si>
  <si>
    <t>A01001-352508-1</t>
  </si>
  <si>
    <t>42670</t>
  </si>
  <si>
    <t>CHIAPAS|A01 001 MARBELLA|20260825|20260829|JAPON|MAR|CPR03124|CP27-14 CP34-6</t>
  </si>
  <si>
    <t>CHIAPAS|A01 001 MARBELLA|20260825|20260829|JAPON|MAR|CPR03124|CP27-14 CP34-6|1</t>
  </si>
  <si>
    <t>CHIAPAS|A01 001 MARBELLA|20260825|20260829|JAPON|MAR|CPR03119|CP27-14 CP34-6</t>
  </si>
  <si>
    <t>CHIAPAS|A01 001 MARBELLA|20260825|20260829|JAPON|MAR|CPR03119|CP27-14 CP34-6|1</t>
  </si>
  <si>
    <t>CHIAPAS|A01 001 MARBELLA|20260825|20260827|CEDA|CEDA AUTOSERVICIO|CPR01102|CEDA</t>
  </si>
  <si>
    <t>CHIAPAS|A01 001 MARBELLA|20260825|20260827|CEDA|CEDA AUTOSERVICIO|CPR01102|CEDA|1</t>
  </si>
  <si>
    <t>CHIAPAS|A01 001 MARBELLA|20260825|20260828|CEDA|CEDA PISO|CPR01101|CEDA PISO PRODUCTORAS</t>
  </si>
  <si>
    <t>CHIAPAS|A01 001 MARBELLA|20260825|20260828|CEDA|CEDA PISO|CPR01101|CEDA PISO PRODUCTORAS|1</t>
  </si>
  <si>
    <t>A01001-352508-4</t>
  </si>
  <si>
    <t>CHIAPAS|A01 001 MARBELLA|20260825|20260827|CEDA|CEDA PISO|CSA04120|MISCELANEOS</t>
  </si>
  <si>
    <t>CHIAPAS|A01 001 MARBELLA|20260825|20260827|CEDA|CEDA PISO|CSA04120|MISCELANEOS|1</t>
  </si>
  <si>
    <t>A01001-352508-3</t>
  </si>
  <si>
    <t>CHIAPAS|A01 001 MARBELLA|20260825|20260827|CEDA|CEDA PISO|CMN05123|MISCELANEOS</t>
  </si>
  <si>
    <t>CHIAPAS|A01 001 MARBELLA|20260825|20260827|CEDA|CEDA PISO|CMN05123|MISCELANEOS|1</t>
  </si>
  <si>
    <t>A01001-352508-5</t>
  </si>
  <si>
    <t>CHIAPAS|A01 001 MARBELLA|20260825|20260827|CEDA|CEDA PISO|CDS04122|MISCELANEOS</t>
  </si>
  <si>
    <t>CHIAPAS|A01 001 MARBELLA|20260825|20260827|CEDA|CEDA PISO|CDS04122|MISCELANEOS|1</t>
  </si>
  <si>
    <t>A05040-352608-1</t>
  </si>
  <si>
    <t>41919</t>
  </si>
  <si>
    <t>CHIAPAS|A05 040 PLATANEROS UNIDOS 1|20260826|20260830|SMO|WM|CPR01102|24 CONVENCIONAL</t>
  </si>
  <si>
    <t>CHIAPAS|A05 040 PLATANEROS UNIDOS 1|20260826|20260830|SMO|WM|CPR01102|24 CONVENCIONAL|1</t>
  </si>
  <si>
    <t>A04084-352608-1</t>
  </si>
  <si>
    <t>42192</t>
  </si>
  <si>
    <t>CHIAPAS|A04 084 LISBOA|20260826|20260831|MCALLEN|CHANITOS INT|CPR01104|20 CONVENCIONAL F2-2</t>
  </si>
  <si>
    <t>CHIAPAS|A04 084 LISBOA|20260826|20260831|MCALLEN|CHANITOS INT|CPR01104|20 CONVENCIONAL F2-2|1</t>
  </si>
  <si>
    <t>A01003-352608-1</t>
  </si>
  <si>
    <t>41733</t>
  </si>
  <si>
    <t>CHIAPAS|A01 003 DONA NELLY|20260826|20260829|VSA|WM|CRG07128|19 CONVENCIONAL Y 5 ORG</t>
  </si>
  <si>
    <t>CHIAPAS|A01 003 DONA NELLY|20260826|20260829|VSA|WM|CRG07128|19 CONVENCIONAL Y 5 ORG|1</t>
  </si>
  <si>
    <t>41731</t>
  </si>
  <si>
    <t>CHIAPAS|A01 003 DONA NELLY|20260826|20260829|VSA|WM|CPR01102|19 CONVENCIONAL Y 5 ORG</t>
  </si>
  <si>
    <t>CHIAPAS|A01 003 DONA NELLY|20260826|20260829|VSA|WM|CPR01102|19 CONVENCIONAL Y 5 ORG|1</t>
  </si>
  <si>
    <t>42290</t>
  </si>
  <si>
    <t>CHIAPAS|A01 003 DONA NELLY|20260826|20260831|CHALCO|WM|CPR01102|1212 CAJAS CONVENCIONAL Y 84 CAJAS BAE</t>
  </si>
  <si>
    <t>CHIAPAS|A01 003 DONA NELLY|20260826|20260831|CHALCO|WM|CPR01102|1212 CAJAS CONVENCIONAL Y 84 CAJAS BAE|1</t>
  </si>
  <si>
    <t>CHIAPAS|A01 003 DONA NELLY|20260826|20260831|CHALCO|WM|CPR01114|1212 CAJAS CONVENCIONAL Y 84 CAJAS BAE</t>
  </si>
  <si>
    <t>CHIAPAS|A01 003 DONA NELLY|20260826|20260831|CHALCO|WM|CPR01114|1212 CAJAS CONVENCIONAL Y 84 CAJAS BAE|1</t>
  </si>
  <si>
    <t>CHIAPAS|A01 003 DONA NELLY|20260826|20260828|CEDA|CEDA PISO|CPR01101|CEDA PISO PRODUCTORAS</t>
  </si>
  <si>
    <t>CHIAPAS|A01 003 DONA NELLY|20260826|20260828|CEDA|CEDA PISO|CPR01101|CEDA PISO PRODUCTORAS|1</t>
  </si>
  <si>
    <t>A01003-352608-4</t>
  </si>
  <si>
    <t>CHIAPAS|A01 003 DONA NELLY|20260826|20260828|CEDA|CEDA PISO|CSA04120|MISCELANEOS</t>
  </si>
  <si>
    <t>CHIAPAS|A01 003 DONA NELLY|20260826|20260828|CEDA|CEDA PISO|CSA04120|MISCELANEOS|1</t>
  </si>
  <si>
    <t>A01003-352608-3</t>
  </si>
  <si>
    <t>CHIAPAS|A01 003 DONA NELLY|20260826|20260828|CEDA|CEDA PISO|CMN05123|MISCELANEOS</t>
  </si>
  <si>
    <t>CHIAPAS|A01 003 DONA NELLY|20260826|20260828|CEDA|CEDA PISO|CMN05123|MISCELANEOS|1</t>
  </si>
  <si>
    <t>A01003-352608-5</t>
  </si>
  <si>
    <t>CHIAPAS|A01 003 DONA NELLY|20260826|20260828|CEDA|CEDA PISO|CDS04122|MISCELANEOS</t>
  </si>
  <si>
    <t>CHIAPAS|A01 003 DONA NELLY|20260826|20260828|CEDA|CEDA PISO|CDS04122|MISCELANEOS|1</t>
  </si>
  <si>
    <t>A01002-352608-1</t>
  </si>
  <si>
    <t>CHIAPAS|A01 002 FORTALEZA|20260826|20260829|SMO|WM|CPR01102|24 CONVENCIONAL</t>
  </si>
  <si>
    <t>CHIAPAS|A01 002 FORTALEZA|20260826|20260829|SMO|WM|CPR01102|24 CONVENCIONAL|1</t>
  </si>
  <si>
    <t>CHIAPAS|A01 002 FORTALEZA|20260826|20260828|CEDA|CEDA PISO|CPR01101|CEDA PISO PRODUCTORAS</t>
  </si>
  <si>
    <t>CHIAPAS|A01 002 FORTALEZA|20260826|20260828|CEDA|CEDA PISO|CPR01101|CEDA PISO PRODUCTORAS|1</t>
  </si>
  <si>
    <t>A01002-352608-4</t>
  </si>
  <si>
    <t>CHIAPAS|A01 002 FORTALEZA|20260826|20260828|CEDA|CEDA PISO|CSA04120|MISCELANEOS</t>
  </si>
  <si>
    <t>CHIAPAS|A01 002 FORTALEZA|20260826|20260828|CEDA|CEDA PISO|CSA04120|MISCELANEOS|1</t>
  </si>
  <si>
    <t>A01002-352608-3</t>
  </si>
  <si>
    <t>CHIAPAS|A01 002 FORTALEZA|20260826|20260828|CEDA|CEDA PISO|CMN05123|MISCELANEOS</t>
  </si>
  <si>
    <t>CHIAPAS|A01 002 FORTALEZA|20260826|20260828|CEDA|CEDA PISO|CMN05123|MISCELANEOS|1</t>
  </si>
  <si>
    <t>A01002-352608-5</t>
  </si>
  <si>
    <t>CHIAPAS|A01 002 FORTALEZA|20260826|20260828|CEDA|CEDA PISO|CDS04122|MISCELANEOS</t>
  </si>
  <si>
    <t>CHIAPAS|A01 002 FORTALEZA|20260826|20260828|CEDA|CEDA PISO|CDS04122|MISCELANEOS|1</t>
  </si>
  <si>
    <t>A01001-352608-1</t>
  </si>
  <si>
    <t>42252</t>
  </si>
  <si>
    <t>CHIAPAS|A01 001 MARBELLA|20260826|20260830|MTY|WM|CPR01114|24 CONVENCIONAL CON 5 CAJAS BAE</t>
  </si>
  <si>
    <t>CHIAPAS|A01 001 MARBELLA|20260826|20260830|MTY|WM|CPR01114|24 CONVENCIONAL CON 5 CAJAS BAE|1</t>
  </si>
  <si>
    <t>CHIAPAS|A01 001 MARBELLA|20260826|20260830|MTY|WM|CPR01102|24 CONVENCIONAL CON 5 CAJAS BAE</t>
  </si>
  <si>
    <t>CHIAPAS|A01 001 MARBELLA|20260826|20260830|MTY|WM|CPR01102|24 CONVENCIONAL CON 5 CAJAS BAE|1</t>
  </si>
  <si>
    <t>CHIAPAS|A01 001 MARBELLA|20260826|20260826|CEDA|CEDA AUTOSERVICIO|CPR01102|CEDA</t>
  </si>
  <si>
    <t>CHIAPAS|A01 001 MARBELLA|20260826|20260826|CEDA|CEDA AUTOSERVICIO|CPR01102|CEDA|1</t>
  </si>
  <si>
    <t>CHIAPAS|A01 001 MARBELLA|20260826|20260826|CEDA|CEDA AUTOSERVICIO|CPL08141|CEDA PLANTAIN</t>
  </si>
  <si>
    <t>CHIAPAS|A01 001 MARBELLA|20260826|20260826|CEDA|CEDA AUTOSERVICIO|CPL08141|CEDA PLANTAIN|1</t>
  </si>
  <si>
    <t>CHIAPAS|A01 001 MARBELLA|20260826|20260828|CEDA|CEDA PISO|CPR01101|CEDA PISO PRODUCTORAS</t>
  </si>
  <si>
    <t>CHIAPAS|A01 001 MARBELLA|20260826|20260828|CEDA|CEDA PISO|CPR01101|CEDA PISO PRODUCTORAS|1</t>
  </si>
  <si>
    <t>A01001-352608-4</t>
  </si>
  <si>
    <t>CHIAPAS|A01 001 MARBELLA|20260826|20260828|CEDA|CEDA PISO|CSA04120|MISCELANEOS</t>
  </si>
  <si>
    <t>CHIAPAS|A01 001 MARBELLA|20260826|20260828|CEDA|CEDA PISO|CSA04120|MISCELANEOS|1</t>
  </si>
  <si>
    <t>A01001-352608-3</t>
  </si>
  <si>
    <t>CHIAPAS|A01 001 MARBELLA|20260826|20260828|CEDA|CEDA PISO|CMN05123|MISCELANEOS</t>
  </si>
  <si>
    <t>CHIAPAS|A01 001 MARBELLA|20260826|20260828|CEDA|CEDA PISO|CMN05123|MISCELANEOS|1</t>
  </si>
  <si>
    <t>A01001-352608-5</t>
  </si>
  <si>
    <t>CHIAPAS|A01 001 MARBELLA|20260826|20260828|CEDA|CEDA PISO|CDS04122|MISCELANEOS</t>
  </si>
  <si>
    <t>CHIAPAS|A01 001 MARBELLA|20260826|20260828|CEDA|CEDA PISO|CDS04122|MISCELANEOS|1</t>
  </si>
  <si>
    <t>A12057-352708-1</t>
  </si>
  <si>
    <t>43065</t>
  </si>
  <si>
    <t>CHIAPAS|A12 057 TIQUISATE 1|20260827|20260902|S-MTY|SMART|CPR01103|20 CONVENCIONAL SM1</t>
  </si>
  <si>
    <t>CHIAPAS|A12 057 TIQUISATE 1|20260827|20260902|S-MTY|SMART|CPR01103|20 CONVENCIONAL SM1|1</t>
  </si>
  <si>
    <t>A25022-352708-1</t>
  </si>
  <si>
    <t>CHIAPAS|A25 022 DONA MILDRED|20260827|20260902|S-MTY|SMART|CPR01103|20 CONVENCIONAL SM2</t>
  </si>
  <si>
    <t>CHIAPAS|A25 022 DONA MILDRED|20260827|20260902|S-MTY|SMART|CPR01103|20 CONVENCIONAL SM2|1</t>
  </si>
  <si>
    <t>A04084-352708-1</t>
  </si>
  <si>
    <t>42193</t>
  </si>
  <si>
    <t>CHIAPAS|A04 084 LISBOA|20260827|20260831|MCALLEN|CHANITOS INT|CPR01104|20 CONVENCIONAL F3-1</t>
  </si>
  <si>
    <t>CHIAPAS|A04 084 LISBOA|20260827|20260831|MCALLEN|CHANITOS INT|CPR01104|20 CONVENCIONAL F3-1|1</t>
  </si>
  <si>
    <t>A06043-352708-1</t>
  </si>
  <si>
    <t>42215</t>
  </si>
  <si>
    <t>CHIAPAS|A06 043 NUESTRA SENORA|20260827|20260901|MCALLEN|CHANITOS INT|CPR01104|20 CONVENCIONAL F4-1</t>
  </si>
  <si>
    <t>CHIAPAS|A06 043 NUESTRA SENORA|20260827|20260901|MCALLEN|CHANITOS INT|CPR01104|20 CONVENCIONAL F4-1|1</t>
  </si>
  <si>
    <t>A04038-352708-1</t>
  </si>
  <si>
    <t>42287</t>
  </si>
  <si>
    <t>CHIAPAS|A04 038 EL TRIUNFO NAVA|20260827|20260831|QRO|WM|CPR01102|22 CONVENCIONAL Y 2 ORG</t>
  </si>
  <si>
    <t>CHIAPAS|A04 038 EL TRIUNFO NAVA|20260827|20260831|QRO|WM|CPR01102|22 CONVENCIONAL Y 2 ORG|1</t>
  </si>
  <si>
    <t>A01004-352708-1</t>
  </si>
  <si>
    <t>42351</t>
  </si>
  <si>
    <t>CHIAPAS|A01 004 LA CEIBA|20260827|20260902|QRO|WM|CPR01102|22 CONVENCIONAL Y 2 ORG</t>
  </si>
  <si>
    <t>CHIAPAS|A01 004 LA CEIBA|20260827|20260902|QRO|WM|CPR01102|22 CONVENCIONAL Y 2 ORG|1</t>
  </si>
  <si>
    <t>CHIAPAS|A01 004 LA CEIBA|20260827|20260829|CEDA|CEDA PISO|CPR01101|CEDA PISO PRODUCTORAS</t>
  </si>
  <si>
    <t>CHIAPAS|A01 004 LA CEIBA|20260827|20260829|CEDA|CEDA PISO|CPR01101|CEDA PISO PRODUCTORAS|1</t>
  </si>
  <si>
    <t>A01004-352708-4</t>
  </si>
  <si>
    <t>CHIAPAS|A01 004 LA CEIBA|20260827|20260829|CEDA|CEDA PISO|CSA04120|MISCELANEOS</t>
  </si>
  <si>
    <t>CHIAPAS|A01 004 LA CEIBA|20260827|20260829|CEDA|CEDA PISO|CSA04120|MISCELANEOS|1</t>
  </si>
  <si>
    <t>A01004-352708-3</t>
  </si>
  <si>
    <t>CHIAPAS|A01 004 LA CEIBA|20260827|20260829|CEDA|CEDA PISO|CMN05123|MISCELANEOS</t>
  </si>
  <si>
    <t>CHIAPAS|A01 004 LA CEIBA|20260827|20260829|CEDA|CEDA PISO|CMN05123|MISCELANEOS|1</t>
  </si>
  <si>
    <t>A01004-352708-5</t>
  </si>
  <si>
    <t>CHIAPAS|A01 004 LA CEIBA|20260827|20260829|CEDA|CEDA PISO|CDS04122|MISCELANEOS</t>
  </si>
  <si>
    <t>CHIAPAS|A01 004 LA CEIBA|20260827|20260829|CEDA|CEDA PISO|CDS04122|MISCELANEOS|1</t>
  </si>
  <si>
    <t>A01002-352708-1</t>
  </si>
  <si>
    <t>CHIAPAS|A01 002 FORTALEZA|20260827|20260831|CHALCO|WM|CPR01102|1212 CAJAS CONVENCIONAL Y 84 CAJAS BAE</t>
  </si>
  <si>
    <t>CHIAPAS|A01 002 FORTALEZA|20260827|20260831|CHALCO|WM|CPR01102|1212 CAJAS CONVENCIONAL Y 84 CAJAS BAE|1</t>
  </si>
  <si>
    <t>42007</t>
  </si>
  <si>
    <t>CHIAPAS|A01 002 FORTALEZA|20260827|20260831|MTY|WM|CRG07128|22 CONVENCIONAL CON 5 CAJAS BAE Y 2 ORG</t>
  </si>
  <si>
    <t>CHIAPAS|A01 002 FORTALEZA|20260827|20260831|MTY|WM|CRG07128|22 CONVENCIONAL CON 5 CAJAS BAE Y 2 ORG|1</t>
  </si>
  <si>
    <t>CHIAPAS|A01 002 FORTALEZA|20260827|20260831|QRO|WM|CRG07128|22 CONVENCIONAL Y 2 ORG</t>
  </si>
  <si>
    <t>CHIAPAS|A01 002 FORTALEZA|20260827|20260831|QRO|WM|CRG07128|22 CONVENCIONAL Y 2 ORG|1</t>
  </si>
  <si>
    <t>43111</t>
  </si>
  <si>
    <t>CHIAPAS|A01 002 FORTALEZA|20260827|20260901|CHALCO|WM|CPR01102|21 CONVENCIONAL</t>
  </si>
  <si>
    <t>CHIAPAS|A01 002 FORTALEZA|20260827|20260901|CHALCO|WM|CPR01102|21 CONVENCIONAL|1</t>
  </si>
  <si>
    <t>42253</t>
  </si>
  <si>
    <t>CHIAPAS|A01 002 FORTALEZA|20260827|20260831|MTY|WM|CPR01114|22 CONVENCIONAL CON 5 CAJAS BAE Y 2 ORG</t>
  </si>
  <si>
    <t>CHIAPAS|A01 002 FORTALEZA|20260827|20260831|MTY|WM|CPR01114|22 CONVENCIONAL CON 5 CAJAS BAE Y 2 ORG|1</t>
  </si>
  <si>
    <t>CHIAPAS|A01 002 FORTALEZA|20260827|20260831|MTY|WM|CPR01102|22 CONVENCIONAL CON 5 CAJAS BAE Y 2 ORG</t>
  </si>
  <si>
    <t>CHIAPAS|A01 002 FORTALEZA|20260827|20260831|MTY|WM|CPR01102|22 CONVENCIONAL CON 5 CAJAS BAE Y 2 ORG|1</t>
  </si>
  <si>
    <t>CHIAPAS|A01 002 FORTALEZA|20260827|20260829|CEDA|CEDA PISO|CPR01101|CEDA PISO PRODUCTORAS</t>
  </si>
  <si>
    <t>CHIAPAS|A01 002 FORTALEZA|20260827|20260829|CEDA|CEDA PISO|CPR01101|CEDA PISO PRODUCTORAS|1</t>
  </si>
  <si>
    <t>A01002-352708-4</t>
  </si>
  <si>
    <t>CHIAPAS|A01 002 FORTALEZA|20260827|20260829|CEDA|CEDA PISO|CSA04120|MISCELANEOS</t>
  </si>
  <si>
    <t>CHIAPAS|A01 002 FORTALEZA|20260827|20260829|CEDA|CEDA PISO|CSA04120|MISCELANEOS|1</t>
  </si>
  <si>
    <t>A01002-352708-3</t>
  </si>
  <si>
    <t>CHIAPAS|A01 002 FORTALEZA|20260827|20260829|CEDA|CEDA PISO|CMN05123|MISCELANEOS</t>
  </si>
  <si>
    <t>CHIAPAS|A01 002 FORTALEZA|20260827|20260829|CEDA|CEDA PISO|CMN05123|MISCELANEOS|1</t>
  </si>
  <si>
    <t>A01002-352708-5</t>
  </si>
  <si>
    <t>CHIAPAS|A01 002 FORTALEZA|20260827|20260829|CEDA|CEDA PISO|CDS04122|MISCELANEOS</t>
  </si>
  <si>
    <t>CHIAPAS|A01 002 FORTALEZA|20260827|20260829|CEDA|CEDA PISO|CDS04122|MISCELANEOS|1</t>
  </si>
  <si>
    <t>A01001-352708-1</t>
  </si>
  <si>
    <t>CHIAPAS|A01 001 MARBELLA|20260827|20260831|MTY|WM|CPR01102|22 CONVENCIONAL CON 5 CAJAS BAE Y 2 ORG</t>
  </si>
  <si>
    <t>CHIAPAS|A01 001 MARBELLA|20260827|20260831|MTY|WM|CPR01102|22 CONVENCIONAL CON 5 CAJAS BAE Y 2 ORG|1</t>
  </si>
  <si>
    <t>CHIAPAS|A01 001 MARBELLA|20260827|20260831|QRO|WM|CPR01102|22 CONVENCIONAL Y 2 ORG</t>
  </si>
  <si>
    <t>CHIAPAS|A01 001 MARBELLA|20260827|20260831|QRO|WM|CPR01102|22 CONVENCIONAL Y 2 ORG|1</t>
  </si>
  <si>
    <t>CHIAPAS|A01 001 MARBELLA|20260827|20260829|CEDA|CEDA AUTOSERVICIO|CPR01102|CEDA</t>
  </si>
  <si>
    <t>CHIAPAS|A01 001 MARBELLA|20260827|20260829|CEDA|CEDA AUTOSERVICIO|CPR01102|CEDA|1</t>
  </si>
  <si>
    <t>CHIAPAS|A01 001 MARBELLA|20260827|20260829|CEDA|CEDA AUTOSERVICIO|CPL08141|CEDA PLANTAIN</t>
  </si>
  <si>
    <t>CHIAPAS|A01 001 MARBELLA|20260827|20260829|CEDA|CEDA AUTOSERVICIO|CPL08141|CEDA PLANTAIN|1</t>
  </si>
  <si>
    <t>A01001-352708-4</t>
  </si>
  <si>
    <t>CHIAPAS|A01 001 MARBELLA|20260827|20260829|CEDA|CEDA PISO|CSA04120|MISCELANEOS</t>
  </si>
  <si>
    <t>CHIAPAS|A01 001 MARBELLA|20260827|20260829|CEDA|CEDA PISO|CSA04120|MISCELANEOS|1</t>
  </si>
  <si>
    <t>A01001-352708-3</t>
  </si>
  <si>
    <t>CHIAPAS|A01 001 MARBELLA|20260827|20260829|CEDA|CEDA PISO|CMN05123|MISCELANEOS</t>
  </si>
  <si>
    <t>CHIAPAS|A01 001 MARBELLA|20260827|20260829|CEDA|CEDA PISO|CMN05123|MISCELANEOS|1</t>
  </si>
  <si>
    <t>A01001-352708-5</t>
  </si>
  <si>
    <t>CHIAPAS|A01 001 MARBELLA|20260827|20260829|CEDA|CEDA PISO|CDS04122|MISCELANEOS</t>
  </si>
  <si>
    <t>CHIAPAS|A01 001 MARBELLA|20260827|20260829|CEDA|CEDA PISO|CDS04122|MISCELANEOS|1</t>
  </si>
  <si>
    <t>A25022-352808-1</t>
  </si>
  <si>
    <t>40679</t>
  </si>
  <si>
    <t>CHIAPAS|A25 022 DONA MILDRED|20260828|20260904|CIUDAD JUAREZ|SMART|CPR01103|20 CONVENCIONAL SCJ2</t>
  </si>
  <si>
    <t>CHIAPAS|A25 022 DONA MILDRED|20260828|20260904|CIUDAD JUAREZ|SMART|CPR01103|20 CONVENCIONAL SCJ2|1</t>
  </si>
  <si>
    <t>A06043-352808-1</t>
  </si>
  <si>
    <t>CHIAPAS|A06 043 NUESTRA SENORA|20260828|20260901|MCALLEN|CHANITOS INT|CPR01104|20 CONVENCIONAL F4-1</t>
  </si>
  <si>
    <t>CHIAPAS|A06 043 NUESTRA SENORA|20260828|20260901|MCALLEN|CHANITOS INT|CPR01104|20 CONVENCIONAL F4-1|1</t>
  </si>
  <si>
    <t>A04084-352808-1</t>
  </si>
  <si>
    <t>42212</t>
  </si>
  <si>
    <t>CHIAPAS|A04 084 LISBOA|20260828|20260901|MCALLEN|CHANITOS INT|CPR01104|20 CONVENCIONAL F3-2</t>
  </si>
  <si>
    <t>CHIAPAS|A04 084 LISBOA|20260828|20260901|MCALLEN|CHANITOS INT|CPR01104|20 CONVENCIONAL F3-2|1</t>
  </si>
  <si>
    <t>A27073-352808-1</t>
  </si>
  <si>
    <t>42202</t>
  </si>
  <si>
    <t>CHIAPAS|A27 073 PLANTACION|20260828|20260901|MCALLEN|CHANITOS INT|CPL08133|24 PLANTAIN</t>
  </si>
  <si>
    <t>CHIAPAS|A27 073 PLANTACION|20260828|20260901|MCALLEN|CHANITOS INT|CPL08133|24 PLANTAIN|1</t>
  </si>
  <si>
    <t>A41100-352808-1</t>
  </si>
  <si>
    <t>CHIAPAS|A41 100 DONA LUPE JV|20260828|20260901|CEDA|CEDA AUTOSERVICIO|CPL08141|CEDA PLANTAIN</t>
  </si>
  <si>
    <t>CHIAPAS|A41 100 DONA LUPE JV|20260828|20260901|CEDA|CEDA AUTOSERVICIO|CPL08141|CEDA PLANTAIN|1</t>
  </si>
  <si>
    <t>A05040-352808-1</t>
  </si>
  <si>
    <t>41920</t>
  </si>
  <si>
    <t>CHIAPAS|A05 040 PLATANEROS UNIDOS 1|20260828|20260902|SMO|WM|CPR01102|24 CONVENCIONAL</t>
  </si>
  <si>
    <t>CHIAPAS|A05 040 PLATANEROS UNIDOS 1|20260828|20260902|SMO|WM|CPR01102|24 CONVENCIONAL|1</t>
  </si>
  <si>
    <t>A01003-352808-1</t>
  </si>
  <si>
    <t>CHIAPAS|A01 003 DONA NELLY|20260828|20260902|QRO|WM|CRG07128|22 CONVENCIONAL Y 2 ORG</t>
  </si>
  <si>
    <t>CHIAPAS|A01 003 DONA NELLY|20260828|20260902|QRO|WM|CRG07128|22 CONVENCIONAL Y 2 ORG|1</t>
  </si>
  <si>
    <t>42987</t>
  </si>
  <si>
    <t>CHIAPAS|A01 003 DONA NELLY|20260828|20260902|CHALCO|WM|CPR01102|23 CONVENCIONAL Y 1 BAE</t>
  </si>
  <si>
    <t>CHIAPAS|A01 003 DONA NELLY|20260828|20260902|CHALCO|WM|CPR01102|23 CONVENCIONAL Y 1 BAE|1</t>
  </si>
  <si>
    <t>CHIAPAS|A01 003 DONA NELLY|20260828|20260902|CHALCO|WM|CPR01114|23 CONVENCIONAL Y 1 BAE</t>
  </si>
  <si>
    <t>CHIAPAS|A01 003 DONA NELLY|20260828|20260902|CHALCO|WM|CPR01114|23 CONVENCIONAL Y 1 BAE|1</t>
  </si>
  <si>
    <t>CHIAPAS|A01 003 DONA NELLY|20260828|20260830|CEDA|CEDA PISO|CPR01101|CEDA PISO PRODUCTORAS</t>
  </si>
  <si>
    <t>CHIAPAS|A01 003 DONA NELLY|20260828|20260830|CEDA|CEDA PISO|CPR01101|CEDA PISO PRODUCTORAS|1</t>
  </si>
  <si>
    <t>A01003-352808-4</t>
  </si>
  <si>
    <t>CHIAPAS|A01 003 DONA NELLY|20260828|20260830|CEDA|CEDA PISO|CSA04120|MISCELANEOS</t>
  </si>
  <si>
    <t>CHIAPAS|A01 003 DONA NELLY|20260828|20260830|CEDA|CEDA PISO|CSA04120|MISCELANEOS|1</t>
  </si>
  <si>
    <t>A01003-352808-3</t>
  </si>
  <si>
    <t>CHIAPAS|A01 003 DONA NELLY|20260828|20260830|CEDA|CEDA PISO|CMN05123|MISCELANEOS</t>
  </si>
  <si>
    <t>CHIAPAS|A01 003 DONA NELLY|20260828|20260830|CEDA|CEDA PISO|CMN05123|MISCELANEOS|1</t>
  </si>
  <si>
    <t>A01003-352808-5</t>
  </si>
  <si>
    <t>CHIAPAS|A01 003 DONA NELLY|20260828|20260830|CEDA|CEDA PISO|CDS04122|MISCELANEOS</t>
  </si>
  <si>
    <t>CHIAPAS|A01 003 DONA NELLY|20260828|20260830|CEDA|CEDA PISO|CDS04122|MISCELANEOS|1</t>
  </si>
  <si>
    <t>A01002-352808-1</t>
  </si>
  <si>
    <t>41969</t>
  </si>
  <si>
    <t>CHIAPAS|A01 002 FORTALEZA|20260828|20260903|VSA|WM|CRG07128|18 CONVENCIONAL Y 6 ORGANICO</t>
  </si>
  <si>
    <t>CHIAPAS|A01 002 FORTALEZA|20260828|20260903|VSA|WM|CRG07128|18 CONVENCIONAL Y 6 ORGANICO|1</t>
  </si>
  <si>
    <t>41936</t>
  </si>
  <si>
    <t>CHIAPAS|A01 002 FORTALEZA|20260828|20260903|VSA|WM|CPR01102|18 CONVENCIONAL Y 6 ORGANICO</t>
  </si>
  <si>
    <t>CHIAPAS|A01 002 FORTALEZA|20260828|20260903|VSA|WM|CPR01102|18 CONVENCIONAL Y 6 ORGANICO|1</t>
  </si>
  <si>
    <t>CHIAPAS|A01 002 FORTALEZA|20260828|20260830|CEDA|CEDA PISO|CPR01101|CEDA PISO PRODUCTORAS</t>
  </si>
  <si>
    <t>CHIAPAS|A01 002 FORTALEZA|20260828|20260830|CEDA|CEDA PISO|CPR01101|CEDA PISO PRODUCTORAS|1</t>
  </si>
  <si>
    <t>A01002-352808-4</t>
  </si>
  <si>
    <t>CHIAPAS|A01 002 FORTALEZA|20260828|20260830|CEDA|CEDA PISO|CSA04120|MISCELANEOS</t>
  </si>
  <si>
    <t>CHIAPAS|A01 002 FORTALEZA|20260828|20260830|CEDA|CEDA PISO|CSA04120|MISCELANEOS|1</t>
  </si>
  <si>
    <t>A01002-352808-3</t>
  </si>
  <si>
    <t>CHIAPAS|A01 002 FORTALEZA|20260828|20260830|CEDA|CEDA PISO|CMN05123|MISCELANEOS</t>
  </si>
  <si>
    <t>CHIAPAS|A01 002 FORTALEZA|20260828|20260830|CEDA|CEDA PISO|CMN05123|MISCELANEOS|1</t>
  </si>
  <si>
    <t>A01002-352808-5</t>
  </si>
  <si>
    <t>CHIAPAS|A01 002 FORTALEZA|20260828|20260830|CEDA|CEDA PISO|CDS04122|MISCELANEOS</t>
  </si>
  <si>
    <t>CHIAPAS|A01 002 FORTALEZA|20260828|20260830|CEDA|CEDA PISO|CDS04122|MISCELANEOS|1</t>
  </si>
  <si>
    <t>A01001-352808-1</t>
  </si>
  <si>
    <t>CHIAPAS|A01 001 MARBELLA|20260828|20260901|CHALCO|WM|CPR01102|21 CONVENCIONAL</t>
  </si>
  <si>
    <t>CHIAPAS|A01 001 MARBELLA|20260828|20260901|CHALCO|WM|CPR01102|21 CONVENCIONAL|1</t>
  </si>
  <si>
    <t>42968</t>
  </si>
  <si>
    <t>CHIAPAS|A01 001 MARBELLA|20260828|20260901|CHALCO|WM|CPR01102|21 CONVENCIONAL|2</t>
  </si>
  <si>
    <t>CHIAPAS|A01 001 MARBELLA|20260828|20260901|CEDA|CEDA AUTOSERVICIO|CPR01102|CEDA</t>
  </si>
  <si>
    <t>CHIAPAS|A01 001 MARBELLA|20260828|20260901|CEDA|CEDA AUTOSERVICIO|CPR01102|CEDA|1</t>
  </si>
  <si>
    <t>43000</t>
  </si>
  <si>
    <t>CHIAPAS|A01 001 MARBELLA|20260828|20260903|CHALCO|WM|CPR01102|1098 CAJAS CONVENCIONAL Y 54 CAJAS BAE</t>
  </si>
  <si>
    <t>CHIAPAS|A01 001 MARBELLA|20260828|20260903|CHALCO|WM|CPR01102|1098 CAJAS CONVENCIONAL Y 54 CAJAS BAE|1</t>
  </si>
  <si>
    <t>CHIAPAS|A01 001 MARBELLA|20260828|20260830|CEDA|CEDA AUTOSERVICIO|CPR01102|CEDA</t>
  </si>
  <si>
    <t>CHIAPAS|A01 001 MARBELLA|20260828|20260830|CEDA|CEDA AUTOSERVICIO|CPR01102|CEDA|1</t>
  </si>
  <si>
    <t>CHIAPAS|A01 001 MARBELLA|20260828|20260830|CEDA|CEDA PISO|CPR01101|CEDA PISO PRODUCTORAS</t>
  </si>
  <si>
    <t>CHIAPAS|A01 001 MARBELLA|20260828|20260830|CEDA|CEDA PISO|CPR01101|CEDA PISO PRODUCTORAS|1</t>
  </si>
  <si>
    <t>A01001-352808-4</t>
  </si>
  <si>
    <t>CHIAPAS|A01 001 MARBELLA|20260828|20260830|CEDA|CEDA PISO|CSA04120|MISCELANEOS</t>
  </si>
  <si>
    <t>CHIAPAS|A01 001 MARBELLA|20260828|20260830|CEDA|CEDA PISO|CSA04120|MISCELANEOS|1</t>
  </si>
  <si>
    <t>A01001-352808-3</t>
  </si>
  <si>
    <t>CHIAPAS|A01 001 MARBELLA|20260828|20260830|CEDA|CEDA PISO|CMN05123|MISCELANEOS</t>
  </si>
  <si>
    <t>CHIAPAS|A01 001 MARBELLA|20260828|20260830|CEDA|CEDA PISO|CMN05123|MISCELANEOS|1</t>
  </si>
  <si>
    <t>A01001-352808-5</t>
  </si>
  <si>
    <t>CHIAPAS|A01 001 MARBELLA|20260828|20260830|CEDA|CEDA PISO|CDS04122|MISCELANEOS</t>
  </si>
  <si>
    <t>CHIAPAS|A01 001 MARBELLA|20260828|20260830|CEDA|CEDA PISO|CDS04122|MISCELANEOS|1</t>
  </si>
  <si>
    <t>A25022-352908-1</t>
  </si>
  <si>
    <t>CHIAPAS|A25 022 DONA MILDRED|20260829|20260904|CIUDAD JUAREZ|SMART|CPR01103|20 CONVENCIONAL SCJ3</t>
  </si>
  <si>
    <t>CHIAPAS|A25 022 DONA MILDRED|20260829|20260904|CIUDAD JUAREZ|SMART|CPR01103|20 CONVENCIONAL SCJ3|1</t>
  </si>
  <si>
    <t>A11045-352908-1</t>
  </si>
  <si>
    <t>43066</t>
  </si>
  <si>
    <t>CHIAPAS|A11 045 SECTOR MAZATAN|20260829|20260904|S-MTY|SMART|CPR01103|20 CONVENCIONAL SM3</t>
  </si>
  <si>
    <t>CHIAPAS|A11 045 SECTOR MAZATAN|20260829|20260904|S-MTY|SMART|CPR01103|20 CONVENCIONAL SM3|1</t>
  </si>
  <si>
    <t>A04039-352908-1</t>
  </si>
  <si>
    <t>CHIAPAS|A04 039 SAN JOSE MORELIA NAVA|20260829|20260904|S-MTY|SMART|CPR01103|20 CONVENCIONAL SM4</t>
  </si>
  <si>
    <t>CHIAPAS|A04 039 SAN JOSE MORELIA NAVA|20260829|20260904|S-MTY|SMART|CPR01103|20 CONVENCIONAL SM4|1</t>
  </si>
  <si>
    <t>A01003-352908-1</t>
  </si>
  <si>
    <t>42222</t>
  </si>
  <si>
    <t>CHIAPAS|A01 003 DONA NELLY|20260829|20260903|MCALLEN|CHANITOS INT|CPR01104|20 CONVENCIONAL F4-2</t>
  </si>
  <si>
    <t>CHIAPAS|A01 003 DONA NELLY|20260829|20260903|MCALLEN|CHANITOS INT|CPR01104|20 CONVENCIONAL F4-2|1</t>
  </si>
  <si>
    <t>CHIAPAS|A01 003 DONA NELLY|20260829|20260831|CEDA|CEDA AUTOSERVICIO|CPR01102|CEDA</t>
  </si>
  <si>
    <t>CHIAPAS|A01 003 DONA NELLY|20260829|20260831|CEDA|CEDA AUTOSERVICIO|CPR01102|CEDA|1</t>
  </si>
  <si>
    <t>CHIAPAS|A01 003 DONA NELLY|20260829|20260831|CEDA|CEDA PISO|CPR01101|CEDA PISO PRODUCTORAS</t>
  </si>
  <si>
    <t>CHIAPAS|A01 003 DONA NELLY|20260829|20260831|CEDA|CEDA PISO|CPR01101|CEDA PISO PRODUCTORAS|1</t>
  </si>
  <si>
    <t>CHIAPAS|A01 003 DONA NELLY|20260829|20260831|CEDA|CEDA PISO|CPR01101|CEDA PISO PRODUCTORAS|2</t>
  </si>
  <si>
    <t>A01003-352908-4</t>
  </si>
  <si>
    <t>CHIAPAS|A01 003 DONA NELLY|20260829|20260831|CEDA|CEDA PISO|CSA04120|MISCELANEOS</t>
  </si>
  <si>
    <t>CHIAPAS|A01 003 DONA NELLY|20260829|20260831|CEDA|CEDA PISO|CSA04120|MISCELANEOS|1</t>
  </si>
  <si>
    <t>A01003-352908-3</t>
  </si>
  <si>
    <t>CHIAPAS|A01 003 DONA NELLY|20260829|20260831|CEDA|CEDA PISO|CMN05123|MISCELANEOS</t>
  </si>
  <si>
    <t>CHIAPAS|A01 003 DONA NELLY|20260829|20260831|CEDA|CEDA PISO|CMN05123|MISCELANEOS|1</t>
  </si>
  <si>
    <t>A01003-352908-5</t>
  </si>
  <si>
    <t>CHIAPAS|A01 003 DONA NELLY|20260829|20260831|CEDA|CEDA PISO|CDS04122|MISCELANEOS</t>
  </si>
  <si>
    <t>CHIAPAS|A01 003 DONA NELLY|20260829|20260831|CEDA|CEDA PISO|CDS04122|MISCELANEOS|1</t>
  </si>
  <si>
    <t>A01004-352908-1</t>
  </si>
  <si>
    <t>CHIAPAS|A01 004 LA CEIBA|20260829|20260903|CHALCO|WM|CPR01102|1098 CAJAS CONVENCIONAL Y 54 CAJAS BAE</t>
  </si>
  <si>
    <t>CHIAPAS|A01 004 LA CEIBA|20260829|20260903|CHALCO|WM|CPR01102|1098 CAJAS CONVENCIONAL Y 54 CAJAS BAE|1</t>
  </si>
  <si>
    <t>CHIAPAS|A01 004 LA CEIBA|20260829|20260903|CHALCO|WM|CPR01114|1098 CAJAS CONVENCIONAL Y 54 CAJAS BAE</t>
  </si>
  <si>
    <t>CHIAPAS|A01 004 LA CEIBA|20260829|20260903|CHALCO|WM|CPR01114|1098 CAJAS CONVENCIONAL Y 54 CAJAS BAE|1</t>
  </si>
  <si>
    <t>CHIAPAS|A01 004 LA CEIBA|20260829|20260831|CEDA|CEDA AUTOSERVICIO|CPR01102|CEDA</t>
  </si>
  <si>
    <t>CHIAPAS|A01 004 LA CEIBA|20260829|20260831|CEDA|CEDA AUTOSERVICIO|CPR01102|CEDA|1</t>
  </si>
  <si>
    <t>CHIAPAS|A01 004 LA CEIBA|20260829|20260831|CEDA|CEDA PISO|CPR01101|CEDA PISO PRODUCTORAS</t>
  </si>
  <si>
    <t>CHIAPAS|A01 004 LA CEIBA|20260829|20260831|CEDA|CEDA PISO|CPR01101|CEDA PISO PRODUCTORAS|1</t>
  </si>
  <si>
    <t>A01004-352908-4</t>
  </si>
  <si>
    <t>CHIAPAS|A01 004 LA CEIBA|20260829|20260831|CEDA|CEDA PISO|CSA04120|MISCELANEOS</t>
  </si>
  <si>
    <t>CHIAPAS|A01 004 LA CEIBA|20260829|20260831|CEDA|CEDA PISO|CSA04120|MISCELANEOS|1</t>
  </si>
  <si>
    <t>A01004-352908-3</t>
  </si>
  <si>
    <t>CHIAPAS|A01 004 LA CEIBA|20260829|20260831|CEDA|CEDA PISO|CMN05123|MISCELANEOS</t>
  </si>
  <si>
    <t>CHIAPAS|A01 004 LA CEIBA|20260829|20260831|CEDA|CEDA PISO|CMN05123|MISCELANEOS|1</t>
  </si>
  <si>
    <t>A01004-352908-5</t>
  </si>
  <si>
    <t>CHIAPAS|A01 004 LA CEIBA|20260829|20260831|CEDA|CEDA PISO|CDS04122|MISCELANEOS</t>
  </si>
  <si>
    <t>CHIAPAS|A01 004 LA CEIBA|20260829|20260831|CEDA|CEDA PISO|CDS04122|MISCELANEOS|1</t>
  </si>
  <si>
    <t>A01001-363108-1</t>
  </si>
  <si>
    <t>43003</t>
  </si>
  <si>
    <t>CHIAPAS|A01 001 MARBELLA|20260831|20260904|CHALCO|WM|CPR01102|1068 CAJAS CONVENCIONAL Y 84 CAJAS BAE</t>
  </si>
  <si>
    <t>CHIAPAS|A01 001 MARBELLA|20260831|20260904|CHALCO|WM|CPR01102|1068 CAJAS CONVENCIONAL Y 84 CAJAS BAE|1</t>
  </si>
  <si>
    <t>Programa Embarques 2026 S-36.xlsx</t>
  </si>
  <si>
    <t>CHIAPAS|A01 001 MARBELLA|20260831|20260904|CHALCO|WM|CPR01114|1068 CAJAS CONVENCIONAL Y 84 CAJAS BAE</t>
  </si>
  <si>
    <t>CHIAPAS|A01 001 MARBELLA|20260831|20260904|CHALCO|WM|CPR01114|1068 CAJAS CONVENCIONAL Y 84 CAJAS BAE|1</t>
  </si>
  <si>
    <t>41922</t>
  </si>
  <si>
    <t>CHIAPAS|A01 001 MARBELLA|20260831|20260906|SMO|WM|CPR01102|24 CONVENCIONAL ADICIONAL</t>
  </si>
  <si>
    <t>CHIAPAS|A01 001 MARBELLA|20260831|20260906|SMO|WM|CPR01102|24 CONVENCIONAL ADICIONAL|1</t>
  </si>
  <si>
    <t>CHIAPAS|A01 001 MARBELLA|20260831|20260902|CEDA|CEDA PISO|CPR01101|CEDA PISO PRODUCTORAS</t>
  </si>
  <si>
    <t>CHIAPAS|A01 001 MARBELLA|20260831|20260902|CEDA|CEDA PISO|CPR01101|CEDA PISO PRODUCTORAS|1</t>
  </si>
  <si>
    <t>A01001-363108-4</t>
  </si>
  <si>
    <t>CHIAPAS|A01 001 MARBELLA|20260831|20260902|CEDA|CEDA PISO|CSA04120|CEDA</t>
  </si>
  <si>
    <t>CHIAPAS|A01 001 MARBELLA|20260831|20260902|CEDA|CEDA PISO|CSA04120|CEDA|1</t>
  </si>
  <si>
    <t>A01001-363108-3</t>
  </si>
  <si>
    <t>CHIAPAS|A01 001 MARBELLA|20260831|20260902|CEDA|CEDA PISO|CMN05123|CEDA</t>
  </si>
  <si>
    <t>CHIAPAS|A01 001 MARBELLA|20260831|20260902|CEDA|CEDA PISO|CMN05123|CEDA|1</t>
  </si>
  <si>
    <t>A01001-363108-5</t>
  </si>
  <si>
    <t>CHIAPAS|A01 001 MARBELLA|20260831|20260902|CEDA|CEDA PISO|CDS04122|CEDA</t>
  </si>
  <si>
    <t>CHIAPAS|A01 001 MARBELLA|20260831|20260902|CEDA|CEDA PISO|CDS04122|CEDA|1</t>
  </si>
  <si>
    <t>A01002-363108-1</t>
  </si>
  <si>
    <t>42355</t>
  </si>
  <si>
    <t>CHIAPAS|A01 002 FORTALEZA|20260831|20260904|QRO|WM|CPR01102|22 CONVENCIONAL Y 2 ORG</t>
  </si>
  <si>
    <t>CHIAPAS|A01 002 FORTALEZA|20260831|20260904|QRO|WM|CPR01102|22 CONVENCIONAL Y 2 ORG|1</t>
  </si>
  <si>
    <t>CHIAPAS|A01 002 FORTALEZA|20260831|20260904|QRO|WM|CRG07128|22 CONVENCIONAL Y 2 ORG</t>
  </si>
  <si>
    <t>CHIAPAS|A01 002 FORTALEZA|20260831|20260904|QRO|WM|CRG07128|22 CONVENCIONAL Y 2 ORG|1</t>
  </si>
  <si>
    <t>CHIAPAS|A01 002 FORTALEZA|20260831|20260902|CEDA|CEDA PISO|CPR01101|CEDA PISO PRODUCTORAS</t>
  </si>
  <si>
    <t>CHIAPAS|A01 002 FORTALEZA|20260831|20260902|CEDA|CEDA PISO|CPR01101|CEDA PISO PRODUCTORAS|1</t>
  </si>
  <si>
    <t>A01002-363108-4</t>
  </si>
  <si>
    <t>CHIAPAS|A01 002 FORTALEZA|20260831|20260902|CEDA|CEDA PISO|CSA04120|CEDA</t>
  </si>
  <si>
    <t>CHIAPAS|A01 002 FORTALEZA|20260831|20260902|CEDA|CEDA PISO|CSA04120|CEDA|1</t>
  </si>
  <si>
    <t>A01002-363108-3</t>
  </si>
  <si>
    <t>CHIAPAS|A01 002 FORTALEZA|20260831|20260902|CEDA|CEDA PISO|CMN05123|CEDA</t>
  </si>
  <si>
    <t>CHIAPAS|A01 002 FORTALEZA|20260831|20260902|CEDA|CEDA PISO|CMN05123|CEDA|1</t>
  </si>
  <si>
    <t>A01002-363108-5</t>
  </si>
  <si>
    <t>CHIAPAS|A01 002 FORTALEZA|20260831|20260902|CEDA|CEDA PISO|CDS04122|CEDA</t>
  </si>
  <si>
    <t>CHIAPAS|A01 002 FORTALEZA|20260831|20260902|CEDA|CEDA PISO|CDS04122|CEDA|1</t>
  </si>
  <si>
    <t>A01003-363108-1</t>
  </si>
  <si>
    <t>42223</t>
  </si>
  <si>
    <t>CHIAPAS|A01 003 DONA NELLY|20260831|20260903|MCALLEN|CHANITOS INT|CPR01104|20 CONVENCIONAL F1-2</t>
  </si>
  <si>
    <t>CHIAPAS|A01 003 DONA NELLY|20260831|20260903|MCALLEN|CHANITOS INT|CPR01104|20 CONVENCIONAL F1-2|1</t>
  </si>
  <si>
    <t>41921</t>
  </si>
  <si>
    <t>CHIAPAS|A01 003 DONA NELLY|20260831|20260905|SMO|WM|CPR01102|24 CONVENCIONAL ADICIONAL</t>
  </si>
  <si>
    <t>CHIAPAS|A01 003 DONA NELLY|20260831|20260905|SMO|WM|CPR01102|24 CONVENCIONAL ADICIONAL|1</t>
  </si>
  <si>
    <t>CHIAPAS|A01 003 DONA NELLY|20260831|20260902|CEDA|CEDA PISO|CPR01101|CEDA PISO PRODUCTORAS</t>
  </si>
  <si>
    <t>CHIAPAS|A01 003 DONA NELLY|20260831|20260902|CEDA|CEDA PISO|CPR01101|CEDA PISO PRODUCTORAS|1</t>
  </si>
  <si>
    <t>A01003-363108-4</t>
  </si>
  <si>
    <t>CHIAPAS|A01 003 DONA NELLY|20260831|20260902|CEDA|CEDA PISO|CSA04120|CEDA</t>
  </si>
  <si>
    <t>CHIAPAS|A01 003 DONA NELLY|20260831|20260902|CEDA|CEDA PISO|CSA04120|CEDA|1</t>
  </si>
  <si>
    <t>A01003-363108-3</t>
  </si>
  <si>
    <t>CHIAPAS|A01 003 DONA NELLY|20260831|20260902|CEDA|CEDA PISO|CMN05123|CEDA</t>
  </si>
  <si>
    <t>CHIAPAS|A01 003 DONA NELLY|20260831|20260902|CEDA|CEDA PISO|CMN05123|CEDA|1</t>
  </si>
  <si>
    <t>A01003-363108-5</t>
  </si>
  <si>
    <t>CHIAPAS|A01 003 DONA NELLY|20260831|20260902|CEDA|CEDA PISO|CDS04122|CEDA</t>
  </si>
  <si>
    <t>CHIAPAS|A01 003 DONA NELLY|20260831|20260902|CEDA|CEDA PISO|CDS04122|CEDA|1</t>
  </si>
  <si>
    <t>A11045-363108-1</t>
  </si>
  <si>
    <t>42397</t>
  </si>
  <si>
    <t>CHIAPAS|A11 045 SECTOR MAZATAN|20260831|20260904|MCALLEN|CHANITOS INT|CPR01104|20 CONVENCIONAL F2-1</t>
  </si>
  <si>
    <t>CHIAPAS|A11 045 SECTOR MAZATAN|20260831|20260904|MCALLEN|CHANITOS INT|CPR01104|20 CONVENCIONAL F2-1|1</t>
  </si>
  <si>
    <t>42401</t>
  </si>
  <si>
    <t>CHIAPAS|A11 045 SECTOR MAZATAN|20260831|20260904|MCALLEN|CHANITOS INT|CPR01104|20 CONVENCIONAL F2-2</t>
  </si>
  <si>
    <t>CHIAPAS|A11 045 SECTOR MAZATAN|20260831|20260904|MCALLEN|CHANITOS INT|CPR01104|20 CONVENCIONAL F2-2|1</t>
  </si>
  <si>
    <t>A11045-360109-1</t>
  </si>
  <si>
    <t>CHIAPAS|A11 045 SECTOR MAZATAN|20260901|20260904|MCALLEN|CHANITOS INT|CPR01104|20 CONVENCIONAL F2-2</t>
  </si>
  <si>
    <t>CHIAPAS|A11 045 SECTOR MAZATAN|20260901|20260904|MCALLEN|CHANITOS INT|CPR01104|20 CONVENCIONAL F2-2|1</t>
  </si>
  <si>
    <t>A01004-360109-1</t>
  </si>
  <si>
    <t>42407</t>
  </si>
  <si>
    <t>CHIAPAS|A01 004 LA CEIBA|20260901|20260905|MCALLEN|CHANITOS INT|CPR01104|20 CONVENCIONAL F4-1</t>
  </si>
  <si>
    <t>CHIAPAS|A01 004 LA CEIBA|20260901|20260905|MCALLEN|CHANITOS INT|CPR01104|20 CONVENCIONAL F4-1|1</t>
  </si>
  <si>
    <t>43006</t>
  </si>
  <si>
    <t>CHIAPAS|A01 004 LA CEIBA|20260901|20260905|CHALCO|WM|CPR01102|1086 CAJAS CONVENCIONAL Y 66 CAJAS BAE</t>
  </si>
  <si>
    <t>CHIAPAS|A01 004 LA CEIBA|20260901|20260905|CHALCO|WM|CPR01102|1086 CAJAS CONVENCIONAL Y 66 CAJAS BAE|1</t>
  </si>
  <si>
    <t>CHIAPAS|A01 004 LA CEIBA|20260901|20260903|CEDA|CEDA PISO|CPR01101|CEDA PISO PRODUCTORAS</t>
  </si>
  <si>
    <t>CHIAPAS|A01 004 LA CEIBA|20260901|20260903|CEDA|CEDA PISO|CPR01101|CEDA PISO PRODUCTORAS|1</t>
  </si>
  <si>
    <t>A01004-360109-4</t>
  </si>
  <si>
    <t>CHIAPAS|A01 004 LA CEIBA|20260901|20260903|CEDA|CEDA PISO|CSA04120|CEDA</t>
  </si>
  <si>
    <t>CHIAPAS|A01 004 LA CEIBA|20260901|20260903|CEDA|CEDA PISO|CSA04120|CEDA|1</t>
  </si>
  <si>
    <t>A01004-360109-3</t>
  </si>
  <si>
    <t>CHIAPAS|A01 004 LA CEIBA|20260901|20260903|CEDA|CEDA PISO|CMN05123|CEDA</t>
  </si>
  <si>
    <t>CHIAPAS|A01 004 LA CEIBA|20260901|20260903|CEDA|CEDA PISO|CMN05123|CEDA|1</t>
  </si>
  <si>
    <t>A01004-360109-5</t>
  </si>
  <si>
    <t>CHIAPAS|A01 004 LA CEIBA|20260901|20260903|CEDA|CEDA PISO|CDS04122|CEDA</t>
  </si>
  <si>
    <t>CHIAPAS|A01 004 LA CEIBA|20260901|20260903|CEDA|CEDA PISO|CDS04122|CEDA|1</t>
  </si>
  <si>
    <t>A01003-360109-1</t>
  </si>
  <si>
    <t>CHIAPAS|A01 003 DONA NELLY|20260901|20260905|CHALCO|WM|CPR01114|1086 CAJAS CONVENCIONAL Y 66 CAJAS BAE</t>
  </si>
  <si>
    <t>CHIAPAS|A01 003 DONA NELLY|20260901|20260905|CHALCO|WM|CPR01114|1086 CAJAS CONVENCIONAL Y 66 CAJAS BAE|1</t>
  </si>
  <si>
    <t>CHIAPAS|A01 003 DONA NELLY|20260901|20260905|CHALCO|WM|CPR01102|1086 CAJAS CONVENCIONAL Y 66 CAJAS BAE</t>
  </si>
  <si>
    <t>CHIAPAS|A01 003 DONA NELLY|20260901|20260905|CHALCO|WM|CPR01102|1086 CAJAS CONVENCIONAL Y 66 CAJAS BAE|1</t>
  </si>
  <si>
    <t>CHIAPAS|A01 003 DONA NELLY|20260901|20260905|SMO|WM|CPR01102|24 CONVENCIONAL ADICIONAL</t>
  </si>
  <si>
    <t>CHIAPAS|A01 003 DONA NELLY|20260901|20260905|SMO|WM|CPR01102|24 CONVENCIONAL ADICIONAL|1</t>
  </si>
  <si>
    <t>CHIAPAS|A01 003 DONA NELLY|20260901|20260903|CEDA|CEDA PISO|CPR01101|CEDA PISO PRODUCTORAS</t>
  </si>
  <si>
    <t>CHIAPAS|A01 003 DONA NELLY|20260901|20260903|CEDA|CEDA PISO|CPR01101|CEDA PISO PRODUCTORAS|1</t>
  </si>
  <si>
    <t>A01003-360109-4</t>
  </si>
  <si>
    <t>CHIAPAS|A01 003 DONA NELLY|20260901|20260903|CEDA|CEDA PISO|CSA04120|CEDA</t>
  </si>
  <si>
    <t>CHIAPAS|A01 003 DONA NELLY|20260901|20260903|CEDA|CEDA PISO|CSA04120|CEDA|1</t>
  </si>
  <si>
    <t>A01003-360109-3</t>
  </si>
  <si>
    <t>CHIAPAS|A01 003 DONA NELLY|20260901|20260903|CEDA|CEDA PISO|CMN05123|CEDA</t>
  </si>
  <si>
    <t>CHIAPAS|A01 003 DONA NELLY|20260901|20260903|CEDA|CEDA PISO|CMN05123|CEDA|1</t>
  </si>
  <si>
    <t>A01003-360109-5</t>
  </si>
  <si>
    <t>CHIAPAS|A01 003 DONA NELLY|20260901|20260903|CEDA|CEDA PISO|CDS04122|CEDA</t>
  </si>
  <si>
    <t>CHIAPAS|A01 003 DONA NELLY|20260901|20260903|CEDA|CEDA PISO|CDS04122|CEDA|1</t>
  </si>
  <si>
    <t>A11056-360109-1</t>
  </si>
  <si>
    <t>43241</t>
  </si>
  <si>
    <t>CHIAPAS|A11 056 SAN ISIDRO|20260901|20260908|CIUDAD JUAREZ|SMART|CPR01103|20 CONVENCIONAL SCJ1</t>
  </si>
  <si>
    <t>CHIAPAS|A11 056 SAN ISIDRO|20260901|20260908|CIUDAD JUAREZ|SMART|CPR01103|20 CONVENCIONAL SCJ1|1</t>
  </si>
  <si>
    <t>A04037-360109-1</t>
  </si>
  <si>
    <t>CHIAPAS|A04 037 JOSEFINA NAVA|20260901|20260908|CIUDAD JUAREZ|SMART|CPR01103|17 CONVENCIONAL Y 3 PLANTAIN</t>
  </si>
  <si>
    <t>CHIAPAS|A04 037 JOSEFINA NAVA|20260901|20260908|CIUDAD JUAREZ|SMART|CPR01103|17 CONVENCIONAL Y 3 PLANTAIN|1</t>
  </si>
  <si>
    <t>A27073-360109-1</t>
  </si>
  <si>
    <t>CHIAPAS|A27 073 PLANTACION|20260901|20260908|CIUDAD JUAREZ|SMART|CPL08134|17 CONVENCIONAL Y 3 PLANTAIN</t>
  </si>
  <si>
    <t>CHIAPAS|A27 073 PLANTACION|20260901|20260908|CIUDAD JUAREZ|SMART|CPL08134|17 CONVENCIONAL Y 3 PLANTAIN|1</t>
  </si>
  <si>
    <t>43073</t>
  </si>
  <si>
    <t>CHIAPAS|A27 073 PLANTACION|20260901|20260908|S-MTY|SMART|CPL08134|18 CONVENCIONAL Y 2 PLANTAIN</t>
  </si>
  <si>
    <t>CHIAPAS|A27 073 PLANTACION|20260901|20260908|S-MTY|SMART|CPL08134|18 CONVENCIONAL Y 2 PLANTAIN|1</t>
  </si>
  <si>
    <t>A01001-360109-1</t>
  </si>
  <si>
    <t>43337</t>
  </si>
  <si>
    <t>CHIAPAS|A01 001 MARBELLA|20260901|20260906|JAPON|MAR|CPR03124|CP27-17 CP34-3</t>
  </si>
  <si>
    <t>CHIAPAS|A01 001 MARBELLA|20260901|20260906|JAPON|MAR|CPR03124|CP27-17 CP34-3|1</t>
  </si>
  <si>
    <t>CHIAPAS|A01 001 MARBELLA|20260901|20260906|JAPON|MAR|CPR03119|CP27-17 CP34-3</t>
  </si>
  <si>
    <t>CHIAPAS|A01 001 MARBELLA|20260901|20260906|JAPON|MAR|CPR03119|CP27-17 CP34-3|1</t>
  </si>
  <si>
    <t>CHIAPAS|A01 001 MARBELLA|20260901|20260906|SMO|WM|CPR01102|24 CONVENCIONAL ADICIONAL</t>
  </si>
  <si>
    <t>CHIAPAS|A01 001 MARBELLA|20260901|20260906|SMO|WM|CPR01102|24 CONVENCIONAL ADICIONAL|1</t>
  </si>
  <si>
    <t>CHIAPAS|A01 001 MARBELLA|20260901|20260903|CEDA|CEDA PISO|CPR01101|CEDA PISO PRODUCTORAS</t>
  </si>
  <si>
    <t>CHIAPAS|A01 001 MARBELLA|20260901|20260903|CEDA|CEDA PISO|CPR01101|CEDA PISO PRODUCTORAS|1</t>
  </si>
  <si>
    <t>CHIAPAS|A01 001 MARBELLA|20260901|20260906|CEDA|CEDA AUTOSERVICIO|CPL08141|CEDA PLANTAIN</t>
  </si>
  <si>
    <t>CHIAPAS|A01 001 MARBELLA|20260901|20260906|CEDA|CEDA AUTOSERVICIO|CPL08141|CEDA PLANTAIN|1</t>
  </si>
  <si>
    <t>Chanitos Plantain 20Kg Granel</t>
  </si>
  <si>
    <t>CPL08135</t>
  </si>
  <si>
    <t>CHIAPAS|A01 001 MARBELLA|20260901|20260906|CEDA|CEDA PISO|CPL08135|CEDA PLANTAIN</t>
  </si>
  <si>
    <t>CHIAPAS|A01 001 MARBELLA|20260901|20260906|CEDA|CEDA PISO|CPL08135|CEDA PLANTAIN|1</t>
  </si>
  <si>
    <t>A01001-360109-4</t>
  </si>
  <si>
    <t>CHIAPAS|A01 001 MARBELLA|20260901|20260903|CEDA|CEDA PISO|CSA04120|CEDA</t>
  </si>
  <si>
    <t>CHIAPAS|A01 001 MARBELLA|20260901|20260903|CEDA|CEDA PISO|CSA04120|CEDA|1</t>
  </si>
  <si>
    <t>A01001-360109-3</t>
  </si>
  <si>
    <t>CHIAPAS|A01 001 MARBELLA|20260901|20260903|CEDA|CEDA PISO|CMN05123|CEDA</t>
  </si>
  <si>
    <t>CHIAPAS|A01 001 MARBELLA|20260901|20260903|CEDA|CEDA PISO|CMN05123|CEDA|1</t>
  </si>
  <si>
    <t>A01001-360109-5</t>
  </si>
  <si>
    <t>CHIAPAS|A01 001 MARBELLA|20260901|20260903|CEDA|CEDA PISO|CDS04122|CEDA</t>
  </si>
  <si>
    <t>CHIAPAS|A01 001 MARBELLA|20260901|20260903|CEDA|CEDA PISO|CDS04122|CEDA|1</t>
  </si>
  <si>
    <t>A04084-360109-1</t>
  </si>
  <si>
    <t>42409</t>
  </si>
  <si>
    <t>CHIAPAS|A04 084 LISBOA|20260901|20260905|MCALLEN|CHANITOS INT|CPR01104|20 CONVENCIONAL F3-1</t>
  </si>
  <si>
    <t>CHIAPAS|A04 084 LISBOA|20260901|20260905|MCALLEN|CHANITOS INT|CPR01104|20 CONVENCIONAL F3-1|1</t>
  </si>
  <si>
    <t>A12057-360209-1</t>
  </si>
  <si>
    <t>CHIAPAS|A12 057 TIQUISATE 1|20260902|20260908|S-MTY|SMART|CPR01103|18 CONVENCIONAL Y 2 PLANTAIN</t>
  </si>
  <si>
    <t>CHIAPAS|A12 057 TIQUISATE 1|20260902|20260908|S-MTY|SMART|CPR01103|18 CONVENCIONAL Y 2 PLANTAIN|1</t>
  </si>
  <si>
    <t>42981</t>
  </si>
  <si>
    <t>CHIAPAS|A12 057 TIQUISATE 1|20260902|20260905|VSA|WM|CPR01102|24 CONVENCIONAL ADICIONAL</t>
  </si>
  <si>
    <t>CHIAPAS|A12 057 TIQUISATE 1|20260902|20260905|VSA|WM|CPR01102|24 CONVENCIONAL ADICIONAL|1</t>
  </si>
  <si>
    <t>A25022-360209-1</t>
  </si>
  <si>
    <t>CHIAPAS|A25 022 DONA MILDRED|20260902|20260908|S-MTY|SMART|CPR01103|20 CONVENCIONAL SM1</t>
  </si>
  <si>
    <t>CHIAPAS|A25 022 DONA MILDRED|20260902|20260908|S-MTY|SMART|CPR01103|20 CONVENCIONAL SM1|1</t>
  </si>
  <si>
    <t>A01002-360209-1</t>
  </si>
  <si>
    <t>42411</t>
  </si>
  <si>
    <t>CHIAPAS|A01 002 FORTALEZA|20260902|20260905|MCALLEN|CHANITOS INT|CPR01104|20 CONVENCIONAL F3-2</t>
  </si>
  <si>
    <t>CHIAPAS|A01 002 FORTALEZA|20260902|20260905|MCALLEN|CHANITOS INT|CPR01104|20 CONVENCIONAL F3-2|1</t>
  </si>
  <si>
    <t>A36005-360209-1</t>
  </si>
  <si>
    <t>43531</t>
  </si>
  <si>
    <t>CHIAPAS|A36 005 LA GLORIA|20260902|20260908|SMO|WM|CPR01102|24 CONVENCIONAL ADICIONAL</t>
  </si>
  <si>
    <t>CHIAPAS|A36 005 LA GLORIA|20260902|20260908|SMO|WM|CPR01102|24 CONVENCIONAL ADICIONAL|1</t>
  </si>
  <si>
    <t>41938</t>
  </si>
  <si>
    <t>CHIAPAS|A36 005 LA GLORIA|20260902|20260906|VSA|WM|CPR01102|18 CONVENCIONAL Y 6 ORGANICO</t>
  </si>
  <si>
    <t>CHIAPAS|A36 005 LA GLORIA|20260902|20260906|VSA|WM|CPR01102|18 CONVENCIONAL Y 6 ORGANICO|1</t>
  </si>
  <si>
    <t>CHIAPAS|A36 005 LA GLORIA|20260902|20260906|SMO|WM|CPR01102|24 CONVENCIONAL ADICIONAL</t>
  </si>
  <si>
    <t>CHIAPAS|A36 005 LA GLORIA|20260902|20260906|SMO|WM|CPR01102|24 CONVENCIONAL ADICIONAL|1</t>
  </si>
  <si>
    <t>CHIAPAS|A36 005 LA GLORIA|20260902|20260905|VSA|WM|CPR01102|24 CONVENCIONAL ADICIONAL</t>
  </si>
  <si>
    <t>CHIAPAS|A36 005 LA GLORIA|20260902|20260905|VSA|WM|CPR01102|24 CONVENCIONAL ADICIONAL|1</t>
  </si>
  <si>
    <t>A01003-360209-1</t>
  </si>
  <si>
    <t>42412</t>
  </si>
  <si>
    <t>CHIAPAS|A01 003 DONA NELLY|20260902|20260905|MCALLEN|CHANITOS INT|CPR01104|20 CONVENCIONAL F4-2</t>
  </si>
  <si>
    <t>CHIAPAS|A01 003 DONA NELLY|20260902|20260905|MCALLEN|CHANITOS INT|CPR01104|20 CONVENCIONAL F4-2|1</t>
  </si>
  <si>
    <t>CHIAPAS|A01 003 DONA NELLY|20260902|20260905|SMO|WM|CPR01102|24 CONVENCIONAL ADICIONAL</t>
  </si>
  <si>
    <t>CHIAPAS|A01 003 DONA NELLY|20260902|20260905|SMO|WM|CPR01102|24 CONVENCIONAL ADICIONAL|1</t>
  </si>
  <si>
    <t>43529</t>
  </si>
  <si>
    <t>CHIAPAS|A01 003 DONA NELLY|20260902|20260906|SMO|WM|CPR01102|24 CONVENCIONAL</t>
  </si>
  <si>
    <t>CHIAPAS|A01 003 DONA NELLY|20260902|20260906|SMO|WM|CPR01102|24 CONVENCIONAL|1</t>
  </si>
  <si>
    <t>CHIAPAS|A01 003 DONA NELLY|20260902|20260904|CEDA|CEDA PISO|CPR01101|CEDA PISO PRODUCTORAS</t>
  </si>
  <si>
    <t>CHIAPAS|A01 003 DONA NELLY|20260902|20260904|CEDA|CEDA PISO|CPR01101|CEDA PISO PRODUCTORAS|1</t>
  </si>
  <si>
    <t>CHIAPAS|A01 003 DONA NELLY|20260902|20260904|CEDA|CEDA PISO|CPR01101|CEDA PISO PRODUCTORAS|2</t>
  </si>
  <si>
    <t>A01003-360209-4</t>
  </si>
  <si>
    <t>CHIAPAS|A01 003 DONA NELLY|20260902|20260904|CEDA|CEDA PISO|CSA04120|CEDA</t>
  </si>
  <si>
    <t>CHIAPAS|A01 003 DONA NELLY|20260902|20260904|CEDA|CEDA PISO|CSA04120|CEDA|1</t>
  </si>
  <si>
    <t>A01003-360209-3</t>
  </si>
  <si>
    <t>CHIAPAS|A01 003 DONA NELLY|20260902|20260904|CEDA|CEDA PISO|CMN05123|CEDA</t>
  </si>
  <si>
    <t>CHIAPAS|A01 003 DONA NELLY|20260902|20260904|CEDA|CEDA PISO|CMN05123|CEDA|1</t>
  </si>
  <si>
    <t>A01003-360209-5</t>
  </si>
  <si>
    <t>CHIAPAS|A01 003 DONA NELLY|20260902|20260904|CEDA|CEDA PISO|CDS04122|CEDA</t>
  </si>
  <si>
    <t>CHIAPAS|A01 003 DONA NELLY|20260902|20260904|CEDA|CEDA PISO|CDS04122|CEDA|1</t>
  </si>
  <si>
    <t>A04084-360209-1</t>
  </si>
  <si>
    <t>42905</t>
  </si>
  <si>
    <t>CHIAPAS|A04 084 LISBOA|20260902|20260907|MCALLEN|CHANITOS INT|CPR01104|20 CONVENCIONAL F5-1</t>
  </si>
  <si>
    <t>CHIAPAS|A04 084 LISBOA|20260902|20260907|MCALLEN|CHANITOS INT|CPR01104|20 CONVENCIONAL F5-1|1</t>
  </si>
  <si>
    <t>CHIAPAS|A01 002 FORTALEZA|20260902|20260906|SMO|WM|CPR01102|24 CONVENCIONAL ADICIONAL</t>
  </si>
  <si>
    <t>CHIAPAS|A01 002 FORTALEZA|20260902|20260906|SMO|WM|CPR01102|24 CONVENCIONAL ADICIONAL|1</t>
  </si>
  <si>
    <t>CHIAPAS|A01 002 FORTALEZA|20260902|20260904|CEDA|CEDA PISO|CPR01101|CEDA PISO PRODUCTORAS</t>
  </si>
  <si>
    <t>CHIAPAS|A01 002 FORTALEZA|20260902|20260904|CEDA|CEDA PISO|CPR01101|CEDA PISO PRODUCTORAS|1</t>
  </si>
  <si>
    <t>A01002-360209-4</t>
  </si>
  <si>
    <t>CHIAPAS|A01 002 FORTALEZA|20260902|20260904|CEDA|CEDA PISO|CSA04120|CEDA</t>
  </si>
  <si>
    <t>CHIAPAS|A01 002 FORTALEZA|20260902|20260904|CEDA|CEDA PISO|CSA04120|CEDA|1</t>
  </si>
  <si>
    <t>A01002-360209-3</t>
  </si>
  <si>
    <t>CHIAPAS|A01 002 FORTALEZA|20260902|20260904|CEDA|CEDA PISO|CMN05123|CEDA</t>
  </si>
  <si>
    <t>CHIAPAS|A01 002 FORTALEZA|20260902|20260904|CEDA|CEDA PISO|CMN05123|CEDA|1</t>
  </si>
  <si>
    <t>A01002-360209-5</t>
  </si>
  <si>
    <t>CHIAPAS|A01 002 FORTALEZA|20260902|20260904|CEDA|CEDA PISO|CDS04122|CEDA</t>
  </si>
  <si>
    <t>CHIAPAS|A01 002 FORTALEZA|20260902|20260904|CEDA|CEDA PISO|CDS04122|CEDA|1</t>
  </si>
  <si>
    <t>A01001-360209-1</t>
  </si>
  <si>
    <t>42448</t>
  </si>
  <si>
    <t>CHIAPAS|A01 001 MARBELLA|20260902|20260907|QRO|WM|CPR01102|22 CONVENCIONAL Y 2 ORG</t>
  </si>
  <si>
    <t>CHIAPAS|A01 001 MARBELLA|20260902|20260907|QRO|WM|CPR01102|22 CONVENCIONAL Y 2 ORG|1</t>
  </si>
  <si>
    <t>CHIAPAS|A01 001 MARBELLA|20260902|20260904|CEDA|CEDA AUTOSERVICIO|CPR01102|CEDA</t>
  </si>
  <si>
    <t>CHIAPAS|A01 001 MARBELLA|20260902|20260904|CEDA|CEDA AUTOSERVICIO|CPR01102|CEDA|1</t>
  </si>
  <si>
    <t>CHIAPAS|A01 001 MARBELLA|20260902|20260904|CEDA|CEDA PISO|CPR01101|CEDA PISO PRODUCTORAS</t>
  </si>
  <si>
    <t>CHIAPAS|A01 001 MARBELLA|20260902|20260904|CEDA|CEDA PISO|CPR01101|CEDA PISO PRODUCTORAS|1</t>
  </si>
  <si>
    <t>CHIAPAS|A01 001 MARBELLA|20260902|20260906|CEDA|CEDA AUTOSERVICIO|CPL08141|CEDA PLANTAIN</t>
  </si>
  <si>
    <t>CHIAPAS|A01 001 MARBELLA|20260902|20260906|CEDA|CEDA AUTOSERVICIO|CPL08141|CEDA PLANTAIN|1</t>
  </si>
  <si>
    <t>CHIAPAS|A01 001 MARBELLA|20260902|20260906|CEDA|CEDA PISO|CPL08135|CEDA PLANTAIN</t>
  </si>
  <si>
    <t>CHIAPAS|A01 001 MARBELLA|20260902|20260906|CEDA|CEDA PISO|CPL08135|CEDA PLANTAIN|1</t>
  </si>
  <si>
    <t>A01001-360209-4</t>
  </si>
  <si>
    <t>CHIAPAS|A01 001 MARBELLA|20260902|20260904|CEDA|CEDA PISO|CSA04120|CEDA</t>
  </si>
  <si>
    <t>CHIAPAS|A01 001 MARBELLA|20260902|20260904|CEDA|CEDA PISO|CSA04120|CEDA|1</t>
  </si>
  <si>
    <t>A01001-360209-3</t>
  </si>
  <si>
    <t>CHIAPAS|A01 001 MARBELLA|20260902|20260904|CEDA|CEDA PISO|CMN05123|CEDA</t>
  </si>
  <si>
    <t>CHIAPAS|A01 001 MARBELLA|20260902|20260904|CEDA|CEDA PISO|CMN05123|CEDA|1</t>
  </si>
  <si>
    <t>A01001-360209-5</t>
  </si>
  <si>
    <t>CHIAPAS|A01 001 MARBELLA|20260902|20260904|CEDA|CEDA PISO|CDS04122|CEDA</t>
  </si>
  <si>
    <t>CHIAPAS|A01 001 MARBELLA|20260902|20260904|CEDA|CEDA PISO|CDS04122|CEDA|1</t>
  </si>
  <si>
    <t>A04039-360309-1</t>
  </si>
  <si>
    <t>43007</t>
  </si>
  <si>
    <t>CHIAPAS|A04 039 SAN JOSE MORELIA NAVA|20260903|20260907|CHALCO|WM|CPR01102|23 CONVENCIONAL Y 1 BAE</t>
  </si>
  <si>
    <t>CHIAPAS|A04 039 SAN JOSE MORELIA NAVA|20260903|20260907|CHALCO|WM|CPR01102|23 CONVENCIONAL Y 1 BAE|1</t>
  </si>
  <si>
    <t>CHIAPAS|A04 039 SAN JOSE MORELIA NAVA|20260903|20260907|CHALCO|WM|CPR01114|23 CONVENCIONAL Y 1 BAE</t>
  </si>
  <si>
    <t>CHIAPAS|A04 039 SAN JOSE MORELIA NAVA|20260903|20260907|CHALCO|WM|CPR01114|23 CONVENCIONAL Y 1 BAE|1</t>
  </si>
  <si>
    <t>A06043-360309-1</t>
  </si>
  <si>
    <t>42943</t>
  </si>
  <si>
    <t>CHIAPAS|A06 043 NUESTRA SENORA|20260903|20260909|MCALLEN|CHANITOS INT|CPR01104|20 CONVENCIONAL F6-1</t>
  </si>
  <si>
    <t>CHIAPAS|A06 043 NUESTRA SENORA|20260903|20260909|MCALLEN|CHANITOS INT|CPR01104|20 CONVENCIONAL F6-1|1</t>
  </si>
  <si>
    <t>A04038-360309-1</t>
  </si>
  <si>
    <t>42826</t>
  </si>
  <si>
    <t>CHIAPAS|A04 038 EL TRIUNFO NAVA|20260903|20260909|QRO|WM|CPR01102|22 CONVENCIONAL Y 2 ORG</t>
  </si>
  <si>
    <t>CHIAPAS|A04 038 EL TRIUNFO NAVA|20260903|20260909|QRO|WM|CPR01102|22 CONVENCIONAL Y 2 ORG|1</t>
  </si>
  <si>
    <t>A01002-360309-1</t>
  </si>
  <si>
    <t>CHIAPAS|A01 002 FORTALEZA|20260903|20260907|QRO|WM|CRG07128|22 CONVENCIONAL Y 2 ORG</t>
  </si>
  <si>
    <t>CHIAPAS|A01 002 FORTALEZA|20260903|20260907|QRO|WM|CRG07128|22 CONVENCIONAL Y 2 ORG|1</t>
  </si>
  <si>
    <t>CHIAPAS|A01 002 FORTALEZA|20260903|20260906|VSA|WM|CPR01102|18 CONVENCIONAL Y 6 ORGANICO</t>
  </si>
  <si>
    <t>CHIAPAS|A01 002 FORTALEZA|20260903|20260906|VSA|WM|CPR01102|18 CONVENCIONAL Y 6 ORGANICO|1</t>
  </si>
  <si>
    <t>42442</t>
  </si>
  <si>
    <t>CHIAPAS|A01 002 FORTALEZA|20260903|20260906|VSA|WM|CRG07128|18 CONVENCIONAL Y 6 ORGANICO</t>
  </si>
  <si>
    <t>CHIAPAS|A01 002 FORTALEZA|20260903|20260906|VSA|WM|CRG07128|18 CONVENCIONAL Y 6 ORGANICO|1</t>
  </si>
  <si>
    <t>42823</t>
  </si>
  <si>
    <t>CHIAPAS|A01 002 FORTALEZA|20260903|20260909|MTY|WM|CPR01102|22 CONVENCIONAL Y 2 ORG</t>
  </si>
  <si>
    <t>CHIAPAS|A01 002 FORTALEZA|20260903|20260909|MTY|WM|CPR01102|22 CONVENCIONAL Y 2 ORG|1</t>
  </si>
  <si>
    <t>CHIAPAS|A01 002 FORTALEZA|20260903|20260905|CEDA|CEDA PISO|CPR01101|CEDA PISO PRODUCTORAS</t>
  </si>
  <si>
    <t>CHIAPAS|A01 002 FORTALEZA|20260903|20260905|CEDA|CEDA PISO|CPR01101|CEDA PISO PRODUCTORAS|1</t>
  </si>
  <si>
    <t>A01002-360309-4</t>
  </si>
  <si>
    <t>CHIAPAS|A01 002 FORTALEZA|20260903|20260905|CEDA|CEDA PISO|CSA04120|CEDA</t>
  </si>
  <si>
    <t>CHIAPAS|A01 002 FORTALEZA|20260903|20260905|CEDA|CEDA PISO|CSA04120|CEDA|1</t>
  </si>
  <si>
    <t>A01002-360309-3</t>
  </si>
  <si>
    <t>CHIAPAS|A01 002 FORTALEZA|20260903|20260905|CEDA|CEDA PISO|CMN05123|CEDA</t>
  </si>
  <si>
    <t>CHIAPAS|A01 002 FORTALEZA|20260903|20260905|CEDA|CEDA PISO|CMN05123|CEDA|1</t>
  </si>
  <si>
    <t>A01002-360309-5</t>
  </si>
  <si>
    <t>CHIAPAS|A01 002 FORTALEZA|20260903|20260905|CEDA|CEDA PISO|CDS04122|CEDA</t>
  </si>
  <si>
    <t>CHIAPAS|A01 002 FORTALEZA|20260903|20260905|CEDA|CEDA PISO|CDS04122|CEDA|1</t>
  </si>
  <si>
    <t>A01001-360309-1</t>
  </si>
  <si>
    <t>43009</t>
  </si>
  <si>
    <t>CHIAPAS|A01 001 MARBELLA|20260903|20260908|CHALCO|WM|CPR01102|23 CONVENCIONAL Y 1 BAE</t>
  </si>
  <si>
    <t>CHIAPAS|A01 001 MARBELLA|20260903|20260908|CHALCO|WM|CPR01102|23 CONVENCIONAL Y 1 BAE|1</t>
  </si>
  <si>
    <t>CHIAPAS|A01 001 MARBELLA|20260903|20260908|CHALCO|WM|CPR01114|23 CONVENCIONAL Y 1 BAE</t>
  </si>
  <si>
    <t>CHIAPAS|A01 001 MARBELLA|20260903|20260908|CHALCO|WM|CPR01114|23 CONVENCIONAL Y 1 BAE|1</t>
  </si>
  <si>
    <t>CHIAPAS|A01 001 MARBELLA|20260903|20260905|CEDA|CEDA AUTOSERVICIO|CPR01102|CEDA</t>
  </si>
  <si>
    <t>CHIAPAS|A01 001 MARBELLA|20260903|20260905|CEDA|CEDA AUTOSERVICIO|CPR01102|CEDA|1</t>
  </si>
  <si>
    <t>CHIAPAS|A01 001 MARBELLA|20260903|20260905|CEDA|CEDA PISO|CPR01101|CEDA PISO PRODUCTORAS</t>
  </si>
  <si>
    <t>CHIAPAS|A01 001 MARBELLA|20260903|20260905|CEDA|CEDA PISO|CPR01101|CEDA PISO PRODUCTORAS|1</t>
  </si>
  <si>
    <t>A01001-360309-4</t>
  </si>
  <si>
    <t>CHIAPAS|A01 001 MARBELLA|20260903|20260905|CEDA|CEDA PISO|CSA04120|CEDA</t>
  </si>
  <si>
    <t>CHIAPAS|A01 001 MARBELLA|20260903|20260905|CEDA|CEDA PISO|CSA04120|CEDA|1</t>
  </si>
  <si>
    <t>A01001-360309-3</t>
  </si>
  <si>
    <t>CHIAPAS|A01 001 MARBELLA|20260903|20260905|CEDA|CEDA PISO|CMN05123|CEDA</t>
  </si>
  <si>
    <t>CHIAPAS|A01 001 MARBELLA|20260903|20260905|CEDA|CEDA PISO|CMN05123|CEDA|1</t>
  </si>
  <si>
    <t>A01001-360309-5</t>
  </si>
  <si>
    <t>CHIAPAS|A01 001 MARBELLA|20260903|20260905|CEDA|CEDA PISO|CDS04122|CEDA</t>
  </si>
  <si>
    <t>CHIAPAS|A01 001 MARBELLA|20260903|20260905|CEDA|CEDA PISO|CDS04122|CEDA|1</t>
  </si>
  <si>
    <t>A01003-360309-1</t>
  </si>
  <si>
    <t>41941</t>
  </si>
  <si>
    <t>CHIAPAS|A01 003 DONA NELLY|20260903|20260908|VSA|WM|CPR01102|18 CONVENCIONAL Y 6 ORGANICO</t>
  </si>
  <si>
    <t>CHIAPAS|A01 003 DONA NELLY|20260903|20260908|VSA|WM|CPR01102|18 CONVENCIONAL Y 6 ORGANICO|1</t>
  </si>
  <si>
    <t>CHIAPAS|A01 003 DONA NELLY|20260903|20260906|SMO|WM|CPR01102|24 CONVENCIONAL</t>
  </si>
  <si>
    <t>CHIAPAS|A01 003 DONA NELLY|20260903|20260906|SMO|WM|CPR01102|24 CONVENCIONAL|1</t>
  </si>
  <si>
    <t>CHIAPAS|A01 003 DONA NELLY|20260903|20260905|CEDA|CEDA PISO|CPR01101|CEDA PISO PRODUCTORAS</t>
  </si>
  <si>
    <t>CHIAPAS|A01 003 DONA NELLY|20260903|20260905|CEDA|CEDA PISO|CPR01101|CEDA PISO PRODUCTORAS|1</t>
  </si>
  <si>
    <t>A01003-360309-4</t>
  </si>
  <si>
    <t>CHIAPAS|A01 003 DONA NELLY|20260903|20260905|CEDA|CEDA PISO|CSA04120|CEDA</t>
  </si>
  <si>
    <t>CHIAPAS|A01 003 DONA NELLY|20260903|20260905|CEDA|CEDA PISO|CSA04120|CEDA|1</t>
  </si>
  <si>
    <t>A01003-360309-3</t>
  </si>
  <si>
    <t>CHIAPAS|A01 003 DONA NELLY|20260903|20260905|CEDA|CEDA PISO|CMN05123|CEDA</t>
  </si>
  <si>
    <t>CHIAPAS|A01 003 DONA NELLY|20260903|20260905|CEDA|CEDA PISO|CMN05123|CEDA|1</t>
  </si>
  <si>
    <t>A01003-360309-5</t>
  </si>
  <si>
    <t>CHIAPAS|A01 003 DONA NELLY|20260903|20260905|CEDA|CEDA PISO|CDS04122|CEDA</t>
  </si>
  <si>
    <t>CHIAPAS|A01 003 DONA NELLY|20260903|20260905|CEDA|CEDA PISO|CDS04122|CEDA|1</t>
  </si>
  <si>
    <t>A04084-360309-1</t>
  </si>
  <si>
    <t>42907</t>
  </si>
  <si>
    <t>CHIAPAS|A04 084 LISBOA|20260903|20260907|MCALLEN|CHANITOS INT|CPR01104|20 CONVENCIONAL F5-2</t>
  </si>
  <si>
    <t>CHIAPAS|A04 084 LISBOA|20260903|20260907|MCALLEN|CHANITOS INT|CPR01104|20 CONVENCIONAL F5-2|1</t>
  </si>
  <si>
    <t>A06043-360409-1</t>
  </si>
  <si>
    <t>CHIAPAS|A06 043 NUESTRA SENORA|20260904|20260909|MCALLEN|CHANITOS INT|CPR01104|20 CONVENCIONAL F6-1</t>
  </si>
  <si>
    <t>CHIAPAS|A06 043 NUESTRA SENORA|20260904|20260909|MCALLEN|CHANITOS INT|CPR01104|20 CONVENCIONAL F6-1|1</t>
  </si>
  <si>
    <t>A11045-360409-1</t>
  </si>
  <si>
    <t>42946</t>
  </si>
  <si>
    <t>CHIAPAS|A11 045 SECTOR MAZATAN|20260904|20260910|MCALLEN|CHANITOS INT|CPR01104|20 CONVENCIONAL F7-2</t>
  </si>
  <si>
    <t>CHIAPAS|A11 045 SECTOR MAZATAN|20260904|20260910|MCALLEN|CHANITOS INT|CPR01104|20 CONVENCIONAL F7-2|1</t>
  </si>
  <si>
    <t>A11092-360409-1</t>
  </si>
  <si>
    <t>CHIAPAS|A11 092 COMPOSTA|20260904|20260910|MCALLEN|CHANITOS INT|CPR01104|20 CONVENCIONAL F7-2</t>
  </si>
  <si>
    <t>CHIAPAS|A11 092 COMPOSTA|20260904|20260910|MCALLEN|CHANITOS INT|CPR01104|20 CONVENCIONAL F7-2|1</t>
  </si>
  <si>
    <t>A01002-360409-1</t>
  </si>
  <si>
    <t>43117</t>
  </si>
  <si>
    <t>CHIAPAS|A01 002 FORTALEZA|20260904|20260910|CHALCO|WM|CPR01102|1098 CAJAS CONVENCIONAL Y 54 CAJAS BAE</t>
  </si>
  <si>
    <t>CHIAPAS|A01 002 FORTALEZA|20260904|20260910|CHALCO|WM|CPR01102|1098 CAJAS CONVENCIONAL Y 54 CAJAS BAE|1</t>
  </si>
  <si>
    <t>CHIAPAS|A01 002 FORTALEZA|20260904|20260909|MTY|WM|CPR01102|22 CONVENCIONAL Y 2 ORG</t>
  </si>
  <si>
    <t>CHIAPAS|A01 002 FORTALEZA|20260904|20260909|MTY|WM|CPR01102|22 CONVENCIONAL Y 2 ORG|1</t>
  </si>
  <si>
    <t>41943</t>
  </si>
  <si>
    <t>CHIAPAS|A01 002 FORTALEZA|20260904|20260910|VSA|WM|CPR01102|18 CONVENCIONAL Y 6 ORGANICO</t>
  </si>
  <si>
    <t>CHIAPAS|A01 002 FORTALEZA|20260904|20260910|VSA|WM|CPR01102|18 CONVENCIONAL Y 6 ORGANICO|1</t>
  </si>
  <si>
    <t>42799</t>
  </si>
  <si>
    <t>CHIAPAS|A01 002 FORTALEZA|20260904|20260908|VSA|WM|CRG07128|18 CONVENCIONAL Y 6 ORGANICO</t>
  </si>
  <si>
    <t>CHIAPAS|A01 002 FORTALEZA|20260904|20260908|VSA|WM|CRG07128|18 CONVENCIONAL Y 6 ORGANICO|1</t>
  </si>
  <si>
    <t>A01002-360409-4</t>
  </si>
  <si>
    <t>CHIAPAS|A01 002 FORTALEZA|20260904|20260906|CEDA|CEDA PISO|CPR01101|CEDA</t>
  </si>
  <si>
    <t>CHIAPAS|A01 002 FORTALEZA|20260904|20260906|CEDA|CEDA PISO|CPR01101|CEDA|1</t>
  </si>
  <si>
    <t>CHIAPAS|A01 002 FORTALEZA|20260904|20260906|CEDA|CEDA PISO|CSA04120|CEDA</t>
  </si>
  <si>
    <t>CHIAPAS|A01 002 FORTALEZA|20260904|20260906|CEDA|CEDA PISO|CSA04120|CEDA|1</t>
  </si>
  <si>
    <t>A01002-360409-3</t>
  </si>
  <si>
    <t>CHIAPAS|A01 002 FORTALEZA|20260904|20260906|CEDA|CEDA PISO|CMN05123|CEDA</t>
  </si>
  <si>
    <t>CHIAPAS|A01 002 FORTALEZA|20260904|20260906|CEDA|CEDA PISO|CMN05123|CEDA|1</t>
  </si>
  <si>
    <t>A01002-360409-5</t>
  </si>
  <si>
    <t>CHIAPAS|A01 002 FORTALEZA|20260904|20260906|CEDA|CEDA PISO|CDS04122|CEDA</t>
  </si>
  <si>
    <t>CHIAPAS|A01 002 FORTALEZA|20260904|20260906|CEDA|CEDA PISO|CDS04122|CEDA|1</t>
  </si>
  <si>
    <t>A01001-360409-1</t>
  </si>
  <si>
    <t>43116</t>
  </si>
  <si>
    <t>CHIAPAS|A01 001 MARBELLA|20260904|20260909|CHALCO|WM|CPR01102|23 CONVENCIONAL Y 1 BAE</t>
  </si>
  <si>
    <t>CHIAPAS|A01 001 MARBELLA|20260904|20260909|CHALCO|WM|CPR01102|23 CONVENCIONAL Y 1 BAE|1</t>
  </si>
  <si>
    <t>CHIAPAS|A01 001 MARBELLA|20260904|20260910|CHALCO|WM|CPR01102|1098 CAJAS CONVENCIONAL Y 54 CAJAS BAE</t>
  </si>
  <si>
    <t>CHIAPAS|A01 001 MARBELLA|20260904|20260910|CHALCO|WM|CPR01102|1098 CAJAS CONVENCIONAL Y 54 CAJAS BAE|1</t>
  </si>
  <si>
    <t>CHIAPAS|A01 001 MARBELLA|20260904|20260909|CHALCO|WM|CPR01114|23 CONVENCIONAL Y 1 BAE</t>
  </si>
  <si>
    <t>CHIAPAS|A01 001 MARBELLA|20260904|20260909|CHALCO|WM|CPR01114|23 CONVENCIONAL Y 1 BAE|1</t>
  </si>
  <si>
    <t>CHIAPAS|A01 001 MARBELLA|20260904|20260910|CHALCO|WM|CPR01114|1098 CAJAS CONVENCIONAL Y 54 CAJAS BAE</t>
  </si>
  <si>
    <t>CHIAPAS|A01 001 MARBELLA|20260904|20260910|CHALCO|WM|CPR01114|1098 CAJAS CONVENCIONAL Y 54 CAJAS BAE|1</t>
  </si>
  <si>
    <t>CHIAPAS|A01 001 MARBELLA|20260904|20260906|CEDA|CEDA AUTOSERVICIO|CPR01102|CEDA</t>
  </si>
  <si>
    <t>CHIAPAS|A01 001 MARBELLA|20260904|20260906|CEDA|CEDA AUTOSERVICIO|CPR01102|CEDA|1</t>
  </si>
  <si>
    <t>CHIAPAS|A01 001 MARBELLA|20260904|20260906|CEDA|CEDA PISO|CPR01101|CEDA PISO PRODUCTORAS</t>
  </si>
  <si>
    <t>CHIAPAS|A01 001 MARBELLA|20260904|20260906|CEDA|CEDA PISO|CPR01101|CEDA PISO PRODUCTORAS|1</t>
  </si>
  <si>
    <t>A01001-360409-4</t>
  </si>
  <si>
    <t>CHIAPAS|A01 001 MARBELLA|20260904|20260906|CEDA|CEDA PISO|CSA04120|CEDA</t>
  </si>
  <si>
    <t>CHIAPAS|A01 001 MARBELLA|20260904|20260906|CEDA|CEDA PISO|CSA04120|CEDA|1</t>
  </si>
  <si>
    <t>A01001-360409-3</t>
  </si>
  <si>
    <t>CHIAPAS|A01 001 MARBELLA|20260904|20260906|CEDA|CEDA PISO|CMN05123|CEDA</t>
  </si>
  <si>
    <t>CHIAPAS|A01 001 MARBELLA|20260904|20260906|CEDA|CEDA PISO|CMN05123|CEDA|1</t>
  </si>
  <si>
    <t>A01001-360409-5</t>
  </si>
  <si>
    <t>CHIAPAS|A01 001 MARBELLA|20260904|20260906|CEDA|CEDA PISO|CDS04122|CEDA</t>
  </si>
  <si>
    <t>CHIAPAS|A01 001 MARBELLA|20260904|20260906|CEDA|CEDA PISO|CDS04122|CEDA|1</t>
  </si>
  <si>
    <t>A01004-360409-1</t>
  </si>
  <si>
    <t>41923</t>
  </si>
  <si>
    <t>CHIAPAS|A01 004 LA CEIBA|20260904|20260909|SMO|WM|CPR01102|24 CONVENCIONAL</t>
  </si>
  <si>
    <t>CHIAPAS|A01 004 LA CEIBA|20260904|20260909|SMO|WM|CPR01102|24 CONVENCIONAL|1</t>
  </si>
  <si>
    <t>A01004-360409-4</t>
  </si>
  <si>
    <t>CHIAPAS|A01 004 LA CEIBA|20260904|20260906|CEDA|CEDA PISO|CPR01101|CEDA</t>
  </si>
  <si>
    <t>CHIAPAS|A01 004 LA CEIBA|20260904|20260906|CEDA|CEDA PISO|CPR01101|CEDA|1</t>
  </si>
  <si>
    <t>CHIAPAS|A01 004 LA CEIBA|20260904|20260906|CEDA|CEDA PISO|CSA04120|CEDA</t>
  </si>
  <si>
    <t>CHIAPAS|A01 004 LA CEIBA|20260904|20260906|CEDA|CEDA PISO|CSA04120|CEDA|1</t>
  </si>
  <si>
    <t>A01004-360409-3</t>
  </si>
  <si>
    <t>CHIAPAS|A01 004 LA CEIBA|20260904|20260906|CEDA|CEDA PISO|CMN05123|CEDA</t>
  </si>
  <si>
    <t>CHIAPAS|A01 004 LA CEIBA|20260904|20260906|CEDA|CEDA PISO|CMN05123|CEDA|1</t>
  </si>
  <si>
    <t>A01004-360409-5</t>
  </si>
  <si>
    <t>CHIAPAS|A01 004 LA CEIBA|20260904|20260906|CEDA|CEDA PISO|CDS04122|CEDA</t>
  </si>
  <si>
    <t>CHIAPAS|A01 004 LA CEIBA|20260904|20260906|CEDA|CEDA PISO|CDS04122|CEDA|1</t>
  </si>
  <si>
    <t>A41100-360409-1</t>
  </si>
  <si>
    <t>43268</t>
  </si>
  <si>
    <t>CHIAPAS|A41 100 DONA LUPE JV|20260904|20260912|CIUDAD JUAREZ|SMART|CPL08134|17 CONVENCIONAL Y 3 PLANTAIN</t>
  </si>
  <si>
    <t>CHIAPAS|A41 100 DONA LUPE JV|20260904|20260912|CIUDAD JUAREZ|SMART|CPL08134|17 CONVENCIONAL Y 3 PLANTAIN|1</t>
  </si>
  <si>
    <t>B04017-360409-1</t>
  </si>
  <si>
    <t>A04 017 Rancho Nuevo</t>
  </si>
  <si>
    <t>CHIAPAS|A04 017 RANCHO NUEVO|20260904|20260912|CIUDAD JUAREZ|SMART|CPR01103|20 CONVENCIONAL SCJ2</t>
  </si>
  <si>
    <t>CHIAPAS|A04 017 RANCHO NUEVO|20260904|20260912|CIUDAD JUAREZ|SMART|CPR01103|20 CONVENCIONAL SCJ2|1</t>
  </si>
  <si>
    <t>A25022-360409-1</t>
  </si>
  <si>
    <t>43077</t>
  </si>
  <si>
    <t>CHIAPAS|A25 022 DONA MILDRED|20260904|20260910|S-MTY|SMART|CPR01103|20 CONVENCIONAL SM4</t>
  </si>
  <si>
    <t>CHIAPAS|A25 022 DONA MILDRED|20260904|20260910|S-MTY|SMART|CPR01103|20 CONVENCIONAL SM4|1</t>
  </si>
  <si>
    <t>A04084-360409-1</t>
  </si>
  <si>
    <t>42942</t>
  </si>
  <si>
    <t>CHIAPAS|A04 084 LISBOA|20260904|20260909|MCALLEN|CHANITOS INT|CPR01104|20 CONVENCIONAL F6-2</t>
  </si>
  <si>
    <t>CHIAPAS|A04 084 LISBOA|20260904|20260909|MCALLEN|CHANITOS INT|CPR01104|20 CONVENCIONAL F6-2|1</t>
  </si>
  <si>
    <t>A27073-360409-1</t>
  </si>
  <si>
    <t>42927</t>
  </si>
  <si>
    <t>CHIAPAS|A27 073 PLANTACION|20260904|20260908|MCALLEN|CHANITOS INT|CPL08133|24 PLANTAIN</t>
  </si>
  <si>
    <t>CHIAPAS|A27 073 PLANTACION|20260904|20260908|MCALLEN|CHANITOS INT|CPL08133|24 PLANTAIN|1</t>
  </si>
  <si>
    <t>CHIAPAS|A41 100 DONA LUPE JV|20260904|20260906|CEDA|CEDA AUTOSERVICIO|CPL08141|CEDA PLANTAIN</t>
  </si>
  <si>
    <t>CHIAPAS|A41 100 DONA LUPE JV|20260904|20260906|CEDA|CEDA AUTOSERVICIO|CPL08141|CEDA PLANTAIN|1</t>
  </si>
  <si>
    <t>A04083-360509-1</t>
  </si>
  <si>
    <t>CHIAPAS|A04 083 SANTA MARIA|20260905|20260910|VSA|WM|CPR01102|23 CONVENCIONAL Y 1 BAE</t>
  </si>
  <si>
    <t>CHIAPAS|A04 083 SANTA MARIA|20260905|20260910|VSA|WM|CPR01102|23 CONVENCIONAL Y 1 BAE|1</t>
  </si>
  <si>
    <t>CHIAPAS|A04 083 SANTA MARIA|20260905|20260909|CHALCO|WM|CPR01102|23 CONVENCIONAL Y 1 BAE</t>
  </si>
  <si>
    <t>CHIAPAS|A04 083 SANTA MARIA|20260905|20260909|CHALCO|WM|CPR01102|23 CONVENCIONAL Y 1 BAE|1</t>
  </si>
  <si>
    <t>CHIAPAS|A04 083 SANTA MARIA|20260905|20260910|CHALCO|WM|CPR01102|1098 CAJAS CONVENCIONAL Y 54 CAJAS BAE</t>
  </si>
  <si>
    <t>CHIAPAS|A04 083 SANTA MARIA|20260905|20260910|CHALCO|WM|CPR01102|1098 CAJAS CONVENCIONAL Y 54 CAJAS BAE|1</t>
  </si>
  <si>
    <t>CHIAPAS|A04 083 SANTA MARIA|20260905|20260910|CHALCO|WM|CPR01114|1098 CAJAS CONVENCIONAL Y 54 CAJAS BAE</t>
  </si>
  <si>
    <t>CHIAPAS|A04 083 SANTA MARIA|20260905|20260910|CHALCO|WM|CPR01114|1098 CAJAS CONVENCIONAL Y 54 CAJAS BAE|1</t>
  </si>
  <si>
    <t>A04084-360509-1</t>
  </si>
  <si>
    <t>42947</t>
  </si>
  <si>
    <t>CHIAPAS|A04 084 LISBOA|20260905|20260910|MCALLEN|CHANITOS INT|CPR01104|20 CONVENCIONAL F7-1</t>
  </si>
  <si>
    <t>CHIAPAS|A04 084 LISBOA|20260905|20260910|MCALLEN|CHANITOS INT|CPR01104|20 CONVENCIONAL F7-1|1</t>
  </si>
  <si>
    <t>A01002-360509-1</t>
  </si>
  <si>
    <t>42825</t>
  </si>
  <si>
    <t>CHIAPAS|A01 002 FORTALEZA|20260905|20260909|MTY|WM|CRG07128|22 CONVENCIONAL Y 2 ORG</t>
  </si>
  <si>
    <t>CHIAPAS|A01 002 FORTALEZA|20260905|20260909|MTY|WM|CRG07128|22 CONVENCIONAL Y 2 ORG|1</t>
  </si>
  <si>
    <t>CHIAPAS|A01 002 FORTALEZA|20260905|20260909|QRO|WM|CRG07128|22 CONVENCIONAL Y 2 ORG</t>
  </si>
  <si>
    <t>CHIAPAS|A01 002 FORTALEZA|20260905|20260909|QRO|WM|CRG07128|22 CONVENCIONAL Y 2 ORG|1</t>
  </si>
  <si>
    <t>42829</t>
  </si>
  <si>
    <t>CHIAPAS|A01 002 FORTALEZA|20260905|20260910|VSA|WM|CRG07128|18 CONVENCIONAL Y 6 ORGANICO</t>
  </si>
  <si>
    <t>CHIAPAS|A01 002 FORTALEZA|20260905|20260910|VSA|WM|CRG07128|18 CONVENCIONAL Y 6 ORGANICO|1</t>
  </si>
  <si>
    <t>CHIAPAS|A01 002 FORTALEZA|20260905|20260910|VSA|WM|CPR01102|18 CONVENCIONAL Y 6 ORGANICO</t>
  </si>
  <si>
    <t>CHIAPAS|A01 002 FORTALEZA|20260905|20260910|VSA|WM|CPR01102|18 CONVENCIONAL Y 6 ORGANICO|1</t>
  </si>
  <si>
    <t>43119</t>
  </si>
  <si>
    <t>CHIAPAS|A01 002 FORTALEZA|20260905|20260912|CHALCO|WM|CPR01102|1086 CAJAS CONVENCIONAL Y 66 CAJAS BAE</t>
  </si>
  <si>
    <t>CHIAPAS|A01 002 FORTALEZA|20260905|20260912|CHALCO|WM|CPR01102|1086 CAJAS CONVENCIONAL Y 66 CAJAS BAE|1</t>
  </si>
  <si>
    <t>CHIAPAS|A01 002 FORTALEZA|20260905|20260907|CEDA|CEDA PISO|CPR01101|CEDA</t>
  </si>
  <si>
    <t>CHIAPAS|A01 002 FORTALEZA|20260905|20260907|CEDA|CEDA PISO|CPR01101|CEDA|1</t>
  </si>
  <si>
    <t>A01002-360509-4</t>
  </si>
  <si>
    <t>CHIAPAS|A01 002 FORTALEZA|20260905|20260907|CEDA|CEDA PISO|CSA04120|CEDA</t>
  </si>
  <si>
    <t>CHIAPAS|A01 002 FORTALEZA|20260905|20260907|CEDA|CEDA PISO|CSA04120|CEDA|1</t>
  </si>
  <si>
    <t>A01002-360509-3</t>
  </si>
  <si>
    <t>CHIAPAS|A01 002 FORTALEZA|20260905|20260907|CEDA|CEDA PISO|CMN05123|CEDA</t>
  </si>
  <si>
    <t>CHIAPAS|A01 002 FORTALEZA|20260905|20260907|CEDA|CEDA PISO|CMN05123|CEDA|1</t>
  </si>
  <si>
    <t>A01002-360509-5</t>
  </si>
  <si>
    <t>CHIAPAS|A01 002 FORTALEZA|20260905|20260907|CEDA|CEDA PISO|CDS04122|CEDA</t>
  </si>
  <si>
    <t>CHIAPAS|A01 002 FORTALEZA|20260905|20260907|CEDA|CEDA PISO|CDS04122|CEDA|1</t>
  </si>
  <si>
    <t>A11092-360509-1</t>
  </si>
  <si>
    <t>CHIAPAS|A11 092 COMPOSTA|20260905|20260910|S-MTY|SMART|CPR01103|20 CONVENCIONAL SM3</t>
  </si>
  <si>
    <t>CHIAPAS|A11 092 COMPOSTA|20260905|20260910|S-MTY|SMART|CPR01103|20 CONVENCIONAL SM3|1</t>
  </si>
  <si>
    <t>A01004-360509-1</t>
  </si>
  <si>
    <t>CHIAPAS|A01 004 LA CEIBA|20260905|20260912|CIUDAD JUAREZ|SMART|CPR01103|17 CONVENCIONAL Y 3 PLANTAIN</t>
  </si>
  <si>
    <t>CHIAPAS|A01 004 LA CEIBA|20260905|20260912|CIUDAD JUAREZ|SMART|CPR01103|17 CONVENCIONAL Y 3 PLANTAIN|1</t>
  </si>
  <si>
    <t>CHIAPAS|A01 004 LA CEIBA|20260905|20260912|CHALCO|WM|CPR01102|1086 CAJAS CONVENCIONAL Y 66 CAJAS BAE</t>
  </si>
  <si>
    <t>CHIAPAS|A01 004 LA CEIBA|20260905|20260912|CHALCO|WM|CPR01102|1086 CAJAS CONVENCIONAL Y 66 CAJAS BAE|1</t>
  </si>
  <si>
    <t>A01004-360509-4</t>
  </si>
  <si>
    <t>CHIAPAS|A01 004 LA CEIBA|20260905|20260907|CEDA|CEDA PISO|CPR01101|CEDA</t>
  </si>
  <si>
    <t>CHIAPAS|A01 004 LA CEIBA|20260905|20260907|CEDA|CEDA PISO|CPR01101|CEDA|1</t>
  </si>
  <si>
    <t>CHIAPAS|A01 004 LA CEIBA|20260905|20260907|CEDA|CEDA PISO|CSA04120|CEDA</t>
  </si>
  <si>
    <t>CHIAPAS|A01 004 LA CEIBA|20260905|20260907|CEDA|CEDA PISO|CSA04120|CEDA|1</t>
  </si>
  <si>
    <t>A01004-360509-3</t>
  </si>
  <si>
    <t>CHIAPAS|A01 004 LA CEIBA|20260905|20260907|CEDA|CEDA PISO|CMN05123|CEDA</t>
  </si>
  <si>
    <t>CHIAPAS|A01 004 LA CEIBA|20260905|20260907|CEDA|CEDA PISO|CMN05123|CEDA|1</t>
  </si>
  <si>
    <t>A01004-360509-5</t>
  </si>
  <si>
    <t>CHIAPAS|A01 004 LA CEIBA|20260905|20260907|CEDA|CEDA PISO|CDS04122|CEDA</t>
  </si>
  <si>
    <t>CHIAPAS|A01 004 LA CEIBA|20260905|20260907|CEDA|CEDA PISO|CDS04122|CEDA|1</t>
  </si>
  <si>
    <t>A11045-370709-1</t>
  </si>
  <si>
    <t>42949</t>
  </si>
  <si>
    <t>CHIAPAS|A11 045 SECTOR MAZATAN|20260907|20260911|MCALLEN|CHANITOS INT|CPR01104|20 CONVENCIONAL F1-1</t>
  </si>
  <si>
    <t>CHIAPAS|A11 045 SECTOR MAZATAN|20260907|20260911|MCALLEN|CHANITOS INT|CPR01104|20 CONVENCIONAL F1-1|1</t>
  </si>
  <si>
    <t>Programa Embarques 2026 S-37.xlsx</t>
  </si>
  <si>
    <t>42951</t>
  </si>
  <si>
    <t>CHIAPAS|A11 045 SECTOR MAZATAN|20260907|20260911|MCALLEN|CHANITOS INT|CPR01104|20 CONVENCIONAL F1-2</t>
  </si>
  <si>
    <t>CHIAPAS|A11 045 SECTOR MAZATAN|20260907|20260911|MCALLEN|CHANITOS INT|CPR01104|20 CONVENCIONAL F1-2|1</t>
  </si>
  <si>
    <t>A01002-370709-1</t>
  </si>
  <si>
    <t>CHIAPAS|A01 002 FORTALEZA|20260907|20260910|MCALLEN|CHANITOS INT|CPR01104|20 CONVENCIONAL F7-1</t>
  </si>
  <si>
    <t>CHIAPAS|A01 002 FORTALEZA|20260907|20260910|MCALLEN|CHANITOS INT|CPR01104|20 CONVENCIONAL F7-1|1</t>
  </si>
  <si>
    <t>CHIAPAS|A01 002 FORTALEZA|20260907|20260910|VSA|WM|CRG07128|18 CONVENCIONAL Y 6 ORGANICO</t>
  </si>
  <si>
    <t>CHIAPAS|A01 002 FORTALEZA|20260907|20260910|VSA|WM|CRG07128|18 CONVENCIONAL Y 6 ORGANICO|1</t>
  </si>
  <si>
    <t>CHIAPAS|A01 002 FORTALEZA|20260907|20260912|CHALCO|WM|CPR01114|1086 CAJAS CONVENCIONAL Y 66 CAJAS BAE</t>
  </si>
  <si>
    <t>CHIAPAS|A01 002 FORTALEZA|20260907|20260912|CHALCO|WM|CPR01114|1086 CAJAS CONVENCIONAL Y 66 CAJAS BAE|1</t>
  </si>
  <si>
    <t>CHIAPAS|A01 002 FORTALEZA|20260907|20260912|CHALCO|WM|CPR01102|1086 CAJAS CONVENCIONAL Y 66 CAJAS BAE</t>
  </si>
  <si>
    <t>CHIAPAS|A01 002 FORTALEZA|20260907|20260912|CHALCO|WM|CPR01102|1086 CAJAS CONVENCIONAL Y 66 CAJAS BAE|1</t>
  </si>
  <si>
    <t>42837</t>
  </si>
  <si>
    <t>CHIAPAS|A01 002 FORTALEZA|20260907|20260911|QRO|WM|CPR01102|22 CONVENCIONAL Y 2 ORG</t>
  </si>
  <si>
    <t>CHIAPAS|A01 002 FORTALEZA|20260907|20260911|QRO|WM|CPR01102|22 CONVENCIONAL Y 2 ORG|1</t>
  </si>
  <si>
    <t>CHIAPAS|A01 002 FORTALEZA|20260907|20260911|QRO|WM|CRG07128|22 CONVENCIONAL Y 2 ORG</t>
  </si>
  <si>
    <t>CHIAPAS|A01 002 FORTALEZA|20260907|20260911|QRO|WM|CRG07128|22 CONVENCIONAL Y 2 ORG|1</t>
  </si>
  <si>
    <t>41945</t>
  </si>
  <si>
    <t>CHIAPAS|A01 002 FORTALEZA|20260907|20260912|VSA|WM|CPR01102|18 CONVENCIONAL Y 6 ORGANICO</t>
  </si>
  <si>
    <t>CHIAPAS|A01 002 FORTALEZA|20260907|20260912|VSA|WM|CPR01102|18 CONVENCIONAL Y 6 ORGANICO|1</t>
  </si>
  <si>
    <t>CHIAPAS|A01 002 FORTALEZA|20260907|20260911|CEDA|CEDA PISO|CPR01101|CEDA PISO PRODUCTORAS</t>
  </si>
  <si>
    <t>CHIAPAS|A01 002 FORTALEZA|20260907|20260911|CEDA|CEDA PISO|CPR01101|CEDA PISO PRODUCTORAS|1</t>
  </si>
  <si>
    <t>A01002-370709-4</t>
  </si>
  <si>
    <t>CHIAPAS|A01 002 FORTALEZA|20260907|20260911|CEDA|CEDA PISO|CSA04120|CEDA PISO PRODUCTORAS</t>
  </si>
  <si>
    <t>CHIAPAS|A01 002 FORTALEZA|20260907|20260911|CEDA|CEDA PISO|CSA04120|CEDA PISO PRODUCTORAS|1</t>
  </si>
  <si>
    <t>A01002-370709-3</t>
  </si>
  <si>
    <t>CHIAPAS|A01 002 FORTALEZA|20260907|20260911|CEDA|CEDA PISO|CMN05123|CEDA PISO PRODUCTORAS</t>
  </si>
  <si>
    <t>CHIAPAS|A01 002 FORTALEZA|20260907|20260911|CEDA|CEDA PISO|CMN05123|CEDA PISO PRODUCTORAS|1</t>
  </si>
  <si>
    <t>A01002-370709-5</t>
  </si>
  <si>
    <t>CHIAPAS|A01 002 FORTALEZA|20260907|20260911|CEDA|CEDA PISO|CDS04122|CEDA PISO PRODUCTORAS</t>
  </si>
  <si>
    <t>CHIAPAS|A01 002 FORTALEZA|20260907|20260911|CEDA|CEDA PISO|CDS04122|CEDA PISO PRODUCTORAS|1</t>
  </si>
  <si>
    <t>A01001-370709-1</t>
  </si>
  <si>
    <t>43118</t>
  </si>
  <si>
    <t>CHIAPAS|A01 001 MARBELLA|20260907|20260911|CHALCO|WM|CPR01114|1068 CAJAS CONVENCIONAL Y 84 CAJAS BAE</t>
  </si>
  <si>
    <t>CHIAPAS|A01 001 MARBELLA|20260907|20260911|CHALCO|WM|CPR01114|1068 CAJAS CONVENCIONAL Y 84 CAJAS BAE|1</t>
  </si>
  <si>
    <t>CHIAPAS|A01 001 MARBELLA|20260907|20260911|CHALCO|WM|CPR01102|1068 CAJAS CONVENCIONAL Y 84 CAJAS BAE</t>
  </si>
  <si>
    <t>CHIAPAS|A01 001 MARBELLA|20260907|20260911|CHALCO|WM|CPR01102|1068 CAJAS CONVENCIONAL Y 84 CAJAS BAE|1</t>
  </si>
  <si>
    <t>CHIAPAS|A01 001 MARBELLA|20260907|20260912|VSA|WM|CPR01102|18 CONVENCIONAL Y 6 ORGANICO</t>
  </si>
  <si>
    <t>CHIAPAS|A01 001 MARBELLA|20260907|20260912|VSA|WM|CPR01102|18 CONVENCIONAL Y 6 ORGANICO|1</t>
  </si>
  <si>
    <t>CHIAPAS|A01 001 MARBELLA|20260907|20260911|CEDA|CEDA PISO|CPR01101|CEDA PISO PRODUCTORAS</t>
  </si>
  <si>
    <t>CHIAPAS|A01 001 MARBELLA|20260907|20260911|CEDA|CEDA PISO|CPR01101|CEDA PISO PRODUCTORAS|1</t>
  </si>
  <si>
    <t>A01001-370709-4</t>
  </si>
  <si>
    <t>CHIAPAS|A01 001 MARBELLA|20260907|20260911|CEDA|CEDA PISO|CSA04120|CEDA PISO PRODUCTORAS</t>
  </si>
  <si>
    <t>CHIAPAS|A01 001 MARBELLA|20260907|20260911|CEDA|CEDA PISO|CSA04120|CEDA PISO PRODUCTORAS|1</t>
  </si>
  <si>
    <t>A01001-370709-3</t>
  </si>
  <si>
    <t>CHIAPAS|A01 001 MARBELLA|20260907|20260911|CEDA|CEDA PISO|CMN05123|CEDA PISO PRODUCTORAS</t>
  </si>
  <si>
    <t>CHIAPAS|A01 001 MARBELLA|20260907|20260911|CEDA|CEDA PISO|CMN05123|CEDA PISO PRODUCTORAS|1</t>
  </si>
  <si>
    <t>A01001-370709-5</t>
  </si>
  <si>
    <t>CHIAPAS|A01 001 MARBELLA|20260907|20260911|CEDA|CEDA PISO|CDS04122|CEDA PISO PRODUCTORAS</t>
  </si>
  <si>
    <t>CHIAPAS|A01 001 MARBELLA|20260907|20260911|CEDA|CEDA PISO|CDS04122|CEDA PISO PRODUCTORAS|1</t>
  </si>
  <si>
    <t>A01003-370709-1</t>
  </si>
  <si>
    <t>CHIAPAS|A01 003 DONA NELLY|20260907|20260911|QRO|WM|CPR01102|22 CONVENCIONAL Y 2 ORG</t>
  </si>
  <si>
    <t>CHIAPAS|A01 003 DONA NELLY|20260907|20260911|QRO|WM|CPR01102|22 CONVENCIONAL Y 2 ORG|1</t>
  </si>
  <si>
    <t>42952</t>
  </si>
  <si>
    <t>CHIAPAS|A01 003 DONA NELLY|20260907|20260912|MCALLEN|CHANITOS INT|CPR01104|20 CONVENCIONAL F2-2</t>
  </si>
  <si>
    <t>CHIAPAS|A01 003 DONA NELLY|20260907|20260912|MCALLEN|CHANITOS INT|CPR01104|20 CONVENCIONAL F2-2|1</t>
  </si>
  <si>
    <t>CHIAPAS|A01 003 DONA NELLY|20260907|20260911|CEDA|CEDA PISO|CPR01101|CEDA PISO PRODUCTORAS</t>
  </si>
  <si>
    <t>CHIAPAS|A01 003 DONA NELLY|20260907|20260911|CEDA|CEDA PISO|CPR01101|CEDA PISO PRODUCTORAS|1</t>
  </si>
  <si>
    <t>CHIAPAS|A01 003 DONA NELLY|20260907|20260911|CEDA|CEDA PISO|CPR01101|CEDA PISO PRODUCTORAS|2</t>
  </si>
  <si>
    <t>A01003-370709-4</t>
  </si>
  <si>
    <t>CHIAPAS|A01 003 DONA NELLY|20260907|20260911|CEDA|CEDA PISO|CSA04120|CEDA PISO PRODUCTORAS</t>
  </si>
  <si>
    <t>CHIAPAS|A01 003 DONA NELLY|20260907|20260911|CEDA|CEDA PISO|CSA04120|CEDA PISO PRODUCTORAS|1</t>
  </si>
  <si>
    <t>CHIAPAS|A01 003 DONA NELLY|20260907|20260911|CEDA|CEDA PISO|CSA04120|CEDA PISO PRODUCTORAS|2</t>
  </si>
  <si>
    <t>A01003-370709-3</t>
  </si>
  <si>
    <t>CHIAPAS|A01 003 DONA NELLY|20260907|20260911|CEDA|CEDA PISO|CMN05123|CEDA PISO PRODUCTORAS</t>
  </si>
  <si>
    <t>CHIAPAS|A01 003 DONA NELLY|20260907|20260911|CEDA|CEDA PISO|CMN05123|CEDA PISO PRODUCTORAS|1</t>
  </si>
  <si>
    <t>CHIAPAS|A01 003 DONA NELLY|20260907|20260911|CEDA|CEDA PISO|CMN05123|CEDA PISO PRODUCTORAS|2</t>
  </si>
  <si>
    <t>A01003-370709-5</t>
  </si>
  <si>
    <t>CHIAPAS|A01 003 DONA NELLY|20260907|20260911|CEDA|CEDA PISO|CDS04122|CEDA PISO PRODUCTORAS</t>
  </si>
  <si>
    <t>CHIAPAS|A01 003 DONA NELLY|20260907|20260911|CEDA|CEDA PISO|CDS04122|CEDA PISO PRODUCTORAS|1</t>
  </si>
  <si>
    <t>A11045-370809-1</t>
  </si>
  <si>
    <t>CHIAPAS|A11 045 SECTOR MAZATAN|20260908|20260911|MCALLEN|CHANITOS INT|CPR01104|20 CONVENCIONAL F1-2</t>
  </si>
  <si>
    <t>CHIAPAS|A11 045 SECTOR MAZATAN|20260908|20260911|MCALLEN|CHANITOS INT|CPR01104|20 CONVENCIONAL F1-2|1</t>
  </si>
  <si>
    <t>41925</t>
  </si>
  <si>
    <t>CHIAPAS|A11 045 SECTOR MAZATAN|20260908|20260913|SMO|WM|CPR01102|24 CONVENCIONAL</t>
  </si>
  <si>
    <t>CHIAPAS|A11 045 SECTOR MAZATAN|20260908|20260913|SMO|WM|CPR01102|24 CONVENCIONAL|1</t>
  </si>
  <si>
    <t>A04084-370809-1</t>
  </si>
  <si>
    <t>42953</t>
  </si>
  <si>
    <t>CHIAPAS|A04 084 LISBOA|20260908|20260912|MCALLEN|CHANITOS INT|CPR01104|20 CONVENCIONAL F2-1</t>
  </si>
  <si>
    <t>CHIAPAS|A04 084 LISBOA|20260908|20260912|MCALLEN|CHANITOS INT|CPR01104|20 CONVENCIONAL F2-1|1</t>
  </si>
  <si>
    <t>A04039-370809-1</t>
  </si>
  <si>
    <t>43704</t>
  </si>
  <si>
    <t>CHIAPAS|A04 039 SAN JOSE MORELIA NAVA|20260908|20260914|MCALLEN|CHANITOS INT|CPR01104|20 CONVENCIONAL F3-2</t>
  </si>
  <si>
    <t>CHIAPAS|A04 039 SAN JOSE MORELIA NAVA|20260908|20260914|MCALLEN|CHANITOS INT|CPR01104|20 CONVENCIONAL F3-2|1</t>
  </si>
  <si>
    <t>43489</t>
  </si>
  <si>
    <t>CHIAPAS|A04 039 SAN JOSE MORELIA NAVA|20260908|20260916|S-MTY|SMART|CPR01103|20 CONVENCIONAL SM1</t>
  </si>
  <si>
    <t>CHIAPAS|A04 039 SAN JOSE MORELIA NAVA|20260908|20260916|S-MTY|SMART|CPR01103|20 CONVENCIONAL SM1|1</t>
  </si>
  <si>
    <t>A01001-370809-1</t>
  </si>
  <si>
    <t>43897</t>
  </si>
  <si>
    <t>CHIAPAS|A01 001 MARBELLA|20260908|20260913|JAPON|MAR|CPR03124|CP27-15 CP34-5</t>
  </si>
  <si>
    <t>CHIAPAS|A01 001 MARBELLA|20260908|20260913|JAPON|MAR|CPR03124|CP27-15 CP34-5|1</t>
  </si>
  <si>
    <t>CHIAPAS|A01 001 MARBELLA|20260908|20260913|JAPON|MAR|CPR03119|CP27-15 CP34-5</t>
  </si>
  <si>
    <t>CHIAPAS|A01 001 MARBELLA|20260908|20260913|JAPON|MAR|CPR03119|CP27-15 CP34-5|1</t>
  </si>
  <si>
    <t>CHIAPAS|A01 001 MARBELLA|20260908|20260912|VSA|WM|CPR01102|18 CONVENCIONAL Y 6 ORGANICO</t>
  </si>
  <si>
    <t>CHIAPAS|A01 001 MARBELLA|20260908|20260912|VSA|WM|CPR01102|18 CONVENCIONAL Y 6 ORGANICO|1</t>
  </si>
  <si>
    <t>CHIAPAS|A01 001 MARBELLA|20260908|20260910|CEDA|CEDA PISO|CPR01101|CEDA PISO PRODUCTORAS</t>
  </si>
  <si>
    <t>CHIAPAS|A01 001 MARBELLA|20260908|20260910|CEDA|CEDA PISO|CPR01101|CEDA PISO PRODUCTORAS|1</t>
  </si>
  <si>
    <t>A01001-370809-4</t>
  </si>
  <si>
    <t>CHIAPAS|A01 001 MARBELLA|20260908|20260910|CEDA|CEDA PISO|CSA04120|CEDA PISO PRODUCTORAS</t>
  </si>
  <si>
    <t>CHIAPAS|A01 001 MARBELLA|20260908|20260910|CEDA|CEDA PISO|CSA04120|CEDA PISO PRODUCTORAS|1</t>
  </si>
  <si>
    <t>A01001-370809-3</t>
  </si>
  <si>
    <t>CHIAPAS|A01 001 MARBELLA|20260908|20260910|CEDA|CEDA PISO|CMN05123|CEDA PISO PRODUCTORAS</t>
  </si>
  <si>
    <t>CHIAPAS|A01 001 MARBELLA|20260908|20260910|CEDA|CEDA PISO|CMN05123|CEDA PISO PRODUCTORAS|1</t>
  </si>
  <si>
    <t>A01001-370809-5</t>
  </si>
  <si>
    <t>CHIAPAS|A01 001 MARBELLA|20260908|20260910|CEDA|CEDA PISO|CDS04122|CEDA PISO PRODUCTORAS</t>
  </si>
  <si>
    <t>CHIAPAS|A01 001 MARBELLA|20260908|20260910|CEDA|CEDA PISO|CDS04122|CEDA PISO PRODUCTORAS|1</t>
  </si>
  <si>
    <t>A41100-370809-1</t>
  </si>
  <si>
    <t>CHIAPAS|A41 100 DONA LUPE JV|20260908|20260915|CEDA|CEDA AUTOSERVICIO|CPL08141|CEDA PLANTAIN</t>
  </si>
  <si>
    <t>CHIAPAS|A41 100 DONA LUPE JV|20260908|20260915|CEDA|CEDA AUTOSERVICIO|CPL08141|CEDA PLANTAIN|1</t>
  </si>
  <si>
    <t>CHIAPAS|A41 100 DONA LUPE JV|20260908|20260913|CEDA|CEDA AUTOSERVICIO|CPL08141|CEDA PLANTAIN</t>
  </si>
  <si>
    <t>CHIAPAS|A41 100 DONA LUPE JV|20260908|20260913|CEDA|CEDA AUTOSERVICIO|CPL08141|CEDA PLANTAIN|1</t>
  </si>
  <si>
    <t>A01003-370809-1</t>
  </si>
  <si>
    <t>CHIAPAS|A01 003 DONA NELLY|20260908|20260911|QRO|WM|CPR01102|22 CONVENCIONAL Y 2 ORG</t>
  </si>
  <si>
    <t>CHIAPAS|A01 003 DONA NELLY|20260908|20260911|QRO|WM|CPR01102|22 CONVENCIONAL Y 2 ORG|1</t>
  </si>
  <si>
    <t>CHIAPAS|A01 003 DONA NELLY|20260908|20260914|MTY|WM|CPR01102|22 CONVENCIONAL CON 5 CAJAS BAE Y 2 ORG</t>
  </si>
  <si>
    <t>CHIAPAS|A01 003 DONA NELLY|20260908|20260914|MTY|WM|CPR01102|22 CONVENCIONAL CON 5 CAJAS BAE Y 2 ORG|1</t>
  </si>
  <si>
    <t>42983</t>
  </si>
  <si>
    <t>CHIAPAS|A01 003 DONA NELLY|20260908|20260914|VSA|WM|CPR01102|24 CONVENCIONAL ADICIONAL</t>
  </si>
  <si>
    <t>CHIAPAS|A01 003 DONA NELLY|20260908|20260914|VSA|WM|CPR01102|24 CONVENCIONAL ADICIONAL|1</t>
  </si>
  <si>
    <t>41924</t>
  </si>
  <si>
    <t>CHIAPAS|A01 003 DONA NELLY|20260908|20260912|SMO|WM|CPR01102|24 CONVENCIONAL ADICIONAL</t>
  </si>
  <si>
    <t>CHIAPAS|A01 003 DONA NELLY|20260908|20260912|SMO|WM|CPR01102|24 CONVENCIONAL ADICIONAL|1</t>
  </si>
  <si>
    <t>CHIAPAS|A01 003 DONA NELLY|20260908|20260914|VSA|WM|CPR01102|24 CONVENCIONAL ADICIONAL|2</t>
  </si>
  <si>
    <t>CHIAPAS|A01 003 DONA NELLY|20260908|20260910|CEDA|CEDA PISO|CPR01101|CEDA PISO PRODUCTORAS</t>
  </si>
  <si>
    <t>CHIAPAS|A01 003 DONA NELLY|20260908|20260910|CEDA|CEDA PISO|CPR01101|CEDA PISO PRODUCTORAS|1</t>
  </si>
  <si>
    <t>A01003-370809-4</t>
  </si>
  <si>
    <t>CHIAPAS|A01 003 DONA NELLY|20260908|20260910|CEDA|CEDA PISO|CSA04120|CEDA PISO PRODUCTORAS</t>
  </si>
  <si>
    <t>CHIAPAS|A01 003 DONA NELLY|20260908|20260910|CEDA|CEDA PISO|CSA04120|CEDA PISO PRODUCTORAS|1</t>
  </si>
  <si>
    <t>A01003-370809-3</t>
  </si>
  <si>
    <t>CHIAPAS|A01 003 DONA NELLY|20260908|20260910|CEDA|CEDA PISO|CMN05123|CEDA PISO PRODUCTORAS</t>
  </si>
  <si>
    <t>CHIAPAS|A01 003 DONA NELLY|20260908|20260910|CEDA|CEDA PISO|CMN05123|CEDA PISO PRODUCTORAS|1</t>
  </si>
  <si>
    <t>A01003-370809-5</t>
  </si>
  <si>
    <t>CHIAPAS|A01 003 DONA NELLY|20260908|20260910|CEDA|CEDA PISO|CDS04122|CEDA PISO PRODUCTORAS</t>
  </si>
  <si>
    <t>CHIAPAS|A01 003 DONA NELLY|20260908|20260910|CEDA|CEDA PISO|CDS04122|CEDA PISO PRODUCTORAS|1</t>
  </si>
  <si>
    <t>A01002-370809-1</t>
  </si>
  <si>
    <t>CHIAPAS|A01 002 FORTALEZA|20260908|20260912|VSA|WM|CPR01102|18 CONVENCIONAL Y 6 ORGANICO</t>
  </si>
  <si>
    <t>CHIAPAS|A01 002 FORTALEZA|20260908|20260912|VSA|WM|CPR01102|18 CONVENCIONAL Y 6 ORGANICO|1</t>
  </si>
  <si>
    <t>42840</t>
  </si>
  <si>
    <t>CHIAPAS|A01 002 FORTALEZA|20260908|20260912|VSA|WM|CRG07128|18 CONVENCIONAL Y 6 ORGANICO</t>
  </si>
  <si>
    <t>CHIAPAS|A01 002 FORTALEZA|20260908|20260912|VSA|WM|CRG07128|18 CONVENCIONAL Y 6 ORGANICO|1</t>
  </si>
  <si>
    <t>CHIAPAS|A01 002 FORTALEZA|20260908|20260912|SMO|WM|CPR01102|24 CONVENCIONAL ADICIONAL</t>
  </si>
  <si>
    <t>CHIAPAS|A01 002 FORTALEZA|20260908|20260912|SMO|WM|CPR01102|24 CONVENCIONAL ADICIONAL|1</t>
  </si>
  <si>
    <t>CHIAPAS|A01 002 FORTALEZA|20260908|20260910|CEDA|CEDA PISO|CPR01101|CEDA PISO PRODUCTORAS</t>
  </si>
  <si>
    <t>CHIAPAS|A01 002 FORTALEZA|20260908|20260910|CEDA|CEDA PISO|CPR01101|CEDA PISO PRODUCTORAS|1</t>
  </si>
  <si>
    <t>A01002-370809-4</t>
  </si>
  <si>
    <t>CHIAPAS|A01 002 FORTALEZA|20260908|20260910|CEDA|CEDA PISO|CSA04120|CEDA PISO PRODUCTORAS</t>
  </si>
  <si>
    <t>CHIAPAS|A01 002 FORTALEZA|20260908|20260910|CEDA|CEDA PISO|CSA04120|CEDA PISO PRODUCTORAS|1</t>
  </si>
  <si>
    <t>A01002-370809-3</t>
  </si>
  <si>
    <t>CHIAPAS|A01 002 FORTALEZA|20260908|20260910|CEDA|CEDA PISO|CMN05123|CEDA PISO PRODUCTORAS</t>
  </si>
  <si>
    <t>CHIAPAS|A01 002 FORTALEZA|20260908|20260910|CEDA|CEDA PISO|CMN05123|CEDA PISO PRODUCTORAS|1</t>
  </si>
  <si>
    <t>A01002-370809-5</t>
  </si>
  <si>
    <t>CHIAPAS|A01 002 FORTALEZA|20260908|20260910|CEDA|CEDA PISO|CDS04122|CEDA PISO PRODUCTORAS</t>
  </si>
  <si>
    <t>CHIAPAS|A01 002 FORTALEZA|20260908|20260910|CEDA|CEDA PISO|CDS04122|CEDA PISO PRODUCTORAS|1</t>
  </si>
  <si>
    <t>A11045-370909-1</t>
  </si>
  <si>
    <t>CHIAPAS|A11 045 SECTOR MAZATAN|20260909|20260913|SMO|WM|CPR01102|24 CONVENCIONAL</t>
  </si>
  <si>
    <t>CHIAPAS|A11 045 SECTOR MAZATAN|20260909|20260913|SMO|WM|CPR01102|24 CONVENCIONAL|1</t>
  </si>
  <si>
    <t>A04084-370909-1</t>
  </si>
  <si>
    <t>CHIAPAS|A04 084 LISBOA|20260909|20260916|MCALLEN|CHANITOS INT|CPR01104|20 CONVENCIONAL F5-1</t>
  </si>
  <si>
    <t>CHIAPAS|A04 084 LISBOA|20260909|20260916|MCALLEN|CHANITOS INT|CPR01104|20 CONVENCIONAL F5-1|1</t>
  </si>
  <si>
    <t>A04039-370909-1</t>
  </si>
  <si>
    <t>CHIAPAS|A04 039 SAN JOSE MORELIA NAVA|20260909|20260916|S-MTY|SMART|CPR01103|20 CONVENCIONAL SM1</t>
  </si>
  <si>
    <t>CHIAPAS|A04 039 SAN JOSE MORELIA NAVA|20260909|20260916|S-MTY|SMART|CPR01103|20 CONVENCIONAL SM1|1</t>
  </si>
  <si>
    <t>44481</t>
  </si>
  <si>
    <t>CHIAPAS|A04 039 SAN JOSE MORELIA NAVA|20260909|20260914|S-MTY|SMART|CPR01103|24 CONVENCIONAL ADICIONAL</t>
  </si>
  <si>
    <t>CHIAPAS|A04 039 SAN JOSE MORELIA NAVA|20260909|20260914|S-MTY|SMART|CPR01103|24 CONVENCIONAL ADICIONAL|1</t>
  </si>
  <si>
    <t>CHIAPAS|A04 039 SAN JOSE MORELIA NAVA|20260909|20260914|S-MTY|SMART|CPR01103|24 CONVENCIONAL ADICIONAL|2</t>
  </si>
  <si>
    <t>CHIAPAS|A01 002 FORTALEZA|20260908|20260914|VSA|WM|CPR01102|24 CONVENCIONAL ADICIONAL</t>
  </si>
  <si>
    <t>CHIAPAS|A01 002 FORTALEZA|20260908|20260914|VSA|WM|CPR01102|24 CONVENCIONAL ADICIONAL|1</t>
  </si>
  <si>
    <t>A01002-370909-1</t>
  </si>
  <si>
    <t>43473</t>
  </si>
  <si>
    <t>CHIAPAS|A01 002 FORTALEZA|20260909|20260914|QRO|WM|CRG07128|22 CONVENCIONAL Y 2 ORG</t>
  </si>
  <si>
    <t>CHIAPAS|A01 002 FORTALEZA|20260909|20260914|QRO|WM|CRG07128|22 CONVENCIONAL Y 2 ORG|1</t>
  </si>
  <si>
    <t>44248</t>
  </si>
  <si>
    <t>CHIAPAS|A01 002 FORTALEZA|20260909|20260914|SMO|WM|CPR01102|24 CONVENCIONAL ADICIONAL</t>
  </si>
  <si>
    <t>CHIAPAS|A01 002 FORTALEZA|20260909|20260914|SMO|WM|CPR01102|24 CONVENCIONAL ADICIONAL|1</t>
  </si>
  <si>
    <t>42147</t>
  </si>
  <si>
    <t>CHIAPAS|A01 002 FORTALEZA|20260909|20260914|VSA|WM|CRG07128|18 CONVENCIONAL Y 6 ORGANICO</t>
  </si>
  <si>
    <t>CHIAPAS|A01 002 FORTALEZA|20260909|20260914|VSA|WM|CRG07128|18 CONVENCIONAL Y 6 ORGANICO|1</t>
  </si>
  <si>
    <t>CHIAPAS|A01 002 FORTALEZA|20260909|20260911|CEDA|CEDA PISO|CPR01101|CEDA PISO PRODUCTORAS</t>
  </si>
  <si>
    <t>CHIAPAS|A01 002 FORTALEZA|20260909|20260911|CEDA|CEDA PISO|CPR01101|CEDA PISO PRODUCTORAS|1</t>
  </si>
  <si>
    <t>A01002-370909-4</t>
  </si>
  <si>
    <t>CHIAPAS|A01 002 FORTALEZA|20260909|20260911|CEDA|CEDA PISO|CSA04120|CEDA PISO PRODUCTORAS</t>
  </si>
  <si>
    <t>CHIAPAS|A01 002 FORTALEZA|20260909|20260911|CEDA|CEDA PISO|CSA04120|CEDA PISO PRODUCTORAS|1</t>
  </si>
  <si>
    <t>A01002-370909-3</t>
  </si>
  <si>
    <t>CHIAPAS|A01 002 FORTALEZA|20260909|20260911|CEDA|CEDA PISO|CMN05123|CEDA PISO PRODUCTORAS</t>
  </si>
  <si>
    <t>CHIAPAS|A01 002 FORTALEZA|20260909|20260911|CEDA|CEDA PISO|CMN05123|CEDA PISO PRODUCTORAS|1</t>
  </si>
  <si>
    <t>A01002-370909-5</t>
  </si>
  <si>
    <t>CHIAPAS|A01 002 FORTALEZA|20260909|20260911|CEDA|CEDA PISO|CDS04122|CEDA PISO PRODUCTORAS</t>
  </si>
  <si>
    <t>CHIAPAS|A01 002 FORTALEZA|20260909|20260911|CEDA|CEDA PISO|CDS04122|CEDA PISO PRODUCTORAS|1</t>
  </si>
  <si>
    <t>A01004-370909-1</t>
  </si>
  <si>
    <t>CHIAPAS|A01 004 LA CEIBA|20260909|20260914|SMO|WM|CPR01102|24 CONVENCIONAL ADICIONAL</t>
  </si>
  <si>
    <t>CHIAPAS|A01 004 LA CEIBA|20260909|20260914|SMO|WM|CPR01102|24 CONVENCIONAL ADICIONAL|1</t>
  </si>
  <si>
    <t>41948</t>
  </si>
  <si>
    <t>CHIAPAS|A01 004 LA CEIBA|20260909|20260914|VSA|WM|CPR01102|18 CONVENCIONAL Y 6 ORGANICO</t>
  </si>
  <si>
    <t>CHIAPAS|A01 004 LA CEIBA|20260909|20260914|VSA|WM|CPR01102|18 CONVENCIONAL Y 6 ORGANICO|1</t>
  </si>
  <si>
    <t>CHIAPAS|A01 004 LA CEIBA|20260909|20260911|CEDA|CEDA PISO|CPR01101|CEDA PISO PRODUCTORAS</t>
  </si>
  <si>
    <t>CHIAPAS|A01 004 LA CEIBA|20260909|20260911|CEDA|CEDA PISO|CPR01101|CEDA PISO PRODUCTORAS|1</t>
  </si>
  <si>
    <t>A01004-370909-4</t>
  </si>
  <si>
    <t>CHIAPAS|A01 004 LA CEIBA|20260909|20260911|CEDA|CEDA PISO|CSA04120|CEDA PISO PRODUCTORAS</t>
  </si>
  <si>
    <t>CHIAPAS|A01 004 LA CEIBA|20260909|20260911|CEDA|CEDA PISO|CSA04120|CEDA PISO PRODUCTORAS|1</t>
  </si>
  <si>
    <t>A01004-370909-3</t>
  </si>
  <si>
    <t>CHIAPAS|A01 004 LA CEIBA|20260909|20260911|CEDA|CEDA PISO|CMN05123|CEDA PISO PRODUCTORAS</t>
  </si>
  <si>
    <t>CHIAPAS|A01 004 LA CEIBA|20260909|20260911|CEDA|CEDA PISO|CMN05123|CEDA PISO PRODUCTORAS|1</t>
  </si>
  <si>
    <t>A01004-370909-5</t>
  </si>
  <si>
    <t>CHIAPAS|A01 004 LA CEIBA|20260909|20260911|CEDA|CEDA PISO|CDS04122|CEDA PISO PRODUCTORAS</t>
  </si>
  <si>
    <t>CHIAPAS|A01 004 LA CEIBA|20260909|20260911|CEDA|CEDA PISO|CDS04122|CEDA PISO PRODUCTORAS|1</t>
  </si>
  <si>
    <t>A01001-370909-1</t>
  </si>
  <si>
    <t>43120</t>
  </si>
  <si>
    <t>CHIAPAS|A01 001 MARBELLA|20260909|20260914|CHALCO|WM|CPR01102|23 CONVENCIONAL Y 1 BAE</t>
  </si>
  <si>
    <t>CHIAPAS|A01 001 MARBELLA|20260909|20260914|CHALCO|WM|CPR01102|23 CONVENCIONAL Y 1 BAE|1</t>
  </si>
  <si>
    <t>CHIAPAS|A01 001 MARBELLA|20260909|20260914|CHALCO|WM|CPR01114|23 CONVENCIONAL Y 1 BAE</t>
  </si>
  <si>
    <t>CHIAPAS|A01 001 MARBELLA|20260909|20260914|CHALCO|WM|CPR01114|23 CONVENCIONAL Y 1 BAE|1</t>
  </si>
  <si>
    <t>CHIAPAS|A01 001 MARBELLA|20260909|20260911|CEDA|CEDA AUTOSERVICIO|CPL08141|CEDA</t>
  </si>
  <si>
    <t>CHIAPAS|A01 001 MARBELLA|20260909|20260911|CEDA|CEDA AUTOSERVICIO|CPL08141|CEDA|1</t>
  </si>
  <si>
    <t>CHIAPAS|A01 001 MARBELLA|20260909|20260911|CEDA|CEDA PISO|CPL08135|CEDA PISO PRODUCTORAS</t>
  </si>
  <si>
    <t>CHIAPAS|A01 001 MARBELLA|20260909|20260911|CEDA|CEDA PISO|CPL08135|CEDA PISO PRODUCTORAS|1</t>
  </si>
  <si>
    <t>CHIAPAS|A01 001 MARBELLA|20260909|20260911|CEDA|CEDA PISO|CPR01101|CEDA PISO PRODUCTORAS</t>
  </si>
  <si>
    <t>CHIAPAS|A01 001 MARBELLA|20260909|20260911|CEDA|CEDA PISO|CPR01101|CEDA PISO PRODUCTORAS|1</t>
  </si>
  <si>
    <t>A01001-370909-4</t>
  </si>
  <si>
    <t>CHIAPAS|A01 001 MARBELLA|20260909|20260911|CEDA|CEDA PISO|CSA04120|CEDA PISO PRODUCTORAS</t>
  </si>
  <si>
    <t>CHIAPAS|A01 001 MARBELLA|20260909|20260911|CEDA|CEDA PISO|CSA04120|CEDA PISO PRODUCTORAS|1</t>
  </si>
  <si>
    <t>A01001-370909-3</t>
  </si>
  <si>
    <t>CHIAPAS|A01 001 MARBELLA|20260909|20260911|CEDA|CEDA PISO|CMN05123|CEDA PISO PRODUCTORAS</t>
  </si>
  <si>
    <t>CHIAPAS|A01 001 MARBELLA|20260909|20260911|CEDA|CEDA PISO|CMN05123|CEDA PISO PRODUCTORAS|1</t>
  </si>
  <si>
    <t>A01001-370909-5</t>
  </si>
  <si>
    <t>CHIAPAS|A01 001 MARBELLA|20260909|20260911|CEDA|CEDA PISO|CDS04122|CEDA PISO PRODUCTORAS</t>
  </si>
  <si>
    <t>CHIAPAS|A01 001 MARBELLA|20260909|20260911|CEDA|CEDA PISO|CDS04122|CEDA PISO PRODUCTORAS|1</t>
  </si>
  <si>
    <t>A04084-371009-1</t>
  </si>
  <si>
    <t>43714</t>
  </si>
  <si>
    <t>CHIAPAS|A04 084 LISBOA|20260910|20260915|MCALLEN|CHANITOS INT|CPR01104|20 CONVENCIONAL F4-1</t>
  </si>
  <si>
    <t>CHIAPAS|A04 084 LISBOA|20260910|20260915|MCALLEN|CHANITOS INT|CPR01104|20 CONVENCIONAL F4-1|1</t>
  </si>
  <si>
    <t>A04039-371009-1</t>
  </si>
  <si>
    <t>43710</t>
  </si>
  <si>
    <t>CHIAPAS|A04 039 SAN JOSE MORELIA NAVA|20260910|20260915|MCALLEN|CHANITOS INT|CPR01104|20 CONVENCIONAL F4-2</t>
  </si>
  <si>
    <t>CHIAPAS|A04 039 SAN JOSE MORELIA NAVA|20260910|20260915|MCALLEN|CHANITOS INT|CPR01104|20 CONVENCIONAL F4-2|1</t>
  </si>
  <si>
    <t>A04037-371009-1</t>
  </si>
  <si>
    <t>CHIAPAS|A04 037 JOSEFINA NAVA|20260910|20260914|QRO|WM|CPR01102|22 CONVENCIONAL Y 2 ORG</t>
  </si>
  <si>
    <t>CHIAPAS|A04 037 JOSEFINA NAVA|20260910|20260914|QRO|WM|CPR01102|22 CONVENCIONAL Y 2 ORG|1</t>
  </si>
  <si>
    <t>A06043-371009-1</t>
  </si>
  <si>
    <t>CHIAPAS|A06 043 NUESTRA SENORA|20260910|20260914|MCALLEN|CHANITOS INT|CPR01104|20 CONVENCIONAL F3-1</t>
  </si>
  <si>
    <t>CHIAPAS|A06 043 NUESTRA SENORA|20260910|20260914|MCALLEN|CHANITOS INT|CPR01104|20 CONVENCIONAL F3-1|1</t>
  </si>
  <si>
    <t>A01003-371009-1</t>
  </si>
  <si>
    <t>CHIAPAS|A01 003 DONA NELLY|20260910|20260916|S-MTY|SMART|CPR01103|20 CONVENCIONAL SM1</t>
  </si>
  <si>
    <t>CHIAPAS|A01 003 DONA NELLY|20260910|20260916|S-MTY|SMART|CPR01103|20 CONVENCIONAL SM1|1</t>
  </si>
  <si>
    <t>CHIAPAS|A01 003 DONA NELLY|20260910|20260916|S-MTY|SMART|CPR01103|20 CONVENCIONAL SM2</t>
  </si>
  <si>
    <t>CHIAPAS|A01 003 DONA NELLY|20260910|20260916|S-MTY|SMART|CPR01103|20 CONVENCIONAL SM2|1</t>
  </si>
  <si>
    <t>CHIAPAS|A01 003 DONA NELLY|20260910|20260914|VSA|WM|CPR01102|24 CONVENCIONAL ADICIONAL</t>
  </si>
  <si>
    <t>CHIAPAS|A01 003 DONA NELLY|20260910|20260914|VSA|WM|CPR01102|24 CONVENCIONAL ADICIONAL|1</t>
  </si>
  <si>
    <t>CHIAPAS|A01 003 DONA NELLY|20260910|20260912|CEDA|CEDA PISO|CPR01101|CEDA PISO PRODUCTORAS</t>
  </si>
  <si>
    <t>CHIAPAS|A01 003 DONA NELLY|20260910|20260912|CEDA|CEDA PISO|CPR01101|CEDA PISO PRODUCTORAS|1</t>
  </si>
  <si>
    <t>A01003-371009-4</t>
  </si>
  <si>
    <t>CHIAPAS|A01 003 DONA NELLY|20260910|20260912|CEDA|CEDA PISO|CSA04120|CEDA PISO PRODUCTORAS</t>
  </si>
  <si>
    <t>CHIAPAS|A01 003 DONA NELLY|20260910|20260912|CEDA|CEDA PISO|CSA04120|CEDA PISO PRODUCTORAS|1</t>
  </si>
  <si>
    <t>A01003-371009-3</t>
  </si>
  <si>
    <t>CHIAPAS|A01 003 DONA NELLY|20260910|20260912|CEDA|CEDA PISO|CMN05123|CEDA PISO PRODUCTORAS</t>
  </si>
  <si>
    <t>CHIAPAS|A01 003 DONA NELLY|20260910|20260912|CEDA|CEDA PISO|CMN05123|CEDA PISO PRODUCTORAS|1</t>
  </si>
  <si>
    <t>A01003-371009-5</t>
  </si>
  <si>
    <t>CHIAPAS|A01 003 DONA NELLY|20260910|20260912|CEDA|CEDA PISO|CDS04122|CEDA PISO PRODUCTORAS</t>
  </si>
  <si>
    <t>CHIAPAS|A01 003 DONA NELLY|20260910|20260912|CEDA|CEDA PISO|CDS04122|CEDA PISO PRODUCTORAS|1</t>
  </si>
  <si>
    <t>A01001-371009-1</t>
  </si>
  <si>
    <t>43121</t>
  </si>
  <si>
    <t>CHIAPAS|A01 001 MARBELLA|20260910|20260915|CHALCO|WM|CPR01102|23 CONVENCIONAL Y 1 BAE</t>
  </si>
  <si>
    <t>CHIAPAS|A01 001 MARBELLA|20260910|20260915|CHALCO|WM|CPR01102|23 CONVENCIONAL Y 1 BAE|1</t>
  </si>
  <si>
    <t>CHIAPAS|A01 001 MARBELLA|20260910|20260912|CEDA|CEDA PISO|CPR01101|CEDA PISO PRODUCTORAS</t>
  </si>
  <si>
    <t>CHIAPAS|A01 001 MARBELLA|20260910|20260912|CEDA|CEDA PISO|CPR01101|CEDA PISO PRODUCTORAS|1</t>
  </si>
  <si>
    <t>A01001-371009-4</t>
  </si>
  <si>
    <t>CHIAPAS|A01 001 MARBELLA|20260910|20260912|CEDA|CEDA PISO|CSA04120|CEDA PISO PRODUCTORAS</t>
  </si>
  <si>
    <t>CHIAPAS|A01 001 MARBELLA|20260910|20260912|CEDA|CEDA PISO|CSA04120|CEDA PISO PRODUCTORAS|1</t>
  </si>
  <si>
    <t>A01001-371009-3</t>
  </si>
  <si>
    <t>CHIAPAS|A01 001 MARBELLA|20260910|20260912|CEDA|CEDA PISO|CMN05123|CEDA PISO PRODUCTORAS</t>
  </si>
  <si>
    <t>CHIAPAS|A01 001 MARBELLA|20260910|20260912|CEDA|CEDA PISO|CMN05123|CEDA PISO PRODUCTORAS|1</t>
  </si>
  <si>
    <t>A01001-371009-5</t>
  </si>
  <si>
    <t>CHIAPAS|A01 001 MARBELLA|20260910|20260912|CEDA|CEDA PISO|CDS04122|CEDA PISO PRODUCTORAS</t>
  </si>
  <si>
    <t>CHIAPAS|A01 001 MARBELLA|20260910|20260912|CEDA|CEDA PISO|CDS04122|CEDA PISO PRODUCTORAS|1</t>
  </si>
  <si>
    <t>A01002-371009-1</t>
  </si>
  <si>
    <t>CHIAPAS|A01 002 FORTALEZA|20260910|20260915|CHALCO|WM|CPR01114|23 CONVENCIONAL Y 1 BAE</t>
  </si>
  <si>
    <t>CHIAPAS|A01 002 FORTALEZA|20260910|20260915|CHALCO|WM|CPR01114|23 CONVENCIONAL Y 1 BAE|1</t>
  </si>
  <si>
    <t>CHIAPAS|A01 002 FORTALEZA|20260910|20260914|VSA|WM|CRG07128|18 CONVENCIONAL Y 6 ORGANICO</t>
  </si>
  <si>
    <t>CHIAPAS|A01 002 FORTALEZA|20260910|20260914|VSA|WM|CRG07128|18 CONVENCIONAL Y 6 ORGANICO|1</t>
  </si>
  <si>
    <t>43125</t>
  </si>
  <si>
    <t>CHIAPAS|A01 002 FORTALEZA|20260910|20260914|MTY|WM|CPR01114|22 CONVENCIONAL CON 5 CAJAS BAE Y 2 ORG</t>
  </si>
  <si>
    <t>CHIAPAS|A01 002 FORTALEZA|20260910|20260914|MTY|WM|CPR01114|22 CONVENCIONAL CON 5 CAJAS BAE Y 2 ORG|1</t>
  </si>
  <si>
    <t>43802</t>
  </si>
  <si>
    <t>CHIAPAS|A01 002 FORTALEZA|20260910|20260918|S-MTY|SMART|CPR01103|20 CONVENCIONAL SM3</t>
  </si>
  <si>
    <t>CHIAPAS|A01 002 FORTALEZA|20260910|20260918|S-MTY|SMART|CPR01103|20 CONVENCIONAL SM3|1</t>
  </si>
  <si>
    <t>CHIAPAS|A01 002 FORTALEZA|20260910|20260914|MTY|WM|CPR01102|22 CONVENCIONAL CON 5 CAJAS BAE Y 2 ORG</t>
  </si>
  <si>
    <t>CHIAPAS|A01 002 FORTALEZA|20260910|20260914|MTY|WM|CPR01102|22 CONVENCIONAL CON 5 CAJAS BAE Y 2 ORG|1</t>
  </si>
  <si>
    <t>43127</t>
  </si>
  <si>
    <t>CHIAPAS|A01 002 FORTALEZA|20260910|20260914|MTY|WM|CRG07128|22 CONVENCIONAL CON 5 CAJAS BAE Y 2 ORG</t>
  </si>
  <si>
    <t>CHIAPAS|A01 002 FORTALEZA|20260910|20260914|MTY|WM|CRG07128|22 CONVENCIONAL CON 5 CAJAS BAE Y 2 ORG|1</t>
  </si>
  <si>
    <t>CHIAPAS|A01 002 FORTALEZA|20260910|20260914|SMO|WM|CPR01102|24 CONVENCIONAL ADICIONAL</t>
  </si>
  <si>
    <t>CHIAPAS|A01 002 FORTALEZA|20260910|20260914|SMO|WM|CPR01102|24 CONVENCIONAL ADICIONAL|1</t>
  </si>
  <si>
    <t>41926</t>
  </si>
  <si>
    <t>CHIAPAS|A01 002 FORTALEZA|20260910|20260916|SMO|WM|CPR01102|24 CONVENCIONAL</t>
  </si>
  <si>
    <t>CHIAPAS|A01 002 FORTALEZA|20260910|20260916|SMO|WM|CPR01102|24 CONVENCIONAL|1</t>
  </si>
  <si>
    <t>CHIAPAS|A01 002 FORTALEZA|20260910|20260912|CEDA|CEDA PISO|CPR01101|CEDA PISO PRODUCTORAS</t>
  </si>
  <si>
    <t>CHIAPAS|A01 002 FORTALEZA|20260910|20260912|CEDA|CEDA PISO|CPR01101|CEDA PISO PRODUCTORAS|1</t>
  </si>
  <si>
    <t>A01002-371009-4</t>
  </si>
  <si>
    <t>CHIAPAS|A01 002 FORTALEZA|20260910|20260912|CEDA|CEDA PISO|CSA04120|CEDA PISO PRODUCTORAS</t>
  </si>
  <si>
    <t>CHIAPAS|A01 002 FORTALEZA|20260910|20260912|CEDA|CEDA PISO|CSA04120|CEDA PISO PRODUCTORAS|1</t>
  </si>
  <si>
    <t>A01002-371009-3</t>
  </si>
  <si>
    <t>CHIAPAS|A01 002 FORTALEZA|20260910|20260912|CEDA|CEDA PISO|CMN05123|CEDA PISO PRODUCTORAS</t>
  </si>
  <si>
    <t>CHIAPAS|A01 002 FORTALEZA|20260910|20260912|CEDA|CEDA PISO|CMN05123|CEDA PISO PRODUCTORAS|1</t>
  </si>
  <si>
    <t>A01002-371009-5</t>
  </si>
  <si>
    <t>CHIAPAS|A01 002 FORTALEZA|20260910|20260912|CEDA|CEDA PISO|CDS04122|CEDA PISO PRODUCTORAS</t>
  </si>
  <si>
    <t>CHIAPAS|A01 002 FORTALEZA|20260910|20260912|CEDA|CEDA PISO|CDS04122|CEDA PISO PRODUCTORAS|1</t>
  </si>
  <si>
    <t>A04084-371109-1</t>
  </si>
  <si>
    <t>CHIAPAS|A04 084 LISBOA|20260911|20260915|MCALLEN|CHANITOS INT|CPR01104|20 CONVENCIONAL F4-1</t>
  </si>
  <si>
    <t>CHIAPAS|A04 084 LISBOA|20260911|20260915|MCALLEN|CHANITOS INT|CPR01104|20 CONVENCIONAL F4-1|1</t>
  </si>
  <si>
    <t>A06043-371109-1</t>
  </si>
  <si>
    <t>CHIAPAS|A06 043 NUESTRA SENORA|20260911|20260914|MCALLEN|CHANITOS INT|CPR01104|20 CONVENCIONAL F3-1</t>
  </si>
  <si>
    <t>CHIAPAS|A06 043 NUESTRA SENORA|20260911|20260914|MCALLEN|CHANITOS INT|CPR01104|20 CONVENCIONAL F3-1|1</t>
  </si>
  <si>
    <t>A27073-371109-1</t>
  </si>
  <si>
    <t>43721</t>
  </si>
  <si>
    <t>CHIAPAS|A27 073 PLANTACION|20260911|20260915|MCALLEN|CHANITOS INT|CPL08133|24 PLANTAIN</t>
  </si>
  <si>
    <t>CHIAPAS|A27 073 PLANTACION|20260911|20260915|MCALLEN|CHANITOS INT|CPL08133|24 PLANTAIN|1</t>
  </si>
  <si>
    <t>A05040-371109-1</t>
  </si>
  <si>
    <t>43723</t>
  </si>
  <si>
    <t>CHIAPAS|A05 040 PLATANEROS UNIDOS 1|20260911|20260916|MCALLEN|CHANITOS INT|CPR01104|20 CONVENCIONAL F5-2</t>
  </si>
  <si>
    <t>CHIAPAS|A05 040 PLATANEROS UNIDOS 1|20260911|20260916|MCALLEN|CHANITOS INT|CPR01104|20 CONVENCIONAL F5-2|1</t>
  </si>
  <si>
    <t>A01003-371109-1</t>
  </si>
  <si>
    <t>CHIAPAS|A01 003 DONA NELLY|20260911|20260916|SMO|WM|CPR01102|24 CONVENCIONAL</t>
  </si>
  <si>
    <t>CHIAPAS|A01 003 DONA NELLY|20260911|20260916|SMO|WM|CPR01102|24 CONVENCIONAL|1</t>
  </si>
  <si>
    <t>CHIAPAS|A01 003 DONA NELLY|20260911|20260918|S-MTY|SMART|CPR01103|20 CONVENCIONAL SM3</t>
  </si>
  <si>
    <t>CHIAPAS|A01 003 DONA NELLY|20260911|20260918|S-MTY|SMART|CPR01103|20 CONVENCIONAL SM3|1</t>
  </si>
  <si>
    <t>CHIAPAS|A01 003 DONA NELLY|20260911|20260914|VSA|WM|CPR01102|24 CONVENCIONAL ADICIONAL</t>
  </si>
  <si>
    <t>CHIAPAS|A01 003 DONA NELLY|20260911|20260914|VSA|WM|CPR01102|24 CONVENCIONAL ADICIONAL|1</t>
  </si>
  <si>
    <t>CHIAPAS|A01 003 DONA NELLY|20260911|20260918|CEDA|CEDA AUTOSERVICIO|CPR01102|CEDA</t>
  </si>
  <si>
    <t>CHIAPAS|A01 003 DONA NELLY|20260911|20260918|CEDA|CEDA AUTOSERVICIO|CPR01102|CEDA|1</t>
  </si>
  <si>
    <t>CHIAPAS|A01 003 DONA NELLY|20260911|20260918|CEDA|CEDA AUTOSERVICIO|CPR01102|CEDA|2</t>
  </si>
  <si>
    <t>CHIAPAS|A01 003 DONA NELLY|20260911|20260913|CEDA|CEDA PISO|CPR01101|CEDA PISO PRODUCTORAS</t>
  </si>
  <si>
    <t>CHIAPAS|A01 003 DONA NELLY|20260911|20260913|CEDA|CEDA PISO|CPR01101|CEDA PISO PRODUCTORAS|1</t>
  </si>
  <si>
    <t>A01003-371109-4</t>
  </si>
  <si>
    <t>CHIAPAS|A01 003 DONA NELLY|20260911|20260913|CEDA|CEDA PISO|CSA04120|CEDA PISO PRODUCTORAS</t>
  </si>
  <si>
    <t>CHIAPAS|A01 003 DONA NELLY|20260911|20260913|CEDA|CEDA PISO|CSA04120|CEDA PISO PRODUCTORAS|1</t>
  </si>
  <si>
    <t>A01003-371109-3</t>
  </si>
  <si>
    <t>CHIAPAS|A01 003 DONA NELLY|20260911|20260913|CEDA|CEDA PISO|CMN05123|CEDA PISO PRODUCTORAS</t>
  </si>
  <si>
    <t>CHIAPAS|A01 003 DONA NELLY|20260911|20260913|CEDA|CEDA PISO|CMN05123|CEDA PISO PRODUCTORAS|1</t>
  </si>
  <si>
    <t>A01003-371109-5</t>
  </si>
  <si>
    <t>CHIAPAS|A01 003 DONA NELLY|20260911|20260913|CEDA|CEDA PISO|CDS04122|CEDA PISO PRODUCTORAS</t>
  </si>
  <si>
    <t>CHIAPAS|A01 003 DONA NELLY|20260911|20260913|CEDA|CEDA PISO|CDS04122|CEDA PISO PRODUCTORAS|1</t>
  </si>
  <si>
    <t>A01001-371109-1</t>
  </si>
  <si>
    <t>CHIAPAS|A01 001 MARBELLA|20260911|20260916|SMO|WM|CPR01102|24 CONVENCIONAL</t>
  </si>
  <si>
    <t>CHIAPAS|A01 001 MARBELLA|20260911|20260916|SMO|WM|CPR01102|24 CONVENCIONAL|1</t>
  </si>
  <si>
    <t>44664</t>
  </si>
  <si>
    <t>CHIAPAS|A01 001 MARBELLA|20260911|20260916|CHALCO|WM|CPR01102|24 CONVENCIONAL</t>
  </si>
  <si>
    <t>CHIAPAS|A01 001 MARBELLA|20260911|20260916|CHALCO|WM|CPR01102|24 CONVENCIONAL|1</t>
  </si>
  <si>
    <t>CHIAPAS|A01 001 MARBELLA|20260911|20260913|CEDA|CEDA PISO|CPR01101|CEDA PISO PRODUCTORAS</t>
  </si>
  <si>
    <t>CHIAPAS|A01 001 MARBELLA|20260911|20260913|CEDA|CEDA PISO|CPR01101|CEDA PISO PRODUCTORAS|1</t>
  </si>
  <si>
    <t>A01001-371109-4</t>
  </si>
  <si>
    <t>CHIAPAS|A01 001 MARBELLA|20260911|20260913|CEDA|CEDA PISO|CSA04120|CEDA PISO PRODUCTORAS</t>
  </si>
  <si>
    <t>CHIAPAS|A01 001 MARBELLA|20260911|20260913|CEDA|CEDA PISO|CSA04120|CEDA PISO PRODUCTORAS|1</t>
  </si>
  <si>
    <t>A01001-371109-3</t>
  </si>
  <si>
    <t>CHIAPAS|A01 001 MARBELLA|20260911|20260913|CEDA|CEDA PISO|CMN05123|CEDA PISO PRODUCTORAS</t>
  </si>
  <si>
    <t>CHIAPAS|A01 001 MARBELLA|20260911|20260913|CEDA|CEDA PISO|CMN05123|CEDA PISO PRODUCTORAS|1</t>
  </si>
  <si>
    <t>A01001-371109-5</t>
  </si>
  <si>
    <t>CHIAPAS|A01 001 MARBELLA|20260911|20260913|CEDA|CEDA PISO|CDS04122|CEDA PISO PRODUCTORAS</t>
  </si>
  <si>
    <t>CHIAPAS|A01 001 MARBELLA|20260911|20260913|CEDA|CEDA PISO|CDS04122|CEDA PISO PRODUCTORAS|1</t>
  </si>
  <si>
    <t>A01002-371109-1</t>
  </si>
  <si>
    <t>CHIAPAS|A01 002 FORTALEZA|20260911|20260916|SMO|WM|CPR01102|24 CONVENCIONAL</t>
  </si>
  <si>
    <t>CHIAPAS|A01 002 FORTALEZA|20260911|20260916|SMO|WM|CPR01102|24 CONVENCIONAL|1</t>
  </si>
  <si>
    <t>43486</t>
  </si>
  <si>
    <t>CHIAPAS|A01 002 FORTALEZA|20260911|20260916|QRO|WM|CPR01102|22 CONVENCIONAL Y 2 ORG</t>
  </si>
  <si>
    <t>CHIAPAS|A01 002 FORTALEZA|20260911|20260916|QRO|WM|CPR01102|22 CONVENCIONAL Y 2 ORG|1</t>
  </si>
  <si>
    <t>CHIAPAS|A01 002 FORTALEZA|20260911|20260916|QRO|WM|CRG07128|22 CONVENCIONAL Y 2 ORG</t>
  </si>
  <si>
    <t>CHIAPAS|A01 002 FORTALEZA|20260911|20260916|QRO|WM|CRG07128|22 CONVENCIONAL Y 2 ORG|1</t>
  </si>
  <si>
    <t>CHIAPAS|A01 002 FORTALEZA|20260911|20260918|QRO|WM|CPR01102|23 CONVENCIONAL Y 1 ORG</t>
  </si>
  <si>
    <t>CHIAPAS|A01 002 FORTALEZA|20260911|20260918|QRO|WM|CPR01102|23 CONVENCIONAL Y 1 ORG|1</t>
  </si>
  <si>
    <t>CHIAPAS|A01 002 FORTALEZA|20260911|20260913|CEDA|CEDA PISO|CPR01101|CEDA PISO PRODUCTORAS</t>
  </si>
  <si>
    <t>CHIAPAS|A01 002 FORTALEZA|20260911|20260913|CEDA|CEDA PISO|CPR01101|CEDA PISO PRODUCTORAS|1</t>
  </si>
  <si>
    <t>A01002-371109-4</t>
  </si>
  <si>
    <t>CHIAPAS|A01 002 FORTALEZA|20260911|20260913|CEDA|CEDA PISO|CSA04120|CEDA PISO PRODUCTORAS</t>
  </si>
  <si>
    <t>CHIAPAS|A01 002 FORTALEZA|20260911|20260913|CEDA|CEDA PISO|CSA04120|CEDA PISO PRODUCTORAS|1</t>
  </si>
  <si>
    <t>A01002-371109-3</t>
  </si>
  <si>
    <t>CHIAPAS|A01 002 FORTALEZA|20260911|20260913|CEDA|CEDA PISO|CMN05123|CEDA PISO PRODUCTORAS</t>
  </si>
  <si>
    <t>CHIAPAS|A01 002 FORTALEZA|20260911|20260913|CEDA|CEDA PISO|CMN05123|CEDA PISO PRODUCTORAS|1</t>
  </si>
  <si>
    <t>A01002-371109-5</t>
  </si>
  <si>
    <t>CHIAPAS|A01 002 FORTALEZA|20260911|20260913|CEDA|CEDA PISO|CDS04122|CEDA PISO PRODUCTORAS</t>
  </si>
  <si>
    <t>CHIAPAS|A01 002 FORTALEZA|20260911|20260913|CEDA|CEDA PISO|CDS04122|CEDA PISO PRODUCTORAS|1</t>
  </si>
  <si>
    <t>CHIAPAS|A27 073 PLANTACION|20260911|20260915|MCALLEN|CHANITOS INT|CPL08133|24 PLANTAIN|2</t>
  </si>
  <si>
    <t>A04037-371209-1</t>
  </si>
  <si>
    <t>43728</t>
  </si>
  <si>
    <t>CHIAPAS|A04 037 JOSEFINA NAVA|20260912|20260917|MCALLEN|CHANITOS INT|CPR01104|20 CONVENCIONAL F6-1</t>
  </si>
  <si>
    <t>CHIAPAS|A04 037 JOSEFINA NAVA|20260912|20260917|MCALLEN|CHANITOS INT|CPR01104|20 CONVENCIONAL F6-1|1</t>
  </si>
  <si>
    <t>A04039-371209-1</t>
  </si>
  <si>
    <t>CHIAPAS|A04 039 SAN JOSE MORELIA NAVA|20260912|20260917|MCALLEN|CHANITOS INT|CPR01104|20 CONVENCIONAL F6-1</t>
  </si>
  <si>
    <t>CHIAPAS|A04 039 SAN JOSE MORELIA NAVA|20260912|20260917|MCALLEN|CHANITOS INT|CPR01104|20 CONVENCIONAL F6-1|1</t>
  </si>
  <si>
    <t>A04083-371209-1</t>
  </si>
  <si>
    <t>43730</t>
  </si>
  <si>
    <t>CHIAPAS|A04 083 SANTA MARIA|20260912|20260917|MCALLEN|CHANITOS INT|CPR01104|20 CONVENCIONAL F6-2</t>
  </si>
  <si>
    <t>CHIAPAS|A04 083 SANTA MARIA|20260912|20260917|MCALLEN|CHANITOS INT|CPR01104|20 CONVENCIONAL F6-2|1</t>
  </si>
  <si>
    <t>A11045-371209-1</t>
  </si>
  <si>
    <t>43733</t>
  </si>
  <si>
    <t>CHIAPAS|A11 045 SECTOR MAZATAN|20260912|20260918|MCALLEN|CHANITOS INT|CPR01104|20 CONVENCIONAL F7-1</t>
  </si>
  <si>
    <t>CHIAPAS|A11 045 SECTOR MAZATAN|20260912|20260918|MCALLEN|CHANITOS INT|CPR01104|20 CONVENCIONAL F7-1|1</t>
  </si>
  <si>
    <t>A11087-371209-1</t>
  </si>
  <si>
    <t>CHIAPAS|A11 087 19 DE ABRIL|20260912|20260918|S-MTY|SMART|CPR01103|20 CONVENCIONAL SM4</t>
  </si>
  <si>
    <t>CHIAPAS|A11 087 19 DE ABRIL|20260912|20260918|S-MTY|SMART|CPR01103|20 CONVENCIONAL SM4|1</t>
  </si>
  <si>
    <t>A41100-371209-1</t>
  </si>
  <si>
    <t>CHIAPAS|A41 100 DONA LUPE JV|20260912|20260915|CEDA|CEDA AUTOSERVICIO|CPL08141|CEDA PLANTAIN</t>
  </si>
  <si>
    <t>CHIAPAS|A41 100 DONA LUPE JV|20260912|20260915|CEDA|CEDA AUTOSERVICIO|CPL08141|CEDA PLANTAIN|1</t>
  </si>
  <si>
    <t>A01001-371209-1</t>
  </si>
  <si>
    <t>CHIAPAS|A01 001 MARBELLA|20260912|20260917|CHALCO|WM|CPR01102|22 CONVENCIONAL Y 96 CAJAS BAE</t>
  </si>
  <si>
    <t>CHIAPAS|A01 001 MARBELLA|20260912|20260917|CHALCO|WM|CPR01102|22 CONVENCIONAL Y 96 CAJAS BAE|1</t>
  </si>
  <si>
    <t>CHIAPAS|A01 001 MARBELLA|20260912|20260917|CHALCO|WM|CPR01114|22 CONVENCIONAL Y 96 CAJAS BAE</t>
  </si>
  <si>
    <t>CHIAPAS|A01 001 MARBELLA|20260912|20260917|CHALCO|WM|CPR01114|22 CONVENCIONAL Y 96 CAJAS BAE|1</t>
  </si>
  <si>
    <t>CHIAPAS|A01 001 MARBELLA|20260912|20260914|CEDA|CEDA PISO|CPR01101|CEDA PISO PRODUCTORAS</t>
  </si>
  <si>
    <t>CHIAPAS|A01 001 MARBELLA|20260912|20260914|CEDA|CEDA PISO|CPR01101|CEDA PISO PRODUCTORAS|1</t>
  </si>
  <si>
    <t>A01001-371209-4</t>
  </si>
  <si>
    <t>CHIAPAS|A01 001 MARBELLA|20260912|20260914|CEDA|CEDA PISO|CSA04120|CEDA PISO PRODUCTORAS</t>
  </si>
  <si>
    <t>CHIAPAS|A01 001 MARBELLA|20260912|20260914|CEDA|CEDA PISO|CSA04120|CEDA PISO PRODUCTORAS|1</t>
  </si>
  <si>
    <t>A01001-371209-3</t>
  </si>
  <si>
    <t>CHIAPAS|A01 001 MARBELLA|20260912|20260914|CEDA|CEDA PISO|CMN05123|CEDA PISO PRODUCTORAS</t>
  </si>
  <si>
    <t>CHIAPAS|A01 001 MARBELLA|20260912|20260914|CEDA|CEDA PISO|CMN05123|CEDA PISO PRODUCTORAS|1</t>
  </si>
  <si>
    <t>A01001-371209-5</t>
  </si>
  <si>
    <t>CHIAPAS|A01 001 MARBELLA|20260912|20260914|CEDA|CEDA PISO|CDS04122|CEDA PISO PRODUCTORAS</t>
  </si>
  <si>
    <t>CHIAPAS|A01 001 MARBELLA|20260912|20260914|CEDA|CEDA PISO|CDS04122|CEDA PISO PRODUCTORAS|1</t>
  </si>
  <si>
    <t>A01004-371209-1</t>
  </si>
  <si>
    <t>43734</t>
  </si>
  <si>
    <t>CHIAPAS|A01 004 LA CEIBA|20260912|20260918|MCALLEN|CHANITOS INT|CPR01104|20 CONVENCIONAL F7-1</t>
  </si>
  <si>
    <t>CHIAPAS|A01 004 LA CEIBA|20260912|20260918|MCALLEN|CHANITOS INT|CPR01104|20 CONVENCIONAL F7-1|1</t>
  </si>
  <si>
    <t>CHIAPAS|A01 004 LA CEIBA|20260912|20260914|CEDA|CEDA PISO|CPR01101|CEDA PISO PRODUCTORAS</t>
  </si>
  <si>
    <t>CHIAPAS|A01 004 LA CEIBA|20260912|20260914|CEDA|CEDA PISO|CPR01101|CEDA PISO PRODUCTORAS|1</t>
  </si>
  <si>
    <t>A01004-371209-4</t>
  </si>
  <si>
    <t>CHIAPAS|A01 004 LA CEIBA|20260912|20260914|CEDA|CEDA PISO|CSA04120|CEDA PISO PRODUCTORAS</t>
  </si>
  <si>
    <t>CHIAPAS|A01 004 LA CEIBA|20260912|20260914|CEDA|CEDA PISO|CSA04120|CEDA PISO PRODUCTORAS|1</t>
  </si>
  <si>
    <t>A01004-371209-3</t>
  </si>
  <si>
    <t>CHIAPAS|A01 004 LA CEIBA|20260912|20260914|CEDA|CEDA PISO|CMN05123|CEDA PISO PRODUCTORAS</t>
  </si>
  <si>
    <t>CHIAPAS|A01 004 LA CEIBA|20260912|20260914|CEDA|CEDA PISO|CMN05123|CEDA PISO PRODUCTORAS|1</t>
  </si>
  <si>
    <t>A01004-371209-5</t>
  </si>
  <si>
    <t>CHIAPAS|A01 004 LA CEIBA|20260912|20260914|CEDA|CEDA PISO|CDS04122|CEDA PISO PRODUCTORAS</t>
  </si>
  <si>
    <t>CHIAPAS|A01 004 LA CEIBA|20260912|20260914|CEDA|CEDA PISO|CDS04122|CEDA PISO PRODUCTORAS|1</t>
  </si>
  <si>
    <t>A01002-371209-1</t>
  </si>
  <si>
    <t>43052</t>
  </si>
  <si>
    <t>CHIAPAS|A01 002 FORTALEZA|20260912|20260917|VSA|WM|CRG07128|18 CONVENCIONAL Y 6 ORGANICO</t>
  </si>
  <si>
    <t>CHIAPAS|A01 002 FORTALEZA|20260912|20260917|VSA|WM|CRG07128|18 CONVENCIONAL Y 6 ORGANICO|1</t>
  </si>
  <si>
    <t>41949</t>
  </si>
  <si>
    <t>CHIAPAS|A01 002 FORTALEZA|20260912|20260917|VSA|WM|CPR01102|18 CONVENCIONAL Y 6 ORGANICO</t>
  </si>
  <si>
    <t>CHIAPAS|A01 002 FORTALEZA|20260912|20260917|VSA|WM|CPR01102|18 CONVENCIONAL Y 6 ORGANICO|1</t>
  </si>
  <si>
    <t>CHIAPAS|A01 002 FORTALEZA|20260912|20260918|QRO|WM|CPR01102|23 CONVENCIONAL Y 1 ORG</t>
  </si>
  <si>
    <t>CHIAPAS|A01 002 FORTALEZA|20260912|20260918|QRO|WM|CPR01102|23 CONVENCIONAL Y 1 ORG|1</t>
  </si>
  <si>
    <t>CHIAPAS|A01 002 FORTALEZA|20260912|20260914|CEDA|CEDA PISO|CPR01101|CEDA PISO PRODUCTORAS</t>
  </si>
  <si>
    <t>CHIAPAS|A01 002 FORTALEZA|20260912|20260914|CEDA|CEDA PISO|CPR01101|CEDA PISO PRODUCTORAS|1</t>
  </si>
  <si>
    <t>A01002-371209-4</t>
  </si>
  <si>
    <t>CHIAPAS|A01 002 FORTALEZA|20260912|20260914|CEDA|CEDA PISO|CSA04120|CEDA PISO PRODUCTORAS</t>
  </si>
  <si>
    <t>CHIAPAS|A01 002 FORTALEZA|20260912|20260914|CEDA|CEDA PISO|CSA04120|CEDA PISO PRODUCTORAS|1</t>
  </si>
  <si>
    <t>A01002-371209-3</t>
  </si>
  <si>
    <t>CHIAPAS|A01 002 FORTALEZA|20260912|20260914|CEDA|CEDA PISO|CMN05123|CEDA PISO PRODUCTORAS</t>
  </si>
  <si>
    <t>CHIAPAS|A01 002 FORTALEZA|20260912|20260914|CEDA|CEDA PISO|CMN05123|CEDA PISO PRODUCTORAS|1</t>
  </si>
  <si>
    <t>A01002-371209-5</t>
  </si>
  <si>
    <t>CHIAPAS|A01 002 FORTALEZA|20260912|20260914|CEDA|CEDA PISO|CDS04122|CEDA PISO PRODUCTORAS</t>
  </si>
  <si>
    <t>CHIAPAS|A01 002 FORTALEZA|20260912|20260914|CEDA|CEDA PISO|CDS04122|CEDA PISO PRODUCTORAS|1</t>
  </si>
  <si>
    <t>43790</t>
  </si>
  <si>
    <t>CHIAPAS|A01 002 FORTALEZA|20260914|20260918|QRO|WM|CPR01102|23 CONVENCIONAL Y 1 ORG</t>
  </si>
  <si>
    <t>CHIAPAS|A01 002 FORTALEZA|20260914|20260918|QRO|WM|CPR01102|23 CONVENCIONAL Y 1 ORG|1</t>
  </si>
  <si>
    <t>Programa Embarques 2026 S-38.xlsx</t>
  </si>
  <si>
    <t>CHIAPAS|A01 002 FORTALEZA|20260914|20260918|QRO|WM|CRG07128|23 CONVENCIONAL Y 1 ORG</t>
  </si>
  <si>
    <t>CHIAPAS|A01 002 FORTALEZA|20260914|20260918|QRO|WM|CRG07128|23 CONVENCIONAL Y 1 ORG|1</t>
  </si>
  <si>
    <t>44332</t>
  </si>
  <si>
    <t>CHIAPAS|A01 002 FORTALEZA|20260914|20260919|SMO|WM|CPR01102|24 CONVENCIONAL</t>
  </si>
  <si>
    <t>CHIAPAS|A01 002 FORTALEZA|20260914|20260919|SMO|WM|CPR01102|24 CONVENCIONAL|1</t>
  </si>
  <si>
    <t>41950</t>
  </si>
  <si>
    <t>CHIAPAS|A01 002 FORTALEZA|20260914|20260919|VSA|WM|CPR01102|18 CONVENCIONAL Y 6 ORGANICO</t>
  </si>
  <si>
    <t>CHIAPAS|A01 002 FORTALEZA|20260914|20260919|VSA|WM|CPR01102|18 CONVENCIONAL Y 6 ORGANICO|1</t>
  </si>
  <si>
    <t>CHIAPAS|A01 002 FORTALEZA|20260914|20260916|CEDA|CEDA PISO|CPR01101|CEDA PISO PRODUCTORAS</t>
  </si>
  <si>
    <t>CHIAPAS|A01 002 FORTALEZA|20260914|20260916|CEDA|CEDA PISO|CPR01101|CEDA PISO PRODUCTORAS|1</t>
  </si>
  <si>
    <t>CHIAPAS|A01 002 FORTALEZA|20260914|20260916|CEDA|CEDA PISO|CSA04120|CEDA PISO PRODUCTORAS</t>
  </si>
  <si>
    <t>CHIAPAS|A01 002 FORTALEZA|20260914|20260916|CEDA|CEDA PISO|CSA04120|CEDA PISO PRODUCTORAS|1</t>
  </si>
  <si>
    <t>CHIAPAS|A01 002 FORTALEZA|20260914|20260916|CEDA|CEDA PISO|CMN05123|CEDA PISO PRODUCTORAS</t>
  </si>
  <si>
    <t>CHIAPAS|A01 002 FORTALEZA|20260914|20260916|CEDA|CEDA PISO|CMN05123|CEDA PISO PRODUCTORAS|1</t>
  </si>
  <si>
    <t>CHIAPAS|A01 002 FORTALEZA|20260914|20260916|CEDA|CEDA PISO|CDS04122|CEDA PISO PRODUCTORAS</t>
  </si>
  <si>
    <t>CHIAPAS|A01 002 FORTALEZA|20260914|20260916|CEDA|CEDA PISO|CDS04122|CEDA PISO PRODUCTORAS|1</t>
  </si>
  <si>
    <t>44667</t>
  </si>
  <si>
    <t>CHIAPAS|A01 001 MARBELLA|20260914|20260919|CHALCO|WM|CPR01102|23 CONVENCIONAL Y 1 BAE</t>
  </si>
  <si>
    <t>CHIAPAS|A01 001 MARBELLA|20260914|20260919|CHALCO|WM|CPR01102|23 CONVENCIONAL Y 1 BAE|1</t>
  </si>
  <si>
    <t>CHIAPAS|A01 001 MARBELLA|20260914|20260919|CHALCO|WM|CPR01114|23 CONVENCIONAL Y 1 BAE</t>
  </si>
  <si>
    <t>CHIAPAS|A01 001 MARBELLA|20260914|20260919|CHALCO|WM|CPR01114|23 CONVENCIONAL Y 1 BAE|1</t>
  </si>
  <si>
    <t>CHIAPAS|A01 001 MARBELLA|20260914|20260919|VSA|WM|CPR01102|18 CONVENCIONAL Y 6 ORGANICO</t>
  </si>
  <si>
    <t>CHIAPAS|A01 001 MARBELLA|20260914|20260919|VSA|WM|CPR01102|18 CONVENCIONAL Y 6 ORGANICO|1</t>
  </si>
  <si>
    <t>CHIAPAS|A01 001 MARBELLA|20260914|20260916|CEDA|CEDA PISO|CPR01101|CEDA PISO PRODUCTORAS</t>
  </si>
  <si>
    <t>CHIAPAS|A01 001 MARBELLA|20260914|20260916|CEDA|CEDA PISO|CPR01101|CEDA PISO PRODUCTORAS|1</t>
  </si>
  <si>
    <t>CHIAPAS|A01 001 MARBELLA|20260914|20260916|CEDA|CEDA PISO|CSA04120|CEDA PISO PRODUCTORAS</t>
  </si>
  <si>
    <t>CHIAPAS|A01 001 MARBELLA|20260914|20260916|CEDA|CEDA PISO|CSA04120|CEDA PISO PRODUCTORAS|1</t>
  </si>
  <si>
    <t>CHIAPAS|A01 001 MARBELLA|20260914|20260916|CEDA|CEDA PISO|CMN05123|CEDA PISO PRODUCTORAS</t>
  </si>
  <si>
    <t>CHIAPAS|A01 001 MARBELLA|20260914|20260916|CEDA|CEDA PISO|CMN05123|CEDA PISO PRODUCTORAS|1</t>
  </si>
  <si>
    <t>CHIAPAS|A01 001 MARBELLA|20260914|20260916|CEDA|CEDA PISO|CDS04122|CEDA PISO PRODUCTORAS</t>
  </si>
  <si>
    <t>CHIAPAS|A01 001 MARBELLA|20260914|20260916|CEDA|CEDA PISO|CDS04122|CEDA PISO PRODUCTORAS|1</t>
  </si>
  <si>
    <t>43800</t>
  </si>
  <si>
    <t>CHIAPAS|A01 003 DONA NELLY|20260914|20260918|MTY|WM|CPR01102|23 CONVENCIONAL CON 5 CAJAS BAE Y 1 ORG</t>
  </si>
  <si>
    <t>CHIAPAS|A01 003 DONA NELLY|20260914|20260918|MTY|WM|CPR01102|23 CONVENCIONAL CON 5 CAJAS BAE Y 1 ORG|1</t>
  </si>
  <si>
    <t>CHIAPAS|A01 003 DONA NELLY|20260914|20260918|MTY|WM|CPR01114|23 CONVENCIONAL CON 5 CAJAS BAE Y 1 ORG</t>
  </si>
  <si>
    <t>CHIAPAS|A01 003 DONA NELLY|20260914|20260918|MTY|WM|CPR01114|23 CONVENCIONAL CON 5 CAJAS BAE Y 1 ORG|1</t>
  </si>
  <si>
    <t>43801</t>
  </si>
  <si>
    <t>CHIAPAS|A01 003 DONA NELLY|20260914|20260918|MTY|WM|CRG07128|23 CONVENCIONAL CON 5 CAJAS BAE Y 1 ORG</t>
  </si>
  <si>
    <t>CHIAPAS|A01 003 DONA NELLY|20260914|20260918|MTY|WM|CRG07128|23 CONVENCIONAL CON 5 CAJAS BAE Y 1 ORG|1</t>
  </si>
  <si>
    <t>CHIAPAS|A01 003 DONA NELLY|20260914|20260919|SMO|WM|CPR01102|24 CONVENCIONAL</t>
  </si>
  <si>
    <t>CHIAPAS|A01 003 DONA NELLY|20260914|20260919|SMO|WM|CPR01102|24 CONVENCIONAL|1</t>
  </si>
  <si>
    <t>CHIAPAS|A01 003 DONA NELLY|20260914|20260916|CEDA|CEDA PISO|CPR01101|CEDA PISO PRODUCTORAS</t>
  </si>
  <si>
    <t>CHIAPAS|A01 003 DONA NELLY|20260914|20260916|CEDA|CEDA PISO|CPR01101|CEDA PISO PRODUCTORAS|1</t>
  </si>
  <si>
    <t>CHIAPAS|A01 003 DONA NELLY|20260914|20260916|CEDA|CEDA PISO|CSA04120|CEDA PISO PRODUCTORAS</t>
  </si>
  <si>
    <t>CHIAPAS|A01 003 DONA NELLY|20260914|20260916|CEDA|CEDA PISO|CSA04120|CEDA PISO PRODUCTORAS|1</t>
  </si>
  <si>
    <t>CHIAPAS|A01 003 DONA NELLY|20260914|20260916|CEDA|CEDA PISO|CMN05123|CEDA PISO PRODUCTORAS</t>
  </si>
  <si>
    <t>CHIAPAS|A01 003 DONA NELLY|20260914|20260916|CEDA|CEDA PISO|CMN05123|CEDA PISO PRODUCTORAS|1</t>
  </si>
  <si>
    <t>CHIAPAS|A01 003 DONA NELLY|20260914|20260916|CEDA|CEDA PISO|CDS04122|CEDA PISO PRODUCTORAS</t>
  </si>
  <si>
    <t>CHIAPAS|A01 003 DONA NELLY|20260914|20260916|CEDA|CEDA PISO|CDS04122|CEDA PISO PRODUCTORAS|1</t>
  </si>
  <si>
    <t>44413</t>
  </si>
  <si>
    <t>CHIAPAS|A11 045 SECTOR MAZATAN|20260914|20260919|MCALLEN|CHANITOS INT|CPR01104|20 CONVENCIONAL F1-1</t>
  </si>
  <si>
    <t>CHIAPAS|A11 045 SECTOR MAZATAN|20260914|20260919|MCALLEN|CHANITOS INT|CPR01104|20 CONVENCIONAL F1-1|1</t>
  </si>
  <si>
    <t>CHIAPAS|A11 056 SAN ISIDRO|20260914|20260919|MCALLEN|CHANITOS INT|CPR01104|20 CONVENCIONAL F1-1</t>
  </si>
  <si>
    <t>CHIAPAS|A11 056 SAN ISIDRO|20260914|20260919|MCALLEN|CHANITOS INT|CPR01104|20 CONVENCIONAL F1-1|1</t>
  </si>
  <si>
    <t>44414</t>
  </si>
  <si>
    <t>CHIAPAS|A11 056 SAN ISIDRO|20260914|20260919|MCALLEN|CHANITOS INT|CPR01104|20 CONVENCIONAL F1-2</t>
  </si>
  <si>
    <t>CHIAPAS|A11 056 SAN ISIDRO|20260914|20260919|MCALLEN|CHANITOS INT|CPR01104|20 CONVENCIONAL F1-2|1</t>
  </si>
  <si>
    <t>CHIAPAS|A11 045 SECTOR MAZATAN|20260915|20260919|MCALLEN|CHANITOS INT|CPR01104|20 CONVENCIONAL F1-2</t>
  </si>
  <si>
    <t>CHIAPAS|A11 045 SECTOR MAZATAN|20260915|20260919|MCALLEN|CHANITOS INT|CPR01104|20 CONVENCIONAL F1-2|1</t>
  </si>
  <si>
    <t>44415</t>
  </si>
  <si>
    <t>CHIAPAS|A04 084 LISBOA|20260915|20260921|MCALLEN|CHANITOS INT|CPR01104|20 CONVENCIONAL F2-2</t>
  </si>
  <si>
    <t>CHIAPAS|A04 084 LISBOA|20260915|20260921|MCALLEN|CHANITOS INT|CPR01104|20 CONVENCIONAL F2-2|1</t>
  </si>
  <si>
    <t>43270</t>
  </si>
  <si>
    <t>CHIAPAS|A41 100 DONA LUPE JV|20260915|20260922|CIUDAD JUAREZ|SMART|CPL08134|17 CONVENCIONAL Y 3 PLANTAIN</t>
  </si>
  <si>
    <t>CHIAPAS|A41 100 DONA LUPE JV|20260915|20260922|CIUDAD JUAREZ|SMART|CPL08134|17 CONVENCIONAL Y 3 PLANTAIN|1</t>
  </si>
  <si>
    <t>44663</t>
  </si>
  <si>
    <t>CHIAPAS|A01 001 MARBELLA|20260915|20260919|JAPON|MAR|CPR03119|CP27-15 CP34-5</t>
  </si>
  <si>
    <t>CHIAPAS|A01 001 MARBELLA|20260915|20260919|JAPON|MAR|CPR03119|CP27-15 CP34-5|1</t>
  </si>
  <si>
    <t>CHIAPAS|A01 001 MARBELLA|20260915|20260919|JAPON|MAR|CPR03124|CP27-15 CP34-5</t>
  </si>
  <si>
    <t>CHIAPAS|A01 001 MARBELLA|20260915|20260919|JAPON|MAR|CPR03124|CP27-15 CP34-5|1</t>
  </si>
  <si>
    <t>44334</t>
  </si>
  <si>
    <t>CHIAPAS|A01 001 MARBELLA|20260915|20260921|SMO|WM|CPR01102|24 CONVENCIONAL</t>
  </si>
  <si>
    <t>CHIAPAS|A01 001 MARBELLA|20260915|20260921|SMO|WM|CPR01102|24 CONVENCIONAL|1</t>
  </si>
  <si>
    <t>44333</t>
  </si>
  <si>
    <t>CHIAPAS|A01 001 MARBELLA|20260915|20260920|SMO|WM|CPR01102|24 CONVENCIONAL</t>
  </si>
  <si>
    <t>CHIAPAS|A01 001 MARBELLA|20260915|20260920|SMO|WM|CPR01102|24 CONVENCIONAL|1</t>
  </si>
  <si>
    <t>CHIAPAS|A01 001 MARBELLA|20260915|20260917|CEDA|CEDA PISO|CPR01101|CEDA PISO PRODUCTORAS</t>
  </si>
  <si>
    <t>CHIAPAS|A01 001 MARBELLA|20260915|20260917|CEDA|CEDA PISO|CPR01101|CEDA PISO PRODUCTORAS|1</t>
  </si>
  <si>
    <t>CHIAPAS|A01 001 MARBELLA|20260915|20260917|CEDA|CEDA PISO|CSA04120|CEDA PISO PRODUCTORAS</t>
  </si>
  <si>
    <t>CHIAPAS|A01 001 MARBELLA|20260915|20260917|CEDA|CEDA PISO|CSA04120|CEDA PISO PRODUCTORAS|1</t>
  </si>
  <si>
    <t>CHIAPAS|A01 001 MARBELLA|20260915|20260917|CEDA|CEDA PISO|CMN05123|CEDA PISO PRODUCTORAS</t>
  </si>
  <si>
    <t>CHIAPAS|A01 001 MARBELLA|20260915|20260917|CEDA|CEDA PISO|CMN05123|CEDA PISO PRODUCTORAS|1</t>
  </si>
  <si>
    <t>CHIAPAS|A01 001 MARBELLA|20260915|20260917|CEDA|CEDA PISO|CDS04122|CEDA PISO PRODUCTORAS</t>
  </si>
  <si>
    <t>CHIAPAS|A01 001 MARBELLA|20260915|20260917|CEDA|CEDA PISO|CDS04122|CEDA PISO PRODUCTORAS|1</t>
  </si>
  <si>
    <t>CHIAPAS|A01 003 DONA NELLY|20260915|20260922|CIUDAD JUAREZ|SMART|CPR01103|17 CONVENCIONAL Y 3 PLANTAIN</t>
  </si>
  <si>
    <t>CHIAPAS|A01 003 DONA NELLY|20260915|20260922|CIUDAD JUAREZ|SMART|CPR01103|17 CONVENCIONAL Y 3 PLANTAIN|1</t>
  </si>
  <si>
    <t>CHIAPAS|A01 003 DONA NELLY|20260915|20260919|SMO|WM|CPR01102|24 CONVENCIONAL</t>
  </si>
  <si>
    <t>CHIAPAS|A01 003 DONA NELLY|20260915|20260919|SMO|WM|CPR01102|24 CONVENCIONAL|1</t>
  </si>
  <si>
    <t>CHIAPAS|A01 003 DONA NELLY|20260915|20260917|CEDA|CEDA PISO|CPR01101|CEDA PISO PRODUCTORAS</t>
  </si>
  <si>
    <t>CHIAPAS|A01 003 DONA NELLY|20260915|20260917|CEDA|CEDA PISO|CPR01101|CEDA PISO PRODUCTORAS|1</t>
  </si>
  <si>
    <t>CHIAPAS|A01 003 DONA NELLY|20260915|20260917|CEDA|CEDA PISO|CSA04120|CEDA PISO PRODUCTORAS</t>
  </si>
  <si>
    <t>CHIAPAS|A01 003 DONA NELLY|20260915|20260917|CEDA|CEDA PISO|CSA04120|CEDA PISO PRODUCTORAS|1</t>
  </si>
  <si>
    <t>CHIAPAS|A01 003 DONA NELLY|20260915|20260917|CEDA|CEDA PISO|CMN05123|CEDA PISO PRODUCTORAS</t>
  </si>
  <si>
    <t>CHIAPAS|A01 003 DONA NELLY|20260915|20260917|CEDA|CEDA PISO|CMN05123|CEDA PISO PRODUCTORAS|1</t>
  </si>
  <si>
    <t>CHIAPAS|A01 003 DONA NELLY|20260915|20260917|CEDA|CEDA PISO|CDS04122|CEDA PISO PRODUCTORAS</t>
  </si>
  <si>
    <t>CHIAPAS|A01 003 DONA NELLY|20260915|20260917|CEDA|CEDA PISO|CDS04122|CEDA PISO PRODUCTORAS|1</t>
  </si>
  <si>
    <t>43115</t>
  </si>
  <si>
    <t>CHIAPAS|A01 002 FORTALEZA|20260915|20260919|VSA|WM|CRG07128|18 CONVENCIONAL Y 6 ORGANICO</t>
  </si>
  <si>
    <t>CHIAPAS|A01 002 FORTALEZA|20260915|20260919|VSA|WM|CRG07128|18 CONVENCIONAL Y 6 ORGANICO|1</t>
  </si>
  <si>
    <t>CHIAPAS|A01 002 FORTALEZA|20260915|20260919|VSA|WM|CPR01102|18 CONVENCIONAL Y 6 ORGANICO</t>
  </si>
  <si>
    <t>CHIAPAS|A01 002 FORTALEZA|20260915|20260919|VSA|WM|CPR01102|18 CONVENCIONAL Y 6 ORGANICO|1</t>
  </si>
  <si>
    <t>CHIAPAS|A01 002 FORTALEZA|20260915|20260920|SMO|WM|CPR01102|24 CONVENCIONAL</t>
  </si>
  <si>
    <t>CHIAPAS|A01 002 FORTALEZA|20260915|20260920|SMO|WM|CPR01102|24 CONVENCIONAL|1</t>
  </si>
  <si>
    <t>CHIAPAS|A01 002 FORTALEZA|20260915|20260920|SMO|WM|CPR01102|24 CONVENCIONAL|2</t>
  </si>
  <si>
    <t>44902</t>
  </si>
  <si>
    <t>CHIAPAS|A01 002 FORTALEZA|20260915|20260921|QRO|WM|CPR01102|22 CONVENCIONAL Y 2 ORG</t>
  </si>
  <si>
    <t>CHIAPAS|A01 002 FORTALEZA|20260915|20260921|QRO|WM|CPR01102|22 CONVENCIONAL Y 2 ORG|1</t>
  </si>
  <si>
    <t>CHIAPAS|A01 002 FORTALEZA|20260915|20260917|CEDA|CEDA PISO|CPR01101|CEDA PISO PRODUCTORAS</t>
  </si>
  <si>
    <t>CHIAPAS|A01 002 FORTALEZA|20260915|20260917|CEDA|CEDA PISO|CPR01101|CEDA PISO PRODUCTORAS|1</t>
  </si>
  <si>
    <t>CHIAPAS|A01 002 FORTALEZA|20260915|20260917|CEDA|CEDA PISO|CSA04120|CEDA PISO PRODUCTORAS</t>
  </si>
  <si>
    <t>CHIAPAS|A01 002 FORTALEZA|20260915|20260917|CEDA|CEDA PISO|CSA04120|CEDA PISO PRODUCTORAS|1</t>
  </si>
  <si>
    <t>CHIAPAS|A01 002 FORTALEZA|20260915|20260917|CEDA|CEDA PISO|CMN05123|CEDA PISO PRODUCTORAS</t>
  </si>
  <si>
    <t>CHIAPAS|A01 002 FORTALEZA|20260915|20260917|CEDA|CEDA PISO|CMN05123|CEDA PISO PRODUCTORAS|1</t>
  </si>
  <si>
    <t>CHIAPAS|A01 002 FORTALEZA|20260915|20260917|CEDA|CEDA PISO|CDS04122|CEDA PISO PRODUCTORAS</t>
  </si>
  <si>
    <t>CHIAPAS|A01 002 FORTALEZA|20260915|20260917|CEDA|CEDA PISO|CDS04122|CEDA PISO PRODUCTORAS|1</t>
  </si>
  <si>
    <t>43804</t>
  </si>
  <si>
    <t>CHIAPAS|A04 039 SAN JOSE MORELIA NAVA|20260916|20260923|S-MTY|SMART|CPR01103|20 CONVENCIONAL SM1</t>
  </si>
  <si>
    <t>CHIAPAS|A04 039 SAN JOSE MORELIA NAVA|20260916|20260923|S-MTY|SMART|CPR01103|20 CONVENCIONAL SM1|1</t>
  </si>
  <si>
    <t>CHIAPAS|A04 084 LISBOA|20260916|20260921|MCALLEN|CHANITOS INT|CPR01104|20 CONVENCIONAL F2-2</t>
  </si>
  <si>
    <t>CHIAPAS|A04 084 LISBOA|20260916|20260921|MCALLEN|CHANITOS INT|CPR01104|20 CONVENCIONAL F2-2|1</t>
  </si>
  <si>
    <t>CHIAPAS|A04 084 LISBOA|20260916|20260921|SMO|WM|CPR01102|24 CONVENCIONAL</t>
  </si>
  <si>
    <t>CHIAPAS|A04 084 LISBOA|20260916|20260921|SMO|WM|CPR01102|24 CONVENCIONAL|1</t>
  </si>
  <si>
    <t>CHIAPAS|A41 100 DONA LUPE JV|20260917|20260919|CEDA|CEDA AUTOSERVICIO|CPL08141|CEDA PLANTAIN</t>
  </si>
  <si>
    <t>CHIAPAS|A41 100 DONA LUPE JV|20260917|20260919|CEDA|CEDA AUTOSERVICIO|CPL08141|CEDA PLANTAIN|1</t>
  </si>
  <si>
    <t>44420</t>
  </si>
  <si>
    <t>CHIAPAS|A06 043 NUESTRA SENORA|20260917|20260924|MCALLEN|CHANITOS INT|CPR01104|20 CONVENCIONAL F4-1</t>
  </si>
  <si>
    <t>CHIAPAS|A06 043 NUESTRA SENORA|20260917|20260924|MCALLEN|CHANITOS INT|CPR01104|20 CONVENCIONAL F4-1|1</t>
  </si>
  <si>
    <t>CHIAPAS|A04 039 SAN JOSE MORELIA NAVA|20260917|20260923|S-MTY|SMART|CPR01103|20 CONVENCIONAL SM1</t>
  </si>
  <si>
    <t>CHIAPAS|A04 039 SAN JOSE MORELIA NAVA|20260917|20260923|S-MTY|SMART|CPR01103|20 CONVENCIONAL SM1|1</t>
  </si>
  <si>
    <t>CHIAPAS|A04 039 SAN JOSE MORELIA NAVA|20260917|20260923|S-MTY|SMART|CPR01103|20 CONVENCIONAL SM2</t>
  </si>
  <si>
    <t>CHIAPAS|A04 039 SAN JOSE MORELIA NAVA|20260917|20260923|S-MTY|SMART|CPR01103|20 CONVENCIONAL SM2|1</t>
  </si>
  <si>
    <t>CHIAPAS|A04 084 LISBOA|20260917|20260921|SMO|WM|CPR01102|24 CONVENCIONAL</t>
  </si>
  <si>
    <t>CHIAPAS|A04 084 LISBOA|20260917|20260921|SMO|WM|CPR01102|24 CONVENCIONAL|1</t>
  </si>
  <si>
    <t>45248</t>
  </si>
  <si>
    <t>CHIAPAS|A04 039 SAN JOSE MORELIA NAVA|20260918|20260924|SMO|WM|CPR01102|24 CONVENCIONAL</t>
  </si>
  <si>
    <t>CHIAPAS|A04 039 SAN JOSE MORELIA NAVA|20260918|20260924|SMO|WM|CPR01102|24 CONVENCIONAL|1</t>
  </si>
  <si>
    <t>44416</t>
  </si>
  <si>
    <t>CHIAPAS|A04 084 LISBOA|20260917|20260921|MCALLEN|CHANITOS INT|CPR01104|20 CONVENCIONAL F2-1</t>
  </si>
  <si>
    <t>CHIAPAS|A04 084 LISBOA|20260917|20260921|MCALLEN|CHANITOS INT|CPR01104|20 CONVENCIONAL F2-1|1</t>
  </si>
  <si>
    <t>CHIAPAS|A01 002 FORTALEZA|20260917|20260921|QRO|WM|CPR01102|22 CONVENCIONAL Y 2 ORG</t>
  </si>
  <si>
    <t>CHIAPAS|A01 002 FORTALEZA|20260917|20260921|QRO|WM|CPR01102|22 CONVENCIONAL Y 2 ORG|1</t>
  </si>
  <si>
    <t>CHIAPAS|A01 002 FORTALEZA|20260917|20260921|QRO|WM|CRG07128|22 CONVENCIONAL Y 2 ORG</t>
  </si>
  <si>
    <t>CHIAPAS|A01 002 FORTALEZA|20260917|20260921|QRO|WM|CRG07128|22 CONVENCIONAL Y 2 ORG|1</t>
  </si>
  <si>
    <t>43791</t>
  </si>
  <si>
    <t>CHIAPAS|A01 002 FORTALEZA|20260917|20260921|VSA|WM|CRG07128|18 CONVENCIONAL Y 6 ORGANICO</t>
  </si>
  <si>
    <t>CHIAPAS|A01 002 FORTALEZA|20260917|20260921|VSA|WM|CRG07128|18 CONVENCIONAL Y 6 ORGANICO|1</t>
  </si>
  <si>
    <t>CHIAPAS|A01 002 FORTALEZA|20260917|20260921|SMO|WM|CPR01102|24 CONVENCIONAL</t>
  </si>
  <si>
    <t>CHIAPAS|A01 002 FORTALEZA|20260917|20260921|SMO|WM|CPR01102|24 CONVENCIONAL|1</t>
  </si>
  <si>
    <t>44905</t>
  </si>
  <si>
    <t>CHIAPAS|A01 002 FORTALEZA|20260917|20260923|QRO|WM|CPR01102|22 CONVENCIONAL Y 2 ORG</t>
  </si>
  <si>
    <t>CHIAPAS|A01 002 FORTALEZA|20260917|20260923|QRO|WM|CPR01102|22 CONVENCIONAL Y 2 ORG|1</t>
  </si>
  <si>
    <t>CHIAPAS|A01 002 FORTALEZA|20260917|20260919|CEDA|CEDA PISO|CPR01101|CEDA PISO PRODUCTORAS</t>
  </si>
  <si>
    <t>CHIAPAS|A01 002 FORTALEZA|20260917|20260919|CEDA|CEDA PISO|CPR01101|CEDA PISO PRODUCTORAS|1</t>
  </si>
  <si>
    <t>CHIAPAS|A01 002 FORTALEZA|20260917|20260919|CEDA|CEDA PISO|CSA04120|CEDA PISO PRODUCTORAS</t>
  </si>
  <si>
    <t>CHIAPAS|A01 002 FORTALEZA|20260917|20260919|CEDA|CEDA PISO|CSA04120|CEDA PISO PRODUCTORAS|1</t>
  </si>
  <si>
    <t>CHIAPAS|A01 002 FORTALEZA|20260917|20260919|CEDA|CEDA PISO|CMN05123|CEDA PISO PRODUCTORAS</t>
  </si>
  <si>
    <t>CHIAPAS|A01 002 FORTALEZA|20260917|20260919|CEDA|CEDA PISO|CMN05123|CEDA PISO PRODUCTORAS|1</t>
  </si>
  <si>
    <t>CHIAPAS|A01 002 FORTALEZA|20260917|20260919|CEDA|CEDA PISO|CDS04122|CEDA PISO PRODUCTORAS</t>
  </si>
  <si>
    <t>CHIAPAS|A01 002 FORTALEZA|20260917|20260919|CEDA|CEDA PISO|CDS04122|CEDA PISO PRODUCTORAS|1</t>
  </si>
  <si>
    <t>44668</t>
  </si>
  <si>
    <t>CHIAPAS|A01 001 MARBELLA|20260917|20260921|CHALCO|WM|CPR01102|23 CONVENCIONAL Y 1 BAE</t>
  </si>
  <si>
    <t>CHIAPAS|A01 001 MARBELLA|20260917|20260921|CHALCO|WM|CPR01102|23 CONVENCIONAL Y 1 BAE|1</t>
  </si>
  <si>
    <t>CHIAPAS|A01 001 MARBELLA|20260917|20260921|CHALCO|WM|CPR01114|23 CONVENCIONAL Y 1 BAE</t>
  </si>
  <si>
    <t>CHIAPAS|A01 001 MARBELLA|20260917|20260921|CHALCO|WM|CPR01114|23 CONVENCIONAL Y 1 BAE|1</t>
  </si>
  <si>
    <t>CHIAPAS|A01 001 MARBELLA|20260917|20260922|CEDA|CEDA AUTOSERVICIO|CPR01102|CEDA PISO PRODUCTORAS</t>
  </si>
  <si>
    <t>CHIAPAS|A01 001 MARBELLA|20260917|20260922|CEDA|CEDA AUTOSERVICIO|CPR01102|CEDA PISO PRODUCTORAS|1</t>
  </si>
  <si>
    <t>CHIAPAS|A01 001 MARBELLA|20260917|20260919|CEDA|CEDA PISO|CPR01101|CEDA PISO PRODUCTORAS</t>
  </si>
  <si>
    <t>CHIAPAS|A01 001 MARBELLA|20260917|20260919|CEDA|CEDA PISO|CPR01101|CEDA PISO PRODUCTORAS|1</t>
  </si>
  <si>
    <t>CHIAPAS|A01 001 MARBELLA|20260917|20260919|CEDA|CEDA PISO|CSA04120|CEDA PISO PRODUCTORAS</t>
  </si>
  <si>
    <t>CHIAPAS|A01 001 MARBELLA|20260917|20260919|CEDA|CEDA PISO|CSA04120|CEDA PISO PRODUCTORAS|1</t>
  </si>
  <si>
    <t>CHIAPAS|A01 001 MARBELLA|20260917|20260919|CEDA|CEDA PISO|CMN05123|CEDA PISO PRODUCTORAS</t>
  </si>
  <si>
    <t>CHIAPAS|A01 001 MARBELLA|20260917|20260919|CEDA|CEDA PISO|CMN05123|CEDA PISO PRODUCTORAS|1</t>
  </si>
  <si>
    <t>CHIAPAS|A01 001 MARBELLA|20260917|20260919|CEDA|CEDA PISO|CDS04122|CEDA PISO PRODUCTORAS</t>
  </si>
  <si>
    <t>CHIAPAS|A01 001 MARBELLA|20260917|20260919|CEDA|CEDA PISO|CDS04122|CEDA PISO PRODUCTORAS|1</t>
  </si>
  <si>
    <t>41951</t>
  </si>
  <si>
    <t>CHIAPAS|A01 003 DONA NELLY|20260917|20260921|VSA|WM|CPR01102|18 CONVENCIONAL Y 6 ORGANICO</t>
  </si>
  <si>
    <t>CHIAPAS|A01 003 DONA NELLY|20260917|20260921|VSA|WM|CPR01102|18 CONVENCIONAL Y 6 ORGANICO|1</t>
  </si>
  <si>
    <t>CHIAPAS|A01 003 DONA NELLY|20260917|20260922|CIUDAD JUAREZ|SMART|CPR01103|20 CONVENCIONAL SCJ1</t>
  </si>
  <si>
    <t>CHIAPAS|A01 003 DONA NELLY|20260917|20260922|CIUDAD JUAREZ|SMART|CPR01103|20 CONVENCIONAL SCJ1|1</t>
  </si>
  <si>
    <t>CHIAPAS|A01 003 DONA NELLY|20260917|20260919|CEDA|CEDA PISO|CPR01101|CEDA PISO PRODUCTORAS</t>
  </si>
  <si>
    <t>CHIAPAS|A01 003 DONA NELLY|20260917|20260919|CEDA|CEDA PISO|CPR01101|CEDA PISO PRODUCTORAS|1</t>
  </si>
  <si>
    <t>CHIAPAS|A01 003 DONA NELLY|20260917|20260919|CEDA|CEDA PISO|CSA04120|CEDA PISO PRODUCTORAS</t>
  </si>
  <si>
    <t>CHIAPAS|A01 003 DONA NELLY|20260917|20260919|CEDA|CEDA PISO|CSA04120|CEDA PISO PRODUCTORAS|1</t>
  </si>
  <si>
    <t>CHIAPAS|A01 003 DONA NELLY|20260917|20260919|CEDA|CEDA PISO|CMN05123|CEDA PISO PRODUCTORAS</t>
  </si>
  <si>
    <t>CHIAPAS|A01 003 DONA NELLY|20260917|20260919|CEDA|CEDA PISO|CMN05123|CEDA PISO PRODUCTORAS|1</t>
  </si>
  <si>
    <t>CHIAPAS|A01 003 DONA NELLY|20260917|20260919|CEDA|CEDA PISO|CDS04122|CEDA PISO PRODUCTORAS</t>
  </si>
  <si>
    <t>CHIAPAS|A01 003 DONA NELLY|20260917|20260919|CEDA|CEDA PISO|CDS04122|CEDA PISO PRODUCTORAS|1</t>
  </si>
  <si>
    <t>CHIAPAS|A06 043 NUESTRA SENORA|20260918|20260924|MCALLEN|CHANITOS INT|CPR01104|20 CONVENCIONAL F4-1</t>
  </si>
  <si>
    <t>CHIAPAS|A06 043 NUESTRA SENORA|20260918|20260924|MCALLEN|CHANITOS INT|CPR01104|20 CONVENCIONAL F4-1|1</t>
  </si>
  <si>
    <t>CHIAPAS|A04 084 LISBOA|20260918|20260921|MCALLEN|CHANITOS INT|CPR01104|20 CONVENCIONAL F2-1</t>
  </si>
  <si>
    <t>CHIAPAS|A04 084 LISBOA|20260918|20260921|MCALLEN|CHANITOS INT|CPR01104|20 CONVENCIONAL F2-1|1</t>
  </si>
  <si>
    <t>CHIAPAS|A01 001 MARBELLA|20260918|20260921|VSA|WM|CPR01102|18 CONVENCIONAL Y 6 ORGANICO</t>
  </si>
  <si>
    <t>CHIAPAS|A01 001 MARBELLA|20260918|20260921|VSA|WM|CPR01102|18 CONVENCIONAL Y 6 ORGANICO|1</t>
  </si>
  <si>
    <t>41952</t>
  </si>
  <si>
    <t>CHIAPAS|A01 001 MARBELLA|20260918|20260924|VSA|WM|CPR01102|19 CONVENCIONAL Y 5 ORG</t>
  </si>
  <si>
    <t>CHIAPAS|A01 001 MARBELLA|20260918|20260924|VSA|WM|CPR01102|19 CONVENCIONAL Y 5 ORG|1</t>
  </si>
  <si>
    <t>CHIAPAS|A01 001 MARBELLA|20260918|20260924|SMO|WM|CPR01102|24 CONVENCIONAL</t>
  </si>
  <si>
    <t>CHIAPAS|A01 001 MARBELLA|20260918|20260924|SMO|WM|CPR01102|24 CONVENCIONAL|1</t>
  </si>
  <si>
    <t>CHIAPAS|A01 001 MARBELLA|20260918|20260920|CEDA|CEDA AUTOSERVICIO|CPR01102|CEDA PISO PRODUCTORAS</t>
  </si>
  <si>
    <t>CHIAPAS|A01 001 MARBELLA|20260918|20260920|CEDA|CEDA AUTOSERVICIO|CPR01102|CEDA PISO PRODUCTORAS|1</t>
  </si>
  <si>
    <t>CHIAPAS|A01 001 MARBELLA|20260918|20260920|CEDA|CEDA AUTOSERVICIO|CPR01102|CEDA PISO PRODUCTORAS|2</t>
  </si>
  <si>
    <t>CHIAPAS|A01 001 MARBELLA|20260918|20260920|CEDA|CEDA PISO|CPR01101|CEDA PISO PRODUCTORAS</t>
  </si>
  <si>
    <t>CHIAPAS|A01 001 MARBELLA|20260918|20260920|CEDA|CEDA PISO|CPR01101|CEDA PISO PRODUCTORAS|1</t>
  </si>
  <si>
    <t>CHIAPAS|A01 001 MARBELLA|20260918|20260920|CEDA|CEDA PISO|CSA04120|CEDA PISO PRODUCTORAS</t>
  </si>
  <si>
    <t>CHIAPAS|A01 001 MARBELLA|20260918|20260920|CEDA|CEDA PISO|CSA04120|CEDA PISO PRODUCTORAS|1</t>
  </si>
  <si>
    <t>CHIAPAS|A01 001 MARBELLA|20260918|20260920|CEDA|CEDA PISO|CMN05123|CEDA PISO PRODUCTORAS</t>
  </si>
  <si>
    <t>CHIAPAS|A01 001 MARBELLA|20260918|20260920|CEDA|CEDA PISO|CMN05123|CEDA PISO PRODUCTORAS|1</t>
  </si>
  <si>
    <t>CHIAPAS|A01 001 MARBELLA|20260918|20260920|CEDA|CEDA PISO|CDS04122|CEDA PISO PRODUCTORAS</t>
  </si>
  <si>
    <t>CHIAPAS|A01 001 MARBELLA|20260918|20260920|CEDA|CEDA PISO|CDS04122|CEDA PISO PRODUCTORAS|1</t>
  </si>
  <si>
    <t>CHIAPAS|A01 002 FORTALEZA|20260918|20260923|QRO|WM|CRG07128|22 CONVENCIONAL Y 2 ORG</t>
  </si>
  <si>
    <t>CHIAPAS|A01 002 FORTALEZA|20260918|20260923|QRO|WM|CRG07128|22 CONVENCIONAL Y 2 ORG|1</t>
  </si>
  <si>
    <t>CHIAPAS|A01 002 FORTALEZA|20260918|20260923|QRO|WM|CPR01102|22 CONVENCIONAL Y 2 ORG</t>
  </si>
  <si>
    <t>CHIAPAS|A01 002 FORTALEZA|20260918|20260923|QRO|WM|CPR01102|22 CONVENCIONAL Y 2 ORG|1</t>
  </si>
  <si>
    <t>43792</t>
  </si>
  <si>
    <t>CHIAPAS|A01 002 FORTALEZA|20260918|20260924|VSA|WM|CRG07128|19 CONVENCIONAL Y 5 ORG</t>
  </si>
  <si>
    <t>CHIAPAS|A01 002 FORTALEZA|20260918|20260924|VSA|WM|CRG07128|19 CONVENCIONAL Y 5 ORG|1</t>
  </si>
  <si>
    <t>CHIAPAS|A01 002 FORTALEZA|20260918|20260924|SMO|WM|CPR01102|24 CONVENCIONAL</t>
  </si>
  <si>
    <t>CHIAPAS|A01 002 FORTALEZA|20260918|20260924|SMO|WM|CPR01102|24 CONVENCIONAL|1</t>
  </si>
  <si>
    <t>CHIAPAS|A01 002 FORTALEZA|20260918|20260920|CEDA|CEDA PISO|CPR01101|CEDA PISO PRODUCTORAS</t>
  </si>
  <si>
    <t>CHIAPAS|A01 002 FORTALEZA|20260918|20260920|CEDA|CEDA PISO|CPR01101|CEDA PISO PRODUCTORAS|1</t>
  </si>
  <si>
    <t>CHIAPAS|A01 002 FORTALEZA|20260918|20260920|CEDA|CEDA PISO|CSA04120|CEDA PISO PRODUCTORAS</t>
  </si>
  <si>
    <t>CHIAPAS|A01 002 FORTALEZA|20260918|20260920|CEDA|CEDA PISO|CSA04120|CEDA PISO PRODUCTORAS|1</t>
  </si>
  <si>
    <t>CHIAPAS|A01 002 FORTALEZA|20260918|20260920|CEDA|CEDA PISO|CMN05123|CEDA PISO PRODUCTORAS</t>
  </si>
  <si>
    <t>CHIAPAS|A01 002 FORTALEZA|20260918|20260920|CEDA|CEDA PISO|CMN05123|CEDA PISO PRODUCTORAS|1</t>
  </si>
  <si>
    <t>CHIAPAS|A01 002 FORTALEZA|20260918|20260920|CEDA|CEDA PISO|CDS04122|CEDA PISO PRODUCTORAS</t>
  </si>
  <si>
    <t>CHIAPAS|A01 002 FORTALEZA|20260918|20260920|CEDA|CEDA PISO|CDS04122|CEDA PISO PRODUCTORAS|1</t>
  </si>
  <si>
    <t>44417</t>
  </si>
  <si>
    <t>CHIAPAS|A01 004 LA CEIBA|20260918|20260923|MCALLEN|CHANITOS INT|CPR01104|20 CONVENCIONAL F3-2</t>
  </si>
  <si>
    <t>CHIAPAS|A01 004 LA CEIBA|20260918|20260923|MCALLEN|CHANITOS INT|CPR01104|20 CONVENCIONAL F3-2|1</t>
  </si>
  <si>
    <t>CHIAPAS|A01 004 LA CEIBA|20260918|20260923|CEDA|CEDA AUTOSERVICIO|CPR01102|CEDA PISO PRODUCTORAS</t>
  </si>
  <si>
    <t>CHIAPAS|A01 004 LA CEIBA|20260918|20260923|CEDA|CEDA AUTOSERVICIO|CPR01102|CEDA PISO PRODUCTORAS|1</t>
  </si>
  <si>
    <t>CHIAPAS|A01 004 LA CEIBA|20260918|20260920|CEDA|CEDA PISO|CPR01101|CEDA PISO PRODUCTORAS</t>
  </si>
  <si>
    <t>CHIAPAS|A01 004 LA CEIBA|20260918|20260920|CEDA|CEDA PISO|CPR01101|CEDA PISO PRODUCTORAS|1</t>
  </si>
  <si>
    <t>CHIAPAS|A01 004 LA CEIBA|20260918|20260920|CEDA|CEDA PISO|CSA04120|CEDA PISO PRODUCTORAS</t>
  </si>
  <si>
    <t>CHIAPAS|A01 004 LA CEIBA|20260918|20260920|CEDA|CEDA PISO|CSA04120|CEDA PISO PRODUCTORAS|1</t>
  </si>
  <si>
    <t>CHIAPAS|A01 004 LA CEIBA|20260918|20260920|CEDA|CEDA PISO|CMN05123|CEDA PISO PRODUCTORAS</t>
  </si>
  <si>
    <t>CHIAPAS|A01 004 LA CEIBA|20260918|20260920|CEDA|CEDA PISO|CMN05123|CEDA PISO PRODUCTORAS|1</t>
  </si>
  <si>
    <t>CHIAPAS|A01 004 LA CEIBA|20260918|20260920|CEDA|CEDA PISO|CDS04122|CEDA PISO PRODUCTORAS</t>
  </si>
  <si>
    <t>CHIAPAS|A01 004 LA CEIBA|20260918|20260920|CEDA|CEDA PISO|CDS04122|CEDA PISO PRODUCTORAS|1</t>
  </si>
  <si>
    <t>44335</t>
  </si>
  <si>
    <t>CHIAPAS|A04 039 SAN JOSE MORELIA NAVA|20260918|20260922|SMO|WM|CPR01102|24 CONVENCIONAL</t>
  </si>
  <si>
    <t>CHIAPAS|A04 039 SAN JOSE MORELIA NAVA|20260918|20260922|SMO|WM|CPR01102|24 CONVENCIONAL|1</t>
  </si>
  <si>
    <t>43805</t>
  </si>
  <si>
    <t>CHIAPAS|A04 039 SAN JOSE MORELIA NAVA|20260918|20260925|S-MTY|SMART|CPR01103|20 CONVENCIONAL SM4</t>
  </si>
  <si>
    <t>CHIAPAS|A04 039 SAN JOSE MORELIA NAVA|20260918|20260925|S-MTY|SMART|CPR01103|20 CONVENCIONAL SM4|1</t>
  </si>
  <si>
    <t>44425</t>
  </si>
  <si>
    <t>CHIAPAS|A27 073 PLANTACION|20260918|20260922|MCALLEN|CHANITOS INT|CPL08133|24 PLANTAIN</t>
  </si>
  <si>
    <t>CHIAPAS|A27 073 PLANTACION|20260918|20260922|MCALLEN|CHANITOS INT|CPL08133|24 PLANTAIN|1</t>
  </si>
  <si>
    <t>CHIAPAS|A41 100 DONA LUPE JV|20260918|20260922|MCALLEN|CHANITOS INT|CPL08133|24 PLANTAIN</t>
  </si>
  <si>
    <t>CHIAPAS|A41 100 DONA LUPE JV|20260918|20260922|MCALLEN|CHANITOS INT|CPL08133|24 PLANTAIN|1</t>
  </si>
  <si>
    <t>CHIAPAS|A01 002 FORTALEZA|20260919|20260924|VSA|WM|CPR01102|19 CONVENCIONAL Y 5 ORG</t>
  </si>
  <si>
    <t>CHIAPAS|A01 002 FORTALEZA|20260919|20260924|VSA|WM|CPR01102|19 CONVENCIONAL Y 5 ORG|1</t>
  </si>
  <si>
    <t>45275</t>
  </si>
  <si>
    <t>CHIAPAS|A01 002 FORTALEZA|20260919|20260923|CHALCO|WM|CPR01102|1098 CAJAS CONVENCIONAL Y 54 CAJAS BAE</t>
  </si>
  <si>
    <t>CHIAPAS|A01 002 FORTALEZA|20260919|20260923|CHALCO|WM|CPR01102|1098 CAJAS CONVENCIONAL Y 54 CAJAS BAE|1</t>
  </si>
  <si>
    <t>CHIAPAS|A01 002 FORTALEZA|20260919|20260923|CHALCO|WM|CPR01114|1098 CAJAS CONVENCIONAL Y 54 CAJAS BAE</t>
  </si>
  <si>
    <t>CHIAPAS|A01 002 FORTALEZA|20260919|20260923|CHALCO|WM|CPR01114|1098 CAJAS CONVENCIONAL Y 54 CAJAS BAE|1</t>
  </si>
  <si>
    <t>CHIAPAS|A01 002 FORTALEZA|20260919|20260924|SMO|WM|CPR01102|24 CONVENCIONAL</t>
  </si>
  <si>
    <t>CHIAPAS|A01 002 FORTALEZA|20260919|20260924|SMO|WM|CPR01102|24 CONVENCIONAL|1</t>
  </si>
  <si>
    <t>CHIAPAS|A01 002 FORTALEZA|20260919|20260921|CEDA|CEDA PISO|CPR01101|CEDA PISO PRODUCTORAS</t>
  </si>
  <si>
    <t>CHIAPAS|A01 002 FORTALEZA|20260919|20260921|CEDA|CEDA PISO|CPR01101|CEDA PISO PRODUCTORAS|1</t>
  </si>
  <si>
    <t>CHIAPAS|A01 002 FORTALEZA|20260919|20260921|CEDA|CEDA PISO|CSA04120|CEDA PISO PRODUCTORAS</t>
  </si>
  <si>
    <t>CHIAPAS|A01 002 FORTALEZA|20260919|20260921|CEDA|CEDA PISO|CSA04120|CEDA PISO PRODUCTORAS|1</t>
  </si>
  <si>
    <t>CHIAPAS|A01 002 FORTALEZA|20260919|20260921|CEDA|CEDA PISO|CMN05123|CEDA PISO PRODUCTORAS</t>
  </si>
  <si>
    <t>CHIAPAS|A01 002 FORTALEZA|20260919|20260921|CEDA|CEDA PISO|CMN05123|CEDA PISO PRODUCTORAS|1</t>
  </si>
  <si>
    <t>CHIAPAS|A01 002 FORTALEZA|20260919|20260921|CEDA|CEDA PISO|CDS04122|CEDA PISO PRODUCTORAS</t>
  </si>
  <si>
    <t>CHIAPAS|A01 002 FORTALEZA|20260919|20260921|CEDA|CEDA PISO|CDS04122|CEDA PISO PRODUCTORAS|1</t>
  </si>
  <si>
    <t>CHIAPAS|A01 003 DONA NELLY|20260919|20260925|S-MTY|SMART|CPR01103|20 CONVENCIONAL SM4</t>
  </si>
  <si>
    <t>CHIAPAS|A01 003 DONA NELLY|20260919|20260925|S-MTY|SMART|CPR01103|20 CONVENCIONAL SM4|1</t>
  </si>
  <si>
    <t>CHIAPAS|A01 003 DONA NELLY|20260919|20260923|CHALCO|WM|CPR01102|1098 CAJAS CONVENCIONAL Y 54 CAJAS BAE</t>
  </si>
  <si>
    <t>CHIAPAS|A01 003 DONA NELLY|20260919|20260923|CHALCO|WM|CPR01102|1098 CAJAS CONVENCIONAL Y 54 CAJAS BAE|1</t>
  </si>
  <si>
    <t>CHIAPAS|A01 003 DONA NELLY|20260919|20260924|SMO|WM|CPR01102|24 CONVENCIONAL</t>
  </si>
  <si>
    <t>CHIAPAS|A01 003 DONA NELLY|20260919|20260924|SMO|WM|CPR01102|24 CONVENCIONAL|1</t>
  </si>
  <si>
    <t>CHIAPAS|A01 003 DONA NELLY|20260919|20260921|CEDA|CEDA PISO|CPR01101|CEDA PISO PRODUCTORAS</t>
  </si>
  <si>
    <t>CHIAPAS|A01 003 DONA NELLY|20260919|20260921|CEDA|CEDA PISO|CPR01101|CEDA PISO PRODUCTORAS|1</t>
  </si>
  <si>
    <t>CHIAPAS|A01 003 DONA NELLY|20260919|20260921|CEDA|CEDA PISO|CSA04120|CEDA PISO PRODUCTORAS</t>
  </si>
  <si>
    <t>CHIAPAS|A01 003 DONA NELLY|20260919|20260921|CEDA|CEDA PISO|CSA04120|CEDA PISO PRODUCTORAS|1</t>
  </si>
  <si>
    <t>CHIAPAS|A01 003 DONA NELLY|20260919|20260921|CEDA|CEDA PISO|CMN05123|CEDA PISO PRODUCTORAS</t>
  </si>
  <si>
    <t>CHIAPAS|A01 003 DONA NELLY|20260919|20260921|CEDA|CEDA PISO|CMN05123|CEDA PISO PRODUCTORAS|1</t>
  </si>
  <si>
    <t>CHIAPAS|A01 003 DONA NELLY|20260919|20260921|CEDA|CEDA PISO|CDS04122|CEDA PISO PRODUCTORAS</t>
  </si>
  <si>
    <t>CHIAPAS|A01 003 DONA NELLY|20260919|20260921|CEDA|CEDA PISO|CDS04122|CEDA PISO PRODUCTORAS|1</t>
  </si>
  <si>
    <t>44419</t>
  </si>
  <si>
    <t>CHIAPAS|A01 001 MARBELLA|20260919|20260924|MCALLEN|CHANITOS INT|CPR01104|20 CONVENCIONAL F4-2</t>
  </si>
  <si>
    <t>CHIAPAS|A01 001 MARBELLA|20260919|20260924|MCALLEN|CHANITOS INT|CPR01104|20 CONVENCIONAL F4-2|1</t>
  </si>
  <si>
    <t>CHIAPAS|A01 001 MARBELLA|20260919|20260924|CEDA|CEDA AUTOSERVICIO|CPR01102|CEDA</t>
  </si>
  <si>
    <t>CHIAPAS|A01 001 MARBELLA|20260919|20260924|CEDA|CEDA AUTOSERVICIO|CPR01102|CEDA|1</t>
  </si>
  <si>
    <t>CHIAPAS|A01 001 MARBELLA|20260919|20260921|CEDA|CEDA PISO|CPR01101|CEDA PISO PRODUCTORAS</t>
  </si>
  <si>
    <t>CHIAPAS|A01 001 MARBELLA|20260919|20260921|CEDA|CEDA PISO|CPR01101|CEDA PISO PRODUCTORAS|1</t>
  </si>
  <si>
    <t>CHIAPAS|A01 001 MARBELLA|20260919|20260921|CEDA|CEDA PISO|CSA04120|CEDA PISO PRODUCTORAS</t>
  </si>
  <si>
    <t>CHIAPAS|A01 001 MARBELLA|20260919|20260921|CEDA|CEDA PISO|CSA04120|CEDA PISO PRODUCTORAS|1</t>
  </si>
  <si>
    <t>CHIAPAS|A01 001 MARBELLA|20260919|20260921|CEDA|CEDA PISO|CMN05123|CEDA PISO PRODUCTORAS</t>
  </si>
  <si>
    <t>CHIAPAS|A01 001 MARBELLA|20260919|20260921|CEDA|CEDA PISO|CMN05123|CEDA PISO PRODUCTORAS|1</t>
  </si>
  <si>
    <t>CHIAPAS|A01 001 MARBELLA|20260919|20260921|CEDA|CEDA PISO|CDS04122|CEDA PISO PRODUCTORAS</t>
  </si>
  <si>
    <t>CHIAPAS|A01 001 MARBELLA|20260919|20260921|CEDA|CEDA PISO|CDS04122|CEDA PISO PRODUCTORAS|1</t>
  </si>
  <si>
    <t>CHIAPAS|A04 039 SAN JOSE MORELIA NAVA|20260919|20260925|S-MTY|SMART|CPR01103|20 CONVENCIONAL SM4</t>
  </si>
  <si>
    <t>CHIAPAS|A04 039 SAN JOSE MORELIA NAVA|20260919|20260925|S-MTY|SMART|CPR01103|20 CONVENCIONAL SM4|1</t>
  </si>
  <si>
    <t>CHIAPAS|A04 039 SAN JOSE MORELIA NAVA|20260919|20260925|S-MTY|SMART|CPR01103|20 CONVENCIONAL SM3</t>
  </si>
  <si>
    <t>CHIAPAS|A04 039 SAN JOSE MORELIA NAVA|20260919|20260925|S-MTY|SMART|CPR01103|20 CONVENCIONAL SM3|1</t>
  </si>
  <si>
    <t>44418</t>
  </si>
  <si>
    <t>CHIAPAS|A04 083 SANTA MARIA|20260919|20260923|MCALLEN|CHANITOS INT|CPR01104|20 CONVENCIONAL F3-1</t>
  </si>
  <si>
    <t>CHIAPAS|A04 083 SANTA MARIA|20260919|20260923|MCALLEN|CHANITOS INT|CPR01104|20 CONVENCIONAL F3-1|1</t>
  </si>
  <si>
    <t>A04084-392109-1</t>
  </si>
  <si>
    <t>44552</t>
  </si>
  <si>
    <t>CHIAPAS|A04 084 LISBOA|20260921|20260925|MCALLEN|CHANITOS INT|CPR01104|20 CONVENCIONAL F1-1</t>
  </si>
  <si>
    <t>CHIAPAS|A04 084 LISBOA|20260921|20260925|MCALLEN|CHANITOS INT|CPR01104|20 CONVENCIONAL F1-1|1</t>
  </si>
  <si>
    <t>Programa Embarques 2026 S-39.xlsx</t>
  </si>
  <si>
    <t>44556</t>
  </si>
  <si>
    <t>A01001-392109-1</t>
  </si>
  <si>
    <t>44907</t>
  </si>
  <si>
    <t>CHIAPAS|A01 001 MARBELLA|20260921|20260925|QRO|WM|CPR01102|23 CONVENCIONAL Y 1 ORG</t>
  </si>
  <si>
    <t>CHIAPAS|A01 001 MARBELLA|20260921|20260925|QRO|WM|CPR01102|23 CONVENCIONAL Y 1 ORG|1</t>
  </si>
  <si>
    <t>CHIAPAS|A01 001 MARBELLA|20260921|20260923|CEDA|CEDA AUTOSERVICIO|CPR01102|CEDA</t>
  </si>
  <si>
    <t>CHIAPAS|A01 001 MARBELLA|20260921|20260923|CEDA|CEDA AUTOSERVICIO|CPR01102|CEDA|1</t>
  </si>
  <si>
    <t>CHIAPAS|A01 001 MARBELLA|20260921|20260923|CEDA|CEDA PISO|CPR01101|CEDA PISO PRODUCTORAS</t>
  </si>
  <si>
    <t>CHIAPAS|A01 001 MARBELLA|20260921|20260923|CEDA|CEDA PISO|CPR01101|CEDA PISO PRODUCTORAS|1</t>
  </si>
  <si>
    <t>A01001-392109-4</t>
  </si>
  <si>
    <t>CHIAPAS|A01 001 MARBELLA|20260921|20260923|CEDA|CEDA PISO|CSA04120|CEDA PISO PRODUCTORAS</t>
  </si>
  <si>
    <t>CHIAPAS|A01 001 MARBELLA|20260921|20260923|CEDA|CEDA PISO|CSA04120|CEDA PISO PRODUCTORAS|1</t>
  </si>
  <si>
    <t>A01001-392109-3</t>
  </si>
  <si>
    <t>CHIAPAS|A01 001 MARBELLA|20260921|20260923|CEDA|CEDA PISO|CMN05123|CEDA PISO PRODUCTORAS</t>
  </si>
  <si>
    <t>CHIAPAS|A01 001 MARBELLA|20260921|20260923|CEDA|CEDA PISO|CMN05123|CEDA PISO PRODUCTORAS|1</t>
  </si>
  <si>
    <t>CHIAPAS|A01 001 MARBELLA|20260921|20260923|CEDA|CEDA PISO|CDS04122|CEDA PISO PRODUCTORAS</t>
  </si>
  <si>
    <t>CHIAPAS|A01 001 MARBELLA|20260921|20260923|CEDA|CEDA PISO|CDS04122|CEDA PISO PRODUCTORAS|1</t>
  </si>
  <si>
    <t>A01002-392109-1</t>
  </si>
  <si>
    <t>CHIAPAS|A01 002 FORTALEZA|20260921|20260924|SMO|WM|CPR01102|24 CONVENCIONAL</t>
  </si>
  <si>
    <t>CHIAPAS|A01 002 FORTALEZA|20260921|20260924|SMO|WM|CPR01102|24 CONVENCIONAL|1</t>
  </si>
  <si>
    <t>44337</t>
  </si>
  <si>
    <t>CHIAPAS|A01 002 FORTALEZA|20260921|20260926|SMO|WM|CPR01102|24 CONVENCIONAL</t>
  </si>
  <si>
    <t>CHIAPAS|A01 002 FORTALEZA|20260921|20260926|SMO|WM|CPR01102|24 CONVENCIONAL|1</t>
  </si>
  <si>
    <t>CHIAPAS|A01 002 FORTALEZA|20260921|20260925|QRO|WM|CRG07128|23 CONVENCIONAL Y 1 ORG</t>
  </si>
  <si>
    <t>CHIAPAS|A01 002 FORTALEZA|20260921|20260925|QRO|WM|CRG07128|23 CONVENCIONAL Y 1 ORG|1</t>
  </si>
  <si>
    <t>45214</t>
  </si>
  <si>
    <t>CHIAPAS|A01 002 FORTALEZA|20260921|20260925|MTY|WM|CRG07128|23 CONVENCIONAL CON 5 CAJAS BAE Y 1 ORG</t>
  </si>
  <si>
    <t>CHIAPAS|A01 002 FORTALEZA|20260921|20260925|MTY|WM|CRG07128|23 CONVENCIONAL CON 5 CAJAS BAE Y 1 ORG|1</t>
  </si>
  <si>
    <t>45213</t>
  </si>
  <si>
    <t>CHIAPAS|A01 002 FORTALEZA|20260921|20260925|MTY|WM|CPR01114|23 CONVENCIONAL CON 5 CAJAS BAE Y 1 ORG</t>
  </si>
  <si>
    <t>CHIAPAS|A01 002 FORTALEZA|20260921|20260925|MTY|WM|CPR01114|23 CONVENCIONAL CON 5 CAJAS BAE Y 1 ORG|1</t>
  </si>
  <si>
    <t>CHIAPAS|A01 002 FORTALEZA|20260921|20260925|MTY|WM|CPR01102|23 CONVENCIONAL CON 5 CAJAS BAE Y 1 ORG</t>
  </si>
  <si>
    <t>CHIAPAS|A01 002 FORTALEZA|20260921|20260925|MTY|WM|CPR01102|23 CONVENCIONAL CON 5 CAJAS BAE Y 1 ORG|1</t>
  </si>
  <si>
    <t>CHIAPAS|A01 002 FORTALEZA|20260921|20260923|CEDA|CEDA AUTOSERVICIO|CPR01102|CEDA</t>
  </si>
  <si>
    <t>CHIAPAS|A01 002 FORTALEZA|20260921|20260923|CEDA|CEDA AUTOSERVICIO|CPR01102|CEDA|1</t>
  </si>
  <si>
    <t>CHIAPAS|A01 002 FORTALEZA|20260921|20260923|CEDA|CEDA PISO|CPR01101|CEDA PISO PRODUCTORAS</t>
  </si>
  <si>
    <t>CHIAPAS|A01 002 FORTALEZA|20260921|20260923|CEDA|CEDA PISO|CPR01101|CEDA PISO PRODUCTORAS|1</t>
  </si>
  <si>
    <t>A01002-392109-4</t>
  </si>
  <si>
    <t>CHIAPAS|A01 002 FORTALEZA|20260921|20260923|CEDA|CEDA PISO|CSA04120|CEDA PISO PRODUCTORAS</t>
  </si>
  <si>
    <t>CHIAPAS|A01 002 FORTALEZA|20260921|20260923|CEDA|CEDA PISO|CSA04120|CEDA PISO PRODUCTORAS|1</t>
  </si>
  <si>
    <t>A01002-392109-3</t>
  </si>
  <si>
    <t>CHIAPAS|A01 002 FORTALEZA|20260921|20260923|CEDA|CEDA PISO|CMN05123|CEDA PISO PRODUCTORAS</t>
  </si>
  <si>
    <t>CHIAPAS|A01 002 FORTALEZA|20260921|20260923|CEDA|CEDA PISO|CMN05123|CEDA PISO PRODUCTORAS|1</t>
  </si>
  <si>
    <t>A01002-392109-5</t>
  </si>
  <si>
    <t>CHIAPAS|A01 002 FORTALEZA|20260921|20260923|CEDA|CEDA PISO|CDS04122|CEDA PISO PRODUCTORAS</t>
  </si>
  <si>
    <t>CHIAPAS|A01 002 FORTALEZA|20260921|20260923|CEDA|CEDA PISO|CDS04122|CEDA PISO PRODUCTORAS|1</t>
  </si>
  <si>
    <t>A01004-392109-1</t>
  </si>
  <si>
    <t>CHIAPAS|A01 004 LA CEIBA|20260921|20260925|S-MTY|SMART|CPR01103|20 CONVENCIONAL SM3</t>
  </si>
  <si>
    <t>CHIAPAS|A01 004 LA CEIBA|20260921|20260925|S-MTY|SMART|CPR01103|20 CONVENCIONAL SM3|1</t>
  </si>
  <si>
    <t>CHIAPAS|A01 004 LA CEIBA|20260921|20260925|MTY|WM|CPR01102|23 CONVENCIONAL CON 5 CAJAS BAE Y 1 ORG</t>
  </si>
  <si>
    <t>CHIAPAS|A01 004 LA CEIBA|20260921|20260925|MTY|WM|CPR01102|23 CONVENCIONAL CON 5 CAJAS BAE Y 1 ORG|1</t>
  </si>
  <si>
    <t>CHIAPAS|A01 004 LA CEIBA|20260921|20260923|CEDA|CEDA PISO|CPR01101|CEDA PISO PRODUCTORAS</t>
  </si>
  <si>
    <t>CHIAPAS|A01 004 LA CEIBA|20260921|20260923|CEDA|CEDA PISO|CPR01101|CEDA PISO PRODUCTORAS|1</t>
  </si>
  <si>
    <t>A01004-392109-4</t>
  </si>
  <si>
    <t>CHIAPAS|A01 004 LA CEIBA|20260921|20260923|CEDA|CEDA PISO|CSA04120|CEDA PISO PRODUCTORAS</t>
  </si>
  <si>
    <t>CHIAPAS|A01 004 LA CEIBA|20260921|20260923|CEDA|CEDA PISO|CSA04120|CEDA PISO PRODUCTORAS|1</t>
  </si>
  <si>
    <t>A01004-392109-3</t>
  </si>
  <si>
    <t>CHIAPAS|A01 004 LA CEIBA|20260921|20260923|CEDA|CEDA PISO|CMN05123|CEDA PISO PRODUCTORAS</t>
  </si>
  <si>
    <t>CHIAPAS|A01 004 LA CEIBA|20260921|20260923|CEDA|CEDA PISO|CMN05123|CEDA PISO PRODUCTORAS|1</t>
  </si>
  <si>
    <t>A01004-392109-5</t>
  </si>
  <si>
    <t>CHIAPAS|A01 004 LA CEIBA|20260921|20260923|CEDA|CEDA PISO|CDS04122|CEDA PISO PRODUCTORAS</t>
  </si>
  <si>
    <t>CHIAPAS|A01 004 LA CEIBA|20260921|20260923|CEDA|CEDA PISO|CDS04122|CEDA PISO PRODUCTORAS|1</t>
  </si>
  <si>
    <t>A01003-392209-1</t>
  </si>
  <si>
    <t>44551</t>
  </si>
  <si>
    <t>CHIAPAS|A01 003 DONA NELLY|20260922|20260925|MCALLEN|CHANITOS INT|CPR01104|20 CONVENCIONAL F1-2</t>
  </si>
  <si>
    <t>CHIAPAS|A01 003 DONA NELLY|20260922|20260925|MCALLEN|CHANITOS INT|CPR01104|20 CONVENCIONAL F1-2|1</t>
  </si>
  <si>
    <t>CHIAPAS|A01 003 DONA NELLY|20260922|20260926|SMO|WM|CPR01102|24 CONVENCIONAL</t>
  </si>
  <si>
    <t>CHIAPAS|A01 003 DONA NELLY|20260922|20260926|SMO|WM|CPR01102|24 CONVENCIONAL|1</t>
  </si>
  <si>
    <t>CHIAPAS|A01 003 DONA NELLY|20260922|20260926|CEDA|CEDA AUTOSERVICIO|CPR01102|CEDA</t>
  </si>
  <si>
    <t>CHIAPAS|A01 003 DONA NELLY|20260922|20260926|CEDA|CEDA AUTOSERVICIO|CPR01102|CEDA|1</t>
  </si>
  <si>
    <t>CHIAPAS|A01 003 DONA NELLY|20260922|20260923|CEDA|CEDA PISO|CPR01101|CEDA PISO PRODUCTORAS</t>
  </si>
  <si>
    <t>CHIAPAS|A01 003 DONA NELLY|20260922|20260923|CEDA|CEDA PISO|CPR01101|CEDA PISO PRODUCTORAS|1</t>
  </si>
  <si>
    <t>A01003-392209-4</t>
  </si>
  <si>
    <t>CHIAPAS|A01 003 DONA NELLY|20260922|20260924|CEDA|CEDA PISO|CSA04120|CEDA PISO PRODUCTORAS</t>
  </si>
  <si>
    <t>CHIAPAS|A01 003 DONA NELLY|20260922|20260924|CEDA|CEDA PISO|CSA04120|CEDA PISO PRODUCTORAS|1</t>
  </si>
  <si>
    <t>A01003-392209-3</t>
  </si>
  <si>
    <t>CHIAPAS|A01 003 DONA NELLY|20260922|20260924|CEDA|CEDA PISO|CMN05123|CEDA PISO PRODUCTORAS</t>
  </si>
  <si>
    <t>CHIAPAS|A01 003 DONA NELLY|20260922|20260924|CEDA|CEDA PISO|CMN05123|CEDA PISO PRODUCTORAS|1</t>
  </si>
  <si>
    <t>A01003-392209-5</t>
  </si>
  <si>
    <t>CHIAPAS|A01 003 DONA NELLY|20260922|20260924|CEDA|CEDA PISO|CDS04122|CEDA PISO PRODUCTORAS</t>
  </si>
  <si>
    <t>CHIAPAS|A01 003 DONA NELLY|20260922|20260924|CEDA|CEDA PISO|CDS04122|CEDA PISO PRODUCTORAS|1</t>
  </si>
  <si>
    <t>A01002-392209-1</t>
  </si>
  <si>
    <t>CHIAPAS|A01 002 FORTALEZA|20260922|20260926|SMO|WM|CPR01102|24 CONVENCIONAL</t>
  </si>
  <si>
    <t>CHIAPAS|A01 002 FORTALEZA|20260922|20260926|SMO|WM|CPR01102|24 CONVENCIONAL|1</t>
  </si>
  <si>
    <t>41953</t>
  </si>
  <si>
    <t>CHIAPAS|A01 002 FORTALEZA|20260922|20260926|VSA|WM|CPR01102|19 CONVENCIONAL Y 5 ORG</t>
  </si>
  <si>
    <t>CHIAPAS|A01 002 FORTALEZA|20260922|20260926|VSA|WM|CPR01102|19 CONVENCIONAL Y 5 ORG|1</t>
  </si>
  <si>
    <t>43793</t>
  </si>
  <si>
    <t>CHIAPAS|A01 002 FORTALEZA|20260922|20260926|VSA|WM|CRG07128|19 CONVENCIONAL Y 5 ORG</t>
  </si>
  <si>
    <t>CHIAPAS|A01 002 FORTALEZA|20260922|20260926|VSA|WM|CRG07128|19 CONVENCIONAL Y 5 ORG|1</t>
  </si>
  <si>
    <t>A01002-392209-4</t>
  </si>
  <si>
    <t>CHIAPAS|A01 002 FORTALEZA|20260922|20260924|CEDA|CEDA PISO|CSA04120|CEDA PISO PRODUCTORAS</t>
  </si>
  <si>
    <t>CHIAPAS|A01 002 FORTALEZA|20260922|20260924|CEDA|CEDA PISO|CSA04120|CEDA PISO PRODUCTORAS|1</t>
  </si>
  <si>
    <t>A01002-392209-3</t>
  </si>
  <si>
    <t>CHIAPAS|A01 002 FORTALEZA|20260922|20260924|CEDA|CEDA PISO|CMN05123|CEDA PISO PRODUCTORAS</t>
  </si>
  <si>
    <t>CHIAPAS|A01 002 FORTALEZA|20260922|20260924|CEDA|CEDA PISO|CMN05123|CEDA PISO PRODUCTORAS|1</t>
  </si>
  <si>
    <t>A01002-392209-5</t>
  </si>
  <si>
    <t>CHIAPAS|A01 002 FORTALEZA|20260922|20260924|CEDA|CEDA PISO|CDS04122|CEDA PISO PRODUCTORAS</t>
  </si>
  <si>
    <t>CHIAPAS|A01 002 FORTALEZA|20260922|20260924|CEDA|CEDA PISO|CDS04122|CEDA PISO PRODUCTORAS|1</t>
  </si>
  <si>
    <t>A01001-392209-1</t>
  </si>
  <si>
    <t>45358</t>
  </si>
  <si>
    <t>CHIAPAS|A01 001 MARBELLA|20260922|20260925|JAPON|MAR|CPR03119|CP27-14 CP34-6</t>
  </si>
  <si>
    <t>CHIAPAS|A01 001 MARBELLA|20260922|20260925|JAPON|MAR|CPR03119|CP27-14 CP34-6|1</t>
  </si>
  <si>
    <t>CHIAPAS|A01 001 MARBELLA|20260922|20260925|JAPON|MAR|CPR03124|CP27-14 CP34-6</t>
  </si>
  <si>
    <t>CHIAPAS|A01 001 MARBELLA|20260922|20260925|JAPON|MAR|CPR03124|CP27-14 CP34-6|1</t>
  </si>
  <si>
    <t>CHIAPAS|A01 001 MARBELLA|20260922|20260927|VSA|WM|CPR01102|24 CONVENCIONAL</t>
  </si>
  <si>
    <t>CHIAPAS|A01 001 MARBELLA|20260922|20260927|VSA|WM|CPR01102|24 CONVENCIONAL|1</t>
  </si>
  <si>
    <t>CHIAPAS|A01 001 MARBELLA|20260922|20260923|CEDA|CEDA AUTOSERVICIO|CPR01102|CEDA</t>
  </si>
  <si>
    <t>CHIAPAS|A01 001 MARBELLA|20260922|20260923|CEDA|CEDA AUTOSERVICIO|CPR01102|CEDA|1</t>
  </si>
  <si>
    <t>CHIAPAS|A01 001 MARBELLA|20260922|20260923|CEDA|CEDA PISO|CPR01101|CEDA PISO PRODUCTORAS</t>
  </si>
  <si>
    <t>CHIAPAS|A01 001 MARBELLA|20260922|20260923|CEDA|CEDA PISO|CPR01101|CEDA PISO PRODUCTORAS|1</t>
  </si>
  <si>
    <t>A01001-392209-4</t>
  </si>
  <si>
    <t>CHIAPAS|A01 001 MARBELLA|20260922|20260924|CEDA|CEDA PISO|CSA04120|CEDA PISO PRODUCTORAS</t>
  </si>
  <si>
    <t>CHIAPAS|A01 001 MARBELLA|20260922|20260924|CEDA|CEDA PISO|CSA04120|CEDA PISO PRODUCTORAS|1</t>
  </si>
  <si>
    <t>A01001-392209-3</t>
  </si>
  <si>
    <t>CHIAPAS|A01 001 MARBELLA|20260922|20260924|CEDA|CEDA PISO|CMN05123|CEDA PISO PRODUCTORAS</t>
  </si>
  <si>
    <t>CHIAPAS|A01 001 MARBELLA|20260922|20260924|CEDA|CEDA PISO|CMN05123|CEDA PISO PRODUCTORAS|1</t>
  </si>
  <si>
    <t>A01001-392209-5</t>
  </si>
  <si>
    <t>CHIAPAS|A01 001 MARBELLA|20260922|20260924|CEDA|CEDA PISO|CDS04122|CEDA PISO PRODUCTORAS</t>
  </si>
  <si>
    <t>CHIAPAS|A01 001 MARBELLA|20260922|20260924|CEDA|CEDA PISO|CDS04122|CEDA PISO PRODUCTORAS|1</t>
  </si>
  <si>
    <t>A11045-392209-1</t>
  </si>
  <si>
    <t>45643</t>
  </si>
  <si>
    <t>CHIAPAS|A11 045 SECTOR MAZATAN|20260922|20260926|S-MTY|SMART|CPR01103|20 CONVENCIONAL SM1</t>
  </si>
  <si>
    <t>CHIAPAS|A11 045 SECTOR MAZATAN|20260922|20260926|S-MTY|SMART|CPR01103|20 CONVENCIONAL SM1|1</t>
  </si>
  <si>
    <t>43806</t>
  </si>
  <si>
    <t>A15063-392209-1</t>
  </si>
  <si>
    <t>A15 063 Zaragoza</t>
  </si>
  <si>
    <t>CHIAPAS|A15 063 ZARAGOZA|20260922|20260928|S-MTY|SMART|CPL08134|18 CONVENCIONAL Y 2 PLANTAIN</t>
  </si>
  <si>
    <t>CHIAPAS|A15 063 ZARAGOZA|20260922|20260928|S-MTY|SMART|CPL08134|18 CONVENCIONAL Y 2 PLANTAIN|1</t>
  </si>
  <si>
    <t>43271</t>
  </si>
  <si>
    <t>CHIAPAS|A15 063 ZARAGOZA|20260922|20260929|CIUDAD JUAREZ|SMART|CPL08134|17 CONVENCIONAL Y 3 PLANTAIN</t>
  </si>
  <si>
    <t>CHIAPAS|A15 063 ZARAGOZA|20260922|20260929|CIUDAD JUAREZ|SMART|CPL08134|17 CONVENCIONAL Y 3 PLANTAIN|1</t>
  </si>
  <si>
    <t>A04084-392209-1</t>
  </si>
  <si>
    <t>CHIAPAS|A04 084 LISBOA|20260922|20260926|MCALLEN|CHANITOS INT|CPR01104|20 CONVENCIONAL F3-1</t>
  </si>
  <si>
    <t>CHIAPAS|A04 084 LISBOA|20260922|20260926|MCALLEN|CHANITOS INT|CPR01104|20 CONVENCIONAL F3-1|1</t>
  </si>
  <si>
    <t>CHIAPAS|A04 084 LISBOA|20260922|20260929|MCALLEN|CHANITOS INT|CPR01104|20 CONVENCIONAL F4-1</t>
  </si>
  <si>
    <t>CHIAPAS|A04 084 LISBOA|20260922|20260929|MCALLEN|CHANITOS INT|CPR01104|20 CONVENCIONAL F4-1|1</t>
  </si>
  <si>
    <t>A04039-392209-1</t>
  </si>
  <si>
    <t>CHIAPAS|A04 039 SAN JOSE MORELIA NAVA|20260922|20260926|S-MTY|SMART|CPR01103|20 CONVENCIONAL SM2</t>
  </si>
  <si>
    <t>CHIAPAS|A04 039 SAN JOSE MORELIA NAVA|20260922|20260926|S-MTY|SMART|CPR01103|20 CONVENCIONAL SM2|1</t>
  </si>
  <si>
    <t>A04038-392309-1</t>
  </si>
  <si>
    <t>44554</t>
  </si>
  <si>
    <t>CHIAPAS|A04 038 EL TRIUNFO NAVA|20260923|20260926|MCALLEN|CHANITOS INT|CPR01104|20 CONVENCIONAL F3-2</t>
  </si>
  <si>
    <t>CHIAPAS|A04 038 EL TRIUNFO NAVA|20260923|20260926|MCALLEN|CHANITOS INT|CPR01104|20 CONVENCIONAL F3-2|1</t>
  </si>
  <si>
    <t>A04084-392309-1</t>
  </si>
  <si>
    <t>45031</t>
  </si>
  <si>
    <t>CHIAPAS|A04 084 LISBOA|20260923|20260929|MCALLEN|CHANITOS INT|CPR01104|20 CONVENCIONAL F4-1</t>
  </si>
  <si>
    <t>CHIAPAS|A04 084 LISBOA|20260923|20260929|MCALLEN|CHANITOS INT|CPR01104|20 CONVENCIONAL F4-1|1</t>
  </si>
  <si>
    <t>A11087-392309-1</t>
  </si>
  <si>
    <t>A11045-392309-1</t>
  </si>
  <si>
    <t>CHIAPAS|A11 045 SECTOR MAZATAN|20260923|20260928|S-MTY|SMART|CPR01103|18 CONVENCIONAL Y 2 PLANTAIN</t>
  </si>
  <si>
    <t>CHIAPAS|A11 045 SECTOR MAZATAN|20260923|20260928|S-MTY|SMART|CPR01103|18 CONVENCIONAL Y 2 PLANTAIN|1</t>
  </si>
  <si>
    <t>A15063-392309-1</t>
  </si>
  <si>
    <t>A01003-392309-1</t>
  </si>
  <si>
    <t>CHIAPAS|A01 003 DONA NELLY|20260923|20260929|CIUDAD JUAREZ|SMART|CPR01103|17 CONVENCIONAL Y 3 PLANTAIN</t>
  </si>
  <si>
    <t>CHIAPAS|A01 003 DONA NELLY|20260923|20260929|CIUDAD JUAREZ|SMART|CPR01103|17 CONVENCIONAL Y 3 PLANTAIN|1</t>
  </si>
  <si>
    <t>A04039-392309-1</t>
  </si>
  <si>
    <t>45098</t>
  </si>
  <si>
    <t>CHIAPAS|A01 003 DONA NELLY|20260923|20260928|SMO|WM|CPR01102|24 CONVENCIONAL</t>
  </si>
  <si>
    <t>CHIAPAS|A01 003 DONA NELLY|20260923|20260928|SMO|WM|CPR01102|24 CONVENCIONAL|1</t>
  </si>
  <si>
    <t>A01002-392309-1</t>
  </si>
  <si>
    <t>45094</t>
  </si>
  <si>
    <t>45277</t>
  </si>
  <si>
    <t>CHIAPAS|A01 002 FORTALEZA|20260923|20260928|CHALCO|WM|CPR01102|1074 CAJAS CONVENCIONAL Y 78 CAJAS BAE</t>
  </si>
  <si>
    <t>CHIAPAS|A01 002 FORTALEZA|20260923|20260928|CHALCO|WM|CPR01102|1074 CAJAS CONVENCIONAL Y 78 CAJAS BAE|1</t>
  </si>
  <si>
    <t>CHIAPAS|A01 002 FORTALEZA|20260923|20260928|CHALCO|WM|CPR01114|1074 CAJAS CONVENCIONAL Y 78 CAJAS BAE</t>
  </si>
  <si>
    <t>CHIAPAS|A01 002 FORTALEZA|20260923|20260928|CHALCO|WM|CPR01114|1074 CAJAS CONVENCIONAL Y 78 CAJAS BAE|1</t>
  </si>
  <si>
    <t>A01001-392309-1</t>
  </si>
  <si>
    <t>45089</t>
  </si>
  <si>
    <t>CHIAPAS|A01 001 MARBELLA|20260923|20260927|VSA|WM|CPR01102|24 CONVENCIONAL</t>
  </si>
  <si>
    <t>CHIAPAS|A01 001 MARBELLA|20260923|20260927|VSA|WM|CPR01102|24 CONVENCIONAL|1</t>
  </si>
  <si>
    <t>A01001-392409-1</t>
  </si>
  <si>
    <t>45202</t>
  </si>
  <si>
    <t>CHIAPAS|A01 001 MARBELLA|20260924|20260928|QRO|WM|CPR01102|22 CONVENCIONAL Y 2 ORG</t>
  </si>
  <si>
    <t>CHIAPAS|A01 001 MARBELLA|20260924|20260928|QRO|WM|CPR01102|22 CONVENCIONAL Y 2 ORG|1</t>
  </si>
  <si>
    <t>A01002-392409-1</t>
  </si>
  <si>
    <t>CHIAPAS|A01 002 FORTALEZA|20260924|20260928|CHALCO|WM|CPR01102|1074 CAJAS CONVENCIONAL Y 78 CAJAS BAE</t>
  </si>
  <si>
    <t>CHIAPAS|A01 002 FORTALEZA|20260924|20260928|CHALCO|WM|CPR01102|1074 CAJAS CONVENCIONAL Y 78 CAJAS BAE|1</t>
  </si>
  <si>
    <t>CHIAPAS|A01 002 FORTALEZA|20260924|20260928|QRO|WM|CRG07128|22 CONVENCIONAL Y 2 ORG</t>
  </si>
  <si>
    <t>CHIAPAS|A01 002 FORTALEZA|20260924|20260928|QRO|WM|CRG07128|22 CONVENCIONAL Y 2 ORG|1</t>
  </si>
  <si>
    <t>43794</t>
  </si>
  <si>
    <t>CHIAPAS|A01 002 FORTALEZA|20260924|20260928|VSA|WM|CRG07128|18 CONVENCIONAL Y 6 ORGANICO</t>
  </si>
  <si>
    <t>CHIAPAS|A01 002 FORTALEZA|20260924|20260928|VSA|WM|CRG07128|18 CONVENCIONAL Y 6 ORGANICO|1</t>
  </si>
  <si>
    <t>41954</t>
  </si>
  <si>
    <t>CHIAPAS|A01 002 FORTALEZA|20260924|20260928|VSA|WM|CPR01102|18 CONVENCIONAL Y 6 ORGANICO</t>
  </si>
  <si>
    <t>CHIAPAS|A01 002 FORTALEZA|20260924|20260928|VSA|WM|CPR01102|18 CONVENCIONAL Y 6 ORGANICO|1</t>
  </si>
  <si>
    <t>A01003-392409-1</t>
  </si>
  <si>
    <t>CHIAPAS|A01 003 DONA NELLY|20260924|20260928|SMO|WM|CPR01102|24 CONVENCIONAL</t>
  </si>
  <si>
    <t>CHIAPAS|A01 003 DONA NELLY|20260924|20260928|SMO|WM|CPR01102|24 CONVENCIONAL|1</t>
  </si>
  <si>
    <t>45030</t>
  </si>
  <si>
    <t>CHIAPAS|A01 003 DONA NELLY|20260924|20260929|MCALLEN|CHANITOS INT|CPR01104|20 CONVENCIONAL F4-2</t>
  </si>
  <si>
    <t>CHIAPAS|A01 003 DONA NELLY|20260924|20260929|MCALLEN|CHANITOS INT|CPR01104|20 CONVENCIONAL F4-2|1</t>
  </si>
  <si>
    <t>A06043-392409-1</t>
  </si>
  <si>
    <t>A04039-392409-1</t>
  </si>
  <si>
    <t>45612</t>
  </si>
  <si>
    <t>CHIAPAS|A04 039 SAN JOSE MORELIA NAVA|20260924|20260930|S-MTY|SMART|CPR01103|20 CONVENCIONAL SM4</t>
  </si>
  <si>
    <t>CHIAPAS|A04 039 SAN JOSE MORELIA NAVA|20260924|20260930|S-MTY|SMART|CPR01103|20 CONVENCIONAL SM4|1</t>
  </si>
  <si>
    <t>A04084-392409-1</t>
  </si>
  <si>
    <t>CHIAPAS|A04 084 LISBOA|20260924|20260930|MCALLEN|CHANITOS INT|CPR01104|20 CONVENCIONAL F5-1</t>
  </si>
  <si>
    <t>CHIAPAS|A04 084 LISBOA|20260924|20260930|MCALLEN|CHANITOS INT|CPR01104|20 CONVENCIONAL F5-1|1</t>
  </si>
  <si>
    <t>A41100-392409-1</t>
  </si>
  <si>
    <t>CHIAPAS|A41 100 DONA LUPE JV|20260924|20260927|CEDA|CEDA AUTOSERVICIO|CPL08134|CEDA PLANTAIN</t>
  </si>
  <si>
    <t>CHIAPAS|A41 100 DONA LUPE JV|20260924|20260927|CEDA|CEDA AUTOSERVICIO|CPL08134|CEDA PLANTAIN|1</t>
  </si>
  <si>
    <t>A04039-392509-1</t>
  </si>
  <si>
    <t>A27073-392509-1</t>
  </si>
  <si>
    <t>44426</t>
  </si>
  <si>
    <t>CHIAPAS|A27 073 PLANTACION|20260925|20260929|MCALLEN|CHANITOS INT|CPL08133|20 PLANTAIN</t>
  </si>
  <si>
    <t>CHIAPAS|A27 073 PLANTACION|20260925|20260929|MCALLEN|CHANITOS INT|CPL08133|20 PLANTAIN|1</t>
  </si>
  <si>
    <t>A06043-392509-1</t>
  </si>
  <si>
    <t>A01002-392509-1</t>
  </si>
  <si>
    <t>45203</t>
  </si>
  <si>
    <t>CHIAPAS|A01 002 FORTALEZA|20260925|20260930|QRO|WM|CPR01102|22 CONVENCIONAL Y 2 ORG</t>
  </si>
  <si>
    <t>CHIAPAS|A01 002 FORTALEZA|20260925|20260930|QRO|WM|CPR01102|22 CONVENCIONAL Y 2 ORG|1</t>
  </si>
  <si>
    <t>CHIAPAS|A01 002 FORTALEZA|20260925|20260930|QRO|WM|CRG07128|22 CONVENCIONAL Y 2 ORG</t>
  </si>
  <si>
    <t>CHIAPAS|A01 002 FORTALEZA|20260925|20260930|QRO|WM|CRG07128|22 CONVENCIONAL Y 2 ORG|1</t>
  </si>
  <si>
    <t>CHIAPAS|A01 002 FORTALEZA|20260925|20260928|VSA|WM|CPR01102|18 CONVENCIONAL Y 6 ORGANICO</t>
  </si>
  <si>
    <t>CHIAPAS|A01 002 FORTALEZA|20260925|20260928|VSA|WM|CPR01102|18 CONVENCIONAL Y 6 ORGANICO|1</t>
  </si>
  <si>
    <t>A01001-392609-1</t>
  </si>
  <si>
    <t>45278</t>
  </si>
  <si>
    <t>CHIAPAS|A01 001 MARBELLA|20260926|20260930|CHALCO|WM|CPR01102|1098 CAJAS CONVENCIONAL Y 54 CAJAS BAE</t>
  </si>
  <si>
    <t>CHIAPAS|A01 001 MARBELLA|20260926|20260930|CHALCO|WM|CPR01102|1098 CAJAS CONVENCIONAL Y 54 CAJAS BAE|1</t>
  </si>
  <si>
    <t>CHIAPAS|A01 001 MARBELLA|20260926|20260930|CHALCO|WM|CPR01114|1098 CAJAS CONVENCIONAL Y 54 CAJAS BAE</t>
  </si>
  <si>
    <t>CHIAPAS|A01 001 MARBELLA|20260926|20260930|CHALCO|WM|CPR01114|1098 CAJAS CONVENCIONAL Y 54 CAJAS BAE|1</t>
  </si>
  <si>
    <t>A01002-392609-1</t>
  </si>
  <si>
    <t>45101</t>
  </si>
  <si>
    <t>45034</t>
  </si>
  <si>
    <t>45032</t>
  </si>
  <si>
    <t>CHIAPAS|A01 002 FORTALEZA|20260921|20260923|CEDA|CEDA PISO|CMN05123|CEDA PISO PRODUCTORAS|2</t>
  </si>
  <si>
    <t>CHIAPAS|A01 002 FORTALEZA|20260922|20260926|SMO|WM|CPR01102|24 CONVENCIONAL|2</t>
  </si>
  <si>
    <t>CHIAPAS|A15 063 ZARAGOZA|20260922|20260923|CEDA|CEDA AUTOSERVICIO|CPL08141|CEDA PLANTAIN</t>
  </si>
  <si>
    <t>CHIAPAS|A15 063 ZARAGOZA|20260922|20260923|CEDA|CEDA AUTOSERVICIO|CPL08141|CEDA PLANTAIN|1</t>
  </si>
  <si>
    <t>CHIAPAS|A15 063 ZARAGOZA|20260923|20260923|CEDA|CEDA AUTOSERVICIO|CPL08141|CEDA PLANTAIN</t>
  </si>
  <si>
    <t>CHIAPAS|A15 063 ZARAGOZA|20260923|20260923|CEDA|CEDA AUTOSERVICIO|CPL08141|CEDA PLANTAIN|1</t>
  </si>
  <si>
    <t>CHIAPAS|A01 003 DONA NELLY|20260923|20260927|CEDA|CEDA PISO|CPR01101|CEDA PISO PRODUCTORAS</t>
  </si>
  <si>
    <t>CHIAPAS|A01 003 DONA NELLY|20260923|20260927|CEDA|CEDA PISO|CPR01101|CEDA PISO PRODUCTORAS|1</t>
  </si>
  <si>
    <t>CHIAPAS|A01 002 FORTALEZA|20260923|20260926|SMO|WM|CPR01102|24 CONVENCIONAL</t>
  </si>
  <si>
    <t>CHIAPAS|A01 002 FORTALEZA|20260923|20260926|SMO|WM|CPR01102|24 CONVENCIONAL|1</t>
  </si>
  <si>
    <t>CHIAPAS|A01 002 FORTALEZA|20260923|20260927|CEDA|CEDA AUTOSERVICIO|CPR01102|CEDA</t>
  </si>
  <si>
    <t>CHIAPAS|A01 002 FORTALEZA|20260923|20260927|CEDA|CEDA AUTOSERVICIO|CPR01102|CEDA|1</t>
  </si>
  <si>
    <t>CHIAPAS|A01 002 FORTALEZA|20260923|20260927|CEDA|CEDA PISO|CPR01101|CEDA PISO PRODUCTORAS</t>
  </si>
  <si>
    <t>CHIAPAS|A01 002 FORTALEZA|20260923|20260927|CEDA|CEDA PISO|CPR01101|CEDA PISO PRODUCTORAS|1</t>
  </si>
  <si>
    <t>CHIAPAS|A01 001 MARBELLA|20260923|20260927|CEDA|CEDA AUTOSERVICIO|CPR01102|CEDA</t>
  </si>
  <si>
    <t>CHIAPAS|A01 001 MARBELLA|20260923|20260927|CEDA|CEDA AUTOSERVICIO|CPR01102|CEDA|1</t>
  </si>
  <si>
    <t>CHIAPAS|A01 001 MARBELLA|20260923|20260927|CEDA|CEDA PISO|CPR01101|CEDA PISO PRODUCTORAS</t>
  </si>
  <si>
    <t>CHIAPAS|A01 001 MARBELLA|20260923|20260927|CEDA|CEDA PISO|CPR01101|CEDA PISO PRODUCTORAS|1</t>
  </si>
  <si>
    <t>CHIAPAS|A01 001 MARBELLA|20260924|20260928|CEDA|CEDA AUTOSERVICIO|CPR01102|CEDA</t>
  </si>
  <si>
    <t>CHIAPAS|A01 001 MARBELLA|20260924|20260928|CEDA|CEDA AUTOSERVICIO|CPR01102|CEDA|1</t>
  </si>
  <si>
    <t>CHIAPAS|A01 003 DONA NELLY|20260924|20260928|CEDA|CEDA AUTOSERVICIO|CPR01102|CEDA</t>
  </si>
  <si>
    <t>CHIAPAS|A01 003 DONA NELLY|20260924|20260928|CEDA|CEDA AUTOSERVICIO|CPR01102|CEDA|1</t>
  </si>
  <si>
    <t>A01001-392509-1</t>
  </si>
  <si>
    <t>CHIAPAS|A01 001 MARBELLA|20260925|20260929|SMO|WM|CPR01102|24 CONVENCIONAL ADICIONAL</t>
  </si>
  <si>
    <t>CHIAPAS|A01 001 MARBELLA|20260925|20260929|SMO|WM|CPR01102|24 CONVENCIONAL ADICIONAL|1</t>
  </si>
  <si>
    <t>CHIAPAS|A01 001 MARBELLA|20260924|20260928|CEDA|CEDA PISO|CPR01101|CEDA PISO PRODUCTORAS</t>
  </si>
  <si>
    <t>CHIAPAS|A01 001 MARBELLA|20260924|20260928|CEDA|CEDA PISO|CPR01101|CEDA PISO PRODUCTORAS|1</t>
  </si>
  <si>
    <t>CHIAPAS|A01 002 FORTALEZA|20260924|20260928|CEDA|CEDA PISO|CPR01101|CEDA PISO PRODUCTORAS</t>
  </si>
  <si>
    <t>CHIAPAS|A01 002 FORTALEZA|20260924|20260928|CEDA|CEDA PISO|CPR01101|CEDA PISO PRODUCTORAS|1</t>
  </si>
  <si>
    <t>CHIAPAS|A01 003 DONA NELLY|20260924|20260928|CEDA|CEDA PISO|CPR01101|CEDA PISO PRODUCTORAS</t>
  </si>
  <si>
    <t>CHIAPAS|A01 003 DONA NELLY|20260924|20260928|CEDA|CEDA PISO|CPR01101|CEDA PISO PRODUCTORAS|1</t>
  </si>
  <si>
    <t>CHIAPAS|A06 043 NUESTRA SENORA|20260924|20261001|MCALLEN|CHANITOS INT|CPR01104|</t>
  </si>
  <si>
    <t>CHIAPAS|A06 043 NUESTRA SENORA|20260924|20261001|MCALLEN|CHANITOS INT|CPR01104||1</t>
  </si>
  <si>
    <t>CHIAPAS|A06 043 NUESTRA SENORA|20260925|20261001|MCALLEN|CHANITOS INT|CPR01104|</t>
  </si>
  <si>
    <t>CHIAPAS|A06 043 NUESTRA SENORA|20260925|20261001|MCALLEN|CHANITOS INT|CPR01104||1</t>
  </si>
  <si>
    <t>46037</t>
  </si>
  <si>
    <t>A01004-392509-1</t>
  </si>
  <si>
    <t>CHIAPAS|A01 004 LA CEIBA|20260925|20260930|SMO|WM|CPR01102|24 CONVENCIONAL</t>
  </si>
  <si>
    <t>CHIAPAS|A01 004 LA CEIBA|20260925|20260930|SMO|WM|CPR01102|24 CONVENCIONAL|1</t>
  </si>
  <si>
    <t>45280</t>
  </si>
  <si>
    <t>A01003-392609-1</t>
  </si>
  <si>
    <t>43272</t>
  </si>
  <si>
    <t>A12057-392609-1</t>
  </si>
  <si>
    <t>A35082-392609-1</t>
  </si>
  <si>
    <t>CHIAPAS|A35 082 EMPAQUE DE MACHO EJ LIBERTAD|20260926|20261003|CIUDAD JUAREZ|SMART|CPL08134|</t>
  </si>
  <si>
    <t>CHIAPAS|A35 082 EMPAQUE DE MACHO EJ LIBERTAD|20260926|20261003|CIUDAD JUAREZ|SMART|CPL08134||1</t>
  </si>
  <si>
    <t>43807</t>
  </si>
  <si>
    <t>CHIAPAS|A04 084 LISBOA|20260921|20260925|MCALLEN|CHANITOS INT|CPR01104|20 CONVENCIONAL F1-1|2</t>
  </si>
  <si>
    <t>CHIAPAS|A01 004 LA CEIBA|20260921|20260925|MCALLEN|CHANITOS INT|CPR01104|20 CONVENCIONAL F1-2</t>
  </si>
  <si>
    <t>CHIAPAS|A01 004 LA CEIBA|20260921|20260925|MCALLEN|CHANITOS INT|CPR01104|20 CONVENCIONAL F1-2|1</t>
  </si>
  <si>
    <t>CHIAPAS|A01 003 DONA NELLY|20260922|20260926|MCALLEN|CHANITOS INT|CPR01104|20 CONVENCIONAL F3-1</t>
  </si>
  <si>
    <t>CHIAPAS|A01 003 DONA NELLY|20260922|20260926|MCALLEN|CHANITOS INT|CPR01104|20 CONVENCIONAL F3-1|1</t>
  </si>
  <si>
    <t>CHIAPAS|A11 045 SECTOR MAZATAN|20260922|20260929|CIUDAD JUAREZ|SMART|CPR01103|17 CONVENCIONAL Y 3 PLANTAIN</t>
  </si>
  <si>
    <t>CHIAPAS|A11 045 SECTOR MAZATAN|20260922|20260929|CIUDAD JUAREZ|SMART|CPR01103|17 CONVENCIONAL Y 3 PLANTAIN|1</t>
  </si>
  <si>
    <t>CHIAPAS|A04 084 LISBOA|20260922|20260925|MCALLEN|CHANITOS INT|CPR01104|20 CONVENCIONAL F1-1</t>
  </si>
  <si>
    <t>CHIAPAS|A04 084 LISBOA|20260922|20260925|MCALLEN|CHANITOS INT|CPR01104|20 CONVENCIONAL F1-1|1</t>
  </si>
  <si>
    <t>CHIAPAS|A04 039 SAN JOSE MORELIA NAVA|20260922|20260928|S-MTY|SMART|CPR01103|18 CONVENCIONAL Y 2 PLANTAIN</t>
  </si>
  <si>
    <t>CHIAPAS|A04 039 SAN JOSE MORELIA NAVA|20260922|20260928|S-MTY|SMART|CPR01103|18 CONVENCIONAL Y 2 PLANTAIN|1</t>
  </si>
  <si>
    <t>CHIAPAS|A04 084 LISBOA|20260923|20260930|MCALLEN|CHANITOS INT|CPR01104|20 CONVENCIONAL F5-1</t>
  </si>
  <si>
    <t>CHIAPAS|A04 084 LISBOA|20260923|20260930|MCALLEN|CHANITOS INT|CPR01104|20 CONVENCIONAL F5-1|1</t>
  </si>
  <si>
    <t>CHIAPAS|A11 087 19 DE ABRIL|20260923|20260929|CIUDAD JUAREZ|SMART|CPR01103|17 CONVENCIONAL Y 3 PLANTAIN</t>
  </si>
  <si>
    <t>CHIAPAS|A11 087 19 DE ABRIL|20260923|20260929|CIUDAD JUAREZ|SMART|CPR01103|17 CONVENCIONAL Y 3 PLANTAIN|1</t>
  </si>
  <si>
    <t>CHIAPAS|A04 039 SAN JOSE MORELIA NAVA|20260923|20260928|S-MTY|SMART|CPR01103|18 CONVENCIONAL Y 2 PLANTAIN</t>
  </si>
  <si>
    <t>CHIAPAS|A04 039 SAN JOSE MORELIA NAVA|20260923|20260928|S-MTY|SMART|CPR01103|18 CONVENCIONAL Y 2 PLANTAIN|1</t>
  </si>
  <si>
    <t>Sin OV compatible con fecha, cliente, CEDIS, SKU, zona y cantidad</t>
  </si>
  <si>
    <t>CHIAPAS|A04 039 SAN JOSE MORELIA NAVA|20260923|20260930||SMART|CPR01103|17 CONVENCIONAL Y 3 PLANTAIN</t>
  </si>
  <si>
    <t>CHIAPAS|A04 039 SAN JOSE MORELIA NAVA|20260923|20260930||SMART|CPR01103|17 CONVENCIONAL Y 3 PLANTAIN|1</t>
  </si>
  <si>
    <t>CHIAPAS|A04 039 SAN JOSE MORELIA NAVA|20260923|20260928|S-MTY|SMART|CPR01103|20 CONVENCIONAL SM3</t>
  </si>
  <si>
    <t>CHIAPAS|A04 039 SAN JOSE MORELIA NAVA|20260923|20260928|S-MTY|SMART|CPR01103|20 CONVENCIONAL SM3|1</t>
  </si>
  <si>
    <t>CHIAPAS|A04 039 SAN JOSE MORELIA NAVA|20260923|20260930|S-MTY|SMART|CPR01103|20 CONVENCIONAL SM4</t>
  </si>
  <si>
    <t>CHIAPAS|A04 039 SAN JOSE MORELIA NAVA|20260923|20260930|S-MTY|SMART|CPR01103|20 CONVENCIONAL SM4|1</t>
  </si>
  <si>
    <t>CHIAPAS|A01 003 DONA NELLY|20260923|20260929|CIUDAD JUAREZ|SMART|CPR01103|20 CONVENCIONAL SCJ1</t>
  </si>
  <si>
    <t>CHIAPAS|A01 003 DONA NELLY|20260923|20260929|CIUDAD JUAREZ|SMART|CPR01103|20 CONVENCIONAL SCJ1|1</t>
  </si>
  <si>
    <t>CHIAPAS|A06 043 NUESTRA SENORA|20260924|20260929|MCALLEN|CHANITOS INT|CPR01104|20 CONVENCIONAL F4-1</t>
  </si>
  <si>
    <t>CHIAPAS|A06 043 NUESTRA SENORA|20260924|20260929|MCALLEN|CHANITOS INT|CPR01104|20 CONVENCIONAL F4-1|1</t>
  </si>
  <si>
    <t>CHIAPAS|A04 039 SAN JOSE MORELIA NAVA|20260924|20260930|S-MTY|SMART|CPR01103|20 CONVENCIONAL SM5</t>
  </si>
  <si>
    <t>CHIAPAS|A04 039 SAN JOSE MORELIA NAVA|20260924|20260930|S-MTY|SMART|CPR01103|20 CONVENCIONAL SM5|1</t>
  </si>
  <si>
    <t>CHIAPAS|A04 039 SAN JOSE MORELIA NAVA|20260925|20260930|S-MTY|SMART|CPR01103|20 CONVENCIONAL SM5</t>
  </si>
  <si>
    <t>CHIAPAS|A04 039 SAN JOSE MORELIA NAVA|20260925|20260930|S-MTY|SMART|CPR01103|20 CONVENCIONAL SM5|1</t>
  </si>
  <si>
    <t>CHIAPAS|A01 001 MARBELLA|20260925|20260928|CEDA|CEDA PISO|CPR01101|CEDA PISO PRODUCTORAS</t>
  </si>
  <si>
    <t>CHIAPAS|A01 001 MARBELLA|20260925|20260928|CEDA|CEDA PISO|CPR01101|CEDA PISO PRODUCTORAS|1</t>
  </si>
  <si>
    <t>CHIAPAS|A01 004 LA CEIBA|20260925|20261001|CHALCO|WM|CPR01102|1092 CAJAS CONV Y 60CAJAS BAE</t>
  </si>
  <si>
    <t>CHIAPAS|A01 004 LA CEIBA|20260925|20261001|CHALCO|WM|CPR01102|1092 CAJAS CONV Y 60CAJAS BAE|1</t>
  </si>
  <si>
    <t>CHIAPAS|A01 004 LA CEIBA|20260925|20260928|CEDA|CEDA PISO|CPR01101|CEDA PISO PRODUCTORAS</t>
  </si>
  <si>
    <t>CHIAPAS|A01 004 LA CEIBA|20260925|20260928|CEDA|CEDA PISO|CPR01101|CEDA PISO PRODUCTORAS|1</t>
  </si>
  <si>
    <t>CHIAPAS|A01 002 FORTALEZA|20260925|20260928|CEDA|CEDA PISO|CPR01101|CEDA PISO PRODUCTORAS</t>
  </si>
  <si>
    <t>CHIAPAS|A01 002 FORTALEZA|20260925|20260928|CEDA|CEDA PISO|CPR01101|CEDA PISO PRODUCTORAS|1</t>
  </si>
  <si>
    <t>CHIAPAS|A01 003 DONA NELLY|20260926|20261001|CHALCO|WM|CPR01102|1092 CAJAS CONV Y 60CAJAS BAE</t>
  </si>
  <si>
    <t>CHIAPAS|A01 003 DONA NELLY|20260926|20261001|CHALCO|WM|CPR01102|1092 CAJAS CONV Y 60CAJAS BAE|1</t>
  </si>
  <si>
    <t>CHIAPAS|A01 003 DONA NELLY|20260926|20261002|CIUDAD JUAREZ|SMART|CPR01103|20 CONVENCIONAL SCJ2</t>
  </si>
  <si>
    <t>CHIAPAS|A01 003 DONA NELLY|20260926|20261002|CIUDAD JUAREZ|SMART|CPR01103|20 CONVENCIONAL SCJ2|1</t>
  </si>
  <si>
    <t>CHIAPAS|A01 002 FORTALEZA|20260926|20260930|QRO|WM|CPR01102|22 CONVENCIONAL Y 2 ORG</t>
  </si>
  <si>
    <t>CHIAPAS|A01 002 FORTALEZA|20260926|20260930|QRO|WM|CPR01102|22 CONVENCIONAL Y 2 ORG|1</t>
  </si>
  <si>
    <t>CHIAPAS|A01 002 FORTALEZA|20260926|20261002|CIUDAD JUAREZ|SMART|CPR01103|20 CONVENCIONAL SCJ3</t>
  </si>
  <si>
    <t>CHIAPAS|A01 002 FORTALEZA|20260926|20261002|CIUDAD JUAREZ|SMART|CPR01103|20 CONVENCIONAL SCJ3|1</t>
  </si>
  <si>
    <t>CHIAPAS|A01 002 FORTALEZA|20260926|20261001|CHALCO|WM|CPR01102|1092 CAJAS CONV Y 60CAJAS BAE</t>
  </si>
  <si>
    <t>CHIAPAS|A01 002 FORTALEZA|20260926|20261001|CHALCO|WM|CPR01102|1092 CAJAS CONV Y 60CAJAS BAE|1</t>
  </si>
  <si>
    <t>A04083-392609-</t>
  </si>
  <si>
    <t>CHIAPAS|A04 083 SANTA MARIA|20260926|20261001|S-MTY|SMART|CPR01103|20 CONVENCIONAL SM6</t>
  </si>
  <si>
    <t>CHIAPAS|A04 083 SANTA MARIA|20260926|20261001|S-MTY|SMART|CPR01103|20 CONVENCIONAL SM6|1</t>
  </si>
  <si>
    <t>CHIAPAS|A12 057 TIQUISATE 1|20260926|20261001|S-MTY|SMART|CPR01103|20 CONVENCIONAL SM7</t>
  </si>
  <si>
    <t>CHIAPAS|A12 057 TIQUISATE 1|20260926|20261001|S-MTY|SMART|CPR01103|20 CONVENCIONAL SM7|1</t>
  </si>
  <si>
    <t>A04083-402809-1</t>
  </si>
  <si>
    <t>Programa Embarques 2026 S-40.xlsx</t>
  </si>
  <si>
    <t>A04084-402809-1</t>
  </si>
  <si>
    <t>A01003-402809-1</t>
  </si>
  <si>
    <t>A01002-402809-1</t>
  </si>
  <si>
    <t>A01003-402909-1</t>
  </si>
  <si>
    <t>A01002-402909-1</t>
  </si>
  <si>
    <t>A04084-402909-1</t>
  </si>
  <si>
    <t>A01001-402909-1</t>
  </si>
  <si>
    <t>A12057-402909-1</t>
  </si>
  <si>
    <t>A04039-402909-1</t>
  </si>
  <si>
    <t>A04084-403009-1</t>
  </si>
  <si>
    <t>A01002-403009-1</t>
  </si>
  <si>
    <t>A01002-400110-1</t>
  </si>
  <si>
    <t>A01002-400310-1</t>
  </si>
  <si>
    <t>A35082-402809-1</t>
  </si>
  <si>
    <t>PR00001</t>
  </si>
  <si>
    <t>A01001-402809-1</t>
  </si>
  <si>
    <t>A04039-403009-1</t>
  </si>
  <si>
    <t>A01001-403009-1</t>
  </si>
  <si>
    <t>A41100-400110-1</t>
  </si>
  <si>
    <t>A04039-400110-1</t>
  </si>
  <si>
    <t>A04084-400210-1</t>
  </si>
  <si>
    <t>A27073-400210-1</t>
  </si>
  <si>
    <t>A01002-400210-1</t>
  </si>
  <si>
    <t>A01001-400310-1</t>
  </si>
  <si>
    <t>CHIAPAS|A04 083 SANTA MARIA|20260928|20261001|S-MTY|SMART|CPR01103|20 CONVENCIONAL SM1</t>
  </si>
  <si>
    <t>CHIAPAS|A04 083 SANTA MARIA|20260928|20261001|S-MTY|SMART|CPR01103|20 CONVENCIONAL SM1|1</t>
  </si>
  <si>
    <t>CHIAPAS|A01 002 FORTALEZA|20260928|20261001|S-MTY|SMART|CPR01103|20 CONVENCIONAL SM1</t>
  </si>
  <si>
    <t>CHIAPAS|A01 002 FORTALEZA|20260928|20261001|S-MTY|SMART|CPR01103|20 CONVENCIONAL SM1|1</t>
  </si>
  <si>
    <t>CHIAPAS|A04 084 LISBOA|20260928|20261001|MCALLEN|CHANITOS INT|CPR01104|</t>
  </si>
  <si>
    <t>CHIAPAS|A04 084 LISBOA|20260928|20261001|MCALLEN|CHANITOS INT|CPR01104||1</t>
  </si>
  <si>
    <t>CHIAPAS|A01 003 DONA NELLY|20260928|20261003|CIUDAD JUAREZ|SMART|CPR01103|20 CONVENCIONAL SCJ1</t>
  </si>
  <si>
    <t>CHIAPAS|A01 003 DONA NELLY|20260928|20261003|CIUDAD JUAREZ|SMART|CPR01103|20 CONVENCIONAL SCJ1|1</t>
  </si>
  <si>
    <t>CHIAPAS|A01 003 DONA NELLY|20260928|20261001|VSA|WM|CPR01102|19 CONVENCIONAL Y 5 ORG</t>
  </si>
  <si>
    <t>CHIAPAS|A01 003 DONA NELLY|20260928|20261001|VSA|WM|CPR01102|19 CONVENCIONAL Y 5 ORG|1</t>
  </si>
  <si>
    <t>CHIAPAS|A35 082 EMPAQUE DE MACHO EJ LIBERTAD|20260928|20261003|CIUDAD JUAREZ|SMART|CPL08134|17 CONVENCIONAL Y 3 PLANTAIN</t>
  </si>
  <si>
    <t>CHIAPAS|A35 082 EMPAQUE DE MACHO EJ LIBERTAD|20260928|20261003|CIUDAD JUAREZ|SMART|CPL08134|17 CONVENCIONAL Y 3 PLANTAIN|1</t>
  </si>
  <si>
    <t>CHIAPAS|A35 082 EMPAQUE DE MACHO EJ LIBERTAD|20260928|20261001|CEDA|CEDA AUTOSERVICIO|CPL08141|CEDA PLANTAIN</t>
  </si>
  <si>
    <t>CHIAPAS|A35 082 EMPAQUE DE MACHO EJ LIBERTAD|20260928|20261001|CEDA|CEDA AUTOSERVICIO|CPL08141|CEDA PLANTAIN|1</t>
  </si>
  <si>
    <t>CHIAPAS|A01 001 MARBELLA|20260928|20261001|CHIQUITA|CHIQUITA|PR00001|CHIQUITA</t>
  </si>
  <si>
    <t>CHIAPAS|A01 001 MARBELLA|20260928|20261001|CHIQUITA|CHIQUITA|PR00001|CHIQUITA|1</t>
  </si>
  <si>
    <t>CHIAPAS|A01 001 MARBELLA|20260928|20261001|CEDA|CEDA PISO|CPR01101|CEDA</t>
  </si>
  <si>
    <t>CHIAPAS|A01 001 MARBELLA|20260928|20261001|CEDA|CEDA PISO|CPR01101|CEDA|1</t>
  </si>
  <si>
    <t>CHIAPAS|A01 002 FORTALEZA|20260928|20261003|CIUDAD JUAREZ|SMART|CPR01103|17 CONVENCIONAL Y 3 PLANTAIN</t>
  </si>
  <si>
    <t>CHIAPAS|A01 002 FORTALEZA|20260928|20261003|CIUDAD JUAREZ|SMART|CPR01103|17 CONVENCIONAL Y 3 PLANTAIN|1</t>
  </si>
  <si>
    <t>CHIAPAS|A01 002 FORTALEZA|20260928|20261001|CHALCO|WM|CPR01102|1092 CAJAS CONV Y 60CAJAS BAE</t>
  </si>
  <si>
    <t>CHIAPAS|A01 002 FORTALEZA|20260928|20261001|CHALCO|WM|CPR01102|1092 CAJAS CONV Y 60CAJAS BAE|1</t>
  </si>
  <si>
    <t>CHIAPAS|A01 002 FORTALEZA|20260928|20261001|CHALCO|WM|CPR01114|1092 CAJAS CONV Y 60CAJAS BAE</t>
  </si>
  <si>
    <t>CHIAPAS|A01 002 FORTALEZA|20260928|20261001|CHALCO|WM|CPR01114|1092 CAJAS CONV Y 60CAJAS BAE|1</t>
  </si>
  <si>
    <t>CHIAPAS|A01 003 DONA NELLY|20260929|20261001|VSA|WM|CPR01102|19 CONVENCIONAL Y 5 ORG</t>
  </si>
  <si>
    <t>CHIAPAS|A01 003 DONA NELLY|20260929|20261001|VSA|WM|CPR01102|19 CONVENCIONAL Y 5 ORG|1</t>
  </si>
  <si>
    <t>CHIAPAS|A01 003 DONA NELLY|20260929|20261002|MCALLEN|CHANITOS INT|CPR01104|20 CONVENCIONAL F2-1</t>
  </si>
  <si>
    <t>CHIAPAS|A01 003 DONA NELLY|20260929|20261002|MCALLEN|CHANITOS INT|CPR01104|20 CONVENCIONAL F2-1|1</t>
  </si>
  <si>
    <t>CHIAPAS|A01 003 DONA NELLY|20260929|20261001|CEDA|CEDA AUTOSERVICIO|CPR01102|CEDA</t>
  </si>
  <si>
    <t>CHIAPAS|A01 003 DONA NELLY|20260929|20261001|CEDA|CEDA AUTOSERVICIO|CPR01102|CEDA|1</t>
  </si>
  <si>
    <t>CHIAPAS|A01 002 FORTALEZA|20260929|20261001|VSA|WM|CRG07128|19 CONVENCIONAL Y 5 ORG</t>
  </si>
  <si>
    <t>CHIAPAS|A01 002 FORTALEZA|20260929|20261001|VSA|WM|CRG07128|19 CONVENCIONAL Y 5 ORG|1</t>
  </si>
  <si>
    <t>CHIAPAS|A01 002 FORTALEZA|20260929|20261001|CEDA|CEDA AUTOSERVICIO|CPR01102|CEDA</t>
  </si>
  <si>
    <t>CHIAPAS|A01 002 FORTALEZA|20260929|20261001|CEDA|CEDA AUTOSERVICIO|CPR01102|CEDA|1</t>
  </si>
  <si>
    <t>CHIAPAS|A04 084 LISBOA|20260929|20261003|MCALLEN|CHANITOS INT|CPR01104|20 CONVENCIONAL F3-1</t>
  </si>
  <si>
    <t>CHIAPAS|A04 084 LISBOA|20260929|20261003|MCALLEN|CHANITOS INT|CPR01104|20 CONVENCIONAL F3-1|1</t>
  </si>
  <si>
    <t>CHIAPAS|A01 001 MARBELLA|20260929|20261003|JAPON|MAR|CPR03119|CP27-14 CP34-6</t>
  </si>
  <si>
    <t>CHIAPAS|A01 001 MARBELLA|20260929|20261003|JAPON|MAR|CPR03119|CP27-14 CP34-6|1</t>
  </si>
  <si>
    <t>CHIAPAS|A01 001 MARBELLA|20260929|20261003|JAPON|MAR|CPR03124|CP27-14 CP34-6</t>
  </si>
  <si>
    <t>CHIAPAS|A01 001 MARBELLA|20260929|20261003|JAPON|MAR|CPR03124|CP27-14 CP34-6|1</t>
  </si>
  <si>
    <t>CHIAPAS|A01 001 MARBELLA|20260929|20261001|CEDA|CEDA PISO|CPR01101|CEDA</t>
  </si>
  <si>
    <t>CHIAPAS|A01 001 MARBELLA|20260929|20261001|CEDA|CEDA PISO|CPR01101|CEDA|1</t>
  </si>
  <si>
    <t>CHIAPAS|A12 057 TIQUISATE 1|20260929|20261005|CIUDAD JUAREZ|SMART|CPR01103|24 CONVENCIONAL</t>
  </si>
  <si>
    <t>CHIAPAS|A12 057 TIQUISATE 1|20260929|20261005|CIUDAD JUAREZ|SMART|CPR01103|24 CONVENCIONAL|1</t>
  </si>
  <si>
    <t>CHIAPAS|A04 039 SAN JOSE MORELIA NAVA|20260929|20261005|CIUDAD JUAREZ|SMART|CPR01103|24 CONVENCIONAL</t>
  </si>
  <si>
    <t>CHIAPAS|A04 039 SAN JOSE MORELIA NAVA|20260929|20261005|CIUDAD JUAREZ|SMART|CPR01103|24 CONVENCIONAL|1</t>
  </si>
  <si>
    <t>CHIAPAS|A04 084 LISBOA|20260930|20261003|MCALLEN|CHANITOS INT|CPR01104|20 CONVENCIONAL F3-1</t>
  </si>
  <si>
    <t>CHIAPAS|A04 084 LISBOA|20260930|20261003|MCALLEN|CHANITOS INT|CPR01104|20 CONVENCIONAL F3-1|1</t>
  </si>
  <si>
    <t>CHIAPAS|A04 084 LISBOA|20260930|20261003|VSA|WM|CPR01102|19 CONVENCIONAL Y 5 ORG</t>
  </si>
  <si>
    <t>CHIAPAS|A04 084 LISBOA|20260930|20261003|VSA|WM|CPR01102|19 CONVENCIONAL Y 5 ORG|1</t>
  </si>
  <si>
    <t>CHIAPAS|A04 039 SAN JOSE MORELIA NAVA|20260930|20261007|CIUDAD JUAREZ|SMART|CPR01103|20 CONVENCIONAL SCJ1</t>
  </si>
  <si>
    <t>CHIAPAS|A04 039 SAN JOSE MORELIA NAVA|20260930|20261007|CIUDAD JUAREZ|SMART|CPR01103|20 CONVENCIONAL SCJ1|1</t>
  </si>
  <si>
    <t>CHIAPAS|A04 039 SAN JOSE MORELIA NAVA|20260930|20261005|MCALLEN|CHANITOS INT|CPR01104|20 CONVENCIONAL F4-1</t>
  </si>
  <si>
    <t>CHIAPAS|A04 039 SAN JOSE MORELIA NAVA|20260930|20261005|MCALLEN|CHANITOS INT|CPR01104|20 CONVENCIONAL F4-1|1</t>
  </si>
  <si>
    <t>CHIAPAS|A01 001 MARBELLA|20260930|20261003|VSA|WM|CPR01102|19 CONVENCIONAL Y 5 ORG</t>
  </si>
  <si>
    <t>CHIAPAS|A01 001 MARBELLA|20260930|20261003|VSA|WM|CPR01102|19 CONVENCIONAL Y 5 ORG|1</t>
  </si>
  <si>
    <t>CHIAPAS|A01 001 MARBELLA|20260930|20261005|MCALLEN|CHANITOS INT|CPR01104|20 CONVENCIONAL F3-2</t>
  </si>
  <si>
    <t>CHIAPAS|A01 001 MARBELLA|20260930|20261005|MCALLEN|CHANITOS INT|CPR01104|20 CONVENCIONAL F3-2|1</t>
  </si>
  <si>
    <t>CHIAPAS|A01 002 FORTALEZA|20260930|20261003|VSA|WM|CRG07128|19 CONVENCIONAL Y 5 ORG</t>
  </si>
  <si>
    <t>CHIAPAS|A01 002 FORTALEZA|20260930|20261003|VSA|WM|CRG07128|19 CONVENCIONAL Y 5 ORG|1</t>
  </si>
  <si>
    <t>CHIAPAS|A41 100 DONA LUPE JV|20261001|20261003|CEDA|CEDA AUTOSERVICIO|CPL08141|CEDA PLANTAIN</t>
  </si>
  <si>
    <t>CHIAPAS|A41 100 DONA LUPE JV|20261001|20261003|CEDA|CEDA AUTOSERVICIO|CPL08141|CEDA PLANTAIN|1</t>
  </si>
  <si>
    <t>CHIAPAS|A04 039 SAN JOSE MORELIA NAVA|20261001|20261005|MCALLEN|CHANITOS INT|CPR01104|20 CONVENCIONAL F4-1</t>
  </si>
  <si>
    <t>CHIAPAS|A04 039 SAN JOSE MORELIA NAVA|20261001|20261005|MCALLEN|CHANITOS INT|CPR01104|20 CONVENCIONAL F4-1|1</t>
  </si>
  <si>
    <t>CHIAPAS|A41 100 DONA LUPE JV|20261001|20261007|CIUDAD JUAREZ|SMART|CPL08134|17 CONVENCIONAL Y 3 PLANTAIN</t>
  </si>
  <si>
    <t>CHIAPAS|A41 100 DONA LUPE JV|20261001|20261007|CIUDAD JUAREZ|SMART|CPL08134|17 CONVENCIONAL Y 3 PLANTAIN|1</t>
  </si>
  <si>
    <t>CHIAPAS|A04 039 SAN JOSE MORELIA NAVA|20261001|20261006|MCALLEN|CHANITOS INT|CPR01104|20 CONVENCIONAL F5-1</t>
  </si>
  <si>
    <t>CHIAPAS|A04 039 SAN JOSE MORELIA NAVA|20261001|20261006|MCALLEN|CHANITOS INT|CPR01104|20 CONVENCIONAL F5-1|1</t>
  </si>
  <si>
    <t>CHIAPAS|A01 002 FORTALEZA|20261001|20261005|CHALCO|WM|CPR01114|22 CONVENCIONAL Y 96 CAJAS BAE</t>
  </si>
  <si>
    <t>CHIAPAS|A01 002 FORTALEZA|20261001|20261005|CHALCO|WM|CPR01114|22 CONVENCIONAL Y 96 CAJAS BAE|1</t>
  </si>
  <si>
    <t>CHIAPAS|A01 002 FORTALEZA|20261001|20261005|QRO|WM|CPR01102|22 CONVENCIONAL Y 2 ORG</t>
  </si>
  <si>
    <t>CHIAPAS|A01 002 FORTALEZA|20261001|20261005|QRO|WM|CPR01102|22 CONVENCIONAL Y 2 ORG|1</t>
  </si>
  <si>
    <t>CHIAPAS|A01 002 FORTALEZA|20261001|20261005|QRO|WM|CRG07128|22 CONVENCIONAL Y 2 ORG</t>
  </si>
  <si>
    <t>CHIAPAS|A01 002 FORTALEZA|20261001|20261005|QRO|WM|CRG07128|22 CONVENCIONAL Y 2 ORG|1</t>
  </si>
  <si>
    <t>CHIAPAS|A01 002 FORTALEZA|20261001|20261005|VSA|WM|CRG07128|18 CONVENCIONAL Y 6 ORGANICO</t>
  </si>
  <si>
    <t>CHIAPAS|A01 002 FORTALEZA|20261001|20261005|VSA|WM|CRG07128|18 CONVENCIONAL Y 6 ORGANICO|1</t>
  </si>
  <si>
    <t>CHIAPAS|A04 084 LISBOA|20261002|20261006|MCALLEN|CHANITOS INT|CPR01104|20 CONVENCIONAL F4-2</t>
  </si>
  <si>
    <t>CHIAPAS|A04 084 LISBOA|20261002|20261006|MCALLEN|CHANITOS INT|CPR01104|20 CONVENCIONAL F4-2|1</t>
  </si>
  <si>
    <t>CHIAPAS|A27 073 PLANTACION|20261002|20261006|MCALLEN|CHANITOS INT|CPL08133|20 PLANTAIN</t>
  </si>
  <si>
    <t>CHIAPAS|A27 073 PLANTACION|20261002|20261006|MCALLEN|CHANITOS INT|CPL08133|20 PLANTAIN|1</t>
  </si>
  <si>
    <t>CHIAPAS|A01 002 FORTALEZA|20261002|20261006|CHALCO|WM|CPR01102|19 CONVENCIONAL</t>
  </si>
  <si>
    <t>CHIAPAS|A01 002 FORTALEZA|20261002|20261006|CHALCO|WM|CPR01102|19 CONVENCIONAL|1</t>
  </si>
  <si>
    <t>CHIAPAS|A01 001 MARBELLA|20261003|20261007|MCALLEN|CHANITOS INT|CPR01104|20 CONVENCIONAL F5-2</t>
  </si>
  <si>
    <t>CHIAPAS|A01 001 MARBELLA|20261003|20261007|MCALLEN|CHANITOS INT|CPR01104|20 CONVENCIONAL F5-2|1</t>
  </si>
  <si>
    <t>CHIAPAS|A01 002 FORTALEZA|20261003|20261008|VSA|WM|CPR01102|19 CONVENCIONAL Y 5 ORG</t>
  </si>
  <si>
    <t>CHIAPAS|A01 002 FORTALEZA|20261003|20261008|VSA|WM|CPR01102|19 CONVENCIONAL Y 5 ORG|1</t>
  </si>
  <si>
    <t>CHIAPAS|A01 002 FORTALEZA|20261003|20261008|VSA|WM|CRG07128|19 CONVENCIONAL Y 5 ORG</t>
  </si>
  <si>
    <t>CHIAPAS|A01 002 FORTALEZA|20261003|20261008|VSA|WM|CRG07128|19 CONVENCIONAL Y 5 ORG|1</t>
  </si>
  <si>
    <t>CHIAPAS|A01 002 FORTALEZA|20261003|20261007|QRO|WM|CRG07128|22 CONVENCIONAL Y 2 ORG</t>
  </si>
  <si>
    <t>CHIAPAS|A01 002 FORTALEZA|20261003|20261007|QRO|WM|CRG07128|22 CONVENCIONAL Y 2 ORG|1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</si>
</sst>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d\ dd/mm/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9"/>
      <color rgb="FF00206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9"/>
      <color rgb="FF002060"/>
      <name val="Aptos Narrow"/>
      <family val="2"/>
      <scheme val="minor"/>
    </font>
    <font>
      <sz val="7"/>
      <color rgb="FF1F1F1F"/>
      <name val="Arial"/>
      <family val="2"/>
    </font>
    <font>
      <sz val="9"/>
      <name val="Arial"/>
      <family val="2"/>
    </font>
    <font>
      <sz val="11"/>
      <color rgb="FF1F1F1F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A3E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FF0000"/>
      </bottom>
      <diagonal/>
    </border>
    <border>
      <left/>
      <right/>
      <top/>
      <bottom style="thick">
        <color rgb="FFEE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91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1" applyNumberFormat="1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164" fontId="2" fillId="3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20" fontId="0" fillId="0" borderId="0" xfId="0" applyNumberFormat="1"/>
    <xf numFmtId="0" fontId="0" fillId="6" borderId="2" xfId="0" applyFill="1" applyBorder="1"/>
    <xf numFmtId="0" fontId="0" fillId="0" borderId="2" xfId="0" applyBorder="1"/>
    <xf numFmtId="20" fontId="0" fillId="0" borderId="2" xfId="0" applyNumberFormat="1" applyBorder="1"/>
    <xf numFmtId="0" fontId="0" fillId="0" borderId="2" xfId="0" applyBorder="1" applyAlignment="1">
      <alignment horizontal="center"/>
    </xf>
    <xf numFmtId="0" fontId="2" fillId="8" borderId="0" xfId="0" applyFont="1" applyFill="1"/>
    <xf numFmtId="0" fontId="0" fillId="9" borderId="0" xfId="0" applyFill="1"/>
    <xf numFmtId="0" fontId="0" fillId="0" borderId="3" xfId="0" applyBorder="1"/>
    <xf numFmtId="0" fontId="5" fillId="7" borderId="0" xfId="0" applyFont="1" applyFill="1" applyAlignment="1">
      <alignment horizontal="left" vertical="center"/>
    </xf>
    <xf numFmtId="0" fontId="0" fillId="10" borderId="0" xfId="0" applyFill="1"/>
    <xf numFmtId="0" fontId="0" fillId="7" borderId="0" xfId="0" applyFill="1"/>
    <xf numFmtId="0" fontId="0" fillId="5" borderId="0" xfId="0" applyFill="1"/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left" vertical="center"/>
    </xf>
    <xf numFmtId="0" fontId="2" fillId="11" borderId="0" xfId="0" applyFont="1" applyFill="1" applyAlignment="1">
      <alignment horizontal="center"/>
    </xf>
    <xf numFmtId="0" fontId="7" fillId="11" borderId="0" xfId="0" applyFont="1" applyFill="1" applyAlignment="1">
      <alignment horizontal="left"/>
    </xf>
    <xf numFmtId="0" fontId="2" fillId="11" borderId="0" xfId="0" applyFont="1" applyFill="1" applyAlignment="1">
      <alignment horizontal="left" wrapText="1"/>
    </xf>
    <xf numFmtId="0" fontId="2" fillId="11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7" borderId="0" xfId="0" applyFill="1" applyAlignment="1">
      <alignment horizontal="left"/>
    </xf>
    <xf numFmtId="0" fontId="6" fillId="0" borderId="0" xfId="2" applyAlignment="1">
      <alignment horizontal="left" vertical="center"/>
    </xf>
    <xf numFmtId="0" fontId="0" fillId="9" borderId="0" xfId="0" applyFill="1" applyAlignment="1">
      <alignment horizontal="left"/>
    </xf>
    <xf numFmtId="0" fontId="8" fillId="9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6" fillId="0" borderId="0" xfId="2" applyBorder="1" applyAlignment="1">
      <alignment horizontal="left" vertical="center"/>
    </xf>
    <xf numFmtId="0" fontId="10" fillId="0" borderId="0" xfId="0" applyFont="1" applyAlignment="1">
      <alignment horizontal="left"/>
    </xf>
    <xf numFmtId="0" fontId="0" fillId="0" borderId="3" xfId="0" applyBorder="1" applyAlignment="1">
      <alignment horizontal="left"/>
    </xf>
    <xf numFmtId="0" fontId="8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6" fillId="0" borderId="3" xfId="2" applyBorder="1" applyAlignment="1">
      <alignment horizontal="left" vertical="center"/>
    </xf>
    <xf numFmtId="164" fontId="0" fillId="0" borderId="0" xfId="1" applyNumberFormat="1" applyFont="1" applyAlignment="1">
      <alignment horizontal="left"/>
    </xf>
    <xf numFmtId="0" fontId="0" fillId="0" borderId="0" xfId="0" quotePrefix="1" applyAlignment="1">
      <alignment horizontal="left"/>
    </xf>
    <xf numFmtId="0" fontId="11" fillId="0" borderId="0" xfId="0" applyFont="1"/>
    <xf numFmtId="0" fontId="0" fillId="7" borderId="0" xfId="0" quotePrefix="1" applyFill="1" applyAlignment="1">
      <alignment horizontal="left"/>
    </xf>
    <xf numFmtId="0" fontId="8" fillId="7" borderId="0" xfId="0" applyFont="1" applyFill="1" applyAlignment="1">
      <alignment horizontal="left" vertical="center"/>
    </xf>
    <xf numFmtId="0" fontId="0" fillId="10" borderId="0" xfId="0" applyFill="1" applyAlignment="1">
      <alignment horizontal="left"/>
    </xf>
    <xf numFmtId="0" fontId="8" fillId="10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6" fillId="0" borderId="0" xfId="2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12" fillId="0" borderId="0" xfId="0" applyFont="1" applyAlignment="1">
      <alignment horizontal="left" wrapText="1"/>
    </xf>
    <xf numFmtId="0" fontId="4" fillId="3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left"/>
    </xf>
    <xf numFmtId="0" fontId="13" fillId="0" borderId="0" xfId="0" applyFont="1"/>
    <xf numFmtId="0" fontId="8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/>
    </xf>
    <xf numFmtId="0" fontId="6" fillId="9" borderId="0" xfId="2" applyFill="1" applyAlignment="1">
      <alignment horizontal="left" vertical="center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5" fillId="7" borderId="0" xfId="0" applyFont="1" applyFill="1" applyAlignment="1">
      <alignment horizontal="left"/>
    </xf>
    <xf numFmtId="0" fontId="4" fillId="14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0" fontId="14" fillId="7" borderId="0" xfId="0" applyFont="1" applyFill="1" applyAlignment="1">
      <alignment horizontal="left" vertical="center"/>
    </xf>
    <xf numFmtId="0" fontId="6" fillId="7" borderId="0" xfId="2" applyFill="1" applyAlignment="1">
      <alignment horizontal="left" vertical="center"/>
    </xf>
    <xf numFmtId="0" fontId="16" fillId="0" borderId="2" xfId="0" applyFont="1" applyBorder="1" applyAlignment="1">
      <alignment horizontal="center"/>
    </xf>
    <xf numFmtId="0" fontId="8" fillId="7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0" fontId="15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2" applyBorder="1" applyAlignment="1">
      <alignment horizontal="left"/>
    </xf>
    <xf numFmtId="0" fontId="6" fillId="0" borderId="0" xfId="2" applyAlignment="1">
      <alignment horizontal="left"/>
    </xf>
    <xf numFmtId="0" fontId="4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3" fillId="15" borderId="0" xfId="0" applyNumberFormat="1" applyFont="1" applyFill="1" applyAlignment="1">
      <alignment horizontal="center" vertical="center"/>
    </xf>
    <xf numFmtId="165" fontId="3" fillId="16" borderId="0" xfId="0" applyNumberFormat="1" applyFont="1" applyFill="1" applyAlignment="1">
      <alignment horizontal="center" vertical="center"/>
    </xf>
    <xf numFmtId="165" fontId="3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4" fontId="0" fillId="0" borderId="0" xfId="0" applyNumberFormat="1"/>
    <xf numFmtId="43" fontId="0" fillId="0" borderId="0" xfId="1" applyFont="1"/>
  </cellXfs>
  <cellStyles count="3">
    <cellStyle name="Hipervínculo" xfId="2" builtinId="8"/>
    <cellStyle name="Millares" xfId="1" builtinId="3"/>
    <cellStyle name="Normal" xfId="0" builtinId="0"/>
  </cellStyles>
  <dxfs count="13">
    <dxf>
      <numFmt numFmtId="19" formatCode="dd/mm/yyyy"/>
    </dxf>
    <dxf>
      <numFmt numFmtId="19" formatCode="dd/mm/yyyy"/>
    </dxf>
    <dxf>
      <fill>
        <patternFill>
          <bgColor theme="0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3D04D21-4398-45CA-94CF-BAAFA44258EF}" autoFormatId="16" applyNumberFormats="0" applyBorderFormats="0" applyFontFormats="0" applyPatternFormats="0" applyAlignmentFormats="0" applyWidthHeightFormats="0">
  <queryTableRefresh nextId="15">
    <queryTableFields count="14">
      <queryTableField id="1" name="Descripción" tableColumnId="1"/>
      <queryTableField id="2" name="SKU" tableColumnId="2"/>
      <queryTableField id="3" name="Lote" tableColumnId="3"/>
      <queryTableField id="4" name="Finca" tableColumnId="4"/>
      <queryTableField id="5" name="Destino" tableColumnId="5"/>
      <queryTableField id="6" name="Cantidad" tableColumnId="6"/>
      <queryTableField id="7" name="Pallets" tableColumnId="7"/>
      <queryTableField id="8" name="Fecha de proceso" tableColumnId="8"/>
      <queryTableField id="9" name="FECHA CITA" tableColumnId="9"/>
      <queryTableField id="10" name="OV OM" tableColumnId="10"/>
      <queryTableField id="11" name="Llave_Base_Consulta" tableColumnId="11"/>
      <queryTableField id="12" name="Ocurrencia_Consulta" tableColumnId="12"/>
      <queryTableField id="13" name="Llave_Embarque_Consulta" tableColumnId="13"/>
      <queryTableField id="14" name="Archivo_Orige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90090C-2E49-4C44-BDA9-F6E9A26B679C}" name="Consulta1" displayName="Consulta1" ref="A1:N4260" tableType="queryTable" totalsRowShown="0">
  <autoFilter ref="A1:N4260" xr:uid="{0090090C-2E49-4C44-BDA9-F6E9A26B679C}">
    <filterColumn colId="13">
      <filters>
        <filter val="Programa Embarques 2026 S-39.xlsx"/>
        <filter val="Programa Embarques 2026 S-40.xlsx"/>
      </filters>
    </filterColumn>
  </autoFilter>
  <tableColumns count="14">
    <tableColumn id="1" xr3:uid="{573211DF-D79B-4DC3-955B-BC5044D40968}" uniqueName="1" name="Descripción" queryTableFieldId="1" dataDxfId="12"/>
    <tableColumn id="2" xr3:uid="{627BAAB7-F089-4E75-893F-A49E7396C4C0}" uniqueName="2" name="SKU" queryTableFieldId="2" dataDxfId="11"/>
    <tableColumn id="3" xr3:uid="{5B422603-C2AB-4023-8033-96A8B38A3A14}" uniqueName="3" name="Lote" queryTableFieldId="3" dataDxfId="10"/>
    <tableColumn id="4" xr3:uid="{C57D9F86-99EB-47B2-B52C-E73E551A52B1}" uniqueName="4" name="Finca" queryTableFieldId="4" dataDxfId="9"/>
    <tableColumn id="5" xr3:uid="{596F6FFB-7070-44BC-86C7-3BB1F52C8D18}" uniqueName="5" name="Destino" queryTableFieldId="5" dataDxfId="8"/>
    <tableColumn id="6" xr3:uid="{9A887862-ECA6-451D-8C55-8BDE25A87031}" uniqueName="6" name="Cantidad" queryTableFieldId="6"/>
    <tableColumn id="7" xr3:uid="{EF641E86-2956-4988-B2B0-548029D78776}" uniqueName="7" name="Pallets" queryTableFieldId="7"/>
    <tableColumn id="8" xr3:uid="{B4F5A299-07A9-4CB5-BB44-F5904B59A5F0}" uniqueName="8" name="Fecha de proceso" queryTableFieldId="8" dataDxfId="1"/>
    <tableColumn id="9" xr3:uid="{16F17CAF-7830-4731-9110-7F8AAF8CE4EA}" uniqueName="9" name="FECHA CITA" queryTableFieldId="9" dataDxfId="0"/>
    <tableColumn id="10" xr3:uid="{35111373-83DF-4A78-976B-909039E8D959}" uniqueName="10" name="OV OM" queryTableFieldId="10" dataDxfId="7"/>
    <tableColumn id="11" xr3:uid="{D2C4E823-35EC-44DE-AD65-F3174B5B03FE}" uniqueName="11" name="Llave_Base_Consulta" queryTableFieldId="11" dataDxfId="6"/>
    <tableColumn id="12" xr3:uid="{2423958D-5C82-434B-B749-B8438E36AE0E}" uniqueName="12" name="Ocurrencia_Consulta" queryTableFieldId="12"/>
    <tableColumn id="13" xr3:uid="{4A8FA1C2-4107-49B0-820A-E310DEAA0877}" uniqueName="13" name="Llave_Embarque_Consulta" queryTableFieldId="13" dataDxfId="5"/>
    <tableColumn id="14" xr3:uid="{722DBB40-652B-4A96-8448-3AECE4106F1C}" uniqueName="14" name="Archivo_Origen" queryTableFieldId="14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7735D3-4CB6-41FF-BD5B-CFB75B4521F8}">
  <we:reference id="29673e3c-d826-4f00-92ee-162334a52b1a" version="1.0.0.8" store="EXCatalog" storeType="EXCatalog"/>
  <we:alternateReferences>
    <we:reference id="WA200009404" version="1.0.0.8" store="es-ES" storeType="OMEX"/>
  </we:alternateReferences>
  <we:properties>
    <we:property name="claude.fileId" value="&quot;ecdb9add-9160-415c-b97a-55945f34936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4sHPwmnAxxLbsqtQ6" TargetMode="External"/><Relationship Id="rId21" Type="http://schemas.openxmlformats.org/officeDocument/2006/relationships/hyperlink" Target="https://goo.gl/maps/ZfYCbsRGBJhm13mr6" TargetMode="External"/><Relationship Id="rId42" Type="http://schemas.openxmlformats.org/officeDocument/2006/relationships/hyperlink" Target="https://goo.gl/maps/PTjiNga8TkWKQ5ANA" TargetMode="External"/><Relationship Id="rId47" Type="http://schemas.openxmlformats.org/officeDocument/2006/relationships/hyperlink" Target="https://goo.gl/maps/QqHfzP5USaXt4oFm6" TargetMode="External"/><Relationship Id="rId63" Type="http://schemas.openxmlformats.org/officeDocument/2006/relationships/hyperlink" Target="https://goo.gl/maps/bqehwq2po61ugXeJA" TargetMode="External"/><Relationship Id="rId68" Type="http://schemas.openxmlformats.org/officeDocument/2006/relationships/hyperlink" Target="https://maps.app.goo.gl/UWoTXNrLhnG4FYEc6" TargetMode="External"/><Relationship Id="rId84" Type="http://schemas.openxmlformats.org/officeDocument/2006/relationships/hyperlink" Target="https://maps.app.goo.gl/DDMePiTmPAKABt1A7" TargetMode="External"/><Relationship Id="rId89" Type="http://schemas.openxmlformats.org/officeDocument/2006/relationships/hyperlink" Target="https://maps.app.goo.gl/LtdLmn58WSHGP2LM9" TargetMode="External"/><Relationship Id="rId112" Type="http://schemas.openxmlformats.org/officeDocument/2006/relationships/hyperlink" Target="https://maps.app.goo.gl/rZRh7UwzskXU4r2L6" TargetMode="External"/><Relationship Id="rId16" Type="http://schemas.openxmlformats.org/officeDocument/2006/relationships/hyperlink" Target="https://goo.gl/maps/8zH9SEAJF3Bp1PAz9" TargetMode="External"/><Relationship Id="rId107" Type="http://schemas.openxmlformats.org/officeDocument/2006/relationships/hyperlink" Target="https://maps.app.goo.gl/EQR4UG9PCH85DrfU7" TargetMode="External"/><Relationship Id="rId11" Type="http://schemas.openxmlformats.org/officeDocument/2006/relationships/hyperlink" Target="https://goo.gl/maps/xTd632Tk6bUJDZDv5" TargetMode="External"/><Relationship Id="rId32" Type="http://schemas.openxmlformats.org/officeDocument/2006/relationships/hyperlink" Target="https://goo.gl/maps/j2iMYbYmkfqLxxYo9" TargetMode="External"/><Relationship Id="rId37" Type="http://schemas.openxmlformats.org/officeDocument/2006/relationships/hyperlink" Target="https://goo.gl/maps/gGd8TGPRhwRBEgwD7" TargetMode="External"/><Relationship Id="rId53" Type="http://schemas.openxmlformats.org/officeDocument/2006/relationships/hyperlink" Target="https://goo.gl/maps/JXCSzYAeFFVLY2eHA" TargetMode="External"/><Relationship Id="rId58" Type="http://schemas.openxmlformats.org/officeDocument/2006/relationships/hyperlink" Target="https://goo.gl/maps/4aw6M19uK4XBNera9" TargetMode="External"/><Relationship Id="rId74" Type="http://schemas.openxmlformats.org/officeDocument/2006/relationships/hyperlink" Target="https://goo.gl/maps/CvFaYPvnLH9yyzhQ9" TargetMode="External"/><Relationship Id="rId79" Type="http://schemas.openxmlformats.org/officeDocument/2006/relationships/hyperlink" Target="https://goo.gl/maps/pAQAncpMWYxAaPEk9" TargetMode="External"/><Relationship Id="rId102" Type="http://schemas.openxmlformats.org/officeDocument/2006/relationships/hyperlink" Target="https://maps.app.goo.gl/mrVBFwNMwr7MCfko6" TargetMode="External"/><Relationship Id="rId123" Type="http://schemas.openxmlformats.org/officeDocument/2006/relationships/hyperlink" Target="https://maps.app.goo.gl/qxZsy9j3rKLx6DhVA" TargetMode="External"/><Relationship Id="rId128" Type="http://schemas.openxmlformats.org/officeDocument/2006/relationships/hyperlink" Target="https://maps.app.goo.gl/MBFz6arwPm2vjgxh9" TargetMode="External"/><Relationship Id="rId5" Type="http://schemas.openxmlformats.org/officeDocument/2006/relationships/hyperlink" Target="https://goo.gl/maps/FRyoYUTxMLVmWMFq8" TargetMode="External"/><Relationship Id="rId90" Type="http://schemas.openxmlformats.org/officeDocument/2006/relationships/hyperlink" Target="https://maps.app.goo.gl/66hiErXAhFC4DmZSA" TargetMode="External"/><Relationship Id="rId95" Type="http://schemas.openxmlformats.org/officeDocument/2006/relationships/hyperlink" Target="https://maps.app.goo.gl/wRou1iKEnd5szNcX7" TargetMode="External"/><Relationship Id="rId22" Type="http://schemas.openxmlformats.org/officeDocument/2006/relationships/hyperlink" Target="https://goo.gl/maps/pAjrPJ5ehDdu2VLT9" TargetMode="External"/><Relationship Id="rId27" Type="http://schemas.openxmlformats.org/officeDocument/2006/relationships/hyperlink" Target="https://goo.gl/maps/hrrPGiy3fJjXt1BWA" TargetMode="External"/><Relationship Id="rId43" Type="http://schemas.openxmlformats.org/officeDocument/2006/relationships/hyperlink" Target="https://goo.gl/maps/BPNhgU1iNC3toZbN7" TargetMode="External"/><Relationship Id="rId48" Type="http://schemas.openxmlformats.org/officeDocument/2006/relationships/hyperlink" Target="https://goo.gl/maps/1UXRFoCcWiB3qDty8" TargetMode="External"/><Relationship Id="rId64" Type="http://schemas.openxmlformats.org/officeDocument/2006/relationships/hyperlink" Target="https://goo.gl/maps/tK1iT4gHmAHp8ESx7" TargetMode="External"/><Relationship Id="rId69" Type="http://schemas.openxmlformats.org/officeDocument/2006/relationships/hyperlink" Target="https://goo.gl/maps/yAqyFintzuZNYTKf7" TargetMode="External"/><Relationship Id="rId113" Type="http://schemas.openxmlformats.org/officeDocument/2006/relationships/hyperlink" Target="https://maps.app.goo.gl/g2wjXioJnKH4KAXM6" TargetMode="External"/><Relationship Id="rId118" Type="http://schemas.openxmlformats.org/officeDocument/2006/relationships/hyperlink" Target="https://maps.app.goo.gl/YPt6U3gQ83ok9U5DA" TargetMode="External"/><Relationship Id="rId80" Type="http://schemas.openxmlformats.org/officeDocument/2006/relationships/hyperlink" Target="https://goo.gl/maps/sPHyMe9dxbB5bJow6" TargetMode="External"/><Relationship Id="rId85" Type="http://schemas.openxmlformats.org/officeDocument/2006/relationships/hyperlink" Target="https://maps.app.goo.gl/jwxZpck87Acfhp6NA" TargetMode="External"/><Relationship Id="rId12" Type="http://schemas.openxmlformats.org/officeDocument/2006/relationships/hyperlink" Target="https://goo.gl/maps/8MhTkiqK1NEpgPz99" TargetMode="External"/><Relationship Id="rId17" Type="http://schemas.openxmlformats.org/officeDocument/2006/relationships/hyperlink" Target="https://goo.gl/maps/yi7LfEdxyPyjDeMY6" TargetMode="External"/><Relationship Id="rId33" Type="http://schemas.openxmlformats.org/officeDocument/2006/relationships/hyperlink" Target="https://goo.gl/maps/F7kNcEaYeHMMGVqv8" TargetMode="External"/><Relationship Id="rId38" Type="http://schemas.openxmlformats.org/officeDocument/2006/relationships/hyperlink" Target="https://goo.gl/maps/8ZGRFn9VVuGoAd78A" TargetMode="External"/><Relationship Id="rId59" Type="http://schemas.openxmlformats.org/officeDocument/2006/relationships/hyperlink" Target="https://goo.gl/maps/PphkbMkuv1AH61iV6" TargetMode="External"/><Relationship Id="rId103" Type="http://schemas.openxmlformats.org/officeDocument/2006/relationships/hyperlink" Target="https://maps.app.goo.gl/HMGXmTfGZ3hDxjU18" TargetMode="External"/><Relationship Id="rId108" Type="http://schemas.openxmlformats.org/officeDocument/2006/relationships/hyperlink" Target="https://maps.app.goo.gl/7GqV6JDt95whSo3w9" TargetMode="External"/><Relationship Id="rId124" Type="http://schemas.openxmlformats.org/officeDocument/2006/relationships/hyperlink" Target="https://goo.gl/maps/EiZpKvJ1U3NsayM38" TargetMode="External"/><Relationship Id="rId129" Type="http://schemas.openxmlformats.org/officeDocument/2006/relationships/hyperlink" Target="https://maps.app.goo.gl/8YNDFJ9u9dHPF2wi9" TargetMode="External"/><Relationship Id="rId54" Type="http://schemas.openxmlformats.org/officeDocument/2006/relationships/hyperlink" Target="https://goo.gl/maps/FWXvwAXKFChMWTW36" TargetMode="External"/><Relationship Id="rId70" Type="http://schemas.openxmlformats.org/officeDocument/2006/relationships/hyperlink" Target="https://goo.gl/maps/V1Uj3rKBvFuLJaMg6" TargetMode="External"/><Relationship Id="rId75" Type="http://schemas.openxmlformats.org/officeDocument/2006/relationships/hyperlink" Target="https://goo.gl/maps/5bLUadGBYuhUfZxi7" TargetMode="External"/><Relationship Id="rId91" Type="http://schemas.openxmlformats.org/officeDocument/2006/relationships/hyperlink" Target="https://maps.app.goo.gl/WjhYVctXRA2aTtRV9" TargetMode="External"/><Relationship Id="rId96" Type="http://schemas.openxmlformats.org/officeDocument/2006/relationships/hyperlink" Target="https://maps.app.goo.gl/CkbP2X1j66XUKANX6" TargetMode="External"/><Relationship Id="rId1" Type="http://schemas.openxmlformats.org/officeDocument/2006/relationships/hyperlink" Target="https://goo.gl/maps/XvfzqdkZQYTYc8RP8" TargetMode="External"/><Relationship Id="rId6" Type="http://schemas.openxmlformats.org/officeDocument/2006/relationships/hyperlink" Target="https://goo.gl/maps/fnW8DDkT3wNtEXeSA" TargetMode="External"/><Relationship Id="rId23" Type="http://schemas.openxmlformats.org/officeDocument/2006/relationships/hyperlink" Target="https://goo.gl/maps/dFEGsT47n5G8w6DD8" TargetMode="External"/><Relationship Id="rId28" Type="http://schemas.openxmlformats.org/officeDocument/2006/relationships/hyperlink" Target="https://goo.gl/maps/3T8XwxYkNNWHompB7" TargetMode="External"/><Relationship Id="rId49" Type="http://schemas.openxmlformats.org/officeDocument/2006/relationships/hyperlink" Target="https://goo.gl/maps/3BYEvDeX7Ng6yb1f8" TargetMode="External"/><Relationship Id="rId114" Type="http://schemas.openxmlformats.org/officeDocument/2006/relationships/hyperlink" Target="https://maps.app.goo.gl/P3zfosMR8iM2Yuma8" TargetMode="External"/><Relationship Id="rId119" Type="http://schemas.openxmlformats.org/officeDocument/2006/relationships/hyperlink" Target="https://maps.app.goo.gl/sagEuodLPjT7C7eXA" TargetMode="External"/><Relationship Id="rId44" Type="http://schemas.openxmlformats.org/officeDocument/2006/relationships/hyperlink" Target="https://goo.gl/maps/5PxHAbGx6Mt1j4Bv6" TargetMode="External"/><Relationship Id="rId60" Type="http://schemas.openxmlformats.org/officeDocument/2006/relationships/hyperlink" Target="https://goo.gl/maps/VjxcwdTTfPQVtKEN8" TargetMode="External"/><Relationship Id="rId65" Type="http://schemas.openxmlformats.org/officeDocument/2006/relationships/hyperlink" Target="https://maps.app.goo.gl/D1kHYtV3Q9vsxafm9" TargetMode="External"/><Relationship Id="rId81" Type="http://schemas.openxmlformats.org/officeDocument/2006/relationships/hyperlink" Target="https://maps.app.goo.gl/SBduqo9VawswQFQx9" TargetMode="External"/><Relationship Id="rId86" Type="http://schemas.openxmlformats.org/officeDocument/2006/relationships/hyperlink" Target="https://maps.app.goo.gl/yYJic2wsNynHJGap8" TargetMode="External"/><Relationship Id="rId130" Type="http://schemas.openxmlformats.org/officeDocument/2006/relationships/hyperlink" Target="https://maps.app.goo.gl/Hwt3oaNpJZXpN8S2A" TargetMode="External"/><Relationship Id="rId13" Type="http://schemas.openxmlformats.org/officeDocument/2006/relationships/hyperlink" Target="https://goo.gl/maps/bGEqBQJrqS7YnCb36" TargetMode="External"/><Relationship Id="rId18" Type="http://schemas.openxmlformats.org/officeDocument/2006/relationships/hyperlink" Target="https://goo.gl/maps/c6DAUZDSSvCqA4YA8" TargetMode="External"/><Relationship Id="rId39" Type="http://schemas.openxmlformats.org/officeDocument/2006/relationships/hyperlink" Target="https://goo.gl/maps/SVDQksmscgMpDhxX8" TargetMode="External"/><Relationship Id="rId109" Type="http://schemas.openxmlformats.org/officeDocument/2006/relationships/hyperlink" Target="https://maps.app.goo.gl/DugyetdoUVir9N1c6" TargetMode="External"/><Relationship Id="rId34" Type="http://schemas.openxmlformats.org/officeDocument/2006/relationships/hyperlink" Target="https://goo.gl/maps/AWKSJXMoE5vkK5TF6" TargetMode="External"/><Relationship Id="rId50" Type="http://schemas.openxmlformats.org/officeDocument/2006/relationships/hyperlink" Target="https://goo.gl/maps/VqyewcdFagBqvL6U8" TargetMode="External"/><Relationship Id="rId55" Type="http://schemas.openxmlformats.org/officeDocument/2006/relationships/hyperlink" Target="https://goo.gl/maps/qGeGDXzmmymVyzLP9" TargetMode="External"/><Relationship Id="rId76" Type="http://schemas.openxmlformats.org/officeDocument/2006/relationships/hyperlink" Target="https://goo.gl/maps/AQmrmSd9bJVZ62YT7" TargetMode="External"/><Relationship Id="rId97" Type="http://schemas.openxmlformats.org/officeDocument/2006/relationships/hyperlink" Target="https://maps.app.goo.gl/v6VHmkLDBuHrWjR3A" TargetMode="External"/><Relationship Id="rId104" Type="http://schemas.openxmlformats.org/officeDocument/2006/relationships/hyperlink" Target="https://maps.app.goo.gl/tRJopNV8bTDm8xHt7" TargetMode="External"/><Relationship Id="rId120" Type="http://schemas.openxmlformats.org/officeDocument/2006/relationships/hyperlink" Target="https://maps.app.goo.gl/NrZTL2yQnwqXGBXN9" TargetMode="External"/><Relationship Id="rId125" Type="http://schemas.openxmlformats.org/officeDocument/2006/relationships/hyperlink" Target="https://maps.app.goo.gl/MqH55Zx5WPoifSoY7" TargetMode="External"/><Relationship Id="rId7" Type="http://schemas.openxmlformats.org/officeDocument/2006/relationships/hyperlink" Target="https://goo.gl/maps/7LqY8eAYQsbqvYb56" TargetMode="External"/><Relationship Id="rId71" Type="http://schemas.openxmlformats.org/officeDocument/2006/relationships/hyperlink" Target="https://maps.app.goo.gl/JNVKY9PRxmSrYqKp7" TargetMode="External"/><Relationship Id="rId92" Type="http://schemas.openxmlformats.org/officeDocument/2006/relationships/hyperlink" Target="https://maps.app.goo.gl/yqNsW66zfotNMCLF7" TargetMode="External"/><Relationship Id="rId2" Type="http://schemas.openxmlformats.org/officeDocument/2006/relationships/hyperlink" Target="https://goo.gl/maps/m7xMRRD56wuNJTsN6" TargetMode="External"/><Relationship Id="rId29" Type="http://schemas.openxmlformats.org/officeDocument/2006/relationships/hyperlink" Target="https://goo.gl/maps/J4EkMP2KVDzF64AfA" TargetMode="External"/><Relationship Id="rId24" Type="http://schemas.openxmlformats.org/officeDocument/2006/relationships/hyperlink" Target="https://goo.gl/maps/8EnHPurb8KSbWAGF9" TargetMode="External"/><Relationship Id="rId40" Type="http://schemas.openxmlformats.org/officeDocument/2006/relationships/hyperlink" Target="https://maps.app.goo.gl/yyVyQFw9kYe3kd349" TargetMode="External"/><Relationship Id="rId45" Type="http://schemas.openxmlformats.org/officeDocument/2006/relationships/hyperlink" Target="https://goo.gl/maps/x3TxYup3gcXf7TP4A" TargetMode="External"/><Relationship Id="rId66" Type="http://schemas.openxmlformats.org/officeDocument/2006/relationships/hyperlink" Target="https://goo.gl/maps/7F5RPs3umWHR2Rc1A" TargetMode="External"/><Relationship Id="rId87" Type="http://schemas.openxmlformats.org/officeDocument/2006/relationships/hyperlink" Target="https://maps.app.goo.gl/9kULdY8QS5sc8Dw27" TargetMode="External"/><Relationship Id="rId110" Type="http://schemas.openxmlformats.org/officeDocument/2006/relationships/hyperlink" Target="https://maps.app.goo.gl/rUVzYMWTZb7oXpKE9" TargetMode="External"/><Relationship Id="rId115" Type="http://schemas.openxmlformats.org/officeDocument/2006/relationships/hyperlink" Target="https://maps.app.goo.gl/dbUuhe32n8iPJhFd9" TargetMode="External"/><Relationship Id="rId131" Type="http://schemas.openxmlformats.org/officeDocument/2006/relationships/hyperlink" Target="https://goo.gl/maps/C1cgsvYkCYKNJPny6" TargetMode="External"/><Relationship Id="rId61" Type="http://schemas.openxmlformats.org/officeDocument/2006/relationships/hyperlink" Target="https://goo.gl/maps/eRVzs5rm2RN8QXhp8" TargetMode="External"/><Relationship Id="rId82" Type="http://schemas.openxmlformats.org/officeDocument/2006/relationships/hyperlink" Target="https://maps.app.goo.gl/9b4zrWbqJjTofZay7" TargetMode="External"/><Relationship Id="rId19" Type="http://schemas.openxmlformats.org/officeDocument/2006/relationships/hyperlink" Target="https://goo.gl/maps/npMLCwRWHRrnXCZ76" TargetMode="External"/><Relationship Id="rId14" Type="http://schemas.openxmlformats.org/officeDocument/2006/relationships/hyperlink" Target="https://goo.gl/maps/JTQpMgz28A4yuzbTA" TargetMode="External"/><Relationship Id="rId30" Type="http://schemas.openxmlformats.org/officeDocument/2006/relationships/hyperlink" Target="https://goo.gl/maps/bFQhTdj4k4rnRjQr9" TargetMode="External"/><Relationship Id="rId35" Type="http://schemas.openxmlformats.org/officeDocument/2006/relationships/hyperlink" Target="https://goo.gl/maps/PCtXDhAWkCfYehYY9" TargetMode="External"/><Relationship Id="rId56" Type="http://schemas.openxmlformats.org/officeDocument/2006/relationships/hyperlink" Target="https://goo.gl/maps/k3e7xCWrpgYf7pWWA" TargetMode="External"/><Relationship Id="rId77" Type="http://schemas.openxmlformats.org/officeDocument/2006/relationships/hyperlink" Target="https://goo.gl/maps/hGCLGWXRwWTdVC2N8" TargetMode="External"/><Relationship Id="rId100" Type="http://schemas.openxmlformats.org/officeDocument/2006/relationships/hyperlink" Target="https://maps.app.goo.gl/kJ4bjKpLJ18V1PzTA" TargetMode="External"/><Relationship Id="rId105" Type="http://schemas.openxmlformats.org/officeDocument/2006/relationships/hyperlink" Target="https://maps.app.goo.gl/N4VD3Sn8c5nttxDX7" TargetMode="External"/><Relationship Id="rId126" Type="http://schemas.openxmlformats.org/officeDocument/2006/relationships/hyperlink" Target="https://maps.app.goo.gl/deuMz3zyNzfu6Liz6" TargetMode="External"/><Relationship Id="rId8" Type="http://schemas.openxmlformats.org/officeDocument/2006/relationships/hyperlink" Target="https://goo.gl/maps/VqyewcdFagBqvL6U8" TargetMode="External"/><Relationship Id="rId51" Type="http://schemas.openxmlformats.org/officeDocument/2006/relationships/hyperlink" Target="https://goo.gl/maps/zY8bnSWgQ9DCLUdu6" TargetMode="External"/><Relationship Id="rId72" Type="http://schemas.openxmlformats.org/officeDocument/2006/relationships/hyperlink" Target="https://maps.app.goo.gl/JNVKY9PRxmSrYqKp7" TargetMode="External"/><Relationship Id="rId93" Type="http://schemas.openxmlformats.org/officeDocument/2006/relationships/hyperlink" Target="https://maps.app.goo.gl/JKRS8Ps5oLKywRdm7" TargetMode="External"/><Relationship Id="rId98" Type="http://schemas.openxmlformats.org/officeDocument/2006/relationships/hyperlink" Target="https://maps.app.goo.gl/v3d8sSBtmN1mpxNr7" TargetMode="External"/><Relationship Id="rId121" Type="http://schemas.openxmlformats.org/officeDocument/2006/relationships/hyperlink" Target="https://goo.gl/maps/xP9ksPjbetFdCPwAA" TargetMode="External"/><Relationship Id="rId3" Type="http://schemas.openxmlformats.org/officeDocument/2006/relationships/hyperlink" Target="https://goo.gl/maps/C1cgsvYkCYKNJPny6" TargetMode="External"/><Relationship Id="rId25" Type="http://schemas.openxmlformats.org/officeDocument/2006/relationships/hyperlink" Target="https://goo.gl/maps/VHgACYdFbVXFQVJG9" TargetMode="External"/><Relationship Id="rId46" Type="http://schemas.openxmlformats.org/officeDocument/2006/relationships/hyperlink" Target="https://goo.gl/maps/kegNtUJZ95coAo5FA" TargetMode="External"/><Relationship Id="rId67" Type="http://schemas.openxmlformats.org/officeDocument/2006/relationships/hyperlink" Target="https://goo.gl/maps/bxcUK2v7UuGm7v9z7" TargetMode="External"/><Relationship Id="rId116" Type="http://schemas.openxmlformats.org/officeDocument/2006/relationships/hyperlink" Target="https://maps.app.goo.gl/55tvsdMp4dMUfQRr9" TargetMode="External"/><Relationship Id="rId20" Type="http://schemas.openxmlformats.org/officeDocument/2006/relationships/hyperlink" Target="https://goo.gl/maps/8nHEzgxoTb9X5sZY7" TargetMode="External"/><Relationship Id="rId41" Type="http://schemas.openxmlformats.org/officeDocument/2006/relationships/hyperlink" Target="https://goo.gl/maps/TUsTqi3ZsyyV9n3V7" TargetMode="External"/><Relationship Id="rId62" Type="http://schemas.openxmlformats.org/officeDocument/2006/relationships/hyperlink" Target="https://goo.gl/maps/UD9VxJeq7R3LSwZj7" TargetMode="External"/><Relationship Id="rId83" Type="http://schemas.openxmlformats.org/officeDocument/2006/relationships/hyperlink" Target="https://maps.app.goo.gl/6rHCxfoLzz9mrycr6" TargetMode="External"/><Relationship Id="rId88" Type="http://schemas.openxmlformats.org/officeDocument/2006/relationships/hyperlink" Target="https://maps.app.goo.gl/rHCi5ctJfZhHxRHv7" TargetMode="External"/><Relationship Id="rId111" Type="http://schemas.openxmlformats.org/officeDocument/2006/relationships/hyperlink" Target="https://maps.app.goo.gl/drbWFsspF6cdf2Er6" TargetMode="External"/><Relationship Id="rId132" Type="http://schemas.openxmlformats.org/officeDocument/2006/relationships/hyperlink" Target="https://goo.gl/maps/fnW8DDkT3wNtEXeSA" TargetMode="External"/><Relationship Id="rId15" Type="http://schemas.openxmlformats.org/officeDocument/2006/relationships/hyperlink" Target="https://goo.gl/maps/tSzooT2k31FpuMFv6" TargetMode="External"/><Relationship Id="rId36" Type="http://schemas.openxmlformats.org/officeDocument/2006/relationships/hyperlink" Target="https://goo.gl/maps/KtztzUgWgS8bmNGD8" TargetMode="External"/><Relationship Id="rId57" Type="http://schemas.openxmlformats.org/officeDocument/2006/relationships/hyperlink" Target="https://maps.app.goo.gl/uVwU5PurVPx9kVHw5" TargetMode="External"/><Relationship Id="rId106" Type="http://schemas.openxmlformats.org/officeDocument/2006/relationships/hyperlink" Target="https://maps.app.goo.gl/qw2H9PcMDwgW6EBC9" TargetMode="External"/><Relationship Id="rId127" Type="http://schemas.openxmlformats.org/officeDocument/2006/relationships/hyperlink" Target="https://maps.app.goo.gl/ZQQr8XsfjL8AMHkR9" TargetMode="External"/><Relationship Id="rId10" Type="http://schemas.openxmlformats.org/officeDocument/2006/relationships/hyperlink" Target="https://goo.gl/maps/AAM9qnwxs3bxE34W7" TargetMode="External"/><Relationship Id="rId31" Type="http://schemas.openxmlformats.org/officeDocument/2006/relationships/hyperlink" Target="https://maps.app.goo.gl/shQUvUBQ71mZEDyE9" TargetMode="External"/><Relationship Id="rId52" Type="http://schemas.openxmlformats.org/officeDocument/2006/relationships/hyperlink" Target="https://goo.gl/maps/9A1a3JxJRJ7VCkCK6" TargetMode="External"/><Relationship Id="rId73" Type="http://schemas.openxmlformats.org/officeDocument/2006/relationships/hyperlink" Target="https://maps.app.goo.gl/JNVKY9PRxmSrYqKp7" TargetMode="External"/><Relationship Id="rId78" Type="http://schemas.openxmlformats.org/officeDocument/2006/relationships/hyperlink" Target="https://goo.gl/maps/H1xZ5eqPzgevEoQg6" TargetMode="External"/><Relationship Id="rId94" Type="http://schemas.openxmlformats.org/officeDocument/2006/relationships/hyperlink" Target="https://maps.app.goo.gl/WgvwxscymYCBR5SZ6" TargetMode="External"/><Relationship Id="rId99" Type="http://schemas.openxmlformats.org/officeDocument/2006/relationships/hyperlink" Target="https://maps.app.goo.gl/cQ4GNfkeZnKZkGSw6" TargetMode="External"/><Relationship Id="rId101" Type="http://schemas.openxmlformats.org/officeDocument/2006/relationships/hyperlink" Target="https://maps.app.goo.gl/yTsgn2dAR1EFV1vA9" TargetMode="External"/><Relationship Id="rId122" Type="http://schemas.openxmlformats.org/officeDocument/2006/relationships/hyperlink" Target="https://maps.app.goo.gl/ib8xC2HXDgLKQAeo9" TargetMode="External"/><Relationship Id="rId4" Type="http://schemas.openxmlformats.org/officeDocument/2006/relationships/hyperlink" Target="https://goo.gl/maps/gNwRwT3qCacQ9pMt8" TargetMode="External"/><Relationship Id="rId9" Type="http://schemas.openxmlformats.org/officeDocument/2006/relationships/hyperlink" Target="https://goo.gl/maps/spB851tWFMFw8oFV6" TargetMode="External"/><Relationship Id="rId26" Type="http://schemas.openxmlformats.org/officeDocument/2006/relationships/hyperlink" Target="https://goo.gl/maps/JfFxbh8cgjZ8Xvjq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3C4E-D0C1-4399-9277-8C3BA29014B7}">
  <dimension ref="A1:N1700"/>
  <sheetViews>
    <sheetView zoomScale="90" zoomScaleNormal="90" workbookViewId="0">
      <pane ySplit="1" topLeftCell="A150" activePane="bottomLeft" state="frozen"/>
      <selection pane="bottomLeft" activeCell="A178" sqref="A178"/>
    </sheetView>
  </sheetViews>
  <sheetFormatPr baseColWidth="10" defaultColWidth="11.42578125" defaultRowHeight="15" x14ac:dyDescent="0.25"/>
  <cols>
    <col min="1" max="1" width="35.5703125" style="6" customWidth="1"/>
    <col min="2" max="2" width="9.5703125" bestFit="1" customWidth="1"/>
    <col min="3" max="3" width="15.5703125" bestFit="1" customWidth="1"/>
    <col min="4" max="4" width="28.28515625" bestFit="1" customWidth="1"/>
    <col min="9" max="9" width="21.85546875" bestFit="1" customWidth="1"/>
    <col min="13" max="13" width="19.5703125" bestFit="1" customWidth="1"/>
  </cols>
  <sheetData>
    <row r="1" spans="1:14" ht="4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2" t="s">
        <v>6</v>
      </c>
      <c r="H1" s="2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1" t="s">
        <v>12</v>
      </c>
      <c r="N1" s="1" t="s">
        <v>1312</v>
      </c>
    </row>
    <row r="2" spans="1:14" ht="18.75" x14ac:dyDescent="0.25">
      <c r="A2" s="82" t="str">
        <f>IF('Consulta1'!A4094="","",'Consulta1'!A4094)</f>
        <v>Chanitos Premium EUA Tarima Americana</v>
      </c>
      <c r="B2" s="82" t="str">
        <f>IF('Consulta1'!B4094="","",'Consulta1'!B4094)</f>
        <v>CPR01104</v>
      </c>
      <c r="C2" s="83" t="str">
        <f>IF('Consulta1'!C4094="","",'Consulta1'!C4094)</f>
        <v>A04084-392109-1</v>
      </c>
      <c r="D2" s="84" t="str">
        <f>IF('Consulta1'!D4094="","",'Consulta1'!D4094)</f>
        <v>A04 084 Lisboa</v>
      </c>
      <c r="E2" s="82" t="str">
        <f>IF('Consulta1'!E4094="","",'Consulta1'!E4094)</f>
        <v>McAllen</v>
      </c>
      <c r="F2">
        <f>+IF(E2="","",VLOOKUP(E2,CATALOGO!G:L,6,0))</f>
        <v>8</v>
      </c>
      <c r="G2" s="85">
        <f>IF('Consulta1'!F4094="","",'Consulta1'!F4094)</f>
        <v>480</v>
      </c>
      <c r="H2" s="85">
        <f>IF('Consulta1'!G4094="","",'Consulta1'!G4094)</f>
        <v>10</v>
      </c>
      <c r="I2" s="86">
        <f>IF('Consulta1'!H4094="","",'Consulta1'!H4094)</f>
        <v>46286</v>
      </c>
      <c r="J2">
        <f>+IF(E2="","",WEEKNUM(I2))</f>
        <v>39</v>
      </c>
      <c r="K2">
        <f>+IF(E2="","",VLOOKUP(E2,CATALOGO!G:I,2,0))</f>
        <v>3</v>
      </c>
      <c r="L2">
        <f>+IF(E2="","",VLOOKUP(E2,CATALOGO!G:I,3,0))</f>
        <v>72</v>
      </c>
      <c r="M2" s="87">
        <f>IF('Consulta1'!I4094="","",'Consulta1'!I4094)</f>
        <v>46290</v>
      </c>
      <c r="N2" s="88" t="str">
        <f>IF('Consulta1'!J4094="","",'Consulta1'!J4094)</f>
        <v>44551</v>
      </c>
    </row>
    <row r="3" spans="1:14" ht="18.75" x14ac:dyDescent="0.25">
      <c r="A3" s="82" t="str">
        <f>IF('Consulta1'!A4095="","",'Consulta1'!A4095)</f>
        <v>Chanitos Premium EUA Tarima Americana</v>
      </c>
      <c r="B3" s="82" t="str">
        <f>IF('Consulta1'!B4095="","",'Consulta1'!B4095)</f>
        <v>CPR01104</v>
      </c>
      <c r="C3" s="83" t="str">
        <f>IF('Consulta1'!C4095="","",'Consulta1'!C4095)</f>
        <v>A04084-392109-1</v>
      </c>
      <c r="D3" s="84" t="str">
        <f>IF('Consulta1'!D4095="","",'Consulta1'!D4095)</f>
        <v>A04 084 Lisboa</v>
      </c>
      <c r="E3" s="82" t="str">
        <f>IF('Consulta1'!E4095="","",'Consulta1'!E4095)</f>
        <v>McAllen</v>
      </c>
      <c r="F3">
        <f>+IF(E3="","",VLOOKUP(E3,CATALOGO!G:L,6,0))</f>
        <v>8</v>
      </c>
      <c r="G3" s="85">
        <f>IF('Consulta1'!F4095="","",'Consulta1'!F4095)</f>
        <v>240</v>
      </c>
      <c r="H3" s="85">
        <f>IF('Consulta1'!G4095="","",'Consulta1'!G4095)</f>
        <v>5</v>
      </c>
      <c r="I3" s="86">
        <f>IF('Consulta1'!H4095="","",'Consulta1'!H4095)</f>
        <v>46286</v>
      </c>
      <c r="J3">
        <f t="shared" ref="J3:J66" si="0">+IF(E3="","",WEEKNUM(I3))</f>
        <v>39</v>
      </c>
      <c r="K3">
        <f>+IF(E3="","",VLOOKUP(E3,CATALOGO!G:I,2,0))</f>
        <v>3</v>
      </c>
      <c r="L3">
        <f>+IF(E3="","",VLOOKUP(E3,CATALOGO!G:I,3,0))</f>
        <v>72</v>
      </c>
      <c r="M3" s="87">
        <f>IF('Consulta1'!I4095="","",'Consulta1'!I4095)</f>
        <v>46290</v>
      </c>
      <c r="N3" s="88" t="str">
        <f>IF('Consulta1'!J4095="","",'Consulta1'!J4095)</f>
        <v/>
      </c>
    </row>
    <row r="4" spans="1:14" ht="18.75" x14ac:dyDescent="0.25">
      <c r="A4" s="82" t="str">
        <f>IF('Consulta1'!A4096="","",'Consulta1'!A4096)</f>
        <v>Chanitos Premium Tarima Chep</v>
      </c>
      <c r="B4" s="82" t="str">
        <f>IF('Consulta1'!B4096="","",'Consulta1'!B4096)</f>
        <v>CPR01102</v>
      </c>
      <c r="C4" s="83" t="str">
        <f>IF('Consulta1'!C4096="","",'Consulta1'!C4096)</f>
        <v>A01001-392109-1</v>
      </c>
      <c r="D4" s="84" t="str">
        <f>IF('Consulta1'!D4096="","",'Consulta1'!D4096)</f>
        <v>A01 001 Marbella</v>
      </c>
      <c r="E4" s="82" t="str">
        <f>IF('Consulta1'!E4096="","",'Consulta1'!E4096)</f>
        <v>QRO</v>
      </c>
      <c r="F4">
        <f>+IF(E4="","",VLOOKUP(E4,CATALOGO!G:L,6,0))</f>
        <v>3</v>
      </c>
      <c r="G4" s="85">
        <f>IF('Consulta1'!F4096="","",'Consulta1'!F4096)</f>
        <v>1104</v>
      </c>
      <c r="H4" s="85">
        <f>IF('Consulta1'!G4096="","",'Consulta1'!G4096)</f>
        <v>23</v>
      </c>
      <c r="I4" s="86">
        <f>IF('Consulta1'!H4096="","",'Consulta1'!H4096)</f>
        <v>46286</v>
      </c>
      <c r="J4">
        <f t="shared" si="0"/>
        <v>39</v>
      </c>
      <c r="K4">
        <f>+IF(E4="","",VLOOKUP(E4,CATALOGO!G:I,2,0))</f>
        <v>1.5</v>
      </c>
      <c r="L4">
        <f>+IF(E4="","",VLOOKUP(E4,CATALOGO!G:I,3,0))</f>
        <v>36</v>
      </c>
      <c r="M4" s="87">
        <f>IF('Consulta1'!I4096="","",'Consulta1'!I4096)</f>
        <v>46290</v>
      </c>
      <c r="N4" s="88" t="str">
        <f>IF('Consulta1'!J4096="","",'Consulta1'!J4096)</f>
        <v>44907</v>
      </c>
    </row>
    <row r="5" spans="1:14" ht="18.75" x14ac:dyDescent="0.25">
      <c r="A5" s="82" t="str">
        <f>IF('Consulta1'!A4097="","",'Consulta1'!A4097)</f>
        <v>Chanitos Premium Tarima Chep</v>
      </c>
      <c r="B5" s="82" t="str">
        <f>IF('Consulta1'!B4097="","",'Consulta1'!B4097)</f>
        <v>CPR01102</v>
      </c>
      <c r="C5" s="83" t="str">
        <f>IF('Consulta1'!C4097="","",'Consulta1'!C4097)</f>
        <v>A01001-392109-1</v>
      </c>
      <c r="D5" s="84" t="str">
        <f>IF('Consulta1'!D4097="","",'Consulta1'!D4097)</f>
        <v>A01 001 Marbella</v>
      </c>
      <c r="E5" s="82" t="str">
        <f>IF('Consulta1'!E4097="","",'Consulta1'!E4097)</f>
        <v>CEDA</v>
      </c>
      <c r="F5">
        <f>+IF(E5="","",VLOOKUP(E5,CATALOGO!G:L,6,0))</f>
        <v>0</v>
      </c>
      <c r="G5" s="85">
        <f>IF('Consulta1'!F4097="","",'Consulta1'!F4097)</f>
        <v>144</v>
      </c>
      <c r="H5" s="85">
        <f>IF('Consulta1'!G4097="","",'Consulta1'!G4097)</f>
        <v>3</v>
      </c>
      <c r="I5" s="86">
        <f>IF('Consulta1'!H4097="","",'Consulta1'!H4097)</f>
        <v>46286</v>
      </c>
      <c r="J5">
        <f t="shared" si="0"/>
        <v>39</v>
      </c>
      <c r="K5">
        <f>+IF(E5="","",VLOOKUP(E5,CATALOGO!G:I,2,0))</f>
        <v>1.5</v>
      </c>
      <c r="L5">
        <f>+IF(E5="","",VLOOKUP(E5,CATALOGO!G:I,3,0))</f>
        <v>36</v>
      </c>
      <c r="M5" s="87">
        <f>IF('Consulta1'!I4097="","",'Consulta1'!I4097)</f>
        <v>46288</v>
      </c>
      <c r="N5" s="88" t="str">
        <f>IF('Consulta1'!J4097="","",'Consulta1'!J4097)</f>
        <v>0</v>
      </c>
    </row>
    <row r="6" spans="1:14" ht="18.75" x14ac:dyDescent="0.25">
      <c r="A6" s="82" t="str">
        <f>IF('Consulta1'!A4098="","",'Consulta1'!A4098)</f>
        <v>Chanitos Premium Granel</v>
      </c>
      <c r="B6" s="82" t="str">
        <f>IF('Consulta1'!B4098="","",'Consulta1'!B4098)</f>
        <v>CPR01101</v>
      </c>
      <c r="C6" s="83" t="str">
        <f>IF('Consulta1'!C4098="","",'Consulta1'!C4098)</f>
        <v>A01001-392109-1</v>
      </c>
      <c r="D6" s="84" t="str">
        <f>IF('Consulta1'!D4098="","",'Consulta1'!D4098)</f>
        <v>A01 001 Marbella</v>
      </c>
      <c r="E6" s="82" t="str">
        <f>IF('Consulta1'!E4098="","",'Consulta1'!E4098)</f>
        <v>CEDA</v>
      </c>
      <c r="F6">
        <f>+IF(E6="","",VLOOKUP(E6,CATALOGO!G:L,6,0))</f>
        <v>0</v>
      </c>
      <c r="G6" s="85">
        <f>IF('Consulta1'!F4098="","",'Consulta1'!F4098)</f>
        <v>225</v>
      </c>
      <c r="H6" s="85" t="str">
        <f>IF('Consulta1'!G4098="","",'Consulta1'!G4098)</f>
        <v>Granel</v>
      </c>
      <c r="I6" s="86">
        <f>IF('Consulta1'!H4098="","",'Consulta1'!H4098)</f>
        <v>46286</v>
      </c>
      <c r="J6">
        <f t="shared" si="0"/>
        <v>39</v>
      </c>
      <c r="K6">
        <f>+IF(E6="","",VLOOKUP(E6,CATALOGO!G:I,2,0))</f>
        <v>1.5</v>
      </c>
      <c r="L6">
        <f>+IF(E6="","",VLOOKUP(E6,CATALOGO!G:I,3,0))</f>
        <v>36</v>
      </c>
      <c r="M6" s="87">
        <f>IF('Consulta1'!I4098="","",'Consulta1'!I4098)</f>
        <v>46288</v>
      </c>
      <c r="N6" s="88" t="str">
        <f>IF('Consulta1'!J4098="","",'Consulta1'!J4098)</f>
        <v>0</v>
      </c>
    </row>
    <row r="7" spans="1:14" ht="18.75" x14ac:dyDescent="0.25">
      <c r="A7" s="82" t="str">
        <f>IF('Consulta1'!A4099="","",'Consulta1'!A4099)</f>
        <v>Chanitos Cha Cha Cha (2da) Granel</v>
      </c>
      <c r="B7" s="82" t="str">
        <f>IF('Consulta1'!B4099="","",'Consulta1'!B4099)</f>
        <v>CSA04120</v>
      </c>
      <c r="C7" s="83" t="str">
        <f>IF('Consulta1'!C4099="","",'Consulta1'!C4099)</f>
        <v>A01001-392109-4</v>
      </c>
      <c r="D7" s="84" t="str">
        <f>IF('Consulta1'!D4099="","",'Consulta1'!D4099)</f>
        <v>A01 001 Marbella</v>
      </c>
      <c r="E7" s="82" t="str">
        <f>IF('Consulta1'!E4099="","",'Consulta1'!E4099)</f>
        <v>CEDA</v>
      </c>
      <c r="F7">
        <f>+IF(E7="","",VLOOKUP(E7,CATALOGO!G:L,6,0))</f>
        <v>0</v>
      </c>
      <c r="G7" s="85">
        <f>IF('Consulta1'!F4099="","",'Consulta1'!F4099)</f>
        <v>60</v>
      </c>
      <c r="H7" s="85" t="str">
        <f>IF('Consulta1'!G4099="","",'Consulta1'!G4099)</f>
        <v>Granel</v>
      </c>
      <c r="I7" s="86">
        <f>IF('Consulta1'!H4099="","",'Consulta1'!H4099)</f>
        <v>46286</v>
      </c>
      <c r="J7">
        <f t="shared" si="0"/>
        <v>39</v>
      </c>
      <c r="K7">
        <f>+IF(E7="","",VLOOKUP(E7,CATALOGO!G:I,2,0))</f>
        <v>1.5</v>
      </c>
      <c r="L7">
        <f>+IF(E7="","",VLOOKUP(E7,CATALOGO!G:I,3,0))</f>
        <v>36</v>
      </c>
      <c r="M7" s="87">
        <f>IF('Consulta1'!I4099="","",'Consulta1'!I4099)</f>
        <v>46288</v>
      </c>
      <c r="N7" s="88" t="str">
        <f>IF('Consulta1'!J4099="","",'Consulta1'!J4099)</f>
        <v>0</v>
      </c>
    </row>
    <row r="8" spans="1:14" ht="18.75" x14ac:dyDescent="0.25">
      <c r="A8" s="82" t="str">
        <f>IF('Consulta1'!A4100="","",'Consulta1'!A4100)</f>
        <v>Chanitos Manitas Granel</v>
      </c>
      <c r="B8" s="82" t="str">
        <f>IF('Consulta1'!B4100="","",'Consulta1'!B4100)</f>
        <v>CMN05123</v>
      </c>
      <c r="C8" s="83" t="str">
        <f>IF('Consulta1'!C4100="","",'Consulta1'!C4100)</f>
        <v>A01001-392109-3</v>
      </c>
      <c r="D8" s="84" t="str">
        <f>IF('Consulta1'!D4100="","",'Consulta1'!D4100)</f>
        <v>A01 001 Marbella</v>
      </c>
      <c r="E8" s="82" t="str">
        <f>IF('Consulta1'!E4100="","",'Consulta1'!E4100)</f>
        <v>CEDA</v>
      </c>
      <c r="F8">
        <f>+IF(E8="","",VLOOKUP(E8,CATALOGO!G:L,6,0))</f>
        <v>0</v>
      </c>
      <c r="G8" s="85">
        <f>IF('Consulta1'!F4100="","",'Consulta1'!F4100)</f>
        <v>29</v>
      </c>
      <c r="H8" s="85" t="str">
        <f>IF('Consulta1'!G4100="","",'Consulta1'!G4100)</f>
        <v>Granel</v>
      </c>
      <c r="I8" s="86">
        <f>IF('Consulta1'!H4100="","",'Consulta1'!H4100)</f>
        <v>46286</v>
      </c>
      <c r="J8">
        <f t="shared" si="0"/>
        <v>39</v>
      </c>
      <c r="K8">
        <f>+IF(E8="","",VLOOKUP(E8,CATALOGO!G:I,2,0))</f>
        <v>1.5</v>
      </c>
      <c r="L8">
        <f>+IF(E8="","",VLOOKUP(E8,CATALOGO!G:I,3,0))</f>
        <v>36</v>
      </c>
      <c r="M8" s="87">
        <f>IF('Consulta1'!I4100="","",'Consulta1'!I4100)</f>
        <v>46288</v>
      </c>
      <c r="N8" s="88" t="str">
        <f>IF('Consulta1'!J4100="","",'Consulta1'!J4100)</f>
        <v>0</v>
      </c>
    </row>
    <row r="9" spans="1:14" ht="18.75" x14ac:dyDescent="0.25">
      <c r="A9" s="82" t="str">
        <f>IF('Consulta1'!A4101="","",'Consulta1'!A4101)</f>
        <v>Chanitos Cha Cha Cha (DS) Granel</v>
      </c>
      <c r="B9" s="82" t="str">
        <f>IF('Consulta1'!B4101="","",'Consulta1'!B4101)</f>
        <v>CDS04122</v>
      </c>
      <c r="C9" s="83" t="str">
        <f>IF('Consulta1'!C4101="","",'Consulta1'!C4101)</f>
        <v>A01001-392109-1</v>
      </c>
      <c r="D9" s="84" t="str">
        <f>IF('Consulta1'!D4101="","",'Consulta1'!D4101)</f>
        <v>A01 001 Marbella</v>
      </c>
      <c r="E9" s="82" t="str">
        <f>IF('Consulta1'!E4101="","",'Consulta1'!E4101)</f>
        <v>CEDA</v>
      </c>
      <c r="F9">
        <f>+IF(E9="","",VLOOKUP(E9,CATALOGO!G:L,6,0))</f>
        <v>0</v>
      </c>
      <c r="G9" s="85">
        <f>IF('Consulta1'!F4101="","",'Consulta1'!F4101)</f>
        <v>70</v>
      </c>
      <c r="H9" s="85" t="str">
        <f>IF('Consulta1'!G4101="","",'Consulta1'!G4101)</f>
        <v>Granel</v>
      </c>
      <c r="I9" s="86">
        <f>IF('Consulta1'!H4101="","",'Consulta1'!H4101)</f>
        <v>46286</v>
      </c>
      <c r="J9">
        <f t="shared" si="0"/>
        <v>39</v>
      </c>
      <c r="K9">
        <f>+IF(E9="","",VLOOKUP(E9,CATALOGO!G:I,2,0))</f>
        <v>1.5</v>
      </c>
      <c r="L9">
        <f>+IF(E9="","",VLOOKUP(E9,CATALOGO!G:I,3,0))</f>
        <v>36</v>
      </c>
      <c r="M9" s="87">
        <f>IF('Consulta1'!I4101="","",'Consulta1'!I4101)</f>
        <v>46288</v>
      </c>
      <c r="N9" s="88" t="str">
        <f>IF('Consulta1'!J4101="","",'Consulta1'!J4101)</f>
        <v>0</v>
      </c>
    </row>
    <row r="10" spans="1:14" ht="18.75" x14ac:dyDescent="0.25">
      <c r="A10" s="82" t="str">
        <f>IF('Consulta1'!A4102="","",'Consulta1'!A4102)</f>
        <v>Chanitos Premium Tarima Chep</v>
      </c>
      <c r="B10" s="82" t="str">
        <f>IF('Consulta1'!B4102="","",'Consulta1'!B4102)</f>
        <v>CPR01102</v>
      </c>
      <c r="C10" s="83" t="str">
        <f>IF('Consulta1'!C4102="","",'Consulta1'!C4102)</f>
        <v>A01002-392109-1</v>
      </c>
      <c r="D10" s="84" t="str">
        <f>IF('Consulta1'!D4102="","",'Consulta1'!D4102)</f>
        <v>A01 002 Fortaleza</v>
      </c>
      <c r="E10" s="82" t="str">
        <f>IF('Consulta1'!E4102="","",'Consulta1'!E4102)</f>
        <v>SMO</v>
      </c>
      <c r="F10">
        <f>+IF(E10="","",VLOOKUP(E10,CATALOGO!G:L,6,0))</f>
        <v>4</v>
      </c>
      <c r="G10" s="85">
        <f>IF('Consulta1'!F4102="","",'Consulta1'!F4102)</f>
        <v>144</v>
      </c>
      <c r="H10" s="85">
        <f>IF('Consulta1'!G4102="","",'Consulta1'!G4102)</f>
        <v>3</v>
      </c>
      <c r="I10" s="86">
        <f>IF('Consulta1'!H4102="","",'Consulta1'!H4102)</f>
        <v>46286</v>
      </c>
      <c r="J10">
        <f t="shared" si="0"/>
        <v>39</v>
      </c>
      <c r="K10">
        <f>+IF(E10="","",VLOOKUP(E10,CATALOGO!G:I,2,0))</f>
        <v>1.5</v>
      </c>
      <c r="L10">
        <f>+IF(E10="","",VLOOKUP(E10,CATALOGO!G:I,3,0))</f>
        <v>36</v>
      </c>
      <c r="M10" s="87">
        <f>IF('Consulta1'!I4102="","",'Consulta1'!I4102)</f>
        <v>46289</v>
      </c>
      <c r="N10" s="88" t="str">
        <f>IF('Consulta1'!J4102="","",'Consulta1'!J4102)</f>
        <v>OV ND para ese SKU vs esa cantidad</v>
      </c>
    </row>
    <row r="11" spans="1:14" ht="18.75" x14ac:dyDescent="0.25">
      <c r="A11" s="82" t="str">
        <f>IF('Consulta1'!A4103="","",'Consulta1'!A4103)</f>
        <v>Chanitos Premium Tarima Chep</v>
      </c>
      <c r="B11" s="82" t="str">
        <f>IF('Consulta1'!B4103="","",'Consulta1'!B4103)</f>
        <v>CPR01102</v>
      </c>
      <c r="C11" s="83" t="str">
        <f>IF('Consulta1'!C4103="","",'Consulta1'!C4103)</f>
        <v>A01002-392109-1</v>
      </c>
      <c r="D11" s="84" t="str">
        <f>IF('Consulta1'!D4103="","",'Consulta1'!D4103)</f>
        <v>A01 002 Fortaleza</v>
      </c>
      <c r="E11" s="82" t="str">
        <f>IF('Consulta1'!E4103="","",'Consulta1'!E4103)</f>
        <v>SMO</v>
      </c>
      <c r="F11">
        <f>+IF(E11="","",VLOOKUP(E11,CATALOGO!G:L,6,0))</f>
        <v>4</v>
      </c>
      <c r="G11" s="85">
        <f>IF('Consulta1'!F4103="","",'Consulta1'!F4103)</f>
        <v>96</v>
      </c>
      <c r="H11" s="85">
        <f>IF('Consulta1'!G4103="","",'Consulta1'!G4103)</f>
        <v>2</v>
      </c>
      <c r="I11" s="86">
        <f>IF('Consulta1'!H4103="","",'Consulta1'!H4103)</f>
        <v>46286</v>
      </c>
      <c r="J11">
        <f t="shared" si="0"/>
        <v>39</v>
      </c>
      <c r="K11">
        <f>+IF(E11="","",VLOOKUP(E11,CATALOGO!G:I,2,0))</f>
        <v>1.5</v>
      </c>
      <c r="L11">
        <f>+IF(E11="","",VLOOKUP(E11,CATALOGO!G:I,3,0))</f>
        <v>36</v>
      </c>
      <c r="M11" s="87">
        <f>IF('Consulta1'!I4103="","",'Consulta1'!I4103)</f>
        <v>46291</v>
      </c>
      <c r="N11" s="88" t="str">
        <f>IF('Consulta1'!J4103="","",'Consulta1'!J4103)</f>
        <v>44337</v>
      </c>
    </row>
    <row r="12" spans="1:14" ht="18.75" x14ac:dyDescent="0.25">
      <c r="A12" s="82" t="str">
        <f>IF('Consulta1'!A4104="","",'Consulta1'!A4104)</f>
        <v>Chanitos Organic Banded Market Side Mexico</v>
      </c>
      <c r="B12" s="82" t="str">
        <f>IF('Consulta1'!B4104="","",'Consulta1'!B4104)</f>
        <v>CRG07128</v>
      </c>
      <c r="C12" s="83" t="str">
        <f>IF('Consulta1'!C4104="","",'Consulta1'!C4104)</f>
        <v>A01002-392109-1</v>
      </c>
      <c r="D12" s="84" t="str">
        <f>IF('Consulta1'!D4104="","",'Consulta1'!D4104)</f>
        <v>A01 002 Fortaleza</v>
      </c>
      <c r="E12" s="82" t="str">
        <f>IF('Consulta1'!E4104="","",'Consulta1'!E4104)</f>
        <v>QRO</v>
      </c>
      <c r="F12">
        <f>+IF(E12="","",VLOOKUP(E12,CATALOGO!G:L,6,0))</f>
        <v>3</v>
      </c>
      <c r="G12" s="85">
        <f>IF('Consulta1'!F4104="","",'Consulta1'!F4104)</f>
        <v>48</v>
      </c>
      <c r="H12" s="85">
        <f>IF('Consulta1'!G4104="","",'Consulta1'!G4104)</f>
        <v>1</v>
      </c>
      <c r="I12" s="86">
        <f>IF('Consulta1'!H4104="","",'Consulta1'!H4104)</f>
        <v>46286</v>
      </c>
      <c r="J12">
        <f t="shared" si="0"/>
        <v>39</v>
      </c>
      <c r="K12">
        <f>+IF(E12="","",VLOOKUP(E12,CATALOGO!G:I,2,0))</f>
        <v>1.5</v>
      </c>
      <c r="L12">
        <f>+IF(E12="","",VLOOKUP(E12,CATALOGO!G:I,3,0))</f>
        <v>36</v>
      </c>
      <c r="M12" s="87">
        <f>IF('Consulta1'!I4104="","",'Consulta1'!I4104)</f>
        <v>46290</v>
      </c>
      <c r="N12" s="88" t="str">
        <f>IF('Consulta1'!J4104="","",'Consulta1'!J4104)</f>
        <v>44907</v>
      </c>
    </row>
    <row r="13" spans="1:14" ht="18.75" x14ac:dyDescent="0.25">
      <c r="A13" s="82" t="str">
        <f>IF('Consulta1'!A4105="","",'Consulta1'!A4105)</f>
        <v>Chanitos Organic Banded Market Side Mexico</v>
      </c>
      <c r="B13" s="82" t="str">
        <f>IF('Consulta1'!B4105="","",'Consulta1'!B4105)</f>
        <v>CRG07128</v>
      </c>
      <c r="C13" s="83" t="str">
        <f>IF('Consulta1'!C4105="","",'Consulta1'!C4105)</f>
        <v>A01002-392109-1</v>
      </c>
      <c r="D13" s="84" t="str">
        <f>IF('Consulta1'!D4105="","",'Consulta1'!D4105)</f>
        <v>A01 002 Fortaleza</v>
      </c>
      <c r="E13" s="82" t="str">
        <f>IF('Consulta1'!E4105="","",'Consulta1'!E4105)</f>
        <v>MTY</v>
      </c>
      <c r="F13">
        <f>+IF(E13="","",VLOOKUP(E13,CATALOGO!G:L,6,0))</f>
        <v>2</v>
      </c>
      <c r="G13" s="85">
        <f>IF('Consulta1'!F4105="","",'Consulta1'!F4105)</f>
        <v>48</v>
      </c>
      <c r="H13" s="85">
        <f>IF('Consulta1'!G4105="","",'Consulta1'!G4105)</f>
        <v>1</v>
      </c>
      <c r="I13" s="86">
        <f>IF('Consulta1'!H4105="","",'Consulta1'!H4105)</f>
        <v>46286</v>
      </c>
      <c r="J13">
        <f t="shared" si="0"/>
        <v>39</v>
      </c>
      <c r="K13">
        <f>+IF(E13="","",VLOOKUP(E13,CATALOGO!G:I,2,0))</f>
        <v>2.5</v>
      </c>
      <c r="L13">
        <f>+IF(E13="","",VLOOKUP(E13,CATALOGO!G:I,3,0))</f>
        <v>60</v>
      </c>
      <c r="M13" s="87">
        <f>IF('Consulta1'!I4105="","",'Consulta1'!I4105)</f>
        <v>46290</v>
      </c>
      <c r="N13" s="88" t="str">
        <f>IF('Consulta1'!J4105="","",'Consulta1'!J4105)</f>
        <v>45214</v>
      </c>
    </row>
    <row r="14" spans="1:14" ht="18.75" x14ac:dyDescent="0.25">
      <c r="A14" s="82" t="str">
        <f>IF('Consulta1'!A4106="","",'Consulta1'!A4106)</f>
        <v>Platano de Chiapas BAE UPC 3237</v>
      </c>
      <c r="B14" s="82" t="str">
        <f>IF('Consulta1'!B4106="","",'Consulta1'!B4106)</f>
        <v>CPR01114</v>
      </c>
      <c r="C14" s="83" t="str">
        <f>IF('Consulta1'!C4106="","",'Consulta1'!C4106)</f>
        <v>A01002-392109-1</v>
      </c>
      <c r="D14" s="84" t="str">
        <f>IF('Consulta1'!D4106="","",'Consulta1'!D4106)</f>
        <v>A01 002 Fortaleza</v>
      </c>
      <c r="E14" s="82" t="str">
        <f>IF('Consulta1'!E4106="","",'Consulta1'!E4106)</f>
        <v>MTY</v>
      </c>
      <c r="F14">
        <f>+IF(E14="","",VLOOKUP(E14,CATALOGO!G:L,6,0))</f>
        <v>2</v>
      </c>
      <c r="G14" s="85">
        <f>IF('Consulta1'!F4106="","",'Consulta1'!F4106)</f>
        <v>5</v>
      </c>
      <c r="H14" s="85">
        <f>IF('Consulta1'!G4106="","",'Consulta1'!G4106)</f>
        <v>0.10416666666666669</v>
      </c>
      <c r="I14" s="86">
        <f>IF('Consulta1'!H4106="","",'Consulta1'!H4106)</f>
        <v>46286</v>
      </c>
      <c r="J14">
        <f t="shared" si="0"/>
        <v>39</v>
      </c>
      <c r="K14">
        <f>+IF(E14="","",VLOOKUP(E14,CATALOGO!G:I,2,0))</f>
        <v>2.5</v>
      </c>
      <c r="L14">
        <f>+IF(E14="","",VLOOKUP(E14,CATALOGO!G:I,3,0))</f>
        <v>60</v>
      </c>
      <c r="M14" s="87">
        <f>IF('Consulta1'!I4106="","",'Consulta1'!I4106)</f>
        <v>46290</v>
      </c>
      <c r="N14" s="88" t="str">
        <f>IF('Consulta1'!J4106="","",'Consulta1'!J4106)</f>
        <v>45213</v>
      </c>
    </row>
    <row r="15" spans="1:14" ht="18.75" x14ac:dyDescent="0.25">
      <c r="A15" s="82" t="str">
        <f>IF('Consulta1'!A4107="","",'Consulta1'!A4107)</f>
        <v>Chanitos Premium Tarima Chep</v>
      </c>
      <c r="B15" s="82" t="str">
        <f>IF('Consulta1'!B4107="","",'Consulta1'!B4107)</f>
        <v>CPR01102</v>
      </c>
      <c r="C15" s="83" t="str">
        <f>IF('Consulta1'!C4107="","",'Consulta1'!C4107)</f>
        <v>A01002-392109-1</v>
      </c>
      <c r="D15" s="84" t="str">
        <f>IF('Consulta1'!D4107="","",'Consulta1'!D4107)</f>
        <v>A01 002 Fortaleza</v>
      </c>
      <c r="E15" s="82" t="str">
        <f>IF('Consulta1'!E4107="","",'Consulta1'!E4107)</f>
        <v>MTY</v>
      </c>
      <c r="F15">
        <f>+IF(E15="","",VLOOKUP(E15,CATALOGO!G:L,6,0))</f>
        <v>2</v>
      </c>
      <c r="G15" s="85">
        <f>IF('Consulta1'!F4107="","",'Consulta1'!F4107)</f>
        <v>859</v>
      </c>
      <c r="H15" s="85">
        <f>IF('Consulta1'!G4107="","",'Consulta1'!G4107)</f>
        <v>17.895833333333332</v>
      </c>
      <c r="I15" s="86">
        <f>IF('Consulta1'!H4107="","",'Consulta1'!H4107)</f>
        <v>46286</v>
      </c>
      <c r="J15">
        <f t="shared" si="0"/>
        <v>39</v>
      </c>
      <c r="K15">
        <f>+IF(E15="","",VLOOKUP(E15,CATALOGO!G:I,2,0))</f>
        <v>2.5</v>
      </c>
      <c r="L15">
        <f>+IF(E15="","",VLOOKUP(E15,CATALOGO!G:I,3,0))</f>
        <v>60</v>
      </c>
      <c r="M15" s="87">
        <f>IF('Consulta1'!I4107="","",'Consulta1'!I4107)</f>
        <v>46290</v>
      </c>
      <c r="N15" s="88" t="str">
        <f>IF('Consulta1'!J4107="","",'Consulta1'!J4107)</f>
        <v>45213</v>
      </c>
    </row>
    <row r="16" spans="1:14" ht="18.75" x14ac:dyDescent="0.25">
      <c r="A16" s="82" t="str">
        <f>IF('Consulta1'!A4108="","",'Consulta1'!A4108)</f>
        <v>Chanitos Premium Tarima Chep</v>
      </c>
      <c r="B16" s="82" t="str">
        <f>IF('Consulta1'!B4108="","",'Consulta1'!B4108)</f>
        <v>CPR01102</v>
      </c>
      <c r="C16" s="83" t="str">
        <f>IF('Consulta1'!C4108="","",'Consulta1'!C4108)</f>
        <v>A01002-392109-1</v>
      </c>
      <c r="D16" s="84" t="str">
        <f>IF('Consulta1'!D4108="","",'Consulta1'!D4108)</f>
        <v>A01 002 Fortaleza</v>
      </c>
      <c r="E16" s="82" t="str">
        <f>IF('Consulta1'!E4108="","",'Consulta1'!E4108)</f>
        <v>CEDA</v>
      </c>
      <c r="F16">
        <f>+IF(E16="","",VLOOKUP(E16,CATALOGO!G:L,6,0))</f>
        <v>0</v>
      </c>
      <c r="G16" s="85">
        <f>IF('Consulta1'!F4108="","",'Consulta1'!F4108)</f>
        <v>192</v>
      </c>
      <c r="H16" s="85">
        <f>IF('Consulta1'!G4108="","",'Consulta1'!G4108)</f>
        <v>4</v>
      </c>
      <c r="I16" s="86">
        <f>IF('Consulta1'!H4108="","",'Consulta1'!H4108)</f>
        <v>46286</v>
      </c>
      <c r="J16">
        <f t="shared" si="0"/>
        <v>39</v>
      </c>
      <c r="K16">
        <f>+IF(E16="","",VLOOKUP(E16,CATALOGO!G:I,2,0))</f>
        <v>1.5</v>
      </c>
      <c r="L16">
        <f>+IF(E16="","",VLOOKUP(E16,CATALOGO!G:I,3,0))</f>
        <v>36</v>
      </c>
      <c r="M16" s="87">
        <f>IF('Consulta1'!I4108="","",'Consulta1'!I4108)</f>
        <v>46288</v>
      </c>
      <c r="N16" s="88" t="str">
        <f>IF('Consulta1'!J4108="","",'Consulta1'!J4108)</f>
        <v>0</v>
      </c>
    </row>
    <row r="17" spans="1:14" ht="18.75" x14ac:dyDescent="0.25">
      <c r="A17" s="82" t="str">
        <f>IF('Consulta1'!A4109="","",'Consulta1'!A4109)</f>
        <v>Chanitos Premium Granel</v>
      </c>
      <c r="B17" s="82" t="str">
        <f>IF('Consulta1'!B4109="","",'Consulta1'!B4109)</f>
        <v>CPR01101</v>
      </c>
      <c r="C17" s="83" t="str">
        <f>IF('Consulta1'!C4109="","",'Consulta1'!C4109)</f>
        <v>A01002-392109-1</v>
      </c>
      <c r="D17" s="84" t="str">
        <f>IF('Consulta1'!D4109="","",'Consulta1'!D4109)</f>
        <v>A01 002 Fortaleza</v>
      </c>
      <c r="E17" s="82" t="str">
        <f>IF('Consulta1'!E4109="","",'Consulta1'!E4109)</f>
        <v>CEDA</v>
      </c>
      <c r="F17">
        <f>+IF(E17="","",VLOOKUP(E17,CATALOGO!G:L,6,0))</f>
        <v>0</v>
      </c>
      <c r="G17" s="85">
        <f>IF('Consulta1'!F4109="","",'Consulta1'!F4109)</f>
        <v>8</v>
      </c>
      <c r="H17" s="85" t="str">
        <f>IF('Consulta1'!G4109="","",'Consulta1'!G4109)</f>
        <v>Granel</v>
      </c>
      <c r="I17" s="86">
        <f>IF('Consulta1'!H4109="","",'Consulta1'!H4109)</f>
        <v>46286</v>
      </c>
      <c r="J17">
        <f t="shared" si="0"/>
        <v>39</v>
      </c>
      <c r="K17">
        <f>+IF(E17="","",VLOOKUP(E17,CATALOGO!G:I,2,0))</f>
        <v>1.5</v>
      </c>
      <c r="L17">
        <f>+IF(E17="","",VLOOKUP(E17,CATALOGO!G:I,3,0))</f>
        <v>36</v>
      </c>
      <c r="M17" s="87">
        <f>IF('Consulta1'!I4109="","",'Consulta1'!I4109)</f>
        <v>46288</v>
      </c>
      <c r="N17" s="88" t="str">
        <f>IF('Consulta1'!J4109="","",'Consulta1'!J4109)</f>
        <v>0</v>
      </c>
    </row>
    <row r="18" spans="1:14" ht="18.75" x14ac:dyDescent="0.25">
      <c r="A18" s="82" t="str">
        <f>IF('Consulta1'!A4110="","",'Consulta1'!A4110)</f>
        <v>Chanitos Cha Cha Cha (2da) Granel</v>
      </c>
      <c r="B18" s="82" t="str">
        <f>IF('Consulta1'!B4110="","",'Consulta1'!B4110)</f>
        <v>CSA04120</v>
      </c>
      <c r="C18" s="83" t="str">
        <f>IF('Consulta1'!C4110="","",'Consulta1'!C4110)</f>
        <v>A01002-392109-4</v>
      </c>
      <c r="D18" s="84" t="str">
        <f>IF('Consulta1'!D4110="","",'Consulta1'!D4110)</f>
        <v>A01 002 Fortaleza</v>
      </c>
      <c r="E18" s="82" t="str">
        <f>IF('Consulta1'!E4110="","",'Consulta1'!E4110)</f>
        <v>CEDA</v>
      </c>
      <c r="F18">
        <f>+IF(E18="","",VLOOKUP(E18,CATALOGO!G:L,6,0))</f>
        <v>0</v>
      </c>
      <c r="G18" s="85">
        <f>IF('Consulta1'!F4110="","",'Consulta1'!F4110)</f>
        <v>43</v>
      </c>
      <c r="H18" s="85" t="str">
        <f>IF('Consulta1'!G4110="","",'Consulta1'!G4110)</f>
        <v>Granel</v>
      </c>
      <c r="I18" s="86">
        <f>IF('Consulta1'!H4110="","",'Consulta1'!H4110)</f>
        <v>46286</v>
      </c>
      <c r="J18">
        <f t="shared" si="0"/>
        <v>39</v>
      </c>
      <c r="K18">
        <f>+IF(E18="","",VLOOKUP(E18,CATALOGO!G:I,2,0))</f>
        <v>1.5</v>
      </c>
      <c r="L18">
        <f>+IF(E18="","",VLOOKUP(E18,CATALOGO!G:I,3,0))</f>
        <v>36</v>
      </c>
      <c r="M18" s="87">
        <f>IF('Consulta1'!I4110="","",'Consulta1'!I4110)</f>
        <v>46288</v>
      </c>
      <c r="N18" s="88" t="str">
        <f>IF('Consulta1'!J4110="","",'Consulta1'!J4110)</f>
        <v>0</v>
      </c>
    </row>
    <row r="19" spans="1:14" ht="18.75" x14ac:dyDescent="0.25">
      <c r="A19" s="82" t="str">
        <f>IF('Consulta1'!A4111="","",'Consulta1'!A4111)</f>
        <v>Chanitos Manitas Granel</v>
      </c>
      <c r="B19" s="82" t="str">
        <f>IF('Consulta1'!B4111="","",'Consulta1'!B4111)</f>
        <v>CMN05123</v>
      </c>
      <c r="C19" s="83" t="str">
        <f>IF('Consulta1'!C4111="","",'Consulta1'!C4111)</f>
        <v>A01002-392109-3</v>
      </c>
      <c r="D19" s="84" t="str">
        <f>IF('Consulta1'!D4111="","",'Consulta1'!D4111)</f>
        <v>A01 002 Fortaleza</v>
      </c>
      <c r="E19" s="82" t="str">
        <f>IF('Consulta1'!E4111="","",'Consulta1'!E4111)</f>
        <v>CEDA</v>
      </c>
      <c r="F19">
        <f>+IF(E19="","",VLOOKUP(E19,CATALOGO!G:L,6,0))</f>
        <v>0</v>
      </c>
      <c r="G19" s="85">
        <f>IF('Consulta1'!F4111="","",'Consulta1'!F4111)</f>
        <v>10</v>
      </c>
      <c r="H19" s="85" t="str">
        <f>IF('Consulta1'!G4111="","",'Consulta1'!G4111)</f>
        <v>Granel</v>
      </c>
      <c r="I19" s="86">
        <f>IF('Consulta1'!H4111="","",'Consulta1'!H4111)</f>
        <v>46286</v>
      </c>
      <c r="J19">
        <f t="shared" si="0"/>
        <v>39</v>
      </c>
      <c r="K19">
        <f>+IF(E19="","",VLOOKUP(E19,CATALOGO!G:I,2,0))</f>
        <v>1.5</v>
      </c>
      <c r="L19">
        <f>+IF(E19="","",VLOOKUP(E19,CATALOGO!G:I,3,0))</f>
        <v>36</v>
      </c>
      <c r="M19" s="87">
        <f>IF('Consulta1'!I4111="","",'Consulta1'!I4111)</f>
        <v>46288</v>
      </c>
      <c r="N19" s="88" t="str">
        <f>IF('Consulta1'!J4111="","",'Consulta1'!J4111)</f>
        <v>0</v>
      </c>
    </row>
    <row r="20" spans="1:14" ht="18.75" x14ac:dyDescent="0.25">
      <c r="A20" s="82" t="str">
        <f>IF('Consulta1'!A4112="","",'Consulta1'!A4112)</f>
        <v>Chanitos Manitas Granel</v>
      </c>
      <c r="B20" s="82" t="str">
        <f>IF('Consulta1'!B4112="","",'Consulta1'!B4112)</f>
        <v>CMN05123</v>
      </c>
      <c r="C20" s="83" t="str">
        <f>IF('Consulta1'!C4112="","",'Consulta1'!C4112)</f>
        <v>A01002-392109-3</v>
      </c>
      <c r="D20" s="84" t="str">
        <f>IF('Consulta1'!D4112="","",'Consulta1'!D4112)</f>
        <v>A01 002 Fortaleza</v>
      </c>
      <c r="E20" s="82" t="str">
        <f>IF('Consulta1'!E4112="","",'Consulta1'!E4112)</f>
        <v>CEDA</v>
      </c>
      <c r="F20">
        <f>+IF(E20="","",VLOOKUP(E20,CATALOGO!G:L,6,0))</f>
        <v>0</v>
      </c>
      <c r="G20" s="85">
        <f>IF('Consulta1'!F4112="","",'Consulta1'!F4112)</f>
        <v>25</v>
      </c>
      <c r="H20" s="85" t="str">
        <f>IF('Consulta1'!G4112="","",'Consulta1'!G4112)</f>
        <v>Granel</v>
      </c>
      <c r="I20" s="86">
        <f>IF('Consulta1'!H4112="","",'Consulta1'!H4112)</f>
        <v>46286</v>
      </c>
      <c r="J20">
        <f t="shared" si="0"/>
        <v>39</v>
      </c>
      <c r="K20">
        <f>+IF(E20="","",VLOOKUP(E20,CATALOGO!G:I,2,0))</f>
        <v>1.5</v>
      </c>
      <c r="L20">
        <f>+IF(E20="","",VLOOKUP(E20,CATALOGO!G:I,3,0))</f>
        <v>36</v>
      </c>
      <c r="M20" s="87">
        <f>IF('Consulta1'!I4112="","",'Consulta1'!I4112)</f>
        <v>46288</v>
      </c>
      <c r="N20" s="88" t="str">
        <f>IF('Consulta1'!J4112="","",'Consulta1'!J4112)</f>
        <v>0</v>
      </c>
    </row>
    <row r="21" spans="1:14" ht="18.75" x14ac:dyDescent="0.25">
      <c r="A21" s="82" t="str">
        <f>IF('Consulta1'!A4113="","",'Consulta1'!A4113)</f>
        <v>Chanitos Cha Cha Cha (DS) Granel</v>
      </c>
      <c r="B21" s="82" t="str">
        <f>IF('Consulta1'!B4113="","",'Consulta1'!B4113)</f>
        <v>CDS04122</v>
      </c>
      <c r="C21" s="83" t="str">
        <f>IF('Consulta1'!C4113="","",'Consulta1'!C4113)</f>
        <v>A01002-392109-5</v>
      </c>
      <c r="D21" s="84" t="str">
        <f>IF('Consulta1'!D4113="","",'Consulta1'!D4113)</f>
        <v>A01 002 Fortaleza</v>
      </c>
      <c r="E21" s="82" t="str">
        <f>IF('Consulta1'!E4113="","",'Consulta1'!E4113)</f>
        <v>CEDA</v>
      </c>
      <c r="F21">
        <f>+IF(E21="","",VLOOKUP(E21,CATALOGO!G:L,6,0))</f>
        <v>0</v>
      </c>
      <c r="G21" s="85">
        <f>IF('Consulta1'!F4113="","",'Consulta1'!F4113)</f>
        <v>24</v>
      </c>
      <c r="H21" s="85" t="str">
        <f>IF('Consulta1'!G4113="","",'Consulta1'!G4113)</f>
        <v>Granel</v>
      </c>
      <c r="I21" s="86">
        <f>IF('Consulta1'!H4113="","",'Consulta1'!H4113)</f>
        <v>46286</v>
      </c>
      <c r="J21">
        <f t="shared" si="0"/>
        <v>39</v>
      </c>
      <c r="K21">
        <f>+IF(E21="","",VLOOKUP(E21,CATALOGO!G:I,2,0))</f>
        <v>1.5</v>
      </c>
      <c r="L21">
        <f>+IF(E21="","",VLOOKUP(E21,CATALOGO!G:I,3,0))</f>
        <v>36</v>
      </c>
      <c r="M21" s="87">
        <f>IF('Consulta1'!I4113="","",'Consulta1'!I4113)</f>
        <v>46288</v>
      </c>
      <c r="N21" s="88" t="str">
        <f>IF('Consulta1'!J4113="","",'Consulta1'!J4113)</f>
        <v>0</v>
      </c>
    </row>
    <row r="22" spans="1:14" ht="18.75" x14ac:dyDescent="0.25">
      <c r="A22" s="82" t="str">
        <f>IF('Consulta1'!A4114="","",'Consulta1'!A4114)</f>
        <v>Chanitos Premium Tarima Americana</v>
      </c>
      <c r="B22" s="82" t="str">
        <f>IF('Consulta1'!B4114="","",'Consulta1'!B4114)</f>
        <v>CPR01103</v>
      </c>
      <c r="C22" s="83" t="str">
        <f>IF('Consulta1'!C4114="","",'Consulta1'!C4114)</f>
        <v>A01004-392109-1</v>
      </c>
      <c r="D22" s="84" t="str">
        <f>IF('Consulta1'!D4114="","",'Consulta1'!D4114)</f>
        <v>A01 004 La Ceiba</v>
      </c>
      <c r="E22" s="82" t="str">
        <f>IF('Consulta1'!E4114="","",'Consulta1'!E4114)</f>
        <v>S-MTY</v>
      </c>
      <c r="F22">
        <f>+IF(E22="","",VLOOKUP(E22,CATALOGO!G:L,6,0))</f>
        <v>1</v>
      </c>
      <c r="G22" s="85">
        <f>IF('Consulta1'!F4114="","",'Consulta1'!F4114)</f>
        <v>480</v>
      </c>
      <c r="H22" s="85">
        <f>IF('Consulta1'!G4114="","",'Consulta1'!G4114)</f>
        <v>10</v>
      </c>
      <c r="I22" s="86">
        <f>IF('Consulta1'!H4114="","",'Consulta1'!H4114)</f>
        <v>46286</v>
      </c>
      <c r="J22">
        <f t="shared" si="0"/>
        <v>39</v>
      </c>
      <c r="K22">
        <f>+IF(E22="","",VLOOKUP(E22,CATALOGO!G:I,2,0))</f>
        <v>3</v>
      </c>
      <c r="L22">
        <f>+IF(E22="","",VLOOKUP(E22,CATALOGO!G:I,3,0))</f>
        <v>72</v>
      </c>
      <c r="M22" s="87">
        <f>IF('Consulta1'!I4114="","",'Consulta1'!I4114)</f>
        <v>46290</v>
      </c>
      <c r="N22" s="88" t="str">
        <f>IF('Consulta1'!J4114="","",'Consulta1'!J4114)</f>
        <v>43805</v>
      </c>
    </row>
    <row r="23" spans="1:14" ht="18.75" x14ac:dyDescent="0.25">
      <c r="A23" s="82" t="str">
        <f>IF('Consulta1'!A4115="","",'Consulta1'!A4115)</f>
        <v>Chanitos Premium Tarima Chep</v>
      </c>
      <c r="B23" s="82" t="str">
        <f>IF('Consulta1'!B4115="","",'Consulta1'!B4115)</f>
        <v>CPR01102</v>
      </c>
      <c r="C23" s="83" t="str">
        <f>IF('Consulta1'!C4115="","",'Consulta1'!C4115)</f>
        <v>A01004-392109-1</v>
      </c>
      <c r="D23" s="84" t="str">
        <f>IF('Consulta1'!D4115="","",'Consulta1'!D4115)</f>
        <v>A01 004 La Ceiba</v>
      </c>
      <c r="E23" s="82" t="str">
        <f>IF('Consulta1'!E4115="","",'Consulta1'!E4115)</f>
        <v>MTY</v>
      </c>
      <c r="F23">
        <f>+IF(E23="","",VLOOKUP(E23,CATALOGO!G:L,6,0))</f>
        <v>2</v>
      </c>
      <c r="G23" s="85">
        <f>IF('Consulta1'!F4115="","",'Consulta1'!F4115)</f>
        <v>240</v>
      </c>
      <c r="H23" s="85">
        <f>IF('Consulta1'!G4115="","",'Consulta1'!G4115)</f>
        <v>5</v>
      </c>
      <c r="I23" s="86">
        <f>IF('Consulta1'!H4115="","",'Consulta1'!H4115)</f>
        <v>46286</v>
      </c>
      <c r="J23">
        <f t="shared" si="0"/>
        <v>39</v>
      </c>
      <c r="K23">
        <f>+IF(E23="","",VLOOKUP(E23,CATALOGO!G:I,2,0))</f>
        <v>2.5</v>
      </c>
      <c r="L23">
        <f>+IF(E23="","",VLOOKUP(E23,CATALOGO!G:I,3,0))</f>
        <v>60</v>
      </c>
      <c r="M23" s="87">
        <f>IF('Consulta1'!I4115="","",'Consulta1'!I4115)</f>
        <v>46290</v>
      </c>
      <c r="N23" s="88" t="str">
        <f>IF('Consulta1'!J4115="","",'Consulta1'!J4115)</f>
        <v>45213</v>
      </c>
    </row>
    <row r="24" spans="1:14" ht="18.75" x14ac:dyDescent="0.25">
      <c r="A24" s="82" t="str">
        <f>IF('Consulta1'!A4116="","",'Consulta1'!A4116)</f>
        <v>Chanitos Premium EUA Tarima Americana</v>
      </c>
      <c r="B24" s="82" t="str">
        <f>IF('Consulta1'!B4116="","",'Consulta1'!B4116)</f>
        <v>CPR01104</v>
      </c>
      <c r="C24" s="83" t="str">
        <f>IF('Consulta1'!C4116="","",'Consulta1'!C4116)</f>
        <v>A01004-392109-1</v>
      </c>
      <c r="D24" s="84" t="str">
        <f>IF('Consulta1'!D4116="","",'Consulta1'!D4116)</f>
        <v>A01 004 La Ceiba</v>
      </c>
      <c r="E24" s="82" t="str">
        <f>IF('Consulta1'!E4116="","",'Consulta1'!E4116)</f>
        <v>McAllen</v>
      </c>
      <c r="F24">
        <f>+IF(E24="","",VLOOKUP(E24,CATALOGO!G:L,6,0))</f>
        <v>8</v>
      </c>
      <c r="G24" s="85">
        <f>IF('Consulta1'!F4116="","",'Consulta1'!F4116)</f>
        <v>480</v>
      </c>
      <c r="H24" s="85">
        <f>IF('Consulta1'!G4116="","",'Consulta1'!G4116)</f>
        <v>10</v>
      </c>
      <c r="I24" s="86">
        <f>IF('Consulta1'!H4116="","",'Consulta1'!H4116)</f>
        <v>46286</v>
      </c>
      <c r="J24">
        <f t="shared" si="0"/>
        <v>39</v>
      </c>
      <c r="K24">
        <f>+IF(E24="","",VLOOKUP(E24,CATALOGO!G:I,2,0))</f>
        <v>3</v>
      </c>
      <c r="L24">
        <f>+IF(E24="","",VLOOKUP(E24,CATALOGO!G:I,3,0))</f>
        <v>72</v>
      </c>
      <c r="M24" s="87">
        <f>IF('Consulta1'!I4116="","",'Consulta1'!I4116)</f>
        <v>46290</v>
      </c>
      <c r="N24" s="88" t="str">
        <f>IF('Consulta1'!J4116="","",'Consulta1'!J4116)</f>
        <v/>
      </c>
    </row>
    <row r="25" spans="1:14" ht="18.75" x14ac:dyDescent="0.25">
      <c r="A25" s="82" t="str">
        <f>IF('Consulta1'!A4117="","",'Consulta1'!A4117)</f>
        <v>Chanitos Premium Granel</v>
      </c>
      <c r="B25" s="82" t="str">
        <f>IF('Consulta1'!B4117="","",'Consulta1'!B4117)</f>
        <v>CPR01101</v>
      </c>
      <c r="C25" s="83" t="str">
        <f>IF('Consulta1'!C4117="","",'Consulta1'!C4117)</f>
        <v>A01004-392109-1</v>
      </c>
      <c r="D25" s="84" t="str">
        <f>IF('Consulta1'!D4117="","",'Consulta1'!D4117)</f>
        <v>A01 004 La Ceiba</v>
      </c>
      <c r="E25" s="82" t="str">
        <f>IF('Consulta1'!E4117="","",'Consulta1'!E4117)</f>
        <v>CEDA</v>
      </c>
      <c r="F25">
        <f>+IF(E25="","",VLOOKUP(E25,CATALOGO!G:L,6,0))</f>
        <v>0</v>
      </c>
      <c r="G25" s="85">
        <f>IF('Consulta1'!F4117="","",'Consulta1'!F4117)</f>
        <v>70</v>
      </c>
      <c r="H25" s="85" t="str">
        <f>IF('Consulta1'!G4117="","",'Consulta1'!G4117)</f>
        <v>Granel</v>
      </c>
      <c r="I25" s="86">
        <f>IF('Consulta1'!H4117="","",'Consulta1'!H4117)</f>
        <v>46286</v>
      </c>
      <c r="J25">
        <f t="shared" si="0"/>
        <v>39</v>
      </c>
      <c r="K25">
        <f>+IF(E25="","",VLOOKUP(E25,CATALOGO!G:I,2,0))</f>
        <v>1.5</v>
      </c>
      <c r="L25">
        <f>+IF(E25="","",VLOOKUP(E25,CATALOGO!G:I,3,0))</f>
        <v>36</v>
      </c>
      <c r="M25" s="87">
        <f>IF('Consulta1'!I4117="","",'Consulta1'!I4117)</f>
        <v>46288</v>
      </c>
      <c r="N25" s="88" t="str">
        <f>IF('Consulta1'!J4117="","",'Consulta1'!J4117)</f>
        <v>0</v>
      </c>
    </row>
    <row r="26" spans="1:14" ht="18.75" x14ac:dyDescent="0.25">
      <c r="A26" s="82" t="str">
        <f>IF('Consulta1'!A4118="","",'Consulta1'!A4118)</f>
        <v>Chanitos Cha Cha Cha (2da) Granel</v>
      </c>
      <c r="B26" s="82" t="str">
        <f>IF('Consulta1'!B4118="","",'Consulta1'!B4118)</f>
        <v>CSA04120</v>
      </c>
      <c r="C26" s="83" t="str">
        <f>IF('Consulta1'!C4118="","",'Consulta1'!C4118)</f>
        <v>A01004-392109-4</v>
      </c>
      <c r="D26" s="84" t="str">
        <f>IF('Consulta1'!D4118="","",'Consulta1'!D4118)</f>
        <v>A01 004 La Ceiba</v>
      </c>
      <c r="E26" s="82" t="str">
        <f>IF('Consulta1'!E4118="","",'Consulta1'!E4118)</f>
        <v>CEDA</v>
      </c>
      <c r="F26">
        <f>+IF(E26="","",VLOOKUP(E26,CATALOGO!G:L,6,0))</f>
        <v>0</v>
      </c>
      <c r="G26" s="85">
        <f>IF('Consulta1'!F4118="","",'Consulta1'!F4118)</f>
        <v>18</v>
      </c>
      <c r="H26" s="85" t="str">
        <f>IF('Consulta1'!G4118="","",'Consulta1'!G4118)</f>
        <v>Granel</v>
      </c>
      <c r="I26" s="86">
        <f>IF('Consulta1'!H4118="","",'Consulta1'!H4118)</f>
        <v>46286</v>
      </c>
      <c r="J26">
        <f t="shared" si="0"/>
        <v>39</v>
      </c>
      <c r="K26">
        <f>+IF(E26="","",VLOOKUP(E26,CATALOGO!G:I,2,0))</f>
        <v>1.5</v>
      </c>
      <c r="L26">
        <f>+IF(E26="","",VLOOKUP(E26,CATALOGO!G:I,3,0))</f>
        <v>36</v>
      </c>
      <c r="M26" s="87">
        <f>IF('Consulta1'!I4118="","",'Consulta1'!I4118)</f>
        <v>46288</v>
      </c>
      <c r="N26" s="88" t="str">
        <f>IF('Consulta1'!J4118="","",'Consulta1'!J4118)</f>
        <v>0</v>
      </c>
    </row>
    <row r="27" spans="1:14" ht="18.75" x14ac:dyDescent="0.25">
      <c r="A27" s="82" t="str">
        <f>IF('Consulta1'!A4119="","",'Consulta1'!A4119)</f>
        <v>Chanitos Manitas Granel</v>
      </c>
      <c r="B27" s="82" t="str">
        <f>IF('Consulta1'!B4119="","",'Consulta1'!B4119)</f>
        <v>CMN05123</v>
      </c>
      <c r="C27" s="83" t="str">
        <f>IF('Consulta1'!C4119="","",'Consulta1'!C4119)</f>
        <v>A01004-392109-3</v>
      </c>
      <c r="D27" s="84" t="str">
        <f>IF('Consulta1'!D4119="","",'Consulta1'!D4119)</f>
        <v>A01 004 La Ceiba</v>
      </c>
      <c r="E27" s="82" t="str">
        <f>IF('Consulta1'!E4119="","",'Consulta1'!E4119)</f>
        <v>CEDA</v>
      </c>
      <c r="F27">
        <f>+IF(E27="","",VLOOKUP(E27,CATALOGO!G:L,6,0))</f>
        <v>0</v>
      </c>
      <c r="G27" s="85">
        <f>IF('Consulta1'!F4119="","",'Consulta1'!F4119)</f>
        <v>6</v>
      </c>
      <c r="H27" s="85" t="str">
        <f>IF('Consulta1'!G4119="","",'Consulta1'!G4119)</f>
        <v>Granel</v>
      </c>
      <c r="I27" s="86">
        <f>IF('Consulta1'!H4119="","",'Consulta1'!H4119)</f>
        <v>46286</v>
      </c>
      <c r="J27">
        <f t="shared" si="0"/>
        <v>39</v>
      </c>
      <c r="K27">
        <f>+IF(E27="","",VLOOKUP(E27,CATALOGO!G:I,2,0))</f>
        <v>1.5</v>
      </c>
      <c r="L27">
        <f>+IF(E27="","",VLOOKUP(E27,CATALOGO!G:I,3,0))</f>
        <v>36</v>
      </c>
      <c r="M27" s="87">
        <f>IF('Consulta1'!I4119="","",'Consulta1'!I4119)</f>
        <v>46288</v>
      </c>
      <c r="N27" s="88" t="str">
        <f>IF('Consulta1'!J4119="","",'Consulta1'!J4119)</f>
        <v>0</v>
      </c>
    </row>
    <row r="28" spans="1:14" ht="18.75" x14ac:dyDescent="0.25">
      <c r="A28" s="82" t="str">
        <f>IF('Consulta1'!A4120="","",'Consulta1'!A4120)</f>
        <v>Chanitos Cha Cha Cha (DS) Granel</v>
      </c>
      <c r="B28" s="82" t="str">
        <f>IF('Consulta1'!B4120="","",'Consulta1'!B4120)</f>
        <v>CDS04122</v>
      </c>
      <c r="C28" s="83" t="str">
        <f>IF('Consulta1'!C4120="","",'Consulta1'!C4120)</f>
        <v>A01004-392109-5</v>
      </c>
      <c r="D28" s="84" t="str">
        <f>IF('Consulta1'!D4120="","",'Consulta1'!D4120)</f>
        <v>A01 004 La Ceiba</v>
      </c>
      <c r="E28" s="82" t="str">
        <f>IF('Consulta1'!E4120="","",'Consulta1'!E4120)</f>
        <v>CEDA</v>
      </c>
      <c r="F28">
        <f>+IF(E28="","",VLOOKUP(E28,CATALOGO!G:L,6,0))</f>
        <v>0</v>
      </c>
      <c r="G28" s="85">
        <f>IF('Consulta1'!F4120="","",'Consulta1'!F4120)</f>
        <v>48</v>
      </c>
      <c r="H28" s="85" t="str">
        <f>IF('Consulta1'!G4120="","",'Consulta1'!G4120)</f>
        <v>Granel</v>
      </c>
      <c r="I28" s="86">
        <f>IF('Consulta1'!H4120="","",'Consulta1'!H4120)</f>
        <v>46286</v>
      </c>
      <c r="J28">
        <f t="shared" si="0"/>
        <v>39</v>
      </c>
      <c r="K28">
        <f>+IF(E28="","",VLOOKUP(E28,CATALOGO!G:I,2,0))</f>
        <v>1.5</v>
      </c>
      <c r="L28">
        <f>+IF(E28="","",VLOOKUP(E28,CATALOGO!G:I,3,0))</f>
        <v>36</v>
      </c>
      <c r="M28" s="87">
        <f>IF('Consulta1'!I4120="","",'Consulta1'!I4120)</f>
        <v>46288</v>
      </c>
      <c r="N28" s="88" t="str">
        <f>IF('Consulta1'!J4120="","",'Consulta1'!J4120)</f>
        <v>0</v>
      </c>
    </row>
    <row r="29" spans="1:14" ht="18.75" x14ac:dyDescent="0.25">
      <c r="A29" s="82" t="str">
        <f>IF('Consulta1'!A4121="","",'Consulta1'!A4121)</f>
        <v>Chanitos Premium EUA Tarima Americana</v>
      </c>
      <c r="B29" s="82" t="str">
        <f>IF('Consulta1'!B4121="","",'Consulta1'!B4121)</f>
        <v>CPR01104</v>
      </c>
      <c r="C29" s="83" t="str">
        <f>IF('Consulta1'!C4121="","",'Consulta1'!C4121)</f>
        <v>A01003-392209-1</v>
      </c>
      <c r="D29" s="84" t="str">
        <f>IF('Consulta1'!D4121="","",'Consulta1'!D4121)</f>
        <v>A01 003 Doña Nelly</v>
      </c>
      <c r="E29" s="82" t="str">
        <f>IF('Consulta1'!E4121="","",'Consulta1'!E4121)</f>
        <v>McAllen</v>
      </c>
      <c r="F29">
        <f>+IF(E29="","",VLOOKUP(E29,CATALOGO!G:L,6,0))</f>
        <v>8</v>
      </c>
      <c r="G29" s="85">
        <f>IF('Consulta1'!F4121="","",'Consulta1'!F4121)</f>
        <v>480</v>
      </c>
      <c r="H29" s="85">
        <f>IF('Consulta1'!G4121="","",'Consulta1'!G4121)</f>
        <v>10</v>
      </c>
      <c r="I29" s="86">
        <f>IF('Consulta1'!H4121="","",'Consulta1'!H4121)</f>
        <v>46287</v>
      </c>
      <c r="J29">
        <f t="shared" si="0"/>
        <v>39</v>
      </c>
      <c r="K29">
        <f>+IF(E29="","",VLOOKUP(E29,CATALOGO!G:I,2,0))</f>
        <v>3</v>
      </c>
      <c r="L29">
        <f>+IF(E29="","",VLOOKUP(E29,CATALOGO!G:I,3,0))</f>
        <v>72</v>
      </c>
      <c r="M29" s="87">
        <f>IF('Consulta1'!I4121="","",'Consulta1'!I4121)</f>
        <v>46290</v>
      </c>
      <c r="N29" s="88" t="str">
        <f>IF('Consulta1'!J4121="","",'Consulta1'!J4121)</f>
        <v>44552</v>
      </c>
    </row>
    <row r="30" spans="1:14" ht="18.75" x14ac:dyDescent="0.25">
      <c r="A30" s="82" t="str">
        <f>IF('Consulta1'!A4122="","",'Consulta1'!A4122)</f>
        <v>Chanitos Premium EUA Tarima Americana</v>
      </c>
      <c r="B30" s="82" t="str">
        <f>IF('Consulta1'!B4122="","",'Consulta1'!B4122)</f>
        <v>CPR01104</v>
      </c>
      <c r="C30" s="83" t="str">
        <f>IF('Consulta1'!C4122="","",'Consulta1'!C4122)</f>
        <v>A01003-392209-1</v>
      </c>
      <c r="D30" s="84" t="str">
        <f>IF('Consulta1'!D4122="","",'Consulta1'!D4122)</f>
        <v>A01 003 Doña Nelly</v>
      </c>
      <c r="E30" s="82" t="str">
        <f>IF('Consulta1'!E4122="","",'Consulta1'!E4122)</f>
        <v>McAllen</v>
      </c>
      <c r="F30">
        <f>+IF(E30="","",VLOOKUP(E30,CATALOGO!G:L,6,0))</f>
        <v>8</v>
      </c>
      <c r="G30" s="85">
        <f>IF('Consulta1'!F4122="","",'Consulta1'!F4122)</f>
        <v>480</v>
      </c>
      <c r="H30" s="85">
        <f>IF('Consulta1'!G4122="","",'Consulta1'!G4122)</f>
        <v>10</v>
      </c>
      <c r="I30" s="86">
        <f>IF('Consulta1'!H4122="","",'Consulta1'!H4122)</f>
        <v>46287</v>
      </c>
      <c r="J30">
        <f t="shared" si="0"/>
        <v>39</v>
      </c>
      <c r="K30">
        <f>+IF(E30="","",VLOOKUP(E30,CATALOGO!G:I,2,0))</f>
        <v>3</v>
      </c>
      <c r="L30">
        <f>+IF(E30="","",VLOOKUP(E30,CATALOGO!G:I,3,0))</f>
        <v>72</v>
      </c>
      <c r="M30" s="87">
        <f>IF('Consulta1'!I4122="","",'Consulta1'!I4122)</f>
        <v>46291</v>
      </c>
      <c r="N30" s="88" t="str">
        <f>IF('Consulta1'!J4122="","",'Consulta1'!J4122)</f>
        <v/>
      </c>
    </row>
    <row r="31" spans="1:14" ht="18.75" x14ac:dyDescent="0.25">
      <c r="A31" s="82" t="str">
        <f>IF('Consulta1'!A4123="","",'Consulta1'!A4123)</f>
        <v>Chanitos Premium Tarima Chep</v>
      </c>
      <c r="B31" s="82" t="str">
        <f>IF('Consulta1'!B4123="","",'Consulta1'!B4123)</f>
        <v>CPR01102</v>
      </c>
      <c r="C31" s="83" t="str">
        <f>IF('Consulta1'!C4123="","",'Consulta1'!C4123)</f>
        <v>A01003-392209-1</v>
      </c>
      <c r="D31" s="84" t="str">
        <f>IF('Consulta1'!D4123="","",'Consulta1'!D4123)</f>
        <v>A01 003 Doña Nelly</v>
      </c>
      <c r="E31" s="82" t="str">
        <f>IF('Consulta1'!E4123="","",'Consulta1'!E4123)</f>
        <v>SMO</v>
      </c>
      <c r="F31">
        <f>+IF(E31="","",VLOOKUP(E31,CATALOGO!G:L,6,0))</f>
        <v>4</v>
      </c>
      <c r="G31" s="85">
        <f>IF('Consulta1'!F4123="","",'Consulta1'!F4123)</f>
        <v>672</v>
      </c>
      <c r="H31" s="85">
        <f>IF('Consulta1'!G4123="","",'Consulta1'!G4123)</f>
        <v>14</v>
      </c>
      <c r="I31" s="86">
        <f>IF('Consulta1'!H4123="","",'Consulta1'!H4123)</f>
        <v>46287</v>
      </c>
      <c r="J31">
        <f t="shared" si="0"/>
        <v>39</v>
      </c>
      <c r="K31">
        <f>+IF(E31="","",VLOOKUP(E31,CATALOGO!G:I,2,0))</f>
        <v>1.5</v>
      </c>
      <c r="L31">
        <f>+IF(E31="","",VLOOKUP(E31,CATALOGO!G:I,3,0))</f>
        <v>36</v>
      </c>
      <c r="M31" s="87">
        <f>IF('Consulta1'!I4123="","",'Consulta1'!I4123)</f>
        <v>46291</v>
      </c>
      <c r="N31" s="88" t="str">
        <f>IF('Consulta1'!J4123="","",'Consulta1'!J4123)</f>
        <v>44337</v>
      </c>
    </row>
    <row r="32" spans="1:14" ht="18.75" x14ac:dyDescent="0.25">
      <c r="A32" s="82" t="str">
        <f>IF('Consulta1'!A4124="","",'Consulta1'!A4124)</f>
        <v>Chanitos Premium Tarima Chep</v>
      </c>
      <c r="B32" s="82" t="str">
        <f>IF('Consulta1'!B4124="","",'Consulta1'!B4124)</f>
        <v>CPR01102</v>
      </c>
      <c r="C32" s="83" t="str">
        <f>IF('Consulta1'!C4124="","",'Consulta1'!C4124)</f>
        <v>A01003-392209-1</v>
      </c>
      <c r="D32" s="84" t="str">
        <f>IF('Consulta1'!D4124="","",'Consulta1'!D4124)</f>
        <v>A01 003 Doña Nelly</v>
      </c>
      <c r="E32" s="82" t="str">
        <f>IF('Consulta1'!E4124="","",'Consulta1'!E4124)</f>
        <v>CEDA</v>
      </c>
      <c r="F32">
        <f>+IF(E32="","",VLOOKUP(E32,CATALOGO!G:L,6,0))</f>
        <v>0</v>
      </c>
      <c r="G32" s="85">
        <f>IF('Consulta1'!F4124="","",'Consulta1'!F4124)</f>
        <v>192</v>
      </c>
      <c r="H32" s="85">
        <f>IF('Consulta1'!G4124="","",'Consulta1'!G4124)</f>
        <v>4</v>
      </c>
      <c r="I32" s="86">
        <f>IF('Consulta1'!H4124="","",'Consulta1'!H4124)</f>
        <v>46287</v>
      </c>
      <c r="J32">
        <f t="shared" si="0"/>
        <v>39</v>
      </c>
      <c r="K32">
        <f>+IF(E32="","",VLOOKUP(E32,CATALOGO!G:I,2,0))</f>
        <v>1.5</v>
      </c>
      <c r="L32">
        <f>+IF(E32="","",VLOOKUP(E32,CATALOGO!G:I,3,0))</f>
        <v>36</v>
      </c>
      <c r="M32" s="87">
        <f>IF('Consulta1'!I4124="","",'Consulta1'!I4124)</f>
        <v>46291</v>
      </c>
      <c r="N32" s="88" t="str">
        <f>IF('Consulta1'!J4124="","",'Consulta1'!J4124)</f>
        <v>0</v>
      </c>
    </row>
    <row r="33" spans="1:14" ht="18.75" x14ac:dyDescent="0.25">
      <c r="A33" s="82" t="str">
        <f>IF('Consulta1'!A4125="","",'Consulta1'!A4125)</f>
        <v>Chanitos Premium Granel</v>
      </c>
      <c r="B33" s="82" t="str">
        <f>IF('Consulta1'!B4125="","",'Consulta1'!B4125)</f>
        <v>CPR01101</v>
      </c>
      <c r="C33" s="83" t="str">
        <f>IF('Consulta1'!C4125="","",'Consulta1'!C4125)</f>
        <v>A01003-392209-1</v>
      </c>
      <c r="D33" s="84" t="str">
        <f>IF('Consulta1'!D4125="","",'Consulta1'!D4125)</f>
        <v>A01 003 Doña Nelly</v>
      </c>
      <c r="E33" s="82" t="str">
        <f>IF('Consulta1'!E4125="","",'Consulta1'!E4125)</f>
        <v>CEDA</v>
      </c>
      <c r="F33">
        <f>+IF(E33="","",VLOOKUP(E33,CATALOGO!G:L,6,0))</f>
        <v>0</v>
      </c>
      <c r="G33" s="85">
        <f>IF('Consulta1'!F4125="","",'Consulta1'!F4125)</f>
        <v>65</v>
      </c>
      <c r="H33" s="85" t="str">
        <f>IF('Consulta1'!G4125="","",'Consulta1'!G4125)</f>
        <v>Granel</v>
      </c>
      <c r="I33" s="86">
        <f>IF('Consulta1'!H4125="","",'Consulta1'!H4125)</f>
        <v>46287</v>
      </c>
      <c r="J33">
        <f t="shared" si="0"/>
        <v>39</v>
      </c>
      <c r="K33">
        <f>+IF(E33="","",VLOOKUP(E33,CATALOGO!G:I,2,0))</f>
        <v>1.5</v>
      </c>
      <c r="L33">
        <f>+IF(E33="","",VLOOKUP(E33,CATALOGO!G:I,3,0))</f>
        <v>36</v>
      </c>
      <c r="M33" s="87">
        <f>IF('Consulta1'!I4125="","",'Consulta1'!I4125)</f>
        <v>46288</v>
      </c>
      <c r="N33" s="88" t="str">
        <f>IF('Consulta1'!J4125="","",'Consulta1'!J4125)</f>
        <v>0</v>
      </c>
    </row>
    <row r="34" spans="1:14" ht="18.75" x14ac:dyDescent="0.25">
      <c r="A34" s="82" t="str">
        <f>IF('Consulta1'!A4126="","",'Consulta1'!A4126)</f>
        <v>Chanitos Cha Cha Cha (2da) Granel</v>
      </c>
      <c r="B34" s="82" t="str">
        <f>IF('Consulta1'!B4126="","",'Consulta1'!B4126)</f>
        <v>CSA04120</v>
      </c>
      <c r="C34" s="83" t="str">
        <f>IF('Consulta1'!C4126="","",'Consulta1'!C4126)</f>
        <v>A01003-392209-4</v>
      </c>
      <c r="D34" s="84" t="str">
        <f>IF('Consulta1'!D4126="","",'Consulta1'!D4126)</f>
        <v>A01 003 Doña Nelly</v>
      </c>
      <c r="E34" s="82" t="str">
        <f>IF('Consulta1'!E4126="","",'Consulta1'!E4126)</f>
        <v>CEDA</v>
      </c>
      <c r="F34">
        <f>+IF(E34="","",VLOOKUP(E34,CATALOGO!G:L,6,0))</f>
        <v>0</v>
      </c>
      <c r="G34" s="85">
        <f>IF('Consulta1'!F4126="","",'Consulta1'!F4126)</f>
        <v>20</v>
      </c>
      <c r="H34" s="85" t="str">
        <f>IF('Consulta1'!G4126="","",'Consulta1'!G4126)</f>
        <v>Granel</v>
      </c>
      <c r="I34" s="86">
        <f>IF('Consulta1'!H4126="","",'Consulta1'!H4126)</f>
        <v>46287</v>
      </c>
      <c r="J34">
        <f t="shared" si="0"/>
        <v>39</v>
      </c>
      <c r="K34">
        <f>+IF(E34="","",VLOOKUP(E34,CATALOGO!G:I,2,0))</f>
        <v>1.5</v>
      </c>
      <c r="L34">
        <f>+IF(E34="","",VLOOKUP(E34,CATALOGO!G:I,3,0))</f>
        <v>36</v>
      </c>
      <c r="M34" s="87">
        <f>IF('Consulta1'!I4126="","",'Consulta1'!I4126)</f>
        <v>46289</v>
      </c>
      <c r="N34" s="88" t="str">
        <f>IF('Consulta1'!J4126="","",'Consulta1'!J4126)</f>
        <v>0</v>
      </c>
    </row>
    <row r="35" spans="1:14" ht="18.75" x14ac:dyDescent="0.25">
      <c r="A35" s="82" t="str">
        <f>IF('Consulta1'!A4127="","",'Consulta1'!A4127)</f>
        <v>Chanitos Manitas Granel</v>
      </c>
      <c r="B35" s="82" t="str">
        <f>IF('Consulta1'!B4127="","",'Consulta1'!B4127)</f>
        <v>CMN05123</v>
      </c>
      <c r="C35" s="83" t="str">
        <f>IF('Consulta1'!C4127="","",'Consulta1'!C4127)</f>
        <v>A01003-392209-3</v>
      </c>
      <c r="D35" s="84" t="str">
        <f>IF('Consulta1'!D4127="","",'Consulta1'!D4127)</f>
        <v>A01 003 Doña Nelly</v>
      </c>
      <c r="E35" s="82" t="str">
        <f>IF('Consulta1'!E4127="","",'Consulta1'!E4127)</f>
        <v>CEDA</v>
      </c>
      <c r="F35">
        <f>+IF(E35="","",VLOOKUP(E35,CATALOGO!G:L,6,0))</f>
        <v>0</v>
      </c>
      <c r="G35" s="85">
        <f>IF('Consulta1'!F4127="","",'Consulta1'!F4127)</f>
        <v>27</v>
      </c>
      <c r="H35" s="85" t="str">
        <f>IF('Consulta1'!G4127="","",'Consulta1'!G4127)</f>
        <v>Granel</v>
      </c>
      <c r="I35" s="86">
        <f>IF('Consulta1'!H4127="","",'Consulta1'!H4127)</f>
        <v>46287</v>
      </c>
      <c r="J35">
        <f t="shared" si="0"/>
        <v>39</v>
      </c>
      <c r="K35">
        <f>+IF(E35="","",VLOOKUP(E35,CATALOGO!G:I,2,0))</f>
        <v>1.5</v>
      </c>
      <c r="L35">
        <f>+IF(E35="","",VLOOKUP(E35,CATALOGO!G:I,3,0))</f>
        <v>36</v>
      </c>
      <c r="M35" s="87">
        <f>IF('Consulta1'!I4127="","",'Consulta1'!I4127)</f>
        <v>46289</v>
      </c>
      <c r="N35" s="88" t="str">
        <f>IF('Consulta1'!J4127="","",'Consulta1'!J4127)</f>
        <v>0</v>
      </c>
    </row>
    <row r="36" spans="1:14" ht="18.75" x14ac:dyDescent="0.25">
      <c r="A36" s="82" t="str">
        <f>IF('Consulta1'!A4128="","",'Consulta1'!A4128)</f>
        <v>Chanitos Cha Cha Cha (DS) Granel</v>
      </c>
      <c r="B36" s="82" t="str">
        <f>IF('Consulta1'!B4128="","",'Consulta1'!B4128)</f>
        <v>CDS04122</v>
      </c>
      <c r="C36" s="83" t="str">
        <f>IF('Consulta1'!C4128="","",'Consulta1'!C4128)</f>
        <v>A01003-392209-5</v>
      </c>
      <c r="D36" s="84" t="str">
        <f>IF('Consulta1'!D4128="","",'Consulta1'!D4128)</f>
        <v>A01 003 Doña Nelly</v>
      </c>
      <c r="E36" s="82" t="str">
        <f>IF('Consulta1'!E4128="","",'Consulta1'!E4128)</f>
        <v>CEDA</v>
      </c>
      <c r="F36">
        <f>+IF(E36="","",VLOOKUP(E36,CATALOGO!G:L,6,0))</f>
        <v>0</v>
      </c>
      <c r="G36" s="85">
        <f>IF('Consulta1'!F4128="","",'Consulta1'!F4128)</f>
        <v>69</v>
      </c>
      <c r="H36" s="85" t="str">
        <f>IF('Consulta1'!G4128="","",'Consulta1'!G4128)</f>
        <v>Granel</v>
      </c>
      <c r="I36" s="86">
        <f>IF('Consulta1'!H4128="","",'Consulta1'!H4128)</f>
        <v>46287</v>
      </c>
      <c r="J36">
        <f t="shared" si="0"/>
        <v>39</v>
      </c>
      <c r="K36">
        <f>+IF(E36="","",VLOOKUP(E36,CATALOGO!G:I,2,0))</f>
        <v>1.5</v>
      </c>
      <c r="L36">
        <f>+IF(E36="","",VLOOKUP(E36,CATALOGO!G:I,3,0))</f>
        <v>36</v>
      </c>
      <c r="M36" s="87">
        <f>IF('Consulta1'!I4128="","",'Consulta1'!I4128)</f>
        <v>46289</v>
      </c>
      <c r="N36" s="88" t="str">
        <f>IF('Consulta1'!J4128="","",'Consulta1'!J4128)</f>
        <v>0</v>
      </c>
    </row>
    <row r="37" spans="1:14" ht="18.75" x14ac:dyDescent="0.25">
      <c r="A37" s="82" t="str">
        <f>IF('Consulta1'!A4129="","",'Consulta1'!A4129)</f>
        <v>Chanitos Premium Tarima Chep</v>
      </c>
      <c r="B37" s="82" t="str">
        <f>IF('Consulta1'!B4129="","",'Consulta1'!B4129)</f>
        <v>CPR01102</v>
      </c>
      <c r="C37" s="83" t="str">
        <f>IF('Consulta1'!C4129="","",'Consulta1'!C4129)</f>
        <v>A01002-392209-1</v>
      </c>
      <c r="D37" s="84" t="str">
        <f>IF('Consulta1'!D4129="","",'Consulta1'!D4129)</f>
        <v>A01 002 Fortaleza</v>
      </c>
      <c r="E37" s="82" t="str">
        <f>IF('Consulta1'!E4129="","",'Consulta1'!E4129)</f>
        <v>SMO</v>
      </c>
      <c r="F37">
        <f>+IF(E37="","",VLOOKUP(E37,CATALOGO!G:L,6,0))</f>
        <v>4</v>
      </c>
      <c r="G37" s="85">
        <f>IF('Consulta1'!F4129="","",'Consulta1'!F4129)</f>
        <v>384</v>
      </c>
      <c r="H37" s="85">
        <f>IF('Consulta1'!G4129="","",'Consulta1'!G4129)</f>
        <v>8</v>
      </c>
      <c r="I37" s="86">
        <f>IF('Consulta1'!H4129="","",'Consulta1'!H4129)</f>
        <v>46287</v>
      </c>
      <c r="J37">
        <f t="shared" si="0"/>
        <v>39</v>
      </c>
      <c r="K37">
        <f>+IF(E37="","",VLOOKUP(E37,CATALOGO!G:I,2,0))</f>
        <v>1.5</v>
      </c>
      <c r="L37">
        <f>+IF(E37="","",VLOOKUP(E37,CATALOGO!G:I,3,0))</f>
        <v>36</v>
      </c>
      <c r="M37" s="87">
        <f>IF('Consulta1'!I4129="","",'Consulta1'!I4129)</f>
        <v>46291</v>
      </c>
      <c r="N37" s="88" t="str">
        <f>IF('Consulta1'!J4129="","",'Consulta1'!J4129)</f>
        <v>44337</v>
      </c>
    </row>
    <row r="38" spans="1:14" ht="18.75" x14ac:dyDescent="0.25">
      <c r="A38" s="82" t="str">
        <f>IF('Consulta1'!A4130="","",'Consulta1'!A4130)</f>
        <v>Chanitos Premium Tarima Chep</v>
      </c>
      <c r="B38" s="82" t="str">
        <f>IF('Consulta1'!B4130="","",'Consulta1'!B4130)</f>
        <v>CPR01102</v>
      </c>
      <c r="C38" s="83" t="str">
        <f>IF('Consulta1'!C4130="","",'Consulta1'!C4130)</f>
        <v>A01002-392209-1</v>
      </c>
      <c r="D38" s="84" t="str">
        <f>IF('Consulta1'!D4130="","",'Consulta1'!D4130)</f>
        <v>A01 002 Fortaleza</v>
      </c>
      <c r="E38" s="82" t="str">
        <f>IF('Consulta1'!E4130="","",'Consulta1'!E4130)</f>
        <v>SMO</v>
      </c>
      <c r="F38">
        <f>+IF(E38="","",VLOOKUP(E38,CATALOGO!G:L,6,0))</f>
        <v>4</v>
      </c>
      <c r="G38" s="85">
        <f>IF('Consulta1'!F4130="","",'Consulta1'!F4130)</f>
        <v>48</v>
      </c>
      <c r="H38" s="85">
        <f>IF('Consulta1'!G4130="","",'Consulta1'!G4130)</f>
        <v>1</v>
      </c>
      <c r="I38" s="86">
        <f>IF('Consulta1'!H4130="","",'Consulta1'!H4130)</f>
        <v>46287</v>
      </c>
      <c r="J38">
        <f t="shared" si="0"/>
        <v>39</v>
      </c>
      <c r="K38">
        <f>+IF(E38="","",VLOOKUP(E38,CATALOGO!G:I,2,0))</f>
        <v>1.5</v>
      </c>
      <c r="L38">
        <f>+IF(E38="","",VLOOKUP(E38,CATALOGO!G:I,3,0))</f>
        <v>36</v>
      </c>
      <c r="M38" s="87">
        <f>IF('Consulta1'!I4130="","",'Consulta1'!I4130)</f>
        <v>46291</v>
      </c>
      <c r="N38" s="88" t="str">
        <f>IF('Consulta1'!J4130="","",'Consulta1'!J4130)</f>
        <v>45094</v>
      </c>
    </row>
    <row r="39" spans="1:14" ht="18.75" x14ac:dyDescent="0.25">
      <c r="A39" s="82" t="str">
        <f>IF('Consulta1'!A4131="","",'Consulta1'!A4131)</f>
        <v>Chanitos Premium Tarima Chep</v>
      </c>
      <c r="B39" s="82" t="str">
        <f>IF('Consulta1'!B4131="","",'Consulta1'!B4131)</f>
        <v>CPR01102</v>
      </c>
      <c r="C39" s="83" t="str">
        <f>IF('Consulta1'!C4131="","",'Consulta1'!C4131)</f>
        <v>A01002-392209-1</v>
      </c>
      <c r="D39" s="84" t="str">
        <f>IF('Consulta1'!D4131="","",'Consulta1'!D4131)</f>
        <v>A01 002 Fortaleza</v>
      </c>
      <c r="E39" s="82" t="str">
        <f>IF('Consulta1'!E4131="","",'Consulta1'!E4131)</f>
        <v>VSA</v>
      </c>
      <c r="F39">
        <f>+IF(E39="","",VLOOKUP(E39,CATALOGO!G:L,6,0))</f>
        <v>6</v>
      </c>
      <c r="G39" s="85">
        <f>IF('Consulta1'!F4131="","",'Consulta1'!F4131)</f>
        <v>912</v>
      </c>
      <c r="H39" s="85">
        <f>IF('Consulta1'!G4131="","",'Consulta1'!G4131)</f>
        <v>19</v>
      </c>
      <c r="I39" s="86">
        <f>IF('Consulta1'!H4131="","",'Consulta1'!H4131)</f>
        <v>46287</v>
      </c>
      <c r="J39">
        <f t="shared" si="0"/>
        <v>39</v>
      </c>
      <c r="K39">
        <f>+IF(E39="","",VLOOKUP(E39,CATALOGO!G:I,2,0))</f>
        <v>1</v>
      </c>
      <c r="L39">
        <f>+IF(E39="","",VLOOKUP(E39,CATALOGO!G:I,3,0))</f>
        <v>24</v>
      </c>
      <c r="M39" s="87">
        <f>IF('Consulta1'!I4131="","",'Consulta1'!I4131)</f>
        <v>46291</v>
      </c>
      <c r="N39" s="88" t="str">
        <f>IF('Consulta1'!J4131="","",'Consulta1'!J4131)</f>
        <v>41953</v>
      </c>
    </row>
    <row r="40" spans="1:14" ht="18.75" x14ac:dyDescent="0.25">
      <c r="A40" s="82" t="str">
        <f>IF('Consulta1'!A4132="","",'Consulta1'!A4132)</f>
        <v>Chanitos Organic Banded Market Side Mexico</v>
      </c>
      <c r="B40" s="82" t="str">
        <f>IF('Consulta1'!B4132="","",'Consulta1'!B4132)</f>
        <v>CRG07128</v>
      </c>
      <c r="C40" s="83" t="str">
        <f>IF('Consulta1'!C4132="","",'Consulta1'!C4132)</f>
        <v>A01002-392209-1</v>
      </c>
      <c r="D40" s="84" t="str">
        <f>IF('Consulta1'!D4132="","",'Consulta1'!D4132)</f>
        <v>A01 002 Fortaleza</v>
      </c>
      <c r="E40" s="82" t="str">
        <f>IF('Consulta1'!E4132="","",'Consulta1'!E4132)</f>
        <v>VSA</v>
      </c>
      <c r="F40">
        <f>+IF(E40="","",VLOOKUP(E40,CATALOGO!G:L,6,0))</f>
        <v>6</v>
      </c>
      <c r="G40" s="85">
        <f>IF('Consulta1'!F4132="","",'Consulta1'!F4132)</f>
        <v>240</v>
      </c>
      <c r="H40" s="85">
        <f>IF('Consulta1'!G4132="","",'Consulta1'!G4132)</f>
        <v>5</v>
      </c>
      <c r="I40" s="86">
        <f>IF('Consulta1'!H4132="","",'Consulta1'!H4132)</f>
        <v>46287</v>
      </c>
      <c r="J40">
        <f t="shared" si="0"/>
        <v>39</v>
      </c>
      <c r="K40">
        <f>+IF(E40="","",VLOOKUP(E40,CATALOGO!G:I,2,0))</f>
        <v>1</v>
      </c>
      <c r="L40">
        <f>+IF(E40="","",VLOOKUP(E40,CATALOGO!G:I,3,0))</f>
        <v>24</v>
      </c>
      <c r="M40" s="87">
        <f>IF('Consulta1'!I4132="","",'Consulta1'!I4132)</f>
        <v>46291</v>
      </c>
      <c r="N40" s="88" t="str">
        <f>IF('Consulta1'!J4132="","",'Consulta1'!J4132)</f>
        <v>43793</v>
      </c>
    </row>
    <row r="41" spans="1:14" ht="18.75" x14ac:dyDescent="0.25">
      <c r="A41" s="82" t="str">
        <f>IF('Consulta1'!A4133="","",'Consulta1'!A4133)</f>
        <v>Chanitos Cha Cha Cha (2da) Granel</v>
      </c>
      <c r="B41" s="82" t="str">
        <f>IF('Consulta1'!B4133="","",'Consulta1'!B4133)</f>
        <v>CSA04120</v>
      </c>
      <c r="C41" s="83" t="str">
        <f>IF('Consulta1'!C4133="","",'Consulta1'!C4133)</f>
        <v>A01002-392209-4</v>
      </c>
      <c r="D41" s="84" t="str">
        <f>IF('Consulta1'!D4133="","",'Consulta1'!D4133)</f>
        <v>A01 002 Fortaleza</v>
      </c>
      <c r="E41" s="82" t="str">
        <f>IF('Consulta1'!E4133="","",'Consulta1'!E4133)</f>
        <v>CEDA</v>
      </c>
      <c r="F41">
        <f>+IF(E41="","",VLOOKUP(E41,CATALOGO!G:L,6,0))</f>
        <v>0</v>
      </c>
      <c r="G41" s="85">
        <f>IF('Consulta1'!F4133="","",'Consulta1'!F4133)</f>
        <v>44</v>
      </c>
      <c r="H41" s="85" t="str">
        <f>IF('Consulta1'!G4133="","",'Consulta1'!G4133)</f>
        <v>Granel</v>
      </c>
      <c r="I41" s="86">
        <f>IF('Consulta1'!H4133="","",'Consulta1'!H4133)</f>
        <v>46287</v>
      </c>
      <c r="J41">
        <f t="shared" si="0"/>
        <v>39</v>
      </c>
      <c r="K41">
        <f>+IF(E41="","",VLOOKUP(E41,CATALOGO!G:I,2,0))</f>
        <v>1.5</v>
      </c>
      <c r="L41">
        <f>+IF(E41="","",VLOOKUP(E41,CATALOGO!G:I,3,0))</f>
        <v>36</v>
      </c>
      <c r="M41" s="87">
        <f>IF('Consulta1'!I4133="","",'Consulta1'!I4133)</f>
        <v>46289</v>
      </c>
      <c r="N41" s="88" t="str">
        <f>IF('Consulta1'!J4133="","",'Consulta1'!J4133)</f>
        <v>0</v>
      </c>
    </row>
    <row r="42" spans="1:14" ht="18.75" x14ac:dyDescent="0.25">
      <c r="A42" s="82" t="str">
        <f>IF('Consulta1'!A4134="","",'Consulta1'!A4134)</f>
        <v>Chanitos Manitas Granel</v>
      </c>
      <c r="B42" s="82" t="str">
        <f>IF('Consulta1'!B4134="","",'Consulta1'!B4134)</f>
        <v>CMN05123</v>
      </c>
      <c r="C42" s="83" t="str">
        <f>IF('Consulta1'!C4134="","",'Consulta1'!C4134)</f>
        <v>A01002-392209-3</v>
      </c>
      <c r="D42" s="84" t="str">
        <f>IF('Consulta1'!D4134="","",'Consulta1'!D4134)</f>
        <v>A01 002 Fortaleza</v>
      </c>
      <c r="E42" s="82" t="str">
        <f>IF('Consulta1'!E4134="","",'Consulta1'!E4134)</f>
        <v>CEDA</v>
      </c>
      <c r="F42">
        <f>+IF(E42="","",VLOOKUP(E42,CATALOGO!G:L,6,0))</f>
        <v>0</v>
      </c>
      <c r="G42" s="85">
        <f>IF('Consulta1'!F4134="","",'Consulta1'!F4134)</f>
        <v>42</v>
      </c>
      <c r="H42" s="85" t="str">
        <f>IF('Consulta1'!G4134="","",'Consulta1'!G4134)</f>
        <v>Granel</v>
      </c>
      <c r="I42" s="86">
        <f>IF('Consulta1'!H4134="","",'Consulta1'!H4134)</f>
        <v>46287</v>
      </c>
      <c r="J42">
        <f t="shared" si="0"/>
        <v>39</v>
      </c>
      <c r="K42">
        <f>+IF(E42="","",VLOOKUP(E42,CATALOGO!G:I,2,0))</f>
        <v>1.5</v>
      </c>
      <c r="L42">
        <f>+IF(E42="","",VLOOKUP(E42,CATALOGO!G:I,3,0))</f>
        <v>36</v>
      </c>
      <c r="M42" s="87">
        <f>IF('Consulta1'!I4134="","",'Consulta1'!I4134)</f>
        <v>46289</v>
      </c>
      <c r="N42" s="88" t="str">
        <f>IF('Consulta1'!J4134="","",'Consulta1'!J4134)</f>
        <v>0</v>
      </c>
    </row>
    <row r="43" spans="1:14" ht="18.75" x14ac:dyDescent="0.25">
      <c r="A43" s="82" t="str">
        <f>IF('Consulta1'!A4135="","",'Consulta1'!A4135)</f>
        <v>Chanitos Cha Cha Cha (DS) Granel</v>
      </c>
      <c r="B43" s="82" t="str">
        <f>IF('Consulta1'!B4135="","",'Consulta1'!B4135)</f>
        <v>CDS04122</v>
      </c>
      <c r="C43" s="83" t="str">
        <f>IF('Consulta1'!C4135="","",'Consulta1'!C4135)</f>
        <v>A01002-392209-5</v>
      </c>
      <c r="D43" s="84" t="str">
        <f>IF('Consulta1'!D4135="","",'Consulta1'!D4135)</f>
        <v>A01 002 Fortaleza</v>
      </c>
      <c r="E43" s="82" t="str">
        <f>IF('Consulta1'!E4135="","",'Consulta1'!E4135)</f>
        <v>CEDA</v>
      </c>
      <c r="F43">
        <f>+IF(E43="","",VLOOKUP(E43,CATALOGO!G:L,6,0))</f>
        <v>0</v>
      </c>
      <c r="G43" s="85">
        <f>IF('Consulta1'!F4135="","",'Consulta1'!F4135)</f>
        <v>35</v>
      </c>
      <c r="H43" s="85" t="str">
        <f>IF('Consulta1'!G4135="","",'Consulta1'!G4135)</f>
        <v>Granel</v>
      </c>
      <c r="I43" s="86">
        <f>IF('Consulta1'!H4135="","",'Consulta1'!H4135)</f>
        <v>46287</v>
      </c>
      <c r="J43">
        <f t="shared" si="0"/>
        <v>39</v>
      </c>
      <c r="K43">
        <f>+IF(E43="","",VLOOKUP(E43,CATALOGO!G:I,2,0))</f>
        <v>1.5</v>
      </c>
      <c r="L43">
        <f>+IF(E43="","",VLOOKUP(E43,CATALOGO!G:I,3,0))</f>
        <v>36</v>
      </c>
      <c r="M43" s="87">
        <f>IF('Consulta1'!I4135="","",'Consulta1'!I4135)</f>
        <v>46289</v>
      </c>
      <c r="N43" s="88" t="str">
        <f>IF('Consulta1'!J4135="","",'Consulta1'!J4135)</f>
        <v>0</v>
      </c>
    </row>
    <row r="44" spans="1:14" ht="18.75" x14ac:dyDescent="0.25">
      <c r="A44" s="82" t="str">
        <f>IF('Consulta1'!A4136="","",'Consulta1'!A4136)</f>
        <v>Chanitos Cha Cha Cha 22XU  CP34 Mar Kodawari</v>
      </c>
      <c r="B44" s="82" t="str">
        <f>IF('Consulta1'!B4136="","",'Consulta1'!B4136)</f>
        <v>CPR03119</v>
      </c>
      <c r="C44" s="83" t="str">
        <f>IF('Consulta1'!C4136="","",'Consulta1'!C4136)</f>
        <v>A01001-392209-1</v>
      </c>
      <c r="D44" s="84" t="str">
        <f>IF('Consulta1'!D4136="","",'Consulta1'!D4136)</f>
        <v>A01 001 Marbella</v>
      </c>
      <c r="E44" s="82" t="str">
        <f>IF('Consulta1'!E4136="","",'Consulta1'!E4136)</f>
        <v>Japon</v>
      </c>
      <c r="F44">
        <f>+IF(E44="","",VLOOKUP(E44,CATALOGO!G:L,6,0))</f>
        <v>0</v>
      </c>
      <c r="G44" s="85">
        <f>IF('Consulta1'!F4136="","",'Consulta1'!F4136)</f>
        <v>324</v>
      </c>
      <c r="H44" s="85">
        <f>IF('Consulta1'!G4136="","",'Consulta1'!G4136)</f>
        <v>6</v>
      </c>
      <c r="I44" s="86">
        <f>IF('Consulta1'!H4136="","",'Consulta1'!H4136)</f>
        <v>46287</v>
      </c>
      <c r="J44">
        <f t="shared" si="0"/>
        <v>39</v>
      </c>
      <c r="K44">
        <f>+IF(E44="","",VLOOKUP(E44,CATALOGO!G:I,2,0))</f>
        <v>2</v>
      </c>
      <c r="L44">
        <f>+IF(E44="","",VLOOKUP(E44,CATALOGO!G:I,3,0))</f>
        <v>48</v>
      </c>
      <c r="M44" s="87">
        <f>IF('Consulta1'!I4136="","",'Consulta1'!I4136)</f>
        <v>46290</v>
      </c>
      <c r="N44" s="88" t="str">
        <f>IF('Consulta1'!J4136="","",'Consulta1'!J4136)</f>
        <v>45358</v>
      </c>
    </row>
    <row r="45" spans="1:14" ht="18.75" x14ac:dyDescent="0.25">
      <c r="A45" s="82" t="str">
        <f>IF('Consulta1'!A4137="","",'Consulta1'!A4137)</f>
        <v>Chanitos Cha Cha Cha 22XU CP27 Mar Kodawari</v>
      </c>
      <c r="B45" s="82" t="str">
        <f>IF('Consulta1'!B4137="","",'Consulta1'!B4137)</f>
        <v>CPR03124</v>
      </c>
      <c r="C45" s="83" t="str">
        <f>IF('Consulta1'!C4137="","",'Consulta1'!C4137)</f>
        <v>A01001-392209-1</v>
      </c>
      <c r="D45" s="84" t="str">
        <f>IF('Consulta1'!D4137="","",'Consulta1'!D4137)</f>
        <v>A01 001 Marbella</v>
      </c>
      <c r="E45" s="82" t="str">
        <f>IF('Consulta1'!E4137="","",'Consulta1'!E4137)</f>
        <v>Japon</v>
      </c>
      <c r="F45">
        <f>+IF(E45="","",VLOOKUP(E45,CATALOGO!G:L,6,0))</f>
        <v>0</v>
      </c>
      <c r="G45" s="85">
        <f>IF('Consulta1'!F4137="","",'Consulta1'!F4137)</f>
        <v>756</v>
      </c>
      <c r="H45" s="85">
        <f>IF('Consulta1'!G4137="","",'Consulta1'!G4137)</f>
        <v>14</v>
      </c>
      <c r="I45" s="86">
        <f>IF('Consulta1'!H4137="","",'Consulta1'!H4137)</f>
        <v>46287</v>
      </c>
      <c r="J45">
        <f t="shared" si="0"/>
        <v>39</v>
      </c>
      <c r="K45">
        <f>+IF(E45="","",VLOOKUP(E45,CATALOGO!G:I,2,0))</f>
        <v>2</v>
      </c>
      <c r="L45">
        <f>+IF(E45="","",VLOOKUP(E45,CATALOGO!G:I,3,0))</f>
        <v>48</v>
      </c>
      <c r="M45" s="87">
        <f>IF('Consulta1'!I4137="","",'Consulta1'!I4137)</f>
        <v>46290</v>
      </c>
      <c r="N45" s="88" t="str">
        <f>IF('Consulta1'!J4137="","",'Consulta1'!J4137)</f>
        <v>45358</v>
      </c>
    </row>
    <row r="46" spans="1:14" ht="18.75" x14ac:dyDescent="0.25">
      <c r="A46" s="82" t="str">
        <f>IF('Consulta1'!A4138="","",'Consulta1'!A4138)</f>
        <v>Chanitos Premium Tarima Chep</v>
      </c>
      <c r="B46" s="82" t="str">
        <f>IF('Consulta1'!B4138="","",'Consulta1'!B4138)</f>
        <v>CPR01102</v>
      </c>
      <c r="C46" s="83" t="str">
        <f>IF('Consulta1'!C4138="","",'Consulta1'!C4138)</f>
        <v>A01001-392209-1</v>
      </c>
      <c r="D46" s="84" t="str">
        <f>IF('Consulta1'!D4138="","",'Consulta1'!D4138)</f>
        <v>A01 001 Marbella</v>
      </c>
      <c r="E46" s="82" t="str">
        <f>IF('Consulta1'!E4138="","",'Consulta1'!E4138)</f>
        <v>VSA</v>
      </c>
      <c r="F46">
        <f>+IF(E46="","",VLOOKUP(E46,CATALOGO!G:L,6,0))</f>
        <v>6</v>
      </c>
      <c r="G46" s="85">
        <f>IF('Consulta1'!F4138="","",'Consulta1'!F4138)</f>
        <v>48</v>
      </c>
      <c r="H46" s="85">
        <f>IF('Consulta1'!G4138="","",'Consulta1'!G4138)</f>
        <v>1</v>
      </c>
      <c r="I46" s="86">
        <f>IF('Consulta1'!H4138="","",'Consulta1'!H4138)</f>
        <v>46287</v>
      </c>
      <c r="J46">
        <f t="shared" si="0"/>
        <v>39</v>
      </c>
      <c r="K46">
        <f>+IF(E46="","",VLOOKUP(E46,CATALOGO!G:I,2,0))</f>
        <v>1</v>
      </c>
      <c r="L46">
        <f>+IF(E46="","",VLOOKUP(E46,CATALOGO!G:I,3,0))</f>
        <v>24</v>
      </c>
      <c r="M46" s="87">
        <f>IF('Consulta1'!I4138="","",'Consulta1'!I4138)</f>
        <v>46292</v>
      </c>
      <c r="N46" s="88" t="str">
        <f>IF('Consulta1'!J4138="","",'Consulta1'!J4138)</f>
        <v>45089</v>
      </c>
    </row>
    <row r="47" spans="1:14" ht="18.75" x14ac:dyDescent="0.25">
      <c r="A47" s="82" t="str">
        <f>IF('Consulta1'!A4139="","",'Consulta1'!A4139)</f>
        <v>Chanitos Premium Tarima Chep</v>
      </c>
      <c r="B47" s="82" t="str">
        <f>IF('Consulta1'!B4139="","",'Consulta1'!B4139)</f>
        <v>CPR01102</v>
      </c>
      <c r="C47" s="83" t="str">
        <f>IF('Consulta1'!C4139="","",'Consulta1'!C4139)</f>
        <v>A01001-392209-1</v>
      </c>
      <c r="D47" s="84" t="str">
        <f>IF('Consulta1'!D4139="","",'Consulta1'!D4139)</f>
        <v>A01 001 Marbella</v>
      </c>
      <c r="E47" s="82" t="str">
        <f>IF('Consulta1'!E4139="","",'Consulta1'!E4139)</f>
        <v>CEDA</v>
      </c>
      <c r="F47">
        <f>+IF(E47="","",VLOOKUP(E47,CATALOGO!G:L,6,0))</f>
        <v>0</v>
      </c>
      <c r="G47" s="85">
        <f>IF('Consulta1'!F4139="","",'Consulta1'!F4139)</f>
        <v>144</v>
      </c>
      <c r="H47" s="85">
        <f>IF('Consulta1'!G4139="","",'Consulta1'!G4139)</f>
        <v>3</v>
      </c>
      <c r="I47" s="86">
        <f>IF('Consulta1'!H4139="","",'Consulta1'!H4139)</f>
        <v>46287</v>
      </c>
      <c r="J47">
        <f t="shared" si="0"/>
        <v>39</v>
      </c>
      <c r="K47">
        <f>+IF(E47="","",VLOOKUP(E47,CATALOGO!G:I,2,0))</f>
        <v>1.5</v>
      </c>
      <c r="L47">
        <f>+IF(E47="","",VLOOKUP(E47,CATALOGO!G:I,3,0))</f>
        <v>36</v>
      </c>
      <c r="M47" s="87">
        <f>IF('Consulta1'!I4139="","",'Consulta1'!I4139)</f>
        <v>46288</v>
      </c>
      <c r="N47" s="88" t="str">
        <f>IF('Consulta1'!J4139="","",'Consulta1'!J4139)</f>
        <v>0</v>
      </c>
    </row>
    <row r="48" spans="1:14" ht="18.75" x14ac:dyDescent="0.25">
      <c r="A48" s="82" t="str">
        <f>IF('Consulta1'!A4140="","",'Consulta1'!A4140)</f>
        <v>Chanitos Premium Granel</v>
      </c>
      <c r="B48" s="82" t="str">
        <f>IF('Consulta1'!B4140="","",'Consulta1'!B4140)</f>
        <v>CPR01101</v>
      </c>
      <c r="C48" s="83" t="str">
        <f>IF('Consulta1'!C4140="","",'Consulta1'!C4140)</f>
        <v>A01001-392209-1</v>
      </c>
      <c r="D48" s="84" t="str">
        <f>IF('Consulta1'!D4140="","",'Consulta1'!D4140)</f>
        <v>A01 001 Marbella</v>
      </c>
      <c r="E48" s="82" t="str">
        <f>IF('Consulta1'!E4140="","",'Consulta1'!E4140)</f>
        <v>CEDA</v>
      </c>
      <c r="F48">
        <f>+IF(E48="","",VLOOKUP(E48,CATALOGO!G:L,6,0))</f>
        <v>0</v>
      </c>
      <c r="G48" s="85">
        <f>IF('Consulta1'!F4140="","",'Consulta1'!F4140)</f>
        <v>112</v>
      </c>
      <c r="H48" s="85" t="str">
        <f>IF('Consulta1'!G4140="","",'Consulta1'!G4140)</f>
        <v>Granel</v>
      </c>
      <c r="I48" s="86">
        <f>IF('Consulta1'!H4140="","",'Consulta1'!H4140)</f>
        <v>46287</v>
      </c>
      <c r="J48">
        <f t="shared" si="0"/>
        <v>39</v>
      </c>
      <c r="K48">
        <f>+IF(E48="","",VLOOKUP(E48,CATALOGO!G:I,2,0))</f>
        <v>1.5</v>
      </c>
      <c r="L48">
        <f>+IF(E48="","",VLOOKUP(E48,CATALOGO!G:I,3,0))</f>
        <v>36</v>
      </c>
      <c r="M48" s="87">
        <f>IF('Consulta1'!I4140="","",'Consulta1'!I4140)</f>
        <v>46288</v>
      </c>
      <c r="N48" s="88" t="str">
        <f>IF('Consulta1'!J4140="","",'Consulta1'!J4140)</f>
        <v>0</v>
      </c>
    </row>
    <row r="49" spans="1:14" ht="18.75" x14ac:dyDescent="0.25">
      <c r="A49" s="82" t="str">
        <f>IF('Consulta1'!A4141="","",'Consulta1'!A4141)</f>
        <v>Chanitos Cha Cha Cha (2da) Granel</v>
      </c>
      <c r="B49" s="82" t="str">
        <f>IF('Consulta1'!B4141="","",'Consulta1'!B4141)</f>
        <v>CSA04120</v>
      </c>
      <c r="C49" s="83" t="str">
        <f>IF('Consulta1'!C4141="","",'Consulta1'!C4141)</f>
        <v>A01001-392209-4</v>
      </c>
      <c r="D49" s="84" t="str">
        <f>IF('Consulta1'!D4141="","",'Consulta1'!D4141)</f>
        <v>A01 001 Marbella</v>
      </c>
      <c r="E49" s="82" t="str">
        <f>IF('Consulta1'!E4141="","",'Consulta1'!E4141)</f>
        <v>CEDA</v>
      </c>
      <c r="F49">
        <f>+IF(E49="","",VLOOKUP(E49,CATALOGO!G:L,6,0))</f>
        <v>0</v>
      </c>
      <c r="G49" s="85">
        <f>IF('Consulta1'!F4141="","",'Consulta1'!F4141)</f>
        <v>46</v>
      </c>
      <c r="H49" s="85" t="str">
        <f>IF('Consulta1'!G4141="","",'Consulta1'!G4141)</f>
        <v>Granel</v>
      </c>
      <c r="I49" s="86">
        <f>IF('Consulta1'!H4141="","",'Consulta1'!H4141)</f>
        <v>46287</v>
      </c>
      <c r="J49">
        <f t="shared" si="0"/>
        <v>39</v>
      </c>
      <c r="K49">
        <f>+IF(E49="","",VLOOKUP(E49,CATALOGO!G:I,2,0))</f>
        <v>1.5</v>
      </c>
      <c r="L49">
        <f>+IF(E49="","",VLOOKUP(E49,CATALOGO!G:I,3,0))</f>
        <v>36</v>
      </c>
      <c r="M49" s="87">
        <f>IF('Consulta1'!I4141="","",'Consulta1'!I4141)</f>
        <v>46289</v>
      </c>
      <c r="N49" s="88" t="str">
        <f>IF('Consulta1'!J4141="","",'Consulta1'!J4141)</f>
        <v>0</v>
      </c>
    </row>
    <row r="50" spans="1:14" ht="18.75" x14ac:dyDescent="0.25">
      <c r="A50" s="82" t="str">
        <f>IF('Consulta1'!A4142="","",'Consulta1'!A4142)</f>
        <v>Chanitos Manitas Granel</v>
      </c>
      <c r="B50" s="82" t="str">
        <f>IF('Consulta1'!B4142="","",'Consulta1'!B4142)</f>
        <v>CMN05123</v>
      </c>
      <c r="C50" s="83" t="str">
        <f>IF('Consulta1'!C4142="","",'Consulta1'!C4142)</f>
        <v>A01001-392209-3</v>
      </c>
      <c r="D50" s="84" t="str">
        <f>IF('Consulta1'!D4142="","",'Consulta1'!D4142)</f>
        <v>A01 001 Marbella</v>
      </c>
      <c r="E50" s="82" t="str">
        <f>IF('Consulta1'!E4142="","",'Consulta1'!E4142)</f>
        <v>CEDA</v>
      </c>
      <c r="F50">
        <f>+IF(E50="","",VLOOKUP(E50,CATALOGO!G:L,6,0))</f>
        <v>0</v>
      </c>
      <c r="G50" s="85">
        <f>IF('Consulta1'!F4142="","",'Consulta1'!F4142)</f>
        <v>9</v>
      </c>
      <c r="H50" s="85" t="str">
        <f>IF('Consulta1'!G4142="","",'Consulta1'!G4142)</f>
        <v>Granel</v>
      </c>
      <c r="I50" s="86">
        <f>IF('Consulta1'!H4142="","",'Consulta1'!H4142)</f>
        <v>46287</v>
      </c>
      <c r="J50">
        <f t="shared" si="0"/>
        <v>39</v>
      </c>
      <c r="K50">
        <f>+IF(E50="","",VLOOKUP(E50,CATALOGO!G:I,2,0))</f>
        <v>1.5</v>
      </c>
      <c r="L50">
        <f>+IF(E50="","",VLOOKUP(E50,CATALOGO!G:I,3,0))</f>
        <v>36</v>
      </c>
      <c r="M50" s="87">
        <f>IF('Consulta1'!I4142="","",'Consulta1'!I4142)</f>
        <v>46289</v>
      </c>
      <c r="N50" s="88" t="str">
        <f>IF('Consulta1'!J4142="","",'Consulta1'!J4142)</f>
        <v>0</v>
      </c>
    </row>
    <row r="51" spans="1:14" ht="18.75" x14ac:dyDescent="0.25">
      <c r="A51" s="82" t="str">
        <f>IF('Consulta1'!A4143="","",'Consulta1'!A4143)</f>
        <v>Chanitos Cha Cha Cha (DS) Granel</v>
      </c>
      <c r="B51" s="82" t="str">
        <f>IF('Consulta1'!B4143="","",'Consulta1'!B4143)</f>
        <v>CDS04122</v>
      </c>
      <c r="C51" s="83" t="str">
        <f>IF('Consulta1'!C4143="","",'Consulta1'!C4143)</f>
        <v>A01001-392209-5</v>
      </c>
      <c r="D51" s="84" t="str">
        <f>IF('Consulta1'!D4143="","",'Consulta1'!D4143)</f>
        <v>A01 001 Marbella</v>
      </c>
      <c r="E51" s="82" t="str">
        <f>IF('Consulta1'!E4143="","",'Consulta1'!E4143)</f>
        <v>CEDA</v>
      </c>
      <c r="F51">
        <f>+IF(E51="","",VLOOKUP(E51,CATALOGO!G:L,6,0))</f>
        <v>0</v>
      </c>
      <c r="G51" s="85">
        <f>IF('Consulta1'!F4143="","",'Consulta1'!F4143)</f>
        <v>30</v>
      </c>
      <c r="H51" s="85" t="str">
        <f>IF('Consulta1'!G4143="","",'Consulta1'!G4143)</f>
        <v>Granel</v>
      </c>
      <c r="I51" s="86">
        <f>IF('Consulta1'!H4143="","",'Consulta1'!H4143)</f>
        <v>46287</v>
      </c>
      <c r="J51">
        <f t="shared" si="0"/>
        <v>39</v>
      </c>
      <c r="K51">
        <f>+IF(E51="","",VLOOKUP(E51,CATALOGO!G:I,2,0))</f>
        <v>1.5</v>
      </c>
      <c r="L51">
        <f>+IF(E51="","",VLOOKUP(E51,CATALOGO!G:I,3,0))</f>
        <v>36</v>
      </c>
      <c r="M51" s="87">
        <f>IF('Consulta1'!I4143="","",'Consulta1'!I4143)</f>
        <v>46289</v>
      </c>
      <c r="N51" s="88" t="str">
        <f>IF('Consulta1'!J4143="","",'Consulta1'!J4143)</f>
        <v>0</v>
      </c>
    </row>
    <row r="52" spans="1:14" ht="18.75" x14ac:dyDescent="0.25">
      <c r="A52" s="82" t="str">
        <f>IF('Consulta1'!A4144="","",'Consulta1'!A4144)</f>
        <v>Chanitos Premium Tarima Americana</v>
      </c>
      <c r="B52" s="82" t="str">
        <f>IF('Consulta1'!B4144="","",'Consulta1'!B4144)</f>
        <v>CPR01103</v>
      </c>
      <c r="C52" s="83" t="str">
        <f>IF('Consulta1'!C4144="","",'Consulta1'!C4144)</f>
        <v>A11045-392209-1</v>
      </c>
      <c r="D52" s="84" t="str">
        <f>IF('Consulta1'!D4144="","",'Consulta1'!D4144)</f>
        <v>A11 045 Sector Mazatan</v>
      </c>
      <c r="E52" s="82" t="str">
        <f>IF('Consulta1'!E4144="","",'Consulta1'!E4144)</f>
        <v>S-MTY</v>
      </c>
      <c r="F52">
        <f>+IF(E52="","",VLOOKUP(E52,CATALOGO!G:L,6,0))</f>
        <v>1</v>
      </c>
      <c r="G52" s="85">
        <f>IF('Consulta1'!F4144="","",'Consulta1'!F4144)</f>
        <v>960</v>
      </c>
      <c r="H52" s="85">
        <f>IF('Consulta1'!G4144="","",'Consulta1'!G4144)</f>
        <v>20</v>
      </c>
      <c r="I52" s="86">
        <f>IF('Consulta1'!H4144="","",'Consulta1'!H4144)</f>
        <v>46287</v>
      </c>
      <c r="J52">
        <f t="shared" si="0"/>
        <v>39</v>
      </c>
      <c r="K52">
        <f>+IF(E52="","",VLOOKUP(E52,CATALOGO!G:I,2,0))</f>
        <v>3</v>
      </c>
      <c r="L52">
        <f>+IF(E52="","",VLOOKUP(E52,CATALOGO!G:I,3,0))</f>
        <v>72</v>
      </c>
      <c r="M52" s="87">
        <f>IF('Consulta1'!I4144="","",'Consulta1'!I4144)</f>
        <v>46291</v>
      </c>
      <c r="N52" s="88" t="str">
        <f>IF('Consulta1'!J4144="","",'Consulta1'!J4144)</f>
        <v>45643</v>
      </c>
    </row>
    <row r="53" spans="1:14" ht="18.75" x14ac:dyDescent="0.25">
      <c r="A53" s="82" t="str">
        <f>IF('Consulta1'!A4145="","",'Consulta1'!A4145)</f>
        <v>Chanitos Premium Tarima Americana</v>
      </c>
      <c r="B53" s="82" t="str">
        <f>IF('Consulta1'!B4145="","",'Consulta1'!B4145)</f>
        <v>CPR01103</v>
      </c>
      <c r="C53" s="83" t="str">
        <f>IF('Consulta1'!C4145="","",'Consulta1'!C4145)</f>
        <v>A11045-392209-1</v>
      </c>
      <c r="D53" s="84" t="str">
        <f>IF('Consulta1'!D4145="","",'Consulta1'!D4145)</f>
        <v>A11 045 Sector Mazatan</v>
      </c>
      <c r="E53" s="82" t="str">
        <f>IF('Consulta1'!E4145="","",'Consulta1'!E4145)</f>
        <v>Ciudad Juarez</v>
      </c>
      <c r="F53">
        <f>+IF(E53="","",VLOOKUP(E53,CATALOGO!G:L,6,0))</f>
        <v>1</v>
      </c>
      <c r="G53" s="85">
        <f>IF('Consulta1'!F4145="","",'Consulta1'!F4145)</f>
        <v>288</v>
      </c>
      <c r="H53" s="85">
        <f>IF('Consulta1'!G4145="","",'Consulta1'!G4145)</f>
        <v>6</v>
      </c>
      <c r="I53" s="86">
        <f>IF('Consulta1'!H4145="","",'Consulta1'!H4145)</f>
        <v>46287</v>
      </c>
      <c r="J53">
        <f t="shared" si="0"/>
        <v>39</v>
      </c>
      <c r="K53">
        <f>+IF(E53="","",VLOOKUP(E53,CATALOGO!G:I,2,0))</f>
        <v>4</v>
      </c>
      <c r="L53">
        <f>+IF(E53="","",VLOOKUP(E53,CATALOGO!G:I,3,0))</f>
        <v>96</v>
      </c>
      <c r="M53" s="87">
        <f>IF('Consulta1'!I4145="","",'Consulta1'!I4145)</f>
        <v>46294</v>
      </c>
      <c r="N53" s="88" t="str">
        <f>IF('Consulta1'!J4145="","",'Consulta1'!J4145)</f>
        <v>43271</v>
      </c>
    </row>
    <row r="54" spans="1:14" ht="18.75" x14ac:dyDescent="0.25">
      <c r="A54" s="82" t="str">
        <f>IF('Consulta1'!A4146="","",'Consulta1'!A4146)</f>
        <v>Chanitos Plantain 20Kg Tarima Americana</v>
      </c>
      <c r="B54" s="82" t="str">
        <f>IF('Consulta1'!B4146="","",'Consulta1'!B4146)</f>
        <v>CPL08134</v>
      </c>
      <c r="C54" s="83" t="str">
        <f>IF('Consulta1'!C4146="","",'Consulta1'!C4146)</f>
        <v>A15063-392209-1</v>
      </c>
      <c r="D54" s="84" t="str">
        <f>IF('Consulta1'!D4146="","",'Consulta1'!D4146)</f>
        <v>A15 063 Zaragoza</v>
      </c>
      <c r="E54" s="82" t="str">
        <f>IF('Consulta1'!E4146="","",'Consulta1'!E4146)</f>
        <v>S-MTY</v>
      </c>
      <c r="F54">
        <f>+IF(E54="","",VLOOKUP(E54,CATALOGO!G:L,6,0))</f>
        <v>1</v>
      </c>
      <c r="G54" s="85">
        <f>IF('Consulta1'!F4146="","",'Consulta1'!F4146)</f>
        <v>96</v>
      </c>
      <c r="H54" s="85">
        <f>IF('Consulta1'!G4146="","",'Consulta1'!G4146)</f>
        <v>2</v>
      </c>
      <c r="I54" s="86">
        <f>IF('Consulta1'!H4146="","",'Consulta1'!H4146)</f>
        <v>46287</v>
      </c>
      <c r="J54">
        <f t="shared" si="0"/>
        <v>39</v>
      </c>
      <c r="K54">
        <f>+IF(E54="","",VLOOKUP(E54,CATALOGO!G:I,2,0))</f>
        <v>3</v>
      </c>
      <c r="L54">
        <f>+IF(E54="","",VLOOKUP(E54,CATALOGO!G:I,3,0))</f>
        <v>72</v>
      </c>
      <c r="M54" s="87">
        <f>IF('Consulta1'!I4146="","",'Consulta1'!I4146)</f>
        <v>46293</v>
      </c>
      <c r="N54" s="88" t="str">
        <f>IF('Consulta1'!J4146="","",'Consulta1'!J4146)</f>
        <v>43806</v>
      </c>
    </row>
    <row r="55" spans="1:14" ht="18.75" x14ac:dyDescent="0.25">
      <c r="A55" s="82" t="str">
        <f>IF('Consulta1'!A4147="","",'Consulta1'!A4147)</f>
        <v>Chanitos Plantain 20Kg Tarima Americana</v>
      </c>
      <c r="B55" s="82" t="str">
        <f>IF('Consulta1'!B4147="","",'Consulta1'!B4147)</f>
        <v>CPL08134</v>
      </c>
      <c r="C55" s="83" t="str">
        <f>IF('Consulta1'!C4147="","",'Consulta1'!C4147)</f>
        <v>A15063-392209-1</v>
      </c>
      <c r="D55" s="84" t="str">
        <f>IF('Consulta1'!D4147="","",'Consulta1'!D4147)</f>
        <v>A15 063 Zaragoza</v>
      </c>
      <c r="E55" s="82" t="str">
        <f>IF('Consulta1'!E4147="","",'Consulta1'!E4147)</f>
        <v>Ciudad Juarez</v>
      </c>
      <c r="F55">
        <f>+IF(E55="","",VLOOKUP(E55,CATALOGO!G:L,6,0))</f>
        <v>1</v>
      </c>
      <c r="G55" s="85">
        <f>IF('Consulta1'!F4147="","",'Consulta1'!F4147)</f>
        <v>144</v>
      </c>
      <c r="H55" s="85">
        <f>IF('Consulta1'!G4147="","",'Consulta1'!G4147)</f>
        <v>3</v>
      </c>
      <c r="I55" s="86">
        <f>IF('Consulta1'!H4147="","",'Consulta1'!H4147)</f>
        <v>46287</v>
      </c>
      <c r="J55">
        <f t="shared" si="0"/>
        <v>39</v>
      </c>
      <c r="K55">
        <f>+IF(E55="","",VLOOKUP(E55,CATALOGO!G:I,2,0))</f>
        <v>4</v>
      </c>
      <c r="L55">
        <f>+IF(E55="","",VLOOKUP(E55,CATALOGO!G:I,3,0))</f>
        <v>96</v>
      </c>
      <c r="M55" s="87">
        <f>IF('Consulta1'!I4147="","",'Consulta1'!I4147)</f>
        <v>46294</v>
      </c>
      <c r="N55" s="88" t="str">
        <f>IF('Consulta1'!J4147="","",'Consulta1'!J4147)</f>
        <v>43271</v>
      </c>
    </row>
    <row r="56" spans="1:14" ht="18.75" x14ac:dyDescent="0.25">
      <c r="A56" s="82" t="str">
        <f>IF('Consulta1'!A4148="","",'Consulta1'!A4148)</f>
        <v>Chanitos Plantain 20Kg Tarima Chep</v>
      </c>
      <c r="B56" s="82" t="str">
        <f>IF('Consulta1'!B4148="","",'Consulta1'!B4148)</f>
        <v>CPL08141</v>
      </c>
      <c r="C56" s="83" t="str">
        <f>IF('Consulta1'!C4148="","",'Consulta1'!C4148)</f>
        <v>A15063-392209-1</v>
      </c>
      <c r="D56" s="84" t="str">
        <f>IF('Consulta1'!D4148="","",'Consulta1'!D4148)</f>
        <v>A15 063 Zaragoza</v>
      </c>
      <c r="E56" s="82" t="str">
        <f>IF('Consulta1'!E4148="","",'Consulta1'!E4148)</f>
        <v>CEDA</v>
      </c>
      <c r="F56">
        <f>+IF(E56="","",VLOOKUP(E56,CATALOGO!G:L,6,0))</f>
        <v>0</v>
      </c>
      <c r="G56" s="85">
        <f>IF('Consulta1'!F4148="","",'Consulta1'!F4148)</f>
        <v>240</v>
      </c>
      <c r="H56" s="85">
        <f>IF('Consulta1'!G4148="","",'Consulta1'!G4148)</f>
        <v>5</v>
      </c>
      <c r="I56" s="86">
        <f>IF('Consulta1'!H4148="","",'Consulta1'!H4148)</f>
        <v>46287</v>
      </c>
      <c r="J56">
        <f t="shared" si="0"/>
        <v>39</v>
      </c>
      <c r="K56">
        <f>+IF(E56="","",VLOOKUP(E56,CATALOGO!G:I,2,0))</f>
        <v>1.5</v>
      </c>
      <c r="L56">
        <f>+IF(E56="","",VLOOKUP(E56,CATALOGO!G:I,3,0))</f>
        <v>36</v>
      </c>
      <c r="M56" s="87">
        <f>IF('Consulta1'!I4148="","",'Consulta1'!I4148)</f>
        <v>46288</v>
      </c>
      <c r="N56" s="88" t="str">
        <f>IF('Consulta1'!J4148="","",'Consulta1'!J4148)</f>
        <v>0</v>
      </c>
    </row>
    <row r="57" spans="1:14" ht="18.75" x14ac:dyDescent="0.25">
      <c r="A57" s="82" t="str">
        <f>IF('Consulta1'!A4149="","",'Consulta1'!A4149)</f>
        <v>Chanitos Premium EUA Tarima Americana</v>
      </c>
      <c r="B57" s="82" t="str">
        <f>IF('Consulta1'!B4149="","",'Consulta1'!B4149)</f>
        <v>CPR01104</v>
      </c>
      <c r="C57" s="83" t="str">
        <f>IF('Consulta1'!C4149="","",'Consulta1'!C4149)</f>
        <v>A04084-392209-1</v>
      </c>
      <c r="D57" s="84" t="str">
        <f>IF('Consulta1'!D4149="","",'Consulta1'!D4149)</f>
        <v>A04 084 Lisboa</v>
      </c>
      <c r="E57" s="82" t="str">
        <f>IF('Consulta1'!E4149="","",'Consulta1'!E4149)</f>
        <v>McAllen</v>
      </c>
      <c r="F57">
        <f>+IF(E57="","",VLOOKUP(E57,CATALOGO!G:L,6,0))</f>
        <v>8</v>
      </c>
      <c r="G57" s="85">
        <f>IF('Consulta1'!F4149="","",'Consulta1'!F4149)</f>
        <v>240</v>
      </c>
      <c r="H57" s="85">
        <f>IF('Consulta1'!G4149="","",'Consulta1'!G4149)</f>
        <v>5</v>
      </c>
      <c r="I57" s="86">
        <f>IF('Consulta1'!H4149="","",'Consulta1'!H4149)</f>
        <v>46287</v>
      </c>
      <c r="J57">
        <f t="shared" si="0"/>
        <v>39</v>
      </c>
      <c r="K57">
        <f>+IF(E57="","",VLOOKUP(E57,CATALOGO!G:I,2,0))</f>
        <v>3</v>
      </c>
      <c r="L57">
        <f>+IF(E57="","",VLOOKUP(E57,CATALOGO!G:I,3,0))</f>
        <v>72</v>
      </c>
      <c r="M57" s="87">
        <f>IF('Consulta1'!I4149="","",'Consulta1'!I4149)</f>
        <v>46290</v>
      </c>
      <c r="N57" s="88" t="str">
        <f>IF('Consulta1'!J4149="","",'Consulta1'!J4149)</f>
        <v/>
      </c>
    </row>
    <row r="58" spans="1:14" ht="18.75" x14ac:dyDescent="0.25">
      <c r="A58" s="82" t="str">
        <f>IF('Consulta1'!A4150="","",'Consulta1'!A4150)</f>
        <v>Chanitos Premium EUA Tarima Americana</v>
      </c>
      <c r="B58" s="82" t="str">
        <f>IF('Consulta1'!B4150="","",'Consulta1'!B4150)</f>
        <v>CPR01104</v>
      </c>
      <c r="C58" s="83" t="str">
        <f>IF('Consulta1'!C4150="","",'Consulta1'!C4150)</f>
        <v>A04084-392209-1</v>
      </c>
      <c r="D58" s="84" t="str">
        <f>IF('Consulta1'!D4150="","",'Consulta1'!D4150)</f>
        <v>A04 084 Lisboa</v>
      </c>
      <c r="E58" s="82" t="str">
        <f>IF('Consulta1'!E4150="","",'Consulta1'!E4150)</f>
        <v>McAllen</v>
      </c>
      <c r="F58">
        <f>+IF(E58="","",VLOOKUP(E58,CATALOGO!G:L,6,0))</f>
        <v>8</v>
      </c>
      <c r="G58" s="85">
        <f>IF('Consulta1'!F4150="","",'Consulta1'!F4150)</f>
        <v>480</v>
      </c>
      <c r="H58" s="85">
        <f>IF('Consulta1'!G4150="","",'Consulta1'!G4150)</f>
        <v>10</v>
      </c>
      <c r="I58" s="86">
        <f>IF('Consulta1'!H4150="","",'Consulta1'!H4150)</f>
        <v>46287</v>
      </c>
      <c r="J58">
        <f t="shared" si="0"/>
        <v>39</v>
      </c>
      <c r="K58">
        <f>+IF(E58="","",VLOOKUP(E58,CATALOGO!G:I,2,0))</f>
        <v>3</v>
      </c>
      <c r="L58">
        <f>+IF(E58="","",VLOOKUP(E58,CATALOGO!G:I,3,0))</f>
        <v>72</v>
      </c>
      <c r="M58" s="87">
        <f>IF('Consulta1'!I4150="","",'Consulta1'!I4150)</f>
        <v>46291</v>
      </c>
      <c r="N58" s="88" t="str">
        <f>IF('Consulta1'!J4150="","",'Consulta1'!J4150)</f>
        <v>44556</v>
      </c>
    </row>
    <row r="59" spans="1:14" ht="18.75" x14ac:dyDescent="0.25">
      <c r="A59" s="82" t="str">
        <f>IF('Consulta1'!A4151="","",'Consulta1'!A4151)</f>
        <v>Chanitos Premium EUA Tarima Americana</v>
      </c>
      <c r="B59" s="82" t="str">
        <f>IF('Consulta1'!B4151="","",'Consulta1'!B4151)</f>
        <v>CPR01104</v>
      </c>
      <c r="C59" s="83" t="str">
        <f>IF('Consulta1'!C4151="","",'Consulta1'!C4151)</f>
        <v>A04084-392209-1</v>
      </c>
      <c r="D59" s="84" t="str">
        <f>IF('Consulta1'!D4151="","",'Consulta1'!D4151)</f>
        <v>A04 084 Lisboa</v>
      </c>
      <c r="E59" s="82" t="str">
        <f>IF('Consulta1'!E4151="","",'Consulta1'!E4151)</f>
        <v>McAllen</v>
      </c>
      <c r="F59">
        <f>+IF(E59="","",VLOOKUP(E59,CATALOGO!G:L,6,0))</f>
        <v>8</v>
      </c>
      <c r="G59" s="85">
        <f>IF('Consulta1'!F4151="","",'Consulta1'!F4151)</f>
        <v>288</v>
      </c>
      <c r="H59" s="85">
        <f>IF('Consulta1'!G4151="","",'Consulta1'!G4151)</f>
        <v>6</v>
      </c>
      <c r="I59" s="86">
        <f>IF('Consulta1'!H4151="","",'Consulta1'!H4151)</f>
        <v>46287</v>
      </c>
      <c r="J59">
        <f t="shared" si="0"/>
        <v>39</v>
      </c>
      <c r="K59">
        <f>+IF(E59="","",VLOOKUP(E59,CATALOGO!G:I,2,0))</f>
        <v>3</v>
      </c>
      <c r="L59">
        <f>+IF(E59="","",VLOOKUP(E59,CATALOGO!G:I,3,0))</f>
        <v>72</v>
      </c>
      <c r="M59" s="87">
        <f>IF('Consulta1'!I4151="","",'Consulta1'!I4151)</f>
        <v>46294</v>
      </c>
      <c r="N59" s="88" t="str">
        <f>IF('Consulta1'!J4151="","",'Consulta1'!J4151)</f>
        <v>45031</v>
      </c>
    </row>
    <row r="60" spans="1:14" ht="18.75" x14ac:dyDescent="0.25">
      <c r="A60" s="82" t="str">
        <f>IF('Consulta1'!A4152="","",'Consulta1'!A4152)</f>
        <v>Chanitos Premium Tarima Americana</v>
      </c>
      <c r="B60" s="82" t="str">
        <f>IF('Consulta1'!B4152="","",'Consulta1'!B4152)</f>
        <v>CPR01103</v>
      </c>
      <c r="C60" s="83" t="str">
        <f>IF('Consulta1'!C4152="","",'Consulta1'!C4152)</f>
        <v>A04039-392209-1</v>
      </c>
      <c r="D60" s="84" t="str">
        <f>IF('Consulta1'!D4152="","",'Consulta1'!D4152)</f>
        <v>A04 039 San Jose Morelia Nava</v>
      </c>
      <c r="E60" s="82" t="str">
        <f>IF('Consulta1'!E4152="","",'Consulta1'!E4152)</f>
        <v>S-MTY</v>
      </c>
      <c r="F60">
        <f>+IF(E60="","",VLOOKUP(E60,CATALOGO!G:L,6,0))</f>
        <v>1</v>
      </c>
      <c r="G60" s="85">
        <f>IF('Consulta1'!F4152="","",'Consulta1'!F4152)</f>
        <v>960</v>
      </c>
      <c r="H60" s="85">
        <f>IF('Consulta1'!G4152="","",'Consulta1'!G4152)</f>
        <v>20</v>
      </c>
      <c r="I60" s="86">
        <f>IF('Consulta1'!H4152="","",'Consulta1'!H4152)</f>
        <v>46287</v>
      </c>
      <c r="J60">
        <f t="shared" si="0"/>
        <v>39</v>
      </c>
      <c r="K60">
        <f>+IF(E60="","",VLOOKUP(E60,CATALOGO!G:I,2,0))</f>
        <v>3</v>
      </c>
      <c r="L60">
        <f>+IF(E60="","",VLOOKUP(E60,CATALOGO!G:I,3,0))</f>
        <v>72</v>
      </c>
      <c r="M60" s="87">
        <f>IF('Consulta1'!I4152="","",'Consulta1'!I4152)</f>
        <v>46291</v>
      </c>
      <c r="N60" s="88" t="str">
        <f>IF('Consulta1'!J4152="","",'Consulta1'!J4152)</f>
        <v>45643</v>
      </c>
    </row>
    <row r="61" spans="1:14" ht="18.75" x14ac:dyDescent="0.25">
      <c r="A61" s="82" t="str">
        <f>IF('Consulta1'!A4153="","",'Consulta1'!A4153)</f>
        <v>Chanitos Premium Tarima Americana</v>
      </c>
      <c r="B61" s="82" t="str">
        <f>IF('Consulta1'!B4153="","",'Consulta1'!B4153)</f>
        <v>CPR01103</v>
      </c>
      <c r="C61" s="83" t="str">
        <f>IF('Consulta1'!C4153="","",'Consulta1'!C4153)</f>
        <v>A04039-392209-1</v>
      </c>
      <c r="D61" s="84" t="str">
        <f>IF('Consulta1'!D4153="","",'Consulta1'!D4153)</f>
        <v>A04 039 San Jose Morelia Nava</v>
      </c>
      <c r="E61" s="82" t="str">
        <f>IF('Consulta1'!E4153="","",'Consulta1'!E4153)</f>
        <v>S-MTY</v>
      </c>
      <c r="F61">
        <f>+IF(E61="","",VLOOKUP(E61,CATALOGO!G:L,6,0))</f>
        <v>1</v>
      </c>
      <c r="G61" s="85">
        <f>IF('Consulta1'!F4153="","",'Consulta1'!F4153)</f>
        <v>144</v>
      </c>
      <c r="H61" s="85">
        <f>IF('Consulta1'!G4153="","",'Consulta1'!G4153)</f>
        <v>3</v>
      </c>
      <c r="I61" s="86">
        <f>IF('Consulta1'!H4153="","",'Consulta1'!H4153)</f>
        <v>46287</v>
      </c>
      <c r="J61">
        <f t="shared" si="0"/>
        <v>39</v>
      </c>
      <c r="K61">
        <f>+IF(E61="","",VLOOKUP(E61,CATALOGO!G:I,2,0))</f>
        <v>3</v>
      </c>
      <c r="L61">
        <f>+IF(E61="","",VLOOKUP(E61,CATALOGO!G:I,3,0))</f>
        <v>72</v>
      </c>
      <c r="M61" s="87">
        <f>IF('Consulta1'!I4153="","",'Consulta1'!I4153)</f>
        <v>46293</v>
      </c>
      <c r="N61" s="88" t="str">
        <f>IF('Consulta1'!J4153="","",'Consulta1'!J4153)</f>
        <v>43806</v>
      </c>
    </row>
    <row r="62" spans="1:14" ht="18.75" x14ac:dyDescent="0.25">
      <c r="A62" s="82" t="str">
        <f>IF('Consulta1'!A4154="","",'Consulta1'!A4154)</f>
        <v>Chanitos Premium EUA Tarima Americana</v>
      </c>
      <c r="B62" s="82" t="str">
        <f>IF('Consulta1'!B4154="","",'Consulta1'!B4154)</f>
        <v>CPR01104</v>
      </c>
      <c r="C62" s="83" t="str">
        <f>IF('Consulta1'!C4154="","",'Consulta1'!C4154)</f>
        <v>A04038-392309-1</v>
      </c>
      <c r="D62" s="84" t="str">
        <f>IF('Consulta1'!D4154="","",'Consulta1'!D4154)</f>
        <v>A04 038 El Triunfo Nava</v>
      </c>
      <c r="E62" s="82" t="str">
        <f>IF('Consulta1'!E4154="","",'Consulta1'!E4154)</f>
        <v>McAllen</v>
      </c>
      <c r="F62">
        <f>+IF(E62="","",VLOOKUP(E62,CATALOGO!G:L,6,0))</f>
        <v>8</v>
      </c>
      <c r="G62" s="85">
        <f>IF('Consulta1'!F4154="","",'Consulta1'!F4154)</f>
        <v>960</v>
      </c>
      <c r="H62" s="85">
        <f>IF('Consulta1'!G4154="","",'Consulta1'!G4154)</f>
        <v>20</v>
      </c>
      <c r="I62" s="86">
        <f>IF('Consulta1'!H4154="","",'Consulta1'!H4154)</f>
        <v>46288</v>
      </c>
      <c r="J62">
        <f t="shared" si="0"/>
        <v>39</v>
      </c>
      <c r="K62">
        <f>+IF(E62="","",VLOOKUP(E62,CATALOGO!G:I,2,0))</f>
        <v>3</v>
      </c>
      <c r="L62">
        <f>+IF(E62="","",VLOOKUP(E62,CATALOGO!G:I,3,0))</f>
        <v>72</v>
      </c>
      <c r="M62" s="87">
        <f>IF('Consulta1'!I4154="","",'Consulta1'!I4154)</f>
        <v>46291</v>
      </c>
      <c r="N62" s="88" t="str">
        <f>IF('Consulta1'!J4154="","",'Consulta1'!J4154)</f>
        <v>44554</v>
      </c>
    </row>
    <row r="63" spans="1:14" ht="18.75" x14ac:dyDescent="0.25">
      <c r="A63" s="82" t="str">
        <f>IF('Consulta1'!A4155="","",'Consulta1'!A4155)</f>
        <v>Chanitos Premium EUA Tarima Americana</v>
      </c>
      <c r="B63" s="82" t="str">
        <f>IF('Consulta1'!B4155="","",'Consulta1'!B4155)</f>
        <v>CPR01104</v>
      </c>
      <c r="C63" s="83" t="str">
        <f>IF('Consulta1'!C4155="","",'Consulta1'!C4155)</f>
        <v>A04084-392309-1</v>
      </c>
      <c r="D63" s="84" t="str">
        <f>IF('Consulta1'!D4155="","",'Consulta1'!D4155)</f>
        <v>A04 084 Lisboa</v>
      </c>
      <c r="E63" s="82" t="str">
        <f>IF('Consulta1'!E4155="","",'Consulta1'!E4155)</f>
        <v>McAllen</v>
      </c>
      <c r="F63">
        <f>+IF(E63="","",VLOOKUP(E63,CATALOGO!G:L,6,0))</f>
        <v>8</v>
      </c>
      <c r="G63" s="85">
        <f>IF('Consulta1'!F4155="","",'Consulta1'!F4155)</f>
        <v>192</v>
      </c>
      <c r="H63" s="85">
        <f>IF('Consulta1'!G4155="","",'Consulta1'!G4155)</f>
        <v>4</v>
      </c>
      <c r="I63" s="86">
        <f>IF('Consulta1'!H4155="","",'Consulta1'!H4155)</f>
        <v>46288</v>
      </c>
      <c r="J63">
        <f t="shared" si="0"/>
        <v>39</v>
      </c>
      <c r="K63">
        <f>+IF(E63="","",VLOOKUP(E63,CATALOGO!G:I,2,0))</f>
        <v>3</v>
      </c>
      <c r="L63">
        <f>+IF(E63="","",VLOOKUP(E63,CATALOGO!G:I,3,0))</f>
        <v>72</v>
      </c>
      <c r="M63" s="87">
        <f>IF('Consulta1'!I4155="","",'Consulta1'!I4155)</f>
        <v>46294</v>
      </c>
      <c r="N63" s="88" t="str">
        <f>IF('Consulta1'!J4155="","",'Consulta1'!J4155)</f>
        <v>45031</v>
      </c>
    </row>
    <row r="64" spans="1:14" ht="18.75" x14ac:dyDescent="0.25">
      <c r="A64" s="82" t="str">
        <f>IF('Consulta1'!A4156="","",'Consulta1'!A4156)</f>
        <v>Chanitos Premium EUA Tarima Americana</v>
      </c>
      <c r="B64" s="82" t="str">
        <f>IF('Consulta1'!B4156="","",'Consulta1'!B4156)</f>
        <v>CPR01104</v>
      </c>
      <c r="C64" s="83" t="str">
        <f>IF('Consulta1'!C4156="","",'Consulta1'!C4156)</f>
        <v>A04084-392309-1</v>
      </c>
      <c r="D64" s="84" t="str">
        <f>IF('Consulta1'!D4156="","",'Consulta1'!D4156)</f>
        <v>A04 084 Lisboa</v>
      </c>
      <c r="E64" s="82" t="str">
        <f>IF('Consulta1'!E4156="","",'Consulta1'!E4156)</f>
        <v>McAllen</v>
      </c>
      <c r="F64">
        <f>+IF(E64="","",VLOOKUP(E64,CATALOGO!G:L,6,0))</f>
        <v>8</v>
      </c>
      <c r="G64" s="85">
        <f>IF('Consulta1'!F4156="","",'Consulta1'!F4156)</f>
        <v>480</v>
      </c>
      <c r="H64" s="85">
        <f>IF('Consulta1'!G4156="","",'Consulta1'!G4156)</f>
        <v>10</v>
      </c>
      <c r="I64" s="86">
        <f>IF('Consulta1'!H4156="","",'Consulta1'!H4156)</f>
        <v>46288</v>
      </c>
      <c r="J64">
        <f t="shared" si="0"/>
        <v>39</v>
      </c>
      <c r="K64">
        <f>+IF(E64="","",VLOOKUP(E64,CATALOGO!G:I,2,0))</f>
        <v>3</v>
      </c>
      <c r="L64">
        <f>+IF(E64="","",VLOOKUP(E64,CATALOGO!G:I,3,0))</f>
        <v>72</v>
      </c>
      <c r="M64" s="87">
        <f>IF('Consulta1'!I4156="","",'Consulta1'!I4156)</f>
        <v>46295</v>
      </c>
      <c r="N64" s="88" t="str">
        <f>IF('Consulta1'!J4156="","",'Consulta1'!J4156)</f>
        <v/>
      </c>
    </row>
    <row r="65" spans="1:14" ht="18.75" x14ac:dyDescent="0.25">
      <c r="A65" s="82" t="str">
        <f>IF('Consulta1'!A4157="","",'Consulta1'!A4157)</f>
        <v>Chanitos Premium Tarima Americana</v>
      </c>
      <c r="B65" s="82" t="str">
        <f>IF('Consulta1'!B4157="","",'Consulta1'!B4157)</f>
        <v>CPR01103</v>
      </c>
      <c r="C65" s="83" t="str">
        <f>IF('Consulta1'!C4157="","",'Consulta1'!C4157)</f>
        <v>A11087-392309-1</v>
      </c>
      <c r="D65" s="84" t="str">
        <f>IF('Consulta1'!D4157="","",'Consulta1'!D4157)</f>
        <v>A11 087 19 de Abril</v>
      </c>
      <c r="E65" s="82" t="str">
        <f>IF('Consulta1'!E4157="","",'Consulta1'!E4157)</f>
        <v>Ciudad Juarez</v>
      </c>
      <c r="F65">
        <f>+IF(E65="","",VLOOKUP(E65,CATALOGO!G:L,6,0))</f>
        <v>1</v>
      </c>
      <c r="G65" s="85">
        <f>IF('Consulta1'!F4157="","",'Consulta1'!F4157)</f>
        <v>192</v>
      </c>
      <c r="H65" s="85">
        <f>IF('Consulta1'!G4157="","",'Consulta1'!G4157)</f>
        <v>4</v>
      </c>
      <c r="I65" s="86">
        <f>IF('Consulta1'!H4157="","",'Consulta1'!H4157)</f>
        <v>46288</v>
      </c>
      <c r="J65">
        <f t="shared" si="0"/>
        <v>39</v>
      </c>
      <c r="K65">
        <f>+IF(E65="","",VLOOKUP(E65,CATALOGO!G:I,2,0))</f>
        <v>4</v>
      </c>
      <c r="L65">
        <f>+IF(E65="","",VLOOKUP(E65,CATALOGO!G:I,3,0))</f>
        <v>96</v>
      </c>
      <c r="M65" s="87">
        <f>IF('Consulta1'!I4157="","",'Consulta1'!I4157)</f>
        <v>46294</v>
      </c>
      <c r="N65" s="88" t="str">
        <f>IF('Consulta1'!J4157="","",'Consulta1'!J4157)</f>
        <v>43271</v>
      </c>
    </row>
    <row r="66" spans="1:14" ht="18.75" x14ac:dyDescent="0.25">
      <c r="A66" s="82" t="str">
        <f>IF('Consulta1'!A4158="","",'Consulta1'!A4158)</f>
        <v>Chanitos Premium Tarima Americana</v>
      </c>
      <c r="B66" s="82" t="str">
        <f>IF('Consulta1'!B4158="","",'Consulta1'!B4158)</f>
        <v>CPR01103</v>
      </c>
      <c r="C66" s="83" t="str">
        <f>IF('Consulta1'!C4158="","",'Consulta1'!C4158)</f>
        <v>A11045-392309-1</v>
      </c>
      <c r="D66" s="84" t="str">
        <f>IF('Consulta1'!D4158="","",'Consulta1'!D4158)</f>
        <v>A11 045 Sector Mazatan</v>
      </c>
      <c r="E66" s="82" t="str">
        <f>IF('Consulta1'!E4158="","",'Consulta1'!E4158)</f>
        <v>S-MTY</v>
      </c>
      <c r="F66">
        <f>+IF(E66="","",VLOOKUP(E66,CATALOGO!G:L,6,0))</f>
        <v>1</v>
      </c>
      <c r="G66" s="85">
        <f>IF('Consulta1'!F4158="","",'Consulta1'!F4158)</f>
        <v>480</v>
      </c>
      <c r="H66" s="85">
        <f>IF('Consulta1'!G4158="","",'Consulta1'!G4158)</f>
        <v>10</v>
      </c>
      <c r="I66" s="86">
        <f>IF('Consulta1'!H4158="","",'Consulta1'!H4158)</f>
        <v>46288</v>
      </c>
      <c r="J66">
        <f t="shared" si="0"/>
        <v>39</v>
      </c>
      <c r="K66">
        <f>+IF(E66="","",VLOOKUP(E66,CATALOGO!G:I,2,0))</f>
        <v>3</v>
      </c>
      <c r="L66">
        <f>+IF(E66="","",VLOOKUP(E66,CATALOGO!G:I,3,0))</f>
        <v>72</v>
      </c>
      <c r="M66" s="87">
        <f>IF('Consulta1'!I4158="","",'Consulta1'!I4158)</f>
        <v>46293</v>
      </c>
      <c r="N66" s="88" t="str">
        <f>IF('Consulta1'!J4158="","",'Consulta1'!J4158)</f>
        <v>43806</v>
      </c>
    </row>
    <row r="67" spans="1:14" ht="18.75" x14ac:dyDescent="0.25">
      <c r="A67" s="82" t="str">
        <f>IF('Consulta1'!A4159="","",'Consulta1'!A4159)</f>
        <v>Chanitos Plantain 20Kg Tarima Chep</v>
      </c>
      <c r="B67" s="82" t="str">
        <f>IF('Consulta1'!B4159="","",'Consulta1'!B4159)</f>
        <v>CPL08141</v>
      </c>
      <c r="C67" s="83" t="str">
        <f>IF('Consulta1'!C4159="","",'Consulta1'!C4159)</f>
        <v>A15063-392309-1</v>
      </c>
      <c r="D67" s="84" t="str">
        <f>IF('Consulta1'!D4159="","",'Consulta1'!D4159)</f>
        <v>A15 063 Zaragoza</v>
      </c>
      <c r="E67" s="82" t="str">
        <f>IF('Consulta1'!E4159="","",'Consulta1'!E4159)</f>
        <v>CEDA</v>
      </c>
      <c r="F67">
        <f>+IF(E67="","",VLOOKUP(E67,CATALOGO!G:L,6,0))</f>
        <v>0</v>
      </c>
      <c r="G67" s="85">
        <f>IF('Consulta1'!F4159="","",'Consulta1'!F4159)</f>
        <v>240</v>
      </c>
      <c r="H67" s="85">
        <f>IF('Consulta1'!G4159="","",'Consulta1'!G4159)</f>
        <v>5</v>
      </c>
      <c r="I67" s="86">
        <f>IF('Consulta1'!H4159="","",'Consulta1'!H4159)</f>
        <v>46288</v>
      </c>
      <c r="J67">
        <f t="shared" ref="J67:J130" si="1">+IF(E67="","",WEEKNUM(I67))</f>
        <v>39</v>
      </c>
      <c r="K67">
        <f>+IF(E67="","",VLOOKUP(E67,CATALOGO!G:I,2,0))</f>
        <v>1.5</v>
      </c>
      <c r="L67">
        <f>+IF(E67="","",VLOOKUP(E67,CATALOGO!G:I,3,0))</f>
        <v>36</v>
      </c>
      <c r="M67" s="87">
        <f>IF('Consulta1'!I4159="","",'Consulta1'!I4159)</f>
        <v>46288</v>
      </c>
      <c r="N67" s="88" t="str">
        <f>IF('Consulta1'!J4159="","",'Consulta1'!J4159)</f>
        <v>0</v>
      </c>
    </row>
    <row r="68" spans="1:14" ht="18.75" x14ac:dyDescent="0.25">
      <c r="A68" s="82" t="str">
        <f>IF('Consulta1'!A4160="","",'Consulta1'!A4160)</f>
        <v>Chanitos Premium Tarima Americana</v>
      </c>
      <c r="B68" s="82" t="str">
        <f>IF('Consulta1'!B4160="","",'Consulta1'!B4160)</f>
        <v>CPR01103</v>
      </c>
      <c r="C68" s="83" t="str">
        <f>IF('Consulta1'!C4160="","",'Consulta1'!C4160)</f>
        <v>A04039-392309-1</v>
      </c>
      <c r="D68" s="84" t="str">
        <f>IF('Consulta1'!D4160="","",'Consulta1'!D4160)</f>
        <v>A04 039 San Jose Morelia Nava</v>
      </c>
      <c r="E68" s="82" t="str">
        <f>IF('Consulta1'!E4160="","",'Consulta1'!E4160)</f>
        <v>S-MTY</v>
      </c>
      <c r="F68">
        <f>+IF(E68="","",VLOOKUP(E68,CATALOGO!G:L,6,0))</f>
        <v>1</v>
      </c>
      <c r="G68" s="85">
        <f>IF('Consulta1'!F4160="","",'Consulta1'!F4160)</f>
        <v>240</v>
      </c>
      <c r="H68" s="85">
        <f>IF('Consulta1'!G4160="","",'Consulta1'!G4160)</f>
        <v>5</v>
      </c>
      <c r="I68" s="86">
        <f>IF('Consulta1'!H4160="","",'Consulta1'!H4160)</f>
        <v>46288</v>
      </c>
      <c r="J68">
        <f t="shared" si="1"/>
        <v>39</v>
      </c>
      <c r="K68">
        <f>+IF(E68="","",VLOOKUP(E68,CATALOGO!G:I,2,0))</f>
        <v>3</v>
      </c>
      <c r="L68">
        <f>+IF(E68="","",VLOOKUP(E68,CATALOGO!G:I,3,0))</f>
        <v>72</v>
      </c>
      <c r="M68" s="87">
        <f>IF('Consulta1'!I4160="","",'Consulta1'!I4160)</f>
        <v>46293</v>
      </c>
      <c r="N68" s="88" t="str">
        <f>IF('Consulta1'!J4160="","",'Consulta1'!J4160)</f>
        <v>43806</v>
      </c>
    </row>
    <row r="69" spans="1:14" ht="18.75" x14ac:dyDescent="0.25">
      <c r="A69" s="82" t="str">
        <f>IF('Consulta1'!A4161="","",'Consulta1'!A4161)</f>
        <v>Chanitos Premium Tarima Americana</v>
      </c>
      <c r="B69" s="82" t="str">
        <f>IF('Consulta1'!B4161="","",'Consulta1'!B4161)</f>
        <v>CPR01103</v>
      </c>
      <c r="C69" s="83" t="str">
        <f>IF('Consulta1'!C4161="","",'Consulta1'!C4161)</f>
        <v>A04039-392309-1</v>
      </c>
      <c r="D69" s="84" t="str">
        <f>IF('Consulta1'!D4161="","",'Consulta1'!D4161)</f>
        <v>A04 039 San Jose Morelia Nava</v>
      </c>
      <c r="E69" s="82" t="str">
        <f>IF('Consulta1'!E4161="","",'Consulta1'!E4161)</f>
        <v/>
      </c>
      <c r="F69" t="str">
        <f>+IF(E69="","",VLOOKUP(E69,CATALOGO!G:L,6,0))</f>
        <v/>
      </c>
      <c r="G69" s="85">
        <f>IF('Consulta1'!F4161="","",'Consulta1'!F4161)</f>
        <v>96</v>
      </c>
      <c r="H69" s="85">
        <f>IF('Consulta1'!G4161="","",'Consulta1'!G4161)</f>
        <v>2</v>
      </c>
      <c r="I69" s="86">
        <f>IF('Consulta1'!H4161="","",'Consulta1'!H4161)</f>
        <v>46288</v>
      </c>
      <c r="J69" t="str">
        <f t="shared" si="1"/>
        <v/>
      </c>
      <c r="K69" t="str">
        <f>+IF(E69="","",VLOOKUP(E69,CATALOGO!G:I,2,0))</f>
        <v/>
      </c>
      <c r="L69" t="str">
        <f>+IF(E69="","",VLOOKUP(E69,CATALOGO!G:I,3,0))</f>
        <v/>
      </c>
      <c r="M69" s="87">
        <f>IF('Consulta1'!I4161="","",'Consulta1'!I4161)</f>
        <v>46295</v>
      </c>
      <c r="N69" s="88" t="str">
        <f>IF('Consulta1'!J4161="","",'Consulta1'!J4161)</f>
        <v>Sin OV compatible con fecha, cliente, CEDIS, SKU, zona y cantidad</v>
      </c>
    </row>
    <row r="70" spans="1:14" ht="18.75" x14ac:dyDescent="0.25">
      <c r="A70" s="82" t="str">
        <f>IF('Consulta1'!A4162="","",'Consulta1'!A4162)</f>
        <v>Chanitos Premium Tarima Americana</v>
      </c>
      <c r="B70" s="82" t="str">
        <f>IF('Consulta1'!B4162="","",'Consulta1'!B4162)</f>
        <v>CPR01103</v>
      </c>
      <c r="C70" s="83" t="str">
        <f>IF('Consulta1'!C4162="","",'Consulta1'!C4162)</f>
        <v>A04039-392309-1</v>
      </c>
      <c r="D70" s="84" t="str">
        <f>IF('Consulta1'!D4162="","",'Consulta1'!D4162)</f>
        <v>A04 039 San Jose Morelia Nava</v>
      </c>
      <c r="E70" s="82" t="str">
        <f>IF('Consulta1'!E4162="","",'Consulta1'!E4162)</f>
        <v>S-MTY</v>
      </c>
      <c r="F70">
        <f>+IF(E70="","",VLOOKUP(E70,CATALOGO!G:L,6,0))</f>
        <v>1</v>
      </c>
      <c r="G70" s="85">
        <f>IF('Consulta1'!F4162="","",'Consulta1'!F4162)</f>
        <v>960</v>
      </c>
      <c r="H70" s="85">
        <f>IF('Consulta1'!G4162="","",'Consulta1'!G4162)</f>
        <v>20</v>
      </c>
      <c r="I70" s="86">
        <f>IF('Consulta1'!H4162="","",'Consulta1'!H4162)</f>
        <v>46288</v>
      </c>
      <c r="J70">
        <f t="shared" si="1"/>
        <v>39</v>
      </c>
      <c r="K70">
        <f>+IF(E70="","",VLOOKUP(E70,CATALOGO!G:I,2,0))</f>
        <v>3</v>
      </c>
      <c r="L70">
        <f>+IF(E70="","",VLOOKUP(E70,CATALOGO!G:I,3,0))</f>
        <v>72</v>
      </c>
      <c r="M70" s="87">
        <f>IF('Consulta1'!I4162="","",'Consulta1'!I4162)</f>
        <v>46293</v>
      </c>
      <c r="N70" s="88" t="str">
        <f>IF('Consulta1'!J4162="","",'Consulta1'!J4162)</f>
        <v>43806</v>
      </c>
    </row>
    <row r="71" spans="1:14" ht="18.75" x14ac:dyDescent="0.25">
      <c r="A71" s="82" t="str">
        <f>IF('Consulta1'!A4163="","",'Consulta1'!A4163)</f>
        <v>Chanitos Premium Tarima Americana</v>
      </c>
      <c r="B71" s="82" t="str">
        <f>IF('Consulta1'!B4163="","",'Consulta1'!B4163)</f>
        <v>CPR01103</v>
      </c>
      <c r="C71" s="83" t="str">
        <f>IF('Consulta1'!C4163="","",'Consulta1'!C4163)</f>
        <v>A04039-392309-1</v>
      </c>
      <c r="D71" s="84" t="str">
        <f>IF('Consulta1'!D4163="","",'Consulta1'!D4163)</f>
        <v>A04 039 San Jose Morelia Nava</v>
      </c>
      <c r="E71" s="82" t="str">
        <f>IF('Consulta1'!E4163="","",'Consulta1'!E4163)</f>
        <v>S-MTY</v>
      </c>
      <c r="F71">
        <f>+IF(E71="","",VLOOKUP(E71,CATALOGO!G:L,6,0))</f>
        <v>1</v>
      </c>
      <c r="G71" s="85">
        <f>IF('Consulta1'!F4163="","",'Consulta1'!F4163)</f>
        <v>144</v>
      </c>
      <c r="H71" s="85">
        <f>IF('Consulta1'!G4163="","",'Consulta1'!G4163)</f>
        <v>3</v>
      </c>
      <c r="I71" s="86">
        <f>IF('Consulta1'!H4163="","",'Consulta1'!H4163)</f>
        <v>46288</v>
      </c>
      <c r="J71">
        <f t="shared" si="1"/>
        <v>39</v>
      </c>
      <c r="K71">
        <f>+IF(E71="","",VLOOKUP(E71,CATALOGO!G:I,2,0))</f>
        <v>3</v>
      </c>
      <c r="L71">
        <f>+IF(E71="","",VLOOKUP(E71,CATALOGO!G:I,3,0))</f>
        <v>72</v>
      </c>
      <c r="M71" s="87">
        <f>IF('Consulta1'!I4163="","",'Consulta1'!I4163)</f>
        <v>46295</v>
      </c>
      <c r="N71" s="88" t="str">
        <f>IF('Consulta1'!J4163="","",'Consulta1'!J4163)</f>
        <v>45612</v>
      </c>
    </row>
    <row r="72" spans="1:14" ht="18.75" x14ac:dyDescent="0.25">
      <c r="A72" s="82" t="str">
        <f>IF('Consulta1'!A4164="","",'Consulta1'!A4164)</f>
        <v>Chanitos Premium Tarima Americana</v>
      </c>
      <c r="B72" s="82" t="str">
        <f>IF('Consulta1'!B4164="","",'Consulta1'!B4164)</f>
        <v>CPR01103</v>
      </c>
      <c r="C72" s="83" t="str">
        <f>IF('Consulta1'!C4164="","",'Consulta1'!C4164)</f>
        <v>A01003-392309-1</v>
      </c>
      <c r="D72" s="84" t="str">
        <f>IF('Consulta1'!D4164="","",'Consulta1'!D4164)</f>
        <v>A01 003 Doña Nelly</v>
      </c>
      <c r="E72" s="82" t="str">
        <f>IF('Consulta1'!E4164="","",'Consulta1'!E4164)</f>
        <v>Ciudad Juarez</v>
      </c>
      <c r="F72">
        <f>+IF(E72="","",VLOOKUP(E72,CATALOGO!G:L,6,0))</f>
        <v>1</v>
      </c>
      <c r="G72" s="85">
        <f>IF('Consulta1'!F4164="","",'Consulta1'!F4164)</f>
        <v>336</v>
      </c>
      <c r="H72" s="85">
        <f>IF('Consulta1'!G4164="","",'Consulta1'!G4164)</f>
        <v>7</v>
      </c>
      <c r="I72" s="86">
        <f>IF('Consulta1'!H4164="","",'Consulta1'!H4164)</f>
        <v>46288</v>
      </c>
      <c r="J72">
        <f t="shared" si="1"/>
        <v>39</v>
      </c>
      <c r="K72">
        <f>+IF(E72="","",VLOOKUP(E72,CATALOGO!G:I,2,0))</f>
        <v>4</v>
      </c>
      <c r="L72">
        <f>+IF(E72="","",VLOOKUP(E72,CATALOGO!G:I,3,0))</f>
        <v>96</v>
      </c>
      <c r="M72" s="87">
        <f>IF('Consulta1'!I4164="","",'Consulta1'!I4164)</f>
        <v>46294</v>
      </c>
      <c r="N72" s="88" t="str">
        <f>IF('Consulta1'!J4164="","",'Consulta1'!J4164)</f>
        <v>43271</v>
      </c>
    </row>
    <row r="73" spans="1:14" ht="18.75" x14ac:dyDescent="0.25">
      <c r="A73" s="82" t="str">
        <f>IF('Consulta1'!A4165="","",'Consulta1'!A4165)</f>
        <v>Chanitos Premium Tarima Americana</v>
      </c>
      <c r="B73" s="82" t="str">
        <f>IF('Consulta1'!B4165="","",'Consulta1'!B4165)</f>
        <v>CPR01103</v>
      </c>
      <c r="C73" s="83" t="str">
        <f>IF('Consulta1'!C4165="","",'Consulta1'!C4165)</f>
        <v>A01003-392309-1</v>
      </c>
      <c r="D73" s="84" t="str">
        <f>IF('Consulta1'!D4165="","",'Consulta1'!D4165)</f>
        <v>A01 003 Doña Nelly</v>
      </c>
      <c r="E73" s="82" t="str">
        <f>IF('Consulta1'!E4165="","",'Consulta1'!E4165)</f>
        <v>Ciudad Juarez</v>
      </c>
      <c r="F73">
        <f>+IF(E73="","",VLOOKUP(E73,CATALOGO!G:L,6,0))</f>
        <v>1</v>
      </c>
      <c r="G73" s="85">
        <f>IF('Consulta1'!F4165="","",'Consulta1'!F4165)</f>
        <v>960</v>
      </c>
      <c r="H73" s="85">
        <f>IF('Consulta1'!G4165="","",'Consulta1'!G4165)</f>
        <v>20</v>
      </c>
      <c r="I73" s="86">
        <f>IF('Consulta1'!H4165="","",'Consulta1'!H4165)</f>
        <v>46288</v>
      </c>
      <c r="J73">
        <f t="shared" si="1"/>
        <v>39</v>
      </c>
      <c r="K73">
        <f>+IF(E73="","",VLOOKUP(E73,CATALOGO!G:I,2,0))</f>
        <v>4</v>
      </c>
      <c r="L73">
        <f>+IF(E73="","",VLOOKUP(E73,CATALOGO!G:I,3,0))</f>
        <v>96</v>
      </c>
      <c r="M73" s="87">
        <f>IF('Consulta1'!I4165="","",'Consulta1'!I4165)</f>
        <v>46294</v>
      </c>
      <c r="N73" s="88" t="str">
        <f>IF('Consulta1'!J4165="","",'Consulta1'!J4165)</f>
        <v>43271</v>
      </c>
    </row>
    <row r="74" spans="1:14" ht="18.75" x14ac:dyDescent="0.25">
      <c r="A74" s="82" t="str">
        <f>IF('Consulta1'!A4166="","",'Consulta1'!A4166)</f>
        <v>Chanitos Premium Tarima Chep</v>
      </c>
      <c r="B74" s="82" t="str">
        <f>IF('Consulta1'!B4166="","",'Consulta1'!B4166)</f>
        <v>CPR01102</v>
      </c>
      <c r="C74" s="83" t="str">
        <f>IF('Consulta1'!C4166="","",'Consulta1'!C4166)</f>
        <v>A01003-392309-1</v>
      </c>
      <c r="D74" s="84" t="str">
        <f>IF('Consulta1'!D4166="","",'Consulta1'!D4166)</f>
        <v>A01 003 Doña Nelly</v>
      </c>
      <c r="E74" s="82" t="str">
        <f>IF('Consulta1'!E4166="","",'Consulta1'!E4166)</f>
        <v>SMO</v>
      </c>
      <c r="F74">
        <f>+IF(E74="","",VLOOKUP(E74,CATALOGO!G:L,6,0))</f>
        <v>4</v>
      </c>
      <c r="G74" s="85">
        <f>IF('Consulta1'!F4166="","",'Consulta1'!F4166)</f>
        <v>480</v>
      </c>
      <c r="H74" s="85">
        <f>IF('Consulta1'!G4166="","",'Consulta1'!G4166)</f>
        <v>10</v>
      </c>
      <c r="I74" s="86">
        <f>IF('Consulta1'!H4166="","",'Consulta1'!H4166)</f>
        <v>46288</v>
      </c>
      <c r="J74">
        <f t="shared" si="1"/>
        <v>39</v>
      </c>
      <c r="K74">
        <f>+IF(E74="","",VLOOKUP(E74,CATALOGO!G:I,2,0))</f>
        <v>1.5</v>
      </c>
      <c r="L74">
        <f>+IF(E74="","",VLOOKUP(E74,CATALOGO!G:I,3,0))</f>
        <v>36</v>
      </c>
      <c r="M74" s="87">
        <f>IF('Consulta1'!I4166="","",'Consulta1'!I4166)</f>
        <v>46293</v>
      </c>
      <c r="N74" s="88" t="str">
        <f>IF('Consulta1'!J4166="","",'Consulta1'!J4166)</f>
        <v>45098</v>
      </c>
    </row>
    <row r="75" spans="1:14" ht="18.75" x14ac:dyDescent="0.25">
      <c r="A75" s="82" t="str">
        <f>IF('Consulta1'!A4167="","",'Consulta1'!A4167)</f>
        <v>Chanitos Premium Granel</v>
      </c>
      <c r="B75" s="82" t="str">
        <f>IF('Consulta1'!B4167="","",'Consulta1'!B4167)</f>
        <v>CPR01101</v>
      </c>
      <c r="C75" s="83" t="str">
        <f>IF('Consulta1'!C4167="","",'Consulta1'!C4167)</f>
        <v>A01003-392309-1</v>
      </c>
      <c r="D75" s="84" t="str">
        <f>IF('Consulta1'!D4167="","",'Consulta1'!D4167)</f>
        <v>A01 003 Doña Nelly</v>
      </c>
      <c r="E75" s="82" t="str">
        <f>IF('Consulta1'!E4167="","",'Consulta1'!E4167)</f>
        <v>CEDA</v>
      </c>
      <c r="F75">
        <f>+IF(E75="","",VLOOKUP(E75,CATALOGO!G:L,6,0))</f>
        <v>0</v>
      </c>
      <c r="G75" s="85">
        <f>IF('Consulta1'!F4167="","",'Consulta1'!F4167)</f>
        <v>54</v>
      </c>
      <c r="H75" s="85" t="str">
        <f>IF('Consulta1'!G4167="","",'Consulta1'!G4167)</f>
        <v>Granel</v>
      </c>
      <c r="I75" s="86">
        <f>IF('Consulta1'!H4167="","",'Consulta1'!H4167)</f>
        <v>46288</v>
      </c>
      <c r="J75">
        <f t="shared" si="1"/>
        <v>39</v>
      </c>
      <c r="K75">
        <f>+IF(E75="","",VLOOKUP(E75,CATALOGO!G:I,2,0))</f>
        <v>1.5</v>
      </c>
      <c r="L75">
        <f>+IF(E75="","",VLOOKUP(E75,CATALOGO!G:I,3,0))</f>
        <v>36</v>
      </c>
      <c r="M75" s="87">
        <f>IF('Consulta1'!I4167="","",'Consulta1'!I4167)</f>
        <v>46292</v>
      </c>
      <c r="N75" s="88" t="str">
        <f>IF('Consulta1'!J4167="","",'Consulta1'!J4167)</f>
        <v>0</v>
      </c>
    </row>
    <row r="76" spans="1:14" ht="18.75" x14ac:dyDescent="0.25">
      <c r="A76" s="82" t="str">
        <f>IF('Consulta1'!A4168="","",'Consulta1'!A4168)</f>
        <v>Chanitos Premium Tarima Chep</v>
      </c>
      <c r="B76" s="82" t="str">
        <f>IF('Consulta1'!B4168="","",'Consulta1'!B4168)</f>
        <v>CPR01102</v>
      </c>
      <c r="C76" s="83" t="str">
        <f>IF('Consulta1'!C4168="","",'Consulta1'!C4168)</f>
        <v>A01002-392309-1</v>
      </c>
      <c r="D76" s="84" t="str">
        <f>IF('Consulta1'!D4168="","",'Consulta1'!D4168)</f>
        <v>A01 002 Fortaleza</v>
      </c>
      <c r="E76" s="82" t="str">
        <f>IF('Consulta1'!E4168="","",'Consulta1'!E4168)</f>
        <v>SMO</v>
      </c>
      <c r="F76">
        <f>+IF(E76="","",VLOOKUP(E76,CATALOGO!G:L,6,0))</f>
        <v>4</v>
      </c>
      <c r="G76" s="85">
        <f>IF('Consulta1'!F4168="","",'Consulta1'!F4168)</f>
        <v>1104</v>
      </c>
      <c r="H76" s="85">
        <f>IF('Consulta1'!G4168="","",'Consulta1'!G4168)</f>
        <v>23</v>
      </c>
      <c r="I76" s="86">
        <f>IF('Consulta1'!H4168="","",'Consulta1'!H4168)</f>
        <v>46288</v>
      </c>
      <c r="J76">
        <f t="shared" si="1"/>
        <v>39</v>
      </c>
      <c r="K76">
        <f>+IF(E76="","",VLOOKUP(E76,CATALOGO!G:I,2,0))</f>
        <v>1.5</v>
      </c>
      <c r="L76">
        <f>+IF(E76="","",VLOOKUP(E76,CATALOGO!G:I,3,0))</f>
        <v>36</v>
      </c>
      <c r="M76" s="87">
        <f>IF('Consulta1'!I4168="","",'Consulta1'!I4168)</f>
        <v>46291</v>
      </c>
      <c r="N76" s="88" t="str">
        <f>IF('Consulta1'!J4168="","",'Consulta1'!J4168)</f>
        <v>45094</v>
      </c>
    </row>
    <row r="77" spans="1:14" ht="18.75" x14ac:dyDescent="0.25">
      <c r="A77" s="82" t="str">
        <f>IF('Consulta1'!A4169="","",'Consulta1'!A4169)</f>
        <v>Chanitos Premium Tarima Chep</v>
      </c>
      <c r="B77" s="82" t="str">
        <f>IF('Consulta1'!B4169="","",'Consulta1'!B4169)</f>
        <v>CPR01102</v>
      </c>
      <c r="C77" s="83" t="str">
        <f>IF('Consulta1'!C4169="","",'Consulta1'!C4169)</f>
        <v>A01002-392309-1</v>
      </c>
      <c r="D77" s="84" t="str">
        <f>IF('Consulta1'!D4169="","",'Consulta1'!D4169)</f>
        <v>A01 002 Fortaleza</v>
      </c>
      <c r="E77" s="82" t="str">
        <f>IF('Consulta1'!E4169="","",'Consulta1'!E4169)</f>
        <v>Chalco</v>
      </c>
      <c r="F77">
        <f>+IF(E77="","",VLOOKUP(E77,CATALOGO!G:L,6,0))</f>
        <v>5</v>
      </c>
      <c r="G77" s="85">
        <f>IF('Consulta1'!F4169="","",'Consulta1'!F4169)</f>
        <v>354</v>
      </c>
      <c r="H77" s="85">
        <f>IF('Consulta1'!G4169="","",'Consulta1'!G4169)</f>
        <v>7.375</v>
      </c>
      <c r="I77" s="86">
        <f>IF('Consulta1'!H4169="","",'Consulta1'!H4169)</f>
        <v>46288</v>
      </c>
      <c r="J77">
        <f t="shared" si="1"/>
        <v>39</v>
      </c>
      <c r="K77">
        <f>+IF(E77="","",VLOOKUP(E77,CATALOGO!G:I,2,0))</f>
        <v>1</v>
      </c>
      <c r="L77">
        <f>+IF(E77="","",VLOOKUP(E77,CATALOGO!G:I,3,0))</f>
        <v>24</v>
      </c>
      <c r="M77" s="87">
        <f>IF('Consulta1'!I4169="","",'Consulta1'!I4169)</f>
        <v>46293</v>
      </c>
      <c r="N77" s="88" t="str">
        <f>IF('Consulta1'!J4169="","",'Consulta1'!J4169)</f>
        <v>45277</v>
      </c>
    </row>
    <row r="78" spans="1:14" ht="18.75" x14ac:dyDescent="0.25">
      <c r="A78" s="82" t="str">
        <f>IF('Consulta1'!A4170="","",'Consulta1'!A4170)</f>
        <v>Platano de Chiapas BAE UPC 3237</v>
      </c>
      <c r="B78" s="82" t="str">
        <f>IF('Consulta1'!B4170="","",'Consulta1'!B4170)</f>
        <v>CPR01114</v>
      </c>
      <c r="C78" s="83" t="str">
        <f>IF('Consulta1'!C4170="","",'Consulta1'!C4170)</f>
        <v>A01002-392309-1</v>
      </c>
      <c r="D78" s="84" t="str">
        <f>IF('Consulta1'!D4170="","",'Consulta1'!D4170)</f>
        <v>A01 002 Fortaleza</v>
      </c>
      <c r="E78" s="82" t="str">
        <f>IF('Consulta1'!E4170="","",'Consulta1'!E4170)</f>
        <v>Chalco</v>
      </c>
      <c r="F78">
        <f>+IF(E78="","",VLOOKUP(E78,CATALOGO!G:L,6,0))</f>
        <v>5</v>
      </c>
      <c r="G78" s="85">
        <f>IF('Consulta1'!F4170="","",'Consulta1'!F4170)</f>
        <v>78</v>
      </c>
      <c r="H78" s="85">
        <f>IF('Consulta1'!G4170="","",'Consulta1'!G4170)</f>
        <v>1.625</v>
      </c>
      <c r="I78" s="86">
        <f>IF('Consulta1'!H4170="","",'Consulta1'!H4170)</f>
        <v>46288</v>
      </c>
      <c r="J78">
        <f t="shared" si="1"/>
        <v>39</v>
      </c>
      <c r="K78">
        <f>+IF(E78="","",VLOOKUP(E78,CATALOGO!G:I,2,0))</f>
        <v>1</v>
      </c>
      <c r="L78">
        <f>+IF(E78="","",VLOOKUP(E78,CATALOGO!G:I,3,0))</f>
        <v>24</v>
      </c>
      <c r="M78" s="87">
        <f>IF('Consulta1'!I4170="","",'Consulta1'!I4170)</f>
        <v>46293</v>
      </c>
      <c r="N78" s="88" t="str">
        <f>IF('Consulta1'!J4170="","",'Consulta1'!J4170)</f>
        <v>45277</v>
      </c>
    </row>
    <row r="79" spans="1:14" ht="18.75" x14ac:dyDescent="0.25">
      <c r="A79" s="82" t="str">
        <f>IF('Consulta1'!A4171="","",'Consulta1'!A4171)</f>
        <v>Chanitos Premium Tarima Chep</v>
      </c>
      <c r="B79" s="82" t="str">
        <f>IF('Consulta1'!B4171="","",'Consulta1'!B4171)</f>
        <v>CPR01102</v>
      </c>
      <c r="C79" s="83" t="str">
        <f>IF('Consulta1'!C4171="","",'Consulta1'!C4171)</f>
        <v>A01002-392309-1</v>
      </c>
      <c r="D79" s="84" t="str">
        <f>IF('Consulta1'!D4171="","",'Consulta1'!D4171)</f>
        <v>A01 002 Fortaleza</v>
      </c>
      <c r="E79" s="82" t="str">
        <f>IF('Consulta1'!E4171="","",'Consulta1'!E4171)</f>
        <v>CEDA</v>
      </c>
      <c r="F79">
        <f>+IF(E79="","",VLOOKUP(E79,CATALOGO!G:L,6,0))</f>
        <v>0</v>
      </c>
      <c r="G79" s="85">
        <f>IF('Consulta1'!F4171="","",'Consulta1'!F4171)</f>
        <v>48</v>
      </c>
      <c r="H79" s="85">
        <f>IF('Consulta1'!G4171="","",'Consulta1'!G4171)</f>
        <v>1</v>
      </c>
      <c r="I79" s="86">
        <f>IF('Consulta1'!H4171="","",'Consulta1'!H4171)</f>
        <v>46288</v>
      </c>
      <c r="J79">
        <f t="shared" si="1"/>
        <v>39</v>
      </c>
      <c r="K79">
        <f>+IF(E79="","",VLOOKUP(E79,CATALOGO!G:I,2,0))</f>
        <v>1.5</v>
      </c>
      <c r="L79">
        <f>+IF(E79="","",VLOOKUP(E79,CATALOGO!G:I,3,0))</f>
        <v>36</v>
      </c>
      <c r="M79" s="87">
        <f>IF('Consulta1'!I4171="","",'Consulta1'!I4171)</f>
        <v>46292</v>
      </c>
      <c r="N79" s="88" t="str">
        <f>IF('Consulta1'!J4171="","",'Consulta1'!J4171)</f>
        <v>0</v>
      </c>
    </row>
    <row r="80" spans="1:14" ht="18.75" x14ac:dyDescent="0.25">
      <c r="A80" s="82" t="str">
        <f>IF('Consulta1'!A4172="","",'Consulta1'!A4172)</f>
        <v>Chanitos Premium Granel</v>
      </c>
      <c r="B80" s="82" t="str">
        <f>IF('Consulta1'!B4172="","",'Consulta1'!B4172)</f>
        <v>CPR01101</v>
      </c>
      <c r="C80" s="83" t="str">
        <f>IF('Consulta1'!C4172="","",'Consulta1'!C4172)</f>
        <v>A01002-392309-1</v>
      </c>
      <c r="D80" s="84" t="str">
        <f>IF('Consulta1'!D4172="","",'Consulta1'!D4172)</f>
        <v>A01 002 Fortaleza</v>
      </c>
      <c r="E80" s="82" t="str">
        <f>IF('Consulta1'!E4172="","",'Consulta1'!E4172)</f>
        <v>CEDA</v>
      </c>
      <c r="F80">
        <f>+IF(E80="","",VLOOKUP(E80,CATALOGO!G:L,6,0))</f>
        <v>0</v>
      </c>
      <c r="G80" s="85">
        <f>IF('Consulta1'!F4172="","",'Consulta1'!F4172)</f>
        <v>41</v>
      </c>
      <c r="H80" s="85" t="str">
        <f>IF('Consulta1'!G4172="","",'Consulta1'!G4172)</f>
        <v>Granel</v>
      </c>
      <c r="I80" s="86">
        <f>IF('Consulta1'!H4172="","",'Consulta1'!H4172)</f>
        <v>46288</v>
      </c>
      <c r="J80">
        <f t="shared" si="1"/>
        <v>39</v>
      </c>
      <c r="K80">
        <f>+IF(E80="","",VLOOKUP(E80,CATALOGO!G:I,2,0))</f>
        <v>1.5</v>
      </c>
      <c r="L80">
        <f>+IF(E80="","",VLOOKUP(E80,CATALOGO!G:I,3,0))</f>
        <v>36</v>
      </c>
      <c r="M80" s="87">
        <f>IF('Consulta1'!I4172="","",'Consulta1'!I4172)</f>
        <v>46292</v>
      </c>
      <c r="N80" s="88" t="str">
        <f>IF('Consulta1'!J4172="","",'Consulta1'!J4172)</f>
        <v>0</v>
      </c>
    </row>
    <row r="81" spans="1:14" ht="18.75" x14ac:dyDescent="0.25">
      <c r="A81" s="82" t="str">
        <f>IF('Consulta1'!A4173="","",'Consulta1'!A4173)</f>
        <v>Chanitos Premium Tarima Chep</v>
      </c>
      <c r="B81" s="82" t="str">
        <f>IF('Consulta1'!B4173="","",'Consulta1'!B4173)</f>
        <v>CPR01102</v>
      </c>
      <c r="C81" s="83" t="str">
        <f>IF('Consulta1'!C4173="","",'Consulta1'!C4173)</f>
        <v>A01001-392309-1</v>
      </c>
      <c r="D81" s="84" t="str">
        <f>IF('Consulta1'!D4173="","",'Consulta1'!D4173)</f>
        <v>A01 001 Marbella</v>
      </c>
      <c r="E81" s="82" t="str">
        <f>IF('Consulta1'!E4173="","",'Consulta1'!E4173)</f>
        <v>VSA</v>
      </c>
      <c r="F81">
        <f>+IF(E81="","",VLOOKUP(E81,CATALOGO!G:L,6,0))</f>
        <v>6</v>
      </c>
      <c r="G81" s="85">
        <f>IF('Consulta1'!F4173="","",'Consulta1'!F4173)</f>
        <v>1104</v>
      </c>
      <c r="H81" s="85">
        <f>IF('Consulta1'!G4173="","",'Consulta1'!G4173)</f>
        <v>23</v>
      </c>
      <c r="I81" s="86">
        <f>IF('Consulta1'!H4173="","",'Consulta1'!H4173)</f>
        <v>46288</v>
      </c>
      <c r="J81">
        <f t="shared" si="1"/>
        <v>39</v>
      </c>
      <c r="K81">
        <f>+IF(E81="","",VLOOKUP(E81,CATALOGO!G:I,2,0))</f>
        <v>1</v>
      </c>
      <c r="L81">
        <f>+IF(E81="","",VLOOKUP(E81,CATALOGO!G:I,3,0))</f>
        <v>24</v>
      </c>
      <c r="M81" s="87">
        <f>IF('Consulta1'!I4173="","",'Consulta1'!I4173)</f>
        <v>46292</v>
      </c>
      <c r="N81" s="88" t="str">
        <f>IF('Consulta1'!J4173="","",'Consulta1'!J4173)</f>
        <v>45089</v>
      </c>
    </row>
    <row r="82" spans="1:14" ht="18.75" x14ac:dyDescent="0.25">
      <c r="A82" s="82" t="str">
        <f>IF('Consulta1'!A4174="","",'Consulta1'!A4174)</f>
        <v>Chanitos Premium Tarima Chep</v>
      </c>
      <c r="B82" s="82" t="str">
        <f>IF('Consulta1'!B4174="","",'Consulta1'!B4174)</f>
        <v>CPR01102</v>
      </c>
      <c r="C82" s="83" t="str">
        <f>IF('Consulta1'!C4174="","",'Consulta1'!C4174)</f>
        <v>A01001-392309-1</v>
      </c>
      <c r="D82" s="84" t="str">
        <f>IF('Consulta1'!D4174="","",'Consulta1'!D4174)</f>
        <v>A01 001 Marbella</v>
      </c>
      <c r="E82" s="82" t="str">
        <f>IF('Consulta1'!E4174="","",'Consulta1'!E4174)</f>
        <v>CEDA</v>
      </c>
      <c r="F82">
        <f>+IF(E82="","",VLOOKUP(E82,CATALOGO!G:L,6,0))</f>
        <v>0</v>
      </c>
      <c r="G82" s="85">
        <f>IF('Consulta1'!F4174="","",'Consulta1'!F4174)</f>
        <v>96</v>
      </c>
      <c r="H82" s="85">
        <f>IF('Consulta1'!G4174="","",'Consulta1'!G4174)</f>
        <v>2</v>
      </c>
      <c r="I82" s="86">
        <f>IF('Consulta1'!H4174="","",'Consulta1'!H4174)</f>
        <v>46288</v>
      </c>
      <c r="J82">
        <f t="shared" si="1"/>
        <v>39</v>
      </c>
      <c r="K82">
        <f>+IF(E82="","",VLOOKUP(E82,CATALOGO!G:I,2,0))</f>
        <v>1.5</v>
      </c>
      <c r="L82">
        <f>+IF(E82="","",VLOOKUP(E82,CATALOGO!G:I,3,0))</f>
        <v>36</v>
      </c>
      <c r="M82" s="87">
        <f>IF('Consulta1'!I4174="","",'Consulta1'!I4174)</f>
        <v>46292</v>
      </c>
      <c r="N82" s="88" t="str">
        <f>IF('Consulta1'!J4174="","",'Consulta1'!J4174)</f>
        <v>0</v>
      </c>
    </row>
    <row r="83" spans="1:14" ht="18.75" x14ac:dyDescent="0.25">
      <c r="A83" s="82" t="str">
        <f>IF('Consulta1'!A4175="","",'Consulta1'!A4175)</f>
        <v>Chanitos Premium Granel</v>
      </c>
      <c r="B83" s="82" t="str">
        <f>IF('Consulta1'!B4175="","",'Consulta1'!B4175)</f>
        <v>CPR01101</v>
      </c>
      <c r="C83" s="83" t="str">
        <f>IF('Consulta1'!C4175="","",'Consulta1'!C4175)</f>
        <v>A01001-392309-1</v>
      </c>
      <c r="D83" s="84" t="str">
        <f>IF('Consulta1'!D4175="","",'Consulta1'!D4175)</f>
        <v>A01 001 Marbella</v>
      </c>
      <c r="E83" s="82" t="str">
        <f>IF('Consulta1'!E4175="","",'Consulta1'!E4175)</f>
        <v>CEDA</v>
      </c>
      <c r="F83">
        <f>+IF(E83="","",VLOOKUP(E83,CATALOGO!G:L,6,0))</f>
        <v>0</v>
      </c>
      <c r="G83" s="85">
        <f>IF('Consulta1'!F4175="","",'Consulta1'!F4175)</f>
        <v>61</v>
      </c>
      <c r="H83" s="85" t="str">
        <f>IF('Consulta1'!G4175="","",'Consulta1'!G4175)</f>
        <v>Granel</v>
      </c>
      <c r="I83" s="86">
        <f>IF('Consulta1'!H4175="","",'Consulta1'!H4175)</f>
        <v>46288</v>
      </c>
      <c r="J83">
        <f t="shared" si="1"/>
        <v>39</v>
      </c>
      <c r="K83">
        <f>+IF(E83="","",VLOOKUP(E83,CATALOGO!G:I,2,0))</f>
        <v>1.5</v>
      </c>
      <c r="L83">
        <f>+IF(E83="","",VLOOKUP(E83,CATALOGO!G:I,3,0))</f>
        <v>36</v>
      </c>
      <c r="M83" s="87">
        <f>IF('Consulta1'!I4175="","",'Consulta1'!I4175)</f>
        <v>46292</v>
      </c>
      <c r="N83" s="88" t="str">
        <f>IF('Consulta1'!J4175="","",'Consulta1'!J4175)</f>
        <v>0</v>
      </c>
    </row>
    <row r="84" spans="1:14" ht="18.75" x14ac:dyDescent="0.25">
      <c r="A84" s="82" t="str">
        <f>IF('Consulta1'!A4176="","",'Consulta1'!A4176)</f>
        <v>Chanitos Premium Tarima Chep</v>
      </c>
      <c r="B84" s="82" t="str">
        <f>IF('Consulta1'!B4176="","",'Consulta1'!B4176)</f>
        <v>CPR01102</v>
      </c>
      <c r="C84" s="83" t="str">
        <f>IF('Consulta1'!C4176="","",'Consulta1'!C4176)</f>
        <v>A01001-392409-1</v>
      </c>
      <c r="D84" s="84" t="str">
        <f>IF('Consulta1'!D4176="","",'Consulta1'!D4176)</f>
        <v>A01 001 Marbella</v>
      </c>
      <c r="E84" s="82" t="str">
        <f>IF('Consulta1'!E4176="","",'Consulta1'!E4176)</f>
        <v>QRO</v>
      </c>
      <c r="F84">
        <f>+IF(E84="","",VLOOKUP(E84,CATALOGO!G:L,6,0))</f>
        <v>3</v>
      </c>
      <c r="G84" s="85">
        <f>IF('Consulta1'!F4176="","",'Consulta1'!F4176)</f>
        <v>1056</v>
      </c>
      <c r="H84" s="85">
        <f>IF('Consulta1'!G4176="","",'Consulta1'!G4176)</f>
        <v>22</v>
      </c>
      <c r="I84" s="86">
        <f>IF('Consulta1'!H4176="","",'Consulta1'!H4176)</f>
        <v>46289</v>
      </c>
      <c r="J84">
        <f t="shared" si="1"/>
        <v>39</v>
      </c>
      <c r="K84">
        <f>+IF(E84="","",VLOOKUP(E84,CATALOGO!G:I,2,0))</f>
        <v>1.5</v>
      </c>
      <c r="L84">
        <f>+IF(E84="","",VLOOKUP(E84,CATALOGO!G:I,3,0))</f>
        <v>36</v>
      </c>
      <c r="M84" s="87">
        <f>IF('Consulta1'!I4176="","",'Consulta1'!I4176)</f>
        <v>46293</v>
      </c>
      <c r="N84" s="88" t="str">
        <f>IF('Consulta1'!J4176="","",'Consulta1'!J4176)</f>
        <v>45202</v>
      </c>
    </row>
    <row r="85" spans="1:14" ht="18.75" x14ac:dyDescent="0.25">
      <c r="A85" s="82" t="str">
        <f>IF('Consulta1'!A4177="","",'Consulta1'!A4177)</f>
        <v>Chanitos Premium Tarima Chep</v>
      </c>
      <c r="B85" s="82" t="str">
        <f>IF('Consulta1'!B4177="","",'Consulta1'!B4177)</f>
        <v>CPR01102</v>
      </c>
      <c r="C85" s="83" t="str">
        <f>IF('Consulta1'!C4177="","",'Consulta1'!C4177)</f>
        <v>A01001-392409-1</v>
      </c>
      <c r="D85" s="84" t="str">
        <f>IF('Consulta1'!D4177="","",'Consulta1'!D4177)</f>
        <v>A01 001 Marbella</v>
      </c>
      <c r="E85" s="82" t="str">
        <f>IF('Consulta1'!E4177="","",'Consulta1'!E4177)</f>
        <v>CEDA</v>
      </c>
      <c r="F85">
        <f>+IF(E85="","",VLOOKUP(E85,CATALOGO!G:L,6,0))</f>
        <v>0</v>
      </c>
      <c r="G85" s="85">
        <f>IF('Consulta1'!F4177="","",'Consulta1'!F4177)</f>
        <v>192</v>
      </c>
      <c r="H85" s="85">
        <f>IF('Consulta1'!G4177="","",'Consulta1'!G4177)</f>
        <v>4</v>
      </c>
      <c r="I85" s="86">
        <f>IF('Consulta1'!H4177="","",'Consulta1'!H4177)</f>
        <v>46289</v>
      </c>
      <c r="J85">
        <f t="shared" si="1"/>
        <v>39</v>
      </c>
      <c r="K85">
        <f>+IF(E85="","",VLOOKUP(E85,CATALOGO!G:I,2,0))</f>
        <v>1.5</v>
      </c>
      <c r="L85">
        <f>+IF(E85="","",VLOOKUP(E85,CATALOGO!G:I,3,0))</f>
        <v>36</v>
      </c>
      <c r="M85" s="87">
        <f>IF('Consulta1'!I4177="","",'Consulta1'!I4177)</f>
        <v>46293</v>
      </c>
      <c r="N85" s="88" t="str">
        <f>IF('Consulta1'!J4177="","",'Consulta1'!J4177)</f>
        <v>0</v>
      </c>
    </row>
    <row r="86" spans="1:14" ht="18.75" x14ac:dyDescent="0.25">
      <c r="A86" s="82" t="str">
        <f>IF('Consulta1'!A4178="","",'Consulta1'!A4178)</f>
        <v>Chanitos Premium Granel</v>
      </c>
      <c r="B86" s="82" t="str">
        <f>IF('Consulta1'!B4178="","",'Consulta1'!B4178)</f>
        <v>CPR01101</v>
      </c>
      <c r="C86" s="83" t="str">
        <f>IF('Consulta1'!C4178="","",'Consulta1'!C4178)</f>
        <v>A01001-392409-1</v>
      </c>
      <c r="D86" s="84" t="str">
        <f>IF('Consulta1'!D4178="","",'Consulta1'!D4178)</f>
        <v>A01 001 Marbella</v>
      </c>
      <c r="E86" s="82" t="str">
        <f>IF('Consulta1'!E4178="","",'Consulta1'!E4178)</f>
        <v>CEDA</v>
      </c>
      <c r="F86">
        <f>+IF(E86="","",VLOOKUP(E86,CATALOGO!G:L,6,0))</f>
        <v>0</v>
      </c>
      <c r="G86" s="85">
        <f>IF('Consulta1'!F4178="","",'Consulta1'!F4178)</f>
        <v>99</v>
      </c>
      <c r="H86" s="85" t="str">
        <f>IF('Consulta1'!G4178="","",'Consulta1'!G4178)</f>
        <v>Granel</v>
      </c>
      <c r="I86" s="86">
        <f>IF('Consulta1'!H4178="","",'Consulta1'!H4178)</f>
        <v>46289</v>
      </c>
      <c r="J86">
        <f t="shared" si="1"/>
        <v>39</v>
      </c>
      <c r="K86">
        <f>+IF(E86="","",VLOOKUP(E86,CATALOGO!G:I,2,0))</f>
        <v>1.5</v>
      </c>
      <c r="L86">
        <f>+IF(E86="","",VLOOKUP(E86,CATALOGO!G:I,3,0))</f>
        <v>36</v>
      </c>
      <c r="M86" s="87">
        <f>IF('Consulta1'!I4178="","",'Consulta1'!I4178)</f>
        <v>46293</v>
      </c>
      <c r="N86" s="88" t="str">
        <f>IF('Consulta1'!J4178="","",'Consulta1'!J4178)</f>
        <v>0</v>
      </c>
    </row>
    <row r="87" spans="1:14" ht="18.75" x14ac:dyDescent="0.25">
      <c r="A87" s="82" t="str">
        <f>IF('Consulta1'!A4179="","",'Consulta1'!A4179)</f>
        <v>Chanitos Premium Tarima Chep</v>
      </c>
      <c r="B87" s="82" t="str">
        <f>IF('Consulta1'!B4179="","",'Consulta1'!B4179)</f>
        <v>CPR01102</v>
      </c>
      <c r="C87" s="83" t="str">
        <f>IF('Consulta1'!C4179="","",'Consulta1'!C4179)</f>
        <v>A01002-392409-1</v>
      </c>
      <c r="D87" s="84" t="str">
        <f>IF('Consulta1'!D4179="","",'Consulta1'!D4179)</f>
        <v>A01 002 Fortaleza</v>
      </c>
      <c r="E87" s="82" t="str">
        <f>IF('Consulta1'!E4179="","",'Consulta1'!E4179)</f>
        <v>Chalco</v>
      </c>
      <c r="F87">
        <f>+IF(E87="","",VLOOKUP(E87,CATALOGO!G:L,6,0))</f>
        <v>5</v>
      </c>
      <c r="G87" s="85">
        <f>IF('Consulta1'!F4179="","",'Consulta1'!F4179)</f>
        <v>720</v>
      </c>
      <c r="H87" s="85">
        <f>IF('Consulta1'!G4179="","",'Consulta1'!G4179)</f>
        <v>15</v>
      </c>
      <c r="I87" s="86">
        <f>IF('Consulta1'!H4179="","",'Consulta1'!H4179)</f>
        <v>46289</v>
      </c>
      <c r="J87">
        <f t="shared" si="1"/>
        <v>39</v>
      </c>
      <c r="K87">
        <f>+IF(E87="","",VLOOKUP(E87,CATALOGO!G:I,2,0))</f>
        <v>1</v>
      </c>
      <c r="L87">
        <f>+IF(E87="","",VLOOKUP(E87,CATALOGO!G:I,3,0))</f>
        <v>24</v>
      </c>
      <c r="M87" s="87">
        <f>IF('Consulta1'!I4179="","",'Consulta1'!I4179)</f>
        <v>46293</v>
      </c>
      <c r="N87" s="88" t="str">
        <f>IF('Consulta1'!J4179="","",'Consulta1'!J4179)</f>
        <v>45277</v>
      </c>
    </row>
    <row r="88" spans="1:14" ht="18.75" x14ac:dyDescent="0.25">
      <c r="A88" s="82" t="str">
        <f>IF('Consulta1'!A4180="","",'Consulta1'!A4180)</f>
        <v>Chanitos Organic Banded Market Side Mexico</v>
      </c>
      <c r="B88" s="82" t="str">
        <f>IF('Consulta1'!B4180="","",'Consulta1'!B4180)</f>
        <v>CRG07128</v>
      </c>
      <c r="C88" s="83" t="str">
        <f>IF('Consulta1'!C4180="","",'Consulta1'!C4180)</f>
        <v>A01002-392409-1</v>
      </c>
      <c r="D88" s="84" t="str">
        <f>IF('Consulta1'!D4180="","",'Consulta1'!D4180)</f>
        <v>A01 002 Fortaleza</v>
      </c>
      <c r="E88" s="82" t="str">
        <f>IF('Consulta1'!E4180="","",'Consulta1'!E4180)</f>
        <v>QRO</v>
      </c>
      <c r="F88">
        <f>+IF(E88="","",VLOOKUP(E88,CATALOGO!G:L,6,0))</f>
        <v>3</v>
      </c>
      <c r="G88" s="85">
        <f>IF('Consulta1'!F4180="","",'Consulta1'!F4180)</f>
        <v>96</v>
      </c>
      <c r="H88" s="85">
        <f>IF('Consulta1'!G4180="","",'Consulta1'!G4180)</f>
        <v>2</v>
      </c>
      <c r="I88" s="86">
        <f>IF('Consulta1'!H4180="","",'Consulta1'!H4180)</f>
        <v>46289</v>
      </c>
      <c r="J88">
        <f t="shared" si="1"/>
        <v>39</v>
      </c>
      <c r="K88">
        <f>+IF(E88="","",VLOOKUP(E88,CATALOGO!G:I,2,0))</f>
        <v>1.5</v>
      </c>
      <c r="L88">
        <f>+IF(E88="","",VLOOKUP(E88,CATALOGO!G:I,3,0))</f>
        <v>36</v>
      </c>
      <c r="M88" s="87">
        <f>IF('Consulta1'!I4180="","",'Consulta1'!I4180)</f>
        <v>46293</v>
      </c>
      <c r="N88" s="88" t="str">
        <f>IF('Consulta1'!J4180="","",'Consulta1'!J4180)</f>
        <v>45202</v>
      </c>
    </row>
    <row r="89" spans="1:14" ht="18.75" x14ac:dyDescent="0.25">
      <c r="A89" s="82" t="str">
        <f>IF('Consulta1'!A4181="","",'Consulta1'!A4181)</f>
        <v>Chanitos Organic Banded Market Side Mexico</v>
      </c>
      <c r="B89" s="82" t="str">
        <f>IF('Consulta1'!B4181="","",'Consulta1'!B4181)</f>
        <v>CRG07128</v>
      </c>
      <c r="C89" s="83" t="str">
        <f>IF('Consulta1'!C4181="","",'Consulta1'!C4181)</f>
        <v>A01002-392409-1</v>
      </c>
      <c r="D89" s="84" t="str">
        <f>IF('Consulta1'!D4181="","",'Consulta1'!D4181)</f>
        <v>A01 002 Fortaleza</v>
      </c>
      <c r="E89" s="82" t="str">
        <f>IF('Consulta1'!E4181="","",'Consulta1'!E4181)</f>
        <v>VSA</v>
      </c>
      <c r="F89">
        <f>+IF(E89="","",VLOOKUP(E89,CATALOGO!G:L,6,0))</f>
        <v>6</v>
      </c>
      <c r="G89" s="85">
        <f>IF('Consulta1'!F4181="","",'Consulta1'!F4181)</f>
        <v>288</v>
      </c>
      <c r="H89" s="85">
        <f>IF('Consulta1'!G4181="","",'Consulta1'!G4181)</f>
        <v>6</v>
      </c>
      <c r="I89" s="86">
        <f>IF('Consulta1'!H4181="","",'Consulta1'!H4181)</f>
        <v>46289</v>
      </c>
      <c r="J89">
        <f t="shared" si="1"/>
        <v>39</v>
      </c>
      <c r="K89">
        <f>+IF(E89="","",VLOOKUP(E89,CATALOGO!G:I,2,0))</f>
        <v>1</v>
      </c>
      <c r="L89">
        <f>+IF(E89="","",VLOOKUP(E89,CATALOGO!G:I,3,0))</f>
        <v>24</v>
      </c>
      <c r="M89" s="87">
        <f>IF('Consulta1'!I4181="","",'Consulta1'!I4181)</f>
        <v>46293</v>
      </c>
      <c r="N89" s="88" t="str">
        <f>IF('Consulta1'!J4181="","",'Consulta1'!J4181)</f>
        <v>43794</v>
      </c>
    </row>
    <row r="90" spans="1:14" ht="18.75" x14ac:dyDescent="0.25">
      <c r="A90" s="82" t="str">
        <f>IF('Consulta1'!A4182="","",'Consulta1'!A4182)</f>
        <v>Chanitos Premium Tarima Chep</v>
      </c>
      <c r="B90" s="82" t="str">
        <f>IF('Consulta1'!B4182="","",'Consulta1'!B4182)</f>
        <v>CPR01102</v>
      </c>
      <c r="C90" s="83" t="str">
        <f>IF('Consulta1'!C4182="","",'Consulta1'!C4182)</f>
        <v>A01002-392409-1</v>
      </c>
      <c r="D90" s="84" t="str">
        <f>IF('Consulta1'!D4182="","",'Consulta1'!D4182)</f>
        <v>A01 002 Fortaleza</v>
      </c>
      <c r="E90" s="82" t="str">
        <f>IF('Consulta1'!E4182="","",'Consulta1'!E4182)</f>
        <v>VSA</v>
      </c>
      <c r="F90">
        <f>+IF(E90="","",VLOOKUP(E90,CATALOGO!G:L,6,0))</f>
        <v>6</v>
      </c>
      <c r="G90" s="85">
        <f>IF('Consulta1'!F4182="","",'Consulta1'!F4182)</f>
        <v>480</v>
      </c>
      <c r="H90" s="85">
        <f>IF('Consulta1'!G4182="","",'Consulta1'!G4182)</f>
        <v>10</v>
      </c>
      <c r="I90" s="86">
        <f>IF('Consulta1'!H4182="","",'Consulta1'!H4182)</f>
        <v>46289</v>
      </c>
      <c r="J90">
        <f t="shared" si="1"/>
        <v>39</v>
      </c>
      <c r="K90">
        <f>+IF(E90="","",VLOOKUP(E90,CATALOGO!G:I,2,0))</f>
        <v>1</v>
      </c>
      <c r="L90">
        <f>+IF(E90="","",VLOOKUP(E90,CATALOGO!G:I,3,0))</f>
        <v>24</v>
      </c>
      <c r="M90" s="87">
        <f>IF('Consulta1'!I4182="","",'Consulta1'!I4182)</f>
        <v>46293</v>
      </c>
      <c r="N90" s="88" t="str">
        <f>IF('Consulta1'!J4182="","",'Consulta1'!J4182)</f>
        <v>41954</v>
      </c>
    </row>
    <row r="91" spans="1:14" ht="18.75" x14ac:dyDescent="0.25">
      <c r="A91" s="82" t="str">
        <f>IF('Consulta1'!A4183="","",'Consulta1'!A4183)</f>
        <v>Chanitos Premium Granel</v>
      </c>
      <c r="B91" s="82" t="str">
        <f>IF('Consulta1'!B4183="","",'Consulta1'!B4183)</f>
        <v>CPR01101</v>
      </c>
      <c r="C91" s="83" t="str">
        <f>IF('Consulta1'!C4183="","",'Consulta1'!C4183)</f>
        <v>A01002-392409-1</v>
      </c>
      <c r="D91" s="84" t="str">
        <f>IF('Consulta1'!D4183="","",'Consulta1'!D4183)</f>
        <v>A01 002 Fortaleza</v>
      </c>
      <c r="E91" s="82" t="str">
        <f>IF('Consulta1'!E4183="","",'Consulta1'!E4183)</f>
        <v>CEDA</v>
      </c>
      <c r="F91">
        <f>+IF(E91="","",VLOOKUP(E91,CATALOGO!G:L,6,0))</f>
        <v>0</v>
      </c>
      <c r="G91" s="85">
        <f>IF('Consulta1'!F4183="","",'Consulta1'!F4183)</f>
        <v>34</v>
      </c>
      <c r="H91" s="85" t="str">
        <f>IF('Consulta1'!G4183="","",'Consulta1'!G4183)</f>
        <v>Granel</v>
      </c>
      <c r="I91" s="86">
        <f>IF('Consulta1'!H4183="","",'Consulta1'!H4183)</f>
        <v>46289</v>
      </c>
      <c r="J91">
        <f t="shared" si="1"/>
        <v>39</v>
      </c>
      <c r="K91">
        <f>+IF(E91="","",VLOOKUP(E91,CATALOGO!G:I,2,0))</f>
        <v>1.5</v>
      </c>
      <c r="L91">
        <f>+IF(E91="","",VLOOKUP(E91,CATALOGO!G:I,3,0))</f>
        <v>36</v>
      </c>
      <c r="M91" s="87">
        <f>IF('Consulta1'!I4183="","",'Consulta1'!I4183)</f>
        <v>46293</v>
      </c>
      <c r="N91" s="88" t="str">
        <f>IF('Consulta1'!J4183="","",'Consulta1'!J4183)</f>
        <v>0</v>
      </c>
    </row>
    <row r="92" spans="1:14" ht="18.75" x14ac:dyDescent="0.25">
      <c r="A92" s="82" t="str">
        <f>IF('Consulta1'!A4184="","",'Consulta1'!A4184)</f>
        <v>Chanitos Premium Tarima Chep</v>
      </c>
      <c r="B92" s="82" t="str">
        <f>IF('Consulta1'!B4184="","",'Consulta1'!B4184)</f>
        <v>CPR01102</v>
      </c>
      <c r="C92" s="83" t="str">
        <f>IF('Consulta1'!C4184="","",'Consulta1'!C4184)</f>
        <v>A01003-392409-1</v>
      </c>
      <c r="D92" s="84" t="str">
        <f>IF('Consulta1'!D4184="","",'Consulta1'!D4184)</f>
        <v>A01 003 Doña Nelly</v>
      </c>
      <c r="E92" s="82" t="str">
        <f>IF('Consulta1'!E4184="","",'Consulta1'!E4184)</f>
        <v>SMO</v>
      </c>
      <c r="F92">
        <f>+IF(E92="","",VLOOKUP(E92,CATALOGO!G:L,6,0))</f>
        <v>4</v>
      </c>
      <c r="G92" s="85">
        <f>IF('Consulta1'!F4184="","",'Consulta1'!F4184)</f>
        <v>672</v>
      </c>
      <c r="H92" s="85">
        <f>IF('Consulta1'!G4184="","",'Consulta1'!G4184)</f>
        <v>14</v>
      </c>
      <c r="I92" s="86">
        <f>IF('Consulta1'!H4184="","",'Consulta1'!H4184)</f>
        <v>46289</v>
      </c>
      <c r="J92">
        <f t="shared" si="1"/>
        <v>39</v>
      </c>
      <c r="K92">
        <f>+IF(E92="","",VLOOKUP(E92,CATALOGO!G:I,2,0))</f>
        <v>1.5</v>
      </c>
      <c r="L92">
        <f>+IF(E92="","",VLOOKUP(E92,CATALOGO!G:I,3,0))</f>
        <v>36</v>
      </c>
      <c r="M92" s="87">
        <f>IF('Consulta1'!I4184="","",'Consulta1'!I4184)</f>
        <v>46293</v>
      </c>
      <c r="N92" s="88" t="str">
        <f>IF('Consulta1'!J4184="","",'Consulta1'!J4184)</f>
        <v>45098</v>
      </c>
    </row>
    <row r="93" spans="1:14" ht="18.75" x14ac:dyDescent="0.25">
      <c r="A93" s="82" t="str">
        <f>IF('Consulta1'!A4185="","",'Consulta1'!A4185)</f>
        <v>Chanitos Premium EUA Tarima Americana</v>
      </c>
      <c r="B93" s="82" t="str">
        <f>IF('Consulta1'!B4185="","",'Consulta1'!B4185)</f>
        <v>CPR01104</v>
      </c>
      <c r="C93" s="83" t="str">
        <f>IF('Consulta1'!C4185="","",'Consulta1'!C4185)</f>
        <v>A01003-392409-1</v>
      </c>
      <c r="D93" s="84" t="str">
        <f>IF('Consulta1'!D4185="","",'Consulta1'!D4185)</f>
        <v>A01 003 Doña Nelly</v>
      </c>
      <c r="E93" s="82" t="str">
        <f>IF('Consulta1'!E4185="","",'Consulta1'!E4185)</f>
        <v>McAllen</v>
      </c>
      <c r="F93">
        <f>+IF(E93="","",VLOOKUP(E93,CATALOGO!G:L,6,0))</f>
        <v>8</v>
      </c>
      <c r="G93" s="85">
        <f>IF('Consulta1'!F4185="","",'Consulta1'!F4185)</f>
        <v>960</v>
      </c>
      <c r="H93" s="85">
        <f>IF('Consulta1'!G4185="","",'Consulta1'!G4185)</f>
        <v>20</v>
      </c>
      <c r="I93" s="86">
        <f>IF('Consulta1'!H4185="","",'Consulta1'!H4185)</f>
        <v>46289</v>
      </c>
      <c r="J93">
        <f t="shared" si="1"/>
        <v>39</v>
      </c>
      <c r="K93">
        <f>+IF(E93="","",VLOOKUP(E93,CATALOGO!G:I,2,0))</f>
        <v>3</v>
      </c>
      <c r="L93">
        <f>+IF(E93="","",VLOOKUP(E93,CATALOGO!G:I,3,0))</f>
        <v>72</v>
      </c>
      <c r="M93" s="87">
        <f>IF('Consulta1'!I4185="","",'Consulta1'!I4185)</f>
        <v>46294</v>
      </c>
      <c r="N93" s="88" t="str">
        <f>IF('Consulta1'!J4185="","",'Consulta1'!J4185)</f>
        <v>45030</v>
      </c>
    </row>
    <row r="94" spans="1:14" ht="18.75" x14ac:dyDescent="0.25">
      <c r="A94" s="82" t="str">
        <f>IF('Consulta1'!A4186="","",'Consulta1'!A4186)</f>
        <v>Chanitos Premium Tarima Chep</v>
      </c>
      <c r="B94" s="82" t="str">
        <f>IF('Consulta1'!B4186="","",'Consulta1'!B4186)</f>
        <v>CPR01102</v>
      </c>
      <c r="C94" s="83" t="str">
        <f>IF('Consulta1'!C4186="","",'Consulta1'!C4186)</f>
        <v>A01003-392409-1</v>
      </c>
      <c r="D94" s="84" t="str">
        <f>IF('Consulta1'!D4186="","",'Consulta1'!D4186)</f>
        <v>A01 003 Doña Nelly</v>
      </c>
      <c r="E94" s="82" t="str">
        <f>IF('Consulta1'!E4186="","",'Consulta1'!E4186)</f>
        <v>CEDA</v>
      </c>
      <c r="F94">
        <f>+IF(E94="","",VLOOKUP(E94,CATALOGO!G:L,6,0))</f>
        <v>0</v>
      </c>
      <c r="G94" s="85">
        <f>IF('Consulta1'!F4186="","",'Consulta1'!F4186)</f>
        <v>192</v>
      </c>
      <c r="H94" s="85">
        <f>IF('Consulta1'!G4186="","",'Consulta1'!G4186)</f>
        <v>4</v>
      </c>
      <c r="I94" s="86">
        <f>IF('Consulta1'!H4186="","",'Consulta1'!H4186)</f>
        <v>46289</v>
      </c>
      <c r="J94">
        <f t="shared" si="1"/>
        <v>39</v>
      </c>
      <c r="K94">
        <f>+IF(E94="","",VLOOKUP(E94,CATALOGO!G:I,2,0))</f>
        <v>1.5</v>
      </c>
      <c r="L94">
        <f>+IF(E94="","",VLOOKUP(E94,CATALOGO!G:I,3,0))</f>
        <v>36</v>
      </c>
      <c r="M94" s="87">
        <f>IF('Consulta1'!I4186="","",'Consulta1'!I4186)</f>
        <v>46293</v>
      </c>
      <c r="N94" s="88" t="str">
        <f>IF('Consulta1'!J4186="","",'Consulta1'!J4186)</f>
        <v>0</v>
      </c>
    </row>
    <row r="95" spans="1:14" ht="18.75" x14ac:dyDescent="0.25">
      <c r="A95" s="82" t="str">
        <f>IF('Consulta1'!A4187="","",'Consulta1'!A4187)</f>
        <v>Chanitos Premium Granel</v>
      </c>
      <c r="B95" s="82" t="str">
        <f>IF('Consulta1'!B4187="","",'Consulta1'!B4187)</f>
        <v>CPR01101</v>
      </c>
      <c r="C95" s="83" t="str">
        <f>IF('Consulta1'!C4187="","",'Consulta1'!C4187)</f>
        <v>A01003-392409-1</v>
      </c>
      <c r="D95" s="84" t="str">
        <f>IF('Consulta1'!D4187="","",'Consulta1'!D4187)</f>
        <v>A01 003 Doña Nelly</v>
      </c>
      <c r="E95" s="82" t="str">
        <f>IF('Consulta1'!E4187="","",'Consulta1'!E4187)</f>
        <v>CEDA</v>
      </c>
      <c r="F95">
        <f>+IF(E95="","",VLOOKUP(E95,CATALOGO!G:L,6,0))</f>
        <v>0</v>
      </c>
      <c r="G95" s="85">
        <f>IF('Consulta1'!F4187="","",'Consulta1'!F4187)</f>
        <v>64</v>
      </c>
      <c r="H95" s="85" t="str">
        <f>IF('Consulta1'!G4187="","",'Consulta1'!G4187)</f>
        <v>Granel</v>
      </c>
      <c r="I95" s="86">
        <f>IF('Consulta1'!H4187="","",'Consulta1'!H4187)</f>
        <v>46289</v>
      </c>
      <c r="J95">
        <f t="shared" si="1"/>
        <v>39</v>
      </c>
      <c r="K95">
        <f>+IF(E95="","",VLOOKUP(E95,CATALOGO!G:I,2,0))</f>
        <v>1.5</v>
      </c>
      <c r="L95">
        <f>+IF(E95="","",VLOOKUP(E95,CATALOGO!G:I,3,0))</f>
        <v>36</v>
      </c>
      <c r="M95" s="87">
        <f>IF('Consulta1'!I4187="","",'Consulta1'!I4187)</f>
        <v>46293</v>
      </c>
      <c r="N95" s="88" t="str">
        <f>IF('Consulta1'!J4187="","",'Consulta1'!J4187)</f>
        <v>0</v>
      </c>
    </row>
    <row r="96" spans="1:14" ht="18.75" x14ac:dyDescent="0.25">
      <c r="A96" s="82" t="str">
        <f>IF('Consulta1'!A4188="","",'Consulta1'!A4188)</f>
        <v>Chanitos Premium EUA Tarima Americana</v>
      </c>
      <c r="B96" s="82" t="str">
        <f>IF('Consulta1'!B4188="","",'Consulta1'!B4188)</f>
        <v>CPR01104</v>
      </c>
      <c r="C96" s="83" t="str">
        <f>IF('Consulta1'!C4188="","",'Consulta1'!C4188)</f>
        <v>A06043-392409-1</v>
      </c>
      <c r="D96" s="84" t="str">
        <f>IF('Consulta1'!D4188="","",'Consulta1'!D4188)</f>
        <v>A06 043 Nuestra señora</v>
      </c>
      <c r="E96" s="82" t="str">
        <f>IF('Consulta1'!E4188="","",'Consulta1'!E4188)</f>
        <v>McAllen</v>
      </c>
      <c r="F96">
        <f>+IF(E96="","",VLOOKUP(E96,CATALOGO!G:L,6,0))</f>
        <v>8</v>
      </c>
      <c r="G96" s="85">
        <f>IF('Consulta1'!F4188="","",'Consulta1'!F4188)</f>
        <v>480</v>
      </c>
      <c r="H96" s="85">
        <f>IF('Consulta1'!G4188="","",'Consulta1'!G4188)</f>
        <v>10</v>
      </c>
      <c r="I96" s="86">
        <f>IF('Consulta1'!H4188="","",'Consulta1'!H4188)</f>
        <v>46289</v>
      </c>
      <c r="J96">
        <f t="shared" si="1"/>
        <v>39</v>
      </c>
      <c r="K96">
        <f>+IF(E96="","",VLOOKUP(E96,CATALOGO!G:I,2,0))</f>
        <v>3</v>
      </c>
      <c r="L96">
        <f>+IF(E96="","",VLOOKUP(E96,CATALOGO!G:I,3,0))</f>
        <v>72</v>
      </c>
      <c r="M96" s="87">
        <f>IF('Consulta1'!I4188="","",'Consulta1'!I4188)</f>
        <v>46294</v>
      </c>
      <c r="N96" s="88" t="str">
        <f>IF('Consulta1'!J4188="","",'Consulta1'!J4188)</f>
        <v/>
      </c>
    </row>
    <row r="97" spans="1:14" ht="18.75" x14ac:dyDescent="0.25">
      <c r="A97" s="82" t="str">
        <f>IF('Consulta1'!A4189="","",'Consulta1'!A4189)</f>
        <v>Chanitos Premium EUA Tarima Americana</v>
      </c>
      <c r="B97" s="82" t="str">
        <f>IF('Consulta1'!B4189="","",'Consulta1'!B4189)</f>
        <v>CPR01104</v>
      </c>
      <c r="C97" s="83" t="str">
        <f>IF('Consulta1'!C4189="","",'Consulta1'!C4189)</f>
        <v>A06043-392409-1</v>
      </c>
      <c r="D97" s="84" t="str">
        <f>IF('Consulta1'!D4189="","",'Consulta1'!D4189)</f>
        <v>A06 043 Nuestra señora</v>
      </c>
      <c r="E97" s="82" t="str">
        <f>IF('Consulta1'!E4189="","",'Consulta1'!E4189)</f>
        <v>McAllen</v>
      </c>
      <c r="F97">
        <f>+IF(E97="","",VLOOKUP(E97,CATALOGO!G:L,6,0))</f>
        <v>8</v>
      </c>
      <c r="G97" s="85">
        <f>IF('Consulta1'!F4189="","",'Consulta1'!F4189)</f>
        <v>96</v>
      </c>
      <c r="H97" s="85">
        <f>IF('Consulta1'!G4189="","",'Consulta1'!G4189)</f>
        <v>2</v>
      </c>
      <c r="I97" s="86">
        <f>IF('Consulta1'!H4189="","",'Consulta1'!H4189)</f>
        <v>46289</v>
      </c>
      <c r="J97">
        <f t="shared" si="1"/>
        <v>39</v>
      </c>
      <c r="K97">
        <f>+IF(E97="","",VLOOKUP(E97,CATALOGO!G:I,2,0))</f>
        <v>3</v>
      </c>
      <c r="L97">
        <f>+IF(E97="","",VLOOKUP(E97,CATALOGO!G:I,3,0))</f>
        <v>72</v>
      </c>
      <c r="M97" s="87">
        <f>IF('Consulta1'!I4189="","",'Consulta1'!I4189)</f>
        <v>46296</v>
      </c>
      <c r="N97" s="88" t="str">
        <f>IF('Consulta1'!J4189="","",'Consulta1'!J4189)</f>
        <v>45034</v>
      </c>
    </row>
    <row r="98" spans="1:14" ht="18.75" x14ac:dyDescent="0.25">
      <c r="A98" s="82" t="str">
        <f>IF('Consulta1'!A4190="","",'Consulta1'!A4190)</f>
        <v>Chanitos Premium Tarima Americana</v>
      </c>
      <c r="B98" s="82" t="str">
        <f>IF('Consulta1'!B4190="","",'Consulta1'!B4190)</f>
        <v>CPR01103</v>
      </c>
      <c r="C98" s="83" t="str">
        <f>IF('Consulta1'!C4190="","",'Consulta1'!C4190)</f>
        <v>A04039-392409-1</v>
      </c>
      <c r="D98" s="84" t="str">
        <f>IF('Consulta1'!D4190="","",'Consulta1'!D4190)</f>
        <v>A04 039 San Jose Morelia Nava</v>
      </c>
      <c r="E98" s="82" t="str">
        <f>IF('Consulta1'!E4190="","",'Consulta1'!E4190)</f>
        <v>S-MTY</v>
      </c>
      <c r="F98">
        <f>+IF(E98="","",VLOOKUP(E98,CATALOGO!G:L,6,0))</f>
        <v>1</v>
      </c>
      <c r="G98" s="85">
        <f>IF('Consulta1'!F4190="","",'Consulta1'!F4190)</f>
        <v>816</v>
      </c>
      <c r="H98" s="85">
        <f>IF('Consulta1'!G4190="","",'Consulta1'!G4190)</f>
        <v>17</v>
      </c>
      <c r="I98" s="86">
        <f>IF('Consulta1'!H4190="","",'Consulta1'!H4190)</f>
        <v>46289</v>
      </c>
      <c r="J98">
        <f t="shared" si="1"/>
        <v>39</v>
      </c>
      <c r="K98">
        <f>+IF(E98="","",VLOOKUP(E98,CATALOGO!G:I,2,0))</f>
        <v>3</v>
      </c>
      <c r="L98">
        <f>+IF(E98="","",VLOOKUP(E98,CATALOGO!G:I,3,0))</f>
        <v>72</v>
      </c>
      <c r="M98" s="87">
        <f>IF('Consulta1'!I4190="","",'Consulta1'!I4190)</f>
        <v>46295</v>
      </c>
      <c r="N98" s="88" t="str">
        <f>IF('Consulta1'!J4190="","",'Consulta1'!J4190)</f>
        <v>45612</v>
      </c>
    </row>
    <row r="99" spans="1:14" ht="18.75" x14ac:dyDescent="0.25">
      <c r="A99" s="82" t="str">
        <f>IF('Consulta1'!A4191="","",'Consulta1'!A4191)</f>
        <v>Chanitos Premium Tarima Americana</v>
      </c>
      <c r="B99" s="82" t="str">
        <f>IF('Consulta1'!B4191="","",'Consulta1'!B4191)</f>
        <v>CPR01103</v>
      </c>
      <c r="C99" s="83" t="str">
        <f>IF('Consulta1'!C4191="","",'Consulta1'!C4191)</f>
        <v>A04039-392409-1</v>
      </c>
      <c r="D99" s="84" t="str">
        <f>IF('Consulta1'!D4191="","",'Consulta1'!D4191)</f>
        <v>A04 039 San Jose Morelia Nava</v>
      </c>
      <c r="E99" s="82" t="str">
        <f>IF('Consulta1'!E4191="","",'Consulta1'!E4191)</f>
        <v>S-MTY</v>
      </c>
      <c r="F99">
        <f>+IF(E99="","",VLOOKUP(E99,CATALOGO!G:L,6,0))</f>
        <v>1</v>
      </c>
      <c r="G99" s="85">
        <f>IF('Consulta1'!F4191="","",'Consulta1'!F4191)</f>
        <v>288</v>
      </c>
      <c r="H99" s="85">
        <f>IF('Consulta1'!G4191="","",'Consulta1'!G4191)</f>
        <v>6</v>
      </c>
      <c r="I99" s="86">
        <f>IF('Consulta1'!H4191="","",'Consulta1'!H4191)</f>
        <v>46289</v>
      </c>
      <c r="J99">
        <f t="shared" si="1"/>
        <v>39</v>
      </c>
      <c r="K99">
        <f>+IF(E99="","",VLOOKUP(E99,CATALOGO!G:I,2,0))</f>
        <v>3</v>
      </c>
      <c r="L99">
        <f>+IF(E99="","",VLOOKUP(E99,CATALOGO!G:I,3,0))</f>
        <v>72</v>
      </c>
      <c r="M99" s="87">
        <f>IF('Consulta1'!I4191="","",'Consulta1'!I4191)</f>
        <v>46295</v>
      </c>
      <c r="N99" s="88" t="str">
        <f>IF('Consulta1'!J4191="","",'Consulta1'!J4191)</f>
        <v>45612</v>
      </c>
    </row>
    <row r="100" spans="1:14" ht="18.75" x14ac:dyDescent="0.25">
      <c r="A100" s="82" t="str">
        <f>IF('Consulta1'!A4192="","",'Consulta1'!A4192)</f>
        <v>Chanitos Premium EUA Tarima Americana</v>
      </c>
      <c r="B100" s="82" t="str">
        <f>IF('Consulta1'!B4192="","",'Consulta1'!B4192)</f>
        <v>CPR01104</v>
      </c>
      <c r="C100" s="83" t="str">
        <f>IF('Consulta1'!C4192="","",'Consulta1'!C4192)</f>
        <v>A04084-392409-1</v>
      </c>
      <c r="D100" s="84" t="str">
        <f>IF('Consulta1'!D4192="","",'Consulta1'!D4192)</f>
        <v>A04 084 Lisboa</v>
      </c>
      <c r="E100" s="82" t="str">
        <f>IF('Consulta1'!E4192="","",'Consulta1'!E4192)</f>
        <v>McAllen</v>
      </c>
      <c r="F100">
        <f>+IF(E100="","",VLOOKUP(E100,CATALOGO!G:L,6,0))</f>
        <v>8</v>
      </c>
      <c r="G100" s="85">
        <f>IF('Consulta1'!F4192="","",'Consulta1'!F4192)</f>
        <v>480</v>
      </c>
      <c r="H100" s="85">
        <f>IF('Consulta1'!G4192="","",'Consulta1'!G4192)</f>
        <v>10</v>
      </c>
      <c r="I100" s="86">
        <f>IF('Consulta1'!H4192="","",'Consulta1'!H4192)</f>
        <v>46289</v>
      </c>
      <c r="J100">
        <f t="shared" si="1"/>
        <v>39</v>
      </c>
      <c r="K100">
        <f>+IF(E100="","",VLOOKUP(E100,CATALOGO!G:I,2,0))</f>
        <v>3</v>
      </c>
      <c r="L100">
        <f>+IF(E100="","",VLOOKUP(E100,CATALOGO!G:I,3,0))</f>
        <v>72</v>
      </c>
      <c r="M100" s="87">
        <f>IF('Consulta1'!I4192="","",'Consulta1'!I4192)</f>
        <v>46295</v>
      </c>
      <c r="N100" s="88" t="str">
        <f>IF('Consulta1'!J4192="","",'Consulta1'!J4192)</f>
        <v>45032</v>
      </c>
    </row>
    <row r="101" spans="1:14" ht="18.75" x14ac:dyDescent="0.25">
      <c r="A101" s="82" t="str">
        <f>IF('Consulta1'!A4193="","",'Consulta1'!A4193)</f>
        <v>Chanitos Plantain 20Kg Tarima Americana</v>
      </c>
      <c r="B101" s="82" t="str">
        <f>IF('Consulta1'!B4193="","",'Consulta1'!B4193)</f>
        <v>CPL08134</v>
      </c>
      <c r="C101" s="83" t="str">
        <f>IF('Consulta1'!C4193="","",'Consulta1'!C4193)</f>
        <v>A41100-392409-1</v>
      </c>
      <c r="D101" s="84" t="str">
        <f>IF('Consulta1'!D4193="","",'Consulta1'!D4193)</f>
        <v>A41 100 Doña Lupe JV</v>
      </c>
      <c r="E101" s="82" t="str">
        <f>IF('Consulta1'!E4193="","",'Consulta1'!E4193)</f>
        <v>CEDA</v>
      </c>
      <c r="F101">
        <f>+IF(E101="","",VLOOKUP(E101,CATALOGO!G:L,6,0))</f>
        <v>0</v>
      </c>
      <c r="G101" s="85">
        <f>IF('Consulta1'!F4193="","",'Consulta1'!F4193)</f>
        <v>480</v>
      </c>
      <c r="H101" s="85">
        <f>IF('Consulta1'!G4193="","",'Consulta1'!G4193)</f>
        <v>10</v>
      </c>
      <c r="I101" s="86">
        <f>IF('Consulta1'!H4193="","",'Consulta1'!H4193)</f>
        <v>46289</v>
      </c>
      <c r="J101">
        <f t="shared" si="1"/>
        <v>39</v>
      </c>
      <c r="K101">
        <f>+IF(E101="","",VLOOKUP(E101,CATALOGO!G:I,2,0))</f>
        <v>1.5</v>
      </c>
      <c r="L101">
        <f>+IF(E101="","",VLOOKUP(E101,CATALOGO!G:I,3,0))</f>
        <v>36</v>
      </c>
      <c r="M101" s="87">
        <f>IF('Consulta1'!I4193="","",'Consulta1'!I4193)</f>
        <v>46292</v>
      </c>
      <c r="N101" s="88" t="str">
        <f>IF('Consulta1'!J4193="","",'Consulta1'!J4193)</f>
        <v>0</v>
      </c>
    </row>
    <row r="102" spans="1:14" ht="18.75" x14ac:dyDescent="0.25">
      <c r="A102" s="82" t="str">
        <f>IF('Consulta1'!A4194="","",'Consulta1'!A4194)</f>
        <v>Chanitos Premium Tarima Americana</v>
      </c>
      <c r="B102" s="82" t="str">
        <f>IF('Consulta1'!B4194="","",'Consulta1'!B4194)</f>
        <v>CPR01103</v>
      </c>
      <c r="C102" s="83" t="str">
        <f>IF('Consulta1'!C4194="","",'Consulta1'!C4194)</f>
        <v>A04039-392509-1</v>
      </c>
      <c r="D102" s="84" t="str">
        <f>IF('Consulta1'!D4194="","",'Consulta1'!D4194)</f>
        <v>A04 039 San Jose Morelia Nava</v>
      </c>
      <c r="E102" s="82" t="str">
        <f>IF('Consulta1'!E4194="","",'Consulta1'!E4194)</f>
        <v>S-MTY</v>
      </c>
      <c r="F102">
        <f>+IF(E102="","",VLOOKUP(E102,CATALOGO!G:L,6,0))</f>
        <v>1</v>
      </c>
      <c r="G102" s="85">
        <f>IF('Consulta1'!F4194="","",'Consulta1'!F4194)</f>
        <v>672</v>
      </c>
      <c r="H102" s="85">
        <f>IF('Consulta1'!G4194="","",'Consulta1'!G4194)</f>
        <v>14</v>
      </c>
      <c r="I102" s="86">
        <f>IF('Consulta1'!H4194="","",'Consulta1'!H4194)</f>
        <v>46290</v>
      </c>
      <c r="J102">
        <f t="shared" si="1"/>
        <v>39</v>
      </c>
      <c r="K102">
        <f>+IF(E102="","",VLOOKUP(E102,CATALOGO!G:I,2,0))</f>
        <v>3</v>
      </c>
      <c r="L102">
        <f>+IF(E102="","",VLOOKUP(E102,CATALOGO!G:I,3,0))</f>
        <v>72</v>
      </c>
      <c r="M102" s="87">
        <f>IF('Consulta1'!I4194="","",'Consulta1'!I4194)</f>
        <v>46295</v>
      </c>
      <c r="N102" s="88" t="str">
        <f>IF('Consulta1'!J4194="","",'Consulta1'!J4194)</f>
        <v>45612</v>
      </c>
    </row>
    <row r="103" spans="1:14" ht="18.75" x14ac:dyDescent="0.25">
      <c r="A103" s="82" t="str">
        <f>IF('Consulta1'!A4195="","",'Consulta1'!A4195)</f>
        <v>Chanitos Plantain 50lb Tarima Americana</v>
      </c>
      <c r="B103" s="82" t="str">
        <f>IF('Consulta1'!B4195="","",'Consulta1'!B4195)</f>
        <v>CPL08133</v>
      </c>
      <c r="C103" s="83" t="str">
        <f>IF('Consulta1'!C4195="","",'Consulta1'!C4195)</f>
        <v>A27073-392509-1</v>
      </c>
      <c r="D103" s="84" t="str">
        <f>IF('Consulta1'!D4195="","",'Consulta1'!D4195)</f>
        <v>A27 073 Plantacion</v>
      </c>
      <c r="E103" s="82" t="str">
        <f>IF('Consulta1'!E4195="","",'Consulta1'!E4195)</f>
        <v>McAllen</v>
      </c>
      <c r="F103">
        <f>+IF(E103="","",VLOOKUP(E103,CATALOGO!G:L,6,0))</f>
        <v>8</v>
      </c>
      <c r="G103" s="85">
        <f>IF('Consulta1'!F4195="","",'Consulta1'!F4195)</f>
        <v>840</v>
      </c>
      <c r="H103" s="85">
        <f>IF('Consulta1'!G4195="","",'Consulta1'!G4195)</f>
        <v>20</v>
      </c>
      <c r="I103" s="86">
        <f>IF('Consulta1'!H4195="","",'Consulta1'!H4195)</f>
        <v>46290</v>
      </c>
      <c r="J103">
        <f t="shared" si="1"/>
        <v>39</v>
      </c>
      <c r="K103">
        <f>+IF(E103="","",VLOOKUP(E103,CATALOGO!G:I,2,0))</f>
        <v>3</v>
      </c>
      <c r="L103">
        <f>+IF(E103="","",VLOOKUP(E103,CATALOGO!G:I,3,0))</f>
        <v>72</v>
      </c>
      <c r="M103" s="87">
        <f>IF('Consulta1'!I4195="","",'Consulta1'!I4195)</f>
        <v>46294</v>
      </c>
      <c r="N103" s="88" t="str">
        <f>IF('Consulta1'!J4195="","",'Consulta1'!J4195)</f>
        <v>44426</v>
      </c>
    </row>
    <row r="104" spans="1:14" ht="18.75" x14ac:dyDescent="0.25">
      <c r="A104" s="82" t="str">
        <f>IF('Consulta1'!A4196="","",'Consulta1'!A4196)</f>
        <v>Chanitos Premium EUA Tarima Americana</v>
      </c>
      <c r="B104" s="82" t="str">
        <f>IF('Consulta1'!B4196="","",'Consulta1'!B4196)</f>
        <v>CPR01104</v>
      </c>
      <c r="C104" s="83" t="str">
        <f>IF('Consulta1'!C4196="","",'Consulta1'!C4196)</f>
        <v>A06043-392509-1</v>
      </c>
      <c r="D104" s="84" t="str">
        <f>IF('Consulta1'!D4196="","",'Consulta1'!D4196)</f>
        <v>A06 043 Nuestra señora</v>
      </c>
      <c r="E104" s="82" t="str">
        <f>IF('Consulta1'!E4196="","",'Consulta1'!E4196)</f>
        <v>McAllen</v>
      </c>
      <c r="F104">
        <f>+IF(E104="","",VLOOKUP(E104,CATALOGO!G:L,6,0))</f>
        <v>8</v>
      </c>
      <c r="G104" s="85">
        <f>IF('Consulta1'!F4196="","",'Consulta1'!F4196)</f>
        <v>384</v>
      </c>
      <c r="H104" s="85">
        <f>IF('Consulta1'!G4196="","",'Consulta1'!G4196)</f>
        <v>8</v>
      </c>
      <c r="I104" s="86">
        <f>IF('Consulta1'!H4196="","",'Consulta1'!H4196)</f>
        <v>46290</v>
      </c>
      <c r="J104">
        <f t="shared" si="1"/>
        <v>39</v>
      </c>
      <c r="K104">
        <f>+IF(E104="","",VLOOKUP(E104,CATALOGO!G:I,2,0))</f>
        <v>3</v>
      </c>
      <c r="L104">
        <f>+IF(E104="","",VLOOKUP(E104,CATALOGO!G:I,3,0))</f>
        <v>72</v>
      </c>
      <c r="M104" s="87">
        <f>IF('Consulta1'!I4196="","",'Consulta1'!I4196)</f>
        <v>46296</v>
      </c>
      <c r="N104" s="88" t="str">
        <f>IF('Consulta1'!J4196="","",'Consulta1'!J4196)</f>
        <v>45034</v>
      </c>
    </row>
    <row r="105" spans="1:14" ht="18.75" x14ac:dyDescent="0.25">
      <c r="A105" s="82" t="str">
        <f>IF('Consulta1'!A4197="","",'Consulta1'!A4197)</f>
        <v>Chanitos Premium Tarima Chep</v>
      </c>
      <c r="B105" s="82" t="str">
        <f>IF('Consulta1'!B4197="","",'Consulta1'!B4197)</f>
        <v>CPR01102</v>
      </c>
      <c r="C105" s="83" t="str">
        <f>IF('Consulta1'!C4197="","",'Consulta1'!C4197)</f>
        <v>A01001-392509-1</v>
      </c>
      <c r="D105" s="84" t="str">
        <f>IF('Consulta1'!D4197="","",'Consulta1'!D4197)</f>
        <v>A01 001 Marbella</v>
      </c>
      <c r="E105" s="82" t="str">
        <f>IF('Consulta1'!E4197="","",'Consulta1'!E4197)</f>
        <v>SMO</v>
      </c>
      <c r="F105">
        <f>+IF(E105="","",VLOOKUP(E105,CATALOGO!G:L,6,0))</f>
        <v>4</v>
      </c>
      <c r="G105" s="85">
        <f>IF('Consulta1'!F4197="","",'Consulta1'!F4197)</f>
        <v>1152</v>
      </c>
      <c r="H105" s="85">
        <f>IF('Consulta1'!G4197="","",'Consulta1'!G4197)</f>
        <v>24</v>
      </c>
      <c r="I105" s="86">
        <f>IF('Consulta1'!H4197="","",'Consulta1'!H4197)</f>
        <v>46290</v>
      </c>
      <c r="J105">
        <f t="shared" si="1"/>
        <v>39</v>
      </c>
      <c r="K105">
        <f>+IF(E105="","",VLOOKUP(E105,CATALOGO!G:I,2,0))</f>
        <v>1.5</v>
      </c>
      <c r="L105">
        <f>+IF(E105="","",VLOOKUP(E105,CATALOGO!G:I,3,0))</f>
        <v>36</v>
      </c>
      <c r="M105" s="87">
        <f>IF('Consulta1'!I4197="","",'Consulta1'!I4197)</f>
        <v>46294</v>
      </c>
      <c r="N105" s="88" t="str">
        <f>IF('Consulta1'!J4197="","",'Consulta1'!J4197)</f>
        <v>46037</v>
      </c>
    </row>
    <row r="106" spans="1:14" ht="18.75" x14ac:dyDescent="0.25">
      <c r="A106" s="82" t="str">
        <f>IF('Consulta1'!A4198="","",'Consulta1'!A4198)</f>
        <v>Chanitos Premium Granel</v>
      </c>
      <c r="B106" s="82" t="str">
        <f>IF('Consulta1'!B4198="","",'Consulta1'!B4198)</f>
        <v>CPR01101</v>
      </c>
      <c r="C106" s="83" t="str">
        <f>IF('Consulta1'!C4198="","",'Consulta1'!C4198)</f>
        <v>A01001-392509-1</v>
      </c>
      <c r="D106" s="84" t="str">
        <f>IF('Consulta1'!D4198="","",'Consulta1'!D4198)</f>
        <v>A01 001 Marbella</v>
      </c>
      <c r="E106" s="82" t="str">
        <f>IF('Consulta1'!E4198="","",'Consulta1'!E4198)</f>
        <v>CEDA</v>
      </c>
      <c r="F106">
        <f>+IF(E106="","",VLOOKUP(E106,CATALOGO!G:L,6,0))</f>
        <v>0</v>
      </c>
      <c r="G106" s="85">
        <f>IF('Consulta1'!F4198="","",'Consulta1'!F4198)</f>
        <v>239</v>
      </c>
      <c r="H106" s="85" t="str">
        <f>IF('Consulta1'!G4198="","",'Consulta1'!G4198)</f>
        <v>Granel</v>
      </c>
      <c r="I106" s="86">
        <f>IF('Consulta1'!H4198="","",'Consulta1'!H4198)</f>
        <v>46290</v>
      </c>
      <c r="J106">
        <f t="shared" si="1"/>
        <v>39</v>
      </c>
      <c r="K106">
        <f>+IF(E106="","",VLOOKUP(E106,CATALOGO!G:I,2,0))</f>
        <v>1.5</v>
      </c>
      <c r="L106">
        <f>+IF(E106="","",VLOOKUP(E106,CATALOGO!G:I,3,0))</f>
        <v>36</v>
      </c>
      <c r="M106" s="87">
        <f>IF('Consulta1'!I4198="","",'Consulta1'!I4198)</f>
        <v>46293</v>
      </c>
      <c r="N106" s="88" t="str">
        <f>IF('Consulta1'!J4198="","",'Consulta1'!J4198)</f>
        <v>0</v>
      </c>
    </row>
    <row r="107" spans="1:14" ht="18.75" x14ac:dyDescent="0.25">
      <c r="A107" s="82" t="str">
        <f>IF('Consulta1'!A4199="","",'Consulta1'!A4199)</f>
        <v>Chanitos Premium Tarima Chep</v>
      </c>
      <c r="B107" s="82" t="str">
        <f>IF('Consulta1'!B4199="","",'Consulta1'!B4199)</f>
        <v>CPR01102</v>
      </c>
      <c r="C107" s="83" t="str">
        <f>IF('Consulta1'!C4199="","",'Consulta1'!C4199)</f>
        <v>A01004-392509-1</v>
      </c>
      <c r="D107" s="84" t="str">
        <f>IF('Consulta1'!D4199="","",'Consulta1'!D4199)</f>
        <v>A01 004 La Ceiba</v>
      </c>
      <c r="E107" s="82" t="str">
        <f>IF('Consulta1'!E4199="","",'Consulta1'!E4199)</f>
        <v>SMO</v>
      </c>
      <c r="F107">
        <f>+IF(E107="","",VLOOKUP(E107,CATALOGO!G:L,6,0))</f>
        <v>4</v>
      </c>
      <c r="G107" s="85">
        <f>IF('Consulta1'!F4199="","",'Consulta1'!F4199)</f>
        <v>1152</v>
      </c>
      <c r="H107" s="85">
        <f>IF('Consulta1'!G4199="","",'Consulta1'!G4199)</f>
        <v>24</v>
      </c>
      <c r="I107" s="86">
        <f>IF('Consulta1'!H4199="","",'Consulta1'!H4199)</f>
        <v>46290</v>
      </c>
      <c r="J107">
        <f t="shared" si="1"/>
        <v>39</v>
      </c>
      <c r="K107">
        <f>+IF(E107="","",VLOOKUP(E107,CATALOGO!G:I,2,0))</f>
        <v>1.5</v>
      </c>
      <c r="L107">
        <f>+IF(E107="","",VLOOKUP(E107,CATALOGO!G:I,3,0))</f>
        <v>36</v>
      </c>
      <c r="M107" s="87">
        <f>IF('Consulta1'!I4199="","",'Consulta1'!I4199)</f>
        <v>46295</v>
      </c>
      <c r="N107" s="88" t="str">
        <f>IF('Consulta1'!J4199="","",'Consulta1'!J4199)</f>
        <v>45101</v>
      </c>
    </row>
    <row r="108" spans="1:14" ht="18.75" x14ac:dyDescent="0.25">
      <c r="A108" s="82" t="str">
        <f>IF('Consulta1'!A4200="","",'Consulta1'!A4200)</f>
        <v>Chanitos Premium Tarima Chep</v>
      </c>
      <c r="B108" s="82" t="str">
        <f>IF('Consulta1'!B4200="","",'Consulta1'!B4200)</f>
        <v>CPR01102</v>
      </c>
      <c r="C108" s="83" t="str">
        <f>IF('Consulta1'!C4200="","",'Consulta1'!C4200)</f>
        <v>A01004-392509-1</v>
      </c>
      <c r="D108" s="84" t="str">
        <f>IF('Consulta1'!D4200="","",'Consulta1'!D4200)</f>
        <v>A01 004 La Ceiba</v>
      </c>
      <c r="E108" s="82" t="str">
        <f>IF('Consulta1'!E4200="","",'Consulta1'!E4200)</f>
        <v>Chalco</v>
      </c>
      <c r="F108">
        <f>+IF(E108="","",VLOOKUP(E108,CATALOGO!G:L,6,0))</f>
        <v>5</v>
      </c>
      <c r="G108" s="85">
        <f>IF('Consulta1'!F4200="","",'Consulta1'!F4200)</f>
        <v>288</v>
      </c>
      <c r="H108" s="85">
        <f>IF('Consulta1'!G4200="","",'Consulta1'!G4200)</f>
        <v>6</v>
      </c>
      <c r="I108" s="86">
        <f>IF('Consulta1'!H4200="","",'Consulta1'!H4200)</f>
        <v>46290</v>
      </c>
      <c r="J108">
        <f t="shared" si="1"/>
        <v>39</v>
      </c>
      <c r="K108">
        <f>+IF(E108="","",VLOOKUP(E108,CATALOGO!G:I,2,0))</f>
        <v>1</v>
      </c>
      <c r="L108">
        <f>+IF(E108="","",VLOOKUP(E108,CATALOGO!G:I,3,0))</f>
        <v>24</v>
      </c>
      <c r="M108" s="87">
        <f>IF('Consulta1'!I4200="","",'Consulta1'!I4200)</f>
        <v>46296</v>
      </c>
      <c r="N108" s="88" t="str">
        <f>IF('Consulta1'!J4200="","",'Consulta1'!J4200)</f>
        <v>45280</v>
      </c>
    </row>
    <row r="109" spans="1:14" ht="18.75" x14ac:dyDescent="0.25">
      <c r="A109" s="82" t="str">
        <f>IF('Consulta1'!A4201="","",'Consulta1'!A4201)</f>
        <v>Chanitos Premium Granel</v>
      </c>
      <c r="B109" s="82" t="str">
        <f>IF('Consulta1'!B4201="","",'Consulta1'!B4201)</f>
        <v>CPR01101</v>
      </c>
      <c r="C109" s="83" t="str">
        <f>IF('Consulta1'!C4201="","",'Consulta1'!C4201)</f>
        <v>A01004-392509-1</v>
      </c>
      <c r="D109" s="84" t="str">
        <f>IF('Consulta1'!D4201="","",'Consulta1'!D4201)</f>
        <v>A01 004 La Ceiba</v>
      </c>
      <c r="E109" s="82" t="str">
        <f>IF('Consulta1'!E4201="","",'Consulta1'!E4201)</f>
        <v>CEDA</v>
      </c>
      <c r="F109">
        <f>+IF(E109="","",VLOOKUP(E109,CATALOGO!G:L,6,0))</f>
        <v>0</v>
      </c>
      <c r="G109" s="85">
        <f>IF('Consulta1'!F4201="","",'Consulta1'!F4201)</f>
        <v>13</v>
      </c>
      <c r="H109" s="85" t="str">
        <f>IF('Consulta1'!G4201="","",'Consulta1'!G4201)</f>
        <v>Granel</v>
      </c>
      <c r="I109" s="86">
        <f>IF('Consulta1'!H4201="","",'Consulta1'!H4201)</f>
        <v>46290</v>
      </c>
      <c r="J109">
        <f t="shared" si="1"/>
        <v>39</v>
      </c>
      <c r="K109">
        <f>+IF(E109="","",VLOOKUP(E109,CATALOGO!G:I,2,0))</f>
        <v>1.5</v>
      </c>
      <c r="L109">
        <f>+IF(E109="","",VLOOKUP(E109,CATALOGO!G:I,3,0))</f>
        <v>36</v>
      </c>
      <c r="M109" s="87">
        <f>IF('Consulta1'!I4201="","",'Consulta1'!I4201)</f>
        <v>46293</v>
      </c>
      <c r="N109" s="88" t="str">
        <f>IF('Consulta1'!J4201="","",'Consulta1'!J4201)</f>
        <v>0</v>
      </c>
    </row>
    <row r="110" spans="1:14" ht="18.75" x14ac:dyDescent="0.25">
      <c r="A110" s="82" t="str">
        <f>IF('Consulta1'!A4202="","",'Consulta1'!A4202)</f>
        <v>Chanitos Premium Tarima Chep</v>
      </c>
      <c r="B110" s="82" t="str">
        <f>IF('Consulta1'!B4202="","",'Consulta1'!B4202)</f>
        <v>CPR01102</v>
      </c>
      <c r="C110" s="83" t="str">
        <f>IF('Consulta1'!C4202="","",'Consulta1'!C4202)</f>
        <v>A01002-392509-1</v>
      </c>
      <c r="D110" s="84" t="str">
        <f>IF('Consulta1'!D4202="","",'Consulta1'!D4202)</f>
        <v>A01 002 Fortaleza</v>
      </c>
      <c r="E110" s="82" t="str">
        <f>IF('Consulta1'!E4202="","",'Consulta1'!E4202)</f>
        <v>QRO</v>
      </c>
      <c r="F110">
        <f>+IF(E110="","",VLOOKUP(E110,CATALOGO!G:L,6,0))</f>
        <v>3</v>
      </c>
      <c r="G110" s="85">
        <f>IF('Consulta1'!F4202="","",'Consulta1'!F4202)</f>
        <v>720</v>
      </c>
      <c r="H110" s="85">
        <f>IF('Consulta1'!G4202="","",'Consulta1'!G4202)</f>
        <v>15</v>
      </c>
      <c r="I110" s="86">
        <f>IF('Consulta1'!H4202="","",'Consulta1'!H4202)</f>
        <v>46290</v>
      </c>
      <c r="J110">
        <f t="shared" si="1"/>
        <v>39</v>
      </c>
      <c r="K110">
        <f>+IF(E110="","",VLOOKUP(E110,CATALOGO!G:I,2,0))</f>
        <v>1.5</v>
      </c>
      <c r="L110">
        <f>+IF(E110="","",VLOOKUP(E110,CATALOGO!G:I,3,0))</f>
        <v>36</v>
      </c>
      <c r="M110" s="87">
        <f>IF('Consulta1'!I4202="","",'Consulta1'!I4202)</f>
        <v>46295</v>
      </c>
      <c r="N110" s="88" t="str">
        <f>IF('Consulta1'!J4202="","",'Consulta1'!J4202)</f>
        <v>45203</v>
      </c>
    </row>
    <row r="111" spans="1:14" ht="18.75" x14ac:dyDescent="0.25">
      <c r="A111" s="82" t="str">
        <f>IF('Consulta1'!A4203="","",'Consulta1'!A4203)</f>
        <v>Chanitos Organic Banded Market Side Mexico</v>
      </c>
      <c r="B111" s="82" t="str">
        <f>IF('Consulta1'!B4203="","",'Consulta1'!B4203)</f>
        <v>CRG07128</v>
      </c>
      <c r="C111" s="83" t="str">
        <f>IF('Consulta1'!C4203="","",'Consulta1'!C4203)</f>
        <v>A01002-392509-1</v>
      </c>
      <c r="D111" s="84" t="str">
        <f>IF('Consulta1'!D4203="","",'Consulta1'!D4203)</f>
        <v>A01 002 Fortaleza</v>
      </c>
      <c r="E111" s="82" t="str">
        <f>IF('Consulta1'!E4203="","",'Consulta1'!E4203)</f>
        <v>QRO</v>
      </c>
      <c r="F111">
        <f>+IF(E111="","",VLOOKUP(E111,CATALOGO!G:L,6,0))</f>
        <v>3</v>
      </c>
      <c r="G111" s="85">
        <f>IF('Consulta1'!F4203="","",'Consulta1'!F4203)</f>
        <v>96</v>
      </c>
      <c r="H111" s="85">
        <f>IF('Consulta1'!G4203="","",'Consulta1'!G4203)</f>
        <v>2</v>
      </c>
      <c r="I111" s="86">
        <f>IF('Consulta1'!H4203="","",'Consulta1'!H4203)</f>
        <v>46290</v>
      </c>
      <c r="J111">
        <f t="shared" si="1"/>
        <v>39</v>
      </c>
      <c r="K111">
        <f>+IF(E111="","",VLOOKUP(E111,CATALOGO!G:I,2,0))</f>
        <v>1.5</v>
      </c>
      <c r="L111">
        <f>+IF(E111="","",VLOOKUP(E111,CATALOGO!G:I,3,0))</f>
        <v>36</v>
      </c>
      <c r="M111" s="87">
        <f>IF('Consulta1'!I4203="","",'Consulta1'!I4203)</f>
        <v>46295</v>
      </c>
      <c r="N111" s="88" t="str">
        <f>IF('Consulta1'!J4203="","",'Consulta1'!J4203)</f>
        <v>45203</v>
      </c>
    </row>
    <row r="112" spans="1:14" ht="18.75" x14ac:dyDescent="0.25">
      <c r="A112" s="82" t="str">
        <f>IF('Consulta1'!A4204="","",'Consulta1'!A4204)</f>
        <v>Chanitos Premium Tarima Chep</v>
      </c>
      <c r="B112" s="82" t="str">
        <f>IF('Consulta1'!B4204="","",'Consulta1'!B4204)</f>
        <v>CPR01102</v>
      </c>
      <c r="C112" s="83" t="str">
        <f>IF('Consulta1'!C4204="","",'Consulta1'!C4204)</f>
        <v>A01002-392509-1</v>
      </c>
      <c r="D112" s="84" t="str">
        <f>IF('Consulta1'!D4204="","",'Consulta1'!D4204)</f>
        <v>A01 002 Fortaleza</v>
      </c>
      <c r="E112" s="82" t="str">
        <f>IF('Consulta1'!E4204="","",'Consulta1'!E4204)</f>
        <v>VSA</v>
      </c>
      <c r="F112">
        <f>+IF(E112="","",VLOOKUP(E112,CATALOGO!G:L,6,0))</f>
        <v>6</v>
      </c>
      <c r="G112" s="85">
        <f>IF('Consulta1'!F4204="","",'Consulta1'!F4204)</f>
        <v>384</v>
      </c>
      <c r="H112" s="85">
        <f>IF('Consulta1'!G4204="","",'Consulta1'!G4204)</f>
        <v>8</v>
      </c>
      <c r="I112" s="86">
        <f>IF('Consulta1'!H4204="","",'Consulta1'!H4204)</f>
        <v>46290</v>
      </c>
      <c r="J112">
        <f t="shared" si="1"/>
        <v>39</v>
      </c>
      <c r="K112">
        <f>+IF(E112="","",VLOOKUP(E112,CATALOGO!G:I,2,0))</f>
        <v>1</v>
      </c>
      <c r="L112">
        <f>+IF(E112="","",VLOOKUP(E112,CATALOGO!G:I,3,0))</f>
        <v>24</v>
      </c>
      <c r="M112" s="87">
        <f>IF('Consulta1'!I4204="","",'Consulta1'!I4204)</f>
        <v>46293</v>
      </c>
      <c r="N112" s="88" t="str">
        <f>IF('Consulta1'!J4204="","",'Consulta1'!J4204)</f>
        <v>41954</v>
      </c>
    </row>
    <row r="113" spans="1:14" ht="18.75" x14ac:dyDescent="0.25">
      <c r="A113" s="82" t="str">
        <f>IF('Consulta1'!A4205="","",'Consulta1'!A4205)</f>
        <v>Chanitos Premium Granel</v>
      </c>
      <c r="B113" s="82" t="str">
        <f>IF('Consulta1'!B4205="","",'Consulta1'!B4205)</f>
        <v>CPR01101</v>
      </c>
      <c r="C113" s="83" t="str">
        <f>IF('Consulta1'!C4205="","",'Consulta1'!C4205)</f>
        <v>A01002-392509-1</v>
      </c>
      <c r="D113" s="84" t="str">
        <f>IF('Consulta1'!D4205="","",'Consulta1'!D4205)</f>
        <v>A01 002 Fortaleza</v>
      </c>
      <c r="E113" s="82" t="str">
        <f>IF('Consulta1'!E4205="","",'Consulta1'!E4205)</f>
        <v>CEDA</v>
      </c>
      <c r="F113">
        <f>+IF(E113="","",VLOOKUP(E113,CATALOGO!G:L,6,0))</f>
        <v>0</v>
      </c>
      <c r="G113" s="85">
        <f>IF('Consulta1'!F4205="","",'Consulta1'!F4205)</f>
        <v>37</v>
      </c>
      <c r="H113" s="85" t="str">
        <f>IF('Consulta1'!G4205="","",'Consulta1'!G4205)</f>
        <v>Granel</v>
      </c>
      <c r="I113" s="86">
        <f>IF('Consulta1'!H4205="","",'Consulta1'!H4205)</f>
        <v>46290</v>
      </c>
      <c r="J113">
        <f t="shared" si="1"/>
        <v>39</v>
      </c>
      <c r="K113">
        <f>+IF(E113="","",VLOOKUP(E113,CATALOGO!G:I,2,0))</f>
        <v>1.5</v>
      </c>
      <c r="L113">
        <f>+IF(E113="","",VLOOKUP(E113,CATALOGO!G:I,3,0))</f>
        <v>36</v>
      </c>
      <c r="M113" s="87">
        <f>IF('Consulta1'!I4205="","",'Consulta1'!I4205)</f>
        <v>46293</v>
      </c>
      <c r="N113" s="88" t="str">
        <f>IF('Consulta1'!J4205="","",'Consulta1'!J4205)</f>
        <v>0</v>
      </c>
    </row>
    <row r="114" spans="1:14" ht="18.75" x14ac:dyDescent="0.25">
      <c r="A114" s="82" t="str">
        <f>IF('Consulta1'!A4206="","",'Consulta1'!A4206)</f>
        <v>Chanitos Premium Tarima Chep</v>
      </c>
      <c r="B114" s="82" t="str">
        <f>IF('Consulta1'!B4206="","",'Consulta1'!B4206)</f>
        <v>CPR01102</v>
      </c>
      <c r="C114" s="83" t="str">
        <f>IF('Consulta1'!C4206="","",'Consulta1'!C4206)</f>
        <v>A01001-392609-1</v>
      </c>
      <c r="D114" s="84" t="str">
        <f>IF('Consulta1'!D4206="","",'Consulta1'!D4206)</f>
        <v>A01 001 Marbella</v>
      </c>
      <c r="E114" s="82" t="str">
        <f>IF('Consulta1'!E4206="","",'Consulta1'!E4206)</f>
        <v>Chalco</v>
      </c>
      <c r="F114">
        <f>+IF(E114="","",VLOOKUP(E114,CATALOGO!G:L,6,0))</f>
        <v>5</v>
      </c>
      <c r="G114" s="85">
        <f>IF('Consulta1'!F4206="","",'Consulta1'!F4206)</f>
        <v>1098</v>
      </c>
      <c r="H114" s="85">
        <f>IF('Consulta1'!G4206="","",'Consulta1'!G4206)</f>
        <v>22.875</v>
      </c>
      <c r="I114" s="86">
        <f>IF('Consulta1'!H4206="","",'Consulta1'!H4206)</f>
        <v>46291</v>
      </c>
      <c r="J114">
        <f t="shared" si="1"/>
        <v>39</v>
      </c>
      <c r="K114">
        <f>+IF(E114="","",VLOOKUP(E114,CATALOGO!G:I,2,0))</f>
        <v>1</v>
      </c>
      <c r="L114">
        <f>+IF(E114="","",VLOOKUP(E114,CATALOGO!G:I,3,0))</f>
        <v>24</v>
      </c>
      <c r="M114" s="87">
        <f>IF('Consulta1'!I4206="","",'Consulta1'!I4206)</f>
        <v>46295</v>
      </c>
      <c r="N114" s="88" t="str">
        <f>IF('Consulta1'!J4206="","",'Consulta1'!J4206)</f>
        <v>45278</v>
      </c>
    </row>
    <row r="115" spans="1:14" ht="18.75" x14ac:dyDescent="0.25">
      <c r="A115" s="82" t="str">
        <f>IF('Consulta1'!A4207="","",'Consulta1'!A4207)</f>
        <v>Platano de Chiapas BAE UPC 3237</v>
      </c>
      <c r="B115" s="82" t="str">
        <f>IF('Consulta1'!B4207="","",'Consulta1'!B4207)</f>
        <v>CPR01114</v>
      </c>
      <c r="C115" s="83" t="str">
        <f>IF('Consulta1'!C4207="","",'Consulta1'!C4207)</f>
        <v>A01001-392609-1</v>
      </c>
      <c r="D115" s="84" t="str">
        <f>IF('Consulta1'!D4207="","",'Consulta1'!D4207)</f>
        <v>A01 001 Marbella</v>
      </c>
      <c r="E115" s="82" t="str">
        <f>IF('Consulta1'!E4207="","",'Consulta1'!E4207)</f>
        <v>Chalco</v>
      </c>
      <c r="F115">
        <f>+IF(E115="","",VLOOKUP(E115,CATALOGO!G:L,6,0))</f>
        <v>5</v>
      </c>
      <c r="G115" s="85">
        <f>IF('Consulta1'!F4207="","",'Consulta1'!F4207)</f>
        <v>54</v>
      </c>
      <c r="H115" s="85">
        <f>IF('Consulta1'!G4207="","",'Consulta1'!G4207)</f>
        <v>1.125</v>
      </c>
      <c r="I115" s="86">
        <f>IF('Consulta1'!H4207="","",'Consulta1'!H4207)</f>
        <v>46291</v>
      </c>
      <c r="J115">
        <f t="shared" si="1"/>
        <v>39</v>
      </c>
      <c r="K115">
        <f>+IF(E115="","",VLOOKUP(E115,CATALOGO!G:I,2,0))</f>
        <v>1</v>
      </c>
      <c r="L115">
        <f>+IF(E115="","",VLOOKUP(E115,CATALOGO!G:I,3,0))</f>
        <v>24</v>
      </c>
      <c r="M115" s="87">
        <f>IF('Consulta1'!I4207="","",'Consulta1'!I4207)</f>
        <v>46295</v>
      </c>
      <c r="N115" s="88" t="str">
        <f>IF('Consulta1'!J4207="","",'Consulta1'!J4207)</f>
        <v>45278</v>
      </c>
    </row>
    <row r="116" spans="1:14" ht="18.75" x14ac:dyDescent="0.25">
      <c r="A116" s="82" t="str">
        <f>IF('Consulta1'!A4208="","",'Consulta1'!A4208)</f>
        <v>Chanitos Premium Tarima Chep</v>
      </c>
      <c r="B116" s="82" t="str">
        <f>IF('Consulta1'!B4208="","",'Consulta1'!B4208)</f>
        <v>CPR01102</v>
      </c>
      <c r="C116" s="83" t="str">
        <f>IF('Consulta1'!C4208="","",'Consulta1'!C4208)</f>
        <v>A01003-392609-1</v>
      </c>
      <c r="D116" s="84" t="str">
        <f>IF('Consulta1'!D4208="","",'Consulta1'!D4208)</f>
        <v>A01 003 Doña Nelly</v>
      </c>
      <c r="E116" s="82" t="str">
        <f>IF('Consulta1'!E4208="","",'Consulta1'!E4208)</f>
        <v>Chalco</v>
      </c>
      <c r="F116">
        <f>+IF(E116="","",VLOOKUP(E116,CATALOGO!G:L,6,0))</f>
        <v>5</v>
      </c>
      <c r="G116" s="85">
        <f>IF('Consulta1'!F4208="","",'Consulta1'!F4208)</f>
        <v>336</v>
      </c>
      <c r="H116" s="85">
        <f>IF('Consulta1'!G4208="","",'Consulta1'!G4208)</f>
        <v>7</v>
      </c>
      <c r="I116" s="86">
        <f>IF('Consulta1'!H4208="","",'Consulta1'!H4208)</f>
        <v>46291</v>
      </c>
      <c r="J116">
        <f t="shared" si="1"/>
        <v>39</v>
      </c>
      <c r="K116">
        <f>+IF(E116="","",VLOOKUP(E116,CATALOGO!G:I,2,0))</f>
        <v>1</v>
      </c>
      <c r="L116">
        <f>+IF(E116="","",VLOOKUP(E116,CATALOGO!G:I,3,0))</f>
        <v>24</v>
      </c>
      <c r="M116" s="87">
        <f>IF('Consulta1'!I4208="","",'Consulta1'!I4208)</f>
        <v>46296</v>
      </c>
      <c r="N116" s="88" t="str">
        <f>IF('Consulta1'!J4208="","",'Consulta1'!J4208)</f>
        <v>45280</v>
      </c>
    </row>
    <row r="117" spans="1:14" ht="18.75" x14ac:dyDescent="0.25">
      <c r="A117" s="82" t="str">
        <f>IF('Consulta1'!A4209="","",'Consulta1'!A4209)</f>
        <v>Chanitos Premium Tarima Americana</v>
      </c>
      <c r="B117" s="82" t="str">
        <f>IF('Consulta1'!B4209="","",'Consulta1'!B4209)</f>
        <v>CPR01103</v>
      </c>
      <c r="C117" s="83" t="str">
        <f>IF('Consulta1'!C4209="","",'Consulta1'!C4209)</f>
        <v>A01003-392609-1</v>
      </c>
      <c r="D117" s="84" t="str">
        <f>IF('Consulta1'!D4209="","",'Consulta1'!D4209)</f>
        <v>A01 003 Doña Nelly</v>
      </c>
      <c r="E117" s="82" t="str">
        <f>IF('Consulta1'!E4209="","",'Consulta1'!E4209)</f>
        <v>Ciudad Juarez</v>
      </c>
      <c r="F117">
        <f>+IF(E117="","",VLOOKUP(E117,CATALOGO!G:L,6,0))</f>
        <v>1</v>
      </c>
      <c r="G117" s="85">
        <f>IF('Consulta1'!F4209="","",'Consulta1'!F4209)</f>
        <v>960</v>
      </c>
      <c r="H117" s="85">
        <f>IF('Consulta1'!G4209="","",'Consulta1'!G4209)</f>
        <v>20</v>
      </c>
      <c r="I117" s="86">
        <f>IF('Consulta1'!H4209="","",'Consulta1'!H4209)</f>
        <v>46291</v>
      </c>
      <c r="J117">
        <f t="shared" si="1"/>
        <v>39</v>
      </c>
      <c r="K117">
        <f>+IF(E117="","",VLOOKUP(E117,CATALOGO!G:I,2,0))</f>
        <v>4</v>
      </c>
      <c r="L117">
        <f>+IF(E117="","",VLOOKUP(E117,CATALOGO!G:I,3,0))</f>
        <v>96</v>
      </c>
      <c r="M117" s="87">
        <f>IF('Consulta1'!I4209="","",'Consulta1'!I4209)</f>
        <v>46297</v>
      </c>
      <c r="N117" s="88" t="str">
        <f>IF('Consulta1'!J4209="","",'Consulta1'!J4209)</f>
        <v>43272</v>
      </c>
    </row>
    <row r="118" spans="1:14" ht="18.75" x14ac:dyDescent="0.25">
      <c r="A118" s="82" t="str">
        <f>IF('Consulta1'!A4210="","",'Consulta1'!A4210)</f>
        <v>Chanitos Premium Tarima Chep</v>
      </c>
      <c r="B118" s="82" t="str">
        <f>IF('Consulta1'!B4210="","",'Consulta1'!B4210)</f>
        <v>CPR01102</v>
      </c>
      <c r="C118" s="83" t="str">
        <f>IF('Consulta1'!C4210="","",'Consulta1'!C4210)</f>
        <v>A01002-392609-1</v>
      </c>
      <c r="D118" s="84" t="str">
        <f>IF('Consulta1'!D4210="","",'Consulta1'!D4210)</f>
        <v>A01 002 Fortaleza</v>
      </c>
      <c r="E118" s="82" t="str">
        <f>IF('Consulta1'!E4210="","",'Consulta1'!E4210)</f>
        <v>QRO</v>
      </c>
      <c r="F118">
        <f>+IF(E118="","",VLOOKUP(E118,CATALOGO!G:L,6,0))</f>
        <v>3</v>
      </c>
      <c r="G118" s="85">
        <f>IF('Consulta1'!F4210="","",'Consulta1'!F4210)</f>
        <v>336</v>
      </c>
      <c r="H118" s="85">
        <f>IF('Consulta1'!G4210="","",'Consulta1'!G4210)</f>
        <v>7</v>
      </c>
      <c r="I118" s="86">
        <f>IF('Consulta1'!H4210="","",'Consulta1'!H4210)</f>
        <v>46291</v>
      </c>
      <c r="J118">
        <f t="shared" si="1"/>
        <v>39</v>
      </c>
      <c r="K118">
        <f>+IF(E118="","",VLOOKUP(E118,CATALOGO!G:I,2,0))</f>
        <v>1.5</v>
      </c>
      <c r="L118">
        <f>+IF(E118="","",VLOOKUP(E118,CATALOGO!G:I,3,0))</f>
        <v>36</v>
      </c>
      <c r="M118" s="87">
        <f>IF('Consulta1'!I4210="","",'Consulta1'!I4210)</f>
        <v>46295</v>
      </c>
      <c r="N118" s="88" t="str">
        <f>IF('Consulta1'!J4210="","",'Consulta1'!J4210)</f>
        <v>45203</v>
      </c>
    </row>
    <row r="119" spans="1:14" ht="18.75" x14ac:dyDescent="0.25">
      <c r="A119" s="82" t="str">
        <f>IF('Consulta1'!A4211="","",'Consulta1'!A4211)</f>
        <v>Chanitos Premium Tarima Americana</v>
      </c>
      <c r="B119" s="82" t="str">
        <f>IF('Consulta1'!B4211="","",'Consulta1'!B4211)</f>
        <v>CPR01103</v>
      </c>
      <c r="C119" s="83" t="str">
        <f>IF('Consulta1'!C4211="","",'Consulta1'!C4211)</f>
        <v>A01002-392609-1</v>
      </c>
      <c r="D119" s="84" t="str">
        <f>IF('Consulta1'!D4211="","",'Consulta1'!D4211)</f>
        <v>A01 002 Fortaleza</v>
      </c>
      <c r="E119" s="82" t="str">
        <f>IF('Consulta1'!E4211="","",'Consulta1'!E4211)</f>
        <v>Ciudad Juarez</v>
      </c>
      <c r="F119">
        <f>+IF(E119="","",VLOOKUP(E119,CATALOGO!G:L,6,0))</f>
        <v>1</v>
      </c>
      <c r="G119" s="85">
        <f>IF('Consulta1'!F4211="","",'Consulta1'!F4211)</f>
        <v>960</v>
      </c>
      <c r="H119" s="85">
        <f>IF('Consulta1'!G4211="","",'Consulta1'!G4211)</f>
        <v>20</v>
      </c>
      <c r="I119" s="86">
        <f>IF('Consulta1'!H4211="","",'Consulta1'!H4211)</f>
        <v>46291</v>
      </c>
      <c r="J119">
        <f t="shared" si="1"/>
        <v>39</v>
      </c>
      <c r="K119">
        <f>+IF(E119="","",VLOOKUP(E119,CATALOGO!G:I,2,0))</f>
        <v>4</v>
      </c>
      <c r="L119">
        <f>+IF(E119="","",VLOOKUP(E119,CATALOGO!G:I,3,0))</f>
        <v>96</v>
      </c>
      <c r="M119" s="87">
        <f>IF('Consulta1'!I4211="","",'Consulta1'!I4211)</f>
        <v>46297</v>
      </c>
      <c r="N119" s="88" t="str">
        <f>IF('Consulta1'!J4211="","",'Consulta1'!J4211)</f>
        <v>43272</v>
      </c>
    </row>
    <row r="120" spans="1:14" ht="18.75" x14ac:dyDescent="0.25">
      <c r="A120" s="82" t="str">
        <f>IF('Consulta1'!A4212="","",'Consulta1'!A4212)</f>
        <v>Chanitos Premium Tarima Chep</v>
      </c>
      <c r="B120" s="82" t="str">
        <f>IF('Consulta1'!B4212="","",'Consulta1'!B4212)</f>
        <v>CPR01102</v>
      </c>
      <c r="C120" s="83" t="str">
        <f>IF('Consulta1'!C4212="","",'Consulta1'!C4212)</f>
        <v>A01002-392609-1</v>
      </c>
      <c r="D120" s="84" t="str">
        <f>IF('Consulta1'!D4212="","",'Consulta1'!D4212)</f>
        <v>A01 002 Fortaleza</v>
      </c>
      <c r="E120" s="82" t="str">
        <f>IF('Consulta1'!E4212="","",'Consulta1'!E4212)</f>
        <v>Chalco</v>
      </c>
      <c r="F120">
        <f>+IF(E120="","",VLOOKUP(E120,CATALOGO!G:L,6,0))</f>
        <v>5</v>
      </c>
      <c r="G120" s="85">
        <f>IF('Consulta1'!F4212="","",'Consulta1'!F4212)</f>
        <v>48</v>
      </c>
      <c r="H120" s="85">
        <f>IF('Consulta1'!G4212="","",'Consulta1'!G4212)</f>
        <v>1</v>
      </c>
      <c r="I120" s="86">
        <f>IF('Consulta1'!H4212="","",'Consulta1'!H4212)</f>
        <v>46291</v>
      </c>
      <c r="J120">
        <f t="shared" si="1"/>
        <v>39</v>
      </c>
      <c r="K120">
        <f>+IF(E120="","",VLOOKUP(E120,CATALOGO!G:I,2,0))</f>
        <v>1</v>
      </c>
      <c r="L120">
        <f>+IF(E120="","",VLOOKUP(E120,CATALOGO!G:I,3,0))</f>
        <v>24</v>
      </c>
      <c r="M120" s="87">
        <f>IF('Consulta1'!I4212="","",'Consulta1'!I4212)</f>
        <v>46296</v>
      </c>
      <c r="N120" s="88" t="str">
        <f>IF('Consulta1'!J4212="","",'Consulta1'!J4212)</f>
        <v>45280</v>
      </c>
    </row>
    <row r="121" spans="1:14" ht="18.75" x14ac:dyDescent="0.25">
      <c r="A121" s="82" t="str">
        <f>IF('Consulta1'!A4213="","",'Consulta1'!A4213)</f>
        <v>Chanitos Plantain 20Kg Tarima Americana</v>
      </c>
      <c r="B121" s="82" t="str">
        <f>IF('Consulta1'!B4213="","",'Consulta1'!B4213)</f>
        <v>CPL08134</v>
      </c>
      <c r="C121" s="83" t="str">
        <f>IF('Consulta1'!C4213="","",'Consulta1'!C4213)</f>
        <v>A35082-392609-1</v>
      </c>
      <c r="D121" s="84" t="str">
        <f>IF('Consulta1'!D4213="","",'Consulta1'!D4213)</f>
        <v>A35 082 Empaque de Macho Ej Libertad</v>
      </c>
      <c r="E121" s="82" t="str">
        <f>IF('Consulta1'!E4213="","",'Consulta1'!E4213)</f>
        <v>Ciudad Juarez</v>
      </c>
      <c r="F121">
        <f>+IF(E121="","",VLOOKUP(E121,CATALOGO!G:L,6,0))</f>
        <v>1</v>
      </c>
      <c r="G121" s="85" t="str">
        <f>IF('Consulta1'!F4213="","",'Consulta1'!F4213)</f>
        <v/>
      </c>
      <c r="H121" s="85" t="str">
        <f>IF('Consulta1'!G4213="","",'Consulta1'!G4213)</f>
        <v/>
      </c>
      <c r="I121" s="86">
        <f>IF('Consulta1'!H4213="","",'Consulta1'!H4213)</f>
        <v>46291</v>
      </c>
      <c r="J121">
        <f t="shared" si="1"/>
        <v>39</v>
      </c>
      <c r="K121">
        <f>+IF(E121="","",VLOOKUP(E121,CATALOGO!G:I,2,0))</f>
        <v>4</v>
      </c>
      <c r="L121">
        <f>+IF(E121="","",VLOOKUP(E121,CATALOGO!G:I,3,0))</f>
        <v>96</v>
      </c>
      <c r="M121" s="87">
        <f>IF('Consulta1'!I4213="","",'Consulta1'!I4213)</f>
        <v>46298</v>
      </c>
      <c r="N121" s="88" t="str">
        <f>IF('Consulta1'!J4213="","",'Consulta1'!J4213)</f>
        <v>0</v>
      </c>
    </row>
    <row r="122" spans="1:14" ht="18.75" x14ac:dyDescent="0.25">
      <c r="A122" s="82" t="str">
        <f>IF('Consulta1'!A4214="","",'Consulta1'!A4214)</f>
        <v>Chanitos Premium Tarima Americana</v>
      </c>
      <c r="B122" s="82" t="str">
        <f>IF('Consulta1'!B4214="","",'Consulta1'!B4214)</f>
        <v>CPR01103</v>
      </c>
      <c r="C122" s="83" t="str">
        <f>IF('Consulta1'!C4214="","",'Consulta1'!C4214)</f>
        <v>A04083-392609-</v>
      </c>
      <c r="D122" s="84" t="str">
        <f>IF('Consulta1'!D4214="","",'Consulta1'!D4214)</f>
        <v>A04 083 Santa Maria</v>
      </c>
      <c r="E122" s="82" t="str">
        <f>IF('Consulta1'!E4214="","",'Consulta1'!E4214)</f>
        <v>S-MTY</v>
      </c>
      <c r="F122">
        <f>+IF(E122="","",VLOOKUP(E122,CATALOGO!G:L,6,0))</f>
        <v>1</v>
      </c>
      <c r="G122" s="85" t="str">
        <f>IF('Consulta1'!F4214="","",'Consulta1'!F4214)</f>
        <v/>
      </c>
      <c r="H122" s="85" t="str">
        <f>IF('Consulta1'!G4214="","",'Consulta1'!G4214)</f>
        <v/>
      </c>
      <c r="I122" s="86">
        <f>IF('Consulta1'!H4214="","",'Consulta1'!H4214)</f>
        <v>46291</v>
      </c>
      <c r="J122">
        <f t="shared" si="1"/>
        <v>39</v>
      </c>
      <c r="K122">
        <f>+IF(E122="","",VLOOKUP(E122,CATALOGO!G:I,2,0))</f>
        <v>3</v>
      </c>
      <c r="L122">
        <f>+IF(E122="","",VLOOKUP(E122,CATALOGO!G:I,3,0))</f>
        <v>72</v>
      </c>
      <c r="M122" s="87">
        <f>IF('Consulta1'!I4214="","",'Consulta1'!I4214)</f>
        <v>46296</v>
      </c>
      <c r="N122" s="88" t="str">
        <f>IF('Consulta1'!J4214="","",'Consulta1'!J4214)</f>
        <v>0</v>
      </c>
    </row>
    <row r="123" spans="1:14" ht="18.75" x14ac:dyDescent="0.25">
      <c r="A123" s="82" t="str">
        <f>IF('Consulta1'!A4215="","",'Consulta1'!A4215)</f>
        <v>Chanitos Premium Tarima Americana</v>
      </c>
      <c r="B123" s="82" t="str">
        <f>IF('Consulta1'!B4215="","",'Consulta1'!B4215)</f>
        <v>CPR01103</v>
      </c>
      <c r="C123" s="83" t="str">
        <f>IF('Consulta1'!C4215="","",'Consulta1'!C4215)</f>
        <v>A12057-392609-1</v>
      </c>
      <c r="D123" s="84" t="str">
        <f>IF('Consulta1'!D4215="","",'Consulta1'!D4215)</f>
        <v>A12 057 Tiquisate 1</v>
      </c>
      <c r="E123" s="82" t="str">
        <f>IF('Consulta1'!E4215="","",'Consulta1'!E4215)</f>
        <v>S-MTY</v>
      </c>
      <c r="F123">
        <f>+IF(E123="","",VLOOKUP(E123,CATALOGO!G:L,6,0))</f>
        <v>1</v>
      </c>
      <c r="G123" s="85">
        <f>IF('Consulta1'!F4215="","",'Consulta1'!F4215)</f>
        <v>960</v>
      </c>
      <c r="H123" s="85">
        <f>IF('Consulta1'!G4215="","",'Consulta1'!G4215)</f>
        <v>20</v>
      </c>
      <c r="I123" s="86">
        <f>IF('Consulta1'!H4215="","",'Consulta1'!H4215)</f>
        <v>46291</v>
      </c>
      <c r="J123">
        <f t="shared" si="1"/>
        <v>39</v>
      </c>
      <c r="K123">
        <f>+IF(E123="","",VLOOKUP(E123,CATALOGO!G:I,2,0))</f>
        <v>3</v>
      </c>
      <c r="L123">
        <f>+IF(E123="","",VLOOKUP(E123,CATALOGO!G:I,3,0))</f>
        <v>72</v>
      </c>
      <c r="M123" s="87">
        <f>IF('Consulta1'!I4215="","",'Consulta1'!I4215)</f>
        <v>46296</v>
      </c>
      <c r="N123" s="88" t="str">
        <f>IF('Consulta1'!J4215="","",'Consulta1'!J4215)</f>
        <v>43807</v>
      </c>
    </row>
    <row r="124" spans="1:14" ht="18.75" x14ac:dyDescent="0.25">
      <c r="A124" s="82" t="str">
        <f>IF('Consulta1'!A4216="","",'Consulta1'!A4216)</f>
        <v>Chanitos Premium Tarima Americana</v>
      </c>
      <c r="B124" s="82" t="str">
        <f>IF('Consulta1'!B4216="","",'Consulta1'!B4216)</f>
        <v>CPR01103</v>
      </c>
      <c r="C124" s="83" t="str">
        <f>IF('Consulta1'!C4216="","",'Consulta1'!C4216)</f>
        <v>A04083-402809-1</v>
      </c>
      <c r="D124" s="84" t="str">
        <f>IF('Consulta1'!D4216="","",'Consulta1'!D4216)</f>
        <v>A04 083 Santa Maria</v>
      </c>
      <c r="E124" s="82" t="str">
        <f>IF('Consulta1'!E4216="","",'Consulta1'!E4216)</f>
        <v>S-MTY</v>
      </c>
      <c r="F124">
        <f>+IF(E124="","",VLOOKUP(E124,CATALOGO!G:L,6,0))</f>
        <v>1</v>
      </c>
      <c r="G124" s="85">
        <f>IF('Consulta1'!F4216="","",'Consulta1'!F4216)</f>
        <v>960</v>
      </c>
      <c r="H124" s="85">
        <f>IF('Consulta1'!G4216="","",'Consulta1'!G4216)</f>
        <v>20</v>
      </c>
      <c r="I124" s="86">
        <f>IF('Consulta1'!H4216="","",'Consulta1'!H4216)</f>
        <v>46293</v>
      </c>
      <c r="J124">
        <f t="shared" si="1"/>
        <v>40</v>
      </c>
      <c r="K124">
        <f>+IF(E124="","",VLOOKUP(E124,CATALOGO!G:I,2,0))</f>
        <v>3</v>
      </c>
      <c r="L124">
        <f>+IF(E124="","",VLOOKUP(E124,CATALOGO!G:I,3,0))</f>
        <v>72</v>
      </c>
      <c r="M124" s="87">
        <f>IF('Consulta1'!I4216="","",'Consulta1'!I4216)</f>
        <v>46296</v>
      </c>
      <c r="N124" s="88" t="str">
        <f>IF('Consulta1'!J4216="","",'Consulta1'!J4216)</f>
        <v/>
      </c>
    </row>
    <row r="125" spans="1:14" ht="18.75" x14ac:dyDescent="0.25">
      <c r="A125" s="82" t="str">
        <f>IF('Consulta1'!A4217="","",'Consulta1'!A4217)</f>
        <v>Chanitos Premium Tarima Americana</v>
      </c>
      <c r="B125" s="82" t="str">
        <f>IF('Consulta1'!B4217="","",'Consulta1'!B4217)</f>
        <v>CPR01103</v>
      </c>
      <c r="C125" s="83" t="str">
        <f>IF('Consulta1'!C4217="","",'Consulta1'!C4217)</f>
        <v>A01002-402809-1</v>
      </c>
      <c r="D125" s="84" t="str">
        <f>IF('Consulta1'!D4217="","",'Consulta1'!D4217)</f>
        <v>A01 002 Fortaleza</v>
      </c>
      <c r="E125" s="82" t="str">
        <f>IF('Consulta1'!E4217="","",'Consulta1'!E4217)</f>
        <v>S-MTY</v>
      </c>
      <c r="F125">
        <f>+IF(E125="","",VLOOKUP(E125,CATALOGO!G:L,6,0))</f>
        <v>1</v>
      </c>
      <c r="G125" s="85">
        <f>IF('Consulta1'!F4217="","",'Consulta1'!F4217)</f>
        <v>144</v>
      </c>
      <c r="H125" s="85">
        <f>IF('Consulta1'!G4217="","",'Consulta1'!G4217)</f>
        <v>3</v>
      </c>
      <c r="I125" s="86">
        <f>IF('Consulta1'!H4217="","",'Consulta1'!H4217)</f>
        <v>46293</v>
      </c>
      <c r="J125">
        <f t="shared" si="1"/>
        <v>40</v>
      </c>
      <c r="K125">
        <f>+IF(E125="","",VLOOKUP(E125,CATALOGO!G:I,2,0))</f>
        <v>3</v>
      </c>
      <c r="L125">
        <f>+IF(E125="","",VLOOKUP(E125,CATALOGO!G:I,3,0))</f>
        <v>72</v>
      </c>
      <c r="M125" s="87">
        <f>IF('Consulta1'!I4217="","",'Consulta1'!I4217)</f>
        <v>46296</v>
      </c>
      <c r="N125" s="88" t="str">
        <f>IF('Consulta1'!J4217="","",'Consulta1'!J4217)</f>
        <v/>
      </c>
    </row>
    <row r="126" spans="1:14" ht="18.75" x14ac:dyDescent="0.25">
      <c r="A126" s="82" t="str">
        <f>IF('Consulta1'!A4218="","",'Consulta1'!A4218)</f>
        <v>Chanitos Premium EUA Tarima Americana</v>
      </c>
      <c r="B126" s="82" t="str">
        <f>IF('Consulta1'!B4218="","",'Consulta1'!B4218)</f>
        <v>CPR01104</v>
      </c>
      <c r="C126" s="83" t="str">
        <f>IF('Consulta1'!C4218="","",'Consulta1'!C4218)</f>
        <v>A04084-402809-1</v>
      </c>
      <c r="D126" s="84" t="str">
        <f>IF('Consulta1'!D4218="","",'Consulta1'!D4218)</f>
        <v>A04 084 Lisboa</v>
      </c>
      <c r="E126" s="82" t="str">
        <f>IF('Consulta1'!E4218="","",'Consulta1'!E4218)</f>
        <v>McAllen</v>
      </c>
      <c r="F126">
        <f>+IF(E126="","",VLOOKUP(E126,CATALOGO!G:L,6,0))</f>
        <v>8</v>
      </c>
      <c r="G126" s="85">
        <f>IF('Consulta1'!F4218="","",'Consulta1'!F4218)</f>
        <v>576</v>
      </c>
      <c r="H126" s="85">
        <f>IF('Consulta1'!G4218="","",'Consulta1'!G4218)</f>
        <v>12</v>
      </c>
      <c r="I126" s="86">
        <f>IF('Consulta1'!H4218="","",'Consulta1'!H4218)</f>
        <v>46293</v>
      </c>
      <c r="J126">
        <f t="shared" si="1"/>
        <v>40</v>
      </c>
      <c r="K126">
        <f>+IF(E126="","",VLOOKUP(E126,CATALOGO!G:I,2,0))</f>
        <v>3</v>
      </c>
      <c r="L126">
        <f>+IF(E126="","",VLOOKUP(E126,CATALOGO!G:I,3,0))</f>
        <v>72</v>
      </c>
      <c r="M126" s="87">
        <f>IF('Consulta1'!I4218="","",'Consulta1'!I4218)</f>
        <v>46296</v>
      </c>
      <c r="N126" s="88" t="str">
        <f>IF('Consulta1'!J4218="","",'Consulta1'!J4218)</f>
        <v/>
      </c>
    </row>
    <row r="127" spans="1:14" ht="18.75" x14ac:dyDescent="0.25">
      <c r="A127" s="82" t="str">
        <f>IF('Consulta1'!A4219="","",'Consulta1'!A4219)</f>
        <v>Chanitos Premium Tarima Americana</v>
      </c>
      <c r="B127" s="82" t="str">
        <f>IF('Consulta1'!B4219="","",'Consulta1'!B4219)</f>
        <v>CPR01103</v>
      </c>
      <c r="C127" s="83" t="str">
        <f>IF('Consulta1'!C4219="","",'Consulta1'!C4219)</f>
        <v>A01003-402809-1</v>
      </c>
      <c r="D127" s="84" t="str">
        <f>IF('Consulta1'!D4219="","",'Consulta1'!D4219)</f>
        <v>A01 003 Doña Nelly</v>
      </c>
      <c r="E127" s="82" t="str">
        <f>IF('Consulta1'!E4219="","",'Consulta1'!E4219)</f>
        <v>Ciudad Juarez</v>
      </c>
      <c r="F127">
        <f>+IF(E127="","",VLOOKUP(E127,CATALOGO!G:L,6,0))</f>
        <v>1</v>
      </c>
      <c r="G127" s="85">
        <f>IF('Consulta1'!F4219="","",'Consulta1'!F4219)</f>
        <v>960</v>
      </c>
      <c r="H127" s="85">
        <f>IF('Consulta1'!G4219="","",'Consulta1'!G4219)</f>
        <v>20</v>
      </c>
      <c r="I127" s="86">
        <f>IF('Consulta1'!H4219="","",'Consulta1'!H4219)</f>
        <v>46293</v>
      </c>
      <c r="J127">
        <f t="shared" si="1"/>
        <v>40</v>
      </c>
      <c r="K127">
        <f>+IF(E127="","",VLOOKUP(E127,CATALOGO!G:I,2,0))</f>
        <v>4</v>
      </c>
      <c r="L127">
        <f>+IF(E127="","",VLOOKUP(E127,CATALOGO!G:I,3,0))</f>
        <v>96</v>
      </c>
      <c r="M127" s="87">
        <f>IF('Consulta1'!I4219="","",'Consulta1'!I4219)</f>
        <v>46298</v>
      </c>
      <c r="N127" s="88" t="str">
        <f>IF('Consulta1'!J4219="","",'Consulta1'!J4219)</f>
        <v/>
      </c>
    </row>
    <row r="128" spans="1:14" ht="18.75" x14ac:dyDescent="0.25">
      <c r="A128" s="82" t="str">
        <f>IF('Consulta1'!A4220="","",'Consulta1'!A4220)</f>
        <v>Chanitos Premium Tarima Chep</v>
      </c>
      <c r="B128" s="82" t="str">
        <f>IF('Consulta1'!B4220="","",'Consulta1'!B4220)</f>
        <v>CPR01102</v>
      </c>
      <c r="C128" s="83" t="str">
        <f>IF('Consulta1'!C4220="","",'Consulta1'!C4220)</f>
        <v>A01003-402809-1</v>
      </c>
      <c r="D128" s="84" t="str">
        <f>IF('Consulta1'!D4220="","",'Consulta1'!D4220)</f>
        <v>A01 003 Doña Nelly</v>
      </c>
      <c r="E128" s="82" t="str">
        <f>IF('Consulta1'!E4220="","",'Consulta1'!E4220)</f>
        <v>VSA</v>
      </c>
      <c r="F128">
        <f>+IF(E128="","",VLOOKUP(E128,CATALOGO!G:L,6,0))</f>
        <v>6</v>
      </c>
      <c r="G128" s="85">
        <f>IF('Consulta1'!F4220="","",'Consulta1'!F4220)</f>
        <v>480</v>
      </c>
      <c r="H128" s="85">
        <f>IF('Consulta1'!G4220="","",'Consulta1'!G4220)</f>
        <v>10</v>
      </c>
      <c r="I128" s="86">
        <f>IF('Consulta1'!H4220="","",'Consulta1'!H4220)</f>
        <v>46293</v>
      </c>
      <c r="J128">
        <f t="shared" si="1"/>
        <v>40</v>
      </c>
      <c r="K128">
        <f>+IF(E128="","",VLOOKUP(E128,CATALOGO!G:I,2,0))</f>
        <v>1</v>
      </c>
      <c r="L128">
        <f>+IF(E128="","",VLOOKUP(E128,CATALOGO!G:I,3,0))</f>
        <v>24</v>
      </c>
      <c r="M128" s="87">
        <f>IF('Consulta1'!I4220="","",'Consulta1'!I4220)</f>
        <v>46296</v>
      </c>
      <c r="N128" s="88" t="str">
        <f>IF('Consulta1'!J4220="","",'Consulta1'!J4220)</f>
        <v/>
      </c>
    </row>
    <row r="129" spans="1:14" ht="18.75" x14ac:dyDescent="0.25">
      <c r="A129" s="82" t="str">
        <f>IF('Consulta1'!A4221="","",'Consulta1'!A4221)</f>
        <v>Chanitos Plantain 20Kg Tarima Americana</v>
      </c>
      <c r="B129" s="82" t="str">
        <f>IF('Consulta1'!B4221="","",'Consulta1'!B4221)</f>
        <v>CPL08134</v>
      </c>
      <c r="C129" s="83" t="str">
        <f>IF('Consulta1'!C4221="","",'Consulta1'!C4221)</f>
        <v>A35082-402809-1</v>
      </c>
      <c r="D129" s="84" t="str">
        <f>IF('Consulta1'!D4221="","",'Consulta1'!D4221)</f>
        <v>A35 082 Empaque de Macho Ej Libertad</v>
      </c>
      <c r="E129" s="82" t="str">
        <f>IF('Consulta1'!E4221="","",'Consulta1'!E4221)</f>
        <v>Ciudad Juarez</v>
      </c>
      <c r="F129">
        <f>+IF(E129="","",VLOOKUP(E129,CATALOGO!G:L,6,0))</f>
        <v>1</v>
      </c>
      <c r="G129" s="85">
        <f>IF('Consulta1'!F4221="","",'Consulta1'!F4221)</f>
        <v>144</v>
      </c>
      <c r="H129" s="85">
        <f>IF('Consulta1'!G4221="","",'Consulta1'!G4221)</f>
        <v>3</v>
      </c>
      <c r="I129" s="86">
        <f>IF('Consulta1'!H4221="","",'Consulta1'!H4221)</f>
        <v>46293</v>
      </c>
      <c r="J129">
        <f t="shared" si="1"/>
        <v>40</v>
      </c>
      <c r="K129">
        <f>+IF(E129="","",VLOOKUP(E129,CATALOGO!G:I,2,0))</f>
        <v>4</v>
      </c>
      <c r="L129">
        <f>+IF(E129="","",VLOOKUP(E129,CATALOGO!G:I,3,0))</f>
        <v>96</v>
      </c>
      <c r="M129" s="87">
        <f>IF('Consulta1'!I4221="","",'Consulta1'!I4221)</f>
        <v>46298</v>
      </c>
      <c r="N129" s="88" t="str">
        <f>IF('Consulta1'!J4221="","",'Consulta1'!J4221)</f>
        <v/>
      </c>
    </row>
    <row r="130" spans="1:14" ht="18.75" x14ac:dyDescent="0.25">
      <c r="A130" s="82" t="str">
        <f>IF('Consulta1'!A4222="","",'Consulta1'!A4222)</f>
        <v>Chanitos Plantain 20Kg Tarima Chep</v>
      </c>
      <c r="B130" s="82" t="str">
        <f>IF('Consulta1'!B4222="","",'Consulta1'!B4222)</f>
        <v>CPL08141</v>
      </c>
      <c r="C130" s="83" t="str">
        <f>IF('Consulta1'!C4222="","",'Consulta1'!C4222)</f>
        <v>A35082-402809-1</v>
      </c>
      <c r="D130" s="84" t="str">
        <f>IF('Consulta1'!D4222="","",'Consulta1'!D4222)</f>
        <v>A35 082 Empaque de Macho Ej Libertad</v>
      </c>
      <c r="E130" s="82" t="str">
        <f>IF('Consulta1'!E4222="","",'Consulta1'!E4222)</f>
        <v>CEDA</v>
      </c>
      <c r="F130">
        <f>+IF(E130="","",VLOOKUP(E130,CATALOGO!G:L,6,0))</f>
        <v>0</v>
      </c>
      <c r="G130" s="85">
        <f>IF('Consulta1'!F4222="","",'Consulta1'!F4222)</f>
        <v>480</v>
      </c>
      <c r="H130" s="85">
        <f>IF('Consulta1'!G4222="","",'Consulta1'!G4222)</f>
        <v>10</v>
      </c>
      <c r="I130" s="86">
        <f>IF('Consulta1'!H4222="","",'Consulta1'!H4222)</f>
        <v>46293</v>
      </c>
      <c r="J130">
        <f t="shared" si="1"/>
        <v>40</v>
      </c>
      <c r="K130">
        <f>+IF(E130="","",VLOOKUP(E130,CATALOGO!G:I,2,0))</f>
        <v>1.5</v>
      </c>
      <c r="L130">
        <f>+IF(E130="","",VLOOKUP(E130,CATALOGO!G:I,3,0))</f>
        <v>36</v>
      </c>
      <c r="M130" s="87">
        <f>IF('Consulta1'!I4222="","",'Consulta1'!I4222)</f>
        <v>46296</v>
      </c>
      <c r="N130" s="88" t="str">
        <f>IF('Consulta1'!J4222="","",'Consulta1'!J4222)</f>
        <v/>
      </c>
    </row>
    <row r="131" spans="1:14" ht="18.75" x14ac:dyDescent="0.25">
      <c r="A131" s="82" t="str">
        <f>IF('Consulta1'!A4223="","",'Consulta1'!A4223)</f>
        <v>Chiquita</v>
      </c>
      <c r="B131" s="82" t="str">
        <f>IF('Consulta1'!B4223="","",'Consulta1'!B4223)</f>
        <v>PR00001</v>
      </c>
      <c r="C131" s="83" t="str">
        <f>IF('Consulta1'!C4223="","",'Consulta1'!C4223)</f>
        <v>A01001-402809-1</v>
      </c>
      <c r="D131" s="84" t="str">
        <f>IF('Consulta1'!D4223="","",'Consulta1'!D4223)</f>
        <v>A01 001 Marbella</v>
      </c>
      <c r="E131" s="82" t="str">
        <f>IF('Consulta1'!E4223="","",'Consulta1'!E4223)</f>
        <v>Chiquita</v>
      </c>
      <c r="F131">
        <f>+IF(E131="","",VLOOKUP(E131,CATALOGO!G:L,6,0))</f>
        <v>0</v>
      </c>
      <c r="G131" s="85">
        <f>IF('Consulta1'!F4223="","",'Consulta1'!F4223)</f>
        <v>960</v>
      </c>
      <c r="H131" s="85">
        <f>IF('Consulta1'!G4223="","",'Consulta1'!G4223)</f>
        <v>20</v>
      </c>
      <c r="I131" s="86">
        <f>IF('Consulta1'!H4223="","",'Consulta1'!H4223)</f>
        <v>46293</v>
      </c>
      <c r="J131">
        <f t="shared" ref="J131:J194" si="2">+IF(E131="","",WEEKNUM(I131))</f>
        <v>40</v>
      </c>
      <c r="K131">
        <f>+IF(E131="","",VLOOKUP(E131,CATALOGO!G:I,2,0))</f>
        <v>1</v>
      </c>
      <c r="L131">
        <f>+IF(E131="","",VLOOKUP(E131,CATALOGO!G:I,3,0))</f>
        <v>24</v>
      </c>
      <c r="M131" s="87">
        <f>IF('Consulta1'!I4223="","",'Consulta1'!I4223)</f>
        <v>46296</v>
      </c>
      <c r="N131" s="88" t="str">
        <f>IF('Consulta1'!J4223="","",'Consulta1'!J4223)</f>
        <v/>
      </c>
    </row>
    <row r="132" spans="1:14" ht="18.75" x14ac:dyDescent="0.25">
      <c r="A132" s="82" t="str">
        <f>IF('Consulta1'!A4224="","",'Consulta1'!A4224)</f>
        <v>Chanitos Premium Granel</v>
      </c>
      <c r="B132" s="82" t="str">
        <f>IF('Consulta1'!B4224="","",'Consulta1'!B4224)</f>
        <v>CPR01101</v>
      </c>
      <c r="C132" s="83" t="str">
        <f>IF('Consulta1'!C4224="","",'Consulta1'!C4224)</f>
        <v>A01001-402809-1</v>
      </c>
      <c r="D132" s="84" t="str">
        <f>IF('Consulta1'!D4224="","",'Consulta1'!D4224)</f>
        <v>A01 001 Marbella</v>
      </c>
      <c r="E132" s="82" t="str">
        <f>IF('Consulta1'!E4224="","",'Consulta1'!E4224)</f>
        <v>CEDA</v>
      </c>
      <c r="F132">
        <f>+IF(E132="","",VLOOKUP(E132,CATALOGO!G:L,6,0))</f>
        <v>0</v>
      </c>
      <c r="G132" s="85">
        <f>IF('Consulta1'!F4224="","",'Consulta1'!F4224)</f>
        <v>96</v>
      </c>
      <c r="H132" s="85" t="str">
        <f>IF('Consulta1'!G4224="","",'Consulta1'!G4224)</f>
        <v>Granel</v>
      </c>
      <c r="I132" s="86">
        <f>IF('Consulta1'!H4224="","",'Consulta1'!H4224)</f>
        <v>46293</v>
      </c>
      <c r="J132">
        <f t="shared" si="2"/>
        <v>40</v>
      </c>
      <c r="K132">
        <f>+IF(E132="","",VLOOKUP(E132,CATALOGO!G:I,2,0))</f>
        <v>1.5</v>
      </c>
      <c r="L132">
        <f>+IF(E132="","",VLOOKUP(E132,CATALOGO!G:I,3,0))</f>
        <v>36</v>
      </c>
      <c r="M132" s="87">
        <f>IF('Consulta1'!I4224="","",'Consulta1'!I4224)</f>
        <v>46296</v>
      </c>
      <c r="N132" s="88" t="str">
        <f>IF('Consulta1'!J4224="","",'Consulta1'!J4224)</f>
        <v/>
      </c>
    </row>
    <row r="133" spans="1:14" ht="18.75" x14ac:dyDescent="0.25">
      <c r="A133" s="82" t="str">
        <f>IF('Consulta1'!A4225="","",'Consulta1'!A4225)</f>
        <v>Chanitos Premium Tarima Americana</v>
      </c>
      <c r="B133" s="82" t="str">
        <f>IF('Consulta1'!B4225="","",'Consulta1'!B4225)</f>
        <v>CPR01103</v>
      </c>
      <c r="C133" s="83" t="str">
        <f>IF('Consulta1'!C4225="","",'Consulta1'!C4225)</f>
        <v>A01002-402809-1</v>
      </c>
      <c r="D133" s="84" t="str">
        <f>IF('Consulta1'!D4225="","",'Consulta1'!D4225)</f>
        <v>A01 002 Fortaleza</v>
      </c>
      <c r="E133" s="82" t="str">
        <f>IF('Consulta1'!E4225="","",'Consulta1'!E4225)</f>
        <v>Ciudad Juarez</v>
      </c>
      <c r="F133">
        <f>+IF(E133="","",VLOOKUP(E133,CATALOGO!G:L,6,0))</f>
        <v>1</v>
      </c>
      <c r="G133" s="85">
        <f>IF('Consulta1'!F4225="","",'Consulta1'!F4225)</f>
        <v>816</v>
      </c>
      <c r="H133" s="85">
        <f>IF('Consulta1'!G4225="","",'Consulta1'!G4225)</f>
        <v>17</v>
      </c>
      <c r="I133" s="86">
        <f>IF('Consulta1'!H4225="","",'Consulta1'!H4225)</f>
        <v>46293</v>
      </c>
      <c r="J133">
        <f t="shared" si="2"/>
        <v>40</v>
      </c>
      <c r="K133">
        <f>+IF(E133="","",VLOOKUP(E133,CATALOGO!G:I,2,0))</f>
        <v>4</v>
      </c>
      <c r="L133">
        <f>+IF(E133="","",VLOOKUP(E133,CATALOGO!G:I,3,0))</f>
        <v>96</v>
      </c>
      <c r="M133" s="87">
        <f>IF('Consulta1'!I4225="","",'Consulta1'!I4225)</f>
        <v>46298</v>
      </c>
      <c r="N133" s="88" t="str">
        <f>IF('Consulta1'!J4225="","",'Consulta1'!J4225)</f>
        <v/>
      </c>
    </row>
    <row r="134" spans="1:14" ht="18.75" x14ac:dyDescent="0.25">
      <c r="A134" s="82" t="str">
        <f>IF('Consulta1'!A4226="","",'Consulta1'!A4226)</f>
        <v>Chanitos Premium Tarima Chep</v>
      </c>
      <c r="B134" s="82" t="str">
        <f>IF('Consulta1'!B4226="","",'Consulta1'!B4226)</f>
        <v>CPR01102</v>
      </c>
      <c r="C134" s="83" t="str">
        <f>IF('Consulta1'!C4226="","",'Consulta1'!C4226)</f>
        <v>A01002-402809-1</v>
      </c>
      <c r="D134" s="84" t="str">
        <f>IF('Consulta1'!D4226="","",'Consulta1'!D4226)</f>
        <v>A01 002 Fortaleza</v>
      </c>
      <c r="E134" s="82" t="str">
        <f>IF('Consulta1'!E4226="","",'Consulta1'!E4226)</f>
        <v>Chalco</v>
      </c>
      <c r="F134">
        <f>+IF(E134="","",VLOOKUP(E134,CATALOGO!G:L,6,0))</f>
        <v>5</v>
      </c>
      <c r="G134" s="85">
        <f>IF('Consulta1'!F4226="","",'Consulta1'!F4226)</f>
        <v>420</v>
      </c>
      <c r="H134" s="85">
        <f>IF('Consulta1'!G4226="","",'Consulta1'!G4226)</f>
        <v>8.75</v>
      </c>
      <c r="I134" s="86">
        <f>IF('Consulta1'!H4226="","",'Consulta1'!H4226)</f>
        <v>46293</v>
      </c>
      <c r="J134">
        <f t="shared" si="2"/>
        <v>40</v>
      </c>
      <c r="K134">
        <f>+IF(E134="","",VLOOKUP(E134,CATALOGO!G:I,2,0))</f>
        <v>1</v>
      </c>
      <c r="L134">
        <f>+IF(E134="","",VLOOKUP(E134,CATALOGO!G:I,3,0))</f>
        <v>24</v>
      </c>
      <c r="M134" s="87">
        <f>IF('Consulta1'!I4226="","",'Consulta1'!I4226)</f>
        <v>46296</v>
      </c>
      <c r="N134" s="88" t="str">
        <f>IF('Consulta1'!J4226="","",'Consulta1'!J4226)</f>
        <v/>
      </c>
    </row>
    <row r="135" spans="1:14" ht="18.75" x14ac:dyDescent="0.25">
      <c r="A135" s="82" t="str">
        <f>IF('Consulta1'!A4227="","",'Consulta1'!A4227)</f>
        <v>Platano de Chiapas BAE UPC 3237</v>
      </c>
      <c r="B135" s="82" t="str">
        <f>IF('Consulta1'!B4227="","",'Consulta1'!B4227)</f>
        <v>CPR01114</v>
      </c>
      <c r="C135" s="83" t="str">
        <f>IF('Consulta1'!C4227="","",'Consulta1'!C4227)</f>
        <v>A01002-402809-1</v>
      </c>
      <c r="D135" s="84" t="str">
        <f>IF('Consulta1'!D4227="","",'Consulta1'!D4227)</f>
        <v>A01 002 Fortaleza</v>
      </c>
      <c r="E135" s="82" t="str">
        <f>IF('Consulta1'!E4227="","",'Consulta1'!E4227)</f>
        <v>Chalco</v>
      </c>
      <c r="F135">
        <f>+IF(E135="","",VLOOKUP(E135,CATALOGO!G:L,6,0))</f>
        <v>5</v>
      </c>
      <c r="G135" s="85">
        <f>IF('Consulta1'!F4227="","",'Consulta1'!F4227)</f>
        <v>60</v>
      </c>
      <c r="H135" s="85">
        <f>IF('Consulta1'!G4227="","",'Consulta1'!G4227)</f>
        <v>1.25</v>
      </c>
      <c r="I135" s="86">
        <f>IF('Consulta1'!H4227="","",'Consulta1'!H4227)</f>
        <v>46293</v>
      </c>
      <c r="J135">
        <f t="shared" si="2"/>
        <v>40</v>
      </c>
      <c r="K135">
        <f>+IF(E135="","",VLOOKUP(E135,CATALOGO!G:I,2,0))</f>
        <v>1</v>
      </c>
      <c r="L135">
        <f>+IF(E135="","",VLOOKUP(E135,CATALOGO!G:I,3,0))</f>
        <v>24</v>
      </c>
      <c r="M135" s="87">
        <f>IF('Consulta1'!I4227="","",'Consulta1'!I4227)</f>
        <v>46296</v>
      </c>
      <c r="N135" s="88" t="str">
        <f>IF('Consulta1'!J4227="","",'Consulta1'!J4227)</f>
        <v/>
      </c>
    </row>
    <row r="136" spans="1:14" ht="18.75" x14ac:dyDescent="0.25">
      <c r="A136" s="82" t="str">
        <f>IF('Consulta1'!A4228="","",'Consulta1'!A4228)</f>
        <v>Chanitos Premium Tarima Chep</v>
      </c>
      <c r="B136" s="82" t="str">
        <f>IF('Consulta1'!B4228="","",'Consulta1'!B4228)</f>
        <v>CPR01102</v>
      </c>
      <c r="C136" s="83" t="str">
        <f>IF('Consulta1'!C4228="","",'Consulta1'!C4228)</f>
        <v>A01003-402909-1</v>
      </c>
      <c r="D136" s="84" t="str">
        <f>IF('Consulta1'!D4228="","",'Consulta1'!D4228)</f>
        <v>A01 003 Doña Nelly</v>
      </c>
      <c r="E136" s="82" t="str">
        <f>IF('Consulta1'!E4228="","",'Consulta1'!E4228)</f>
        <v>VSA</v>
      </c>
      <c r="F136">
        <f>+IF(E136="","",VLOOKUP(E136,CATALOGO!G:L,6,0))</f>
        <v>6</v>
      </c>
      <c r="G136" s="85">
        <f>IF('Consulta1'!F4228="","",'Consulta1'!F4228)</f>
        <v>432</v>
      </c>
      <c r="H136" s="85">
        <f>IF('Consulta1'!G4228="","",'Consulta1'!G4228)</f>
        <v>9</v>
      </c>
      <c r="I136" s="86">
        <f>IF('Consulta1'!H4228="","",'Consulta1'!H4228)</f>
        <v>46294</v>
      </c>
      <c r="J136">
        <f t="shared" si="2"/>
        <v>40</v>
      </c>
      <c r="K136">
        <f>+IF(E136="","",VLOOKUP(E136,CATALOGO!G:I,2,0))</f>
        <v>1</v>
      </c>
      <c r="L136">
        <f>+IF(E136="","",VLOOKUP(E136,CATALOGO!G:I,3,0))</f>
        <v>24</v>
      </c>
      <c r="M136" s="87">
        <f>IF('Consulta1'!I4228="","",'Consulta1'!I4228)</f>
        <v>46296</v>
      </c>
      <c r="N136" s="88" t="str">
        <f>IF('Consulta1'!J4228="","",'Consulta1'!J4228)</f>
        <v/>
      </c>
    </row>
    <row r="137" spans="1:14" ht="18.75" x14ac:dyDescent="0.25">
      <c r="A137" s="82" t="str">
        <f>IF('Consulta1'!A4229="","",'Consulta1'!A4229)</f>
        <v>Chanitos Premium EUA Tarima Americana</v>
      </c>
      <c r="B137" s="82" t="str">
        <f>IF('Consulta1'!B4229="","",'Consulta1'!B4229)</f>
        <v>CPR01104</v>
      </c>
      <c r="C137" s="83" t="str">
        <f>IF('Consulta1'!C4229="","",'Consulta1'!C4229)</f>
        <v>A01003-402909-1</v>
      </c>
      <c r="D137" s="84" t="str">
        <f>IF('Consulta1'!D4229="","",'Consulta1'!D4229)</f>
        <v>A01 003 Doña Nelly</v>
      </c>
      <c r="E137" s="82" t="str">
        <f>IF('Consulta1'!E4229="","",'Consulta1'!E4229)</f>
        <v>McAllen</v>
      </c>
      <c r="F137">
        <f>+IF(E137="","",VLOOKUP(E137,CATALOGO!G:L,6,0))</f>
        <v>8</v>
      </c>
      <c r="G137" s="85">
        <f>IF('Consulta1'!F4229="","",'Consulta1'!F4229)</f>
        <v>960</v>
      </c>
      <c r="H137" s="85">
        <f>IF('Consulta1'!G4229="","",'Consulta1'!G4229)</f>
        <v>20</v>
      </c>
      <c r="I137" s="86">
        <f>IF('Consulta1'!H4229="","",'Consulta1'!H4229)</f>
        <v>46294</v>
      </c>
      <c r="J137">
        <f t="shared" si="2"/>
        <v>40</v>
      </c>
      <c r="K137">
        <f>+IF(E137="","",VLOOKUP(E137,CATALOGO!G:I,2,0))</f>
        <v>3</v>
      </c>
      <c r="L137">
        <f>+IF(E137="","",VLOOKUP(E137,CATALOGO!G:I,3,0))</f>
        <v>72</v>
      </c>
      <c r="M137" s="87">
        <f>IF('Consulta1'!I4229="","",'Consulta1'!I4229)</f>
        <v>46297</v>
      </c>
      <c r="N137" s="88" t="str">
        <f>IF('Consulta1'!J4229="","",'Consulta1'!J4229)</f>
        <v/>
      </c>
    </row>
    <row r="138" spans="1:14" ht="18.75" x14ac:dyDescent="0.25">
      <c r="A138" s="82" t="str">
        <f>IF('Consulta1'!A4230="","",'Consulta1'!A4230)</f>
        <v>Chanitos Premium Tarima Chep</v>
      </c>
      <c r="B138" s="82" t="str">
        <f>IF('Consulta1'!B4230="","",'Consulta1'!B4230)</f>
        <v>CPR01102</v>
      </c>
      <c r="C138" s="83" t="str">
        <f>IF('Consulta1'!C4230="","",'Consulta1'!C4230)</f>
        <v>A01003-402909-1</v>
      </c>
      <c r="D138" s="84" t="str">
        <f>IF('Consulta1'!D4230="","",'Consulta1'!D4230)</f>
        <v>A01 003 Doña Nelly</v>
      </c>
      <c r="E138" s="82" t="str">
        <f>IF('Consulta1'!E4230="","",'Consulta1'!E4230)</f>
        <v>CEDA</v>
      </c>
      <c r="F138">
        <f>+IF(E138="","",VLOOKUP(E138,CATALOGO!G:L,6,0))</f>
        <v>0</v>
      </c>
      <c r="G138" s="85">
        <f>IF('Consulta1'!F4230="","",'Consulta1'!F4230)</f>
        <v>432</v>
      </c>
      <c r="H138" s="85" t="str">
        <f>IF('Consulta1'!G4230="","",'Consulta1'!G4230)</f>
        <v>Granel</v>
      </c>
      <c r="I138" s="86">
        <f>IF('Consulta1'!H4230="","",'Consulta1'!H4230)</f>
        <v>46294</v>
      </c>
      <c r="J138">
        <f t="shared" si="2"/>
        <v>40</v>
      </c>
      <c r="K138">
        <f>+IF(E138="","",VLOOKUP(E138,CATALOGO!G:I,2,0))</f>
        <v>1.5</v>
      </c>
      <c r="L138">
        <f>+IF(E138="","",VLOOKUP(E138,CATALOGO!G:I,3,0))</f>
        <v>36</v>
      </c>
      <c r="M138" s="87">
        <f>IF('Consulta1'!I4230="","",'Consulta1'!I4230)</f>
        <v>46296</v>
      </c>
      <c r="N138" s="88" t="str">
        <f>IF('Consulta1'!J4230="","",'Consulta1'!J4230)</f>
        <v/>
      </c>
    </row>
    <row r="139" spans="1:14" ht="18.75" x14ac:dyDescent="0.25">
      <c r="A139" s="82" t="str">
        <f>IF('Consulta1'!A4231="","",'Consulta1'!A4231)</f>
        <v>Chanitos Organic Banded Market Side Mexico</v>
      </c>
      <c r="B139" s="82" t="str">
        <f>IF('Consulta1'!B4231="","",'Consulta1'!B4231)</f>
        <v>CRG07128</v>
      </c>
      <c r="C139" s="83" t="str">
        <f>IF('Consulta1'!C4231="","",'Consulta1'!C4231)</f>
        <v>A01002-402909-1</v>
      </c>
      <c r="D139" s="84" t="str">
        <f>IF('Consulta1'!D4231="","",'Consulta1'!D4231)</f>
        <v>A01 002 Fortaleza</v>
      </c>
      <c r="E139" s="82" t="str">
        <f>IF('Consulta1'!E4231="","",'Consulta1'!E4231)</f>
        <v>VSA</v>
      </c>
      <c r="F139">
        <f>+IF(E139="","",VLOOKUP(E139,CATALOGO!G:L,6,0))</f>
        <v>6</v>
      </c>
      <c r="G139" s="85">
        <f>IF('Consulta1'!F4231="","",'Consulta1'!F4231)</f>
        <v>240</v>
      </c>
      <c r="H139" s="85">
        <f>IF('Consulta1'!G4231="","",'Consulta1'!G4231)</f>
        <v>5</v>
      </c>
      <c r="I139" s="86">
        <f>IF('Consulta1'!H4231="","",'Consulta1'!H4231)</f>
        <v>46294</v>
      </c>
      <c r="J139">
        <f t="shared" si="2"/>
        <v>40</v>
      </c>
      <c r="K139">
        <f>+IF(E139="","",VLOOKUP(E139,CATALOGO!G:I,2,0))</f>
        <v>1</v>
      </c>
      <c r="L139">
        <f>+IF(E139="","",VLOOKUP(E139,CATALOGO!G:I,3,0))</f>
        <v>24</v>
      </c>
      <c r="M139" s="87">
        <f>IF('Consulta1'!I4231="","",'Consulta1'!I4231)</f>
        <v>46296</v>
      </c>
      <c r="N139" s="88" t="str">
        <f>IF('Consulta1'!J4231="","",'Consulta1'!J4231)</f>
        <v/>
      </c>
    </row>
    <row r="140" spans="1:14" ht="18.75" x14ac:dyDescent="0.25">
      <c r="A140" s="82" t="str">
        <f>IF('Consulta1'!A4232="","",'Consulta1'!A4232)</f>
        <v>Chanitos Premium Tarima Chep</v>
      </c>
      <c r="B140" s="82" t="str">
        <f>IF('Consulta1'!B4232="","",'Consulta1'!B4232)</f>
        <v>CPR01102</v>
      </c>
      <c r="C140" s="83" t="str">
        <f>IF('Consulta1'!C4232="","",'Consulta1'!C4232)</f>
        <v>A01002-402909-1</v>
      </c>
      <c r="D140" s="84" t="str">
        <f>IF('Consulta1'!D4232="","",'Consulta1'!D4232)</f>
        <v>A01 002 Fortaleza</v>
      </c>
      <c r="E140" s="82" t="str">
        <f>IF('Consulta1'!E4232="","",'Consulta1'!E4232)</f>
        <v>CEDA</v>
      </c>
      <c r="F140">
        <f>+IF(E140="","",VLOOKUP(E140,CATALOGO!G:L,6,0))</f>
        <v>0</v>
      </c>
      <c r="G140" s="85">
        <f>IF('Consulta1'!F4232="","",'Consulta1'!F4232)</f>
        <v>96</v>
      </c>
      <c r="H140" s="85" t="str">
        <f>IF('Consulta1'!G4232="","",'Consulta1'!G4232)</f>
        <v>Granel</v>
      </c>
      <c r="I140" s="86">
        <f>IF('Consulta1'!H4232="","",'Consulta1'!H4232)</f>
        <v>46294</v>
      </c>
      <c r="J140">
        <f t="shared" si="2"/>
        <v>40</v>
      </c>
      <c r="K140">
        <f>+IF(E140="","",VLOOKUP(E140,CATALOGO!G:I,2,0))</f>
        <v>1.5</v>
      </c>
      <c r="L140">
        <f>+IF(E140="","",VLOOKUP(E140,CATALOGO!G:I,3,0))</f>
        <v>36</v>
      </c>
      <c r="M140" s="87">
        <f>IF('Consulta1'!I4232="","",'Consulta1'!I4232)</f>
        <v>46296</v>
      </c>
      <c r="N140" s="88" t="str">
        <f>IF('Consulta1'!J4232="","",'Consulta1'!J4232)</f>
        <v/>
      </c>
    </row>
    <row r="141" spans="1:14" ht="18.75" x14ac:dyDescent="0.25">
      <c r="A141" s="82" t="str">
        <f>IF('Consulta1'!A4233="","",'Consulta1'!A4233)</f>
        <v>Chanitos Premium EUA Tarima Americana</v>
      </c>
      <c r="B141" s="82" t="str">
        <f>IF('Consulta1'!B4233="","",'Consulta1'!B4233)</f>
        <v>CPR01104</v>
      </c>
      <c r="C141" s="83" t="str">
        <f>IF('Consulta1'!C4233="","",'Consulta1'!C4233)</f>
        <v>A04084-402909-1</v>
      </c>
      <c r="D141" s="84" t="str">
        <f>IF('Consulta1'!D4233="","",'Consulta1'!D4233)</f>
        <v>A04 084 Lisboa</v>
      </c>
      <c r="E141" s="82" t="str">
        <f>IF('Consulta1'!E4233="","",'Consulta1'!E4233)</f>
        <v>McAllen</v>
      </c>
      <c r="F141">
        <f>+IF(E141="","",VLOOKUP(E141,CATALOGO!G:L,6,0))</f>
        <v>8</v>
      </c>
      <c r="G141" s="85">
        <f>IF('Consulta1'!F4233="","",'Consulta1'!F4233)</f>
        <v>720</v>
      </c>
      <c r="H141" s="85">
        <f>IF('Consulta1'!G4233="","",'Consulta1'!G4233)</f>
        <v>15</v>
      </c>
      <c r="I141" s="86">
        <f>IF('Consulta1'!H4233="","",'Consulta1'!H4233)</f>
        <v>46294</v>
      </c>
      <c r="J141">
        <f t="shared" si="2"/>
        <v>40</v>
      </c>
      <c r="K141">
        <f>+IF(E141="","",VLOOKUP(E141,CATALOGO!G:I,2,0))</f>
        <v>3</v>
      </c>
      <c r="L141">
        <f>+IF(E141="","",VLOOKUP(E141,CATALOGO!G:I,3,0))</f>
        <v>72</v>
      </c>
      <c r="M141" s="87">
        <f>IF('Consulta1'!I4233="","",'Consulta1'!I4233)</f>
        <v>46298</v>
      </c>
      <c r="N141" s="88" t="str">
        <f>IF('Consulta1'!J4233="","",'Consulta1'!J4233)</f>
        <v/>
      </c>
    </row>
    <row r="142" spans="1:14" ht="18.75" x14ac:dyDescent="0.25">
      <c r="A142" s="82" t="str">
        <f>IF('Consulta1'!A4234="","",'Consulta1'!A4234)</f>
        <v>Chanitos Cha Cha Cha 22XU  CP34 Mar Kodawari</v>
      </c>
      <c r="B142" s="82" t="str">
        <f>IF('Consulta1'!B4234="","",'Consulta1'!B4234)</f>
        <v>CPR03119</v>
      </c>
      <c r="C142" s="83" t="str">
        <f>IF('Consulta1'!C4234="","",'Consulta1'!C4234)</f>
        <v>A01001-402909-1</v>
      </c>
      <c r="D142" s="84" t="str">
        <f>IF('Consulta1'!D4234="","",'Consulta1'!D4234)</f>
        <v>A01 001 Marbella</v>
      </c>
      <c r="E142" s="82" t="str">
        <f>IF('Consulta1'!E4234="","",'Consulta1'!E4234)</f>
        <v>Japon</v>
      </c>
      <c r="F142">
        <f>+IF(E142="","",VLOOKUP(E142,CATALOGO!G:L,6,0))</f>
        <v>0</v>
      </c>
      <c r="G142" s="85">
        <f>IF('Consulta1'!F4234="","",'Consulta1'!F4234)</f>
        <v>324</v>
      </c>
      <c r="H142" s="85">
        <f>IF('Consulta1'!G4234="","",'Consulta1'!G4234)</f>
        <v>6</v>
      </c>
      <c r="I142" s="86">
        <f>IF('Consulta1'!H4234="","",'Consulta1'!H4234)</f>
        <v>46294</v>
      </c>
      <c r="J142">
        <f t="shared" si="2"/>
        <v>40</v>
      </c>
      <c r="K142">
        <f>+IF(E142="","",VLOOKUP(E142,CATALOGO!G:I,2,0))</f>
        <v>2</v>
      </c>
      <c r="L142">
        <f>+IF(E142="","",VLOOKUP(E142,CATALOGO!G:I,3,0))</f>
        <v>48</v>
      </c>
      <c r="M142" s="87">
        <f>IF('Consulta1'!I4234="","",'Consulta1'!I4234)</f>
        <v>46298</v>
      </c>
      <c r="N142" s="88" t="str">
        <f>IF('Consulta1'!J4234="","",'Consulta1'!J4234)</f>
        <v/>
      </c>
    </row>
    <row r="143" spans="1:14" ht="18.75" x14ac:dyDescent="0.25">
      <c r="A143" s="82" t="str">
        <f>IF('Consulta1'!A4235="","",'Consulta1'!A4235)</f>
        <v>Chanitos Cha Cha Cha 22XU CP27 Mar Kodawari</v>
      </c>
      <c r="B143" s="82" t="str">
        <f>IF('Consulta1'!B4235="","",'Consulta1'!B4235)</f>
        <v>CPR03124</v>
      </c>
      <c r="C143" s="83" t="str">
        <f>IF('Consulta1'!C4235="","",'Consulta1'!C4235)</f>
        <v>A01001-402909-1</v>
      </c>
      <c r="D143" s="84" t="str">
        <f>IF('Consulta1'!D4235="","",'Consulta1'!D4235)</f>
        <v>A01 001 Marbella</v>
      </c>
      <c r="E143" s="82" t="str">
        <f>IF('Consulta1'!E4235="","",'Consulta1'!E4235)</f>
        <v>Japon</v>
      </c>
      <c r="F143">
        <f>+IF(E143="","",VLOOKUP(E143,CATALOGO!G:L,6,0))</f>
        <v>0</v>
      </c>
      <c r="G143" s="85">
        <f>IF('Consulta1'!F4235="","",'Consulta1'!F4235)</f>
        <v>756</v>
      </c>
      <c r="H143" s="85">
        <f>IF('Consulta1'!G4235="","",'Consulta1'!G4235)</f>
        <v>14</v>
      </c>
      <c r="I143" s="86">
        <f>IF('Consulta1'!H4235="","",'Consulta1'!H4235)</f>
        <v>46294</v>
      </c>
      <c r="J143">
        <f t="shared" si="2"/>
        <v>40</v>
      </c>
      <c r="K143">
        <f>+IF(E143="","",VLOOKUP(E143,CATALOGO!G:I,2,0))</f>
        <v>2</v>
      </c>
      <c r="L143">
        <f>+IF(E143="","",VLOOKUP(E143,CATALOGO!G:I,3,0))</f>
        <v>48</v>
      </c>
      <c r="M143" s="87">
        <f>IF('Consulta1'!I4235="","",'Consulta1'!I4235)</f>
        <v>46298</v>
      </c>
      <c r="N143" s="88" t="str">
        <f>IF('Consulta1'!J4235="","",'Consulta1'!J4235)</f>
        <v/>
      </c>
    </row>
    <row r="144" spans="1:14" ht="18.75" x14ac:dyDescent="0.25">
      <c r="A144" s="82" t="str">
        <f>IF('Consulta1'!A4236="","",'Consulta1'!A4236)</f>
        <v>Chanitos Premium Granel</v>
      </c>
      <c r="B144" s="82" t="str">
        <f>IF('Consulta1'!B4236="","",'Consulta1'!B4236)</f>
        <v>CPR01101</v>
      </c>
      <c r="C144" s="83" t="str">
        <f>IF('Consulta1'!C4236="","",'Consulta1'!C4236)</f>
        <v>A01001-402909-1</v>
      </c>
      <c r="D144" s="84" t="str">
        <f>IF('Consulta1'!D4236="","",'Consulta1'!D4236)</f>
        <v>A01 001 Marbella</v>
      </c>
      <c r="E144" s="82" t="str">
        <f>IF('Consulta1'!E4236="","",'Consulta1'!E4236)</f>
        <v>CEDA</v>
      </c>
      <c r="F144">
        <f>+IF(E144="","",VLOOKUP(E144,CATALOGO!G:L,6,0))</f>
        <v>0</v>
      </c>
      <c r="G144" s="85">
        <f>IF('Consulta1'!F4236="","",'Consulta1'!F4236)</f>
        <v>48</v>
      </c>
      <c r="H144" s="85" t="str">
        <f>IF('Consulta1'!G4236="","",'Consulta1'!G4236)</f>
        <v>Granel</v>
      </c>
      <c r="I144" s="86">
        <f>IF('Consulta1'!H4236="","",'Consulta1'!H4236)</f>
        <v>46294</v>
      </c>
      <c r="J144">
        <f t="shared" si="2"/>
        <v>40</v>
      </c>
      <c r="K144">
        <f>+IF(E144="","",VLOOKUP(E144,CATALOGO!G:I,2,0))</f>
        <v>1.5</v>
      </c>
      <c r="L144">
        <f>+IF(E144="","",VLOOKUP(E144,CATALOGO!G:I,3,0))</f>
        <v>36</v>
      </c>
      <c r="M144" s="87">
        <f>IF('Consulta1'!I4236="","",'Consulta1'!I4236)</f>
        <v>46296</v>
      </c>
      <c r="N144" s="88" t="str">
        <f>IF('Consulta1'!J4236="","",'Consulta1'!J4236)</f>
        <v/>
      </c>
    </row>
    <row r="145" spans="1:14" ht="18.75" x14ac:dyDescent="0.25">
      <c r="A145" s="82" t="str">
        <f>IF('Consulta1'!A4237="","",'Consulta1'!A4237)</f>
        <v>Chanitos Premium Tarima Americana</v>
      </c>
      <c r="B145" s="82" t="str">
        <f>IF('Consulta1'!B4237="","",'Consulta1'!B4237)</f>
        <v>CPR01103</v>
      </c>
      <c r="C145" s="83" t="str">
        <f>IF('Consulta1'!C4237="","",'Consulta1'!C4237)</f>
        <v>A12057-402909-1</v>
      </c>
      <c r="D145" s="84" t="str">
        <f>IF('Consulta1'!D4237="","",'Consulta1'!D4237)</f>
        <v>A12 057 Tiquisate 1</v>
      </c>
      <c r="E145" s="82" t="str">
        <f>IF('Consulta1'!E4237="","",'Consulta1'!E4237)</f>
        <v>Ciudad Juarez</v>
      </c>
      <c r="F145">
        <f>+IF(E145="","",VLOOKUP(E145,CATALOGO!G:L,6,0))</f>
        <v>1</v>
      </c>
      <c r="G145" s="85">
        <f>IF('Consulta1'!F4237="","",'Consulta1'!F4237)</f>
        <v>960</v>
      </c>
      <c r="H145" s="85">
        <f>IF('Consulta1'!G4237="","",'Consulta1'!G4237)</f>
        <v>24</v>
      </c>
      <c r="I145" s="86">
        <f>IF('Consulta1'!H4237="","",'Consulta1'!H4237)</f>
        <v>46294</v>
      </c>
      <c r="J145">
        <f t="shared" si="2"/>
        <v>40</v>
      </c>
      <c r="K145">
        <f>+IF(E145="","",VLOOKUP(E145,CATALOGO!G:I,2,0))</f>
        <v>4</v>
      </c>
      <c r="L145">
        <f>+IF(E145="","",VLOOKUP(E145,CATALOGO!G:I,3,0))</f>
        <v>96</v>
      </c>
      <c r="M145" s="87">
        <f>IF('Consulta1'!I4237="","",'Consulta1'!I4237)</f>
        <v>46300</v>
      </c>
      <c r="N145" s="88" t="str">
        <f>IF('Consulta1'!J4237="","",'Consulta1'!J4237)</f>
        <v/>
      </c>
    </row>
    <row r="146" spans="1:14" ht="18.75" x14ac:dyDescent="0.25">
      <c r="A146" s="82" t="str">
        <f>IF('Consulta1'!A4238="","",'Consulta1'!A4238)</f>
        <v>Chanitos Premium Tarima Americana</v>
      </c>
      <c r="B146" s="82" t="str">
        <f>IF('Consulta1'!B4238="","",'Consulta1'!B4238)</f>
        <v>CPR01103</v>
      </c>
      <c r="C146" s="83" t="str">
        <f>IF('Consulta1'!C4238="","",'Consulta1'!C4238)</f>
        <v>A04039-402909-1</v>
      </c>
      <c r="D146" s="84" t="str">
        <f>IF('Consulta1'!D4238="","",'Consulta1'!D4238)</f>
        <v>A04 039 San Jose Morelia Nava</v>
      </c>
      <c r="E146" s="82" t="str">
        <f>IF('Consulta1'!E4238="","",'Consulta1'!E4238)</f>
        <v>Ciudad Juarez</v>
      </c>
      <c r="F146">
        <f>+IF(E146="","",VLOOKUP(E146,CATALOGO!G:L,6,0))</f>
        <v>1</v>
      </c>
      <c r="G146" s="85">
        <f>IF('Consulta1'!F4238="","",'Consulta1'!F4238)</f>
        <v>1152</v>
      </c>
      <c r="H146" s="85">
        <f>IF('Consulta1'!G4238="","",'Consulta1'!G4238)</f>
        <v>24</v>
      </c>
      <c r="I146" s="86">
        <f>IF('Consulta1'!H4238="","",'Consulta1'!H4238)</f>
        <v>46294</v>
      </c>
      <c r="J146">
        <f t="shared" si="2"/>
        <v>40</v>
      </c>
      <c r="K146">
        <f>+IF(E146="","",VLOOKUP(E146,CATALOGO!G:I,2,0))</f>
        <v>4</v>
      </c>
      <c r="L146">
        <f>+IF(E146="","",VLOOKUP(E146,CATALOGO!G:I,3,0))</f>
        <v>96</v>
      </c>
      <c r="M146" s="87">
        <f>IF('Consulta1'!I4238="","",'Consulta1'!I4238)</f>
        <v>46300</v>
      </c>
      <c r="N146" s="88" t="str">
        <f>IF('Consulta1'!J4238="","",'Consulta1'!J4238)</f>
        <v/>
      </c>
    </row>
    <row r="147" spans="1:14" ht="18.75" x14ac:dyDescent="0.25">
      <c r="A147" s="82" t="str">
        <f>IF('Consulta1'!A4239="","",'Consulta1'!A4239)</f>
        <v>Chanitos Premium EUA Tarima Americana</v>
      </c>
      <c r="B147" s="82" t="str">
        <f>IF('Consulta1'!B4239="","",'Consulta1'!B4239)</f>
        <v>CPR01104</v>
      </c>
      <c r="C147" s="83" t="str">
        <f>IF('Consulta1'!C4239="","",'Consulta1'!C4239)</f>
        <v>A04084-403009-1</v>
      </c>
      <c r="D147" s="84" t="str">
        <f>IF('Consulta1'!D4239="","",'Consulta1'!D4239)</f>
        <v>A04 084 Lisboa</v>
      </c>
      <c r="E147" s="82" t="str">
        <f>IF('Consulta1'!E4239="","",'Consulta1'!E4239)</f>
        <v>McAllen</v>
      </c>
      <c r="F147">
        <f>+IF(E147="","",VLOOKUP(E147,CATALOGO!G:L,6,0))</f>
        <v>8</v>
      </c>
      <c r="G147" s="85">
        <f>IF('Consulta1'!F4239="","",'Consulta1'!F4239)</f>
        <v>240</v>
      </c>
      <c r="H147" s="85">
        <f>IF('Consulta1'!G4239="","",'Consulta1'!G4239)</f>
        <v>5</v>
      </c>
      <c r="I147" s="86">
        <f>IF('Consulta1'!H4239="","",'Consulta1'!H4239)</f>
        <v>46295</v>
      </c>
      <c r="J147">
        <f t="shared" si="2"/>
        <v>40</v>
      </c>
      <c r="K147">
        <f>+IF(E147="","",VLOOKUP(E147,CATALOGO!G:I,2,0))</f>
        <v>3</v>
      </c>
      <c r="L147">
        <f>+IF(E147="","",VLOOKUP(E147,CATALOGO!G:I,3,0))</f>
        <v>72</v>
      </c>
      <c r="M147" s="87">
        <f>IF('Consulta1'!I4239="","",'Consulta1'!I4239)</f>
        <v>46298</v>
      </c>
      <c r="N147" s="88" t="str">
        <f>IF('Consulta1'!J4239="","",'Consulta1'!J4239)</f>
        <v/>
      </c>
    </row>
    <row r="148" spans="1:14" ht="18.75" x14ac:dyDescent="0.25">
      <c r="A148" s="82" t="str">
        <f>IF('Consulta1'!A4240="","",'Consulta1'!A4240)</f>
        <v>Chanitos Premium Tarima Chep</v>
      </c>
      <c r="B148" s="82" t="str">
        <f>IF('Consulta1'!B4240="","",'Consulta1'!B4240)</f>
        <v>CPR01102</v>
      </c>
      <c r="C148" s="83" t="str">
        <f>IF('Consulta1'!C4240="","",'Consulta1'!C4240)</f>
        <v>A04084-403009-1</v>
      </c>
      <c r="D148" s="84" t="str">
        <f>IF('Consulta1'!D4240="","",'Consulta1'!D4240)</f>
        <v>A04 084 Lisboa</v>
      </c>
      <c r="E148" s="82" t="str">
        <f>IF('Consulta1'!E4240="","",'Consulta1'!E4240)</f>
        <v>VSA</v>
      </c>
      <c r="F148">
        <f>+IF(E148="","",VLOOKUP(E148,CATALOGO!G:L,6,0))</f>
        <v>6</v>
      </c>
      <c r="G148" s="85">
        <f>IF('Consulta1'!F4240="","",'Consulta1'!F4240)</f>
        <v>480</v>
      </c>
      <c r="H148" s="85">
        <f>IF('Consulta1'!G4240="","",'Consulta1'!G4240)</f>
        <v>10</v>
      </c>
      <c r="I148" s="86">
        <f>IF('Consulta1'!H4240="","",'Consulta1'!H4240)</f>
        <v>46295</v>
      </c>
      <c r="J148">
        <f t="shared" si="2"/>
        <v>40</v>
      </c>
      <c r="K148">
        <f>+IF(E148="","",VLOOKUP(E148,CATALOGO!G:I,2,0))</f>
        <v>1</v>
      </c>
      <c r="L148">
        <f>+IF(E148="","",VLOOKUP(E148,CATALOGO!G:I,3,0))</f>
        <v>24</v>
      </c>
      <c r="M148" s="87">
        <f>IF('Consulta1'!I4240="","",'Consulta1'!I4240)</f>
        <v>46298</v>
      </c>
      <c r="N148" s="88" t="str">
        <f>IF('Consulta1'!J4240="","",'Consulta1'!J4240)</f>
        <v/>
      </c>
    </row>
    <row r="149" spans="1:14" ht="18.75" x14ac:dyDescent="0.25">
      <c r="A149" s="82" t="str">
        <f>IF('Consulta1'!A4241="","",'Consulta1'!A4241)</f>
        <v>Chanitos Premium Tarima Americana</v>
      </c>
      <c r="B149" s="82" t="str">
        <f>IF('Consulta1'!B4241="","",'Consulta1'!B4241)</f>
        <v>CPR01103</v>
      </c>
      <c r="C149" s="83" t="str">
        <f>IF('Consulta1'!C4241="","",'Consulta1'!C4241)</f>
        <v>A04039-403009-1</v>
      </c>
      <c r="D149" s="84" t="str">
        <f>IF('Consulta1'!D4241="","",'Consulta1'!D4241)</f>
        <v>A04 039 San Jose Morelia Nava</v>
      </c>
      <c r="E149" s="82" t="str">
        <f>IF('Consulta1'!E4241="","",'Consulta1'!E4241)</f>
        <v>Ciudad Juarez</v>
      </c>
      <c r="F149">
        <f>+IF(E149="","",VLOOKUP(E149,CATALOGO!G:L,6,0))</f>
        <v>1</v>
      </c>
      <c r="G149" s="85">
        <f>IF('Consulta1'!F4241="","",'Consulta1'!F4241)</f>
        <v>960</v>
      </c>
      <c r="H149" s="85">
        <f>IF('Consulta1'!G4241="","",'Consulta1'!G4241)</f>
        <v>20</v>
      </c>
      <c r="I149" s="86">
        <f>IF('Consulta1'!H4241="","",'Consulta1'!H4241)</f>
        <v>46295</v>
      </c>
      <c r="J149">
        <f t="shared" si="2"/>
        <v>40</v>
      </c>
      <c r="K149">
        <f>+IF(E149="","",VLOOKUP(E149,CATALOGO!G:I,2,0))</f>
        <v>4</v>
      </c>
      <c r="L149">
        <f>+IF(E149="","",VLOOKUP(E149,CATALOGO!G:I,3,0))</f>
        <v>96</v>
      </c>
      <c r="M149" s="87">
        <f>IF('Consulta1'!I4241="","",'Consulta1'!I4241)</f>
        <v>46302</v>
      </c>
      <c r="N149" s="88" t="str">
        <f>IF('Consulta1'!J4241="","",'Consulta1'!J4241)</f>
        <v/>
      </c>
    </row>
    <row r="150" spans="1:14" ht="18.75" x14ac:dyDescent="0.25">
      <c r="A150" s="82" t="str">
        <f>IF('Consulta1'!A4242="","",'Consulta1'!A4242)</f>
        <v>Chanitos Premium EUA Tarima Americana</v>
      </c>
      <c r="B150" s="82" t="str">
        <f>IF('Consulta1'!B4242="","",'Consulta1'!B4242)</f>
        <v>CPR01104</v>
      </c>
      <c r="C150" s="83" t="str">
        <f>IF('Consulta1'!C4242="","",'Consulta1'!C4242)</f>
        <v>A04039-403009-1</v>
      </c>
      <c r="D150" s="84" t="str">
        <f>IF('Consulta1'!D4242="","",'Consulta1'!D4242)</f>
        <v>A04 039 San Jose Morelia Nava</v>
      </c>
      <c r="E150" s="82" t="str">
        <f>IF('Consulta1'!E4242="","",'Consulta1'!E4242)</f>
        <v>McAllen</v>
      </c>
      <c r="F150">
        <f>+IF(E150="","",VLOOKUP(E150,CATALOGO!G:L,6,0))</f>
        <v>8</v>
      </c>
      <c r="G150" s="85">
        <f>IF('Consulta1'!F4242="","",'Consulta1'!F4242)</f>
        <v>480</v>
      </c>
      <c r="H150" s="85">
        <f>IF('Consulta1'!G4242="","",'Consulta1'!G4242)</f>
        <v>10</v>
      </c>
      <c r="I150" s="86">
        <f>IF('Consulta1'!H4242="","",'Consulta1'!H4242)</f>
        <v>46295</v>
      </c>
      <c r="J150">
        <f t="shared" si="2"/>
        <v>40</v>
      </c>
      <c r="K150">
        <f>+IF(E150="","",VLOOKUP(E150,CATALOGO!G:I,2,0))</f>
        <v>3</v>
      </c>
      <c r="L150">
        <f>+IF(E150="","",VLOOKUP(E150,CATALOGO!G:I,3,0))</f>
        <v>72</v>
      </c>
      <c r="M150" s="87">
        <f>IF('Consulta1'!I4242="","",'Consulta1'!I4242)</f>
        <v>46300</v>
      </c>
      <c r="N150" s="88" t="str">
        <f>IF('Consulta1'!J4242="","",'Consulta1'!J4242)</f>
        <v/>
      </c>
    </row>
    <row r="151" spans="1:14" ht="18.75" x14ac:dyDescent="0.25">
      <c r="A151" s="82" t="str">
        <f>IF('Consulta1'!A4243="","",'Consulta1'!A4243)</f>
        <v>Chanitos Premium Tarima Chep</v>
      </c>
      <c r="B151" s="82" t="str">
        <f>IF('Consulta1'!B4243="","",'Consulta1'!B4243)</f>
        <v>CPR01102</v>
      </c>
      <c r="C151" s="83" t="str">
        <f>IF('Consulta1'!C4243="","",'Consulta1'!C4243)</f>
        <v>A01001-403009-1</v>
      </c>
      <c r="D151" s="84" t="str">
        <f>IF('Consulta1'!D4243="","",'Consulta1'!D4243)</f>
        <v>A01 001 Marbella</v>
      </c>
      <c r="E151" s="82" t="str">
        <f>IF('Consulta1'!E4243="","",'Consulta1'!E4243)</f>
        <v>VSA</v>
      </c>
      <c r="F151">
        <f>+IF(E151="","",VLOOKUP(E151,CATALOGO!G:L,6,0))</f>
        <v>6</v>
      </c>
      <c r="G151" s="85">
        <f>IF('Consulta1'!F4243="","",'Consulta1'!F4243)</f>
        <v>432</v>
      </c>
      <c r="H151" s="85">
        <f>IF('Consulta1'!G4243="","",'Consulta1'!G4243)</f>
        <v>9</v>
      </c>
      <c r="I151" s="86">
        <f>IF('Consulta1'!H4243="","",'Consulta1'!H4243)</f>
        <v>46295</v>
      </c>
      <c r="J151">
        <f t="shared" si="2"/>
        <v>40</v>
      </c>
      <c r="K151">
        <f>+IF(E151="","",VLOOKUP(E151,CATALOGO!G:I,2,0))</f>
        <v>1</v>
      </c>
      <c r="L151">
        <f>+IF(E151="","",VLOOKUP(E151,CATALOGO!G:I,3,0))</f>
        <v>24</v>
      </c>
      <c r="M151" s="87">
        <f>IF('Consulta1'!I4243="","",'Consulta1'!I4243)</f>
        <v>46298</v>
      </c>
      <c r="N151" s="88" t="str">
        <f>IF('Consulta1'!J4243="","",'Consulta1'!J4243)</f>
        <v/>
      </c>
    </row>
    <row r="152" spans="1:14" ht="18.75" x14ac:dyDescent="0.25">
      <c r="A152" s="82" t="str">
        <f>IF('Consulta1'!A4244="","",'Consulta1'!A4244)</f>
        <v>Chanitos Premium EUA Tarima Americana</v>
      </c>
      <c r="B152" s="82" t="str">
        <f>IF('Consulta1'!B4244="","",'Consulta1'!B4244)</f>
        <v>CPR01104</v>
      </c>
      <c r="C152" s="83" t="str">
        <f>IF('Consulta1'!C4244="","",'Consulta1'!C4244)</f>
        <v>A01001-403009-1</v>
      </c>
      <c r="D152" s="84" t="str">
        <f>IF('Consulta1'!D4244="","",'Consulta1'!D4244)</f>
        <v>A01 001 Marbella</v>
      </c>
      <c r="E152" s="82" t="str">
        <f>IF('Consulta1'!E4244="","",'Consulta1'!E4244)</f>
        <v>McAllen</v>
      </c>
      <c r="F152">
        <f>+IF(E152="","",VLOOKUP(E152,CATALOGO!G:L,6,0))</f>
        <v>8</v>
      </c>
      <c r="G152" s="85">
        <f>IF('Consulta1'!F4244="","",'Consulta1'!F4244)</f>
        <v>960</v>
      </c>
      <c r="H152" s="85">
        <f>IF('Consulta1'!G4244="","",'Consulta1'!G4244)</f>
        <v>20</v>
      </c>
      <c r="I152" s="86">
        <f>IF('Consulta1'!H4244="","",'Consulta1'!H4244)</f>
        <v>46295</v>
      </c>
      <c r="J152">
        <f t="shared" si="2"/>
        <v>40</v>
      </c>
      <c r="K152">
        <f>+IF(E152="","",VLOOKUP(E152,CATALOGO!G:I,2,0))</f>
        <v>3</v>
      </c>
      <c r="L152">
        <f>+IF(E152="","",VLOOKUP(E152,CATALOGO!G:I,3,0))</f>
        <v>72</v>
      </c>
      <c r="M152" s="87">
        <f>IF('Consulta1'!I4244="","",'Consulta1'!I4244)</f>
        <v>46300</v>
      </c>
      <c r="N152" s="88" t="str">
        <f>IF('Consulta1'!J4244="","",'Consulta1'!J4244)</f>
        <v/>
      </c>
    </row>
    <row r="153" spans="1:14" ht="18.75" x14ac:dyDescent="0.25">
      <c r="A153" s="82" t="str">
        <f>IF('Consulta1'!A4245="","",'Consulta1'!A4245)</f>
        <v>Chanitos Organic Banded Market Side Mexico</v>
      </c>
      <c r="B153" s="82" t="str">
        <f>IF('Consulta1'!B4245="","",'Consulta1'!B4245)</f>
        <v>CRG07128</v>
      </c>
      <c r="C153" s="83" t="str">
        <f>IF('Consulta1'!C4245="","",'Consulta1'!C4245)</f>
        <v>A01002-403009-1</v>
      </c>
      <c r="D153" s="84" t="str">
        <f>IF('Consulta1'!D4245="","",'Consulta1'!D4245)</f>
        <v>A01 002 Fortaleza</v>
      </c>
      <c r="E153" s="82" t="str">
        <f>IF('Consulta1'!E4245="","",'Consulta1'!E4245)</f>
        <v>VSA</v>
      </c>
      <c r="F153">
        <f>+IF(E153="","",VLOOKUP(E153,CATALOGO!G:L,6,0))</f>
        <v>6</v>
      </c>
      <c r="G153" s="85">
        <f>IF('Consulta1'!F4245="","",'Consulta1'!F4245)</f>
        <v>240</v>
      </c>
      <c r="H153" s="85">
        <f>IF('Consulta1'!G4245="","",'Consulta1'!G4245)</f>
        <v>5</v>
      </c>
      <c r="I153" s="86">
        <f>IF('Consulta1'!H4245="","",'Consulta1'!H4245)</f>
        <v>46295</v>
      </c>
      <c r="J153">
        <f t="shared" si="2"/>
        <v>40</v>
      </c>
      <c r="K153">
        <f>+IF(E153="","",VLOOKUP(E153,CATALOGO!G:I,2,0))</f>
        <v>1</v>
      </c>
      <c r="L153">
        <f>+IF(E153="","",VLOOKUP(E153,CATALOGO!G:I,3,0))</f>
        <v>24</v>
      </c>
      <c r="M153" s="87">
        <f>IF('Consulta1'!I4245="","",'Consulta1'!I4245)</f>
        <v>46298</v>
      </c>
      <c r="N153" s="88" t="str">
        <f>IF('Consulta1'!J4245="","",'Consulta1'!J4245)</f>
        <v/>
      </c>
    </row>
    <row r="154" spans="1:14" ht="18.75" x14ac:dyDescent="0.25">
      <c r="A154" s="82" t="str">
        <f>IF('Consulta1'!A4246="","",'Consulta1'!A4246)</f>
        <v>Chanitos Plantain 20Kg Tarima Chep</v>
      </c>
      <c r="B154" s="82" t="str">
        <f>IF('Consulta1'!B4246="","",'Consulta1'!B4246)</f>
        <v>CPL08141</v>
      </c>
      <c r="C154" s="83" t="str">
        <f>IF('Consulta1'!C4246="","",'Consulta1'!C4246)</f>
        <v>A41100-400110-1</v>
      </c>
      <c r="D154" s="84" t="str">
        <f>IF('Consulta1'!D4246="","",'Consulta1'!D4246)</f>
        <v>A41 100 Doña Lupe JV</v>
      </c>
      <c r="E154" s="82" t="str">
        <f>IF('Consulta1'!E4246="","",'Consulta1'!E4246)</f>
        <v>CEDA</v>
      </c>
      <c r="F154">
        <f>+IF(E154="","",VLOOKUP(E154,CATALOGO!G:L,6,0))</f>
        <v>0</v>
      </c>
      <c r="G154" s="85">
        <f>IF('Consulta1'!F4246="","",'Consulta1'!F4246)</f>
        <v>480</v>
      </c>
      <c r="H154" s="85">
        <f>IF('Consulta1'!G4246="","",'Consulta1'!G4246)</f>
        <v>10</v>
      </c>
      <c r="I154" s="86">
        <f>IF('Consulta1'!H4246="","",'Consulta1'!H4246)</f>
        <v>46296</v>
      </c>
      <c r="J154">
        <f t="shared" si="2"/>
        <v>40</v>
      </c>
      <c r="K154">
        <f>+IF(E154="","",VLOOKUP(E154,CATALOGO!G:I,2,0))</f>
        <v>1.5</v>
      </c>
      <c r="L154">
        <f>+IF(E154="","",VLOOKUP(E154,CATALOGO!G:I,3,0))</f>
        <v>36</v>
      </c>
      <c r="M154" s="87">
        <f>IF('Consulta1'!I4246="","",'Consulta1'!I4246)</f>
        <v>46298</v>
      </c>
      <c r="N154" s="88" t="str">
        <f>IF('Consulta1'!J4246="","",'Consulta1'!J4246)</f>
        <v/>
      </c>
    </row>
    <row r="155" spans="1:14" ht="18.75" x14ac:dyDescent="0.25">
      <c r="A155" s="82" t="str">
        <f>IF('Consulta1'!A4247="","",'Consulta1'!A4247)</f>
        <v>Chanitos Premium EUA Tarima Americana</v>
      </c>
      <c r="B155" s="82" t="str">
        <f>IF('Consulta1'!B4247="","",'Consulta1'!B4247)</f>
        <v>CPR01104</v>
      </c>
      <c r="C155" s="83" t="str">
        <f>IF('Consulta1'!C4247="","",'Consulta1'!C4247)</f>
        <v>A04039-400110-1</v>
      </c>
      <c r="D155" s="84" t="str">
        <f>IF('Consulta1'!D4247="","",'Consulta1'!D4247)</f>
        <v>A04 039 San Jose Morelia Nava</v>
      </c>
      <c r="E155" s="82" t="str">
        <f>IF('Consulta1'!E4247="","",'Consulta1'!E4247)</f>
        <v>McAllen</v>
      </c>
      <c r="F155">
        <f>+IF(E155="","",VLOOKUP(E155,CATALOGO!G:L,6,0))</f>
        <v>8</v>
      </c>
      <c r="G155" s="85">
        <f>IF('Consulta1'!F4247="","",'Consulta1'!F4247)</f>
        <v>480</v>
      </c>
      <c r="H155" s="85">
        <f>IF('Consulta1'!G4247="","",'Consulta1'!G4247)</f>
        <v>10</v>
      </c>
      <c r="I155" s="86">
        <f>IF('Consulta1'!H4247="","",'Consulta1'!H4247)</f>
        <v>46296</v>
      </c>
      <c r="J155">
        <f t="shared" si="2"/>
        <v>40</v>
      </c>
      <c r="K155">
        <f>+IF(E155="","",VLOOKUP(E155,CATALOGO!G:I,2,0))</f>
        <v>3</v>
      </c>
      <c r="L155">
        <f>+IF(E155="","",VLOOKUP(E155,CATALOGO!G:I,3,0))</f>
        <v>72</v>
      </c>
      <c r="M155" s="87">
        <f>IF('Consulta1'!I4247="","",'Consulta1'!I4247)</f>
        <v>46300</v>
      </c>
      <c r="N155" s="88" t="str">
        <f>IF('Consulta1'!J4247="","",'Consulta1'!J4247)</f>
        <v/>
      </c>
    </row>
    <row r="156" spans="1:14" ht="18.75" x14ac:dyDescent="0.25">
      <c r="A156" s="82" t="str">
        <f>IF('Consulta1'!A4248="","",'Consulta1'!A4248)</f>
        <v>Chanitos Plantain 20Kg Tarima Americana</v>
      </c>
      <c r="B156" s="82" t="str">
        <f>IF('Consulta1'!B4248="","",'Consulta1'!B4248)</f>
        <v>CPL08134</v>
      </c>
      <c r="C156" s="83" t="str">
        <f>IF('Consulta1'!C4248="","",'Consulta1'!C4248)</f>
        <v>A41100-400110-1</v>
      </c>
      <c r="D156" s="84" t="str">
        <f>IF('Consulta1'!D4248="","",'Consulta1'!D4248)</f>
        <v>A41 100 Doña Lupe JV</v>
      </c>
      <c r="E156" s="82" t="str">
        <f>IF('Consulta1'!E4248="","",'Consulta1'!E4248)</f>
        <v>Ciudad Juarez</v>
      </c>
      <c r="F156">
        <f>+IF(E156="","",VLOOKUP(E156,CATALOGO!G:L,6,0))</f>
        <v>1</v>
      </c>
      <c r="G156" s="85">
        <f>IF('Consulta1'!F4248="","",'Consulta1'!F4248)</f>
        <v>144</v>
      </c>
      <c r="H156" s="85">
        <f>IF('Consulta1'!G4248="","",'Consulta1'!G4248)</f>
        <v>3</v>
      </c>
      <c r="I156" s="86">
        <f>IF('Consulta1'!H4248="","",'Consulta1'!H4248)</f>
        <v>46296</v>
      </c>
      <c r="J156">
        <f t="shared" si="2"/>
        <v>40</v>
      </c>
      <c r="K156">
        <f>+IF(E156="","",VLOOKUP(E156,CATALOGO!G:I,2,0))</f>
        <v>4</v>
      </c>
      <c r="L156">
        <f>+IF(E156="","",VLOOKUP(E156,CATALOGO!G:I,3,0))</f>
        <v>96</v>
      </c>
      <c r="M156" s="87">
        <f>IF('Consulta1'!I4248="","",'Consulta1'!I4248)</f>
        <v>46302</v>
      </c>
      <c r="N156" s="88" t="str">
        <f>IF('Consulta1'!J4248="","",'Consulta1'!J4248)</f>
        <v/>
      </c>
    </row>
    <row r="157" spans="1:14" ht="18.75" x14ac:dyDescent="0.25">
      <c r="A157" s="82" t="str">
        <f>IF('Consulta1'!A4249="","",'Consulta1'!A4249)</f>
        <v>Chanitos Premium EUA Tarima Americana</v>
      </c>
      <c r="B157" s="82" t="str">
        <f>IF('Consulta1'!B4249="","",'Consulta1'!B4249)</f>
        <v>CPR01104</v>
      </c>
      <c r="C157" s="83" t="str">
        <f>IF('Consulta1'!C4249="","",'Consulta1'!C4249)</f>
        <v>A04039-400110-1</v>
      </c>
      <c r="D157" s="84" t="str">
        <f>IF('Consulta1'!D4249="","",'Consulta1'!D4249)</f>
        <v>A04 039 San Jose Morelia Nava</v>
      </c>
      <c r="E157" s="82" t="str">
        <f>IF('Consulta1'!E4249="","",'Consulta1'!E4249)</f>
        <v>McAllen</v>
      </c>
      <c r="F157">
        <f>+IF(E157="","",VLOOKUP(E157,CATALOGO!G:L,6,0))</f>
        <v>8</v>
      </c>
      <c r="G157" s="85">
        <f>IF('Consulta1'!F4249="","",'Consulta1'!F4249)</f>
        <v>960</v>
      </c>
      <c r="H157" s="85">
        <f>IF('Consulta1'!G4249="","",'Consulta1'!G4249)</f>
        <v>20</v>
      </c>
      <c r="I157" s="86">
        <f>IF('Consulta1'!H4249="","",'Consulta1'!H4249)</f>
        <v>46296</v>
      </c>
      <c r="J157">
        <f t="shared" si="2"/>
        <v>40</v>
      </c>
      <c r="K157">
        <f>+IF(E157="","",VLOOKUP(E157,CATALOGO!G:I,2,0))</f>
        <v>3</v>
      </c>
      <c r="L157">
        <f>+IF(E157="","",VLOOKUP(E157,CATALOGO!G:I,3,0))</f>
        <v>72</v>
      </c>
      <c r="M157" s="87">
        <f>IF('Consulta1'!I4249="","",'Consulta1'!I4249)</f>
        <v>46301</v>
      </c>
      <c r="N157" s="88" t="str">
        <f>IF('Consulta1'!J4249="","",'Consulta1'!J4249)</f>
        <v/>
      </c>
    </row>
    <row r="158" spans="1:14" ht="18.75" x14ac:dyDescent="0.25">
      <c r="A158" s="82" t="str">
        <f>IF('Consulta1'!A4250="","",'Consulta1'!A4250)</f>
        <v>Platano de Chiapas BAE UPC 3237</v>
      </c>
      <c r="B158" s="82" t="str">
        <f>IF('Consulta1'!B4250="","",'Consulta1'!B4250)</f>
        <v>CPR01114</v>
      </c>
      <c r="C158" s="83" t="str">
        <f>IF('Consulta1'!C4250="","",'Consulta1'!C4250)</f>
        <v>A01002-400110-1</v>
      </c>
      <c r="D158" s="84" t="str">
        <f>IF('Consulta1'!D4250="","",'Consulta1'!D4250)</f>
        <v>A01 002 Fortaleza</v>
      </c>
      <c r="E158" s="82" t="str">
        <f>IF('Consulta1'!E4250="","",'Consulta1'!E4250)</f>
        <v>Chalco</v>
      </c>
      <c r="F158">
        <f>+IF(E158="","",VLOOKUP(E158,CATALOGO!G:L,6,0))</f>
        <v>5</v>
      </c>
      <c r="G158" s="85">
        <f>IF('Consulta1'!F4250="","",'Consulta1'!F4250)</f>
        <v>96</v>
      </c>
      <c r="H158" s="85">
        <f>IF('Consulta1'!G4250="","",'Consulta1'!G4250)</f>
        <v>2</v>
      </c>
      <c r="I158" s="86">
        <f>IF('Consulta1'!H4250="","",'Consulta1'!H4250)</f>
        <v>46296</v>
      </c>
      <c r="J158">
        <f t="shared" si="2"/>
        <v>40</v>
      </c>
      <c r="K158">
        <f>+IF(E158="","",VLOOKUP(E158,CATALOGO!G:I,2,0))</f>
        <v>1</v>
      </c>
      <c r="L158">
        <f>+IF(E158="","",VLOOKUP(E158,CATALOGO!G:I,3,0))</f>
        <v>24</v>
      </c>
      <c r="M158" s="87">
        <f>IF('Consulta1'!I4250="","",'Consulta1'!I4250)</f>
        <v>46300</v>
      </c>
      <c r="N158" s="88" t="str">
        <f>IF('Consulta1'!J4250="","",'Consulta1'!J4250)</f>
        <v/>
      </c>
    </row>
    <row r="159" spans="1:14" ht="18.75" x14ac:dyDescent="0.25">
      <c r="A159" s="82" t="str">
        <f>IF('Consulta1'!A4251="","",'Consulta1'!A4251)</f>
        <v>Chanitos Premium Tarima Chep</v>
      </c>
      <c r="B159" s="82" t="str">
        <f>IF('Consulta1'!B4251="","",'Consulta1'!B4251)</f>
        <v>CPR01102</v>
      </c>
      <c r="C159" s="83" t="str">
        <f>IF('Consulta1'!C4251="","",'Consulta1'!C4251)</f>
        <v>A01002-400110-1</v>
      </c>
      <c r="D159" s="84" t="str">
        <f>IF('Consulta1'!D4251="","",'Consulta1'!D4251)</f>
        <v>A01 002 Fortaleza</v>
      </c>
      <c r="E159" s="82" t="str">
        <f>IF('Consulta1'!E4251="","",'Consulta1'!E4251)</f>
        <v>QRO</v>
      </c>
      <c r="F159">
        <f>+IF(E159="","",VLOOKUP(E159,CATALOGO!G:L,6,0))</f>
        <v>3</v>
      </c>
      <c r="G159" s="85">
        <f>IF('Consulta1'!F4251="","",'Consulta1'!F4251)</f>
        <v>1056</v>
      </c>
      <c r="H159" s="85">
        <f>IF('Consulta1'!G4251="","",'Consulta1'!G4251)</f>
        <v>22</v>
      </c>
      <c r="I159" s="86">
        <f>IF('Consulta1'!H4251="","",'Consulta1'!H4251)</f>
        <v>46296</v>
      </c>
      <c r="J159">
        <f t="shared" si="2"/>
        <v>40</v>
      </c>
      <c r="K159">
        <f>+IF(E159="","",VLOOKUP(E159,CATALOGO!G:I,2,0))</f>
        <v>1.5</v>
      </c>
      <c r="L159">
        <f>+IF(E159="","",VLOOKUP(E159,CATALOGO!G:I,3,0))</f>
        <v>36</v>
      </c>
      <c r="M159" s="87">
        <f>IF('Consulta1'!I4251="","",'Consulta1'!I4251)</f>
        <v>46300</v>
      </c>
      <c r="N159" s="88" t="str">
        <f>IF('Consulta1'!J4251="","",'Consulta1'!J4251)</f>
        <v/>
      </c>
    </row>
    <row r="160" spans="1:14" ht="18.75" x14ac:dyDescent="0.25">
      <c r="A160" s="82" t="str">
        <f>IF('Consulta1'!A4252="","",'Consulta1'!A4252)</f>
        <v>Chanitos Organic Banded Market Side Mexico</v>
      </c>
      <c r="B160" s="82" t="str">
        <f>IF('Consulta1'!B4252="","",'Consulta1'!B4252)</f>
        <v>CRG07128</v>
      </c>
      <c r="C160" s="83" t="str">
        <f>IF('Consulta1'!C4252="","",'Consulta1'!C4252)</f>
        <v>A01002-400110-1</v>
      </c>
      <c r="D160" s="84" t="str">
        <f>IF('Consulta1'!D4252="","",'Consulta1'!D4252)</f>
        <v>A01 002 Fortaleza</v>
      </c>
      <c r="E160" s="82" t="str">
        <f>IF('Consulta1'!E4252="","",'Consulta1'!E4252)</f>
        <v>QRO</v>
      </c>
      <c r="F160">
        <f>+IF(E160="","",VLOOKUP(E160,CATALOGO!G:L,6,0))</f>
        <v>3</v>
      </c>
      <c r="G160" s="85">
        <f>IF('Consulta1'!F4252="","",'Consulta1'!F4252)</f>
        <v>96</v>
      </c>
      <c r="H160" s="85">
        <f>IF('Consulta1'!G4252="","",'Consulta1'!G4252)</f>
        <v>2</v>
      </c>
      <c r="I160" s="86">
        <f>IF('Consulta1'!H4252="","",'Consulta1'!H4252)</f>
        <v>46296</v>
      </c>
      <c r="J160">
        <f t="shared" si="2"/>
        <v>40</v>
      </c>
      <c r="K160">
        <f>+IF(E160="","",VLOOKUP(E160,CATALOGO!G:I,2,0))</f>
        <v>1.5</v>
      </c>
      <c r="L160">
        <f>+IF(E160="","",VLOOKUP(E160,CATALOGO!G:I,3,0))</f>
        <v>36</v>
      </c>
      <c r="M160" s="87">
        <f>IF('Consulta1'!I4252="","",'Consulta1'!I4252)</f>
        <v>46300</v>
      </c>
      <c r="N160" s="88" t="str">
        <f>IF('Consulta1'!J4252="","",'Consulta1'!J4252)</f>
        <v/>
      </c>
    </row>
    <row r="161" spans="1:14" ht="18.75" x14ac:dyDescent="0.25">
      <c r="A161" s="82" t="str">
        <f>IF('Consulta1'!A4253="","",'Consulta1'!A4253)</f>
        <v>Chanitos Organic Banded Market Side Mexico</v>
      </c>
      <c r="B161" s="82" t="str">
        <f>IF('Consulta1'!B4253="","",'Consulta1'!B4253)</f>
        <v>CRG07128</v>
      </c>
      <c r="C161" s="83" t="str">
        <f>IF('Consulta1'!C4253="","",'Consulta1'!C4253)</f>
        <v>A01002-400110-1</v>
      </c>
      <c r="D161" s="84" t="str">
        <f>IF('Consulta1'!D4253="","",'Consulta1'!D4253)</f>
        <v>A01 002 Fortaleza</v>
      </c>
      <c r="E161" s="82" t="str">
        <f>IF('Consulta1'!E4253="","",'Consulta1'!E4253)</f>
        <v>VSA</v>
      </c>
      <c r="F161">
        <f>+IF(E161="","",VLOOKUP(E161,CATALOGO!G:L,6,0))</f>
        <v>6</v>
      </c>
      <c r="G161" s="85">
        <f>IF('Consulta1'!F4253="","",'Consulta1'!F4253)</f>
        <v>288</v>
      </c>
      <c r="H161" s="85">
        <f>IF('Consulta1'!G4253="","",'Consulta1'!G4253)</f>
        <v>6</v>
      </c>
      <c r="I161" s="86">
        <f>IF('Consulta1'!H4253="","",'Consulta1'!H4253)</f>
        <v>46296</v>
      </c>
      <c r="J161">
        <f t="shared" si="2"/>
        <v>40</v>
      </c>
      <c r="K161">
        <f>+IF(E161="","",VLOOKUP(E161,CATALOGO!G:I,2,0))</f>
        <v>1</v>
      </c>
      <c r="L161">
        <f>+IF(E161="","",VLOOKUP(E161,CATALOGO!G:I,3,0))</f>
        <v>24</v>
      </c>
      <c r="M161" s="87">
        <f>IF('Consulta1'!I4253="","",'Consulta1'!I4253)</f>
        <v>46300</v>
      </c>
      <c r="N161" s="88" t="str">
        <f>IF('Consulta1'!J4253="","",'Consulta1'!J4253)</f>
        <v/>
      </c>
    </row>
    <row r="162" spans="1:14" ht="18.75" x14ac:dyDescent="0.25">
      <c r="A162" s="82" t="str">
        <f>IF('Consulta1'!A4254="","",'Consulta1'!A4254)</f>
        <v>Chanitos Premium EUA Tarima Americana</v>
      </c>
      <c r="B162" s="82" t="str">
        <f>IF('Consulta1'!B4254="","",'Consulta1'!B4254)</f>
        <v>CPR01104</v>
      </c>
      <c r="C162" s="83" t="str">
        <f>IF('Consulta1'!C4254="","",'Consulta1'!C4254)</f>
        <v>A04084-400210-1</v>
      </c>
      <c r="D162" s="84" t="str">
        <f>IF('Consulta1'!D4254="","",'Consulta1'!D4254)</f>
        <v>A04 084 Lisboa</v>
      </c>
      <c r="E162" s="82" t="str">
        <f>IF('Consulta1'!E4254="","",'Consulta1'!E4254)</f>
        <v>McAllen</v>
      </c>
      <c r="F162">
        <f>+IF(E162="","",VLOOKUP(E162,CATALOGO!G:L,6,0))</f>
        <v>8</v>
      </c>
      <c r="G162" s="85">
        <f>IF('Consulta1'!F4254="","",'Consulta1'!F4254)</f>
        <v>960</v>
      </c>
      <c r="H162" s="85">
        <f>IF('Consulta1'!G4254="","",'Consulta1'!G4254)</f>
        <v>20</v>
      </c>
      <c r="I162" s="86">
        <f>IF('Consulta1'!H4254="","",'Consulta1'!H4254)</f>
        <v>46297</v>
      </c>
      <c r="J162">
        <f t="shared" si="2"/>
        <v>40</v>
      </c>
      <c r="K162">
        <f>+IF(E162="","",VLOOKUP(E162,CATALOGO!G:I,2,0))</f>
        <v>3</v>
      </c>
      <c r="L162">
        <f>+IF(E162="","",VLOOKUP(E162,CATALOGO!G:I,3,0))</f>
        <v>72</v>
      </c>
      <c r="M162" s="87">
        <f>IF('Consulta1'!I4254="","",'Consulta1'!I4254)</f>
        <v>46301</v>
      </c>
      <c r="N162" s="88" t="str">
        <f>IF('Consulta1'!J4254="","",'Consulta1'!J4254)</f>
        <v/>
      </c>
    </row>
    <row r="163" spans="1:14" ht="18.75" x14ac:dyDescent="0.25">
      <c r="A163" s="82" t="str">
        <f>IF('Consulta1'!A4255="","",'Consulta1'!A4255)</f>
        <v>Chanitos Plantain 50lb Tarima Americana</v>
      </c>
      <c r="B163" s="82" t="str">
        <f>IF('Consulta1'!B4255="","",'Consulta1'!B4255)</f>
        <v>CPL08133</v>
      </c>
      <c r="C163" s="83" t="str">
        <f>IF('Consulta1'!C4255="","",'Consulta1'!C4255)</f>
        <v>A27073-400210-1</v>
      </c>
      <c r="D163" s="84" t="str">
        <f>IF('Consulta1'!D4255="","",'Consulta1'!D4255)</f>
        <v>A27 073 Plantacion</v>
      </c>
      <c r="E163" s="82" t="str">
        <f>IF('Consulta1'!E4255="","",'Consulta1'!E4255)</f>
        <v>McAllen</v>
      </c>
      <c r="F163">
        <f>+IF(E163="","",VLOOKUP(E163,CATALOGO!G:L,6,0))</f>
        <v>8</v>
      </c>
      <c r="G163" s="85">
        <f>IF('Consulta1'!F4255="","",'Consulta1'!F4255)</f>
        <v>840</v>
      </c>
      <c r="H163" s="85">
        <f>IF('Consulta1'!G4255="","",'Consulta1'!G4255)</f>
        <v>20</v>
      </c>
      <c r="I163" s="86">
        <f>IF('Consulta1'!H4255="","",'Consulta1'!H4255)</f>
        <v>46297</v>
      </c>
      <c r="J163">
        <f t="shared" si="2"/>
        <v>40</v>
      </c>
      <c r="K163">
        <f>+IF(E163="","",VLOOKUP(E163,CATALOGO!G:I,2,0))</f>
        <v>3</v>
      </c>
      <c r="L163">
        <f>+IF(E163="","",VLOOKUP(E163,CATALOGO!G:I,3,0))</f>
        <v>72</v>
      </c>
      <c r="M163" s="87">
        <f>IF('Consulta1'!I4255="","",'Consulta1'!I4255)</f>
        <v>46301</v>
      </c>
      <c r="N163" s="88" t="str">
        <f>IF('Consulta1'!J4255="","",'Consulta1'!J4255)</f>
        <v/>
      </c>
    </row>
    <row r="164" spans="1:14" ht="18.75" x14ac:dyDescent="0.25">
      <c r="A164" s="82" t="str">
        <f>IF('Consulta1'!A4256="","",'Consulta1'!A4256)</f>
        <v>Chanitos Premium Tarima Chep</v>
      </c>
      <c r="B164" s="82" t="str">
        <f>IF('Consulta1'!B4256="","",'Consulta1'!B4256)</f>
        <v>CPR01102</v>
      </c>
      <c r="C164" s="83" t="str">
        <f>IF('Consulta1'!C4256="","",'Consulta1'!C4256)</f>
        <v>A01002-400210-1</v>
      </c>
      <c r="D164" s="84" t="str">
        <f>IF('Consulta1'!D4256="","",'Consulta1'!D4256)</f>
        <v>A01 002 Fortaleza</v>
      </c>
      <c r="E164" s="82" t="str">
        <f>IF('Consulta1'!E4256="","",'Consulta1'!E4256)</f>
        <v>Chalco</v>
      </c>
      <c r="F164">
        <f>+IF(E164="","",VLOOKUP(E164,CATALOGO!G:L,6,0))</f>
        <v>5</v>
      </c>
      <c r="G164" s="85">
        <f>IF('Consulta1'!F4256="","",'Consulta1'!F4256)</f>
        <v>912</v>
      </c>
      <c r="H164" s="85">
        <f>IF('Consulta1'!G4256="","",'Consulta1'!G4256)</f>
        <v>19</v>
      </c>
      <c r="I164" s="86">
        <f>IF('Consulta1'!H4256="","",'Consulta1'!H4256)</f>
        <v>46297</v>
      </c>
      <c r="J164">
        <f t="shared" si="2"/>
        <v>40</v>
      </c>
      <c r="K164">
        <f>+IF(E164="","",VLOOKUP(E164,CATALOGO!G:I,2,0))</f>
        <v>1</v>
      </c>
      <c r="L164">
        <f>+IF(E164="","",VLOOKUP(E164,CATALOGO!G:I,3,0))</f>
        <v>24</v>
      </c>
      <c r="M164" s="87">
        <f>IF('Consulta1'!I4256="","",'Consulta1'!I4256)</f>
        <v>46301</v>
      </c>
      <c r="N164" s="88" t="str">
        <f>IF('Consulta1'!J4256="","",'Consulta1'!J4256)</f>
        <v/>
      </c>
    </row>
    <row r="165" spans="1:14" ht="18.75" x14ac:dyDescent="0.25">
      <c r="A165" s="82" t="str">
        <f>IF('Consulta1'!A4257="","",'Consulta1'!A4257)</f>
        <v>Chanitos Premium EUA Tarima Americana</v>
      </c>
      <c r="B165" s="82" t="str">
        <f>IF('Consulta1'!B4257="","",'Consulta1'!B4257)</f>
        <v>CPR01104</v>
      </c>
      <c r="C165" s="83" t="str">
        <f>IF('Consulta1'!C4257="","",'Consulta1'!C4257)</f>
        <v>A01001-400310-1</v>
      </c>
      <c r="D165" s="84" t="str">
        <f>IF('Consulta1'!D4257="","",'Consulta1'!D4257)</f>
        <v>A01 001 Marbella</v>
      </c>
      <c r="E165" s="82" t="str">
        <f>IF('Consulta1'!E4257="","",'Consulta1'!E4257)</f>
        <v>McAllen</v>
      </c>
      <c r="F165">
        <f>+IF(E165="","",VLOOKUP(E165,CATALOGO!G:L,6,0))</f>
        <v>8</v>
      </c>
      <c r="G165" s="85">
        <f>IF('Consulta1'!F4257="","",'Consulta1'!F4257)</f>
        <v>960</v>
      </c>
      <c r="H165" s="85">
        <f>IF('Consulta1'!G4257="","",'Consulta1'!G4257)</f>
        <v>20</v>
      </c>
      <c r="I165" s="86">
        <f>IF('Consulta1'!H4257="","",'Consulta1'!H4257)</f>
        <v>46298</v>
      </c>
      <c r="J165">
        <f t="shared" si="2"/>
        <v>40</v>
      </c>
      <c r="K165">
        <f>+IF(E165="","",VLOOKUP(E165,CATALOGO!G:I,2,0))</f>
        <v>3</v>
      </c>
      <c r="L165">
        <f>+IF(E165="","",VLOOKUP(E165,CATALOGO!G:I,3,0))</f>
        <v>72</v>
      </c>
      <c r="M165" s="87">
        <f>IF('Consulta1'!I4257="","",'Consulta1'!I4257)</f>
        <v>46302</v>
      </c>
      <c r="N165" s="88" t="str">
        <f>IF('Consulta1'!J4257="","",'Consulta1'!J4257)</f>
        <v/>
      </c>
    </row>
    <row r="166" spans="1:14" ht="18.75" x14ac:dyDescent="0.25">
      <c r="A166" s="82" t="str">
        <f>IF('Consulta1'!A4258="","",'Consulta1'!A4258)</f>
        <v>Chanitos Premium Tarima Chep</v>
      </c>
      <c r="B166" s="82" t="str">
        <f>IF('Consulta1'!B4258="","",'Consulta1'!B4258)</f>
        <v>CPR01102</v>
      </c>
      <c r="C166" s="83" t="str">
        <f>IF('Consulta1'!C4258="","",'Consulta1'!C4258)</f>
        <v>A01002-400310-1</v>
      </c>
      <c r="D166" s="84" t="str">
        <f>IF('Consulta1'!D4258="","",'Consulta1'!D4258)</f>
        <v>A01 002 Fortaleza</v>
      </c>
      <c r="E166" s="82" t="str">
        <f>IF('Consulta1'!E4258="","",'Consulta1'!E4258)</f>
        <v>VSA</v>
      </c>
      <c r="F166">
        <f>+IF(E166="","",VLOOKUP(E166,CATALOGO!G:L,6,0))</f>
        <v>6</v>
      </c>
      <c r="G166" s="85">
        <f>IF('Consulta1'!F4258="","",'Consulta1'!F4258)</f>
        <v>912</v>
      </c>
      <c r="H166" s="85">
        <f>IF('Consulta1'!G4258="","",'Consulta1'!G4258)</f>
        <v>19</v>
      </c>
      <c r="I166" s="86">
        <f>IF('Consulta1'!H4258="","",'Consulta1'!H4258)</f>
        <v>46298</v>
      </c>
      <c r="J166">
        <f t="shared" si="2"/>
        <v>40</v>
      </c>
      <c r="K166">
        <f>+IF(E166="","",VLOOKUP(E166,CATALOGO!G:I,2,0))</f>
        <v>1</v>
      </c>
      <c r="L166">
        <f>+IF(E166="","",VLOOKUP(E166,CATALOGO!G:I,3,0))</f>
        <v>24</v>
      </c>
      <c r="M166" s="87">
        <f>IF('Consulta1'!I4258="","",'Consulta1'!I4258)</f>
        <v>46303</v>
      </c>
      <c r="N166" s="88" t="str">
        <f>IF('Consulta1'!J4258="","",'Consulta1'!J4258)</f>
        <v/>
      </c>
    </row>
    <row r="167" spans="1:14" ht="18.75" x14ac:dyDescent="0.25">
      <c r="A167" s="82" t="str">
        <f>IF('Consulta1'!A4259="","",'Consulta1'!A4259)</f>
        <v>Chanitos Organic Banded Market Side Mexico</v>
      </c>
      <c r="B167" s="82" t="str">
        <f>IF('Consulta1'!B4259="","",'Consulta1'!B4259)</f>
        <v>CRG07128</v>
      </c>
      <c r="C167" s="83" t="str">
        <f>IF('Consulta1'!C4259="","",'Consulta1'!C4259)</f>
        <v>A01002-400310-1</v>
      </c>
      <c r="D167" s="84" t="str">
        <f>IF('Consulta1'!D4259="","",'Consulta1'!D4259)</f>
        <v>A01 002 Fortaleza</v>
      </c>
      <c r="E167" s="82" t="str">
        <f>IF('Consulta1'!E4259="","",'Consulta1'!E4259)</f>
        <v>VSA</v>
      </c>
      <c r="F167">
        <f>+IF(E167="","",VLOOKUP(E167,CATALOGO!G:L,6,0))</f>
        <v>6</v>
      </c>
      <c r="G167" s="85">
        <f>IF('Consulta1'!F4259="","",'Consulta1'!F4259)</f>
        <v>240</v>
      </c>
      <c r="H167" s="85">
        <f>IF('Consulta1'!G4259="","",'Consulta1'!G4259)</f>
        <v>5</v>
      </c>
      <c r="I167" s="86">
        <f>IF('Consulta1'!H4259="","",'Consulta1'!H4259)</f>
        <v>46298</v>
      </c>
      <c r="J167">
        <f t="shared" si="2"/>
        <v>40</v>
      </c>
      <c r="K167">
        <f>+IF(E167="","",VLOOKUP(E167,CATALOGO!G:I,2,0))</f>
        <v>1</v>
      </c>
      <c r="L167">
        <f>+IF(E167="","",VLOOKUP(E167,CATALOGO!G:I,3,0))</f>
        <v>24</v>
      </c>
      <c r="M167" s="87">
        <f>IF('Consulta1'!I4259="","",'Consulta1'!I4259)</f>
        <v>46303</v>
      </c>
      <c r="N167" s="88" t="str">
        <f>IF('Consulta1'!J4259="","",'Consulta1'!J4259)</f>
        <v/>
      </c>
    </row>
    <row r="168" spans="1:14" ht="18.75" x14ac:dyDescent="0.25">
      <c r="A168" s="82" t="str">
        <f>IF('Consulta1'!A4260="","",'Consulta1'!A4260)</f>
        <v>Chanitos Organic Banded Market Side Mexico</v>
      </c>
      <c r="B168" s="82" t="str">
        <f>IF('Consulta1'!B4260="","",'Consulta1'!B4260)</f>
        <v>CRG07128</v>
      </c>
      <c r="C168" s="83" t="str">
        <f>IF('Consulta1'!C4260="","",'Consulta1'!C4260)</f>
        <v>A01002-400310-1</v>
      </c>
      <c r="D168" s="84" t="str">
        <f>IF('Consulta1'!D4260="","",'Consulta1'!D4260)</f>
        <v>A01 002 Fortaleza</v>
      </c>
      <c r="E168" s="82" t="str">
        <f>IF('Consulta1'!E4260="","",'Consulta1'!E4260)</f>
        <v>QRO</v>
      </c>
      <c r="F168">
        <f>+IF(E168="","",VLOOKUP(E168,CATALOGO!G:L,6,0))</f>
        <v>3</v>
      </c>
      <c r="G168" s="85">
        <f>IF('Consulta1'!F4260="","",'Consulta1'!F4260)</f>
        <v>96</v>
      </c>
      <c r="H168" s="85">
        <f>IF('Consulta1'!G4260="","",'Consulta1'!G4260)</f>
        <v>2</v>
      </c>
      <c r="I168" s="86">
        <f>IF('Consulta1'!H4260="","",'Consulta1'!H4260)</f>
        <v>46298</v>
      </c>
      <c r="J168">
        <f t="shared" si="2"/>
        <v>40</v>
      </c>
      <c r="K168">
        <f>+IF(E168="","",VLOOKUP(E168,CATALOGO!G:I,2,0))</f>
        <v>1.5</v>
      </c>
      <c r="L168">
        <f>+IF(E168="","",VLOOKUP(E168,CATALOGO!G:I,3,0))</f>
        <v>36</v>
      </c>
      <c r="M168" s="87">
        <f>IF('Consulta1'!I4260="","",'Consulta1'!I4260)</f>
        <v>46302</v>
      </c>
      <c r="N168" s="88" t="str">
        <f>IF('Consulta1'!J4260="","",'Consulta1'!J4260)</f>
        <v/>
      </c>
    </row>
    <row r="169" spans="1:14" ht="18.75" x14ac:dyDescent="0.25">
      <c r="A169" s="82" t="str">
        <f>IF('Consulta1'!A4261="","",'Consulta1'!A4261)</f>
        <v/>
      </c>
      <c r="B169" s="82" t="str">
        <f>IF('Consulta1'!B4261="","",'Consulta1'!B4261)</f>
        <v/>
      </c>
      <c r="C169" s="83" t="str">
        <f>IF('Consulta1'!C4261="","",'Consulta1'!C4261)</f>
        <v/>
      </c>
      <c r="D169" s="84" t="str">
        <f>IF('Consulta1'!D4261="","",'Consulta1'!D4261)</f>
        <v/>
      </c>
      <c r="E169" s="82" t="str">
        <f>IF('Consulta1'!E4261="","",'Consulta1'!E4261)</f>
        <v/>
      </c>
      <c r="F169" t="str">
        <f>+IF(E169="","",VLOOKUP(E169,CATALOGO!G:L,6,0))</f>
        <v/>
      </c>
      <c r="G169" s="85" t="str">
        <f>IF('Consulta1'!F4261="","",'Consulta1'!F4261)</f>
        <v/>
      </c>
      <c r="H169" s="85" t="str">
        <f>IF('Consulta1'!G4261="","",'Consulta1'!G4261)</f>
        <v/>
      </c>
      <c r="I169" s="86" t="str">
        <f>IF('Consulta1'!H4261="","",'Consulta1'!H4261)</f>
        <v/>
      </c>
      <c r="J169" t="str">
        <f t="shared" si="2"/>
        <v/>
      </c>
      <c r="K169" t="str">
        <f>+IF(E169="","",VLOOKUP(E169,CATALOGO!G:I,2,0))</f>
        <v/>
      </c>
      <c r="L169" t="str">
        <f>+IF(E169="","",VLOOKUP(E169,CATALOGO!G:I,3,0))</f>
        <v/>
      </c>
      <c r="M169" s="87" t="str">
        <f>IF('Consulta1'!I4261="","",'Consulta1'!I4261)</f>
        <v/>
      </c>
      <c r="N169" s="88" t="str">
        <f>IF('Consulta1'!J4261="","",'Consulta1'!J4261)</f>
        <v/>
      </c>
    </row>
    <row r="170" spans="1:14" ht="18.75" x14ac:dyDescent="0.25">
      <c r="A170" s="82" t="str">
        <f>IF('Consulta1'!A4262="","",'Consulta1'!A4262)</f>
        <v/>
      </c>
      <c r="B170" s="82" t="str">
        <f>IF('Consulta1'!B4262="","",'Consulta1'!B4262)</f>
        <v/>
      </c>
      <c r="C170" s="83" t="str">
        <f>IF('Consulta1'!C4262="","",'Consulta1'!C4262)</f>
        <v/>
      </c>
      <c r="D170" s="84" t="str">
        <f>IF('Consulta1'!D4262="","",'Consulta1'!D4262)</f>
        <v/>
      </c>
      <c r="E170" s="82" t="str">
        <f>IF('Consulta1'!E4262="","",'Consulta1'!E4262)</f>
        <v/>
      </c>
      <c r="F170" t="str">
        <f>+IF(E170="","",VLOOKUP(E170,CATALOGO!G:L,6,0))</f>
        <v/>
      </c>
      <c r="G170" s="85" t="str">
        <f>IF('Consulta1'!F4262="","",'Consulta1'!F4262)</f>
        <v/>
      </c>
      <c r="H170" s="85" t="str">
        <f>IF('Consulta1'!G4262="","",'Consulta1'!G4262)</f>
        <v/>
      </c>
      <c r="I170" s="86" t="str">
        <f>IF('Consulta1'!H4262="","",'Consulta1'!H4262)</f>
        <v/>
      </c>
      <c r="J170" t="str">
        <f t="shared" si="2"/>
        <v/>
      </c>
      <c r="K170" t="str">
        <f>+IF(E170="","",VLOOKUP(E170,CATALOGO!G:I,2,0))</f>
        <v/>
      </c>
      <c r="L170" t="str">
        <f>+IF(E170="","",VLOOKUP(E170,CATALOGO!G:I,3,0))</f>
        <v/>
      </c>
      <c r="M170" s="87" t="str">
        <f>IF('Consulta1'!I4262="","",'Consulta1'!I4262)</f>
        <v/>
      </c>
      <c r="N170" s="88" t="str">
        <f>IF('Consulta1'!J4262="","",'Consulta1'!J4262)</f>
        <v/>
      </c>
    </row>
    <row r="171" spans="1:14" ht="18.75" x14ac:dyDescent="0.25">
      <c r="A171" s="82" t="str">
        <f>IF('Consulta1'!A4263="","",'Consulta1'!A4263)</f>
        <v/>
      </c>
      <c r="B171" s="82" t="str">
        <f>IF('Consulta1'!B4263="","",'Consulta1'!B4263)</f>
        <v/>
      </c>
      <c r="C171" s="83" t="str">
        <f>IF('Consulta1'!C4263="","",'Consulta1'!C4263)</f>
        <v/>
      </c>
      <c r="D171" s="84" t="str">
        <f>IF('Consulta1'!D4263="","",'Consulta1'!D4263)</f>
        <v/>
      </c>
      <c r="E171" s="82" t="str">
        <f>IF('Consulta1'!E4263="","",'Consulta1'!E4263)</f>
        <v/>
      </c>
      <c r="F171" t="str">
        <f>+IF(E171="","",VLOOKUP(E171,CATALOGO!G:L,6,0))</f>
        <v/>
      </c>
      <c r="G171" s="85" t="str">
        <f>IF('Consulta1'!F4263="","",'Consulta1'!F4263)</f>
        <v/>
      </c>
      <c r="H171" s="85" t="str">
        <f>IF('Consulta1'!G4263="","",'Consulta1'!G4263)</f>
        <v/>
      </c>
      <c r="I171" s="86" t="str">
        <f>IF('Consulta1'!H4263="","",'Consulta1'!H4263)</f>
        <v/>
      </c>
      <c r="J171" t="str">
        <f t="shared" si="2"/>
        <v/>
      </c>
      <c r="K171" t="str">
        <f>+IF(E171="","",VLOOKUP(E171,CATALOGO!G:I,2,0))</f>
        <v/>
      </c>
      <c r="L171" t="str">
        <f>+IF(E171="","",VLOOKUP(E171,CATALOGO!G:I,3,0))</f>
        <v/>
      </c>
      <c r="M171" s="87" t="str">
        <f>IF('Consulta1'!I4263="","",'Consulta1'!I4263)</f>
        <v/>
      </c>
      <c r="N171" s="88" t="str">
        <f>IF('Consulta1'!J4263="","",'Consulta1'!J4263)</f>
        <v/>
      </c>
    </row>
    <row r="172" spans="1:14" ht="18.75" x14ac:dyDescent="0.25">
      <c r="A172" s="82" t="str">
        <f>IF('Consulta1'!A4264="","",'Consulta1'!A4264)</f>
        <v/>
      </c>
      <c r="B172" s="82" t="str">
        <f>IF('Consulta1'!B4264="","",'Consulta1'!B4264)</f>
        <v/>
      </c>
      <c r="C172" s="83" t="str">
        <f>IF('Consulta1'!C4264="","",'Consulta1'!C4264)</f>
        <v/>
      </c>
      <c r="D172" s="84" t="str">
        <f>IF('Consulta1'!D4264="","",'Consulta1'!D4264)</f>
        <v/>
      </c>
      <c r="E172" s="82" t="str">
        <f>IF('Consulta1'!E4264="","",'Consulta1'!E4264)</f>
        <v/>
      </c>
      <c r="F172" t="str">
        <f>+IF(E172="","",VLOOKUP(E172,CATALOGO!G:L,6,0))</f>
        <v/>
      </c>
      <c r="G172" s="85" t="str">
        <f>IF('Consulta1'!F4264="","",'Consulta1'!F4264)</f>
        <v/>
      </c>
      <c r="H172" s="85" t="str">
        <f>IF('Consulta1'!G4264="","",'Consulta1'!G4264)</f>
        <v/>
      </c>
      <c r="I172" s="86" t="str">
        <f>IF('Consulta1'!H4264="","",'Consulta1'!H4264)</f>
        <v/>
      </c>
      <c r="J172" t="str">
        <f t="shared" si="2"/>
        <v/>
      </c>
      <c r="K172" t="str">
        <f>+IF(E172="","",VLOOKUP(E172,CATALOGO!G:I,2,0))</f>
        <v/>
      </c>
      <c r="L172" t="str">
        <f>+IF(E172="","",VLOOKUP(E172,CATALOGO!G:I,3,0))</f>
        <v/>
      </c>
      <c r="M172" s="87" t="str">
        <f>IF('Consulta1'!I4264="","",'Consulta1'!I4264)</f>
        <v/>
      </c>
      <c r="N172" s="88" t="str">
        <f>IF('Consulta1'!J4264="","",'Consulta1'!J4264)</f>
        <v/>
      </c>
    </row>
    <row r="173" spans="1:14" ht="18.75" x14ac:dyDescent="0.25">
      <c r="A173" s="82" t="str">
        <f>IF('Consulta1'!A4265="","",'Consulta1'!A4265)</f>
        <v/>
      </c>
      <c r="B173" s="82" t="str">
        <f>IF('Consulta1'!B4265="","",'Consulta1'!B4265)</f>
        <v/>
      </c>
      <c r="C173" s="83" t="str">
        <f>IF('Consulta1'!C4265="","",'Consulta1'!C4265)</f>
        <v/>
      </c>
      <c r="D173" s="84" t="str">
        <f>IF('Consulta1'!D4265="","",'Consulta1'!D4265)</f>
        <v/>
      </c>
      <c r="E173" s="82" t="str">
        <f>IF('Consulta1'!E4265="","",'Consulta1'!E4265)</f>
        <v/>
      </c>
      <c r="F173" t="str">
        <f>+IF(E173="","",VLOOKUP(E173,CATALOGO!G:L,6,0))</f>
        <v/>
      </c>
      <c r="G173" s="85" t="str">
        <f>IF('Consulta1'!F4265="","",'Consulta1'!F4265)</f>
        <v/>
      </c>
      <c r="H173" s="85" t="str">
        <f>IF('Consulta1'!G4265="","",'Consulta1'!G4265)</f>
        <v/>
      </c>
      <c r="I173" s="86" t="str">
        <f>IF('Consulta1'!H4265="","",'Consulta1'!H4265)</f>
        <v/>
      </c>
      <c r="J173" t="str">
        <f t="shared" si="2"/>
        <v/>
      </c>
      <c r="K173" t="str">
        <f>+IF(E173="","",VLOOKUP(E173,CATALOGO!G:I,2,0))</f>
        <v/>
      </c>
      <c r="L173" t="str">
        <f>+IF(E173="","",VLOOKUP(E173,CATALOGO!G:I,3,0))</f>
        <v/>
      </c>
      <c r="M173" s="87" t="str">
        <f>IF('Consulta1'!I4265="","",'Consulta1'!I4265)</f>
        <v/>
      </c>
      <c r="N173" s="88" t="str">
        <f>IF('Consulta1'!J4265="","",'Consulta1'!J4265)</f>
        <v/>
      </c>
    </row>
    <row r="174" spans="1:14" ht="18.75" x14ac:dyDescent="0.25">
      <c r="A174" s="82" t="str">
        <f>IF('Consulta1'!A4266="","",'Consulta1'!A4266)</f>
        <v/>
      </c>
      <c r="B174" s="82" t="str">
        <f>IF('Consulta1'!B4266="","",'Consulta1'!B4266)</f>
        <v/>
      </c>
      <c r="C174" s="83" t="str">
        <f>IF('Consulta1'!C4266="","",'Consulta1'!C4266)</f>
        <v/>
      </c>
      <c r="D174" s="84" t="str">
        <f>IF('Consulta1'!D4266="","",'Consulta1'!D4266)</f>
        <v/>
      </c>
      <c r="E174" s="82" t="str">
        <f>IF('Consulta1'!E4266="","",'Consulta1'!E4266)</f>
        <v/>
      </c>
      <c r="F174" t="str">
        <f>+IF(E174="","",VLOOKUP(E174,CATALOGO!G:L,6,0))</f>
        <v/>
      </c>
      <c r="G174" s="85" t="str">
        <f>IF('Consulta1'!F4266="","",'Consulta1'!F4266)</f>
        <v/>
      </c>
      <c r="H174" s="85" t="str">
        <f>IF('Consulta1'!G4266="","",'Consulta1'!G4266)</f>
        <v/>
      </c>
      <c r="I174" s="86" t="str">
        <f>IF('Consulta1'!H4266="","",'Consulta1'!H4266)</f>
        <v/>
      </c>
      <c r="J174" t="str">
        <f t="shared" si="2"/>
        <v/>
      </c>
      <c r="K174" t="str">
        <f>+IF(E174="","",VLOOKUP(E174,CATALOGO!G:I,2,0))</f>
        <v/>
      </c>
      <c r="L174" t="str">
        <f>+IF(E174="","",VLOOKUP(E174,CATALOGO!G:I,3,0))</f>
        <v/>
      </c>
      <c r="M174" s="87" t="str">
        <f>IF('Consulta1'!I4266="","",'Consulta1'!I4266)</f>
        <v/>
      </c>
      <c r="N174" s="88" t="str">
        <f>IF('Consulta1'!J4266="","",'Consulta1'!J4266)</f>
        <v/>
      </c>
    </row>
    <row r="175" spans="1:14" ht="18.75" x14ac:dyDescent="0.25">
      <c r="A175" s="82" t="str">
        <f>IF('Consulta1'!A4267="","",'Consulta1'!A4267)</f>
        <v/>
      </c>
      <c r="B175" s="82" t="str">
        <f>IF('Consulta1'!B4267="","",'Consulta1'!B4267)</f>
        <v/>
      </c>
      <c r="C175" s="83" t="str">
        <f>IF('Consulta1'!C4267="","",'Consulta1'!C4267)</f>
        <v/>
      </c>
      <c r="D175" s="84" t="str">
        <f>IF('Consulta1'!D4267="","",'Consulta1'!D4267)</f>
        <v/>
      </c>
      <c r="E175" s="82" t="str">
        <f>IF('Consulta1'!E4267="","",'Consulta1'!E4267)</f>
        <v/>
      </c>
      <c r="F175" t="str">
        <f>+IF(E175="","",VLOOKUP(E175,CATALOGO!G:L,6,0))</f>
        <v/>
      </c>
      <c r="G175" s="85" t="str">
        <f>IF('Consulta1'!F4267="","",'Consulta1'!F4267)</f>
        <v/>
      </c>
      <c r="H175" s="85" t="str">
        <f>IF('Consulta1'!G4267="","",'Consulta1'!G4267)</f>
        <v/>
      </c>
      <c r="I175" s="86" t="str">
        <f>IF('Consulta1'!H4267="","",'Consulta1'!H4267)</f>
        <v/>
      </c>
      <c r="J175" t="str">
        <f t="shared" si="2"/>
        <v/>
      </c>
      <c r="K175" t="str">
        <f>+IF(E175="","",VLOOKUP(E175,CATALOGO!G:I,2,0))</f>
        <v/>
      </c>
      <c r="L175" t="str">
        <f>+IF(E175="","",VLOOKUP(E175,CATALOGO!G:I,3,0))</f>
        <v/>
      </c>
      <c r="M175" s="87" t="str">
        <f>IF('Consulta1'!I4267="","",'Consulta1'!I4267)</f>
        <v/>
      </c>
      <c r="N175" s="88" t="str">
        <f>IF('Consulta1'!J4267="","",'Consulta1'!J4267)</f>
        <v/>
      </c>
    </row>
    <row r="176" spans="1:14" ht="18.75" x14ac:dyDescent="0.25">
      <c r="A176" s="82" t="str">
        <f>IF('Consulta1'!A4268="","",'Consulta1'!A4268)</f>
        <v/>
      </c>
      <c r="B176" s="82" t="str">
        <f>IF('Consulta1'!B4268="","",'Consulta1'!B4268)</f>
        <v/>
      </c>
      <c r="C176" s="83" t="str">
        <f>IF('Consulta1'!C4268="","",'Consulta1'!C4268)</f>
        <v/>
      </c>
      <c r="D176" s="84" t="str">
        <f>IF('Consulta1'!D4268="","",'Consulta1'!D4268)</f>
        <v/>
      </c>
      <c r="E176" s="82" t="str">
        <f>IF('Consulta1'!E4268="","",'Consulta1'!E4268)</f>
        <v/>
      </c>
      <c r="F176" t="str">
        <f>+IF(E176="","",VLOOKUP(E176,CATALOGO!G:L,6,0))</f>
        <v/>
      </c>
      <c r="G176" s="85" t="str">
        <f>IF('Consulta1'!F4268="","",'Consulta1'!F4268)</f>
        <v/>
      </c>
      <c r="H176" s="85" t="str">
        <f>IF('Consulta1'!G4268="","",'Consulta1'!G4268)</f>
        <v/>
      </c>
      <c r="I176" s="86" t="str">
        <f>IF('Consulta1'!H4268="","",'Consulta1'!H4268)</f>
        <v/>
      </c>
      <c r="J176" t="str">
        <f t="shared" si="2"/>
        <v/>
      </c>
      <c r="K176" t="str">
        <f>+IF(E176="","",VLOOKUP(E176,CATALOGO!G:I,2,0))</f>
        <v/>
      </c>
      <c r="L176" t="str">
        <f>+IF(E176="","",VLOOKUP(E176,CATALOGO!G:I,3,0))</f>
        <v/>
      </c>
      <c r="M176" s="87" t="str">
        <f>IF('Consulta1'!I4268="","",'Consulta1'!I4268)</f>
        <v/>
      </c>
      <c r="N176" s="88" t="str">
        <f>IF('Consulta1'!J4268="","",'Consulta1'!J4268)</f>
        <v/>
      </c>
    </row>
    <row r="177" spans="1:14" ht="18.75" x14ac:dyDescent="0.25">
      <c r="A177" s="82" t="str">
        <f>IF('Consulta1'!A4269="","",'Consulta1'!A4269)</f>
        <v/>
      </c>
      <c r="B177" s="82" t="str">
        <f>IF('Consulta1'!B4269="","",'Consulta1'!B4269)</f>
        <v/>
      </c>
      <c r="C177" s="83" t="str">
        <f>IF('Consulta1'!C4269="","",'Consulta1'!C4269)</f>
        <v/>
      </c>
      <c r="D177" s="84" t="str">
        <f>IF('Consulta1'!D4269="","",'Consulta1'!D4269)</f>
        <v/>
      </c>
      <c r="E177" s="82" t="str">
        <f>IF('Consulta1'!E4269="","",'Consulta1'!E4269)</f>
        <v/>
      </c>
      <c r="F177" t="str">
        <f>+IF(E177="","",VLOOKUP(E177,CATALOGO!G:L,6,0))</f>
        <v/>
      </c>
      <c r="G177" s="85" t="str">
        <f>IF('Consulta1'!F4269="","",'Consulta1'!F4269)</f>
        <v/>
      </c>
      <c r="H177" s="85" t="str">
        <f>IF('Consulta1'!G4269="","",'Consulta1'!G4269)</f>
        <v/>
      </c>
      <c r="I177" s="86" t="str">
        <f>IF('Consulta1'!H4269="","",'Consulta1'!H4269)</f>
        <v/>
      </c>
      <c r="J177" t="str">
        <f t="shared" si="2"/>
        <v/>
      </c>
      <c r="K177" t="str">
        <f>+IF(E177="","",VLOOKUP(E177,CATALOGO!G:I,2,0))</f>
        <v/>
      </c>
      <c r="L177" t="str">
        <f>+IF(E177="","",VLOOKUP(E177,CATALOGO!G:I,3,0))</f>
        <v/>
      </c>
      <c r="M177" s="87" t="str">
        <f>IF('Consulta1'!I4269="","",'Consulta1'!I4269)</f>
        <v/>
      </c>
      <c r="N177" s="88" t="str">
        <f>IF('Consulta1'!J4269="","",'Consulta1'!J4269)</f>
        <v/>
      </c>
    </row>
    <row r="178" spans="1:14" ht="18.75" x14ac:dyDescent="0.25">
      <c r="A178" s="82" t="str">
        <f>IF('Consulta1'!A4270="","",'Consulta1'!A4270)</f>
        <v/>
      </c>
      <c r="B178" s="82" t="str">
        <f>IF('Consulta1'!B4270="","",'Consulta1'!B4270)</f>
        <v/>
      </c>
      <c r="C178" s="83" t="str">
        <f>IF('Consulta1'!C4270="","",'Consulta1'!C4270)</f>
        <v/>
      </c>
      <c r="D178" s="84" t="str">
        <f>IF('Consulta1'!D4270="","",'Consulta1'!D4270)</f>
        <v/>
      </c>
      <c r="E178" s="82" t="str">
        <f>IF('Consulta1'!E4270="","",'Consulta1'!E4270)</f>
        <v/>
      </c>
      <c r="F178" t="str">
        <f>+IF(E178="","",VLOOKUP(E178,CATALOGO!G:L,6,0))</f>
        <v/>
      </c>
      <c r="G178" s="85" t="str">
        <f>IF('Consulta1'!F4270="","",'Consulta1'!F4270)</f>
        <v/>
      </c>
      <c r="H178" s="85" t="str">
        <f>IF('Consulta1'!G4270="","",'Consulta1'!G4270)</f>
        <v/>
      </c>
      <c r="I178" s="86" t="str">
        <f>IF('Consulta1'!H4270="","",'Consulta1'!H4270)</f>
        <v/>
      </c>
      <c r="J178" t="str">
        <f t="shared" si="2"/>
        <v/>
      </c>
      <c r="K178" t="str">
        <f>+IF(E178="","",VLOOKUP(E178,CATALOGO!G:I,2,0))</f>
        <v/>
      </c>
      <c r="L178" t="str">
        <f>+IF(E178="","",VLOOKUP(E178,CATALOGO!G:I,3,0))</f>
        <v/>
      </c>
      <c r="M178" s="87" t="str">
        <f>IF('Consulta1'!I4270="","",'Consulta1'!I4270)</f>
        <v/>
      </c>
      <c r="N178" s="88" t="str">
        <f>IF('Consulta1'!J4270="","",'Consulta1'!J4270)</f>
        <v/>
      </c>
    </row>
    <row r="179" spans="1:14" ht="18.75" x14ac:dyDescent="0.25">
      <c r="A179" s="82" t="str">
        <f>IF('Consulta1'!A4271="","",'Consulta1'!A4271)</f>
        <v/>
      </c>
      <c r="B179" s="82" t="str">
        <f>IF('Consulta1'!B4271="","",'Consulta1'!B4271)</f>
        <v/>
      </c>
      <c r="C179" s="83" t="str">
        <f>IF('Consulta1'!C4271="","",'Consulta1'!C4271)</f>
        <v/>
      </c>
      <c r="D179" s="84" t="str">
        <f>IF('Consulta1'!D4271="","",'Consulta1'!D4271)</f>
        <v/>
      </c>
      <c r="E179" s="82" t="str">
        <f>IF('Consulta1'!E4271="","",'Consulta1'!E4271)</f>
        <v/>
      </c>
      <c r="F179" t="str">
        <f>+IF(E179="","",VLOOKUP(E179,CATALOGO!G:L,6,0))</f>
        <v/>
      </c>
      <c r="G179" s="85" t="str">
        <f>IF('Consulta1'!F4271="","",'Consulta1'!F4271)</f>
        <v/>
      </c>
      <c r="H179" s="85" t="str">
        <f>IF('Consulta1'!G4271="","",'Consulta1'!G4271)</f>
        <v/>
      </c>
      <c r="I179" s="86" t="str">
        <f>IF('Consulta1'!H4271="","",'Consulta1'!H4271)</f>
        <v/>
      </c>
      <c r="J179" t="str">
        <f t="shared" si="2"/>
        <v/>
      </c>
      <c r="K179" t="str">
        <f>+IF(E179="","",VLOOKUP(E179,CATALOGO!G:I,2,0))</f>
        <v/>
      </c>
      <c r="L179" t="str">
        <f>+IF(E179="","",VLOOKUP(E179,CATALOGO!G:I,3,0))</f>
        <v/>
      </c>
      <c r="M179" s="87" t="str">
        <f>IF('Consulta1'!I4271="","",'Consulta1'!I4271)</f>
        <v/>
      </c>
      <c r="N179" s="88" t="str">
        <f>IF('Consulta1'!J4271="","",'Consulta1'!J4271)</f>
        <v/>
      </c>
    </row>
    <row r="180" spans="1:14" ht="18.75" x14ac:dyDescent="0.25">
      <c r="A180" s="82" t="str">
        <f>IF('Consulta1'!A4272="","",'Consulta1'!A4272)</f>
        <v/>
      </c>
      <c r="B180" s="82" t="str">
        <f>IF('Consulta1'!B4272="","",'Consulta1'!B4272)</f>
        <v/>
      </c>
      <c r="C180" s="83" t="str">
        <f>IF('Consulta1'!C4272="","",'Consulta1'!C4272)</f>
        <v/>
      </c>
      <c r="D180" s="84" t="str">
        <f>IF('Consulta1'!D4272="","",'Consulta1'!D4272)</f>
        <v/>
      </c>
      <c r="E180" s="82" t="str">
        <f>IF('Consulta1'!E4272="","",'Consulta1'!E4272)</f>
        <v/>
      </c>
      <c r="F180" t="str">
        <f>+IF(E180="","",VLOOKUP(E180,CATALOGO!G:L,6,0))</f>
        <v/>
      </c>
      <c r="G180" s="85" t="str">
        <f>IF('Consulta1'!F4272="","",'Consulta1'!F4272)</f>
        <v/>
      </c>
      <c r="H180" s="85" t="str">
        <f>IF('Consulta1'!G4272="","",'Consulta1'!G4272)</f>
        <v/>
      </c>
      <c r="I180" s="86" t="str">
        <f>IF('Consulta1'!H4272="","",'Consulta1'!H4272)</f>
        <v/>
      </c>
      <c r="J180" t="str">
        <f t="shared" si="2"/>
        <v/>
      </c>
      <c r="K180" t="str">
        <f>+IF(E180="","",VLOOKUP(E180,CATALOGO!G:I,2,0))</f>
        <v/>
      </c>
      <c r="L180" t="str">
        <f>+IF(E180="","",VLOOKUP(E180,CATALOGO!G:I,3,0))</f>
        <v/>
      </c>
      <c r="M180" s="87" t="str">
        <f>IF('Consulta1'!I4272="","",'Consulta1'!I4272)</f>
        <v/>
      </c>
      <c r="N180" s="88" t="str">
        <f>IF('Consulta1'!J4272="","",'Consulta1'!J4272)</f>
        <v/>
      </c>
    </row>
    <row r="181" spans="1:14" ht="18.75" x14ac:dyDescent="0.25">
      <c r="A181" s="82" t="str">
        <f>IF('Consulta1'!A4273="","",'Consulta1'!A4273)</f>
        <v/>
      </c>
      <c r="B181" s="82" t="str">
        <f>IF('Consulta1'!B4273="","",'Consulta1'!B4273)</f>
        <v/>
      </c>
      <c r="C181" s="83" t="str">
        <f>IF('Consulta1'!C4273="","",'Consulta1'!C4273)</f>
        <v/>
      </c>
      <c r="D181" s="84" t="str">
        <f>IF('Consulta1'!D4273="","",'Consulta1'!D4273)</f>
        <v/>
      </c>
      <c r="E181" s="82" t="str">
        <f>IF('Consulta1'!E4273="","",'Consulta1'!E4273)</f>
        <v/>
      </c>
      <c r="F181" t="str">
        <f>+IF(E181="","",VLOOKUP(E181,CATALOGO!G:L,6,0))</f>
        <v/>
      </c>
      <c r="G181" s="85" t="str">
        <f>IF('Consulta1'!F4273="","",'Consulta1'!F4273)</f>
        <v/>
      </c>
      <c r="H181" s="85" t="str">
        <f>IF('Consulta1'!G4273="","",'Consulta1'!G4273)</f>
        <v/>
      </c>
      <c r="I181" s="86" t="str">
        <f>IF('Consulta1'!H4273="","",'Consulta1'!H4273)</f>
        <v/>
      </c>
      <c r="J181" t="str">
        <f t="shared" si="2"/>
        <v/>
      </c>
      <c r="K181" t="str">
        <f>+IF(E181="","",VLOOKUP(E181,CATALOGO!G:I,2,0))</f>
        <v/>
      </c>
      <c r="L181" t="str">
        <f>+IF(E181="","",VLOOKUP(E181,CATALOGO!G:I,3,0))</f>
        <v/>
      </c>
      <c r="M181" s="87" t="str">
        <f>IF('Consulta1'!I4273="","",'Consulta1'!I4273)</f>
        <v/>
      </c>
      <c r="N181" s="88" t="str">
        <f>IF('Consulta1'!J4273="","",'Consulta1'!J4273)</f>
        <v/>
      </c>
    </row>
    <row r="182" spans="1:14" ht="18.75" x14ac:dyDescent="0.25">
      <c r="A182" s="82" t="str">
        <f>IF('Consulta1'!A4274="","",'Consulta1'!A4274)</f>
        <v/>
      </c>
      <c r="B182" s="82" t="str">
        <f>IF('Consulta1'!B4274="","",'Consulta1'!B4274)</f>
        <v/>
      </c>
      <c r="C182" s="83" t="str">
        <f>IF('Consulta1'!C4274="","",'Consulta1'!C4274)</f>
        <v/>
      </c>
      <c r="D182" s="84" t="str">
        <f>IF('Consulta1'!D4274="","",'Consulta1'!D4274)</f>
        <v/>
      </c>
      <c r="E182" s="82" t="str">
        <f>IF('Consulta1'!E4274="","",'Consulta1'!E4274)</f>
        <v/>
      </c>
      <c r="F182" t="str">
        <f>+IF(E182="","",VLOOKUP(E182,CATALOGO!G:L,6,0))</f>
        <v/>
      </c>
      <c r="G182" s="85" t="str">
        <f>IF('Consulta1'!F4274="","",'Consulta1'!F4274)</f>
        <v/>
      </c>
      <c r="H182" s="85" t="str">
        <f>IF('Consulta1'!G4274="","",'Consulta1'!G4274)</f>
        <v/>
      </c>
      <c r="I182" s="86" t="str">
        <f>IF('Consulta1'!H4274="","",'Consulta1'!H4274)</f>
        <v/>
      </c>
      <c r="J182" t="str">
        <f t="shared" si="2"/>
        <v/>
      </c>
      <c r="K182" t="str">
        <f>+IF(E182="","",VLOOKUP(E182,CATALOGO!G:I,2,0))</f>
        <v/>
      </c>
      <c r="L182" t="str">
        <f>+IF(E182="","",VLOOKUP(E182,CATALOGO!G:I,3,0))</f>
        <v/>
      </c>
      <c r="M182" s="87" t="str">
        <f>IF('Consulta1'!I4274="","",'Consulta1'!I4274)</f>
        <v/>
      </c>
      <c r="N182" s="88" t="str">
        <f>IF('Consulta1'!J4274="","",'Consulta1'!J4274)</f>
        <v/>
      </c>
    </row>
    <row r="183" spans="1:14" ht="18.75" x14ac:dyDescent="0.25">
      <c r="A183" s="82" t="str">
        <f>IF('Consulta1'!A4275="","",'Consulta1'!A4275)</f>
        <v/>
      </c>
      <c r="B183" s="82" t="str">
        <f>IF('Consulta1'!B4275="","",'Consulta1'!B4275)</f>
        <v/>
      </c>
      <c r="C183" s="83" t="str">
        <f>IF('Consulta1'!C4275="","",'Consulta1'!C4275)</f>
        <v/>
      </c>
      <c r="D183" s="84" t="str">
        <f>IF('Consulta1'!D4275="","",'Consulta1'!D4275)</f>
        <v/>
      </c>
      <c r="E183" s="82" t="str">
        <f>IF('Consulta1'!E4275="","",'Consulta1'!E4275)</f>
        <v/>
      </c>
      <c r="F183" t="str">
        <f>+IF(E183="","",VLOOKUP(E183,CATALOGO!G:L,6,0))</f>
        <v/>
      </c>
      <c r="G183" s="85" t="str">
        <f>IF('Consulta1'!F4275="","",'Consulta1'!F4275)</f>
        <v/>
      </c>
      <c r="H183" s="85" t="str">
        <f>IF('Consulta1'!G4275="","",'Consulta1'!G4275)</f>
        <v/>
      </c>
      <c r="I183" s="86" t="str">
        <f>IF('Consulta1'!H4275="","",'Consulta1'!H4275)</f>
        <v/>
      </c>
      <c r="J183" t="str">
        <f t="shared" si="2"/>
        <v/>
      </c>
      <c r="K183" t="str">
        <f>+IF(E183="","",VLOOKUP(E183,CATALOGO!G:I,2,0))</f>
        <v/>
      </c>
      <c r="L183" t="str">
        <f>+IF(E183="","",VLOOKUP(E183,CATALOGO!G:I,3,0))</f>
        <v/>
      </c>
      <c r="M183" s="87" t="str">
        <f>IF('Consulta1'!I4275="","",'Consulta1'!I4275)</f>
        <v/>
      </c>
      <c r="N183" s="88" t="str">
        <f>IF('Consulta1'!J4275="","",'Consulta1'!J4275)</f>
        <v/>
      </c>
    </row>
    <row r="184" spans="1:14" ht="18.75" x14ac:dyDescent="0.25">
      <c r="A184" s="82" t="str">
        <f>IF('Consulta1'!A4276="","",'Consulta1'!A4276)</f>
        <v/>
      </c>
      <c r="B184" s="82" t="str">
        <f>IF('Consulta1'!B4276="","",'Consulta1'!B4276)</f>
        <v/>
      </c>
      <c r="C184" s="83" t="str">
        <f>IF('Consulta1'!C4276="","",'Consulta1'!C4276)</f>
        <v/>
      </c>
      <c r="D184" s="84" t="str">
        <f>IF('Consulta1'!D4276="","",'Consulta1'!D4276)</f>
        <v/>
      </c>
      <c r="E184" s="82" t="str">
        <f>IF('Consulta1'!E4276="","",'Consulta1'!E4276)</f>
        <v/>
      </c>
      <c r="F184" t="str">
        <f>+IF(E184="","",VLOOKUP(E184,CATALOGO!G:L,6,0))</f>
        <v/>
      </c>
      <c r="G184" s="85" t="str">
        <f>IF('Consulta1'!F4276="","",'Consulta1'!F4276)</f>
        <v/>
      </c>
      <c r="H184" s="85" t="str">
        <f>IF('Consulta1'!G4276="","",'Consulta1'!G4276)</f>
        <v/>
      </c>
      <c r="I184" s="86" t="str">
        <f>IF('Consulta1'!H4276="","",'Consulta1'!H4276)</f>
        <v/>
      </c>
      <c r="J184" t="str">
        <f t="shared" si="2"/>
        <v/>
      </c>
      <c r="K184" t="str">
        <f>+IF(E184="","",VLOOKUP(E184,CATALOGO!G:I,2,0))</f>
        <v/>
      </c>
      <c r="L184" t="str">
        <f>+IF(E184="","",VLOOKUP(E184,CATALOGO!G:I,3,0))</f>
        <v/>
      </c>
      <c r="M184" s="87" t="str">
        <f>IF('Consulta1'!I4276="","",'Consulta1'!I4276)</f>
        <v/>
      </c>
      <c r="N184" s="88" t="str">
        <f>IF('Consulta1'!J4276="","",'Consulta1'!J4276)</f>
        <v/>
      </c>
    </row>
    <row r="185" spans="1:14" ht="18.75" x14ac:dyDescent="0.25">
      <c r="A185" s="82" t="str">
        <f>IF('Consulta1'!A4277="","",'Consulta1'!A4277)</f>
        <v/>
      </c>
      <c r="B185" s="82" t="str">
        <f>IF('Consulta1'!B4277="","",'Consulta1'!B4277)</f>
        <v/>
      </c>
      <c r="C185" s="83" t="str">
        <f>IF('Consulta1'!C4277="","",'Consulta1'!C4277)</f>
        <v/>
      </c>
      <c r="D185" s="84" t="str">
        <f>IF('Consulta1'!D4277="","",'Consulta1'!D4277)</f>
        <v/>
      </c>
      <c r="E185" s="82" t="str">
        <f>IF('Consulta1'!E4277="","",'Consulta1'!E4277)</f>
        <v/>
      </c>
      <c r="F185" t="str">
        <f>+IF(E185="","",VLOOKUP(E185,CATALOGO!G:L,6,0))</f>
        <v/>
      </c>
      <c r="G185" s="85" t="str">
        <f>IF('Consulta1'!F4277="","",'Consulta1'!F4277)</f>
        <v/>
      </c>
      <c r="H185" s="85" t="str">
        <f>IF('Consulta1'!G4277="","",'Consulta1'!G4277)</f>
        <v/>
      </c>
      <c r="I185" s="86" t="str">
        <f>IF('Consulta1'!H4277="","",'Consulta1'!H4277)</f>
        <v/>
      </c>
      <c r="J185" t="str">
        <f t="shared" si="2"/>
        <v/>
      </c>
      <c r="K185" t="str">
        <f>+IF(E185="","",VLOOKUP(E185,CATALOGO!G:I,2,0))</f>
        <v/>
      </c>
      <c r="L185" t="str">
        <f>+IF(E185="","",VLOOKUP(E185,CATALOGO!G:I,3,0))</f>
        <v/>
      </c>
      <c r="M185" s="87" t="str">
        <f>IF('Consulta1'!I4277="","",'Consulta1'!I4277)</f>
        <v/>
      </c>
      <c r="N185" s="88" t="str">
        <f>IF('Consulta1'!J4277="","",'Consulta1'!J4277)</f>
        <v/>
      </c>
    </row>
    <row r="186" spans="1:14" ht="18.75" x14ac:dyDescent="0.25">
      <c r="A186" s="82" t="str">
        <f>IF('Consulta1'!A4278="","",'Consulta1'!A4278)</f>
        <v/>
      </c>
      <c r="B186" s="82" t="str">
        <f>IF('Consulta1'!B4278="","",'Consulta1'!B4278)</f>
        <v/>
      </c>
      <c r="C186" s="83" t="str">
        <f>IF('Consulta1'!C4278="","",'Consulta1'!C4278)</f>
        <v/>
      </c>
      <c r="D186" s="84" t="str">
        <f>IF('Consulta1'!D4278="","",'Consulta1'!D4278)</f>
        <v/>
      </c>
      <c r="E186" s="82" t="str">
        <f>IF('Consulta1'!E4278="","",'Consulta1'!E4278)</f>
        <v/>
      </c>
      <c r="F186" t="str">
        <f>+IF(E186="","",VLOOKUP(E186,CATALOGO!G:L,6,0))</f>
        <v/>
      </c>
      <c r="G186" s="85" t="str">
        <f>IF('Consulta1'!F4278="","",'Consulta1'!F4278)</f>
        <v/>
      </c>
      <c r="H186" s="85" t="str">
        <f>IF('Consulta1'!G4278="","",'Consulta1'!G4278)</f>
        <v/>
      </c>
      <c r="I186" s="86" t="str">
        <f>IF('Consulta1'!H4278="","",'Consulta1'!H4278)</f>
        <v/>
      </c>
      <c r="J186" t="str">
        <f t="shared" si="2"/>
        <v/>
      </c>
      <c r="K186" t="str">
        <f>+IF(E186="","",VLOOKUP(E186,CATALOGO!G:I,2,0))</f>
        <v/>
      </c>
      <c r="L186" t="str">
        <f>+IF(E186="","",VLOOKUP(E186,CATALOGO!G:I,3,0))</f>
        <v/>
      </c>
      <c r="M186" s="87" t="str">
        <f>IF('Consulta1'!I4278="","",'Consulta1'!I4278)</f>
        <v/>
      </c>
      <c r="N186" s="88" t="str">
        <f>IF('Consulta1'!J4278="","",'Consulta1'!J4278)</f>
        <v/>
      </c>
    </row>
    <row r="187" spans="1:14" ht="18.75" x14ac:dyDescent="0.25">
      <c r="A187" s="82" t="str">
        <f>IF('Consulta1'!A4279="","",'Consulta1'!A4279)</f>
        <v/>
      </c>
      <c r="B187" s="82" t="str">
        <f>IF('Consulta1'!B4279="","",'Consulta1'!B4279)</f>
        <v/>
      </c>
      <c r="C187" s="83" t="str">
        <f>IF('Consulta1'!C4279="","",'Consulta1'!C4279)</f>
        <v/>
      </c>
      <c r="D187" s="84" t="str">
        <f>IF('Consulta1'!D4279="","",'Consulta1'!D4279)</f>
        <v/>
      </c>
      <c r="E187" s="82" t="str">
        <f>IF('Consulta1'!E4279="","",'Consulta1'!E4279)</f>
        <v/>
      </c>
      <c r="F187" t="str">
        <f>+IF(E187="","",VLOOKUP(E187,CATALOGO!G:L,6,0))</f>
        <v/>
      </c>
      <c r="G187" s="85" t="str">
        <f>IF('Consulta1'!F4279="","",'Consulta1'!F4279)</f>
        <v/>
      </c>
      <c r="H187" s="85" t="str">
        <f>IF('Consulta1'!G4279="","",'Consulta1'!G4279)</f>
        <v/>
      </c>
      <c r="I187" s="86" t="str">
        <f>IF('Consulta1'!H4279="","",'Consulta1'!H4279)</f>
        <v/>
      </c>
      <c r="J187" t="str">
        <f t="shared" si="2"/>
        <v/>
      </c>
      <c r="K187" t="str">
        <f>+IF(E187="","",VLOOKUP(E187,CATALOGO!G:I,2,0))</f>
        <v/>
      </c>
      <c r="L187" t="str">
        <f>+IF(E187="","",VLOOKUP(E187,CATALOGO!G:I,3,0))</f>
        <v/>
      </c>
      <c r="M187" s="87" t="str">
        <f>IF('Consulta1'!I4279="","",'Consulta1'!I4279)</f>
        <v/>
      </c>
      <c r="N187" s="88" t="str">
        <f>IF('Consulta1'!J4279="","",'Consulta1'!J4279)</f>
        <v/>
      </c>
    </row>
    <row r="188" spans="1:14" ht="18.75" x14ac:dyDescent="0.25">
      <c r="A188" s="82" t="str">
        <f>IF('Consulta1'!A4280="","",'Consulta1'!A4280)</f>
        <v/>
      </c>
      <c r="B188" s="82" t="str">
        <f>IF('Consulta1'!B4280="","",'Consulta1'!B4280)</f>
        <v/>
      </c>
      <c r="C188" s="83" t="str">
        <f>IF('Consulta1'!C4280="","",'Consulta1'!C4280)</f>
        <v/>
      </c>
      <c r="D188" s="84" t="str">
        <f>IF('Consulta1'!D4280="","",'Consulta1'!D4280)</f>
        <v/>
      </c>
      <c r="E188" s="82" t="str">
        <f>IF('Consulta1'!E4280="","",'Consulta1'!E4280)</f>
        <v/>
      </c>
      <c r="F188" t="str">
        <f>+IF(E188="","",VLOOKUP(E188,CATALOGO!G:L,6,0))</f>
        <v/>
      </c>
      <c r="G188" s="85" t="str">
        <f>IF('Consulta1'!F4280="","",'Consulta1'!F4280)</f>
        <v/>
      </c>
      <c r="H188" s="85" t="str">
        <f>IF('Consulta1'!G4280="","",'Consulta1'!G4280)</f>
        <v/>
      </c>
      <c r="I188" s="86" t="str">
        <f>IF('Consulta1'!H4280="","",'Consulta1'!H4280)</f>
        <v/>
      </c>
      <c r="J188" t="str">
        <f t="shared" si="2"/>
        <v/>
      </c>
      <c r="K188" t="str">
        <f>+IF(E188="","",VLOOKUP(E188,CATALOGO!G:I,2,0))</f>
        <v/>
      </c>
      <c r="L188" t="str">
        <f>+IF(E188="","",VLOOKUP(E188,CATALOGO!G:I,3,0))</f>
        <v/>
      </c>
      <c r="M188" s="87" t="str">
        <f>IF('Consulta1'!I4280="","",'Consulta1'!I4280)</f>
        <v/>
      </c>
      <c r="N188" s="88" t="str">
        <f>IF('Consulta1'!J4280="","",'Consulta1'!J4280)</f>
        <v/>
      </c>
    </row>
    <row r="189" spans="1:14" ht="18.75" x14ac:dyDescent="0.25">
      <c r="A189" s="82" t="str">
        <f>IF('Consulta1'!A4281="","",'Consulta1'!A4281)</f>
        <v/>
      </c>
      <c r="B189" s="82" t="str">
        <f>IF('Consulta1'!B4281="","",'Consulta1'!B4281)</f>
        <v/>
      </c>
      <c r="C189" s="83" t="str">
        <f>IF('Consulta1'!C4281="","",'Consulta1'!C4281)</f>
        <v/>
      </c>
      <c r="D189" s="84" t="str">
        <f>IF('Consulta1'!D4281="","",'Consulta1'!D4281)</f>
        <v/>
      </c>
      <c r="E189" s="82" t="str">
        <f>IF('Consulta1'!E4281="","",'Consulta1'!E4281)</f>
        <v/>
      </c>
      <c r="F189" t="str">
        <f>+IF(E189="","",VLOOKUP(E189,CATALOGO!G:L,6,0))</f>
        <v/>
      </c>
      <c r="G189" s="85" t="str">
        <f>IF('Consulta1'!F4281="","",'Consulta1'!F4281)</f>
        <v/>
      </c>
      <c r="H189" s="85" t="str">
        <f>IF('Consulta1'!G4281="","",'Consulta1'!G4281)</f>
        <v/>
      </c>
      <c r="I189" s="86" t="str">
        <f>IF('Consulta1'!H4281="","",'Consulta1'!H4281)</f>
        <v/>
      </c>
      <c r="J189" t="str">
        <f t="shared" si="2"/>
        <v/>
      </c>
      <c r="K189" t="str">
        <f>+IF(E189="","",VLOOKUP(E189,CATALOGO!G:I,2,0))</f>
        <v/>
      </c>
      <c r="L189" t="str">
        <f>+IF(E189="","",VLOOKUP(E189,CATALOGO!G:I,3,0))</f>
        <v/>
      </c>
      <c r="M189" s="87" t="str">
        <f>IF('Consulta1'!I4281="","",'Consulta1'!I4281)</f>
        <v/>
      </c>
      <c r="N189" s="88" t="str">
        <f>IF('Consulta1'!J4281="","",'Consulta1'!J4281)</f>
        <v/>
      </c>
    </row>
    <row r="190" spans="1:14" ht="18.75" x14ac:dyDescent="0.25">
      <c r="A190" s="82" t="str">
        <f>IF('Consulta1'!A4282="","",'Consulta1'!A4282)</f>
        <v/>
      </c>
      <c r="B190" s="82" t="str">
        <f>IF('Consulta1'!B4282="","",'Consulta1'!B4282)</f>
        <v/>
      </c>
      <c r="C190" s="83" t="str">
        <f>IF('Consulta1'!C4282="","",'Consulta1'!C4282)</f>
        <v/>
      </c>
      <c r="D190" s="84" t="str">
        <f>IF('Consulta1'!D4282="","",'Consulta1'!D4282)</f>
        <v/>
      </c>
      <c r="E190" s="82" t="str">
        <f>IF('Consulta1'!E4282="","",'Consulta1'!E4282)</f>
        <v/>
      </c>
      <c r="F190" t="str">
        <f>+IF(E190="","",VLOOKUP(E190,CATALOGO!G:L,6,0))</f>
        <v/>
      </c>
      <c r="G190" s="85" t="str">
        <f>IF('Consulta1'!F4282="","",'Consulta1'!F4282)</f>
        <v/>
      </c>
      <c r="H190" s="85" t="str">
        <f>IF('Consulta1'!G4282="","",'Consulta1'!G4282)</f>
        <v/>
      </c>
      <c r="I190" s="86" t="str">
        <f>IF('Consulta1'!H4282="","",'Consulta1'!H4282)</f>
        <v/>
      </c>
      <c r="J190" t="str">
        <f t="shared" si="2"/>
        <v/>
      </c>
      <c r="K190" t="str">
        <f>+IF(E190="","",VLOOKUP(E190,CATALOGO!G:I,2,0))</f>
        <v/>
      </c>
      <c r="L190" t="str">
        <f>+IF(E190="","",VLOOKUP(E190,CATALOGO!G:I,3,0))</f>
        <v/>
      </c>
      <c r="M190" s="87" t="str">
        <f>IF('Consulta1'!I4282="","",'Consulta1'!I4282)</f>
        <v/>
      </c>
      <c r="N190" s="88" t="str">
        <f>IF('Consulta1'!J4282="","",'Consulta1'!J4282)</f>
        <v/>
      </c>
    </row>
    <row r="191" spans="1:14" ht="18.75" x14ac:dyDescent="0.25">
      <c r="A191" s="82" t="str">
        <f>IF('Consulta1'!A4283="","",'Consulta1'!A4283)</f>
        <v/>
      </c>
      <c r="B191" s="82" t="str">
        <f>IF('Consulta1'!B4283="","",'Consulta1'!B4283)</f>
        <v/>
      </c>
      <c r="C191" s="83" t="str">
        <f>IF('Consulta1'!C4283="","",'Consulta1'!C4283)</f>
        <v/>
      </c>
      <c r="D191" s="84" t="str">
        <f>IF('Consulta1'!D4283="","",'Consulta1'!D4283)</f>
        <v/>
      </c>
      <c r="E191" s="82" t="str">
        <f>IF('Consulta1'!E4283="","",'Consulta1'!E4283)</f>
        <v/>
      </c>
      <c r="F191" t="str">
        <f>+IF(E191="","",VLOOKUP(E191,CATALOGO!G:L,6,0))</f>
        <v/>
      </c>
      <c r="G191" s="85" t="str">
        <f>IF('Consulta1'!F4283="","",'Consulta1'!F4283)</f>
        <v/>
      </c>
      <c r="H191" s="85" t="str">
        <f>IF('Consulta1'!G4283="","",'Consulta1'!G4283)</f>
        <v/>
      </c>
      <c r="I191" s="86" t="str">
        <f>IF('Consulta1'!H4283="","",'Consulta1'!H4283)</f>
        <v/>
      </c>
      <c r="J191" t="str">
        <f t="shared" si="2"/>
        <v/>
      </c>
      <c r="K191" t="str">
        <f>+IF(E191="","",VLOOKUP(E191,CATALOGO!G:I,2,0))</f>
        <v/>
      </c>
      <c r="L191" t="str">
        <f>+IF(E191="","",VLOOKUP(E191,CATALOGO!G:I,3,0))</f>
        <v/>
      </c>
      <c r="M191" s="87" t="str">
        <f>IF('Consulta1'!I4283="","",'Consulta1'!I4283)</f>
        <v/>
      </c>
      <c r="N191" s="88" t="str">
        <f>IF('Consulta1'!J4283="","",'Consulta1'!J4283)</f>
        <v/>
      </c>
    </row>
    <row r="192" spans="1:14" ht="18.75" x14ac:dyDescent="0.25">
      <c r="A192" s="82" t="str">
        <f>IF('Consulta1'!A4284="","",'Consulta1'!A4284)</f>
        <v/>
      </c>
      <c r="B192" s="82" t="str">
        <f>IF('Consulta1'!B4284="","",'Consulta1'!B4284)</f>
        <v/>
      </c>
      <c r="C192" s="83" t="str">
        <f>IF('Consulta1'!C4284="","",'Consulta1'!C4284)</f>
        <v/>
      </c>
      <c r="D192" s="84" t="str">
        <f>IF('Consulta1'!D4284="","",'Consulta1'!D4284)</f>
        <v/>
      </c>
      <c r="E192" s="82" t="str">
        <f>IF('Consulta1'!E4284="","",'Consulta1'!E4284)</f>
        <v/>
      </c>
      <c r="F192" t="str">
        <f>+IF(E192="","",VLOOKUP(E192,CATALOGO!G:L,6,0))</f>
        <v/>
      </c>
      <c r="G192" s="85" t="str">
        <f>IF('Consulta1'!F4284="","",'Consulta1'!F4284)</f>
        <v/>
      </c>
      <c r="H192" s="85" t="str">
        <f>IF('Consulta1'!G4284="","",'Consulta1'!G4284)</f>
        <v/>
      </c>
      <c r="I192" s="86" t="str">
        <f>IF('Consulta1'!H4284="","",'Consulta1'!H4284)</f>
        <v/>
      </c>
      <c r="J192" t="str">
        <f t="shared" si="2"/>
        <v/>
      </c>
      <c r="K192" t="str">
        <f>+IF(E192="","",VLOOKUP(E192,CATALOGO!G:I,2,0))</f>
        <v/>
      </c>
      <c r="L192" t="str">
        <f>+IF(E192="","",VLOOKUP(E192,CATALOGO!G:I,3,0))</f>
        <v/>
      </c>
      <c r="M192" s="87" t="str">
        <f>IF('Consulta1'!I4284="","",'Consulta1'!I4284)</f>
        <v/>
      </c>
      <c r="N192" s="88" t="str">
        <f>IF('Consulta1'!J4284="","",'Consulta1'!J4284)</f>
        <v/>
      </c>
    </row>
    <row r="193" spans="1:14" ht="18.75" x14ac:dyDescent="0.25">
      <c r="A193" s="82" t="str">
        <f>IF('Consulta1'!A4285="","",'Consulta1'!A4285)</f>
        <v/>
      </c>
      <c r="B193" s="82" t="str">
        <f>IF('Consulta1'!B4285="","",'Consulta1'!B4285)</f>
        <v/>
      </c>
      <c r="C193" s="83" t="str">
        <f>IF('Consulta1'!C4285="","",'Consulta1'!C4285)</f>
        <v/>
      </c>
      <c r="D193" s="84" t="str">
        <f>IF('Consulta1'!D4285="","",'Consulta1'!D4285)</f>
        <v/>
      </c>
      <c r="E193" s="82" t="str">
        <f>IF('Consulta1'!E4285="","",'Consulta1'!E4285)</f>
        <v/>
      </c>
      <c r="F193" t="str">
        <f>+IF(E193="","",VLOOKUP(E193,CATALOGO!G:L,6,0))</f>
        <v/>
      </c>
      <c r="G193" s="85" t="str">
        <f>IF('Consulta1'!F4285="","",'Consulta1'!F4285)</f>
        <v/>
      </c>
      <c r="H193" s="85" t="str">
        <f>IF('Consulta1'!G4285="","",'Consulta1'!G4285)</f>
        <v/>
      </c>
      <c r="I193" s="86" t="str">
        <f>IF('Consulta1'!H4285="","",'Consulta1'!H4285)</f>
        <v/>
      </c>
      <c r="J193" t="str">
        <f t="shared" si="2"/>
        <v/>
      </c>
      <c r="K193" t="str">
        <f>+IF(E193="","",VLOOKUP(E193,CATALOGO!G:I,2,0))</f>
        <v/>
      </c>
      <c r="L193" t="str">
        <f>+IF(E193="","",VLOOKUP(E193,CATALOGO!G:I,3,0))</f>
        <v/>
      </c>
      <c r="M193" s="87" t="str">
        <f>IF('Consulta1'!I4285="","",'Consulta1'!I4285)</f>
        <v/>
      </c>
      <c r="N193" s="88" t="str">
        <f>IF('Consulta1'!J4285="","",'Consulta1'!J4285)</f>
        <v/>
      </c>
    </row>
    <row r="194" spans="1:14" ht="18.75" x14ac:dyDescent="0.25">
      <c r="A194" s="82" t="str">
        <f>IF('Consulta1'!A4286="","",'Consulta1'!A4286)</f>
        <v/>
      </c>
      <c r="B194" s="82" t="str">
        <f>IF('Consulta1'!B4286="","",'Consulta1'!B4286)</f>
        <v/>
      </c>
      <c r="C194" s="83" t="str">
        <f>IF('Consulta1'!C4286="","",'Consulta1'!C4286)</f>
        <v/>
      </c>
      <c r="D194" s="84" t="str">
        <f>IF('Consulta1'!D4286="","",'Consulta1'!D4286)</f>
        <v/>
      </c>
      <c r="E194" s="82" t="str">
        <f>IF('Consulta1'!E4286="","",'Consulta1'!E4286)</f>
        <v/>
      </c>
      <c r="F194" t="str">
        <f>+IF(E194="","",VLOOKUP(E194,CATALOGO!G:L,6,0))</f>
        <v/>
      </c>
      <c r="G194" s="85" t="str">
        <f>IF('Consulta1'!F4286="","",'Consulta1'!F4286)</f>
        <v/>
      </c>
      <c r="H194" s="85" t="str">
        <f>IF('Consulta1'!G4286="","",'Consulta1'!G4286)</f>
        <v/>
      </c>
      <c r="I194" s="86" t="str">
        <f>IF('Consulta1'!H4286="","",'Consulta1'!H4286)</f>
        <v/>
      </c>
      <c r="J194" t="str">
        <f t="shared" si="2"/>
        <v/>
      </c>
      <c r="K194" t="str">
        <f>+IF(E194="","",VLOOKUP(E194,CATALOGO!G:I,2,0))</f>
        <v/>
      </c>
      <c r="L194" t="str">
        <f>+IF(E194="","",VLOOKUP(E194,CATALOGO!G:I,3,0))</f>
        <v/>
      </c>
      <c r="M194" s="87" t="str">
        <f>IF('Consulta1'!I4286="","",'Consulta1'!I4286)</f>
        <v/>
      </c>
      <c r="N194" s="88" t="str">
        <f>IF('Consulta1'!J4286="","",'Consulta1'!J4286)</f>
        <v/>
      </c>
    </row>
    <row r="195" spans="1:14" ht="18.75" x14ac:dyDescent="0.25">
      <c r="A195" s="82" t="str">
        <f>IF('Consulta1'!A4287="","",'Consulta1'!A4287)</f>
        <v/>
      </c>
      <c r="B195" s="82" t="str">
        <f>IF('Consulta1'!B4287="","",'Consulta1'!B4287)</f>
        <v/>
      </c>
      <c r="C195" s="83" t="str">
        <f>IF('Consulta1'!C4287="","",'Consulta1'!C4287)</f>
        <v/>
      </c>
      <c r="D195" s="84" t="str">
        <f>IF('Consulta1'!D4287="","",'Consulta1'!D4287)</f>
        <v/>
      </c>
      <c r="E195" s="82" t="str">
        <f>IF('Consulta1'!E4287="","",'Consulta1'!E4287)</f>
        <v/>
      </c>
      <c r="F195" t="str">
        <f>+IF(E195="","",VLOOKUP(E195,CATALOGO!G:L,6,0))</f>
        <v/>
      </c>
      <c r="G195" s="85" t="str">
        <f>IF('Consulta1'!F4287="","",'Consulta1'!F4287)</f>
        <v/>
      </c>
      <c r="H195" s="85" t="str">
        <f>IF('Consulta1'!G4287="","",'Consulta1'!G4287)</f>
        <v/>
      </c>
      <c r="I195" s="86" t="str">
        <f>IF('Consulta1'!H4287="","",'Consulta1'!H4287)</f>
        <v/>
      </c>
      <c r="J195" t="str">
        <f t="shared" ref="J195:J258" si="3">+IF(E195="","",WEEKNUM(I195))</f>
        <v/>
      </c>
      <c r="K195" t="str">
        <f>+IF(E195="","",VLOOKUP(E195,CATALOGO!G:I,2,0))</f>
        <v/>
      </c>
      <c r="L195" t="str">
        <f>+IF(E195="","",VLOOKUP(E195,CATALOGO!G:I,3,0))</f>
        <v/>
      </c>
      <c r="M195" s="87" t="str">
        <f>IF('Consulta1'!I4287="","",'Consulta1'!I4287)</f>
        <v/>
      </c>
      <c r="N195" s="88" t="str">
        <f>IF('Consulta1'!J4287="","",'Consulta1'!J4287)</f>
        <v/>
      </c>
    </row>
    <row r="196" spans="1:14" ht="18.75" x14ac:dyDescent="0.25">
      <c r="A196" s="82" t="str">
        <f>IF('Consulta1'!A4288="","",'Consulta1'!A4288)</f>
        <v/>
      </c>
      <c r="B196" s="82" t="str">
        <f>IF('Consulta1'!B4288="","",'Consulta1'!B4288)</f>
        <v/>
      </c>
      <c r="C196" s="83" t="str">
        <f>IF('Consulta1'!C4288="","",'Consulta1'!C4288)</f>
        <v/>
      </c>
      <c r="D196" s="84" t="str">
        <f>IF('Consulta1'!D4288="","",'Consulta1'!D4288)</f>
        <v/>
      </c>
      <c r="E196" s="82" t="str">
        <f>IF('Consulta1'!E4288="","",'Consulta1'!E4288)</f>
        <v/>
      </c>
      <c r="F196" t="str">
        <f>+IF(E196="","",VLOOKUP(E196,CATALOGO!G:L,6,0))</f>
        <v/>
      </c>
      <c r="G196" s="85" t="str">
        <f>IF('Consulta1'!F4288="","",'Consulta1'!F4288)</f>
        <v/>
      </c>
      <c r="H196" s="85" t="str">
        <f>IF('Consulta1'!G4288="","",'Consulta1'!G4288)</f>
        <v/>
      </c>
      <c r="I196" s="86" t="str">
        <f>IF('Consulta1'!H4288="","",'Consulta1'!H4288)</f>
        <v/>
      </c>
      <c r="J196" t="str">
        <f t="shared" si="3"/>
        <v/>
      </c>
      <c r="K196" t="str">
        <f>+IF(E196="","",VLOOKUP(E196,CATALOGO!G:I,2,0))</f>
        <v/>
      </c>
      <c r="L196" t="str">
        <f>+IF(E196="","",VLOOKUP(E196,CATALOGO!G:I,3,0))</f>
        <v/>
      </c>
      <c r="M196" s="87" t="str">
        <f>IF('Consulta1'!I4288="","",'Consulta1'!I4288)</f>
        <v/>
      </c>
      <c r="N196" s="88" t="str">
        <f>IF('Consulta1'!J4288="","",'Consulta1'!J4288)</f>
        <v/>
      </c>
    </row>
    <row r="197" spans="1:14" ht="18.75" x14ac:dyDescent="0.25">
      <c r="A197" s="82" t="str">
        <f>IF('Consulta1'!A4289="","",'Consulta1'!A4289)</f>
        <v/>
      </c>
      <c r="B197" s="82" t="str">
        <f>IF('Consulta1'!B4289="","",'Consulta1'!B4289)</f>
        <v/>
      </c>
      <c r="C197" s="83" t="str">
        <f>IF('Consulta1'!C4289="","",'Consulta1'!C4289)</f>
        <v/>
      </c>
      <c r="D197" s="84" t="str">
        <f>IF('Consulta1'!D4289="","",'Consulta1'!D4289)</f>
        <v/>
      </c>
      <c r="E197" s="82" t="str">
        <f>IF('Consulta1'!E4289="","",'Consulta1'!E4289)</f>
        <v/>
      </c>
      <c r="F197" t="str">
        <f>+IF(E197="","",VLOOKUP(E197,CATALOGO!G:L,6,0))</f>
        <v/>
      </c>
      <c r="G197" s="85" t="str">
        <f>IF('Consulta1'!F4289="","",'Consulta1'!F4289)</f>
        <v/>
      </c>
      <c r="H197" s="85" t="str">
        <f>IF('Consulta1'!G4289="","",'Consulta1'!G4289)</f>
        <v/>
      </c>
      <c r="I197" s="86" t="str">
        <f>IF('Consulta1'!H4289="","",'Consulta1'!H4289)</f>
        <v/>
      </c>
      <c r="J197" t="str">
        <f t="shared" si="3"/>
        <v/>
      </c>
      <c r="K197" t="str">
        <f>+IF(E197="","",VLOOKUP(E197,CATALOGO!G:I,2,0))</f>
        <v/>
      </c>
      <c r="L197" t="str">
        <f>+IF(E197="","",VLOOKUP(E197,CATALOGO!G:I,3,0))</f>
        <v/>
      </c>
      <c r="M197" s="87" t="str">
        <f>IF('Consulta1'!I4289="","",'Consulta1'!I4289)</f>
        <v/>
      </c>
      <c r="N197" s="88" t="str">
        <f>IF('Consulta1'!J4289="","",'Consulta1'!J4289)</f>
        <v/>
      </c>
    </row>
    <row r="198" spans="1:14" ht="18.75" x14ac:dyDescent="0.25">
      <c r="A198" s="82" t="str">
        <f>IF('Consulta1'!A4290="","",'Consulta1'!A4290)</f>
        <v/>
      </c>
      <c r="B198" s="82" t="str">
        <f>IF('Consulta1'!B4290="","",'Consulta1'!B4290)</f>
        <v/>
      </c>
      <c r="C198" s="83" t="str">
        <f>IF('Consulta1'!C4290="","",'Consulta1'!C4290)</f>
        <v/>
      </c>
      <c r="D198" s="84" t="str">
        <f>IF('Consulta1'!D4290="","",'Consulta1'!D4290)</f>
        <v/>
      </c>
      <c r="E198" s="82" t="str">
        <f>IF('Consulta1'!E4290="","",'Consulta1'!E4290)</f>
        <v/>
      </c>
      <c r="F198" t="str">
        <f>+IF(E198="","",VLOOKUP(E198,CATALOGO!G:L,6,0))</f>
        <v/>
      </c>
      <c r="G198" s="85" t="str">
        <f>IF('Consulta1'!F4290="","",'Consulta1'!F4290)</f>
        <v/>
      </c>
      <c r="H198" s="85" t="str">
        <f>IF('Consulta1'!G4290="","",'Consulta1'!G4290)</f>
        <v/>
      </c>
      <c r="I198" s="86" t="str">
        <f>IF('Consulta1'!H4290="","",'Consulta1'!H4290)</f>
        <v/>
      </c>
      <c r="J198" t="str">
        <f t="shared" si="3"/>
        <v/>
      </c>
      <c r="K198" t="str">
        <f>+IF(E198="","",VLOOKUP(E198,CATALOGO!G:I,2,0))</f>
        <v/>
      </c>
      <c r="L198" t="str">
        <f>+IF(E198="","",VLOOKUP(E198,CATALOGO!G:I,3,0))</f>
        <v/>
      </c>
      <c r="M198" s="87" t="str">
        <f>IF('Consulta1'!I4290="","",'Consulta1'!I4290)</f>
        <v/>
      </c>
      <c r="N198" s="88" t="str">
        <f>IF('Consulta1'!J4290="","",'Consulta1'!J4290)</f>
        <v/>
      </c>
    </row>
    <row r="199" spans="1:14" ht="18.75" x14ac:dyDescent="0.25">
      <c r="A199" s="82" t="str">
        <f>IF('Consulta1'!A4291="","",'Consulta1'!A4291)</f>
        <v/>
      </c>
      <c r="B199" s="82" t="str">
        <f>IF('Consulta1'!B4291="","",'Consulta1'!B4291)</f>
        <v/>
      </c>
      <c r="C199" s="83" t="str">
        <f>IF('Consulta1'!C4291="","",'Consulta1'!C4291)</f>
        <v/>
      </c>
      <c r="D199" s="84" t="str">
        <f>IF('Consulta1'!D4291="","",'Consulta1'!D4291)</f>
        <v/>
      </c>
      <c r="E199" s="82" t="str">
        <f>IF('Consulta1'!E4291="","",'Consulta1'!E4291)</f>
        <v/>
      </c>
      <c r="F199" t="str">
        <f>+IF(E199="","",VLOOKUP(E199,CATALOGO!G:L,6,0))</f>
        <v/>
      </c>
      <c r="G199" s="85" t="str">
        <f>IF('Consulta1'!F4291="","",'Consulta1'!F4291)</f>
        <v/>
      </c>
      <c r="H199" s="85" t="str">
        <f>IF('Consulta1'!G4291="","",'Consulta1'!G4291)</f>
        <v/>
      </c>
      <c r="I199" s="86" t="str">
        <f>IF('Consulta1'!H4291="","",'Consulta1'!H4291)</f>
        <v/>
      </c>
      <c r="J199" t="str">
        <f t="shared" si="3"/>
        <v/>
      </c>
      <c r="K199" t="str">
        <f>+IF(E199="","",VLOOKUP(E199,CATALOGO!G:I,2,0))</f>
        <v/>
      </c>
      <c r="L199" t="str">
        <f>+IF(E199="","",VLOOKUP(E199,CATALOGO!G:I,3,0))</f>
        <v/>
      </c>
      <c r="M199" s="87" t="str">
        <f>IF('Consulta1'!I4291="","",'Consulta1'!I4291)</f>
        <v/>
      </c>
      <c r="N199" s="88" t="str">
        <f>IF('Consulta1'!J4291="","",'Consulta1'!J4291)</f>
        <v/>
      </c>
    </row>
    <row r="200" spans="1:14" ht="18.75" x14ac:dyDescent="0.25">
      <c r="A200" s="82" t="str">
        <f>IF('Consulta1'!A4292="","",'Consulta1'!A4292)</f>
        <v/>
      </c>
      <c r="B200" s="82" t="str">
        <f>IF('Consulta1'!B4292="","",'Consulta1'!B4292)</f>
        <v/>
      </c>
      <c r="C200" s="83" t="str">
        <f>IF('Consulta1'!C4292="","",'Consulta1'!C4292)</f>
        <v/>
      </c>
      <c r="D200" s="84" t="str">
        <f>IF('Consulta1'!D4292="","",'Consulta1'!D4292)</f>
        <v/>
      </c>
      <c r="E200" s="82" t="str">
        <f>IF('Consulta1'!E4292="","",'Consulta1'!E4292)</f>
        <v/>
      </c>
      <c r="F200" t="str">
        <f>+IF(E200="","",VLOOKUP(E200,CATALOGO!G:L,6,0))</f>
        <v/>
      </c>
      <c r="G200" s="85" t="str">
        <f>IF('Consulta1'!F4292="","",'Consulta1'!F4292)</f>
        <v/>
      </c>
      <c r="H200" s="85" t="str">
        <f>IF('Consulta1'!G4292="","",'Consulta1'!G4292)</f>
        <v/>
      </c>
      <c r="I200" s="86" t="str">
        <f>IF('Consulta1'!H4292="","",'Consulta1'!H4292)</f>
        <v/>
      </c>
      <c r="J200" t="str">
        <f t="shared" si="3"/>
        <v/>
      </c>
      <c r="K200" t="str">
        <f>+IF(E200="","",VLOOKUP(E200,CATALOGO!G:I,2,0))</f>
        <v/>
      </c>
      <c r="L200" t="str">
        <f>+IF(E200="","",VLOOKUP(E200,CATALOGO!G:I,3,0))</f>
        <v/>
      </c>
      <c r="M200" s="87" t="str">
        <f>IF('Consulta1'!I4292="","",'Consulta1'!I4292)</f>
        <v/>
      </c>
      <c r="N200" s="88" t="str">
        <f>IF('Consulta1'!J4292="","",'Consulta1'!J4292)</f>
        <v/>
      </c>
    </row>
    <row r="201" spans="1:14" ht="18.75" x14ac:dyDescent="0.25">
      <c r="A201" s="82" t="str">
        <f>IF('Consulta1'!A4293="","",'Consulta1'!A4293)</f>
        <v/>
      </c>
      <c r="B201" s="82" t="str">
        <f>IF('Consulta1'!B4293="","",'Consulta1'!B4293)</f>
        <v/>
      </c>
      <c r="C201" s="83" t="str">
        <f>IF('Consulta1'!C4293="","",'Consulta1'!C4293)</f>
        <v/>
      </c>
      <c r="D201" s="84" t="str">
        <f>IF('Consulta1'!D4293="","",'Consulta1'!D4293)</f>
        <v/>
      </c>
      <c r="E201" s="82" t="str">
        <f>IF('Consulta1'!E4293="","",'Consulta1'!E4293)</f>
        <v/>
      </c>
      <c r="F201" t="str">
        <f>+IF(E201="","",VLOOKUP(E201,CATALOGO!G:L,6,0))</f>
        <v/>
      </c>
      <c r="G201" s="85" t="str">
        <f>IF('Consulta1'!F4293="","",'Consulta1'!F4293)</f>
        <v/>
      </c>
      <c r="H201" s="85" t="str">
        <f>IF('Consulta1'!G4293="","",'Consulta1'!G4293)</f>
        <v/>
      </c>
      <c r="I201" s="86" t="str">
        <f>IF('Consulta1'!H4293="","",'Consulta1'!H4293)</f>
        <v/>
      </c>
      <c r="J201" t="str">
        <f t="shared" si="3"/>
        <v/>
      </c>
      <c r="K201" t="str">
        <f>+IF(E201="","",VLOOKUP(E201,CATALOGO!G:I,2,0))</f>
        <v/>
      </c>
      <c r="L201" t="str">
        <f>+IF(E201="","",VLOOKUP(E201,CATALOGO!G:I,3,0))</f>
        <v/>
      </c>
      <c r="M201" s="87" t="str">
        <f>IF('Consulta1'!I4293="","",'Consulta1'!I4293)</f>
        <v/>
      </c>
      <c r="N201" s="88" t="str">
        <f>IF('Consulta1'!J4293="","",'Consulta1'!J4293)</f>
        <v/>
      </c>
    </row>
    <row r="202" spans="1:14" ht="18.75" x14ac:dyDescent="0.25">
      <c r="A202" s="82" t="str">
        <f>IF('Consulta1'!A4294="","",'Consulta1'!A4294)</f>
        <v/>
      </c>
      <c r="B202" s="82" t="str">
        <f>IF('Consulta1'!B4294="","",'Consulta1'!B4294)</f>
        <v/>
      </c>
      <c r="C202" s="83" t="str">
        <f>IF('Consulta1'!C4294="","",'Consulta1'!C4294)</f>
        <v/>
      </c>
      <c r="D202" s="84" t="str">
        <f>IF('Consulta1'!D4294="","",'Consulta1'!D4294)</f>
        <v/>
      </c>
      <c r="E202" s="82" t="str">
        <f>IF('Consulta1'!E4294="","",'Consulta1'!E4294)</f>
        <v/>
      </c>
      <c r="F202" t="str">
        <f>+IF(E202="","",VLOOKUP(E202,CATALOGO!G:L,6,0))</f>
        <v/>
      </c>
      <c r="G202" s="85" t="str">
        <f>IF('Consulta1'!F4294="","",'Consulta1'!F4294)</f>
        <v/>
      </c>
      <c r="H202" s="85" t="str">
        <f>IF('Consulta1'!G4294="","",'Consulta1'!G4294)</f>
        <v/>
      </c>
      <c r="I202" s="86" t="str">
        <f>IF('Consulta1'!H4294="","",'Consulta1'!H4294)</f>
        <v/>
      </c>
      <c r="J202" t="str">
        <f t="shared" si="3"/>
        <v/>
      </c>
      <c r="K202" t="str">
        <f>+IF(E202="","",VLOOKUP(E202,CATALOGO!G:I,2,0))</f>
        <v/>
      </c>
      <c r="L202" t="str">
        <f>+IF(E202="","",VLOOKUP(E202,CATALOGO!G:I,3,0))</f>
        <v/>
      </c>
      <c r="M202" s="87" t="str">
        <f>IF('Consulta1'!I4294="","",'Consulta1'!I4294)</f>
        <v/>
      </c>
      <c r="N202" s="88" t="str">
        <f>IF('Consulta1'!J4294="","",'Consulta1'!J4294)</f>
        <v/>
      </c>
    </row>
    <row r="203" spans="1:14" ht="18.75" x14ac:dyDescent="0.25">
      <c r="A203" s="82" t="str">
        <f>IF('Consulta1'!A4295="","",'Consulta1'!A4295)</f>
        <v/>
      </c>
      <c r="B203" s="82" t="str">
        <f>IF('Consulta1'!B4295="","",'Consulta1'!B4295)</f>
        <v/>
      </c>
      <c r="C203" s="83" t="str">
        <f>IF('Consulta1'!C4295="","",'Consulta1'!C4295)</f>
        <v/>
      </c>
      <c r="D203" s="84" t="str">
        <f>IF('Consulta1'!D4295="","",'Consulta1'!D4295)</f>
        <v/>
      </c>
      <c r="E203" s="82" t="str">
        <f>IF('Consulta1'!E4295="","",'Consulta1'!E4295)</f>
        <v/>
      </c>
      <c r="F203" t="str">
        <f>+IF(E203="","",VLOOKUP(E203,CATALOGO!G:L,6,0))</f>
        <v/>
      </c>
      <c r="G203" s="85" t="str">
        <f>IF('Consulta1'!F4295="","",'Consulta1'!F4295)</f>
        <v/>
      </c>
      <c r="H203" s="85" t="str">
        <f>IF('Consulta1'!G4295="","",'Consulta1'!G4295)</f>
        <v/>
      </c>
      <c r="I203" s="86" t="str">
        <f>IF('Consulta1'!H4295="","",'Consulta1'!H4295)</f>
        <v/>
      </c>
      <c r="J203" t="str">
        <f t="shared" si="3"/>
        <v/>
      </c>
      <c r="K203" t="str">
        <f>+IF(E203="","",VLOOKUP(E203,CATALOGO!G:I,2,0))</f>
        <v/>
      </c>
      <c r="L203" t="str">
        <f>+IF(E203="","",VLOOKUP(E203,CATALOGO!G:I,3,0))</f>
        <v/>
      </c>
      <c r="M203" s="87" t="str">
        <f>IF('Consulta1'!I4295="","",'Consulta1'!I4295)</f>
        <v/>
      </c>
      <c r="N203" s="88" t="str">
        <f>IF('Consulta1'!J4295="","",'Consulta1'!J4295)</f>
        <v/>
      </c>
    </row>
    <row r="204" spans="1:14" ht="18.75" x14ac:dyDescent="0.25">
      <c r="A204" s="82" t="str">
        <f>IF('Consulta1'!A4296="","",'Consulta1'!A4296)</f>
        <v/>
      </c>
      <c r="B204" s="82" t="str">
        <f>IF('Consulta1'!B4296="","",'Consulta1'!B4296)</f>
        <v/>
      </c>
      <c r="C204" s="83" t="str">
        <f>IF('Consulta1'!C4296="","",'Consulta1'!C4296)</f>
        <v/>
      </c>
      <c r="D204" s="84" t="str">
        <f>IF('Consulta1'!D4296="","",'Consulta1'!D4296)</f>
        <v/>
      </c>
      <c r="E204" s="82" t="str">
        <f>IF('Consulta1'!E4296="","",'Consulta1'!E4296)</f>
        <v/>
      </c>
      <c r="F204" t="str">
        <f>+IF(E204="","",VLOOKUP(E204,CATALOGO!G:L,6,0))</f>
        <v/>
      </c>
      <c r="G204" s="85" t="str">
        <f>IF('Consulta1'!F4296="","",'Consulta1'!F4296)</f>
        <v/>
      </c>
      <c r="H204" s="85" t="str">
        <f>IF('Consulta1'!G4296="","",'Consulta1'!G4296)</f>
        <v/>
      </c>
      <c r="I204" s="86" t="str">
        <f>IF('Consulta1'!H4296="","",'Consulta1'!H4296)</f>
        <v/>
      </c>
      <c r="J204" t="str">
        <f t="shared" si="3"/>
        <v/>
      </c>
      <c r="K204" t="str">
        <f>+IF(E204="","",VLOOKUP(E204,CATALOGO!G:I,2,0))</f>
        <v/>
      </c>
      <c r="L204" t="str">
        <f>+IF(E204="","",VLOOKUP(E204,CATALOGO!G:I,3,0))</f>
        <v/>
      </c>
      <c r="M204" s="87" t="str">
        <f>IF('Consulta1'!I4296="","",'Consulta1'!I4296)</f>
        <v/>
      </c>
      <c r="N204" s="88" t="str">
        <f>IF('Consulta1'!J4296="","",'Consulta1'!J4296)</f>
        <v/>
      </c>
    </row>
    <row r="205" spans="1:14" ht="18.75" x14ac:dyDescent="0.25">
      <c r="A205" s="82" t="str">
        <f>IF('Consulta1'!A4297="","",'Consulta1'!A4297)</f>
        <v/>
      </c>
      <c r="B205" s="82" t="str">
        <f>IF('Consulta1'!B4297="","",'Consulta1'!B4297)</f>
        <v/>
      </c>
      <c r="C205" s="83" t="str">
        <f>IF('Consulta1'!C4297="","",'Consulta1'!C4297)</f>
        <v/>
      </c>
      <c r="D205" s="84" t="str">
        <f>IF('Consulta1'!D4297="","",'Consulta1'!D4297)</f>
        <v/>
      </c>
      <c r="E205" s="82" t="str">
        <f>IF('Consulta1'!E4297="","",'Consulta1'!E4297)</f>
        <v/>
      </c>
      <c r="F205" t="str">
        <f>+IF(E205="","",VLOOKUP(E205,CATALOGO!G:L,6,0))</f>
        <v/>
      </c>
      <c r="G205" s="85" t="str">
        <f>IF('Consulta1'!F4297="","",'Consulta1'!F4297)</f>
        <v/>
      </c>
      <c r="H205" s="85" t="str">
        <f>IF('Consulta1'!G4297="","",'Consulta1'!G4297)</f>
        <v/>
      </c>
      <c r="I205" s="86" t="str">
        <f>IF('Consulta1'!H4297="","",'Consulta1'!H4297)</f>
        <v/>
      </c>
      <c r="J205" t="str">
        <f t="shared" si="3"/>
        <v/>
      </c>
      <c r="K205" t="str">
        <f>+IF(E205="","",VLOOKUP(E205,CATALOGO!G:I,2,0))</f>
        <v/>
      </c>
      <c r="L205" t="str">
        <f>+IF(E205="","",VLOOKUP(E205,CATALOGO!G:I,3,0))</f>
        <v/>
      </c>
      <c r="M205" s="87" t="str">
        <f>IF('Consulta1'!I4297="","",'Consulta1'!I4297)</f>
        <v/>
      </c>
      <c r="N205" s="88" t="str">
        <f>IF('Consulta1'!J4297="","",'Consulta1'!J4297)</f>
        <v/>
      </c>
    </row>
    <row r="206" spans="1:14" ht="18.75" x14ac:dyDescent="0.25">
      <c r="A206" s="82" t="str">
        <f>IF('Consulta1'!A4298="","",'Consulta1'!A4298)</f>
        <v/>
      </c>
      <c r="B206" s="82" t="str">
        <f>IF('Consulta1'!B4298="","",'Consulta1'!B4298)</f>
        <v/>
      </c>
      <c r="C206" s="83" t="str">
        <f>IF('Consulta1'!C4298="","",'Consulta1'!C4298)</f>
        <v/>
      </c>
      <c r="D206" s="84" t="str">
        <f>IF('Consulta1'!D4298="","",'Consulta1'!D4298)</f>
        <v/>
      </c>
      <c r="E206" s="82" t="str">
        <f>IF('Consulta1'!E4298="","",'Consulta1'!E4298)</f>
        <v/>
      </c>
      <c r="F206" t="str">
        <f>+IF(E206="","",VLOOKUP(E206,CATALOGO!G:L,6,0))</f>
        <v/>
      </c>
      <c r="G206" s="85" t="str">
        <f>IF('Consulta1'!F4298="","",'Consulta1'!F4298)</f>
        <v/>
      </c>
      <c r="H206" s="85" t="str">
        <f>IF('Consulta1'!G4298="","",'Consulta1'!G4298)</f>
        <v/>
      </c>
      <c r="I206" s="86" t="str">
        <f>IF('Consulta1'!H4298="","",'Consulta1'!H4298)</f>
        <v/>
      </c>
      <c r="J206" t="str">
        <f t="shared" si="3"/>
        <v/>
      </c>
      <c r="K206" t="str">
        <f>+IF(E206="","",VLOOKUP(E206,CATALOGO!G:I,2,0))</f>
        <v/>
      </c>
      <c r="L206" t="str">
        <f>+IF(E206="","",VLOOKUP(E206,CATALOGO!G:I,3,0))</f>
        <v/>
      </c>
      <c r="M206" s="87" t="str">
        <f>IF('Consulta1'!I4298="","",'Consulta1'!I4298)</f>
        <v/>
      </c>
      <c r="N206" s="88" t="str">
        <f>IF('Consulta1'!J4298="","",'Consulta1'!J4298)</f>
        <v/>
      </c>
    </row>
    <row r="207" spans="1:14" ht="18.75" x14ac:dyDescent="0.25">
      <c r="A207" s="82" t="str">
        <f>IF('Consulta1'!A4299="","",'Consulta1'!A4299)</f>
        <v/>
      </c>
      <c r="B207" s="82" t="str">
        <f>IF('Consulta1'!B4299="","",'Consulta1'!B4299)</f>
        <v/>
      </c>
      <c r="C207" s="83" t="str">
        <f>IF('Consulta1'!C4299="","",'Consulta1'!C4299)</f>
        <v/>
      </c>
      <c r="D207" s="84" t="str">
        <f>IF('Consulta1'!D4299="","",'Consulta1'!D4299)</f>
        <v/>
      </c>
      <c r="E207" s="82" t="str">
        <f>IF('Consulta1'!E4299="","",'Consulta1'!E4299)</f>
        <v/>
      </c>
      <c r="F207" t="str">
        <f>+IF(E207="","",VLOOKUP(E207,CATALOGO!G:L,6,0))</f>
        <v/>
      </c>
      <c r="G207" s="85" t="str">
        <f>IF('Consulta1'!F4299="","",'Consulta1'!F4299)</f>
        <v/>
      </c>
      <c r="H207" s="85" t="str">
        <f>IF('Consulta1'!G4299="","",'Consulta1'!G4299)</f>
        <v/>
      </c>
      <c r="I207" s="86" t="str">
        <f>IF('Consulta1'!H4299="","",'Consulta1'!H4299)</f>
        <v/>
      </c>
      <c r="J207" t="str">
        <f t="shared" si="3"/>
        <v/>
      </c>
      <c r="K207" t="str">
        <f>+IF(E207="","",VLOOKUP(E207,CATALOGO!G:I,2,0))</f>
        <v/>
      </c>
      <c r="L207" t="str">
        <f>+IF(E207="","",VLOOKUP(E207,CATALOGO!G:I,3,0))</f>
        <v/>
      </c>
      <c r="M207" s="87" t="str">
        <f>IF('Consulta1'!I4299="","",'Consulta1'!I4299)</f>
        <v/>
      </c>
      <c r="N207" s="88" t="str">
        <f>IF('Consulta1'!J4299="","",'Consulta1'!J4299)</f>
        <v/>
      </c>
    </row>
    <row r="208" spans="1:14" ht="18.75" x14ac:dyDescent="0.25">
      <c r="A208" s="82" t="str">
        <f>IF('Consulta1'!A4300="","",'Consulta1'!A4300)</f>
        <v/>
      </c>
      <c r="B208" s="82" t="str">
        <f>IF('Consulta1'!B4300="","",'Consulta1'!B4300)</f>
        <v/>
      </c>
      <c r="C208" s="83" t="str">
        <f>IF('Consulta1'!C4300="","",'Consulta1'!C4300)</f>
        <v/>
      </c>
      <c r="D208" s="84" t="str">
        <f>IF('Consulta1'!D4300="","",'Consulta1'!D4300)</f>
        <v/>
      </c>
      <c r="E208" s="82" t="str">
        <f>IF('Consulta1'!E4300="","",'Consulta1'!E4300)</f>
        <v/>
      </c>
      <c r="F208" t="str">
        <f>+IF(E208="","",VLOOKUP(E208,CATALOGO!G:L,6,0))</f>
        <v/>
      </c>
      <c r="G208" s="85" t="str">
        <f>IF('Consulta1'!F4300="","",'Consulta1'!F4300)</f>
        <v/>
      </c>
      <c r="H208" s="85" t="str">
        <f>IF('Consulta1'!G4300="","",'Consulta1'!G4300)</f>
        <v/>
      </c>
      <c r="I208" s="86" t="str">
        <f>IF('Consulta1'!H4300="","",'Consulta1'!H4300)</f>
        <v/>
      </c>
      <c r="J208" t="str">
        <f t="shared" si="3"/>
        <v/>
      </c>
      <c r="K208" t="str">
        <f>+IF(E208="","",VLOOKUP(E208,CATALOGO!G:I,2,0))</f>
        <v/>
      </c>
      <c r="L208" t="str">
        <f>+IF(E208="","",VLOOKUP(E208,CATALOGO!G:I,3,0))</f>
        <v/>
      </c>
      <c r="M208" s="87" t="str">
        <f>IF('Consulta1'!I4300="","",'Consulta1'!I4300)</f>
        <v/>
      </c>
      <c r="N208" s="88" t="str">
        <f>IF('Consulta1'!J4300="","",'Consulta1'!J4300)</f>
        <v/>
      </c>
    </row>
    <row r="209" spans="1:14" ht="18.75" x14ac:dyDescent="0.25">
      <c r="A209" s="82" t="str">
        <f>IF('Consulta1'!A4301="","",'Consulta1'!A4301)</f>
        <v/>
      </c>
      <c r="B209" s="82" t="str">
        <f>IF('Consulta1'!B4301="","",'Consulta1'!B4301)</f>
        <v/>
      </c>
      <c r="C209" s="83" t="str">
        <f>IF('Consulta1'!C4301="","",'Consulta1'!C4301)</f>
        <v/>
      </c>
      <c r="D209" s="84" t="str">
        <f>IF('Consulta1'!D4301="","",'Consulta1'!D4301)</f>
        <v/>
      </c>
      <c r="E209" s="82" t="str">
        <f>IF('Consulta1'!E4301="","",'Consulta1'!E4301)</f>
        <v/>
      </c>
      <c r="F209" t="str">
        <f>+IF(E209="","",VLOOKUP(E209,CATALOGO!G:L,6,0))</f>
        <v/>
      </c>
      <c r="G209" s="85" t="str">
        <f>IF('Consulta1'!F4301="","",'Consulta1'!F4301)</f>
        <v/>
      </c>
      <c r="H209" s="85" t="str">
        <f>IF('Consulta1'!G4301="","",'Consulta1'!G4301)</f>
        <v/>
      </c>
      <c r="I209" s="86" t="str">
        <f>IF('Consulta1'!H4301="","",'Consulta1'!H4301)</f>
        <v/>
      </c>
      <c r="J209" t="str">
        <f t="shared" si="3"/>
        <v/>
      </c>
      <c r="K209" t="str">
        <f>+IF(E209="","",VLOOKUP(E209,CATALOGO!G:I,2,0))</f>
        <v/>
      </c>
      <c r="L209" t="str">
        <f>+IF(E209="","",VLOOKUP(E209,CATALOGO!G:I,3,0))</f>
        <v/>
      </c>
      <c r="M209" s="87" t="str">
        <f>IF('Consulta1'!I4301="","",'Consulta1'!I4301)</f>
        <v/>
      </c>
      <c r="N209" s="88" t="str">
        <f>IF('Consulta1'!J4301="","",'Consulta1'!J4301)</f>
        <v/>
      </c>
    </row>
    <row r="210" spans="1:14" ht="18.75" x14ac:dyDescent="0.25">
      <c r="A210" s="82" t="str">
        <f>IF('Consulta1'!A4302="","",'Consulta1'!A4302)</f>
        <v/>
      </c>
      <c r="B210" s="82" t="str">
        <f>IF('Consulta1'!B4302="","",'Consulta1'!B4302)</f>
        <v/>
      </c>
      <c r="C210" s="83" t="str">
        <f>IF('Consulta1'!C4302="","",'Consulta1'!C4302)</f>
        <v/>
      </c>
      <c r="D210" s="84" t="str">
        <f>IF('Consulta1'!D4302="","",'Consulta1'!D4302)</f>
        <v/>
      </c>
      <c r="E210" s="82" t="str">
        <f>IF('Consulta1'!E4302="","",'Consulta1'!E4302)</f>
        <v/>
      </c>
      <c r="F210" t="str">
        <f>+IF(E210="","",VLOOKUP(E210,CATALOGO!G:L,6,0))</f>
        <v/>
      </c>
      <c r="G210" s="85" t="str">
        <f>IF('Consulta1'!F4302="","",'Consulta1'!F4302)</f>
        <v/>
      </c>
      <c r="H210" s="85" t="str">
        <f>IF('Consulta1'!G4302="","",'Consulta1'!G4302)</f>
        <v/>
      </c>
      <c r="I210" s="86" t="str">
        <f>IF('Consulta1'!H4302="","",'Consulta1'!H4302)</f>
        <v/>
      </c>
      <c r="J210" t="str">
        <f t="shared" si="3"/>
        <v/>
      </c>
      <c r="K210" t="str">
        <f>+IF(E210="","",VLOOKUP(E210,CATALOGO!G:I,2,0))</f>
        <v/>
      </c>
      <c r="L210" t="str">
        <f>+IF(E210="","",VLOOKUP(E210,CATALOGO!G:I,3,0))</f>
        <v/>
      </c>
      <c r="M210" s="87" t="str">
        <f>IF('Consulta1'!I4302="","",'Consulta1'!I4302)</f>
        <v/>
      </c>
      <c r="N210" s="88" t="str">
        <f>IF('Consulta1'!J4302="","",'Consulta1'!J4302)</f>
        <v/>
      </c>
    </row>
    <row r="211" spans="1:14" ht="18.75" x14ac:dyDescent="0.25">
      <c r="A211" s="82" t="str">
        <f>IF('Consulta1'!A4303="","",'Consulta1'!A4303)</f>
        <v/>
      </c>
      <c r="B211" s="82" t="str">
        <f>IF('Consulta1'!B4303="","",'Consulta1'!B4303)</f>
        <v/>
      </c>
      <c r="C211" s="83" t="str">
        <f>IF('Consulta1'!C4303="","",'Consulta1'!C4303)</f>
        <v/>
      </c>
      <c r="D211" s="84" t="str">
        <f>IF('Consulta1'!D4303="","",'Consulta1'!D4303)</f>
        <v/>
      </c>
      <c r="E211" s="82" t="str">
        <f>IF('Consulta1'!E4303="","",'Consulta1'!E4303)</f>
        <v/>
      </c>
      <c r="F211" t="str">
        <f>+IF(E211="","",VLOOKUP(E211,CATALOGO!G:L,6,0))</f>
        <v/>
      </c>
      <c r="G211" s="85" t="str">
        <f>IF('Consulta1'!F4303="","",'Consulta1'!F4303)</f>
        <v/>
      </c>
      <c r="H211" s="85" t="str">
        <f>IF('Consulta1'!G4303="","",'Consulta1'!G4303)</f>
        <v/>
      </c>
      <c r="I211" s="86" t="str">
        <f>IF('Consulta1'!H4303="","",'Consulta1'!H4303)</f>
        <v/>
      </c>
      <c r="J211" t="str">
        <f t="shared" si="3"/>
        <v/>
      </c>
      <c r="K211" t="str">
        <f>+IF(E211="","",VLOOKUP(E211,CATALOGO!G:I,2,0))</f>
        <v/>
      </c>
      <c r="L211" t="str">
        <f>+IF(E211="","",VLOOKUP(E211,CATALOGO!G:I,3,0))</f>
        <v/>
      </c>
      <c r="M211" s="87" t="str">
        <f>IF('Consulta1'!I4303="","",'Consulta1'!I4303)</f>
        <v/>
      </c>
      <c r="N211" s="88" t="str">
        <f>IF('Consulta1'!J4303="","",'Consulta1'!J4303)</f>
        <v/>
      </c>
    </row>
    <row r="212" spans="1:14" ht="18.75" x14ac:dyDescent="0.25">
      <c r="A212" s="82" t="str">
        <f>IF('Consulta1'!A4304="","",'Consulta1'!A4304)</f>
        <v/>
      </c>
      <c r="B212" s="82" t="str">
        <f>IF('Consulta1'!B4304="","",'Consulta1'!B4304)</f>
        <v/>
      </c>
      <c r="C212" s="83" t="str">
        <f>IF('Consulta1'!C4304="","",'Consulta1'!C4304)</f>
        <v/>
      </c>
      <c r="D212" s="84" t="str">
        <f>IF('Consulta1'!D4304="","",'Consulta1'!D4304)</f>
        <v/>
      </c>
      <c r="E212" s="82" t="str">
        <f>IF('Consulta1'!E4304="","",'Consulta1'!E4304)</f>
        <v/>
      </c>
      <c r="F212" t="str">
        <f>+IF(E212="","",VLOOKUP(E212,CATALOGO!G:L,6,0))</f>
        <v/>
      </c>
      <c r="G212" s="85" t="str">
        <f>IF('Consulta1'!F4304="","",'Consulta1'!F4304)</f>
        <v/>
      </c>
      <c r="H212" s="85" t="str">
        <f>IF('Consulta1'!G4304="","",'Consulta1'!G4304)</f>
        <v/>
      </c>
      <c r="I212" s="86" t="str">
        <f>IF('Consulta1'!H4304="","",'Consulta1'!H4304)</f>
        <v/>
      </c>
      <c r="J212" t="str">
        <f t="shared" si="3"/>
        <v/>
      </c>
      <c r="K212" t="str">
        <f>+IF(E212="","",VLOOKUP(E212,CATALOGO!G:I,2,0))</f>
        <v/>
      </c>
      <c r="L212" t="str">
        <f>+IF(E212="","",VLOOKUP(E212,CATALOGO!G:I,3,0))</f>
        <v/>
      </c>
      <c r="M212" s="87" t="str">
        <f>IF('Consulta1'!I4304="","",'Consulta1'!I4304)</f>
        <v/>
      </c>
      <c r="N212" s="88" t="str">
        <f>IF('Consulta1'!J4304="","",'Consulta1'!J4304)</f>
        <v/>
      </c>
    </row>
    <row r="213" spans="1:14" ht="18.75" x14ac:dyDescent="0.25">
      <c r="A213" s="82" t="str">
        <f>IF('Consulta1'!A4305="","",'Consulta1'!A4305)</f>
        <v/>
      </c>
      <c r="B213" s="82" t="str">
        <f>IF('Consulta1'!B4305="","",'Consulta1'!B4305)</f>
        <v/>
      </c>
      <c r="C213" s="83" t="str">
        <f>IF('Consulta1'!C4305="","",'Consulta1'!C4305)</f>
        <v/>
      </c>
      <c r="D213" s="84" t="str">
        <f>IF('Consulta1'!D4305="","",'Consulta1'!D4305)</f>
        <v/>
      </c>
      <c r="E213" s="82" t="str">
        <f>IF('Consulta1'!E4305="","",'Consulta1'!E4305)</f>
        <v/>
      </c>
      <c r="F213" t="str">
        <f>+IF(E213="","",VLOOKUP(E213,CATALOGO!G:L,6,0))</f>
        <v/>
      </c>
      <c r="G213" s="85" t="str">
        <f>IF('Consulta1'!F4305="","",'Consulta1'!F4305)</f>
        <v/>
      </c>
      <c r="H213" s="85" t="str">
        <f>IF('Consulta1'!G4305="","",'Consulta1'!G4305)</f>
        <v/>
      </c>
      <c r="I213" s="86" t="str">
        <f>IF('Consulta1'!H4305="","",'Consulta1'!H4305)</f>
        <v/>
      </c>
      <c r="J213" t="str">
        <f t="shared" si="3"/>
        <v/>
      </c>
      <c r="K213" t="str">
        <f>+IF(E213="","",VLOOKUP(E213,CATALOGO!G:I,2,0))</f>
        <v/>
      </c>
      <c r="L213" t="str">
        <f>+IF(E213="","",VLOOKUP(E213,CATALOGO!G:I,3,0))</f>
        <v/>
      </c>
      <c r="M213" s="87" t="str">
        <f>IF('Consulta1'!I4305="","",'Consulta1'!I4305)</f>
        <v/>
      </c>
      <c r="N213" s="88" t="str">
        <f>IF('Consulta1'!J4305="","",'Consulta1'!J4305)</f>
        <v/>
      </c>
    </row>
    <row r="214" spans="1:14" ht="18.75" x14ac:dyDescent="0.25">
      <c r="A214" s="82" t="str">
        <f>IF('Consulta1'!A4306="","",'Consulta1'!A4306)</f>
        <v/>
      </c>
      <c r="B214" s="82" t="str">
        <f>IF('Consulta1'!B4306="","",'Consulta1'!B4306)</f>
        <v/>
      </c>
      <c r="C214" s="83" t="str">
        <f>IF('Consulta1'!C4306="","",'Consulta1'!C4306)</f>
        <v/>
      </c>
      <c r="D214" s="84" t="str">
        <f>IF('Consulta1'!D4306="","",'Consulta1'!D4306)</f>
        <v/>
      </c>
      <c r="E214" s="82" t="str">
        <f>IF('Consulta1'!E4306="","",'Consulta1'!E4306)</f>
        <v/>
      </c>
      <c r="F214" t="str">
        <f>+IF(E214="","",VLOOKUP(E214,CATALOGO!G:L,6,0))</f>
        <v/>
      </c>
      <c r="G214" s="85" t="str">
        <f>IF('Consulta1'!F4306="","",'Consulta1'!F4306)</f>
        <v/>
      </c>
      <c r="H214" s="85" t="str">
        <f>IF('Consulta1'!G4306="","",'Consulta1'!G4306)</f>
        <v/>
      </c>
      <c r="I214" s="86" t="str">
        <f>IF('Consulta1'!H4306="","",'Consulta1'!H4306)</f>
        <v/>
      </c>
      <c r="J214" t="str">
        <f t="shared" si="3"/>
        <v/>
      </c>
      <c r="K214" t="str">
        <f>+IF(E214="","",VLOOKUP(E214,CATALOGO!G:I,2,0))</f>
        <v/>
      </c>
      <c r="L214" t="str">
        <f>+IF(E214="","",VLOOKUP(E214,CATALOGO!G:I,3,0))</f>
        <v/>
      </c>
      <c r="M214" s="87" t="str">
        <f>IF('Consulta1'!I4306="","",'Consulta1'!I4306)</f>
        <v/>
      </c>
      <c r="N214" s="88" t="str">
        <f>IF('Consulta1'!J4306="","",'Consulta1'!J4306)</f>
        <v/>
      </c>
    </row>
    <row r="215" spans="1:14" ht="18.75" x14ac:dyDescent="0.25">
      <c r="A215" s="82" t="str">
        <f>IF('Consulta1'!A4307="","",'Consulta1'!A4307)</f>
        <v/>
      </c>
      <c r="B215" s="82" t="str">
        <f>IF('Consulta1'!B4307="","",'Consulta1'!B4307)</f>
        <v/>
      </c>
      <c r="C215" s="83" t="str">
        <f>IF('Consulta1'!C4307="","",'Consulta1'!C4307)</f>
        <v/>
      </c>
      <c r="D215" s="84" t="str">
        <f>IF('Consulta1'!D4307="","",'Consulta1'!D4307)</f>
        <v/>
      </c>
      <c r="E215" s="82" t="str">
        <f>IF('Consulta1'!E4307="","",'Consulta1'!E4307)</f>
        <v/>
      </c>
      <c r="F215" t="str">
        <f>+IF(E215="","",VLOOKUP(E215,CATALOGO!G:L,6,0))</f>
        <v/>
      </c>
      <c r="G215" s="85" t="str">
        <f>IF('Consulta1'!F4307="","",'Consulta1'!F4307)</f>
        <v/>
      </c>
      <c r="H215" s="85" t="str">
        <f>IF('Consulta1'!G4307="","",'Consulta1'!G4307)</f>
        <v/>
      </c>
      <c r="I215" s="86" t="str">
        <f>IF('Consulta1'!H4307="","",'Consulta1'!H4307)</f>
        <v/>
      </c>
      <c r="J215" t="str">
        <f t="shared" si="3"/>
        <v/>
      </c>
      <c r="K215" t="str">
        <f>+IF(E215="","",VLOOKUP(E215,CATALOGO!G:I,2,0))</f>
        <v/>
      </c>
      <c r="L215" t="str">
        <f>+IF(E215="","",VLOOKUP(E215,CATALOGO!G:I,3,0))</f>
        <v/>
      </c>
      <c r="M215" s="87" t="str">
        <f>IF('Consulta1'!I4307="","",'Consulta1'!I4307)</f>
        <v/>
      </c>
      <c r="N215" s="88" t="str">
        <f>IF('Consulta1'!J4307="","",'Consulta1'!J4307)</f>
        <v/>
      </c>
    </row>
    <row r="216" spans="1:14" ht="18.75" x14ac:dyDescent="0.25">
      <c r="A216" s="82" t="str">
        <f>IF('Consulta1'!A4308="","",'Consulta1'!A4308)</f>
        <v/>
      </c>
      <c r="B216" s="82" t="str">
        <f>IF('Consulta1'!B4308="","",'Consulta1'!B4308)</f>
        <v/>
      </c>
      <c r="C216" s="83" t="str">
        <f>IF('Consulta1'!C4308="","",'Consulta1'!C4308)</f>
        <v/>
      </c>
      <c r="D216" s="84" t="str">
        <f>IF('Consulta1'!D4308="","",'Consulta1'!D4308)</f>
        <v/>
      </c>
      <c r="E216" s="82" t="str">
        <f>IF('Consulta1'!E4308="","",'Consulta1'!E4308)</f>
        <v/>
      </c>
      <c r="F216" t="str">
        <f>+IF(E216="","",VLOOKUP(E216,CATALOGO!G:L,6,0))</f>
        <v/>
      </c>
      <c r="G216" s="85" t="str">
        <f>IF('Consulta1'!F4308="","",'Consulta1'!F4308)</f>
        <v/>
      </c>
      <c r="H216" s="85" t="str">
        <f>IF('Consulta1'!G4308="","",'Consulta1'!G4308)</f>
        <v/>
      </c>
      <c r="I216" s="86" t="str">
        <f>IF('Consulta1'!H4308="","",'Consulta1'!H4308)</f>
        <v/>
      </c>
      <c r="J216" t="str">
        <f t="shared" si="3"/>
        <v/>
      </c>
      <c r="K216" t="str">
        <f>+IF(E216="","",VLOOKUP(E216,CATALOGO!G:I,2,0))</f>
        <v/>
      </c>
      <c r="L216" t="str">
        <f>+IF(E216="","",VLOOKUP(E216,CATALOGO!G:I,3,0))</f>
        <v/>
      </c>
      <c r="M216" s="87" t="str">
        <f>IF('Consulta1'!I4308="","",'Consulta1'!I4308)</f>
        <v/>
      </c>
      <c r="N216" s="88" t="str">
        <f>IF('Consulta1'!J4308="","",'Consulta1'!J4308)</f>
        <v/>
      </c>
    </row>
    <row r="217" spans="1:14" ht="18.75" x14ac:dyDescent="0.25">
      <c r="A217" s="82" t="str">
        <f>IF('Consulta1'!A4309="","",'Consulta1'!A4309)</f>
        <v/>
      </c>
      <c r="B217" s="82" t="str">
        <f>IF('Consulta1'!B4309="","",'Consulta1'!B4309)</f>
        <v/>
      </c>
      <c r="C217" s="83" t="str">
        <f>IF('Consulta1'!C4309="","",'Consulta1'!C4309)</f>
        <v/>
      </c>
      <c r="D217" s="84" t="str">
        <f>IF('Consulta1'!D4309="","",'Consulta1'!D4309)</f>
        <v/>
      </c>
      <c r="E217" s="82" t="str">
        <f>IF('Consulta1'!E4309="","",'Consulta1'!E4309)</f>
        <v/>
      </c>
      <c r="F217" t="str">
        <f>+IF(E217="","",VLOOKUP(E217,CATALOGO!G:L,6,0))</f>
        <v/>
      </c>
      <c r="G217" s="85" t="str">
        <f>IF('Consulta1'!F4309="","",'Consulta1'!F4309)</f>
        <v/>
      </c>
      <c r="H217" s="85" t="str">
        <f>IF('Consulta1'!G4309="","",'Consulta1'!G4309)</f>
        <v/>
      </c>
      <c r="I217" s="86" t="str">
        <f>IF('Consulta1'!H4309="","",'Consulta1'!H4309)</f>
        <v/>
      </c>
      <c r="J217" t="str">
        <f t="shared" si="3"/>
        <v/>
      </c>
      <c r="K217" t="str">
        <f>+IF(E217="","",VLOOKUP(E217,CATALOGO!G:I,2,0))</f>
        <v/>
      </c>
      <c r="L217" t="str">
        <f>+IF(E217="","",VLOOKUP(E217,CATALOGO!G:I,3,0))</f>
        <v/>
      </c>
      <c r="M217" s="87" t="str">
        <f>IF('Consulta1'!I4309="","",'Consulta1'!I4309)</f>
        <v/>
      </c>
      <c r="N217" s="88" t="str">
        <f>IF('Consulta1'!J4309="","",'Consulta1'!J4309)</f>
        <v/>
      </c>
    </row>
    <row r="218" spans="1:14" ht="18.75" x14ac:dyDescent="0.25">
      <c r="A218" s="82" t="str">
        <f>IF('Consulta1'!A4310="","",'Consulta1'!A4310)</f>
        <v/>
      </c>
      <c r="B218" s="82" t="str">
        <f>IF('Consulta1'!B4310="","",'Consulta1'!B4310)</f>
        <v/>
      </c>
      <c r="C218" s="83" t="str">
        <f>IF('Consulta1'!C4310="","",'Consulta1'!C4310)</f>
        <v/>
      </c>
      <c r="D218" s="84" t="str">
        <f>IF('Consulta1'!D4310="","",'Consulta1'!D4310)</f>
        <v/>
      </c>
      <c r="E218" s="82" t="str">
        <f>IF('Consulta1'!E4310="","",'Consulta1'!E4310)</f>
        <v/>
      </c>
      <c r="F218" t="str">
        <f>+IF(E218="","",VLOOKUP(E218,CATALOGO!G:L,6,0))</f>
        <v/>
      </c>
      <c r="G218" s="85" t="str">
        <f>IF('Consulta1'!F4310="","",'Consulta1'!F4310)</f>
        <v/>
      </c>
      <c r="H218" s="85" t="str">
        <f>IF('Consulta1'!G4310="","",'Consulta1'!G4310)</f>
        <v/>
      </c>
      <c r="I218" s="86" t="str">
        <f>IF('Consulta1'!H4310="","",'Consulta1'!H4310)</f>
        <v/>
      </c>
      <c r="J218" t="str">
        <f t="shared" si="3"/>
        <v/>
      </c>
      <c r="K218" t="str">
        <f>+IF(E218="","",VLOOKUP(E218,CATALOGO!G:I,2,0))</f>
        <v/>
      </c>
      <c r="L218" t="str">
        <f>+IF(E218="","",VLOOKUP(E218,CATALOGO!G:I,3,0))</f>
        <v/>
      </c>
      <c r="M218" s="87" t="str">
        <f>IF('Consulta1'!I4310="","",'Consulta1'!I4310)</f>
        <v/>
      </c>
      <c r="N218" s="88" t="str">
        <f>IF('Consulta1'!J4310="","",'Consulta1'!J4310)</f>
        <v/>
      </c>
    </row>
    <row r="219" spans="1:14" ht="18.75" x14ac:dyDescent="0.25">
      <c r="A219" s="82" t="str">
        <f>IF('Consulta1'!A4311="","",'Consulta1'!A4311)</f>
        <v/>
      </c>
      <c r="B219" s="82" t="str">
        <f>IF('Consulta1'!B4311="","",'Consulta1'!B4311)</f>
        <v/>
      </c>
      <c r="C219" s="83" t="str">
        <f>IF('Consulta1'!C4311="","",'Consulta1'!C4311)</f>
        <v/>
      </c>
      <c r="D219" s="84" t="str">
        <f>IF('Consulta1'!D4311="","",'Consulta1'!D4311)</f>
        <v/>
      </c>
      <c r="E219" s="82" t="str">
        <f>IF('Consulta1'!E4311="","",'Consulta1'!E4311)</f>
        <v/>
      </c>
      <c r="F219" t="str">
        <f>+IF(E219="","",VLOOKUP(E219,CATALOGO!G:L,6,0))</f>
        <v/>
      </c>
      <c r="G219" s="85" t="str">
        <f>IF('Consulta1'!F4311="","",'Consulta1'!F4311)</f>
        <v/>
      </c>
      <c r="H219" s="85" t="str">
        <f>IF('Consulta1'!G4311="","",'Consulta1'!G4311)</f>
        <v/>
      </c>
      <c r="I219" s="86" t="str">
        <f>IF('Consulta1'!H4311="","",'Consulta1'!H4311)</f>
        <v/>
      </c>
      <c r="J219" t="str">
        <f t="shared" si="3"/>
        <v/>
      </c>
      <c r="K219" t="str">
        <f>+IF(E219="","",VLOOKUP(E219,CATALOGO!G:I,2,0))</f>
        <v/>
      </c>
      <c r="L219" t="str">
        <f>+IF(E219="","",VLOOKUP(E219,CATALOGO!G:I,3,0))</f>
        <v/>
      </c>
      <c r="M219" s="87" t="str">
        <f>IF('Consulta1'!I4311="","",'Consulta1'!I4311)</f>
        <v/>
      </c>
      <c r="N219" s="88" t="str">
        <f>IF('Consulta1'!J4311="","",'Consulta1'!J4311)</f>
        <v/>
      </c>
    </row>
    <row r="220" spans="1:14" ht="18.75" x14ac:dyDescent="0.25">
      <c r="A220" s="82" t="str">
        <f>IF('Consulta1'!A4312="","",'Consulta1'!A4312)</f>
        <v/>
      </c>
      <c r="B220" s="82" t="str">
        <f>IF('Consulta1'!B4312="","",'Consulta1'!B4312)</f>
        <v/>
      </c>
      <c r="C220" s="83" t="str">
        <f>IF('Consulta1'!C4312="","",'Consulta1'!C4312)</f>
        <v/>
      </c>
      <c r="D220" s="84" t="str">
        <f>IF('Consulta1'!D4312="","",'Consulta1'!D4312)</f>
        <v/>
      </c>
      <c r="E220" s="82" t="str">
        <f>IF('Consulta1'!E4312="","",'Consulta1'!E4312)</f>
        <v/>
      </c>
      <c r="F220" t="str">
        <f>+IF(E220="","",VLOOKUP(E220,CATALOGO!G:L,6,0))</f>
        <v/>
      </c>
      <c r="G220" s="85" t="str">
        <f>IF('Consulta1'!F4312="","",'Consulta1'!F4312)</f>
        <v/>
      </c>
      <c r="H220" s="85" t="str">
        <f>IF('Consulta1'!G4312="","",'Consulta1'!G4312)</f>
        <v/>
      </c>
      <c r="I220" s="86" t="str">
        <f>IF('Consulta1'!H4312="","",'Consulta1'!H4312)</f>
        <v/>
      </c>
      <c r="J220" t="str">
        <f t="shared" si="3"/>
        <v/>
      </c>
      <c r="K220" t="str">
        <f>+IF(E220="","",VLOOKUP(E220,CATALOGO!G:I,2,0))</f>
        <v/>
      </c>
      <c r="L220" t="str">
        <f>+IF(E220="","",VLOOKUP(E220,CATALOGO!G:I,3,0))</f>
        <v/>
      </c>
      <c r="M220" s="87" t="str">
        <f>IF('Consulta1'!I4312="","",'Consulta1'!I4312)</f>
        <v/>
      </c>
      <c r="N220" s="88" t="str">
        <f>IF('Consulta1'!J4312="","",'Consulta1'!J4312)</f>
        <v/>
      </c>
    </row>
    <row r="221" spans="1:14" ht="18.75" x14ac:dyDescent="0.25">
      <c r="A221" s="82" t="str">
        <f>IF('Consulta1'!A4313="","",'Consulta1'!A4313)</f>
        <v/>
      </c>
      <c r="B221" s="82" t="str">
        <f>IF('Consulta1'!B4313="","",'Consulta1'!B4313)</f>
        <v/>
      </c>
      <c r="C221" s="83" t="str">
        <f>IF('Consulta1'!C4313="","",'Consulta1'!C4313)</f>
        <v/>
      </c>
      <c r="D221" s="84" t="str">
        <f>IF('Consulta1'!D4313="","",'Consulta1'!D4313)</f>
        <v/>
      </c>
      <c r="E221" s="82" t="str">
        <f>IF('Consulta1'!E4313="","",'Consulta1'!E4313)</f>
        <v/>
      </c>
      <c r="F221" t="str">
        <f>+IF(E221="","",VLOOKUP(E221,CATALOGO!G:L,6,0))</f>
        <v/>
      </c>
      <c r="G221" s="85" t="str">
        <f>IF('Consulta1'!F4313="","",'Consulta1'!F4313)</f>
        <v/>
      </c>
      <c r="H221" s="85" t="str">
        <f>IF('Consulta1'!G4313="","",'Consulta1'!G4313)</f>
        <v/>
      </c>
      <c r="I221" s="86" t="str">
        <f>IF('Consulta1'!H4313="","",'Consulta1'!H4313)</f>
        <v/>
      </c>
      <c r="J221" t="str">
        <f t="shared" si="3"/>
        <v/>
      </c>
      <c r="K221" t="str">
        <f>+IF(E221="","",VLOOKUP(E221,CATALOGO!G:I,2,0))</f>
        <v/>
      </c>
      <c r="L221" t="str">
        <f>+IF(E221="","",VLOOKUP(E221,CATALOGO!G:I,3,0))</f>
        <v/>
      </c>
      <c r="M221" s="87" t="str">
        <f>IF('Consulta1'!I4313="","",'Consulta1'!I4313)</f>
        <v/>
      </c>
      <c r="N221" s="88" t="str">
        <f>IF('Consulta1'!J4313="","",'Consulta1'!J4313)</f>
        <v/>
      </c>
    </row>
    <row r="222" spans="1:14" ht="18.75" x14ac:dyDescent="0.25">
      <c r="A222" s="82" t="str">
        <f>IF('Consulta1'!A4314="","",'Consulta1'!A4314)</f>
        <v/>
      </c>
      <c r="B222" s="82" t="str">
        <f>IF('Consulta1'!B4314="","",'Consulta1'!B4314)</f>
        <v/>
      </c>
      <c r="C222" s="83" t="str">
        <f>IF('Consulta1'!C4314="","",'Consulta1'!C4314)</f>
        <v/>
      </c>
      <c r="D222" s="84" t="str">
        <f>IF('Consulta1'!D4314="","",'Consulta1'!D4314)</f>
        <v/>
      </c>
      <c r="E222" s="82" t="str">
        <f>IF('Consulta1'!E4314="","",'Consulta1'!E4314)</f>
        <v/>
      </c>
      <c r="F222" t="str">
        <f>+IF(E222="","",VLOOKUP(E222,CATALOGO!G:L,6,0))</f>
        <v/>
      </c>
      <c r="G222" s="85" t="str">
        <f>IF('Consulta1'!F4314="","",'Consulta1'!F4314)</f>
        <v/>
      </c>
      <c r="H222" s="85" t="str">
        <f>IF('Consulta1'!G4314="","",'Consulta1'!G4314)</f>
        <v/>
      </c>
      <c r="I222" s="86" t="str">
        <f>IF('Consulta1'!H4314="","",'Consulta1'!H4314)</f>
        <v/>
      </c>
      <c r="J222" t="str">
        <f t="shared" si="3"/>
        <v/>
      </c>
      <c r="K222" t="str">
        <f>+IF(E222="","",VLOOKUP(E222,CATALOGO!G:I,2,0))</f>
        <v/>
      </c>
      <c r="L222" t="str">
        <f>+IF(E222="","",VLOOKUP(E222,CATALOGO!G:I,3,0))</f>
        <v/>
      </c>
      <c r="M222" s="87" t="str">
        <f>IF('Consulta1'!I4314="","",'Consulta1'!I4314)</f>
        <v/>
      </c>
      <c r="N222" s="88" t="str">
        <f>IF('Consulta1'!J4314="","",'Consulta1'!J4314)</f>
        <v/>
      </c>
    </row>
    <row r="223" spans="1:14" ht="18.75" x14ac:dyDescent="0.25">
      <c r="A223" s="82" t="str">
        <f>IF('Consulta1'!A4315="","",'Consulta1'!A4315)</f>
        <v/>
      </c>
      <c r="B223" s="82" t="str">
        <f>IF('Consulta1'!B4315="","",'Consulta1'!B4315)</f>
        <v/>
      </c>
      <c r="C223" s="83" t="str">
        <f>IF('Consulta1'!C4315="","",'Consulta1'!C4315)</f>
        <v/>
      </c>
      <c r="D223" s="84" t="str">
        <f>IF('Consulta1'!D4315="","",'Consulta1'!D4315)</f>
        <v/>
      </c>
      <c r="E223" s="82" t="str">
        <f>IF('Consulta1'!E4315="","",'Consulta1'!E4315)</f>
        <v/>
      </c>
      <c r="F223" t="str">
        <f>+IF(E223="","",VLOOKUP(E223,CATALOGO!G:L,6,0))</f>
        <v/>
      </c>
      <c r="G223" s="85" t="str">
        <f>IF('Consulta1'!F4315="","",'Consulta1'!F4315)</f>
        <v/>
      </c>
      <c r="H223" s="85" t="str">
        <f>IF('Consulta1'!G4315="","",'Consulta1'!G4315)</f>
        <v/>
      </c>
      <c r="I223" s="86" t="str">
        <f>IF('Consulta1'!H4315="","",'Consulta1'!H4315)</f>
        <v/>
      </c>
      <c r="J223" t="str">
        <f t="shared" si="3"/>
        <v/>
      </c>
      <c r="K223" t="str">
        <f>+IF(E223="","",VLOOKUP(E223,CATALOGO!G:I,2,0))</f>
        <v/>
      </c>
      <c r="L223" t="str">
        <f>+IF(E223="","",VLOOKUP(E223,CATALOGO!G:I,3,0))</f>
        <v/>
      </c>
      <c r="M223" s="87" t="str">
        <f>IF('Consulta1'!I4315="","",'Consulta1'!I4315)</f>
        <v/>
      </c>
      <c r="N223" s="88" t="str">
        <f>IF('Consulta1'!J4315="","",'Consulta1'!J4315)</f>
        <v/>
      </c>
    </row>
    <row r="224" spans="1:14" ht="18.75" x14ac:dyDescent="0.25">
      <c r="A224" s="82" t="str">
        <f>IF('Consulta1'!A4316="","",'Consulta1'!A4316)</f>
        <v/>
      </c>
      <c r="B224" s="82" t="str">
        <f>IF('Consulta1'!B4316="","",'Consulta1'!B4316)</f>
        <v/>
      </c>
      <c r="C224" s="83" t="str">
        <f>IF('Consulta1'!C4316="","",'Consulta1'!C4316)</f>
        <v/>
      </c>
      <c r="D224" s="84" t="str">
        <f>IF('Consulta1'!D4316="","",'Consulta1'!D4316)</f>
        <v/>
      </c>
      <c r="E224" s="82" t="str">
        <f>IF('Consulta1'!E4316="","",'Consulta1'!E4316)</f>
        <v/>
      </c>
      <c r="F224" t="str">
        <f>+IF(E224="","",VLOOKUP(E224,CATALOGO!G:L,6,0))</f>
        <v/>
      </c>
      <c r="G224" s="85" t="str">
        <f>IF('Consulta1'!F4316="","",'Consulta1'!F4316)</f>
        <v/>
      </c>
      <c r="H224" s="85" t="str">
        <f>IF('Consulta1'!G4316="","",'Consulta1'!G4316)</f>
        <v/>
      </c>
      <c r="I224" s="86" t="str">
        <f>IF('Consulta1'!H4316="","",'Consulta1'!H4316)</f>
        <v/>
      </c>
      <c r="J224" t="str">
        <f t="shared" si="3"/>
        <v/>
      </c>
      <c r="K224" t="str">
        <f>+IF(E224="","",VLOOKUP(E224,CATALOGO!G:I,2,0))</f>
        <v/>
      </c>
      <c r="L224" t="str">
        <f>+IF(E224="","",VLOOKUP(E224,CATALOGO!G:I,3,0))</f>
        <v/>
      </c>
      <c r="M224" s="87" t="str">
        <f>IF('Consulta1'!I4316="","",'Consulta1'!I4316)</f>
        <v/>
      </c>
      <c r="N224" s="88" t="str">
        <f>IF('Consulta1'!J4316="","",'Consulta1'!J4316)</f>
        <v/>
      </c>
    </row>
    <row r="225" spans="1:14" ht="18.75" x14ac:dyDescent="0.25">
      <c r="A225" s="82" t="str">
        <f>IF('Consulta1'!A4317="","",'Consulta1'!A4317)</f>
        <v/>
      </c>
      <c r="B225" s="82" t="str">
        <f>IF('Consulta1'!B4317="","",'Consulta1'!B4317)</f>
        <v/>
      </c>
      <c r="C225" s="83" t="str">
        <f>IF('Consulta1'!C4317="","",'Consulta1'!C4317)</f>
        <v/>
      </c>
      <c r="D225" s="84" t="str">
        <f>IF('Consulta1'!D4317="","",'Consulta1'!D4317)</f>
        <v/>
      </c>
      <c r="E225" s="82" t="str">
        <f>IF('Consulta1'!E4317="","",'Consulta1'!E4317)</f>
        <v/>
      </c>
      <c r="F225" t="str">
        <f>+IF(E225="","",VLOOKUP(E225,CATALOGO!G:L,6,0))</f>
        <v/>
      </c>
      <c r="G225" s="85" t="str">
        <f>IF('Consulta1'!F4317="","",'Consulta1'!F4317)</f>
        <v/>
      </c>
      <c r="H225" s="85" t="str">
        <f>IF('Consulta1'!G4317="","",'Consulta1'!G4317)</f>
        <v/>
      </c>
      <c r="I225" s="86" t="str">
        <f>IF('Consulta1'!H4317="","",'Consulta1'!H4317)</f>
        <v/>
      </c>
      <c r="J225" t="str">
        <f t="shared" si="3"/>
        <v/>
      </c>
      <c r="K225" t="str">
        <f>+IF(E225="","",VLOOKUP(E225,CATALOGO!G:I,2,0))</f>
        <v/>
      </c>
      <c r="L225" t="str">
        <f>+IF(E225="","",VLOOKUP(E225,CATALOGO!G:I,3,0))</f>
        <v/>
      </c>
      <c r="M225" s="87" t="str">
        <f>IF('Consulta1'!I4317="","",'Consulta1'!I4317)</f>
        <v/>
      </c>
      <c r="N225" s="88" t="str">
        <f>IF('Consulta1'!J4317="","",'Consulta1'!J4317)</f>
        <v/>
      </c>
    </row>
    <row r="226" spans="1:14" ht="18.75" x14ac:dyDescent="0.25">
      <c r="A226" s="82" t="str">
        <f>IF('Consulta1'!A4318="","",'Consulta1'!A4318)</f>
        <v/>
      </c>
      <c r="B226" s="82" t="str">
        <f>IF('Consulta1'!B4318="","",'Consulta1'!B4318)</f>
        <v/>
      </c>
      <c r="C226" s="83" t="str">
        <f>IF('Consulta1'!C4318="","",'Consulta1'!C4318)</f>
        <v/>
      </c>
      <c r="D226" s="84" t="str">
        <f>IF('Consulta1'!D4318="","",'Consulta1'!D4318)</f>
        <v/>
      </c>
      <c r="E226" s="82" t="str">
        <f>IF('Consulta1'!E4318="","",'Consulta1'!E4318)</f>
        <v/>
      </c>
      <c r="F226" t="str">
        <f>+IF(E226="","",VLOOKUP(E226,CATALOGO!G:L,6,0))</f>
        <v/>
      </c>
      <c r="G226" s="85" t="str">
        <f>IF('Consulta1'!F4318="","",'Consulta1'!F4318)</f>
        <v/>
      </c>
      <c r="H226" s="85" t="str">
        <f>IF('Consulta1'!G4318="","",'Consulta1'!G4318)</f>
        <v/>
      </c>
      <c r="I226" s="86" t="str">
        <f>IF('Consulta1'!H4318="","",'Consulta1'!H4318)</f>
        <v/>
      </c>
      <c r="J226" t="str">
        <f t="shared" si="3"/>
        <v/>
      </c>
      <c r="K226" t="str">
        <f>+IF(E226="","",VLOOKUP(E226,CATALOGO!G:I,2,0))</f>
        <v/>
      </c>
      <c r="L226" t="str">
        <f>+IF(E226="","",VLOOKUP(E226,CATALOGO!G:I,3,0))</f>
        <v/>
      </c>
      <c r="M226" s="87" t="str">
        <f>IF('Consulta1'!I4318="","",'Consulta1'!I4318)</f>
        <v/>
      </c>
      <c r="N226" s="88" t="str">
        <f>IF('Consulta1'!J4318="","",'Consulta1'!J4318)</f>
        <v/>
      </c>
    </row>
    <row r="227" spans="1:14" ht="18.75" x14ac:dyDescent="0.25">
      <c r="A227" s="82" t="str">
        <f>IF('Consulta1'!A4319="","",'Consulta1'!A4319)</f>
        <v/>
      </c>
      <c r="B227" s="82" t="str">
        <f>IF('Consulta1'!B4319="","",'Consulta1'!B4319)</f>
        <v/>
      </c>
      <c r="C227" s="83" t="str">
        <f>IF('Consulta1'!C4319="","",'Consulta1'!C4319)</f>
        <v/>
      </c>
      <c r="D227" s="84" t="str">
        <f>IF('Consulta1'!D4319="","",'Consulta1'!D4319)</f>
        <v/>
      </c>
      <c r="E227" s="82" t="str">
        <f>IF('Consulta1'!E4319="","",'Consulta1'!E4319)</f>
        <v/>
      </c>
      <c r="F227" t="str">
        <f>+IF(E227="","",VLOOKUP(E227,CATALOGO!G:L,6,0))</f>
        <v/>
      </c>
      <c r="G227" s="85" t="str">
        <f>IF('Consulta1'!F4319="","",'Consulta1'!F4319)</f>
        <v/>
      </c>
      <c r="H227" s="85" t="str">
        <f>IF('Consulta1'!G4319="","",'Consulta1'!G4319)</f>
        <v/>
      </c>
      <c r="I227" s="86" t="str">
        <f>IF('Consulta1'!H4319="","",'Consulta1'!H4319)</f>
        <v/>
      </c>
      <c r="J227" t="str">
        <f t="shared" si="3"/>
        <v/>
      </c>
      <c r="K227" t="str">
        <f>+IF(E227="","",VLOOKUP(E227,CATALOGO!G:I,2,0))</f>
        <v/>
      </c>
      <c r="L227" t="str">
        <f>+IF(E227="","",VLOOKUP(E227,CATALOGO!G:I,3,0))</f>
        <v/>
      </c>
      <c r="M227" s="87" t="str">
        <f>IF('Consulta1'!I4319="","",'Consulta1'!I4319)</f>
        <v/>
      </c>
      <c r="N227" s="88" t="str">
        <f>IF('Consulta1'!J4319="","",'Consulta1'!J4319)</f>
        <v/>
      </c>
    </row>
    <row r="228" spans="1:14" ht="18.75" x14ac:dyDescent="0.25">
      <c r="A228" s="82" t="str">
        <f>IF('Consulta1'!A4320="","",'Consulta1'!A4320)</f>
        <v/>
      </c>
      <c r="B228" s="82" t="str">
        <f>IF('Consulta1'!B4320="","",'Consulta1'!B4320)</f>
        <v/>
      </c>
      <c r="C228" s="83" t="str">
        <f>IF('Consulta1'!C4320="","",'Consulta1'!C4320)</f>
        <v/>
      </c>
      <c r="D228" s="84" t="str">
        <f>IF('Consulta1'!D4320="","",'Consulta1'!D4320)</f>
        <v/>
      </c>
      <c r="E228" s="82" t="str">
        <f>IF('Consulta1'!E4320="","",'Consulta1'!E4320)</f>
        <v/>
      </c>
      <c r="F228" t="str">
        <f>+IF(E228="","",VLOOKUP(E228,CATALOGO!G:L,6,0))</f>
        <v/>
      </c>
      <c r="G228" s="85" t="str">
        <f>IF('Consulta1'!F4320="","",'Consulta1'!F4320)</f>
        <v/>
      </c>
      <c r="H228" s="85" t="str">
        <f>IF('Consulta1'!G4320="","",'Consulta1'!G4320)</f>
        <v/>
      </c>
      <c r="I228" s="86" t="str">
        <f>IF('Consulta1'!H4320="","",'Consulta1'!H4320)</f>
        <v/>
      </c>
      <c r="J228" t="str">
        <f t="shared" si="3"/>
        <v/>
      </c>
      <c r="K228" t="str">
        <f>+IF(E228="","",VLOOKUP(E228,CATALOGO!G:I,2,0))</f>
        <v/>
      </c>
      <c r="L228" t="str">
        <f>+IF(E228="","",VLOOKUP(E228,CATALOGO!G:I,3,0))</f>
        <v/>
      </c>
      <c r="M228" s="87" t="str">
        <f>IF('Consulta1'!I4320="","",'Consulta1'!I4320)</f>
        <v/>
      </c>
      <c r="N228" s="88" t="str">
        <f>IF('Consulta1'!J4320="","",'Consulta1'!J4320)</f>
        <v/>
      </c>
    </row>
    <row r="229" spans="1:14" ht="18.75" x14ac:dyDescent="0.25">
      <c r="A229" s="82" t="str">
        <f>IF('Consulta1'!A4321="","",'Consulta1'!A4321)</f>
        <v/>
      </c>
      <c r="B229" s="82" t="str">
        <f>IF('Consulta1'!B4321="","",'Consulta1'!B4321)</f>
        <v/>
      </c>
      <c r="C229" s="83" t="str">
        <f>IF('Consulta1'!C4321="","",'Consulta1'!C4321)</f>
        <v/>
      </c>
      <c r="D229" s="84" t="str">
        <f>IF('Consulta1'!D4321="","",'Consulta1'!D4321)</f>
        <v/>
      </c>
      <c r="E229" s="82" t="str">
        <f>IF('Consulta1'!E4321="","",'Consulta1'!E4321)</f>
        <v/>
      </c>
      <c r="F229" t="str">
        <f>+IF(E229="","",VLOOKUP(E229,CATALOGO!G:L,6,0))</f>
        <v/>
      </c>
      <c r="G229" s="85" t="str">
        <f>IF('Consulta1'!F4321="","",'Consulta1'!F4321)</f>
        <v/>
      </c>
      <c r="H229" s="85" t="str">
        <f>IF('Consulta1'!G4321="","",'Consulta1'!G4321)</f>
        <v/>
      </c>
      <c r="I229" s="86" t="str">
        <f>IF('Consulta1'!H4321="","",'Consulta1'!H4321)</f>
        <v/>
      </c>
      <c r="J229" t="str">
        <f t="shared" si="3"/>
        <v/>
      </c>
      <c r="K229" t="str">
        <f>+IF(E229="","",VLOOKUP(E229,CATALOGO!G:I,2,0))</f>
        <v/>
      </c>
      <c r="L229" t="str">
        <f>+IF(E229="","",VLOOKUP(E229,CATALOGO!G:I,3,0))</f>
        <v/>
      </c>
      <c r="M229" s="87" t="str">
        <f>IF('Consulta1'!I4321="","",'Consulta1'!I4321)</f>
        <v/>
      </c>
      <c r="N229" s="88" t="str">
        <f>IF('Consulta1'!J4321="","",'Consulta1'!J4321)</f>
        <v/>
      </c>
    </row>
    <row r="230" spans="1:14" ht="18.75" x14ac:dyDescent="0.25">
      <c r="A230" s="82" t="str">
        <f>IF('Consulta1'!A4322="","",'Consulta1'!A4322)</f>
        <v/>
      </c>
      <c r="B230" s="82" t="str">
        <f>IF('Consulta1'!B4322="","",'Consulta1'!B4322)</f>
        <v/>
      </c>
      <c r="C230" s="83" t="str">
        <f>IF('Consulta1'!C4322="","",'Consulta1'!C4322)</f>
        <v/>
      </c>
      <c r="D230" s="84" t="str">
        <f>IF('Consulta1'!D4322="","",'Consulta1'!D4322)</f>
        <v/>
      </c>
      <c r="E230" s="82" t="str">
        <f>IF('Consulta1'!E4322="","",'Consulta1'!E4322)</f>
        <v/>
      </c>
      <c r="F230" t="str">
        <f>+IF(E230="","",VLOOKUP(E230,CATALOGO!G:L,6,0))</f>
        <v/>
      </c>
      <c r="G230" s="85" t="str">
        <f>IF('Consulta1'!F4322="","",'Consulta1'!F4322)</f>
        <v/>
      </c>
      <c r="H230" s="85" t="str">
        <f>IF('Consulta1'!G4322="","",'Consulta1'!G4322)</f>
        <v/>
      </c>
      <c r="I230" s="86" t="str">
        <f>IF('Consulta1'!H4322="","",'Consulta1'!H4322)</f>
        <v/>
      </c>
      <c r="J230" t="str">
        <f t="shared" si="3"/>
        <v/>
      </c>
      <c r="K230" t="str">
        <f>+IF(E230="","",VLOOKUP(E230,CATALOGO!G:I,2,0))</f>
        <v/>
      </c>
      <c r="L230" t="str">
        <f>+IF(E230="","",VLOOKUP(E230,CATALOGO!G:I,3,0))</f>
        <v/>
      </c>
      <c r="M230" s="87" t="str">
        <f>IF('Consulta1'!I4322="","",'Consulta1'!I4322)</f>
        <v/>
      </c>
      <c r="N230" s="88" t="str">
        <f>IF('Consulta1'!J4322="","",'Consulta1'!J4322)</f>
        <v/>
      </c>
    </row>
    <row r="231" spans="1:14" ht="18.75" x14ac:dyDescent="0.25">
      <c r="A231" s="82" t="str">
        <f>IF('Consulta1'!A4323="","",'Consulta1'!A4323)</f>
        <v/>
      </c>
      <c r="B231" s="82" t="str">
        <f>IF('Consulta1'!B4323="","",'Consulta1'!B4323)</f>
        <v/>
      </c>
      <c r="C231" s="83" t="str">
        <f>IF('Consulta1'!C4323="","",'Consulta1'!C4323)</f>
        <v/>
      </c>
      <c r="D231" s="84" t="str">
        <f>IF('Consulta1'!D4323="","",'Consulta1'!D4323)</f>
        <v/>
      </c>
      <c r="E231" s="82" t="str">
        <f>IF('Consulta1'!E4323="","",'Consulta1'!E4323)</f>
        <v/>
      </c>
      <c r="F231" t="str">
        <f>+IF(E231="","",VLOOKUP(E231,CATALOGO!G:L,6,0))</f>
        <v/>
      </c>
      <c r="G231" s="85" t="str">
        <f>IF('Consulta1'!F4323="","",'Consulta1'!F4323)</f>
        <v/>
      </c>
      <c r="H231" s="85" t="str">
        <f>IF('Consulta1'!G4323="","",'Consulta1'!G4323)</f>
        <v/>
      </c>
      <c r="I231" s="86" t="str">
        <f>IF('Consulta1'!H4323="","",'Consulta1'!H4323)</f>
        <v/>
      </c>
      <c r="J231" t="str">
        <f t="shared" si="3"/>
        <v/>
      </c>
      <c r="K231" t="str">
        <f>+IF(E231="","",VLOOKUP(E231,CATALOGO!G:I,2,0))</f>
        <v/>
      </c>
      <c r="L231" t="str">
        <f>+IF(E231="","",VLOOKUP(E231,CATALOGO!G:I,3,0))</f>
        <v/>
      </c>
      <c r="M231" s="87" t="str">
        <f>IF('Consulta1'!I4323="","",'Consulta1'!I4323)</f>
        <v/>
      </c>
      <c r="N231" s="88" t="str">
        <f>IF('Consulta1'!J4323="","",'Consulta1'!J4323)</f>
        <v/>
      </c>
    </row>
    <row r="232" spans="1:14" ht="18.75" x14ac:dyDescent="0.25">
      <c r="A232" s="82" t="str">
        <f>IF('Consulta1'!A4324="","",'Consulta1'!A4324)</f>
        <v/>
      </c>
      <c r="B232" s="82" t="str">
        <f>IF('Consulta1'!B4324="","",'Consulta1'!B4324)</f>
        <v/>
      </c>
      <c r="C232" s="83" t="str">
        <f>IF('Consulta1'!C4324="","",'Consulta1'!C4324)</f>
        <v/>
      </c>
      <c r="D232" s="84" t="str">
        <f>IF('Consulta1'!D4324="","",'Consulta1'!D4324)</f>
        <v/>
      </c>
      <c r="E232" s="82" t="str">
        <f>IF('Consulta1'!E4324="","",'Consulta1'!E4324)</f>
        <v/>
      </c>
      <c r="F232" t="str">
        <f>+IF(E232="","",VLOOKUP(E232,CATALOGO!G:L,6,0))</f>
        <v/>
      </c>
      <c r="G232" s="85" t="str">
        <f>IF('Consulta1'!F4324="","",'Consulta1'!F4324)</f>
        <v/>
      </c>
      <c r="H232" s="85" t="str">
        <f>IF('Consulta1'!G4324="","",'Consulta1'!G4324)</f>
        <v/>
      </c>
      <c r="I232" s="86" t="str">
        <f>IF('Consulta1'!H4324="","",'Consulta1'!H4324)</f>
        <v/>
      </c>
      <c r="J232" t="str">
        <f t="shared" si="3"/>
        <v/>
      </c>
      <c r="K232" t="str">
        <f>+IF(E232="","",VLOOKUP(E232,CATALOGO!G:I,2,0))</f>
        <v/>
      </c>
      <c r="L232" t="str">
        <f>+IF(E232="","",VLOOKUP(E232,CATALOGO!G:I,3,0))</f>
        <v/>
      </c>
      <c r="M232" s="87" t="str">
        <f>IF('Consulta1'!I4324="","",'Consulta1'!I4324)</f>
        <v/>
      </c>
      <c r="N232" s="88" t="str">
        <f>IF('Consulta1'!J4324="","",'Consulta1'!J4324)</f>
        <v/>
      </c>
    </row>
    <row r="233" spans="1:14" ht="18.75" x14ac:dyDescent="0.25">
      <c r="A233" s="82" t="str">
        <f>IF('Consulta1'!A4325="","",'Consulta1'!A4325)</f>
        <v/>
      </c>
      <c r="B233" s="82" t="str">
        <f>IF('Consulta1'!B4325="","",'Consulta1'!B4325)</f>
        <v/>
      </c>
      <c r="C233" s="83" t="str">
        <f>IF('Consulta1'!C4325="","",'Consulta1'!C4325)</f>
        <v/>
      </c>
      <c r="D233" s="84" t="str">
        <f>IF('Consulta1'!D4325="","",'Consulta1'!D4325)</f>
        <v/>
      </c>
      <c r="E233" s="82" t="str">
        <f>IF('Consulta1'!E4325="","",'Consulta1'!E4325)</f>
        <v/>
      </c>
      <c r="F233" t="str">
        <f>+IF(E233="","",VLOOKUP(E233,CATALOGO!G:L,6,0))</f>
        <v/>
      </c>
      <c r="G233" s="85" t="str">
        <f>IF('Consulta1'!F4325="","",'Consulta1'!F4325)</f>
        <v/>
      </c>
      <c r="H233" s="85" t="str">
        <f>IF('Consulta1'!G4325="","",'Consulta1'!G4325)</f>
        <v/>
      </c>
      <c r="I233" s="86" t="str">
        <f>IF('Consulta1'!H4325="","",'Consulta1'!H4325)</f>
        <v/>
      </c>
      <c r="J233" t="str">
        <f t="shared" si="3"/>
        <v/>
      </c>
      <c r="K233" t="str">
        <f>+IF(E233="","",VLOOKUP(E233,CATALOGO!G:I,2,0))</f>
        <v/>
      </c>
      <c r="L233" t="str">
        <f>+IF(E233="","",VLOOKUP(E233,CATALOGO!G:I,3,0))</f>
        <v/>
      </c>
      <c r="M233" s="87" t="str">
        <f>IF('Consulta1'!I4325="","",'Consulta1'!I4325)</f>
        <v/>
      </c>
      <c r="N233" s="88" t="str">
        <f>IF('Consulta1'!J4325="","",'Consulta1'!J4325)</f>
        <v/>
      </c>
    </row>
    <row r="234" spans="1:14" ht="18.75" x14ac:dyDescent="0.25">
      <c r="A234" s="82" t="str">
        <f>IF('Consulta1'!A4326="","",'Consulta1'!A4326)</f>
        <v/>
      </c>
      <c r="B234" s="82" t="str">
        <f>IF('Consulta1'!B4326="","",'Consulta1'!B4326)</f>
        <v/>
      </c>
      <c r="C234" s="83" t="str">
        <f>IF('Consulta1'!C4326="","",'Consulta1'!C4326)</f>
        <v/>
      </c>
      <c r="D234" s="84" t="str">
        <f>IF('Consulta1'!D4326="","",'Consulta1'!D4326)</f>
        <v/>
      </c>
      <c r="E234" s="82" t="str">
        <f>IF('Consulta1'!E4326="","",'Consulta1'!E4326)</f>
        <v/>
      </c>
      <c r="F234" t="str">
        <f>+IF(E234="","",VLOOKUP(E234,CATALOGO!G:L,6,0))</f>
        <v/>
      </c>
      <c r="G234" s="85" t="str">
        <f>IF('Consulta1'!F4326="","",'Consulta1'!F4326)</f>
        <v/>
      </c>
      <c r="H234" s="85" t="str">
        <f>IF('Consulta1'!G4326="","",'Consulta1'!G4326)</f>
        <v/>
      </c>
      <c r="I234" s="86" t="str">
        <f>IF('Consulta1'!H4326="","",'Consulta1'!H4326)</f>
        <v/>
      </c>
      <c r="J234" t="str">
        <f t="shared" si="3"/>
        <v/>
      </c>
      <c r="K234" t="str">
        <f>+IF(E234="","",VLOOKUP(E234,CATALOGO!G:I,2,0))</f>
        <v/>
      </c>
      <c r="L234" t="str">
        <f>+IF(E234="","",VLOOKUP(E234,CATALOGO!G:I,3,0))</f>
        <v/>
      </c>
      <c r="M234" s="87" t="str">
        <f>IF('Consulta1'!I4326="","",'Consulta1'!I4326)</f>
        <v/>
      </c>
      <c r="N234" s="88" t="str">
        <f>IF('Consulta1'!J4326="","",'Consulta1'!J4326)</f>
        <v/>
      </c>
    </row>
    <row r="235" spans="1:14" ht="18.75" x14ac:dyDescent="0.25">
      <c r="A235" s="82" t="str">
        <f>IF('Consulta1'!A4327="","",'Consulta1'!A4327)</f>
        <v/>
      </c>
      <c r="B235" s="82" t="str">
        <f>IF('Consulta1'!B4327="","",'Consulta1'!B4327)</f>
        <v/>
      </c>
      <c r="C235" s="83" t="str">
        <f>IF('Consulta1'!C4327="","",'Consulta1'!C4327)</f>
        <v/>
      </c>
      <c r="D235" s="84" t="str">
        <f>IF('Consulta1'!D4327="","",'Consulta1'!D4327)</f>
        <v/>
      </c>
      <c r="E235" s="82" t="str">
        <f>IF('Consulta1'!E4327="","",'Consulta1'!E4327)</f>
        <v/>
      </c>
      <c r="F235" t="str">
        <f>+IF(E235="","",VLOOKUP(E235,CATALOGO!G:L,6,0))</f>
        <v/>
      </c>
      <c r="G235" s="85" t="str">
        <f>IF('Consulta1'!F4327="","",'Consulta1'!F4327)</f>
        <v/>
      </c>
      <c r="H235" s="85" t="str">
        <f>IF('Consulta1'!G4327="","",'Consulta1'!G4327)</f>
        <v/>
      </c>
      <c r="I235" s="86" t="str">
        <f>IF('Consulta1'!H4327="","",'Consulta1'!H4327)</f>
        <v/>
      </c>
      <c r="J235" t="str">
        <f t="shared" si="3"/>
        <v/>
      </c>
      <c r="K235" t="str">
        <f>+IF(E235="","",VLOOKUP(E235,CATALOGO!G:I,2,0))</f>
        <v/>
      </c>
      <c r="L235" t="str">
        <f>+IF(E235="","",VLOOKUP(E235,CATALOGO!G:I,3,0))</f>
        <v/>
      </c>
      <c r="M235" s="87" t="str">
        <f>IF('Consulta1'!I4327="","",'Consulta1'!I4327)</f>
        <v/>
      </c>
      <c r="N235" s="88" t="str">
        <f>IF('Consulta1'!J4327="","",'Consulta1'!J4327)</f>
        <v/>
      </c>
    </row>
    <row r="236" spans="1:14" ht="18.75" x14ac:dyDescent="0.25">
      <c r="A236" s="82" t="str">
        <f>IF('Consulta1'!A4328="","",'Consulta1'!A4328)</f>
        <v/>
      </c>
      <c r="B236" s="82" t="str">
        <f>IF('Consulta1'!B4328="","",'Consulta1'!B4328)</f>
        <v/>
      </c>
      <c r="C236" s="83" t="str">
        <f>IF('Consulta1'!C4328="","",'Consulta1'!C4328)</f>
        <v/>
      </c>
      <c r="D236" s="84" t="str">
        <f>IF('Consulta1'!D4328="","",'Consulta1'!D4328)</f>
        <v/>
      </c>
      <c r="E236" s="82" t="str">
        <f>IF('Consulta1'!E4328="","",'Consulta1'!E4328)</f>
        <v/>
      </c>
      <c r="F236" t="str">
        <f>+IF(E236="","",VLOOKUP(E236,CATALOGO!G:L,6,0))</f>
        <v/>
      </c>
      <c r="G236" s="85" t="str">
        <f>IF('Consulta1'!F4328="","",'Consulta1'!F4328)</f>
        <v/>
      </c>
      <c r="H236" s="85" t="str">
        <f>IF('Consulta1'!G4328="","",'Consulta1'!G4328)</f>
        <v/>
      </c>
      <c r="I236" s="86" t="str">
        <f>IF('Consulta1'!H4328="","",'Consulta1'!H4328)</f>
        <v/>
      </c>
      <c r="J236" t="str">
        <f t="shared" si="3"/>
        <v/>
      </c>
      <c r="K236" t="str">
        <f>+IF(E236="","",VLOOKUP(E236,CATALOGO!G:I,2,0))</f>
        <v/>
      </c>
      <c r="L236" t="str">
        <f>+IF(E236="","",VLOOKUP(E236,CATALOGO!G:I,3,0))</f>
        <v/>
      </c>
      <c r="M236" s="87" t="str">
        <f>IF('Consulta1'!I4328="","",'Consulta1'!I4328)</f>
        <v/>
      </c>
      <c r="N236" s="88" t="str">
        <f>IF('Consulta1'!J4328="","",'Consulta1'!J4328)</f>
        <v/>
      </c>
    </row>
    <row r="237" spans="1:14" ht="18.75" x14ac:dyDescent="0.25">
      <c r="A237" s="82" t="str">
        <f>IF('Consulta1'!A4329="","",'Consulta1'!A4329)</f>
        <v/>
      </c>
      <c r="B237" s="82" t="str">
        <f>IF('Consulta1'!B4329="","",'Consulta1'!B4329)</f>
        <v/>
      </c>
      <c r="C237" s="83" t="str">
        <f>IF('Consulta1'!C4329="","",'Consulta1'!C4329)</f>
        <v/>
      </c>
      <c r="D237" s="84" t="str">
        <f>IF('Consulta1'!D4329="","",'Consulta1'!D4329)</f>
        <v/>
      </c>
      <c r="E237" s="82" t="str">
        <f>IF('Consulta1'!E4329="","",'Consulta1'!E4329)</f>
        <v/>
      </c>
      <c r="F237" t="str">
        <f>+IF(E237="","",VLOOKUP(E237,CATALOGO!G:L,6,0))</f>
        <v/>
      </c>
      <c r="G237" s="85" t="str">
        <f>IF('Consulta1'!F4329="","",'Consulta1'!F4329)</f>
        <v/>
      </c>
      <c r="H237" s="85" t="str">
        <f>IF('Consulta1'!G4329="","",'Consulta1'!G4329)</f>
        <v/>
      </c>
      <c r="I237" s="86" t="str">
        <f>IF('Consulta1'!H4329="","",'Consulta1'!H4329)</f>
        <v/>
      </c>
      <c r="J237" t="str">
        <f t="shared" si="3"/>
        <v/>
      </c>
      <c r="K237" t="str">
        <f>+IF(E237="","",VLOOKUP(E237,CATALOGO!G:I,2,0))</f>
        <v/>
      </c>
      <c r="L237" t="str">
        <f>+IF(E237="","",VLOOKUP(E237,CATALOGO!G:I,3,0))</f>
        <v/>
      </c>
      <c r="M237" s="87" t="str">
        <f>IF('Consulta1'!I4329="","",'Consulta1'!I4329)</f>
        <v/>
      </c>
      <c r="N237" s="88" t="str">
        <f>IF('Consulta1'!J4329="","",'Consulta1'!J4329)</f>
        <v/>
      </c>
    </row>
    <row r="238" spans="1:14" ht="18.75" x14ac:dyDescent="0.25">
      <c r="A238" s="82" t="str">
        <f>IF('Consulta1'!A4330="","",'Consulta1'!A4330)</f>
        <v/>
      </c>
      <c r="B238" s="82" t="str">
        <f>IF('Consulta1'!B4330="","",'Consulta1'!B4330)</f>
        <v/>
      </c>
      <c r="C238" s="83" t="str">
        <f>IF('Consulta1'!C4330="","",'Consulta1'!C4330)</f>
        <v/>
      </c>
      <c r="D238" s="84" t="str">
        <f>IF('Consulta1'!D4330="","",'Consulta1'!D4330)</f>
        <v/>
      </c>
      <c r="E238" s="82" t="str">
        <f>IF('Consulta1'!E4330="","",'Consulta1'!E4330)</f>
        <v/>
      </c>
      <c r="F238" t="str">
        <f>+IF(E238="","",VLOOKUP(E238,CATALOGO!G:L,6,0))</f>
        <v/>
      </c>
      <c r="G238" s="85" t="str">
        <f>IF('Consulta1'!F4330="","",'Consulta1'!F4330)</f>
        <v/>
      </c>
      <c r="H238" s="85" t="str">
        <f>IF('Consulta1'!G4330="","",'Consulta1'!G4330)</f>
        <v/>
      </c>
      <c r="I238" s="86" t="str">
        <f>IF('Consulta1'!H4330="","",'Consulta1'!H4330)</f>
        <v/>
      </c>
      <c r="J238" t="str">
        <f t="shared" si="3"/>
        <v/>
      </c>
      <c r="K238" t="str">
        <f>+IF(E238="","",VLOOKUP(E238,CATALOGO!G:I,2,0))</f>
        <v/>
      </c>
      <c r="L238" t="str">
        <f>+IF(E238="","",VLOOKUP(E238,CATALOGO!G:I,3,0))</f>
        <v/>
      </c>
      <c r="M238" s="87" t="str">
        <f>IF('Consulta1'!I4330="","",'Consulta1'!I4330)</f>
        <v/>
      </c>
      <c r="N238" s="88" t="str">
        <f>IF('Consulta1'!J4330="","",'Consulta1'!J4330)</f>
        <v/>
      </c>
    </row>
    <row r="239" spans="1:14" ht="18.75" x14ac:dyDescent="0.25">
      <c r="A239" s="82" t="str">
        <f>IF('Consulta1'!A4331="","",'Consulta1'!A4331)</f>
        <v/>
      </c>
      <c r="B239" s="82" t="str">
        <f>IF('Consulta1'!B4331="","",'Consulta1'!B4331)</f>
        <v/>
      </c>
      <c r="C239" s="83" t="str">
        <f>IF('Consulta1'!C4331="","",'Consulta1'!C4331)</f>
        <v/>
      </c>
      <c r="D239" s="84" t="str">
        <f>IF('Consulta1'!D4331="","",'Consulta1'!D4331)</f>
        <v/>
      </c>
      <c r="E239" s="82" t="str">
        <f>IF('Consulta1'!E4331="","",'Consulta1'!E4331)</f>
        <v/>
      </c>
      <c r="F239" t="str">
        <f>+IF(E239="","",VLOOKUP(E239,CATALOGO!G:L,6,0))</f>
        <v/>
      </c>
      <c r="G239" s="85" t="str">
        <f>IF('Consulta1'!F4331="","",'Consulta1'!F4331)</f>
        <v/>
      </c>
      <c r="H239" s="85" t="str">
        <f>IF('Consulta1'!G4331="","",'Consulta1'!G4331)</f>
        <v/>
      </c>
      <c r="I239" s="86" t="str">
        <f>IF('Consulta1'!H4331="","",'Consulta1'!H4331)</f>
        <v/>
      </c>
      <c r="J239" t="str">
        <f t="shared" si="3"/>
        <v/>
      </c>
      <c r="K239" t="str">
        <f>+IF(E239="","",VLOOKUP(E239,CATALOGO!G:I,2,0))</f>
        <v/>
      </c>
      <c r="L239" t="str">
        <f>+IF(E239="","",VLOOKUP(E239,CATALOGO!G:I,3,0))</f>
        <v/>
      </c>
      <c r="M239" s="87" t="str">
        <f>IF('Consulta1'!I4331="","",'Consulta1'!I4331)</f>
        <v/>
      </c>
      <c r="N239" s="88" t="str">
        <f>IF('Consulta1'!J4331="","",'Consulta1'!J4331)</f>
        <v/>
      </c>
    </row>
    <row r="240" spans="1:14" ht="18.75" x14ac:dyDescent="0.25">
      <c r="A240" s="82" t="str">
        <f>IF('Consulta1'!A4332="","",'Consulta1'!A4332)</f>
        <v/>
      </c>
      <c r="B240" s="82" t="str">
        <f>IF('Consulta1'!B4332="","",'Consulta1'!B4332)</f>
        <v/>
      </c>
      <c r="C240" s="83" t="str">
        <f>IF('Consulta1'!C4332="","",'Consulta1'!C4332)</f>
        <v/>
      </c>
      <c r="D240" s="84" t="str">
        <f>IF('Consulta1'!D4332="","",'Consulta1'!D4332)</f>
        <v/>
      </c>
      <c r="E240" s="82" t="str">
        <f>IF('Consulta1'!E4332="","",'Consulta1'!E4332)</f>
        <v/>
      </c>
      <c r="F240" t="str">
        <f>+IF(E240="","",VLOOKUP(E240,CATALOGO!G:L,6,0))</f>
        <v/>
      </c>
      <c r="G240" s="85" t="str">
        <f>IF('Consulta1'!F4332="","",'Consulta1'!F4332)</f>
        <v/>
      </c>
      <c r="H240" s="85" t="str">
        <f>IF('Consulta1'!G4332="","",'Consulta1'!G4332)</f>
        <v/>
      </c>
      <c r="I240" s="86" t="str">
        <f>IF('Consulta1'!H4332="","",'Consulta1'!H4332)</f>
        <v/>
      </c>
      <c r="J240" t="str">
        <f t="shared" si="3"/>
        <v/>
      </c>
      <c r="K240" t="str">
        <f>+IF(E240="","",VLOOKUP(E240,CATALOGO!G:I,2,0))</f>
        <v/>
      </c>
      <c r="L240" t="str">
        <f>+IF(E240="","",VLOOKUP(E240,CATALOGO!G:I,3,0))</f>
        <v/>
      </c>
      <c r="M240" s="87" t="str">
        <f>IF('Consulta1'!I4332="","",'Consulta1'!I4332)</f>
        <v/>
      </c>
      <c r="N240" s="88" t="str">
        <f>IF('Consulta1'!J4332="","",'Consulta1'!J4332)</f>
        <v/>
      </c>
    </row>
    <row r="241" spans="1:14" ht="18.75" x14ac:dyDescent="0.25">
      <c r="A241" s="82" t="str">
        <f>IF('Consulta1'!A4333="","",'Consulta1'!A4333)</f>
        <v/>
      </c>
      <c r="B241" s="82" t="str">
        <f>IF('Consulta1'!B4333="","",'Consulta1'!B4333)</f>
        <v/>
      </c>
      <c r="C241" s="83" t="str">
        <f>IF('Consulta1'!C4333="","",'Consulta1'!C4333)</f>
        <v/>
      </c>
      <c r="D241" s="84" t="str">
        <f>IF('Consulta1'!D4333="","",'Consulta1'!D4333)</f>
        <v/>
      </c>
      <c r="E241" s="82" t="str">
        <f>IF('Consulta1'!E4333="","",'Consulta1'!E4333)</f>
        <v/>
      </c>
      <c r="F241" t="str">
        <f>+IF(E241="","",VLOOKUP(E241,CATALOGO!G:L,6,0))</f>
        <v/>
      </c>
      <c r="G241" s="85" t="str">
        <f>IF('Consulta1'!F4333="","",'Consulta1'!F4333)</f>
        <v/>
      </c>
      <c r="H241" s="85" t="str">
        <f>IF('Consulta1'!G4333="","",'Consulta1'!G4333)</f>
        <v/>
      </c>
      <c r="I241" s="86" t="str">
        <f>IF('Consulta1'!H4333="","",'Consulta1'!H4333)</f>
        <v/>
      </c>
      <c r="J241" t="str">
        <f t="shared" si="3"/>
        <v/>
      </c>
      <c r="K241" t="str">
        <f>+IF(E241="","",VLOOKUP(E241,CATALOGO!G:I,2,0))</f>
        <v/>
      </c>
      <c r="L241" t="str">
        <f>+IF(E241="","",VLOOKUP(E241,CATALOGO!G:I,3,0))</f>
        <v/>
      </c>
      <c r="M241" s="87" t="str">
        <f>IF('Consulta1'!I4333="","",'Consulta1'!I4333)</f>
        <v/>
      </c>
      <c r="N241" s="88" t="str">
        <f>IF('Consulta1'!J4333="","",'Consulta1'!J4333)</f>
        <v/>
      </c>
    </row>
    <row r="242" spans="1:14" ht="18.75" x14ac:dyDescent="0.25">
      <c r="A242" s="82" t="str">
        <f>IF('Consulta1'!A4334="","",'Consulta1'!A4334)</f>
        <v/>
      </c>
      <c r="B242" s="82" t="str">
        <f>IF('Consulta1'!B4334="","",'Consulta1'!B4334)</f>
        <v/>
      </c>
      <c r="C242" s="83" t="str">
        <f>IF('Consulta1'!C4334="","",'Consulta1'!C4334)</f>
        <v/>
      </c>
      <c r="D242" s="84" t="str">
        <f>IF('Consulta1'!D4334="","",'Consulta1'!D4334)</f>
        <v/>
      </c>
      <c r="E242" s="82" t="str">
        <f>IF('Consulta1'!E4334="","",'Consulta1'!E4334)</f>
        <v/>
      </c>
      <c r="F242" t="str">
        <f>+IF(E242="","",VLOOKUP(E242,CATALOGO!G:L,6,0))</f>
        <v/>
      </c>
      <c r="G242" s="85" t="str">
        <f>IF('Consulta1'!F4334="","",'Consulta1'!F4334)</f>
        <v/>
      </c>
      <c r="H242" s="85" t="str">
        <f>IF('Consulta1'!G4334="","",'Consulta1'!G4334)</f>
        <v/>
      </c>
      <c r="I242" s="86" t="str">
        <f>IF('Consulta1'!H4334="","",'Consulta1'!H4334)</f>
        <v/>
      </c>
      <c r="J242" t="str">
        <f t="shared" si="3"/>
        <v/>
      </c>
      <c r="K242" t="str">
        <f>+IF(E242="","",VLOOKUP(E242,CATALOGO!G:I,2,0))</f>
        <v/>
      </c>
      <c r="L242" t="str">
        <f>+IF(E242="","",VLOOKUP(E242,CATALOGO!G:I,3,0))</f>
        <v/>
      </c>
      <c r="M242" s="87" t="str">
        <f>IF('Consulta1'!I4334="","",'Consulta1'!I4334)</f>
        <v/>
      </c>
      <c r="N242" s="88" t="str">
        <f>IF('Consulta1'!J4334="","",'Consulta1'!J4334)</f>
        <v/>
      </c>
    </row>
    <row r="243" spans="1:14" ht="18.75" x14ac:dyDescent="0.25">
      <c r="A243" s="82" t="str">
        <f>IF('Consulta1'!A4335="","",'Consulta1'!A4335)</f>
        <v/>
      </c>
      <c r="B243" s="82" t="str">
        <f>IF('Consulta1'!B4335="","",'Consulta1'!B4335)</f>
        <v/>
      </c>
      <c r="C243" s="83" t="str">
        <f>IF('Consulta1'!C4335="","",'Consulta1'!C4335)</f>
        <v/>
      </c>
      <c r="D243" s="84" t="str">
        <f>IF('Consulta1'!D4335="","",'Consulta1'!D4335)</f>
        <v/>
      </c>
      <c r="E243" s="82" t="str">
        <f>IF('Consulta1'!E4335="","",'Consulta1'!E4335)</f>
        <v/>
      </c>
      <c r="F243" t="str">
        <f>+IF(E243="","",VLOOKUP(E243,CATALOGO!G:L,6,0))</f>
        <v/>
      </c>
      <c r="G243" s="85" t="str">
        <f>IF('Consulta1'!F4335="","",'Consulta1'!F4335)</f>
        <v/>
      </c>
      <c r="H243" s="85" t="str">
        <f>IF('Consulta1'!G4335="","",'Consulta1'!G4335)</f>
        <v/>
      </c>
      <c r="I243" s="86" t="str">
        <f>IF('Consulta1'!H4335="","",'Consulta1'!H4335)</f>
        <v/>
      </c>
      <c r="J243" t="str">
        <f t="shared" si="3"/>
        <v/>
      </c>
      <c r="K243" t="str">
        <f>+IF(E243="","",VLOOKUP(E243,CATALOGO!G:I,2,0))</f>
        <v/>
      </c>
      <c r="L243" t="str">
        <f>+IF(E243="","",VLOOKUP(E243,CATALOGO!G:I,3,0))</f>
        <v/>
      </c>
      <c r="M243" s="87" t="str">
        <f>IF('Consulta1'!I4335="","",'Consulta1'!I4335)</f>
        <v/>
      </c>
      <c r="N243" s="88" t="str">
        <f>IF('Consulta1'!J4335="","",'Consulta1'!J4335)</f>
        <v/>
      </c>
    </row>
    <row r="244" spans="1:14" ht="18.75" x14ac:dyDescent="0.25">
      <c r="A244" s="82" t="str">
        <f>IF('Consulta1'!A4336="","",'Consulta1'!A4336)</f>
        <v/>
      </c>
      <c r="B244" s="82" t="str">
        <f>IF('Consulta1'!B4336="","",'Consulta1'!B4336)</f>
        <v/>
      </c>
      <c r="C244" s="83" t="str">
        <f>IF('Consulta1'!C4336="","",'Consulta1'!C4336)</f>
        <v/>
      </c>
      <c r="D244" s="84" t="str">
        <f>IF('Consulta1'!D4336="","",'Consulta1'!D4336)</f>
        <v/>
      </c>
      <c r="E244" s="82" t="str">
        <f>IF('Consulta1'!E4336="","",'Consulta1'!E4336)</f>
        <v/>
      </c>
      <c r="F244" t="str">
        <f>+IF(E244="","",VLOOKUP(E244,CATALOGO!G:L,6,0))</f>
        <v/>
      </c>
      <c r="G244" s="85" t="str">
        <f>IF('Consulta1'!F4336="","",'Consulta1'!F4336)</f>
        <v/>
      </c>
      <c r="H244" s="85" t="str">
        <f>IF('Consulta1'!G4336="","",'Consulta1'!G4336)</f>
        <v/>
      </c>
      <c r="I244" s="86" t="str">
        <f>IF('Consulta1'!H4336="","",'Consulta1'!H4336)</f>
        <v/>
      </c>
      <c r="J244" t="str">
        <f t="shared" si="3"/>
        <v/>
      </c>
      <c r="K244" t="str">
        <f>+IF(E244="","",VLOOKUP(E244,CATALOGO!G:I,2,0))</f>
        <v/>
      </c>
      <c r="L244" t="str">
        <f>+IF(E244="","",VLOOKUP(E244,CATALOGO!G:I,3,0))</f>
        <v/>
      </c>
      <c r="M244" s="87" t="str">
        <f>IF('Consulta1'!I4336="","",'Consulta1'!I4336)</f>
        <v/>
      </c>
      <c r="N244" s="88" t="str">
        <f>IF('Consulta1'!J4336="","",'Consulta1'!J4336)</f>
        <v/>
      </c>
    </row>
    <row r="245" spans="1:14" ht="18.75" x14ac:dyDescent="0.25">
      <c r="A245" s="82" t="str">
        <f>IF('Consulta1'!A4337="","",'Consulta1'!A4337)</f>
        <v/>
      </c>
      <c r="B245" s="82" t="str">
        <f>IF('Consulta1'!B4337="","",'Consulta1'!B4337)</f>
        <v/>
      </c>
      <c r="C245" s="83" t="str">
        <f>IF('Consulta1'!C4337="","",'Consulta1'!C4337)</f>
        <v/>
      </c>
      <c r="D245" s="84" t="str">
        <f>IF('Consulta1'!D4337="","",'Consulta1'!D4337)</f>
        <v/>
      </c>
      <c r="E245" s="82" t="str">
        <f>IF('Consulta1'!E4337="","",'Consulta1'!E4337)</f>
        <v/>
      </c>
      <c r="F245" t="str">
        <f>+IF(E245="","",VLOOKUP(E245,CATALOGO!G:L,6,0))</f>
        <v/>
      </c>
      <c r="G245" s="85" t="str">
        <f>IF('Consulta1'!F4337="","",'Consulta1'!F4337)</f>
        <v/>
      </c>
      <c r="H245" s="85" t="str">
        <f>IF('Consulta1'!G4337="","",'Consulta1'!G4337)</f>
        <v/>
      </c>
      <c r="I245" s="86" t="str">
        <f>IF('Consulta1'!H4337="","",'Consulta1'!H4337)</f>
        <v/>
      </c>
      <c r="J245" t="str">
        <f t="shared" si="3"/>
        <v/>
      </c>
      <c r="K245" t="str">
        <f>+IF(E245="","",VLOOKUP(E245,CATALOGO!G:I,2,0))</f>
        <v/>
      </c>
      <c r="L245" t="str">
        <f>+IF(E245="","",VLOOKUP(E245,CATALOGO!G:I,3,0))</f>
        <v/>
      </c>
      <c r="M245" s="87" t="str">
        <f>IF('Consulta1'!I4337="","",'Consulta1'!I4337)</f>
        <v/>
      </c>
      <c r="N245" s="88" t="str">
        <f>IF('Consulta1'!J4337="","",'Consulta1'!J4337)</f>
        <v/>
      </c>
    </row>
    <row r="246" spans="1:14" ht="18.75" x14ac:dyDescent="0.25">
      <c r="A246" s="82" t="str">
        <f>IF('Consulta1'!A4338="","",'Consulta1'!A4338)</f>
        <v/>
      </c>
      <c r="B246" s="82" t="str">
        <f>IF('Consulta1'!B4338="","",'Consulta1'!B4338)</f>
        <v/>
      </c>
      <c r="C246" s="83" t="str">
        <f>IF('Consulta1'!C4338="","",'Consulta1'!C4338)</f>
        <v/>
      </c>
      <c r="D246" s="84" t="str">
        <f>IF('Consulta1'!D4338="","",'Consulta1'!D4338)</f>
        <v/>
      </c>
      <c r="E246" s="82" t="str">
        <f>IF('Consulta1'!E4338="","",'Consulta1'!E4338)</f>
        <v/>
      </c>
      <c r="F246" t="str">
        <f>+IF(E246="","",VLOOKUP(E246,CATALOGO!G:L,6,0))</f>
        <v/>
      </c>
      <c r="G246" s="85" t="str">
        <f>IF('Consulta1'!F4338="","",'Consulta1'!F4338)</f>
        <v/>
      </c>
      <c r="H246" s="85" t="str">
        <f>IF('Consulta1'!G4338="","",'Consulta1'!G4338)</f>
        <v/>
      </c>
      <c r="I246" s="86" t="str">
        <f>IF('Consulta1'!H4338="","",'Consulta1'!H4338)</f>
        <v/>
      </c>
      <c r="J246" t="str">
        <f t="shared" si="3"/>
        <v/>
      </c>
      <c r="K246" t="str">
        <f>+IF(E246="","",VLOOKUP(E246,CATALOGO!G:I,2,0))</f>
        <v/>
      </c>
      <c r="L246" t="str">
        <f>+IF(E246="","",VLOOKUP(E246,CATALOGO!G:I,3,0))</f>
        <v/>
      </c>
      <c r="M246" s="87" t="str">
        <f>IF('Consulta1'!I4338="","",'Consulta1'!I4338)</f>
        <v/>
      </c>
      <c r="N246" s="88" t="str">
        <f>IF('Consulta1'!J4338="","",'Consulta1'!J4338)</f>
        <v/>
      </c>
    </row>
    <row r="247" spans="1:14" ht="18.75" x14ac:dyDescent="0.25">
      <c r="A247" s="82" t="str">
        <f>IF('Consulta1'!A4339="","",'Consulta1'!A4339)</f>
        <v/>
      </c>
      <c r="B247" s="82" t="str">
        <f>IF('Consulta1'!B4339="","",'Consulta1'!B4339)</f>
        <v/>
      </c>
      <c r="C247" s="83" t="str">
        <f>IF('Consulta1'!C4339="","",'Consulta1'!C4339)</f>
        <v/>
      </c>
      <c r="D247" s="84" t="str">
        <f>IF('Consulta1'!D4339="","",'Consulta1'!D4339)</f>
        <v/>
      </c>
      <c r="E247" s="82" t="str">
        <f>IF('Consulta1'!E4339="","",'Consulta1'!E4339)</f>
        <v/>
      </c>
      <c r="F247" t="str">
        <f>+IF(E247="","",VLOOKUP(E247,CATALOGO!G:L,6,0))</f>
        <v/>
      </c>
      <c r="G247" s="85" t="str">
        <f>IF('Consulta1'!F4339="","",'Consulta1'!F4339)</f>
        <v/>
      </c>
      <c r="H247" s="85" t="str">
        <f>IF('Consulta1'!G4339="","",'Consulta1'!G4339)</f>
        <v/>
      </c>
      <c r="I247" s="86" t="str">
        <f>IF('Consulta1'!H4339="","",'Consulta1'!H4339)</f>
        <v/>
      </c>
      <c r="J247" t="str">
        <f t="shared" si="3"/>
        <v/>
      </c>
      <c r="K247" t="str">
        <f>+IF(E247="","",VLOOKUP(E247,CATALOGO!G:I,2,0))</f>
        <v/>
      </c>
      <c r="L247" t="str">
        <f>+IF(E247="","",VLOOKUP(E247,CATALOGO!G:I,3,0))</f>
        <v/>
      </c>
      <c r="M247" s="87" t="str">
        <f>IF('Consulta1'!I4339="","",'Consulta1'!I4339)</f>
        <v/>
      </c>
      <c r="N247" s="88" t="str">
        <f>IF('Consulta1'!J4339="","",'Consulta1'!J4339)</f>
        <v/>
      </c>
    </row>
    <row r="248" spans="1:14" ht="18.75" x14ac:dyDescent="0.25">
      <c r="A248" s="82" t="str">
        <f>IF('Consulta1'!A4340="","",'Consulta1'!A4340)</f>
        <v/>
      </c>
      <c r="B248" s="82" t="str">
        <f>IF('Consulta1'!B4340="","",'Consulta1'!B4340)</f>
        <v/>
      </c>
      <c r="C248" s="83" t="str">
        <f>IF('Consulta1'!C4340="","",'Consulta1'!C4340)</f>
        <v/>
      </c>
      <c r="D248" s="84" t="str">
        <f>IF('Consulta1'!D4340="","",'Consulta1'!D4340)</f>
        <v/>
      </c>
      <c r="E248" s="82" t="str">
        <f>IF('Consulta1'!E4340="","",'Consulta1'!E4340)</f>
        <v/>
      </c>
      <c r="F248" t="str">
        <f>+IF(E248="","",VLOOKUP(E248,CATALOGO!G:L,6,0))</f>
        <v/>
      </c>
      <c r="G248" s="85" t="str">
        <f>IF('Consulta1'!F4340="","",'Consulta1'!F4340)</f>
        <v/>
      </c>
      <c r="H248" s="85" t="str">
        <f>IF('Consulta1'!G4340="","",'Consulta1'!G4340)</f>
        <v/>
      </c>
      <c r="I248" s="86" t="str">
        <f>IF('Consulta1'!H4340="","",'Consulta1'!H4340)</f>
        <v/>
      </c>
      <c r="J248" t="str">
        <f t="shared" si="3"/>
        <v/>
      </c>
      <c r="K248" t="str">
        <f>+IF(E248="","",VLOOKUP(E248,CATALOGO!G:I,2,0))</f>
        <v/>
      </c>
      <c r="L248" t="str">
        <f>+IF(E248="","",VLOOKUP(E248,CATALOGO!G:I,3,0))</f>
        <v/>
      </c>
      <c r="M248" s="87" t="str">
        <f>IF('Consulta1'!I4340="","",'Consulta1'!I4340)</f>
        <v/>
      </c>
      <c r="N248" s="88" t="str">
        <f>IF('Consulta1'!J4340="","",'Consulta1'!J4340)</f>
        <v/>
      </c>
    </row>
    <row r="249" spans="1:14" ht="18.75" x14ac:dyDescent="0.25">
      <c r="A249" s="82" t="str">
        <f>IF('Consulta1'!A4341="","",'Consulta1'!A4341)</f>
        <v/>
      </c>
      <c r="B249" s="82" t="str">
        <f>IF('Consulta1'!B4341="","",'Consulta1'!B4341)</f>
        <v/>
      </c>
      <c r="C249" s="83" t="str">
        <f>IF('Consulta1'!C4341="","",'Consulta1'!C4341)</f>
        <v/>
      </c>
      <c r="D249" s="84" t="str">
        <f>IF('Consulta1'!D4341="","",'Consulta1'!D4341)</f>
        <v/>
      </c>
      <c r="E249" s="82" t="str">
        <f>IF('Consulta1'!E4341="","",'Consulta1'!E4341)</f>
        <v/>
      </c>
      <c r="F249" t="str">
        <f>+IF(E249="","",VLOOKUP(E249,CATALOGO!G:L,6,0))</f>
        <v/>
      </c>
      <c r="G249" s="85" t="str">
        <f>IF('Consulta1'!F4341="","",'Consulta1'!F4341)</f>
        <v/>
      </c>
      <c r="H249" s="85" t="str">
        <f>IF('Consulta1'!G4341="","",'Consulta1'!G4341)</f>
        <v/>
      </c>
      <c r="I249" s="86" t="str">
        <f>IF('Consulta1'!H4341="","",'Consulta1'!H4341)</f>
        <v/>
      </c>
      <c r="J249" t="str">
        <f t="shared" si="3"/>
        <v/>
      </c>
      <c r="K249" t="str">
        <f>+IF(E249="","",VLOOKUP(E249,CATALOGO!G:I,2,0))</f>
        <v/>
      </c>
      <c r="L249" t="str">
        <f>+IF(E249="","",VLOOKUP(E249,CATALOGO!G:I,3,0))</f>
        <v/>
      </c>
      <c r="M249" s="87" t="str">
        <f>IF('Consulta1'!I4341="","",'Consulta1'!I4341)</f>
        <v/>
      </c>
      <c r="N249" s="88" t="str">
        <f>IF('Consulta1'!J4341="","",'Consulta1'!J4341)</f>
        <v/>
      </c>
    </row>
    <row r="250" spans="1:14" ht="18.75" x14ac:dyDescent="0.25">
      <c r="A250" s="82" t="str">
        <f>IF('Consulta1'!A4342="","",'Consulta1'!A4342)</f>
        <v/>
      </c>
      <c r="B250" s="82" t="str">
        <f>IF('Consulta1'!B4342="","",'Consulta1'!B4342)</f>
        <v/>
      </c>
      <c r="C250" s="83" t="str">
        <f>IF('Consulta1'!C4342="","",'Consulta1'!C4342)</f>
        <v/>
      </c>
      <c r="D250" s="84" t="str">
        <f>IF('Consulta1'!D4342="","",'Consulta1'!D4342)</f>
        <v/>
      </c>
      <c r="E250" s="82" t="str">
        <f>IF('Consulta1'!E4342="","",'Consulta1'!E4342)</f>
        <v/>
      </c>
      <c r="F250" t="str">
        <f>+IF(E250="","",VLOOKUP(E250,CATALOGO!G:L,6,0))</f>
        <v/>
      </c>
      <c r="G250" s="85" t="str">
        <f>IF('Consulta1'!F4342="","",'Consulta1'!F4342)</f>
        <v/>
      </c>
      <c r="H250" s="85" t="str">
        <f>IF('Consulta1'!G4342="","",'Consulta1'!G4342)</f>
        <v/>
      </c>
      <c r="I250" s="86" t="str">
        <f>IF('Consulta1'!H4342="","",'Consulta1'!H4342)</f>
        <v/>
      </c>
      <c r="J250" t="str">
        <f t="shared" si="3"/>
        <v/>
      </c>
      <c r="K250" t="str">
        <f>+IF(E250="","",VLOOKUP(E250,CATALOGO!G:I,2,0))</f>
        <v/>
      </c>
      <c r="L250" t="str">
        <f>+IF(E250="","",VLOOKUP(E250,CATALOGO!G:I,3,0))</f>
        <v/>
      </c>
      <c r="M250" s="87" t="str">
        <f>IF('Consulta1'!I4342="","",'Consulta1'!I4342)</f>
        <v/>
      </c>
      <c r="N250" s="88" t="str">
        <f>IF('Consulta1'!J4342="","",'Consulta1'!J4342)</f>
        <v/>
      </c>
    </row>
    <row r="251" spans="1:14" ht="18.75" x14ac:dyDescent="0.25">
      <c r="A251" s="82" t="str">
        <f>IF('Consulta1'!A4343="","",'Consulta1'!A4343)</f>
        <v/>
      </c>
      <c r="B251" s="82" t="str">
        <f>IF('Consulta1'!B4343="","",'Consulta1'!B4343)</f>
        <v/>
      </c>
      <c r="C251" s="83" t="str">
        <f>IF('Consulta1'!C4343="","",'Consulta1'!C4343)</f>
        <v/>
      </c>
      <c r="D251" s="84" t="str">
        <f>IF('Consulta1'!D4343="","",'Consulta1'!D4343)</f>
        <v/>
      </c>
      <c r="E251" s="82" t="str">
        <f>IF('Consulta1'!E4343="","",'Consulta1'!E4343)</f>
        <v/>
      </c>
      <c r="F251" t="str">
        <f>+IF(E251="","",VLOOKUP(E251,CATALOGO!G:L,6,0))</f>
        <v/>
      </c>
      <c r="G251" s="85" t="str">
        <f>IF('Consulta1'!F4343="","",'Consulta1'!F4343)</f>
        <v/>
      </c>
      <c r="H251" s="85" t="str">
        <f>IF('Consulta1'!G4343="","",'Consulta1'!G4343)</f>
        <v/>
      </c>
      <c r="I251" s="86" t="str">
        <f>IF('Consulta1'!H4343="","",'Consulta1'!H4343)</f>
        <v/>
      </c>
      <c r="J251" t="str">
        <f t="shared" si="3"/>
        <v/>
      </c>
      <c r="K251" t="str">
        <f>+IF(E251="","",VLOOKUP(E251,CATALOGO!G:I,2,0))</f>
        <v/>
      </c>
      <c r="L251" t="str">
        <f>+IF(E251="","",VLOOKUP(E251,CATALOGO!G:I,3,0))</f>
        <v/>
      </c>
      <c r="M251" s="87" t="str">
        <f>IF('Consulta1'!I4343="","",'Consulta1'!I4343)</f>
        <v/>
      </c>
      <c r="N251" s="88" t="str">
        <f>IF('Consulta1'!J4343="","",'Consulta1'!J4343)</f>
        <v/>
      </c>
    </row>
    <row r="252" spans="1:14" ht="18.75" x14ac:dyDescent="0.25">
      <c r="A252" s="82" t="str">
        <f>IF('Consulta1'!A4344="","",'Consulta1'!A4344)</f>
        <v/>
      </c>
      <c r="B252" s="82" t="str">
        <f>IF('Consulta1'!B4344="","",'Consulta1'!B4344)</f>
        <v/>
      </c>
      <c r="C252" s="83" t="str">
        <f>IF('Consulta1'!C4344="","",'Consulta1'!C4344)</f>
        <v/>
      </c>
      <c r="D252" s="84" t="str">
        <f>IF('Consulta1'!D4344="","",'Consulta1'!D4344)</f>
        <v/>
      </c>
      <c r="E252" s="82" t="str">
        <f>IF('Consulta1'!E4344="","",'Consulta1'!E4344)</f>
        <v/>
      </c>
      <c r="F252" t="str">
        <f>+IF(E252="","",VLOOKUP(E252,CATALOGO!G:L,6,0))</f>
        <v/>
      </c>
      <c r="G252" s="85" t="str">
        <f>IF('Consulta1'!F4344="","",'Consulta1'!F4344)</f>
        <v/>
      </c>
      <c r="H252" s="85" t="str">
        <f>IF('Consulta1'!G4344="","",'Consulta1'!G4344)</f>
        <v/>
      </c>
      <c r="I252" s="86" t="str">
        <f>IF('Consulta1'!H4344="","",'Consulta1'!H4344)</f>
        <v/>
      </c>
      <c r="J252" t="str">
        <f t="shared" si="3"/>
        <v/>
      </c>
      <c r="K252" t="str">
        <f>+IF(E252="","",VLOOKUP(E252,CATALOGO!G:I,2,0))</f>
        <v/>
      </c>
      <c r="L252" t="str">
        <f>+IF(E252="","",VLOOKUP(E252,CATALOGO!G:I,3,0))</f>
        <v/>
      </c>
      <c r="M252" s="87" t="str">
        <f>IF('Consulta1'!I4344="","",'Consulta1'!I4344)</f>
        <v/>
      </c>
      <c r="N252" s="88" t="str">
        <f>IF('Consulta1'!J4344="","",'Consulta1'!J4344)</f>
        <v/>
      </c>
    </row>
    <row r="253" spans="1:14" ht="18.75" x14ac:dyDescent="0.25">
      <c r="A253" s="82" t="str">
        <f>IF('Consulta1'!A4345="","",'Consulta1'!A4345)</f>
        <v/>
      </c>
      <c r="B253" s="82" t="str">
        <f>IF('Consulta1'!B4345="","",'Consulta1'!B4345)</f>
        <v/>
      </c>
      <c r="C253" s="83" t="str">
        <f>IF('Consulta1'!C4345="","",'Consulta1'!C4345)</f>
        <v/>
      </c>
      <c r="D253" s="84" t="str">
        <f>IF('Consulta1'!D4345="","",'Consulta1'!D4345)</f>
        <v/>
      </c>
      <c r="E253" s="82" t="str">
        <f>IF('Consulta1'!E4345="","",'Consulta1'!E4345)</f>
        <v/>
      </c>
      <c r="F253" t="str">
        <f>+IF(E253="","",VLOOKUP(E253,CATALOGO!G:L,6,0))</f>
        <v/>
      </c>
      <c r="G253" s="85" t="str">
        <f>IF('Consulta1'!F4345="","",'Consulta1'!F4345)</f>
        <v/>
      </c>
      <c r="H253" s="85" t="str">
        <f>IF('Consulta1'!G4345="","",'Consulta1'!G4345)</f>
        <v/>
      </c>
      <c r="I253" s="86" t="str">
        <f>IF('Consulta1'!H4345="","",'Consulta1'!H4345)</f>
        <v/>
      </c>
      <c r="J253" t="str">
        <f t="shared" si="3"/>
        <v/>
      </c>
      <c r="K253" t="str">
        <f>+IF(E253="","",VLOOKUP(E253,CATALOGO!G:I,2,0))</f>
        <v/>
      </c>
      <c r="L253" t="str">
        <f>+IF(E253="","",VLOOKUP(E253,CATALOGO!G:I,3,0))</f>
        <v/>
      </c>
      <c r="M253" s="87" t="str">
        <f>IF('Consulta1'!I4345="","",'Consulta1'!I4345)</f>
        <v/>
      </c>
      <c r="N253" s="88" t="str">
        <f>IF('Consulta1'!J4345="","",'Consulta1'!J4345)</f>
        <v/>
      </c>
    </row>
    <row r="254" spans="1:14" ht="18.75" x14ac:dyDescent="0.25">
      <c r="A254" s="82" t="str">
        <f>IF('Consulta1'!A4346="","",'Consulta1'!A4346)</f>
        <v/>
      </c>
      <c r="B254" s="82" t="str">
        <f>IF('Consulta1'!B4346="","",'Consulta1'!B4346)</f>
        <v/>
      </c>
      <c r="C254" s="83" t="str">
        <f>IF('Consulta1'!C4346="","",'Consulta1'!C4346)</f>
        <v/>
      </c>
      <c r="D254" s="84" t="str">
        <f>IF('Consulta1'!D4346="","",'Consulta1'!D4346)</f>
        <v/>
      </c>
      <c r="E254" s="82" t="str">
        <f>IF('Consulta1'!E4346="","",'Consulta1'!E4346)</f>
        <v/>
      </c>
      <c r="F254" t="str">
        <f>+IF(E254="","",VLOOKUP(E254,CATALOGO!G:L,6,0))</f>
        <v/>
      </c>
      <c r="G254" s="85" t="str">
        <f>IF('Consulta1'!F4346="","",'Consulta1'!F4346)</f>
        <v/>
      </c>
      <c r="H254" s="85" t="str">
        <f>IF('Consulta1'!G4346="","",'Consulta1'!G4346)</f>
        <v/>
      </c>
      <c r="I254" s="86" t="str">
        <f>IF('Consulta1'!H4346="","",'Consulta1'!H4346)</f>
        <v/>
      </c>
      <c r="J254" t="str">
        <f t="shared" si="3"/>
        <v/>
      </c>
      <c r="K254" t="str">
        <f>+IF(E254="","",VLOOKUP(E254,CATALOGO!G:I,2,0))</f>
        <v/>
      </c>
      <c r="L254" t="str">
        <f>+IF(E254="","",VLOOKUP(E254,CATALOGO!G:I,3,0))</f>
        <v/>
      </c>
      <c r="M254" s="87" t="str">
        <f>IF('Consulta1'!I4346="","",'Consulta1'!I4346)</f>
        <v/>
      </c>
      <c r="N254" s="88" t="str">
        <f>IF('Consulta1'!J4346="","",'Consulta1'!J4346)</f>
        <v/>
      </c>
    </row>
    <row r="255" spans="1:14" ht="18.75" x14ac:dyDescent="0.25">
      <c r="A255" s="82" t="str">
        <f>IF('Consulta1'!A4347="","",'Consulta1'!A4347)</f>
        <v/>
      </c>
      <c r="B255" s="82" t="str">
        <f>IF('Consulta1'!B4347="","",'Consulta1'!B4347)</f>
        <v/>
      </c>
      <c r="C255" s="83" t="str">
        <f>IF('Consulta1'!C4347="","",'Consulta1'!C4347)</f>
        <v/>
      </c>
      <c r="D255" s="84" t="str">
        <f>IF('Consulta1'!D4347="","",'Consulta1'!D4347)</f>
        <v/>
      </c>
      <c r="E255" s="82" t="str">
        <f>IF('Consulta1'!E4347="","",'Consulta1'!E4347)</f>
        <v/>
      </c>
      <c r="F255" t="str">
        <f>+IF(E255="","",VLOOKUP(E255,CATALOGO!G:L,6,0))</f>
        <v/>
      </c>
      <c r="G255" s="85" t="str">
        <f>IF('Consulta1'!F4347="","",'Consulta1'!F4347)</f>
        <v/>
      </c>
      <c r="H255" s="85" t="str">
        <f>IF('Consulta1'!G4347="","",'Consulta1'!G4347)</f>
        <v/>
      </c>
      <c r="I255" s="86" t="str">
        <f>IF('Consulta1'!H4347="","",'Consulta1'!H4347)</f>
        <v/>
      </c>
      <c r="J255" t="str">
        <f t="shared" si="3"/>
        <v/>
      </c>
      <c r="K255" t="str">
        <f>+IF(E255="","",VLOOKUP(E255,CATALOGO!G:I,2,0))</f>
        <v/>
      </c>
      <c r="L255" t="str">
        <f>+IF(E255="","",VLOOKUP(E255,CATALOGO!G:I,3,0))</f>
        <v/>
      </c>
      <c r="M255" s="87" t="str">
        <f>IF('Consulta1'!I4347="","",'Consulta1'!I4347)</f>
        <v/>
      </c>
      <c r="N255" s="88" t="str">
        <f>IF('Consulta1'!J4347="","",'Consulta1'!J4347)</f>
        <v/>
      </c>
    </row>
    <row r="256" spans="1:14" ht="18.75" x14ac:dyDescent="0.25">
      <c r="A256" s="82" t="str">
        <f>IF('Consulta1'!A4348="","",'Consulta1'!A4348)</f>
        <v/>
      </c>
      <c r="B256" s="82" t="str">
        <f>IF('Consulta1'!B4348="","",'Consulta1'!B4348)</f>
        <v/>
      </c>
      <c r="C256" s="83" t="str">
        <f>IF('Consulta1'!C4348="","",'Consulta1'!C4348)</f>
        <v/>
      </c>
      <c r="D256" s="84" t="str">
        <f>IF('Consulta1'!D4348="","",'Consulta1'!D4348)</f>
        <v/>
      </c>
      <c r="E256" s="82" t="str">
        <f>IF('Consulta1'!E4348="","",'Consulta1'!E4348)</f>
        <v/>
      </c>
      <c r="F256" t="str">
        <f>+IF(E256="","",VLOOKUP(E256,CATALOGO!G:L,6,0))</f>
        <v/>
      </c>
      <c r="G256" s="85" t="str">
        <f>IF('Consulta1'!F4348="","",'Consulta1'!F4348)</f>
        <v/>
      </c>
      <c r="H256" s="85" t="str">
        <f>IF('Consulta1'!G4348="","",'Consulta1'!G4348)</f>
        <v/>
      </c>
      <c r="I256" s="86" t="str">
        <f>IF('Consulta1'!H4348="","",'Consulta1'!H4348)</f>
        <v/>
      </c>
      <c r="J256" t="str">
        <f t="shared" si="3"/>
        <v/>
      </c>
      <c r="K256" t="str">
        <f>+IF(E256="","",VLOOKUP(E256,CATALOGO!G:I,2,0))</f>
        <v/>
      </c>
      <c r="L256" t="str">
        <f>+IF(E256="","",VLOOKUP(E256,CATALOGO!G:I,3,0))</f>
        <v/>
      </c>
      <c r="M256" s="87" t="str">
        <f>IF('Consulta1'!I4348="","",'Consulta1'!I4348)</f>
        <v/>
      </c>
      <c r="N256" s="88" t="str">
        <f>IF('Consulta1'!J4348="","",'Consulta1'!J4348)</f>
        <v/>
      </c>
    </row>
    <row r="257" spans="1:14" ht="18.75" x14ac:dyDescent="0.25">
      <c r="A257" s="82" t="str">
        <f>IF('Consulta1'!A4349="","",'Consulta1'!A4349)</f>
        <v/>
      </c>
      <c r="B257" s="82" t="str">
        <f>IF('Consulta1'!B4349="","",'Consulta1'!B4349)</f>
        <v/>
      </c>
      <c r="C257" s="83" t="str">
        <f>IF('Consulta1'!C4349="","",'Consulta1'!C4349)</f>
        <v/>
      </c>
      <c r="D257" s="84" t="str">
        <f>IF('Consulta1'!D4349="","",'Consulta1'!D4349)</f>
        <v/>
      </c>
      <c r="E257" s="82" t="str">
        <f>IF('Consulta1'!E4349="","",'Consulta1'!E4349)</f>
        <v/>
      </c>
      <c r="F257" t="str">
        <f>+IF(E257="","",VLOOKUP(E257,CATALOGO!G:L,6,0))</f>
        <v/>
      </c>
      <c r="G257" s="85" t="str">
        <f>IF('Consulta1'!F4349="","",'Consulta1'!F4349)</f>
        <v/>
      </c>
      <c r="H257" s="85" t="str">
        <f>IF('Consulta1'!G4349="","",'Consulta1'!G4349)</f>
        <v/>
      </c>
      <c r="I257" s="86" t="str">
        <f>IF('Consulta1'!H4349="","",'Consulta1'!H4349)</f>
        <v/>
      </c>
      <c r="J257" t="str">
        <f t="shared" si="3"/>
        <v/>
      </c>
      <c r="K257" t="str">
        <f>+IF(E257="","",VLOOKUP(E257,CATALOGO!G:I,2,0))</f>
        <v/>
      </c>
      <c r="L257" t="str">
        <f>+IF(E257="","",VLOOKUP(E257,CATALOGO!G:I,3,0))</f>
        <v/>
      </c>
      <c r="M257" s="87" t="str">
        <f>IF('Consulta1'!I4349="","",'Consulta1'!I4349)</f>
        <v/>
      </c>
      <c r="N257" s="88" t="str">
        <f>IF('Consulta1'!J4349="","",'Consulta1'!J4349)</f>
        <v/>
      </c>
    </row>
    <row r="258" spans="1:14" ht="18.75" x14ac:dyDescent="0.25">
      <c r="A258" s="82" t="str">
        <f>IF('Consulta1'!A4350="","",'Consulta1'!A4350)</f>
        <v/>
      </c>
      <c r="B258" s="82" t="str">
        <f>IF('Consulta1'!B4350="","",'Consulta1'!B4350)</f>
        <v/>
      </c>
      <c r="C258" s="83" t="str">
        <f>IF('Consulta1'!C4350="","",'Consulta1'!C4350)</f>
        <v/>
      </c>
      <c r="D258" s="84" t="str">
        <f>IF('Consulta1'!D4350="","",'Consulta1'!D4350)</f>
        <v/>
      </c>
      <c r="E258" s="82" t="str">
        <f>IF('Consulta1'!E4350="","",'Consulta1'!E4350)</f>
        <v/>
      </c>
      <c r="F258" t="str">
        <f>+IF(E258="","",VLOOKUP(E258,CATALOGO!G:L,6,0))</f>
        <v/>
      </c>
      <c r="G258" s="85" t="str">
        <f>IF('Consulta1'!F4350="","",'Consulta1'!F4350)</f>
        <v/>
      </c>
      <c r="H258" s="85" t="str">
        <f>IF('Consulta1'!G4350="","",'Consulta1'!G4350)</f>
        <v/>
      </c>
      <c r="I258" s="86" t="str">
        <f>IF('Consulta1'!H4350="","",'Consulta1'!H4350)</f>
        <v/>
      </c>
      <c r="J258" t="str">
        <f t="shared" si="3"/>
        <v/>
      </c>
      <c r="K258" t="str">
        <f>+IF(E258="","",VLOOKUP(E258,CATALOGO!G:I,2,0))</f>
        <v/>
      </c>
      <c r="L258" t="str">
        <f>+IF(E258="","",VLOOKUP(E258,CATALOGO!G:I,3,0))</f>
        <v/>
      </c>
      <c r="M258" s="87" t="str">
        <f>IF('Consulta1'!I4350="","",'Consulta1'!I4350)</f>
        <v/>
      </c>
      <c r="N258" s="88" t="str">
        <f>IF('Consulta1'!J4350="","",'Consulta1'!J4350)</f>
        <v/>
      </c>
    </row>
    <row r="259" spans="1:14" ht="18.75" x14ac:dyDescent="0.25">
      <c r="A259" s="82" t="str">
        <f>IF('Consulta1'!A4351="","",'Consulta1'!A4351)</f>
        <v/>
      </c>
      <c r="B259" s="82" t="str">
        <f>IF('Consulta1'!B4351="","",'Consulta1'!B4351)</f>
        <v/>
      </c>
      <c r="C259" s="83" t="str">
        <f>IF('Consulta1'!C4351="","",'Consulta1'!C4351)</f>
        <v/>
      </c>
      <c r="D259" s="84" t="str">
        <f>IF('Consulta1'!D4351="","",'Consulta1'!D4351)</f>
        <v/>
      </c>
      <c r="E259" s="82" t="str">
        <f>IF('Consulta1'!E4351="","",'Consulta1'!E4351)</f>
        <v/>
      </c>
      <c r="F259" t="str">
        <f>+IF(E259="","",VLOOKUP(E259,CATALOGO!G:L,6,0))</f>
        <v/>
      </c>
      <c r="G259" s="85" t="str">
        <f>IF('Consulta1'!F4351="","",'Consulta1'!F4351)</f>
        <v/>
      </c>
      <c r="H259" s="85" t="str">
        <f>IF('Consulta1'!G4351="","",'Consulta1'!G4351)</f>
        <v/>
      </c>
      <c r="I259" s="86" t="str">
        <f>IF('Consulta1'!H4351="","",'Consulta1'!H4351)</f>
        <v/>
      </c>
      <c r="J259" t="str">
        <f t="shared" ref="J259:J322" si="4">+IF(E259="","",WEEKNUM(I259))</f>
        <v/>
      </c>
      <c r="K259" t="str">
        <f>+IF(E259="","",VLOOKUP(E259,CATALOGO!G:I,2,0))</f>
        <v/>
      </c>
      <c r="L259" t="str">
        <f>+IF(E259="","",VLOOKUP(E259,CATALOGO!G:I,3,0))</f>
        <v/>
      </c>
      <c r="M259" s="87" t="str">
        <f>IF('Consulta1'!I4351="","",'Consulta1'!I4351)</f>
        <v/>
      </c>
      <c r="N259" s="88" t="str">
        <f>IF('Consulta1'!J4351="","",'Consulta1'!J4351)</f>
        <v/>
      </c>
    </row>
    <row r="260" spans="1:14" ht="18.75" x14ac:dyDescent="0.25">
      <c r="A260" s="82" t="str">
        <f>IF('Consulta1'!A4352="","",'Consulta1'!A4352)</f>
        <v/>
      </c>
      <c r="B260" s="82" t="str">
        <f>IF('Consulta1'!B4352="","",'Consulta1'!B4352)</f>
        <v/>
      </c>
      <c r="C260" s="83" t="str">
        <f>IF('Consulta1'!C4352="","",'Consulta1'!C4352)</f>
        <v/>
      </c>
      <c r="D260" s="84" t="str">
        <f>IF('Consulta1'!D4352="","",'Consulta1'!D4352)</f>
        <v/>
      </c>
      <c r="E260" s="82" t="str">
        <f>IF('Consulta1'!E4352="","",'Consulta1'!E4352)</f>
        <v/>
      </c>
      <c r="F260" t="str">
        <f>+IF(E260="","",VLOOKUP(E260,CATALOGO!G:L,6,0))</f>
        <v/>
      </c>
      <c r="G260" s="85" t="str">
        <f>IF('Consulta1'!F4352="","",'Consulta1'!F4352)</f>
        <v/>
      </c>
      <c r="H260" s="85" t="str">
        <f>IF('Consulta1'!G4352="","",'Consulta1'!G4352)</f>
        <v/>
      </c>
      <c r="I260" s="86" t="str">
        <f>IF('Consulta1'!H4352="","",'Consulta1'!H4352)</f>
        <v/>
      </c>
      <c r="J260" t="str">
        <f t="shared" si="4"/>
        <v/>
      </c>
      <c r="K260" t="str">
        <f>+IF(E260="","",VLOOKUP(E260,CATALOGO!G:I,2,0))</f>
        <v/>
      </c>
      <c r="L260" t="str">
        <f>+IF(E260="","",VLOOKUP(E260,CATALOGO!G:I,3,0))</f>
        <v/>
      </c>
      <c r="M260" s="87" t="str">
        <f>IF('Consulta1'!I4352="","",'Consulta1'!I4352)</f>
        <v/>
      </c>
      <c r="N260" s="88" t="str">
        <f>IF('Consulta1'!J4352="","",'Consulta1'!J4352)</f>
        <v/>
      </c>
    </row>
    <row r="261" spans="1:14" ht="18.75" x14ac:dyDescent="0.25">
      <c r="A261" s="82" t="str">
        <f>IF('Consulta1'!A4353="","",'Consulta1'!A4353)</f>
        <v/>
      </c>
      <c r="B261" s="82" t="str">
        <f>IF('Consulta1'!B4353="","",'Consulta1'!B4353)</f>
        <v/>
      </c>
      <c r="C261" s="83" t="str">
        <f>IF('Consulta1'!C4353="","",'Consulta1'!C4353)</f>
        <v/>
      </c>
      <c r="D261" s="84" t="str">
        <f>IF('Consulta1'!D4353="","",'Consulta1'!D4353)</f>
        <v/>
      </c>
      <c r="E261" s="82" t="str">
        <f>IF('Consulta1'!E4353="","",'Consulta1'!E4353)</f>
        <v/>
      </c>
      <c r="F261" t="str">
        <f>+IF(E261="","",VLOOKUP(E261,CATALOGO!G:L,6,0))</f>
        <v/>
      </c>
      <c r="G261" s="85" t="str">
        <f>IF('Consulta1'!F4353="","",'Consulta1'!F4353)</f>
        <v/>
      </c>
      <c r="H261" s="85" t="str">
        <f>IF('Consulta1'!G4353="","",'Consulta1'!G4353)</f>
        <v/>
      </c>
      <c r="I261" s="86" t="str">
        <f>IF('Consulta1'!H4353="","",'Consulta1'!H4353)</f>
        <v/>
      </c>
      <c r="J261" t="str">
        <f t="shared" si="4"/>
        <v/>
      </c>
      <c r="K261" t="str">
        <f>+IF(E261="","",VLOOKUP(E261,CATALOGO!G:I,2,0))</f>
        <v/>
      </c>
      <c r="L261" t="str">
        <f>+IF(E261="","",VLOOKUP(E261,CATALOGO!G:I,3,0))</f>
        <v/>
      </c>
      <c r="M261" s="87" t="str">
        <f>IF('Consulta1'!I4353="","",'Consulta1'!I4353)</f>
        <v/>
      </c>
      <c r="N261" s="88" t="str">
        <f>IF('Consulta1'!J4353="","",'Consulta1'!J4353)</f>
        <v/>
      </c>
    </row>
    <row r="262" spans="1:14" ht="18.75" x14ac:dyDescent="0.25">
      <c r="A262" s="82" t="str">
        <f>IF('Consulta1'!A4354="","",'Consulta1'!A4354)</f>
        <v/>
      </c>
      <c r="B262" s="82" t="str">
        <f>IF('Consulta1'!B4354="","",'Consulta1'!B4354)</f>
        <v/>
      </c>
      <c r="C262" s="83" t="str">
        <f>IF('Consulta1'!C4354="","",'Consulta1'!C4354)</f>
        <v/>
      </c>
      <c r="D262" s="84" t="str">
        <f>IF('Consulta1'!D4354="","",'Consulta1'!D4354)</f>
        <v/>
      </c>
      <c r="E262" s="82" t="str">
        <f>IF('Consulta1'!E4354="","",'Consulta1'!E4354)</f>
        <v/>
      </c>
      <c r="F262" t="str">
        <f>+IF(E262="","",VLOOKUP(E262,CATALOGO!G:L,6,0))</f>
        <v/>
      </c>
      <c r="G262" s="85" t="str">
        <f>IF('Consulta1'!F4354="","",'Consulta1'!F4354)</f>
        <v/>
      </c>
      <c r="H262" s="85" t="str">
        <f>IF('Consulta1'!G4354="","",'Consulta1'!G4354)</f>
        <v/>
      </c>
      <c r="I262" s="86" t="str">
        <f>IF('Consulta1'!H4354="","",'Consulta1'!H4354)</f>
        <v/>
      </c>
      <c r="J262" t="str">
        <f t="shared" si="4"/>
        <v/>
      </c>
      <c r="K262" t="str">
        <f>+IF(E262="","",VLOOKUP(E262,CATALOGO!G:I,2,0))</f>
        <v/>
      </c>
      <c r="L262" t="str">
        <f>+IF(E262="","",VLOOKUP(E262,CATALOGO!G:I,3,0))</f>
        <v/>
      </c>
      <c r="M262" s="87" t="str">
        <f>IF('Consulta1'!I4354="","",'Consulta1'!I4354)</f>
        <v/>
      </c>
      <c r="N262" s="88" t="str">
        <f>IF('Consulta1'!J4354="","",'Consulta1'!J4354)</f>
        <v/>
      </c>
    </row>
    <row r="263" spans="1:14" ht="18.75" x14ac:dyDescent="0.25">
      <c r="A263" s="82" t="str">
        <f>IF('Consulta1'!A4355="","",'Consulta1'!A4355)</f>
        <v/>
      </c>
      <c r="B263" s="82" t="str">
        <f>IF('Consulta1'!B4355="","",'Consulta1'!B4355)</f>
        <v/>
      </c>
      <c r="C263" s="83" t="str">
        <f>IF('Consulta1'!C4355="","",'Consulta1'!C4355)</f>
        <v/>
      </c>
      <c r="D263" s="84" t="str">
        <f>IF('Consulta1'!D4355="","",'Consulta1'!D4355)</f>
        <v/>
      </c>
      <c r="E263" s="82" t="str">
        <f>IF('Consulta1'!E4355="","",'Consulta1'!E4355)</f>
        <v/>
      </c>
      <c r="F263" t="str">
        <f>+IF(E263="","",VLOOKUP(E263,CATALOGO!G:L,6,0))</f>
        <v/>
      </c>
      <c r="G263" s="85" t="str">
        <f>IF('Consulta1'!F4355="","",'Consulta1'!F4355)</f>
        <v/>
      </c>
      <c r="H263" s="85" t="str">
        <f>IF('Consulta1'!G4355="","",'Consulta1'!G4355)</f>
        <v/>
      </c>
      <c r="I263" s="86" t="str">
        <f>IF('Consulta1'!H4355="","",'Consulta1'!H4355)</f>
        <v/>
      </c>
      <c r="J263" t="str">
        <f t="shared" si="4"/>
        <v/>
      </c>
      <c r="K263" t="str">
        <f>+IF(E263="","",VLOOKUP(E263,CATALOGO!G:I,2,0))</f>
        <v/>
      </c>
      <c r="L263" t="str">
        <f>+IF(E263="","",VLOOKUP(E263,CATALOGO!G:I,3,0))</f>
        <v/>
      </c>
      <c r="M263" s="87" t="str">
        <f>IF('Consulta1'!I4355="","",'Consulta1'!I4355)</f>
        <v/>
      </c>
      <c r="N263" s="88" t="str">
        <f>IF('Consulta1'!J4355="","",'Consulta1'!J4355)</f>
        <v/>
      </c>
    </row>
    <row r="264" spans="1:14" ht="18.75" x14ac:dyDescent="0.25">
      <c r="A264" s="82" t="str">
        <f>IF('Consulta1'!A4356="","",'Consulta1'!A4356)</f>
        <v/>
      </c>
      <c r="B264" s="82" t="str">
        <f>IF('Consulta1'!B4356="","",'Consulta1'!B4356)</f>
        <v/>
      </c>
      <c r="C264" s="83" t="str">
        <f>IF('Consulta1'!C4356="","",'Consulta1'!C4356)</f>
        <v/>
      </c>
      <c r="D264" s="84" t="str">
        <f>IF('Consulta1'!D4356="","",'Consulta1'!D4356)</f>
        <v/>
      </c>
      <c r="E264" s="82" t="str">
        <f>IF('Consulta1'!E4356="","",'Consulta1'!E4356)</f>
        <v/>
      </c>
      <c r="F264" t="str">
        <f>+IF(E264="","",VLOOKUP(E264,CATALOGO!G:L,6,0))</f>
        <v/>
      </c>
      <c r="G264" s="85" t="str">
        <f>IF('Consulta1'!F4356="","",'Consulta1'!F4356)</f>
        <v/>
      </c>
      <c r="H264" s="85" t="str">
        <f>IF('Consulta1'!G4356="","",'Consulta1'!G4356)</f>
        <v/>
      </c>
      <c r="I264" s="86" t="str">
        <f>IF('Consulta1'!H4356="","",'Consulta1'!H4356)</f>
        <v/>
      </c>
      <c r="J264" t="str">
        <f t="shared" si="4"/>
        <v/>
      </c>
      <c r="K264" t="str">
        <f>+IF(E264="","",VLOOKUP(E264,CATALOGO!G:I,2,0))</f>
        <v/>
      </c>
      <c r="L264" t="str">
        <f>+IF(E264="","",VLOOKUP(E264,CATALOGO!G:I,3,0))</f>
        <v/>
      </c>
      <c r="M264" s="87" t="str">
        <f>IF('Consulta1'!I4356="","",'Consulta1'!I4356)</f>
        <v/>
      </c>
      <c r="N264" s="88" t="str">
        <f>IF('Consulta1'!J4356="","",'Consulta1'!J4356)</f>
        <v/>
      </c>
    </row>
    <row r="265" spans="1:14" ht="18.75" x14ac:dyDescent="0.25">
      <c r="A265" s="82" t="str">
        <f>IF('Consulta1'!A4357="","",'Consulta1'!A4357)</f>
        <v/>
      </c>
      <c r="B265" s="82" t="str">
        <f>IF('Consulta1'!B4357="","",'Consulta1'!B4357)</f>
        <v/>
      </c>
      <c r="C265" s="83" t="str">
        <f>IF('Consulta1'!C4357="","",'Consulta1'!C4357)</f>
        <v/>
      </c>
      <c r="D265" s="84" t="str">
        <f>IF('Consulta1'!D4357="","",'Consulta1'!D4357)</f>
        <v/>
      </c>
      <c r="E265" s="82" t="str">
        <f>IF('Consulta1'!E4357="","",'Consulta1'!E4357)</f>
        <v/>
      </c>
      <c r="F265" t="str">
        <f>+IF(E265="","",VLOOKUP(E265,CATALOGO!G:L,6,0))</f>
        <v/>
      </c>
      <c r="G265" s="85" t="str">
        <f>IF('Consulta1'!F4357="","",'Consulta1'!F4357)</f>
        <v/>
      </c>
      <c r="H265" s="85" t="str">
        <f>IF('Consulta1'!G4357="","",'Consulta1'!G4357)</f>
        <v/>
      </c>
      <c r="I265" s="86" t="str">
        <f>IF('Consulta1'!H4357="","",'Consulta1'!H4357)</f>
        <v/>
      </c>
      <c r="J265" t="str">
        <f t="shared" si="4"/>
        <v/>
      </c>
      <c r="K265" t="str">
        <f>+IF(E265="","",VLOOKUP(E265,CATALOGO!G:I,2,0))</f>
        <v/>
      </c>
      <c r="L265" t="str">
        <f>+IF(E265="","",VLOOKUP(E265,CATALOGO!G:I,3,0))</f>
        <v/>
      </c>
      <c r="M265" s="87" t="str">
        <f>IF('Consulta1'!I4357="","",'Consulta1'!I4357)</f>
        <v/>
      </c>
      <c r="N265" s="88" t="str">
        <f>IF('Consulta1'!J4357="","",'Consulta1'!J4357)</f>
        <v/>
      </c>
    </row>
    <row r="266" spans="1:14" ht="18.75" x14ac:dyDescent="0.25">
      <c r="A266" s="82" t="str">
        <f>IF('Consulta1'!A4358="","",'Consulta1'!A4358)</f>
        <v/>
      </c>
      <c r="B266" s="82" t="str">
        <f>IF('Consulta1'!B4358="","",'Consulta1'!B4358)</f>
        <v/>
      </c>
      <c r="C266" s="83" t="str">
        <f>IF('Consulta1'!C4358="","",'Consulta1'!C4358)</f>
        <v/>
      </c>
      <c r="D266" s="84" t="str">
        <f>IF('Consulta1'!D4358="","",'Consulta1'!D4358)</f>
        <v/>
      </c>
      <c r="E266" s="82" t="str">
        <f>IF('Consulta1'!E4358="","",'Consulta1'!E4358)</f>
        <v/>
      </c>
      <c r="F266" t="str">
        <f>+IF(E266="","",VLOOKUP(E266,CATALOGO!G:L,6,0))</f>
        <v/>
      </c>
      <c r="G266" s="85" t="str">
        <f>IF('Consulta1'!F4358="","",'Consulta1'!F4358)</f>
        <v/>
      </c>
      <c r="H266" s="85" t="str">
        <f>IF('Consulta1'!G4358="","",'Consulta1'!G4358)</f>
        <v/>
      </c>
      <c r="I266" s="86" t="str">
        <f>IF('Consulta1'!H4358="","",'Consulta1'!H4358)</f>
        <v/>
      </c>
      <c r="J266" t="str">
        <f t="shared" si="4"/>
        <v/>
      </c>
      <c r="K266" t="str">
        <f>+IF(E266="","",VLOOKUP(E266,CATALOGO!G:I,2,0))</f>
        <v/>
      </c>
      <c r="L266" t="str">
        <f>+IF(E266="","",VLOOKUP(E266,CATALOGO!G:I,3,0))</f>
        <v/>
      </c>
      <c r="M266" s="87" t="str">
        <f>IF('Consulta1'!I4358="","",'Consulta1'!I4358)</f>
        <v/>
      </c>
      <c r="N266" s="88" t="str">
        <f>IF('Consulta1'!J4358="","",'Consulta1'!J4358)</f>
        <v/>
      </c>
    </row>
    <row r="267" spans="1:14" ht="18.75" x14ac:dyDescent="0.25">
      <c r="A267" s="82" t="str">
        <f>IF('Consulta1'!A4359="","",'Consulta1'!A4359)</f>
        <v/>
      </c>
      <c r="B267" s="82" t="str">
        <f>IF('Consulta1'!B4359="","",'Consulta1'!B4359)</f>
        <v/>
      </c>
      <c r="C267" s="83" t="str">
        <f>IF('Consulta1'!C4359="","",'Consulta1'!C4359)</f>
        <v/>
      </c>
      <c r="D267" s="84" t="str">
        <f>IF('Consulta1'!D4359="","",'Consulta1'!D4359)</f>
        <v/>
      </c>
      <c r="E267" s="82" t="str">
        <f>IF('Consulta1'!E4359="","",'Consulta1'!E4359)</f>
        <v/>
      </c>
      <c r="F267" t="str">
        <f>+IF(E267="","",VLOOKUP(E267,CATALOGO!G:L,6,0))</f>
        <v/>
      </c>
      <c r="G267" s="85" t="str">
        <f>IF('Consulta1'!F4359="","",'Consulta1'!F4359)</f>
        <v/>
      </c>
      <c r="H267" s="85" t="str">
        <f>IF('Consulta1'!G4359="","",'Consulta1'!G4359)</f>
        <v/>
      </c>
      <c r="I267" s="86" t="str">
        <f>IF('Consulta1'!H4359="","",'Consulta1'!H4359)</f>
        <v/>
      </c>
      <c r="J267" t="str">
        <f t="shared" si="4"/>
        <v/>
      </c>
      <c r="K267" t="str">
        <f>+IF(E267="","",VLOOKUP(E267,CATALOGO!G:I,2,0))</f>
        <v/>
      </c>
      <c r="L267" t="str">
        <f>+IF(E267="","",VLOOKUP(E267,CATALOGO!G:I,3,0))</f>
        <v/>
      </c>
      <c r="M267" s="87" t="str">
        <f>IF('Consulta1'!I4359="","",'Consulta1'!I4359)</f>
        <v/>
      </c>
      <c r="N267" s="88" t="str">
        <f>IF('Consulta1'!J4359="","",'Consulta1'!J4359)</f>
        <v/>
      </c>
    </row>
    <row r="268" spans="1:14" ht="18.75" x14ac:dyDescent="0.25">
      <c r="A268" s="82" t="str">
        <f>IF('Consulta1'!A4360="","",'Consulta1'!A4360)</f>
        <v/>
      </c>
      <c r="B268" s="82" t="str">
        <f>IF('Consulta1'!B4360="","",'Consulta1'!B4360)</f>
        <v/>
      </c>
      <c r="C268" s="83" t="str">
        <f>IF('Consulta1'!C4360="","",'Consulta1'!C4360)</f>
        <v/>
      </c>
      <c r="D268" s="84" t="str">
        <f>IF('Consulta1'!D4360="","",'Consulta1'!D4360)</f>
        <v/>
      </c>
      <c r="E268" s="82" t="str">
        <f>IF('Consulta1'!E4360="","",'Consulta1'!E4360)</f>
        <v/>
      </c>
      <c r="F268" t="str">
        <f>+IF(E268="","",VLOOKUP(E268,CATALOGO!G:L,6,0))</f>
        <v/>
      </c>
      <c r="G268" s="85" t="str">
        <f>IF('Consulta1'!F4360="","",'Consulta1'!F4360)</f>
        <v/>
      </c>
      <c r="H268" s="85" t="str">
        <f>IF('Consulta1'!G4360="","",'Consulta1'!G4360)</f>
        <v/>
      </c>
      <c r="I268" s="86" t="str">
        <f>IF('Consulta1'!H4360="","",'Consulta1'!H4360)</f>
        <v/>
      </c>
      <c r="J268" t="str">
        <f t="shared" si="4"/>
        <v/>
      </c>
      <c r="K268" t="str">
        <f>+IF(E268="","",VLOOKUP(E268,CATALOGO!G:I,2,0))</f>
        <v/>
      </c>
      <c r="L268" t="str">
        <f>+IF(E268="","",VLOOKUP(E268,CATALOGO!G:I,3,0))</f>
        <v/>
      </c>
      <c r="M268" s="87" t="str">
        <f>IF('Consulta1'!I4360="","",'Consulta1'!I4360)</f>
        <v/>
      </c>
      <c r="N268" s="88" t="str">
        <f>IF('Consulta1'!J4360="","",'Consulta1'!J4360)</f>
        <v/>
      </c>
    </row>
    <row r="269" spans="1:14" ht="18.75" x14ac:dyDescent="0.25">
      <c r="A269" s="82" t="str">
        <f>IF('Consulta1'!A4361="","",'Consulta1'!A4361)</f>
        <v/>
      </c>
      <c r="B269" s="82" t="str">
        <f>IF('Consulta1'!B4361="","",'Consulta1'!B4361)</f>
        <v/>
      </c>
      <c r="C269" s="83" t="str">
        <f>IF('Consulta1'!C4361="","",'Consulta1'!C4361)</f>
        <v/>
      </c>
      <c r="D269" s="84" t="str">
        <f>IF('Consulta1'!D4361="","",'Consulta1'!D4361)</f>
        <v/>
      </c>
      <c r="E269" s="82" t="str">
        <f>IF('Consulta1'!E4361="","",'Consulta1'!E4361)</f>
        <v/>
      </c>
      <c r="F269" t="str">
        <f>+IF(E269="","",VLOOKUP(E269,CATALOGO!G:L,6,0))</f>
        <v/>
      </c>
      <c r="G269" s="85" t="str">
        <f>IF('Consulta1'!F4361="","",'Consulta1'!F4361)</f>
        <v/>
      </c>
      <c r="H269" s="85" t="str">
        <f>IF('Consulta1'!G4361="","",'Consulta1'!G4361)</f>
        <v/>
      </c>
      <c r="I269" s="86" t="str">
        <f>IF('Consulta1'!H4361="","",'Consulta1'!H4361)</f>
        <v/>
      </c>
      <c r="J269" t="str">
        <f t="shared" si="4"/>
        <v/>
      </c>
      <c r="K269" t="str">
        <f>+IF(E269="","",VLOOKUP(E269,CATALOGO!G:I,2,0))</f>
        <v/>
      </c>
      <c r="L269" t="str">
        <f>+IF(E269="","",VLOOKUP(E269,CATALOGO!G:I,3,0))</f>
        <v/>
      </c>
      <c r="M269" s="87" t="str">
        <f>IF('Consulta1'!I4361="","",'Consulta1'!I4361)</f>
        <v/>
      </c>
      <c r="N269" s="88" t="str">
        <f>IF('Consulta1'!J4361="","",'Consulta1'!J4361)</f>
        <v/>
      </c>
    </row>
    <row r="270" spans="1:14" ht="18.75" x14ac:dyDescent="0.25">
      <c r="A270" s="82" t="str">
        <f>IF('Consulta1'!A4362="","",'Consulta1'!A4362)</f>
        <v/>
      </c>
      <c r="B270" s="82" t="str">
        <f>IF('Consulta1'!B4362="","",'Consulta1'!B4362)</f>
        <v/>
      </c>
      <c r="C270" s="83" t="str">
        <f>IF('Consulta1'!C4362="","",'Consulta1'!C4362)</f>
        <v/>
      </c>
      <c r="D270" s="84" t="str">
        <f>IF('Consulta1'!D4362="","",'Consulta1'!D4362)</f>
        <v/>
      </c>
      <c r="E270" s="82" t="str">
        <f>IF('Consulta1'!E4362="","",'Consulta1'!E4362)</f>
        <v/>
      </c>
      <c r="F270" t="str">
        <f>+IF(E270="","",VLOOKUP(E270,CATALOGO!G:L,6,0))</f>
        <v/>
      </c>
      <c r="G270" s="85" t="str">
        <f>IF('Consulta1'!F4362="","",'Consulta1'!F4362)</f>
        <v/>
      </c>
      <c r="H270" s="85" t="str">
        <f>IF('Consulta1'!G4362="","",'Consulta1'!G4362)</f>
        <v/>
      </c>
      <c r="I270" s="86" t="str">
        <f>IF('Consulta1'!H4362="","",'Consulta1'!H4362)</f>
        <v/>
      </c>
      <c r="J270" t="str">
        <f t="shared" si="4"/>
        <v/>
      </c>
      <c r="K270" t="str">
        <f>+IF(E270="","",VLOOKUP(E270,CATALOGO!G:I,2,0))</f>
        <v/>
      </c>
      <c r="L270" t="str">
        <f>+IF(E270="","",VLOOKUP(E270,CATALOGO!G:I,3,0))</f>
        <v/>
      </c>
      <c r="M270" s="87" t="str">
        <f>IF('Consulta1'!I4362="","",'Consulta1'!I4362)</f>
        <v/>
      </c>
      <c r="N270" s="88" t="str">
        <f>IF('Consulta1'!J4362="","",'Consulta1'!J4362)</f>
        <v/>
      </c>
    </row>
    <row r="271" spans="1:14" ht="18.75" x14ac:dyDescent="0.25">
      <c r="A271" s="82" t="str">
        <f>IF('Consulta1'!A4363="","",'Consulta1'!A4363)</f>
        <v/>
      </c>
      <c r="B271" s="82" t="str">
        <f>IF('Consulta1'!B4363="","",'Consulta1'!B4363)</f>
        <v/>
      </c>
      <c r="C271" s="83" t="str">
        <f>IF('Consulta1'!C4363="","",'Consulta1'!C4363)</f>
        <v/>
      </c>
      <c r="D271" s="84" t="str">
        <f>IF('Consulta1'!D4363="","",'Consulta1'!D4363)</f>
        <v/>
      </c>
      <c r="E271" s="82" t="str">
        <f>IF('Consulta1'!E4363="","",'Consulta1'!E4363)</f>
        <v/>
      </c>
      <c r="F271" t="str">
        <f>+IF(E271="","",VLOOKUP(E271,CATALOGO!G:L,6,0))</f>
        <v/>
      </c>
      <c r="G271" s="85" t="str">
        <f>IF('Consulta1'!F4363="","",'Consulta1'!F4363)</f>
        <v/>
      </c>
      <c r="H271" s="85" t="str">
        <f>IF('Consulta1'!G4363="","",'Consulta1'!G4363)</f>
        <v/>
      </c>
      <c r="I271" s="86" t="str">
        <f>IF('Consulta1'!H4363="","",'Consulta1'!H4363)</f>
        <v/>
      </c>
      <c r="J271" t="str">
        <f t="shared" si="4"/>
        <v/>
      </c>
      <c r="K271" t="str">
        <f>+IF(E271="","",VLOOKUP(E271,CATALOGO!G:I,2,0))</f>
        <v/>
      </c>
      <c r="L271" t="str">
        <f>+IF(E271="","",VLOOKUP(E271,CATALOGO!G:I,3,0))</f>
        <v/>
      </c>
      <c r="M271" s="87" t="str">
        <f>IF('Consulta1'!I4363="","",'Consulta1'!I4363)</f>
        <v/>
      </c>
      <c r="N271" s="88" t="str">
        <f>IF('Consulta1'!J4363="","",'Consulta1'!J4363)</f>
        <v/>
      </c>
    </row>
    <row r="272" spans="1:14" ht="18.75" x14ac:dyDescent="0.25">
      <c r="A272" s="82" t="str">
        <f>IF('Consulta1'!A4364="","",'Consulta1'!A4364)</f>
        <v/>
      </c>
      <c r="B272" s="82" t="str">
        <f>IF('Consulta1'!B4364="","",'Consulta1'!B4364)</f>
        <v/>
      </c>
      <c r="C272" s="83" t="str">
        <f>IF('Consulta1'!C4364="","",'Consulta1'!C4364)</f>
        <v/>
      </c>
      <c r="D272" s="84" t="str">
        <f>IF('Consulta1'!D4364="","",'Consulta1'!D4364)</f>
        <v/>
      </c>
      <c r="E272" s="82" t="str">
        <f>IF('Consulta1'!E4364="","",'Consulta1'!E4364)</f>
        <v/>
      </c>
      <c r="F272" t="str">
        <f>+IF(E272="","",VLOOKUP(E272,CATALOGO!G:L,6,0))</f>
        <v/>
      </c>
      <c r="G272" s="85" t="str">
        <f>IF('Consulta1'!F4364="","",'Consulta1'!F4364)</f>
        <v/>
      </c>
      <c r="H272" s="85" t="str">
        <f>IF('Consulta1'!G4364="","",'Consulta1'!G4364)</f>
        <v/>
      </c>
      <c r="I272" s="86" t="str">
        <f>IF('Consulta1'!H4364="","",'Consulta1'!H4364)</f>
        <v/>
      </c>
      <c r="J272" t="str">
        <f t="shared" si="4"/>
        <v/>
      </c>
      <c r="K272" t="str">
        <f>+IF(E272="","",VLOOKUP(E272,CATALOGO!G:I,2,0))</f>
        <v/>
      </c>
      <c r="L272" t="str">
        <f>+IF(E272="","",VLOOKUP(E272,CATALOGO!G:I,3,0))</f>
        <v/>
      </c>
      <c r="M272" s="87" t="str">
        <f>IF('Consulta1'!I4364="","",'Consulta1'!I4364)</f>
        <v/>
      </c>
      <c r="N272" s="88" t="str">
        <f>IF('Consulta1'!J4364="","",'Consulta1'!J4364)</f>
        <v/>
      </c>
    </row>
    <row r="273" spans="1:14" ht="18.75" x14ac:dyDescent="0.25">
      <c r="A273" s="82" t="str">
        <f>IF('Consulta1'!A4365="","",'Consulta1'!A4365)</f>
        <v/>
      </c>
      <c r="B273" s="82" t="str">
        <f>IF('Consulta1'!B4365="","",'Consulta1'!B4365)</f>
        <v/>
      </c>
      <c r="C273" s="83" t="str">
        <f>IF('Consulta1'!C4365="","",'Consulta1'!C4365)</f>
        <v/>
      </c>
      <c r="D273" s="84" t="str">
        <f>IF('Consulta1'!D4365="","",'Consulta1'!D4365)</f>
        <v/>
      </c>
      <c r="E273" s="82" t="str">
        <f>IF('Consulta1'!E4365="","",'Consulta1'!E4365)</f>
        <v/>
      </c>
      <c r="F273" t="str">
        <f>+IF(E273="","",VLOOKUP(E273,CATALOGO!G:L,6,0))</f>
        <v/>
      </c>
      <c r="G273" s="85" t="str">
        <f>IF('Consulta1'!F4365="","",'Consulta1'!F4365)</f>
        <v/>
      </c>
      <c r="H273" s="85" t="str">
        <f>IF('Consulta1'!G4365="","",'Consulta1'!G4365)</f>
        <v/>
      </c>
      <c r="I273" s="86" t="str">
        <f>IF('Consulta1'!H4365="","",'Consulta1'!H4365)</f>
        <v/>
      </c>
      <c r="J273" t="str">
        <f t="shared" si="4"/>
        <v/>
      </c>
      <c r="K273" t="str">
        <f>+IF(E273="","",VLOOKUP(E273,CATALOGO!G:I,2,0))</f>
        <v/>
      </c>
      <c r="L273" t="str">
        <f>+IF(E273="","",VLOOKUP(E273,CATALOGO!G:I,3,0))</f>
        <v/>
      </c>
      <c r="M273" s="87" t="str">
        <f>IF('Consulta1'!I4365="","",'Consulta1'!I4365)</f>
        <v/>
      </c>
      <c r="N273" s="88" t="str">
        <f>IF('Consulta1'!J4365="","",'Consulta1'!J4365)</f>
        <v/>
      </c>
    </row>
    <row r="274" spans="1:14" ht="18.75" x14ac:dyDescent="0.25">
      <c r="A274" s="82" t="str">
        <f>IF('Consulta1'!A4366="","",'Consulta1'!A4366)</f>
        <v/>
      </c>
      <c r="B274" s="82" t="str">
        <f>IF('Consulta1'!B4366="","",'Consulta1'!B4366)</f>
        <v/>
      </c>
      <c r="C274" s="83" t="str">
        <f>IF('Consulta1'!C4366="","",'Consulta1'!C4366)</f>
        <v/>
      </c>
      <c r="D274" s="84" t="str">
        <f>IF('Consulta1'!D4366="","",'Consulta1'!D4366)</f>
        <v/>
      </c>
      <c r="E274" s="82" t="str">
        <f>IF('Consulta1'!E4366="","",'Consulta1'!E4366)</f>
        <v/>
      </c>
      <c r="F274" t="str">
        <f>+IF(E274="","",VLOOKUP(E274,CATALOGO!G:L,6,0))</f>
        <v/>
      </c>
      <c r="G274" s="85" t="str">
        <f>IF('Consulta1'!F4366="","",'Consulta1'!F4366)</f>
        <v/>
      </c>
      <c r="H274" s="85" t="str">
        <f>IF('Consulta1'!G4366="","",'Consulta1'!G4366)</f>
        <v/>
      </c>
      <c r="I274" s="86" t="str">
        <f>IF('Consulta1'!H4366="","",'Consulta1'!H4366)</f>
        <v/>
      </c>
      <c r="J274" t="str">
        <f t="shared" si="4"/>
        <v/>
      </c>
      <c r="K274" t="str">
        <f>+IF(E274="","",VLOOKUP(E274,CATALOGO!G:I,2,0))</f>
        <v/>
      </c>
      <c r="L274" t="str">
        <f>+IF(E274="","",VLOOKUP(E274,CATALOGO!G:I,3,0))</f>
        <v/>
      </c>
      <c r="M274" s="87" t="str">
        <f>IF('Consulta1'!I4366="","",'Consulta1'!I4366)</f>
        <v/>
      </c>
      <c r="N274" s="88" t="str">
        <f>IF('Consulta1'!J4366="","",'Consulta1'!J4366)</f>
        <v/>
      </c>
    </row>
    <row r="275" spans="1:14" ht="18.75" x14ac:dyDescent="0.25">
      <c r="A275" s="82" t="str">
        <f>IF('Consulta1'!A4367="","",'Consulta1'!A4367)</f>
        <v/>
      </c>
      <c r="B275" s="82" t="str">
        <f>IF('Consulta1'!B4367="","",'Consulta1'!B4367)</f>
        <v/>
      </c>
      <c r="C275" s="83" t="str">
        <f>IF('Consulta1'!C4367="","",'Consulta1'!C4367)</f>
        <v/>
      </c>
      <c r="D275" s="84" t="str">
        <f>IF('Consulta1'!D4367="","",'Consulta1'!D4367)</f>
        <v/>
      </c>
      <c r="E275" s="82" t="str">
        <f>IF('Consulta1'!E4367="","",'Consulta1'!E4367)</f>
        <v/>
      </c>
      <c r="F275" t="str">
        <f>+IF(E275="","",VLOOKUP(E275,CATALOGO!G:L,6,0))</f>
        <v/>
      </c>
      <c r="G275" s="85" t="str">
        <f>IF('Consulta1'!F4367="","",'Consulta1'!F4367)</f>
        <v/>
      </c>
      <c r="H275" s="85" t="str">
        <f>IF('Consulta1'!G4367="","",'Consulta1'!G4367)</f>
        <v/>
      </c>
      <c r="I275" s="86" t="str">
        <f>IF('Consulta1'!H4367="","",'Consulta1'!H4367)</f>
        <v/>
      </c>
      <c r="J275" t="str">
        <f t="shared" si="4"/>
        <v/>
      </c>
      <c r="K275" t="str">
        <f>+IF(E275="","",VLOOKUP(E275,CATALOGO!G:I,2,0))</f>
        <v/>
      </c>
      <c r="L275" t="str">
        <f>+IF(E275="","",VLOOKUP(E275,CATALOGO!G:I,3,0))</f>
        <v/>
      </c>
      <c r="M275" s="87" t="str">
        <f>IF('Consulta1'!I4367="","",'Consulta1'!I4367)</f>
        <v/>
      </c>
      <c r="N275" s="88" t="str">
        <f>IF('Consulta1'!J4367="","",'Consulta1'!J4367)</f>
        <v/>
      </c>
    </row>
    <row r="276" spans="1:14" ht="18.75" x14ac:dyDescent="0.25">
      <c r="A276" s="82" t="str">
        <f>IF('Consulta1'!A4368="","",'Consulta1'!A4368)</f>
        <v/>
      </c>
      <c r="B276" s="82" t="str">
        <f>IF('Consulta1'!B4368="","",'Consulta1'!B4368)</f>
        <v/>
      </c>
      <c r="C276" s="83" t="str">
        <f>IF('Consulta1'!C4368="","",'Consulta1'!C4368)</f>
        <v/>
      </c>
      <c r="D276" s="84" t="str">
        <f>IF('Consulta1'!D4368="","",'Consulta1'!D4368)</f>
        <v/>
      </c>
      <c r="E276" s="82" t="str">
        <f>IF('Consulta1'!E4368="","",'Consulta1'!E4368)</f>
        <v/>
      </c>
      <c r="F276" t="str">
        <f>+IF(E276="","",VLOOKUP(E276,CATALOGO!G:L,6,0))</f>
        <v/>
      </c>
      <c r="G276" s="85" t="str">
        <f>IF('Consulta1'!F4368="","",'Consulta1'!F4368)</f>
        <v/>
      </c>
      <c r="H276" s="85" t="str">
        <f>IF('Consulta1'!G4368="","",'Consulta1'!G4368)</f>
        <v/>
      </c>
      <c r="I276" s="86" t="str">
        <f>IF('Consulta1'!H4368="","",'Consulta1'!H4368)</f>
        <v/>
      </c>
      <c r="J276" t="str">
        <f t="shared" si="4"/>
        <v/>
      </c>
      <c r="K276" t="str">
        <f>+IF(E276="","",VLOOKUP(E276,CATALOGO!G:I,2,0))</f>
        <v/>
      </c>
      <c r="L276" t="str">
        <f>+IF(E276="","",VLOOKUP(E276,CATALOGO!G:I,3,0))</f>
        <v/>
      </c>
      <c r="M276" s="87" t="str">
        <f>IF('Consulta1'!I4368="","",'Consulta1'!I4368)</f>
        <v/>
      </c>
      <c r="N276" s="88" t="str">
        <f>IF('Consulta1'!J4368="","",'Consulta1'!J4368)</f>
        <v/>
      </c>
    </row>
    <row r="277" spans="1:14" ht="18.75" x14ac:dyDescent="0.25">
      <c r="A277" s="82" t="str">
        <f>IF('Consulta1'!A4369="","",'Consulta1'!A4369)</f>
        <v/>
      </c>
      <c r="B277" s="82" t="str">
        <f>IF('Consulta1'!B4369="","",'Consulta1'!B4369)</f>
        <v/>
      </c>
      <c r="C277" s="83" t="str">
        <f>IF('Consulta1'!C4369="","",'Consulta1'!C4369)</f>
        <v/>
      </c>
      <c r="D277" s="84" t="str">
        <f>IF('Consulta1'!D4369="","",'Consulta1'!D4369)</f>
        <v/>
      </c>
      <c r="E277" s="82" t="str">
        <f>IF('Consulta1'!E4369="","",'Consulta1'!E4369)</f>
        <v/>
      </c>
      <c r="F277" t="str">
        <f>+IF(E277="","",VLOOKUP(E277,CATALOGO!G:L,6,0))</f>
        <v/>
      </c>
      <c r="G277" s="85" t="str">
        <f>IF('Consulta1'!F4369="","",'Consulta1'!F4369)</f>
        <v/>
      </c>
      <c r="H277" s="85" t="str">
        <f>IF('Consulta1'!G4369="","",'Consulta1'!G4369)</f>
        <v/>
      </c>
      <c r="I277" s="86" t="str">
        <f>IF('Consulta1'!H4369="","",'Consulta1'!H4369)</f>
        <v/>
      </c>
      <c r="J277" t="str">
        <f t="shared" si="4"/>
        <v/>
      </c>
      <c r="K277" t="str">
        <f>+IF(E277="","",VLOOKUP(E277,CATALOGO!G:I,2,0))</f>
        <v/>
      </c>
      <c r="L277" t="str">
        <f>+IF(E277="","",VLOOKUP(E277,CATALOGO!G:I,3,0))</f>
        <v/>
      </c>
      <c r="M277" s="87" t="str">
        <f>IF('Consulta1'!I4369="","",'Consulta1'!I4369)</f>
        <v/>
      </c>
      <c r="N277" s="88" t="str">
        <f>IF('Consulta1'!J4369="","",'Consulta1'!J4369)</f>
        <v/>
      </c>
    </row>
    <row r="278" spans="1:14" ht="18.75" x14ac:dyDescent="0.25">
      <c r="A278" s="82" t="str">
        <f>IF('Consulta1'!A4370="","",'Consulta1'!A4370)</f>
        <v/>
      </c>
      <c r="B278" s="82" t="str">
        <f>IF('Consulta1'!B4370="","",'Consulta1'!B4370)</f>
        <v/>
      </c>
      <c r="C278" s="83" t="str">
        <f>IF('Consulta1'!C4370="","",'Consulta1'!C4370)</f>
        <v/>
      </c>
      <c r="D278" s="84" t="str">
        <f>IF('Consulta1'!D4370="","",'Consulta1'!D4370)</f>
        <v/>
      </c>
      <c r="E278" s="82" t="str">
        <f>IF('Consulta1'!E4370="","",'Consulta1'!E4370)</f>
        <v/>
      </c>
      <c r="F278" t="str">
        <f>+IF(E278="","",VLOOKUP(E278,CATALOGO!G:L,6,0))</f>
        <v/>
      </c>
      <c r="G278" s="85" t="str">
        <f>IF('Consulta1'!F4370="","",'Consulta1'!F4370)</f>
        <v/>
      </c>
      <c r="H278" s="85" t="str">
        <f>IF('Consulta1'!G4370="","",'Consulta1'!G4370)</f>
        <v/>
      </c>
      <c r="I278" s="86" t="str">
        <f>IF('Consulta1'!H4370="","",'Consulta1'!H4370)</f>
        <v/>
      </c>
      <c r="J278" t="str">
        <f t="shared" si="4"/>
        <v/>
      </c>
      <c r="K278" t="str">
        <f>+IF(E278="","",VLOOKUP(E278,CATALOGO!G:I,2,0))</f>
        <v/>
      </c>
      <c r="L278" t="str">
        <f>+IF(E278="","",VLOOKUP(E278,CATALOGO!G:I,3,0))</f>
        <v/>
      </c>
      <c r="M278" s="87" t="str">
        <f>IF('Consulta1'!I4370="","",'Consulta1'!I4370)</f>
        <v/>
      </c>
      <c r="N278" s="88" t="str">
        <f>IF('Consulta1'!J4370="","",'Consulta1'!J4370)</f>
        <v/>
      </c>
    </row>
    <row r="279" spans="1:14" ht="18.75" x14ac:dyDescent="0.25">
      <c r="A279" s="82" t="str">
        <f>IF('Consulta1'!A4371="","",'Consulta1'!A4371)</f>
        <v/>
      </c>
      <c r="B279" s="82" t="str">
        <f>IF('Consulta1'!B4371="","",'Consulta1'!B4371)</f>
        <v/>
      </c>
      <c r="C279" s="83" t="str">
        <f>IF('Consulta1'!C4371="","",'Consulta1'!C4371)</f>
        <v/>
      </c>
      <c r="D279" s="84" t="str">
        <f>IF('Consulta1'!D4371="","",'Consulta1'!D4371)</f>
        <v/>
      </c>
      <c r="E279" s="82" t="str">
        <f>IF('Consulta1'!E4371="","",'Consulta1'!E4371)</f>
        <v/>
      </c>
      <c r="F279" t="str">
        <f>+IF(E279="","",VLOOKUP(E279,CATALOGO!G:L,6,0))</f>
        <v/>
      </c>
      <c r="G279" s="85" t="str">
        <f>IF('Consulta1'!F4371="","",'Consulta1'!F4371)</f>
        <v/>
      </c>
      <c r="H279" s="85" t="str">
        <f>IF('Consulta1'!G4371="","",'Consulta1'!G4371)</f>
        <v/>
      </c>
      <c r="I279" s="86" t="str">
        <f>IF('Consulta1'!H4371="","",'Consulta1'!H4371)</f>
        <v/>
      </c>
      <c r="J279" t="str">
        <f t="shared" si="4"/>
        <v/>
      </c>
      <c r="K279" t="str">
        <f>+IF(E279="","",VLOOKUP(E279,CATALOGO!G:I,2,0))</f>
        <v/>
      </c>
      <c r="L279" t="str">
        <f>+IF(E279="","",VLOOKUP(E279,CATALOGO!G:I,3,0))</f>
        <v/>
      </c>
      <c r="M279" s="87" t="str">
        <f>IF('Consulta1'!I4371="","",'Consulta1'!I4371)</f>
        <v/>
      </c>
      <c r="N279" s="88" t="str">
        <f>IF('Consulta1'!J4371="","",'Consulta1'!J4371)</f>
        <v/>
      </c>
    </row>
    <row r="280" spans="1:14" ht="18.75" x14ac:dyDescent="0.25">
      <c r="A280" s="82" t="str">
        <f>IF('Consulta1'!A4372="","",'Consulta1'!A4372)</f>
        <v/>
      </c>
      <c r="B280" s="82" t="str">
        <f>IF('Consulta1'!B4372="","",'Consulta1'!B4372)</f>
        <v/>
      </c>
      <c r="C280" s="83" t="str">
        <f>IF('Consulta1'!C4372="","",'Consulta1'!C4372)</f>
        <v/>
      </c>
      <c r="D280" s="84" t="str">
        <f>IF('Consulta1'!D4372="","",'Consulta1'!D4372)</f>
        <v/>
      </c>
      <c r="E280" s="82" t="str">
        <f>IF('Consulta1'!E4372="","",'Consulta1'!E4372)</f>
        <v/>
      </c>
      <c r="F280" t="str">
        <f>+IF(E280="","",VLOOKUP(E280,CATALOGO!G:L,6,0))</f>
        <v/>
      </c>
      <c r="G280" s="85" t="str">
        <f>IF('Consulta1'!F4372="","",'Consulta1'!F4372)</f>
        <v/>
      </c>
      <c r="H280" s="85" t="str">
        <f>IF('Consulta1'!G4372="","",'Consulta1'!G4372)</f>
        <v/>
      </c>
      <c r="I280" s="86" t="str">
        <f>IF('Consulta1'!H4372="","",'Consulta1'!H4372)</f>
        <v/>
      </c>
      <c r="J280" t="str">
        <f t="shared" si="4"/>
        <v/>
      </c>
      <c r="K280" t="str">
        <f>+IF(E280="","",VLOOKUP(E280,CATALOGO!G:I,2,0))</f>
        <v/>
      </c>
      <c r="L280" t="str">
        <f>+IF(E280="","",VLOOKUP(E280,CATALOGO!G:I,3,0))</f>
        <v/>
      </c>
      <c r="M280" s="87" t="str">
        <f>IF('Consulta1'!I4372="","",'Consulta1'!I4372)</f>
        <v/>
      </c>
      <c r="N280" s="88" t="str">
        <f>IF('Consulta1'!J4372="","",'Consulta1'!J4372)</f>
        <v/>
      </c>
    </row>
    <row r="281" spans="1:14" ht="18.75" x14ac:dyDescent="0.25">
      <c r="A281" s="82" t="str">
        <f>IF('Consulta1'!A4373="","",'Consulta1'!A4373)</f>
        <v/>
      </c>
      <c r="B281" s="82" t="str">
        <f>IF('Consulta1'!B4373="","",'Consulta1'!B4373)</f>
        <v/>
      </c>
      <c r="C281" s="83" t="str">
        <f>IF('Consulta1'!C4373="","",'Consulta1'!C4373)</f>
        <v/>
      </c>
      <c r="D281" s="84" t="str">
        <f>IF('Consulta1'!D4373="","",'Consulta1'!D4373)</f>
        <v/>
      </c>
      <c r="E281" s="82" t="str">
        <f>IF('Consulta1'!E4373="","",'Consulta1'!E4373)</f>
        <v/>
      </c>
      <c r="F281" t="str">
        <f>+IF(E281="","",VLOOKUP(E281,CATALOGO!G:L,6,0))</f>
        <v/>
      </c>
      <c r="G281" s="85" t="str">
        <f>IF('Consulta1'!F4373="","",'Consulta1'!F4373)</f>
        <v/>
      </c>
      <c r="H281" s="85" t="str">
        <f>IF('Consulta1'!G4373="","",'Consulta1'!G4373)</f>
        <v/>
      </c>
      <c r="I281" s="86" t="str">
        <f>IF('Consulta1'!H4373="","",'Consulta1'!H4373)</f>
        <v/>
      </c>
      <c r="J281" t="str">
        <f t="shared" si="4"/>
        <v/>
      </c>
      <c r="K281" t="str">
        <f>+IF(E281="","",VLOOKUP(E281,CATALOGO!G:I,2,0))</f>
        <v/>
      </c>
      <c r="L281" t="str">
        <f>+IF(E281="","",VLOOKUP(E281,CATALOGO!G:I,3,0))</f>
        <v/>
      </c>
      <c r="M281" s="87" t="str">
        <f>IF('Consulta1'!I4373="","",'Consulta1'!I4373)</f>
        <v/>
      </c>
      <c r="N281" s="88" t="str">
        <f>IF('Consulta1'!J4373="","",'Consulta1'!J4373)</f>
        <v/>
      </c>
    </row>
    <row r="282" spans="1:14" ht="18.75" x14ac:dyDescent="0.25">
      <c r="A282" s="82" t="str">
        <f>IF('Consulta1'!A4374="","",'Consulta1'!A4374)</f>
        <v/>
      </c>
      <c r="B282" s="82" t="str">
        <f>IF('Consulta1'!B4374="","",'Consulta1'!B4374)</f>
        <v/>
      </c>
      <c r="C282" s="83" t="str">
        <f>IF('Consulta1'!C4374="","",'Consulta1'!C4374)</f>
        <v/>
      </c>
      <c r="D282" s="84" t="str">
        <f>IF('Consulta1'!D4374="","",'Consulta1'!D4374)</f>
        <v/>
      </c>
      <c r="E282" s="82" t="str">
        <f>IF('Consulta1'!E4374="","",'Consulta1'!E4374)</f>
        <v/>
      </c>
      <c r="F282" t="str">
        <f>+IF(E282="","",VLOOKUP(E282,CATALOGO!G:L,6,0))</f>
        <v/>
      </c>
      <c r="G282" s="85" t="str">
        <f>IF('Consulta1'!F4374="","",'Consulta1'!F4374)</f>
        <v/>
      </c>
      <c r="H282" s="85" t="str">
        <f>IF('Consulta1'!G4374="","",'Consulta1'!G4374)</f>
        <v/>
      </c>
      <c r="I282" s="86" t="str">
        <f>IF('Consulta1'!H4374="","",'Consulta1'!H4374)</f>
        <v/>
      </c>
      <c r="J282" t="str">
        <f t="shared" si="4"/>
        <v/>
      </c>
      <c r="K282" t="str">
        <f>+IF(E282="","",VLOOKUP(E282,CATALOGO!G:I,2,0))</f>
        <v/>
      </c>
      <c r="L282" t="str">
        <f>+IF(E282="","",VLOOKUP(E282,CATALOGO!G:I,3,0))</f>
        <v/>
      </c>
      <c r="M282" s="87" t="str">
        <f>IF('Consulta1'!I4374="","",'Consulta1'!I4374)</f>
        <v/>
      </c>
      <c r="N282" s="88" t="str">
        <f>IF('Consulta1'!J4374="","",'Consulta1'!J4374)</f>
        <v/>
      </c>
    </row>
    <row r="283" spans="1:14" ht="18.75" x14ac:dyDescent="0.25">
      <c r="A283" s="82" t="str">
        <f>IF('Consulta1'!A4375="","",'Consulta1'!A4375)</f>
        <v/>
      </c>
      <c r="B283" s="82" t="str">
        <f>IF('Consulta1'!B4375="","",'Consulta1'!B4375)</f>
        <v/>
      </c>
      <c r="C283" s="83" t="str">
        <f>IF('Consulta1'!C4375="","",'Consulta1'!C4375)</f>
        <v/>
      </c>
      <c r="D283" s="84" t="str">
        <f>IF('Consulta1'!D4375="","",'Consulta1'!D4375)</f>
        <v/>
      </c>
      <c r="E283" s="82" t="str">
        <f>IF('Consulta1'!E4375="","",'Consulta1'!E4375)</f>
        <v/>
      </c>
      <c r="F283" t="str">
        <f>+IF(E283="","",VLOOKUP(E283,CATALOGO!G:L,6,0))</f>
        <v/>
      </c>
      <c r="G283" s="85" t="str">
        <f>IF('Consulta1'!F4375="","",'Consulta1'!F4375)</f>
        <v/>
      </c>
      <c r="H283" s="85" t="str">
        <f>IF('Consulta1'!G4375="","",'Consulta1'!G4375)</f>
        <v/>
      </c>
      <c r="I283" s="86" t="str">
        <f>IF('Consulta1'!H4375="","",'Consulta1'!H4375)</f>
        <v/>
      </c>
      <c r="J283" t="str">
        <f t="shared" si="4"/>
        <v/>
      </c>
      <c r="K283" t="str">
        <f>+IF(E283="","",VLOOKUP(E283,CATALOGO!G:I,2,0))</f>
        <v/>
      </c>
      <c r="L283" t="str">
        <f>+IF(E283="","",VLOOKUP(E283,CATALOGO!G:I,3,0))</f>
        <v/>
      </c>
      <c r="M283" s="87" t="str">
        <f>IF('Consulta1'!I4375="","",'Consulta1'!I4375)</f>
        <v/>
      </c>
      <c r="N283" s="88" t="str">
        <f>IF('Consulta1'!J4375="","",'Consulta1'!J4375)</f>
        <v/>
      </c>
    </row>
    <row r="284" spans="1:14" ht="18.75" x14ac:dyDescent="0.25">
      <c r="A284" s="82" t="str">
        <f>IF('Consulta1'!A4376="","",'Consulta1'!A4376)</f>
        <v/>
      </c>
      <c r="B284" s="82" t="str">
        <f>IF('Consulta1'!B4376="","",'Consulta1'!B4376)</f>
        <v/>
      </c>
      <c r="C284" s="83" t="str">
        <f>IF('Consulta1'!C4376="","",'Consulta1'!C4376)</f>
        <v/>
      </c>
      <c r="D284" s="84" t="str">
        <f>IF('Consulta1'!D4376="","",'Consulta1'!D4376)</f>
        <v/>
      </c>
      <c r="E284" s="82" t="str">
        <f>IF('Consulta1'!E4376="","",'Consulta1'!E4376)</f>
        <v/>
      </c>
      <c r="F284" t="str">
        <f>+IF(E284="","",VLOOKUP(E284,CATALOGO!G:L,6,0))</f>
        <v/>
      </c>
      <c r="G284" s="85" t="str">
        <f>IF('Consulta1'!F4376="","",'Consulta1'!F4376)</f>
        <v/>
      </c>
      <c r="H284" s="85" t="str">
        <f>IF('Consulta1'!G4376="","",'Consulta1'!G4376)</f>
        <v/>
      </c>
      <c r="I284" s="86" t="str">
        <f>IF('Consulta1'!H4376="","",'Consulta1'!H4376)</f>
        <v/>
      </c>
      <c r="J284" t="str">
        <f t="shared" si="4"/>
        <v/>
      </c>
      <c r="K284" t="str">
        <f>+IF(E284="","",VLOOKUP(E284,CATALOGO!G:I,2,0))</f>
        <v/>
      </c>
      <c r="L284" t="str">
        <f>+IF(E284="","",VLOOKUP(E284,CATALOGO!G:I,3,0))</f>
        <v/>
      </c>
      <c r="M284" s="87" t="str">
        <f>IF('Consulta1'!I4376="","",'Consulta1'!I4376)</f>
        <v/>
      </c>
      <c r="N284" s="88" t="str">
        <f>IF('Consulta1'!J4376="","",'Consulta1'!J4376)</f>
        <v/>
      </c>
    </row>
    <row r="285" spans="1:14" ht="18.75" x14ac:dyDescent="0.25">
      <c r="A285" s="82" t="str">
        <f>IF('Consulta1'!A4377="","",'Consulta1'!A4377)</f>
        <v/>
      </c>
      <c r="B285" s="82" t="str">
        <f>IF('Consulta1'!B4377="","",'Consulta1'!B4377)</f>
        <v/>
      </c>
      <c r="C285" s="83" t="str">
        <f>IF('Consulta1'!C4377="","",'Consulta1'!C4377)</f>
        <v/>
      </c>
      <c r="D285" s="84" t="str">
        <f>IF('Consulta1'!D4377="","",'Consulta1'!D4377)</f>
        <v/>
      </c>
      <c r="E285" s="82" t="str">
        <f>IF('Consulta1'!E4377="","",'Consulta1'!E4377)</f>
        <v/>
      </c>
      <c r="F285" t="str">
        <f>+IF(E285="","",VLOOKUP(E285,CATALOGO!G:L,6,0))</f>
        <v/>
      </c>
      <c r="G285" s="85" t="str">
        <f>IF('Consulta1'!F4377="","",'Consulta1'!F4377)</f>
        <v/>
      </c>
      <c r="H285" s="85" t="str">
        <f>IF('Consulta1'!G4377="","",'Consulta1'!G4377)</f>
        <v/>
      </c>
      <c r="I285" s="86" t="str">
        <f>IF('Consulta1'!H4377="","",'Consulta1'!H4377)</f>
        <v/>
      </c>
      <c r="J285" t="str">
        <f t="shared" si="4"/>
        <v/>
      </c>
      <c r="K285" t="str">
        <f>+IF(E285="","",VLOOKUP(E285,CATALOGO!G:I,2,0))</f>
        <v/>
      </c>
      <c r="L285" t="str">
        <f>+IF(E285="","",VLOOKUP(E285,CATALOGO!G:I,3,0))</f>
        <v/>
      </c>
      <c r="M285" s="87" t="str">
        <f>IF('Consulta1'!I4377="","",'Consulta1'!I4377)</f>
        <v/>
      </c>
      <c r="N285" s="88" t="str">
        <f>IF('Consulta1'!J4377="","",'Consulta1'!J4377)</f>
        <v/>
      </c>
    </row>
    <row r="286" spans="1:14" ht="18.75" x14ac:dyDescent="0.25">
      <c r="A286" s="82" t="str">
        <f>IF('Consulta1'!A4378="","",'Consulta1'!A4378)</f>
        <v/>
      </c>
      <c r="B286" s="82" t="str">
        <f>IF('Consulta1'!B4378="","",'Consulta1'!B4378)</f>
        <v/>
      </c>
      <c r="C286" s="83" t="str">
        <f>IF('Consulta1'!C4378="","",'Consulta1'!C4378)</f>
        <v/>
      </c>
      <c r="D286" s="84" t="str">
        <f>IF('Consulta1'!D4378="","",'Consulta1'!D4378)</f>
        <v/>
      </c>
      <c r="E286" s="82" t="str">
        <f>IF('Consulta1'!E4378="","",'Consulta1'!E4378)</f>
        <v/>
      </c>
      <c r="F286" t="str">
        <f>+IF(E286="","",VLOOKUP(E286,CATALOGO!G:L,6,0))</f>
        <v/>
      </c>
      <c r="G286" s="85" t="str">
        <f>IF('Consulta1'!F4378="","",'Consulta1'!F4378)</f>
        <v/>
      </c>
      <c r="H286" s="85" t="str">
        <f>IF('Consulta1'!G4378="","",'Consulta1'!G4378)</f>
        <v/>
      </c>
      <c r="I286" s="86" t="str">
        <f>IF('Consulta1'!H4378="","",'Consulta1'!H4378)</f>
        <v/>
      </c>
      <c r="J286" t="str">
        <f t="shared" si="4"/>
        <v/>
      </c>
      <c r="K286" t="str">
        <f>+IF(E286="","",VLOOKUP(E286,CATALOGO!G:I,2,0))</f>
        <v/>
      </c>
      <c r="L286" t="str">
        <f>+IF(E286="","",VLOOKUP(E286,CATALOGO!G:I,3,0))</f>
        <v/>
      </c>
      <c r="M286" s="87" t="str">
        <f>IF('Consulta1'!I4378="","",'Consulta1'!I4378)</f>
        <v/>
      </c>
      <c r="N286" s="88" t="str">
        <f>IF('Consulta1'!J4378="","",'Consulta1'!J4378)</f>
        <v/>
      </c>
    </row>
    <row r="287" spans="1:14" ht="18.75" x14ac:dyDescent="0.25">
      <c r="A287" s="82" t="str">
        <f>IF('Consulta1'!A4379="","",'Consulta1'!A4379)</f>
        <v/>
      </c>
      <c r="B287" s="82" t="str">
        <f>IF('Consulta1'!B4379="","",'Consulta1'!B4379)</f>
        <v/>
      </c>
      <c r="C287" s="83" t="str">
        <f>IF('Consulta1'!C4379="","",'Consulta1'!C4379)</f>
        <v/>
      </c>
      <c r="D287" s="84" t="str">
        <f>IF('Consulta1'!D4379="","",'Consulta1'!D4379)</f>
        <v/>
      </c>
      <c r="E287" s="82" t="str">
        <f>IF('Consulta1'!E4379="","",'Consulta1'!E4379)</f>
        <v/>
      </c>
      <c r="F287" t="str">
        <f>+IF(E287="","",VLOOKUP(E287,CATALOGO!G:L,6,0))</f>
        <v/>
      </c>
      <c r="G287" s="85" t="str">
        <f>IF('Consulta1'!F4379="","",'Consulta1'!F4379)</f>
        <v/>
      </c>
      <c r="H287" s="85" t="str">
        <f>IF('Consulta1'!G4379="","",'Consulta1'!G4379)</f>
        <v/>
      </c>
      <c r="I287" s="86" t="str">
        <f>IF('Consulta1'!H4379="","",'Consulta1'!H4379)</f>
        <v/>
      </c>
      <c r="J287" t="str">
        <f t="shared" si="4"/>
        <v/>
      </c>
      <c r="K287" t="str">
        <f>+IF(E287="","",VLOOKUP(E287,CATALOGO!G:I,2,0))</f>
        <v/>
      </c>
      <c r="L287" t="str">
        <f>+IF(E287="","",VLOOKUP(E287,CATALOGO!G:I,3,0))</f>
        <v/>
      </c>
      <c r="M287" s="87" t="str">
        <f>IF('Consulta1'!I4379="","",'Consulta1'!I4379)</f>
        <v/>
      </c>
      <c r="N287" s="88" t="str">
        <f>IF('Consulta1'!J4379="","",'Consulta1'!J4379)</f>
        <v/>
      </c>
    </row>
    <row r="288" spans="1:14" ht="18.75" x14ac:dyDescent="0.25">
      <c r="A288" s="82" t="str">
        <f>IF('Consulta1'!A4380="","",'Consulta1'!A4380)</f>
        <v/>
      </c>
      <c r="B288" s="82" t="str">
        <f>IF('Consulta1'!B4380="","",'Consulta1'!B4380)</f>
        <v/>
      </c>
      <c r="C288" s="83" t="str">
        <f>IF('Consulta1'!C4380="","",'Consulta1'!C4380)</f>
        <v/>
      </c>
      <c r="D288" s="84" t="str">
        <f>IF('Consulta1'!D4380="","",'Consulta1'!D4380)</f>
        <v/>
      </c>
      <c r="E288" s="82" t="str">
        <f>IF('Consulta1'!E4380="","",'Consulta1'!E4380)</f>
        <v/>
      </c>
      <c r="F288" t="str">
        <f>+IF(E288="","",VLOOKUP(E288,CATALOGO!G:L,6,0))</f>
        <v/>
      </c>
      <c r="G288" s="85" t="str">
        <f>IF('Consulta1'!F4380="","",'Consulta1'!F4380)</f>
        <v/>
      </c>
      <c r="H288" s="85" t="str">
        <f>IF('Consulta1'!G4380="","",'Consulta1'!G4380)</f>
        <v/>
      </c>
      <c r="I288" s="86" t="str">
        <f>IF('Consulta1'!H4380="","",'Consulta1'!H4380)</f>
        <v/>
      </c>
      <c r="J288" t="str">
        <f t="shared" si="4"/>
        <v/>
      </c>
      <c r="K288" t="str">
        <f>+IF(E288="","",VLOOKUP(E288,CATALOGO!G:I,2,0))</f>
        <v/>
      </c>
      <c r="L288" t="str">
        <f>+IF(E288="","",VLOOKUP(E288,CATALOGO!G:I,3,0))</f>
        <v/>
      </c>
      <c r="M288" s="87" t="str">
        <f>IF('Consulta1'!I4380="","",'Consulta1'!I4380)</f>
        <v/>
      </c>
      <c r="N288" s="88" t="str">
        <f>IF('Consulta1'!J4380="","",'Consulta1'!J4380)</f>
        <v/>
      </c>
    </row>
    <row r="289" spans="1:14" ht="18.75" x14ac:dyDescent="0.25">
      <c r="A289" s="82" t="str">
        <f>IF('Consulta1'!A4381="","",'Consulta1'!A4381)</f>
        <v/>
      </c>
      <c r="B289" s="82" t="str">
        <f>IF('Consulta1'!B4381="","",'Consulta1'!B4381)</f>
        <v/>
      </c>
      <c r="C289" s="83" t="str">
        <f>IF('Consulta1'!C4381="","",'Consulta1'!C4381)</f>
        <v/>
      </c>
      <c r="D289" s="84" t="str">
        <f>IF('Consulta1'!D4381="","",'Consulta1'!D4381)</f>
        <v/>
      </c>
      <c r="E289" s="82" t="str">
        <f>IF('Consulta1'!E4381="","",'Consulta1'!E4381)</f>
        <v/>
      </c>
      <c r="F289" t="str">
        <f>+IF(E289="","",VLOOKUP(E289,CATALOGO!G:L,6,0))</f>
        <v/>
      </c>
      <c r="G289" s="85" t="str">
        <f>IF('Consulta1'!F4381="","",'Consulta1'!F4381)</f>
        <v/>
      </c>
      <c r="H289" s="85" t="str">
        <f>IF('Consulta1'!G4381="","",'Consulta1'!G4381)</f>
        <v/>
      </c>
      <c r="I289" s="86" t="str">
        <f>IF('Consulta1'!H4381="","",'Consulta1'!H4381)</f>
        <v/>
      </c>
      <c r="J289" t="str">
        <f t="shared" si="4"/>
        <v/>
      </c>
      <c r="K289" t="str">
        <f>+IF(E289="","",VLOOKUP(E289,CATALOGO!G:I,2,0))</f>
        <v/>
      </c>
      <c r="L289" t="str">
        <f>+IF(E289="","",VLOOKUP(E289,CATALOGO!G:I,3,0))</f>
        <v/>
      </c>
      <c r="M289" s="87" t="str">
        <f>IF('Consulta1'!I4381="","",'Consulta1'!I4381)</f>
        <v/>
      </c>
      <c r="N289" s="88" t="str">
        <f>IF('Consulta1'!J4381="","",'Consulta1'!J4381)</f>
        <v/>
      </c>
    </row>
    <row r="290" spans="1:14" ht="18.75" x14ac:dyDescent="0.25">
      <c r="A290" s="82" t="str">
        <f>IF('Consulta1'!A4382="","",'Consulta1'!A4382)</f>
        <v/>
      </c>
      <c r="B290" s="82" t="str">
        <f>IF('Consulta1'!B4382="","",'Consulta1'!B4382)</f>
        <v/>
      </c>
      <c r="C290" s="83" t="str">
        <f>IF('Consulta1'!C4382="","",'Consulta1'!C4382)</f>
        <v/>
      </c>
      <c r="D290" s="84" t="str">
        <f>IF('Consulta1'!D4382="","",'Consulta1'!D4382)</f>
        <v/>
      </c>
      <c r="E290" s="82" t="str">
        <f>IF('Consulta1'!E4382="","",'Consulta1'!E4382)</f>
        <v/>
      </c>
      <c r="F290" t="str">
        <f>+IF(E290="","",VLOOKUP(E290,CATALOGO!G:L,6,0))</f>
        <v/>
      </c>
      <c r="G290" s="85" t="str">
        <f>IF('Consulta1'!F4382="","",'Consulta1'!F4382)</f>
        <v/>
      </c>
      <c r="H290" s="85" t="str">
        <f>IF('Consulta1'!G4382="","",'Consulta1'!G4382)</f>
        <v/>
      </c>
      <c r="I290" s="86" t="str">
        <f>IF('Consulta1'!H4382="","",'Consulta1'!H4382)</f>
        <v/>
      </c>
      <c r="J290" t="str">
        <f t="shared" si="4"/>
        <v/>
      </c>
      <c r="K290" t="str">
        <f>+IF(E290="","",VLOOKUP(E290,CATALOGO!G:I,2,0))</f>
        <v/>
      </c>
      <c r="L290" t="str">
        <f>+IF(E290="","",VLOOKUP(E290,CATALOGO!G:I,3,0))</f>
        <v/>
      </c>
      <c r="M290" s="87" t="str">
        <f>IF('Consulta1'!I4382="","",'Consulta1'!I4382)</f>
        <v/>
      </c>
      <c r="N290" s="88" t="str">
        <f>IF('Consulta1'!J4382="","",'Consulta1'!J4382)</f>
        <v/>
      </c>
    </row>
    <row r="291" spans="1:14" ht="18.75" x14ac:dyDescent="0.25">
      <c r="A291" s="82" t="str">
        <f>IF('Consulta1'!A4383="","",'Consulta1'!A4383)</f>
        <v/>
      </c>
      <c r="B291" s="82" t="str">
        <f>IF('Consulta1'!B4383="","",'Consulta1'!B4383)</f>
        <v/>
      </c>
      <c r="C291" s="83" t="str">
        <f>IF('Consulta1'!C4383="","",'Consulta1'!C4383)</f>
        <v/>
      </c>
      <c r="D291" s="84" t="str">
        <f>IF('Consulta1'!D4383="","",'Consulta1'!D4383)</f>
        <v/>
      </c>
      <c r="E291" s="82" t="str">
        <f>IF('Consulta1'!E4383="","",'Consulta1'!E4383)</f>
        <v/>
      </c>
      <c r="F291" t="str">
        <f>+IF(E291="","",VLOOKUP(E291,CATALOGO!G:L,6,0))</f>
        <v/>
      </c>
      <c r="G291" s="85" t="str">
        <f>IF('Consulta1'!F4383="","",'Consulta1'!F4383)</f>
        <v/>
      </c>
      <c r="H291" s="85" t="str">
        <f>IF('Consulta1'!G4383="","",'Consulta1'!G4383)</f>
        <v/>
      </c>
      <c r="I291" s="86" t="str">
        <f>IF('Consulta1'!H4383="","",'Consulta1'!H4383)</f>
        <v/>
      </c>
      <c r="J291" t="str">
        <f t="shared" si="4"/>
        <v/>
      </c>
      <c r="K291" t="str">
        <f>+IF(E291="","",VLOOKUP(E291,CATALOGO!G:I,2,0))</f>
        <v/>
      </c>
      <c r="L291" t="str">
        <f>+IF(E291="","",VLOOKUP(E291,CATALOGO!G:I,3,0))</f>
        <v/>
      </c>
      <c r="M291" s="87" t="str">
        <f>IF('Consulta1'!I4383="","",'Consulta1'!I4383)</f>
        <v/>
      </c>
      <c r="N291" s="88" t="str">
        <f>IF('Consulta1'!J4383="","",'Consulta1'!J4383)</f>
        <v/>
      </c>
    </row>
    <row r="292" spans="1:14" ht="18.75" x14ac:dyDescent="0.25">
      <c r="A292" s="82" t="str">
        <f>IF('Consulta1'!A4384="","",'Consulta1'!A4384)</f>
        <v/>
      </c>
      <c r="B292" s="82" t="str">
        <f>IF('Consulta1'!B4384="","",'Consulta1'!B4384)</f>
        <v/>
      </c>
      <c r="C292" s="83" t="str">
        <f>IF('Consulta1'!C4384="","",'Consulta1'!C4384)</f>
        <v/>
      </c>
      <c r="D292" s="84" t="str">
        <f>IF('Consulta1'!D4384="","",'Consulta1'!D4384)</f>
        <v/>
      </c>
      <c r="E292" s="82" t="str">
        <f>IF('Consulta1'!E4384="","",'Consulta1'!E4384)</f>
        <v/>
      </c>
      <c r="F292" t="str">
        <f>+IF(E292="","",VLOOKUP(E292,CATALOGO!G:L,6,0))</f>
        <v/>
      </c>
      <c r="G292" s="85" t="str">
        <f>IF('Consulta1'!F4384="","",'Consulta1'!F4384)</f>
        <v/>
      </c>
      <c r="H292" s="85" t="str">
        <f>IF('Consulta1'!G4384="","",'Consulta1'!G4384)</f>
        <v/>
      </c>
      <c r="I292" s="86" t="str">
        <f>IF('Consulta1'!H4384="","",'Consulta1'!H4384)</f>
        <v/>
      </c>
      <c r="J292" t="str">
        <f t="shared" si="4"/>
        <v/>
      </c>
      <c r="K292" t="str">
        <f>+IF(E292="","",VLOOKUP(E292,CATALOGO!G:I,2,0))</f>
        <v/>
      </c>
      <c r="L292" t="str">
        <f>+IF(E292="","",VLOOKUP(E292,CATALOGO!G:I,3,0))</f>
        <v/>
      </c>
      <c r="M292" s="87" t="str">
        <f>IF('Consulta1'!I4384="","",'Consulta1'!I4384)</f>
        <v/>
      </c>
      <c r="N292" s="88" t="str">
        <f>IF('Consulta1'!J4384="","",'Consulta1'!J4384)</f>
        <v/>
      </c>
    </row>
    <row r="293" spans="1:14" ht="18.75" x14ac:dyDescent="0.25">
      <c r="A293" s="82" t="str">
        <f>IF('Consulta1'!A4385="","",'Consulta1'!A4385)</f>
        <v/>
      </c>
      <c r="B293" s="82" t="str">
        <f>IF('Consulta1'!B4385="","",'Consulta1'!B4385)</f>
        <v/>
      </c>
      <c r="C293" s="83" t="str">
        <f>IF('Consulta1'!C4385="","",'Consulta1'!C4385)</f>
        <v/>
      </c>
      <c r="D293" s="84" t="str">
        <f>IF('Consulta1'!D4385="","",'Consulta1'!D4385)</f>
        <v/>
      </c>
      <c r="E293" s="82" t="str">
        <f>IF('Consulta1'!E4385="","",'Consulta1'!E4385)</f>
        <v/>
      </c>
      <c r="F293" t="str">
        <f>+IF(E293="","",VLOOKUP(E293,CATALOGO!G:L,6,0))</f>
        <v/>
      </c>
      <c r="G293" s="85" t="str">
        <f>IF('Consulta1'!F4385="","",'Consulta1'!F4385)</f>
        <v/>
      </c>
      <c r="H293" s="85" t="str">
        <f>IF('Consulta1'!G4385="","",'Consulta1'!G4385)</f>
        <v/>
      </c>
      <c r="I293" s="86" t="str">
        <f>IF('Consulta1'!H4385="","",'Consulta1'!H4385)</f>
        <v/>
      </c>
      <c r="J293" t="str">
        <f t="shared" si="4"/>
        <v/>
      </c>
      <c r="K293" t="str">
        <f>+IF(E293="","",VLOOKUP(E293,CATALOGO!G:I,2,0))</f>
        <v/>
      </c>
      <c r="L293" t="str">
        <f>+IF(E293="","",VLOOKUP(E293,CATALOGO!G:I,3,0))</f>
        <v/>
      </c>
      <c r="M293" s="87" t="str">
        <f>IF('Consulta1'!I4385="","",'Consulta1'!I4385)</f>
        <v/>
      </c>
      <c r="N293" s="88" t="str">
        <f>IF('Consulta1'!J4385="","",'Consulta1'!J4385)</f>
        <v/>
      </c>
    </row>
    <row r="294" spans="1:14" ht="18.75" x14ac:dyDescent="0.25">
      <c r="A294" s="82" t="str">
        <f>IF('Consulta1'!A4386="","",'Consulta1'!A4386)</f>
        <v/>
      </c>
      <c r="B294" s="82" t="str">
        <f>IF('Consulta1'!B4386="","",'Consulta1'!B4386)</f>
        <v/>
      </c>
      <c r="C294" s="83" t="str">
        <f>IF('Consulta1'!C4386="","",'Consulta1'!C4386)</f>
        <v/>
      </c>
      <c r="D294" s="84" t="str">
        <f>IF('Consulta1'!D4386="","",'Consulta1'!D4386)</f>
        <v/>
      </c>
      <c r="E294" s="82" t="str">
        <f>IF('Consulta1'!E4386="","",'Consulta1'!E4386)</f>
        <v/>
      </c>
      <c r="F294" t="str">
        <f>+IF(E294="","",VLOOKUP(E294,CATALOGO!G:L,6,0))</f>
        <v/>
      </c>
      <c r="G294" s="85" t="str">
        <f>IF('Consulta1'!F4386="","",'Consulta1'!F4386)</f>
        <v/>
      </c>
      <c r="H294" s="85" t="str">
        <f>IF('Consulta1'!G4386="","",'Consulta1'!G4386)</f>
        <v/>
      </c>
      <c r="I294" s="86" t="str">
        <f>IF('Consulta1'!H4386="","",'Consulta1'!H4386)</f>
        <v/>
      </c>
      <c r="J294" t="str">
        <f t="shared" si="4"/>
        <v/>
      </c>
      <c r="K294" t="str">
        <f>+IF(E294="","",VLOOKUP(E294,CATALOGO!G:I,2,0))</f>
        <v/>
      </c>
      <c r="L294" t="str">
        <f>+IF(E294="","",VLOOKUP(E294,CATALOGO!G:I,3,0))</f>
        <v/>
      </c>
      <c r="M294" s="87" t="str">
        <f>IF('Consulta1'!I4386="","",'Consulta1'!I4386)</f>
        <v/>
      </c>
      <c r="N294" s="88" t="str">
        <f>IF('Consulta1'!J4386="","",'Consulta1'!J4386)</f>
        <v/>
      </c>
    </row>
    <row r="295" spans="1:14" ht="18.75" x14ac:dyDescent="0.25">
      <c r="A295" s="82" t="str">
        <f>IF('Consulta1'!A4387="","",'Consulta1'!A4387)</f>
        <v/>
      </c>
      <c r="B295" s="82" t="str">
        <f>IF('Consulta1'!B4387="","",'Consulta1'!B4387)</f>
        <v/>
      </c>
      <c r="C295" s="83" t="str">
        <f>IF('Consulta1'!C4387="","",'Consulta1'!C4387)</f>
        <v/>
      </c>
      <c r="D295" s="84" t="str">
        <f>IF('Consulta1'!D4387="","",'Consulta1'!D4387)</f>
        <v/>
      </c>
      <c r="E295" s="82" t="str">
        <f>IF('Consulta1'!E4387="","",'Consulta1'!E4387)</f>
        <v/>
      </c>
      <c r="F295" t="str">
        <f>+IF(E295="","",VLOOKUP(E295,CATALOGO!G:L,6,0))</f>
        <v/>
      </c>
      <c r="G295" s="85" t="str">
        <f>IF('Consulta1'!F4387="","",'Consulta1'!F4387)</f>
        <v/>
      </c>
      <c r="H295" s="85" t="str">
        <f>IF('Consulta1'!G4387="","",'Consulta1'!G4387)</f>
        <v/>
      </c>
      <c r="I295" s="86" t="str">
        <f>IF('Consulta1'!H4387="","",'Consulta1'!H4387)</f>
        <v/>
      </c>
      <c r="J295" t="str">
        <f t="shared" si="4"/>
        <v/>
      </c>
      <c r="K295" t="str">
        <f>+IF(E295="","",VLOOKUP(E295,CATALOGO!G:I,2,0))</f>
        <v/>
      </c>
      <c r="L295" t="str">
        <f>+IF(E295="","",VLOOKUP(E295,CATALOGO!G:I,3,0))</f>
        <v/>
      </c>
      <c r="M295" s="87" t="str">
        <f>IF('Consulta1'!I4387="","",'Consulta1'!I4387)</f>
        <v/>
      </c>
      <c r="N295" s="88" t="str">
        <f>IF('Consulta1'!J4387="","",'Consulta1'!J4387)</f>
        <v/>
      </c>
    </row>
    <row r="296" spans="1:14" ht="18.75" x14ac:dyDescent="0.25">
      <c r="A296" s="82" t="str">
        <f>IF('Consulta1'!A4388="","",'Consulta1'!A4388)</f>
        <v/>
      </c>
      <c r="B296" s="82" t="str">
        <f>IF('Consulta1'!B4388="","",'Consulta1'!B4388)</f>
        <v/>
      </c>
      <c r="C296" s="83" t="str">
        <f>IF('Consulta1'!C4388="","",'Consulta1'!C4388)</f>
        <v/>
      </c>
      <c r="D296" s="84" t="str">
        <f>IF('Consulta1'!D4388="","",'Consulta1'!D4388)</f>
        <v/>
      </c>
      <c r="E296" s="82" t="str">
        <f>IF('Consulta1'!E4388="","",'Consulta1'!E4388)</f>
        <v/>
      </c>
      <c r="F296" t="str">
        <f>+IF(E296="","",VLOOKUP(E296,CATALOGO!G:L,6,0))</f>
        <v/>
      </c>
      <c r="G296" s="85" t="str">
        <f>IF('Consulta1'!F4388="","",'Consulta1'!F4388)</f>
        <v/>
      </c>
      <c r="H296" s="85" t="str">
        <f>IF('Consulta1'!G4388="","",'Consulta1'!G4388)</f>
        <v/>
      </c>
      <c r="I296" s="86" t="str">
        <f>IF('Consulta1'!H4388="","",'Consulta1'!H4388)</f>
        <v/>
      </c>
      <c r="J296" t="str">
        <f t="shared" si="4"/>
        <v/>
      </c>
      <c r="K296" t="str">
        <f>+IF(E296="","",VLOOKUP(E296,CATALOGO!G:I,2,0))</f>
        <v/>
      </c>
      <c r="L296" t="str">
        <f>+IF(E296="","",VLOOKUP(E296,CATALOGO!G:I,3,0))</f>
        <v/>
      </c>
      <c r="M296" s="87" t="str">
        <f>IF('Consulta1'!I4388="","",'Consulta1'!I4388)</f>
        <v/>
      </c>
      <c r="N296" s="88" t="str">
        <f>IF('Consulta1'!J4388="","",'Consulta1'!J4388)</f>
        <v/>
      </c>
    </row>
    <row r="297" spans="1:14" ht="18.75" x14ac:dyDescent="0.25">
      <c r="A297" s="82" t="str">
        <f>IF('Consulta1'!A4389="","",'Consulta1'!A4389)</f>
        <v/>
      </c>
      <c r="B297" s="82" t="str">
        <f>IF('Consulta1'!B4389="","",'Consulta1'!B4389)</f>
        <v/>
      </c>
      <c r="C297" s="83" t="str">
        <f>IF('Consulta1'!C4389="","",'Consulta1'!C4389)</f>
        <v/>
      </c>
      <c r="D297" s="84" t="str">
        <f>IF('Consulta1'!D4389="","",'Consulta1'!D4389)</f>
        <v/>
      </c>
      <c r="E297" s="82" t="str">
        <f>IF('Consulta1'!E4389="","",'Consulta1'!E4389)</f>
        <v/>
      </c>
      <c r="F297" t="str">
        <f>+IF(E297="","",VLOOKUP(E297,CATALOGO!G:L,6,0))</f>
        <v/>
      </c>
      <c r="G297" s="85" t="str">
        <f>IF('Consulta1'!F4389="","",'Consulta1'!F4389)</f>
        <v/>
      </c>
      <c r="H297" s="85" t="str">
        <f>IF('Consulta1'!G4389="","",'Consulta1'!G4389)</f>
        <v/>
      </c>
      <c r="I297" s="86" t="str">
        <f>IF('Consulta1'!H4389="","",'Consulta1'!H4389)</f>
        <v/>
      </c>
      <c r="J297" t="str">
        <f t="shared" si="4"/>
        <v/>
      </c>
      <c r="K297" t="str">
        <f>+IF(E297="","",VLOOKUP(E297,CATALOGO!G:I,2,0))</f>
        <v/>
      </c>
      <c r="L297" t="str">
        <f>+IF(E297="","",VLOOKUP(E297,CATALOGO!G:I,3,0))</f>
        <v/>
      </c>
      <c r="M297" s="87" t="str">
        <f>IF('Consulta1'!I4389="","",'Consulta1'!I4389)</f>
        <v/>
      </c>
      <c r="N297" s="88" t="str">
        <f>IF('Consulta1'!J4389="","",'Consulta1'!J4389)</f>
        <v/>
      </c>
    </row>
    <row r="298" spans="1:14" ht="18.75" x14ac:dyDescent="0.25">
      <c r="A298" s="82" t="str">
        <f>IF('Consulta1'!A4390="","",'Consulta1'!A4390)</f>
        <v/>
      </c>
      <c r="B298" s="82" t="str">
        <f>IF('Consulta1'!B4390="","",'Consulta1'!B4390)</f>
        <v/>
      </c>
      <c r="C298" s="83" t="str">
        <f>IF('Consulta1'!C4390="","",'Consulta1'!C4390)</f>
        <v/>
      </c>
      <c r="D298" s="84" t="str">
        <f>IF('Consulta1'!D4390="","",'Consulta1'!D4390)</f>
        <v/>
      </c>
      <c r="E298" s="82" t="str">
        <f>IF('Consulta1'!E4390="","",'Consulta1'!E4390)</f>
        <v/>
      </c>
      <c r="F298" t="str">
        <f>+IF(E298="","",VLOOKUP(E298,CATALOGO!G:L,6,0))</f>
        <v/>
      </c>
      <c r="G298" s="85" t="str">
        <f>IF('Consulta1'!F4390="","",'Consulta1'!F4390)</f>
        <v/>
      </c>
      <c r="H298" s="85" t="str">
        <f>IF('Consulta1'!G4390="","",'Consulta1'!G4390)</f>
        <v/>
      </c>
      <c r="I298" s="86" t="str">
        <f>IF('Consulta1'!H4390="","",'Consulta1'!H4390)</f>
        <v/>
      </c>
      <c r="J298" t="str">
        <f t="shared" si="4"/>
        <v/>
      </c>
      <c r="K298" t="str">
        <f>+IF(E298="","",VLOOKUP(E298,CATALOGO!G:I,2,0))</f>
        <v/>
      </c>
      <c r="L298" t="str">
        <f>+IF(E298="","",VLOOKUP(E298,CATALOGO!G:I,3,0))</f>
        <v/>
      </c>
      <c r="M298" s="87" t="str">
        <f>IF('Consulta1'!I4390="","",'Consulta1'!I4390)</f>
        <v/>
      </c>
      <c r="N298" s="88" t="str">
        <f>IF('Consulta1'!J4390="","",'Consulta1'!J4390)</f>
        <v/>
      </c>
    </row>
    <row r="299" spans="1:14" ht="18.75" x14ac:dyDescent="0.25">
      <c r="A299" s="82" t="str">
        <f>IF('Consulta1'!A4391="","",'Consulta1'!A4391)</f>
        <v/>
      </c>
      <c r="B299" s="82" t="str">
        <f>IF('Consulta1'!B4391="","",'Consulta1'!B4391)</f>
        <v/>
      </c>
      <c r="C299" s="83" t="str">
        <f>IF('Consulta1'!C4391="","",'Consulta1'!C4391)</f>
        <v/>
      </c>
      <c r="D299" s="84" t="str">
        <f>IF('Consulta1'!D4391="","",'Consulta1'!D4391)</f>
        <v/>
      </c>
      <c r="E299" s="82" t="str">
        <f>IF('Consulta1'!E4391="","",'Consulta1'!E4391)</f>
        <v/>
      </c>
      <c r="F299" t="str">
        <f>+IF(E299="","",VLOOKUP(E299,CATALOGO!G:L,6,0))</f>
        <v/>
      </c>
      <c r="G299" s="85" t="str">
        <f>IF('Consulta1'!F4391="","",'Consulta1'!F4391)</f>
        <v/>
      </c>
      <c r="H299" s="85" t="str">
        <f>IF('Consulta1'!G4391="","",'Consulta1'!G4391)</f>
        <v/>
      </c>
      <c r="I299" s="86" t="str">
        <f>IF('Consulta1'!H4391="","",'Consulta1'!H4391)</f>
        <v/>
      </c>
      <c r="J299" t="str">
        <f t="shared" si="4"/>
        <v/>
      </c>
      <c r="K299" t="str">
        <f>+IF(E299="","",VLOOKUP(E299,CATALOGO!G:I,2,0))</f>
        <v/>
      </c>
      <c r="L299" t="str">
        <f>+IF(E299="","",VLOOKUP(E299,CATALOGO!G:I,3,0))</f>
        <v/>
      </c>
      <c r="M299" s="87" t="str">
        <f>IF('Consulta1'!I4391="","",'Consulta1'!I4391)</f>
        <v/>
      </c>
      <c r="N299" s="88" t="str">
        <f>IF('Consulta1'!J4391="","",'Consulta1'!J4391)</f>
        <v/>
      </c>
    </row>
    <row r="300" spans="1:14" ht="18.75" x14ac:dyDescent="0.25">
      <c r="A300" s="82" t="str">
        <f>IF('Consulta1'!A4392="","",'Consulta1'!A4392)</f>
        <v/>
      </c>
      <c r="B300" s="82" t="str">
        <f>IF('Consulta1'!B4392="","",'Consulta1'!B4392)</f>
        <v/>
      </c>
      <c r="C300" s="83" t="str">
        <f>IF('Consulta1'!C4392="","",'Consulta1'!C4392)</f>
        <v/>
      </c>
      <c r="D300" s="84" t="str">
        <f>IF('Consulta1'!D4392="","",'Consulta1'!D4392)</f>
        <v/>
      </c>
      <c r="E300" s="82" t="str">
        <f>IF('Consulta1'!E4392="","",'Consulta1'!E4392)</f>
        <v/>
      </c>
      <c r="F300" t="str">
        <f>+IF(E300="","",VLOOKUP(E300,CATALOGO!G:L,6,0))</f>
        <v/>
      </c>
      <c r="G300" s="85" t="str">
        <f>IF('Consulta1'!F4392="","",'Consulta1'!F4392)</f>
        <v/>
      </c>
      <c r="H300" s="85" t="str">
        <f>IF('Consulta1'!G4392="","",'Consulta1'!G4392)</f>
        <v/>
      </c>
      <c r="I300" s="86" t="str">
        <f>IF('Consulta1'!H4392="","",'Consulta1'!H4392)</f>
        <v/>
      </c>
      <c r="J300" t="str">
        <f t="shared" si="4"/>
        <v/>
      </c>
      <c r="K300" t="str">
        <f>+IF(E300="","",VLOOKUP(E300,CATALOGO!G:I,2,0))</f>
        <v/>
      </c>
      <c r="L300" t="str">
        <f>+IF(E300="","",VLOOKUP(E300,CATALOGO!G:I,3,0))</f>
        <v/>
      </c>
      <c r="M300" s="87" t="str">
        <f>IF('Consulta1'!I4392="","",'Consulta1'!I4392)</f>
        <v/>
      </c>
      <c r="N300" s="88" t="str">
        <f>IF('Consulta1'!J4392="","",'Consulta1'!J4392)</f>
        <v/>
      </c>
    </row>
    <row r="301" spans="1:14" ht="18.75" x14ac:dyDescent="0.25">
      <c r="A301" s="82" t="str">
        <f>IF('Consulta1'!A4393="","",'Consulta1'!A4393)</f>
        <v/>
      </c>
      <c r="B301" s="82" t="str">
        <f>IF('Consulta1'!B4393="","",'Consulta1'!B4393)</f>
        <v/>
      </c>
      <c r="C301" s="83" t="str">
        <f>IF('Consulta1'!C4393="","",'Consulta1'!C4393)</f>
        <v/>
      </c>
      <c r="D301" s="84" t="str">
        <f>IF('Consulta1'!D4393="","",'Consulta1'!D4393)</f>
        <v/>
      </c>
      <c r="E301" s="82" t="str">
        <f>IF('Consulta1'!E4393="","",'Consulta1'!E4393)</f>
        <v/>
      </c>
      <c r="F301" t="str">
        <f>+IF(E301="","",VLOOKUP(E301,CATALOGO!G:L,6,0))</f>
        <v/>
      </c>
      <c r="G301" s="85" t="str">
        <f>IF('Consulta1'!F4393="","",'Consulta1'!F4393)</f>
        <v/>
      </c>
      <c r="H301" s="85" t="str">
        <f>IF('Consulta1'!G4393="","",'Consulta1'!G4393)</f>
        <v/>
      </c>
      <c r="I301" s="86" t="str">
        <f>IF('Consulta1'!H4393="","",'Consulta1'!H4393)</f>
        <v/>
      </c>
      <c r="J301" t="str">
        <f t="shared" si="4"/>
        <v/>
      </c>
      <c r="K301" t="str">
        <f>+IF(E301="","",VLOOKUP(E301,CATALOGO!G:I,2,0))</f>
        <v/>
      </c>
      <c r="L301" t="str">
        <f>+IF(E301="","",VLOOKUP(E301,CATALOGO!G:I,3,0))</f>
        <v/>
      </c>
      <c r="M301" s="87" t="str">
        <f>IF('Consulta1'!I4393="","",'Consulta1'!I4393)</f>
        <v/>
      </c>
      <c r="N301" s="88" t="str">
        <f>IF('Consulta1'!J4393="","",'Consulta1'!J4393)</f>
        <v/>
      </c>
    </row>
    <row r="302" spans="1:14" ht="18.75" x14ac:dyDescent="0.25">
      <c r="A302" s="82" t="str">
        <f>IF('Consulta1'!A4394="","",'Consulta1'!A4394)</f>
        <v/>
      </c>
      <c r="B302" s="82" t="str">
        <f>IF('Consulta1'!B4394="","",'Consulta1'!B4394)</f>
        <v/>
      </c>
      <c r="C302" s="83" t="str">
        <f>IF('Consulta1'!C4394="","",'Consulta1'!C4394)</f>
        <v/>
      </c>
      <c r="D302" s="84" t="str">
        <f>IF('Consulta1'!D4394="","",'Consulta1'!D4394)</f>
        <v/>
      </c>
      <c r="E302" s="82" t="str">
        <f>IF('Consulta1'!E4394="","",'Consulta1'!E4394)</f>
        <v/>
      </c>
      <c r="F302" t="str">
        <f>+IF(E302="","",VLOOKUP(E302,CATALOGO!G:L,6,0))</f>
        <v/>
      </c>
      <c r="G302" s="85" t="str">
        <f>IF('Consulta1'!F4394="","",'Consulta1'!F4394)</f>
        <v/>
      </c>
      <c r="H302" s="85" t="str">
        <f>IF('Consulta1'!G4394="","",'Consulta1'!G4394)</f>
        <v/>
      </c>
      <c r="I302" s="86" t="str">
        <f>IF('Consulta1'!H4394="","",'Consulta1'!H4394)</f>
        <v/>
      </c>
      <c r="J302" t="str">
        <f t="shared" si="4"/>
        <v/>
      </c>
      <c r="K302" t="str">
        <f>+IF(E302="","",VLOOKUP(E302,CATALOGO!G:I,2,0))</f>
        <v/>
      </c>
      <c r="L302" t="str">
        <f>+IF(E302="","",VLOOKUP(E302,CATALOGO!G:I,3,0))</f>
        <v/>
      </c>
      <c r="M302" s="87" t="str">
        <f>IF('Consulta1'!I4394="","",'Consulta1'!I4394)</f>
        <v/>
      </c>
      <c r="N302" s="88" t="str">
        <f>IF('Consulta1'!J4394="","",'Consulta1'!J4394)</f>
        <v/>
      </c>
    </row>
    <row r="303" spans="1:14" ht="18.75" x14ac:dyDescent="0.25">
      <c r="A303" s="82" t="str">
        <f>IF('Consulta1'!A4395="","",'Consulta1'!A4395)</f>
        <v/>
      </c>
      <c r="B303" s="82" t="str">
        <f>IF('Consulta1'!B4395="","",'Consulta1'!B4395)</f>
        <v/>
      </c>
      <c r="C303" s="83" t="str">
        <f>IF('Consulta1'!C4395="","",'Consulta1'!C4395)</f>
        <v/>
      </c>
      <c r="D303" s="84" t="str">
        <f>IF('Consulta1'!D4395="","",'Consulta1'!D4395)</f>
        <v/>
      </c>
      <c r="E303" s="82" t="str">
        <f>IF('Consulta1'!E4395="","",'Consulta1'!E4395)</f>
        <v/>
      </c>
      <c r="F303" t="str">
        <f>+IF(E303="","",VLOOKUP(E303,CATALOGO!G:L,6,0))</f>
        <v/>
      </c>
      <c r="G303" s="85" t="str">
        <f>IF('Consulta1'!F4395="","",'Consulta1'!F4395)</f>
        <v/>
      </c>
      <c r="H303" s="85" t="str">
        <f>IF('Consulta1'!G4395="","",'Consulta1'!G4395)</f>
        <v/>
      </c>
      <c r="I303" s="86" t="str">
        <f>IF('Consulta1'!H4395="","",'Consulta1'!H4395)</f>
        <v/>
      </c>
      <c r="J303" t="str">
        <f t="shared" si="4"/>
        <v/>
      </c>
      <c r="K303" t="str">
        <f>+IF(E303="","",VLOOKUP(E303,CATALOGO!G:I,2,0))</f>
        <v/>
      </c>
      <c r="L303" t="str">
        <f>+IF(E303="","",VLOOKUP(E303,CATALOGO!G:I,3,0))</f>
        <v/>
      </c>
      <c r="M303" s="87" t="str">
        <f>IF('Consulta1'!I4395="","",'Consulta1'!I4395)</f>
        <v/>
      </c>
      <c r="N303" s="88" t="str">
        <f>IF('Consulta1'!J4395="","",'Consulta1'!J4395)</f>
        <v/>
      </c>
    </row>
    <row r="304" spans="1:14" ht="18.75" x14ac:dyDescent="0.25">
      <c r="A304" s="82" t="str">
        <f>IF('Consulta1'!A4396="","",'Consulta1'!A4396)</f>
        <v/>
      </c>
      <c r="B304" s="82" t="str">
        <f>IF('Consulta1'!B4396="","",'Consulta1'!B4396)</f>
        <v/>
      </c>
      <c r="C304" s="83" t="str">
        <f>IF('Consulta1'!C4396="","",'Consulta1'!C4396)</f>
        <v/>
      </c>
      <c r="D304" s="84" t="str">
        <f>IF('Consulta1'!D4396="","",'Consulta1'!D4396)</f>
        <v/>
      </c>
      <c r="E304" s="82" t="str">
        <f>IF('Consulta1'!E4396="","",'Consulta1'!E4396)</f>
        <v/>
      </c>
      <c r="F304" t="str">
        <f>+IF(E304="","",VLOOKUP(E304,CATALOGO!G:L,6,0))</f>
        <v/>
      </c>
      <c r="G304" s="85" t="str">
        <f>IF('Consulta1'!F4396="","",'Consulta1'!F4396)</f>
        <v/>
      </c>
      <c r="H304" s="85" t="str">
        <f>IF('Consulta1'!G4396="","",'Consulta1'!G4396)</f>
        <v/>
      </c>
      <c r="I304" s="86" t="str">
        <f>IF('Consulta1'!H4396="","",'Consulta1'!H4396)</f>
        <v/>
      </c>
      <c r="J304" t="str">
        <f t="shared" si="4"/>
        <v/>
      </c>
      <c r="K304" t="str">
        <f>+IF(E304="","",VLOOKUP(E304,CATALOGO!G:I,2,0))</f>
        <v/>
      </c>
      <c r="L304" t="str">
        <f>+IF(E304="","",VLOOKUP(E304,CATALOGO!G:I,3,0))</f>
        <v/>
      </c>
      <c r="M304" s="87" t="str">
        <f>IF('Consulta1'!I4396="","",'Consulta1'!I4396)</f>
        <v/>
      </c>
      <c r="N304" s="88" t="str">
        <f>IF('Consulta1'!J4396="","",'Consulta1'!J4396)</f>
        <v/>
      </c>
    </row>
    <row r="305" spans="1:14" ht="18.75" x14ac:dyDescent="0.25">
      <c r="A305" s="82" t="str">
        <f>IF('Consulta1'!A4397="","",'Consulta1'!A4397)</f>
        <v/>
      </c>
      <c r="B305" s="82" t="str">
        <f>IF('Consulta1'!B4397="","",'Consulta1'!B4397)</f>
        <v/>
      </c>
      <c r="C305" s="83" t="str">
        <f>IF('Consulta1'!C4397="","",'Consulta1'!C4397)</f>
        <v/>
      </c>
      <c r="D305" s="84" t="str">
        <f>IF('Consulta1'!D4397="","",'Consulta1'!D4397)</f>
        <v/>
      </c>
      <c r="E305" s="82" t="str">
        <f>IF('Consulta1'!E4397="","",'Consulta1'!E4397)</f>
        <v/>
      </c>
      <c r="F305" t="str">
        <f>+IF(E305="","",VLOOKUP(E305,CATALOGO!G:L,6,0))</f>
        <v/>
      </c>
      <c r="G305" s="85" t="str">
        <f>IF('Consulta1'!F4397="","",'Consulta1'!F4397)</f>
        <v/>
      </c>
      <c r="H305" s="85" t="str">
        <f>IF('Consulta1'!G4397="","",'Consulta1'!G4397)</f>
        <v/>
      </c>
      <c r="I305" s="86" t="str">
        <f>IF('Consulta1'!H4397="","",'Consulta1'!H4397)</f>
        <v/>
      </c>
      <c r="J305" t="str">
        <f t="shared" si="4"/>
        <v/>
      </c>
      <c r="K305" t="str">
        <f>+IF(E305="","",VLOOKUP(E305,CATALOGO!G:I,2,0))</f>
        <v/>
      </c>
      <c r="L305" t="str">
        <f>+IF(E305="","",VLOOKUP(E305,CATALOGO!G:I,3,0))</f>
        <v/>
      </c>
      <c r="M305" s="87" t="str">
        <f>IF('Consulta1'!I4397="","",'Consulta1'!I4397)</f>
        <v/>
      </c>
      <c r="N305" s="88" t="str">
        <f>IF('Consulta1'!J4397="","",'Consulta1'!J4397)</f>
        <v/>
      </c>
    </row>
    <row r="306" spans="1:14" ht="18.75" x14ac:dyDescent="0.25">
      <c r="A306" s="82" t="str">
        <f>IF('Consulta1'!A4398="","",'Consulta1'!A4398)</f>
        <v/>
      </c>
      <c r="B306" s="82" t="str">
        <f>IF('Consulta1'!B4398="","",'Consulta1'!B4398)</f>
        <v/>
      </c>
      <c r="C306" s="83" t="str">
        <f>IF('Consulta1'!C4398="","",'Consulta1'!C4398)</f>
        <v/>
      </c>
      <c r="D306" s="84" t="str">
        <f>IF('Consulta1'!D4398="","",'Consulta1'!D4398)</f>
        <v/>
      </c>
      <c r="E306" s="82" t="str">
        <f>IF('Consulta1'!E4398="","",'Consulta1'!E4398)</f>
        <v/>
      </c>
      <c r="F306" t="str">
        <f>+IF(E306="","",VLOOKUP(E306,CATALOGO!G:L,6,0))</f>
        <v/>
      </c>
      <c r="G306" s="85" t="str">
        <f>IF('Consulta1'!F4398="","",'Consulta1'!F4398)</f>
        <v/>
      </c>
      <c r="H306" s="85" t="str">
        <f>IF('Consulta1'!G4398="","",'Consulta1'!G4398)</f>
        <v/>
      </c>
      <c r="I306" s="86" t="str">
        <f>IF('Consulta1'!H4398="","",'Consulta1'!H4398)</f>
        <v/>
      </c>
      <c r="J306" t="str">
        <f t="shared" si="4"/>
        <v/>
      </c>
      <c r="K306" t="str">
        <f>+IF(E306="","",VLOOKUP(E306,CATALOGO!G:I,2,0))</f>
        <v/>
      </c>
      <c r="L306" t="str">
        <f>+IF(E306="","",VLOOKUP(E306,CATALOGO!G:I,3,0))</f>
        <v/>
      </c>
      <c r="M306" s="87" t="str">
        <f>IF('Consulta1'!I4398="","",'Consulta1'!I4398)</f>
        <v/>
      </c>
      <c r="N306" s="88" t="str">
        <f>IF('Consulta1'!J4398="","",'Consulta1'!J4398)</f>
        <v/>
      </c>
    </row>
    <row r="307" spans="1:14" ht="18.75" x14ac:dyDescent="0.25">
      <c r="A307" s="82" t="str">
        <f>IF('Consulta1'!A4399="","",'Consulta1'!A4399)</f>
        <v/>
      </c>
      <c r="B307" s="82" t="str">
        <f>IF('Consulta1'!B4399="","",'Consulta1'!B4399)</f>
        <v/>
      </c>
      <c r="C307" s="83" t="str">
        <f>IF('Consulta1'!C4399="","",'Consulta1'!C4399)</f>
        <v/>
      </c>
      <c r="D307" s="84" t="str">
        <f>IF('Consulta1'!D4399="","",'Consulta1'!D4399)</f>
        <v/>
      </c>
      <c r="E307" s="82" t="str">
        <f>IF('Consulta1'!E4399="","",'Consulta1'!E4399)</f>
        <v/>
      </c>
      <c r="F307" t="str">
        <f>+IF(E307="","",VLOOKUP(E307,CATALOGO!G:L,6,0))</f>
        <v/>
      </c>
      <c r="G307" s="85" t="str">
        <f>IF('Consulta1'!F4399="","",'Consulta1'!F4399)</f>
        <v/>
      </c>
      <c r="H307" s="85" t="str">
        <f>IF('Consulta1'!G4399="","",'Consulta1'!G4399)</f>
        <v/>
      </c>
      <c r="I307" s="86" t="str">
        <f>IF('Consulta1'!H4399="","",'Consulta1'!H4399)</f>
        <v/>
      </c>
      <c r="J307" t="str">
        <f t="shared" si="4"/>
        <v/>
      </c>
      <c r="K307" t="str">
        <f>+IF(E307="","",VLOOKUP(E307,CATALOGO!G:I,2,0))</f>
        <v/>
      </c>
      <c r="L307" t="str">
        <f>+IF(E307="","",VLOOKUP(E307,CATALOGO!G:I,3,0))</f>
        <v/>
      </c>
      <c r="M307" s="87" t="str">
        <f>IF('Consulta1'!I4399="","",'Consulta1'!I4399)</f>
        <v/>
      </c>
      <c r="N307" s="88" t="str">
        <f>IF('Consulta1'!J4399="","",'Consulta1'!J4399)</f>
        <v/>
      </c>
    </row>
    <row r="308" spans="1:14" ht="18.75" x14ac:dyDescent="0.25">
      <c r="A308" s="82" t="str">
        <f>IF('Consulta1'!A4400="","",'Consulta1'!A4400)</f>
        <v/>
      </c>
      <c r="B308" s="82" t="str">
        <f>IF('Consulta1'!B4400="","",'Consulta1'!B4400)</f>
        <v/>
      </c>
      <c r="C308" s="83" t="str">
        <f>IF('Consulta1'!C4400="","",'Consulta1'!C4400)</f>
        <v/>
      </c>
      <c r="D308" s="84" t="str">
        <f>IF('Consulta1'!D4400="","",'Consulta1'!D4400)</f>
        <v/>
      </c>
      <c r="E308" s="82" t="str">
        <f>IF('Consulta1'!E4400="","",'Consulta1'!E4400)</f>
        <v/>
      </c>
      <c r="F308" t="str">
        <f>+IF(E308="","",VLOOKUP(E308,CATALOGO!G:L,6,0))</f>
        <v/>
      </c>
      <c r="G308" s="85" t="str">
        <f>IF('Consulta1'!F4400="","",'Consulta1'!F4400)</f>
        <v/>
      </c>
      <c r="H308" s="85" t="str">
        <f>IF('Consulta1'!G4400="","",'Consulta1'!G4400)</f>
        <v/>
      </c>
      <c r="I308" s="86" t="str">
        <f>IF('Consulta1'!H4400="","",'Consulta1'!H4400)</f>
        <v/>
      </c>
      <c r="J308" t="str">
        <f t="shared" si="4"/>
        <v/>
      </c>
      <c r="K308" t="str">
        <f>+IF(E308="","",VLOOKUP(E308,CATALOGO!G:I,2,0))</f>
        <v/>
      </c>
      <c r="L308" t="str">
        <f>+IF(E308="","",VLOOKUP(E308,CATALOGO!G:I,3,0))</f>
        <v/>
      </c>
      <c r="M308" s="87" t="str">
        <f>IF('Consulta1'!I4400="","",'Consulta1'!I4400)</f>
        <v/>
      </c>
      <c r="N308" s="88" t="str">
        <f>IF('Consulta1'!J4400="","",'Consulta1'!J4400)</f>
        <v/>
      </c>
    </row>
    <row r="309" spans="1:14" ht="18.75" x14ac:dyDescent="0.25">
      <c r="A309" s="82" t="str">
        <f>IF('Consulta1'!A4401="","",'Consulta1'!A4401)</f>
        <v/>
      </c>
      <c r="B309" s="82" t="str">
        <f>IF('Consulta1'!B4401="","",'Consulta1'!B4401)</f>
        <v/>
      </c>
      <c r="C309" s="83" t="str">
        <f>IF('Consulta1'!C4401="","",'Consulta1'!C4401)</f>
        <v/>
      </c>
      <c r="D309" s="84" t="str">
        <f>IF('Consulta1'!D4401="","",'Consulta1'!D4401)</f>
        <v/>
      </c>
      <c r="E309" s="82" t="str">
        <f>IF('Consulta1'!E4401="","",'Consulta1'!E4401)</f>
        <v/>
      </c>
      <c r="F309" t="str">
        <f>+IF(E309="","",VLOOKUP(E309,CATALOGO!G:L,6,0))</f>
        <v/>
      </c>
      <c r="G309" s="85" t="str">
        <f>IF('Consulta1'!F4401="","",'Consulta1'!F4401)</f>
        <v/>
      </c>
      <c r="H309" s="85" t="str">
        <f>IF('Consulta1'!G4401="","",'Consulta1'!G4401)</f>
        <v/>
      </c>
      <c r="I309" s="86" t="str">
        <f>IF('Consulta1'!H4401="","",'Consulta1'!H4401)</f>
        <v/>
      </c>
      <c r="J309" t="str">
        <f t="shared" si="4"/>
        <v/>
      </c>
      <c r="K309" t="str">
        <f>+IF(E309="","",VLOOKUP(E309,CATALOGO!G:I,2,0))</f>
        <v/>
      </c>
      <c r="L309" t="str">
        <f>+IF(E309="","",VLOOKUP(E309,CATALOGO!G:I,3,0))</f>
        <v/>
      </c>
      <c r="M309" s="87" t="str">
        <f>IF('Consulta1'!I4401="","",'Consulta1'!I4401)</f>
        <v/>
      </c>
      <c r="N309" s="88" t="str">
        <f>IF('Consulta1'!J4401="","",'Consulta1'!J4401)</f>
        <v/>
      </c>
    </row>
    <row r="310" spans="1:14" ht="18.75" x14ac:dyDescent="0.25">
      <c r="A310" s="82" t="str">
        <f>IF('Consulta1'!A4402="","",'Consulta1'!A4402)</f>
        <v/>
      </c>
      <c r="B310" s="82" t="str">
        <f>IF('Consulta1'!B4402="","",'Consulta1'!B4402)</f>
        <v/>
      </c>
      <c r="C310" s="83" t="str">
        <f>IF('Consulta1'!C4402="","",'Consulta1'!C4402)</f>
        <v/>
      </c>
      <c r="D310" s="84" t="str">
        <f>IF('Consulta1'!D4402="","",'Consulta1'!D4402)</f>
        <v/>
      </c>
      <c r="E310" s="82" t="str">
        <f>IF('Consulta1'!E4402="","",'Consulta1'!E4402)</f>
        <v/>
      </c>
      <c r="F310" t="str">
        <f>+IF(E310="","",VLOOKUP(E310,CATALOGO!G:L,6,0))</f>
        <v/>
      </c>
      <c r="G310" s="85" t="str">
        <f>IF('Consulta1'!F4402="","",'Consulta1'!F4402)</f>
        <v/>
      </c>
      <c r="H310" s="85" t="str">
        <f>IF('Consulta1'!G4402="","",'Consulta1'!G4402)</f>
        <v/>
      </c>
      <c r="I310" s="86" t="str">
        <f>IF('Consulta1'!H4402="","",'Consulta1'!H4402)</f>
        <v/>
      </c>
      <c r="J310" t="str">
        <f t="shared" si="4"/>
        <v/>
      </c>
      <c r="K310" t="str">
        <f>+IF(E310="","",VLOOKUP(E310,CATALOGO!G:I,2,0))</f>
        <v/>
      </c>
      <c r="L310" t="str">
        <f>+IF(E310="","",VLOOKUP(E310,CATALOGO!G:I,3,0))</f>
        <v/>
      </c>
      <c r="M310" s="87" t="str">
        <f>IF('Consulta1'!I4402="","",'Consulta1'!I4402)</f>
        <v/>
      </c>
      <c r="N310" s="88" t="str">
        <f>IF('Consulta1'!J4402="","",'Consulta1'!J4402)</f>
        <v/>
      </c>
    </row>
    <row r="311" spans="1:14" ht="18.75" x14ac:dyDescent="0.25">
      <c r="A311" s="82" t="str">
        <f>IF('Consulta1'!A4403="","",'Consulta1'!A4403)</f>
        <v/>
      </c>
      <c r="B311" s="82" t="str">
        <f>IF('Consulta1'!B4403="","",'Consulta1'!B4403)</f>
        <v/>
      </c>
      <c r="C311" s="83" t="str">
        <f>IF('Consulta1'!C4403="","",'Consulta1'!C4403)</f>
        <v/>
      </c>
      <c r="D311" s="84" t="str">
        <f>IF('Consulta1'!D4403="","",'Consulta1'!D4403)</f>
        <v/>
      </c>
      <c r="E311" s="82" t="str">
        <f>IF('Consulta1'!E4403="","",'Consulta1'!E4403)</f>
        <v/>
      </c>
      <c r="F311" t="str">
        <f>+IF(E311="","",VLOOKUP(E311,CATALOGO!G:L,6,0))</f>
        <v/>
      </c>
      <c r="G311" s="85" t="str">
        <f>IF('Consulta1'!F4403="","",'Consulta1'!F4403)</f>
        <v/>
      </c>
      <c r="H311" s="85" t="str">
        <f>IF('Consulta1'!G4403="","",'Consulta1'!G4403)</f>
        <v/>
      </c>
      <c r="I311" s="86" t="str">
        <f>IF('Consulta1'!H4403="","",'Consulta1'!H4403)</f>
        <v/>
      </c>
      <c r="J311" t="str">
        <f t="shared" si="4"/>
        <v/>
      </c>
      <c r="K311" t="str">
        <f>+IF(E311="","",VLOOKUP(E311,CATALOGO!G:I,2,0))</f>
        <v/>
      </c>
      <c r="L311" t="str">
        <f>+IF(E311="","",VLOOKUP(E311,CATALOGO!G:I,3,0))</f>
        <v/>
      </c>
      <c r="M311" s="87" t="str">
        <f>IF('Consulta1'!I4403="","",'Consulta1'!I4403)</f>
        <v/>
      </c>
      <c r="N311" s="88" t="str">
        <f>IF('Consulta1'!J4403="","",'Consulta1'!J4403)</f>
        <v/>
      </c>
    </row>
    <row r="312" spans="1:14" ht="18.75" x14ac:dyDescent="0.25">
      <c r="A312" s="82" t="str">
        <f>IF('Consulta1'!A4404="","",'Consulta1'!A4404)</f>
        <v/>
      </c>
      <c r="B312" s="82" t="str">
        <f>IF('Consulta1'!B4404="","",'Consulta1'!B4404)</f>
        <v/>
      </c>
      <c r="C312" s="83" t="str">
        <f>IF('Consulta1'!C4404="","",'Consulta1'!C4404)</f>
        <v/>
      </c>
      <c r="D312" s="84" t="str">
        <f>IF('Consulta1'!D4404="","",'Consulta1'!D4404)</f>
        <v/>
      </c>
      <c r="E312" s="82" t="str">
        <f>IF('Consulta1'!E4404="","",'Consulta1'!E4404)</f>
        <v/>
      </c>
      <c r="F312" t="str">
        <f>+IF(E312="","",VLOOKUP(E312,CATALOGO!G:L,6,0))</f>
        <v/>
      </c>
      <c r="G312" s="85" t="str">
        <f>IF('Consulta1'!F4404="","",'Consulta1'!F4404)</f>
        <v/>
      </c>
      <c r="H312" s="85" t="str">
        <f>IF('Consulta1'!G4404="","",'Consulta1'!G4404)</f>
        <v/>
      </c>
      <c r="I312" s="86" t="str">
        <f>IF('Consulta1'!H4404="","",'Consulta1'!H4404)</f>
        <v/>
      </c>
      <c r="J312" t="str">
        <f t="shared" si="4"/>
        <v/>
      </c>
      <c r="K312" t="str">
        <f>+IF(E312="","",VLOOKUP(E312,CATALOGO!G:I,2,0))</f>
        <v/>
      </c>
      <c r="L312" t="str">
        <f>+IF(E312="","",VLOOKUP(E312,CATALOGO!G:I,3,0))</f>
        <v/>
      </c>
      <c r="M312" s="87" t="str">
        <f>IF('Consulta1'!I4404="","",'Consulta1'!I4404)</f>
        <v/>
      </c>
      <c r="N312" s="88" t="str">
        <f>IF('Consulta1'!J4404="","",'Consulta1'!J4404)</f>
        <v/>
      </c>
    </row>
    <row r="313" spans="1:14" ht="18.75" x14ac:dyDescent="0.25">
      <c r="A313" s="82" t="str">
        <f>IF('Consulta1'!A4405="","",'Consulta1'!A4405)</f>
        <v/>
      </c>
      <c r="B313" s="82" t="str">
        <f>IF('Consulta1'!B4405="","",'Consulta1'!B4405)</f>
        <v/>
      </c>
      <c r="C313" s="83" t="str">
        <f>IF('Consulta1'!C4405="","",'Consulta1'!C4405)</f>
        <v/>
      </c>
      <c r="D313" s="84" t="str">
        <f>IF('Consulta1'!D4405="","",'Consulta1'!D4405)</f>
        <v/>
      </c>
      <c r="E313" s="82" t="str">
        <f>IF('Consulta1'!E4405="","",'Consulta1'!E4405)</f>
        <v/>
      </c>
      <c r="F313" t="str">
        <f>+IF(E313="","",VLOOKUP(E313,CATALOGO!G:L,6,0))</f>
        <v/>
      </c>
      <c r="G313" s="85" t="str">
        <f>IF('Consulta1'!F4405="","",'Consulta1'!F4405)</f>
        <v/>
      </c>
      <c r="H313" s="85" t="str">
        <f>IF('Consulta1'!G4405="","",'Consulta1'!G4405)</f>
        <v/>
      </c>
      <c r="I313" s="86" t="str">
        <f>IF('Consulta1'!H4405="","",'Consulta1'!H4405)</f>
        <v/>
      </c>
      <c r="J313" t="str">
        <f t="shared" si="4"/>
        <v/>
      </c>
      <c r="K313" t="str">
        <f>+IF(E313="","",VLOOKUP(E313,CATALOGO!G:I,2,0))</f>
        <v/>
      </c>
      <c r="L313" t="str">
        <f>+IF(E313="","",VLOOKUP(E313,CATALOGO!G:I,3,0))</f>
        <v/>
      </c>
      <c r="M313" s="87" t="str">
        <f>IF('Consulta1'!I4405="","",'Consulta1'!I4405)</f>
        <v/>
      </c>
      <c r="N313" s="88" t="str">
        <f>IF('Consulta1'!J4405="","",'Consulta1'!J4405)</f>
        <v/>
      </c>
    </row>
    <row r="314" spans="1:14" ht="18.75" x14ac:dyDescent="0.25">
      <c r="A314" s="82" t="str">
        <f>IF('Consulta1'!A4406="","",'Consulta1'!A4406)</f>
        <v/>
      </c>
      <c r="B314" s="82" t="str">
        <f>IF('Consulta1'!B4406="","",'Consulta1'!B4406)</f>
        <v/>
      </c>
      <c r="C314" s="83" t="str">
        <f>IF('Consulta1'!C4406="","",'Consulta1'!C4406)</f>
        <v/>
      </c>
      <c r="D314" s="84" t="str">
        <f>IF('Consulta1'!D4406="","",'Consulta1'!D4406)</f>
        <v/>
      </c>
      <c r="E314" s="82" t="str">
        <f>IF('Consulta1'!E4406="","",'Consulta1'!E4406)</f>
        <v/>
      </c>
      <c r="F314" t="str">
        <f>+IF(E314="","",VLOOKUP(E314,CATALOGO!G:L,6,0))</f>
        <v/>
      </c>
      <c r="G314" s="85" t="str">
        <f>IF('Consulta1'!F4406="","",'Consulta1'!F4406)</f>
        <v/>
      </c>
      <c r="H314" s="85" t="str">
        <f>IF('Consulta1'!G4406="","",'Consulta1'!G4406)</f>
        <v/>
      </c>
      <c r="I314" s="86" t="str">
        <f>IF('Consulta1'!H4406="","",'Consulta1'!H4406)</f>
        <v/>
      </c>
      <c r="J314" t="str">
        <f t="shared" si="4"/>
        <v/>
      </c>
      <c r="K314" t="str">
        <f>+IF(E314="","",VLOOKUP(E314,CATALOGO!G:I,2,0))</f>
        <v/>
      </c>
      <c r="L314" t="str">
        <f>+IF(E314="","",VLOOKUP(E314,CATALOGO!G:I,3,0))</f>
        <v/>
      </c>
      <c r="M314" s="87" t="str">
        <f>IF('Consulta1'!I4406="","",'Consulta1'!I4406)</f>
        <v/>
      </c>
      <c r="N314" s="88" t="str">
        <f>IF('Consulta1'!J4406="","",'Consulta1'!J4406)</f>
        <v/>
      </c>
    </row>
    <row r="315" spans="1:14" ht="18.75" x14ac:dyDescent="0.25">
      <c r="A315" s="82" t="str">
        <f>IF('Consulta1'!A4407="","",'Consulta1'!A4407)</f>
        <v/>
      </c>
      <c r="B315" s="82" t="str">
        <f>IF('Consulta1'!B4407="","",'Consulta1'!B4407)</f>
        <v/>
      </c>
      <c r="C315" s="83" t="str">
        <f>IF('Consulta1'!C4407="","",'Consulta1'!C4407)</f>
        <v/>
      </c>
      <c r="D315" s="84" t="str">
        <f>IF('Consulta1'!D4407="","",'Consulta1'!D4407)</f>
        <v/>
      </c>
      <c r="E315" s="82" t="str">
        <f>IF('Consulta1'!E4407="","",'Consulta1'!E4407)</f>
        <v/>
      </c>
      <c r="F315" t="str">
        <f>+IF(E315="","",VLOOKUP(E315,CATALOGO!G:L,6,0))</f>
        <v/>
      </c>
      <c r="G315" s="85" t="str">
        <f>IF('Consulta1'!F4407="","",'Consulta1'!F4407)</f>
        <v/>
      </c>
      <c r="H315" s="85" t="str">
        <f>IF('Consulta1'!G4407="","",'Consulta1'!G4407)</f>
        <v/>
      </c>
      <c r="I315" s="86" t="str">
        <f>IF('Consulta1'!H4407="","",'Consulta1'!H4407)</f>
        <v/>
      </c>
      <c r="J315" t="str">
        <f t="shared" si="4"/>
        <v/>
      </c>
      <c r="K315" t="str">
        <f>+IF(E315="","",VLOOKUP(E315,CATALOGO!G:I,2,0))</f>
        <v/>
      </c>
      <c r="L315" t="str">
        <f>+IF(E315="","",VLOOKUP(E315,CATALOGO!G:I,3,0))</f>
        <v/>
      </c>
      <c r="M315" s="87" t="str">
        <f>IF('Consulta1'!I4407="","",'Consulta1'!I4407)</f>
        <v/>
      </c>
      <c r="N315" s="88" t="str">
        <f>IF('Consulta1'!J4407="","",'Consulta1'!J4407)</f>
        <v/>
      </c>
    </row>
    <row r="316" spans="1:14" ht="18.75" x14ac:dyDescent="0.25">
      <c r="A316" s="82" t="str">
        <f>IF('Consulta1'!A4408="","",'Consulta1'!A4408)</f>
        <v/>
      </c>
      <c r="B316" s="82" t="str">
        <f>IF('Consulta1'!B4408="","",'Consulta1'!B4408)</f>
        <v/>
      </c>
      <c r="C316" s="83" t="str">
        <f>IF('Consulta1'!C4408="","",'Consulta1'!C4408)</f>
        <v/>
      </c>
      <c r="D316" s="84" t="str">
        <f>IF('Consulta1'!D4408="","",'Consulta1'!D4408)</f>
        <v/>
      </c>
      <c r="E316" s="82" t="str">
        <f>IF('Consulta1'!E4408="","",'Consulta1'!E4408)</f>
        <v/>
      </c>
      <c r="F316" t="str">
        <f>+IF(E316="","",VLOOKUP(E316,CATALOGO!G:L,6,0))</f>
        <v/>
      </c>
      <c r="G316" s="85" t="str">
        <f>IF('Consulta1'!F4408="","",'Consulta1'!F4408)</f>
        <v/>
      </c>
      <c r="H316" s="85" t="str">
        <f>IF('Consulta1'!G4408="","",'Consulta1'!G4408)</f>
        <v/>
      </c>
      <c r="I316" s="86" t="str">
        <f>IF('Consulta1'!H4408="","",'Consulta1'!H4408)</f>
        <v/>
      </c>
      <c r="J316" t="str">
        <f t="shared" si="4"/>
        <v/>
      </c>
      <c r="K316" t="str">
        <f>+IF(E316="","",VLOOKUP(E316,CATALOGO!G:I,2,0))</f>
        <v/>
      </c>
      <c r="L316" t="str">
        <f>+IF(E316="","",VLOOKUP(E316,CATALOGO!G:I,3,0))</f>
        <v/>
      </c>
      <c r="M316" s="87" t="str">
        <f>IF('Consulta1'!I4408="","",'Consulta1'!I4408)</f>
        <v/>
      </c>
      <c r="N316" s="88" t="str">
        <f>IF('Consulta1'!J4408="","",'Consulta1'!J4408)</f>
        <v/>
      </c>
    </row>
    <row r="317" spans="1:14" ht="18.75" x14ac:dyDescent="0.25">
      <c r="A317" s="82" t="str">
        <f>IF('Consulta1'!A4409="","",'Consulta1'!A4409)</f>
        <v/>
      </c>
      <c r="B317" s="82" t="str">
        <f>IF('Consulta1'!B4409="","",'Consulta1'!B4409)</f>
        <v/>
      </c>
      <c r="C317" s="83" t="str">
        <f>IF('Consulta1'!C4409="","",'Consulta1'!C4409)</f>
        <v/>
      </c>
      <c r="D317" s="84" t="str">
        <f>IF('Consulta1'!D4409="","",'Consulta1'!D4409)</f>
        <v/>
      </c>
      <c r="E317" s="82" t="str">
        <f>IF('Consulta1'!E4409="","",'Consulta1'!E4409)</f>
        <v/>
      </c>
      <c r="F317" t="str">
        <f>+IF(E317="","",VLOOKUP(E317,CATALOGO!G:L,6,0))</f>
        <v/>
      </c>
      <c r="G317" s="85" t="str">
        <f>IF('Consulta1'!F4409="","",'Consulta1'!F4409)</f>
        <v/>
      </c>
      <c r="H317" s="85" t="str">
        <f>IF('Consulta1'!G4409="","",'Consulta1'!G4409)</f>
        <v/>
      </c>
      <c r="I317" s="86" t="str">
        <f>IF('Consulta1'!H4409="","",'Consulta1'!H4409)</f>
        <v/>
      </c>
      <c r="J317" t="str">
        <f t="shared" si="4"/>
        <v/>
      </c>
      <c r="K317" t="str">
        <f>+IF(E317="","",VLOOKUP(E317,CATALOGO!G:I,2,0))</f>
        <v/>
      </c>
      <c r="L317" t="str">
        <f>+IF(E317="","",VLOOKUP(E317,CATALOGO!G:I,3,0))</f>
        <v/>
      </c>
      <c r="M317" s="87" t="str">
        <f>IF('Consulta1'!I4409="","",'Consulta1'!I4409)</f>
        <v/>
      </c>
      <c r="N317" s="88" t="str">
        <f>IF('Consulta1'!J4409="","",'Consulta1'!J4409)</f>
        <v/>
      </c>
    </row>
    <row r="318" spans="1:14" ht="18.75" x14ac:dyDescent="0.25">
      <c r="A318" s="82" t="str">
        <f>IF('Consulta1'!A4410="","",'Consulta1'!A4410)</f>
        <v/>
      </c>
      <c r="B318" s="82" t="str">
        <f>IF('Consulta1'!B4410="","",'Consulta1'!B4410)</f>
        <v/>
      </c>
      <c r="C318" s="83" t="str">
        <f>IF('Consulta1'!C4410="","",'Consulta1'!C4410)</f>
        <v/>
      </c>
      <c r="D318" s="84" t="str">
        <f>IF('Consulta1'!D4410="","",'Consulta1'!D4410)</f>
        <v/>
      </c>
      <c r="E318" s="82" t="str">
        <f>IF('Consulta1'!E4410="","",'Consulta1'!E4410)</f>
        <v/>
      </c>
      <c r="F318" t="str">
        <f>+IF(E318="","",VLOOKUP(E318,CATALOGO!G:L,6,0))</f>
        <v/>
      </c>
      <c r="G318" s="85" t="str">
        <f>IF('Consulta1'!F4410="","",'Consulta1'!F4410)</f>
        <v/>
      </c>
      <c r="H318" s="85" t="str">
        <f>IF('Consulta1'!G4410="","",'Consulta1'!G4410)</f>
        <v/>
      </c>
      <c r="I318" s="86" t="str">
        <f>IF('Consulta1'!H4410="","",'Consulta1'!H4410)</f>
        <v/>
      </c>
      <c r="J318" t="str">
        <f t="shared" si="4"/>
        <v/>
      </c>
      <c r="K318" t="str">
        <f>+IF(E318="","",VLOOKUP(E318,CATALOGO!G:I,2,0))</f>
        <v/>
      </c>
      <c r="L318" t="str">
        <f>+IF(E318="","",VLOOKUP(E318,CATALOGO!G:I,3,0))</f>
        <v/>
      </c>
      <c r="M318" s="87" t="str">
        <f>IF('Consulta1'!I4410="","",'Consulta1'!I4410)</f>
        <v/>
      </c>
      <c r="N318" s="88" t="str">
        <f>IF('Consulta1'!J4410="","",'Consulta1'!J4410)</f>
        <v/>
      </c>
    </row>
    <row r="319" spans="1:14" ht="18.75" x14ac:dyDescent="0.25">
      <c r="A319" s="82" t="str">
        <f>IF('Consulta1'!A4411="","",'Consulta1'!A4411)</f>
        <v/>
      </c>
      <c r="B319" s="82" t="str">
        <f>IF('Consulta1'!B4411="","",'Consulta1'!B4411)</f>
        <v/>
      </c>
      <c r="C319" s="83" t="str">
        <f>IF('Consulta1'!C4411="","",'Consulta1'!C4411)</f>
        <v/>
      </c>
      <c r="D319" s="84" t="str">
        <f>IF('Consulta1'!D4411="","",'Consulta1'!D4411)</f>
        <v/>
      </c>
      <c r="E319" s="82" t="str">
        <f>IF('Consulta1'!E4411="","",'Consulta1'!E4411)</f>
        <v/>
      </c>
      <c r="F319" t="str">
        <f>+IF(E319="","",VLOOKUP(E319,CATALOGO!G:L,6,0))</f>
        <v/>
      </c>
      <c r="G319" s="85" t="str">
        <f>IF('Consulta1'!F4411="","",'Consulta1'!F4411)</f>
        <v/>
      </c>
      <c r="H319" s="85" t="str">
        <f>IF('Consulta1'!G4411="","",'Consulta1'!G4411)</f>
        <v/>
      </c>
      <c r="I319" s="86" t="str">
        <f>IF('Consulta1'!H4411="","",'Consulta1'!H4411)</f>
        <v/>
      </c>
      <c r="J319" t="str">
        <f t="shared" si="4"/>
        <v/>
      </c>
      <c r="K319" t="str">
        <f>+IF(E319="","",VLOOKUP(E319,CATALOGO!G:I,2,0))</f>
        <v/>
      </c>
      <c r="L319" t="str">
        <f>+IF(E319="","",VLOOKUP(E319,CATALOGO!G:I,3,0))</f>
        <v/>
      </c>
      <c r="M319" s="87" t="str">
        <f>IF('Consulta1'!I4411="","",'Consulta1'!I4411)</f>
        <v/>
      </c>
      <c r="N319" s="88" t="str">
        <f>IF('Consulta1'!J4411="","",'Consulta1'!J4411)</f>
        <v/>
      </c>
    </row>
    <row r="320" spans="1:14" ht="18.75" x14ac:dyDescent="0.25">
      <c r="A320" s="82" t="str">
        <f>IF('Consulta1'!A4412="","",'Consulta1'!A4412)</f>
        <v/>
      </c>
      <c r="B320" s="82" t="str">
        <f>IF('Consulta1'!B4412="","",'Consulta1'!B4412)</f>
        <v/>
      </c>
      <c r="C320" s="83" t="str">
        <f>IF('Consulta1'!C4412="","",'Consulta1'!C4412)</f>
        <v/>
      </c>
      <c r="D320" s="84" t="str">
        <f>IF('Consulta1'!D4412="","",'Consulta1'!D4412)</f>
        <v/>
      </c>
      <c r="E320" s="82" t="str">
        <f>IF('Consulta1'!E4412="","",'Consulta1'!E4412)</f>
        <v/>
      </c>
      <c r="F320" t="str">
        <f>+IF(E320="","",VLOOKUP(E320,CATALOGO!G:L,6,0))</f>
        <v/>
      </c>
      <c r="G320" s="85" t="str">
        <f>IF('Consulta1'!F4412="","",'Consulta1'!F4412)</f>
        <v/>
      </c>
      <c r="H320" s="85" t="str">
        <f>IF('Consulta1'!G4412="","",'Consulta1'!G4412)</f>
        <v/>
      </c>
      <c r="I320" s="86" t="str">
        <f>IF('Consulta1'!H4412="","",'Consulta1'!H4412)</f>
        <v/>
      </c>
      <c r="J320" t="str">
        <f t="shared" si="4"/>
        <v/>
      </c>
      <c r="K320" t="str">
        <f>+IF(E320="","",VLOOKUP(E320,CATALOGO!G:I,2,0))</f>
        <v/>
      </c>
      <c r="L320" t="str">
        <f>+IF(E320="","",VLOOKUP(E320,CATALOGO!G:I,3,0))</f>
        <v/>
      </c>
      <c r="M320" s="87" t="str">
        <f>IF('Consulta1'!I4412="","",'Consulta1'!I4412)</f>
        <v/>
      </c>
      <c r="N320" s="88" t="str">
        <f>IF('Consulta1'!J4412="","",'Consulta1'!J4412)</f>
        <v/>
      </c>
    </row>
    <row r="321" spans="1:14" ht="18.75" x14ac:dyDescent="0.25">
      <c r="A321" s="82" t="str">
        <f>IF('Consulta1'!A4413="","",'Consulta1'!A4413)</f>
        <v/>
      </c>
      <c r="B321" s="82" t="str">
        <f>IF('Consulta1'!B4413="","",'Consulta1'!B4413)</f>
        <v/>
      </c>
      <c r="C321" s="83" t="str">
        <f>IF('Consulta1'!C4413="","",'Consulta1'!C4413)</f>
        <v/>
      </c>
      <c r="D321" s="84" t="str">
        <f>IF('Consulta1'!D4413="","",'Consulta1'!D4413)</f>
        <v/>
      </c>
      <c r="E321" s="82" t="str">
        <f>IF('Consulta1'!E4413="","",'Consulta1'!E4413)</f>
        <v/>
      </c>
      <c r="F321" t="str">
        <f>+IF(E321="","",VLOOKUP(E321,CATALOGO!G:L,6,0))</f>
        <v/>
      </c>
      <c r="G321" s="85" t="str">
        <f>IF('Consulta1'!F4413="","",'Consulta1'!F4413)</f>
        <v/>
      </c>
      <c r="H321" s="85" t="str">
        <f>IF('Consulta1'!G4413="","",'Consulta1'!G4413)</f>
        <v/>
      </c>
      <c r="I321" s="86" t="str">
        <f>IF('Consulta1'!H4413="","",'Consulta1'!H4413)</f>
        <v/>
      </c>
      <c r="J321" t="str">
        <f t="shared" si="4"/>
        <v/>
      </c>
      <c r="K321" t="str">
        <f>+IF(E321="","",VLOOKUP(E321,CATALOGO!G:I,2,0))</f>
        <v/>
      </c>
      <c r="L321" t="str">
        <f>+IF(E321="","",VLOOKUP(E321,CATALOGO!G:I,3,0))</f>
        <v/>
      </c>
      <c r="M321" s="87" t="str">
        <f>IF('Consulta1'!I4413="","",'Consulta1'!I4413)</f>
        <v/>
      </c>
      <c r="N321" s="88" t="str">
        <f>IF('Consulta1'!J4413="","",'Consulta1'!J4413)</f>
        <v/>
      </c>
    </row>
    <row r="322" spans="1:14" ht="18.75" x14ac:dyDescent="0.25">
      <c r="A322" s="82" t="str">
        <f>IF('Consulta1'!A4414="","",'Consulta1'!A4414)</f>
        <v/>
      </c>
      <c r="B322" s="82" t="str">
        <f>IF('Consulta1'!B4414="","",'Consulta1'!B4414)</f>
        <v/>
      </c>
      <c r="C322" s="83" t="str">
        <f>IF('Consulta1'!C4414="","",'Consulta1'!C4414)</f>
        <v/>
      </c>
      <c r="D322" s="84" t="str">
        <f>IF('Consulta1'!D4414="","",'Consulta1'!D4414)</f>
        <v/>
      </c>
      <c r="E322" s="82" t="str">
        <f>IF('Consulta1'!E4414="","",'Consulta1'!E4414)</f>
        <v/>
      </c>
      <c r="F322" t="str">
        <f>+IF(E322="","",VLOOKUP(E322,CATALOGO!G:L,6,0))</f>
        <v/>
      </c>
      <c r="G322" s="85" t="str">
        <f>IF('Consulta1'!F4414="","",'Consulta1'!F4414)</f>
        <v/>
      </c>
      <c r="H322" s="85" t="str">
        <f>IF('Consulta1'!G4414="","",'Consulta1'!G4414)</f>
        <v/>
      </c>
      <c r="I322" s="86" t="str">
        <f>IF('Consulta1'!H4414="","",'Consulta1'!H4414)</f>
        <v/>
      </c>
      <c r="J322" t="str">
        <f t="shared" si="4"/>
        <v/>
      </c>
      <c r="K322" t="str">
        <f>+IF(E322="","",VLOOKUP(E322,CATALOGO!G:I,2,0))</f>
        <v/>
      </c>
      <c r="L322" t="str">
        <f>+IF(E322="","",VLOOKUP(E322,CATALOGO!G:I,3,0))</f>
        <v/>
      </c>
      <c r="M322" s="87" t="str">
        <f>IF('Consulta1'!I4414="","",'Consulta1'!I4414)</f>
        <v/>
      </c>
      <c r="N322" s="88" t="str">
        <f>IF('Consulta1'!J4414="","",'Consulta1'!J4414)</f>
        <v/>
      </c>
    </row>
    <row r="323" spans="1:14" ht="18.75" x14ac:dyDescent="0.25">
      <c r="A323" s="82" t="str">
        <f>IF('Consulta1'!A4415="","",'Consulta1'!A4415)</f>
        <v/>
      </c>
      <c r="B323" s="82" t="str">
        <f>IF('Consulta1'!B4415="","",'Consulta1'!B4415)</f>
        <v/>
      </c>
      <c r="C323" s="83" t="str">
        <f>IF('Consulta1'!C4415="","",'Consulta1'!C4415)</f>
        <v/>
      </c>
      <c r="D323" s="84" t="str">
        <f>IF('Consulta1'!D4415="","",'Consulta1'!D4415)</f>
        <v/>
      </c>
      <c r="E323" s="82" t="str">
        <f>IF('Consulta1'!E4415="","",'Consulta1'!E4415)</f>
        <v/>
      </c>
      <c r="F323" t="str">
        <f>+IF(E323="","",VLOOKUP(E323,CATALOGO!G:L,6,0))</f>
        <v/>
      </c>
      <c r="G323" s="85" t="str">
        <f>IF('Consulta1'!F4415="","",'Consulta1'!F4415)</f>
        <v/>
      </c>
      <c r="H323" s="85" t="str">
        <f>IF('Consulta1'!G4415="","",'Consulta1'!G4415)</f>
        <v/>
      </c>
      <c r="I323" s="86" t="str">
        <f>IF('Consulta1'!H4415="","",'Consulta1'!H4415)</f>
        <v/>
      </c>
      <c r="J323" t="str">
        <f t="shared" ref="J323:J386" si="5">+IF(E323="","",WEEKNUM(I323))</f>
        <v/>
      </c>
      <c r="K323" t="str">
        <f>+IF(E323="","",VLOOKUP(E323,CATALOGO!G:I,2,0))</f>
        <v/>
      </c>
      <c r="L323" t="str">
        <f>+IF(E323="","",VLOOKUP(E323,CATALOGO!G:I,3,0))</f>
        <v/>
      </c>
      <c r="M323" s="87" t="str">
        <f>IF('Consulta1'!I4415="","",'Consulta1'!I4415)</f>
        <v/>
      </c>
      <c r="N323" s="88" t="str">
        <f>IF('Consulta1'!J4415="","",'Consulta1'!J4415)</f>
        <v/>
      </c>
    </row>
    <row r="324" spans="1:14" ht="18.75" x14ac:dyDescent="0.25">
      <c r="A324" s="82" t="str">
        <f>IF('Consulta1'!A4416="","",'Consulta1'!A4416)</f>
        <v/>
      </c>
      <c r="B324" s="82" t="str">
        <f>IF('Consulta1'!B4416="","",'Consulta1'!B4416)</f>
        <v/>
      </c>
      <c r="C324" s="83" t="str">
        <f>IF('Consulta1'!C4416="","",'Consulta1'!C4416)</f>
        <v/>
      </c>
      <c r="D324" s="84" t="str">
        <f>IF('Consulta1'!D4416="","",'Consulta1'!D4416)</f>
        <v/>
      </c>
      <c r="E324" s="82" t="str">
        <f>IF('Consulta1'!E4416="","",'Consulta1'!E4416)</f>
        <v/>
      </c>
      <c r="F324" t="str">
        <f>+IF(E324="","",VLOOKUP(E324,CATALOGO!G:L,6,0))</f>
        <v/>
      </c>
      <c r="G324" s="85" t="str">
        <f>IF('Consulta1'!F4416="","",'Consulta1'!F4416)</f>
        <v/>
      </c>
      <c r="H324" s="85" t="str">
        <f>IF('Consulta1'!G4416="","",'Consulta1'!G4416)</f>
        <v/>
      </c>
      <c r="I324" s="86" t="str">
        <f>IF('Consulta1'!H4416="","",'Consulta1'!H4416)</f>
        <v/>
      </c>
      <c r="J324" t="str">
        <f t="shared" si="5"/>
        <v/>
      </c>
      <c r="K324" t="str">
        <f>+IF(E324="","",VLOOKUP(E324,CATALOGO!G:I,2,0))</f>
        <v/>
      </c>
      <c r="L324" t="str">
        <f>+IF(E324="","",VLOOKUP(E324,CATALOGO!G:I,3,0))</f>
        <v/>
      </c>
      <c r="M324" s="87" t="str">
        <f>IF('Consulta1'!I4416="","",'Consulta1'!I4416)</f>
        <v/>
      </c>
      <c r="N324" s="88" t="str">
        <f>IF('Consulta1'!J4416="","",'Consulta1'!J4416)</f>
        <v/>
      </c>
    </row>
    <row r="325" spans="1:14" ht="18.75" x14ac:dyDescent="0.25">
      <c r="A325" s="82" t="str">
        <f>IF('Consulta1'!A4417="","",'Consulta1'!A4417)</f>
        <v/>
      </c>
      <c r="B325" s="82" t="str">
        <f>IF('Consulta1'!B4417="","",'Consulta1'!B4417)</f>
        <v/>
      </c>
      <c r="C325" s="83" t="str">
        <f>IF('Consulta1'!C4417="","",'Consulta1'!C4417)</f>
        <v/>
      </c>
      <c r="D325" s="84" t="str">
        <f>IF('Consulta1'!D4417="","",'Consulta1'!D4417)</f>
        <v/>
      </c>
      <c r="E325" s="82" t="str">
        <f>IF('Consulta1'!E4417="","",'Consulta1'!E4417)</f>
        <v/>
      </c>
      <c r="F325" t="str">
        <f>+IF(E325="","",VLOOKUP(E325,CATALOGO!G:L,6,0))</f>
        <v/>
      </c>
      <c r="G325" s="85" t="str">
        <f>IF('Consulta1'!F4417="","",'Consulta1'!F4417)</f>
        <v/>
      </c>
      <c r="H325" s="85" t="str">
        <f>IF('Consulta1'!G4417="","",'Consulta1'!G4417)</f>
        <v/>
      </c>
      <c r="I325" s="86" t="str">
        <f>IF('Consulta1'!H4417="","",'Consulta1'!H4417)</f>
        <v/>
      </c>
      <c r="J325" t="str">
        <f t="shared" si="5"/>
        <v/>
      </c>
      <c r="K325" t="str">
        <f>+IF(E325="","",VLOOKUP(E325,CATALOGO!G:I,2,0))</f>
        <v/>
      </c>
      <c r="L325" t="str">
        <f>+IF(E325="","",VLOOKUP(E325,CATALOGO!G:I,3,0))</f>
        <v/>
      </c>
      <c r="M325" s="87" t="str">
        <f>IF('Consulta1'!I4417="","",'Consulta1'!I4417)</f>
        <v/>
      </c>
      <c r="N325" s="88" t="str">
        <f>IF('Consulta1'!J4417="","",'Consulta1'!J4417)</f>
        <v/>
      </c>
    </row>
    <row r="326" spans="1:14" ht="18.75" x14ac:dyDescent="0.25">
      <c r="A326" s="82" t="str">
        <f>IF('Consulta1'!A4418="","",'Consulta1'!A4418)</f>
        <v/>
      </c>
      <c r="B326" s="82" t="str">
        <f>IF('Consulta1'!B4418="","",'Consulta1'!B4418)</f>
        <v/>
      </c>
      <c r="C326" s="83" t="str">
        <f>IF('Consulta1'!C4418="","",'Consulta1'!C4418)</f>
        <v/>
      </c>
      <c r="D326" s="84" t="str">
        <f>IF('Consulta1'!D4418="","",'Consulta1'!D4418)</f>
        <v/>
      </c>
      <c r="E326" s="82" t="str">
        <f>IF('Consulta1'!E4418="","",'Consulta1'!E4418)</f>
        <v/>
      </c>
      <c r="F326" t="str">
        <f>+IF(E326="","",VLOOKUP(E326,CATALOGO!G:L,6,0))</f>
        <v/>
      </c>
      <c r="G326" s="85" t="str">
        <f>IF('Consulta1'!F4418="","",'Consulta1'!F4418)</f>
        <v/>
      </c>
      <c r="H326" s="85" t="str">
        <f>IF('Consulta1'!G4418="","",'Consulta1'!G4418)</f>
        <v/>
      </c>
      <c r="I326" s="86" t="str">
        <f>IF('Consulta1'!H4418="","",'Consulta1'!H4418)</f>
        <v/>
      </c>
      <c r="J326" t="str">
        <f t="shared" si="5"/>
        <v/>
      </c>
      <c r="K326" t="str">
        <f>+IF(E326="","",VLOOKUP(E326,CATALOGO!G:I,2,0))</f>
        <v/>
      </c>
      <c r="L326" t="str">
        <f>+IF(E326="","",VLOOKUP(E326,CATALOGO!G:I,3,0))</f>
        <v/>
      </c>
      <c r="M326" s="87" t="str">
        <f>IF('Consulta1'!I4418="","",'Consulta1'!I4418)</f>
        <v/>
      </c>
      <c r="N326" s="88" t="str">
        <f>IF('Consulta1'!J4418="","",'Consulta1'!J4418)</f>
        <v/>
      </c>
    </row>
    <row r="327" spans="1:14" ht="18.75" x14ac:dyDescent="0.25">
      <c r="A327" s="82" t="str">
        <f>IF('Consulta1'!A4419="","",'Consulta1'!A4419)</f>
        <v/>
      </c>
      <c r="B327" s="82" t="str">
        <f>IF('Consulta1'!B4419="","",'Consulta1'!B4419)</f>
        <v/>
      </c>
      <c r="C327" s="83" t="str">
        <f>IF('Consulta1'!C4419="","",'Consulta1'!C4419)</f>
        <v/>
      </c>
      <c r="D327" s="84" t="str">
        <f>IF('Consulta1'!D4419="","",'Consulta1'!D4419)</f>
        <v/>
      </c>
      <c r="E327" s="82" t="str">
        <f>IF('Consulta1'!E4419="","",'Consulta1'!E4419)</f>
        <v/>
      </c>
      <c r="F327" t="str">
        <f>+IF(E327="","",VLOOKUP(E327,CATALOGO!G:L,6,0))</f>
        <v/>
      </c>
      <c r="G327" s="85" t="str">
        <f>IF('Consulta1'!F4419="","",'Consulta1'!F4419)</f>
        <v/>
      </c>
      <c r="H327" s="85" t="str">
        <f>IF('Consulta1'!G4419="","",'Consulta1'!G4419)</f>
        <v/>
      </c>
      <c r="I327" s="86" t="str">
        <f>IF('Consulta1'!H4419="","",'Consulta1'!H4419)</f>
        <v/>
      </c>
      <c r="J327" t="str">
        <f t="shared" si="5"/>
        <v/>
      </c>
      <c r="K327" t="str">
        <f>+IF(E327="","",VLOOKUP(E327,CATALOGO!G:I,2,0))</f>
        <v/>
      </c>
      <c r="L327" t="str">
        <f>+IF(E327="","",VLOOKUP(E327,CATALOGO!G:I,3,0))</f>
        <v/>
      </c>
      <c r="M327" s="87" t="str">
        <f>IF('Consulta1'!I4419="","",'Consulta1'!I4419)</f>
        <v/>
      </c>
      <c r="N327" s="88" t="str">
        <f>IF('Consulta1'!J4419="","",'Consulta1'!J4419)</f>
        <v/>
      </c>
    </row>
    <row r="328" spans="1:14" ht="18.75" x14ac:dyDescent="0.25">
      <c r="A328" s="82" t="str">
        <f>IF('Consulta1'!A4420="","",'Consulta1'!A4420)</f>
        <v/>
      </c>
      <c r="B328" s="82" t="str">
        <f>IF('Consulta1'!B4420="","",'Consulta1'!B4420)</f>
        <v/>
      </c>
      <c r="C328" s="83" t="str">
        <f>IF('Consulta1'!C4420="","",'Consulta1'!C4420)</f>
        <v/>
      </c>
      <c r="D328" s="84" t="str">
        <f>IF('Consulta1'!D4420="","",'Consulta1'!D4420)</f>
        <v/>
      </c>
      <c r="E328" s="82" t="str">
        <f>IF('Consulta1'!E4420="","",'Consulta1'!E4420)</f>
        <v/>
      </c>
      <c r="F328" t="str">
        <f>+IF(E328="","",VLOOKUP(E328,CATALOGO!G:L,6,0))</f>
        <v/>
      </c>
      <c r="G328" s="85" t="str">
        <f>IF('Consulta1'!F4420="","",'Consulta1'!F4420)</f>
        <v/>
      </c>
      <c r="H328" s="85" t="str">
        <f>IF('Consulta1'!G4420="","",'Consulta1'!G4420)</f>
        <v/>
      </c>
      <c r="I328" s="86" t="str">
        <f>IF('Consulta1'!H4420="","",'Consulta1'!H4420)</f>
        <v/>
      </c>
      <c r="J328" t="str">
        <f t="shared" si="5"/>
        <v/>
      </c>
      <c r="K328" t="str">
        <f>+IF(E328="","",VLOOKUP(E328,CATALOGO!G:I,2,0))</f>
        <v/>
      </c>
      <c r="L328" t="str">
        <f>+IF(E328="","",VLOOKUP(E328,CATALOGO!G:I,3,0))</f>
        <v/>
      </c>
      <c r="M328" s="87" t="str">
        <f>IF('Consulta1'!I4420="","",'Consulta1'!I4420)</f>
        <v/>
      </c>
      <c r="N328" s="88" t="str">
        <f>IF('Consulta1'!J4420="","",'Consulta1'!J4420)</f>
        <v/>
      </c>
    </row>
    <row r="329" spans="1:14" ht="18.75" x14ac:dyDescent="0.25">
      <c r="A329" s="82" t="str">
        <f>IF('Consulta1'!A4421="","",'Consulta1'!A4421)</f>
        <v/>
      </c>
      <c r="B329" s="82" t="str">
        <f>IF('Consulta1'!B4421="","",'Consulta1'!B4421)</f>
        <v/>
      </c>
      <c r="C329" s="83" t="str">
        <f>IF('Consulta1'!C4421="","",'Consulta1'!C4421)</f>
        <v/>
      </c>
      <c r="D329" s="84" t="str">
        <f>IF('Consulta1'!D4421="","",'Consulta1'!D4421)</f>
        <v/>
      </c>
      <c r="E329" s="82" t="str">
        <f>IF('Consulta1'!E4421="","",'Consulta1'!E4421)</f>
        <v/>
      </c>
      <c r="F329" t="str">
        <f>+IF(E329="","",VLOOKUP(E329,CATALOGO!G:L,6,0))</f>
        <v/>
      </c>
      <c r="G329" s="85" t="str">
        <f>IF('Consulta1'!F4421="","",'Consulta1'!F4421)</f>
        <v/>
      </c>
      <c r="H329" s="85" t="str">
        <f>IF('Consulta1'!G4421="","",'Consulta1'!G4421)</f>
        <v/>
      </c>
      <c r="I329" s="86" t="str">
        <f>IF('Consulta1'!H4421="","",'Consulta1'!H4421)</f>
        <v/>
      </c>
      <c r="J329" t="str">
        <f t="shared" si="5"/>
        <v/>
      </c>
      <c r="K329" t="str">
        <f>+IF(E329="","",VLOOKUP(E329,CATALOGO!G:I,2,0))</f>
        <v/>
      </c>
      <c r="L329" t="str">
        <f>+IF(E329="","",VLOOKUP(E329,CATALOGO!G:I,3,0))</f>
        <v/>
      </c>
      <c r="M329" s="87" t="str">
        <f>IF('Consulta1'!I4421="","",'Consulta1'!I4421)</f>
        <v/>
      </c>
      <c r="N329" s="88" t="str">
        <f>IF('Consulta1'!J4421="","",'Consulta1'!J4421)</f>
        <v/>
      </c>
    </row>
    <row r="330" spans="1:14" ht="18.75" x14ac:dyDescent="0.25">
      <c r="A330" s="82" t="str">
        <f>IF('Consulta1'!A4422="","",'Consulta1'!A4422)</f>
        <v/>
      </c>
      <c r="B330" s="82" t="str">
        <f>IF('Consulta1'!B4422="","",'Consulta1'!B4422)</f>
        <v/>
      </c>
      <c r="C330" s="83" t="str">
        <f>IF('Consulta1'!C4422="","",'Consulta1'!C4422)</f>
        <v/>
      </c>
      <c r="D330" s="84" t="str">
        <f>IF('Consulta1'!D4422="","",'Consulta1'!D4422)</f>
        <v/>
      </c>
      <c r="E330" s="82" t="str">
        <f>IF('Consulta1'!E4422="","",'Consulta1'!E4422)</f>
        <v/>
      </c>
      <c r="F330" t="str">
        <f>+IF(E330="","",VLOOKUP(E330,CATALOGO!G:L,6,0))</f>
        <v/>
      </c>
      <c r="G330" s="85" t="str">
        <f>IF('Consulta1'!F4422="","",'Consulta1'!F4422)</f>
        <v/>
      </c>
      <c r="H330" s="85" t="str">
        <f>IF('Consulta1'!G4422="","",'Consulta1'!G4422)</f>
        <v/>
      </c>
      <c r="I330" s="86" t="str">
        <f>IF('Consulta1'!H4422="","",'Consulta1'!H4422)</f>
        <v/>
      </c>
      <c r="J330" t="str">
        <f t="shared" si="5"/>
        <v/>
      </c>
      <c r="K330" t="str">
        <f>+IF(E330="","",VLOOKUP(E330,CATALOGO!G:I,2,0))</f>
        <v/>
      </c>
      <c r="L330" t="str">
        <f>+IF(E330="","",VLOOKUP(E330,CATALOGO!G:I,3,0))</f>
        <v/>
      </c>
      <c r="M330" s="87" t="str">
        <f>IF('Consulta1'!I4422="","",'Consulta1'!I4422)</f>
        <v/>
      </c>
      <c r="N330" s="88" t="str">
        <f>IF('Consulta1'!J4422="","",'Consulta1'!J4422)</f>
        <v/>
      </c>
    </row>
    <row r="331" spans="1:14" ht="18.75" x14ac:dyDescent="0.25">
      <c r="A331" s="82" t="str">
        <f>IF('Consulta1'!A4423="","",'Consulta1'!A4423)</f>
        <v/>
      </c>
      <c r="B331" s="82" t="str">
        <f>IF('Consulta1'!B4423="","",'Consulta1'!B4423)</f>
        <v/>
      </c>
      <c r="C331" s="83" t="str">
        <f>IF('Consulta1'!C4423="","",'Consulta1'!C4423)</f>
        <v/>
      </c>
      <c r="D331" s="84" t="str">
        <f>IF('Consulta1'!D4423="","",'Consulta1'!D4423)</f>
        <v/>
      </c>
      <c r="E331" s="82" t="str">
        <f>IF('Consulta1'!E4423="","",'Consulta1'!E4423)</f>
        <v/>
      </c>
      <c r="F331" t="str">
        <f>+IF(E331="","",VLOOKUP(E331,CATALOGO!G:L,6,0))</f>
        <v/>
      </c>
      <c r="G331" s="85" t="str">
        <f>IF('Consulta1'!F4423="","",'Consulta1'!F4423)</f>
        <v/>
      </c>
      <c r="H331" s="85" t="str">
        <f>IF('Consulta1'!G4423="","",'Consulta1'!G4423)</f>
        <v/>
      </c>
      <c r="I331" s="86" t="str">
        <f>IF('Consulta1'!H4423="","",'Consulta1'!H4423)</f>
        <v/>
      </c>
      <c r="J331" t="str">
        <f t="shared" si="5"/>
        <v/>
      </c>
      <c r="K331" t="str">
        <f>+IF(E331="","",VLOOKUP(E331,CATALOGO!G:I,2,0))</f>
        <v/>
      </c>
      <c r="L331" t="str">
        <f>+IF(E331="","",VLOOKUP(E331,CATALOGO!G:I,3,0))</f>
        <v/>
      </c>
      <c r="M331" s="87" t="str">
        <f>IF('Consulta1'!I4423="","",'Consulta1'!I4423)</f>
        <v/>
      </c>
      <c r="N331" s="88" t="str">
        <f>IF('Consulta1'!J4423="","",'Consulta1'!J4423)</f>
        <v/>
      </c>
    </row>
    <row r="332" spans="1:14" ht="18.75" x14ac:dyDescent="0.25">
      <c r="A332" s="82" t="str">
        <f>IF('Consulta1'!A4424="","",'Consulta1'!A4424)</f>
        <v/>
      </c>
      <c r="B332" s="82" t="str">
        <f>IF('Consulta1'!B4424="","",'Consulta1'!B4424)</f>
        <v/>
      </c>
      <c r="C332" s="83" t="str">
        <f>IF('Consulta1'!C4424="","",'Consulta1'!C4424)</f>
        <v/>
      </c>
      <c r="D332" s="84" t="str">
        <f>IF('Consulta1'!D4424="","",'Consulta1'!D4424)</f>
        <v/>
      </c>
      <c r="E332" s="82" t="str">
        <f>IF('Consulta1'!E4424="","",'Consulta1'!E4424)</f>
        <v/>
      </c>
      <c r="F332" t="str">
        <f>+IF(E332="","",VLOOKUP(E332,CATALOGO!G:L,6,0))</f>
        <v/>
      </c>
      <c r="G332" s="85" t="str">
        <f>IF('Consulta1'!F4424="","",'Consulta1'!F4424)</f>
        <v/>
      </c>
      <c r="H332" s="85" t="str">
        <f>IF('Consulta1'!G4424="","",'Consulta1'!G4424)</f>
        <v/>
      </c>
      <c r="I332" s="86" t="str">
        <f>IF('Consulta1'!H4424="","",'Consulta1'!H4424)</f>
        <v/>
      </c>
      <c r="J332" t="str">
        <f t="shared" si="5"/>
        <v/>
      </c>
      <c r="K332" t="str">
        <f>+IF(E332="","",VLOOKUP(E332,CATALOGO!G:I,2,0))</f>
        <v/>
      </c>
      <c r="L332" t="str">
        <f>+IF(E332="","",VLOOKUP(E332,CATALOGO!G:I,3,0))</f>
        <v/>
      </c>
      <c r="M332" s="87" t="str">
        <f>IF('Consulta1'!I4424="","",'Consulta1'!I4424)</f>
        <v/>
      </c>
      <c r="N332" s="88" t="str">
        <f>IF('Consulta1'!J4424="","",'Consulta1'!J4424)</f>
        <v/>
      </c>
    </row>
    <row r="333" spans="1:14" ht="18.75" x14ac:dyDescent="0.25">
      <c r="A333" s="82" t="str">
        <f>IF('Consulta1'!A4425="","",'Consulta1'!A4425)</f>
        <v/>
      </c>
      <c r="B333" s="82" t="str">
        <f>IF('Consulta1'!B4425="","",'Consulta1'!B4425)</f>
        <v/>
      </c>
      <c r="C333" s="83" t="str">
        <f>IF('Consulta1'!C4425="","",'Consulta1'!C4425)</f>
        <v/>
      </c>
      <c r="D333" s="84" t="str">
        <f>IF('Consulta1'!D4425="","",'Consulta1'!D4425)</f>
        <v/>
      </c>
      <c r="E333" s="82" t="str">
        <f>IF('Consulta1'!E4425="","",'Consulta1'!E4425)</f>
        <v/>
      </c>
      <c r="F333" t="str">
        <f>+IF(E333="","",VLOOKUP(E333,CATALOGO!G:L,6,0))</f>
        <v/>
      </c>
      <c r="G333" s="85" t="str">
        <f>IF('Consulta1'!F4425="","",'Consulta1'!F4425)</f>
        <v/>
      </c>
      <c r="H333" s="85" t="str">
        <f>IF('Consulta1'!G4425="","",'Consulta1'!G4425)</f>
        <v/>
      </c>
      <c r="I333" s="86" t="str">
        <f>IF('Consulta1'!H4425="","",'Consulta1'!H4425)</f>
        <v/>
      </c>
      <c r="J333" t="str">
        <f t="shared" si="5"/>
        <v/>
      </c>
      <c r="K333" t="str">
        <f>+IF(E333="","",VLOOKUP(E333,CATALOGO!G:I,2,0))</f>
        <v/>
      </c>
      <c r="L333" t="str">
        <f>+IF(E333="","",VLOOKUP(E333,CATALOGO!G:I,3,0))</f>
        <v/>
      </c>
      <c r="M333" s="87" t="str">
        <f>IF('Consulta1'!I4425="","",'Consulta1'!I4425)</f>
        <v/>
      </c>
      <c r="N333" s="88" t="str">
        <f>IF('Consulta1'!J4425="","",'Consulta1'!J4425)</f>
        <v/>
      </c>
    </row>
    <row r="334" spans="1:14" ht="18.75" x14ac:dyDescent="0.25">
      <c r="A334" s="82" t="str">
        <f>IF('Consulta1'!A4426="","",'Consulta1'!A4426)</f>
        <v/>
      </c>
      <c r="B334" s="82" t="str">
        <f>IF('Consulta1'!B4426="","",'Consulta1'!B4426)</f>
        <v/>
      </c>
      <c r="C334" s="83" t="str">
        <f>IF('Consulta1'!C4426="","",'Consulta1'!C4426)</f>
        <v/>
      </c>
      <c r="D334" s="84" t="str">
        <f>IF('Consulta1'!D4426="","",'Consulta1'!D4426)</f>
        <v/>
      </c>
      <c r="E334" s="82" t="str">
        <f>IF('Consulta1'!E4426="","",'Consulta1'!E4426)</f>
        <v/>
      </c>
      <c r="F334" t="str">
        <f>+IF(E334="","",VLOOKUP(E334,CATALOGO!G:L,6,0))</f>
        <v/>
      </c>
      <c r="G334" s="85" t="str">
        <f>IF('Consulta1'!F4426="","",'Consulta1'!F4426)</f>
        <v/>
      </c>
      <c r="H334" s="85" t="str">
        <f>IF('Consulta1'!G4426="","",'Consulta1'!G4426)</f>
        <v/>
      </c>
      <c r="I334" s="86" t="str">
        <f>IF('Consulta1'!H4426="","",'Consulta1'!H4426)</f>
        <v/>
      </c>
      <c r="J334" t="str">
        <f t="shared" si="5"/>
        <v/>
      </c>
      <c r="K334" t="str">
        <f>+IF(E334="","",VLOOKUP(E334,CATALOGO!G:I,2,0))</f>
        <v/>
      </c>
      <c r="L334" t="str">
        <f>+IF(E334="","",VLOOKUP(E334,CATALOGO!G:I,3,0))</f>
        <v/>
      </c>
      <c r="M334" s="87" t="str">
        <f>IF('Consulta1'!I4426="","",'Consulta1'!I4426)</f>
        <v/>
      </c>
      <c r="N334" s="88" t="str">
        <f>IF('Consulta1'!J4426="","",'Consulta1'!J4426)</f>
        <v/>
      </c>
    </row>
    <row r="335" spans="1:14" ht="18.75" x14ac:dyDescent="0.25">
      <c r="A335" s="82" t="str">
        <f>IF('Consulta1'!A4427="","",'Consulta1'!A4427)</f>
        <v/>
      </c>
      <c r="B335" s="82" t="str">
        <f>IF('Consulta1'!B4427="","",'Consulta1'!B4427)</f>
        <v/>
      </c>
      <c r="C335" s="83" t="str">
        <f>IF('Consulta1'!C4427="","",'Consulta1'!C4427)</f>
        <v/>
      </c>
      <c r="D335" s="84" t="str">
        <f>IF('Consulta1'!D4427="","",'Consulta1'!D4427)</f>
        <v/>
      </c>
      <c r="E335" s="82" t="str">
        <f>IF('Consulta1'!E4427="","",'Consulta1'!E4427)</f>
        <v/>
      </c>
      <c r="F335" t="str">
        <f>+IF(E335="","",VLOOKUP(E335,CATALOGO!G:L,6,0))</f>
        <v/>
      </c>
      <c r="G335" s="85" t="str">
        <f>IF('Consulta1'!F4427="","",'Consulta1'!F4427)</f>
        <v/>
      </c>
      <c r="H335" s="85" t="str">
        <f>IF('Consulta1'!G4427="","",'Consulta1'!G4427)</f>
        <v/>
      </c>
      <c r="I335" s="86" t="str">
        <f>IF('Consulta1'!H4427="","",'Consulta1'!H4427)</f>
        <v/>
      </c>
      <c r="J335" t="str">
        <f t="shared" si="5"/>
        <v/>
      </c>
      <c r="K335" t="str">
        <f>+IF(E335="","",VLOOKUP(E335,CATALOGO!G:I,2,0))</f>
        <v/>
      </c>
      <c r="L335" t="str">
        <f>+IF(E335="","",VLOOKUP(E335,CATALOGO!G:I,3,0))</f>
        <v/>
      </c>
      <c r="M335" s="87" t="str">
        <f>IF('Consulta1'!I4427="","",'Consulta1'!I4427)</f>
        <v/>
      </c>
      <c r="N335" s="88" t="str">
        <f>IF('Consulta1'!J4427="","",'Consulta1'!J4427)</f>
        <v/>
      </c>
    </row>
    <row r="336" spans="1:14" ht="18.75" x14ac:dyDescent="0.25">
      <c r="A336" s="82" t="str">
        <f>IF('Consulta1'!A4428="","",'Consulta1'!A4428)</f>
        <v/>
      </c>
      <c r="B336" s="82" t="str">
        <f>IF('Consulta1'!B4428="","",'Consulta1'!B4428)</f>
        <v/>
      </c>
      <c r="C336" s="83" t="str">
        <f>IF('Consulta1'!C4428="","",'Consulta1'!C4428)</f>
        <v/>
      </c>
      <c r="D336" s="84" t="str">
        <f>IF('Consulta1'!D4428="","",'Consulta1'!D4428)</f>
        <v/>
      </c>
      <c r="E336" s="82" t="str">
        <f>IF('Consulta1'!E4428="","",'Consulta1'!E4428)</f>
        <v/>
      </c>
      <c r="F336" t="str">
        <f>+IF(E336="","",VLOOKUP(E336,CATALOGO!G:L,6,0))</f>
        <v/>
      </c>
      <c r="G336" s="85" t="str">
        <f>IF('Consulta1'!F4428="","",'Consulta1'!F4428)</f>
        <v/>
      </c>
      <c r="H336" s="85" t="str">
        <f>IF('Consulta1'!G4428="","",'Consulta1'!G4428)</f>
        <v/>
      </c>
      <c r="I336" s="86" t="str">
        <f>IF('Consulta1'!H4428="","",'Consulta1'!H4428)</f>
        <v/>
      </c>
      <c r="J336" t="str">
        <f t="shared" si="5"/>
        <v/>
      </c>
      <c r="K336" t="str">
        <f>+IF(E336="","",VLOOKUP(E336,CATALOGO!G:I,2,0))</f>
        <v/>
      </c>
      <c r="L336" t="str">
        <f>+IF(E336="","",VLOOKUP(E336,CATALOGO!G:I,3,0))</f>
        <v/>
      </c>
      <c r="M336" s="87" t="str">
        <f>IF('Consulta1'!I4428="","",'Consulta1'!I4428)</f>
        <v/>
      </c>
      <c r="N336" s="88" t="str">
        <f>IF('Consulta1'!J4428="","",'Consulta1'!J4428)</f>
        <v/>
      </c>
    </row>
    <row r="337" spans="1:14" ht="18.75" x14ac:dyDescent="0.25">
      <c r="A337" s="82" t="str">
        <f>IF('Consulta1'!A4429="","",'Consulta1'!A4429)</f>
        <v/>
      </c>
      <c r="B337" s="82" t="str">
        <f>IF('Consulta1'!B4429="","",'Consulta1'!B4429)</f>
        <v/>
      </c>
      <c r="C337" s="83" t="str">
        <f>IF('Consulta1'!C4429="","",'Consulta1'!C4429)</f>
        <v/>
      </c>
      <c r="D337" s="84" t="str">
        <f>IF('Consulta1'!D4429="","",'Consulta1'!D4429)</f>
        <v/>
      </c>
      <c r="E337" s="82" t="str">
        <f>IF('Consulta1'!E4429="","",'Consulta1'!E4429)</f>
        <v/>
      </c>
      <c r="F337" t="str">
        <f>+IF(E337="","",VLOOKUP(E337,CATALOGO!G:L,6,0))</f>
        <v/>
      </c>
      <c r="G337" s="85" t="str">
        <f>IF('Consulta1'!F4429="","",'Consulta1'!F4429)</f>
        <v/>
      </c>
      <c r="H337" s="85" t="str">
        <f>IF('Consulta1'!G4429="","",'Consulta1'!G4429)</f>
        <v/>
      </c>
      <c r="I337" s="86" t="str">
        <f>IF('Consulta1'!H4429="","",'Consulta1'!H4429)</f>
        <v/>
      </c>
      <c r="J337" t="str">
        <f t="shared" si="5"/>
        <v/>
      </c>
      <c r="K337" t="str">
        <f>+IF(E337="","",VLOOKUP(E337,CATALOGO!G:I,2,0))</f>
        <v/>
      </c>
      <c r="L337" t="str">
        <f>+IF(E337="","",VLOOKUP(E337,CATALOGO!G:I,3,0))</f>
        <v/>
      </c>
      <c r="M337" s="87" t="str">
        <f>IF('Consulta1'!I4429="","",'Consulta1'!I4429)</f>
        <v/>
      </c>
      <c r="N337" s="88" t="str">
        <f>IF('Consulta1'!J4429="","",'Consulta1'!J4429)</f>
        <v/>
      </c>
    </row>
    <row r="338" spans="1:14" ht="18.75" x14ac:dyDescent="0.25">
      <c r="A338" s="82" t="str">
        <f>IF('Consulta1'!A4430="","",'Consulta1'!A4430)</f>
        <v/>
      </c>
      <c r="B338" s="82" t="str">
        <f>IF('Consulta1'!B4430="","",'Consulta1'!B4430)</f>
        <v/>
      </c>
      <c r="C338" s="83" t="str">
        <f>IF('Consulta1'!C4430="","",'Consulta1'!C4430)</f>
        <v/>
      </c>
      <c r="D338" s="84" t="str">
        <f>IF('Consulta1'!D4430="","",'Consulta1'!D4430)</f>
        <v/>
      </c>
      <c r="E338" s="82" t="str">
        <f>IF('Consulta1'!E4430="","",'Consulta1'!E4430)</f>
        <v/>
      </c>
      <c r="F338" t="str">
        <f>+IF(E338="","",VLOOKUP(E338,CATALOGO!G:L,6,0))</f>
        <v/>
      </c>
      <c r="G338" s="85" t="str">
        <f>IF('Consulta1'!F4430="","",'Consulta1'!F4430)</f>
        <v/>
      </c>
      <c r="H338" s="85" t="str">
        <f>IF('Consulta1'!G4430="","",'Consulta1'!G4430)</f>
        <v/>
      </c>
      <c r="I338" s="86" t="str">
        <f>IF('Consulta1'!H4430="","",'Consulta1'!H4430)</f>
        <v/>
      </c>
      <c r="J338" t="str">
        <f t="shared" si="5"/>
        <v/>
      </c>
      <c r="K338" t="str">
        <f>+IF(E338="","",VLOOKUP(E338,CATALOGO!G:I,2,0))</f>
        <v/>
      </c>
      <c r="L338" t="str">
        <f>+IF(E338="","",VLOOKUP(E338,CATALOGO!G:I,3,0))</f>
        <v/>
      </c>
      <c r="M338" s="87" t="str">
        <f>IF('Consulta1'!I4430="","",'Consulta1'!I4430)</f>
        <v/>
      </c>
      <c r="N338" s="88" t="str">
        <f>IF('Consulta1'!J4430="","",'Consulta1'!J4430)</f>
        <v/>
      </c>
    </row>
    <row r="339" spans="1:14" ht="18.75" x14ac:dyDescent="0.25">
      <c r="A339" s="82" t="str">
        <f>IF('Consulta1'!A4431="","",'Consulta1'!A4431)</f>
        <v/>
      </c>
      <c r="B339" s="82" t="str">
        <f>IF('Consulta1'!B4431="","",'Consulta1'!B4431)</f>
        <v/>
      </c>
      <c r="C339" s="83" t="str">
        <f>IF('Consulta1'!C4431="","",'Consulta1'!C4431)</f>
        <v/>
      </c>
      <c r="D339" s="84" t="str">
        <f>IF('Consulta1'!D4431="","",'Consulta1'!D4431)</f>
        <v/>
      </c>
      <c r="E339" s="82" t="str">
        <f>IF('Consulta1'!E4431="","",'Consulta1'!E4431)</f>
        <v/>
      </c>
      <c r="F339" t="str">
        <f>+IF(E339="","",VLOOKUP(E339,CATALOGO!G:L,6,0))</f>
        <v/>
      </c>
      <c r="G339" s="85" t="str">
        <f>IF('Consulta1'!F4431="","",'Consulta1'!F4431)</f>
        <v/>
      </c>
      <c r="H339" s="85" t="str">
        <f>IF('Consulta1'!G4431="","",'Consulta1'!G4431)</f>
        <v/>
      </c>
      <c r="I339" s="86" t="str">
        <f>IF('Consulta1'!H4431="","",'Consulta1'!H4431)</f>
        <v/>
      </c>
      <c r="J339" t="str">
        <f t="shared" si="5"/>
        <v/>
      </c>
      <c r="K339" t="str">
        <f>+IF(E339="","",VLOOKUP(E339,CATALOGO!G:I,2,0))</f>
        <v/>
      </c>
      <c r="L339" t="str">
        <f>+IF(E339="","",VLOOKUP(E339,CATALOGO!G:I,3,0))</f>
        <v/>
      </c>
      <c r="M339" s="87" t="str">
        <f>IF('Consulta1'!I4431="","",'Consulta1'!I4431)</f>
        <v/>
      </c>
      <c r="N339" s="88" t="str">
        <f>IF('Consulta1'!J4431="","",'Consulta1'!J4431)</f>
        <v/>
      </c>
    </row>
    <row r="340" spans="1:14" ht="18.75" x14ac:dyDescent="0.25">
      <c r="A340" s="82" t="str">
        <f>IF('Consulta1'!A4432="","",'Consulta1'!A4432)</f>
        <v/>
      </c>
      <c r="B340" s="82" t="str">
        <f>IF('Consulta1'!B4432="","",'Consulta1'!B4432)</f>
        <v/>
      </c>
      <c r="C340" s="83" t="str">
        <f>IF('Consulta1'!C4432="","",'Consulta1'!C4432)</f>
        <v/>
      </c>
      <c r="D340" s="84" t="str">
        <f>IF('Consulta1'!D4432="","",'Consulta1'!D4432)</f>
        <v/>
      </c>
      <c r="E340" s="82" t="str">
        <f>IF('Consulta1'!E4432="","",'Consulta1'!E4432)</f>
        <v/>
      </c>
      <c r="F340" t="str">
        <f>+IF(E340="","",VLOOKUP(E340,CATALOGO!G:L,6,0))</f>
        <v/>
      </c>
      <c r="G340" s="85" t="str">
        <f>IF('Consulta1'!F4432="","",'Consulta1'!F4432)</f>
        <v/>
      </c>
      <c r="H340" s="85" t="str">
        <f>IF('Consulta1'!G4432="","",'Consulta1'!G4432)</f>
        <v/>
      </c>
      <c r="I340" s="86" t="str">
        <f>IF('Consulta1'!H4432="","",'Consulta1'!H4432)</f>
        <v/>
      </c>
      <c r="J340" t="str">
        <f t="shared" si="5"/>
        <v/>
      </c>
      <c r="K340" t="str">
        <f>+IF(E340="","",VLOOKUP(E340,CATALOGO!G:I,2,0))</f>
        <v/>
      </c>
      <c r="L340" t="str">
        <f>+IF(E340="","",VLOOKUP(E340,CATALOGO!G:I,3,0))</f>
        <v/>
      </c>
      <c r="M340" s="87" t="str">
        <f>IF('Consulta1'!I4432="","",'Consulta1'!I4432)</f>
        <v/>
      </c>
      <c r="N340" s="88" t="str">
        <f>IF('Consulta1'!J4432="","",'Consulta1'!J4432)</f>
        <v/>
      </c>
    </row>
    <row r="341" spans="1:14" ht="18.75" x14ac:dyDescent="0.25">
      <c r="A341" s="82" t="str">
        <f>IF('Consulta1'!A4433="","",'Consulta1'!A4433)</f>
        <v/>
      </c>
      <c r="B341" s="82" t="str">
        <f>IF('Consulta1'!B4433="","",'Consulta1'!B4433)</f>
        <v/>
      </c>
      <c r="C341" s="83" t="str">
        <f>IF('Consulta1'!C4433="","",'Consulta1'!C4433)</f>
        <v/>
      </c>
      <c r="D341" s="84" t="str">
        <f>IF('Consulta1'!D4433="","",'Consulta1'!D4433)</f>
        <v/>
      </c>
      <c r="E341" s="82" t="str">
        <f>IF('Consulta1'!E4433="","",'Consulta1'!E4433)</f>
        <v/>
      </c>
      <c r="F341" t="str">
        <f>+IF(E341="","",VLOOKUP(E341,CATALOGO!G:L,6,0))</f>
        <v/>
      </c>
      <c r="G341" s="85" t="str">
        <f>IF('Consulta1'!F4433="","",'Consulta1'!F4433)</f>
        <v/>
      </c>
      <c r="H341" s="85" t="str">
        <f>IF('Consulta1'!G4433="","",'Consulta1'!G4433)</f>
        <v/>
      </c>
      <c r="I341" s="86" t="str">
        <f>IF('Consulta1'!H4433="","",'Consulta1'!H4433)</f>
        <v/>
      </c>
      <c r="J341" t="str">
        <f t="shared" si="5"/>
        <v/>
      </c>
      <c r="K341" t="str">
        <f>+IF(E341="","",VLOOKUP(E341,CATALOGO!G:I,2,0))</f>
        <v/>
      </c>
      <c r="L341" t="str">
        <f>+IF(E341="","",VLOOKUP(E341,CATALOGO!G:I,3,0))</f>
        <v/>
      </c>
      <c r="M341" s="87" t="str">
        <f>IF('Consulta1'!I4433="","",'Consulta1'!I4433)</f>
        <v/>
      </c>
      <c r="N341" s="88" t="str">
        <f>IF('Consulta1'!J4433="","",'Consulta1'!J4433)</f>
        <v/>
      </c>
    </row>
    <row r="342" spans="1:14" ht="18.75" x14ac:dyDescent="0.25">
      <c r="A342" s="82" t="str">
        <f>IF('Consulta1'!A4434="","",'Consulta1'!A4434)</f>
        <v/>
      </c>
      <c r="B342" s="82" t="str">
        <f>IF('Consulta1'!B4434="","",'Consulta1'!B4434)</f>
        <v/>
      </c>
      <c r="C342" s="83" t="str">
        <f>IF('Consulta1'!C4434="","",'Consulta1'!C4434)</f>
        <v/>
      </c>
      <c r="D342" s="84" t="str">
        <f>IF('Consulta1'!D4434="","",'Consulta1'!D4434)</f>
        <v/>
      </c>
      <c r="E342" s="82" t="str">
        <f>IF('Consulta1'!E4434="","",'Consulta1'!E4434)</f>
        <v/>
      </c>
      <c r="F342" t="str">
        <f>+IF(E342="","",VLOOKUP(E342,CATALOGO!G:L,6,0))</f>
        <v/>
      </c>
      <c r="G342" s="85" t="str">
        <f>IF('Consulta1'!F4434="","",'Consulta1'!F4434)</f>
        <v/>
      </c>
      <c r="H342" s="85" t="str">
        <f>IF('Consulta1'!G4434="","",'Consulta1'!G4434)</f>
        <v/>
      </c>
      <c r="I342" s="86" t="str">
        <f>IF('Consulta1'!H4434="","",'Consulta1'!H4434)</f>
        <v/>
      </c>
      <c r="J342" t="str">
        <f t="shared" si="5"/>
        <v/>
      </c>
      <c r="K342" t="str">
        <f>+IF(E342="","",VLOOKUP(E342,CATALOGO!G:I,2,0))</f>
        <v/>
      </c>
      <c r="L342" t="str">
        <f>+IF(E342="","",VLOOKUP(E342,CATALOGO!G:I,3,0))</f>
        <v/>
      </c>
      <c r="M342" s="87" t="str">
        <f>IF('Consulta1'!I4434="","",'Consulta1'!I4434)</f>
        <v/>
      </c>
      <c r="N342" s="88" t="str">
        <f>IF('Consulta1'!J4434="","",'Consulta1'!J4434)</f>
        <v/>
      </c>
    </row>
    <row r="343" spans="1:14" ht="18.75" x14ac:dyDescent="0.25">
      <c r="A343" s="82" t="str">
        <f>IF('Consulta1'!A4435="","",'Consulta1'!A4435)</f>
        <v/>
      </c>
      <c r="B343" s="82" t="str">
        <f>IF('Consulta1'!B4435="","",'Consulta1'!B4435)</f>
        <v/>
      </c>
      <c r="C343" s="83" t="str">
        <f>IF('Consulta1'!C4435="","",'Consulta1'!C4435)</f>
        <v/>
      </c>
      <c r="D343" s="84" t="str">
        <f>IF('Consulta1'!D4435="","",'Consulta1'!D4435)</f>
        <v/>
      </c>
      <c r="E343" s="82" t="str">
        <f>IF('Consulta1'!E4435="","",'Consulta1'!E4435)</f>
        <v/>
      </c>
      <c r="F343" t="str">
        <f>+IF(E343="","",VLOOKUP(E343,CATALOGO!G:L,6,0))</f>
        <v/>
      </c>
      <c r="G343" s="85" t="str">
        <f>IF('Consulta1'!F4435="","",'Consulta1'!F4435)</f>
        <v/>
      </c>
      <c r="H343" s="85" t="str">
        <f>IF('Consulta1'!G4435="","",'Consulta1'!G4435)</f>
        <v/>
      </c>
      <c r="I343" s="86" t="str">
        <f>IF('Consulta1'!H4435="","",'Consulta1'!H4435)</f>
        <v/>
      </c>
      <c r="J343" t="str">
        <f t="shared" si="5"/>
        <v/>
      </c>
      <c r="K343" t="str">
        <f>+IF(E343="","",VLOOKUP(E343,CATALOGO!G:I,2,0))</f>
        <v/>
      </c>
      <c r="L343" t="str">
        <f>+IF(E343="","",VLOOKUP(E343,CATALOGO!G:I,3,0))</f>
        <v/>
      </c>
      <c r="M343" s="87" t="str">
        <f>IF('Consulta1'!I4435="","",'Consulta1'!I4435)</f>
        <v/>
      </c>
      <c r="N343" s="88" t="str">
        <f>IF('Consulta1'!J4435="","",'Consulta1'!J4435)</f>
        <v/>
      </c>
    </row>
    <row r="344" spans="1:14" ht="18.75" x14ac:dyDescent="0.25">
      <c r="A344" s="82" t="str">
        <f>IF('Consulta1'!A4436="","",'Consulta1'!A4436)</f>
        <v/>
      </c>
      <c r="B344" s="82" t="str">
        <f>IF('Consulta1'!B4436="","",'Consulta1'!B4436)</f>
        <v/>
      </c>
      <c r="C344" s="83" t="str">
        <f>IF('Consulta1'!C4436="","",'Consulta1'!C4436)</f>
        <v/>
      </c>
      <c r="D344" s="84" t="str">
        <f>IF('Consulta1'!D4436="","",'Consulta1'!D4436)</f>
        <v/>
      </c>
      <c r="E344" s="82" t="str">
        <f>IF('Consulta1'!E4436="","",'Consulta1'!E4436)</f>
        <v/>
      </c>
      <c r="F344" t="str">
        <f>+IF(E344="","",VLOOKUP(E344,CATALOGO!G:L,6,0))</f>
        <v/>
      </c>
      <c r="G344" s="85" t="str">
        <f>IF('Consulta1'!F4436="","",'Consulta1'!F4436)</f>
        <v/>
      </c>
      <c r="H344" s="85" t="str">
        <f>IF('Consulta1'!G4436="","",'Consulta1'!G4436)</f>
        <v/>
      </c>
      <c r="I344" s="86" t="str">
        <f>IF('Consulta1'!H4436="","",'Consulta1'!H4436)</f>
        <v/>
      </c>
      <c r="J344" t="str">
        <f t="shared" si="5"/>
        <v/>
      </c>
      <c r="K344" t="str">
        <f>+IF(E344="","",VLOOKUP(E344,CATALOGO!G:I,2,0))</f>
        <v/>
      </c>
      <c r="L344" t="str">
        <f>+IF(E344="","",VLOOKUP(E344,CATALOGO!G:I,3,0))</f>
        <v/>
      </c>
      <c r="M344" s="87" t="str">
        <f>IF('Consulta1'!I4436="","",'Consulta1'!I4436)</f>
        <v/>
      </c>
      <c r="N344" s="88" t="str">
        <f>IF('Consulta1'!J4436="","",'Consulta1'!J4436)</f>
        <v/>
      </c>
    </row>
    <row r="345" spans="1:14" ht="18.75" x14ac:dyDescent="0.25">
      <c r="A345" s="82" t="str">
        <f>IF('Consulta1'!A4437="","",'Consulta1'!A4437)</f>
        <v/>
      </c>
      <c r="B345" s="82" t="str">
        <f>IF('Consulta1'!B4437="","",'Consulta1'!B4437)</f>
        <v/>
      </c>
      <c r="C345" s="83" t="str">
        <f>IF('Consulta1'!C4437="","",'Consulta1'!C4437)</f>
        <v/>
      </c>
      <c r="D345" s="84" t="str">
        <f>IF('Consulta1'!D4437="","",'Consulta1'!D4437)</f>
        <v/>
      </c>
      <c r="E345" s="82" t="str">
        <f>IF('Consulta1'!E4437="","",'Consulta1'!E4437)</f>
        <v/>
      </c>
      <c r="F345" t="str">
        <f>+IF(E345="","",VLOOKUP(E345,CATALOGO!G:L,6,0))</f>
        <v/>
      </c>
      <c r="G345" s="85" t="str">
        <f>IF('Consulta1'!F4437="","",'Consulta1'!F4437)</f>
        <v/>
      </c>
      <c r="H345" s="85" t="str">
        <f>IF('Consulta1'!G4437="","",'Consulta1'!G4437)</f>
        <v/>
      </c>
      <c r="I345" s="86" t="str">
        <f>IF('Consulta1'!H4437="","",'Consulta1'!H4437)</f>
        <v/>
      </c>
      <c r="J345" t="str">
        <f t="shared" si="5"/>
        <v/>
      </c>
      <c r="K345" t="str">
        <f>+IF(E345="","",VLOOKUP(E345,CATALOGO!G:I,2,0))</f>
        <v/>
      </c>
      <c r="L345" t="str">
        <f>+IF(E345="","",VLOOKUP(E345,CATALOGO!G:I,3,0))</f>
        <v/>
      </c>
      <c r="M345" s="87" t="str">
        <f>IF('Consulta1'!I4437="","",'Consulta1'!I4437)</f>
        <v/>
      </c>
      <c r="N345" s="88" t="str">
        <f>IF('Consulta1'!J4437="","",'Consulta1'!J4437)</f>
        <v/>
      </c>
    </row>
    <row r="346" spans="1:14" ht="18.75" x14ac:dyDescent="0.25">
      <c r="A346" s="82" t="str">
        <f>IF('Consulta1'!A4438="","",'Consulta1'!A4438)</f>
        <v/>
      </c>
      <c r="B346" s="82" t="str">
        <f>IF('Consulta1'!B4438="","",'Consulta1'!B4438)</f>
        <v/>
      </c>
      <c r="C346" s="83" t="str">
        <f>IF('Consulta1'!C4438="","",'Consulta1'!C4438)</f>
        <v/>
      </c>
      <c r="D346" s="84" t="str">
        <f>IF('Consulta1'!D4438="","",'Consulta1'!D4438)</f>
        <v/>
      </c>
      <c r="E346" s="82" t="str">
        <f>IF('Consulta1'!E4438="","",'Consulta1'!E4438)</f>
        <v/>
      </c>
      <c r="F346" t="str">
        <f>+IF(E346="","",VLOOKUP(E346,CATALOGO!G:L,6,0))</f>
        <v/>
      </c>
      <c r="G346" s="85" t="str">
        <f>IF('Consulta1'!F4438="","",'Consulta1'!F4438)</f>
        <v/>
      </c>
      <c r="H346" s="85" t="str">
        <f>IF('Consulta1'!G4438="","",'Consulta1'!G4438)</f>
        <v/>
      </c>
      <c r="I346" s="86" t="str">
        <f>IF('Consulta1'!H4438="","",'Consulta1'!H4438)</f>
        <v/>
      </c>
      <c r="J346" t="str">
        <f t="shared" si="5"/>
        <v/>
      </c>
      <c r="K346" t="str">
        <f>+IF(E346="","",VLOOKUP(E346,CATALOGO!G:I,2,0))</f>
        <v/>
      </c>
      <c r="L346" t="str">
        <f>+IF(E346="","",VLOOKUP(E346,CATALOGO!G:I,3,0))</f>
        <v/>
      </c>
      <c r="M346" s="87" t="str">
        <f>IF('Consulta1'!I4438="","",'Consulta1'!I4438)</f>
        <v/>
      </c>
      <c r="N346" s="88" t="str">
        <f>IF('Consulta1'!J4438="","",'Consulta1'!J4438)</f>
        <v/>
      </c>
    </row>
    <row r="347" spans="1:14" ht="18.75" x14ac:dyDescent="0.25">
      <c r="A347" s="82" t="str">
        <f>IF('Consulta1'!A4439="","",'Consulta1'!A4439)</f>
        <v/>
      </c>
      <c r="B347" s="82" t="str">
        <f>IF('Consulta1'!B4439="","",'Consulta1'!B4439)</f>
        <v/>
      </c>
      <c r="C347" s="83" t="str">
        <f>IF('Consulta1'!C4439="","",'Consulta1'!C4439)</f>
        <v/>
      </c>
      <c r="D347" s="84" t="str">
        <f>IF('Consulta1'!D4439="","",'Consulta1'!D4439)</f>
        <v/>
      </c>
      <c r="E347" s="82" t="str">
        <f>IF('Consulta1'!E4439="","",'Consulta1'!E4439)</f>
        <v/>
      </c>
      <c r="F347" t="str">
        <f>+IF(E347="","",VLOOKUP(E347,CATALOGO!G:L,6,0))</f>
        <v/>
      </c>
      <c r="G347" s="85" t="str">
        <f>IF('Consulta1'!F4439="","",'Consulta1'!F4439)</f>
        <v/>
      </c>
      <c r="H347" s="85" t="str">
        <f>IF('Consulta1'!G4439="","",'Consulta1'!G4439)</f>
        <v/>
      </c>
      <c r="I347" s="86" t="str">
        <f>IF('Consulta1'!H4439="","",'Consulta1'!H4439)</f>
        <v/>
      </c>
      <c r="J347" t="str">
        <f t="shared" si="5"/>
        <v/>
      </c>
      <c r="K347" t="str">
        <f>+IF(E347="","",VLOOKUP(E347,CATALOGO!G:I,2,0))</f>
        <v/>
      </c>
      <c r="L347" t="str">
        <f>+IF(E347="","",VLOOKUP(E347,CATALOGO!G:I,3,0))</f>
        <v/>
      </c>
      <c r="M347" s="87" t="str">
        <f>IF('Consulta1'!I4439="","",'Consulta1'!I4439)</f>
        <v/>
      </c>
      <c r="N347" s="88" t="str">
        <f>IF('Consulta1'!J4439="","",'Consulta1'!J4439)</f>
        <v/>
      </c>
    </row>
    <row r="348" spans="1:14" ht="18.75" x14ac:dyDescent="0.25">
      <c r="A348" s="82" t="str">
        <f>IF('Consulta1'!A4440="","",'Consulta1'!A4440)</f>
        <v/>
      </c>
      <c r="B348" s="82" t="str">
        <f>IF('Consulta1'!B4440="","",'Consulta1'!B4440)</f>
        <v/>
      </c>
      <c r="C348" s="83" t="str">
        <f>IF('Consulta1'!C4440="","",'Consulta1'!C4440)</f>
        <v/>
      </c>
      <c r="D348" s="84" t="str">
        <f>IF('Consulta1'!D4440="","",'Consulta1'!D4440)</f>
        <v/>
      </c>
      <c r="E348" s="82" t="str">
        <f>IF('Consulta1'!E4440="","",'Consulta1'!E4440)</f>
        <v/>
      </c>
      <c r="F348" t="str">
        <f>+IF(E348="","",VLOOKUP(E348,CATALOGO!G:L,6,0))</f>
        <v/>
      </c>
      <c r="G348" s="85" t="str">
        <f>IF('Consulta1'!F4440="","",'Consulta1'!F4440)</f>
        <v/>
      </c>
      <c r="H348" s="85" t="str">
        <f>IF('Consulta1'!G4440="","",'Consulta1'!G4440)</f>
        <v/>
      </c>
      <c r="I348" s="86" t="str">
        <f>IF('Consulta1'!H4440="","",'Consulta1'!H4440)</f>
        <v/>
      </c>
      <c r="J348" t="str">
        <f t="shared" si="5"/>
        <v/>
      </c>
      <c r="K348" t="str">
        <f>+IF(E348="","",VLOOKUP(E348,CATALOGO!G:I,2,0))</f>
        <v/>
      </c>
      <c r="L348" t="str">
        <f>+IF(E348="","",VLOOKUP(E348,CATALOGO!G:I,3,0))</f>
        <v/>
      </c>
      <c r="M348" s="87" t="str">
        <f>IF('Consulta1'!I4440="","",'Consulta1'!I4440)</f>
        <v/>
      </c>
      <c r="N348" s="88" t="str">
        <f>IF('Consulta1'!J4440="","",'Consulta1'!J4440)</f>
        <v/>
      </c>
    </row>
    <row r="349" spans="1:14" ht="18.75" x14ac:dyDescent="0.25">
      <c r="A349" s="82" t="str">
        <f>IF('Consulta1'!A4441="","",'Consulta1'!A4441)</f>
        <v/>
      </c>
      <c r="B349" s="82" t="str">
        <f>IF('Consulta1'!B4441="","",'Consulta1'!B4441)</f>
        <v/>
      </c>
      <c r="C349" s="83" t="str">
        <f>IF('Consulta1'!C4441="","",'Consulta1'!C4441)</f>
        <v/>
      </c>
      <c r="D349" s="84" t="str">
        <f>IF('Consulta1'!D4441="","",'Consulta1'!D4441)</f>
        <v/>
      </c>
      <c r="E349" s="82" t="str">
        <f>IF('Consulta1'!E4441="","",'Consulta1'!E4441)</f>
        <v/>
      </c>
      <c r="F349" t="str">
        <f>+IF(E349="","",VLOOKUP(E349,CATALOGO!G:L,6,0))</f>
        <v/>
      </c>
      <c r="G349" s="85" t="str">
        <f>IF('Consulta1'!F4441="","",'Consulta1'!F4441)</f>
        <v/>
      </c>
      <c r="H349" s="85" t="str">
        <f>IF('Consulta1'!G4441="","",'Consulta1'!G4441)</f>
        <v/>
      </c>
      <c r="I349" s="86" t="str">
        <f>IF('Consulta1'!H4441="","",'Consulta1'!H4441)</f>
        <v/>
      </c>
      <c r="J349" t="str">
        <f t="shared" si="5"/>
        <v/>
      </c>
      <c r="K349" t="str">
        <f>+IF(E349="","",VLOOKUP(E349,CATALOGO!G:I,2,0))</f>
        <v/>
      </c>
      <c r="L349" t="str">
        <f>+IF(E349="","",VLOOKUP(E349,CATALOGO!G:I,3,0))</f>
        <v/>
      </c>
      <c r="M349" s="87" t="str">
        <f>IF('Consulta1'!I4441="","",'Consulta1'!I4441)</f>
        <v/>
      </c>
      <c r="N349" s="88" t="str">
        <f>IF('Consulta1'!J4441="","",'Consulta1'!J4441)</f>
        <v/>
      </c>
    </row>
    <row r="350" spans="1:14" ht="18.75" x14ac:dyDescent="0.25">
      <c r="A350" s="82" t="str">
        <f>IF('Consulta1'!A4442="","",'Consulta1'!A4442)</f>
        <v/>
      </c>
      <c r="B350" s="82" t="str">
        <f>IF('Consulta1'!B4442="","",'Consulta1'!B4442)</f>
        <v/>
      </c>
      <c r="C350" s="83" t="str">
        <f>IF('Consulta1'!C4442="","",'Consulta1'!C4442)</f>
        <v/>
      </c>
      <c r="D350" s="84" t="str">
        <f>IF('Consulta1'!D4442="","",'Consulta1'!D4442)</f>
        <v/>
      </c>
      <c r="E350" s="82" t="str">
        <f>IF('Consulta1'!E4442="","",'Consulta1'!E4442)</f>
        <v/>
      </c>
      <c r="F350" t="str">
        <f>+IF(E350="","",VLOOKUP(E350,CATALOGO!G:L,6,0))</f>
        <v/>
      </c>
      <c r="G350" s="85" t="str">
        <f>IF('Consulta1'!F4442="","",'Consulta1'!F4442)</f>
        <v/>
      </c>
      <c r="H350" s="85" t="str">
        <f>IF('Consulta1'!G4442="","",'Consulta1'!G4442)</f>
        <v/>
      </c>
      <c r="I350" s="86" t="str">
        <f>IF('Consulta1'!H4442="","",'Consulta1'!H4442)</f>
        <v/>
      </c>
      <c r="J350" t="str">
        <f t="shared" si="5"/>
        <v/>
      </c>
      <c r="K350" t="str">
        <f>+IF(E350="","",VLOOKUP(E350,CATALOGO!G:I,2,0))</f>
        <v/>
      </c>
      <c r="L350" t="str">
        <f>+IF(E350="","",VLOOKUP(E350,CATALOGO!G:I,3,0))</f>
        <v/>
      </c>
      <c r="M350" s="87" t="str">
        <f>IF('Consulta1'!I4442="","",'Consulta1'!I4442)</f>
        <v/>
      </c>
      <c r="N350" s="88" t="str">
        <f>IF('Consulta1'!J4442="","",'Consulta1'!J4442)</f>
        <v/>
      </c>
    </row>
    <row r="351" spans="1:14" ht="18.75" x14ac:dyDescent="0.25">
      <c r="A351" s="82" t="str">
        <f>IF('Consulta1'!A4443="","",'Consulta1'!A4443)</f>
        <v/>
      </c>
      <c r="B351" s="82" t="str">
        <f>IF('Consulta1'!B4443="","",'Consulta1'!B4443)</f>
        <v/>
      </c>
      <c r="C351" s="83" t="str">
        <f>IF('Consulta1'!C4443="","",'Consulta1'!C4443)</f>
        <v/>
      </c>
      <c r="D351" s="84" t="str">
        <f>IF('Consulta1'!D4443="","",'Consulta1'!D4443)</f>
        <v/>
      </c>
      <c r="E351" s="82" t="str">
        <f>IF('Consulta1'!E4443="","",'Consulta1'!E4443)</f>
        <v/>
      </c>
      <c r="F351" t="str">
        <f>+IF(E351="","",VLOOKUP(E351,CATALOGO!G:L,6,0))</f>
        <v/>
      </c>
      <c r="G351" s="85" t="str">
        <f>IF('Consulta1'!F4443="","",'Consulta1'!F4443)</f>
        <v/>
      </c>
      <c r="H351" s="85" t="str">
        <f>IF('Consulta1'!G4443="","",'Consulta1'!G4443)</f>
        <v/>
      </c>
      <c r="I351" s="86" t="str">
        <f>IF('Consulta1'!H4443="","",'Consulta1'!H4443)</f>
        <v/>
      </c>
      <c r="J351" t="str">
        <f t="shared" si="5"/>
        <v/>
      </c>
      <c r="K351" t="str">
        <f>+IF(E351="","",VLOOKUP(E351,CATALOGO!G:I,2,0))</f>
        <v/>
      </c>
      <c r="L351" t="str">
        <f>+IF(E351="","",VLOOKUP(E351,CATALOGO!G:I,3,0))</f>
        <v/>
      </c>
      <c r="M351" s="87" t="str">
        <f>IF('Consulta1'!I4443="","",'Consulta1'!I4443)</f>
        <v/>
      </c>
      <c r="N351" s="88" t="str">
        <f>IF('Consulta1'!J4443="","",'Consulta1'!J4443)</f>
        <v/>
      </c>
    </row>
    <row r="352" spans="1:14" ht="18.75" x14ac:dyDescent="0.25">
      <c r="A352" s="82" t="str">
        <f>IF('Consulta1'!A4444="","",'Consulta1'!A4444)</f>
        <v/>
      </c>
      <c r="B352" s="82" t="str">
        <f>IF('Consulta1'!B4444="","",'Consulta1'!B4444)</f>
        <v/>
      </c>
      <c r="C352" s="83" t="str">
        <f>IF('Consulta1'!C4444="","",'Consulta1'!C4444)</f>
        <v/>
      </c>
      <c r="D352" s="84" t="str">
        <f>IF('Consulta1'!D4444="","",'Consulta1'!D4444)</f>
        <v/>
      </c>
      <c r="E352" s="82" t="str">
        <f>IF('Consulta1'!E4444="","",'Consulta1'!E4444)</f>
        <v/>
      </c>
      <c r="F352" t="str">
        <f>+IF(E352="","",VLOOKUP(E352,CATALOGO!G:L,6,0))</f>
        <v/>
      </c>
      <c r="G352" s="85" t="str">
        <f>IF('Consulta1'!F4444="","",'Consulta1'!F4444)</f>
        <v/>
      </c>
      <c r="H352" s="85" t="str">
        <f>IF('Consulta1'!G4444="","",'Consulta1'!G4444)</f>
        <v/>
      </c>
      <c r="I352" s="86" t="str">
        <f>IF('Consulta1'!H4444="","",'Consulta1'!H4444)</f>
        <v/>
      </c>
      <c r="J352" t="str">
        <f t="shared" si="5"/>
        <v/>
      </c>
      <c r="K352" t="str">
        <f>+IF(E352="","",VLOOKUP(E352,CATALOGO!G:I,2,0))</f>
        <v/>
      </c>
      <c r="L352" t="str">
        <f>+IF(E352="","",VLOOKUP(E352,CATALOGO!G:I,3,0))</f>
        <v/>
      </c>
      <c r="M352" s="87" t="str">
        <f>IF('Consulta1'!I4444="","",'Consulta1'!I4444)</f>
        <v/>
      </c>
      <c r="N352" s="88" t="str">
        <f>IF('Consulta1'!J4444="","",'Consulta1'!J4444)</f>
        <v/>
      </c>
    </row>
    <row r="353" spans="1:14" ht="18.75" x14ac:dyDescent="0.25">
      <c r="A353" s="82" t="str">
        <f>IF('Consulta1'!A4445="","",'Consulta1'!A4445)</f>
        <v/>
      </c>
      <c r="B353" s="82" t="str">
        <f>IF('Consulta1'!B4445="","",'Consulta1'!B4445)</f>
        <v/>
      </c>
      <c r="C353" s="83" t="str">
        <f>IF('Consulta1'!C4445="","",'Consulta1'!C4445)</f>
        <v/>
      </c>
      <c r="D353" s="84" t="str">
        <f>IF('Consulta1'!D4445="","",'Consulta1'!D4445)</f>
        <v/>
      </c>
      <c r="E353" s="82" t="str">
        <f>IF('Consulta1'!E4445="","",'Consulta1'!E4445)</f>
        <v/>
      </c>
      <c r="F353" t="str">
        <f>+IF(E353="","",VLOOKUP(E353,CATALOGO!G:L,6,0))</f>
        <v/>
      </c>
      <c r="G353" s="85" t="str">
        <f>IF('Consulta1'!F4445="","",'Consulta1'!F4445)</f>
        <v/>
      </c>
      <c r="H353" s="85" t="str">
        <f>IF('Consulta1'!G4445="","",'Consulta1'!G4445)</f>
        <v/>
      </c>
      <c r="I353" s="86" t="str">
        <f>IF('Consulta1'!H4445="","",'Consulta1'!H4445)</f>
        <v/>
      </c>
      <c r="J353" t="str">
        <f t="shared" si="5"/>
        <v/>
      </c>
      <c r="K353" t="str">
        <f>+IF(E353="","",VLOOKUP(E353,CATALOGO!G:I,2,0))</f>
        <v/>
      </c>
      <c r="L353" t="str">
        <f>+IF(E353="","",VLOOKUP(E353,CATALOGO!G:I,3,0))</f>
        <v/>
      </c>
      <c r="M353" s="87" t="str">
        <f>IF('Consulta1'!I4445="","",'Consulta1'!I4445)</f>
        <v/>
      </c>
      <c r="N353" s="88" t="str">
        <f>IF('Consulta1'!J4445="","",'Consulta1'!J4445)</f>
        <v/>
      </c>
    </row>
    <row r="354" spans="1:14" ht="18.75" x14ac:dyDescent="0.25">
      <c r="A354" s="82" t="str">
        <f>IF('Consulta1'!A4446="","",'Consulta1'!A4446)</f>
        <v/>
      </c>
      <c r="B354" s="82" t="str">
        <f>IF('Consulta1'!B4446="","",'Consulta1'!B4446)</f>
        <v/>
      </c>
      <c r="C354" s="83" t="str">
        <f>IF('Consulta1'!C4446="","",'Consulta1'!C4446)</f>
        <v/>
      </c>
      <c r="D354" s="84" t="str">
        <f>IF('Consulta1'!D4446="","",'Consulta1'!D4446)</f>
        <v/>
      </c>
      <c r="E354" s="82" t="str">
        <f>IF('Consulta1'!E4446="","",'Consulta1'!E4446)</f>
        <v/>
      </c>
      <c r="F354" t="str">
        <f>+IF(E354="","",VLOOKUP(E354,CATALOGO!G:L,6,0))</f>
        <v/>
      </c>
      <c r="G354" s="85" t="str">
        <f>IF('Consulta1'!F4446="","",'Consulta1'!F4446)</f>
        <v/>
      </c>
      <c r="H354" s="85" t="str">
        <f>IF('Consulta1'!G4446="","",'Consulta1'!G4446)</f>
        <v/>
      </c>
      <c r="I354" s="86" t="str">
        <f>IF('Consulta1'!H4446="","",'Consulta1'!H4446)</f>
        <v/>
      </c>
      <c r="J354" t="str">
        <f t="shared" si="5"/>
        <v/>
      </c>
      <c r="K354" t="str">
        <f>+IF(E354="","",VLOOKUP(E354,CATALOGO!G:I,2,0))</f>
        <v/>
      </c>
      <c r="L354" t="str">
        <f>+IF(E354="","",VLOOKUP(E354,CATALOGO!G:I,3,0))</f>
        <v/>
      </c>
      <c r="M354" s="87" t="str">
        <f>IF('Consulta1'!I4446="","",'Consulta1'!I4446)</f>
        <v/>
      </c>
      <c r="N354" s="88" t="str">
        <f>IF('Consulta1'!J4446="","",'Consulta1'!J4446)</f>
        <v/>
      </c>
    </row>
    <row r="355" spans="1:14" ht="18.75" x14ac:dyDescent="0.25">
      <c r="A355" s="82" t="str">
        <f>IF('Consulta1'!A4447="","",'Consulta1'!A4447)</f>
        <v/>
      </c>
      <c r="B355" s="82" t="str">
        <f>IF('Consulta1'!B4447="","",'Consulta1'!B4447)</f>
        <v/>
      </c>
      <c r="C355" s="83" t="str">
        <f>IF('Consulta1'!C4447="","",'Consulta1'!C4447)</f>
        <v/>
      </c>
      <c r="D355" s="84" t="str">
        <f>IF('Consulta1'!D4447="","",'Consulta1'!D4447)</f>
        <v/>
      </c>
      <c r="E355" s="82" t="str">
        <f>IF('Consulta1'!E4447="","",'Consulta1'!E4447)</f>
        <v/>
      </c>
      <c r="F355" t="str">
        <f>+IF(E355="","",VLOOKUP(E355,CATALOGO!G:L,6,0))</f>
        <v/>
      </c>
      <c r="G355" s="85" t="str">
        <f>IF('Consulta1'!F4447="","",'Consulta1'!F4447)</f>
        <v/>
      </c>
      <c r="H355" s="85" t="str">
        <f>IF('Consulta1'!G4447="","",'Consulta1'!G4447)</f>
        <v/>
      </c>
      <c r="I355" s="86" t="str">
        <f>IF('Consulta1'!H4447="","",'Consulta1'!H4447)</f>
        <v/>
      </c>
      <c r="J355" t="str">
        <f t="shared" si="5"/>
        <v/>
      </c>
      <c r="K355" t="str">
        <f>+IF(E355="","",VLOOKUP(E355,CATALOGO!G:I,2,0))</f>
        <v/>
      </c>
      <c r="L355" t="str">
        <f>+IF(E355="","",VLOOKUP(E355,CATALOGO!G:I,3,0))</f>
        <v/>
      </c>
      <c r="M355" s="87" t="str">
        <f>IF('Consulta1'!I4447="","",'Consulta1'!I4447)</f>
        <v/>
      </c>
      <c r="N355" s="88" t="str">
        <f>IF('Consulta1'!J4447="","",'Consulta1'!J4447)</f>
        <v/>
      </c>
    </row>
    <row r="356" spans="1:14" ht="18.75" x14ac:dyDescent="0.25">
      <c r="A356" s="82" t="str">
        <f>IF('Consulta1'!A4448="","",'Consulta1'!A4448)</f>
        <v/>
      </c>
      <c r="B356" s="82" t="str">
        <f>IF('Consulta1'!B4448="","",'Consulta1'!B4448)</f>
        <v/>
      </c>
      <c r="C356" s="83" t="str">
        <f>IF('Consulta1'!C4448="","",'Consulta1'!C4448)</f>
        <v/>
      </c>
      <c r="D356" s="84" t="str">
        <f>IF('Consulta1'!D4448="","",'Consulta1'!D4448)</f>
        <v/>
      </c>
      <c r="E356" s="82" t="str">
        <f>IF('Consulta1'!E4448="","",'Consulta1'!E4448)</f>
        <v/>
      </c>
      <c r="F356" t="str">
        <f>+IF(E356="","",VLOOKUP(E356,CATALOGO!G:L,6,0))</f>
        <v/>
      </c>
      <c r="G356" s="85" t="str">
        <f>IF('Consulta1'!F4448="","",'Consulta1'!F4448)</f>
        <v/>
      </c>
      <c r="H356" s="85" t="str">
        <f>IF('Consulta1'!G4448="","",'Consulta1'!G4448)</f>
        <v/>
      </c>
      <c r="I356" s="86" t="str">
        <f>IF('Consulta1'!H4448="","",'Consulta1'!H4448)</f>
        <v/>
      </c>
      <c r="J356" t="str">
        <f t="shared" si="5"/>
        <v/>
      </c>
      <c r="K356" t="str">
        <f>+IF(E356="","",VLOOKUP(E356,CATALOGO!G:I,2,0))</f>
        <v/>
      </c>
      <c r="L356" t="str">
        <f>+IF(E356="","",VLOOKUP(E356,CATALOGO!G:I,3,0))</f>
        <v/>
      </c>
      <c r="M356" s="87" t="str">
        <f>IF('Consulta1'!I4448="","",'Consulta1'!I4448)</f>
        <v/>
      </c>
      <c r="N356" s="88" t="str">
        <f>IF('Consulta1'!J4448="","",'Consulta1'!J4448)</f>
        <v/>
      </c>
    </row>
    <row r="357" spans="1:14" ht="18.75" x14ac:dyDescent="0.25">
      <c r="A357" s="82" t="str">
        <f>IF('Consulta1'!A4449="","",'Consulta1'!A4449)</f>
        <v/>
      </c>
      <c r="B357" s="82" t="str">
        <f>IF('Consulta1'!B4449="","",'Consulta1'!B4449)</f>
        <v/>
      </c>
      <c r="C357" s="83" t="str">
        <f>IF('Consulta1'!C4449="","",'Consulta1'!C4449)</f>
        <v/>
      </c>
      <c r="D357" s="84" t="str">
        <f>IF('Consulta1'!D4449="","",'Consulta1'!D4449)</f>
        <v/>
      </c>
      <c r="E357" s="82" t="str">
        <f>IF('Consulta1'!E4449="","",'Consulta1'!E4449)</f>
        <v/>
      </c>
      <c r="F357" t="str">
        <f>+IF(E357="","",VLOOKUP(E357,CATALOGO!G:L,6,0))</f>
        <v/>
      </c>
      <c r="G357" s="85" t="str">
        <f>IF('Consulta1'!F4449="","",'Consulta1'!F4449)</f>
        <v/>
      </c>
      <c r="H357" s="85" t="str">
        <f>IF('Consulta1'!G4449="","",'Consulta1'!G4449)</f>
        <v/>
      </c>
      <c r="I357" s="86" t="str">
        <f>IF('Consulta1'!H4449="","",'Consulta1'!H4449)</f>
        <v/>
      </c>
      <c r="J357" t="str">
        <f t="shared" si="5"/>
        <v/>
      </c>
      <c r="K357" t="str">
        <f>+IF(E357="","",VLOOKUP(E357,CATALOGO!G:I,2,0))</f>
        <v/>
      </c>
      <c r="L357" t="str">
        <f>+IF(E357="","",VLOOKUP(E357,CATALOGO!G:I,3,0))</f>
        <v/>
      </c>
      <c r="M357" s="87" t="str">
        <f>IF('Consulta1'!I4449="","",'Consulta1'!I4449)</f>
        <v/>
      </c>
      <c r="N357" s="88" t="str">
        <f>IF('Consulta1'!J4449="","",'Consulta1'!J4449)</f>
        <v/>
      </c>
    </row>
    <row r="358" spans="1:14" ht="18.75" x14ac:dyDescent="0.25">
      <c r="A358" s="82" t="str">
        <f>IF('Consulta1'!A4450="","",'Consulta1'!A4450)</f>
        <v/>
      </c>
      <c r="B358" s="82" t="str">
        <f>IF('Consulta1'!B4450="","",'Consulta1'!B4450)</f>
        <v/>
      </c>
      <c r="C358" s="83" t="str">
        <f>IF('Consulta1'!C4450="","",'Consulta1'!C4450)</f>
        <v/>
      </c>
      <c r="D358" s="84" t="str">
        <f>IF('Consulta1'!D4450="","",'Consulta1'!D4450)</f>
        <v/>
      </c>
      <c r="E358" s="82" t="str">
        <f>IF('Consulta1'!E4450="","",'Consulta1'!E4450)</f>
        <v/>
      </c>
      <c r="F358" t="str">
        <f>+IF(E358="","",VLOOKUP(E358,CATALOGO!G:L,6,0))</f>
        <v/>
      </c>
      <c r="G358" s="85" t="str">
        <f>IF('Consulta1'!F4450="","",'Consulta1'!F4450)</f>
        <v/>
      </c>
      <c r="H358" s="85" t="str">
        <f>IF('Consulta1'!G4450="","",'Consulta1'!G4450)</f>
        <v/>
      </c>
      <c r="I358" s="86" t="str">
        <f>IF('Consulta1'!H4450="","",'Consulta1'!H4450)</f>
        <v/>
      </c>
      <c r="J358" t="str">
        <f t="shared" si="5"/>
        <v/>
      </c>
      <c r="K358" t="str">
        <f>+IF(E358="","",VLOOKUP(E358,CATALOGO!G:I,2,0))</f>
        <v/>
      </c>
      <c r="L358" t="str">
        <f>+IF(E358="","",VLOOKUP(E358,CATALOGO!G:I,3,0))</f>
        <v/>
      </c>
      <c r="M358" s="87" t="str">
        <f>IF('Consulta1'!I4450="","",'Consulta1'!I4450)</f>
        <v/>
      </c>
      <c r="N358" s="88" t="str">
        <f>IF('Consulta1'!J4450="","",'Consulta1'!J4450)</f>
        <v/>
      </c>
    </row>
    <row r="359" spans="1:14" ht="18.75" x14ac:dyDescent="0.25">
      <c r="A359" s="82" t="str">
        <f>IF('Consulta1'!A4451="","",'Consulta1'!A4451)</f>
        <v/>
      </c>
      <c r="B359" s="82" t="str">
        <f>IF('Consulta1'!B4451="","",'Consulta1'!B4451)</f>
        <v/>
      </c>
      <c r="C359" s="83" t="str">
        <f>IF('Consulta1'!C4451="","",'Consulta1'!C4451)</f>
        <v/>
      </c>
      <c r="D359" s="84" t="str">
        <f>IF('Consulta1'!D4451="","",'Consulta1'!D4451)</f>
        <v/>
      </c>
      <c r="E359" s="82" t="str">
        <f>IF('Consulta1'!E4451="","",'Consulta1'!E4451)</f>
        <v/>
      </c>
      <c r="F359" t="str">
        <f>+IF(E359="","",VLOOKUP(E359,CATALOGO!G:L,6,0))</f>
        <v/>
      </c>
      <c r="G359" s="85" t="str">
        <f>IF('Consulta1'!F4451="","",'Consulta1'!F4451)</f>
        <v/>
      </c>
      <c r="H359" s="85" t="str">
        <f>IF('Consulta1'!G4451="","",'Consulta1'!G4451)</f>
        <v/>
      </c>
      <c r="I359" s="86" t="str">
        <f>IF('Consulta1'!H4451="","",'Consulta1'!H4451)</f>
        <v/>
      </c>
      <c r="J359" t="str">
        <f t="shared" si="5"/>
        <v/>
      </c>
      <c r="K359" t="str">
        <f>+IF(E359="","",VLOOKUP(E359,CATALOGO!G:I,2,0))</f>
        <v/>
      </c>
      <c r="L359" t="str">
        <f>+IF(E359="","",VLOOKUP(E359,CATALOGO!G:I,3,0))</f>
        <v/>
      </c>
      <c r="M359" s="87" t="str">
        <f>IF('Consulta1'!I4451="","",'Consulta1'!I4451)</f>
        <v/>
      </c>
      <c r="N359" s="88" t="str">
        <f>IF('Consulta1'!J4451="","",'Consulta1'!J4451)</f>
        <v/>
      </c>
    </row>
    <row r="360" spans="1:14" ht="18.75" x14ac:dyDescent="0.25">
      <c r="A360" s="82" t="str">
        <f>IF('Consulta1'!A4452="","",'Consulta1'!A4452)</f>
        <v/>
      </c>
      <c r="B360" s="82" t="str">
        <f>IF('Consulta1'!B4452="","",'Consulta1'!B4452)</f>
        <v/>
      </c>
      <c r="C360" s="83" t="str">
        <f>IF('Consulta1'!C4452="","",'Consulta1'!C4452)</f>
        <v/>
      </c>
      <c r="D360" s="84" t="str">
        <f>IF('Consulta1'!D4452="","",'Consulta1'!D4452)</f>
        <v/>
      </c>
      <c r="E360" s="82" t="str">
        <f>IF('Consulta1'!E4452="","",'Consulta1'!E4452)</f>
        <v/>
      </c>
      <c r="F360" t="str">
        <f>+IF(E360="","",VLOOKUP(E360,CATALOGO!G:L,6,0))</f>
        <v/>
      </c>
      <c r="G360" s="85" t="str">
        <f>IF('Consulta1'!F4452="","",'Consulta1'!F4452)</f>
        <v/>
      </c>
      <c r="H360" s="85" t="str">
        <f>IF('Consulta1'!G4452="","",'Consulta1'!G4452)</f>
        <v/>
      </c>
      <c r="I360" s="86" t="str">
        <f>IF('Consulta1'!H4452="","",'Consulta1'!H4452)</f>
        <v/>
      </c>
      <c r="J360" t="str">
        <f t="shared" si="5"/>
        <v/>
      </c>
      <c r="K360" t="str">
        <f>+IF(E360="","",VLOOKUP(E360,CATALOGO!G:I,2,0))</f>
        <v/>
      </c>
      <c r="L360" t="str">
        <f>+IF(E360="","",VLOOKUP(E360,CATALOGO!G:I,3,0))</f>
        <v/>
      </c>
      <c r="M360" s="87" t="str">
        <f>IF('Consulta1'!I4452="","",'Consulta1'!I4452)</f>
        <v/>
      </c>
      <c r="N360" s="88" t="str">
        <f>IF('Consulta1'!J4452="","",'Consulta1'!J4452)</f>
        <v/>
      </c>
    </row>
    <row r="361" spans="1:14" ht="18.75" x14ac:dyDescent="0.25">
      <c r="A361" s="82" t="str">
        <f>IF('Consulta1'!A4453="","",'Consulta1'!A4453)</f>
        <v/>
      </c>
      <c r="B361" s="82" t="str">
        <f>IF('Consulta1'!B4453="","",'Consulta1'!B4453)</f>
        <v/>
      </c>
      <c r="C361" s="83" t="str">
        <f>IF('Consulta1'!C4453="","",'Consulta1'!C4453)</f>
        <v/>
      </c>
      <c r="D361" s="84" t="str">
        <f>IF('Consulta1'!D4453="","",'Consulta1'!D4453)</f>
        <v/>
      </c>
      <c r="E361" s="82" t="str">
        <f>IF('Consulta1'!E4453="","",'Consulta1'!E4453)</f>
        <v/>
      </c>
      <c r="F361" t="str">
        <f>+IF(E361="","",VLOOKUP(E361,CATALOGO!G:L,6,0))</f>
        <v/>
      </c>
      <c r="G361" s="85" t="str">
        <f>IF('Consulta1'!F4453="","",'Consulta1'!F4453)</f>
        <v/>
      </c>
      <c r="H361" s="85" t="str">
        <f>IF('Consulta1'!G4453="","",'Consulta1'!G4453)</f>
        <v/>
      </c>
      <c r="I361" s="86" t="str">
        <f>IF('Consulta1'!H4453="","",'Consulta1'!H4453)</f>
        <v/>
      </c>
      <c r="J361" t="str">
        <f t="shared" si="5"/>
        <v/>
      </c>
      <c r="K361" t="str">
        <f>+IF(E361="","",VLOOKUP(E361,CATALOGO!G:I,2,0))</f>
        <v/>
      </c>
      <c r="L361" t="str">
        <f>+IF(E361="","",VLOOKUP(E361,CATALOGO!G:I,3,0))</f>
        <v/>
      </c>
      <c r="M361" s="87" t="str">
        <f>IF('Consulta1'!I4453="","",'Consulta1'!I4453)</f>
        <v/>
      </c>
      <c r="N361" s="88" t="str">
        <f>IF('Consulta1'!J4453="","",'Consulta1'!J4453)</f>
        <v/>
      </c>
    </row>
    <row r="362" spans="1:14" ht="18.75" x14ac:dyDescent="0.25">
      <c r="A362" s="82" t="str">
        <f>IF('Consulta1'!A4454="","",'Consulta1'!A4454)</f>
        <v/>
      </c>
      <c r="B362" s="82" t="str">
        <f>IF('Consulta1'!B4454="","",'Consulta1'!B4454)</f>
        <v/>
      </c>
      <c r="C362" s="83" t="str">
        <f>IF('Consulta1'!C4454="","",'Consulta1'!C4454)</f>
        <v/>
      </c>
      <c r="D362" s="84" t="str">
        <f>IF('Consulta1'!D4454="","",'Consulta1'!D4454)</f>
        <v/>
      </c>
      <c r="E362" s="82" t="str">
        <f>IF('Consulta1'!E4454="","",'Consulta1'!E4454)</f>
        <v/>
      </c>
      <c r="F362" t="str">
        <f>+IF(E362="","",VLOOKUP(E362,CATALOGO!G:L,6,0))</f>
        <v/>
      </c>
      <c r="G362" s="85" t="str">
        <f>IF('Consulta1'!F4454="","",'Consulta1'!F4454)</f>
        <v/>
      </c>
      <c r="H362" s="85" t="str">
        <f>IF('Consulta1'!G4454="","",'Consulta1'!G4454)</f>
        <v/>
      </c>
      <c r="I362" s="86" t="str">
        <f>IF('Consulta1'!H4454="","",'Consulta1'!H4454)</f>
        <v/>
      </c>
      <c r="J362" t="str">
        <f t="shared" si="5"/>
        <v/>
      </c>
      <c r="K362" t="str">
        <f>+IF(E362="","",VLOOKUP(E362,CATALOGO!G:I,2,0))</f>
        <v/>
      </c>
      <c r="L362" t="str">
        <f>+IF(E362="","",VLOOKUP(E362,CATALOGO!G:I,3,0))</f>
        <v/>
      </c>
      <c r="M362" s="87" t="str">
        <f>IF('Consulta1'!I4454="","",'Consulta1'!I4454)</f>
        <v/>
      </c>
      <c r="N362" s="88" t="str">
        <f>IF('Consulta1'!J4454="","",'Consulta1'!J4454)</f>
        <v/>
      </c>
    </row>
    <row r="363" spans="1:14" ht="18.75" x14ac:dyDescent="0.25">
      <c r="A363" s="82" t="str">
        <f>IF('Consulta1'!A4455="","",'Consulta1'!A4455)</f>
        <v/>
      </c>
      <c r="B363" s="82" t="str">
        <f>IF('Consulta1'!B4455="","",'Consulta1'!B4455)</f>
        <v/>
      </c>
      <c r="C363" s="83" t="str">
        <f>IF('Consulta1'!C4455="","",'Consulta1'!C4455)</f>
        <v/>
      </c>
      <c r="D363" s="84" t="str">
        <f>IF('Consulta1'!D4455="","",'Consulta1'!D4455)</f>
        <v/>
      </c>
      <c r="E363" s="82" t="str">
        <f>IF('Consulta1'!E4455="","",'Consulta1'!E4455)</f>
        <v/>
      </c>
      <c r="F363" t="str">
        <f>+IF(E363="","",VLOOKUP(E363,CATALOGO!G:L,6,0))</f>
        <v/>
      </c>
      <c r="G363" s="85" t="str">
        <f>IF('Consulta1'!F4455="","",'Consulta1'!F4455)</f>
        <v/>
      </c>
      <c r="H363" s="85" t="str">
        <f>IF('Consulta1'!G4455="","",'Consulta1'!G4455)</f>
        <v/>
      </c>
      <c r="I363" s="86" t="str">
        <f>IF('Consulta1'!H4455="","",'Consulta1'!H4455)</f>
        <v/>
      </c>
      <c r="J363" t="str">
        <f t="shared" si="5"/>
        <v/>
      </c>
      <c r="K363" t="str">
        <f>+IF(E363="","",VLOOKUP(E363,CATALOGO!G:I,2,0))</f>
        <v/>
      </c>
      <c r="L363" t="str">
        <f>+IF(E363="","",VLOOKUP(E363,CATALOGO!G:I,3,0))</f>
        <v/>
      </c>
      <c r="M363" s="87" t="str">
        <f>IF('Consulta1'!I4455="","",'Consulta1'!I4455)</f>
        <v/>
      </c>
      <c r="N363" s="88" t="str">
        <f>IF('Consulta1'!J4455="","",'Consulta1'!J4455)</f>
        <v/>
      </c>
    </row>
    <row r="364" spans="1:14" ht="18.75" x14ac:dyDescent="0.25">
      <c r="A364" s="82" t="str">
        <f>IF('Consulta1'!A4456="","",'Consulta1'!A4456)</f>
        <v/>
      </c>
      <c r="B364" s="82" t="str">
        <f>IF('Consulta1'!B4456="","",'Consulta1'!B4456)</f>
        <v/>
      </c>
      <c r="C364" s="83" t="str">
        <f>IF('Consulta1'!C4456="","",'Consulta1'!C4456)</f>
        <v/>
      </c>
      <c r="D364" s="84" t="str">
        <f>IF('Consulta1'!D4456="","",'Consulta1'!D4456)</f>
        <v/>
      </c>
      <c r="E364" s="82" t="str">
        <f>IF('Consulta1'!E4456="","",'Consulta1'!E4456)</f>
        <v/>
      </c>
      <c r="F364" t="str">
        <f>+IF(E364="","",VLOOKUP(E364,CATALOGO!G:L,6,0))</f>
        <v/>
      </c>
      <c r="G364" s="85" t="str">
        <f>IF('Consulta1'!F4456="","",'Consulta1'!F4456)</f>
        <v/>
      </c>
      <c r="H364" s="85" t="str">
        <f>IF('Consulta1'!G4456="","",'Consulta1'!G4456)</f>
        <v/>
      </c>
      <c r="I364" s="86" t="str">
        <f>IF('Consulta1'!H4456="","",'Consulta1'!H4456)</f>
        <v/>
      </c>
      <c r="J364" t="str">
        <f t="shared" si="5"/>
        <v/>
      </c>
      <c r="K364" t="str">
        <f>+IF(E364="","",VLOOKUP(E364,CATALOGO!G:I,2,0))</f>
        <v/>
      </c>
      <c r="L364" t="str">
        <f>+IF(E364="","",VLOOKUP(E364,CATALOGO!G:I,3,0))</f>
        <v/>
      </c>
      <c r="M364" s="87" t="str">
        <f>IF('Consulta1'!I4456="","",'Consulta1'!I4456)</f>
        <v/>
      </c>
      <c r="N364" s="88" t="str">
        <f>IF('Consulta1'!J4456="","",'Consulta1'!J4456)</f>
        <v/>
      </c>
    </row>
    <row r="365" spans="1:14" ht="18.75" x14ac:dyDescent="0.25">
      <c r="A365" s="82" t="str">
        <f>IF('Consulta1'!A4457="","",'Consulta1'!A4457)</f>
        <v/>
      </c>
      <c r="B365" s="82" t="str">
        <f>IF('Consulta1'!B4457="","",'Consulta1'!B4457)</f>
        <v/>
      </c>
      <c r="C365" s="83" t="str">
        <f>IF('Consulta1'!C4457="","",'Consulta1'!C4457)</f>
        <v/>
      </c>
      <c r="D365" s="84" t="str">
        <f>IF('Consulta1'!D4457="","",'Consulta1'!D4457)</f>
        <v/>
      </c>
      <c r="E365" s="82" t="str">
        <f>IF('Consulta1'!E4457="","",'Consulta1'!E4457)</f>
        <v/>
      </c>
      <c r="F365" t="str">
        <f>+IF(E365="","",VLOOKUP(E365,CATALOGO!G:L,6,0))</f>
        <v/>
      </c>
      <c r="G365" s="85" t="str">
        <f>IF('Consulta1'!F4457="","",'Consulta1'!F4457)</f>
        <v/>
      </c>
      <c r="H365" s="85" t="str">
        <f>IF('Consulta1'!G4457="","",'Consulta1'!G4457)</f>
        <v/>
      </c>
      <c r="I365" s="86" t="str">
        <f>IF('Consulta1'!H4457="","",'Consulta1'!H4457)</f>
        <v/>
      </c>
      <c r="J365" t="str">
        <f t="shared" si="5"/>
        <v/>
      </c>
      <c r="K365" t="str">
        <f>+IF(E365="","",VLOOKUP(E365,CATALOGO!G:I,2,0))</f>
        <v/>
      </c>
      <c r="L365" t="str">
        <f>+IF(E365="","",VLOOKUP(E365,CATALOGO!G:I,3,0))</f>
        <v/>
      </c>
      <c r="M365" s="87" t="str">
        <f>IF('Consulta1'!I4457="","",'Consulta1'!I4457)</f>
        <v/>
      </c>
      <c r="N365" s="88" t="str">
        <f>IF('Consulta1'!J4457="","",'Consulta1'!J4457)</f>
        <v/>
      </c>
    </row>
    <row r="366" spans="1:14" ht="18.75" x14ac:dyDescent="0.25">
      <c r="A366" s="82" t="str">
        <f>IF('Consulta1'!A4458="","",'Consulta1'!A4458)</f>
        <v/>
      </c>
      <c r="B366" s="82" t="str">
        <f>IF('Consulta1'!B4458="","",'Consulta1'!B4458)</f>
        <v/>
      </c>
      <c r="C366" s="83" t="str">
        <f>IF('Consulta1'!C4458="","",'Consulta1'!C4458)</f>
        <v/>
      </c>
      <c r="D366" s="84" t="str">
        <f>IF('Consulta1'!D4458="","",'Consulta1'!D4458)</f>
        <v/>
      </c>
      <c r="E366" s="82" t="str">
        <f>IF('Consulta1'!E4458="","",'Consulta1'!E4458)</f>
        <v/>
      </c>
      <c r="F366" t="str">
        <f>+IF(E366="","",VLOOKUP(E366,CATALOGO!G:L,6,0))</f>
        <v/>
      </c>
      <c r="G366" s="85" t="str">
        <f>IF('Consulta1'!F4458="","",'Consulta1'!F4458)</f>
        <v/>
      </c>
      <c r="H366" s="85" t="str">
        <f>IF('Consulta1'!G4458="","",'Consulta1'!G4458)</f>
        <v/>
      </c>
      <c r="I366" s="86" t="str">
        <f>IF('Consulta1'!H4458="","",'Consulta1'!H4458)</f>
        <v/>
      </c>
      <c r="J366" t="str">
        <f t="shared" si="5"/>
        <v/>
      </c>
      <c r="K366" t="str">
        <f>+IF(E366="","",VLOOKUP(E366,CATALOGO!G:I,2,0))</f>
        <v/>
      </c>
      <c r="L366" t="str">
        <f>+IF(E366="","",VLOOKUP(E366,CATALOGO!G:I,3,0))</f>
        <v/>
      </c>
      <c r="M366" s="87" t="str">
        <f>IF('Consulta1'!I4458="","",'Consulta1'!I4458)</f>
        <v/>
      </c>
      <c r="N366" s="88" t="str">
        <f>IF('Consulta1'!J4458="","",'Consulta1'!J4458)</f>
        <v/>
      </c>
    </row>
    <row r="367" spans="1:14" ht="18.75" x14ac:dyDescent="0.25">
      <c r="A367" s="82" t="str">
        <f>IF('Consulta1'!A4459="","",'Consulta1'!A4459)</f>
        <v/>
      </c>
      <c r="B367" s="82" t="str">
        <f>IF('Consulta1'!B4459="","",'Consulta1'!B4459)</f>
        <v/>
      </c>
      <c r="C367" s="83" t="str">
        <f>IF('Consulta1'!C4459="","",'Consulta1'!C4459)</f>
        <v/>
      </c>
      <c r="D367" s="84" t="str">
        <f>IF('Consulta1'!D4459="","",'Consulta1'!D4459)</f>
        <v/>
      </c>
      <c r="E367" s="82" t="str">
        <f>IF('Consulta1'!E4459="","",'Consulta1'!E4459)</f>
        <v/>
      </c>
      <c r="F367" t="str">
        <f>+IF(E367="","",VLOOKUP(E367,CATALOGO!G:L,6,0))</f>
        <v/>
      </c>
      <c r="G367" s="85" t="str">
        <f>IF('Consulta1'!F4459="","",'Consulta1'!F4459)</f>
        <v/>
      </c>
      <c r="H367" s="85" t="str">
        <f>IF('Consulta1'!G4459="","",'Consulta1'!G4459)</f>
        <v/>
      </c>
      <c r="I367" s="86" t="str">
        <f>IF('Consulta1'!H4459="","",'Consulta1'!H4459)</f>
        <v/>
      </c>
      <c r="J367" t="str">
        <f t="shared" si="5"/>
        <v/>
      </c>
      <c r="K367" t="str">
        <f>+IF(E367="","",VLOOKUP(E367,CATALOGO!G:I,2,0))</f>
        <v/>
      </c>
      <c r="L367" t="str">
        <f>+IF(E367="","",VLOOKUP(E367,CATALOGO!G:I,3,0))</f>
        <v/>
      </c>
      <c r="M367" s="87" t="str">
        <f>IF('Consulta1'!I4459="","",'Consulta1'!I4459)</f>
        <v/>
      </c>
      <c r="N367" s="88" t="str">
        <f>IF('Consulta1'!J4459="","",'Consulta1'!J4459)</f>
        <v/>
      </c>
    </row>
    <row r="368" spans="1:14" ht="18.75" x14ac:dyDescent="0.25">
      <c r="A368" s="82" t="str">
        <f>IF('Consulta1'!A4460="","",'Consulta1'!A4460)</f>
        <v/>
      </c>
      <c r="B368" s="82" t="str">
        <f>IF('Consulta1'!B4460="","",'Consulta1'!B4460)</f>
        <v/>
      </c>
      <c r="C368" s="83" t="str">
        <f>IF('Consulta1'!C4460="","",'Consulta1'!C4460)</f>
        <v/>
      </c>
      <c r="D368" s="84" t="str">
        <f>IF('Consulta1'!D4460="","",'Consulta1'!D4460)</f>
        <v/>
      </c>
      <c r="E368" s="82" t="str">
        <f>IF('Consulta1'!E4460="","",'Consulta1'!E4460)</f>
        <v/>
      </c>
      <c r="F368" t="str">
        <f>+IF(E368="","",VLOOKUP(E368,CATALOGO!G:L,6,0))</f>
        <v/>
      </c>
      <c r="G368" s="85" t="str">
        <f>IF('Consulta1'!F4460="","",'Consulta1'!F4460)</f>
        <v/>
      </c>
      <c r="H368" s="85" t="str">
        <f>IF('Consulta1'!G4460="","",'Consulta1'!G4460)</f>
        <v/>
      </c>
      <c r="I368" s="86" t="str">
        <f>IF('Consulta1'!H4460="","",'Consulta1'!H4460)</f>
        <v/>
      </c>
      <c r="J368" t="str">
        <f t="shared" si="5"/>
        <v/>
      </c>
      <c r="K368" t="str">
        <f>+IF(E368="","",VLOOKUP(E368,CATALOGO!G:I,2,0))</f>
        <v/>
      </c>
      <c r="L368" t="str">
        <f>+IF(E368="","",VLOOKUP(E368,CATALOGO!G:I,3,0))</f>
        <v/>
      </c>
      <c r="M368" s="87" t="str">
        <f>IF('Consulta1'!I4460="","",'Consulta1'!I4460)</f>
        <v/>
      </c>
      <c r="N368" s="88" t="str">
        <f>IF('Consulta1'!J4460="","",'Consulta1'!J4460)</f>
        <v/>
      </c>
    </row>
    <row r="369" spans="1:14" ht="18.75" x14ac:dyDescent="0.25">
      <c r="A369" s="82" t="str">
        <f>IF('Consulta1'!A4461="","",'Consulta1'!A4461)</f>
        <v/>
      </c>
      <c r="B369" s="82" t="str">
        <f>IF('Consulta1'!B4461="","",'Consulta1'!B4461)</f>
        <v/>
      </c>
      <c r="C369" s="83" t="str">
        <f>IF('Consulta1'!C4461="","",'Consulta1'!C4461)</f>
        <v/>
      </c>
      <c r="D369" s="84" t="str">
        <f>IF('Consulta1'!D4461="","",'Consulta1'!D4461)</f>
        <v/>
      </c>
      <c r="E369" s="82" t="str">
        <f>IF('Consulta1'!E4461="","",'Consulta1'!E4461)</f>
        <v/>
      </c>
      <c r="F369" t="str">
        <f>+IF(E369="","",VLOOKUP(E369,CATALOGO!G:L,6,0))</f>
        <v/>
      </c>
      <c r="G369" s="85" t="str">
        <f>IF('Consulta1'!F4461="","",'Consulta1'!F4461)</f>
        <v/>
      </c>
      <c r="H369" s="85" t="str">
        <f>IF('Consulta1'!G4461="","",'Consulta1'!G4461)</f>
        <v/>
      </c>
      <c r="I369" s="86" t="str">
        <f>IF('Consulta1'!H4461="","",'Consulta1'!H4461)</f>
        <v/>
      </c>
      <c r="J369" t="str">
        <f t="shared" si="5"/>
        <v/>
      </c>
      <c r="K369" t="str">
        <f>+IF(E369="","",VLOOKUP(E369,CATALOGO!G:I,2,0))</f>
        <v/>
      </c>
      <c r="L369" t="str">
        <f>+IF(E369="","",VLOOKUP(E369,CATALOGO!G:I,3,0))</f>
        <v/>
      </c>
      <c r="M369" s="87" t="str">
        <f>IF('Consulta1'!I4461="","",'Consulta1'!I4461)</f>
        <v/>
      </c>
      <c r="N369" s="88" t="str">
        <f>IF('Consulta1'!J4461="","",'Consulta1'!J4461)</f>
        <v/>
      </c>
    </row>
    <row r="370" spans="1:14" ht="18.75" x14ac:dyDescent="0.25">
      <c r="A370" s="82" t="str">
        <f>IF('Consulta1'!A4462="","",'Consulta1'!A4462)</f>
        <v/>
      </c>
      <c r="B370" s="82" t="str">
        <f>IF('Consulta1'!B4462="","",'Consulta1'!B4462)</f>
        <v/>
      </c>
      <c r="C370" s="83" t="str">
        <f>IF('Consulta1'!C4462="","",'Consulta1'!C4462)</f>
        <v/>
      </c>
      <c r="D370" s="84" t="str">
        <f>IF('Consulta1'!D4462="","",'Consulta1'!D4462)</f>
        <v/>
      </c>
      <c r="E370" s="82" t="str">
        <f>IF('Consulta1'!E4462="","",'Consulta1'!E4462)</f>
        <v/>
      </c>
      <c r="F370" t="str">
        <f>+IF(E370="","",VLOOKUP(E370,CATALOGO!G:L,6,0))</f>
        <v/>
      </c>
      <c r="G370" s="85" t="str">
        <f>IF('Consulta1'!F4462="","",'Consulta1'!F4462)</f>
        <v/>
      </c>
      <c r="H370" s="85" t="str">
        <f>IF('Consulta1'!G4462="","",'Consulta1'!G4462)</f>
        <v/>
      </c>
      <c r="I370" s="86" t="str">
        <f>IF('Consulta1'!H4462="","",'Consulta1'!H4462)</f>
        <v/>
      </c>
      <c r="J370" t="str">
        <f t="shared" si="5"/>
        <v/>
      </c>
      <c r="K370" t="str">
        <f>+IF(E370="","",VLOOKUP(E370,CATALOGO!G:I,2,0))</f>
        <v/>
      </c>
      <c r="L370" t="str">
        <f>+IF(E370="","",VLOOKUP(E370,CATALOGO!G:I,3,0))</f>
        <v/>
      </c>
      <c r="M370" s="87" t="str">
        <f>IF('Consulta1'!I4462="","",'Consulta1'!I4462)</f>
        <v/>
      </c>
      <c r="N370" s="88" t="str">
        <f>IF('Consulta1'!J4462="","",'Consulta1'!J4462)</f>
        <v/>
      </c>
    </row>
    <row r="371" spans="1:14" ht="18.75" x14ac:dyDescent="0.25">
      <c r="A371" s="82" t="str">
        <f>IF('Consulta1'!A4463="","",'Consulta1'!A4463)</f>
        <v/>
      </c>
      <c r="B371" s="82" t="str">
        <f>IF('Consulta1'!B4463="","",'Consulta1'!B4463)</f>
        <v/>
      </c>
      <c r="C371" s="83" t="str">
        <f>IF('Consulta1'!C4463="","",'Consulta1'!C4463)</f>
        <v/>
      </c>
      <c r="D371" s="84" t="str">
        <f>IF('Consulta1'!D4463="","",'Consulta1'!D4463)</f>
        <v/>
      </c>
      <c r="E371" s="82" t="str">
        <f>IF('Consulta1'!E4463="","",'Consulta1'!E4463)</f>
        <v/>
      </c>
      <c r="F371" t="str">
        <f>+IF(E371="","",VLOOKUP(E371,CATALOGO!G:L,6,0))</f>
        <v/>
      </c>
      <c r="G371" s="85" t="str">
        <f>IF('Consulta1'!F4463="","",'Consulta1'!F4463)</f>
        <v/>
      </c>
      <c r="H371" s="85" t="str">
        <f>IF('Consulta1'!G4463="","",'Consulta1'!G4463)</f>
        <v/>
      </c>
      <c r="I371" s="86" t="str">
        <f>IF('Consulta1'!H4463="","",'Consulta1'!H4463)</f>
        <v/>
      </c>
      <c r="J371" t="str">
        <f t="shared" si="5"/>
        <v/>
      </c>
      <c r="K371" t="str">
        <f>+IF(E371="","",VLOOKUP(E371,CATALOGO!G:I,2,0))</f>
        <v/>
      </c>
      <c r="L371" t="str">
        <f>+IF(E371="","",VLOOKUP(E371,CATALOGO!G:I,3,0))</f>
        <v/>
      </c>
      <c r="M371" s="87" t="str">
        <f>IF('Consulta1'!I4463="","",'Consulta1'!I4463)</f>
        <v/>
      </c>
      <c r="N371" s="88" t="str">
        <f>IF('Consulta1'!J4463="","",'Consulta1'!J4463)</f>
        <v/>
      </c>
    </row>
    <row r="372" spans="1:14" ht="18.75" x14ac:dyDescent="0.25">
      <c r="A372" s="82" t="str">
        <f>IF('Consulta1'!A4464="","",'Consulta1'!A4464)</f>
        <v/>
      </c>
      <c r="B372" s="82" t="str">
        <f>IF('Consulta1'!B4464="","",'Consulta1'!B4464)</f>
        <v/>
      </c>
      <c r="C372" s="83" t="str">
        <f>IF('Consulta1'!C4464="","",'Consulta1'!C4464)</f>
        <v/>
      </c>
      <c r="D372" s="84" t="str">
        <f>IF('Consulta1'!D4464="","",'Consulta1'!D4464)</f>
        <v/>
      </c>
      <c r="E372" s="82" t="str">
        <f>IF('Consulta1'!E4464="","",'Consulta1'!E4464)</f>
        <v/>
      </c>
      <c r="F372" t="str">
        <f>+IF(E372="","",VLOOKUP(E372,CATALOGO!G:L,6,0))</f>
        <v/>
      </c>
      <c r="G372" s="85" t="str">
        <f>IF('Consulta1'!F4464="","",'Consulta1'!F4464)</f>
        <v/>
      </c>
      <c r="H372" s="85" t="str">
        <f>IF('Consulta1'!G4464="","",'Consulta1'!G4464)</f>
        <v/>
      </c>
      <c r="I372" s="86" t="str">
        <f>IF('Consulta1'!H4464="","",'Consulta1'!H4464)</f>
        <v/>
      </c>
      <c r="J372" t="str">
        <f t="shared" si="5"/>
        <v/>
      </c>
      <c r="K372" t="str">
        <f>+IF(E372="","",VLOOKUP(E372,CATALOGO!G:I,2,0))</f>
        <v/>
      </c>
      <c r="L372" t="str">
        <f>+IF(E372="","",VLOOKUP(E372,CATALOGO!G:I,3,0))</f>
        <v/>
      </c>
      <c r="M372" s="87" t="str">
        <f>IF('Consulta1'!I4464="","",'Consulta1'!I4464)</f>
        <v/>
      </c>
      <c r="N372" s="88" t="str">
        <f>IF('Consulta1'!J4464="","",'Consulta1'!J4464)</f>
        <v/>
      </c>
    </row>
    <row r="373" spans="1:14" ht="18.75" x14ac:dyDescent="0.25">
      <c r="A373" s="82" t="str">
        <f>IF('Consulta1'!A4465="","",'Consulta1'!A4465)</f>
        <v/>
      </c>
      <c r="B373" s="82" t="str">
        <f>IF('Consulta1'!B4465="","",'Consulta1'!B4465)</f>
        <v/>
      </c>
      <c r="C373" s="83" t="str">
        <f>IF('Consulta1'!C4465="","",'Consulta1'!C4465)</f>
        <v/>
      </c>
      <c r="D373" s="84" t="str">
        <f>IF('Consulta1'!D4465="","",'Consulta1'!D4465)</f>
        <v/>
      </c>
      <c r="E373" s="82" t="str">
        <f>IF('Consulta1'!E4465="","",'Consulta1'!E4465)</f>
        <v/>
      </c>
      <c r="F373" t="str">
        <f>+IF(E373="","",VLOOKUP(E373,CATALOGO!G:L,6,0))</f>
        <v/>
      </c>
      <c r="G373" s="85" t="str">
        <f>IF('Consulta1'!F4465="","",'Consulta1'!F4465)</f>
        <v/>
      </c>
      <c r="H373" s="85" t="str">
        <f>IF('Consulta1'!G4465="","",'Consulta1'!G4465)</f>
        <v/>
      </c>
      <c r="I373" s="86" t="str">
        <f>IF('Consulta1'!H4465="","",'Consulta1'!H4465)</f>
        <v/>
      </c>
      <c r="J373" t="str">
        <f t="shared" si="5"/>
        <v/>
      </c>
      <c r="K373" t="str">
        <f>+IF(E373="","",VLOOKUP(E373,CATALOGO!G:I,2,0))</f>
        <v/>
      </c>
      <c r="L373" t="str">
        <f>+IF(E373="","",VLOOKUP(E373,CATALOGO!G:I,3,0))</f>
        <v/>
      </c>
      <c r="M373" s="87" t="str">
        <f>IF('Consulta1'!I4465="","",'Consulta1'!I4465)</f>
        <v/>
      </c>
      <c r="N373" s="88" t="str">
        <f>IF('Consulta1'!J4465="","",'Consulta1'!J4465)</f>
        <v/>
      </c>
    </row>
    <row r="374" spans="1:14" ht="18.75" x14ac:dyDescent="0.25">
      <c r="A374" s="82" t="str">
        <f>IF('Consulta1'!A4466="","",'Consulta1'!A4466)</f>
        <v/>
      </c>
      <c r="B374" s="82" t="str">
        <f>IF('Consulta1'!B4466="","",'Consulta1'!B4466)</f>
        <v/>
      </c>
      <c r="C374" s="83" t="str">
        <f>IF('Consulta1'!C4466="","",'Consulta1'!C4466)</f>
        <v/>
      </c>
      <c r="D374" s="84" t="str">
        <f>IF('Consulta1'!D4466="","",'Consulta1'!D4466)</f>
        <v/>
      </c>
      <c r="E374" s="82" t="str">
        <f>IF('Consulta1'!E4466="","",'Consulta1'!E4466)</f>
        <v/>
      </c>
      <c r="F374" t="str">
        <f>+IF(E374="","",VLOOKUP(E374,CATALOGO!G:L,6,0))</f>
        <v/>
      </c>
      <c r="G374" s="85" t="str">
        <f>IF('Consulta1'!F4466="","",'Consulta1'!F4466)</f>
        <v/>
      </c>
      <c r="H374" s="85" t="str">
        <f>IF('Consulta1'!G4466="","",'Consulta1'!G4466)</f>
        <v/>
      </c>
      <c r="I374" s="86" t="str">
        <f>IF('Consulta1'!H4466="","",'Consulta1'!H4466)</f>
        <v/>
      </c>
      <c r="J374" t="str">
        <f t="shared" si="5"/>
        <v/>
      </c>
      <c r="K374" t="str">
        <f>+IF(E374="","",VLOOKUP(E374,CATALOGO!G:I,2,0))</f>
        <v/>
      </c>
      <c r="L374" t="str">
        <f>+IF(E374="","",VLOOKUP(E374,CATALOGO!G:I,3,0))</f>
        <v/>
      </c>
      <c r="M374" s="87" t="str">
        <f>IF('Consulta1'!I4466="","",'Consulta1'!I4466)</f>
        <v/>
      </c>
      <c r="N374" s="88" t="str">
        <f>IF('Consulta1'!J4466="","",'Consulta1'!J4466)</f>
        <v/>
      </c>
    </row>
    <row r="375" spans="1:14" ht="18.75" x14ac:dyDescent="0.25">
      <c r="A375" s="82" t="str">
        <f>IF('Consulta1'!A4467="","",'Consulta1'!A4467)</f>
        <v/>
      </c>
      <c r="B375" s="82" t="str">
        <f>IF('Consulta1'!B4467="","",'Consulta1'!B4467)</f>
        <v/>
      </c>
      <c r="C375" s="83" t="str">
        <f>IF('Consulta1'!C4467="","",'Consulta1'!C4467)</f>
        <v/>
      </c>
      <c r="D375" s="84" t="str">
        <f>IF('Consulta1'!D4467="","",'Consulta1'!D4467)</f>
        <v/>
      </c>
      <c r="E375" s="82" t="str">
        <f>IF('Consulta1'!E4467="","",'Consulta1'!E4467)</f>
        <v/>
      </c>
      <c r="F375" t="str">
        <f>+IF(E375="","",VLOOKUP(E375,CATALOGO!G:L,6,0))</f>
        <v/>
      </c>
      <c r="G375" s="85" t="str">
        <f>IF('Consulta1'!F4467="","",'Consulta1'!F4467)</f>
        <v/>
      </c>
      <c r="H375" s="85" t="str">
        <f>IF('Consulta1'!G4467="","",'Consulta1'!G4467)</f>
        <v/>
      </c>
      <c r="I375" s="86" t="str">
        <f>IF('Consulta1'!H4467="","",'Consulta1'!H4467)</f>
        <v/>
      </c>
      <c r="J375" t="str">
        <f t="shared" si="5"/>
        <v/>
      </c>
      <c r="K375" t="str">
        <f>+IF(E375="","",VLOOKUP(E375,CATALOGO!G:I,2,0))</f>
        <v/>
      </c>
      <c r="L375" t="str">
        <f>+IF(E375="","",VLOOKUP(E375,CATALOGO!G:I,3,0))</f>
        <v/>
      </c>
      <c r="M375" s="87" t="str">
        <f>IF('Consulta1'!I4467="","",'Consulta1'!I4467)</f>
        <v/>
      </c>
      <c r="N375" s="88" t="str">
        <f>IF('Consulta1'!J4467="","",'Consulta1'!J4467)</f>
        <v/>
      </c>
    </row>
    <row r="376" spans="1:14" ht="18.75" x14ac:dyDescent="0.25">
      <c r="A376" s="82" t="str">
        <f>IF('Consulta1'!A4468="","",'Consulta1'!A4468)</f>
        <v/>
      </c>
      <c r="B376" s="82" t="str">
        <f>IF('Consulta1'!B4468="","",'Consulta1'!B4468)</f>
        <v/>
      </c>
      <c r="C376" s="83" t="str">
        <f>IF('Consulta1'!C4468="","",'Consulta1'!C4468)</f>
        <v/>
      </c>
      <c r="D376" s="84" t="str">
        <f>IF('Consulta1'!D4468="","",'Consulta1'!D4468)</f>
        <v/>
      </c>
      <c r="E376" s="82" t="str">
        <f>IF('Consulta1'!E4468="","",'Consulta1'!E4468)</f>
        <v/>
      </c>
      <c r="F376" t="str">
        <f>+IF(E376="","",VLOOKUP(E376,CATALOGO!G:L,6,0))</f>
        <v/>
      </c>
      <c r="G376" s="85" t="str">
        <f>IF('Consulta1'!F4468="","",'Consulta1'!F4468)</f>
        <v/>
      </c>
      <c r="H376" s="85" t="str">
        <f>IF('Consulta1'!G4468="","",'Consulta1'!G4468)</f>
        <v/>
      </c>
      <c r="I376" s="86" t="str">
        <f>IF('Consulta1'!H4468="","",'Consulta1'!H4468)</f>
        <v/>
      </c>
      <c r="J376" t="str">
        <f t="shared" si="5"/>
        <v/>
      </c>
      <c r="K376" t="str">
        <f>+IF(E376="","",VLOOKUP(E376,CATALOGO!G:I,2,0))</f>
        <v/>
      </c>
      <c r="L376" t="str">
        <f>+IF(E376="","",VLOOKUP(E376,CATALOGO!G:I,3,0))</f>
        <v/>
      </c>
      <c r="M376" s="87" t="str">
        <f>IF('Consulta1'!I4468="","",'Consulta1'!I4468)</f>
        <v/>
      </c>
      <c r="N376" s="88" t="str">
        <f>IF('Consulta1'!J4468="","",'Consulta1'!J4468)</f>
        <v/>
      </c>
    </row>
    <row r="377" spans="1:14" ht="18.75" x14ac:dyDescent="0.25">
      <c r="A377" s="82" t="str">
        <f>IF('Consulta1'!A4469="","",'Consulta1'!A4469)</f>
        <v/>
      </c>
      <c r="B377" s="82" t="str">
        <f>IF('Consulta1'!B4469="","",'Consulta1'!B4469)</f>
        <v/>
      </c>
      <c r="C377" s="83" t="str">
        <f>IF('Consulta1'!C4469="","",'Consulta1'!C4469)</f>
        <v/>
      </c>
      <c r="D377" s="84" t="str">
        <f>IF('Consulta1'!D4469="","",'Consulta1'!D4469)</f>
        <v/>
      </c>
      <c r="E377" s="82" t="str">
        <f>IF('Consulta1'!E4469="","",'Consulta1'!E4469)</f>
        <v/>
      </c>
      <c r="F377" t="str">
        <f>+IF(E377="","",VLOOKUP(E377,CATALOGO!G:L,6,0))</f>
        <v/>
      </c>
      <c r="G377" s="85" t="str">
        <f>IF('Consulta1'!F4469="","",'Consulta1'!F4469)</f>
        <v/>
      </c>
      <c r="H377" s="85" t="str">
        <f>IF('Consulta1'!G4469="","",'Consulta1'!G4469)</f>
        <v/>
      </c>
      <c r="I377" s="86" t="str">
        <f>IF('Consulta1'!H4469="","",'Consulta1'!H4469)</f>
        <v/>
      </c>
      <c r="J377" t="str">
        <f t="shared" si="5"/>
        <v/>
      </c>
      <c r="K377" t="str">
        <f>+IF(E377="","",VLOOKUP(E377,CATALOGO!G:I,2,0))</f>
        <v/>
      </c>
      <c r="L377" t="str">
        <f>+IF(E377="","",VLOOKUP(E377,CATALOGO!G:I,3,0))</f>
        <v/>
      </c>
      <c r="M377" s="87" t="str">
        <f>IF('Consulta1'!I4469="","",'Consulta1'!I4469)</f>
        <v/>
      </c>
      <c r="N377" s="88" t="str">
        <f>IF('Consulta1'!J4469="","",'Consulta1'!J4469)</f>
        <v/>
      </c>
    </row>
    <row r="378" spans="1:14" ht="18.75" x14ac:dyDescent="0.25">
      <c r="A378" s="82" t="str">
        <f>IF('Consulta1'!A4470="","",'Consulta1'!A4470)</f>
        <v/>
      </c>
      <c r="B378" s="82" t="str">
        <f>IF('Consulta1'!B4470="","",'Consulta1'!B4470)</f>
        <v/>
      </c>
      <c r="C378" s="83" t="str">
        <f>IF('Consulta1'!C4470="","",'Consulta1'!C4470)</f>
        <v/>
      </c>
      <c r="D378" s="84" t="str">
        <f>IF('Consulta1'!D4470="","",'Consulta1'!D4470)</f>
        <v/>
      </c>
      <c r="E378" s="82" t="str">
        <f>IF('Consulta1'!E4470="","",'Consulta1'!E4470)</f>
        <v/>
      </c>
      <c r="F378" t="str">
        <f>+IF(E378="","",VLOOKUP(E378,CATALOGO!G:L,6,0))</f>
        <v/>
      </c>
      <c r="G378" s="85" t="str">
        <f>IF('Consulta1'!F4470="","",'Consulta1'!F4470)</f>
        <v/>
      </c>
      <c r="H378" s="85" t="str">
        <f>IF('Consulta1'!G4470="","",'Consulta1'!G4470)</f>
        <v/>
      </c>
      <c r="I378" s="86" t="str">
        <f>IF('Consulta1'!H4470="","",'Consulta1'!H4470)</f>
        <v/>
      </c>
      <c r="J378" t="str">
        <f t="shared" si="5"/>
        <v/>
      </c>
      <c r="K378" t="str">
        <f>+IF(E378="","",VLOOKUP(E378,CATALOGO!G:I,2,0))</f>
        <v/>
      </c>
      <c r="L378" t="str">
        <f>+IF(E378="","",VLOOKUP(E378,CATALOGO!G:I,3,0))</f>
        <v/>
      </c>
      <c r="M378" s="87" t="str">
        <f>IF('Consulta1'!I4470="","",'Consulta1'!I4470)</f>
        <v/>
      </c>
      <c r="N378" s="88" t="str">
        <f>IF('Consulta1'!J4470="","",'Consulta1'!J4470)</f>
        <v/>
      </c>
    </row>
    <row r="379" spans="1:14" ht="18.75" x14ac:dyDescent="0.25">
      <c r="A379" s="82" t="str">
        <f>IF('Consulta1'!A4471="","",'Consulta1'!A4471)</f>
        <v/>
      </c>
      <c r="B379" s="82" t="str">
        <f>IF('Consulta1'!B4471="","",'Consulta1'!B4471)</f>
        <v/>
      </c>
      <c r="C379" s="83" t="str">
        <f>IF('Consulta1'!C4471="","",'Consulta1'!C4471)</f>
        <v/>
      </c>
      <c r="D379" s="84" t="str">
        <f>IF('Consulta1'!D4471="","",'Consulta1'!D4471)</f>
        <v/>
      </c>
      <c r="E379" s="82" t="str">
        <f>IF('Consulta1'!E4471="","",'Consulta1'!E4471)</f>
        <v/>
      </c>
      <c r="F379" t="str">
        <f>+IF(E379="","",VLOOKUP(E379,CATALOGO!G:L,6,0))</f>
        <v/>
      </c>
      <c r="G379" s="85" t="str">
        <f>IF('Consulta1'!F4471="","",'Consulta1'!F4471)</f>
        <v/>
      </c>
      <c r="H379" s="85" t="str">
        <f>IF('Consulta1'!G4471="","",'Consulta1'!G4471)</f>
        <v/>
      </c>
      <c r="I379" s="86" t="str">
        <f>IF('Consulta1'!H4471="","",'Consulta1'!H4471)</f>
        <v/>
      </c>
      <c r="J379" t="str">
        <f t="shared" si="5"/>
        <v/>
      </c>
      <c r="K379" t="str">
        <f>+IF(E379="","",VLOOKUP(E379,CATALOGO!G:I,2,0))</f>
        <v/>
      </c>
      <c r="L379" t="str">
        <f>+IF(E379="","",VLOOKUP(E379,CATALOGO!G:I,3,0))</f>
        <v/>
      </c>
      <c r="M379" s="87" t="str">
        <f>IF('Consulta1'!I4471="","",'Consulta1'!I4471)</f>
        <v/>
      </c>
      <c r="N379" s="88" t="str">
        <f>IF('Consulta1'!J4471="","",'Consulta1'!J4471)</f>
        <v/>
      </c>
    </row>
    <row r="380" spans="1:14" ht="18.75" x14ac:dyDescent="0.25">
      <c r="A380" s="82" t="str">
        <f>IF('Consulta1'!A4472="","",'Consulta1'!A4472)</f>
        <v/>
      </c>
      <c r="B380" s="82" t="str">
        <f>IF('Consulta1'!B4472="","",'Consulta1'!B4472)</f>
        <v/>
      </c>
      <c r="C380" s="83" t="str">
        <f>IF('Consulta1'!C4472="","",'Consulta1'!C4472)</f>
        <v/>
      </c>
      <c r="D380" s="84" t="str">
        <f>IF('Consulta1'!D4472="","",'Consulta1'!D4472)</f>
        <v/>
      </c>
      <c r="E380" s="82" t="str">
        <f>IF('Consulta1'!E4472="","",'Consulta1'!E4472)</f>
        <v/>
      </c>
      <c r="F380" t="str">
        <f>+IF(E380="","",VLOOKUP(E380,CATALOGO!G:L,6,0))</f>
        <v/>
      </c>
      <c r="G380" s="85" t="str">
        <f>IF('Consulta1'!F4472="","",'Consulta1'!F4472)</f>
        <v/>
      </c>
      <c r="H380" s="85" t="str">
        <f>IF('Consulta1'!G4472="","",'Consulta1'!G4472)</f>
        <v/>
      </c>
      <c r="I380" s="86" t="str">
        <f>IF('Consulta1'!H4472="","",'Consulta1'!H4472)</f>
        <v/>
      </c>
      <c r="J380" t="str">
        <f t="shared" si="5"/>
        <v/>
      </c>
      <c r="K380" t="str">
        <f>+IF(E380="","",VLOOKUP(E380,CATALOGO!G:I,2,0))</f>
        <v/>
      </c>
      <c r="L380" t="str">
        <f>+IF(E380="","",VLOOKUP(E380,CATALOGO!G:I,3,0))</f>
        <v/>
      </c>
      <c r="M380" s="87" t="str">
        <f>IF('Consulta1'!I4472="","",'Consulta1'!I4472)</f>
        <v/>
      </c>
      <c r="N380" s="88" t="str">
        <f>IF('Consulta1'!J4472="","",'Consulta1'!J4472)</f>
        <v/>
      </c>
    </row>
    <row r="381" spans="1:14" ht="18.75" x14ac:dyDescent="0.25">
      <c r="A381" s="82" t="str">
        <f>IF('Consulta1'!A4473="","",'Consulta1'!A4473)</f>
        <v/>
      </c>
      <c r="B381" s="82" t="str">
        <f>IF('Consulta1'!B4473="","",'Consulta1'!B4473)</f>
        <v/>
      </c>
      <c r="C381" s="83" t="str">
        <f>IF('Consulta1'!C4473="","",'Consulta1'!C4473)</f>
        <v/>
      </c>
      <c r="D381" s="84" t="str">
        <f>IF('Consulta1'!D4473="","",'Consulta1'!D4473)</f>
        <v/>
      </c>
      <c r="E381" s="82" t="str">
        <f>IF('Consulta1'!E4473="","",'Consulta1'!E4473)</f>
        <v/>
      </c>
      <c r="F381" t="str">
        <f>+IF(E381="","",VLOOKUP(E381,CATALOGO!G:L,6,0))</f>
        <v/>
      </c>
      <c r="G381" s="85" t="str">
        <f>IF('Consulta1'!F4473="","",'Consulta1'!F4473)</f>
        <v/>
      </c>
      <c r="H381" s="85" t="str">
        <f>IF('Consulta1'!G4473="","",'Consulta1'!G4473)</f>
        <v/>
      </c>
      <c r="I381" s="86" t="str">
        <f>IF('Consulta1'!H4473="","",'Consulta1'!H4473)</f>
        <v/>
      </c>
      <c r="J381" t="str">
        <f t="shared" si="5"/>
        <v/>
      </c>
      <c r="K381" t="str">
        <f>+IF(E381="","",VLOOKUP(E381,CATALOGO!G:I,2,0))</f>
        <v/>
      </c>
      <c r="L381" t="str">
        <f>+IF(E381="","",VLOOKUP(E381,CATALOGO!G:I,3,0))</f>
        <v/>
      </c>
      <c r="M381" s="87" t="str">
        <f>IF('Consulta1'!I4473="","",'Consulta1'!I4473)</f>
        <v/>
      </c>
      <c r="N381" s="88" t="str">
        <f>IF('Consulta1'!J4473="","",'Consulta1'!J4473)</f>
        <v/>
      </c>
    </row>
    <row r="382" spans="1:14" ht="18.75" x14ac:dyDescent="0.25">
      <c r="A382" s="82" t="str">
        <f>IF('Consulta1'!A4474="","",'Consulta1'!A4474)</f>
        <v/>
      </c>
      <c r="B382" s="82" t="str">
        <f>IF('Consulta1'!B4474="","",'Consulta1'!B4474)</f>
        <v/>
      </c>
      <c r="C382" s="83" t="str">
        <f>IF('Consulta1'!C4474="","",'Consulta1'!C4474)</f>
        <v/>
      </c>
      <c r="D382" s="84" t="str">
        <f>IF('Consulta1'!D4474="","",'Consulta1'!D4474)</f>
        <v/>
      </c>
      <c r="E382" s="82" t="str">
        <f>IF('Consulta1'!E4474="","",'Consulta1'!E4474)</f>
        <v/>
      </c>
      <c r="F382" t="str">
        <f>+IF(E382="","",VLOOKUP(E382,CATALOGO!G:L,6,0))</f>
        <v/>
      </c>
      <c r="G382" s="85" t="str">
        <f>IF('Consulta1'!F4474="","",'Consulta1'!F4474)</f>
        <v/>
      </c>
      <c r="H382" s="85" t="str">
        <f>IF('Consulta1'!G4474="","",'Consulta1'!G4474)</f>
        <v/>
      </c>
      <c r="I382" s="86" t="str">
        <f>IF('Consulta1'!H4474="","",'Consulta1'!H4474)</f>
        <v/>
      </c>
      <c r="J382" t="str">
        <f t="shared" si="5"/>
        <v/>
      </c>
      <c r="K382" t="str">
        <f>+IF(E382="","",VLOOKUP(E382,CATALOGO!G:I,2,0))</f>
        <v/>
      </c>
      <c r="L382" t="str">
        <f>+IF(E382="","",VLOOKUP(E382,CATALOGO!G:I,3,0))</f>
        <v/>
      </c>
      <c r="M382" s="87" t="str">
        <f>IF('Consulta1'!I4474="","",'Consulta1'!I4474)</f>
        <v/>
      </c>
      <c r="N382" s="88" t="str">
        <f>IF('Consulta1'!J4474="","",'Consulta1'!J4474)</f>
        <v/>
      </c>
    </row>
    <row r="383" spans="1:14" ht="18.75" x14ac:dyDescent="0.25">
      <c r="A383" s="82" t="str">
        <f>IF('Consulta1'!A4475="","",'Consulta1'!A4475)</f>
        <v/>
      </c>
      <c r="B383" s="82" t="str">
        <f>IF('Consulta1'!B4475="","",'Consulta1'!B4475)</f>
        <v/>
      </c>
      <c r="C383" s="83" t="str">
        <f>IF('Consulta1'!C4475="","",'Consulta1'!C4475)</f>
        <v/>
      </c>
      <c r="D383" s="84" t="str">
        <f>IF('Consulta1'!D4475="","",'Consulta1'!D4475)</f>
        <v/>
      </c>
      <c r="E383" s="82" t="str">
        <f>IF('Consulta1'!E4475="","",'Consulta1'!E4475)</f>
        <v/>
      </c>
      <c r="F383" t="str">
        <f>+IF(E383="","",VLOOKUP(E383,CATALOGO!G:L,6,0))</f>
        <v/>
      </c>
      <c r="G383" s="85" t="str">
        <f>IF('Consulta1'!F4475="","",'Consulta1'!F4475)</f>
        <v/>
      </c>
      <c r="H383" s="85" t="str">
        <f>IF('Consulta1'!G4475="","",'Consulta1'!G4475)</f>
        <v/>
      </c>
      <c r="I383" s="86" t="str">
        <f>IF('Consulta1'!H4475="","",'Consulta1'!H4475)</f>
        <v/>
      </c>
      <c r="J383" t="str">
        <f t="shared" si="5"/>
        <v/>
      </c>
      <c r="K383" t="str">
        <f>+IF(E383="","",VLOOKUP(E383,CATALOGO!G:I,2,0))</f>
        <v/>
      </c>
      <c r="L383" t="str">
        <f>+IF(E383="","",VLOOKUP(E383,CATALOGO!G:I,3,0))</f>
        <v/>
      </c>
      <c r="M383" s="87" t="str">
        <f>IF('Consulta1'!I4475="","",'Consulta1'!I4475)</f>
        <v/>
      </c>
      <c r="N383" s="88" t="str">
        <f>IF('Consulta1'!J4475="","",'Consulta1'!J4475)</f>
        <v/>
      </c>
    </row>
    <row r="384" spans="1:14" ht="18.75" x14ac:dyDescent="0.25">
      <c r="A384" s="82" t="str">
        <f>IF('Consulta1'!A4476="","",'Consulta1'!A4476)</f>
        <v/>
      </c>
      <c r="B384" s="82" t="str">
        <f>IF('Consulta1'!B4476="","",'Consulta1'!B4476)</f>
        <v/>
      </c>
      <c r="C384" s="83" t="str">
        <f>IF('Consulta1'!C4476="","",'Consulta1'!C4476)</f>
        <v/>
      </c>
      <c r="D384" s="84" t="str">
        <f>IF('Consulta1'!D4476="","",'Consulta1'!D4476)</f>
        <v/>
      </c>
      <c r="E384" s="82" t="str">
        <f>IF('Consulta1'!E4476="","",'Consulta1'!E4476)</f>
        <v/>
      </c>
      <c r="F384" t="str">
        <f>+IF(E384="","",VLOOKUP(E384,CATALOGO!G:L,6,0))</f>
        <v/>
      </c>
      <c r="G384" s="85" t="str">
        <f>IF('Consulta1'!F4476="","",'Consulta1'!F4476)</f>
        <v/>
      </c>
      <c r="H384" s="85" t="str">
        <f>IF('Consulta1'!G4476="","",'Consulta1'!G4476)</f>
        <v/>
      </c>
      <c r="I384" s="86" t="str">
        <f>IF('Consulta1'!H4476="","",'Consulta1'!H4476)</f>
        <v/>
      </c>
      <c r="J384" t="str">
        <f t="shared" si="5"/>
        <v/>
      </c>
      <c r="K384" t="str">
        <f>+IF(E384="","",VLOOKUP(E384,CATALOGO!G:I,2,0))</f>
        <v/>
      </c>
      <c r="L384" t="str">
        <f>+IF(E384="","",VLOOKUP(E384,CATALOGO!G:I,3,0))</f>
        <v/>
      </c>
      <c r="M384" s="87" t="str">
        <f>IF('Consulta1'!I4476="","",'Consulta1'!I4476)</f>
        <v/>
      </c>
      <c r="N384" s="88" t="str">
        <f>IF('Consulta1'!J4476="","",'Consulta1'!J4476)</f>
        <v/>
      </c>
    </row>
    <row r="385" spans="1:14" ht="18.75" x14ac:dyDescent="0.25">
      <c r="A385" s="82" t="str">
        <f>IF('Consulta1'!A4477="","",'Consulta1'!A4477)</f>
        <v/>
      </c>
      <c r="B385" s="82" t="str">
        <f>IF('Consulta1'!B4477="","",'Consulta1'!B4477)</f>
        <v/>
      </c>
      <c r="C385" s="83" t="str">
        <f>IF('Consulta1'!C4477="","",'Consulta1'!C4477)</f>
        <v/>
      </c>
      <c r="D385" s="84" t="str">
        <f>IF('Consulta1'!D4477="","",'Consulta1'!D4477)</f>
        <v/>
      </c>
      <c r="E385" s="82" t="str">
        <f>IF('Consulta1'!E4477="","",'Consulta1'!E4477)</f>
        <v/>
      </c>
      <c r="F385" t="str">
        <f>+IF(E385="","",VLOOKUP(E385,CATALOGO!G:L,6,0))</f>
        <v/>
      </c>
      <c r="G385" s="85" t="str">
        <f>IF('Consulta1'!F4477="","",'Consulta1'!F4477)</f>
        <v/>
      </c>
      <c r="H385" s="85" t="str">
        <f>IF('Consulta1'!G4477="","",'Consulta1'!G4477)</f>
        <v/>
      </c>
      <c r="I385" s="86" t="str">
        <f>IF('Consulta1'!H4477="","",'Consulta1'!H4477)</f>
        <v/>
      </c>
      <c r="J385" t="str">
        <f t="shared" si="5"/>
        <v/>
      </c>
      <c r="K385" t="str">
        <f>+IF(E385="","",VLOOKUP(E385,CATALOGO!G:I,2,0))</f>
        <v/>
      </c>
      <c r="L385" t="str">
        <f>+IF(E385="","",VLOOKUP(E385,CATALOGO!G:I,3,0))</f>
        <v/>
      </c>
      <c r="M385" s="87" t="str">
        <f>IF('Consulta1'!I4477="","",'Consulta1'!I4477)</f>
        <v/>
      </c>
      <c r="N385" s="88" t="str">
        <f>IF('Consulta1'!J4477="","",'Consulta1'!J4477)</f>
        <v/>
      </c>
    </row>
    <row r="386" spans="1:14" ht="18.75" x14ac:dyDescent="0.25">
      <c r="A386" s="82" t="str">
        <f>IF('Consulta1'!A4478="","",'Consulta1'!A4478)</f>
        <v/>
      </c>
      <c r="B386" s="82" t="str">
        <f>IF('Consulta1'!B4478="","",'Consulta1'!B4478)</f>
        <v/>
      </c>
      <c r="C386" s="83" t="str">
        <f>IF('Consulta1'!C4478="","",'Consulta1'!C4478)</f>
        <v/>
      </c>
      <c r="D386" s="84" t="str">
        <f>IF('Consulta1'!D4478="","",'Consulta1'!D4478)</f>
        <v/>
      </c>
      <c r="E386" s="82" t="str">
        <f>IF('Consulta1'!E4478="","",'Consulta1'!E4478)</f>
        <v/>
      </c>
      <c r="F386" t="str">
        <f>+IF(E386="","",VLOOKUP(E386,CATALOGO!G:L,6,0))</f>
        <v/>
      </c>
      <c r="G386" s="85" t="str">
        <f>IF('Consulta1'!F4478="","",'Consulta1'!F4478)</f>
        <v/>
      </c>
      <c r="H386" s="85" t="str">
        <f>IF('Consulta1'!G4478="","",'Consulta1'!G4478)</f>
        <v/>
      </c>
      <c r="I386" s="86" t="str">
        <f>IF('Consulta1'!H4478="","",'Consulta1'!H4478)</f>
        <v/>
      </c>
      <c r="J386" t="str">
        <f t="shared" si="5"/>
        <v/>
      </c>
      <c r="K386" t="str">
        <f>+IF(E386="","",VLOOKUP(E386,CATALOGO!G:I,2,0))</f>
        <v/>
      </c>
      <c r="L386" t="str">
        <f>+IF(E386="","",VLOOKUP(E386,CATALOGO!G:I,3,0))</f>
        <v/>
      </c>
      <c r="M386" s="87" t="str">
        <f>IF('Consulta1'!I4478="","",'Consulta1'!I4478)</f>
        <v/>
      </c>
      <c r="N386" s="88" t="str">
        <f>IF('Consulta1'!J4478="","",'Consulta1'!J4478)</f>
        <v/>
      </c>
    </row>
    <row r="387" spans="1:14" ht="18.75" x14ac:dyDescent="0.25">
      <c r="A387" s="82" t="str">
        <f>IF('Consulta1'!A4479="","",'Consulta1'!A4479)</f>
        <v/>
      </c>
      <c r="B387" s="82" t="str">
        <f>IF('Consulta1'!B4479="","",'Consulta1'!B4479)</f>
        <v/>
      </c>
      <c r="C387" s="83" t="str">
        <f>IF('Consulta1'!C4479="","",'Consulta1'!C4479)</f>
        <v/>
      </c>
      <c r="D387" s="84" t="str">
        <f>IF('Consulta1'!D4479="","",'Consulta1'!D4479)</f>
        <v/>
      </c>
      <c r="E387" s="82" t="str">
        <f>IF('Consulta1'!E4479="","",'Consulta1'!E4479)</f>
        <v/>
      </c>
      <c r="F387" t="str">
        <f>+IF(E387="","",VLOOKUP(E387,CATALOGO!G:L,6,0))</f>
        <v/>
      </c>
      <c r="G387" s="85" t="str">
        <f>IF('Consulta1'!F4479="","",'Consulta1'!F4479)</f>
        <v/>
      </c>
      <c r="H387" s="85" t="str">
        <f>IF('Consulta1'!G4479="","",'Consulta1'!G4479)</f>
        <v/>
      </c>
      <c r="I387" s="86" t="str">
        <f>IF('Consulta1'!H4479="","",'Consulta1'!H4479)</f>
        <v/>
      </c>
      <c r="J387" t="str">
        <f t="shared" ref="J387:J450" si="6">+IF(E387="","",WEEKNUM(I387))</f>
        <v/>
      </c>
      <c r="K387" t="str">
        <f>+IF(E387="","",VLOOKUP(E387,CATALOGO!G:I,2,0))</f>
        <v/>
      </c>
      <c r="L387" t="str">
        <f>+IF(E387="","",VLOOKUP(E387,CATALOGO!G:I,3,0))</f>
        <v/>
      </c>
      <c r="M387" s="87" t="str">
        <f>IF('Consulta1'!I4479="","",'Consulta1'!I4479)</f>
        <v/>
      </c>
      <c r="N387" s="88" t="str">
        <f>IF('Consulta1'!J4479="","",'Consulta1'!J4479)</f>
        <v/>
      </c>
    </row>
    <row r="388" spans="1:14" ht="18.75" x14ac:dyDescent="0.25">
      <c r="A388" s="82" t="str">
        <f>IF('Consulta1'!A4480="","",'Consulta1'!A4480)</f>
        <v/>
      </c>
      <c r="B388" s="82" t="str">
        <f>IF('Consulta1'!B4480="","",'Consulta1'!B4480)</f>
        <v/>
      </c>
      <c r="C388" s="83" t="str">
        <f>IF('Consulta1'!C4480="","",'Consulta1'!C4480)</f>
        <v/>
      </c>
      <c r="D388" s="84" t="str">
        <f>IF('Consulta1'!D4480="","",'Consulta1'!D4480)</f>
        <v/>
      </c>
      <c r="E388" s="82" t="str">
        <f>IF('Consulta1'!E4480="","",'Consulta1'!E4480)</f>
        <v/>
      </c>
      <c r="F388" t="str">
        <f>+IF(E388="","",VLOOKUP(E388,CATALOGO!G:L,6,0))</f>
        <v/>
      </c>
      <c r="G388" s="85" t="str">
        <f>IF('Consulta1'!F4480="","",'Consulta1'!F4480)</f>
        <v/>
      </c>
      <c r="H388" s="85" t="str">
        <f>IF('Consulta1'!G4480="","",'Consulta1'!G4480)</f>
        <v/>
      </c>
      <c r="I388" s="86" t="str">
        <f>IF('Consulta1'!H4480="","",'Consulta1'!H4480)</f>
        <v/>
      </c>
      <c r="J388" t="str">
        <f t="shared" si="6"/>
        <v/>
      </c>
      <c r="K388" t="str">
        <f>+IF(E388="","",VLOOKUP(E388,CATALOGO!G:I,2,0))</f>
        <v/>
      </c>
      <c r="L388" t="str">
        <f>+IF(E388="","",VLOOKUP(E388,CATALOGO!G:I,3,0))</f>
        <v/>
      </c>
      <c r="M388" s="87" t="str">
        <f>IF('Consulta1'!I4480="","",'Consulta1'!I4480)</f>
        <v/>
      </c>
      <c r="N388" s="88" t="str">
        <f>IF('Consulta1'!J4480="","",'Consulta1'!J4480)</f>
        <v/>
      </c>
    </row>
    <row r="389" spans="1:14" ht="18.75" x14ac:dyDescent="0.25">
      <c r="A389" s="82" t="str">
        <f>IF('Consulta1'!A4481="","",'Consulta1'!A4481)</f>
        <v/>
      </c>
      <c r="B389" s="82" t="str">
        <f>IF('Consulta1'!B4481="","",'Consulta1'!B4481)</f>
        <v/>
      </c>
      <c r="C389" s="83" t="str">
        <f>IF('Consulta1'!C4481="","",'Consulta1'!C4481)</f>
        <v/>
      </c>
      <c r="D389" s="84" t="str">
        <f>IF('Consulta1'!D4481="","",'Consulta1'!D4481)</f>
        <v/>
      </c>
      <c r="E389" s="82" t="str">
        <f>IF('Consulta1'!E4481="","",'Consulta1'!E4481)</f>
        <v/>
      </c>
      <c r="F389" t="str">
        <f>+IF(E389="","",VLOOKUP(E389,CATALOGO!G:L,6,0))</f>
        <v/>
      </c>
      <c r="G389" s="85" t="str">
        <f>IF('Consulta1'!F4481="","",'Consulta1'!F4481)</f>
        <v/>
      </c>
      <c r="H389" s="85" t="str">
        <f>IF('Consulta1'!G4481="","",'Consulta1'!G4481)</f>
        <v/>
      </c>
      <c r="I389" s="86" t="str">
        <f>IF('Consulta1'!H4481="","",'Consulta1'!H4481)</f>
        <v/>
      </c>
      <c r="J389" t="str">
        <f t="shared" si="6"/>
        <v/>
      </c>
      <c r="K389" t="str">
        <f>+IF(E389="","",VLOOKUP(E389,CATALOGO!G:I,2,0))</f>
        <v/>
      </c>
      <c r="L389" t="str">
        <f>+IF(E389="","",VLOOKUP(E389,CATALOGO!G:I,3,0))</f>
        <v/>
      </c>
      <c r="M389" s="87" t="str">
        <f>IF('Consulta1'!I4481="","",'Consulta1'!I4481)</f>
        <v/>
      </c>
      <c r="N389" s="88" t="str">
        <f>IF('Consulta1'!J4481="","",'Consulta1'!J4481)</f>
        <v/>
      </c>
    </row>
    <row r="390" spans="1:14" ht="18.75" x14ac:dyDescent="0.25">
      <c r="A390" s="82" t="str">
        <f>IF('Consulta1'!A4482="","",'Consulta1'!A4482)</f>
        <v/>
      </c>
      <c r="B390" s="82" t="str">
        <f>IF('Consulta1'!B4482="","",'Consulta1'!B4482)</f>
        <v/>
      </c>
      <c r="C390" s="83" t="str">
        <f>IF('Consulta1'!C4482="","",'Consulta1'!C4482)</f>
        <v/>
      </c>
      <c r="D390" s="84" t="str">
        <f>IF('Consulta1'!D4482="","",'Consulta1'!D4482)</f>
        <v/>
      </c>
      <c r="E390" s="82" t="str">
        <f>IF('Consulta1'!E4482="","",'Consulta1'!E4482)</f>
        <v/>
      </c>
      <c r="F390" t="str">
        <f>+IF(E390="","",VLOOKUP(E390,CATALOGO!G:L,6,0))</f>
        <v/>
      </c>
      <c r="G390" s="85" t="str">
        <f>IF('Consulta1'!F4482="","",'Consulta1'!F4482)</f>
        <v/>
      </c>
      <c r="H390" s="85" t="str">
        <f>IF('Consulta1'!G4482="","",'Consulta1'!G4482)</f>
        <v/>
      </c>
      <c r="I390" s="86" t="str">
        <f>IF('Consulta1'!H4482="","",'Consulta1'!H4482)</f>
        <v/>
      </c>
      <c r="J390" t="str">
        <f t="shared" si="6"/>
        <v/>
      </c>
      <c r="K390" t="str">
        <f>+IF(E390="","",VLOOKUP(E390,CATALOGO!G:I,2,0))</f>
        <v/>
      </c>
      <c r="L390" t="str">
        <f>+IF(E390="","",VLOOKUP(E390,CATALOGO!G:I,3,0))</f>
        <v/>
      </c>
      <c r="M390" s="87" t="str">
        <f>IF('Consulta1'!I4482="","",'Consulta1'!I4482)</f>
        <v/>
      </c>
      <c r="N390" s="88" t="str">
        <f>IF('Consulta1'!J4482="","",'Consulta1'!J4482)</f>
        <v/>
      </c>
    </row>
    <row r="391" spans="1:14" ht="18.75" x14ac:dyDescent="0.25">
      <c r="A391" s="82" t="str">
        <f>IF('Consulta1'!A4483="","",'Consulta1'!A4483)</f>
        <v/>
      </c>
      <c r="B391" s="82" t="str">
        <f>IF('Consulta1'!B4483="","",'Consulta1'!B4483)</f>
        <v/>
      </c>
      <c r="C391" s="83" t="str">
        <f>IF('Consulta1'!C4483="","",'Consulta1'!C4483)</f>
        <v/>
      </c>
      <c r="D391" s="84" t="str">
        <f>IF('Consulta1'!D4483="","",'Consulta1'!D4483)</f>
        <v/>
      </c>
      <c r="E391" s="82" t="str">
        <f>IF('Consulta1'!E4483="","",'Consulta1'!E4483)</f>
        <v/>
      </c>
      <c r="F391" t="str">
        <f>+IF(E391="","",VLOOKUP(E391,CATALOGO!G:L,6,0))</f>
        <v/>
      </c>
      <c r="G391" s="85" t="str">
        <f>IF('Consulta1'!F4483="","",'Consulta1'!F4483)</f>
        <v/>
      </c>
      <c r="H391" s="85" t="str">
        <f>IF('Consulta1'!G4483="","",'Consulta1'!G4483)</f>
        <v/>
      </c>
      <c r="I391" s="86" t="str">
        <f>IF('Consulta1'!H4483="","",'Consulta1'!H4483)</f>
        <v/>
      </c>
      <c r="J391" t="str">
        <f t="shared" si="6"/>
        <v/>
      </c>
      <c r="K391" t="str">
        <f>+IF(E391="","",VLOOKUP(E391,CATALOGO!G:I,2,0))</f>
        <v/>
      </c>
      <c r="L391" t="str">
        <f>+IF(E391="","",VLOOKUP(E391,CATALOGO!G:I,3,0))</f>
        <v/>
      </c>
      <c r="M391" s="87" t="str">
        <f>IF('Consulta1'!I4483="","",'Consulta1'!I4483)</f>
        <v/>
      </c>
      <c r="N391" s="88" t="str">
        <f>IF('Consulta1'!J4483="","",'Consulta1'!J4483)</f>
        <v/>
      </c>
    </row>
    <row r="392" spans="1:14" ht="18.75" x14ac:dyDescent="0.25">
      <c r="A392" s="82" t="str">
        <f>IF('Consulta1'!A4484="","",'Consulta1'!A4484)</f>
        <v/>
      </c>
      <c r="B392" s="82" t="str">
        <f>IF('Consulta1'!B4484="","",'Consulta1'!B4484)</f>
        <v/>
      </c>
      <c r="C392" s="83" t="str">
        <f>IF('Consulta1'!C4484="","",'Consulta1'!C4484)</f>
        <v/>
      </c>
      <c r="D392" s="84" t="str">
        <f>IF('Consulta1'!D4484="","",'Consulta1'!D4484)</f>
        <v/>
      </c>
      <c r="E392" s="82" t="str">
        <f>IF('Consulta1'!E4484="","",'Consulta1'!E4484)</f>
        <v/>
      </c>
      <c r="F392" t="str">
        <f>+IF(E392="","",VLOOKUP(E392,CATALOGO!G:L,6,0))</f>
        <v/>
      </c>
      <c r="G392" s="85" t="str">
        <f>IF('Consulta1'!F4484="","",'Consulta1'!F4484)</f>
        <v/>
      </c>
      <c r="H392" s="85" t="str">
        <f>IF('Consulta1'!G4484="","",'Consulta1'!G4484)</f>
        <v/>
      </c>
      <c r="I392" s="86" t="str">
        <f>IF('Consulta1'!H4484="","",'Consulta1'!H4484)</f>
        <v/>
      </c>
      <c r="J392" t="str">
        <f t="shared" si="6"/>
        <v/>
      </c>
      <c r="K392" t="str">
        <f>+IF(E392="","",VLOOKUP(E392,CATALOGO!G:I,2,0))</f>
        <v/>
      </c>
      <c r="L392" t="str">
        <f>+IF(E392="","",VLOOKUP(E392,CATALOGO!G:I,3,0))</f>
        <v/>
      </c>
      <c r="M392" s="87" t="str">
        <f>IF('Consulta1'!I4484="","",'Consulta1'!I4484)</f>
        <v/>
      </c>
      <c r="N392" s="88" t="str">
        <f>IF('Consulta1'!J4484="","",'Consulta1'!J4484)</f>
        <v/>
      </c>
    </row>
    <row r="393" spans="1:14" ht="18.75" x14ac:dyDescent="0.25">
      <c r="A393" s="82" t="str">
        <f>IF('Consulta1'!A4485="","",'Consulta1'!A4485)</f>
        <v/>
      </c>
      <c r="B393" s="82" t="str">
        <f>IF('Consulta1'!B4485="","",'Consulta1'!B4485)</f>
        <v/>
      </c>
      <c r="C393" s="83" t="str">
        <f>IF('Consulta1'!C4485="","",'Consulta1'!C4485)</f>
        <v/>
      </c>
      <c r="D393" s="84" t="str">
        <f>IF('Consulta1'!D4485="","",'Consulta1'!D4485)</f>
        <v/>
      </c>
      <c r="E393" s="82" t="str">
        <f>IF('Consulta1'!E4485="","",'Consulta1'!E4485)</f>
        <v/>
      </c>
      <c r="F393" t="str">
        <f>+IF(E393="","",VLOOKUP(E393,CATALOGO!G:L,6,0))</f>
        <v/>
      </c>
      <c r="G393" s="85" t="str">
        <f>IF('Consulta1'!F4485="","",'Consulta1'!F4485)</f>
        <v/>
      </c>
      <c r="H393" s="85" t="str">
        <f>IF('Consulta1'!G4485="","",'Consulta1'!G4485)</f>
        <v/>
      </c>
      <c r="I393" s="86" t="str">
        <f>IF('Consulta1'!H4485="","",'Consulta1'!H4485)</f>
        <v/>
      </c>
      <c r="J393" t="str">
        <f t="shared" si="6"/>
        <v/>
      </c>
      <c r="K393" t="str">
        <f>+IF(E393="","",VLOOKUP(E393,CATALOGO!G:I,2,0))</f>
        <v/>
      </c>
      <c r="L393" t="str">
        <f>+IF(E393="","",VLOOKUP(E393,CATALOGO!G:I,3,0))</f>
        <v/>
      </c>
      <c r="M393" s="87" t="str">
        <f>IF('Consulta1'!I4485="","",'Consulta1'!I4485)</f>
        <v/>
      </c>
      <c r="N393" s="88" t="str">
        <f>IF('Consulta1'!J4485="","",'Consulta1'!J4485)</f>
        <v/>
      </c>
    </row>
    <row r="394" spans="1:14" ht="18.75" x14ac:dyDescent="0.25">
      <c r="A394" s="82" t="str">
        <f>IF('Consulta1'!A4486="","",'Consulta1'!A4486)</f>
        <v/>
      </c>
      <c r="B394" s="82" t="str">
        <f>IF('Consulta1'!B4486="","",'Consulta1'!B4486)</f>
        <v/>
      </c>
      <c r="C394" s="83" t="str">
        <f>IF('Consulta1'!C4486="","",'Consulta1'!C4486)</f>
        <v/>
      </c>
      <c r="D394" s="84" t="str">
        <f>IF('Consulta1'!D4486="","",'Consulta1'!D4486)</f>
        <v/>
      </c>
      <c r="E394" s="82" t="str">
        <f>IF('Consulta1'!E4486="","",'Consulta1'!E4486)</f>
        <v/>
      </c>
      <c r="F394" t="str">
        <f>+IF(E394="","",VLOOKUP(E394,CATALOGO!G:L,6,0))</f>
        <v/>
      </c>
      <c r="G394" s="85" t="str">
        <f>IF('Consulta1'!F4486="","",'Consulta1'!F4486)</f>
        <v/>
      </c>
      <c r="H394" s="85" t="str">
        <f>IF('Consulta1'!G4486="","",'Consulta1'!G4486)</f>
        <v/>
      </c>
      <c r="I394" s="86" t="str">
        <f>IF('Consulta1'!H4486="","",'Consulta1'!H4486)</f>
        <v/>
      </c>
      <c r="J394" t="str">
        <f t="shared" si="6"/>
        <v/>
      </c>
      <c r="K394" t="str">
        <f>+IF(E394="","",VLOOKUP(E394,CATALOGO!G:I,2,0))</f>
        <v/>
      </c>
      <c r="L394" t="str">
        <f>+IF(E394="","",VLOOKUP(E394,CATALOGO!G:I,3,0))</f>
        <v/>
      </c>
      <c r="M394" s="87" t="str">
        <f>IF('Consulta1'!I4486="","",'Consulta1'!I4486)</f>
        <v/>
      </c>
      <c r="N394" s="88" t="str">
        <f>IF('Consulta1'!J4486="","",'Consulta1'!J4486)</f>
        <v/>
      </c>
    </row>
    <row r="395" spans="1:14" ht="18.75" x14ac:dyDescent="0.25">
      <c r="A395" s="82" t="str">
        <f>IF('Consulta1'!A4487="","",'Consulta1'!A4487)</f>
        <v/>
      </c>
      <c r="B395" s="82" t="str">
        <f>IF('Consulta1'!B4487="","",'Consulta1'!B4487)</f>
        <v/>
      </c>
      <c r="C395" s="83" t="str">
        <f>IF('Consulta1'!C4487="","",'Consulta1'!C4487)</f>
        <v/>
      </c>
      <c r="D395" s="84" t="str">
        <f>IF('Consulta1'!D4487="","",'Consulta1'!D4487)</f>
        <v/>
      </c>
      <c r="E395" s="82" t="str">
        <f>IF('Consulta1'!E4487="","",'Consulta1'!E4487)</f>
        <v/>
      </c>
      <c r="F395" t="str">
        <f>+IF(E395="","",VLOOKUP(E395,CATALOGO!G:L,6,0))</f>
        <v/>
      </c>
      <c r="G395" s="85" t="str">
        <f>IF('Consulta1'!F4487="","",'Consulta1'!F4487)</f>
        <v/>
      </c>
      <c r="H395" s="85" t="str">
        <f>IF('Consulta1'!G4487="","",'Consulta1'!G4487)</f>
        <v/>
      </c>
      <c r="I395" s="86" t="str">
        <f>IF('Consulta1'!H4487="","",'Consulta1'!H4487)</f>
        <v/>
      </c>
      <c r="J395" t="str">
        <f t="shared" si="6"/>
        <v/>
      </c>
      <c r="K395" t="str">
        <f>+IF(E395="","",VLOOKUP(E395,CATALOGO!G:I,2,0))</f>
        <v/>
      </c>
      <c r="L395" t="str">
        <f>+IF(E395="","",VLOOKUP(E395,CATALOGO!G:I,3,0))</f>
        <v/>
      </c>
      <c r="M395" s="87" t="str">
        <f>IF('Consulta1'!I4487="","",'Consulta1'!I4487)</f>
        <v/>
      </c>
      <c r="N395" s="88" t="str">
        <f>IF('Consulta1'!J4487="","",'Consulta1'!J4487)</f>
        <v/>
      </c>
    </row>
    <row r="396" spans="1:14" ht="18.75" x14ac:dyDescent="0.25">
      <c r="A396" s="82" t="str">
        <f>IF('Consulta1'!A4488="","",'Consulta1'!A4488)</f>
        <v/>
      </c>
      <c r="B396" s="82" t="str">
        <f>IF('Consulta1'!B4488="","",'Consulta1'!B4488)</f>
        <v/>
      </c>
      <c r="C396" s="83" t="str">
        <f>IF('Consulta1'!C4488="","",'Consulta1'!C4488)</f>
        <v/>
      </c>
      <c r="D396" s="84" t="str">
        <f>IF('Consulta1'!D4488="","",'Consulta1'!D4488)</f>
        <v/>
      </c>
      <c r="E396" s="82" t="str">
        <f>IF('Consulta1'!E4488="","",'Consulta1'!E4488)</f>
        <v/>
      </c>
      <c r="F396" t="str">
        <f>+IF(E396="","",VLOOKUP(E396,CATALOGO!G:L,6,0))</f>
        <v/>
      </c>
      <c r="G396" s="85" t="str">
        <f>IF('Consulta1'!F4488="","",'Consulta1'!F4488)</f>
        <v/>
      </c>
      <c r="H396" s="85" t="str">
        <f>IF('Consulta1'!G4488="","",'Consulta1'!G4488)</f>
        <v/>
      </c>
      <c r="I396" s="86" t="str">
        <f>IF('Consulta1'!H4488="","",'Consulta1'!H4488)</f>
        <v/>
      </c>
      <c r="J396" t="str">
        <f t="shared" si="6"/>
        <v/>
      </c>
      <c r="K396" t="str">
        <f>+IF(E396="","",VLOOKUP(E396,CATALOGO!G:I,2,0))</f>
        <v/>
      </c>
      <c r="L396" t="str">
        <f>+IF(E396="","",VLOOKUP(E396,CATALOGO!G:I,3,0))</f>
        <v/>
      </c>
      <c r="M396" s="87" t="str">
        <f>IF('Consulta1'!I4488="","",'Consulta1'!I4488)</f>
        <v/>
      </c>
      <c r="N396" s="88" t="str">
        <f>IF('Consulta1'!J4488="","",'Consulta1'!J4488)</f>
        <v/>
      </c>
    </row>
    <row r="397" spans="1:14" ht="18.75" x14ac:dyDescent="0.25">
      <c r="A397" s="82" t="str">
        <f>IF('Consulta1'!A4489="","",'Consulta1'!A4489)</f>
        <v/>
      </c>
      <c r="B397" s="82" t="str">
        <f>IF('Consulta1'!B4489="","",'Consulta1'!B4489)</f>
        <v/>
      </c>
      <c r="C397" s="83" t="str">
        <f>IF('Consulta1'!C4489="","",'Consulta1'!C4489)</f>
        <v/>
      </c>
      <c r="D397" s="84" t="str">
        <f>IF('Consulta1'!D4489="","",'Consulta1'!D4489)</f>
        <v/>
      </c>
      <c r="E397" s="82" t="str">
        <f>IF('Consulta1'!E4489="","",'Consulta1'!E4489)</f>
        <v/>
      </c>
      <c r="F397" t="str">
        <f>+IF(E397="","",VLOOKUP(E397,CATALOGO!G:L,6,0))</f>
        <v/>
      </c>
      <c r="G397" s="85" t="str">
        <f>IF('Consulta1'!F4489="","",'Consulta1'!F4489)</f>
        <v/>
      </c>
      <c r="H397" s="85" t="str">
        <f>IF('Consulta1'!G4489="","",'Consulta1'!G4489)</f>
        <v/>
      </c>
      <c r="I397" s="86" t="str">
        <f>IF('Consulta1'!H4489="","",'Consulta1'!H4489)</f>
        <v/>
      </c>
      <c r="J397" t="str">
        <f t="shared" si="6"/>
        <v/>
      </c>
      <c r="K397" t="str">
        <f>+IF(E397="","",VLOOKUP(E397,CATALOGO!G:I,2,0))</f>
        <v/>
      </c>
      <c r="L397" t="str">
        <f>+IF(E397="","",VLOOKUP(E397,CATALOGO!G:I,3,0))</f>
        <v/>
      </c>
      <c r="M397" s="87" t="str">
        <f>IF('Consulta1'!I4489="","",'Consulta1'!I4489)</f>
        <v/>
      </c>
      <c r="N397" s="88" t="str">
        <f>IF('Consulta1'!J4489="","",'Consulta1'!J4489)</f>
        <v/>
      </c>
    </row>
    <row r="398" spans="1:14" ht="18.75" x14ac:dyDescent="0.25">
      <c r="A398" s="82" t="str">
        <f>IF('Consulta1'!A4490="","",'Consulta1'!A4490)</f>
        <v/>
      </c>
      <c r="B398" s="82" t="str">
        <f>IF('Consulta1'!B4490="","",'Consulta1'!B4490)</f>
        <v/>
      </c>
      <c r="C398" s="83" t="str">
        <f>IF('Consulta1'!C4490="","",'Consulta1'!C4490)</f>
        <v/>
      </c>
      <c r="D398" s="84" t="str">
        <f>IF('Consulta1'!D4490="","",'Consulta1'!D4490)</f>
        <v/>
      </c>
      <c r="E398" s="82" t="str">
        <f>IF('Consulta1'!E4490="","",'Consulta1'!E4490)</f>
        <v/>
      </c>
      <c r="F398" t="str">
        <f>+IF(E398="","",VLOOKUP(E398,CATALOGO!G:L,6,0))</f>
        <v/>
      </c>
      <c r="G398" s="85" t="str">
        <f>IF('Consulta1'!F4490="","",'Consulta1'!F4490)</f>
        <v/>
      </c>
      <c r="H398" s="85" t="str">
        <f>IF('Consulta1'!G4490="","",'Consulta1'!G4490)</f>
        <v/>
      </c>
      <c r="I398" s="86" t="str">
        <f>IF('Consulta1'!H4490="","",'Consulta1'!H4490)</f>
        <v/>
      </c>
      <c r="J398" t="str">
        <f t="shared" si="6"/>
        <v/>
      </c>
      <c r="K398" t="str">
        <f>+IF(E398="","",VLOOKUP(E398,CATALOGO!G:I,2,0))</f>
        <v/>
      </c>
      <c r="L398" t="str">
        <f>+IF(E398="","",VLOOKUP(E398,CATALOGO!G:I,3,0))</f>
        <v/>
      </c>
      <c r="M398" s="87" t="str">
        <f>IF('Consulta1'!I4490="","",'Consulta1'!I4490)</f>
        <v/>
      </c>
      <c r="N398" s="88" t="str">
        <f>IF('Consulta1'!J4490="","",'Consulta1'!J4490)</f>
        <v/>
      </c>
    </row>
    <row r="399" spans="1:14" ht="18.75" x14ac:dyDescent="0.25">
      <c r="A399" s="82" t="str">
        <f>IF('Consulta1'!A4491="","",'Consulta1'!A4491)</f>
        <v/>
      </c>
      <c r="B399" s="82" t="str">
        <f>IF('Consulta1'!B4491="","",'Consulta1'!B4491)</f>
        <v/>
      </c>
      <c r="C399" s="83" t="str">
        <f>IF('Consulta1'!C4491="","",'Consulta1'!C4491)</f>
        <v/>
      </c>
      <c r="D399" s="84" t="str">
        <f>IF('Consulta1'!D4491="","",'Consulta1'!D4491)</f>
        <v/>
      </c>
      <c r="E399" s="82" t="str">
        <f>IF('Consulta1'!E4491="","",'Consulta1'!E4491)</f>
        <v/>
      </c>
      <c r="F399" t="str">
        <f>+IF(E399="","",VLOOKUP(E399,CATALOGO!G:L,6,0))</f>
        <v/>
      </c>
      <c r="G399" s="85" t="str">
        <f>IF('Consulta1'!F4491="","",'Consulta1'!F4491)</f>
        <v/>
      </c>
      <c r="H399" s="85" t="str">
        <f>IF('Consulta1'!G4491="","",'Consulta1'!G4491)</f>
        <v/>
      </c>
      <c r="I399" s="86" t="str">
        <f>IF('Consulta1'!H4491="","",'Consulta1'!H4491)</f>
        <v/>
      </c>
      <c r="J399" t="str">
        <f t="shared" si="6"/>
        <v/>
      </c>
      <c r="K399" t="str">
        <f>+IF(E399="","",VLOOKUP(E399,CATALOGO!G:I,2,0))</f>
        <v/>
      </c>
      <c r="L399" t="str">
        <f>+IF(E399="","",VLOOKUP(E399,CATALOGO!G:I,3,0))</f>
        <v/>
      </c>
      <c r="M399" s="87" t="str">
        <f>IF('Consulta1'!I4491="","",'Consulta1'!I4491)</f>
        <v/>
      </c>
      <c r="N399" s="88" t="str">
        <f>IF('Consulta1'!J4491="","",'Consulta1'!J4491)</f>
        <v/>
      </c>
    </row>
    <row r="400" spans="1:14" ht="18.75" x14ac:dyDescent="0.25">
      <c r="A400" s="82" t="str">
        <f>IF('Consulta1'!A4492="","",'Consulta1'!A4492)</f>
        <v/>
      </c>
      <c r="B400" s="82" t="str">
        <f>IF('Consulta1'!B4492="","",'Consulta1'!B4492)</f>
        <v/>
      </c>
      <c r="C400" s="83" t="str">
        <f>IF('Consulta1'!C4492="","",'Consulta1'!C4492)</f>
        <v/>
      </c>
      <c r="D400" s="84" t="str">
        <f>IF('Consulta1'!D4492="","",'Consulta1'!D4492)</f>
        <v/>
      </c>
      <c r="E400" s="82" t="str">
        <f>IF('Consulta1'!E4492="","",'Consulta1'!E4492)</f>
        <v/>
      </c>
      <c r="F400" t="str">
        <f>+IF(E400="","",VLOOKUP(E400,CATALOGO!G:L,6,0))</f>
        <v/>
      </c>
      <c r="G400" s="85" t="str">
        <f>IF('Consulta1'!F4492="","",'Consulta1'!F4492)</f>
        <v/>
      </c>
      <c r="H400" s="85" t="str">
        <f>IF('Consulta1'!G4492="","",'Consulta1'!G4492)</f>
        <v/>
      </c>
      <c r="I400" s="86" t="str">
        <f>IF('Consulta1'!H4492="","",'Consulta1'!H4492)</f>
        <v/>
      </c>
      <c r="J400" t="str">
        <f t="shared" si="6"/>
        <v/>
      </c>
      <c r="K400" t="str">
        <f>+IF(E400="","",VLOOKUP(E400,CATALOGO!G:I,2,0))</f>
        <v/>
      </c>
      <c r="L400" t="str">
        <f>+IF(E400="","",VLOOKUP(E400,CATALOGO!G:I,3,0))</f>
        <v/>
      </c>
      <c r="M400" s="87" t="str">
        <f>IF('Consulta1'!I4492="","",'Consulta1'!I4492)</f>
        <v/>
      </c>
      <c r="N400" s="88" t="str">
        <f>IF('Consulta1'!J4492="","",'Consulta1'!J4492)</f>
        <v/>
      </c>
    </row>
    <row r="401" spans="1:14" ht="18.75" x14ac:dyDescent="0.25">
      <c r="A401" s="82" t="str">
        <f>IF('Consulta1'!A4493="","",'Consulta1'!A4493)</f>
        <v/>
      </c>
      <c r="B401" s="82" t="str">
        <f>IF('Consulta1'!B4493="","",'Consulta1'!B4493)</f>
        <v/>
      </c>
      <c r="C401" s="83" t="str">
        <f>IF('Consulta1'!C4493="","",'Consulta1'!C4493)</f>
        <v/>
      </c>
      <c r="D401" s="84" t="str">
        <f>IF('Consulta1'!D4493="","",'Consulta1'!D4493)</f>
        <v/>
      </c>
      <c r="E401" s="82" t="str">
        <f>IF('Consulta1'!E4493="","",'Consulta1'!E4493)</f>
        <v/>
      </c>
      <c r="F401" t="str">
        <f>+IF(E401="","",VLOOKUP(E401,CATALOGO!G:L,6,0))</f>
        <v/>
      </c>
      <c r="G401" s="85" t="str">
        <f>IF('Consulta1'!F4493="","",'Consulta1'!F4493)</f>
        <v/>
      </c>
      <c r="H401" s="85" t="str">
        <f>IF('Consulta1'!G4493="","",'Consulta1'!G4493)</f>
        <v/>
      </c>
      <c r="I401" s="86" t="str">
        <f>IF('Consulta1'!H4493="","",'Consulta1'!H4493)</f>
        <v/>
      </c>
      <c r="J401" t="str">
        <f t="shared" si="6"/>
        <v/>
      </c>
      <c r="K401" t="str">
        <f>+IF(E401="","",VLOOKUP(E401,CATALOGO!G:I,2,0))</f>
        <v/>
      </c>
      <c r="L401" t="str">
        <f>+IF(E401="","",VLOOKUP(E401,CATALOGO!G:I,3,0))</f>
        <v/>
      </c>
      <c r="M401" s="87" t="str">
        <f>IF('Consulta1'!I4493="","",'Consulta1'!I4493)</f>
        <v/>
      </c>
      <c r="N401" s="88" t="str">
        <f>IF('Consulta1'!J4493="","",'Consulta1'!J4493)</f>
        <v/>
      </c>
    </row>
    <row r="402" spans="1:14" ht="18.75" x14ac:dyDescent="0.25">
      <c r="A402" s="82" t="str">
        <f>IF('Consulta1'!A4494="","",'Consulta1'!A4494)</f>
        <v/>
      </c>
      <c r="B402" s="82" t="str">
        <f>IF('Consulta1'!B4494="","",'Consulta1'!B4494)</f>
        <v/>
      </c>
      <c r="C402" s="83" t="str">
        <f>IF('Consulta1'!C4494="","",'Consulta1'!C4494)</f>
        <v/>
      </c>
      <c r="D402" s="84" t="str">
        <f>IF('Consulta1'!D4494="","",'Consulta1'!D4494)</f>
        <v/>
      </c>
      <c r="E402" s="82" t="str">
        <f>IF('Consulta1'!E4494="","",'Consulta1'!E4494)</f>
        <v/>
      </c>
      <c r="F402" t="str">
        <f>+IF(E402="","",VLOOKUP(E402,CATALOGO!G:L,6,0))</f>
        <v/>
      </c>
      <c r="G402" s="85" t="str">
        <f>IF('Consulta1'!F4494="","",'Consulta1'!F4494)</f>
        <v/>
      </c>
      <c r="H402" s="85" t="str">
        <f>IF('Consulta1'!G4494="","",'Consulta1'!G4494)</f>
        <v/>
      </c>
      <c r="I402" s="86" t="str">
        <f>IF('Consulta1'!H4494="","",'Consulta1'!H4494)</f>
        <v/>
      </c>
      <c r="J402" t="str">
        <f t="shared" si="6"/>
        <v/>
      </c>
      <c r="K402" t="str">
        <f>+IF(E402="","",VLOOKUP(E402,CATALOGO!G:I,2,0))</f>
        <v/>
      </c>
      <c r="L402" t="str">
        <f>+IF(E402="","",VLOOKUP(E402,CATALOGO!G:I,3,0))</f>
        <v/>
      </c>
      <c r="M402" s="87" t="str">
        <f>IF('Consulta1'!I4494="","",'Consulta1'!I4494)</f>
        <v/>
      </c>
      <c r="N402" s="88" t="str">
        <f>IF('Consulta1'!J4494="","",'Consulta1'!J4494)</f>
        <v/>
      </c>
    </row>
    <row r="403" spans="1:14" ht="18.75" x14ac:dyDescent="0.25">
      <c r="A403" s="82" t="str">
        <f>IF('Consulta1'!A4495="","",'Consulta1'!A4495)</f>
        <v/>
      </c>
      <c r="B403" s="82" t="str">
        <f>IF('Consulta1'!B4495="","",'Consulta1'!B4495)</f>
        <v/>
      </c>
      <c r="C403" s="83" t="str">
        <f>IF('Consulta1'!C4495="","",'Consulta1'!C4495)</f>
        <v/>
      </c>
      <c r="D403" s="84" t="str">
        <f>IF('Consulta1'!D4495="","",'Consulta1'!D4495)</f>
        <v/>
      </c>
      <c r="E403" s="82" t="str">
        <f>IF('Consulta1'!E4495="","",'Consulta1'!E4495)</f>
        <v/>
      </c>
      <c r="F403" t="str">
        <f>+IF(E403="","",VLOOKUP(E403,CATALOGO!G:L,6,0))</f>
        <v/>
      </c>
      <c r="G403" s="85" t="str">
        <f>IF('Consulta1'!F4495="","",'Consulta1'!F4495)</f>
        <v/>
      </c>
      <c r="H403" s="85" t="str">
        <f>IF('Consulta1'!G4495="","",'Consulta1'!G4495)</f>
        <v/>
      </c>
      <c r="I403" s="86" t="str">
        <f>IF('Consulta1'!H4495="","",'Consulta1'!H4495)</f>
        <v/>
      </c>
      <c r="J403" t="str">
        <f t="shared" si="6"/>
        <v/>
      </c>
      <c r="K403" t="str">
        <f>+IF(E403="","",VLOOKUP(E403,CATALOGO!G:I,2,0))</f>
        <v/>
      </c>
      <c r="L403" t="str">
        <f>+IF(E403="","",VLOOKUP(E403,CATALOGO!G:I,3,0))</f>
        <v/>
      </c>
      <c r="M403" s="87" t="str">
        <f>IF('Consulta1'!I4495="","",'Consulta1'!I4495)</f>
        <v/>
      </c>
      <c r="N403" s="88" t="str">
        <f>IF('Consulta1'!J4495="","",'Consulta1'!J4495)</f>
        <v/>
      </c>
    </row>
    <row r="404" spans="1:14" ht="18.75" x14ac:dyDescent="0.25">
      <c r="A404" s="82" t="str">
        <f>IF('Consulta1'!A4496="","",'Consulta1'!A4496)</f>
        <v/>
      </c>
      <c r="B404" s="82" t="str">
        <f>IF('Consulta1'!B4496="","",'Consulta1'!B4496)</f>
        <v/>
      </c>
      <c r="C404" s="83" t="str">
        <f>IF('Consulta1'!C4496="","",'Consulta1'!C4496)</f>
        <v/>
      </c>
      <c r="D404" s="84" t="str">
        <f>IF('Consulta1'!D4496="","",'Consulta1'!D4496)</f>
        <v/>
      </c>
      <c r="E404" s="82" t="str">
        <f>IF('Consulta1'!E4496="","",'Consulta1'!E4496)</f>
        <v/>
      </c>
      <c r="F404" t="str">
        <f>+IF(E404="","",VLOOKUP(E404,CATALOGO!G:L,6,0))</f>
        <v/>
      </c>
      <c r="G404" s="85" t="str">
        <f>IF('Consulta1'!F4496="","",'Consulta1'!F4496)</f>
        <v/>
      </c>
      <c r="H404" s="85" t="str">
        <f>IF('Consulta1'!G4496="","",'Consulta1'!G4496)</f>
        <v/>
      </c>
      <c r="I404" s="86" t="str">
        <f>IF('Consulta1'!H4496="","",'Consulta1'!H4496)</f>
        <v/>
      </c>
      <c r="J404" t="str">
        <f t="shared" si="6"/>
        <v/>
      </c>
      <c r="K404" t="str">
        <f>+IF(E404="","",VLOOKUP(E404,CATALOGO!G:I,2,0))</f>
        <v/>
      </c>
      <c r="L404" t="str">
        <f>+IF(E404="","",VLOOKUP(E404,CATALOGO!G:I,3,0))</f>
        <v/>
      </c>
      <c r="M404" s="87" t="str">
        <f>IF('Consulta1'!I4496="","",'Consulta1'!I4496)</f>
        <v/>
      </c>
      <c r="N404" s="88" t="str">
        <f>IF('Consulta1'!J4496="","",'Consulta1'!J4496)</f>
        <v/>
      </c>
    </row>
    <row r="405" spans="1:14" ht="18.75" x14ac:dyDescent="0.25">
      <c r="A405" s="82" t="str">
        <f>IF('Consulta1'!A4497="","",'Consulta1'!A4497)</f>
        <v/>
      </c>
      <c r="B405" s="82" t="str">
        <f>IF('Consulta1'!B4497="","",'Consulta1'!B4497)</f>
        <v/>
      </c>
      <c r="C405" s="83" t="str">
        <f>IF('Consulta1'!C4497="","",'Consulta1'!C4497)</f>
        <v/>
      </c>
      <c r="D405" s="84" t="str">
        <f>IF('Consulta1'!D4497="","",'Consulta1'!D4497)</f>
        <v/>
      </c>
      <c r="E405" s="82" t="str">
        <f>IF('Consulta1'!E4497="","",'Consulta1'!E4497)</f>
        <v/>
      </c>
      <c r="F405" t="str">
        <f>+IF(E405="","",VLOOKUP(E405,CATALOGO!G:L,6,0))</f>
        <v/>
      </c>
      <c r="G405" s="85" t="str">
        <f>IF('Consulta1'!F4497="","",'Consulta1'!F4497)</f>
        <v/>
      </c>
      <c r="H405" s="85" t="str">
        <f>IF('Consulta1'!G4497="","",'Consulta1'!G4497)</f>
        <v/>
      </c>
      <c r="I405" s="86" t="str">
        <f>IF('Consulta1'!H4497="","",'Consulta1'!H4497)</f>
        <v/>
      </c>
      <c r="J405" t="str">
        <f t="shared" si="6"/>
        <v/>
      </c>
      <c r="K405" t="str">
        <f>+IF(E405="","",VLOOKUP(E405,CATALOGO!G:I,2,0))</f>
        <v/>
      </c>
      <c r="L405" t="str">
        <f>+IF(E405="","",VLOOKUP(E405,CATALOGO!G:I,3,0))</f>
        <v/>
      </c>
      <c r="M405" s="87" t="str">
        <f>IF('Consulta1'!I4497="","",'Consulta1'!I4497)</f>
        <v/>
      </c>
      <c r="N405" s="88" t="str">
        <f>IF('Consulta1'!J4497="","",'Consulta1'!J4497)</f>
        <v/>
      </c>
    </row>
    <row r="406" spans="1:14" ht="18.75" x14ac:dyDescent="0.25">
      <c r="A406" s="82" t="str">
        <f>IF('Consulta1'!A4498="","",'Consulta1'!A4498)</f>
        <v/>
      </c>
      <c r="B406" s="82" t="str">
        <f>IF('Consulta1'!B4498="","",'Consulta1'!B4498)</f>
        <v/>
      </c>
      <c r="C406" s="83" t="str">
        <f>IF('Consulta1'!C4498="","",'Consulta1'!C4498)</f>
        <v/>
      </c>
      <c r="D406" s="84" t="str">
        <f>IF('Consulta1'!D4498="","",'Consulta1'!D4498)</f>
        <v/>
      </c>
      <c r="E406" s="82" t="str">
        <f>IF('Consulta1'!E4498="","",'Consulta1'!E4498)</f>
        <v/>
      </c>
      <c r="F406" t="str">
        <f>+IF(E406="","",VLOOKUP(E406,CATALOGO!G:L,6,0))</f>
        <v/>
      </c>
      <c r="G406" s="85" t="str">
        <f>IF('Consulta1'!F4498="","",'Consulta1'!F4498)</f>
        <v/>
      </c>
      <c r="H406" s="85" t="str">
        <f>IF('Consulta1'!G4498="","",'Consulta1'!G4498)</f>
        <v/>
      </c>
      <c r="I406" s="86" t="str">
        <f>IF('Consulta1'!H4498="","",'Consulta1'!H4498)</f>
        <v/>
      </c>
      <c r="J406" t="str">
        <f t="shared" si="6"/>
        <v/>
      </c>
      <c r="K406" t="str">
        <f>+IF(E406="","",VLOOKUP(E406,CATALOGO!G:I,2,0))</f>
        <v/>
      </c>
      <c r="L406" t="str">
        <f>+IF(E406="","",VLOOKUP(E406,CATALOGO!G:I,3,0))</f>
        <v/>
      </c>
      <c r="M406" s="87" t="str">
        <f>IF('Consulta1'!I4498="","",'Consulta1'!I4498)</f>
        <v/>
      </c>
      <c r="N406" s="88" t="str">
        <f>IF('Consulta1'!J4498="","",'Consulta1'!J4498)</f>
        <v/>
      </c>
    </row>
    <row r="407" spans="1:14" ht="18.75" x14ac:dyDescent="0.25">
      <c r="A407" s="82" t="str">
        <f>IF('Consulta1'!A4499="","",'Consulta1'!A4499)</f>
        <v/>
      </c>
      <c r="B407" s="82" t="str">
        <f>IF('Consulta1'!B4499="","",'Consulta1'!B4499)</f>
        <v/>
      </c>
      <c r="C407" s="83" t="str">
        <f>IF('Consulta1'!C4499="","",'Consulta1'!C4499)</f>
        <v/>
      </c>
      <c r="D407" s="84" t="str">
        <f>IF('Consulta1'!D4499="","",'Consulta1'!D4499)</f>
        <v/>
      </c>
      <c r="E407" s="82" t="str">
        <f>IF('Consulta1'!E4499="","",'Consulta1'!E4499)</f>
        <v/>
      </c>
      <c r="F407" t="str">
        <f>+IF(E407="","",VLOOKUP(E407,CATALOGO!G:L,6,0))</f>
        <v/>
      </c>
      <c r="G407" s="85" t="str">
        <f>IF('Consulta1'!F4499="","",'Consulta1'!F4499)</f>
        <v/>
      </c>
      <c r="H407" s="85" t="str">
        <f>IF('Consulta1'!G4499="","",'Consulta1'!G4499)</f>
        <v/>
      </c>
      <c r="I407" s="86" t="str">
        <f>IF('Consulta1'!H4499="","",'Consulta1'!H4499)</f>
        <v/>
      </c>
      <c r="J407" t="str">
        <f t="shared" si="6"/>
        <v/>
      </c>
      <c r="K407" t="str">
        <f>+IF(E407="","",VLOOKUP(E407,CATALOGO!G:I,2,0))</f>
        <v/>
      </c>
      <c r="L407" t="str">
        <f>+IF(E407="","",VLOOKUP(E407,CATALOGO!G:I,3,0))</f>
        <v/>
      </c>
      <c r="M407" s="87" t="str">
        <f>IF('Consulta1'!I4499="","",'Consulta1'!I4499)</f>
        <v/>
      </c>
      <c r="N407" s="88" t="str">
        <f>IF('Consulta1'!J4499="","",'Consulta1'!J4499)</f>
        <v/>
      </c>
    </row>
    <row r="408" spans="1:14" ht="18.75" x14ac:dyDescent="0.25">
      <c r="A408" s="82" t="str">
        <f>IF('Consulta1'!A4500="","",'Consulta1'!A4500)</f>
        <v/>
      </c>
      <c r="B408" s="82" t="str">
        <f>IF('Consulta1'!B4500="","",'Consulta1'!B4500)</f>
        <v/>
      </c>
      <c r="C408" s="83" t="str">
        <f>IF('Consulta1'!C4500="","",'Consulta1'!C4500)</f>
        <v/>
      </c>
      <c r="D408" s="84" t="str">
        <f>IF('Consulta1'!D4500="","",'Consulta1'!D4500)</f>
        <v/>
      </c>
      <c r="E408" s="82" t="str">
        <f>IF('Consulta1'!E4500="","",'Consulta1'!E4500)</f>
        <v/>
      </c>
      <c r="F408" t="str">
        <f>+IF(E408="","",VLOOKUP(E408,CATALOGO!G:L,6,0))</f>
        <v/>
      </c>
      <c r="G408" s="85" t="str">
        <f>IF('Consulta1'!F4500="","",'Consulta1'!F4500)</f>
        <v/>
      </c>
      <c r="H408" s="85" t="str">
        <f>IF('Consulta1'!G4500="","",'Consulta1'!G4500)</f>
        <v/>
      </c>
      <c r="I408" s="86" t="str">
        <f>IF('Consulta1'!H4500="","",'Consulta1'!H4500)</f>
        <v/>
      </c>
      <c r="J408" t="str">
        <f t="shared" si="6"/>
        <v/>
      </c>
      <c r="K408" t="str">
        <f>+IF(E408="","",VLOOKUP(E408,CATALOGO!G:I,2,0))</f>
        <v/>
      </c>
      <c r="L408" t="str">
        <f>+IF(E408="","",VLOOKUP(E408,CATALOGO!G:I,3,0))</f>
        <v/>
      </c>
      <c r="M408" s="87" t="str">
        <f>IF('Consulta1'!I4500="","",'Consulta1'!I4500)</f>
        <v/>
      </c>
      <c r="N408" s="88" t="str">
        <f>IF('Consulta1'!J4500="","",'Consulta1'!J4500)</f>
        <v/>
      </c>
    </row>
    <row r="409" spans="1:14" ht="18.75" x14ac:dyDescent="0.25">
      <c r="A409" s="82" t="str">
        <f>IF('Consulta1'!A4501="","",'Consulta1'!A4501)</f>
        <v/>
      </c>
      <c r="B409" s="82" t="str">
        <f>IF('Consulta1'!B4501="","",'Consulta1'!B4501)</f>
        <v/>
      </c>
      <c r="C409" s="83" t="str">
        <f>IF('Consulta1'!C4501="","",'Consulta1'!C4501)</f>
        <v/>
      </c>
      <c r="D409" s="84" t="str">
        <f>IF('Consulta1'!D4501="","",'Consulta1'!D4501)</f>
        <v/>
      </c>
      <c r="E409" s="82" t="str">
        <f>IF('Consulta1'!E4501="","",'Consulta1'!E4501)</f>
        <v/>
      </c>
      <c r="F409" t="str">
        <f>+IF(E409="","",VLOOKUP(E409,CATALOGO!G:L,6,0))</f>
        <v/>
      </c>
      <c r="G409" s="85" t="str">
        <f>IF('Consulta1'!F4501="","",'Consulta1'!F4501)</f>
        <v/>
      </c>
      <c r="H409" s="85" t="str">
        <f>IF('Consulta1'!G4501="","",'Consulta1'!G4501)</f>
        <v/>
      </c>
      <c r="I409" s="86" t="str">
        <f>IF('Consulta1'!H4501="","",'Consulta1'!H4501)</f>
        <v/>
      </c>
      <c r="J409" t="str">
        <f t="shared" si="6"/>
        <v/>
      </c>
      <c r="K409" t="str">
        <f>+IF(E409="","",VLOOKUP(E409,CATALOGO!G:I,2,0))</f>
        <v/>
      </c>
      <c r="L409" t="str">
        <f>+IF(E409="","",VLOOKUP(E409,CATALOGO!G:I,3,0))</f>
        <v/>
      </c>
      <c r="M409" s="87" t="str">
        <f>IF('Consulta1'!I4501="","",'Consulta1'!I4501)</f>
        <v/>
      </c>
      <c r="N409" s="88" t="str">
        <f>IF('Consulta1'!J4501="","",'Consulta1'!J4501)</f>
        <v/>
      </c>
    </row>
    <row r="410" spans="1:14" ht="18.75" x14ac:dyDescent="0.25">
      <c r="A410" s="82" t="str">
        <f>IF('Consulta1'!A4502="","",'Consulta1'!A4502)</f>
        <v/>
      </c>
      <c r="B410" s="82" t="str">
        <f>IF('Consulta1'!B4502="","",'Consulta1'!B4502)</f>
        <v/>
      </c>
      <c r="C410" s="83" t="str">
        <f>IF('Consulta1'!C4502="","",'Consulta1'!C4502)</f>
        <v/>
      </c>
      <c r="D410" s="84" t="str">
        <f>IF('Consulta1'!D4502="","",'Consulta1'!D4502)</f>
        <v/>
      </c>
      <c r="E410" s="82" t="str">
        <f>IF('Consulta1'!E4502="","",'Consulta1'!E4502)</f>
        <v/>
      </c>
      <c r="F410" t="str">
        <f>+IF(E410="","",VLOOKUP(E410,CATALOGO!G:L,6,0))</f>
        <v/>
      </c>
      <c r="G410" s="85" t="str">
        <f>IF('Consulta1'!F4502="","",'Consulta1'!F4502)</f>
        <v/>
      </c>
      <c r="H410" s="85" t="str">
        <f>IF('Consulta1'!G4502="","",'Consulta1'!G4502)</f>
        <v/>
      </c>
      <c r="I410" s="86" t="str">
        <f>IF('Consulta1'!H4502="","",'Consulta1'!H4502)</f>
        <v/>
      </c>
      <c r="J410" t="str">
        <f t="shared" si="6"/>
        <v/>
      </c>
      <c r="K410" t="str">
        <f>+IF(E410="","",VLOOKUP(E410,CATALOGO!G:I,2,0))</f>
        <v/>
      </c>
      <c r="L410" t="str">
        <f>+IF(E410="","",VLOOKUP(E410,CATALOGO!G:I,3,0))</f>
        <v/>
      </c>
      <c r="M410" s="87" t="str">
        <f>IF('Consulta1'!I4502="","",'Consulta1'!I4502)</f>
        <v/>
      </c>
      <c r="N410" s="88" t="str">
        <f>IF('Consulta1'!J4502="","",'Consulta1'!J4502)</f>
        <v/>
      </c>
    </row>
    <row r="411" spans="1:14" ht="18.75" x14ac:dyDescent="0.25">
      <c r="A411" s="82" t="str">
        <f>IF('Consulta1'!A4503="","",'Consulta1'!A4503)</f>
        <v/>
      </c>
      <c r="B411" s="82" t="str">
        <f>IF('Consulta1'!B4503="","",'Consulta1'!B4503)</f>
        <v/>
      </c>
      <c r="C411" s="83" t="str">
        <f>IF('Consulta1'!C4503="","",'Consulta1'!C4503)</f>
        <v/>
      </c>
      <c r="D411" s="84" t="str">
        <f>IF('Consulta1'!D4503="","",'Consulta1'!D4503)</f>
        <v/>
      </c>
      <c r="E411" s="82" t="str">
        <f>IF('Consulta1'!E4503="","",'Consulta1'!E4503)</f>
        <v/>
      </c>
      <c r="F411" t="str">
        <f>+IF(E411="","",VLOOKUP(E411,CATALOGO!G:L,6,0))</f>
        <v/>
      </c>
      <c r="G411" s="85" t="str">
        <f>IF('Consulta1'!F4503="","",'Consulta1'!F4503)</f>
        <v/>
      </c>
      <c r="H411" s="85" t="str">
        <f>IF('Consulta1'!G4503="","",'Consulta1'!G4503)</f>
        <v/>
      </c>
      <c r="I411" s="86" t="str">
        <f>IF('Consulta1'!H4503="","",'Consulta1'!H4503)</f>
        <v/>
      </c>
      <c r="J411" t="str">
        <f t="shared" si="6"/>
        <v/>
      </c>
      <c r="K411" t="str">
        <f>+IF(E411="","",VLOOKUP(E411,CATALOGO!G:I,2,0))</f>
        <v/>
      </c>
      <c r="L411" t="str">
        <f>+IF(E411="","",VLOOKUP(E411,CATALOGO!G:I,3,0))</f>
        <v/>
      </c>
      <c r="M411" s="87" t="str">
        <f>IF('Consulta1'!I4503="","",'Consulta1'!I4503)</f>
        <v/>
      </c>
      <c r="N411" s="88" t="str">
        <f>IF('Consulta1'!J4503="","",'Consulta1'!J4503)</f>
        <v/>
      </c>
    </row>
    <row r="412" spans="1:14" ht="18.75" x14ac:dyDescent="0.25">
      <c r="A412" s="82" t="str">
        <f>IF('Consulta1'!A4504="","",'Consulta1'!A4504)</f>
        <v/>
      </c>
      <c r="B412" s="82" t="str">
        <f>IF('Consulta1'!B4504="","",'Consulta1'!B4504)</f>
        <v/>
      </c>
      <c r="C412" s="83" t="str">
        <f>IF('Consulta1'!C4504="","",'Consulta1'!C4504)</f>
        <v/>
      </c>
      <c r="D412" s="84" t="str">
        <f>IF('Consulta1'!D4504="","",'Consulta1'!D4504)</f>
        <v/>
      </c>
      <c r="E412" s="82" t="str">
        <f>IF('Consulta1'!E4504="","",'Consulta1'!E4504)</f>
        <v/>
      </c>
      <c r="F412" t="str">
        <f>+IF(E412="","",VLOOKUP(E412,CATALOGO!G:L,6,0))</f>
        <v/>
      </c>
      <c r="G412" s="85" t="str">
        <f>IF('Consulta1'!F4504="","",'Consulta1'!F4504)</f>
        <v/>
      </c>
      <c r="H412" s="85" t="str">
        <f>IF('Consulta1'!G4504="","",'Consulta1'!G4504)</f>
        <v/>
      </c>
      <c r="I412" s="86" t="str">
        <f>IF('Consulta1'!H4504="","",'Consulta1'!H4504)</f>
        <v/>
      </c>
      <c r="J412" t="str">
        <f t="shared" si="6"/>
        <v/>
      </c>
      <c r="K412" t="str">
        <f>+IF(E412="","",VLOOKUP(E412,CATALOGO!G:I,2,0))</f>
        <v/>
      </c>
      <c r="L412" t="str">
        <f>+IF(E412="","",VLOOKUP(E412,CATALOGO!G:I,3,0))</f>
        <v/>
      </c>
      <c r="M412" s="87" t="str">
        <f>IF('Consulta1'!I4504="","",'Consulta1'!I4504)</f>
        <v/>
      </c>
      <c r="N412" s="88" t="str">
        <f>IF('Consulta1'!J4504="","",'Consulta1'!J4504)</f>
        <v/>
      </c>
    </row>
    <row r="413" spans="1:14" ht="18.75" x14ac:dyDescent="0.25">
      <c r="A413" s="82" t="str">
        <f>IF('Consulta1'!A4505="","",'Consulta1'!A4505)</f>
        <v/>
      </c>
      <c r="B413" s="82" t="str">
        <f>IF('Consulta1'!B4505="","",'Consulta1'!B4505)</f>
        <v/>
      </c>
      <c r="C413" s="83" t="str">
        <f>IF('Consulta1'!C4505="","",'Consulta1'!C4505)</f>
        <v/>
      </c>
      <c r="D413" s="84" t="str">
        <f>IF('Consulta1'!D4505="","",'Consulta1'!D4505)</f>
        <v/>
      </c>
      <c r="E413" s="82" t="str">
        <f>IF('Consulta1'!E4505="","",'Consulta1'!E4505)</f>
        <v/>
      </c>
      <c r="F413" t="str">
        <f>+IF(E413="","",VLOOKUP(E413,CATALOGO!G:L,6,0))</f>
        <v/>
      </c>
      <c r="G413" s="85" t="str">
        <f>IF('Consulta1'!F4505="","",'Consulta1'!F4505)</f>
        <v/>
      </c>
      <c r="H413" s="85" t="str">
        <f>IF('Consulta1'!G4505="","",'Consulta1'!G4505)</f>
        <v/>
      </c>
      <c r="I413" s="86" t="str">
        <f>IF('Consulta1'!H4505="","",'Consulta1'!H4505)</f>
        <v/>
      </c>
      <c r="J413" t="str">
        <f t="shared" si="6"/>
        <v/>
      </c>
      <c r="K413" t="str">
        <f>+IF(E413="","",VLOOKUP(E413,CATALOGO!G:I,2,0))</f>
        <v/>
      </c>
      <c r="L413" t="str">
        <f>+IF(E413="","",VLOOKUP(E413,CATALOGO!G:I,3,0))</f>
        <v/>
      </c>
      <c r="M413" s="87" t="str">
        <f>IF('Consulta1'!I4505="","",'Consulta1'!I4505)</f>
        <v/>
      </c>
      <c r="N413" s="88" t="str">
        <f>IF('Consulta1'!J4505="","",'Consulta1'!J4505)</f>
        <v/>
      </c>
    </row>
    <row r="414" spans="1:14" ht="18.75" x14ac:dyDescent="0.25">
      <c r="A414" s="82" t="str">
        <f>IF('Consulta1'!A4506="","",'Consulta1'!A4506)</f>
        <v/>
      </c>
      <c r="B414" s="82" t="str">
        <f>IF('Consulta1'!B4506="","",'Consulta1'!B4506)</f>
        <v/>
      </c>
      <c r="C414" s="83" t="str">
        <f>IF('Consulta1'!C4506="","",'Consulta1'!C4506)</f>
        <v/>
      </c>
      <c r="D414" s="84" t="str">
        <f>IF('Consulta1'!D4506="","",'Consulta1'!D4506)</f>
        <v/>
      </c>
      <c r="E414" s="82" t="str">
        <f>IF('Consulta1'!E4506="","",'Consulta1'!E4506)</f>
        <v/>
      </c>
      <c r="F414" t="str">
        <f>+IF(E414="","",VLOOKUP(E414,CATALOGO!G:L,6,0))</f>
        <v/>
      </c>
      <c r="G414" s="85" t="str">
        <f>IF('Consulta1'!F4506="","",'Consulta1'!F4506)</f>
        <v/>
      </c>
      <c r="H414" s="85" t="str">
        <f>IF('Consulta1'!G4506="","",'Consulta1'!G4506)</f>
        <v/>
      </c>
      <c r="I414" s="86" t="str">
        <f>IF('Consulta1'!H4506="","",'Consulta1'!H4506)</f>
        <v/>
      </c>
      <c r="J414" t="str">
        <f t="shared" si="6"/>
        <v/>
      </c>
      <c r="K414" t="str">
        <f>+IF(E414="","",VLOOKUP(E414,CATALOGO!G:I,2,0))</f>
        <v/>
      </c>
      <c r="L414" t="str">
        <f>+IF(E414="","",VLOOKUP(E414,CATALOGO!G:I,3,0))</f>
        <v/>
      </c>
      <c r="M414" s="87" t="str">
        <f>IF('Consulta1'!I4506="","",'Consulta1'!I4506)</f>
        <v/>
      </c>
      <c r="N414" s="88" t="str">
        <f>IF('Consulta1'!J4506="","",'Consulta1'!J4506)</f>
        <v/>
      </c>
    </row>
    <row r="415" spans="1:14" ht="18.75" x14ac:dyDescent="0.25">
      <c r="A415" s="82" t="str">
        <f>IF('Consulta1'!A4507="","",'Consulta1'!A4507)</f>
        <v/>
      </c>
      <c r="B415" s="82" t="str">
        <f>IF('Consulta1'!B4507="","",'Consulta1'!B4507)</f>
        <v/>
      </c>
      <c r="C415" s="83" t="str">
        <f>IF('Consulta1'!C4507="","",'Consulta1'!C4507)</f>
        <v/>
      </c>
      <c r="D415" s="84" t="str">
        <f>IF('Consulta1'!D4507="","",'Consulta1'!D4507)</f>
        <v/>
      </c>
      <c r="E415" s="82" t="str">
        <f>IF('Consulta1'!E4507="","",'Consulta1'!E4507)</f>
        <v/>
      </c>
      <c r="F415" t="str">
        <f>+IF(E415="","",VLOOKUP(E415,CATALOGO!G:L,6,0))</f>
        <v/>
      </c>
      <c r="G415" s="85" t="str">
        <f>IF('Consulta1'!F4507="","",'Consulta1'!F4507)</f>
        <v/>
      </c>
      <c r="H415" s="85" t="str">
        <f>IF('Consulta1'!G4507="","",'Consulta1'!G4507)</f>
        <v/>
      </c>
      <c r="I415" s="86" t="str">
        <f>IF('Consulta1'!H4507="","",'Consulta1'!H4507)</f>
        <v/>
      </c>
      <c r="J415" t="str">
        <f t="shared" si="6"/>
        <v/>
      </c>
      <c r="K415" t="str">
        <f>+IF(E415="","",VLOOKUP(E415,CATALOGO!G:I,2,0))</f>
        <v/>
      </c>
      <c r="L415" t="str">
        <f>+IF(E415="","",VLOOKUP(E415,CATALOGO!G:I,3,0))</f>
        <v/>
      </c>
      <c r="M415" s="87" t="str">
        <f>IF('Consulta1'!I4507="","",'Consulta1'!I4507)</f>
        <v/>
      </c>
      <c r="N415" s="88" t="str">
        <f>IF('Consulta1'!J4507="","",'Consulta1'!J4507)</f>
        <v/>
      </c>
    </row>
    <row r="416" spans="1:14" ht="18.75" x14ac:dyDescent="0.25">
      <c r="A416" s="82" t="str">
        <f>IF('Consulta1'!A4508="","",'Consulta1'!A4508)</f>
        <v/>
      </c>
      <c r="B416" s="82" t="str">
        <f>IF('Consulta1'!B4508="","",'Consulta1'!B4508)</f>
        <v/>
      </c>
      <c r="C416" s="83" t="str">
        <f>IF('Consulta1'!C4508="","",'Consulta1'!C4508)</f>
        <v/>
      </c>
      <c r="D416" s="84" t="str">
        <f>IF('Consulta1'!D4508="","",'Consulta1'!D4508)</f>
        <v/>
      </c>
      <c r="E416" s="82" t="str">
        <f>IF('Consulta1'!E4508="","",'Consulta1'!E4508)</f>
        <v/>
      </c>
      <c r="F416" t="str">
        <f>+IF(E416="","",VLOOKUP(E416,CATALOGO!G:L,6,0))</f>
        <v/>
      </c>
      <c r="G416" s="85" t="str">
        <f>IF('Consulta1'!F4508="","",'Consulta1'!F4508)</f>
        <v/>
      </c>
      <c r="H416" s="85" t="str">
        <f>IF('Consulta1'!G4508="","",'Consulta1'!G4508)</f>
        <v/>
      </c>
      <c r="I416" s="86" t="str">
        <f>IF('Consulta1'!H4508="","",'Consulta1'!H4508)</f>
        <v/>
      </c>
      <c r="J416" t="str">
        <f t="shared" si="6"/>
        <v/>
      </c>
      <c r="K416" t="str">
        <f>+IF(E416="","",VLOOKUP(E416,CATALOGO!G:I,2,0))</f>
        <v/>
      </c>
      <c r="L416" t="str">
        <f>+IF(E416="","",VLOOKUP(E416,CATALOGO!G:I,3,0))</f>
        <v/>
      </c>
      <c r="M416" s="87" t="str">
        <f>IF('Consulta1'!I4508="","",'Consulta1'!I4508)</f>
        <v/>
      </c>
      <c r="N416" s="88" t="str">
        <f>IF('Consulta1'!J4508="","",'Consulta1'!J4508)</f>
        <v/>
      </c>
    </row>
    <row r="417" spans="1:14" ht="18.75" x14ac:dyDescent="0.25">
      <c r="A417" s="82" t="str">
        <f>IF('Consulta1'!A4509="","",'Consulta1'!A4509)</f>
        <v/>
      </c>
      <c r="B417" s="82" t="str">
        <f>IF('Consulta1'!B4509="","",'Consulta1'!B4509)</f>
        <v/>
      </c>
      <c r="C417" s="83" t="str">
        <f>IF('Consulta1'!C4509="","",'Consulta1'!C4509)</f>
        <v/>
      </c>
      <c r="D417" s="84" t="str">
        <f>IF('Consulta1'!D4509="","",'Consulta1'!D4509)</f>
        <v/>
      </c>
      <c r="E417" s="82" t="str">
        <f>IF('Consulta1'!E4509="","",'Consulta1'!E4509)</f>
        <v/>
      </c>
      <c r="F417" t="str">
        <f>+IF(E417="","",VLOOKUP(E417,CATALOGO!G:L,6,0))</f>
        <v/>
      </c>
      <c r="G417" s="85" t="str">
        <f>IF('Consulta1'!F4509="","",'Consulta1'!F4509)</f>
        <v/>
      </c>
      <c r="H417" s="85" t="str">
        <f>IF('Consulta1'!G4509="","",'Consulta1'!G4509)</f>
        <v/>
      </c>
      <c r="I417" s="86" t="str">
        <f>IF('Consulta1'!H4509="","",'Consulta1'!H4509)</f>
        <v/>
      </c>
      <c r="J417" t="str">
        <f t="shared" si="6"/>
        <v/>
      </c>
      <c r="K417" t="str">
        <f>+IF(E417="","",VLOOKUP(E417,CATALOGO!G:I,2,0))</f>
        <v/>
      </c>
      <c r="L417" t="str">
        <f>+IF(E417="","",VLOOKUP(E417,CATALOGO!G:I,3,0))</f>
        <v/>
      </c>
      <c r="M417" s="87" t="str">
        <f>IF('Consulta1'!I4509="","",'Consulta1'!I4509)</f>
        <v/>
      </c>
      <c r="N417" s="88" t="str">
        <f>IF('Consulta1'!J4509="","",'Consulta1'!J4509)</f>
        <v/>
      </c>
    </row>
    <row r="418" spans="1:14" ht="18.75" x14ac:dyDescent="0.25">
      <c r="A418" s="82" t="str">
        <f>IF('Consulta1'!A4510="","",'Consulta1'!A4510)</f>
        <v/>
      </c>
      <c r="B418" s="82" t="str">
        <f>IF('Consulta1'!B4510="","",'Consulta1'!B4510)</f>
        <v/>
      </c>
      <c r="C418" s="83" t="str">
        <f>IF('Consulta1'!C4510="","",'Consulta1'!C4510)</f>
        <v/>
      </c>
      <c r="D418" s="84" t="str">
        <f>IF('Consulta1'!D4510="","",'Consulta1'!D4510)</f>
        <v/>
      </c>
      <c r="E418" s="82" t="str">
        <f>IF('Consulta1'!E4510="","",'Consulta1'!E4510)</f>
        <v/>
      </c>
      <c r="F418" t="str">
        <f>+IF(E418="","",VLOOKUP(E418,CATALOGO!G:L,6,0))</f>
        <v/>
      </c>
      <c r="G418" s="85" t="str">
        <f>IF('Consulta1'!F4510="","",'Consulta1'!F4510)</f>
        <v/>
      </c>
      <c r="H418" s="85" t="str">
        <f>IF('Consulta1'!G4510="","",'Consulta1'!G4510)</f>
        <v/>
      </c>
      <c r="I418" s="86" t="str">
        <f>IF('Consulta1'!H4510="","",'Consulta1'!H4510)</f>
        <v/>
      </c>
      <c r="J418" t="str">
        <f t="shared" si="6"/>
        <v/>
      </c>
      <c r="K418" t="str">
        <f>+IF(E418="","",VLOOKUP(E418,CATALOGO!G:I,2,0))</f>
        <v/>
      </c>
      <c r="L418" t="str">
        <f>+IF(E418="","",VLOOKUP(E418,CATALOGO!G:I,3,0))</f>
        <v/>
      </c>
      <c r="M418" s="87" t="str">
        <f>IF('Consulta1'!I4510="","",'Consulta1'!I4510)</f>
        <v/>
      </c>
      <c r="N418" s="88" t="str">
        <f>IF('Consulta1'!J4510="","",'Consulta1'!J4510)</f>
        <v/>
      </c>
    </row>
    <row r="419" spans="1:14" ht="18.75" x14ac:dyDescent="0.25">
      <c r="A419" s="82" t="str">
        <f>IF('Consulta1'!A4511="","",'Consulta1'!A4511)</f>
        <v/>
      </c>
      <c r="B419" s="82" t="str">
        <f>IF('Consulta1'!B4511="","",'Consulta1'!B4511)</f>
        <v/>
      </c>
      <c r="C419" s="83" t="str">
        <f>IF('Consulta1'!C4511="","",'Consulta1'!C4511)</f>
        <v/>
      </c>
      <c r="D419" s="84" t="str">
        <f>IF('Consulta1'!D4511="","",'Consulta1'!D4511)</f>
        <v/>
      </c>
      <c r="E419" s="82" t="str">
        <f>IF('Consulta1'!E4511="","",'Consulta1'!E4511)</f>
        <v/>
      </c>
      <c r="F419" t="str">
        <f>+IF(E419="","",VLOOKUP(E419,CATALOGO!G:L,6,0))</f>
        <v/>
      </c>
      <c r="G419" s="85" t="str">
        <f>IF('Consulta1'!F4511="","",'Consulta1'!F4511)</f>
        <v/>
      </c>
      <c r="H419" s="85" t="str">
        <f>IF('Consulta1'!G4511="","",'Consulta1'!G4511)</f>
        <v/>
      </c>
      <c r="I419" s="86" t="str">
        <f>IF('Consulta1'!H4511="","",'Consulta1'!H4511)</f>
        <v/>
      </c>
      <c r="J419" t="str">
        <f t="shared" si="6"/>
        <v/>
      </c>
      <c r="K419" t="str">
        <f>+IF(E419="","",VLOOKUP(E419,CATALOGO!G:I,2,0))</f>
        <v/>
      </c>
      <c r="L419" t="str">
        <f>+IF(E419="","",VLOOKUP(E419,CATALOGO!G:I,3,0))</f>
        <v/>
      </c>
      <c r="M419" s="87" t="str">
        <f>IF('Consulta1'!I4511="","",'Consulta1'!I4511)</f>
        <v/>
      </c>
      <c r="N419" s="88" t="str">
        <f>IF('Consulta1'!J4511="","",'Consulta1'!J4511)</f>
        <v/>
      </c>
    </row>
    <row r="420" spans="1:14" ht="18.75" x14ac:dyDescent="0.25">
      <c r="A420" s="82" t="str">
        <f>IF('Consulta1'!A4512="","",'Consulta1'!A4512)</f>
        <v/>
      </c>
      <c r="B420" s="82" t="str">
        <f>IF('Consulta1'!B4512="","",'Consulta1'!B4512)</f>
        <v/>
      </c>
      <c r="C420" s="83" t="str">
        <f>IF('Consulta1'!C4512="","",'Consulta1'!C4512)</f>
        <v/>
      </c>
      <c r="D420" s="84" t="str">
        <f>IF('Consulta1'!D4512="","",'Consulta1'!D4512)</f>
        <v/>
      </c>
      <c r="E420" s="82" t="str">
        <f>IF('Consulta1'!E4512="","",'Consulta1'!E4512)</f>
        <v/>
      </c>
      <c r="F420" t="str">
        <f>+IF(E420="","",VLOOKUP(E420,CATALOGO!G:L,6,0))</f>
        <v/>
      </c>
      <c r="G420" s="85" t="str">
        <f>IF('Consulta1'!F4512="","",'Consulta1'!F4512)</f>
        <v/>
      </c>
      <c r="H420" s="85" t="str">
        <f>IF('Consulta1'!G4512="","",'Consulta1'!G4512)</f>
        <v/>
      </c>
      <c r="I420" s="86" t="str">
        <f>IF('Consulta1'!H4512="","",'Consulta1'!H4512)</f>
        <v/>
      </c>
      <c r="J420" t="str">
        <f t="shared" si="6"/>
        <v/>
      </c>
      <c r="K420" t="str">
        <f>+IF(E420="","",VLOOKUP(E420,CATALOGO!G:I,2,0))</f>
        <v/>
      </c>
      <c r="L420" t="str">
        <f>+IF(E420="","",VLOOKUP(E420,CATALOGO!G:I,3,0))</f>
        <v/>
      </c>
      <c r="M420" s="87" t="str">
        <f>IF('Consulta1'!I4512="","",'Consulta1'!I4512)</f>
        <v/>
      </c>
      <c r="N420" s="88" t="str">
        <f>IF('Consulta1'!J4512="","",'Consulta1'!J4512)</f>
        <v/>
      </c>
    </row>
    <row r="421" spans="1:14" ht="18.75" x14ac:dyDescent="0.25">
      <c r="A421" s="82" t="str">
        <f>IF('Consulta1'!A4513="","",'Consulta1'!A4513)</f>
        <v/>
      </c>
      <c r="B421" s="82" t="str">
        <f>IF('Consulta1'!B4513="","",'Consulta1'!B4513)</f>
        <v/>
      </c>
      <c r="C421" s="83" t="str">
        <f>IF('Consulta1'!C4513="","",'Consulta1'!C4513)</f>
        <v/>
      </c>
      <c r="D421" s="84" t="str">
        <f>IF('Consulta1'!D4513="","",'Consulta1'!D4513)</f>
        <v/>
      </c>
      <c r="E421" s="82" t="str">
        <f>IF('Consulta1'!E4513="","",'Consulta1'!E4513)</f>
        <v/>
      </c>
      <c r="F421" t="str">
        <f>+IF(E421="","",VLOOKUP(E421,CATALOGO!G:L,6,0))</f>
        <v/>
      </c>
      <c r="G421" s="85" t="str">
        <f>IF('Consulta1'!F4513="","",'Consulta1'!F4513)</f>
        <v/>
      </c>
      <c r="H421" s="85" t="str">
        <f>IF('Consulta1'!G4513="","",'Consulta1'!G4513)</f>
        <v/>
      </c>
      <c r="I421" s="86" t="str">
        <f>IF('Consulta1'!H4513="","",'Consulta1'!H4513)</f>
        <v/>
      </c>
      <c r="J421" t="str">
        <f t="shared" si="6"/>
        <v/>
      </c>
      <c r="K421" t="str">
        <f>+IF(E421="","",VLOOKUP(E421,CATALOGO!G:I,2,0))</f>
        <v/>
      </c>
      <c r="L421" t="str">
        <f>+IF(E421="","",VLOOKUP(E421,CATALOGO!G:I,3,0))</f>
        <v/>
      </c>
      <c r="M421" s="87" t="str">
        <f>IF('Consulta1'!I4513="","",'Consulta1'!I4513)</f>
        <v/>
      </c>
      <c r="N421" s="88" t="str">
        <f>IF('Consulta1'!J4513="","",'Consulta1'!J4513)</f>
        <v/>
      </c>
    </row>
    <row r="422" spans="1:14" ht="18.75" x14ac:dyDescent="0.25">
      <c r="A422" s="82" t="str">
        <f>IF('Consulta1'!A4514="","",'Consulta1'!A4514)</f>
        <v/>
      </c>
      <c r="B422" s="82" t="str">
        <f>IF('Consulta1'!B4514="","",'Consulta1'!B4514)</f>
        <v/>
      </c>
      <c r="C422" s="83" t="str">
        <f>IF('Consulta1'!C4514="","",'Consulta1'!C4514)</f>
        <v/>
      </c>
      <c r="D422" s="84" t="str">
        <f>IF('Consulta1'!D4514="","",'Consulta1'!D4514)</f>
        <v/>
      </c>
      <c r="E422" s="82" t="str">
        <f>IF('Consulta1'!E4514="","",'Consulta1'!E4514)</f>
        <v/>
      </c>
      <c r="F422" t="str">
        <f>+IF(E422="","",VLOOKUP(E422,CATALOGO!G:L,6,0))</f>
        <v/>
      </c>
      <c r="G422" s="85" t="str">
        <f>IF('Consulta1'!F4514="","",'Consulta1'!F4514)</f>
        <v/>
      </c>
      <c r="H422" s="85" t="str">
        <f>IF('Consulta1'!G4514="","",'Consulta1'!G4514)</f>
        <v/>
      </c>
      <c r="I422" s="86" t="str">
        <f>IF('Consulta1'!H4514="","",'Consulta1'!H4514)</f>
        <v/>
      </c>
      <c r="J422" t="str">
        <f t="shared" si="6"/>
        <v/>
      </c>
      <c r="K422" t="str">
        <f>+IF(E422="","",VLOOKUP(E422,CATALOGO!G:I,2,0))</f>
        <v/>
      </c>
      <c r="L422" t="str">
        <f>+IF(E422="","",VLOOKUP(E422,CATALOGO!G:I,3,0))</f>
        <v/>
      </c>
      <c r="M422" s="87" t="str">
        <f>IF('Consulta1'!I4514="","",'Consulta1'!I4514)</f>
        <v/>
      </c>
      <c r="N422" s="88" t="str">
        <f>IF('Consulta1'!J4514="","",'Consulta1'!J4514)</f>
        <v/>
      </c>
    </row>
    <row r="423" spans="1:14" ht="18.75" x14ac:dyDescent="0.25">
      <c r="A423" s="82" t="str">
        <f>IF('Consulta1'!A4515="","",'Consulta1'!A4515)</f>
        <v/>
      </c>
      <c r="B423" s="82" t="str">
        <f>IF('Consulta1'!B4515="","",'Consulta1'!B4515)</f>
        <v/>
      </c>
      <c r="C423" s="83" t="str">
        <f>IF('Consulta1'!C4515="","",'Consulta1'!C4515)</f>
        <v/>
      </c>
      <c r="D423" s="84" t="str">
        <f>IF('Consulta1'!D4515="","",'Consulta1'!D4515)</f>
        <v/>
      </c>
      <c r="E423" s="82" t="str">
        <f>IF('Consulta1'!E4515="","",'Consulta1'!E4515)</f>
        <v/>
      </c>
      <c r="F423" t="str">
        <f>+IF(E423="","",VLOOKUP(E423,CATALOGO!G:L,6,0))</f>
        <v/>
      </c>
      <c r="G423" s="85" t="str">
        <f>IF('Consulta1'!F4515="","",'Consulta1'!F4515)</f>
        <v/>
      </c>
      <c r="H423" s="85" t="str">
        <f>IF('Consulta1'!G4515="","",'Consulta1'!G4515)</f>
        <v/>
      </c>
      <c r="I423" s="86" t="str">
        <f>IF('Consulta1'!H4515="","",'Consulta1'!H4515)</f>
        <v/>
      </c>
      <c r="J423" t="str">
        <f t="shared" si="6"/>
        <v/>
      </c>
      <c r="K423" t="str">
        <f>+IF(E423="","",VLOOKUP(E423,CATALOGO!G:I,2,0))</f>
        <v/>
      </c>
      <c r="L423" t="str">
        <f>+IF(E423="","",VLOOKUP(E423,CATALOGO!G:I,3,0))</f>
        <v/>
      </c>
      <c r="M423" s="87" t="str">
        <f>IF('Consulta1'!I4515="","",'Consulta1'!I4515)</f>
        <v/>
      </c>
      <c r="N423" s="88" t="str">
        <f>IF('Consulta1'!J4515="","",'Consulta1'!J4515)</f>
        <v/>
      </c>
    </row>
    <row r="424" spans="1:14" ht="18.75" x14ac:dyDescent="0.25">
      <c r="A424" s="82" t="str">
        <f>IF('Consulta1'!A4516="","",'Consulta1'!A4516)</f>
        <v/>
      </c>
      <c r="B424" s="82" t="str">
        <f>IF('Consulta1'!B4516="","",'Consulta1'!B4516)</f>
        <v/>
      </c>
      <c r="C424" s="83" t="str">
        <f>IF('Consulta1'!C4516="","",'Consulta1'!C4516)</f>
        <v/>
      </c>
      <c r="D424" s="84" t="str">
        <f>IF('Consulta1'!D4516="","",'Consulta1'!D4516)</f>
        <v/>
      </c>
      <c r="E424" s="82" t="str">
        <f>IF('Consulta1'!E4516="","",'Consulta1'!E4516)</f>
        <v/>
      </c>
      <c r="F424" t="str">
        <f>+IF(E424="","",VLOOKUP(E424,CATALOGO!G:L,6,0))</f>
        <v/>
      </c>
      <c r="G424" s="85" t="str">
        <f>IF('Consulta1'!F4516="","",'Consulta1'!F4516)</f>
        <v/>
      </c>
      <c r="H424" s="85" t="str">
        <f>IF('Consulta1'!G4516="","",'Consulta1'!G4516)</f>
        <v/>
      </c>
      <c r="I424" s="86" t="str">
        <f>IF('Consulta1'!H4516="","",'Consulta1'!H4516)</f>
        <v/>
      </c>
      <c r="J424" t="str">
        <f t="shared" si="6"/>
        <v/>
      </c>
      <c r="K424" t="str">
        <f>+IF(E424="","",VLOOKUP(E424,CATALOGO!G:I,2,0))</f>
        <v/>
      </c>
      <c r="L424" t="str">
        <f>+IF(E424="","",VLOOKUP(E424,CATALOGO!G:I,3,0))</f>
        <v/>
      </c>
      <c r="M424" s="87" t="str">
        <f>IF('Consulta1'!I4516="","",'Consulta1'!I4516)</f>
        <v/>
      </c>
      <c r="N424" s="88" t="str">
        <f>IF('Consulta1'!J4516="","",'Consulta1'!J4516)</f>
        <v/>
      </c>
    </row>
    <row r="425" spans="1:14" ht="18.75" x14ac:dyDescent="0.25">
      <c r="A425" s="82" t="str">
        <f>IF('Consulta1'!A4517="","",'Consulta1'!A4517)</f>
        <v/>
      </c>
      <c r="B425" s="82" t="str">
        <f>IF('Consulta1'!B4517="","",'Consulta1'!B4517)</f>
        <v/>
      </c>
      <c r="C425" s="83" t="str">
        <f>IF('Consulta1'!C4517="","",'Consulta1'!C4517)</f>
        <v/>
      </c>
      <c r="D425" s="84" t="str">
        <f>IF('Consulta1'!D4517="","",'Consulta1'!D4517)</f>
        <v/>
      </c>
      <c r="E425" s="82" t="str">
        <f>IF('Consulta1'!E4517="","",'Consulta1'!E4517)</f>
        <v/>
      </c>
      <c r="F425" t="str">
        <f>+IF(E425="","",VLOOKUP(E425,CATALOGO!G:L,6,0))</f>
        <v/>
      </c>
      <c r="G425" s="85" t="str">
        <f>IF('Consulta1'!F4517="","",'Consulta1'!F4517)</f>
        <v/>
      </c>
      <c r="H425" s="85" t="str">
        <f>IF('Consulta1'!G4517="","",'Consulta1'!G4517)</f>
        <v/>
      </c>
      <c r="I425" s="86" t="str">
        <f>IF('Consulta1'!H4517="","",'Consulta1'!H4517)</f>
        <v/>
      </c>
      <c r="J425" t="str">
        <f t="shared" si="6"/>
        <v/>
      </c>
      <c r="K425" t="str">
        <f>+IF(E425="","",VLOOKUP(E425,CATALOGO!G:I,2,0))</f>
        <v/>
      </c>
      <c r="L425" t="str">
        <f>+IF(E425="","",VLOOKUP(E425,CATALOGO!G:I,3,0))</f>
        <v/>
      </c>
      <c r="M425" s="87" t="str">
        <f>IF('Consulta1'!I4517="","",'Consulta1'!I4517)</f>
        <v/>
      </c>
      <c r="N425" s="88" t="str">
        <f>IF('Consulta1'!J4517="","",'Consulta1'!J4517)</f>
        <v/>
      </c>
    </row>
    <row r="426" spans="1:14" ht="18.75" x14ac:dyDescent="0.25">
      <c r="A426" s="82" t="str">
        <f>IF('Consulta1'!A4518="","",'Consulta1'!A4518)</f>
        <v/>
      </c>
      <c r="B426" s="82" t="str">
        <f>IF('Consulta1'!B4518="","",'Consulta1'!B4518)</f>
        <v/>
      </c>
      <c r="C426" s="83" t="str">
        <f>IF('Consulta1'!C4518="","",'Consulta1'!C4518)</f>
        <v/>
      </c>
      <c r="D426" s="84" t="str">
        <f>IF('Consulta1'!D4518="","",'Consulta1'!D4518)</f>
        <v/>
      </c>
      <c r="E426" s="82" t="str">
        <f>IF('Consulta1'!E4518="","",'Consulta1'!E4518)</f>
        <v/>
      </c>
      <c r="F426" t="str">
        <f>+IF(E426="","",VLOOKUP(E426,CATALOGO!G:L,6,0))</f>
        <v/>
      </c>
      <c r="G426" s="85" t="str">
        <f>IF('Consulta1'!F4518="","",'Consulta1'!F4518)</f>
        <v/>
      </c>
      <c r="H426" s="85" t="str">
        <f>IF('Consulta1'!G4518="","",'Consulta1'!G4518)</f>
        <v/>
      </c>
      <c r="I426" s="86" t="str">
        <f>IF('Consulta1'!H4518="","",'Consulta1'!H4518)</f>
        <v/>
      </c>
      <c r="J426" t="str">
        <f t="shared" si="6"/>
        <v/>
      </c>
      <c r="K426" t="str">
        <f>+IF(E426="","",VLOOKUP(E426,CATALOGO!G:I,2,0))</f>
        <v/>
      </c>
      <c r="L426" t="str">
        <f>+IF(E426="","",VLOOKUP(E426,CATALOGO!G:I,3,0))</f>
        <v/>
      </c>
      <c r="M426" s="87" t="str">
        <f>IF('Consulta1'!I4518="","",'Consulta1'!I4518)</f>
        <v/>
      </c>
      <c r="N426" s="88" t="str">
        <f>IF('Consulta1'!J4518="","",'Consulta1'!J4518)</f>
        <v/>
      </c>
    </row>
    <row r="427" spans="1:14" ht="18.75" x14ac:dyDescent="0.25">
      <c r="A427" s="82" t="str">
        <f>IF('Consulta1'!A4519="","",'Consulta1'!A4519)</f>
        <v/>
      </c>
      <c r="B427" s="82" t="str">
        <f>IF('Consulta1'!B4519="","",'Consulta1'!B4519)</f>
        <v/>
      </c>
      <c r="C427" s="83" t="str">
        <f>IF('Consulta1'!C4519="","",'Consulta1'!C4519)</f>
        <v/>
      </c>
      <c r="D427" s="84" t="str">
        <f>IF('Consulta1'!D4519="","",'Consulta1'!D4519)</f>
        <v/>
      </c>
      <c r="E427" s="82" t="str">
        <f>IF('Consulta1'!E4519="","",'Consulta1'!E4519)</f>
        <v/>
      </c>
      <c r="F427" t="str">
        <f>+IF(E427="","",VLOOKUP(E427,CATALOGO!G:L,6,0))</f>
        <v/>
      </c>
      <c r="G427" s="85" t="str">
        <f>IF('Consulta1'!F4519="","",'Consulta1'!F4519)</f>
        <v/>
      </c>
      <c r="H427" s="85" t="str">
        <f>IF('Consulta1'!G4519="","",'Consulta1'!G4519)</f>
        <v/>
      </c>
      <c r="I427" s="86" t="str">
        <f>IF('Consulta1'!H4519="","",'Consulta1'!H4519)</f>
        <v/>
      </c>
      <c r="J427" t="str">
        <f t="shared" si="6"/>
        <v/>
      </c>
      <c r="K427" t="str">
        <f>+IF(E427="","",VLOOKUP(E427,CATALOGO!G:I,2,0))</f>
        <v/>
      </c>
      <c r="L427" t="str">
        <f>+IF(E427="","",VLOOKUP(E427,CATALOGO!G:I,3,0))</f>
        <v/>
      </c>
      <c r="M427" s="87" t="str">
        <f>IF('Consulta1'!I4519="","",'Consulta1'!I4519)</f>
        <v/>
      </c>
      <c r="N427" s="88" t="str">
        <f>IF('Consulta1'!J4519="","",'Consulta1'!J4519)</f>
        <v/>
      </c>
    </row>
    <row r="428" spans="1:14" ht="18.75" x14ac:dyDescent="0.25">
      <c r="A428" s="82" t="str">
        <f>IF('Consulta1'!A4520="","",'Consulta1'!A4520)</f>
        <v/>
      </c>
      <c r="B428" s="82" t="str">
        <f>IF('Consulta1'!B4520="","",'Consulta1'!B4520)</f>
        <v/>
      </c>
      <c r="C428" s="83" t="str">
        <f>IF('Consulta1'!C4520="","",'Consulta1'!C4520)</f>
        <v/>
      </c>
      <c r="D428" s="84" t="str">
        <f>IF('Consulta1'!D4520="","",'Consulta1'!D4520)</f>
        <v/>
      </c>
      <c r="E428" s="82" t="str">
        <f>IF('Consulta1'!E4520="","",'Consulta1'!E4520)</f>
        <v/>
      </c>
      <c r="F428" t="str">
        <f>+IF(E428="","",VLOOKUP(E428,CATALOGO!G:L,6,0))</f>
        <v/>
      </c>
      <c r="G428" s="85" t="str">
        <f>IF('Consulta1'!F4520="","",'Consulta1'!F4520)</f>
        <v/>
      </c>
      <c r="H428" s="85" t="str">
        <f>IF('Consulta1'!G4520="","",'Consulta1'!G4520)</f>
        <v/>
      </c>
      <c r="I428" s="86" t="str">
        <f>IF('Consulta1'!H4520="","",'Consulta1'!H4520)</f>
        <v/>
      </c>
      <c r="J428" t="str">
        <f t="shared" si="6"/>
        <v/>
      </c>
      <c r="K428" t="str">
        <f>+IF(E428="","",VLOOKUP(E428,CATALOGO!G:I,2,0))</f>
        <v/>
      </c>
      <c r="L428" t="str">
        <f>+IF(E428="","",VLOOKUP(E428,CATALOGO!G:I,3,0))</f>
        <v/>
      </c>
      <c r="M428" s="87" t="str">
        <f>IF('Consulta1'!I4520="","",'Consulta1'!I4520)</f>
        <v/>
      </c>
      <c r="N428" s="88" t="str">
        <f>IF('Consulta1'!J4520="","",'Consulta1'!J4520)</f>
        <v/>
      </c>
    </row>
    <row r="429" spans="1:14" ht="18.75" x14ac:dyDescent="0.25">
      <c r="A429" s="82" t="str">
        <f>IF('Consulta1'!A4521="","",'Consulta1'!A4521)</f>
        <v/>
      </c>
      <c r="B429" s="82" t="str">
        <f>IF('Consulta1'!B4521="","",'Consulta1'!B4521)</f>
        <v/>
      </c>
      <c r="C429" s="83" t="str">
        <f>IF('Consulta1'!C4521="","",'Consulta1'!C4521)</f>
        <v/>
      </c>
      <c r="D429" s="84" t="str">
        <f>IF('Consulta1'!D4521="","",'Consulta1'!D4521)</f>
        <v/>
      </c>
      <c r="E429" s="82" t="str">
        <f>IF('Consulta1'!E4521="","",'Consulta1'!E4521)</f>
        <v/>
      </c>
      <c r="F429" t="str">
        <f>+IF(E429="","",VLOOKUP(E429,CATALOGO!G:L,6,0))</f>
        <v/>
      </c>
      <c r="G429" s="85" t="str">
        <f>IF('Consulta1'!F4521="","",'Consulta1'!F4521)</f>
        <v/>
      </c>
      <c r="H429" s="85" t="str">
        <f>IF('Consulta1'!G4521="","",'Consulta1'!G4521)</f>
        <v/>
      </c>
      <c r="I429" s="86" t="str">
        <f>IF('Consulta1'!H4521="","",'Consulta1'!H4521)</f>
        <v/>
      </c>
      <c r="J429" t="str">
        <f t="shared" si="6"/>
        <v/>
      </c>
      <c r="K429" t="str">
        <f>+IF(E429="","",VLOOKUP(E429,CATALOGO!G:I,2,0))</f>
        <v/>
      </c>
      <c r="L429" t="str">
        <f>+IF(E429="","",VLOOKUP(E429,CATALOGO!G:I,3,0))</f>
        <v/>
      </c>
      <c r="M429" s="87" t="str">
        <f>IF('Consulta1'!I4521="","",'Consulta1'!I4521)</f>
        <v/>
      </c>
      <c r="N429" s="88" t="str">
        <f>IF('Consulta1'!J4521="","",'Consulta1'!J4521)</f>
        <v/>
      </c>
    </row>
    <row r="430" spans="1:14" ht="18.75" x14ac:dyDescent="0.25">
      <c r="A430" s="82" t="str">
        <f>IF('Consulta1'!A4522="","",'Consulta1'!A4522)</f>
        <v/>
      </c>
      <c r="B430" s="82" t="str">
        <f>IF('Consulta1'!B4522="","",'Consulta1'!B4522)</f>
        <v/>
      </c>
      <c r="C430" s="83" t="str">
        <f>IF('Consulta1'!C4522="","",'Consulta1'!C4522)</f>
        <v/>
      </c>
      <c r="D430" s="84" t="str">
        <f>IF('Consulta1'!D4522="","",'Consulta1'!D4522)</f>
        <v/>
      </c>
      <c r="E430" s="82" t="str">
        <f>IF('Consulta1'!E4522="","",'Consulta1'!E4522)</f>
        <v/>
      </c>
      <c r="F430" t="str">
        <f>+IF(E430="","",VLOOKUP(E430,CATALOGO!G:L,6,0))</f>
        <v/>
      </c>
      <c r="G430" s="85" t="str">
        <f>IF('Consulta1'!F4522="","",'Consulta1'!F4522)</f>
        <v/>
      </c>
      <c r="H430" s="85" t="str">
        <f>IF('Consulta1'!G4522="","",'Consulta1'!G4522)</f>
        <v/>
      </c>
      <c r="I430" s="86" t="str">
        <f>IF('Consulta1'!H4522="","",'Consulta1'!H4522)</f>
        <v/>
      </c>
      <c r="J430" t="str">
        <f t="shared" si="6"/>
        <v/>
      </c>
      <c r="K430" t="str">
        <f>+IF(E430="","",VLOOKUP(E430,CATALOGO!G:I,2,0))</f>
        <v/>
      </c>
      <c r="L430" t="str">
        <f>+IF(E430="","",VLOOKUP(E430,CATALOGO!G:I,3,0))</f>
        <v/>
      </c>
      <c r="M430" s="87" t="str">
        <f>IF('Consulta1'!I4522="","",'Consulta1'!I4522)</f>
        <v/>
      </c>
      <c r="N430" s="88" t="str">
        <f>IF('Consulta1'!J4522="","",'Consulta1'!J4522)</f>
        <v/>
      </c>
    </row>
    <row r="431" spans="1:14" ht="18.75" x14ac:dyDescent="0.25">
      <c r="A431" s="82" t="str">
        <f>IF('Consulta1'!A4523="","",'Consulta1'!A4523)</f>
        <v/>
      </c>
      <c r="B431" s="82" t="str">
        <f>IF('Consulta1'!B4523="","",'Consulta1'!B4523)</f>
        <v/>
      </c>
      <c r="C431" s="83" t="str">
        <f>IF('Consulta1'!C4523="","",'Consulta1'!C4523)</f>
        <v/>
      </c>
      <c r="D431" s="84" t="str">
        <f>IF('Consulta1'!D4523="","",'Consulta1'!D4523)</f>
        <v/>
      </c>
      <c r="E431" s="82" t="str">
        <f>IF('Consulta1'!E4523="","",'Consulta1'!E4523)</f>
        <v/>
      </c>
      <c r="F431" t="str">
        <f>+IF(E431="","",VLOOKUP(E431,CATALOGO!G:L,6,0))</f>
        <v/>
      </c>
      <c r="G431" s="85" t="str">
        <f>IF('Consulta1'!F4523="","",'Consulta1'!F4523)</f>
        <v/>
      </c>
      <c r="H431" s="85" t="str">
        <f>IF('Consulta1'!G4523="","",'Consulta1'!G4523)</f>
        <v/>
      </c>
      <c r="I431" s="86" t="str">
        <f>IF('Consulta1'!H4523="","",'Consulta1'!H4523)</f>
        <v/>
      </c>
      <c r="J431" t="str">
        <f t="shared" si="6"/>
        <v/>
      </c>
      <c r="K431" t="str">
        <f>+IF(E431="","",VLOOKUP(E431,CATALOGO!G:I,2,0))</f>
        <v/>
      </c>
      <c r="L431" t="str">
        <f>+IF(E431="","",VLOOKUP(E431,CATALOGO!G:I,3,0))</f>
        <v/>
      </c>
      <c r="M431" s="87" t="str">
        <f>IF('Consulta1'!I4523="","",'Consulta1'!I4523)</f>
        <v/>
      </c>
      <c r="N431" s="88" t="str">
        <f>IF('Consulta1'!J4523="","",'Consulta1'!J4523)</f>
        <v/>
      </c>
    </row>
    <row r="432" spans="1:14" ht="18.75" x14ac:dyDescent="0.25">
      <c r="A432" s="82" t="str">
        <f>IF('Consulta1'!A4524="","",'Consulta1'!A4524)</f>
        <v/>
      </c>
      <c r="B432" s="82" t="str">
        <f>IF('Consulta1'!B4524="","",'Consulta1'!B4524)</f>
        <v/>
      </c>
      <c r="C432" s="83" t="str">
        <f>IF('Consulta1'!C4524="","",'Consulta1'!C4524)</f>
        <v/>
      </c>
      <c r="D432" s="84" t="str">
        <f>IF('Consulta1'!D4524="","",'Consulta1'!D4524)</f>
        <v/>
      </c>
      <c r="E432" s="82" t="str">
        <f>IF('Consulta1'!E4524="","",'Consulta1'!E4524)</f>
        <v/>
      </c>
      <c r="F432" t="str">
        <f>+IF(E432="","",VLOOKUP(E432,CATALOGO!G:L,6,0))</f>
        <v/>
      </c>
      <c r="G432" s="85" t="str">
        <f>IF('Consulta1'!F4524="","",'Consulta1'!F4524)</f>
        <v/>
      </c>
      <c r="H432" s="85" t="str">
        <f>IF('Consulta1'!G4524="","",'Consulta1'!G4524)</f>
        <v/>
      </c>
      <c r="I432" s="86" t="str">
        <f>IF('Consulta1'!H4524="","",'Consulta1'!H4524)</f>
        <v/>
      </c>
      <c r="J432" t="str">
        <f t="shared" si="6"/>
        <v/>
      </c>
      <c r="K432" t="str">
        <f>+IF(E432="","",VLOOKUP(E432,CATALOGO!G:I,2,0))</f>
        <v/>
      </c>
      <c r="L432" t="str">
        <f>+IF(E432="","",VLOOKUP(E432,CATALOGO!G:I,3,0))</f>
        <v/>
      </c>
      <c r="M432" s="87" t="str">
        <f>IF('Consulta1'!I4524="","",'Consulta1'!I4524)</f>
        <v/>
      </c>
      <c r="N432" s="88" t="str">
        <f>IF('Consulta1'!J4524="","",'Consulta1'!J4524)</f>
        <v/>
      </c>
    </row>
    <row r="433" spans="1:14" ht="18.75" x14ac:dyDescent="0.25">
      <c r="A433" s="82" t="str">
        <f>IF('Consulta1'!A4525="","",'Consulta1'!A4525)</f>
        <v/>
      </c>
      <c r="B433" s="82" t="str">
        <f>IF('Consulta1'!B4525="","",'Consulta1'!B4525)</f>
        <v/>
      </c>
      <c r="C433" s="83" t="str">
        <f>IF('Consulta1'!C4525="","",'Consulta1'!C4525)</f>
        <v/>
      </c>
      <c r="D433" s="84" t="str">
        <f>IF('Consulta1'!D4525="","",'Consulta1'!D4525)</f>
        <v/>
      </c>
      <c r="E433" s="82" t="str">
        <f>IF('Consulta1'!E4525="","",'Consulta1'!E4525)</f>
        <v/>
      </c>
      <c r="F433" t="str">
        <f>+IF(E433="","",VLOOKUP(E433,CATALOGO!G:L,6,0))</f>
        <v/>
      </c>
      <c r="G433" s="85" t="str">
        <f>IF('Consulta1'!F4525="","",'Consulta1'!F4525)</f>
        <v/>
      </c>
      <c r="H433" s="85" t="str">
        <f>IF('Consulta1'!G4525="","",'Consulta1'!G4525)</f>
        <v/>
      </c>
      <c r="I433" s="86" t="str">
        <f>IF('Consulta1'!H4525="","",'Consulta1'!H4525)</f>
        <v/>
      </c>
      <c r="J433" t="str">
        <f t="shared" si="6"/>
        <v/>
      </c>
      <c r="K433" t="str">
        <f>+IF(E433="","",VLOOKUP(E433,CATALOGO!G:I,2,0))</f>
        <v/>
      </c>
      <c r="L433" t="str">
        <f>+IF(E433="","",VLOOKUP(E433,CATALOGO!G:I,3,0))</f>
        <v/>
      </c>
      <c r="M433" s="87" t="str">
        <f>IF('Consulta1'!I4525="","",'Consulta1'!I4525)</f>
        <v/>
      </c>
      <c r="N433" s="88" t="str">
        <f>IF('Consulta1'!J4525="","",'Consulta1'!J4525)</f>
        <v/>
      </c>
    </row>
    <row r="434" spans="1:14" ht="18.75" x14ac:dyDescent="0.25">
      <c r="A434" s="82" t="str">
        <f>IF('Consulta1'!A4526="","",'Consulta1'!A4526)</f>
        <v/>
      </c>
      <c r="B434" s="82" t="str">
        <f>IF('Consulta1'!B4526="","",'Consulta1'!B4526)</f>
        <v/>
      </c>
      <c r="C434" s="83" t="str">
        <f>IF('Consulta1'!C4526="","",'Consulta1'!C4526)</f>
        <v/>
      </c>
      <c r="D434" s="84" t="str">
        <f>IF('Consulta1'!D4526="","",'Consulta1'!D4526)</f>
        <v/>
      </c>
      <c r="E434" s="82" t="str">
        <f>IF('Consulta1'!E4526="","",'Consulta1'!E4526)</f>
        <v/>
      </c>
      <c r="F434" t="str">
        <f>+IF(E434="","",VLOOKUP(E434,CATALOGO!G:L,6,0))</f>
        <v/>
      </c>
      <c r="G434" s="85" t="str">
        <f>IF('Consulta1'!F4526="","",'Consulta1'!F4526)</f>
        <v/>
      </c>
      <c r="H434" s="85" t="str">
        <f>IF('Consulta1'!G4526="","",'Consulta1'!G4526)</f>
        <v/>
      </c>
      <c r="I434" s="86" t="str">
        <f>IF('Consulta1'!H4526="","",'Consulta1'!H4526)</f>
        <v/>
      </c>
      <c r="J434" t="str">
        <f t="shared" si="6"/>
        <v/>
      </c>
      <c r="K434" t="str">
        <f>+IF(E434="","",VLOOKUP(E434,CATALOGO!G:I,2,0))</f>
        <v/>
      </c>
      <c r="L434" t="str">
        <f>+IF(E434="","",VLOOKUP(E434,CATALOGO!G:I,3,0))</f>
        <v/>
      </c>
      <c r="M434" s="87" t="str">
        <f>IF('Consulta1'!I4526="","",'Consulta1'!I4526)</f>
        <v/>
      </c>
      <c r="N434" s="88" t="str">
        <f>IF('Consulta1'!J4526="","",'Consulta1'!J4526)</f>
        <v/>
      </c>
    </row>
    <row r="435" spans="1:14" ht="18.75" x14ac:dyDescent="0.25">
      <c r="A435" s="82" t="str">
        <f>IF('Consulta1'!A4527="","",'Consulta1'!A4527)</f>
        <v/>
      </c>
      <c r="B435" s="82" t="str">
        <f>IF('Consulta1'!B4527="","",'Consulta1'!B4527)</f>
        <v/>
      </c>
      <c r="C435" s="83" t="str">
        <f>IF('Consulta1'!C4527="","",'Consulta1'!C4527)</f>
        <v/>
      </c>
      <c r="D435" s="84" t="str">
        <f>IF('Consulta1'!D4527="","",'Consulta1'!D4527)</f>
        <v/>
      </c>
      <c r="E435" s="82" t="str">
        <f>IF('Consulta1'!E4527="","",'Consulta1'!E4527)</f>
        <v/>
      </c>
      <c r="F435" t="str">
        <f>+IF(E435="","",VLOOKUP(E435,CATALOGO!G:L,6,0))</f>
        <v/>
      </c>
      <c r="G435" s="85" t="str">
        <f>IF('Consulta1'!F4527="","",'Consulta1'!F4527)</f>
        <v/>
      </c>
      <c r="H435" s="85" t="str">
        <f>IF('Consulta1'!G4527="","",'Consulta1'!G4527)</f>
        <v/>
      </c>
      <c r="I435" s="86" t="str">
        <f>IF('Consulta1'!H4527="","",'Consulta1'!H4527)</f>
        <v/>
      </c>
      <c r="J435" t="str">
        <f t="shared" si="6"/>
        <v/>
      </c>
      <c r="K435" t="str">
        <f>+IF(E435="","",VLOOKUP(E435,CATALOGO!G:I,2,0))</f>
        <v/>
      </c>
      <c r="L435" t="str">
        <f>+IF(E435="","",VLOOKUP(E435,CATALOGO!G:I,3,0))</f>
        <v/>
      </c>
      <c r="M435" s="87" t="str">
        <f>IF('Consulta1'!I4527="","",'Consulta1'!I4527)</f>
        <v/>
      </c>
      <c r="N435" s="88" t="str">
        <f>IF('Consulta1'!J4527="","",'Consulta1'!J4527)</f>
        <v/>
      </c>
    </row>
    <row r="436" spans="1:14" ht="18.75" x14ac:dyDescent="0.25">
      <c r="A436" s="82" t="str">
        <f>IF('Consulta1'!A4528="","",'Consulta1'!A4528)</f>
        <v/>
      </c>
      <c r="B436" s="82" t="str">
        <f>IF('Consulta1'!B4528="","",'Consulta1'!B4528)</f>
        <v/>
      </c>
      <c r="C436" s="83" t="str">
        <f>IF('Consulta1'!C4528="","",'Consulta1'!C4528)</f>
        <v/>
      </c>
      <c r="D436" s="84" t="str">
        <f>IF('Consulta1'!D4528="","",'Consulta1'!D4528)</f>
        <v/>
      </c>
      <c r="E436" s="82" t="str">
        <f>IF('Consulta1'!E4528="","",'Consulta1'!E4528)</f>
        <v/>
      </c>
      <c r="F436" t="str">
        <f>+IF(E436="","",VLOOKUP(E436,CATALOGO!G:L,6,0))</f>
        <v/>
      </c>
      <c r="G436" s="85" t="str">
        <f>IF('Consulta1'!F4528="","",'Consulta1'!F4528)</f>
        <v/>
      </c>
      <c r="H436" s="85" t="str">
        <f>IF('Consulta1'!G4528="","",'Consulta1'!G4528)</f>
        <v/>
      </c>
      <c r="I436" s="86" t="str">
        <f>IF('Consulta1'!H4528="","",'Consulta1'!H4528)</f>
        <v/>
      </c>
      <c r="J436" t="str">
        <f t="shared" si="6"/>
        <v/>
      </c>
      <c r="K436" t="str">
        <f>+IF(E436="","",VLOOKUP(E436,CATALOGO!G:I,2,0))</f>
        <v/>
      </c>
      <c r="L436" t="str">
        <f>+IF(E436="","",VLOOKUP(E436,CATALOGO!G:I,3,0))</f>
        <v/>
      </c>
      <c r="M436" s="87" t="str">
        <f>IF('Consulta1'!I4528="","",'Consulta1'!I4528)</f>
        <v/>
      </c>
      <c r="N436" s="88" t="str">
        <f>IF('Consulta1'!J4528="","",'Consulta1'!J4528)</f>
        <v/>
      </c>
    </row>
    <row r="437" spans="1:14" ht="18.75" x14ac:dyDescent="0.25">
      <c r="A437" s="82" t="str">
        <f>IF('Consulta1'!A4529="","",'Consulta1'!A4529)</f>
        <v/>
      </c>
      <c r="B437" s="82" t="str">
        <f>IF('Consulta1'!B4529="","",'Consulta1'!B4529)</f>
        <v/>
      </c>
      <c r="C437" s="83" t="str">
        <f>IF('Consulta1'!C4529="","",'Consulta1'!C4529)</f>
        <v/>
      </c>
      <c r="D437" s="84" t="str">
        <f>IF('Consulta1'!D4529="","",'Consulta1'!D4529)</f>
        <v/>
      </c>
      <c r="E437" s="82" t="str">
        <f>IF('Consulta1'!E4529="","",'Consulta1'!E4529)</f>
        <v/>
      </c>
      <c r="F437" t="str">
        <f>+IF(E437="","",VLOOKUP(E437,CATALOGO!G:L,6,0))</f>
        <v/>
      </c>
      <c r="G437" s="85" t="str">
        <f>IF('Consulta1'!F4529="","",'Consulta1'!F4529)</f>
        <v/>
      </c>
      <c r="H437" s="85" t="str">
        <f>IF('Consulta1'!G4529="","",'Consulta1'!G4529)</f>
        <v/>
      </c>
      <c r="I437" s="86" t="str">
        <f>IF('Consulta1'!H4529="","",'Consulta1'!H4529)</f>
        <v/>
      </c>
      <c r="J437" t="str">
        <f t="shared" si="6"/>
        <v/>
      </c>
      <c r="K437" t="str">
        <f>+IF(E437="","",VLOOKUP(E437,CATALOGO!G:I,2,0))</f>
        <v/>
      </c>
      <c r="L437" t="str">
        <f>+IF(E437="","",VLOOKUP(E437,CATALOGO!G:I,3,0))</f>
        <v/>
      </c>
      <c r="M437" s="87" t="str">
        <f>IF('Consulta1'!I4529="","",'Consulta1'!I4529)</f>
        <v/>
      </c>
      <c r="N437" s="88" t="str">
        <f>IF('Consulta1'!J4529="","",'Consulta1'!J4529)</f>
        <v/>
      </c>
    </row>
    <row r="438" spans="1:14" ht="18.75" x14ac:dyDescent="0.25">
      <c r="A438" s="82" t="str">
        <f>IF('Consulta1'!A4530="","",'Consulta1'!A4530)</f>
        <v/>
      </c>
      <c r="B438" s="82" t="str">
        <f>IF('Consulta1'!B4530="","",'Consulta1'!B4530)</f>
        <v/>
      </c>
      <c r="C438" s="83" t="str">
        <f>IF('Consulta1'!C4530="","",'Consulta1'!C4530)</f>
        <v/>
      </c>
      <c r="D438" s="84" t="str">
        <f>IF('Consulta1'!D4530="","",'Consulta1'!D4530)</f>
        <v/>
      </c>
      <c r="E438" s="82" t="str">
        <f>IF('Consulta1'!E4530="","",'Consulta1'!E4530)</f>
        <v/>
      </c>
      <c r="F438" t="str">
        <f>+IF(E438="","",VLOOKUP(E438,CATALOGO!G:L,6,0))</f>
        <v/>
      </c>
      <c r="G438" s="85" t="str">
        <f>IF('Consulta1'!F4530="","",'Consulta1'!F4530)</f>
        <v/>
      </c>
      <c r="H438" s="85" t="str">
        <f>IF('Consulta1'!G4530="","",'Consulta1'!G4530)</f>
        <v/>
      </c>
      <c r="I438" s="86" t="str">
        <f>IF('Consulta1'!H4530="","",'Consulta1'!H4530)</f>
        <v/>
      </c>
      <c r="J438" t="str">
        <f t="shared" si="6"/>
        <v/>
      </c>
      <c r="K438" t="str">
        <f>+IF(E438="","",VLOOKUP(E438,CATALOGO!G:I,2,0))</f>
        <v/>
      </c>
      <c r="L438" t="str">
        <f>+IF(E438="","",VLOOKUP(E438,CATALOGO!G:I,3,0))</f>
        <v/>
      </c>
      <c r="M438" s="87" t="str">
        <f>IF('Consulta1'!I4530="","",'Consulta1'!I4530)</f>
        <v/>
      </c>
      <c r="N438" s="88" t="str">
        <f>IF('Consulta1'!J4530="","",'Consulta1'!J4530)</f>
        <v/>
      </c>
    </row>
    <row r="439" spans="1:14" ht="18.75" x14ac:dyDescent="0.25">
      <c r="A439" s="82" t="str">
        <f>IF('Consulta1'!A4531="","",'Consulta1'!A4531)</f>
        <v/>
      </c>
      <c r="B439" s="82" t="str">
        <f>IF('Consulta1'!B4531="","",'Consulta1'!B4531)</f>
        <v/>
      </c>
      <c r="C439" s="83" t="str">
        <f>IF('Consulta1'!C4531="","",'Consulta1'!C4531)</f>
        <v/>
      </c>
      <c r="D439" s="84" t="str">
        <f>IF('Consulta1'!D4531="","",'Consulta1'!D4531)</f>
        <v/>
      </c>
      <c r="E439" s="82" t="str">
        <f>IF('Consulta1'!E4531="","",'Consulta1'!E4531)</f>
        <v/>
      </c>
      <c r="F439" t="str">
        <f>+IF(E439="","",VLOOKUP(E439,CATALOGO!G:L,6,0))</f>
        <v/>
      </c>
      <c r="G439" s="85" t="str">
        <f>IF('Consulta1'!F4531="","",'Consulta1'!F4531)</f>
        <v/>
      </c>
      <c r="H439" s="85" t="str">
        <f>IF('Consulta1'!G4531="","",'Consulta1'!G4531)</f>
        <v/>
      </c>
      <c r="I439" s="86" t="str">
        <f>IF('Consulta1'!H4531="","",'Consulta1'!H4531)</f>
        <v/>
      </c>
      <c r="J439" t="str">
        <f t="shared" si="6"/>
        <v/>
      </c>
      <c r="K439" t="str">
        <f>+IF(E439="","",VLOOKUP(E439,CATALOGO!G:I,2,0))</f>
        <v/>
      </c>
      <c r="L439" t="str">
        <f>+IF(E439="","",VLOOKUP(E439,CATALOGO!G:I,3,0))</f>
        <v/>
      </c>
      <c r="M439" s="87" t="str">
        <f>IF('Consulta1'!I4531="","",'Consulta1'!I4531)</f>
        <v/>
      </c>
      <c r="N439" s="88" t="str">
        <f>IF('Consulta1'!J4531="","",'Consulta1'!J4531)</f>
        <v/>
      </c>
    </row>
    <row r="440" spans="1:14" ht="18.75" x14ac:dyDescent="0.25">
      <c r="A440" s="82" t="str">
        <f>IF('Consulta1'!A4532="","",'Consulta1'!A4532)</f>
        <v/>
      </c>
      <c r="B440" s="82" t="str">
        <f>IF('Consulta1'!B4532="","",'Consulta1'!B4532)</f>
        <v/>
      </c>
      <c r="C440" s="83" t="str">
        <f>IF('Consulta1'!C4532="","",'Consulta1'!C4532)</f>
        <v/>
      </c>
      <c r="D440" s="84" t="str">
        <f>IF('Consulta1'!D4532="","",'Consulta1'!D4532)</f>
        <v/>
      </c>
      <c r="E440" s="82" t="str">
        <f>IF('Consulta1'!E4532="","",'Consulta1'!E4532)</f>
        <v/>
      </c>
      <c r="F440" t="str">
        <f>+IF(E440="","",VLOOKUP(E440,CATALOGO!G:L,6,0))</f>
        <v/>
      </c>
      <c r="G440" s="85" t="str">
        <f>IF('Consulta1'!F4532="","",'Consulta1'!F4532)</f>
        <v/>
      </c>
      <c r="H440" s="85" t="str">
        <f>IF('Consulta1'!G4532="","",'Consulta1'!G4532)</f>
        <v/>
      </c>
      <c r="I440" s="86" t="str">
        <f>IF('Consulta1'!H4532="","",'Consulta1'!H4532)</f>
        <v/>
      </c>
      <c r="J440" t="str">
        <f t="shared" si="6"/>
        <v/>
      </c>
      <c r="K440" t="str">
        <f>+IF(E440="","",VLOOKUP(E440,CATALOGO!G:I,2,0))</f>
        <v/>
      </c>
      <c r="L440" t="str">
        <f>+IF(E440="","",VLOOKUP(E440,CATALOGO!G:I,3,0))</f>
        <v/>
      </c>
      <c r="M440" s="87" t="str">
        <f>IF('Consulta1'!I4532="","",'Consulta1'!I4532)</f>
        <v/>
      </c>
      <c r="N440" s="88" t="str">
        <f>IF('Consulta1'!J4532="","",'Consulta1'!J4532)</f>
        <v/>
      </c>
    </row>
    <row r="441" spans="1:14" ht="18.75" x14ac:dyDescent="0.25">
      <c r="A441" s="82" t="str">
        <f>IF('Consulta1'!A4533="","",'Consulta1'!A4533)</f>
        <v/>
      </c>
      <c r="B441" s="82" t="str">
        <f>IF('Consulta1'!B4533="","",'Consulta1'!B4533)</f>
        <v/>
      </c>
      <c r="C441" s="83" t="str">
        <f>IF('Consulta1'!C4533="","",'Consulta1'!C4533)</f>
        <v/>
      </c>
      <c r="D441" s="84" t="str">
        <f>IF('Consulta1'!D4533="","",'Consulta1'!D4533)</f>
        <v/>
      </c>
      <c r="E441" s="82" t="str">
        <f>IF('Consulta1'!E4533="","",'Consulta1'!E4533)</f>
        <v/>
      </c>
      <c r="F441" t="str">
        <f>+IF(E441="","",VLOOKUP(E441,CATALOGO!G:L,6,0))</f>
        <v/>
      </c>
      <c r="G441" s="85" t="str">
        <f>IF('Consulta1'!F4533="","",'Consulta1'!F4533)</f>
        <v/>
      </c>
      <c r="H441" s="85" t="str">
        <f>IF('Consulta1'!G4533="","",'Consulta1'!G4533)</f>
        <v/>
      </c>
      <c r="I441" s="86" t="str">
        <f>IF('Consulta1'!H4533="","",'Consulta1'!H4533)</f>
        <v/>
      </c>
      <c r="J441" t="str">
        <f t="shared" si="6"/>
        <v/>
      </c>
      <c r="K441" t="str">
        <f>+IF(E441="","",VLOOKUP(E441,CATALOGO!G:I,2,0))</f>
        <v/>
      </c>
      <c r="L441" t="str">
        <f>+IF(E441="","",VLOOKUP(E441,CATALOGO!G:I,3,0))</f>
        <v/>
      </c>
      <c r="M441" s="87" t="str">
        <f>IF('Consulta1'!I4533="","",'Consulta1'!I4533)</f>
        <v/>
      </c>
      <c r="N441" s="88" t="str">
        <f>IF('Consulta1'!J4533="","",'Consulta1'!J4533)</f>
        <v/>
      </c>
    </row>
    <row r="442" spans="1:14" ht="18.75" x14ac:dyDescent="0.25">
      <c r="A442" s="82" t="str">
        <f>IF('Consulta1'!A4534="","",'Consulta1'!A4534)</f>
        <v/>
      </c>
      <c r="B442" s="82" t="str">
        <f>IF('Consulta1'!B4534="","",'Consulta1'!B4534)</f>
        <v/>
      </c>
      <c r="C442" s="83" t="str">
        <f>IF('Consulta1'!C4534="","",'Consulta1'!C4534)</f>
        <v/>
      </c>
      <c r="D442" s="84" t="str">
        <f>IF('Consulta1'!D4534="","",'Consulta1'!D4534)</f>
        <v/>
      </c>
      <c r="E442" s="82" t="str">
        <f>IF('Consulta1'!E4534="","",'Consulta1'!E4534)</f>
        <v/>
      </c>
      <c r="F442" t="str">
        <f>+IF(E442="","",VLOOKUP(E442,CATALOGO!G:L,6,0))</f>
        <v/>
      </c>
      <c r="G442" s="85" t="str">
        <f>IF('Consulta1'!F4534="","",'Consulta1'!F4534)</f>
        <v/>
      </c>
      <c r="H442" s="85" t="str">
        <f>IF('Consulta1'!G4534="","",'Consulta1'!G4534)</f>
        <v/>
      </c>
      <c r="I442" s="86" t="str">
        <f>IF('Consulta1'!H4534="","",'Consulta1'!H4534)</f>
        <v/>
      </c>
      <c r="J442" t="str">
        <f t="shared" si="6"/>
        <v/>
      </c>
      <c r="K442" t="str">
        <f>+IF(E442="","",VLOOKUP(E442,CATALOGO!G:I,2,0))</f>
        <v/>
      </c>
      <c r="L442" t="str">
        <f>+IF(E442="","",VLOOKUP(E442,CATALOGO!G:I,3,0))</f>
        <v/>
      </c>
      <c r="M442" s="87" t="str">
        <f>IF('Consulta1'!I4534="","",'Consulta1'!I4534)</f>
        <v/>
      </c>
      <c r="N442" s="88" t="str">
        <f>IF('Consulta1'!J4534="","",'Consulta1'!J4534)</f>
        <v/>
      </c>
    </row>
    <row r="443" spans="1:14" ht="18.75" x14ac:dyDescent="0.25">
      <c r="A443" s="82" t="str">
        <f>IF('Consulta1'!A4535="","",'Consulta1'!A4535)</f>
        <v/>
      </c>
      <c r="B443" s="82" t="str">
        <f>IF('Consulta1'!B4535="","",'Consulta1'!B4535)</f>
        <v/>
      </c>
      <c r="C443" s="83" t="str">
        <f>IF('Consulta1'!C4535="","",'Consulta1'!C4535)</f>
        <v/>
      </c>
      <c r="D443" s="84" t="str">
        <f>IF('Consulta1'!D4535="","",'Consulta1'!D4535)</f>
        <v/>
      </c>
      <c r="E443" s="82" t="str">
        <f>IF('Consulta1'!E4535="","",'Consulta1'!E4535)</f>
        <v/>
      </c>
      <c r="F443" t="str">
        <f>+IF(E443="","",VLOOKUP(E443,CATALOGO!G:L,6,0))</f>
        <v/>
      </c>
      <c r="G443" s="85" t="str">
        <f>IF('Consulta1'!F4535="","",'Consulta1'!F4535)</f>
        <v/>
      </c>
      <c r="H443" s="85" t="str">
        <f>IF('Consulta1'!G4535="","",'Consulta1'!G4535)</f>
        <v/>
      </c>
      <c r="I443" s="86" t="str">
        <f>IF('Consulta1'!H4535="","",'Consulta1'!H4535)</f>
        <v/>
      </c>
      <c r="J443" t="str">
        <f t="shared" si="6"/>
        <v/>
      </c>
      <c r="K443" t="str">
        <f>+IF(E443="","",VLOOKUP(E443,CATALOGO!G:I,2,0))</f>
        <v/>
      </c>
      <c r="L443" t="str">
        <f>+IF(E443="","",VLOOKUP(E443,CATALOGO!G:I,3,0))</f>
        <v/>
      </c>
      <c r="M443" s="87" t="str">
        <f>IF('Consulta1'!I4535="","",'Consulta1'!I4535)</f>
        <v/>
      </c>
      <c r="N443" s="88" t="str">
        <f>IF('Consulta1'!J4535="","",'Consulta1'!J4535)</f>
        <v/>
      </c>
    </row>
    <row r="444" spans="1:14" ht="18.75" x14ac:dyDescent="0.25">
      <c r="A444" s="82" t="str">
        <f>IF('Consulta1'!A4536="","",'Consulta1'!A4536)</f>
        <v/>
      </c>
      <c r="B444" s="82" t="str">
        <f>IF('Consulta1'!B4536="","",'Consulta1'!B4536)</f>
        <v/>
      </c>
      <c r="C444" s="83" t="str">
        <f>IF('Consulta1'!C4536="","",'Consulta1'!C4536)</f>
        <v/>
      </c>
      <c r="D444" s="84" t="str">
        <f>IF('Consulta1'!D4536="","",'Consulta1'!D4536)</f>
        <v/>
      </c>
      <c r="E444" s="82" t="str">
        <f>IF('Consulta1'!E4536="","",'Consulta1'!E4536)</f>
        <v/>
      </c>
      <c r="F444" t="str">
        <f>+IF(E444="","",VLOOKUP(E444,CATALOGO!G:L,6,0))</f>
        <v/>
      </c>
      <c r="G444" s="85" t="str">
        <f>IF('Consulta1'!F4536="","",'Consulta1'!F4536)</f>
        <v/>
      </c>
      <c r="H444" s="85" t="str">
        <f>IF('Consulta1'!G4536="","",'Consulta1'!G4536)</f>
        <v/>
      </c>
      <c r="I444" s="86" t="str">
        <f>IF('Consulta1'!H4536="","",'Consulta1'!H4536)</f>
        <v/>
      </c>
      <c r="J444" t="str">
        <f t="shared" si="6"/>
        <v/>
      </c>
      <c r="K444" t="str">
        <f>+IF(E444="","",VLOOKUP(E444,CATALOGO!G:I,2,0))</f>
        <v/>
      </c>
      <c r="L444" t="str">
        <f>+IF(E444="","",VLOOKUP(E444,CATALOGO!G:I,3,0))</f>
        <v/>
      </c>
      <c r="M444" s="87" t="str">
        <f>IF('Consulta1'!I4536="","",'Consulta1'!I4536)</f>
        <v/>
      </c>
      <c r="N444" s="88" t="str">
        <f>IF('Consulta1'!J4536="","",'Consulta1'!J4536)</f>
        <v/>
      </c>
    </row>
    <row r="445" spans="1:14" ht="18.75" x14ac:dyDescent="0.25">
      <c r="A445" s="82" t="str">
        <f>IF('Consulta1'!A4537="","",'Consulta1'!A4537)</f>
        <v/>
      </c>
      <c r="B445" s="82" t="str">
        <f>IF('Consulta1'!B4537="","",'Consulta1'!B4537)</f>
        <v/>
      </c>
      <c r="C445" s="83" t="str">
        <f>IF('Consulta1'!C4537="","",'Consulta1'!C4537)</f>
        <v/>
      </c>
      <c r="D445" s="84" t="str">
        <f>IF('Consulta1'!D4537="","",'Consulta1'!D4537)</f>
        <v/>
      </c>
      <c r="E445" s="82" t="str">
        <f>IF('Consulta1'!E4537="","",'Consulta1'!E4537)</f>
        <v/>
      </c>
      <c r="F445" t="str">
        <f>+IF(E445="","",VLOOKUP(E445,CATALOGO!G:L,6,0))</f>
        <v/>
      </c>
      <c r="G445" s="85" t="str">
        <f>IF('Consulta1'!F4537="","",'Consulta1'!F4537)</f>
        <v/>
      </c>
      <c r="H445" s="85" t="str">
        <f>IF('Consulta1'!G4537="","",'Consulta1'!G4537)</f>
        <v/>
      </c>
      <c r="I445" s="86" t="str">
        <f>IF('Consulta1'!H4537="","",'Consulta1'!H4537)</f>
        <v/>
      </c>
      <c r="J445" t="str">
        <f t="shared" si="6"/>
        <v/>
      </c>
      <c r="K445" t="str">
        <f>+IF(E445="","",VLOOKUP(E445,CATALOGO!G:I,2,0))</f>
        <v/>
      </c>
      <c r="L445" t="str">
        <f>+IF(E445="","",VLOOKUP(E445,CATALOGO!G:I,3,0))</f>
        <v/>
      </c>
      <c r="M445" s="87" t="str">
        <f>IF('Consulta1'!I4537="","",'Consulta1'!I4537)</f>
        <v/>
      </c>
      <c r="N445" s="88" t="str">
        <f>IF('Consulta1'!J4537="","",'Consulta1'!J4537)</f>
        <v/>
      </c>
    </row>
    <row r="446" spans="1:14" ht="18.75" x14ac:dyDescent="0.25">
      <c r="A446" s="82" t="str">
        <f>IF('Consulta1'!A4538="","",'Consulta1'!A4538)</f>
        <v/>
      </c>
      <c r="B446" s="82" t="str">
        <f>IF('Consulta1'!B4538="","",'Consulta1'!B4538)</f>
        <v/>
      </c>
      <c r="C446" s="83" t="str">
        <f>IF('Consulta1'!C4538="","",'Consulta1'!C4538)</f>
        <v/>
      </c>
      <c r="D446" s="84" t="str">
        <f>IF('Consulta1'!D4538="","",'Consulta1'!D4538)</f>
        <v/>
      </c>
      <c r="E446" s="82" t="str">
        <f>IF('Consulta1'!E4538="","",'Consulta1'!E4538)</f>
        <v/>
      </c>
      <c r="F446" t="str">
        <f>+IF(E446="","",VLOOKUP(E446,CATALOGO!G:L,6,0))</f>
        <v/>
      </c>
      <c r="G446" s="85" t="str">
        <f>IF('Consulta1'!F4538="","",'Consulta1'!F4538)</f>
        <v/>
      </c>
      <c r="H446" s="85" t="str">
        <f>IF('Consulta1'!G4538="","",'Consulta1'!G4538)</f>
        <v/>
      </c>
      <c r="I446" s="86" t="str">
        <f>IF('Consulta1'!H4538="","",'Consulta1'!H4538)</f>
        <v/>
      </c>
      <c r="J446" t="str">
        <f t="shared" si="6"/>
        <v/>
      </c>
      <c r="K446" t="str">
        <f>+IF(E446="","",VLOOKUP(E446,CATALOGO!G:I,2,0))</f>
        <v/>
      </c>
      <c r="L446" t="str">
        <f>+IF(E446="","",VLOOKUP(E446,CATALOGO!G:I,3,0))</f>
        <v/>
      </c>
      <c r="M446" s="87" t="str">
        <f>IF('Consulta1'!I4538="","",'Consulta1'!I4538)</f>
        <v/>
      </c>
      <c r="N446" s="88" t="str">
        <f>IF('Consulta1'!J4538="","",'Consulta1'!J4538)</f>
        <v/>
      </c>
    </row>
    <row r="447" spans="1:14" ht="18.75" x14ac:dyDescent="0.25">
      <c r="A447" s="82" t="str">
        <f>IF('Consulta1'!A4539="","",'Consulta1'!A4539)</f>
        <v/>
      </c>
      <c r="B447" s="82" t="str">
        <f>IF('Consulta1'!B4539="","",'Consulta1'!B4539)</f>
        <v/>
      </c>
      <c r="C447" s="83" t="str">
        <f>IF('Consulta1'!C4539="","",'Consulta1'!C4539)</f>
        <v/>
      </c>
      <c r="D447" s="84" t="str">
        <f>IF('Consulta1'!D4539="","",'Consulta1'!D4539)</f>
        <v/>
      </c>
      <c r="E447" s="82" t="str">
        <f>IF('Consulta1'!E4539="","",'Consulta1'!E4539)</f>
        <v/>
      </c>
      <c r="F447" t="str">
        <f>+IF(E447="","",VLOOKUP(E447,CATALOGO!G:L,6,0))</f>
        <v/>
      </c>
      <c r="G447" s="85" t="str">
        <f>IF('Consulta1'!F4539="","",'Consulta1'!F4539)</f>
        <v/>
      </c>
      <c r="H447" s="85" t="str">
        <f>IF('Consulta1'!G4539="","",'Consulta1'!G4539)</f>
        <v/>
      </c>
      <c r="I447" s="86" t="str">
        <f>IF('Consulta1'!H4539="","",'Consulta1'!H4539)</f>
        <v/>
      </c>
      <c r="J447" t="str">
        <f t="shared" si="6"/>
        <v/>
      </c>
      <c r="K447" t="str">
        <f>+IF(E447="","",VLOOKUP(E447,CATALOGO!G:I,2,0))</f>
        <v/>
      </c>
      <c r="L447" t="str">
        <f>+IF(E447="","",VLOOKUP(E447,CATALOGO!G:I,3,0))</f>
        <v/>
      </c>
      <c r="M447" s="87" t="str">
        <f>IF('Consulta1'!I4539="","",'Consulta1'!I4539)</f>
        <v/>
      </c>
      <c r="N447" s="88" t="str">
        <f>IF('Consulta1'!J4539="","",'Consulta1'!J4539)</f>
        <v/>
      </c>
    </row>
    <row r="448" spans="1:14" ht="18.75" x14ac:dyDescent="0.25">
      <c r="A448" s="82" t="str">
        <f>IF('Consulta1'!A4540="","",'Consulta1'!A4540)</f>
        <v/>
      </c>
      <c r="B448" s="82" t="str">
        <f>IF('Consulta1'!B4540="","",'Consulta1'!B4540)</f>
        <v/>
      </c>
      <c r="C448" s="83" t="str">
        <f>IF('Consulta1'!C4540="","",'Consulta1'!C4540)</f>
        <v/>
      </c>
      <c r="D448" s="84" t="str">
        <f>IF('Consulta1'!D4540="","",'Consulta1'!D4540)</f>
        <v/>
      </c>
      <c r="E448" s="82" t="str">
        <f>IF('Consulta1'!E4540="","",'Consulta1'!E4540)</f>
        <v/>
      </c>
      <c r="F448" t="str">
        <f>+IF(E448="","",VLOOKUP(E448,CATALOGO!G:L,6,0))</f>
        <v/>
      </c>
      <c r="G448" s="85" t="str">
        <f>IF('Consulta1'!F4540="","",'Consulta1'!F4540)</f>
        <v/>
      </c>
      <c r="H448" s="85" t="str">
        <f>IF('Consulta1'!G4540="","",'Consulta1'!G4540)</f>
        <v/>
      </c>
      <c r="I448" s="86" t="str">
        <f>IF('Consulta1'!H4540="","",'Consulta1'!H4540)</f>
        <v/>
      </c>
      <c r="J448" t="str">
        <f t="shared" si="6"/>
        <v/>
      </c>
      <c r="K448" t="str">
        <f>+IF(E448="","",VLOOKUP(E448,CATALOGO!G:I,2,0))</f>
        <v/>
      </c>
      <c r="L448" t="str">
        <f>+IF(E448="","",VLOOKUP(E448,CATALOGO!G:I,3,0))</f>
        <v/>
      </c>
      <c r="M448" s="87" t="str">
        <f>IF('Consulta1'!I4540="","",'Consulta1'!I4540)</f>
        <v/>
      </c>
      <c r="N448" s="88" t="str">
        <f>IF('Consulta1'!J4540="","",'Consulta1'!J4540)</f>
        <v/>
      </c>
    </row>
    <row r="449" spans="1:14" ht="18.75" x14ac:dyDescent="0.25">
      <c r="A449" s="82" t="str">
        <f>IF('Consulta1'!A4541="","",'Consulta1'!A4541)</f>
        <v/>
      </c>
      <c r="B449" s="82" t="str">
        <f>IF('Consulta1'!B4541="","",'Consulta1'!B4541)</f>
        <v/>
      </c>
      <c r="C449" s="83" t="str">
        <f>IF('Consulta1'!C4541="","",'Consulta1'!C4541)</f>
        <v/>
      </c>
      <c r="D449" s="84" t="str">
        <f>IF('Consulta1'!D4541="","",'Consulta1'!D4541)</f>
        <v/>
      </c>
      <c r="E449" s="82" t="str">
        <f>IF('Consulta1'!E4541="","",'Consulta1'!E4541)</f>
        <v/>
      </c>
      <c r="F449" t="str">
        <f>+IF(E449="","",VLOOKUP(E449,CATALOGO!G:L,6,0))</f>
        <v/>
      </c>
      <c r="G449" s="85" t="str">
        <f>IF('Consulta1'!F4541="","",'Consulta1'!F4541)</f>
        <v/>
      </c>
      <c r="H449" s="85" t="str">
        <f>IF('Consulta1'!G4541="","",'Consulta1'!G4541)</f>
        <v/>
      </c>
      <c r="I449" s="86" t="str">
        <f>IF('Consulta1'!H4541="","",'Consulta1'!H4541)</f>
        <v/>
      </c>
      <c r="J449" t="str">
        <f t="shared" si="6"/>
        <v/>
      </c>
      <c r="K449" t="str">
        <f>+IF(E449="","",VLOOKUP(E449,CATALOGO!G:I,2,0))</f>
        <v/>
      </c>
      <c r="L449" t="str">
        <f>+IF(E449="","",VLOOKUP(E449,CATALOGO!G:I,3,0))</f>
        <v/>
      </c>
      <c r="M449" s="87" t="str">
        <f>IF('Consulta1'!I4541="","",'Consulta1'!I4541)</f>
        <v/>
      </c>
      <c r="N449" s="88" t="str">
        <f>IF('Consulta1'!J4541="","",'Consulta1'!J4541)</f>
        <v/>
      </c>
    </row>
    <row r="450" spans="1:14" ht="18.75" x14ac:dyDescent="0.25">
      <c r="A450" s="82" t="str">
        <f>IF('Consulta1'!A4542="","",'Consulta1'!A4542)</f>
        <v/>
      </c>
      <c r="B450" s="82" t="str">
        <f>IF('Consulta1'!B4542="","",'Consulta1'!B4542)</f>
        <v/>
      </c>
      <c r="C450" s="83" t="str">
        <f>IF('Consulta1'!C4542="","",'Consulta1'!C4542)</f>
        <v/>
      </c>
      <c r="D450" s="84" t="str">
        <f>IF('Consulta1'!D4542="","",'Consulta1'!D4542)</f>
        <v/>
      </c>
      <c r="E450" s="82" t="str">
        <f>IF('Consulta1'!E4542="","",'Consulta1'!E4542)</f>
        <v/>
      </c>
      <c r="F450" t="str">
        <f>+IF(E450="","",VLOOKUP(E450,CATALOGO!G:L,6,0))</f>
        <v/>
      </c>
      <c r="G450" s="85" t="str">
        <f>IF('Consulta1'!F4542="","",'Consulta1'!F4542)</f>
        <v/>
      </c>
      <c r="H450" s="85" t="str">
        <f>IF('Consulta1'!G4542="","",'Consulta1'!G4542)</f>
        <v/>
      </c>
      <c r="I450" s="86" t="str">
        <f>IF('Consulta1'!H4542="","",'Consulta1'!H4542)</f>
        <v/>
      </c>
      <c r="J450" t="str">
        <f t="shared" si="6"/>
        <v/>
      </c>
      <c r="K450" t="str">
        <f>+IF(E450="","",VLOOKUP(E450,CATALOGO!G:I,2,0))</f>
        <v/>
      </c>
      <c r="L450" t="str">
        <f>+IF(E450="","",VLOOKUP(E450,CATALOGO!G:I,3,0))</f>
        <v/>
      </c>
      <c r="M450" s="87" t="str">
        <f>IF('Consulta1'!I4542="","",'Consulta1'!I4542)</f>
        <v/>
      </c>
      <c r="N450" s="88" t="str">
        <f>IF('Consulta1'!J4542="","",'Consulta1'!J4542)</f>
        <v/>
      </c>
    </row>
    <row r="451" spans="1:14" ht="18.75" x14ac:dyDescent="0.25">
      <c r="A451" s="82" t="str">
        <f>IF('Consulta1'!A4543="","",'Consulta1'!A4543)</f>
        <v/>
      </c>
      <c r="B451" s="82" t="str">
        <f>IF('Consulta1'!B4543="","",'Consulta1'!B4543)</f>
        <v/>
      </c>
      <c r="C451" s="83" t="str">
        <f>IF('Consulta1'!C4543="","",'Consulta1'!C4543)</f>
        <v/>
      </c>
      <c r="D451" s="84" t="str">
        <f>IF('Consulta1'!D4543="","",'Consulta1'!D4543)</f>
        <v/>
      </c>
      <c r="E451" s="82" t="str">
        <f>IF('Consulta1'!E4543="","",'Consulta1'!E4543)</f>
        <v/>
      </c>
      <c r="F451" t="str">
        <f>+IF(E451="","",VLOOKUP(E451,CATALOGO!G:L,6,0))</f>
        <v/>
      </c>
      <c r="G451" s="85" t="str">
        <f>IF('Consulta1'!F4543="","",'Consulta1'!F4543)</f>
        <v/>
      </c>
      <c r="H451" s="85" t="str">
        <f>IF('Consulta1'!G4543="","",'Consulta1'!G4543)</f>
        <v/>
      </c>
      <c r="I451" s="86" t="str">
        <f>IF('Consulta1'!H4543="","",'Consulta1'!H4543)</f>
        <v/>
      </c>
      <c r="J451" t="str">
        <f t="shared" ref="J451:J514" si="7">+IF(E451="","",WEEKNUM(I451))</f>
        <v/>
      </c>
      <c r="K451" t="str">
        <f>+IF(E451="","",VLOOKUP(E451,CATALOGO!G:I,2,0))</f>
        <v/>
      </c>
      <c r="L451" t="str">
        <f>+IF(E451="","",VLOOKUP(E451,CATALOGO!G:I,3,0))</f>
        <v/>
      </c>
      <c r="M451" s="87" t="str">
        <f>IF('Consulta1'!I4543="","",'Consulta1'!I4543)</f>
        <v/>
      </c>
      <c r="N451" s="88" t="str">
        <f>IF('Consulta1'!J4543="","",'Consulta1'!J4543)</f>
        <v/>
      </c>
    </row>
    <row r="452" spans="1:14" ht="18.75" x14ac:dyDescent="0.25">
      <c r="A452" s="82" t="str">
        <f>IF('Consulta1'!A4544="","",'Consulta1'!A4544)</f>
        <v/>
      </c>
      <c r="B452" s="82" t="str">
        <f>IF('Consulta1'!B4544="","",'Consulta1'!B4544)</f>
        <v/>
      </c>
      <c r="C452" s="83" t="str">
        <f>IF('Consulta1'!C4544="","",'Consulta1'!C4544)</f>
        <v/>
      </c>
      <c r="D452" s="84" t="str">
        <f>IF('Consulta1'!D4544="","",'Consulta1'!D4544)</f>
        <v/>
      </c>
      <c r="E452" s="82" t="str">
        <f>IF('Consulta1'!E4544="","",'Consulta1'!E4544)</f>
        <v/>
      </c>
      <c r="F452" t="str">
        <f>+IF(E452="","",VLOOKUP(E452,CATALOGO!G:L,6,0))</f>
        <v/>
      </c>
      <c r="G452" s="85" t="str">
        <f>IF('Consulta1'!F4544="","",'Consulta1'!F4544)</f>
        <v/>
      </c>
      <c r="H452" s="85" t="str">
        <f>IF('Consulta1'!G4544="","",'Consulta1'!G4544)</f>
        <v/>
      </c>
      <c r="I452" s="86" t="str">
        <f>IF('Consulta1'!H4544="","",'Consulta1'!H4544)</f>
        <v/>
      </c>
      <c r="J452" t="str">
        <f t="shared" si="7"/>
        <v/>
      </c>
      <c r="K452" t="str">
        <f>+IF(E452="","",VLOOKUP(E452,CATALOGO!G:I,2,0))</f>
        <v/>
      </c>
      <c r="L452" t="str">
        <f>+IF(E452="","",VLOOKUP(E452,CATALOGO!G:I,3,0))</f>
        <v/>
      </c>
      <c r="M452" s="87" t="str">
        <f>IF('Consulta1'!I4544="","",'Consulta1'!I4544)</f>
        <v/>
      </c>
      <c r="N452" s="88" t="str">
        <f>IF('Consulta1'!J4544="","",'Consulta1'!J4544)</f>
        <v/>
      </c>
    </row>
    <row r="453" spans="1:14" ht="18.75" x14ac:dyDescent="0.25">
      <c r="A453" s="82" t="str">
        <f>IF('Consulta1'!A4545="","",'Consulta1'!A4545)</f>
        <v/>
      </c>
      <c r="B453" s="82" t="str">
        <f>IF('Consulta1'!B4545="","",'Consulta1'!B4545)</f>
        <v/>
      </c>
      <c r="C453" s="83" t="str">
        <f>IF('Consulta1'!C4545="","",'Consulta1'!C4545)</f>
        <v/>
      </c>
      <c r="D453" s="84" t="str">
        <f>IF('Consulta1'!D4545="","",'Consulta1'!D4545)</f>
        <v/>
      </c>
      <c r="E453" s="82" t="str">
        <f>IF('Consulta1'!E4545="","",'Consulta1'!E4545)</f>
        <v/>
      </c>
      <c r="F453" t="str">
        <f>+IF(E453="","",VLOOKUP(E453,CATALOGO!G:L,6,0))</f>
        <v/>
      </c>
      <c r="G453" s="85" t="str">
        <f>IF('Consulta1'!F4545="","",'Consulta1'!F4545)</f>
        <v/>
      </c>
      <c r="H453" s="85" t="str">
        <f>IF('Consulta1'!G4545="","",'Consulta1'!G4545)</f>
        <v/>
      </c>
      <c r="I453" s="86" t="str">
        <f>IF('Consulta1'!H4545="","",'Consulta1'!H4545)</f>
        <v/>
      </c>
      <c r="J453" t="str">
        <f t="shared" si="7"/>
        <v/>
      </c>
      <c r="K453" t="str">
        <f>+IF(E453="","",VLOOKUP(E453,CATALOGO!G:I,2,0))</f>
        <v/>
      </c>
      <c r="L453" t="str">
        <f>+IF(E453="","",VLOOKUP(E453,CATALOGO!G:I,3,0))</f>
        <v/>
      </c>
      <c r="M453" s="87" t="str">
        <f>IF('Consulta1'!I4545="","",'Consulta1'!I4545)</f>
        <v/>
      </c>
      <c r="N453" s="88" t="str">
        <f>IF('Consulta1'!J4545="","",'Consulta1'!J4545)</f>
        <v/>
      </c>
    </row>
    <row r="454" spans="1:14" ht="18.75" x14ac:dyDescent="0.25">
      <c r="A454" s="82" t="str">
        <f>IF('Consulta1'!A4546="","",'Consulta1'!A4546)</f>
        <v/>
      </c>
      <c r="B454" s="82" t="str">
        <f>IF('Consulta1'!B4546="","",'Consulta1'!B4546)</f>
        <v/>
      </c>
      <c r="C454" s="83" t="str">
        <f>IF('Consulta1'!C4546="","",'Consulta1'!C4546)</f>
        <v/>
      </c>
      <c r="D454" s="84" t="str">
        <f>IF('Consulta1'!D4546="","",'Consulta1'!D4546)</f>
        <v/>
      </c>
      <c r="E454" s="82" t="str">
        <f>IF('Consulta1'!E4546="","",'Consulta1'!E4546)</f>
        <v/>
      </c>
      <c r="F454" t="str">
        <f>+IF(E454="","",VLOOKUP(E454,CATALOGO!G:L,6,0))</f>
        <v/>
      </c>
      <c r="G454" s="85" t="str">
        <f>IF('Consulta1'!F4546="","",'Consulta1'!F4546)</f>
        <v/>
      </c>
      <c r="H454" s="85" t="str">
        <f>IF('Consulta1'!G4546="","",'Consulta1'!G4546)</f>
        <v/>
      </c>
      <c r="I454" s="86" t="str">
        <f>IF('Consulta1'!H4546="","",'Consulta1'!H4546)</f>
        <v/>
      </c>
      <c r="J454" t="str">
        <f t="shared" si="7"/>
        <v/>
      </c>
      <c r="K454" t="str">
        <f>+IF(E454="","",VLOOKUP(E454,CATALOGO!G:I,2,0))</f>
        <v/>
      </c>
      <c r="L454" t="str">
        <f>+IF(E454="","",VLOOKUP(E454,CATALOGO!G:I,3,0))</f>
        <v/>
      </c>
      <c r="M454" s="87" t="str">
        <f>IF('Consulta1'!I4546="","",'Consulta1'!I4546)</f>
        <v/>
      </c>
      <c r="N454" s="88" t="str">
        <f>IF('Consulta1'!J4546="","",'Consulta1'!J4546)</f>
        <v/>
      </c>
    </row>
    <row r="455" spans="1:14" ht="18.75" x14ac:dyDescent="0.25">
      <c r="A455" s="82" t="str">
        <f>IF('Consulta1'!A4547="","",'Consulta1'!A4547)</f>
        <v/>
      </c>
      <c r="B455" s="82" t="str">
        <f>IF('Consulta1'!B4547="","",'Consulta1'!B4547)</f>
        <v/>
      </c>
      <c r="C455" s="83" t="str">
        <f>IF('Consulta1'!C4547="","",'Consulta1'!C4547)</f>
        <v/>
      </c>
      <c r="D455" s="84" t="str">
        <f>IF('Consulta1'!D4547="","",'Consulta1'!D4547)</f>
        <v/>
      </c>
      <c r="E455" s="82" t="str">
        <f>IF('Consulta1'!E4547="","",'Consulta1'!E4547)</f>
        <v/>
      </c>
      <c r="F455" t="str">
        <f>+IF(E455="","",VLOOKUP(E455,CATALOGO!G:L,6,0))</f>
        <v/>
      </c>
      <c r="G455" s="85" t="str">
        <f>IF('Consulta1'!F4547="","",'Consulta1'!F4547)</f>
        <v/>
      </c>
      <c r="H455" s="85" t="str">
        <f>IF('Consulta1'!G4547="","",'Consulta1'!G4547)</f>
        <v/>
      </c>
      <c r="I455" s="86" t="str">
        <f>IF('Consulta1'!H4547="","",'Consulta1'!H4547)</f>
        <v/>
      </c>
      <c r="J455" t="str">
        <f t="shared" si="7"/>
        <v/>
      </c>
      <c r="K455" t="str">
        <f>+IF(E455="","",VLOOKUP(E455,CATALOGO!G:I,2,0))</f>
        <v/>
      </c>
      <c r="L455" t="str">
        <f>+IF(E455="","",VLOOKUP(E455,CATALOGO!G:I,3,0))</f>
        <v/>
      </c>
      <c r="M455" s="87" t="str">
        <f>IF('Consulta1'!I4547="","",'Consulta1'!I4547)</f>
        <v/>
      </c>
      <c r="N455" s="88" t="str">
        <f>IF('Consulta1'!J4547="","",'Consulta1'!J4547)</f>
        <v/>
      </c>
    </row>
    <row r="456" spans="1:14" ht="18.75" x14ac:dyDescent="0.25">
      <c r="A456" s="82" t="str">
        <f>IF('Consulta1'!A4548="","",'Consulta1'!A4548)</f>
        <v/>
      </c>
      <c r="B456" s="82" t="str">
        <f>IF('Consulta1'!B4548="","",'Consulta1'!B4548)</f>
        <v/>
      </c>
      <c r="C456" s="83" t="str">
        <f>IF('Consulta1'!C4548="","",'Consulta1'!C4548)</f>
        <v/>
      </c>
      <c r="D456" s="84" t="str">
        <f>IF('Consulta1'!D4548="","",'Consulta1'!D4548)</f>
        <v/>
      </c>
      <c r="E456" s="82" t="str">
        <f>IF('Consulta1'!E4548="","",'Consulta1'!E4548)</f>
        <v/>
      </c>
      <c r="F456" t="str">
        <f>+IF(E456="","",VLOOKUP(E456,CATALOGO!G:L,6,0))</f>
        <v/>
      </c>
      <c r="G456" s="85" t="str">
        <f>IF('Consulta1'!F4548="","",'Consulta1'!F4548)</f>
        <v/>
      </c>
      <c r="H456" s="85" t="str">
        <f>IF('Consulta1'!G4548="","",'Consulta1'!G4548)</f>
        <v/>
      </c>
      <c r="I456" s="86" t="str">
        <f>IF('Consulta1'!H4548="","",'Consulta1'!H4548)</f>
        <v/>
      </c>
      <c r="J456" t="str">
        <f t="shared" si="7"/>
        <v/>
      </c>
      <c r="K456" t="str">
        <f>+IF(E456="","",VLOOKUP(E456,CATALOGO!G:I,2,0))</f>
        <v/>
      </c>
      <c r="L456" t="str">
        <f>+IF(E456="","",VLOOKUP(E456,CATALOGO!G:I,3,0))</f>
        <v/>
      </c>
      <c r="M456" s="87" t="str">
        <f>IF('Consulta1'!I4548="","",'Consulta1'!I4548)</f>
        <v/>
      </c>
      <c r="N456" s="88" t="str">
        <f>IF('Consulta1'!J4548="","",'Consulta1'!J4548)</f>
        <v/>
      </c>
    </row>
    <row r="457" spans="1:14" ht="18.75" x14ac:dyDescent="0.25">
      <c r="A457" s="82" t="str">
        <f>IF('Consulta1'!A4549="","",'Consulta1'!A4549)</f>
        <v/>
      </c>
      <c r="B457" s="82" t="str">
        <f>IF('Consulta1'!B4549="","",'Consulta1'!B4549)</f>
        <v/>
      </c>
      <c r="C457" s="83" t="str">
        <f>IF('Consulta1'!C4549="","",'Consulta1'!C4549)</f>
        <v/>
      </c>
      <c r="D457" s="84" t="str">
        <f>IF('Consulta1'!D4549="","",'Consulta1'!D4549)</f>
        <v/>
      </c>
      <c r="E457" s="82" t="str">
        <f>IF('Consulta1'!E4549="","",'Consulta1'!E4549)</f>
        <v/>
      </c>
      <c r="F457" t="str">
        <f>+IF(E457="","",VLOOKUP(E457,CATALOGO!G:L,6,0))</f>
        <v/>
      </c>
      <c r="G457" s="85" t="str">
        <f>IF('Consulta1'!F4549="","",'Consulta1'!F4549)</f>
        <v/>
      </c>
      <c r="H457" s="85" t="str">
        <f>IF('Consulta1'!G4549="","",'Consulta1'!G4549)</f>
        <v/>
      </c>
      <c r="I457" s="86" t="str">
        <f>IF('Consulta1'!H4549="","",'Consulta1'!H4549)</f>
        <v/>
      </c>
      <c r="J457" t="str">
        <f t="shared" si="7"/>
        <v/>
      </c>
      <c r="K457" t="str">
        <f>+IF(E457="","",VLOOKUP(E457,CATALOGO!G:I,2,0))</f>
        <v/>
      </c>
      <c r="L457" t="str">
        <f>+IF(E457="","",VLOOKUP(E457,CATALOGO!G:I,3,0))</f>
        <v/>
      </c>
      <c r="M457" s="87" t="str">
        <f>IF('Consulta1'!I4549="","",'Consulta1'!I4549)</f>
        <v/>
      </c>
      <c r="N457" s="88" t="str">
        <f>IF('Consulta1'!J4549="","",'Consulta1'!J4549)</f>
        <v/>
      </c>
    </row>
    <row r="458" spans="1:14" ht="18.75" x14ac:dyDescent="0.25">
      <c r="A458" s="82" t="str">
        <f>IF('Consulta1'!A4550="","",'Consulta1'!A4550)</f>
        <v/>
      </c>
      <c r="B458" s="82" t="str">
        <f>IF('Consulta1'!B4550="","",'Consulta1'!B4550)</f>
        <v/>
      </c>
      <c r="C458" s="83" t="str">
        <f>IF('Consulta1'!C4550="","",'Consulta1'!C4550)</f>
        <v/>
      </c>
      <c r="D458" s="84" t="str">
        <f>IF('Consulta1'!D4550="","",'Consulta1'!D4550)</f>
        <v/>
      </c>
      <c r="E458" s="82" t="str">
        <f>IF('Consulta1'!E4550="","",'Consulta1'!E4550)</f>
        <v/>
      </c>
      <c r="F458" t="str">
        <f>+IF(E458="","",VLOOKUP(E458,CATALOGO!G:L,6,0))</f>
        <v/>
      </c>
      <c r="G458" s="85" t="str">
        <f>IF('Consulta1'!F4550="","",'Consulta1'!F4550)</f>
        <v/>
      </c>
      <c r="H458" s="85" t="str">
        <f>IF('Consulta1'!G4550="","",'Consulta1'!G4550)</f>
        <v/>
      </c>
      <c r="I458" s="86" t="str">
        <f>IF('Consulta1'!H4550="","",'Consulta1'!H4550)</f>
        <v/>
      </c>
      <c r="J458" t="str">
        <f t="shared" si="7"/>
        <v/>
      </c>
      <c r="K458" t="str">
        <f>+IF(E458="","",VLOOKUP(E458,CATALOGO!G:I,2,0))</f>
        <v/>
      </c>
      <c r="L458" t="str">
        <f>+IF(E458="","",VLOOKUP(E458,CATALOGO!G:I,3,0))</f>
        <v/>
      </c>
      <c r="M458" s="87" t="str">
        <f>IF('Consulta1'!I4550="","",'Consulta1'!I4550)</f>
        <v/>
      </c>
      <c r="N458" s="88" t="str">
        <f>IF('Consulta1'!J4550="","",'Consulta1'!J4550)</f>
        <v/>
      </c>
    </row>
    <row r="459" spans="1:14" ht="18.75" x14ac:dyDescent="0.25">
      <c r="A459" s="82" t="str">
        <f>IF('Consulta1'!A4551="","",'Consulta1'!A4551)</f>
        <v/>
      </c>
      <c r="B459" s="82" t="str">
        <f>IF('Consulta1'!B4551="","",'Consulta1'!B4551)</f>
        <v/>
      </c>
      <c r="C459" s="83" t="str">
        <f>IF('Consulta1'!C4551="","",'Consulta1'!C4551)</f>
        <v/>
      </c>
      <c r="D459" s="84" t="str">
        <f>IF('Consulta1'!D4551="","",'Consulta1'!D4551)</f>
        <v/>
      </c>
      <c r="E459" s="82" t="str">
        <f>IF('Consulta1'!E4551="","",'Consulta1'!E4551)</f>
        <v/>
      </c>
      <c r="F459" t="str">
        <f>+IF(E459="","",VLOOKUP(E459,CATALOGO!G:L,6,0))</f>
        <v/>
      </c>
      <c r="G459" s="85" t="str">
        <f>IF('Consulta1'!F4551="","",'Consulta1'!F4551)</f>
        <v/>
      </c>
      <c r="H459" s="85" t="str">
        <f>IF('Consulta1'!G4551="","",'Consulta1'!G4551)</f>
        <v/>
      </c>
      <c r="I459" s="86" t="str">
        <f>IF('Consulta1'!H4551="","",'Consulta1'!H4551)</f>
        <v/>
      </c>
      <c r="J459" t="str">
        <f t="shared" si="7"/>
        <v/>
      </c>
      <c r="K459" t="str">
        <f>+IF(E459="","",VLOOKUP(E459,CATALOGO!G:I,2,0))</f>
        <v/>
      </c>
      <c r="L459" t="str">
        <f>+IF(E459="","",VLOOKUP(E459,CATALOGO!G:I,3,0))</f>
        <v/>
      </c>
      <c r="M459" s="87" t="str">
        <f>IF('Consulta1'!I4551="","",'Consulta1'!I4551)</f>
        <v/>
      </c>
      <c r="N459" s="88" t="str">
        <f>IF('Consulta1'!J4551="","",'Consulta1'!J4551)</f>
        <v/>
      </c>
    </row>
    <row r="460" spans="1:14" ht="18.75" x14ac:dyDescent="0.25">
      <c r="A460" s="82" t="str">
        <f>IF('Consulta1'!A4552="","",'Consulta1'!A4552)</f>
        <v/>
      </c>
      <c r="B460" s="82" t="str">
        <f>IF('Consulta1'!B4552="","",'Consulta1'!B4552)</f>
        <v/>
      </c>
      <c r="C460" s="83" t="str">
        <f>IF('Consulta1'!C4552="","",'Consulta1'!C4552)</f>
        <v/>
      </c>
      <c r="D460" s="84" t="str">
        <f>IF('Consulta1'!D4552="","",'Consulta1'!D4552)</f>
        <v/>
      </c>
      <c r="E460" s="82" t="str">
        <f>IF('Consulta1'!E4552="","",'Consulta1'!E4552)</f>
        <v/>
      </c>
      <c r="F460" t="str">
        <f>+IF(E460="","",VLOOKUP(E460,CATALOGO!G:L,6,0))</f>
        <v/>
      </c>
      <c r="G460" s="85" t="str">
        <f>IF('Consulta1'!F4552="","",'Consulta1'!F4552)</f>
        <v/>
      </c>
      <c r="H460" s="85" t="str">
        <f>IF('Consulta1'!G4552="","",'Consulta1'!G4552)</f>
        <v/>
      </c>
      <c r="I460" s="86" t="str">
        <f>IF('Consulta1'!H4552="","",'Consulta1'!H4552)</f>
        <v/>
      </c>
      <c r="J460" t="str">
        <f t="shared" si="7"/>
        <v/>
      </c>
      <c r="K460" t="str">
        <f>+IF(E460="","",VLOOKUP(E460,CATALOGO!G:I,2,0))</f>
        <v/>
      </c>
      <c r="L460" t="str">
        <f>+IF(E460="","",VLOOKUP(E460,CATALOGO!G:I,3,0))</f>
        <v/>
      </c>
      <c r="M460" s="87" t="str">
        <f>IF('Consulta1'!I4552="","",'Consulta1'!I4552)</f>
        <v/>
      </c>
      <c r="N460" s="88" t="str">
        <f>IF('Consulta1'!J4552="","",'Consulta1'!J4552)</f>
        <v/>
      </c>
    </row>
    <row r="461" spans="1:14" ht="18.75" x14ac:dyDescent="0.25">
      <c r="A461" s="82" t="str">
        <f>IF('Consulta1'!A4553="","",'Consulta1'!A4553)</f>
        <v/>
      </c>
      <c r="B461" s="82" t="str">
        <f>IF('Consulta1'!B4553="","",'Consulta1'!B4553)</f>
        <v/>
      </c>
      <c r="C461" s="83" t="str">
        <f>IF('Consulta1'!C4553="","",'Consulta1'!C4553)</f>
        <v/>
      </c>
      <c r="D461" s="84" t="str">
        <f>IF('Consulta1'!D4553="","",'Consulta1'!D4553)</f>
        <v/>
      </c>
      <c r="E461" s="82" t="str">
        <f>IF('Consulta1'!E4553="","",'Consulta1'!E4553)</f>
        <v/>
      </c>
      <c r="F461" t="str">
        <f>+IF(E461="","",VLOOKUP(E461,CATALOGO!G:L,6,0))</f>
        <v/>
      </c>
      <c r="G461" s="85" t="str">
        <f>IF('Consulta1'!F4553="","",'Consulta1'!F4553)</f>
        <v/>
      </c>
      <c r="H461" s="85" t="str">
        <f>IF('Consulta1'!G4553="","",'Consulta1'!G4553)</f>
        <v/>
      </c>
      <c r="I461" s="86" t="str">
        <f>IF('Consulta1'!H4553="","",'Consulta1'!H4553)</f>
        <v/>
      </c>
      <c r="J461" t="str">
        <f t="shared" si="7"/>
        <v/>
      </c>
      <c r="K461" t="str">
        <f>+IF(E461="","",VLOOKUP(E461,CATALOGO!G:I,2,0))</f>
        <v/>
      </c>
      <c r="L461" t="str">
        <f>+IF(E461="","",VLOOKUP(E461,CATALOGO!G:I,3,0))</f>
        <v/>
      </c>
      <c r="M461" s="87" t="str">
        <f>IF('Consulta1'!I4553="","",'Consulta1'!I4553)</f>
        <v/>
      </c>
      <c r="N461" s="88" t="str">
        <f>IF('Consulta1'!J4553="","",'Consulta1'!J4553)</f>
        <v/>
      </c>
    </row>
    <row r="462" spans="1:14" ht="18.75" x14ac:dyDescent="0.25">
      <c r="A462" s="82" t="str">
        <f>IF('Consulta1'!A4554="","",'Consulta1'!A4554)</f>
        <v/>
      </c>
      <c r="B462" s="82" t="str">
        <f>IF('Consulta1'!B4554="","",'Consulta1'!B4554)</f>
        <v/>
      </c>
      <c r="C462" s="83" t="str">
        <f>IF('Consulta1'!C4554="","",'Consulta1'!C4554)</f>
        <v/>
      </c>
      <c r="D462" s="84" t="str">
        <f>IF('Consulta1'!D4554="","",'Consulta1'!D4554)</f>
        <v/>
      </c>
      <c r="E462" s="82" t="str">
        <f>IF('Consulta1'!E4554="","",'Consulta1'!E4554)</f>
        <v/>
      </c>
      <c r="F462" t="str">
        <f>+IF(E462="","",VLOOKUP(E462,CATALOGO!G:L,6,0))</f>
        <v/>
      </c>
      <c r="G462" s="85" t="str">
        <f>IF('Consulta1'!F4554="","",'Consulta1'!F4554)</f>
        <v/>
      </c>
      <c r="H462" s="85" t="str">
        <f>IF('Consulta1'!G4554="","",'Consulta1'!G4554)</f>
        <v/>
      </c>
      <c r="I462" s="86" t="str">
        <f>IF('Consulta1'!H4554="","",'Consulta1'!H4554)</f>
        <v/>
      </c>
      <c r="J462" t="str">
        <f t="shared" si="7"/>
        <v/>
      </c>
      <c r="K462" t="str">
        <f>+IF(E462="","",VLOOKUP(E462,CATALOGO!G:I,2,0))</f>
        <v/>
      </c>
      <c r="L462" t="str">
        <f>+IF(E462="","",VLOOKUP(E462,CATALOGO!G:I,3,0))</f>
        <v/>
      </c>
      <c r="M462" s="87" t="str">
        <f>IF('Consulta1'!I4554="","",'Consulta1'!I4554)</f>
        <v/>
      </c>
      <c r="N462" s="88" t="str">
        <f>IF('Consulta1'!J4554="","",'Consulta1'!J4554)</f>
        <v/>
      </c>
    </row>
    <row r="463" spans="1:14" ht="18.75" x14ac:dyDescent="0.25">
      <c r="A463" s="82" t="str">
        <f>IF('Consulta1'!A4555="","",'Consulta1'!A4555)</f>
        <v/>
      </c>
      <c r="B463" s="82" t="str">
        <f>IF('Consulta1'!B4555="","",'Consulta1'!B4555)</f>
        <v/>
      </c>
      <c r="C463" s="83" t="str">
        <f>IF('Consulta1'!C4555="","",'Consulta1'!C4555)</f>
        <v/>
      </c>
      <c r="D463" s="84" t="str">
        <f>IF('Consulta1'!D4555="","",'Consulta1'!D4555)</f>
        <v/>
      </c>
      <c r="E463" s="82" t="str">
        <f>IF('Consulta1'!E4555="","",'Consulta1'!E4555)</f>
        <v/>
      </c>
      <c r="F463" t="str">
        <f>+IF(E463="","",VLOOKUP(E463,CATALOGO!G:L,6,0))</f>
        <v/>
      </c>
      <c r="G463" s="85" t="str">
        <f>IF('Consulta1'!F4555="","",'Consulta1'!F4555)</f>
        <v/>
      </c>
      <c r="H463" s="85" t="str">
        <f>IF('Consulta1'!G4555="","",'Consulta1'!G4555)</f>
        <v/>
      </c>
      <c r="I463" s="86" t="str">
        <f>IF('Consulta1'!H4555="","",'Consulta1'!H4555)</f>
        <v/>
      </c>
      <c r="J463" t="str">
        <f t="shared" si="7"/>
        <v/>
      </c>
      <c r="K463" t="str">
        <f>+IF(E463="","",VLOOKUP(E463,CATALOGO!G:I,2,0))</f>
        <v/>
      </c>
      <c r="L463" t="str">
        <f>+IF(E463="","",VLOOKUP(E463,CATALOGO!G:I,3,0))</f>
        <v/>
      </c>
      <c r="M463" s="87" t="str">
        <f>IF('Consulta1'!I4555="","",'Consulta1'!I4555)</f>
        <v/>
      </c>
      <c r="N463" s="88" t="str">
        <f>IF('Consulta1'!J4555="","",'Consulta1'!J4555)</f>
        <v/>
      </c>
    </row>
    <row r="464" spans="1:14" ht="18.75" x14ac:dyDescent="0.25">
      <c r="A464" s="82" t="str">
        <f>IF('Consulta1'!A4556="","",'Consulta1'!A4556)</f>
        <v/>
      </c>
      <c r="B464" s="82" t="str">
        <f>IF('Consulta1'!B4556="","",'Consulta1'!B4556)</f>
        <v/>
      </c>
      <c r="C464" s="83" t="str">
        <f>IF('Consulta1'!C4556="","",'Consulta1'!C4556)</f>
        <v/>
      </c>
      <c r="D464" s="84" t="str">
        <f>IF('Consulta1'!D4556="","",'Consulta1'!D4556)</f>
        <v/>
      </c>
      <c r="E464" s="82" t="str">
        <f>IF('Consulta1'!E4556="","",'Consulta1'!E4556)</f>
        <v/>
      </c>
      <c r="F464" t="str">
        <f>+IF(E464="","",VLOOKUP(E464,CATALOGO!G:L,6,0))</f>
        <v/>
      </c>
      <c r="G464" s="85" t="str">
        <f>IF('Consulta1'!F4556="","",'Consulta1'!F4556)</f>
        <v/>
      </c>
      <c r="H464" s="85" t="str">
        <f>IF('Consulta1'!G4556="","",'Consulta1'!G4556)</f>
        <v/>
      </c>
      <c r="I464" s="86" t="str">
        <f>IF('Consulta1'!H4556="","",'Consulta1'!H4556)</f>
        <v/>
      </c>
      <c r="J464" t="str">
        <f t="shared" si="7"/>
        <v/>
      </c>
      <c r="K464" t="str">
        <f>+IF(E464="","",VLOOKUP(E464,CATALOGO!G:I,2,0))</f>
        <v/>
      </c>
      <c r="L464" t="str">
        <f>+IF(E464="","",VLOOKUP(E464,CATALOGO!G:I,3,0))</f>
        <v/>
      </c>
      <c r="M464" s="87" t="str">
        <f>IF('Consulta1'!I4556="","",'Consulta1'!I4556)</f>
        <v/>
      </c>
      <c r="N464" s="88" t="str">
        <f>IF('Consulta1'!J4556="","",'Consulta1'!J4556)</f>
        <v/>
      </c>
    </row>
    <row r="465" spans="1:14" ht="18.75" x14ac:dyDescent="0.25">
      <c r="A465" s="82" t="str">
        <f>IF('Consulta1'!A4557="","",'Consulta1'!A4557)</f>
        <v/>
      </c>
      <c r="B465" s="82" t="str">
        <f>IF('Consulta1'!B4557="","",'Consulta1'!B4557)</f>
        <v/>
      </c>
      <c r="C465" s="83" t="str">
        <f>IF('Consulta1'!C4557="","",'Consulta1'!C4557)</f>
        <v/>
      </c>
      <c r="D465" s="84" t="str">
        <f>IF('Consulta1'!D4557="","",'Consulta1'!D4557)</f>
        <v/>
      </c>
      <c r="E465" s="82" t="str">
        <f>IF('Consulta1'!E4557="","",'Consulta1'!E4557)</f>
        <v/>
      </c>
      <c r="F465" t="str">
        <f>+IF(E465="","",VLOOKUP(E465,CATALOGO!G:L,6,0))</f>
        <v/>
      </c>
      <c r="G465" s="85" t="str">
        <f>IF('Consulta1'!F4557="","",'Consulta1'!F4557)</f>
        <v/>
      </c>
      <c r="H465" s="85" t="str">
        <f>IF('Consulta1'!G4557="","",'Consulta1'!G4557)</f>
        <v/>
      </c>
      <c r="I465" s="86" t="str">
        <f>IF('Consulta1'!H4557="","",'Consulta1'!H4557)</f>
        <v/>
      </c>
      <c r="J465" t="str">
        <f t="shared" si="7"/>
        <v/>
      </c>
      <c r="K465" t="str">
        <f>+IF(E465="","",VLOOKUP(E465,CATALOGO!G:I,2,0))</f>
        <v/>
      </c>
      <c r="L465" t="str">
        <f>+IF(E465="","",VLOOKUP(E465,CATALOGO!G:I,3,0))</f>
        <v/>
      </c>
      <c r="M465" s="87" t="str">
        <f>IF('Consulta1'!I4557="","",'Consulta1'!I4557)</f>
        <v/>
      </c>
      <c r="N465" s="88" t="str">
        <f>IF('Consulta1'!J4557="","",'Consulta1'!J4557)</f>
        <v/>
      </c>
    </row>
    <row r="466" spans="1:14" ht="18.75" x14ac:dyDescent="0.25">
      <c r="A466" s="82" t="str">
        <f>IF('Consulta1'!A4558="","",'Consulta1'!A4558)</f>
        <v/>
      </c>
      <c r="B466" s="82" t="str">
        <f>IF('Consulta1'!B4558="","",'Consulta1'!B4558)</f>
        <v/>
      </c>
      <c r="C466" s="83" t="str">
        <f>IF('Consulta1'!C4558="","",'Consulta1'!C4558)</f>
        <v/>
      </c>
      <c r="D466" s="84" t="str">
        <f>IF('Consulta1'!D4558="","",'Consulta1'!D4558)</f>
        <v/>
      </c>
      <c r="E466" s="82" t="str">
        <f>IF('Consulta1'!E4558="","",'Consulta1'!E4558)</f>
        <v/>
      </c>
      <c r="F466" t="str">
        <f>+IF(E466="","",VLOOKUP(E466,CATALOGO!G:L,6,0))</f>
        <v/>
      </c>
      <c r="G466" s="85" t="str">
        <f>IF('Consulta1'!F4558="","",'Consulta1'!F4558)</f>
        <v/>
      </c>
      <c r="H466" s="85" t="str">
        <f>IF('Consulta1'!G4558="","",'Consulta1'!G4558)</f>
        <v/>
      </c>
      <c r="I466" s="86" t="str">
        <f>IF('Consulta1'!H4558="","",'Consulta1'!H4558)</f>
        <v/>
      </c>
      <c r="J466" t="str">
        <f t="shared" si="7"/>
        <v/>
      </c>
      <c r="K466" t="str">
        <f>+IF(E466="","",VLOOKUP(E466,CATALOGO!G:I,2,0))</f>
        <v/>
      </c>
      <c r="L466" t="str">
        <f>+IF(E466="","",VLOOKUP(E466,CATALOGO!G:I,3,0))</f>
        <v/>
      </c>
      <c r="M466" s="87" t="str">
        <f>IF('Consulta1'!I4558="","",'Consulta1'!I4558)</f>
        <v/>
      </c>
      <c r="N466" s="88" t="str">
        <f>IF('Consulta1'!J4558="","",'Consulta1'!J4558)</f>
        <v/>
      </c>
    </row>
    <row r="467" spans="1:14" ht="18.75" x14ac:dyDescent="0.25">
      <c r="A467" s="82" t="str">
        <f>IF('Consulta1'!A4559="","",'Consulta1'!A4559)</f>
        <v/>
      </c>
      <c r="B467" s="82" t="str">
        <f>IF('Consulta1'!B4559="","",'Consulta1'!B4559)</f>
        <v/>
      </c>
      <c r="C467" s="83" t="str">
        <f>IF('Consulta1'!C4559="","",'Consulta1'!C4559)</f>
        <v/>
      </c>
      <c r="D467" s="84" t="str">
        <f>IF('Consulta1'!D4559="","",'Consulta1'!D4559)</f>
        <v/>
      </c>
      <c r="E467" s="82" t="str">
        <f>IF('Consulta1'!E4559="","",'Consulta1'!E4559)</f>
        <v/>
      </c>
      <c r="F467" t="str">
        <f>+IF(E467="","",VLOOKUP(E467,CATALOGO!G:L,6,0))</f>
        <v/>
      </c>
      <c r="G467" s="85" t="str">
        <f>IF('Consulta1'!F4559="","",'Consulta1'!F4559)</f>
        <v/>
      </c>
      <c r="H467" s="85" t="str">
        <f>IF('Consulta1'!G4559="","",'Consulta1'!G4559)</f>
        <v/>
      </c>
      <c r="I467" s="86" t="str">
        <f>IF('Consulta1'!H4559="","",'Consulta1'!H4559)</f>
        <v/>
      </c>
      <c r="J467" t="str">
        <f t="shared" si="7"/>
        <v/>
      </c>
      <c r="K467" t="str">
        <f>+IF(E467="","",VLOOKUP(E467,CATALOGO!G:I,2,0))</f>
        <v/>
      </c>
      <c r="L467" t="str">
        <f>+IF(E467="","",VLOOKUP(E467,CATALOGO!G:I,3,0))</f>
        <v/>
      </c>
      <c r="M467" s="87" t="str">
        <f>IF('Consulta1'!I4559="","",'Consulta1'!I4559)</f>
        <v/>
      </c>
      <c r="N467" s="88" t="str">
        <f>IF('Consulta1'!J4559="","",'Consulta1'!J4559)</f>
        <v/>
      </c>
    </row>
    <row r="468" spans="1:14" ht="18.75" x14ac:dyDescent="0.25">
      <c r="A468" s="82" t="str">
        <f>IF('Consulta1'!A4560="","",'Consulta1'!A4560)</f>
        <v/>
      </c>
      <c r="B468" s="82" t="str">
        <f>IF('Consulta1'!B4560="","",'Consulta1'!B4560)</f>
        <v/>
      </c>
      <c r="C468" s="83" t="str">
        <f>IF('Consulta1'!C4560="","",'Consulta1'!C4560)</f>
        <v/>
      </c>
      <c r="D468" s="84" t="str">
        <f>IF('Consulta1'!D4560="","",'Consulta1'!D4560)</f>
        <v/>
      </c>
      <c r="E468" s="82" t="str">
        <f>IF('Consulta1'!E4560="","",'Consulta1'!E4560)</f>
        <v/>
      </c>
      <c r="F468" t="str">
        <f>+IF(E468="","",VLOOKUP(E468,CATALOGO!G:L,6,0))</f>
        <v/>
      </c>
      <c r="G468" s="85" t="str">
        <f>IF('Consulta1'!F4560="","",'Consulta1'!F4560)</f>
        <v/>
      </c>
      <c r="H468" s="85" t="str">
        <f>IF('Consulta1'!G4560="","",'Consulta1'!G4560)</f>
        <v/>
      </c>
      <c r="I468" s="86" t="str">
        <f>IF('Consulta1'!H4560="","",'Consulta1'!H4560)</f>
        <v/>
      </c>
      <c r="J468" t="str">
        <f t="shared" si="7"/>
        <v/>
      </c>
      <c r="K468" t="str">
        <f>+IF(E468="","",VLOOKUP(E468,CATALOGO!G:I,2,0))</f>
        <v/>
      </c>
      <c r="L468" t="str">
        <f>+IF(E468="","",VLOOKUP(E468,CATALOGO!G:I,3,0))</f>
        <v/>
      </c>
      <c r="M468" s="87" t="str">
        <f>IF('Consulta1'!I4560="","",'Consulta1'!I4560)</f>
        <v/>
      </c>
      <c r="N468" s="88" t="str">
        <f>IF('Consulta1'!J4560="","",'Consulta1'!J4560)</f>
        <v/>
      </c>
    </row>
    <row r="469" spans="1:14" ht="18.75" x14ac:dyDescent="0.25">
      <c r="A469" s="82" t="str">
        <f>IF('Consulta1'!A4561="","",'Consulta1'!A4561)</f>
        <v/>
      </c>
      <c r="B469" s="82" t="str">
        <f>IF('Consulta1'!B4561="","",'Consulta1'!B4561)</f>
        <v/>
      </c>
      <c r="C469" s="83" t="str">
        <f>IF('Consulta1'!C4561="","",'Consulta1'!C4561)</f>
        <v/>
      </c>
      <c r="D469" s="84" t="str">
        <f>IF('Consulta1'!D4561="","",'Consulta1'!D4561)</f>
        <v/>
      </c>
      <c r="E469" s="82" t="str">
        <f>IF('Consulta1'!E4561="","",'Consulta1'!E4561)</f>
        <v/>
      </c>
      <c r="F469" t="str">
        <f>+IF(E469="","",VLOOKUP(E469,CATALOGO!G:L,6,0))</f>
        <v/>
      </c>
      <c r="G469" s="85" t="str">
        <f>IF('Consulta1'!F4561="","",'Consulta1'!F4561)</f>
        <v/>
      </c>
      <c r="H469" s="85" t="str">
        <f>IF('Consulta1'!G4561="","",'Consulta1'!G4561)</f>
        <v/>
      </c>
      <c r="I469" s="86" t="str">
        <f>IF('Consulta1'!H4561="","",'Consulta1'!H4561)</f>
        <v/>
      </c>
      <c r="J469" t="str">
        <f t="shared" si="7"/>
        <v/>
      </c>
      <c r="K469" t="str">
        <f>+IF(E469="","",VLOOKUP(E469,CATALOGO!G:I,2,0))</f>
        <v/>
      </c>
      <c r="L469" t="str">
        <f>+IF(E469="","",VLOOKUP(E469,CATALOGO!G:I,3,0))</f>
        <v/>
      </c>
      <c r="M469" s="87" t="str">
        <f>IF('Consulta1'!I4561="","",'Consulta1'!I4561)</f>
        <v/>
      </c>
      <c r="N469" s="88" t="str">
        <f>IF('Consulta1'!J4561="","",'Consulta1'!J4561)</f>
        <v/>
      </c>
    </row>
    <row r="470" spans="1:14" ht="18.75" x14ac:dyDescent="0.25">
      <c r="A470" s="82" t="str">
        <f>IF('Consulta1'!A4562="","",'Consulta1'!A4562)</f>
        <v/>
      </c>
      <c r="B470" s="82" t="str">
        <f>IF('Consulta1'!B4562="","",'Consulta1'!B4562)</f>
        <v/>
      </c>
      <c r="C470" s="83" t="str">
        <f>IF('Consulta1'!C4562="","",'Consulta1'!C4562)</f>
        <v/>
      </c>
      <c r="D470" s="84" t="str">
        <f>IF('Consulta1'!D4562="","",'Consulta1'!D4562)</f>
        <v/>
      </c>
      <c r="E470" s="82" t="str">
        <f>IF('Consulta1'!E4562="","",'Consulta1'!E4562)</f>
        <v/>
      </c>
      <c r="F470" t="str">
        <f>+IF(E470="","",VLOOKUP(E470,CATALOGO!G:L,6,0))</f>
        <v/>
      </c>
      <c r="G470" s="85" t="str">
        <f>IF('Consulta1'!F4562="","",'Consulta1'!F4562)</f>
        <v/>
      </c>
      <c r="H470" s="85" t="str">
        <f>IF('Consulta1'!G4562="","",'Consulta1'!G4562)</f>
        <v/>
      </c>
      <c r="I470" s="86" t="str">
        <f>IF('Consulta1'!H4562="","",'Consulta1'!H4562)</f>
        <v/>
      </c>
      <c r="J470" t="str">
        <f t="shared" si="7"/>
        <v/>
      </c>
      <c r="K470" t="str">
        <f>+IF(E470="","",VLOOKUP(E470,CATALOGO!G:I,2,0))</f>
        <v/>
      </c>
      <c r="L470" t="str">
        <f>+IF(E470="","",VLOOKUP(E470,CATALOGO!G:I,3,0))</f>
        <v/>
      </c>
      <c r="M470" s="87" t="str">
        <f>IF('Consulta1'!I4562="","",'Consulta1'!I4562)</f>
        <v/>
      </c>
      <c r="N470" s="88" t="str">
        <f>IF('Consulta1'!J4562="","",'Consulta1'!J4562)</f>
        <v/>
      </c>
    </row>
    <row r="471" spans="1:14" ht="18.75" x14ac:dyDescent="0.25">
      <c r="A471" s="82" t="str">
        <f>IF('Consulta1'!A4563="","",'Consulta1'!A4563)</f>
        <v/>
      </c>
      <c r="B471" s="82" t="str">
        <f>IF('Consulta1'!B4563="","",'Consulta1'!B4563)</f>
        <v/>
      </c>
      <c r="C471" s="83" t="str">
        <f>IF('Consulta1'!C4563="","",'Consulta1'!C4563)</f>
        <v/>
      </c>
      <c r="D471" s="84" t="str">
        <f>IF('Consulta1'!D4563="","",'Consulta1'!D4563)</f>
        <v/>
      </c>
      <c r="E471" s="82" t="str">
        <f>IF('Consulta1'!E4563="","",'Consulta1'!E4563)</f>
        <v/>
      </c>
      <c r="F471" t="str">
        <f>+IF(E471="","",VLOOKUP(E471,CATALOGO!G:L,6,0))</f>
        <v/>
      </c>
      <c r="G471" s="85" t="str">
        <f>IF('Consulta1'!F4563="","",'Consulta1'!F4563)</f>
        <v/>
      </c>
      <c r="H471" s="85" t="str">
        <f>IF('Consulta1'!G4563="","",'Consulta1'!G4563)</f>
        <v/>
      </c>
      <c r="I471" s="86" t="str">
        <f>IF('Consulta1'!H4563="","",'Consulta1'!H4563)</f>
        <v/>
      </c>
      <c r="J471" t="str">
        <f t="shared" si="7"/>
        <v/>
      </c>
      <c r="K471" t="str">
        <f>+IF(E471="","",VLOOKUP(E471,CATALOGO!G:I,2,0))</f>
        <v/>
      </c>
      <c r="L471" t="str">
        <f>+IF(E471="","",VLOOKUP(E471,CATALOGO!G:I,3,0))</f>
        <v/>
      </c>
      <c r="M471" s="87" t="str">
        <f>IF('Consulta1'!I4563="","",'Consulta1'!I4563)</f>
        <v/>
      </c>
      <c r="N471" s="88" t="str">
        <f>IF('Consulta1'!J4563="","",'Consulta1'!J4563)</f>
        <v/>
      </c>
    </row>
    <row r="472" spans="1:14" ht="18.75" x14ac:dyDescent="0.25">
      <c r="A472" s="82" t="str">
        <f>IF('Consulta1'!A4564="","",'Consulta1'!A4564)</f>
        <v/>
      </c>
      <c r="B472" s="82" t="str">
        <f>IF('Consulta1'!B4564="","",'Consulta1'!B4564)</f>
        <v/>
      </c>
      <c r="C472" s="83" t="str">
        <f>IF('Consulta1'!C4564="","",'Consulta1'!C4564)</f>
        <v/>
      </c>
      <c r="D472" s="84" t="str">
        <f>IF('Consulta1'!D4564="","",'Consulta1'!D4564)</f>
        <v/>
      </c>
      <c r="E472" s="82" t="str">
        <f>IF('Consulta1'!E4564="","",'Consulta1'!E4564)</f>
        <v/>
      </c>
      <c r="F472" t="str">
        <f>+IF(E472="","",VLOOKUP(E472,CATALOGO!G:L,6,0))</f>
        <v/>
      </c>
      <c r="G472" s="85" t="str">
        <f>IF('Consulta1'!F4564="","",'Consulta1'!F4564)</f>
        <v/>
      </c>
      <c r="H472" s="85" t="str">
        <f>IF('Consulta1'!G4564="","",'Consulta1'!G4564)</f>
        <v/>
      </c>
      <c r="I472" s="86" t="str">
        <f>IF('Consulta1'!H4564="","",'Consulta1'!H4564)</f>
        <v/>
      </c>
      <c r="J472" t="str">
        <f t="shared" si="7"/>
        <v/>
      </c>
      <c r="K472" t="str">
        <f>+IF(E472="","",VLOOKUP(E472,CATALOGO!G:I,2,0))</f>
        <v/>
      </c>
      <c r="L472" t="str">
        <f>+IF(E472="","",VLOOKUP(E472,CATALOGO!G:I,3,0))</f>
        <v/>
      </c>
      <c r="M472" s="87" t="str">
        <f>IF('Consulta1'!I4564="","",'Consulta1'!I4564)</f>
        <v/>
      </c>
      <c r="N472" s="88" t="str">
        <f>IF('Consulta1'!J4564="","",'Consulta1'!J4564)</f>
        <v/>
      </c>
    </row>
    <row r="473" spans="1:14" ht="18.75" x14ac:dyDescent="0.25">
      <c r="A473" s="82" t="str">
        <f>IF('Consulta1'!A4565="","",'Consulta1'!A4565)</f>
        <v/>
      </c>
      <c r="B473" s="82" t="str">
        <f>IF('Consulta1'!B4565="","",'Consulta1'!B4565)</f>
        <v/>
      </c>
      <c r="C473" s="83" t="str">
        <f>IF('Consulta1'!C4565="","",'Consulta1'!C4565)</f>
        <v/>
      </c>
      <c r="D473" s="84" t="str">
        <f>IF('Consulta1'!D4565="","",'Consulta1'!D4565)</f>
        <v/>
      </c>
      <c r="E473" s="82" t="str">
        <f>IF('Consulta1'!E4565="","",'Consulta1'!E4565)</f>
        <v/>
      </c>
      <c r="F473" t="str">
        <f>+IF(E473="","",VLOOKUP(E473,CATALOGO!G:L,6,0))</f>
        <v/>
      </c>
      <c r="G473" s="85" t="str">
        <f>IF('Consulta1'!F4565="","",'Consulta1'!F4565)</f>
        <v/>
      </c>
      <c r="H473" s="85" t="str">
        <f>IF('Consulta1'!G4565="","",'Consulta1'!G4565)</f>
        <v/>
      </c>
      <c r="I473" s="86" t="str">
        <f>IF('Consulta1'!H4565="","",'Consulta1'!H4565)</f>
        <v/>
      </c>
      <c r="J473" t="str">
        <f t="shared" si="7"/>
        <v/>
      </c>
      <c r="K473" t="str">
        <f>+IF(E473="","",VLOOKUP(E473,CATALOGO!G:I,2,0))</f>
        <v/>
      </c>
      <c r="L473" t="str">
        <f>+IF(E473="","",VLOOKUP(E473,CATALOGO!G:I,3,0))</f>
        <v/>
      </c>
      <c r="M473" s="87" t="str">
        <f>IF('Consulta1'!I4565="","",'Consulta1'!I4565)</f>
        <v/>
      </c>
      <c r="N473" s="88" t="str">
        <f>IF('Consulta1'!J4565="","",'Consulta1'!J4565)</f>
        <v/>
      </c>
    </row>
    <row r="474" spans="1:14" ht="18.75" x14ac:dyDescent="0.25">
      <c r="A474" s="82" t="str">
        <f>IF('Consulta1'!A4566="","",'Consulta1'!A4566)</f>
        <v/>
      </c>
      <c r="B474" s="82" t="str">
        <f>IF('Consulta1'!B4566="","",'Consulta1'!B4566)</f>
        <v/>
      </c>
      <c r="C474" s="83" t="str">
        <f>IF('Consulta1'!C4566="","",'Consulta1'!C4566)</f>
        <v/>
      </c>
      <c r="D474" s="84" t="str">
        <f>IF('Consulta1'!D4566="","",'Consulta1'!D4566)</f>
        <v/>
      </c>
      <c r="E474" s="82" t="str">
        <f>IF('Consulta1'!E4566="","",'Consulta1'!E4566)</f>
        <v/>
      </c>
      <c r="F474" t="str">
        <f>+IF(E474="","",VLOOKUP(E474,CATALOGO!G:L,6,0))</f>
        <v/>
      </c>
      <c r="G474" s="85" t="str">
        <f>IF('Consulta1'!F4566="","",'Consulta1'!F4566)</f>
        <v/>
      </c>
      <c r="H474" s="85" t="str">
        <f>IF('Consulta1'!G4566="","",'Consulta1'!G4566)</f>
        <v/>
      </c>
      <c r="I474" s="86" t="str">
        <f>IF('Consulta1'!H4566="","",'Consulta1'!H4566)</f>
        <v/>
      </c>
      <c r="J474" t="str">
        <f t="shared" si="7"/>
        <v/>
      </c>
      <c r="K474" t="str">
        <f>+IF(E474="","",VLOOKUP(E474,CATALOGO!G:I,2,0))</f>
        <v/>
      </c>
      <c r="L474" t="str">
        <f>+IF(E474="","",VLOOKUP(E474,CATALOGO!G:I,3,0))</f>
        <v/>
      </c>
      <c r="M474" s="87" t="str">
        <f>IF('Consulta1'!I4566="","",'Consulta1'!I4566)</f>
        <v/>
      </c>
      <c r="N474" s="88" t="str">
        <f>IF('Consulta1'!J4566="","",'Consulta1'!J4566)</f>
        <v/>
      </c>
    </row>
    <row r="475" spans="1:14" ht="18.75" x14ac:dyDescent="0.25">
      <c r="A475" s="82" t="str">
        <f>IF('Consulta1'!A4567="","",'Consulta1'!A4567)</f>
        <v/>
      </c>
      <c r="B475" s="82" t="str">
        <f>IF('Consulta1'!B4567="","",'Consulta1'!B4567)</f>
        <v/>
      </c>
      <c r="C475" s="83" t="str">
        <f>IF('Consulta1'!C4567="","",'Consulta1'!C4567)</f>
        <v/>
      </c>
      <c r="D475" s="84" t="str">
        <f>IF('Consulta1'!D4567="","",'Consulta1'!D4567)</f>
        <v/>
      </c>
      <c r="E475" s="82" t="str">
        <f>IF('Consulta1'!E4567="","",'Consulta1'!E4567)</f>
        <v/>
      </c>
      <c r="F475" t="str">
        <f>+IF(E475="","",VLOOKUP(E475,CATALOGO!G:L,6,0))</f>
        <v/>
      </c>
      <c r="G475" s="85" t="str">
        <f>IF('Consulta1'!F4567="","",'Consulta1'!F4567)</f>
        <v/>
      </c>
      <c r="H475" s="85" t="str">
        <f>IF('Consulta1'!G4567="","",'Consulta1'!G4567)</f>
        <v/>
      </c>
      <c r="I475" s="86" t="str">
        <f>IF('Consulta1'!H4567="","",'Consulta1'!H4567)</f>
        <v/>
      </c>
      <c r="J475" t="str">
        <f t="shared" si="7"/>
        <v/>
      </c>
      <c r="K475" t="str">
        <f>+IF(E475="","",VLOOKUP(E475,CATALOGO!G:I,2,0))</f>
        <v/>
      </c>
      <c r="L475" t="str">
        <f>+IF(E475="","",VLOOKUP(E475,CATALOGO!G:I,3,0))</f>
        <v/>
      </c>
      <c r="M475" s="87" t="str">
        <f>IF('Consulta1'!I4567="","",'Consulta1'!I4567)</f>
        <v/>
      </c>
      <c r="N475" s="88" t="str">
        <f>IF('Consulta1'!J4567="","",'Consulta1'!J4567)</f>
        <v/>
      </c>
    </row>
    <row r="476" spans="1:14" ht="18.75" x14ac:dyDescent="0.25">
      <c r="A476" s="82" t="str">
        <f>IF('Consulta1'!A4568="","",'Consulta1'!A4568)</f>
        <v/>
      </c>
      <c r="B476" s="82" t="str">
        <f>IF('Consulta1'!B4568="","",'Consulta1'!B4568)</f>
        <v/>
      </c>
      <c r="C476" s="83" t="str">
        <f>IF('Consulta1'!C4568="","",'Consulta1'!C4568)</f>
        <v/>
      </c>
      <c r="D476" s="84" t="str">
        <f>IF('Consulta1'!D4568="","",'Consulta1'!D4568)</f>
        <v/>
      </c>
      <c r="E476" s="82" t="str">
        <f>IF('Consulta1'!E4568="","",'Consulta1'!E4568)</f>
        <v/>
      </c>
      <c r="F476" t="str">
        <f>+IF(E476="","",VLOOKUP(E476,CATALOGO!G:L,6,0))</f>
        <v/>
      </c>
      <c r="G476" s="85" t="str">
        <f>IF('Consulta1'!F4568="","",'Consulta1'!F4568)</f>
        <v/>
      </c>
      <c r="H476" s="85" t="str">
        <f>IF('Consulta1'!G4568="","",'Consulta1'!G4568)</f>
        <v/>
      </c>
      <c r="I476" s="86" t="str">
        <f>IF('Consulta1'!H4568="","",'Consulta1'!H4568)</f>
        <v/>
      </c>
      <c r="J476" t="str">
        <f t="shared" si="7"/>
        <v/>
      </c>
      <c r="K476" t="str">
        <f>+IF(E476="","",VLOOKUP(E476,CATALOGO!G:I,2,0))</f>
        <v/>
      </c>
      <c r="L476" t="str">
        <f>+IF(E476="","",VLOOKUP(E476,CATALOGO!G:I,3,0))</f>
        <v/>
      </c>
      <c r="M476" s="87" t="str">
        <f>IF('Consulta1'!I4568="","",'Consulta1'!I4568)</f>
        <v/>
      </c>
      <c r="N476" s="88" t="str">
        <f>IF('Consulta1'!J4568="","",'Consulta1'!J4568)</f>
        <v/>
      </c>
    </row>
    <row r="477" spans="1:14" ht="18.75" x14ac:dyDescent="0.25">
      <c r="A477" s="82" t="str">
        <f>IF('Consulta1'!A4569="","",'Consulta1'!A4569)</f>
        <v/>
      </c>
      <c r="B477" s="82" t="str">
        <f>IF('Consulta1'!B4569="","",'Consulta1'!B4569)</f>
        <v/>
      </c>
      <c r="C477" s="83" t="str">
        <f>IF('Consulta1'!C4569="","",'Consulta1'!C4569)</f>
        <v/>
      </c>
      <c r="D477" s="84" t="str">
        <f>IF('Consulta1'!D4569="","",'Consulta1'!D4569)</f>
        <v/>
      </c>
      <c r="E477" s="82" t="str">
        <f>IF('Consulta1'!E4569="","",'Consulta1'!E4569)</f>
        <v/>
      </c>
      <c r="F477" t="str">
        <f>+IF(E477="","",VLOOKUP(E477,CATALOGO!G:L,6,0))</f>
        <v/>
      </c>
      <c r="G477" s="85" t="str">
        <f>IF('Consulta1'!F4569="","",'Consulta1'!F4569)</f>
        <v/>
      </c>
      <c r="H477" s="85" t="str">
        <f>IF('Consulta1'!G4569="","",'Consulta1'!G4569)</f>
        <v/>
      </c>
      <c r="I477" s="86" t="str">
        <f>IF('Consulta1'!H4569="","",'Consulta1'!H4569)</f>
        <v/>
      </c>
      <c r="J477" t="str">
        <f t="shared" si="7"/>
        <v/>
      </c>
      <c r="K477" t="str">
        <f>+IF(E477="","",VLOOKUP(E477,CATALOGO!G:I,2,0))</f>
        <v/>
      </c>
      <c r="L477" t="str">
        <f>+IF(E477="","",VLOOKUP(E477,CATALOGO!G:I,3,0))</f>
        <v/>
      </c>
      <c r="M477" s="87" t="str">
        <f>IF('Consulta1'!I4569="","",'Consulta1'!I4569)</f>
        <v/>
      </c>
      <c r="N477" s="88" t="str">
        <f>IF('Consulta1'!J4569="","",'Consulta1'!J4569)</f>
        <v/>
      </c>
    </row>
    <row r="478" spans="1:14" ht="18.75" x14ac:dyDescent="0.25">
      <c r="A478" s="82" t="str">
        <f>IF('Consulta1'!A4570="","",'Consulta1'!A4570)</f>
        <v/>
      </c>
      <c r="B478" s="82" t="str">
        <f>IF('Consulta1'!B4570="","",'Consulta1'!B4570)</f>
        <v/>
      </c>
      <c r="C478" s="83" t="str">
        <f>IF('Consulta1'!C4570="","",'Consulta1'!C4570)</f>
        <v/>
      </c>
      <c r="D478" s="84" t="str">
        <f>IF('Consulta1'!D4570="","",'Consulta1'!D4570)</f>
        <v/>
      </c>
      <c r="E478" s="82" t="str">
        <f>IF('Consulta1'!E4570="","",'Consulta1'!E4570)</f>
        <v/>
      </c>
      <c r="F478" t="str">
        <f>+IF(E478="","",VLOOKUP(E478,CATALOGO!G:L,6,0))</f>
        <v/>
      </c>
      <c r="G478" s="85" t="str">
        <f>IF('Consulta1'!F4570="","",'Consulta1'!F4570)</f>
        <v/>
      </c>
      <c r="H478" s="85" t="str">
        <f>IF('Consulta1'!G4570="","",'Consulta1'!G4570)</f>
        <v/>
      </c>
      <c r="I478" s="86" t="str">
        <f>IF('Consulta1'!H4570="","",'Consulta1'!H4570)</f>
        <v/>
      </c>
      <c r="J478" t="str">
        <f t="shared" si="7"/>
        <v/>
      </c>
      <c r="K478" t="str">
        <f>+IF(E478="","",VLOOKUP(E478,CATALOGO!G:I,2,0))</f>
        <v/>
      </c>
      <c r="L478" t="str">
        <f>+IF(E478="","",VLOOKUP(E478,CATALOGO!G:I,3,0))</f>
        <v/>
      </c>
      <c r="M478" s="87" t="str">
        <f>IF('Consulta1'!I4570="","",'Consulta1'!I4570)</f>
        <v/>
      </c>
      <c r="N478" s="88" t="str">
        <f>IF('Consulta1'!J4570="","",'Consulta1'!J4570)</f>
        <v/>
      </c>
    </row>
    <row r="479" spans="1:14" ht="18.75" x14ac:dyDescent="0.25">
      <c r="A479" s="82" t="str">
        <f>IF('Consulta1'!A4571="","",'Consulta1'!A4571)</f>
        <v/>
      </c>
      <c r="B479" s="82" t="str">
        <f>IF('Consulta1'!B4571="","",'Consulta1'!B4571)</f>
        <v/>
      </c>
      <c r="C479" s="83" t="str">
        <f>IF('Consulta1'!C4571="","",'Consulta1'!C4571)</f>
        <v/>
      </c>
      <c r="D479" s="84" t="str">
        <f>IF('Consulta1'!D4571="","",'Consulta1'!D4571)</f>
        <v/>
      </c>
      <c r="E479" s="82" t="str">
        <f>IF('Consulta1'!E4571="","",'Consulta1'!E4571)</f>
        <v/>
      </c>
      <c r="F479" t="str">
        <f>+IF(E479="","",VLOOKUP(E479,CATALOGO!G:L,6,0))</f>
        <v/>
      </c>
      <c r="G479" s="85" t="str">
        <f>IF('Consulta1'!F4571="","",'Consulta1'!F4571)</f>
        <v/>
      </c>
      <c r="H479" s="85" t="str">
        <f>IF('Consulta1'!G4571="","",'Consulta1'!G4571)</f>
        <v/>
      </c>
      <c r="I479" s="86" t="str">
        <f>IF('Consulta1'!H4571="","",'Consulta1'!H4571)</f>
        <v/>
      </c>
      <c r="J479" t="str">
        <f t="shared" si="7"/>
        <v/>
      </c>
      <c r="K479" t="str">
        <f>+IF(E479="","",VLOOKUP(E479,CATALOGO!G:I,2,0))</f>
        <v/>
      </c>
      <c r="L479" t="str">
        <f>+IF(E479="","",VLOOKUP(E479,CATALOGO!G:I,3,0))</f>
        <v/>
      </c>
      <c r="M479" s="87" t="str">
        <f>IF('Consulta1'!I4571="","",'Consulta1'!I4571)</f>
        <v/>
      </c>
      <c r="N479" s="88" t="str">
        <f>IF('Consulta1'!J4571="","",'Consulta1'!J4571)</f>
        <v/>
      </c>
    </row>
    <row r="480" spans="1:14" ht="18.75" x14ac:dyDescent="0.25">
      <c r="A480" s="82" t="str">
        <f>IF('Consulta1'!A4572="","",'Consulta1'!A4572)</f>
        <v/>
      </c>
      <c r="B480" s="82" t="str">
        <f>IF('Consulta1'!B4572="","",'Consulta1'!B4572)</f>
        <v/>
      </c>
      <c r="C480" s="83" t="str">
        <f>IF('Consulta1'!C4572="","",'Consulta1'!C4572)</f>
        <v/>
      </c>
      <c r="D480" s="84" t="str">
        <f>IF('Consulta1'!D4572="","",'Consulta1'!D4572)</f>
        <v/>
      </c>
      <c r="E480" s="82" t="str">
        <f>IF('Consulta1'!E4572="","",'Consulta1'!E4572)</f>
        <v/>
      </c>
      <c r="F480" t="str">
        <f>+IF(E480="","",VLOOKUP(E480,CATALOGO!G:L,6,0))</f>
        <v/>
      </c>
      <c r="G480" s="85" t="str">
        <f>IF('Consulta1'!F4572="","",'Consulta1'!F4572)</f>
        <v/>
      </c>
      <c r="H480" s="85" t="str">
        <f>IF('Consulta1'!G4572="","",'Consulta1'!G4572)</f>
        <v/>
      </c>
      <c r="I480" s="86" t="str">
        <f>IF('Consulta1'!H4572="","",'Consulta1'!H4572)</f>
        <v/>
      </c>
      <c r="J480" t="str">
        <f t="shared" si="7"/>
        <v/>
      </c>
      <c r="K480" t="str">
        <f>+IF(E480="","",VLOOKUP(E480,CATALOGO!G:I,2,0))</f>
        <v/>
      </c>
      <c r="L480" t="str">
        <f>+IF(E480="","",VLOOKUP(E480,CATALOGO!G:I,3,0))</f>
        <v/>
      </c>
      <c r="M480" s="87" t="str">
        <f>IF('Consulta1'!I4572="","",'Consulta1'!I4572)</f>
        <v/>
      </c>
      <c r="N480" s="88" t="str">
        <f>IF('Consulta1'!J4572="","",'Consulta1'!J4572)</f>
        <v/>
      </c>
    </row>
    <row r="481" spans="1:14" ht="18.75" x14ac:dyDescent="0.25">
      <c r="A481" s="82" t="str">
        <f>IF('Consulta1'!A4573="","",'Consulta1'!A4573)</f>
        <v/>
      </c>
      <c r="B481" s="82" t="str">
        <f>IF('Consulta1'!B4573="","",'Consulta1'!B4573)</f>
        <v/>
      </c>
      <c r="C481" s="83" t="str">
        <f>IF('Consulta1'!C4573="","",'Consulta1'!C4573)</f>
        <v/>
      </c>
      <c r="D481" s="84" t="str">
        <f>IF('Consulta1'!D4573="","",'Consulta1'!D4573)</f>
        <v/>
      </c>
      <c r="E481" s="82" t="str">
        <f>IF('Consulta1'!E4573="","",'Consulta1'!E4573)</f>
        <v/>
      </c>
      <c r="F481" t="str">
        <f>+IF(E481="","",VLOOKUP(E481,CATALOGO!G:L,6,0))</f>
        <v/>
      </c>
      <c r="G481" s="85" t="str">
        <f>IF('Consulta1'!F4573="","",'Consulta1'!F4573)</f>
        <v/>
      </c>
      <c r="H481" s="85" t="str">
        <f>IF('Consulta1'!G4573="","",'Consulta1'!G4573)</f>
        <v/>
      </c>
      <c r="I481" s="86" t="str">
        <f>IF('Consulta1'!H4573="","",'Consulta1'!H4573)</f>
        <v/>
      </c>
      <c r="J481" t="str">
        <f t="shared" si="7"/>
        <v/>
      </c>
      <c r="K481" t="str">
        <f>+IF(E481="","",VLOOKUP(E481,CATALOGO!G:I,2,0))</f>
        <v/>
      </c>
      <c r="L481" t="str">
        <f>+IF(E481="","",VLOOKUP(E481,CATALOGO!G:I,3,0))</f>
        <v/>
      </c>
      <c r="M481" s="87" t="str">
        <f>IF('Consulta1'!I4573="","",'Consulta1'!I4573)</f>
        <v/>
      </c>
      <c r="N481" s="88" t="str">
        <f>IF('Consulta1'!J4573="","",'Consulta1'!J4573)</f>
        <v/>
      </c>
    </row>
    <row r="482" spans="1:14" ht="18.75" x14ac:dyDescent="0.25">
      <c r="A482" s="82" t="str">
        <f>IF('Consulta1'!A4574="","",'Consulta1'!A4574)</f>
        <v/>
      </c>
      <c r="B482" s="82" t="str">
        <f>IF('Consulta1'!B4574="","",'Consulta1'!B4574)</f>
        <v/>
      </c>
      <c r="C482" s="83" t="str">
        <f>IF('Consulta1'!C4574="","",'Consulta1'!C4574)</f>
        <v/>
      </c>
      <c r="D482" s="84" t="str">
        <f>IF('Consulta1'!D4574="","",'Consulta1'!D4574)</f>
        <v/>
      </c>
      <c r="E482" s="82" t="str">
        <f>IF('Consulta1'!E4574="","",'Consulta1'!E4574)</f>
        <v/>
      </c>
      <c r="F482" t="str">
        <f>+IF(E482="","",VLOOKUP(E482,CATALOGO!G:L,6,0))</f>
        <v/>
      </c>
      <c r="G482" s="85" t="str">
        <f>IF('Consulta1'!F4574="","",'Consulta1'!F4574)</f>
        <v/>
      </c>
      <c r="H482" s="85" t="str">
        <f>IF('Consulta1'!G4574="","",'Consulta1'!G4574)</f>
        <v/>
      </c>
      <c r="I482" s="86" t="str">
        <f>IF('Consulta1'!H4574="","",'Consulta1'!H4574)</f>
        <v/>
      </c>
      <c r="J482" t="str">
        <f t="shared" si="7"/>
        <v/>
      </c>
      <c r="K482" t="str">
        <f>+IF(E482="","",VLOOKUP(E482,CATALOGO!G:I,2,0))</f>
        <v/>
      </c>
      <c r="L482" t="str">
        <f>+IF(E482="","",VLOOKUP(E482,CATALOGO!G:I,3,0))</f>
        <v/>
      </c>
      <c r="M482" s="87" t="str">
        <f>IF('Consulta1'!I4574="","",'Consulta1'!I4574)</f>
        <v/>
      </c>
      <c r="N482" s="88" t="str">
        <f>IF('Consulta1'!J4574="","",'Consulta1'!J4574)</f>
        <v/>
      </c>
    </row>
    <row r="483" spans="1:14" ht="18.75" x14ac:dyDescent="0.25">
      <c r="A483" s="82" t="str">
        <f>IF('Consulta1'!A4575="","",'Consulta1'!A4575)</f>
        <v/>
      </c>
      <c r="B483" s="82" t="str">
        <f>IF('Consulta1'!B4575="","",'Consulta1'!B4575)</f>
        <v/>
      </c>
      <c r="C483" s="83" t="str">
        <f>IF('Consulta1'!C4575="","",'Consulta1'!C4575)</f>
        <v/>
      </c>
      <c r="D483" s="84" t="str">
        <f>IF('Consulta1'!D4575="","",'Consulta1'!D4575)</f>
        <v/>
      </c>
      <c r="E483" s="82" t="str">
        <f>IF('Consulta1'!E4575="","",'Consulta1'!E4575)</f>
        <v/>
      </c>
      <c r="F483" t="str">
        <f>+IF(E483="","",VLOOKUP(E483,CATALOGO!G:L,6,0))</f>
        <v/>
      </c>
      <c r="G483" s="85" t="str">
        <f>IF('Consulta1'!F4575="","",'Consulta1'!F4575)</f>
        <v/>
      </c>
      <c r="H483" s="85" t="str">
        <f>IF('Consulta1'!G4575="","",'Consulta1'!G4575)</f>
        <v/>
      </c>
      <c r="I483" s="86" t="str">
        <f>IF('Consulta1'!H4575="","",'Consulta1'!H4575)</f>
        <v/>
      </c>
      <c r="J483" t="str">
        <f t="shared" si="7"/>
        <v/>
      </c>
      <c r="K483" t="str">
        <f>+IF(E483="","",VLOOKUP(E483,CATALOGO!G:I,2,0))</f>
        <v/>
      </c>
      <c r="L483" t="str">
        <f>+IF(E483="","",VLOOKUP(E483,CATALOGO!G:I,3,0))</f>
        <v/>
      </c>
      <c r="M483" s="87" t="str">
        <f>IF('Consulta1'!I4575="","",'Consulta1'!I4575)</f>
        <v/>
      </c>
      <c r="N483" s="88" t="str">
        <f>IF('Consulta1'!J4575="","",'Consulta1'!J4575)</f>
        <v/>
      </c>
    </row>
    <row r="484" spans="1:14" ht="18.75" x14ac:dyDescent="0.25">
      <c r="A484" s="82" t="str">
        <f>IF('Consulta1'!A4576="","",'Consulta1'!A4576)</f>
        <v/>
      </c>
      <c r="B484" s="82" t="str">
        <f>IF('Consulta1'!B4576="","",'Consulta1'!B4576)</f>
        <v/>
      </c>
      <c r="C484" s="83" t="str">
        <f>IF('Consulta1'!C4576="","",'Consulta1'!C4576)</f>
        <v/>
      </c>
      <c r="D484" s="84" t="str">
        <f>IF('Consulta1'!D4576="","",'Consulta1'!D4576)</f>
        <v/>
      </c>
      <c r="E484" s="82" t="str">
        <f>IF('Consulta1'!E4576="","",'Consulta1'!E4576)</f>
        <v/>
      </c>
      <c r="F484" t="str">
        <f>+IF(E484="","",VLOOKUP(E484,CATALOGO!G:L,6,0))</f>
        <v/>
      </c>
      <c r="G484" s="85" t="str">
        <f>IF('Consulta1'!F4576="","",'Consulta1'!F4576)</f>
        <v/>
      </c>
      <c r="H484" s="85" t="str">
        <f>IF('Consulta1'!G4576="","",'Consulta1'!G4576)</f>
        <v/>
      </c>
      <c r="I484" s="86" t="str">
        <f>IF('Consulta1'!H4576="","",'Consulta1'!H4576)</f>
        <v/>
      </c>
      <c r="J484" t="str">
        <f t="shared" si="7"/>
        <v/>
      </c>
      <c r="K484" t="str">
        <f>+IF(E484="","",VLOOKUP(E484,CATALOGO!G:I,2,0))</f>
        <v/>
      </c>
      <c r="L484" t="str">
        <f>+IF(E484="","",VLOOKUP(E484,CATALOGO!G:I,3,0))</f>
        <v/>
      </c>
      <c r="M484" s="87" t="str">
        <f>IF('Consulta1'!I4576="","",'Consulta1'!I4576)</f>
        <v/>
      </c>
      <c r="N484" s="88" t="str">
        <f>IF('Consulta1'!J4576="","",'Consulta1'!J4576)</f>
        <v/>
      </c>
    </row>
    <row r="485" spans="1:14" ht="18.75" x14ac:dyDescent="0.25">
      <c r="A485" s="82" t="str">
        <f>IF('Consulta1'!A4577="","",'Consulta1'!A4577)</f>
        <v/>
      </c>
      <c r="B485" s="82" t="str">
        <f>IF('Consulta1'!B4577="","",'Consulta1'!B4577)</f>
        <v/>
      </c>
      <c r="C485" s="83" t="str">
        <f>IF('Consulta1'!C4577="","",'Consulta1'!C4577)</f>
        <v/>
      </c>
      <c r="D485" s="84" t="str">
        <f>IF('Consulta1'!D4577="","",'Consulta1'!D4577)</f>
        <v/>
      </c>
      <c r="E485" s="82" t="str">
        <f>IF('Consulta1'!E4577="","",'Consulta1'!E4577)</f>
        <v/>
      </c>
      <c r="F485" t="str">
        <f>+IF(E485="","",VLOOKUP(E485,CATALOGO!G:L,6,0))</f>
        <v/>
      </c>
      <c r="G485" s="85" t="str">
        <f>IF('Consulta1'!F4577="","",'Consulta1'!F4577)</f>
        <v/>
      </c>
      <c r="H485" s="85" t="str">
        <f>IF('Consulta1'!G4577="","",'Consulta1'!G4577)</f>
        <v/>
      </c>
      <c r="I485" s="86" t="str">
        <f>IF('Consulta1'!H4577="","",'Consulta1'!H4577)</f>
        <v/>
      </c>
      <c r="J485" t="str">
        <f t="shared" si="7"/>
        <v/>
      </c>
      <c r="K485" t="str">
        <f>+IF(E485="","",VLOOKUP(E485,CATALOGO!G:I,2,0))</f>
        <v/>
      </c>
      <c r="L485" t="str">
        <f>+IF(E485="","",VLOOKUP(E485,CATALOGO!G:I,3,0))</f>
        <v/>
      </c>
      <c r="M485" s="87" t="str">
        <f>IF('Consulta1'!I4577="","",'Consulta1'!I4577)</f>
        <v/>
      </c>
      <c r="N485" s="88" t="str">
        <f>IF('Consulta1'!J4577="","",'Consulta1'!J4577)</f>
        <v/>
      </c>
    </row>
    <row r="486" spans="1:14" ht="18.75" x14ac:dyDescent="0.25">
      <c r="A486" s="82" t="str">
        <f>IF('Consulta1'!A4578="","",'Consulta1'!A4578)</f>
        <v/>
      </c>
      <c r="B486" s="82" t="str">
        <f>IF('Consulta1'!B4578="","",'Consulta1'!B4578)</f>
        <v/>
      </c>
      <c r="C486" s="83" t="str">
        <f>IF('Consulta1'!C4578="","",'Consulta1'!C4578)</f>
        <v/>
      </c>
      <c r="D486" s="84" t="str">
        <f>IF('Consulta1'!D4578="","",'Consulta1'!D4578)</f>
        <v/>
      </c>
      <c r="E486" s="82" t="str">
        <f>IF('Consulta1'!E4578="","",'Consulta1'!E4578)</f>
        <v/>
      </c>
      <c r="F486" t="str">
        <f>+IF(E486="","",VLOOKUP(E486,CATALOGO!G:L,6,0))</f>
        <v/>
      </c>
      <c r="G486" s="85" t="str">
        <f>IF('Consulta1'!F4578="","",'Consulta1'!F4578)</f>
        <v/>
      </c>
      <c r="H486" s="85" t="str">
        <f>IF('Consulta1'!G4578="","",'Consulta1'!G4578)</f>
        <v/>
      </c>
      <c r="I486" s="86" t="str">
        <f>IF('Consulta1'!H4578="","",'Consulta1'!H4578)</f>
        <v/>
      </c>
      <c r="J486" t="str">
        <f t="shared" si="7"/>
        <v/>
      </c>
      <c r="K486" t="str">
        <f>+IF(E486="","",VLOOKUP(E486,CATALOGO!G:I,2,0))</f>
        <v/>
      </c>
      <c r="L486" t="str">
        <f>+IF(E486="","",VLOOKUP(E486,CATALOGO!G:I,3,0))</f>
        <v/>
      </c>
      <c r="M486" s="87" t="str">
        <f>IF('Consulta1'!I4578="","",'Consulta1'!I4578)</f>
        <v/>
      </c>
      <c r="N486" s="88" t="str">
        <f>IF('Consulta1'!J4578="","",'Consulta1'!J4578)</f>
        <v/>
      </c>
    </row>
    <row r="487" spans="1:14" ht="18.75" x14ac:dyDescent="0.25">
      <c r="A487" s="82" t="str">
        <f>IF('Consulta1'!A4579="","",'Consulta1'!A4579)</f>
        <v/>
      </c>
      <c r="B487" s="82" t="str">
        <f>IF('Consulta1'!B4579="","",'Consulta1'!B4579)</f>
        <v/>
      </c>
      <c r="C487" s="83" t="str">
        <f>IF('Consulta1'!C4579="","",'Consulta1'!C4579)</f>
        <v/>
      </c>
      <c r="D487" s="84" t="str">
        <f>IF('Consulta1'!D4579="","",'Consulta1'!D4579)</f>
        <v/>
      </c>
      <c r="E487" s="82" t="str">
        <f>IF('Consulta1'!E4579="","",'Consulta1'!E4579)</f>
        <v/>
      </c>
      <c r="F487" t="str">
        <f>+IF(E487="","",VLOOKUP(E487,CATALOGO!G:L,6,0))</f>
        <v/>
      </c>
      <c r="G487" s="85" t="str">
        <f>IF('Consulta1'!F4579="","",'Consulta1'!F4579)</f>
        <v/>
      </c>
      <c r="H487" s="85" t="str">
        <f>IF('Consulta1'!G4579="","",'Consulta1'!G4579)</f>
        <v/>
      </c>
      <c r="I487" s="86" t="str">
        <f>IF('Consulta1'!H4579="","",'Consulta1'!H4579)</f>
        <v/>
      </c>
      <c r="J487" t="str">
        <f t="shared" si="7"/>
        <v/>
      </c>
      <c r="K487" t="str">
        <f>+IF(E487="","",VLOOKUP(E487,CATALOGO!G:I,2,0))</f>
        <v/>
      </c>
      <c r="L487" t="str">
        <f>+IF(E487="","",VLOOKUP(E487,CATALOGO!G:I,3,0))</f>
        <v/>
      </c>
      <c r="M487" s="87" t="str">
        <f>IF('Consulta1'!I4579="","",'Consulta1'!I4579)</f>
        <v/>
      </c>
      <c r="N487" s="88" t="str">
        <f>IF('Consulta1'!J4579="","",'Consulta1'!J4579)</f>
        <v/>
      </c>
    </row>
    <row r="488" spans="1:14" ht="18.75" x14ac:dyDescent="0.25">
      <c r="A488" s="82" t="str">
        <f>IF('Consulta1'!A4580="","",'Consulta1'!A4580)</f>
        <v/>
      </c>
      <c r="B488" s="82" t="str">
        <f>IF('Consulta1'!B4580="","",'Consulta1'!B4580)</f>
        <v/>
      </c>
      <c r="C488" s="83" t="str">
        <f>IF('Consulta1'!C4580="","",'Consulta1'!C4580)</f>
        <v/>
      </c>
      <c r="D488" s="84" t="str">
        <f>IF('Consulta1'!D4580="","",'Consulta1'!D4580)</f>
        <v/>
      </c>
      <c r="E488" s="82" t="str">
        <f>IF('Consulta1'!E4580="","",'Consulta1'!E4580)</f>
        <v/>
      </c>
      <c r="F488" t="str">
        <f>+IF(E488="","",VLOOKUP(E488,CATALOGO!G:L,6,0))</f>
        <v/>
      </c>
      <c r="G488" s="85" t="str">
        <f>IF('Consulta1'!F4580="","",'Consulta1'!F4580)</f>
        <v/>
      </c>
      <c r="H488" s="85" t="str">
        <f>IF('Consulta1'!G4580="","",'Consulta1'!G4580)</f>
        <v/>
      </c>
      <c r="I488" s="86" t="str">
        <f>IF('Consulta1'!H4580="","",'Consulta1'!H4580)</f>
        <v/>
      </c>
      <c r="J488" t="str">
        <f t="shared" si="7"/>
        <v/>
      </c>
      <c r="K488" t="str">
        <f>+IF(E488="","",VLOOKUP(E488,CATALOGO!G:I,2,0))</f>
        <v/>
      </c>
      <c r="L488" t="str">
        <f>+IF(E488="","",VLOOKUP(E488,CATALOGO!G:I,3,0))</f>
        <v/>
      </c>
      <c r="M488" s="87" t="str">
        <f>IF('Consulta1'!I4580="","",'Consulta1'!I4580)</f>
        <v/>
      </c>
      <c r="N488" s="88" t="str">
        <f>IF('Consulta1'!J4580="","",'Consulta1'!J4580)</f>
        <v/>
      </c>
    </row>
    <row r="489" spans="1:14" ht="18.75" x14ac:dyDescent="0.25">
      <c r="A489" s="82" t="str">
        <f>IF('Consulta1'!A4581="","",'Consulta1'!A4581)</f>
        <v/>
      </c>
      <c r="B489" s="82" t="str">
        <f>IF('Consulta1'!B4581="","",'Consulta1'!B4581)</f>
        <v/>
      </c>
      <c r="C489" s="83" t="str">
        <f>IF('Consulta1'!C4581="","",'Consulta1'!C4581)</f>
        <v/>
      </c>
      <c r="D489" s="84" t="str">
        <f>IF('Consulta1'!D4581="","",'Consulta1'!D4581)</f>
        <v/>
      </c>
      <c r="E489" s="82" t="str">
        <f>IF('Consulta1'!E4581="","",'Consulta1'!E4581)</f>
        <v/>
      </c>
      <c r="F489" t="str">
        <f>+IF(E489="","",VLOOKUP(E489,CATALOGO!G:L,6,0))</f>
        <v/>
      </c>
      <c r="G489" s="85" t="str">
        <f>IF('Consulta1'!F4581="","",'Consulta1'!F4581)</f>
        <v/>
      </c>
      <c r="H489" s="85" t="str">
        <f>IF('Consulta1'!G4581="","",'Consulta1'!G4581)</f>
        <v/>
      </c>
      <c r="I489" s="86" t="str">
        <f>IF('Consulta1'!H4581="","",'Consulta1'!H4581)</f>
        <v/>
      </c>
      <c r="J489" t="str">
        <f t="shared" si="7"/>
        <v/>
      </c>
      <c r="K489" t="str">
        <f>+IF(E489="","",VLOOKUP(E489,CATALOGO!G:I,2,0))</f>
        <v/>
      </c>
      <c r="L489" t="str">
        <f>+IF(E489="","",VLOOKUP(E489,CATALOGO!G:I,3,0))</f>
        <v/>
      </c>
      <c r="M489" s="87" t="str">
        <f>IF('Consulta1'!I4581="","",'Consulta1'!I4581)</f>
        <v/>
      </c>
      <c r="N489" s="88" t="str">
        <f>IF('Consulta1'!J4581="","",'Consulta1'!J4581)</f>
        <v/>
      </c>
    </row>
    <row r="490" spans="1:14" ht="18.75" x14ac:dyDescent="0.25">
      <c r="A490" s="82" t="str">
        <f>IF('Consulta1'!A4582="","",'Consulta1'!A4582)</f>
        <v/>
      </c>
      <c r="B490" s="82" t="str">
        <f>IF('Consulta1'!B4582="","",'Consulta1'!B4582)</f>
        <v/>
      </c>
      <c r="C490" s="83" t="str">
        <f>IF('Consulta1'!C4582="","",'Consulta1'!C4582)</f>
        <v/>
      </c>
      <c r="D490" s="84" t="str">
        <f>IF('Consulta1'!D4582="","",'Consulta1'!D4582)</f>
        <v/>
      </c>
      <c r="E490" s="82" t="str">
        <f>IF('Consulta1'!E4582="","",'Consulta1'!E4582)</f>
        <v/>
      </c>
      <c r="F490" t="str">
        <f>+IF(E490="","",VLOOKUP(E490,CATALOGO!G:L,6,0))</f>
        <v/>
      </c>
      <c r="G490" s="85" t="str">
        <f>IF('Consulta1'!F4582="","",'Consulta1'!F4582)</f>
        <v/>
      </c>
      <c r="H490" s="85" t="str">
        <f>IF('Consulta1'!G4582="","",'Consulta1'!G4582)</f>
        <v/>
      </c>
      <c r="I490" s="86" t="str">
        <f>IF('Consulta1'!H4582="","",'Consulta1'!H4582)</f>
        <v/>
      </c>
      <c r="J490" t="str">
        <f t="shared" si="7"/>
        <v/>
      </c>
      <c r="K490" t="str">
        <f>+IF(E490="","",VLOOKUP(E490,CATALOGO!G:I,2,0))</f>
        <v/>
      </c>
      <c r="L490" t="str">
        <f>+IF(E490="","",VLOOKUP(E490,CATALOGO!G:I,3,0))</f>
        <v/>
      </c>
      <c r="M490" s="87" t="str">
        <f>IF('Consulta1'!I4582="","",'Consulta1'!I4582)</f>
        <v/>
      </c>
      <c r="N490" s="88" t="str">
        <f>IF('Consulta1'!J4582="","",'Consulta1'!J4582)</f>
        <v/>
      </c>
    </row>
    <row r="491" spans="1:14" ht="18.75" x14ac:dyDescent="0.25">
      <c r="A491" s="82" t="str">
        <f>IF('Consulta1'!A4583="","",'Consulta1'!A4583)</f>
        <v/>
      </c>
      <c r="B491" s="82" t="str">
        <f>IF('Consulta1'!B4583="","",'Consulta1'!B4583)</f>
        <v/>
      </c>
      <c r="C491" s="83" t="str">
        <f>IF('Consulta1'!C4583="","",'Consulta1'!C4583)</f>
        <v/>
      </c>
      <c r="D491" s="84" t="str">
        <f>IF('Consulta1'!D4583="","",'Consulta1'!D4583)</f>
        <v/>
      </c>
      <c r="E491" s="82" t="str">
        <f>IF('Consulta1'!E4583="","",'Consulta1'!E4583)</f>
        <v/>
      </c>
      <c r="F491" t="str">
        <f>+IF(E491="","",VLOOKUP(E491,CATALOGO!G:L,6,0))</f>
        <v/>
      </c>
      <c r="G491" s="85" t="str">
        <f>IF('Consulta1'!F4583="","",'Consulta1'!F4583)</f>
        <v/>
      </c>
      <c r="H491" s="85" t="str">
        <f>IF('Consulta1'!G4583="","",'Consulta1'!G4583)</f>
        <v/>
      </c>
      <c r="I491" s="86" t="str">
        <f>IF('Consulta1'!H4583="","",'Consulta1'!H4583)</f>
        <v/>
      </c>
      <c r="J491" t="str">
        <f t="shared" si="7"/>
        <v/>
      </c>
      <c r="K491" t="str">
        <f>+IF(E491="","",VLOOKUP(E491,CATALOGO!G:I,2,0))</f>
        <v/>
      </c>
      <c r="L491" t="str">
        <f>+IF(E491="","",VLOOKUP(E491,CATALOGO!G:I,3,0))</f>
        <v/>
      </c>
      <c r="M491" s="87" t="str">
        <f>IF('Consulta1'!I4583="","",'Consulta1'!I4583)</f>
        <v/>
      </c>
      <c r="N491" s="88" t="str">
        <f>IF('Consulta1'!J4583="","",'Consulta1'!J4583)</f>
        <v/>
      </c>
    </row>
    <row r="492" spans="1:14" ht="18.75" x14ac:dyDescent="0.25">
      <c r="A492" s="82" t="str">
        <f>IF('Consulta1'!A4584="","",'Consulta1'!A4584)</f>
        <v/>
      </c>
      <c r="B492" s="82" t="str">
        <f>IF('Consulta1'!B4584="","",'Consulta1'!B4584)</f>
        <v/>
      </c>
      <c r="C492" s="83" t="str">
        <f>IF('Consulta1'!C4584="","",'Consulta1'!C4584)</f>
        <v/>
      </c>
      <c r="D492" s="84" t="str">
        <f>IF('Consulta1'!D4584="","",'Consulta1'!D4584)</f>
        <v/>
      </c>
      <c r="E492" s="82" t="str">
        <f>IF('Consulta1'!E4584="","",'Consulta1'!E4584)</f>
        <v/>
      </c>
      <c r="F492" t="str">
        <f>+IF(E492="","",VLOOKUP(E492,CATALOGO!G:L,6,0))</f>
        <v/>
      </c>
      <c r="G492" s="85" t="str">
        <f>IF('Consulta1'!F4584="","",'Consulta1'!F4584)</f>
        <v/>
      </c>
      <c r="H492" s="85" t="str">
        <f>IF('Consulta1'!G4584="","",'Consulta1'!G4584)</f>
        <v/>
      </c>
      <c r="I492" s="86" t="str">
        <f>IF('Consulta1'!H4584="","",'Consulta1'!H4584)</f>
        <v/>
      </c>
      <c r="J492" t="str">
        <f t="shared" si="7"/>
        <v/>
      </c>
      <c r="K492" t="str">
        <f>+IF(E492="","",VLOOKUP(E492,CATALOGO!G:I,2,0))</f>
        <v/>
      </c>
      <c r="L492" t="str">
        <f>+IF(E492="","",VLOOKUP(E492,CATALOGO!G:I,3,0))</f>
        <v/>
      </c>
      <c r="M492" s="87" t="str">
        <f>IF('Consulta1'!I4584="","",'Consulta1'!I4584)</f>
        <v/>
      </c>
      <c r="N492" s="88" t="str">
        <f>IF('Consulta1'!J4584="","",'Consulta1'!J4584)</f>
        <v/>
      </c>
    </row>
    <row r="493" spans="1:14" ht="18.75" x14ac:dyDescent="0.25">
      <c r="A493" s="82" t="str">
        <f>IF('Consulta1'!A4585="","",'Consulta1'!A4585)</f>
        <v/>
      </c>
      <c r="B493" s="82" t="str">
        <f>IF('Consulta1'!B4585="","",'Consulta1'!B4585)</f>
        <v/>
      </c>
      <c r="C493" s="83" t="str">
        <f>IF('Consulta1'!C4585="","",'Consulta1'!C4585)</f>
        <v/>
      </c>
      <c r="D493" s="84" t="str">
        <f>IF('Consulta1'!D4585="","",'Consulta1'!D4585)</f>
        <v/>
      </c>
      <c r="E493" s="82" t="str">
        <f>IF('Consulta1'!E4585="","",'Consulta1'!E4585)</f>
        <v/>
      </c>
      <c r="F493" t="str">
        <f>+IF(E493="","",VLOOKUP(E493,CATALOGO!G:L,6,0))</f>
        <v/>
      </c>
      <c r="G493" s="85" t="str">
        <f>IF('Consulta1'!F4585="","",'Consulta1'!F4585)</f>
        <v/>
      </c>
      <c r="H493" s="85" t="str">
        <f>IF('Consulta1'!G4585="","",'Consulta1'!G4585)</f>
        <v/>
      </c>
      <c r="I493" s="86" t="str">
        <f>IF('Consulta1'!H4585="","",'Consulta1'!H4585)</f>
        <v/>
      </c>
      <c r="J493" t="str">
        <f t="shared" si="7"/>
        <v/>
      </c>
      <c r="K493" t="str">
        <f>+IF(E493="","",VLOOKUP(E493,CATALOGO!G:I,2,0))</f>
        <v/>
      </c>
      <c r="L493" t="str">
        <f>+IF(E493="","",VLOOKUP(E493,CATALOGO!G:I,3,0))</f>
        <v/>
      </c>
      <c r="M493" s="87" t="str">
        <f>IF('Consulta1'!I4585="","",'Consulta1'!I4585)</f>
        <v/>
      </c>
      <c r="N493" s="88" t="str">
        <f>IF('Consulta1'!J4585="","",'Consulta1'!J4585)</f>
        <v/>
      </c>
    </row>
    <row r="494" spans="1:14" ht="18.75" x14ac:dyDescent="0.25">
      <c r="A494" s="82" t="str">
        <f>IF('Consulta1'!A4586="","",'Consulta1'!A4586)</f>
        <v/>
      </c>
      <c r="B494" s="82" t="str">
        <f>IF('Consulta1'!B4586="","",'Consulta1'!B4586)</f>
        <v/>
      </c>
      <c r="C494" s="83" t="str">
        <f>IF('Consulta1'!C4586="","",'Consulta1'!C4586)</f>
        <v/>
      </c>
      <c r="D494" s="84" t="str">
        <f>IF('Consulta1'!D4586="","",'Consulta1'!D4586)</f>
        <v/>
      </c>
      <c r="E494" s="82" t="str">
        <f>IF('Consulta1'!E4586="","",'Consulta1'!E4586)</f>
        <v/>
      </c>
      <c r="F494" t="str">
        <f>+IF(E494="","",VLOOKUP(E494,CATALOGO!G:L,6,0))</f>
        <v/>
      </c>
      <c r="G494" s="85" t="str">
        <f>IF('Consulta1'!F4586="","",'Consulta1'!F4586)</f>
        <v/>
      </c>
      <c r="H494" s="85" t="str">
        <f>IF('Consulta1'!G4586="","",'Consulta1'!G4586)</f>
        <v/>
      </c>
      <c r="I494" s="86" t="str">
        <f>IF('Consulta1'!H4586="","",'Consulta1'!H4586)</f>
        <v/>
      </c>
      <c r="J494" t="str">
        <f t="shared" si="7"/>
        <v/>
      </c>
      <c r="K494" t="str">
        <f>+IF(E494="","",VLOOKUP(E494,CATALOGO!G:I,2,0))</f>
        <v/>
      </c>
      <c r="L494" t="str">
        <f>+IF(E494="","",VLOOKUP(E494,CATALOGO!G:I,3,0))</f>
        <v/>
      </c>
      <c r="M494" s="87" t="str">
        <f>IF('Consulta1'!I4586="","",'Consulta1'!I4586)</f>
        <v/>
      </c>
      <c r="N494" s="88" t="str">
        <f>IF('Consulta1'!J4586="","",'Consulta1'!J4586)</f>
        <v/>
      </c>
    </row>
    <row r="495" spans="1:14" ht="18.75" x14ac:dyDescent="0.25">
      <c r="A495" s="82" t="str">
        <f>IF('Consulta1'!A4587="","",'Consulta1'!A4587)</f>
        <v/>
      </c>
      <c r="B495" s="82" t="str">
        <f>IF('Consulta1'!B4587="","",'Consulta1'!B4587)</f>
        <v/>
      </c>
      <c r="C495" s="83" t="str">
        <f>IF('Consulta1'!C4587="","",'Consulta1'!C4587)</f>
        <v/>
      </c>
      <c r="D495" s="84" t="str">
        <f>IF('Consulta1'!D4587="","",'Consulta1'!D4587)</f>
        <v/>
      </c>
      <c r="E495" s="82" t="str">
        <f>IF('Consulta1'!E4587="","",'Consulta1'!E4587)</f>
        <v/>
      </c>
      <c r="F495" t="str">
        <f>+IF(E495="","",VLOOKUP(E495,CATALOGO!G:L,6,0))</f>
        <v/>
      </c>
      <c r="G495" s="85" t="str">
        <f>IF('Consulta1'!F4587="","",'Consulta1'!F4587)</f>
        <v/>
      </c>
      <c r="H495" s="85" t="str">
        <f>IF('Consulta1'!G4587="","",'Consulta1'!G4587)</f>
        <v/>
      </c>
      <c r="I495" s="86" t="str">
        <f>IF('Consulta1'!H4587="","",'Consulta1'!H4587)</f>
        <v/>
      </c>
      <c r="J495" t="str">
        <f t="shared" si="7"/>
        <v/>
      </c>
      <c r="K495" t="str">
        <f>+IF(E495="","",VLOOKUP(E495,CATALOGO!G:I,2,0))</f>
        <v/>
      </c>
      <c r="L495" t="str">
        <f>+IF(E495="","",VLOOKUP(E495,CATALOGO!G:I,3,0))</f>
        <v/>
      </c>
      <c r="M495" s="87" t="str">
        <f>IF('Consulta1'!I4587="","",'Consulta1'!I4587)</f>
        <v/>
      </c>
      <c r="N495" s="88" t="str">
        <f>IF('Consulta1'!J4587="","",'Consulta1'!J4587)</f>
        <v/>
      </c>
    </row>
    <row r="496" spans="1:14" ht="18.75" x14ac:dyDescent="0.25">
      <c r="A496" s="82" t="str">
        <f>IF('Consulta1'!A4588="","",'Consulta1'!A4588)</f>
        <v/>
      </c>
      <c r="B496" s="82" t="str">
        <f>IF('Consulta1'!B4588="","",'Consulta1'!B4588)</f>
        <v/>
      </c>
      <c r="C496" s="83" t="str">
        <f>IF('Consulta1'!C4588="","",'Consulta1'!C4588)</f>
        <v/>
      </c>
      <c r="D496" s="84" t="str">
        <f>IF('Consulta1'!D4588="","",'Consulta1'!D4588)</f>
        <v/>
      </c>
      <c r="E496" s="82" t="str">
        <f>IF('Consulta1'!E4588="","",'Consulta1'!E4588)</f>
        <v/>
      </c>
      <c r="F496" t="str">
        <f>+IF(E496="","",VLOOKUP(E496,CATALOGO!G:L,6,0))</f>
        <v/>
      </c>
      <c r="G496" s="85" t="str">
        <f>IF('Consulta1'!F4588="","",'Consulta1'!F4588)</f>
        <v/>
      </c>
      <c r="H496" s="85" t="str">
        <f>IF('Consulta1'!G4588="","",'Consulta1'!G4588)</f>
        <v/>
      </c>
      <c r="I496" s="86" t="str">
        <f>IF('Consulta1'!H4588="","",'Consulta1'!H4588)</f>
        <v/>
      </c>
      <c r="J496" t="str">
        <f t="shared" si="7"/>
        <v/>
      </c>
      <c r="K496" t="str">
        <f>+IF(E496="","",VLOOKUP(E496,CATALOGO!G:I,2,0))</f>
        <v/>
      </c>
      <c r="L496" t="str">
        <f>+IF(E496="","",VLOOKUP(E496,CATALOGO!G:I,3,0))</f>
        <v/>
      </c>
      <c r="M496" s="87" t="str">
        <f>IF('Consulta1'!I4588="","",'Consulta1'!I4588)</f>
        <v/>
      </c>
      <c r="N496" s="88" t="str">
        <f>IF('Consulta1'!J4588="","",'Consulta1'!J4588)</f>
        <v/>
      </c>
    </row>
    <row r="497" spans="1:14" ht="18.75" x14ac:dyDescent="0.25">
      <c r="A497" s="82" t="str">
        <f>IF('Consulta1'!A4589="","",'Consulta1'!A4589)</f>
        <v/>
      </c>
      <c r="B497" s="82" t="str">
        <f>IF('Consulta1'!B4589="","",'Consulta1'!B4589)</f>
        <v/>
      </c>
      <c r="C497" s="83" t="str">
        <f>IF('Consulta1'!C4589="","",'Consulta1'!C4589)</f>
        <v/>
      </c>
      <c r="D497" s="84" t="str">
        <f>IF('Consulta1'!D4589="","",'Consulta1'!D4589)</f>
        <v/>
      </c>
      <c r="E497" s="82" t="str">
        <f>IF('Consulta1'!E4589="","",'Consulta1'!E4589)</f>
        <v/>
      </c>
      <c r="F497" t="str">
        <f>+IF(E497="","",VLOOKUP(E497,CATALOGO!G:L,6,0))</f>
        <v/>
      </c>
      <c r="G497" s="85" t="str">
        <f>IF('Consulta1'!F4589="","",'Consulta1'!F4589)</f>
        <v/>
      </c>
      <c r="H497" s="85" t="str">
        <f>IF('Consulta1'!G4589="","",'Consulta1'!G4589)</f>
        <v/>
      </c>
      <c r="I497" s="86" t="str">
        <f>IF('Consulta1'!H4589="","",'Consulta1'!H4589)</f>
        <v/>
      </c>
      <c r="J497" t="str">
        <f t="shared" si="7"/>
        <v/>
      </c>
      <c r="K497" t="str">
        <f>+IF(E497="","",VLOOKUP(E497,CATALOGO!G:I,2,0))</f>
        <v/>
      </c>
      <c r="L497" t="str">
        <f>+IF(E497="","",VLOOKUP(E497,CATALOGO!G:I,3,0))</f>
        <v/>
      </c>
      <c r="M497" s="87" t="str">
        <f>IF('Consulta1'!I4589="","",'Consulta1'!I4589)</f>
        <v/>
      </c>
      <c r="N497" s="88" t="str">
        <f>IF('Consulta1'!J4589="","",'Consulta1'!J4589)</f>
        <v/>
      </c>
    </row>
    <row r="498" spans="1:14" ht="18.75" x14ac:dyDescent="0.25">
      <c r="A498" s="82" t="str">
        <f>IF('Consulta1'!A4590="","",'Consulta1'!A4590)</f>
        <v/>
      </c>
      <c r="B498" s="82" t="str">
        <f>IF('Consulta1'!B4590="","",'Consulta1'!B4590)</f>
        <v/>
      </c>
      <c r="C498" s="83" t="str">
        <f>IF('Consulta1'!C4590="","",'Consulta1'!C4590)</f>
        <v/>
      </c>
      <c r="D498" s="84" t="str">
        <f>IF('Consulta1'!D4590="","",'Consulta1'!D4590)</f>
        <v/>
      </c>
      <c r="E498" s="82" t="str">
        <f>IF('Consulta1'!E4590="","",'Consulta1'!E4590)</f>
        <v/>
      </c>
      <c r="F498" t="str">
        <f>+IF(E498="","",VLOOKUP(E498,CATALOGO!G:L,6,0))</f>
        <v/>
      </c>
      <c r="G498" s="85" t="str">
        <f>IF('Consulta1'!F4590="","",'Consulta1'!F4590)</f>
        <v/>
      </c>
      <c r="H498" s="85" t="str">
        <f>IF('Consulta1'!G4590="","",'Consulta1'!G4590)</f>
        <v/>
      </c>
      <c r="I498" s="86" t="str">
        <f>IF('Consulta1'!H4590="","",'Consulta1'!H4590)</f>
        <v/>
      </c>
      <c r="J498" t="str">
        <f t="shared" si="7"/>
        <v/>
      </c>
      <c r="K498" t="str">
        <f>+IF(E498="","",VLOOKUP(E498,CATALOGO!G:I,2,0))</f>
        <v/>
      </c>
      <c r="L498" t="str">
        <f>+IF(E498="","",VLOOKUP(E498,CATALOGO!G:I,3,0))</f>
        <v/>
      </c>
      <c r="M498" s="87" t="str">
        <f>IF('Consulta1'!I4590="","",'Consulta1'!I4590)</f>
        <v/>
      </c>
      <c r="N498" s="88" t="str">
        <f>IF('Consulta1'!J4590="","",'Consulta1'!J4590)</f>
        <v/>
      </c>
    </row>
    <row r="499" spans="1:14" ht="18.75" x14ac:dyDescent="0.25">
      <c r="A499" s="82" t="str">
        <f>IF('Consulta1'!A4591="","",'Consulta1'!A4591)</f>
        <v/>
      </c>
      <c r="B499" s="82" t="str">
        <f>IF('Consulta1'!B4591="","",'Consulta1'!B4591)</f>
        <v/>
      </c>
      <c r="C499" s="83" t="str">
        <f>IF('Consulta1'!C4591="","",'Consulta1'!C4591)</f>
        <v/>
      </c>
      <c r="D499" s="84" t="str">
        <f>IF('Consulta1'!D4591="","",'Consulta1'!D4591)</f>
        <v/>
      </c>
      <c r="E499" s="82" t="str">
        <f>IF('Consulta1'!E4591="","",'Consulta1'!E4591)</f>
        <v/>
      </c>
      <c r="F499" t="str">
        <f>+IF(E499="","",VLOOKUP(E499,CATALOGO!G:L,6,0))</f>
        <v/>
      </c>
      <c r="G499" s="85" t="str">
        <f>IF('Consulta1'!F4591="","",'Consulta1'!F4591)</f>
        <v/>
      </c>
      <c r="H499" s="85" t="str">
        <f>IF('Consulta1'!G4591="","",'Consulta1'!G4591)</f>
        <v/>
      </c>
      <c r="I499" s="86" t="str">
        <f>IF('Consulta1'!H4591="","",'Consulta1'!H4591)</f>
        <v/>
      </c>
      <c r="J499" t="str">
        <f t="shared" si="7"/>
        <v/>
      </c>
      <c r="K499" t="str">
        <f>+IF(E499="","",VLOOKUP(E499,CATALOGO!G:I,2,0))</f>
        <v/>
      </c>
      <c r="L499" t="str">
        <f>+IF(E499="","",VLOOKUP(E499,CATALOGO!G:I,3,0))</f>
        <v/>
      </c>
      <c r="M499" s="87" t="str">
        <f>IF('Consulta1'!I4591="","",'Consulta1'!I4591)</f>
        <v/>
      </c>
      <c r="N499" s="88" t="str">
        <f>IF('Consulta1'!J4591="","",'Consulta1'!J4591)</f>
        <v/>
      </c>
    </row>
    <row r="500" spans="1:14" ht="18.75" x14ac:dyDescent="0.25">
      <c r="A500" s="82" t="str">
        <f>IF('Consulta1'!A4592="","",'Consulta1'!A4592)</f>
        <v/>
      </c>
      <c r="B500" s="82" t="str">
        <f>IF('Consulta1'!B4592="","",'Consulta1'!B4592)</f>
        <v/>
      </c>
      <c r="C500" s="83" t="str">
        <f>IF('Consulta1'!C4592="","",'Consulta1'!C4592)</f>
        <v/>
      </c>
      <c r="D500" s="84" t="str">
        <f>IF('Consulta1'!D4592="","",'Consulta1'!D4592)</f>
        <v/>
      </c>
      <c r="E500" s="82" t="str">
        <f>IF('Consulta1'!E4592="","",'Consulta1'!E4592)</f>
        <v/>
      </c>
      <c r="F500" t="str">
        <f>+IF(E500="","",VLOOKUP(E500,CATALOGO!G:L,6,0))</f>
        <v/>
      </c>
      <c r="G500" s="85" t="str">
        <f>IF('Consulta1'!F4592="","",'Consulta1'!F4592)</f>
        <v/>
      </c>
      <c r="H500" s="85" t="str">
        <f>IF('Consulta1'!G4592="","",'Consulta1'!G4592)</f>
        <v/>
      </c>
      <c r="I500" s="86" t="str">
        <f>IF('Consulta1'!H4592="","",'Consulta1'!H4592)</f>
        <v/>
      </c>
      <c r="J500" t="str">
        <f t="shared" si="7"/>
        <v/>
      </c>
      <c r="K500" t="str">
        <f>+IF(E500="","",VLOOKUP(E500,CATALOGO!G:I,2,0))</f>
        <v/>
      </c>
      <c r="L500" t="str">
        <f>+IF(E500="","",VLOOKUP(E500,CATALOGO!G:I,3,0))</f>
        <v/>
      </c>
      <c r="M500" s="87" t="str">
        <f>IF('Consulta1'!I4592="","",'Consulta1'!I4592)</f>
        <v/>
      </c>
      <c r="N500" s="88" t="str">
        <f>IF('Consulta1'!J4592="","",'Consulta1'!J4592)</f>
        <v/>
      </c>
    </row>
    <row r="501" spans="1:14" ht="18.75" x14ac:dyDescent="0.25">
      <c r="A501" s="82" t="str">
        <f>IF('Consulta1'!A4593="","",'Consulta1'!A4593)</f>
        <v/>
      </c>
      <c r="B501" s="82" t="str">
        <f>IF('Consulta1'!B4593="","",'Consulta1'!B4593)</f>
        <v/>
      </c>
      <c r="C501" s="83" t="str">
        <f>IF('Consulta1'!C4593="","",'Consulta1'!C4593)</f>
        <v/>
      </c>
      <c r="D501" s="84" t="str">
        <f>IF('Consulta1'!D4593="","",'Consulta1'!D4593)</f>
        <v/>
      </c>
      <c r="E501" s="82" t="str">
        <f>IF('Consulta1'!E4593="","",'Consulta1'!E4593)</f>
        <v/>
      </c>
      <c r="F501" t="str">
        <f>+IF(E501="","",VLOOKUP(E501,CATALOGO!G:L,6,0))</f>
        <v/>
      </c>
      <c r="G501" s="85" t="str">
        <f>IF('Consulta1'!F4593="","",'Consulta1'!F4593)</f>
        <v/>
      </c>
      <c r="H501" s="85" t="str">
        <f>IF('Consulta1'!G4593="","",'Consulta1'!G4593)</f>
        <v/>
      </c>
      <c r="I501" s="86" t="str">
        <f>IF('Consulta1'!H4593="","",'Consulta1'!H4593)</f>
        <v/>
      </c>
      <c r="J501" t="str">
        <f t="shared" si="7"/>
        <v/>
      </c>
      <c r="K501" t="str">
        <f>+IF(E501="","",VLOOKUP(E501,CATALOGO!G:I,2,0))</f>
        <v/>
      </c>
      <c r="L501" t="str">
        <f>+IF(E501="","",VLOOKUP(E501,CATALOGO!G:I,3,0))</f>
        <v/>
      </c>
      <c r="M501" s="87" t="str">
        <f>IF('Consulta1'!I4593="","",'Consulta1'!I4593)</f>
        <v/>
      </c>
      <c r="N501" s="88" t="str">
        <f>IF('Consulta1'!J4593="","",'Consulta1'!J4593)</f>
        <v/>
      </c>
    </row>
    <row r="502" spans="1:14" ht="18.75" x14ac:dyDescent="0.25">
      <c r="A502" s="82" t="str">
        <f>IF('Consulta1'!A4594="","",'Consulta1'!A4594)</f>
        <v/>
      </c>
      <c r="B502" s="82" t="str">
        <f>IF('Consulta1'!B4594="","",'Consulta1'!B4594)</f>
        <v/>
      </c>
      <c r="C502" s="83" t="str">
        <f>IF('Consulta1'!C4594="","",'Consulta1'!C4594)</f>
        <v/>
      </c>
      <c r="D502" s="84" t="str">
        <f>IF('Consulta1'!D4594="","",'Consulta1'!D4594)</f>
        <v/>
      </c>
      <c r="E502" s="82" t="str">
        <f>IF('Consulta1'!E4594="","",'Consulta1'!E4594)</f>
        <v/>
      </c>
      <c r="F502" t="str">
        <f>+IF(E502="","",VLOOKUP(E502,CATALOGO!G:L,6,0))</f>
        <v/>
      </c>
      <c r="G502" s="85" t="str">
        <f>IF('Consulta1'!F4594="","",'Consulta1'!F4594)</f>
        <v/>
      </c>
      <c r="H502" s="85" t="str">
        <f>IF('Consulta1'!G4594="","",'Consulta1'!G4594)</f>
        <v/>
      </c>
      <c r="I502" s="86" t="str">
        <f>IF('Consulta1'!H4594="","",'Consulta1'!H4594)</f>
        <v/>
      </c>
      <c r="J502" t="str">
        <f t="shared" si="7"/>
        <v/>
      </c>
      <c r="K502" t="str">
        <f>+IF(E502="","",VLOOKUP(E502,CATALOGO!G:I,2,0))</f>
        <v/>
      </c>
      <c r="L502" t="str">
        <f>+IF(E502="","",VLOOKUP(E502,CATALOGO!G:I,3,0))</f>
        <v/>
      </c>
      <c r="M502" s="87" t="str">
        <f>IF('Consulta1'!I4594="","",'Consulta1'!I4594)</f>
        <v/>
      </c>
      <c r="N502" s="88" t="str">
        <f>IF('Consulta1'!J4594="","",'Consulta1'!J4594)</f>
        <v/>
      </c>
    </row>
    <row r="503" spans="1:14" ht="18.75" x14ac:dyDescent="0.25">
      <c r="A503" s="82" t="str">
        <f>IF('Consulta1'!A4595="","",'Consulta1'!A4595)</f>
        <v/>
      </c>
      <c r="B503" s="82" t="str">
        <f>IF('Consulta1'!B4595="","",'Consulta1'!B4595)</f>
        <v/>
      </c>
      <c r="C503" s="83" t="str">
        <f>IF('Consulta1'!C4595="","",'Consulta1'!C4595)</f>
        <v/>
      </c>
      <c r="D503" s="84" t="str">
        <f>IF('Consulta1'!D4595="","",'Consulta1'!D4595)</f>
        <v/>
      </c>
      <c r="E503" s="82" t="str">
        <f>IF('Consulta1'!E4595="","",'Consulta1'!E4595)</f>
        <v/>
      </c>
      <c r="F503" t="str">
        <f>+IF(E503="","",VLOOKUP(E503,CATALOGO!G:L,6,0))</f>
        <v/>
      </c>
      <c r="G503" s="85" t="str">
        <f>IF('Consulta1'!F4595="","",'Consulta1'!F4595)</f>
        <v/>
      </c>
      <c r="H503" s="85" t="str">
        <f>IF('Consulta1'!G4595="","",'Consulta1'!G4595)</f>
        <v/>
      </c>
      <c r="I503" s="86" t="str">
        <f>IF('Consulta1'!H4595="","",'Consulta1'!H4595)</f>
        <v/>
      </c>
      <c r="J503" t="str">
        <f t="shared" si="7"/>
        <v/>
      </c>
      <c r="K503" t="str">
        <f>+IF(E503="","",VLOOKUP(E503,CATALOGO!G:I,2,0))</f>
        <v/>
      </c>
      <c r="L503" t="str">
        <f>+IF(E503="","",VLOOKUP(E503,CATALOGO!G:I,3,0))</f>
        <v/>
      </c>
      <c r="M503" s="87" t="str">
        <f>IF('Consulta1'!I4595="","",'Consulta1'!I4595)</f>
        <v/>
      </c>
      <c r="N503" s="88" t="str">
        <f>IF('Consulta1'!J4595="","",'Consulta1'!J4595)</f>
        <v/>
      </c>
    </row>
    <row r="504" spans="1:14" ht="18.75" x14ac:dyDescent="0.25">
      <c r="A504" s="82" t="str">
        <f>IF('Consulta1'!A4596="","",'Consulta1'!A4596)</f>
        <v/>
      </c>
      <c r="B504" s="82" t="str">
        <f>IF('Consulta1'!B4596="","",'Consulta1'!B4596)</f>
        <v/>
      </c>
      <c r="C504" s="83" t="str">
        <f>IF('Consulta1'!C4596="","",'Consulta1'!C4596)</f>
        <v/>
      </c>
      <c r="D504" s="84" t="str">
        <f>IF('Consulta1'!D4596="","",'Consulta1'!D4596)</f>
        <v/>
      </c>
      <c r="E504" s="82" t="str">
        <f>IF('Consulta1'!E4596="","",'Consulta1'!E4596)</f>
        <v/>
      </c>
      <c r="F504" t="str">
        <f>+IF(E504="","",VLOOKUP(E504,CATALOGO!G:L,6,0))</f>
        <v/>
      </c>
      <c r="G504" s="85" t="str">
        <f>IF('Consulta1'!F4596="","",'Consulta1'!F4596)</f>
        <v/>
      </c>
      <c r="H504" s="85" t="str">
        <f>IF('Consulta1'!G4596="","",'Consulta1'!G4596)</f>
        <v/>
      </c>
      <c r="I504" s="86" t="str">
        <f>IF('Consulta1'!H4596="","",'Consulta1'!H4596)</f>
        <v/>
      </c>
      <c r="J504" t="str">
        <f t="shared" si="7"/>
        <v/>
      </c>
      <c r="K504" t="str">
        <f>+IF(E504="","",VLOOKUP(E504,CATALOGO!G:I,2,0))</f>
        <v/>
      </c>
      <c r="L504" t="str">
        <f>+IF(E504="","",VLOOKUP(E504,CATALOGO!G:I,3,0))</f>
        <v/>
      </c>
      <c r="M504" s="87" t="str">
        <f>IF('Consulta1'!I4596="","",'Consulta1'!I4596)</f>
        <v/>
      </c>
      <c r="N504" s="88" t="str">
        <f>IF('Consulta1'!J4596="","",'Consulta1'!J4596)</f>
        <v/>
      </c>
    </row>
    <row r="505" spans="1:14" ht="18.75" x14ac:dyDescent="0.25">
      <c r="A505" s="82" t="str">
        <f>IF('Consulta1'!A4597="","",'Consulta1'!A4597)</f>
        <v/>
      </c>
      <c r="B505" s="82" t="str">
        <f>IF('Consulta1'!B4597="","",'Consulta1'!B4597)</f>
        <v/>
      </c>
      <c r="C505" s="83" t="str">
        <f>IF('Consulta1'!C4597="","",'Consulta1'!C4597)</f>
        <v/>
      </c>
      <c r="D505" s="84" t="str">
        <f>IF('Consulta1'!D4597="","",'Consulta1'!D4597)</f>
        <v/>
      </c>
      <c r="E505" s="82" t="str">
        <f>IF('Consulta1'!E4597="","",'Consulta1'!E4597)</f>
        <v/>
      </c>
      <c r="F505" t="str">
        <f>+IF(E505="","",VLOOKUP(E505,CATALOGO!G:L,6,0))</f>
        <v/>
      </c>
      <c r="G505" s="85" t="str">
        <f>IF('Consulta1'!F4597="","",'Consulta1'!F4597)</f>
        <v/>
      </c>
      <c r="H505" s="85" t="str">
        <f>IF('Consulta1'!G4597="","",'Consulta1'!G4597)</f>
        <v/>
      </c>
      <c r="I505" s="86" t="str">
        <f>IF('Consulta1'!H4597="","",'Consulta1'!H4597)</f>
        <v/>
      </c>
      <c r="J505" t="str">
        <f t="shared" si="7"/>
        <v/>
      </c>
      <c r="K505" t="str">
        <f>+IF(E505="","",VLOOKUP(E505,CATALOGO!G:I,2,0))</f>
        <v/>
      </c>
      <c r="L505" t="str">
        <f>+IF(E505="","",VLOOKUP(E505,CATALOGO!G:I,3,0))</f>
        <v/>
      </c>
      <c r="M505" s="87" t="str">
        <f>IF('Consulta1'!I4597="","",'Consulta1'!I4597)</f>
        <v/>
      </c>
      <c r="N505" s="88" t="str">
        <f>IF('Consulta1'!J4597="","",'Consulta1'!J4597)</f>
        <v/>
      </c>
    </row>
    <row r="506" spans="1:14" ht="18.75" x14ac:dyDescent="0.25">
      <c r="A506" s="82" t="str">
        <f>IF('Consulta1'!A4598="","",'Consulta1'!A4598)</f>
        <v/>
      </c>
      <c r="B506" s="82" t="str">
        <f>IF('Consulta1'!B4598="","",'Consulta1'!B4598)</f>
        <v/>
      </c>
      <c r="C506" s="83" t="str">
        <f>IF('Consulta1'!C4598="","",'Consulta1'!C4598)</f>
        <v/>
      </c>
      <c r="D506" s="84" t="str">
        <f>IF('Consulta1'!D4598="","",'Consulta1'!D4598)</f>
        <v/>
      </c>
      <c r="E506" s="82" t="str">
        <f>IF('Consulta1'!E4598="","",'Consulta1'!E4598)</f>
        <v/>
      </c>
      <c r="F506" t="str">
        <f>+IF(E506="","",VLOOKUP(E506,CATALOGO!G:L,6,0))</f>
        <v/>
      </c>
      <c r="G506" s="85" t="str">
        <f>IF('Consulta1'!F4598="","",'Consulta1'!F4598)</f>
        <v/>
      </c>
      <c r="H506" s="85" t="str">
        <f>IF('Consulta1'!G4598="","",'Consulta1'!G4598)</f>
        <v/>
      </c>
      <c r="I506" s="86" t="str">
        <f>IF('Consulta1'!H4598="","",'Consulta1'!H4598)</f>
        <v/>
      </c>
      <c r="J506" t="str">
        <f t="shared" si="7"/>
        <v/>
      </c>
      <c r="K506" t="str">
        <f>+IF(E506="","",VLOOKUP(E506,CATALOGO!G:I,2,0))</f>
        <v/>
      </c>
      <c r="L506" t="str">
        <f>+IF(E506="","",VLOOKUP(E506,CATALOGO!G:I,3,0))</f>
        <v/>
      </c>
      <c r="M506" s="87" t="str">
        <f>IF('Consulta1'!I4598="","",'Consulta1'!I4598)</f>
        <v/>
      </c>
      <c r="N506" s="88" t="str">
        <f>IF('Consulta1'!J4598="","",'Consulta1'!J4598)</f>
        <v/>
      </c>
    </row>
    <row r="507" spans="1:14" ht="18.75" x14ac:dyDescent="0.25">
      <c r="A507" s="82" t="str">
        <f>IF('Consulta1'!A4599="","",'Consulta1'!A4599)</f>
        <v/>
      </c>
      <c r="B507" s="82" t="str">
        <f>IF('Consulta1'!B4599="","",'Consulta1'!B4599)</f>
        <v/>
      </c>
      <c r="C507" s="83" t="str">
        <f>IF('Consulta1'!C4599="","",'Consulta1'!C4599)</f>
        <v/>
      </c>
      <c r="D507" s="84" t="str">
        <f>IF('Consulta1'!D4599="","",'Consulta1'!D4599)</f>
        <v/>
      </c>
      <c r="E507" s="82" t="str">
        <f>IF('Consulta1'!E4599="","",'Consulta1'!E4599)</f>
        <v/>
      </c>
      <c r="F507" t="str">
        <f>+IF(E507="","",VLOOKUP(E507,CATALOGO!G:L,6,0))</f>
        <v/>
      </c>
      <c r="G507" s="85" t="str">
        <f>IF('Consulta1'!F4599="","",'Consulta1'!F4599)</f>
        <v/>
      </c>
      <c r="H507" s="85" t="str">
        <f>IF('Consulta1'!G4599="","",'Consulta1'!G4599)</f>
        <v/>
      </c>
      <c r="I507" s="86" t="str">
        <f>IF('Consulta1'!H4599="","",'Consulta1'!H4599)</f>
        <v/>
      </c>
      <c r="J507" t="str">
        <f t="shared" si="7"/>
        <v/>
      </c>
      <c r="K507" t="str">
        <f>+IF(E507="","",VLOOKUP(E507,CATALOGO!G:I,2,0))</f>
        <v/>
      </c>
      <c r="L507" t="str">
        <f>+IF(E507="","",VLOOKUP(E507,CATALOGO!G:I,3,0))</f>
        <v/>
      </c>
      <c r="M507" s="87" t="str">
        <f>IF('Consulta1'!I4599="","",'Consulta1'!I4599)</f>
        <v/>
      </c>
      <c r="N507" s="88" t="str">
        <f>IF('Consulta1'!J4599="","",'Consulta1'!J4599)</f>
        <v/>
      </c>
    </row>
    <row r="508" spans="1:14" ht="18.75" x14ac:dyDescent="0.25">
      <c r="A508" s="82" t="str">
        <f>IF('Consulta1'!A4600="","",'Consulta1'!A4600)</f>
        <v/>
      </c>
      <c r="B508" s="82" t="str">
        <f>IF('Consulta1'!B4600="","",'Consulta1'!B4600)</f>
        <v/>
      </c>
      <c r="C508" s="83" t="str">
        <f>IF('Consulta1'!C4600="","",'Consulta1'!C4600)</f>
        <v/>
      </c>
      <c r="D508" s="84" t="str">
        <f>IF('Consulta1'!D4600="","",'Consulta1'!D4600)</f>
        <v/>
      </c>
      <c r="E508" s="82" t="str">
        <f>IF('Consulta1'!E4600="","",'Consulta1'!E4600)</f>
        <v/>
      </c>
      <c r="F508" t="str">
        <f>+IF(E508="","",VLOOKUP(E508,CATALOGO!G:L,6,0))</f>
        <v/>
      </c>
      <c r="G508" s="85" t="str">
        <f>IF('Consulta1'!F4600="","",'Consulta1'!F4600)</f>
        <v/>
      </c>
      <c r="H508" s="85" t="str">
        <f>IF('Consulta1'!G4600="","",'Consulta1'!G4600)</f>
        <v/>
      </c>
      <c r="I508" s="86" t="str">
        <f>IF('Consulta1'!H4600="","",'Consulta1'!H4600)</f>
        <v/>
      </c>
      <c r="J508" t="str">
        <f t="shared" si="7"/>
        <v/>
      </c>
      <c r="K508" t="str">
        <f>+IF(E508="","",VLOOKUP(E508,CATALOGO!G:I,2,0))</f>
        <v/>
      </c>
      <c r="L508" t="str">
        <f>+IF(E508="","",VLOOKUP(E508,CATALOGO!G:I,3,0))</f>
        <v/>
      </c>
      <c r="M508" s="87" t="str">
        <f>IF('Consulta1'!I4600="","",'Consulta1'!I4600)</f>
        <v/>
      </c>
      <c r="N508" s="88" t="str">
        <f>IF('Consulta1'!J4600="","",'Consulta1'!J4600)</f>
        <v/>
      </c>
    </row>
    <row r="509" spans="1:14" ht="18.75" x14ac:dyDescent="0.25">
      <c r="A509" s="82" t="str">
        <f>IF('Consulta1'!A4601="","",'Consulta1'!A4601)</f>
        <v/>
      </c>
      <c r="B509" s="82" t="str">
        <f>IF('Consulta1'!B4601="","",'Consulta1'!B4601)</f>
        <v/>
      </c>
      <c r="C509" s="83" t="str">
        <f>IF('Consulta1'!C4601="","",'Consulta1'!C4601)</f>
        <v/>
      </c>
      <c r="D509" s="84" t="str">
        <f>IF('Consulta1'!D4601="","",'Consulta1'!D4601)</f>
        <v/>
      </c>
      <c r="E509" s="82" t="str">
        <f>IF('Consulta1'!E4601="","",'Consulta1'!E4601)</f>
        <v/>
      </c>
      <c r="F509" t="str">
        <f>+IF(E509="","",VLOOKUP(E509,CATALOGO!G:L,6,0))</f>
        <v/>
      </c>
      <c r="G509" s="85" t="str">
        <f>IF('Consulta1'!F4601="","",'Consulta1'!F4601)</f>
        <v/>
      </c>
      <c r="H509" s="85" t="str">
        <f>IF('Consulta1'!G4601="","",'Consulta1'!G4601)</f>
        <v/>
      </c>
      <c r="I509" s="86" t="str">
        <f>IF('Consulta1'!H4601="","",'Consulta1'!H4601)</f>
        <v/>
      </c>
      <c r="J509" t="str">
        <f t="shared" si="7"/>
        <v/>
      </c>
      <c r="K509" t="str">
        <f>+IF(E509="","",VLOOKUP(E509,CATALOGO!G:I,2,0))</f>
        <v/>
      </c>
      <c r="L509" t="str">
        <f>+IF(E509="","",VLOOKUP(E509,CATALOGO!G:I,3,0))</f>
        <v/>
      </c>
      <c r="M509" s="87" t="str">
        <f>IF('Consulta1'!I4601="","",'Consulta1'!I4601)</f>
        <v/>
      </c>
      <c r="N509" s="88" t="str">
        <f>IF('Consulta1'!J4601="","",'Consulta1'!J4601)</f>
        <v/>
      </c>
    </row>
    <row r="510" spans="1:14" ht="18.75" x14ac:dyDescent="0.25">
      <c r="A510" s="82" t="str">
        <f>IF('Consulta1'!A4602="","",'Consulta1'!A4602)</f>
        <v/>
      </c>
      <c r="B510" s="82" t="str">
        <f>IF('Consulta1'!B4602="","",'Consulta1'!B4602)</f>
        <v/>
      </c>
      <c r="C510" s="83" t="str">
        <f>IF('Consulta1'!C4602="","",'Consulta1'!C4602)</f>
        <v/>
      </c>
      <c r="D510" s="84" t="str">
        <f>IF('Consulta1'!D4602="","",'Consulta1'!D4602)</f>
        <v/>
      </c>
      <c r="E510" s="82" t="str">
        <f>IF('Consulta1'!E4602="","",'Consulta1'!E4602)</f>
        <v/>
      </c>
      <c r="F510" t="str">
        <f>+IF(E510="","",VLOOKUP(E510,CATALOGO!G:L,6,0))</f>
        <v/>
      </c>
      <c r="G510" s="85" t="str">
        <f>IF('Consulta1'!F4602="","",'Consulta1'!F4602)</f>
        <v/>
      </c>
      <c r="H510" s="85" t="str">
        <f>IF('Consulta1'!G4602="","",'Consulta1'!G4602)</f>
        <v/>
      </c>
      <c r="I510" s="86" t="str">
        <f>IF('Consulta1'!H4602="","",'Consulta1'!H4602)</f>
        <v/>
      </c>
      <c r="J510" t="str">
        <f t="shared" si="7"/>
        <v/>
      </c>
      <c r="K510" t="str">
        <f>+IF(E510="","",VLOOKUP(E510,CATALOGO!G:I,2,0))</f>
        <v/>
      </c>
      <c r="L510" t="str">
        <f>+IF(E510="","",VLOOKUP(E510,CATALOGO!G:I,3,0))</f>
        <v/>
      </c>
      <c r="M510" s="87" t="str">
        <f>IF('Consulta1'!I4602="","",'Consulta1'!I4602)</f>
        <v/>
      </c>
      <c r="N510" s="88" t="str">
        <f>IF('Consulta1'!J4602="","",'Consulta1'!J4602)</f>
        <v/>
      </c>
    </row>
    <row r="511" spans="1:14" ht="18.75" x14ac:dyDescent="0.25">
      <c r="A511" s="82" t="str">
        <f>IF('Consulta1'!A4603="","",'Consulta1'!A4603)</f>
        <v/>
      </c>
      <c r="B511" s="82" t="str">
        <f>IF('Consulta1'!B4603="","",'Consulta1'!B4603)</f>
        <v/>
      </c>
      <c r="C511" s="83" t="str">
        <f>IF('Consulta1'!C4603="","",'Consulta1'!C4603)</f>
        <v/>
      </c>
      <c r="D511" s="84" t="str">
        <f>IF('Consulta1'!D4603="","",'Consulta1'!D4603)</f>
        <v/>
      </c>
      <c r="E511" s="82" t="str">
        <f>IF('Consulta1'!E4603="","",'Consulta1'!E4603)</f>
        <v/>
      </c>
      <c r="F511" t="str">
        <f>+IF(E511="","",VLOOKUP(E511,CATALOGO!G:L,6,0))</f>
        <v/>
      </c>
      <c r="G511" s="85" t="str">
        <f>IF('Consulta1'!F4603="","",'Consulta1'!F4603)</f>
        <v/>
      </c>
      <c r="H511" s="85" t="str">
        <f>IF('Consulta1'!G4603="","",'Consulta1'!G4603)</f>
        <v/>
      </c>
      <c r="I511" s="86" t="str">
        <f>IF('Consulta1'!H4603="","",'Consulta1'!H4603)</f>
        <v/>
      </c>
      <c r="J511" t="str">
        <f t="shared" si="7"/>
        <v/>
      </c>
      <c r="K511" t="str">
        <f>+IF(E511="","",VLOOKUP(E511,CATALOGO!G:I,2,0))</f>
        <v/>
      </c>
      <c r="L511" t="str">
        <f>+IF(E511="","",VLOOKUP(E511,CATALOGO!G:I,3,0))</f>
        <v/>
      </c>
      <c r="M511" s="87" t="str">
        <f>IF('Consulta1'!I4603="","",'Consulta1'!I4603)</f>
        <v/>
      </c>
      <c r="N511" s="88" t="str">
        <f>IF('Consulta1'!J4603="","",'Consulta1'!J4603)</f>
        <v/>
      </c>
    </row>
    <row r="512" spans="1:14" ht="18.75" x14ac:dyDescent="0.25">
      <c r="A512" s="82" t="str">
        <f>IF('Consulta1'!A4604="","",'Consulta1'!A4604)</f>
        <v/>
      </c>
      <c r="B512" s="82" t="str">
        <f>IF('Consulta1'!B4604="","",'Consulta1'!B4604)</f>
        <v/>
      </c>
      <c r="C512" s="83" t="str">
        <f>IF('Consulta1'!C4604="","",'Consulta1'!C4604)</f>
        <v/>
      </c>
      <c r="D512" s="84" t="str">
        <f>IF('Consulta1'!D4604="","",'Consulta1'!D4604)</f>
        <v/>
      </c>
      <c r="E512" s="82" t="str">
        <f>IF('Consulta1'!E4604="","",'Consulta1'!E4604)</f>
        <v/>
      </c>
      <c r="F512" t="str">
        <f>+IF(E512="","",VLOOKUP(E512,CATALOGO!G:L,6,0))</f>
        <v/>
      </c>
      <c r="G512" s="85" t="str">
        <f>IF('Consulta1'!F4604="","",'Consulta1'!F4604)</f>
        <v/>
      </c>
      <c r="H512" s="85" t="str">
        <f>IF('Consulta1'!G4604="","",'Consulta1'!G4604)</f>
        <v/>
      </c>
      <c r="I512" s="86" t="str">
        <f>IF('Consulta1'!H4604="","",'Consulta1'!H4604)</f>
        <v/>
      </c>
      <c r="J512" t="str">
        <f t="shared" si="7"/>
        <v/>
      </c>
      <c r="K512" t="str">
        <f>+IF(E512="","",VLOOKUP(E512,CATALOGO!G:I,2,0))</f>
        <v/>
      </c>
      <c r="L512" t="str">
        <f>+IF(E512="","",VLOOKUP(E512,CATALOGO!G:I,3,0))</f>
        <v/>
      </c>
      <c r="M512" s="87" t="str">
        <f>IF('Consulta1'!I4604="","",'Consulta1'!I4604)</f>
        <v/>
      </c>
      <c r="N512" s="88" t="str">
        <f>IF('Consulta1'!J4604="","",'Consulta1'!J4604)</f>
        <v/>
      </c>
    </row>
    <row r="513" spans="1:14" ht="18.75" x14ac:dyDescent="0.25">
      <c r="A513" s="82" t="str">
        <f>IF('Consulta1'!A4605="","",'Consulta1'!A4605)</f>
        <v/>
      </c>
      <c r="B513" s="82" t="str">
        <f>IF('Consulta1'!B4605="","",'Consulta1'!B4605)</f>
        <v/>
      </c>
      <c r="C513" s="83" t="str">
        <f>IF('Consulta1'!C4605="","",'Consulta1'!C4605)</f>
        <v/>
      </c>
      <c r="D513" s="84" t="str">
        <f>IF('Consulta1'!D4605="","",'Consulta1'!D4605)</f>
        <v/>
      </c>
      <c r="E513" s="82" t="str">
        <f>IF('Consulta1'!E4605="","",'Consulta1'!E4605)</f>
        <v/>
      </c>
      <c r="F513" t="str">
        <f>+IF(E513="","",VLOOKUP(E513,CATALOGO!G:L,6,0))</f>
        <v/>
      </c>
      <c r="G513" s="85" t="str">
        <f>IF('Consulta1'!F4605="","",'Consulta1'!F4605)</f>
        <v/>
      </c>
      <c r="H513" s="85" t="str">
        <f>IF('Consulta1'!G4605="","",'Consulta1'!G4605)</f>
        <v/>
      </c>
      <c r="I513" s="86" t="str">
        <f>IF('Consulta1'!H4605="","",'Consulta1'!H4605)</f>
        <v/>
      </c>
      <c r="J513" t="str">
        <f t="shared" si="7"/>
        <v/>
      </c>
      <c r="K513" t="str">
        <f>+IF(E513="","",VLOOKUP(E513,CATALOGO!G:I,2,0))</f>
        <v/>
      </c>
      <c r="L513" t="str">
        <f>+IF(E513="","",VLOOKUP(E513,CATALOGO!G:I,3,0))</f>
        <v/>
      </c>
      <c r="M513" s="87" t="str">
        <f>IF('Consulta1'!I4605="","",'Consulta1'!I4605)</f>
        <v/>
      </c>
      <c r="N513" s="88" t="str">
        <f>IF('Consulta1'!J4605="","",'Consulta1'!J4605)</f>
        <v/>
      </c>
    </row>
    <row r="514" spans="1:14" ht="18.75" x14ac:dyDescent="0.25">
      <c r="A514" s="82" t="str">
        <f>IF('Consulta1'!A4606="","",'Consulta1'!A4606)</f>
        <v/>
      </c>
      <c r="B514" s="82" t="str">
        <f>IF('Consulta1'!B4606="","",'Consulta1'!B4606)</f>
        <v/>
      </c>
      <c r="C514" s="83" t="str">
        <f>IF('Consulta1'!C4606="","",'Consulta1'!C4606)</f>
        <v/>
      </c>
      <c r="D514" s="84" t="str">
        <f>IF('Consulta1'!D4606="","",'Consulta1'!D4606)</f>
        <v/>
      </c>
      <c r="E514" s="82" t="str">
        <f>IF('Consulta1'!E4606="","",'Consulta1'!E4606)</f>
        <v/>
      </c>
      <c r="F514" t="str">
        <f>+IF(E514="","",VLOOKUP(E514,CATALOGO!G:L,6,0))</f>
        <v/>
      </c>
      <c r="G514" s="85" t="str">
        <f>IF('Consulta1'!F4606="","",'Consulta1'!F4606)</f>
        <v/>
      </c>
      <c r="H514" s="85" t="str">
        <f>IF('Consulta1'!G4606="","",'Consulta1'!G4606)</f>
        <v/>
      </c>
      <c r="I514" s="86" t="str">
        <f>IF('Consulta1'!H4606="","",'Consulta1'!H4606)</f>
        <v/>
      </c>
      <c r="J514" t="str">
        <f t="shared" si="7"/>
        <v/>
      </c>
      <c r="K514" t="str">
        <f>+IF(E514="","",VLOOKUP(E514,CATALOGO!G:I,2,0))</f>
        <v/>
      </c>
      <c r="L514" t="str">
        <f>+IF(E514="","",VLOOKUP(E514,CATALOGO!G:I,3,0))</f>
        <v/>
      </c>
      <c r="M514" s="87" t="str">
        <f>IF('Consulta1'!I4606="","",'Consulta1'!I4606)</f>
        <v/>
      </c>
      <c r="N514" s="88" t="str">
        <f>IF('Consulta1'!J4606="","",'Consulta1'!J4606)</f>
        <v/>
      </c>
    </row>
    <row r="515" spans="1:14" ht="18.75" x14ac:dyDescent="0.25">
      <c r="A515" s="82" t="str">
        <f>IF('Consulta1'!A4607="","",'Consulta1'!A4607)</f>
        <v/>
      </c>
      <c r="B515" s="82" t="str">
        <f>IF('Consulta1'!B4607="","",'Consulta1'!B4607)</f>
        <v/>
      </c>
      <c r="C515" s="83" t="str">
        <f>IF('Consulta1'!C4607="","",'Consulta1'!C4607)</f>
        <v/>
      </c>
      <c r="D515" s="84" t="str">
        <f>IF('Consulta1'!D4607="","",'Consulta1'!D4607)</f>
        <v/>
      </c>
      <c r="E515" s="82" t="str">
        <f>IF('Consulta1'!E4607="","",'Consulta1'!E4607)</f>
        <v/>
      </c>
      <c r="F515" t="str">
        <f>+IF(E515="","",VLOOKUP(E515,CATALOGO!G:L,6,0))</f>
        <v/>
      </c>
      <c r="G515" s="85" t="str">
        <f>IF('Consulta1'!F4607="","",'Consulta1'!F4607)</f>
        <v/>
      </c>
      <c r="H515" s="85" t="str">
        <f>IF('Consulta1'!G4607="","",'Consulta1'!G4607)</f>
        <v/>
      </c>
      <c r="I515" s="86" t="str">
        <f>IF('Consulta1'!H4607="","",'Consulta1'!H4607)</f>
        <v/>
      </c>
      <c r="J515" t="str">
        <f t="shared" ref="J515:J578" si="8">+IF(E515="","",WEEKNUM(I515))</f>
        <v/>
      </c>
      <c r="K515" t="str">
        <f>+IF(E515="","",VLOOKUP(E515,CATALOGO!G:I,2,0))</f>
        <v/>
      </c>
      <c r="L515" t="str">
        <f>+IF(E515="","",VLOOKUP(E515,CATALOGO!G:I,3,0))</f>
        <v/>
      </c>
      <c r="M515" s="87" t="str">
        <f>IF('Consulta1'!I4607="","",'Consulta1'!I4607)</f>
        <v/>
      </c>
      <c r="N515" s="88" t="str">
        <f>IF('Consulta1'!J4607="","",'Consulta1'!J4607)</f>
        <v/>
      </c>
    </row>
    <row r="516" spans="1:14" ht="18.75" x14ac:dyDescent="0.25">
      <c r="A516" s="82" t="str">
        <f>IF('Consulta1'!A4608="","",'Consulta1'!A4608)</f>
        <v/>
      </c>
      <c r="B516" s="82" t="str">
        <f>IF('Consulta1'!B4608="","",'Consulta1'!B4608)</f>
        <v/>
      </c>
      <c r="C516" s="83" t="str">
        <f>IF('Consulta1'!C4608="","",'Consulta1'!C4608)</f>
        <v/>
      </c>
      <c r="D516" s="84" t="str">
        <f>IF('Consulta1'!D4608="","",'Consulta1'!D4608)</f>
        <v/>
      </c>
      <c r="E516" s="82" t="str">
        <f>IF('Consulta1'!E4608="","",'Consulta1'!E4608)</f>
        <v/>
      </c>
      <c r="F516" t="str">
        <f>+IF(E516="","",VLOOKUP(E516,CATALOGO!G:L,6,0))</f>
        <v/>
      </c>
      <c r="G516" s="85" t="str">
        <f>IF('Consulta1'!F4608="","",'Consulta1'!F4608)</f>
        <v/>
      </c>
      <c r="H516" s="85" t="str">
        <f>IF('Consulta1'!G4608="","",'Consulta1'!G4608)</f>
        <v/>
      </c>
      <c r="I516" s="86" t="str">
        <f>IF('Consulta1'!H4608="","",'Consulta1'!H4608)</f>
        <v/>
      </c>
      <c r="J516" t="str">
        <f t="shared" si="8"/>
        <v/>
      </c>
      <c r="K516" t="str">
        <f>+IF(E516="","",VLOOKUP(E516,CATALOGO!G:I,2,0))</f>
        <v/>
      </c>
      <c r="L516" t="str">
        <f>+IF(E516="","",VLOOKUP(E516,CATALOGO!G:I,3,0))</f>
        <v/>
      </c>
      <c r="M516" s="87" t="str">
        <f>IF('Consulta1'!I4608="","",'Consulta1'!I4608)</f>
        <v/>
      </c>
      <c r="N516" s="88" t="str">
        <f>IF('Consulta1'!J4608="","",'Consulta1'!J4608)</f>
        <v/>
      </c>
    </row>
    <row r="517" spans="1:14" ht="18.75" x14ac:dyDescent="0.25">
      <c r="A517" s="82" t="str">
        <f>IF('Consulta1'!A4609="","",'Consulta1'!A4609)</f>
        <v/>
      </c>
      <c r="B517" s="82" t="str">
        <f>IF('Consulta1'!B4609="","",'Consulta1'!B4609)</f>
        <v/>
      </c>
      <c r="C517" s="83" t="str">
        <f>IF('Consulta1'!C4609="","",'Consulta1'!C4609)</f>
        <v/>
      </c>
      <c r="D517" s="84" t="str">
        <f>IF('Consulta1'!D4609="","",'Consulta1'!D4609)</f>
        <v/>
      </c>
      <c r="E517" s="82" t="str">
        <f>IF('Consulta1'!E4609="","",'Consulta1'!E4609)</f>
        <v/>
      </c>
      <c r="F517" t="str">
        <f>+IF(E517="","",VLOOKUP(E517,CATALOGO!G:L,6,0))</f>
        <v/>
      </c>
      <c r="G517" s="85" t="str">
        <f>IF('Consulta1'!F4609="","",'Consulta1'!F4609)</f>
        <v/>
      </c>
      <c r="H517" s="85" t="str">
        <f>IF('Consulta1'!G4609="","",'Consulta1'!G4609)</f>
        <v/>
      </c>
      <c r="I517" s="86" t="str">
        <f>IF('Consulta1'!H4609="","",'Consulta1'!H4609)</f>
        <v/>
      </c>
      <c r="J517" t="str">
        <f t="shared" si="8"/>
        <v/>
      </c>
      <c r="K517" t="str">
        <f>+IF(E517="","",VLOOKUP(E517,CATALOGO!G:I,2,0))</f>
        <v/>
      </c>
      <c r="L517" t="str">
        <f>+IF(E517="","",VLOOKUP(E517,CATALOGO!G:I,3,0))</f>
        <v/>
      </c>
      <c r="M517" s="87" t="str">
        <f>IF('Consulta1'!I4609="","",'Consulta1'!I4609)</f>
        <v/>
      </c>
      <c r="N517" s="88" t="str">
        <f>IF('Consulta1'!J4609="","",'Consulta1'!J4609)</f>
        <v/>
      </c>
    </row>
    <row r="518" spans="1:14" ht="18.75" x14ac:dyDescent="0.25">
      <c r="A518" s="82" t="str">
        <f>IF('Consulta1'!A4610="","",'Consulta1'!A4610)</f>
        <v/>
      </c>
      <c r="B518" s="82" t="str">
        <f>IF('Consulta1'!B4610="","",'Consulta1'!B4610)</f>
        <v/>
      </c>
      <c r="C518" s="83" t="str">
        <f>IF('Consulta1'!C4610="","",'Consulta1'!C4610)</f>
        <v/>
      </c>
      <c r="D518" s="84" t="str">
        <f>IF('Consulta1'!D4610="","",'Consulta1'!D4610)</f>
        <v/>
      </c>
      <c r="E518" s="82" t="str">
        <f>IF('Consulta1'!E4610="","",'Consulta1'!E4610)</f>
        <v/>
      </c>
      <c r="F518" t="str">
        <f>+IF(E518="","",VLOOKUP(E518,CATALOGO!G:L,6,0))</f>
        <v/>
      </c>
      <c r="G518" s="85" t="str">
        <f>IF('Consulta1'!F4610="","",'Consulta1'!F4610)</f>
        <v/>
      </c>
      <c r="H518" s="85" t="str">
        <f>IF('Consulta1'!G4610="","",'Consulta1'!G4610)</f>
        <v/>
      </c>
      <c r="I518" s="86" t="str">
        <f>IF('Consulta1'!H4610="","",'Consulta1'!H4610)</f>
        <v/>
      </c>
      <c r="J518" t="str">
        <f t="shared" si="8"/>
        <v/>
      </c>
      <c r="K518" t="str">
        <f>+IF(E518="","",VLOOKUP(E518,CATALOGO!G:I,2,0))</f>
        <v/>
      </c>
      <c r="L518" t="str">
        <f>+IF(E518="","",VLOOKUP(E518,CATALOGO!G:I,3,0))</f>
        <v/>
      </c>
      <c r="M518" s="87" t="str">
        <f>IF('Consulta1'!I4610="","",'Consulta1'!I4610)</f>
        <v/>
      </c>
      <c r="N518" s="88" t="str">
        <f>IF('Consulta1'!J4610="","",'Consulta1'!J4610)</f>
        <v/>
      </c>
    </row>
    <row r="519" spans="1:14" ht="18.75" x14ac:dyDescent="0.25">
      <c r="A519" s="82" t="str">
        <f>IF('Consulta1'!A4611="","",'Consulta1'!A4611)</f>
        <v/>
      </c>
      <c r="B519" s="82" t="str">
        <f>IF('Consulta1'!B4611="","",'Consulta1'!B4611)</f>
        <v/>
      </c>
      <c r="C519" s="83" t="str">
        <f>IF('Consulta1'!C4611="","",'Consulta1'!C4611)</f>
        <v/>
      </c>
      <c r="D519" s="84" t="str">
        <f>IF('Consulta1'!D4611="","",'Consulta1'!D4611)</f>
        <v/>
      </c>
      <c r="E519" s="82" t="str">
        <f>IF('Consulta1'!E4611="","",'Consulta1'!E4611)</f>
        <v/>
      </c>
      <c r="F519" t="str">
        <f>+IF(E519="","",VLOOKUP(E519,CATALOGO!G:L,6,0))</f>
        <v/>
      </c>
      <c r="G519" s="85" t="str">
        <f>IF('Consulta1'!F4611="","",'Consulta1'!F4611)</f>
        <v/>
      </c>
      <c r="H519" s="85" t="str">
        <f>IF('Consulta1'!G4611="","",'Consulta1'!G4611)</f>
        <v/>
      </c>
      <c r="I519" s="86" t="str">
        <f>IF('Consulta1'!H4611="","",'Consulta1'!H4611)</f>
        <v/>
      </c>
      <c r="J519" t="str">
        <f t="shared" si="8"/>
        <v/>
      </c>
      <c r="K519" t="str">
        <f>+IF(E519="","",VLOOKUP(E519,CATALOGO!G:I,2,0))</f>
        <v/>
      </c>
      <c r="L519" t="str">
        <f>+IF(E519="","",VLOOKUP(E519,CATALOGO!G:I,3,0))</f>
        <v/>
      </c>
      <c r="M519" s="87" t="str">
        <f>IF('Consulta1'!I4611="","",'Consulta1'!I4611)</f>
        <v/>
      </c>
      <c r="N519" s="88" t="str">
        <f>IF('Consulta1'!J4611="","",'Consulta1'!J4611)</f>
        <v/>
      </c>
    </row>
    <row r="520" spans="1:14" ht="18.75" x14ac:dyDescent="0.25">
      <c r="A520" s="82" t="str">
        <f>IF('Consulta1'!A4612="","",'Consulta1'!A4612)</f>
        <v/>
      </c>
      <c r="B520" s="82" t="str">
        <f>IF('Consulta1'!B4612="","",'Consulta1'!B4612)</f>
        <v/>
      </c>
      <c r="C520" s="83" t="str">
        <f>IF('Consulta1'!C4612="","",'Consulta1'!C4612)</f>
        <v/>
      </c>
      <c r="D520" s="84" t="str">
        <f>IF('Consulta1'!D4612="","",'Consulta1'!D4612)</f>
        <v/>
      </c>
      <c r="E520" s="82" t="str">
        <f>IF('Consulta1'!E4612="","",'Consulta1'!E4612)</f>
        <v/>
      </c>
      <c r="F520" t="str">
        <f>+IF(E520="","",VLOOKUP(E520,CATALOGO!G:L,6,0))</f>
        <v/>
      </c>
      <c r="G520" s="85" t="str">
        <f>IF('Consulta1'!F4612="","",'Consulta1'!F4612)</f>
        <v/>
      </c>
      <c r="H520" s="85" t="str">
        <f>IF('Consulta1'!G4612="","",'Consulta1'!G4612)</f>
        <v/>
      </c>
      <c r="I520" s="86" t="str">
        <f>IF('Consulta1'!H4612="","",'Consulta1'!H4612)</f>
        <v/>
      </c>
      <c r="J520" t="str">
        <f t="shared" si="8"/>
        <v/>
      </c>
      <c r="K520" t="str">
        <f>+IF(E520="","",VLOOKUP(E520,CATALOGO!G:I,2,0))</f>
        <v/>
      </c>
      <c r="L520" t="str">
        <f>+IF(E520="","",VLOOKUP(E520,CATALOGO!G:I,3,0))</f>
        <v/>
      </c>
      <c r="M520" s="87" t="str">
        <f>IF('Consulta1'!I4612="","",'Consulta1'!I4612)</f>
        <v/>
      </c>
      <c r="N520" s="88" t="str">
        <f>IF('Consulta1'!J4612="","",'Consulta1'!J4612)</f>
        <v/>
      </c>
    </row>
    <row r="521" spans="1:14" ht="18.75" x14ac:dyDescent="0.25">
      <c r="A521" s="82" t="str">
        <f>IF('Consulta1'!A4613="","",'Consulta1'!A4613)</f>
        <v/>
      </c>
      <c r="B521" s="82" t="str">
        <f>IF('Consulta1'!B4613="","",'Consulta1'!B4613)</f>
        <v/>
      </c>
      <c r="C521" s="83" t="str">
        <f>IF('Consulta1'!C4613="","",'Consulta1'!C4613)</f>
        <v/>
      </c>
      <c r="D521" s="84" t="str">
        <f>IF('Consulta1'!D4613="","",'Consulta1'!D4613)</f>
        <v/>
      </c>
      <c r="E521" s="82" t="str">
        <f>IF('Consulta1'!E4613="","",'Consulta1'!E4613)</f>
        <v/>
      </c>
      <c r="F521" t="str">
        <f>+IF(E521="","",VLOOKUP(E521,CATALOGO!G:L,6,0))</f>
        <v/>
      </c>
      <c r="G521" s="85" t="str">
        <f>IF('Consulta1'!F4613="","",'Consulta1'!F4613)</f>
        <v/>
      </c>
      <c r="H521" s="85" t="str">
        <f>IF('Consulta1'!G4613="","",'Consulta1'!G4613)</f>
        <v/>
      </c>
      <c r="I521" s="86" t="str">
        <f>IF('Consulta1'!H4613="","",'Consulta1'!H4613)</f>
        <v/>
      </c>
      <c r="J521" t="str">
        <f t="shared" si="8"/>
        <v/>
      </c>
      <c r="K521" t="str">
        <f>+IF(E521="","",VLOOKUP(E521,CATALOGO!G:I,2,0))</f>
        <v/>
      </c>
      <c r="L521" t="str">
        <f>+IF(E521="","",VLOOKUP(E521,CATALOGO!G:I,3,0))</f>
        <v/>
      </c>
      <c r="M521" s="87" t="str">
        <f>IF('Consulta1'!I4613="","",'Consulta1'!I4613)</f>
        <v/>
      </c>
      <c r="N521" s="88" t="str">
        <f>IF('Consulta1'!J4613="","",'Consulta1'!J4613)</f>
        <v/>
      </c>
    </row>
    <row r="522" spans="1:14" ht="18.75" x14ac:dyDescent="0.25">
      <c r="A522" s="82" t="str">
        <f>IF('Consulta1'!A4614="","",'Consulta1'!A4614)</f>
        <v/>
      </c>
      <c r="B522" s="82" t="str">
        <f>IF('Consulta1'!B4614="","",'Consulta1'!B4614)</f>
        <v/>
      </c>
      <c r="C522" s="83" t="str">
        <f>IF('Consulta1'!C4614="","",'Consulta1'!C4614)</f>
        <v/>
      </c>
      <c r="D522" s="84" t="str">
        <f>IF('Consulta1'!D4614="","",'Consulta1'!D4614)</f>
        <v/>
      </c>
      <c r="E522" s="82" t="str">
        <f>IF('Consulta1'!E4614="","",'Consulta1'!E4614)</f>
        <v/>
      </c>
      <c r="F522" t="str">
        <f>+IF(E522="","",VLOOKUP(E522,CATALOGO!G:L,6,0))</f>
        <v/>
      </c>
      <c r="G522" s="85" t="str">
        <f>IF('Consulta1'!F4614="","",'Consulta1'!F4614)</f>
        <v/>
      </c>
      <c r="H522" s="85" t="str">
        <f>IF('Consulta1'!G4614="","",'Consulta1'!G4614)</f>
        <v/>
      </c>
      <c r="I522" s="86" t="str">
        <f>IF('Consulta1'!H4614="","",'Consulta1'!H4614)</f>
        <v/>
      </c>
      <c r="J522" t="str">
        <f t="shared" si="8"/>
        <v/>
      </c>
      <c r="K522" t="str">
        <f>+IF(E522="","",VLOOKUP(E522,CATALOGO!G:I,2,0))</f>
        <v/>
      </c>
      <c r="L522" t="str">
        <f>+IF(E522="","",VLOOKUP(E522,CATALOGO!G:I,3,0))</f>
        <v/>
      </c>
      <c r="M522" s="87" t="str">
        <f>IF('Consulta1'!I4614="","",'Consulta1'!I4614)</f>
        <v/>
      </c>
      <c r="N522" s="88" t="str">
        <f>IF('Consulta1'!J4614="","",'Consulta1'!J4614)</f>
        <v/>
      </c>
    </row>
    <row r="523" spans="1:14" ht="18.75" x14ac:dyDescent="0.25">
      <c r="A523" s="82" t="str">
        <f>IF('Consulta1'!A4615="","",'Consulta1'!A4615)</f>
        <v/>
      </c>
      <c r="B523" s="82" t="str">
        <f>IF('Consulta1'!B4615="","",'Consulta1'!B4615)</f>
        <v/>
      </c>
      <c r="C523" s="83" t="str">
        <f>IF('Consulta1'!C4615="","",'Consulta1'!C4615)</f>
        <v/>
      </c>
      <c r="D523" s="84" t="str">
        <f>IF('Consulta1'!D4615="","",'Consulta1'!D4615)</f>
        <v/>
      </c>
      <c r="E523" s="82" t="str">
        <f>IF('Consulta1'!E4615="","",'Consulta1'!E4615)</f>
        <v/>
      </c>
      <c r="F523" t="str">
        <f>+IF(E523="","",VLOOKUP(E523,CATALOGO!G:L,6,0))</f>
        <v/>
      </c>
      <c r="G523" s="85" t="str">
        <f>IF('Consulta1'!F4615="","",'Consulta1'!F4615)</f>
        <v/>
      </c>
      <c r="H523" s="85" t="str">
        <f>IF('Consulta1'!G4615="","",'Consulta1'!G4615)</f>
        <v/>
      </c>
      <c r="I523" s="86" t="str">
        <f>IF('Consulta1'!H4615="","",'Consulta1'!H4615)</f>
        <v/>
      </c>
      <c r="J523" t="str">
        <f t="shared" si="8"/>
        <v/>
      </c>
      <c r="K523" t="str">
        <f>+IF(E523="","",VLOOKUP(E523,CATALOGO!G:I,2,0))</f>
        <v/>
      </c>
      <c r="L523" t="str">
        <f>+IF(E523="","",VLOOKUP(E523,CATALOGO!G:I,3,0))</f>
        <v/>
      </c>
      <c r="M523" s="87" t="str">
        <f>IF('Consulta1'!I4615="","",'Consulta1'!I4615)</f>
        <v/>
      </c>
      <c r="N523" s="88" t="str">
        <f>IF('Consulta1'!J4615="","",'Consulta1'!J4615)</f>
        <v/>
      </c>
    </row>
    <row r="524" spans="1:14" ht="18.75" x14ac:dyDescent="0.25">
      <c r="A524" s="82" t="str">
        <f>IF('Consulta1'!A4616="","",'Consulta1'!A4616)</f>
        <v/>
      </c>
      <c r="B524" s="82" t="str">
        <f>IF('Consulta1'!B4616="","",'Consulta1'!B4616)</f>
        <v/>
      </c>
      <c r="C524" s="83" t="str">
        <f>IF('Consulta1'!C4616="","",'Consulta1'!C4616)</f>
        <v/>
      </c>
      <c r="D524" s="84" t="str">
        <f>IF('Consulta1'!D4616="","",'Consulta1'!D4616)</f>
        <v/>
      </c>
      <c r="E524" s="82" t="str">
        <f>IF('Consulta1'!E4616="","",'Consulta1'!E4616)</f>
        <v/>
      </c>
      <c r="F524" t="str">
        <f>+IF(E524="","",VLOOKUP(E524,CATALOGO!G:L,6,0))</f>
        <v/>
      </c>
      <c r="G524" s="85" t="str">
        <f>IF('Consulta1'!F4616="","",'Consulta1'!F4616)</f>
        <v/>
      </c>
      <c r="H524" s="85" t="str">
        <f>IF('Consulta1'!G4616="","",'Consulta1'!G4616)</f>
        <v/>
      </c>
      <c r="I524" s="86" t="str">
        <f>IF('Consulta1'!H4616="","",'Consulta1'!H4616)</f>
        <v/>
      </c>
      <c r="J524" t="str">
        <f t="shared" si="8"/>
        <v/>
      </c>
      <c r="K524" t="str">
        <f>+IF(E524="","",VLOOKUP(E524,CATALOGO!G:I,2,0))</f>
        <v/>
      </c>
      <c r="L524" t="str">
        <f>+IF(E524="","",VLOOKUP(E524,CATALOGO!G:I,3,0))</f>
        <v/>
      </c>
      <c r="M524" s="87" t="str">
        <f>IF('Consulta1'!I4616="","",'Consulta1'!I4616)</f>
        <v/>
      </c>
      <c r="N524" s="88" t="str">
        <f>IF('Consulta1'!J4616="","",'Consulta1'!J4616)</f>
        <v/>
      </c>
    </row>
    <row r="525" spans="1:14" ht="18.75" x14ac:dyDescent="0.25">
      <c r="A525" s="82" t="str">
        <f>IF('Consulta1'!A4617="","",'Consulta1'!A4617)</f>
        <v/>
      </c>
      <c r="B525" s="82" t="str">
        <f>IF('Consulta1'!B4617="","",'Consulta1'!B4617)</f>
        <v/>
      </c>
      <c r="C525" s="83" t="str">
        <f>IF('Consulta1'!C4617="","",'Consulta1'!C4617)</f>
        <v/>
      </c>
      <c r="D525" s="84" t="str">
        <f>IF('Consulta1'!D4617="","",'Consulta1'!D4617)</f>
        <v/>
      </c>
      <c r="E525" s="82" t="str">
        <f>IF('Consulta1'!E4617="","",'Consulta1'!E4617)</f>
        <v/>
      </c>
      <c r="F525" t="str">
        <f>+IF(E525="","",VLOOKUP(E525,CATALOGO!G:L,6,0))</f>
        <v/>
      </c>
      <c r="G525" s="85" t="str">
        <f>IF('Consulta1'!F4617="","",'Consulta1'!F4617)</f>
        <v/>
      </c>
      <c r="H525" s="85" t="str">
        <f>IF('Consulta1'!G4617="","",'Consulta1'!G4617)</f>
        <v/>
      </c>
      <c r="I525" s="86" t="str">
        <f>IF('Consulta1'!H4617="","",'Consulta1'!H4617)</f>
        <v/>
      </c>
      <c r="J525" t="str">
        <f t="shared" si="8"/>
        <v/>
      </c>
      <c r="K525" t="str">
        <f>+IF(E525="","",VLOOKUP(E525,CATALOGO!G:I,2,0))</f>
        <v/>
      </c>
      <c r="L525" t="str">
        <f>+IF(E525="","",VLOOKUP(E525,CATALOGO!G:I,3,0))</f>
        <v/>
      </c>
      <c r="M525" s="87" t="str">
        <f>IF('Consulta1'!I4617="","",'Consulta1'!I4617)</f>
        <v/>
      </c>
      <c r="N525" s="88" t="str">
        <f>IF('Consulta1'!J4617="","",'Consulta1'!J4617)</f>
        <v/>
      </c>
    </row>
    <row r="526" spans="1:14" ht="18.75" x14ac:dyDescent="0.25">
      <c r="A526" s="82" t="str">
        <f>IF('Consulta1'!A4618="","",'Consulta1'!A4618)</f>
        <v/>
      </c>
      <c r="B526" s="82" t="str">
        <f>IF('Consulta1'!B4618="","",'Consulta1'!B4618)</f>
        <v/>
      </c>
      <c r="C526" s="83" t="str">
        <f>IF('Consulta1'!C4618="","",'Consulta1'!C4618)</f>
        <v/>
      </c>
      <c r="D526" s="84" t="str">
        <f>IF('Consulta1'!D4618="","",'Consulta1'!D4618)</f>
        <v/>
      </c>
      <c r="E526" s="82" t="str">
        <f>IF('Consulta1'!E4618="","",'Consulta1'!E4618)</f>
        <v/>
      </c>
      <c r="F526" t="str">
        <f>+IF(E526="","",VLOOKUP(E526,CATALOGO!G:L,6,0))</f>
        <v/>
      </c>
      <c r="G526" s="85" t="str">
        <f>IF('Consulta1'!F4618="","",'Consulta1'!F4618)</f>
        <v/>
      </c>
      <c r="H526" s="85" t="str">
        <f>IF('Consulta1'!G4618="","",'Consulta1'!G4618)</f>
        <v/>
      </c>
      <c r="I526" s="86" t="str">
        <f>IF('Consulta1'!H4618="","",'Consulta1'!H4618)</f>
        <v/>
      </c>
      <c r="J526" t="str">
        <f t="shared" si="8"/>
        <v/>
      </c>
      <c r="K526" t="str">
        <f>+IF(E526="","",VLOOKUP(E526,CATALOGO!G:I,2,0))</f>
        <v/>
      </c>
      <c r="L526" t="str">
        <f>+IF(E526="","",VLOOKUP(E526,CATALOGO!G:I,3,0))</f>
        <v/>
      </c>
      <c r="M526" s="87" t="str">
        <f>IF('Consulta1'!I4618="","",'Consulta1'!I4618)</f>
        <v/>
      </c>
      <c r="N526" s="88" t="str">
        <f>IF('Consulta1'!J4618="","",'Consulta1'!J4618)</f>
        <v/>
      </c>
    </row>
    <row r="527" spans="1:14" ht="18.75" x14ac:dyDescent="0.25">
      <c r="A527" s="82" t="str">
        <f>IF('Consulta1'!A4619="","",'Consulta1'!A4619)</f>
        <v/>
      </c>
      <c r="B527" s="82" t="str">
        <f>IF('Consulta1'!B4619="","",'Consulta1'!B4619)</f>
        <v/>
      </c>
      <c r="C527" s="83" t="str">
        <f>IF('Consulta1'!C4619="","",'Consulta1'!C4619)</f>
        <v/>
      </c>
      <c r="D527" s="84" t="str">
        <f>IF('Consulta1'!D4619="","",'Consulta1'!D4619)</f>
        <v/>
      </c>
      <c r="E527" s="82" t="str">
        <f>IF('Consulta1'!E4619="","",'Consulta1'!E4619)</f>
        <v/>
      </c>
      <c r="F527" t="str">
        <f>+IF(E527="","",VLOOKUP(E527,CATALOGO!G:L,6,0))</f>
        <v/>
      </c>
      <c r="G527" s="85" t="str">
        <f>IF('Consulta1'!F4619="","",'Consulta1'!F4619)</f>
        <v/>
      </c>
      <c r="H527" s="85" t="str">
        <f>IF('Consulta1'!G4619="","",'Consulta1'!G4619)</f>
        <v/>
      </c>
      <c r="I527" s="86" t="str">
        <f>IF('Consulta1'!H4619="","",'Consulta1'!H4619)</f>
        <v/>
      </c>
      <c r="J527" t="str">
        <f t="shared" si="8"/>
        <v/>
      </c>
      <c r="K527" t="str">
        <f>+IF(E527="","",VLOOKUP(E527,CATALOGO!G:I,2,0))</f>
        <v/>
      </c>
      <c r="L527" t="str">
        <f>+IF(E527="","",VLOOKUP(E527,CATALOGO!G:I,3,0))</f>
        <v/>
      </c>
      <c r="M527" s="87" t="str">
        <f>IF('Consulta1'!I4619="","",'Consulta1'!I4619)</f>
        <v/>
      </c>
      <c r="N527" s="88" t="str">
        <f>IF('Consulta1'!J4619="","",'Consulta1'!J4619)</f>
        <v/>
      </c>
    </row>
    <row r="528" spans="1:14" ht="18.75" x14ac:dyDescent="0.25">
      <c r="A528" s="82" t="str">
        <f>IF('Consulta1'!A4620="","",'Consulta1'!A4620)</f>
        <v/>
      </c>
      <c r="B528" s="82" t="str">
        <f>IF('Consulta1'!B4620="","",'Consulta1'!B4620)</f>
        <v/>
      </c>
      <c r="C528" s="83" t="str">
        <f>IF('Consulta1'!C4620="","",'Consulta1'!C4620)</f>
        <v/>
      </c>
      <c r="D528" s="84" t="str">
        <f>IF('Consulta1'!D4620="","",'Consulta1'!D4620)</f>
        <v/>
      </c>
      <c r="E528" s="82" t="str">
        <f>IF('Consulta1'!E4620="","",'Consulta1'!E4620)</f>
        <v/>
      </c>
      <c r="F528" t="str">
        <f>+IF(E528="","",VLOOKUP(E528,CATALOGO!G:L,6,0))</f>
        <v/>
      </c>
      <c r="G528" s="85" t="str">
        <f>IF('Consulta1'!F4620="","",'Consulta1'!F4620)</f>
        <v/>
      </c>
      <c r="H528" s="85" t="str">
        <f>IF('Consulta1'!G4620="","",'Consulta1'!G4620)</f>
        <v/>
      </c>
      <c r="I528" s="86" t="str">
        <f>IF('Consulta1'!H4620="","",'Consulta1'!H4620)</f>
        <v/>
      </c>
      <c r="J528" t="str">
        <f t="shared" si="8"/>
        <v/>
      </c>
      <c r="K528" t="str">
        <f>+IF(E528="","",VLOOKUP(E528,CATALOGO!G:I,2,0))</f>
        <v/>
      </c>
      <c r="L528" t="str">
        <f>+IF(E528="","",VLOOKUP(E528,CATALOGO!G:I,3,0))</f>
        <v/>
      </c>
      <c r="M528" s="87" t="str">
        <f>IF('Consulta1'!I4620="","",'Consulta1'!I4620)</f>
        <v/>
      </c>
      <c r="N528" s="88" t="str">
        <f>IF('Consulta1'!J4620="","",'Consulta1'!J4620)</f>
        <v/>
      </c>
    </row>
    <row r="529" spans="1:14" ht="18.75" x14ac:dyDescent="0.25">
      <c r="A529" s="82" t="str">
        <f>IF('Consulta1'!A4621="","",'Consulta1'!A4621)</f>
        <v/>
      </c>
      <c r="B529" s="82" t="str">
        <f>IF('Consulta1'!B4621="","",'Consulta1'!B4621)</f>
        <v/>
      </c>
      <c r="C529" s="83" t="str">
        <f>IF('Consulta1'!C4621="","",'Consulta1'!C4621)</f>
        <v/>
      </c>
      <c r="D529" s="84" t="str">
        <f>IF('Consulta1'!D4621="","",'Consulta1'!D4621)</f>
        <v/>
      </c>
      <c r="E529" s="82" t="str">
        <f>IF('Consulta1'!E4621="","",'Consulta1'!E4621)</f>
        <v/>
      </c>
      <c r="F529" t="str">
        <f>+IF(E529="","",VLOOKUP(E529,CATALOGO!G:L,6,0))</f>
        <v/>
      </c>
      <c r="G529" s="85" t="str">
        <f>IF('Consulta1'!F4621="","",'Consulta1'!F4621)</f>
        <v/>
      </c>
      <c r="H529" s="85" t="str">
        <f>IF('Consulta1'!G4621="","",'Consulta1'!G4621)</f>
        <v/>
      </c>
      <c r="I529" s="86" t="str">
        <f>IF('Consulta1'!H4621="","",'Consulta1'!H4621)</f>
        <v/>
      </c>
      <c r="J529" t="str">
        <f t="shared" si="8"/>
        <v/>
      </c>
      <c r="K529" t="str">
        <f>+IF(E529="","",VLOOKUP(E529,CATALOGO!G:I,2,0))</f>
        <v/>
      </c>
      <c r="L529" t="str">
        <f>+IF(E529="","",VLOOKUP(E529,CATALOGO!G:I,3,0))</f>
        <v/>
      </c>
      <c r="M529" s="87" t="str">
        <f>IF('Consulta1'!I4621="","",'Consulta1'!I4621)</f>
        <v/>
      </c>
      <c r="N529" s="88" t="str">
        <f>IF('Consulta1'!J4621="","",'Consulta1'!J4621)</f>
        <v/>
      </c>
    </row>
    <row r="530" spans="1:14" ht="18.75" x14ac:dyDescent="0.25">
      <c r="A530" s="82" t="str">
        <f>IF('Consulta1'!A4622="","",'Consulta1'!A4622)</f>
        <v/>
      </c>
      <c r="B530" s="82" t="str">
        <f>IF('Consulta1'!B4622="","",'Consulta1'!B4622)</f>
        <v/>
      </c>
      <c r="C530" s="83" t="str">
        <f>IF('Consulta1'!C4622="","",'Consulta1'!C4622)</f>
        <v/>
      </c>
      <c r="D530" s="84" t="str">
        <f>IF('Consulta1'!D4622="","",'Consulta1'!D4622)</f>
        <v/>
      </c>
      <c r="E530" s="82" t="str">
        <f>IF('Consulta1'!E4622="","",'Consulta1'!E4622)</f>
        <v/>
      </c>
      <c r="F530" t="str">
        <f>+IF(E530="","",VLOOKUP(E530,CATALOGO!G:L,6,0))</f>
        <v/>
      </c>
      <c r="G530" s="85" t="str">
        <f>IF('Consulta1'!F4622="","",'Consulta1'!F4622)</f>
        <v/>
      </c>
      <c r="H530" s="85" t="str">
        <f>IF('Consulta1'!G4622="","",'Consulta1'!G4622)</f>
        <v/>
      </c>
      <c r="I530" s="86" t="str">
        <f>IF('Consulta1'!H4622="","",'Consulta1'!H4622)</f>
        <v/>
      </c>
      <c r="J530" t="str">
        <f t="shared" si="8"/>
        <v/>
      </c>
      <c r="K530" t="str">
        <f>+IF(E530="","",VLOOKUP(E530,CATALOGO!G:I,2,0))</f>
        <v/>
      </c>
      <c r="L530" t="str">
        <f>+IF(E530="","",VLOOKUP(E530,CATALOGO!G:I,3,0))</f>
        <v/>
      </c>
      <c r="M530" s="87" t="str">
        <f>IF('Consulta1'!I4622="","",'Consulta1'!I4622)</f>
        <v/>
      </c>
      <c r="N530" s="88" t="str">
        <f>IF('Consulta1'!J4622="","",'Consulta1'!J4622)</f>
        <v/>
      </c>
    </row>
    <row r="531" spans="1:14" ht="18.75" x14ac:dyDescent="0.25">
      <c r="A531" s="82" t="str">
        <f>IF('Consulta1'!A4623="","",'Consulta1'!A4623)</f>
        <v/>
      </c>
      <c r="B531" s="82" t="str">
        <f>IF('Consulta1'!B4623="","",'Consulta1'!B4623)</f>
        <v/>
      </c>
      <c r="C531" s="83" t="str">
        <f>IF('Consulta1'!C4623="","",'Consulta1'!C4623)</f>
        <v/>
      </c>
      <c r="D531" s="84" t="str">
        <f>IF('Consulta1'!D4623="","",'Consulta1'!D4623)</f>
        <v/>
      </c>
      <c r="E531" s="82" t="str">
        <f>IF('Consulta1'!E4623="","",'Consulta1'!E4623)</f>
        <v/>
      </c>
      <c r="F531" t="str">
        <f>+IF(E531="","",VLOOKUP(E531,CATALOGO!G:L,6,0))</f>
        <v/>
      </c>
      <c r="G531" s="85" t="str">
        <f>IF('Consulta1'!F4623="","",'Consulta1'!F4623)</f>
        <v/>
      </c>
      <c r="H531" s="85" t="str">
        <f>IF('Consulta1'!G4623="","",'Consulta1'!G4623)</f>
        <v/>
      </c>
      <c r="I531" s="86" t="str">
        <f>IF('Consulta1'!H4623="","",'Consulta1'!H4623)</f>
        <v/>
      </c>
      <c r="J531" t="str">
        <f t="shared" si="8"/>
        <v/>
      </c>
      <c r="K531" t="str">
        <f>+IF(E531="","",VLOOKUP(E531,CATALOGO!G:I,2,0))</f>
        <v/>
      </c>
      <c r="L531" t="str">
        <f>+IF(E531="","",VLOOKUP(E531,CATALOGO!G:I,3,0))</f>
        <v/>
      </c>
      <c r="M531" s="87" t="str">
        <f>IF('Consulta1'!I4623="","",'Consulta1'!I4623)</f>
        <v/>
      </c>
      <c r="N531" s="88" t="str">
        <f>IF('Consulta1'!J4623="","",'Consulta1'!J4623)</f>
        <v/>
      </c>
    </row>
    <row r="532" spans="1:14" ht="18.75" x14ac:dyDescent="0.25">
      <c r="A532" s="82" t="str">
        <f>IF('Consulta1'!A4624="","",'Consulta1'!A4624)</f>
        <v/>
      </c>
      <c r="B532" s="82" t="str">
        <f>IF('Consulta1'!B4624="","",'Consulta1'!B4624)</f>
        <v/>
      </c>
      <c r="C532" s="83" t="str">
        <f>IF('Consulta1'!C4624="","",'Consulta1'!C4624)</f>
        <v/>
      </c>
      <c r="D532" s="84" t="str">
        <f>IF('Consulta1'!D4624="","",'Consulta1'!D4624)</f>
        <v/>
      </c>
      <c r="E532" s="82" t="str">
        <f>IF('Consulta1'!E4624="","",'Consulta1'!E4624)</f>
        <v/>
      </c>
      <c r="F532" t="str">
        <f>+IF(E532="","",VLOOKUP(E532,CATALOGO!G:L,6,0))</f>
        <v/>
      </c>
      <c r="G532" s="85" t="str">
        <f>IF('Consulta1'!F4624="","",'Consulta1'!F4624)</f>
        <v/>
      </c>
      <c r="H532" s="85" t="str">
        <f>IF('Consulta1'!G4624="","",'Consulta1'!G4624)</f>
        <v/>
      </c>
      <c r="I532" s="86" t="str">
        <f>IF('Consulta1'!H4624="","",'Consulta1'!H4624)</f>
        <v/>
      </c>
      <c r="J532" t="str">
        <f t="shared" si="8"/>
        <v/>
      </c>
      <c r="K532" t="str">
        <f>+IF(E532="","",VLOOKUP(E532,CATALOGO!G:I,2,0))</f>
        <v/>
      </c>
      <c r="L532" t="str">
        <f>+IF(E532="","",VLOOKUP(E532,CATALOGO!G:I,3,0))</f>
        <v/>
      </c>
      <c r="M532" s="87" t="str">
        <f>IF('Consulta1'!I4624="","",'Consulta1'!I4624)</f>
        <v/>
      </c>
      <c r="N532" s="88" t="str">
        <f>IF('Consulta1'!J4624="","",'Consulta1'!J4624)</f>
        <v/>
      </c>
    </row>
    <row r="533" spans="1:14" ht="18.75" x14ac:dyDescent="0.25">
      <c r="A533" s="82" t="str">
        <f>IF('Consulta1'!A4625="","",'Consulta1'!A4625)</f>
        <v/>
      </c>
      <c r="B533" s="82" t="str">
        <f>IF('Consulta1'!B4625="","",'Consulta1'!B4625)</f>
        <v/>
      </c>
      <c r="C533" s="83" t="str">
        <f>IF('Consulta1'!C4625="","",'Consulta1'!C4625)</f>
        <v/>
      </c>
      <c r="D533" s="84" t="str">
        <f>IF('Consulta1'!D4625="","",'Consulta1'!D4625)</f>
        <v/>
      </c>
      <c r="E533" s="82" t="str">
        <f>IF('Consulta1'!E4625="","",'Consulta1'!E4625)</f>
        <v/>
      </c>
      <c r="F533" t="str">
        <f>+IF(E533="","",VLOOKUP(E533,CATALOGO!G:L,6,0))</f>
        <v/>
      </c>
      <c r="G533" s="85" t="str">
        <f>IF('Consulta1'!F4625="","",'Consulta1'!F4625)</f>
        <v/>
      </c>
      <c r="H533" s="85" t="str">
        <f>IF('Consulta1'!G4625="","",'Consulta1'!G4625)</f>
        <v/>
      </c>
      <c r="I533" s="86" t="str">
        <f>IF('Consulta1'!H4625="","",'Consulta1'!H4625)</f>
        <v/>
      </c>
      <c r="J533" t="str">
        <f t="shared" si="8"/>
        <v/>
      </c>
      <c r="K533" t="str">
        <f>+IF(E533="","",VLOOKUP(E533,CATALOGO!G:I,2,0))</f>
        <v/>
      </c>
      <c r="L533" t="str">
        <f>+IF(E533="","",VLOOKUP(E533,CATALOGO!G:I,3,0))</f>
        <v/>
      </c>
      <c r="M533" s="87" t="str">
        <f>IF('Consulta1'!I4625="","",'Consulta1'!I4625)</f>
        <v/>
      </c>
      <c r="N533" s="88" t="str">
        <f>IF('Consulta1'!J4625="","",'Consulta1'!J4625)</f>
        <v/>
      </c>
    </row>
    <row r="534" spans="1:14" ht="18.75" x14ac:dyDescent="0.25">
      <c r="A534" s="82" t="str">
        <f>IF('Consulta1'!A4626="","",'Consulta1'!A4626)</f>
        <v/>
      </c>
      <c r="B534" s="82" t="str">
        <f>IF('Consulta1'!B4626="","",'Consulta1'!B4626)</f>
        <v/>
      </c>
      <c r="C534" s="83" t="str">
        <f>IF('Consulta1'!C4626="","",'Consulta1'!C4626)</f>
        <v/>
      </c>
      <c r="D534" s="84" t="str">
        <f>IF('Consulta1'!D4626="","",'Consulta1'!D4626)</f>
        <v/>
      </c>
      <c r="E534" s="82" t="str">
        <f>IF('Consulta1'!E4626="","",'Consulta1'!E4626)</f>
        <v/>
      </c>
      <c r="F534" t="str">
        <f>+IF(E534="","",VLOOKUP(E534,CATALOGO!G:L,6,0))</f>
        <v/>
      </c>
      <c r="G534" s="85" t="str">
        <f>IF('Consulta1'!F4626="","",'Consulta1'!F4626)</f>
        <v/>
      </c>
      <c r="H534" s="85" t="str">
        <f>IF('Consulta1'!G4626="","",'Consulta1'!G4626)</f>
        <v/>
      </c>
      <c r="I534" s="86" t="str">
        <f>IF('Consulta1'!H4626="","",'Consulta1'!H4626)</f>
        <v/>
      </c>
      <c r="J534" t="str">
        <f t="shared" si="8"/>
        <v/>
      </c>
      <c r="K534" t="str">
        <f>+IF(E534="","",VLOOKUP(E534,CATALOGO!G:I,2,0))</f>
        <v/>
      </c>
      <c r="L534" t="str">
        <f>+IF(E534="","",VLOOKUP(E534,CATALOGO!G:I,3,0))</f>
        <v/>
      </c>
      <c r="M534" s="87" t="str">
        <f>IF('Consulta1'!I4626="","",'Consulta1'!I4626)</f>
        <v/>
      </c>
      <c r="N534" s="88" t="str">
        <f>IF('Consulta1'!J4626="","",'Consulta1'!J4626)</f>
        <v/>
      </c>
    </row>
    <row r="535" spans="1:14" ht="18.75" x14ac:dyDescent="0.25">
      <c r="A535" s="82" t="str">
        <f>IF('Consulta1'!A4627="","",'Consulta1'!A4627)</f>
        <v/>
      </c>
      <c r="B535" s="82" t="str">
        <f>IF('Consulta1'!B4627="","",'Consulta1'!B4627)</f>
        <v/>
      </c>
      <c r="C535" s="83" t="str">
        <f>IF('Consulta1'!C4627="","",'Consulta1'!C4627)</f>
        <v/>
      </c>
      <c r="D535" s="84" t="str">
        <f>IF('Consulta1'!D4627="","",'Consulta1'!D4627)</f>
        <v/>
      </c>
      <c r="E535" s="82" t="str">
        <f>IF('Consulta1'!E4627="","",'Consulta1'!E4627)</f>
        <v/>
      </c>
      <c r="F535" t="str">
        <f>+IF(E535="","",VLOOKUP(E535,CATALOGO!G:L,6,0))</f>
        <v/>
      </c>
      <c r="G535" s="85" t="str">
        <f>IF('Consulta1'!F4627="","",'Consulta1'!F4627)</f>
        <v/>
      </c>
      <c r="H535" s="85" t="str">
        <f>IF('Consulta1'!G4627="","",'Consulta1'!G4627)</f>
        <v/>
      </c>
      <c r="I535" s="86" t="str">
        <f>IF('Consulta1'!H4627="","",'Consulta1'!H4627)</f>
        <v/>
      </c>
      <c r="J535" t="str">
        <f t="shared" si="8"/>
        <v/>
      </c>
      <c r="K535" t="str">
        <f>+IF(E535="","",VLOOKUP(E535,CATALOGO!G:I,2,0))</f>
        <v/>
      </c>
      <c r="L535" t="str">
        <f>+IF(E535="","",VLOOKUP(E535,CATALOGO!G:I,3,0))</f>
        <v/>
      </c>
      <c r="M535" s="87" t="str">
        <f>IF('Consulta1'!I4627="","",'Consulta1'!I4627)</f>
        <v/>
      </c>
      <c r="N535" s="88" t="str">
        <f>IF('Consulta1'!J4627="","",'Consulta1'!J4627)</f>
        <v/>
      </c>
    </row>
    <row r="536" spans="1:14" ht="18.75" x14ac:dyDescent="0.25">
      <c r="A536" s="82" t="str">
        <f>IF('Consulta1'!A4628="","",'Consulta1'!A4628)</f>
        <v/>
      </c>
      <c r="B536" s="82" t="str">
        <f>IF('Consulta1'!B4628="","",'Consulta1'!B4628)</f>
        <v/>
      </c>
      <c r="C536" s="83" t="str">
        <f>IF('Consulta1'!C4628="","",'Consulta1'!C4628)</f>
        <v/>
      </c>
      <c r="D536" s="84" t="str">
        <f>IF('Consulta1'!D4628="","",'Consulta1'!D4628)</f>
        <v/>
      </c>
      <c r="E536" s="82" t="str">
        <f>IF('Consulta1'!E4628="","",'Consulta1'!E4628)</f>
        <v/>
      </c>
      <c r="F536" t="str">
        <f>+IF(E536="","",VLOOKUP(E536,CATALOGO!G:L,6,0))</f>
        <v/>
      </c>
      <c r="G536" s="85" t="str">
        <f>IF('Consulta1'!F4628="","",'Consulta1'!F4628)</f>
        <v/>
      </c>
      <c r="H536" s="85" t="str">
        <f>IF('Consulta1'!G4628="","",'Consulta1'!G4628)</f>
        <v/>
      </c>
      <c r="I536" s="86" t="str">
        <f>IF('Consulta1'!H4628="","",'Consulta1'!H4628)</f>
        <v/>
      </c>
      <c r="J536" t="str">
        <f t="shared" si="8"/>
        <v/>
      </c>
      <c r="K536" t="str">
        <f>+IF(E536="","",VLOOKUP(E536,CATALOGO!G:I,2,0))</f>
        <v/>
      </c>
      <c r="L536" t="str">
        <f>+IF(E536="","",VLOOKUP(E536,CATALOGO!G:I,3,0))</f>
        <v/>
      </c>
      <c r="M536" s="87" t="str">
        <f>IF('Consulta1'!I4628="","",'Consulta1'!I4628)</f>
        <v/>
      </c>
      <c r="N536" s="88" t="str">
        <f>IF('Consulta1'!J4628="","",'Consulta1'!J4628)</f>
        <v/>
      </c>
    </row>
    <row r="537" spans="1:14" ht="18.75" x14ac:dyDescent="0.25">
      <c r="A537" s="82" t="str">
        <f>IF('Consulta1'!A4629="","",'Consulta1'!A4629)</f>
        <v/>
      </c>
      <c r="B537" s="82" t="str">
        <f>IF('Consulta1'!B4629="","",'Consulta1'!B4629)</f>
        <v/>
      </c>
      <c r="C537" s="83" t="str">
        <f>IF('Consulta1'!C4629="","",'Consulta1'!C4629)</f>
        <v/>
      </c>
      <c r="D537" s="84" t="str">
        <f>IF('Consulta1'!D4629="","",'Consulta1'!D4629)</f>
        <v/>
      </c>
      <c r="E537" s="82" t="str">
        <f>IF('Consulta1'!E4629="","",'Consulta1'!E4629)</f>
        <v/>
      </c>
      <c r="F537" t="str">
        <f>+IF(E537="","",VLOOKUP(E537,CATALOGO!G:L,6,0))</f>
        <v/>
      </c>
      <c r="G537" s="85" t="str">
        <f>IF('Consulta1'!F4629="","",'Consulta1'!F4629)</f>
        <v/>
      </c>
      <c r="H537" s="85" t="str">
        <f>IF('Consulta1'!G4629="","",'Consulta1'!G4629)</f>
        <v/>
      </c>
      <c r="I537" s="86" t="str">
        <f>IF('Consulta1'!H4629="","",'Consulta1'!H4629)</f>
        <v/>
      </c>
      <c r="J537" t="str">
        <f t="shared" si="8"/>
        <v/>
      </c>
      <c r="K537" t="str">
        <f>+IF(E537="","",VLOOKUP(E537,CATALOGO!G:I,2,0))</f>
        <v/>
      </c>
      <c r="L537" t="str">
        <f>+IF(E537="","",VLOOKUP(E537,CATALOGO!G:I,3,0))</f>
        <v/>
      </c>
      <c r="M537" s="87" t="str">
        <f>IF('Consulta1'!I4629="","",'Consulta1'!I4629)</f>
        <v/>
      </c>
      <c r="N537" s="88" t="str">
        <f>IF('Consulta1'!J4629="","",'Consulta1'!J4629)</f>
        <v/>
      </c>
    </row>
    <row r="538" spans="1:14" ht="18.75" x14ac:dyDescent="0.25">
      <c r="A538" s="82" t="str">
        <f>IF('Consulta1'!A4630="","",'Consulta1'!A4630)</f>
        <v/>
      </c>
      <c r="B538" s="82" t="str">
        <f>IF('Consulta1'!B4630="","",'Consulta1'!B4630)</f>
        <v/>
      </c>
      <c r="C538" s="83" t="str">
        <f>IF('Consulta1'!C4630="","",'Consulta1'!C4630)</f>
        <v/>
      </c>
      <c r="D538" s="84" t="str">
        <f>IF('Consulta1'!D4630="","",'Consulta1'!D4630)</f>
        <v/>
      </c>
      <c r="E538" s="82" t="str">
        <f>IF('Consulta1'!E4630="","",'Consulta1'!E4630)</f>
        <v/>
      </c>
      <c r="F538" t="str">
        <f>+IF(E538="","",VLOOKUP(E538,CATALOGO!G:L,6,0))</f>
        <v/>
      </c>
      <c r="G538" s="85" t="str">
        <f>IF('Consulta1'!F4630="","",'Consulta1'!F4630)</f>
        <v/>
      </c>
      <c r="H538" s="85" t="str">
        <f>IF('Consulta1'!G4630="","",'Consulta1'!G4630)</f>
        <v/>
      </c>
      <c r="I538" s="86" t="str">
        <f>IF('Consulta1'!H4630="","",'Consulta1'!H4630)</f>
        <v/>
      </c>
      <c r="J538" t="str">
        <f t="shared" si="8"/>
        <v/>
      </c>
      <c r="K538" t="str">
        <f>+IF(E538="","",VLOOKUP(E538,CATALOGO!G:I,2,0))</f>
        <v/>
      </c>
      <c r="L538" t="str">
        <f>+IF(E538="","",VLOOKUP(E538,CATALOGO!G:I,3,0))</f>
        <v/>
      </c>
      <c r="M538" s="87" t="str">
        <f>IF('Consulta1'!I4630="","",'Consulta1'!I4630)</f>
        <v/>
      </c>
      <c r="N538" s="88" t="str">
        <f>IF('Consulta1'!J4630="","",'Consulta1'!J4630)</f>
        <v/>
      </c>
    </row>
    <row r="539" spans="1:14" ht="18.75" x14ac:dyDescent="0.25">
      <c r="A539" s="82" t="str">
        <f>IF('Consulta1'!A4631="","",'Consulta1'!A4631)</f>
        <v/>
      </c>
      <c r="B539" s="82" t="str">
        <f>IF('Consulta1'!B4631="","",'Consulta1'!B4631)</f>
        <v/>
      </c>
      <c r="C539" s="83" t="str">
        <f>IF('Consulta1'!C4631="","",'Consulta1'!C4631)</f>
        <v/>
      </c>
      <c r="D539" s="84" t="str">
        <f>IF('Consulta1'!D4631="","",'Consulta1'!D4631)</f>
        <v/>
      </c>
      <c r="E539" s="82" t="str">
        <f>IF('Consulta1'!E4631="","",'Consulta1'!E4631)</f>
        <v/>
      </c>
      <c r="F539" t="str">
        <f>+IF(E539="","",VLOOKUP(E539,CATALOGO!G:L,6,0))</f>
        <v/>
      </c>
      <c r="G539" s="85" t="str">
        <f>IF('Consulta1'!F4631="","",'Consulta1'!F4631)</f>
        <v/>
      </c>
      <c r="H539" s="85" t="str">
        <f>IF('Consulta1'!G4631="","",'Consulta1'!G4631)</f>
        <v/>
      </c>
      <c r="I539" s="86" t="str">
        <f>IF('Consulta1'!H4631="","",'Consulta1'!H4631)</f>
        <v/>
      </c>
      <c r="J539" t="str">
        <f t="shared" si="8"/>
        <v/>
      </c>
      <c r="K539" t="str">
        <f>+IF(E539="","",VLOOKUP(E539,CATALOGO!G:I,2,0))</f>
        <v/>
      </c>
      <c r="L539" t="str">
        <f>+IF(E539="","",VLOOKUP(E539,CATALOGO!G:I,3,0))</f>
        <v/>
      </c>
      <c r="M539" s="87" t="str">
        <f>IF('Consulta1'!I4631="","",'Consulta1'!I4631)</f>
        <v/>
      </c>
      <c r="N539" s="88" t="str">
        <f>IF('Consulta1'!J4631="","",'Consulta1'!J4631)</f>
        <v/>
      </c>
    </row>
    <row r="540" spans="1:14" ht="18.75" x14ac:dyDescent="0.25">
      <c r="A540" s="82" t="str">
        <f>IF('Consulta1'!A4632="","",'Consulta1'!A4632)</f>
        <v/>
      </c>
      <c r="B540" s="82" t="str">
        <f>IF('Consulta1'!B4632="","",'Consulta1'!B4632)</f>
        <v/>
      </c>
      <c r="C540" s="83" t="str">
        <f>IF('Consulta1'!C4632="","",'Consulta1'!C4632)</f>
        <v/>
      </c>
      <c r="D540" s="84" t="str">
        <f>IF('Consulta1'!D4632="","",'Consulta1'!D4632)</f>
        <v/>
      </c>
      <c r="E540" s="82" t="str">
        <f>IF('Consulta1'!E4632="","",'Consulta1'!E4632)</f>
        <v/>
      </c>
      <c r="F540" t="str">
        <f>+IF(E540="","",VLOOKUP(E540,CATALOGO!G:L,6,0))</f>
        <v/>
      </c>
      <c r="G540" s="85" t="str">
        <f>IF('Consulta1'!F4632="","",'Consulta1'!F4632)</f>
        <v/>
      </c>
      <c r="H540" s="85" t="str">
        <f>IF('Consulta1'!G4632="","",'Consulta1'!G4632)</f>
        <v/>
      </c>
      <c r="I540" s="86" t="str">
        <f>IF('Consulta1'!H4632="","",'Consulta1'!H4632)</f>
        <v/>
      </c>
      <c r="J540" t="str">
        <f t="shared" si="8"/>
        <v/>
      </c>
      <c r="K540" t="str">
        <f>+IF(E540="","",VLOOKUP(E540,CATALOGO!G:I,2,0))</f>
        <v/>
      </c>
      <c r="L540" t="str">
        <f>+IF(E540="","",VLOOKUP(E540,CATALOGO!G:I,3,0))</f>
        <v/>
      </c>
      <c r="M540" s="87" t="str">
        <f>IF('Consulta1'!I4632="","",'Consulta1'!I4632)</f>
        <v/>
      </c>
      <c r="N540" s="88" t="str">
        <f>IF('Consulta1'!J4632="","",'Consulta1'!J4632)</f>
        <v/>
      </c>
    </row>
    <row r="541" spans="1:14" ht="18.75" x14ac:dyDescent="0.25">
      <c r="A541" s="82" t="str">
        <f>IF('Consulta1'!A4633="","",'Consulta1'!A4633)</f>
        <v/>
      </c>
      <c r="B541" s="82" t="str">
        <f>IF('Consulta1'!B4633="","",'Consulta1'!B4633)</f>
        <v/>
      </c>
      <c r="C541" s="83" t="str">
        <f>IF('Consulta1'!C4633="","",'Consulta1'!C4633)</f>
        <v/>
      </c>
      <c r="D541" s="84" t="str">
        <f>IF('Consulta1'!D4633="","",'Consulta1'!D4633)</f>
        <v/>
      </c>
      <c r="E541" s="82" t="str">
        <f>IF('Consulta1'!E4633="","",'Consulta1'!E4633)</f>
        <v/>
      </c>
      <c r="F541" t="str">
        <f>+IF(E541="","",VLOOKUP(E541,CATALOGO!G:L,6,0))</f>
        <v/>
      </c>
      <c r="G541" s="85" t="str">
        <f>IF('Consulta1'!F4633="","",'Consulta1'!F4633)</f>
        <v/>
      </c>
      <c r="H541" s="85" t="str">
        <f>IF('Consulta1'!G4633="","",'Consulta1'!G4633)</f>
        <v/>
      </c>
      <c r="I541" s="86" t="str">
        <f>IF('Consulta1'!H4633="","",'Consulta1'!H4633)</f>
        <v/>
      </c>
      <c r="J541" t="str">
        <f t="shared" si="8"/>
        <v/>
      </c>
      <c r="K541" t="str">
        <f>+IF(E541="","",VLOOKUP(E541,CATALOGO!G:I,2,0))</f>
        <v/>
      </c>
      <c r="L541" t="str">
        <f>+IF(E541="","",VLOOKUP(E541,CATALOGO!G:I,3,0))</f>
        <v/>
      </c>
      <c r="M541" s="87" t="str">
        <f>IF('Consulta1'!I4633="","",'Consulta1'!I4633)</f>
        <v/>
      </c>
      <c r="N541" s="88" t="str">
        <f>IF('Consulta1'!J4633="","",'Consulta1'!J4633)</f>
        <v/>
      </c>
    </row>
    <row r="542" spans="1:14" ht="18.75" x14ac:dyDescent="0.25">
      <c r="A542" s="82" t="str">
        <f>IF('Consulta1'!A4634="","",'Consulta1'!A4634)</f>
        <v/>
      </c>
      <c r="B542" s="82" t="str">
        <f>IF('Consulta1'!B4634="","",'Consulta1'!B4634)</f>
        <v/>
      </c>
      <c r="C542" s="83" t="str">
        <f>IF('Consulta1'!C4634="","",'Consulta1'!C4634)</f>
        <v/>
      </c>
      <c r="D542" s="84" t="str">
        <f>IF('Consulta1'!D4634="","",'Consulta1'!D4634)</f>
        <v/>
      </c>
      <c r="E542" s="82" t="str">
        <f>IF('Consulta1'!E4634="","",'Consulta1'!E4634)</f>
        <v/>
      </c>
      <c r="F542" t="str">
        <f>+IF(E542="","",VLOOKUP(E542,CATALOGO!G:L,6,0))</f>
        <v/>
      </c>
      <c r="G542" s="85" t="str">
        <f>IF('Consulta1'!F4634="","",'Consulta1'!F4634)</f>
        <v/>
      </c>
      <c r="H542" s="85" t="str">
        <f>IF('Consulta1'!G4634="","",'Consulta1'!G4634)</f>
        <v/>
      </c>
      <c r="I542" s="86" t="str">
        <f>IF('Consulta1'!H4634="","",'Consulta1'!H4634)</f>
        <v/>
      </c>
      <c r="J542" t="str">
        <f t="shared" si="8"/>
        <v/>
      </c>
      <c r="K542" t="str">
        <f>+IF(E542="","",VLOOKUP(E542,CATALOGO!G:I,2,0))</f>
        <v/>
      </c>
      <c r="L542" t="str">
        <f>+IF(E542="","",VLOOKUP(E542,CATALOGO!G:I,3,0))</f>
        <v/>
      </c>
      <c r="M542" s="87" t="str">
        <f>IF('Consulta1'!I4634="","",'Consulta1'!I4634)</f>
        <v/>
      </c>
      <c r="N542" s="88" t="str">
        <f>IF('Consulta1'!J4634="","",'Consulta1'!J4634)</f>
        <v/>
      </c>
    </row>
    <row r="543" spans="1:14" ht="18.75" x14ac:dyDescent="0.25">
      <c r="A543" s="82" t="str">
        <f>IF('Consulta1'!A4635="","",'Consulta1'!A4635)</f>
        <v/>
      </c>
      <c r="B543" s="82" t="str">
        <f>IF('Consulta1'!B4635="","",'Consulta1'!B4635)</f>
        <v/>
      </c>
      <c r="C543" s="83" t="str">
        <f>IF('Consulta1'!C4635="","",'Consulta1'!C4635)</f>
        <v/>
      </c>
      <c r="D543" s="84" t="str">
        <f>IF('Consulta1'!D4635="","",'Consulta1'!D4635)</f>
        <v/>
      </c>
      <c r="E543" s="82" t="str">
        <f>IF('Consulta1'!E4635="","",'Consulta1'!E4635)</f>
        <v/>
      </c>
      <c r="F543" t="str">
        <f>+IF(E543="","",VLOOKUP(E543,CATALOGO!G:L,6,0))</f>
        <v/>
      </c>
      <c r="G543" s="85" t="str">
        <f>IF('Consulta1'!F4635="","",'Consulta1'!F4635)</f>
        <v/>
      </c>
      <c r="H543" s="85" t="str">
        <f>IF('Consulta1'!G4635="","",'Consulta1'!G4635)</f>
        <v/>
      </c>
      <c r="I543" s="86" t="str">
        <f>IF('Consulta1'!H4635="","",'Consulta1'!H4635)</f>
        <v/>
      </c>
      <c r="J543" t="str">
        <f t="shared" si="8"/>
        <v/>
      </c>
      <c r="K543" t="str">
        <f>+IF(E543="","",VLOOKUP(E543,CATALOGO!G:I,2,0))</f>
        <v/>
      </c>
      <c r="L543" t="str">
        <f>+IF(E543="","",VLOOKUP(E543,CATALOGO!G:I,3,0))</f>
        <v/>
      </c>
      <c r="M543" s="87" t="str">
        <f>IF('Consulta1'!I4635="","",'Consulta1'!I4635)</f>
        <v/>
      </c>
      <c r="N543" s="88" t="str">
        <f>IF('Consulta1'!J4635="","",'Consulta1'!J4635)</f>
        <v/>
      </c>
    </row>
    <row r="544" spans="1:14" ht="18.75" x14ac:dyDescent="0.25">
      <c r="A544" s="82" t="str">
        <f>IF('Consulta1'!A4636="","",'Consulta1'!A4636)</f>
        <v/>
      </c>
      <c r="B544" s="82" t="str">
        <f>IF('Consulta1'!B4636="","",'Consulta1'!B4636)</f>
        <v/>
      </c>
      <c r="C544" s="83" t="str">
        <f>IF('Consulta1'!C4636="","",'Consulta1'!C4636)</f>
        <v/>
      </c>
      <c r="D544" s="84" t="str">
        <f>IF('Consulta1'!D4636="","",'Consulta1'!D4636)</f>
        <v/>
      </c>
      <c r="E544" s="82" t="str">
        <f>IF('Consulta1'!E4636="","",'Consulta1'!E4636)</f>
        <v/>
      </c>
      <c r="F544" t="str">
        <f>+IF(E544="","",VLOOKUP(E544,CATALOGO!G:L,6,0))</f>
        <v/>
      </c>
      <c r="G544" s="85" t="str">
        <f>IF('Consulta1'!F4636="","",'Consulta1'!F4636)</f>
        <v/>
      </c>
      <c r="H544" s="85" t="str">
        <f>IF('Consulta1'!G4636="","",'Consulta1'!G4636)</f>
        <v/>
      </c>
      <c r="I544" s="86" t="str">
        <f>IF('Consulta1'!H4636="","",'Consulta1'!H4636)</f>
        <v/>
      </c>
      <c r="J544" t="str">
        <f t="shared" si="8"/>
        <v/>
      </c>
      <c r="K544" t="str">
        <f>+IF(E544="","",VLOOKUP(E544,CATALOGO!G:I,2,0))</f>
        <v/>
      </c>
      <c r="L544" t="str">
        <f>+IF(E544="","",VLOOKUP(E544,CATALOGO!G:I,3,0))</f>
        <v/>
      </c>
      <c r="M544" s="87" t="str">
        <f>IF('Consulta1'!I4636="","",'Consulta1'!I4636)</f>
        <v/>
      </c>
      <c r="N544" s="88" t="str">
        <f>IF('Consulta1'!J4636="","",'Consulta1'!J4636)</f>
        <v/>
      </c>
    </row>
    <row r="545" spans="1:14" ht="18.75" x14ac:dyDescent="0.25">
      <c r="A545" s="82" t="str">
        <f>IF('Consulta1'!A4637="","",'Consulta1'!A4637)</f>
        <v/>
      </c>
      <c r="B545" s="82" t="str">
        <f>IF('Consulta1'!B4637="","",'Consulta1'!B4637)</f>
        <v/>
      </c>
      <c r="C545" s="83" t="str">
        <f>IF('Consulta1'!C4637="","",'Consulta1'!C4637)</f>
        <v/>
      </c>
      <c r="D545" s="84" t="str">
        <f>IF('Consulta1'!D4637="","",'Consulta1'!D4637)</f>
        <v/>
      </c>
      <c r="E545" s="82" t="str">
        <f>IF('Consulta1'!E4637="","",'Consulta1'!E4637)</f>
        <v/>
      </c>
      <c r="F545" t="str">
        <f>+IF(E545="","",VLOOKUP(E545,CATALOGO!G:L,6,0))</f>
        <v/>
      </c>
      <c r="G545" s="85" t="str">
        <f>IF('Consulta1'!F4637="","",'Consulta1'!F4637)</f>
        <v/>
      </c>
      <c r="H545" s="85" t="str">
        <f>IF('Consulta1'!G4637="","",'Consulta1'!G4637)</f>
        <v/>
      </c>
      <c r="I545" s="86" t="str">
        <f>IF('Consulta1'!H4637="","",'Consulta1'!H4637)</f>
        <v/>
      </c>
      <c r="J545" t="str">
        <f t="shared" si="8"/>
        <v/>
      </c>
      <c r="K545" t="str">
        <f>+IF(E545="","",VLOOKUP(E545,CATALOGO!G:I,2,0))</f>
        <v/>
      </c>
      <c r="L545" t="str">
        <f>+IF(E545="","",VLOOKUP(E545,CATALOGO!G:I,3,0))</f>
        <v/>
      </c>
      <c r="M545" s="87" t="str">
        <f>IF('Consulta1'!I4637="","",'Consulta1'!I4637)</f>
        <v/>
      </c>
      <c r="N545" s="88" t="str">
        <f>IF('Consulta1'!J4637="","",'Consulta1'!J4637)</f>
        <v/>
      </c>
    </row>
    <row r="546" spans="1:14" ht="18.75" x14ac:dyDescent="0.25">
      <c r="A546" s="82" t="str">
        <f>IF('Consulta1'!A4638="","",'Consulta1'!A4638)</f>
        <v/>
      </c>
      <c r="B546" s="82" t="str">
        <f>IF('Consulta1'!B4638="","",'Consulta1'!B4638)</f>
        <v/>
      </c>
      <c r="C546" s="83" t="str">
        <f>IF('Consulta1'!C4638="","",'Consulta1'!C4638)</f>
        <v/>
      </c>
      <c r="D546" s="84" t="str">
        <f>IF('Consulta1'!D4638="","",'Consulta1'!D4638)</f>
        <v/>
      </c>
      <c r="E546" s="82" t="str">
        <f>IF('Consulta1'!E4638="","",'Consulta1'!E4638)</f>
        <v/>
      </c>
      <c r="F546" t="str">
        <f>+IF(E546="","",VLOOKUP(E546,CATALOGO!G:L,6,0))</f>
        <v/>
      </c>
      <c r="G546" s="85" t="str">
        <f>IF('Consulta1'!F4638="","",'Consulta1'!F4638)</f>
        <v/>
      </c>
      <c r="H546" s="85" t="str">
        <f>IF('Consulta1'!G4638="","",'Consulta1'!G4638)</f>
        <v/>
      </c>
      <c r="I546" s="86" t="str">
        <f>IF('Consulta1'!H4638="","",'Consulta1'!H4638)</f>
        <v/>
      </c>
      <c r="J546" t="str">
        <f t="shared" si="8"/>
        <v/>
      </c>
      <c r="K546" t="str">
        <f>+IF(E546="","",VLOOKUP(E546,CATALOGO!G:I,2,0))</f>
        <v/>
      </c>
      <c r="L546" t="str">
        <f>+IF(E546="","",VLOOKUP(E546,CATALOGO!G:I,3,0))</f>
        <v/>
      </c>
      <c r="M546" s="87" t="str">
        <f>IF('Consulta1'!I4638="","",'Consulta1'!I4638)</f>
        <v/>
      </c>
      <c r="N546" s="88" t="str">
        <f>IF('Consulta1'!J4638="","",'Consulta1'!J4638)</f>
        <v/>
      </c>
    </row>
    <row r="547" spans="1:14" ht="18.75" x14ac:dyDescent="0.25">
      <c r="A547" s="82" t="str">
        <f>IF('Consulta1'!A4639="","",'Consulta1'!A4639)</f>
        <v/>
      </c>
      <c r="B547" s="82" t="str">
        <f>IF('Consulta1'!B4639="","",'Consulta1'!B4639)</f>
        <v/>
      </c>
      <c r="C547" s="83" t="str">
        <f>IF('Consulta1'!C4639="","",'Consulta1'!C4639)</f>
        <v/>
      </c>
      <c r="D547" s="84" t="str">
        <f>IF('Consulta1'!D4639="","",'Consulta1'!D4639)</f>
        <v/>
      </c>
      <c r="E547" s="82" t="str">
        <f>IF('Consulta1'!E4639="","",'Consulta1'!E4639)</f>
        <v/>
      </c>
      <c r="F547" t="str">
        <f>+IF(E547="","",VLOOKUP(E547,CATALOGO!G:L,6,0))</f>
        <v/>
      </c>
      <c r="G547" s="85" t="str">
        <f>IF('Consulta1'!F4639="","",'Consulta1'!F4639)</f>
        <v/>
      </c>
      <c r="H547" s="85" t="str">
        <f>IF('Consulta1'!G4639="","",'Consulta1'!G4639)</f>
        <v/>
      </c>
      <c r="I547" s="86" t="str">
        <f>IF('Consulta1'!H4639="","",'Consulta1'!H4639)</f>
        <v/>
      </c>
      <c r="J547" t="str">
        <f t="shared" si="8"/>
        <v/>
      </c>
      <c r="K547" t="str">
        <f>+IF(E547="","",VLOOKUP(E547,CATALOGO!G:I,2,0))</f>
        <v/>
      </c>
      <c r="L547" t="str">
        <f>+IF(E547="","",VLOOKUP(E547,CATALOGO!G:I,3,0))</f>
        <v/>
      </c>
      <c r="M547" s="87" t="str">
        <f>IF('Consulta1'!I4639="","",'Consulta1'!I4639)</f>
        <v/>
      </c>
      <c r="N547" s="88" t="str">
        <f>IF('Consulta1'!J4639="","",'Consulta1'!J4639)</f>
        <v/>
      </c>
    </row>
    <row r="548" spans="1:14" ht="18.75" x14ac:dyDescent="0.25">
      <c r="A548" s="82" t="str">
        <f>IF('Consulta1'!A4640="","",'Consulta1'!A4640)</f>
        <v/>
      </c>
      <c r="B548" s="82" t="str">
        <f>IF('Consulta1'!B4640="","",'Consulta1'!B4640)</f>
        <v/>
      </c>
      <c r="C548" s="83" t="str">
        <f>IF('Consulta1'!C4640="","",'Consulta1'!C4640)</f>
        <v/>
      </c>
      <c r="D548" s="84" t="str">
        <f>IF('Consulta1'!D4640="","",'Consulta1'!D4640)</f>
        <v/>
      </c>
      <c r="E548" s="82" t="str">
        <f>IF('Consulta1'!E4640="","",'Consulta1'!E4640)</f>
        <v/>
      </c>
      <c r="F548" t="str">
        <f>+IF(E548="","",VLOOKUP(E548,CATALOGO!G:L,6,0))</f>
        <v/>
      </c>
      <c r="G548" s="85" t="str">
        <f>IF('Consulta1'!F4640="","",'Consulta1'!F4640)</f>
        <v/>
      </c>
      <c r="H548" s="85" t="str">
        <f>IF('Consulta1'!G4640="","",'Consulta1'!G4640)</f>
        <v/>
      </c>
      <c r="I548" s="86" t="str">
        <f>IF('Consulta1'!H4640="","",'Consulta1'!H4640)</f>
        <v/>
      </c>
      <c r="J548" t="str">
        <f t="shared" si="8"/>
        <v/>
      </c>
      <c r="K548" t="str">
        <f>+IF(E548="","",VLOOKUP(E548,CATALOGO!G:I,2,0))</f>
        <v/>
      </c>
      <c r="L548" t="str">
        <f>+IF(E548="","",VLOOKUP(E548,CATALOGO!G:I,3,0))</f>
        <v/>
      </c>
      <c r="M548" s="87" t="str">
        <f>IF('Consulta1'!I4640="","",'Consulta1'!I4640)</f>
        <v/>
      </c>
      <c r="N548" s="88" t="str">
        <f>IF('Consulta1'!J4640="","",'Consulta1'!J4640)</f>
        <v/>
      </c>
    </row>
    <row r="549" spans="1:14" ht="18.75" x14ac:dyDescent="0.25">
      <c r="A549" s="82" t="str">
        <f>IF('Consulta1'!A4641="","",'Consulta1'!A4641)</f>
        <v/>
      </c>
      <c r="B549" s="82" t="str">
        <f>IF('Consulta1'!B4641="","",'Consulta1'!B4641)</f>
        <v/>
      </c>
      <c r="C549" s="83" t="str">
        <f>IF('Consulta1'!C4641="","",'Consulta1'!C4641)</f>
        <v/>
      </c>
      <c r="D549" s="84" t="str">
        <f>IF('Consulta1'!D4641="","",'Consulta1'!D4641)</f>
        <v/>
      </c>
      <c r="E549" s="82" t="str">
        <f>IF('Consulta1'!E4641="","",'Consulta1'!E4641)</f>
        <v/>
      </c>
      <c r="F549" t="str">
        <f>+IF(E549="","",VLOOKUP(E549,CATALOGO!G:L,6,0))</f>
        <v/>
      </c>
      <c r="G549" s="85" t="str">
        <f>IF('Consulta1'!F4641="","",'Consulta1'!F4641)</f>
        <v/>
      </c>
      <c r="H549" s="85" t="str">
        <f>IF('Consulta1'!G4641="","",'Consulta1'!G4641)</f>
        <v/>
      </c>
      <c r="I549" s="86" t="str">
        <f>IF('Consulta1'!H4641="","",'Consulta1'!H4641)</f>
        <v/>
      </c>
      <c r="J549" t="str">
        <f t="shared" si="8"/>
        <v/>
      </c>
      <c r="K549" t="str">
        <f>+IF(E549="","",VLOOKUP(E549,CATALOGO!G:I,2,0))</f>
        <v/>
      </c>
      <c r="L549" t="str">
        <f>+IF(E549="","",VLOOKUP(E549,CATALOGO!G:I,3,0))</f>
        <v/>
      </c>
      <c r="M549" s="87" t="str">
        <f>IF('Consulta1'!I4641="","",'Consulta1'!I4641)</f>
        <v/>
      </c>
      <c r="N549" s="88" t="str">
        <f>IF('Consulta1'!J4641="","",'Consulta1'!J4641)</f>
        <v/>
      </c>
    </row>
    <row r="550" spans="1:14" ht="18.75" x14ac:dyDescent="0.25">
      <c r="A550" s="82" t="str">
        <f>IF('Consulta1'!A4642="","",'Consulta1'!A4642)</f>
        <v/>
      </c>
      <c r="B550" s="82" t="str">
        <f>IF('Consulta1'!B4642="","",'Consulta1'!B4642)</f>
        <v/>
      </c>
      <c r="C550" s="83" t="str">
        <f>IF('Consulta1'!C4642="","",'Consulta1'!C4642)</f>
        <v/>
      </c>
      <c r="D550" s="84" t="str">
        <f>IF('Consulta1'!D4642="","",'Consulta1'!D4642)</f>
        <v/>
      </c>
      <c r="E550" s="82" t="str">
        <f>IF('Consulta1'!E4642="","",'Consulta1'!E4642)</f>
        <v/>
      </c>
      <c r="F550" t="str">
        <f>+IF(E550="","",VLOOKUP(E550,CATALOGO!G:L,6,0))</f>
        <v/>
      </c>
      <c r="G550" s="85" t="str">
        <f>IF('Consulta1'!F4642="","",'Consulta1'!F4642)</f>
        <v/>
      </c>
      <c r="H550" s="85" t="str">
        <f>IF('Consulta1'!G4642="","",'Consulta1'!G4642)</f>
        <v/>
      </c>
      <c r="I550" s="86" t="str">
        <f>IF('Consulta1'!H4642="","",'Consulta1'!H4642)</f>
        <v/>
      </c>
      <c r="J550" t="str">
        <f t="shared" si="8"/>
        <v/>
      </c>
      <c r="K550" t="str">
        <f>+IF(E550="","",VLOOKUP(E550,CATALOGO!G:I,2,0))</f>
        <v/>
      </c>
      <c r="L550" t="str">
        <f>+IF(E550="","",VLOOKUP(E550,CATALOGO!G:I,3,0))</f>
        <v/>
      </c>
      <c r="M550" s="87" t="str">
        <f>IF('Consulta1'!I4642="","",'Consulta1'!I4642)</f>
        <v/>
      </c>
      <c r="N550" s="88" t="str">
        <f>IF('Consulta1'!J4642="","",'Consulta1'!J4642)</f>
        <v/>
      </c>
    </row>
    <row r="551" spans="1:14" ht="18.75" x14ac:dyDescent="0.25">
      <c r="A551" s="82" t="str">
        <f>IF('Consulta1'!A4643="","",'Consulta1'!A4643)</f>
        <v/>
      </c>
      <c r="B551" s="82" t="str">
        <f>IF('Consulta1'!B4643="","",'Consulta1'!B4643)</f>
        <v/>
      </c>
      <c r="C551" s="83" t="str">
        <f>IF('Consulta1'!C4643="","",'Consulta1'!C4643)</f>
        <v/>
      </c>
      <c r="D551" s="84" t="str">
        <f>IF('Consulta1'!D4643="","",'Consulta1'!D4643)</f>
        <v/>
      </c>
      <c r="E551" s="82" t="str">
        <f>IF('Consulta1'!E4643="","",'Consulta1'!E4643)</f>
        <v/>
      </c>
      <c r="F551" t="str">
        <f>+IF(E551="","",VLOOKUP(E551,CATALOGO!G:L,6,0))</f>
        <v/>
      </c>
      <c r="G551" s="85" t="str">
        <f>IF('Consulta1'!F4643="","",'Consulta1'!F4643)</f>
        <v/>
      </c>
      <c r="H551" s="85" t="str">
        <f>IF('Consulta1'!G4643="","",'Consulta1'!G4643)</f>
        <v/>
      </c>
      <c r="I551" s="86" t="str">
        <f>IF('Consulta1'!H4643="","",'Consulta1'!H4643)</f>
        <v/>
      </c>
      <c r="J551" t="str">
        <f t="shared" si="8"/>
        <v/>
      </c>
      <c r="K551" t="str">
        <f>+IF(E551="","",VLOOKUP(E551,CATALOGO!G:I,2,0))</f>
        <v/>
      </c>
      <c r="L551" t="str">
        <f>+IF(E551="","",VLOOKUP(E551,CATALOGO!G:I,3,0))</f>
        <v/>
      </c>
      <c r="M551" s="87" t="str">
        <f>IF('Consulta1'!I4643="","",'Consulta1'!I4643)</f>
        <v/>
      </c>
      <c r="N551" s="88" t="str">
        <f>IF('Consulta1'!J4643="","",'Consulta1'!J4643)</f>
        <v/>
      </c>
    </row>
    <row r="552" spans="1:14" ht="18.75" x14ac:dyDescent="0.25">
      <c r="A552" s="82" t="str">
        <f>IF('Consulta1'!A4644="","",'Consulta1'!A4644)</f>
        <v/>
      </c>
      <c r="B552" s="82" t="str">
        <f>IF('Consulta1'!B4644="","",'Consulta1'!B4644)</f>
        <v/>
      </c>
      <c r="C552" s="83" t="str">
        <f>IF('Consulta1'!C4644="","",'Consulta1'!C4644)</f>
        <v/>
      </c>
      <c r="D552" s="84" t="str">
        <f>IF('Consulta1'!D4644="","",'Consulta1'!D4644)</f>
        <v/>
      </c>
      <c r="E552" s="82" t="str">
        <f>IF('Consulta1'!E4644="","",'Consulta1'!E4644)</f>
        <v/>
      </c>
      <c r="F552" t="str">
        <f>+IF(E552="","",VLOOKUP(E552,CATALOGO!G:L,6,0))</f>
        <v/>
      </c>
      <c r="G552" s="85" t="str">
        <f>IF('Consulta1'!F4644="","",'Consulta1'!F4644)</f>
        <v/>
      </c>
      <c r="H552" s="85" t="str">
        <f>IF('Consulta1'!G4644="","",'Consulta1'!G4644)</f>
        <v/>
      </c>
      <c r="I552" s="86" t="str">
        <f>IF('Consulta1'!H4644="","",'Consulta1'!H4644)</f>
        <v/>
      </c>
      <c r="J552" t="str">
        <f t="shared" si="8"/>
        <v/>
      </c>
      <c r="K552" t="str">
        <f>+IF(E552="","",VLOOKUP(E552,CATALOGO!G:I,2,0))</f>
        <v/>
      </c>
      <c r="L552" t="str">
        <f>+IF(E552="","",VLOOKUP(E552,CATALOGO!G:I,3,0))</f>
        <v/>
      </c>
      <c r="M552" s="87" t="str">
        <f>IF('Consulta1'!I4644="","",'Consulta1'!I4644)</f>
        <v/>
      </c>
      <c r="N552" s="88" t="str">
        <f>IF('Consulta1'!J4644="","",'Consulta1'!J4644)</f>
        <v/>
      </c>
    </row>
    <row r="553" spans="1:14" ht="18.75" x14ac:dyDescent="0.25">
      <c r="A553" s="82" t="str">
        <f>IF('Consulta1'!A4645="","",'Consulta1'!A4645)</f>
        <v/>
      </c>
      <c r="B553" s="82" t="str">
        <f>IF('Consulta1'!B4645="","",'Consulta1'!B4645)</f>
        <v/>
      </c>
      <c r="C553" s="83" t="str">
        <f>IF('Consulta1'!C4645="","",'Consulta1'!C4645)</f>
        <v/>
      </c>
      <c r="D553" s="84" t="str">
        <f>IF('Consulta1'!D4645="","",'Consulta1'!D4645)</f>
        <v/>
      </c>
      <c r="E553" s="82" t="str">
        <f>IF('Consulta1'!E4645="","",'Consulta1'!E4645)</f>
        <v/>
      </c>
      <c r="F553" t="str">
        <f>+IF(E553="","",VLOOKUP(E553,CATALOGO!G:L,6,0))</f>
        <v/>
      </c>
      <c r="G553" s="85" t="str">
        <f>IF('Consulta1'!F4645="","",'Consulta1'!F4645)</f>
        <v/>
      </c>
      <c r="H553" s="85" t="str">
        <f>IF('Consulta1'!G4645="","",'Consulta1'!G4645)</f>
        <v/>
      </c>
      <c r="I553" s="86" t="str">
        <f>IF('Consulta1'!H4645="","",'Consulta1'!H4645)</f>
        <v/>
      </c>
      <c r="J553" t="str">
        <f t="shared" si="8"/>
        <v/>
      </c>
      <c r="K553" t="str">
        <f>+IF(E553="","",VLOOKUP(E553,CATALOGO!G:I,2,0))</f>
        <v/>
      </c>
      <c r="L553" t="str">
        <f>+IF(E553="","",VLOOKUP(E553,CATALOGO!G:I,3,0))</f>
        <v/>
      </c>
      <c r="M553" s="87" t="str">
        <f>IF('Consulta1'!I4645="","",'Consulta1'!I4645)</f>
        <v/>
      </c>
      <c r="N553" s="88" t="str">
        <f>IF('Consulta1'!J4645="","",'Consulta1'!J4645)</f>
        <v/>
      </c>
    </row>
    <row r="554" spans="1:14" ht="18.75" x14ac:dyDescent="0.25">
      <c r="A554" s="82" t="str">
        <f>IF('Consulta1'!A4646="","",'Consulta1'!A4646)</f>
        <v/>
      </c>
      <c r="B554" s="82" t="str">
        <f>IF('Consulta1'!B4646="","",'Consulta1'!B4646)</f>
        <v/>
      </c>
      <c r="C554" s="83" t="str">
        <f>IF('Consulta1'!C4646="","",'Consulta1'!C4646)</f>
        <v/>
      </c>
      <c r="D554" s="84" t="str">
        <f>IF('Consulta1'!D4646="","",'Consulta1'!D4646)</f>
        <v/>
      </c>
      <c r="E554" s="82" t="str">
        <f>IF('Consulta1'!E4646="","",'Consulta1'!E4646)</f>
        <v/>
      </c>
      <c r="F554" t="str">
        <f>+IF(E554="","",VLOOKUP(E554,CATALOGO!G:L,6,0))</f>
        <v/>
      </c>
      <c r="G554" s="85" t="str">
        <f>IF('Consulta1'!F4646="","",'Consulta1'!F4646)</f>
        <v/>
      </c>
      <c r="H554" s="85" t="str">
        <f>IF('Consulta1'!G4646="","",'Consulta1'!G4646)</f>
        <v/>
      </c>
      <c r="I554" s="86" t="str">
        <f>IF('Consulta1'!H4646="","",'Consulta1'!H4646)</f>
        <v/>
      </c>
      <c r="J554" t="str">
        <f t="shared" si="8"/>
        <v/>
      </c>
      <c r="K554" t="str">
        <f>+IF(E554="","",VLOOKUP(E554,CATALOGO!G:I,2,0))</f>
        <v/>
      </c>
      <c r="L554" t="str">
        <f>+IF(E554="","",VLOOKUP(E554,CATALOGO!G:I,3,0))</f>
        <v/>
      </c>
      <c r="M554" s="87" t="str">
        <f>IF('Consulta1'!I4646="","",'Consulta1'!I4646)</f>
        <v/>
      </c>
      <c r="N554" s="88" t="str">
        <f>IF('Consulta1'!J4646="","",'Consulta1'!J4646)</f>
        <v/>
      </c>
    </row>
    <row r="555" spans="1:14" ht="18.75" x14ac:dyDescent="0.25">
      <c r="A555" s="82" t="str">
        <f>IF('Consulta1'!A4647="","",'Consulta1'!A4647)</f>
        <v/>
      </c>
      <c r="B555" s="82" t="str">
        <f>IF('Consulta1'!B4647="","",'Consulta1'!B4647)</f>
        <v/>
      </c>
      <c r="C555" s="83" t="str">
        <f>IF('Consulta1'!C4647="","",'Consulta1'!C4647)</f>
        <v/>
      </c>
      <c r="D555" s="84" t="str">
        <f>IF('Consulta1'!D4647="","",'Consulta1'!D4647)</f>
        <v/>
      </c>
      <c r="E555" s="82" t="str">
        <f>IF('Consulta1'!E4647="","",'Consulta1'!E4647)</f>
        <v/>
      </c>
      <c r="F555" t="str">
        <f>+IF(E555="","",VLOOKUP(E555,CATALOGO!G:L,6,0))</f>
        <v/>
      </c>
      <c r="G555" s="85" t="str">
        <f>IF('Consulta1'!F4647="","",'Consulta1'!F4647)</f>
        <v/>
      </c>
      <c r="H555" s="85" t="str">
        <f>IF('Consulta1'!G4647="","",'Consulta1'!G4647)</f>
        <v/>
      </c>
      <c r="I555" s="86" t="str">
        <f>IF('Consulta1'!H4647="","",'Consulta1'!H4647)</f>
        <v/>
      </c>
      <c r="J555" t="str">
        <f t="shared" si="8"/>
        <v/>
      </c>
      <c r="K555" t="str">
        <f>+IF(E555="","",VLOOKUP(E555,CATALOGO!G:I,2,0))</f>
        <v/>
      </c>
      <c r="L555" t="str">
        <f>+IF(E555="","",VLOOKUP(E555,CATALOGO!G:I,3,0))</f>
        <v/>
      </c>
      <c r="M555" s="87" t="str">
        <f>IF('Consulta1'!I4647="","",'Consulta1'!I4647)</f>
        <v/>
      </c>
      <c r="N555" s="88" t="str">
        <f>IF('Consulta1'!J4647="","",'Consulta1'!J4647)</f>
        <v/>
      </c>
    </row>
    <row r="556" spans="1:14" ht="18.75" x14ac:dyDescent="0.25">
      <c r="A556" s="82" t="str">
        <f>IF('Consulta1'!A4648="","",'Consulta1'!A4648)</f>
        <v/>
      </c>
      <c r="B556" s="82" t="str">
        <f>IF('Consulta1'!B4648="","",'Consulta1'!B4648)</f>
        <v/>
      </c>
      <c r="C556" s="83" t="str">
        <f>IF('Consulta1'!C4648="","",'Consulta1'!C4648)</f>
        <v/>
      </c>
      <c r="D556" s="84" t="str">
        <f>IF('Consulta1'!D4648="","",'Consulta1'!D4648)</f>
        <v/>
      </c>
      <c r="E556" s="82" t="str">
        <f>IF('Consulta1'!E4648="","",'Consulta1'!E4648)</f>
        <v/>
      </c>
      <c r="F556" t="str">
        <f>+IF(E556="","",VLOOKUP(E556,CATALOGO!G:L,6,0))</f>
        <v/>
      </c>
      <c r="G556" s="85" t="str">
        <f>IF('Consulta1'!F4648="","",'Consulta1'!F4648)</f>
        <v/>
      </c>
      <c r="H556" s="85" t="str">
        <f>IF('Consulta1'!G4648="","",'Consulta1'!G4648)</f>
        <v/>
      </c>
      <c r="I556" s="86" t="str">
        <f>IF('Consulta1'!H4648="","",'Consulta1'!H4648)</f>
        <v/>
      </c>
      <c r="J556" t="str">
        <f t="shared" si="8"/>
        <v/>
      </c>
      <c r="K556" t="str">
        <f>+IF(E556="","",VLOOKUP(E556,CATALOGO!G:I,2,0))</f>
        <v/>
      </c>
      <c r="L556" t="str">
        <f>+IF(E556="","",VLOOKUP(E556,CATALOGO!G:I,3,0))</f>
        <v/>
      </c>
      <c r="M556" s="87" t="str">
        <f>IF('Consulta1'!I4648="","",'Consulta1'!I4648)</f>
        <v/>
      </c>
      <c r="N556" s="88" t="str">
        <f>IF('Consulta1'!J4648="","",'Consulta1'!J4648)</f>
        <v/>
      </c>
    </row>
    <row r="557" spans="1:14" ht="18.75" x14ac:dyDescent="0.25">
      <c r="A557" s="82" t="str">
        <f>IF('Consulta1'!A4649="","",'Consulta1'!A4649)</f>
        <v/>
      </c>
      <c r="B557" s="82" t="str">
        <f>IF('Consulta1'!B4649="","",'Consulta1'!B4649)</f>
        <v/>
      </c>
      <c r="C557" s="83" t="str">
        <f>IF('Consulta1'!C4649="","",'Consulta1'!C4649)</f>
        <v/>
      </c>
      <c r="D557" s="84" t="str">
        <f>IF('Consulta1'!D4649="","",'Consulta1'!D4649)</f>
        <v/>
      </c>
      <c r="E557" s="82" t="str">
        <f>IF('Consulta1'!E4649="","",'Consulta1'!E4649)</f>
        <v/>
      </c>
      <c r="F557" t="str">
        <f>+IF(E557="","",VLOOKUP(E557,CATALOGO!G:L,6,0))</f>
        <v/>
      </c>
      <c r="G557" s="85" t="str">
        <f>IF('Consulta1'!F4649="","",'Consulta1'!F4649)</f>
        <v/>
      </c>
      <c r="H557" s="85" t="str">
        <f>IF('Consulta1'!G4649="","",'Consulta1'!G4649)</f>
        <v/>
      </c>
      <c r="I557" s="86" t="str">
        <f>IF('Consulta1'!H4649="","",'Consulta1'!H4649)</f>
        <v/>
      </c>
      <c r="J557" t="str">
        <f t="shared" si="8"/>
        <v/>
      </c>
      <c r="K557" t="str">
        <f>+IF(E557="","",VLOOKUP(E557,CATALOGO!G:I,2,0))</f>
        <v/>
      </c>
      <c r="L557" t="str">
        <f>+IF(E557="","",VLOOKUP(E557,CATALOGO!G:I,3,0))</f>
        <v/>
      </c>
      <c r="M557" s="87" t="str">
        <f>IF('Consulta1'!I4649="","",'Consulta1'!I4649)</f>
        <v/>
      </c>
      <c r="N557" s="88" t="str">
        <f>IF('Consulta1'!J4649="","",'Consulta1'!J4649)</f>
        <v/>
      </c>
    </row>
    <row r="558" spans="1:14" ht="18.75" x14ac:dyDescent="0.25">
      <c r="A558" s="82" t="str">
        <f>IF('Consulta1'!A4650="","",'Consulta1'!A4650)</f>
        <v/>
      </c>
      <c r="B558" s="82" t="str">
        <f>IF('Consulta1'!B4650="","",'Consulta1'!B4650)</f>
        <v/>
      </c>
      <c r="C558" s="83" t="str">
        <f>IF('Consulta1'!C4650="","",'Consulta1'!C4650)</f>
        <v/>
      </c>
      <c r="D558" s="84" t="str">
        <f>IF('Consulta1'!D4650="","",'Consulta1'!D4650)</f>
        <v/>
      </c>
      <c r="E558" s="82" t="str">
        <f>IF('Consulta1'!E4650="","",'Consulta1'!E4650)</f>
        <v/>
      </c>
      <c r="F558" t="str">
        <f>+IF(E558="","",VLOOKUP(E558,CATALOGO!G:L,6,0))</f>
        <v/>
      </c>
      <c r="G558" s="85" t="str">
        <f>IF('Consulta1'!F4650="","",'Consulta1'!F4650)</f>
        <v/>
      </c>
      <c r="H558" s="85" t="str">
        <f>IF('Consulta1'!G4650="","",'Consulta1'!G4650)</f>
        <v/>
      </c>
      <c r="I558" s="86" t="str">
        <f>IF('Consulta1'!H4650="","",'Consulta1'!H4650)</f>
        <v/>
      </c>
      <c r="J558" t="str">
        <f t="shared" si="8"/>
        <v/>
      </c>
      <c r="K558" t="str">
        <f>+IF(E558="","",VLOOKUP(E558,CATALOGO!G:I,2,0))</f>
        <v/>
      </c>
      <c r="L558" t="str">
        <f>+IF(E558="","",VLOOKUP(E558,CATALOGO!G:I,3,0))</f>
        <v/>
      </c>
      <c r="M558" s="87" t="str">
        <f>IF('Consulta1'!I4650="","",'Consulta1'!I4650)</f>
        <v/>
      </c>
      <c r="N558" s="88" t="str">
        <f>IF('Consulta1'!J4650="","",'Consulta1'!J4650)</f>
        <v/>
      </c>
    </row>
    <row r="559" spans="1:14" ht="18.75" x14ac:dyDescent="0.25">
      <c r="A559" s="82" t="str">
        <f>IF('Consulta1'!A4651="","",'Consulta1'!A4651)</f>
        <v/>
      </c>
      <c r="B559" s="82" t="str">
        <f>IF('Consulta1'!B4651="","",'Consulta1'!B4651)</f>
        <v/>
      </c>
      <c r="C559" s="83" t="str">
        <f>IF('Consulta1'!C4651="","",'Consulta1'!C4651)</f>
        <v/>
      </c>
      <c r="D559" s="84" t="str">
        <f>IF('Consulta1'!D4651="","",'Consulta1'!D4651)</f>
        <v/>
      </c>
      <c r="E559" s="82" t="str">
        <f>IF('Consulta1'!E4651="","",'Consulta1'!E4651)</f>
        <v/>
      </c>
      <c r="F559" t="str">
        <f>+IF(E559="","",VLOOKUP(E559,CATALOGO!G:L,6,0))</f>
        <v/>
      </c>
      <c r="G559" s="85" t="str">
        <f>IF('Consulta1'!F4651="","",'Consulta1'!F4651)</f>
        <v/>
      </c>
      <c r="H559" s="85" t="str">
        <f>IF('Consulta1'!G4651="","",'Consulta1'!G4651)</f>
        <v/>
      </c>
      <c r="I559" s="86" t="str">
        <f>IF('Consulta1'!H4651="","",'Consulta1'!H4651)</f>
        <v/>
      </c>
      <c r="J559" t="str">
        <f t="shared" si="8"/>
        <v/>
      </c>
      <c r="K559" t="str">
        <f>+IF(E559="","",VLOOKUP(E559,CATALOGO!G:I,2,0))</f>
        <v/>
      </c>
      <c r="L559" t="str">
        <f>+IF(E559="","",VLOOKUP(E559,CATALOGO!G:I,3,0))</f>
        <v/>
      </c>
      <c r="M559" s="87" t="str">
        <f>IF('Consulta1'!I4651="","",'Consulta1'!I4651)</f>
        <v/>
      </c>
      <c r="N559" s="88" t="str">
        <f>IF('Consulta1'!J4651="","",'Consulta1'!J4651)</f>
        <v/>
      </c>
    </row>
    <row r="560" spans="1:14" ht="18.75" x14ac:dyDescent="0.25">
      <c r="A560" s="82" t="str">
        <f>IF('Consulta1'!A4652="","",'Consulta1'!A4652)</f>
        <v/>
      </c>
      <c r="B560" s="82" t="str">
        <f>IF('Consulta1'!B4652="","",'Consulta1'!B4652)</f>
        <v/>
      </c>
      <c r="C560" s="83" t="str">
        <f>IF('Consulta1'!C4652="","",'Consulta1'!C4652)</f>
        <v/>
      </c>
      <c r="D560" s="84" t="str">
        <f>IF('Consulta1'!D4652="","",'Consulta1'!D4652)</f>
        <v/>
      </c>
      <c r="E560" s="82" t="str">
        <f>IF('Consulta1'!E4652="","",'Consulta1'!E4652)</f>
        <v/>
      </c>
      <c r="F560" t="str">
        <f>+IF(E560="","",VLOOKUP(E560,CATALOGO!G:L,6,0))</f>
        <v/>
      </c>
      <c r="G560" s="85" t="str">
        <f>IF('Consulta1'!F4652="","",'Consulta1'!F4652)</f>
        <v/>
      </c>
      <c r="H560" s="85" t="str">
        <f>IF('Consulta1'!G4652="","",'Consulta1'!G4652)</f>
        <v/>
      </c>
      <c r="I560" s="86" t="str">
        <f>IF('Consulta1'!H4652="","",'Consulta1'!H4652)</f>
        <v/>
      </c>
      <c r="J560" t="str">
        <f t="shared" si="8"/>
        <v/>
      </c>
      <c r="K560" t="str">
        <f>+IF(E560="","",VLOOKUP(E560,CATALOGO!G:I,2,0))</f>
        <v/>
      </c>
      <c r="L560" t="str">
        <f>+IF(E560="","",VLOOKUP(E560,CATALOGO!G:I,3,0))</f>
        <v/>
      </c>
      <c r="M560" s="87" t="str">
        <f>IF('Consulta1'!I4652="","",'Consulta1'!I4652)</f>
        <v/>
      </c>
      <c r="N560" s="88" t="str">
        <f>IF('Consulta1'!J4652="","",'Consulta1'!J4652)</f>
        <v/>
      </c>
    </row>
    <row r="561" spans="1:14" ht="18.75" x14ac:dyDescent="0.25">
      <c r="A561" s="82" t="str">
        <f>IF('Consulta1'!A4653="","",'Consulta1'!A4653)</f>
        <v/>
      </c>
      <c r="B561" s="82" t="str">
        <f>IF('Consulta1'!B4653="","",'Consulta1'!B4653)</f>
        <v/>
      </c>
      <c r="C561" s="83" t="str">
        <f>IF('Consulta1'!C4653="","",'Consulta1'!C4653)</f>
        <v/>
      </c>
      <c r="D561" s="84" t="str">
        <f>IF('Consulta1'!D4653="","",'Consulta1'!D4653)</f>
        <v/>
      </c>
      <c r="E561" s="82" t="str">
        <f>IF('Consulta1'!E4653="","",'Consulta1'!E4653)</f>
        <v/>
      </c>
      <c r="F561" t="str">
        <f>+IF(E561="","",VLOOKUP(E561,CATALOGO!G:L,6,0))</f>
        <v/>
      </c>
      <c r="G561" s="85" t="str">
        <f>IF('Consulta1'!F4653="","",'Consulta1'!F4653)</f>
        <v/>
      </c>
      <c r="H561" s="85" t="str">
        <f>IF('Consulta1'!G4653="","",'Consulta1'!G4653)</f>
        <v/>
      </c>
      <c r="I561" s="86" t="str">
        <f>IF('Consulta1'!H4653="","",'Consulta1'!H4653)</f>
        <v/>
      </c>
      <c r="J561" t="str">
        <f t="shared" si="8"/>
        <v/>
      </c>
      <c r="K561" t="str">
        <f>+IF(E561="","",VLOOKUP(E561,CATALOGO!G:I,2,0))</f>
        <v/>
      </c>
      <c r="L561" t="str">
        <f>+IF(E561="","",VLOOKUP(E561,CATALOGO!G:I,3,0))</f>
        <v/>
      </c>
      <c r="M561" s="87" t="str">
        <f>IF('Consulta1'!I4653="","",'Consulta1'!I4653)</f>
        <v/>
      </c>
      <c r="N561" s="88" t="str">
        <f>IF('Consulta1'!J4653="","",'Consulta1'!J4653)</f>
        <v/>
      </c>
    </row>
    <row r="562" spans="1:14" ht="18.75" x14ac:dyDescent="0.25">
      <c r="A562" s="82" t="str">
        <f>IF('Consulta1'!A4654="","",'Consulta1'!A4654)</f>
        <v/>
      </c>
      <c r="B562" s="82" t="str">
        <f>IF('Consulta1'!B4654="","",'Consulta1'!B4654)</f>
        <v/>
      </c>
      <c r="C562" s="83" t="str">
        <f>IF('Consulta1'!C4654="","",'Consulta1'!C4654)</f>
        <v/>
      </c>
      <c r="D562" s="84" t="str">
        <f>IF('Consulta1'!D4654="","",'Consulta1'!D4654)</f>
        <v/>
      </c>
      <c r="E562" s="82" t="str">
        <f>IF('Consulta1'!E4654="","",'Consulta1'!E4654)</f>
        <v/>
      </c>
      <c r="F562" t="str">
        <f>+IF(E562="","",VLOOKUP(E562,CATALOGO!G:L,6,0))</f>
        <v/>
      </c>
      <c r="G562" s="85" t="str">
        <f>IF('Consulta1'!F4654="","",'Consulta1'!F4654)</f>
        <v/>
      </c>
      <c r="H562" s="85" t="str">
        <f>IF('Consulta1'!G4654="","",'Consulta1'!G4654)</f>
        <v/>
      </c>
      <c r="I562" s="86" t="str">
        <f>IF('Consulta1'!H4654="","",'Consulta1'!H4654)</f>
        <v/>
      </c>
      <c r="J562" t="str">
        <f t="shared" si="8"/>
        <v/>
      </c>
      <c r="K562" t="str">
        <f>+IF(E562="","",VLOOKUP(E562,CATALOGO!G:I,2,0))</f>
        <v/>
      </c>
      <c r="L562" t="str">
        <f>+IF(E562="","",VLOOKUP(E562,CATALOGO!G:I,3,0))</f>
        <v/>
      </c>
      <c r="M562" s="87" t="str">
        <f>IF('Consulta1'!I4654="","",'Consulta1'!I4654)</f>
        <v/>
      </c>
      <c r="N562" s="88" t="str">
        <f>IF('Consulta1'!J4654="","",'Consulta1'!J4654)</f>
        <v/>
      </c>
    </row>
    <row r="563" spans="1:14" ht="18.75" x14ac:dyDescent="0.25">
      <c r="A563" s="82" t="str">
        <f>IF('Consulta1'!A4655="","",'Consulta1'!A4655)</f>
        <v/>
      </c>
      <c r="B563" s="82" t="str">
        <f>IF('Consulta1'!B4655="","",'Consulta1'!B4655)</f>
        <v/>
      </c>
      <c r="C563" s="83" t="str">
        <f>IF('Consulta1'!C4655="","",'Consulta1'!C4655)</f>
        <v/>
      </c>
      <c r="D563" s="84" t="str">
        <f>IF('Consulta1'!D4655="","",'Consulta1'!D4655)</f>
        <v/>
      </c>
      <c r="E563" s="82" t="str">
        <f>IF('Consulta1'!E4655="","",'Consulta1'!E4655)</f>
        <v/>
      </c>
      <c r="F563" t="str">
        <f>+IF(E563="","",VLOOKUP(E563,CATALOGO!G:L,6,0))</f>
        <v/>
      </c>
      <c r="G563" s="85" t="str">
        <f>IF('Consulta1'!F4655="","",'Consulta1'!F4655)</f>
        <v/>
      </c>
      <c r="H563" s="85" t="str">
        <f>IF('Consulta1'!G4655="","",'Consulta1'!G4655)</f>
        <v/>
      </c>
      <c r="I563" s="86" t="str">
        <f>IF('Consulta1'!H4655="","",'Consulta1'!H4655)</f>
        <v/>
      </c>
      <c r="J563" t="str">
        <f t="shared" si="8"/>
        <v/>
      </c>
      <c r="K563" t="str">
        <f>+IF(E563="","",VLOOKUP(E563,CATALOGO!G:I,2,0))</f>
        <v/>
      </c>
      <c r="L563" t="str">
        <f>+IF(E563="","",VLOOKUP(E563,CATALOGO!G:I,3,0))</f>
        <v/>
      </c>
      <c r="M563" s="87" t="str">
        <f>IF('Consulta1'!I4655="","",'Consulta1'!I4655)</f>
        <v/>
      </c>
      <c r="N563" s="88" t="str">
        <f>IF('Consulta1'!J4655="","",'Consulta1'!J4655)</f>
        <v/>
      </c>
    </row>
    <row r="564" spans="1:14" ht="18.75" x14ac:dyDescent="0.25">
      <c r="A564" s="82" t="str">
        <f>IF('Consulta1'!A4656="","",'Consulta1'!A4656)</f>
        <v/>
      </c>
      <c r="B564" s="82" t="str">
        <f>IF('Consulta1'!B4656="","",'Consulta1'!B4656)</f>
        <v/>
      </c>
      <c r="C564" s="83" t="str">
        <f>IF('Consulta1'!C4656="","",'Consulta1'!C4656)</f>
        <v/>
      </c>
      <c r="D564" s="84" t="str">
        <f>IF('Consulta1'!D4656="","",'Consulta1'!D4656)</f>
        <v/>
      </c>
      <c r="E564" s="82" t="str">
        <f>IF('Consulta1'!E4656="","",'Consulta1'!E4656)</f>
        <v/>
      </c>
      <c r="F564" t="str">
        <f>+IF(E564="","",VLOOKUP(E564,CATALOGO!G:L,6,0))</f>
        <v/>
      </c>
      <c r="G564" s="85" t="str">
        <f>IF('Consulta1'!F4656="","",'Consulta1'!F4656)</f>
        <v/>
      </c>
      <c r="H564" s="85" t="str">
        <f>IF('Consulta1'!G4656="","",'Consulta1'!G4656)</f>
        <v/>
      </c>
      <c r="I564" s="86" t="str">
        <f>IF('Consulta1'!H4656="","",'Consulta1'!H4656)</f>
        <v/>
      </c>
      <c r="J564" t="str">
        <f t="shared" si="8"/>
        <v/>
      </c>
      <c r="K564" t="str">
        <f>+IF(E564="","",VLOOKUP(E564,CATALOGO!G:I,2,0))</f>
        <v/>
      </c>
      <c r="L564" t="str">
        <f>+IF(E564="","",VLOOKUP(E564,CATALOGO!G:I,3,0))</f>
        <v/>
      </c>
      <c r="M564" s="87" t="str">
        <f>IF('Consulta1'!I4656="","",'Consulta1'!I4656)</f>
        <v/>
      </c>
      <c r="N564" s="88" t="str">
        <f>IF('Consulta1'!J4656="","",'Consulta1'!J4656)</f>
        <v/>
      </c>
    </row>
    <row r="565" spans="1:14" ht="18.75" x14ac:dyDescent="0.25">
      <c r="A565" s="82" t="str">
        <f>IF('Consulta1'!A4657="","",'Consulta1'!A4657)</f>
        <v/>
      </c>
      <c r="B565" s="82" t="str">
        <f>IF('Consulta1'!B4657="","",'Consulta1'!B4657)</f>
        <v/>
      </c>
      <c r="C565" s="83" t="str">
        <f>IF('Consulta1'!C4657="","",'Consulta1'!C4657)</f>
        <v/>
      </c>
      <c r="D565" s="84" t="str">
        <f>IF('Consulta1'!D4657="","",'Consulta1'!D4657)</f>
        <v/>
      </c>
      <c r="E565" s="82" t="str">
        <f>IF('Consulta1'!E4657="","",'Consulta1'!E4657)</f>
        <v/>
      </c>
      <c r="F565" t="str">
        <f>+IF(E565="","",VLOOKUP(E565,CATALOGO!G:L,6,0))</f>
        <v/>
      </c>
      <c r="G565" s="85" t="str">
        <f>IF('Consulta1'!F4657="","",'Consulta1'!F4657)</f>
        <v/>
      </c>
      <c r="H565" s="85" t="str">
        <f>IF('Consulta1'!G4657="","",'Consulta1'!G4657)</f>
        <v/>
      </c>
      <c r="I565" s="86" t="str">
        <f>IF('Consulta1'!H4657="","",'Consulta1'!H4657)</f>
        <v/>
      </c>
      <c r="J565" t="str">
        <f t="shared" si="8"/>
        <v/>
      </c>
      <c r="K565" t="str">
        <f>+IF(E565="","",VLOOKUP(E565,CATALOGO!G:I,2,0))</f>
        <v/>
      </c>
      <c r="L565" t="str">
        <f>+IF(E565="","",VLOOKUP(E565,CATALOGO!G:I,3,0))</f>
        <v/>
      </c>
      <c r="M565" s="87" t="str">
        <f>IF('Consulta1'!I4657="","",'Consulta1'!I4657)</f>
        <v/>
      </c>
      <c r="N565" s="88" t="str">
        <f>IF('Consulta1'!J4657="","",'Consulta1'!J4657)</f>
        <v/>
      </c>
    </row>
    <row r="566" spans="1:14" ht="18.75" x14ac:dyDescent="0.25">
      <c r="A566" s="82" t="str">
        <f>IF('Consulta1'!A4658="","",'Consulta1'!A4658)</f>
        <v/>
      </c>
      <c r="B566" s="82" t="str">
        <f>IF('Consulta1'!B4658="","",'Consulta1'!B4658)</f>
        <v/>
      </c>
      <c r="C566" s="83" t="str">
        <f>IF('Consulta1'!C4658="","",'Consulta1'!C4658)</f>
        <v/>
      </c>
      <c r="D566" s="84" t="str">
        <f>IF('Consulta1'!D4658="","",'Consulta1'!D4658)</f>
        <v/>
      </c>
      <c r="E566" s="82" t="str">
        <f>IF('Consulta1'!E4658="","",'Consulta1'!E4658)</f>
        <v/>
      </c>
      <c r="F566" t="str">
        <f>+IF(E566="","",VLOOKUP(E566,CATALOGO!G:L,6,0))</f>
        <v/>
      </c>
      <c r="G566" s="85" t="str">
        <f>IF('Consulta1'!F4658="","",'Consulta1'!F4658)</f>
        <v/>
      </c>
      <c r="H566" s="85" t="str">
        <f>IF('Consulta1'!G4658="","",'Consulta1'!G4658)</f>
        <v/>
      </c>
      <c r="I566" s="86" t="str">
        <f>IF('Consulta1'!H4658="","",'Consulta1'!H4658)</f>
        <v/>
      </c>
      <c r="J566" t="str">
        <f t="shared" si="8"/>
        <v/>
      </c>
      <c r="K566" t="str">
        <f>+IF(E566="","",VLOOKUP(E566,CATALOGO!G:I,2,0))</f>
        <v/>
      </c>
      <c r="L566" t="str">
        <f>+IF(E566="","",VLOOKUP(E566,CATALOGO!G:I,3,0))</f>
        <v/>
      </c>
      <c r="M566" s="87" t="str">
        <f>IF('Consulta1'!I4658="","",'Consulta1'!I4658)</f>
        <v/>
      </c>
      <c r="N566" s="88" t="str">
        <f>IF('Consulta1'!J4658="","",'Consulta1'!J4658)</f>
        <v/>
      </c>
    </row>
    <row r="567" spans="1:14" ht="18.75" x14ac:dyDescent="0.25">
      <c r="A567" s="82" t="str">
        <f>IF('Consulta1'!A4659="","",'Consulta1'!A4659)</f>
        <v/>
      </c>
      <c r="B567" s="82" t="str">
        <f>IF('Consulta1'!B4659="","",'Consulta1'!B4659)</f>
        <v/>
      </c>
      <c r="C567" s="83" t="str">
        <f>IF('Consulta1'!C4659="","",'Consulta1'!C4659)</f>
        <v/>
      </c>
      <c r="D567" s="84" t="str">
        <f>IF('Consulta1'!D4659="","",'Consulta1'!D4659)</f>
        <v/>
      </c>
      <c r="E567" s="82" t="str">
        <f>IF('Consulta1'!E4659="","",'Consulta1'!E4659)</f>
        <v/>
      </c>
      <c r="F567" t="str">
        <f>+IF(E567="","",VLOOKUP(E567,CATALOGO!G:L,6,0))</f>
        <v/>
      </c>
      <c r="G567" s="85" t="str">
        <f>IF('Consulta1'!F4659="","",'Consulta1'!F4659)</f>
        <v/>
      </c>
      <c r="H567" s="85" t="str">
        <f>IF('Consulta1'!G4659="","",'Consulta1'!G4659)</f>
        <v/>
      </c>
      <c r="I567" s="86" t="str">
        <f>IF('Consulta1'!H4659="","",'Consulta1'!H4659)</f>
        <v/>
      </c>
      <c r="J567" t="str">
        <f t="shared" si="8"/>
        <v/>
      </c>
      <c r="K567" t="str">
        <f>+IF(E567="","",VLOOKUP(E567,CATALOGO!G:I,2,0))</f>
        <v/>
      </c>
      <c r="L567" t="str">
        <f>+IF(E567="","",VLOOKUP(E567,CATALOGO!G:I,3,0))</f>
        <v/>
      </c>
      <c r="M567" s="87" t="str">
        <f>IF('Consulta1'!I4659="","",'Consulta1'!I4659)</f>
        <v/>
      </c>
      <c r="N567" s="88" t="str">
        <f>IF('Consulta1'!J4659="","",'Consulta1'!J4659)</f>
        <v/>
      </c>
    </row>
    <row r="568" spans="1:14" ht="18.75" x14ac:dyDescent="0.25">
      <c r="A568" s="82" t="str">
        <f>IF('Consulta1'!A4660="","",'Consulta1'!A4660)</f>
        <v/>
      </c>
      <c r="B568" s="82" t="str">
        <f>IF('Consulta1'!B4660="","",'Consulta1'!B4660)</f>
        <v/>
      </c>
      <c r="C568" s="83" t="str">
        <f>IF('Consulta1'!C4660="","",'Consulta1'!C4660)</f>
        <v/>
      </c>
      <c r="D568" s="84" t="str">
        <f>IF('Consulta1'!D4660="","",'Consulta1'!D4660)</f>
        <v/>
      </c>
      <c r="E568" s="82" t="str">
        <f>IF('Consulta1'!E4660="","",'Consulta1'!E4660)</f>
        <v/>
      </c>
      <c r="F568" t="str">
        <f>+IF(E568="","",VLOOKUP(E568,CATALOGO!G:L,6,0))</f>
        <v/>
      </c>
      <c r="G568" s="85" t="str">
        <f>IF('Consulta1'!F4660="","",'Consulta1'!F4660)</f>
        <v/>
      </c>
      <c r="H568" s="85" t="str">
        <f>IF('Consulta1'!G4660="","",'Consulta1'!G4660)</f>
        <v/>
      </c>
      <c r="I568" s="86" t="str">
        <f>IF('Consulta1'!H4660="","",'Consulta1'!H4660)</f>
        <v/>
      </c>
      <c r="J568" t="str">
        <f t="shared" si="8"/>
        <v/>
      </c>
      <c r="K568" t="str">
        <f>+IF(E568="","",VLOOKUP(E568,CATALOGO!G:I,2,0))</f>
        <v/>
      </c>
      <c r="L568" t="str">
        <f>+IF(E568="","",VLOOKUP(E568,CATALOGO!G:I,3,0))</f>
        <v/>
      </c>
      <c r="M568" s="87" t="str">
        <f>IF('Consulta1'!I4660="","",'Consulta1'!I4660)</f>
        <v/>
      </c>
      <c r="N568" s="88" t="str">
        <f>IF('Consulta1'!J4660="","",'Consulta1'!J4660)</f>
        <v/>
      </c>
    </row>
    <row r="569" spans="1:14" ht="18.75" x14ac:dyDescent="0.25">
      <c r="A569" s="82" t="str">
        <f>IF('Consulta1'!A4661="","",'Consulta1'!A4661)</f>
        <v/>
      </c>
      <c r="B569" s="82" t="str">
        <f>IF('Consulta1'!B4661="","",'Consulta1'!B4661)</f>
        <v/>
      </c>
      <c r="C569" s="83" t="str">
        <f>IF('Consulta1'!C4661="","",'Consulta1'!C4661)</f>
        <v/>
      </c>
      <c r="D569" s="84" t="str">
        <f>IF('Consulta1'!D4661="","",'Consulta1'!D4661)</f>
        <v/>
      </c>
      <c r="E569" s="82" t="str">
        <f>IF('Consulta1'!E4661="","",'Consulta1'!E4661)</f>
        <v/>
      </c>
      <c r="F569" t="str">
        <f>+IF(E569="","",VLOOKUP(E569,CATALOGO!G:L,6,0))</f>
        <v/>
      </c>
      <c r="G569" s="85" t="str">
        <f>IF('Consulta1'!F4661="","",'Consulta1'!F4661)</f>
        <v/>
      </c>
      <c r="H569" s="85" t="str">
        <f>IF('Consulta1'!G4661="","",'Consulta1'!G4661)</f>
        <v/>
      </c>
      <c r="I569" s="86" t="str">
        <f>IF('Consulta1'!H4661="","",'Consulta1'!H4661)</f>
        <v/>
      </c>
      <c r="J569" t="str">
        <f t="shared" si="8"/>
        <v/>
      </c>
      <c r="K569" t="str">
        <f>+IF(E569="","",VLOOKUP(E569,CATALOGO!G:I,2,0))</f>
        <v/>
      </c>
      <c r="L569" t="str">
        <f>+IF(E569="","",VLOOKUP(E569,CATALOGO!G:I,3,0))</f>
        <v/>
      </c>
      <c r="M569" s="87" t="str">
        <f>IF('Consulta1'!I4661="","",'Consulta1'!I4661)</f>
        <v/>
      </c>
      <c r="N569" s="88" t="str">
        <f>IF('Consulta1'!J4661="","",'Consulta1'!J4661)</f>
        <v/>
      </c>
    </row>
    <row r="570" spans="1:14" ht="18.75" x14ac:dyDescent="0.25">
      <c r="A570" s="82" t="str">
        <f>IF('Consulta1'!A4662="","",'Consulta1'!A4662)</f>
        <v/>
      </c>
      <c r="B570" s="82" t="str">
        <f>IF('Consulta1'!B4662="","",'Consulta1'!B4662)</f>
        <v/>
      </c>
      <c r="C570" s="83" t="str">
        <f>IF('Consulta1'!C4662="","",'Consulta1'!C4662)</f>
        <v/>
      </c>
      <c r="D570" s="84" t="str">
        <f>IF('Consulta1'!D4662="","",'Consulta1'!D4662)</f>
        <v/>
      </c>
      <c r="E570" s="82" t="str">
        <f>IF('Consulta1'!E4662="","",'Consulta1'!E4662)</f>
        <v/>
      </c>
      <c r="F570" t="str">
        <f>+IF(E570="","",VLOOKUP(E570,CATALOGO!G:L,6,0))</f>
        <v/>
      </c>
      <c r="G570" s="85" t="str">
        <f>IF('Consulta1'!F4662="","",'Consulta1'!F4662)</f>
        <v/>
      </c>
      <c r="H570" s="85" t="str">
        <f>IF('Consulta1'!G4662="","",'Consulta1'!G4662)</f>
        <v/>
      </c>
      <c r="I570" s="86" t="str">
        <f>IF('Consulta1'!H4662="","",'Consulta1'!H4662)</f>
        <v/>
      </c>
      <c r="J570" t="str">
        <f t="shared" si="8"/>
        <v/>
      </c>
      <c r="K570" t="str">
        <f>+IF(E570="","",VLOOKUP(E570,CATALOGO!G:I,2,0))</f>
        <v/>
      </c>
      <c r="L570" t="str">
        <f>+IF(E570="","",VLOOKUP(E570,CATALOGO!G:I,3,0))</f>
        <v/>
      </c>
      <c r="M570" s="87" t="str">
        <f>IF('Consulta1'!I4662="","",'Consulta1'!I4662)</f>
        <v/>
      </c>
      <c r="N570" s="88" t="str">
        <f>IF('Consulta1'!J4662="","",'Consulta1'!J4662)</f>
        <v/>
      </c>
    </row>
    <row r="571" spans="1:14" ht="18.75" x14ac:dyDescent="0.25">
      <c r="A571" s="82" t="str">
        <f>IF('Consulta1'!A4663="","",'Consulta1'!A4663)</f>
        <v/>
      </c>
      <c r="B571" s="82" t="str">
        <f>IF('Consulta1'!B4663="","",'Consulta1'!B4663)</f>
        <v/>
      </c>
      <c r="C571" s="83" t="str">
        <f>IF('Consulta1'!C4663="","",'Consulta1'!C4663)</f>
        <v/>
      </c>
      <c r="D571" s="84" t="str">
        <f>IF('Consulta1'!D4663="","",'Consulta1'!D4663)</f>
        <v/>
      </c>
      <c r="E571" s="82" t="str">
        <f>IF('Consulta1'!E4663="","",'Consulta1'!E4663)</f>
        <v/>
      </c>
      <c r="F571" t="str">
        <f>+IF(E571="","",VLOOKUP(E571,CATALOGO!G:L,6,0))</f>
        <v/>
      </c>
      <c r="G571" s="85" t="str">
        <f>IF('Consulta1'!F4663="","",'Consulta1'!F4663)</f>
        <v/>
      </c>
      <c r="H571" s="85" t="str">
        <f>IF('Consulta1'!G4663="","",'Consulta1'!G4663)</f>
        <v/>
      </c>
      <c r="I571" s="86" t="str">
        <f>IF('Consulta1'!H4663="","",'Consulta1'!H4663)</f>
        <v/>
      </c>
      <c r="J571" t="str">
        <f t="shared" si="8"/>
        <v/>
      </c>
      <c r="K571" t="str">
        <f>+IF(E571="","",VLOOKUP(E571,CATALOGO!G:I,2,0))</f>
        <v/>
      </c>
      <c r="L571" t="str">
        <f>+IF(E571="","",VLOOKUP(E571,CATALOGO!G:I,3,0))</f>
        <v/>
      </c>
      <c r="M571" s="87" t="str">
        <f>IF('Consulta1'!I4663="","",'Consulta1'!I4663)</f>
        <v/>
      </c>
      <c r="N571" s="88" t="str">
        <f>IF('Consulta1'!J4663="","",'Consulta1'!J4663)</f>
        <v/>
      </c>
    </row>
    <row r="572" spans="1:14" ht="18.75" x14ac:dyDescent="0.25">
      <c r="A572" s="82" t="str">
        <f>IF('Consulta1'!A4664="","",'Consulta1'!A4664)</f>
        <v/>
      </c>
      <c r="B572" s="82" t="str">
        <f>IF('Consulta1'!B4664="","",'Consulta1'!B4664)</f>
        <v/>
      </c>
      <c r="C572" s="83" t="str">
        <f>IF('Consulta1'!C4664="","",'Consulta1'!C4664)</f>
        <v/>
      </c>
      <c r="D572" s="84" t="str">
        <f>IF('Consulta1'!D4664="","",'Consulta1'!D4664)</f>
        <v/>
      </c>
      <c r="E572" s="82" t="str">
        <f>IF('Consulta1'!E4664="","",'Consulta1'!E4664)</f>
        <v/>
      </c>
      <c r="F572" t="str">
        <f>+IF(E572="","",VLOOKUP(E572,CATALOGO!G:L,6,0))</f>
        <v/>
      </c>
      <c r="G572" s="85" t="str">
        <f>IF('Consulta1'!F4664="","",'Consulta1'!F4664)</f>
        <v/>
      </c>
      <c r="H572" s="85" t="str">
        <f>IF('Consulta1'!G4664="","",'Consulta1'!G4664)</f>
        <v/>
      </c>
      <c r="I572" s="86" t="str">
        <f>IF('Consulta1'!H4664="","",'Consulta1'!H4664)</f>
        <v/>
      </c>
      <c r="J572" t="str">
        <f t="shared" si="8"/>
        <v/>
      </c>
      <c r="K572" t="str">
        <f>+IF(E572="","",VLOOKUP(E572,CATALOGO!G:I,2,0))</f>
        <v/>
      </c>
      <c r="L572" t="str">
        <f>+IF(E572="","",VLOOKUP(E572,CATALOGO!G:I,3,0))</f>
        <v/>
      </c>
      <c r="M572" s="87" t="str">
        <f>IF('Consulta1'!I4664="","",'Consulta1'!I4664)</f>
        <v/>
      </c>
      <c r="N572" s="88" t="str">
        <f>IF('Consulta1'!J4664="","",'Consulta1'!J4664)</f>
        <v/>
      </c>
    </row>
    <row r="573" spans="1:14" ht="18.75" x14ac:dyDescent="0.25">
      <c r="A573" s="82" t="str">
        <f>IF('Consulta1'!A4665="","",'Consulta1'!A4665)</f>
        <v/>
      </c>
      <c r="B573" s="82" t="str">
        <f>IF('Consulta1'!B4665="","",'Consulta1'!B4665)</f>
        <v/>
      </c>
      <c r="C573" s="83" t="str">
        <f>IF('Consulta1'!C4665="","",'Consulta1'!C4665)</f>
        <v/>
      </c>
      <c r="D573" s="84" t="str">
        <f>IF('Consulta1'!D4665="","",'Consulta1'!D4665)</f>
        <v/>
      </c>
      <c r="E573" s="82" t="str">
        <f>IF('Consulta1'!E4665="","",'Consulta1'!E4665)</f>
        <v/>
      </c>
      <c r="F573" t="str">
        <f>+IF(E573="","",VLOOKUP(E573,CATALOGO!G:L,6,0))</f>
        <v/>
      </c>
      <c r="G573" s="85" t="str">
        <f>IF('Consulta1'!F4665="","",'Consulta1'!F4665)</f>
        <v/>
      </c>
      <c r="H573" s="85" t="str">
        <f>IF('Consulta1'!G4665="","",'Consulta1'!G4665)</f>
        <v/>
      </c>
      <c r="I573" s="86" t="str">
        <f>IF('Consulta1'!H4665="","",'Consulta1'!H4665)</f>
        <v/>
      </c>
      <c r="J573" t="str">
        <f t="shared" si="8"/>
        <v/>
      </c>
      <c r="K573" t="str">
        <f>+IF(E573="","",VLOOKUP(E573,CATALOGO!G:I,2,0))</f>
        <v/>
      </c>
      <c r="L573" t="str">
        <f>+IF(E573="","",VLOOKUP(E573,CATALOGO!G:I,3,0))</f>
        <v/>
      </c>
      <c r="M573" s="87" t="str">
        <f>IF('Consulta1'!I4665="","",'Consulta1'!I4665)</f>
        <v/>
      </c>
      <c r="N573" s="88" t="str">
        <f>IF('Consulta1'!J4665="","",'Consulta1'!J4665)</f>
        <v/>
      </c>
    </row>
    <row r="574" spans="1:14" ht="18.75" x14ac:dyDescent="0.25">
      <c r="A574" s="82" t="str">
        <f>IF('Consulta1'!A4666="","",'Consulta1'!A4666)</f>
        <v/>
      </c>
      <c r="B574" s="82" t="str">
        <f>IF('Consulta1'!B4666="","",'Consulta1'!B4666)</f>
        <v/>
      </c>
      <c r="C574" s="83" t="str">
        <f>IF('Consulta1'!C4666="","",'Consulta1'!C4666)</f>
        <v/>
      </c>
      <c r="D574" s="84" t="str">
        <f>IF('Consulta1'!D4666="","",'Consulta1'!D4666)</f>
        <v/>
      </c>
      <c r="E574" s="82" t="str">
        <f>IF('Consulta1'!E4666="","",'Consulta1'!E4666)</f>
        <v/>
      </c>
      <c r="F574" t="str">
        <f>+IF(E574="","",VLOOKUP(E574,CATALOGO!G:L,6,0))</f>
        <v/>
      </c>
      <c r="G574" s="85" t="str">
        <f>IF('Consulta1'!F4666="","",'Consulta1'!F4666)</f>
        <v/>
      </c>
      <c r="H574" s="85" t="str">
        <f>IF('Consulta1'!G4666="","",'Consulta1'!G4666)</f>
        <v/>
      </c>
      <c r="I574" s="86" t="str">
        <f>IF('Consulta1'!H4666="","",'Consulta1'!H4666)</f>
        <v/>
      </c>
      <c r="J574" t="str">
        <f t="shared" si="8"/>
        <v/>
      </c>
      <c r="K574" t="str">
        <f>+IF(E574="","",VLOOKUP(E574,CATALOGO!G:I,2,0))</f>
        <v/>
      </c>
      <c r="L574" t="str">
        <f>+IF(E574="","",VLOOKUP(E574,CATALOGO!G:I,3,0))</f>
        <v/>
      </c>
      <c r="M574" s="87" t="str">
        <f>IF('Consulta1'!I4666="","",'Consulta1'!I4666)</f>
        <v/>
      </c>
      <c r="N574" s="88" t="str">
        <f>IF('Consulta1'!J4666="","",'Consulta1'!J4666)</f>
        <v/>
      </c>
    </row>
    <row r="575" spans="1:14" ht="18.75" x14ac:dyDescent="0.25">
      <c r="A575" s="82" t="str">
        <f>IF('Consulta1'!A4667="","",'Consulta1'!A4667)</f>
        <v/>
      </c>
      <c r="B575" s="82" t="str">
        <f>IF('Consulta1'!B4667="","",'Consulta1'!B4667)</f>
        <v/>
      </c>
      <c r="C575" s="83" t="str">
        <f>IF('Consulta1'!C4667="","",'Consulta1'!C4667)</f>
        <v/>
      </c>
      <c r="D575" s="84" t="str">
        <f>IF('Consulta1'!D4667="","",'Consulta1'!D4667)</f>
        <v/>
      </c>
      <c r="E575" s="82" t="str">
        <f>IF('Consulta1'!E4667="","",'Consulta1'!E4667)</f>
        <v/>
      </c>
      <c r="F575" t="str">
        <f>+IF(E575="","",VLOOKUP(E575,CATALOGO!G:L,6,0))</f>
        <v/>
      </c>
      <c r="G575" s="85" t="str">
        <f>IF('Consulta1'!F4667="","",'Consulta1'!F4667)</f>
        <v/>
      </c>
      <c r="H575" s="85" t="str">
        <f>IF('Consulta1'!G4667="","",'Consulta1'!G4667)</f>
        <v/>
      </c>
      <c r="I575" s="86" t="str">
        <f>IF('Consulta1'!H4667="","",'Consulta1'!H4667)</f>
        <v/>
      </c>
      <c r="J575" t="str">
        <f t="shared" si="8"/>
        <v/>
      </c>
      <c r="K575" t="str">
        <f>+IF(E575="","",VLOOKUP(E575,CATALOGO!G:I,2,0))</f>
        <v/>
      </c>
      <c r="L575" t="str">
        <f>+IF(E575="","",VLOOKUP(E575,CATALOGO!G:I,3,0))</f>
        <v/>
      </c>
      <c r="M575" s="87" t="str">
        <f>IF('Consulta1'!I4667="","",'Consulta1'!I4667)</f>
        <v/>
      </c>
      <c r="N575" s="88" t="str">
        <f>IF('Consulta1'!J4667="","",'Consulta1'!J4667)</f>
        <v/>
      </c>
    </row>
    <row r="576" spans="1:14" ht="18.75" x14ac:dyDescent="0.25">
      <c r="A576" s="82" t="str">
        <f>IF('Consulta1'!A4668="","",'Consulta1'!A4668)</f>
        <v/>
      </c>
      <c r="B576" s="82" t="str">
        <f>IF('Consulta1'!B4668="","",'Consulta1'!B4668)</f>
        <v/>
      </c>
      <c r="C576" s="83" t="str">
        <f>IF('Consulta1'!C4668="","",'Consulta1'!C4668)</f>
        <v/>
      </c>
      <c r="D576" s="84" t="str">
        <f>IF('Consulta1'!D4668="","",'Consulta1'!D4668)</f>
        <v/>
      </c>
      <c r="E576" s="82" t="str">
        <f>IF('Consulta1'!E4668="","",'Consulta1'!E4668)</f>
        <v/>
      </c>
      <c r="F576" t="str">
        <f>+IF(E576="","",VLOOKUP(E576,CATALOGO!G:L,6,0))</f>
        <v/>
      </c>
      <c r="G576" s="85" t="str">
        <f>IF('Consulta1'!F4668="","",'Consulta1'!F4668)</f>
        <v/>
      </c>
      <c r="H576" s="85" t="str">
        <f>IF('Consulta1'!G4668="","",'Consulta1'!G4668)</f>
        <v/>
      </c>
      <c r="I576" s="86" t="str">
        <f>IF('Consulta1'!H4668="","",'Consulta1'!H4668)</f>
        <v/>
      </c>
      <c r="J576" t="str">
        <f t="shared" si="8"/>
        <v/>
      </c>
      <c r="K576" t="str">
        <f>+IF(E576="","",VLOOKUP(E576,CATALOGO!G:I,2,0))</f>
        <v/>
      </c>
      <c r="L576" t="str">
        <f>+IF(E576="","",VLOOKUP(E576,CATALOGO!G:I,3,0))</f>
        <v/>
      </c>
      <c r="M576" s="87" t="str">
        <f>IF('Consulta1'!I4668="","",'Consulta1'!I4668)</f>
        <v/>
      </c>
      <c r="N576" s="88" t="str">
        <f>IF('Consulta1'!J4668="","",'Consulta1'!J4668)</f>
        <v/>
      </c>
    </row>
    <row r="577" spans="1:14" ht="18.75" x14ac:dyDescent="0.25">
      <c r="A577" s="82" t="str">
        <f>IF('Consulta1'!A4669="","",'Consulta1'!A4669)</f>
        <v/>
      </c>
      <c r="B577" s="82" t="str">
        <f>IF('Consulta1'!B4669="","",'Consulta1'!B4669)</f>
        <v/>
      </c>
      <c r="C577" s="83" t="str">
        <f>IF('Consulta1'!C4669="","",'Consulta1'!C4669)</f>
        <v/>
      </c>
      <c r="D577" s="84" t="str">
        <f>IF('Consulta1'!D4669="","",'Consulta1'!D4669)</f>
        <v/>
      </c>
      <c r="E577" s="82" t="str">
        <f>IF('Consulta1'!E4669="","",'Consulta1'!E4669)</f>
        <v/>
      </c>
      <c r="F577" t="str">
        <f>+IF(E577="","",VLOOKUP(E577,CATALOGO!G:L,6,0))</f>
        <v/>
      </c>
      <c r="G577" s="85" t="str">
        <f>IF('Consulta1'!F4669="","",'Consulta1'!F4669)</f>
        <v/>
      </c>
      <c r="H577" s="85" t="str">
        <f>IF('Consulta1'!G4669="","",'Consulta1'!G4669)</f>
        <v/>
      </c>
      <c r="I577" s="86" t="str">
        <f>IF('Consulta1'!H4669="","",'Consulta1'!H4669)</f>
        <v/>
      </c>
      <c r="J577" t="str">
        <f t="shared" si="8"/>
        <v/>
      </c>
      <c r="K577" t="str">
        <f>+IF(E577="","",VLOOKUP(E577,CATALOGO!G:I,2,0))</f>
        <v/>
      </c>
      <c r="L577" t="str">
        <f>+IF(E577="","",VLOOKUP(E577,CATALOGO!G:I,3,0))</f>
        <v/>
      </c>
      <c r="M577" s="87" t="str">
        <f>IF('Consulta1'!I4669="","",'Consulta1'!I4669)</f>
        <v/>
      </c>
      <c r="N577" s="88" t="str">
        <f>IF('Consulta1'!J4669="","",'Consulta1'!J4669)</f>
        <v/>
      </c>
    </row>
    <row r="578" spans="1:14" ht="18.75" x14ac:dyDescent="0.25">
      <c r="A578" s="82" t="str">
        <f>IF('Consulta1'!A4670="","",'Consulta1'!A4670)</f>
        <v/>
      </c>
      <c r="B578" s="82" t="str">
        <f>IF('Consulta1'!B4670="","",'Consulta1'!B4670)</f>
        <v/>
      </c>
      <c r="C578" s="83" t="str">
        <f>IF('Consulta1'!C4670="","",'Consulta1'!C4670)</f>
        <v/>
      </c>
      <c r="D578" s="84" t="str">
        <f>IF('Consulta1'!D4670="","",'Consulta1'!D4670)</f>
        <v/>
      </c>
      <c r="E578" s="82" t="str">
        <f>IF('Consulta1'!E4670="","",'Consulta1'!E4670)</f>
        <v/>
      </c>
      <c r="F578" t="str">
        <f>+IF(E578="","",VLOOKUP(E578,CATALOGO!G:L,6,0))</f>
        <v/>
      </c>
      <c r="G578" s="85" t="str">
        <f>IF('Consulta1'!F4670="","",'Consulta1'!F4670)</f>
        <v/>
      </c>
      <c r="H578" s="85" t="str">
        <f>IF('Consulta1'!G4670="","",'Consulta1'!G4670)</f>
        <v/>
      </c>
      <c r="I578" s="86" t="str">
        <f>IF('Consulta1'!H4670="","",'Consulta1'!H4670)</f>
        <v/>
      </c>
      <c r="J578" t="str">
        <f t="shared" si="8"/>
        <v/>
      </c>
      <c r="K578" t="str">
        <f>+IF(E578="","",VLOOKUP(E578,CATALOGO!G:I,2,0))</f>
        <v/>
      </c>
      <c r="L578" t="str">
        <f>+IF(E578="","",VLOOKUP(E578,CATALOGO!G:I,3,0))</f>
        <v/>
      </c>
      <c r="M578" s="87" t="str">
        <f>IF('Consulta1'!I4670="","",'Consulta1'!I4670)</f>
        <v/>
      </c>
      <c r="N578" s="88" t="str">
        <f>IF('Consulta1'!J4670="","",'Consulta1'!J4670)</f>
        <v/>
      </c>
    </row>
    <row r="579" spans="1:14" ht="18.75" x14ac:dyDescent="0.25">
      <c r="A579" s="82" t="str">
        <f>IF('Consulta1'!A4671="","",'Consulta1'!A4671)</f>
        <v/>
      </c>
      <c r="B579" s="82" t="str">
        <f>IF('Consulta1'!B4671="","",'Consulta1'!B4671)</f>
        <v/>
      </c>
      <c r="C579" s="83" t="str">
        <f>IF('Consulta1'!C4671="","",'Consulta1'!C4671)</f>
        <v/>
      </c>
      <c r="D579" s="84" t="str">
        <f>IF('Consulta1'!D4671="","",'Consulta1'!D4671)</f>
        <v/>
      </c>
      <c r="E579" s="82" t="str">
        <f>IF('Consulta1'!E4671="","",'Consulta1'!E4671)</f>
        <v/>
      </c>
      <c r="F579" t="str">
        <f>+IF(E579="","",VLOOKUP(E579,CATALOGO!G:L,6,0))</f>
        <v/>
      </c>
      <c r="G579" s="85" t="str">
        <f>IF('Consulta1'!F4671="","",'Consulta1'!F4671)</f>
        <v/>
      </c>
      <c r="H579" s="85" t="str">
        <f>IF('Consulta1'!G4671="","",'Consulta1'!G4671)</f>
        <v/>
      </c>
      <c r="I579" s="86" t="str">
        <f>IF('Consulta1'!H4671="","",'Consulta1'!H4671)</f>
        <v/>
      </c>
      <c r="J579" t="str">
        <f t="shared" ref="J579:J642" si="9">+IF(E579="","",WEEKNUM(I579))</f>
        <v/>
      </c>
      <c r="K579" t="str">
        <f>+IF(E579="","",VLOOKUP(E579,CATALOGO!G:I,2,0))</f>
        <v/>
      </c>
      <c r="L579" t="str">
        <f>+IF(E579="","",VLOOKUP(E579,CATALOGO!G:I,3,0))</f>
        <v/>
      </c>
      <c r="M579" s="87" t="str">
        <f>IF('Consulta1'!I4671="","",'Consulta1'!I4671)</f>
        <v/>
      </c>
      <c r="N579" s="88" t="str">
        <f>IF('Consulta1'!J4671="","",'Consulta1'!J4671)</f>
        <v/>
      </c>
    </row>
    <row r="580" spans="1:14" ht="18.75" x14ac:dyDescent="0.25">
      <c r="A580" s="82" t="str">
        <f>IF('Consulta1'!A4672="","",'Consulta1'!A4672)</f>
        <v/>
      </c>
      <c r="B580" s="82" t="str">
        <f>IF('Consulta1'!B4672="","",'Consulta1'!B4672)</f>
        <v/>
      </c>
      <c r="C580" s="83" t="str">
        <f>IF('Consulta1'!C4672="","",'Consulta1'!C4672)</f>
        <v/>
      </c>
      <c r="D580" s="84" t="str">
        <f>IF('Consulta1'!D4672="","",'Consulta1'!D4672)</f>
        <v/>
      </c>
      <c r="E580" s="82" t="str">
        <f>IF('Consulta1'!E4672="","",'Consulta1'!E4672)</f>
        <v/>
      </c>
      <c r="F580" t="str">
        <f>+IF(E580="","",VLOOKUP(E580,CATALOGO!G:L,6,0))</f>
        <v/>
      </c>
      <c r="G580" s="85" t="str">
        <f>IF('Consulta1'!F4672="","",'Consulta1'!F4672)</f>
        <v/>
      </c>
      <c r="H580" s="85" t="str">
        <f>IF('Consulta1'!G4672="","",'Consulta1'!G4672)</f>
        <v/>
      </c>
      <c r="I580" s="86" t="str">
        <f>IF('Consulta1'!H4672="","",'Consulta1'!H4672)</f>
        <v/>
      </c>
      <c r="J580" t="str">
        <f t="shared" si="9"/>
        <v/>
      </c>
      <c r="K580" t="str">
        <f>+IF(E580="","",VLOOKUP(E580,CATALOGO!G:I,2,0))</f>
        <v/>
      </c>
      <c r="L580" t="str">
        <f>+IF(E580="","",VLOOKUP(E580,CATALOGO!G:I,3,0))</f>
        <v/>
      </c>
      <c r="M580" s="87" t="str">
        <f>IF('Consulta1'!I4672="","",'Consulta1'!I4672)</f>
        <v/>
      </c>
      <c r="N580" s="88" t="str">
        <f>IF('Consulta1'!J4672="","",'Consulta1'!J4672)</f>
        <v/>
      </c>
    </row>
    <row r="581" spans="1:14" ht="18.75" x14ac:dyDescent="0.25">
      <c r="A581" s="82" t="str">
        <f>IF('Consulta1'!A4673="","",'Consulta1'!A4673)</f>
        <v/>
      </c>
      <c r="B581" s="82" t="str">
        <f>IF('Consulta1'!B4673="","",'Consulta1'!B4673)</f>
        <v/>
      </c>
      <c r="C581" s="83" t="str">
        <f>IF('Consulta1'!C4673="","",'Consulta1'!C4673)</f>
        <v/>
      </c>
      <c r="D581" s="84" t="str">
        <f>IF('Consulta1'!D4673="","",'Consulta1'!D4673)</f>
        <v/>
      </c>
      <c r="E581" s="82" t="str">
        <f>IF('Consulta1'!E4673="","",'Consulta1'!E4673)</f>
        <v/>
      </c>
      <c r="F581" t="str">
        <f>+IF(E581="","",VLOOKUP(E581,CATALOGO!G:L,6,0))</f>
        <v/>
      </c>
      <c r="G581" s="85" t="str">
        <f>IF('Consulta1'!F4673="","",'Consulta1'!F4673)</f>
        <v/>
      </c>
      <c r="H581" s="85" t="str">
        <f>IF('Consulta1'!G4673="","",'Consulta1'!G4673)</f>
        <v/>
      </c>
      <c r="I581" s="86" t="str">
        <f>IF('Consulta1'!H4673="","",'Consulta1'!H4673)</f>
        <v/>
      </c>
      <c r="J581" t="str">
        <f t="shared" si="9"/>
        <v/>
      </c>
      <c r="K581" t="str">
        <f>+IF(E581="","",VLOOKUP(E581,CATALOGO!G:I,2,0))</f>
        <v/>
      </c>
      <c r="L581" t="str">
        <f>+IF(E581="","",VLOOKUP(E581,CATALOGO!G:I,3,0))</f>
        <v/>
      </c>
      <c r="M581" s="87" t="str">
        <f>IF('Consulta1'!I4673="","",'Consulta1'!I4673)</f>
        <v/>
      </c>
      <c r="N581" s="88" t="str">
        <f>IF('Consulta1'!J4673="","",'Consulta1'!J4673)</f>
        <v/>
      </c>
    </row>
    <row r="582" spans="1:14" ht="18.75" x14ac:dyDescent="0.25">
      <c r="A582" s="82" t="str">
        <f>IF('Consulta1'!A4674="","",'Consulta1'!A4674)</f>
        <v/>
      </c>
      <c r="B582" s="82" t="str">
        <f>IF('Consulta1'!B4674="","",'Consulta1'!B4674)</f>
        <v/>
      </c>
      <c r="C582" s="83" t="str">
        <f>IF('Consulta1'!C4674="","",'Consulta1'!C4674)</f>
        <v/>
      </c>
      <c r="D582" s="84" t="str">
        <f>IF('Consulta1'!D4674="","",'Consulta1'!D4674)</f>
        <v/>
      </c>
      <c r="E582" s="82" t="str">
        <f>IF('Consulta1'!E4674="","",'Consulta1'!E4674)</f>
        <v/>
      </c>
      <c r="F582" t="str">
        <f>+IF(E582="","",VLOOKUP(E582,CATALOGO!G:L,6,0))</f>
        <v/>
      </c>
      <c r="G582" s="85" t="str">
        <f>IF('Consulta1'!F4674="","",'Consulta1'!F4674)</f>
        <v/>
      </c>
      <c r="H582" s="85" t="str">
        <f>IF('Consulta1'!G4674="","",'Consulta1'!G4674)</f>
        <v/>
      </c>
      <c r="I582" s="86" t="str">
        <f>IF('Consulta1'!H4674="","",'Consulta1'!H4674)</f>
        <v/>
      </c>
      <c r="J582" t="str">
        <f t="shared" si="9"/>
        <v/>
      </c>
      <c r="K582" t="str">
        <f>+IF(E582="","",VLOOKUP(E582,CATALOGO!G:I,2,0))</f>
        <v/>
      </c>
      <c r="L582" t="str">
        <f>+IF(E582="","",VLOOKUP(E582,CATALOGO!G:I,3,0))</f>
        <v/>
      </c>
      <c r="M582" s="87" t="str">
        <f>IF('Consulta1'!I4674="","",'Consulta1'!I4674)</f>
        <v/>
      </c>
      <c r="N582" s="88" t="str">
        <f>IF('Consulta1'!J4674="","",'Consulta1'!J4674)</f>
        <v/>
      </c>
    </row>
    <row r="583" spans="1:14" ht="18.75" x14ac:dyDescent="0.25">
      <c r="A583" s="82" t="str">
        <f>IF('Consulta1'!A4675="","",'Consulta1'!A4675)</f>
        <v/>
      </c>
      <c r="B583" s="82" t="str">
        <f>IF('Consulta1'!B4675="","",'Consulta1'!B4675)</f>
        <v/>
      </c>
      <c r="C583" s="83" t="str">
        <f>IF('Consulta1'!C4675="","",'Consulta1'!C4675)</f>
        <v/>
      </c>
      <c r="D583" s="84" t="str">
        <f>IF('Consulta1'!D4675="","",'Consulta1'!D4675)</f>
        <v/>
      </c>
      <c r="E583" s="82" t="str">
        <f>IF('Consulta1'!E4675="","",'Consulta1'!E4675)</f>
        <v/>
      </c>
      <c r="F583" t="str">
        <f>+IF(E583="","",VLOOKUP(E583,CATALOGO!G:L,6,0))</f>
        <v/>
      </c>
      <c r="G583" s="85" t="str">
        <f>IF('Consulta1'!F4675="","",'Consulta1'!F4675)</f>
        <v/>
      </c>
      <c r="H583" s="85" t="str">
        <f>IF('Consulta1'!G4675="","",'Consulta1'!G4675)</f>
        <v/>
      </c>
      <c r="I583" s="86" t="str">
        <f>IF('Consulta1'!H4675="","",'Consulta1'!H4675)</f>
        <v/>
      </c>
      <c r="J583" t="str">
        <f t="shared" si="9"/>
        <v/>
      </c>
      <c r="K583" t="str">
        <f>+IF(E583="","",VLOOKUP(E583,CATALOGO!G:I,2,0))</f>
        <v/>
      </c>
      <c r="L583" t="str">
        <f>+IF(E583="","",VLOOKUP(E583,CATALOGO!G:I,3,0))</f>
        <v/>
      </c>
      <c r="M583" s="87" t="str">
        <f>IF('Consulta1'!I4675="","",'Consulta1'!I4675)</f>
        <v/>
      </c>
      <c r="N583" s="88" t="str">
        <f>IF('Consulta1'!J4675="","",'Consulta1'!J4675)</f>
        <v/>
      </c>
    </row>
    <row r="584" spans="1:14" ht="18.75" x14ac:dyDescent="0.25">
      <c r="A584" s="82" t="str">
        <f>IF('Consulta1'!A4676="","",'Consulta1'!A4676)</f>
        <v/>
      </c>
      <c r="B584" s="82" t="str">
        <f>IF('Consulta1'!B4676="","",'Consulta1'!B4676)</f>
        <v/>
      </c>
      <c r="C584" s="83" t="str">
        <f>IF('Consulta1'!C4676="","",'Consulta1'!C4676)</f>
        <v/>
      </c>
      <c r="D584" s="84" t="str">
        <f>IF('Consulta1'!D4676="","",'Consulta1'!D4676)</f>
        <v/>
      </c>
      <c r="E584" s="82" t="str">
        <f>IF('Consulta1'!E4676="","",'Consulta1'!E4676)</f>
        <v/>
      </c>
      <c r="F584" t="str">
        <f>+IF(E584="","",VLOOKUP(E584,CATALOGO!G:L,6,0))</f>
        <v/>
      </c>
      <c r="G584" s="85" t="str">
        <f>IF('Consulta1'!F4676="","",'Consulta1'!F4676)</f>
        <v/>
      </c>
      <c r="H584" s="85" t="str">
        <f>IF('Consulta1'!G4676="","",'Consulta1'!G4676)</f>
        <v/>
      </c>
      <c r="I584" s="86" t="str">
        <f>IF('Consulta1'!H4676="","",'Consulta1'!H4676)</f>
        <v/>
      </c>
      <c r="J584" t="str">
        <f t="shared" si="9"/>
        <v/>
      </c>
      <c r="K584" t="str">
        <f>+IF(E584="","",VLOOKUP(E584,CATALOGO!G:I,2,0))</f>
        <v/>
      </c>
      <c r="L584" t="str">
        <f>+IF(E584="","",VLOOKUP(E584,CATALOGO!G:I,3,0))</f>
        <v/>
      </c>
      <c r="M584" s="87" t="str">
        <f>IF('Consulta1'!I4676="","",'Consulta1'!I4676)</f>
        <v/>
      </c>
      <c r="N584" s="88" t="str">
        <f>IF('Consulta1'!J4676="","",'Consulta1'!J4676)</f>
        <v/>
      </c>
    </row>
    <row r="585" spans="1:14" ht="18.75" x14ac:dyDescent="0.25">
      <c r="A585" s="82" t="str">
        <f>IF('Consulta1'!A4677="","",'Consulta1'!A4677)</f>
        <v/>
      </c>
      <c r="B585" s="82" t="str">
        <f>IF('Consulta1'!B4677="","",'Consulta1'!B4677)</f>
        <v/>
      </c>
      <c r="C585" s="83" t="str">
        <f>IF('Consulta1'!C4677="","",'Consulta1'!C4677)</f>
        <v/>
      </c>
      <c r="D585" s="84" t="str">
        <f>IF('Consulta1'!D4677="","",'Consulta1'!D4677)</f>
        <v/>
      </c>
      <c r="E585" s="82" t="str">
        <f>IF('Consulta1'!E4677="","",'Consulta1'!E4677)</f>
        <v/>
      </c>
      <c r="F585" t="str">
        <f>+IF(E585="","",VLOOKUP(E585,CATALOGO!G:L,6,0))</f>
        <v/>
      </c>
      <c r="G585" s="85" t="str">
        <f>IF('Consulta1'!F4677="","",'Consulta1'!F4677)</f>
        <v/>
      </c>
      <c r="H585" s="85" t="str">
        <f>IF('Consulta1'!G4677="","",'Consulta1'!G4677)</f>
        <v/>
      </c>
      <c r="I585" s="86" t="str">
        <f>IF('Consulta1'!H4677="","",'Consulta1'!H4677)</f>
        <v/>
      </c>
      <c r="J585" t="str">
        <f t="shared" si="9"/>
        <v/>
      </c>
      <c r="K585" t="str">
        <f>+IF(E585="","",VLOOKUP(E585,CATALOGO!G:I,2,0))</f>
        <v/>
      </c>
      <c r="L585" t="str">
        <f>+IF(E585="","",VLOOKUP(E585,CATALOGO!G:I,3,0))</f>
        <v/>
      </c>
      <c r="M585" s="87" t="str">
        <f>IF('Consulta1'!I4677="","",'Consulta1'!I4677)</f>
        <v/>
      </c>
      <c r="N585" s="88" t="str">
        <f>IF('Consulta1'!J4677="","",'Consulta1'!J4677)</f>
        <v/>
      </c>
    </row>
    <row r="586" spans="1:14" ht="18.75" x14ac:dyDescent="0.25">
      <c r="A586" s="82" t="str">
        <f>IF('Consulta1'!A4678="","",'Consulta1'!A4678)</f>
        <v/>
      </c>
      <c r="B586" s="82" t="str">
        <f>IF('Consulta1'!B4678="","",'Consulta1'!B4678)</f>
        <v/>
      </c>
      <c r="C586" s="83" t="str">
        <f>IF('Consulta1'!C4678="","",'Consulta1'!C4678)</f>
        <v/>
      </c>
      <c r="D586" s="84" t="str">
        <f>IF('Consulta1'!D4678="","",'Consulta1'!D4678)</f>
        <v/>
      </c>
      <c r="E586" s="82" t="str">
        <f>IF('Consulta1'!E4678="","",'Consulta1'!E4678)</f>
        <v/>
      </c>
      <c r="F586" t="str">
        <f>+IF(E586="","",VLOOKUP(E586,CATALOGO!G:L,6,0))</f>
        <v/>
      </c>
      <c r="G586" s="85" t="str">
        <f>IF('Consulta1'!F4678="","",'Consulta1'!F4678)</f>
        <v/>
      </c>
      <c r="H586" s="85" t="str">
        <f>IF('Consulta1'!G4678="","",'Consulta1'!G4678)</f>
        <v/>
      </c>
      <c r="I586" s="86" t="str">
        <f>IF('Consulta1'!H4678="","",'Consulta1'!H4678)</f>
        <v/>
      </c>
      <c r="J586" t="str">
        <f t="shared" si="9"/>
        <v/>
      </c>
      <c r="K586" t="str">
        <f>+IF(E586="","",VLOOKUP(E586,CATALOGO!G:I,2,0))</f>
        <v/>
      </c>
      <c r="L586" t="str">
        <f>+IF(E586="","",VLOOKUP(E586,CATALOGO!G:I,3,0))</f>
        <v/>
      </c>
      <c r="M586" s="87" t="str">
        <f>IF('Consulta1'!I4678="","",'Consulta1'!I4678)</f>
        <v/>
      </c>
      <c r="N586" s="88" t="str">
        <f>IF('Consulta1'!J4678="","",'Consulta1'!J4678)</f>
        <v/>
      </c>
    </row>
    <row r="587" spans="1:14" ht="18.75" x14ac:dyDescent="0.25">
      <c r="A587" s="82" t="str">
        <f>IF('Consulta1'!A4679="","",'Consulta1'!A4679)</f>
        <v/>
      </c>
      <c r="B587" s="82" t="str">
        <f>IF('Consulta1'!B4679="","",'Consulta1'!B4679)</f>
        <v/>
      </c>
      <c r="C587" s="83" t="str">
        <f>IF('Consulta1'!C4679="","",'Consulta1'!C4679)</f>
        <v/>
      </c>
      <c r="D587" s="84" t="str">
        <f>IF('Consulta1'!D4679="","",'Consulta1'!D4679)</f>
        <v/>
      </c>
      <c r="E587" s="82" t="str">
        <f>IF('Consulta1'!E4679="","",'Consulta1'!E4679)</f>
        <v/>
      </c>
      <c r="F587" t="str">
        <f>+IF(E587="","",VLOOKUP(E587,CATALOGO!G:L,6,0))</f>
        <v/>
      </c>
      <c r="G587" s="85" t="str">
        <f>IF('Consulta1'!F4679="","",'Consulta1'!F4679)</f>
        <v/>
      </c>
      <c r="H587" s="85" t="str">
        <f>IF('Consulta1'!G4679="","",'Consulta1'!G4679)</f>
        <v/>
      </c>
      <c r="I587" s="86" t="str">
        <f>IF('Consulta1'!H4679="","",'Consulta1'!H4679)</f>
        <v/>
      </c>
      <c r="J587" t="str">
        <f t="shared" si="9"/>
        <v/>
      </c>
      <c r="K587" t="str">
        <f>+IF(E587="","",VLOOKUP(E587,CATALOGO!G:I,2,0))</f>
        <v/>
      </c>
      <c r="L587" t="str">
        <f>+IF(E587="","",VLOOKUP(E587,CATALOGO!G:I,3,0))</f>
        <v/>
      </c>
      <c r="M587" s="87" t="str">
        <f>IF('Consulta1'!I4679="","",'Consulta1'!I4679)</f>
        <v/>
      </c>
      <c r="N587" s="88" t="str">
        <f>IF('Consulta1'!J4679="","",'Consulta1'!J4679)</f>
        <v/>
      </c>
    </row>
    <row r="588" spans="1:14" ht="18.75" x14ac:dyDescent="0.25">
      <c r="A588" s="82" t="str">
        <f>IF('Consulta1'!A4680="","",'Consulta1'!A4680)</f>
        <v/>
      </c>
      <c r="B588" s="82" t="str">
        <f>IF('Consulta1'!B4680="","",'Consulta1'!B4680)</f>
        <v/>
      </c>
      <c r="C588" s="83" t="str">
        <f>IF('Consulta1'!C4680="","",'Consulta1'!C4680)</f>
        <v/>
      </c>
      <c r="D588" s="84" t="str">
        <f>IF('Consulta1'!D4680="","",'Consulta1'!D4680)</f>
        <v/>
      </c>
      <c r="E588" s="82" t="str">
        <f>IF('Consulta1'!E4680="","",'Consulta1'!E4680)</f>
        <v/>
      </c>
      <c r="F588" t="str">
        <f>+IF(E588="","",VLOOKUP(E588,CATALOGO!G:L,6,0))</f>
        <v/>
      </c>
      <c r="G588" s="85" t="str">
        <f>IF('Consulta1'!F4680="","",'Consulta1'!F4680)</f>
        <v/>
      </c>
      <c r="H588" s="85" t="str">
        <f>IF('Consulta1'!G4680="","",'Consulta1'!G4680)</f>
        <v/>
      </c>
      <c r="I588" s="86" t="str">
        <f>IF('Consulta1'!H4680="","",'Consulta1'!H4680)</f>
        <v/>
      </c>
      <c r="J588" t="str">
        <f t="shared" si="9"/>
        <v/>
      </c>
      <c r="K588" t="str">
        <f>+IF(E588="","",VLOOKUP(E588,CATALOGO!G:I,2,0))</f>
        <v/>
      </c>
      <c r="L588" t="str">
        <f>+IF(E588="","",VLOOKUP(E588,CATALOGO!G:I,3,0))</f>
        <v/>
      </c>
      <c r="M588" s="87" t="str">
        <f>IF('Consulta1'!I4680="","",'Consulta1'!I4680)</f>
        <v/>
      </c>
      <c r="N588" s="88" t="str">
        <f>IF('Consulta1'!J4680="","",'Consulta1'!J4680)</f>
        <v/>
      </c>
    </row>
    <row r="589" spans="1:14" ht="18.75" x14ac:dyDescent="0.25">
      <c r="A589" s="82" t="str">
        <f>IF('Consulta1'!A4681="","",'Consulta1'!A4681)</f>
        <v/>
      </c>
      <c r="B589" s="82" t="str">
        <f>IF('Consulta1'!B4681="","",'Consulta1'!B4681)</f>
        <v/>
      </c>
      <c r="C589" s="83" t="str">
        <f>IF('Consulta1'!C4681="","",'Consulta1'!C4681)</f>
        <v/>
      </c>
      <c r="D589" s="84" t="str">
        <f>IF('Consulta1'!D4681="","",'Consulta1'!D4681)</f>
        <v/>
      </c>
      <c r="E589" s="82" t="str">
        <f>IF('Consulta1'!E4681="","",'Consulta1'!E4681)</f>
        <v/>
      </c>
      <c r="F589" t="str">
        <f>+IF(E589="","",VLOOKUP(E589,CATALOGO!G:L,6,0))</f>
        <v/>
      </c>
      <c r="G589" s="85" t="str">
        <f>IF('Consulta1'!F4681="","",'Consulta1'!F4681)</f>
        <v/>
      </c>
      <c r="H589" s="85" t="str">
        <f>IF('Consulta1'!G4681="","",'Consulta1'!G4681)</f>
        <v/>
      </c>
      <c r="I589" s="86" t="str">
        <f>IF('Consulta1'!H4681="","",'Consulta1'!H4681)</f>
        <v/>
      </c>
      <c r="J589" t="str">
        <f t="shared" si="9"/>
        <v/>
      </c>
      <c r="K589" t="str">
        <f>+IF(E589="","",VLOOKUP(E589,CATALOGO!G:I,2,0))</f>
        <v/>
      </c>
      <c r="L589" t="str">
        <f>+IF(E589="","",VLOOKUP(E589,CATALOGO!G:I,3,0))</f>
        <v/>
      </c>
      <c r="M589" s="87" t="str">
        <f>IF('Consulta1'!I4681="","",'Consulta1'!I4681)</f>
        <v/>
      </c>
      <c r="N589" s="88" t="str">
        <f>IF('Consulta1'!J4681="","",'Consulta1'!J4681)</f>
        <v/>
      </c>
    </row>
    <row r="590" spans="1:14" ht="18.75" x14ac:dyDescent="0.25">
      <c r="A590" s="82" t="str">
        <f>IF('Consulta1'!A4682="","",'Consulta1'!A4682)</f>
        <v/>
      </c>
      <c r="B590" s="82" t="str">
        <f>IF('Consulta1'!B4682="","",'Consulta1'!B4682)</f>
        <v/>
      </c>
      <c r="C590" s="83" t="str">
        <f>IF('Consulta1'!C4682="","",'Consulta1'!C4682)</f>
        <v/>
      </c>
      <c r="D590" s="84" t="str">
        <f>IF('Consulta1'!D4682="","",'Consulta1'!D4682)</f>
        <v/>
      </c>
      <c r="E590" s="82" t="str">
        <f>IF('Consulta1'!E4682="","",'Consulta1'!E4682)</f>
        <v/>
      </c>
      <c r="F590" t="str">
        <f>+IF(E590="","",VLOOKUP(E590,CATALOGO!G:L,6,0))</f>
        <v/>
      </c>
      <c r="G590" s="85" t="str">
        <f>IF('Consulta1'!F4682="","",'Consulta1'!F4682)</f>
        <v/>
      </c>
      <c r="H590" s="85" t="str">
        <f>IF('Consulta1'!G4682="","",'Consulta1'!G4682)</f>
        <v/>
      </c>
      <c r="I590" s="86" t="str">
        <f>IF('Consulta1'!H4682="","",'Consulta1'!H4682)</f>
        <v/>
      </c>
      <c r="J590" t="str">
        <f t="shared" si="9"/>
        <v/>
      </c>
      <c r="K590" t="str">
        <f>+IF(E590="","",VLOOKUP(E590,CATALOGO!G:I,2,0))</f>
        <v/>
      </c>
      <c r="L590" t="str">
        <f>+IF(E590="","",VLOOKUP(E590,CATALOGO!G:I,3,0))</f>
        <v/>
      </c>
      <c r="M590" s="87" t="str">
        <f>IF('Consulta1'!I4682="","",'Consulta1'!I4682)</f>
        <v/>
      </c>
      <c r="N590" s="88" t="str">
        <f>IF('Consulta1'!J4682="","",'Consulta1'!J4682)</f>
        <v/>
      </c>
    </row>
    <row r="591" spans="1:14" ht="18.75" x14ac:dyDescent="0.25">
      <c r="A591" s="82" t="str">
        <f>IF('Consulta1'!A4683="","",'Consulta1'!A4683)</f>
        <v/>
      </c>
      <c r="B591" s="82" t="str">
        <f>IF('Consulta1'!B4683="","",'Consulta1'!B4683)</f>
        <v/>
      </c>
      <c r="C591" s="83" t="str">
        <f>IF('Consulta1'!C4683="","",'Consulta1'!C4683)</f>
        <v/>
      </c>
      <c r="D591" s="84" t="str">
        <f>IF('Consulta1'!D4683="","",'Consulta1'!D4683)</f>
        <v/>
      </c>
      <c r="E591" s="82" t="str">
        <f>IF('Consulta1'!E4683="","",'Consulta1'!E4683)</f>
        <v/>
      </c>
      <c r="F591" t="str">
        <f>+IF(E591="","",VLOOKUP(E591,CATALOGO!G:L,6,0))</f>
        <v/>
      </c>
      <c r="G591" s="85" t="str">
        <f>IF('Consulta1'!F4683="","",'Consulta1'!F4683)</f>
        <v/>
      </c>
      <c r="H591" s="85" t="str">
        <f>IF('Consulta1'!G4683="","",'Consulta1'!G4683)</f>
        <v/>
      </c>
      <c r="I591" s="86" t="str">
        <f>IF('Consulta1'!H4683="","",'Consulta1'!H4683)</f>
        <v/>
      </c>
      <c r="J591" t="str">
        <f t="shared" si="9"/>
        <v/>
      </c>
      <c r="K591" t="str">
        <f>+IF(E591="","",VLOOKUP(E591,CATALOGO!G:I,2,0))</f>
        <v/>
      </c>
      <c r="L591" t="str">
        <f>+IF(E591="","",VLOOKUP(E591,CATALOGO!G:I,3,0))</f>
        <v/>
      </c>
      <c r="M591" s="87" t="str">
        <f>IF('Consulta1'!I4683="","",'Consulta1'!I4683)</f>
        <v/>
      </c>
      <c r="N591" s="88" t="str">
        <f>IF('Consulta1'!J4683="","",'Consulta1'!J4683)</f>
        <v/>
      </c>
    </row>
    <row r="592" spans="1:14" ht="18.75" x14ac:dyDescent="0.25">
      <c r="A592" s="82" t="str">
        <f>IF('Consulta1'!A4684="","",'Consulta1'!A4684)</f>
        <v/>
      </c>
      <c r="B592" s="82" t="str">
        <f>IF('Consulta1'!B4684="","",'Consulta1'!B4684)</f>
        <v/>
      </c>
      <c r="C592" s="83" t="str">
        <f>IF('Consulta1'!C4684="","",'Consulta1'!C4684)</f>
        <v/>
      </c>
      <c r="D592" s="84" t="str">
        <f>IF('Consulta1'!D4684="","",'Consulta1'!D4684)</f>
        <v/>
      </c>
      <c r="E592" s="82" t="str">
        <f>IF('Consulta1'!E4684="","",'Consulta1'!E4684)</f>
        <v/>
      </c>
      <c r="F592" t="str">
        <f>+IF(E592="","",VLOOKUP(E592,CATALOGO!G:L,6,0))</f>
        <v/>
      </c>
      <c r="G592" s="85" t="str">
        <f>IF('Consulta1'!F4684="","",'Consulta1'!F4684)</f>
        <v/>
      </c>
      <c r="H592" s="85" t="str">
        <f>IF('Consulta1'!G4684="","",'Consulta1'!G4684)</f>
        <v/>
      </c>
      <c r="I592" s="86" t="str">
        <f>IF('Consulta1'!H4684="","",'Consulta1'!H4684)</f>
        <v/>
      </c>
      <c r="J592" t="str">
        <f t="shared" si="9"/>
        <v/>
      </c>
      <c r="K592" t="str">
        <f>+IF(E592="","",VLOOKUP(E592,CATALOGO!G:I,2,0))</f>
        <v/>
      </c>
      <c r="L592" t="str">
        <f>+IF(E592="","",VLOOKUP(E592,CATALOGO!G:I,3,0))</f>
        <v/>
      </c>
      <c r="M592" s="87" t="str">
        <f>IF('Consulta1'!I4684="","",'Consulta1'!I4684)</f>
        <v/>
      </c>
      <c r="N592" s="88" t="str">
        <f>IF('Consulta1'!J4684="","",'Consulta1'!J4684)</f>
        <v/>
      </c>
    </row>
    <row r="593" spans="1:14" ht="18.75" x14ac:dyDescent="0.25">
      <c r="A593" s="82" t="str">
        <f>IF('Consulta1'!A4685="","",'Consulta1'!A4685)</f>
        <v/>
      </c>
      <c r="B593" s="82" t="str">
        <f>IF('Consulta1'!B4685="","",'Consulta1'!B4685)</f>
        <v/>
      </c>
      <c r="C593" s="83" t="str">
        <f>IF('Consulta1'!C4685="","",'Consulta1'!C4685)</f>
        <v/>
      </c>
      <c r="D593" s="84" t="str">
        <f>IF('Consulta1'!D4685="","",'Consulta1'!D4685)</f>
        <v/>
      </c>
      <c r="E593" s="82" t="str">
        <f>IF('Consulta1'!E4685="","",'Consulta1'!E4685)</f>
        <v/>
      </c>
      <c r="F593" t="str">
        <f>+IF(E593="","",VLOOKUP(E593,CATALOGO!G:L,6,0))</f>
        <v/>
      </c>
      <c r="G593" s="85" t="str">
        <f>IF('Consulta1'!F4685="","",'Consulta1'!F4685)</f>
        <v/>
      </c>
      <c r="H593" s="85" t="str">
        <f>IF('Consulta1'!G4685="","",'Consulta1'!G4685)</f>
        <v/>
      </c>
      <c r="I593" s="86" t="str">
        <f>IF('Consulta1'!H4685="","",'Consulta1'!H4685)</f>
        <v/>
      </c>
      <c r="J593" t="str">
        <f t="shared" si="9"/>
        <v/>
      </c>
      <c r="K593" t="str">
        <f>+IF(E593="","",VLOOKUP(E593,CATALOGO!G:I,2,0))</f>
        <v/>
      </c>
      <c r="L593" t="str">
        <f>+IF(E593="","",VLOOKUP(E593,CATALOGO!G:I,3,0))</f>
        <v/>
      </c>
      <c r="M593" s="87" t="str">
        <f>IF('Consulta1'!I4685="","",'Consulta1'!I4685)</f>
        <v/>
      </c>
      <c r="N593" s="88" t="str">
        <f>IF('Consulta1'!J4685="","",'Consulta1'!J4685)</f>
        <v/>
      </c>
    </row>
    <row r="594" spans="1:14" ht="18.75" x14ac:dyDescent="0.25">
      <c r="A594" s="82" t="str">
        <f>IF('Consulta1'!A4686="","",'Consulta1'!A4686)</f>
        <v/>
      </c>
      <c r="B594" s="82" t="str">
        <f>IF('Consulta1'!B4686="","",'Consulta1'!B4686)</f>
        <v/>
      </c>
      <c r="C594" s="83" t="str">
        <f>IF('Consulta1'!C4686="","",'Consulta1'!C4686)</f>
        <v/>
      </c>
      <c r="D594" s="84" t="str">
        <f>IF('Consulta1'!D4686="","",'Consulta1'!D4686)</f>
        <v/>
      </c>
      <c r="E594" s="82" t="str">
        <f>IF('Consulta1'!E4686="","",'Consulta1'!E4686)</f>
        <v/>
      </c>
      <c r="F594" t="str">
        <f>+IF(E594="","",VLOOKUP(E594,CATALOGO!G:L,6,0))</f>
        <v/>
      </c>
      <c r="G594" s="85" t="str">
        <f>IF('Consulta1'!F4686="","",'Consulta1'!F4686)</f>
        <v/>
      </c>
      <c r="H594" s="85" t="str">
        <f>IF('Consulta1'!G4686="","",'Consulta1'!G4686)</f>
        <v/>
      </c>
      <c r="I594" s="86" t="str">
        <f>IF('Consulta1'!H4686="","",'Consulta1'!H4686)</f>
        <v/>
      </c>
      <c r="J594" t="str">
        <f t="shared" si="9"/>
        <v/>
      </c>
      <c r="K594" t="str">
        <f>+IF(E594="","",VLOOKUP(E594,CATALOGO!G:I,2,0))</f>
        <v/>
      </c>
      <c r="L594" t="str">
        <f>+IF(E594="","",VLOOKUP(E594,CATALOGO!G:I,3,0))</f>
        <v/>
      </c>
      <c r="M594" s="87" t="str">
        <f>IF('Consulta1'!I4686="","",'Consulta1'!I4686)</f>
        <v/>
      </c>
      <c r="N594" s="88" t="str">
        <f>IF('Consulta1'!J4686="","",'Consulta1'!J4686)</f>
        <v/>
      </c>
    </row>
    <row r="595" spans="1:14" ht="18.75" x14ac:dyDescent="0.25">
      <c r="A595" s="82" t="str">
        <f>IF('Consulta1'!A4687="","",'Consulta1'!A4687)</f>
        <v/>
      </c>
      <c r="B595" s="82" t="str">
        <f>IF('Consulta1'!B4687="","",'Consulta1'!B4687)</f>
        <v/>
      </c>
      <c r="C595" s="83" t="str">
        <f>IF('Consulta1'!C4687="","",'Consulta1'!C4687)</f>
        <v/>
      </c>
      <c r="D595" s="84" t="str">
        <f>IF('Consulta1'!D4687="","",'Consulta1'!D4687)</f>
        <v/>
      </c>
      <c r="E595" s="82" t="str">
        <f>IF('Consulta1'!E4687="","",'Consulta1'!E4687)</f>
        <v/>
      </c>
      <c r="F595" t="str">
        <f>+IF(E595="","",VLOOKUP(E595,CATALOGO!G:L,6,0))</f>
        <v/>
      </c>
      <c r="G595" s="85" t="str">
        <f>IF('Consulta1'!F4687="","",'Consulta1'!F4687)</f>
        <v/>
      </c>
      <c r="H595" s="85" t="str">
        <f>IF('Consulta1'!G4687="","",'Consulta1'!G4687)</f>
        <v/>
      </c>
      <c r="I595" s="86" t="str">
        <f>IF('Consulta1'!H4687="","",'Consulta1'!H4687)</f>
        <v/>
      </c>
      <c r="J595" t="str">
        <f t="shared" si="9"/>
        <v/>
      </c>
      <c r="K595" t="str">
        <f>+IF(E595="","",VLOOKUP(E595,CATALOGO!G:I,2,0))</f>
        <v/>
      </c>
      <c r="L595" t="str">
        <f>+IF(E595="","",VLOOKUP(E595,CATALOGO!G:I,3,0))</f>
        <v/>
      </c>
      <c r="M595" s="87" t="str">
        <f>IF('Consulta1'!I4687="","",'Consulta1'!I4687)</f>
        <v/>
      </c>
      <c r="N595" s="88" t="str">
        <f>IF('Consulta1'!J4687="","",'Consulta1'!J4687)</f>
        <v/>
      </c>
    </row>
    <row r="596" spans="1:14" ht="18.75" x14ac:dyDescent="0.25">
      <c r="A596" s="82" t="str">
        <f>IF('Consulta1'!A4688="","",'Consulta1'!A4688)</f>
        <v/>
      </c>
      <c r="B596" s="82" t="str">
        <f>IF('Consulta1'!B4688="","",'Consulta1'!B4688)</f>
        <v/>
      </c>
      <c r="C596" s="83" t="str">
        <f>IF('Consulta1'!C4688="","",'Consulta1'!C4688)</f>
        <v/>
      </c>
      <c r="D596" s="84" t="str">
        <f>IF('Consulta1'!D4688="","",'Consulta1'!D4688)</f>
        <v/>
      </c>
      <c r="E596" s="82" t="str">
        <f>IF('Consulta1'!E4688="","",'Consulta1'!E4688)</f>
        <v/>
      </c>
      <c r="F596" t="str">
        <f>+IF(E596="","",VLOOKUP(E596,CATALOGO!G:L,6,0))</f>
        <v/>
      </c>
      <c r="G596" s="85" t="str">
        <f>IF('Consulta1'!F4688="","",'Consulta1'!F4688)</f>
        <v/>
      </c>
      <c r="H596" s="85" t="str">
        <f>IF('Consulta1'!G4688="","",'Consulta1'!G4688)</f>
        <v/>
      </c>
      <c r="I596" s="86" t="str">
        <f>IF('Consulta1'!H4688="","",'Consulta1'!H4688)</f>
        <v/>
      </c>
      <c r="J596" t="str">
        <f t="shared" si="9"/>
        <v/>
      </c>
      <c r="K596" t="str">
        <f>+IF(E596="","",VLOOKUP(E596,CATALOGO!G:I,2,0))</f>
        <v/>
      </c>
      <c r="L596" t="str">
        <f>+IF(E596="","",VLOOKUP(E596,CATALOGO!G:I,3,0))</f>
        <v/>
      </c>
      <c r="M596" s="87" t="str">
        <f>IF('Consulta1'!I4688="","",'Consulta1'!I4688)</f>
        <v/>
      </c>
      <c r="N596" s="88" t="str">
        <f>IF('Consulta1'!J4688="","",'Consulta1'!J4688)</f>
        <v/>
      </c>
    </row>
    <row r="597" spans="1:14" ht="18.75" x14ac:dyDescent="0.25">
      <c r="A597" s="82" t="str">
        <f>IF('Consulta1'!A4689="","",'Consulta1'!A4689)</f>
        <v/>
      </c>
      <c r="B597" s="82" t="str">
        <f>IF('Consulta1'!B4689="","",'Consulta1'!B4689)</f>
        <v/>
      </c>
      <c r="C597" s="83" t="str">
        <f>IF('Consulta1'!C4689="","",'Consulta1'!C4689)</f>
        <v/>
      </c>
      <c r="D597" s="84" t="str">
        <f>IF('Consulta1'!D4689="","",'Consulta1'!D4689)</f>
        <v/>
      </c>
      <c r="E597" s="82" t="str">
        <f>IF('Consulta1'!E4689="","",'Consulta1'!E4689)</f>
        <v/>
      </c>
      <c r="F597" t="str">
        <f>+IF(E597="","",VLOOKUP(E597,CATALOGO!G:L,6,0))</f>
        <v/>
      </c>
      <c r="G597" s="85" t="str">
        <f>IF('Consulta1'!F4689="","",'Consulta1'!F4689)</f>
        <v/>
      </c>
      <c r="H597" s="85" t="str">
        <f>IF('Consulta1'!G4689="","",'Consulta1'!G4689)</f>
        <v/>
      </c>
      <c r="I597" s="86" t="str">
        <f>IF('Consulta1'!H4689="","",'Consulta1'!H4689)</f>
        <v/>
      </c>
      <c r="J597" t="str">
        <f t="shared" si="9"/>
        <v/>
      </c>
      <c r="K597" t="str">
        <f>+IF(E597="","",VLOOKUP(E597,CATALOGO!G:I,2,0))</f>
        <v/>
      </c>
      <c r="L597" t="str">
        <f>+IF(E597="","",VLOOKUP(E597,CATALOGO!G:I,3,0))</f>
        <v/>
      </c>
      <c r="M597" s="87" t="str">
        <f>IF('Consulta1'!I4689="","",'Consulta1'!I4689)</f>
        <v/>
      </c>
      <c r="N597" s="88" t="str">
        <f>IF('Consulta1'!J4689="","",'Consulta1'!J4689)</f>
        <v/>
      </c>
    </row>
    <row r="598" spans="1:14" ht="18.75" x14ac:dyDescent="0.25">
      <c r="A598" s="82" t="str">
        <f>IF('Consulta1'!A4690="","",'Consulta1'!A4690)</f>
        <v/>
      </c>
      <c r="B598" s="82" t="str">
        <f>IF('Consulta1'!B4690="","",'Consulta1'!B4690)</f>
        <v/>
      </c>
      <c r="C598" s="83" t="str">
        <f>IF('Consulta1'!C4690="","",'Consulta1'!C4690)</f>
        <v/>
      </c>
      <c r="D598" s="84" t="str">
        <f>IF('Consulta1'!D4690="","",'Consulta1'!D4690)</f>
        <v/>
      </c>
      <c r="E598" s="82" t="str">
        <f>IF('Consulta1'!E4690="","",'Consulta1'!E4690)</f>
        <v/>
      </c>
      <c r="F598" t="str">
        <f>+IF(E598="","",VLOOKUP(E598,CATALOGO!G:L,6,0))</f>
        <v/>
      </c>
      <c r="G598" s="85" t="str">
        <f>IF('Consulta1'!F4690="","",'Consulta1'!F4690)</f>
        <v/>
      </c>
      <c r="H598" s="85" t="str">
        <f>IF('Consulta1'!G4690="","",'Consulta1'!G4690)</f>
        <v/>
      </c>
      <c r="I598" s="86" t="str">
        <f>IF('Consulta1'!H4690="","",'Consulta1'!H4690)</f>
        <v/>
      </c>
      <c r="J598" t="str">
        <f t="shared" si="9"/>
        <v/>
      </c>
      <c r="K598" t="str">
        <f>+IF(E598="","",VLOOKUP(E598,CATALOGO!G:I,2,0))</f>
        <v/>
      </c>
      <c r="L598" t="str">
        <f>+IF(E598="","",VLOOKUP(E598,CATALOGO!G:I,3,0))</f>
        <v/>
      </c>
      <c r="M598" s="87" t="str">
        <f>IF('Consulta1'!I4690="","",'Consulta1'!I4690)</f>
        <v/>
      </c>
      <c r="N598" s="88" t="str">
        <f>IF('Consulta1'!J4690="","",'Consulta1'!J4690)</f>
        <v/>
      </c>
    </row>
    <row r="599" spans="1:14" ht="18.75" x14ac:dyDescent="0.25">
      <c r="A599" s="82" t="str">
        <f>IF('Consulta1'!A4691="","",'Consulta1'!A4691)</f>
        <v/>
      </c>
      <c r="B599" s="82" t="str">
        <f>IF('Consulta1'!B4691="","",'Consulta1'!B4691)</f>
        <v/>
      </c>
      <c r="C599" s="83" t="str">
        <f>IF('Consulta1'!C4691="","",'Consulta1'!C4691)</f>
        <v/>
      </c>
      <c r="D599" s="84" t="str">
        <f>IF('Consulta1'!D4691="","",'Consulta1'!D4691)</f>
        <v/>
      </c>
      <c r="E599" s="82" t="str">
        <f>IF('Consulta1'!E4691="","",'Consulta1'!E4691)</f>
        <v/>
      </c>
      <c r="F599" t="str">
        <f>+IF(E599="","",VLOOKUP(E599,CATALOGO!G:L,6,0))</f>
        <v/>
      </c>
      <c r="G599" s="85" t="str">
        <f>IF('Consulta1'!F4691="","",'Consulta1'!F4691)</f>
        <v/>
      </c>
      <c r="H599" s="85" t="str">
        <f>IF('Consulta1'!G4691="","",'Consulta1'!G4691)</f>
        <v/>
      </c>
      <c r="I599" s="86" t="str">
        <f>IF('Consulta1'!H4691="","",'Consulta1'!H4691)</f>
        <v/>
      </c>
      <c r="J599" t="str">
        <f t="shared" si="9"/>
        <v/>
      </c>
      <c r="K599" t="str">
        <f>+IF(E599="","",VLOOKUP(E599,CATALOGO!G:I,2,0))</f>
        <v/>
      </c>
      <c r="L599" t="str">
        <f>+IF(E599="","",VLOOKUP(E599,CATALOGO!G:I,3,0))</f>
        <v/>
      </c>
      <c r="M599" s="87" t="str">
        <f>IF('Consulta1'!I4691="","",'Consulta1'!I4691)</f>
        <v/>
      </c>
      <c r="N599" s="88" t="str">
        <f>IF('Consulta1'!J4691="","",'Consulta1'!J4691)</f>
        <v/>
      </c>
    </row>
    <row r="600" spans="1:14" ht="18.75" x14ac:dyDescent="0.25">
      <c r="A600" s="82" t="str">
        <f>IF('Consulta1'!A4692="","",'Consulta1'!A4692)</f>
        <v/>
      </c>
      <c r="B600" s="82" t="str">
        <f>IF('Consulta1'!B4692="","",'Consulta1'!B4692)</f>
        <v/>
      </c>
      <c r="C600" s="83" t="str">
        <f>IF('Consulta1'!C4692="","",'Consulta1'!C4692)</f>
        <v/>
      </c>
      <c r="D600" s="84" t="str">
        <f>IF('Consulta1'!D4692="","",'Consulta1'!D4692)</f>
        <v/>
      </c>
      <c r="E600" s="82" t="str">
        <f>IF('Consulta1'!E4692="","",'Consulta1'!E4692)</f>
        <v/>
      </c>
      <c r="F600" t="str">
        <f>+IF(E600="","",VLOOKUP(E600,CATALOGO!G:L,6,0))</f>
        <v/>
      </c>
      <c r="G600" s="85" t="str">
        <f>IF('Consulta1'!F4692="","",'Consulta1'!F4692)</f>
        <v/>
      </c>
      <c r="H600" s="85" t="str">
        <f>IF('Consulta1'!G4692="","",'Consulta1'!G4692)</f>
        <v/>
      </c>
      <c r="I600" s="86" t="str">
        <f>IF('Consulta1'!H4692="","",'Consulta1'!H4692)</f>
        <v/>
      </c>
      <c r="J600" t="str">
        <f t="shared" si="9"/>
        <v/>
      </c>
      <c r="K600" t="str">
        <f>+IF(E600="","",VLOOKUP(E600,CATALOGO!G:I,2,0))</f>
        <v/>
      </c>
      <c r="L600" t="str">
        <f>+IF(E600="","",VLOOKUP(E600,CATALOGO!G:I,3,0))</f>
        <v/>
      </c>
      <c r="M600" s="87" t="str">
        <f>IF('Consulta1'!I4692="","",'Consulta1'!I4692)</f>
        <v/>
      </c>
      <c r="N600" s="88" t="str">
        <f>IF('Consulta1'!J4692="","",'Consulta1'!J4692)</f>
        <v/>
      </c>
    </row>
    <row r="601" spans="1:14" ht="18.75" x14ac:dyDescent="0.25">
      <c r="A601" s="82" t="str">
        <f>IF('Consulta1'!A4693="","",'Consulta1'!A4693)</f>
        <v/>
      </c>
      <c r="B601" s="82" t="str">
        <f>IF('Consulta1'!B4693="","",'Consulta1'!B4693)</f>
        <v/>
      </c>
      <c r="C601" s="83" t="str">
        <f>IF('Consulta1'!C4693="","",'Consulta1'!C4693)</f>
        <v/>
      </c>
      <c r="D601" s="84" t="str">
        <f>IF('Consulta1'!D4693="","",'Consulta1'!D4693)</f>
        <v/>
      </c>
      <c r="E601" s="82" t="str">
        <f>IF('Consulta1'!E4693="","",'Consulta1'!E4693)</f>
        <v/>
      </c>
      <c r="F601" t="str">
        <f>+IF(E601="","",VLOOKUP(E601,CATALOGO!G:L,6,0))</f>
        <v/>
      </c>
      <c r="G601" s="85" t="str">
        <f>IF('Consulta1'!F4693="","",'Consulta1'!F4693)</f>
        <v/>
      </c>
      <c r="H601" s="85" t="str">
        <f>IF('Consulta1'!G4693="","",'Consulta1'!G4693)</f>
        <v/>
      </c>
      <c r="I601" s="86" t="str">
        <f>IF('Consulta1'!H4693="","",'Consulta1'!H4693)</f>
        <v/>
      </c>
      <c r="J601" t="str">
        <f t="shared" si="9"/>
        <v/>
      </c>
      <c r="K601" t="str">
        <f>+IF(E601="","",VLOOKUP(E601,CATALOGO!G:I,2,0))</f>
        <v/>
      </c>
      <c r="L601" t="str">
        <f>+IF(E601="","",VLOOKUP(E601,CATALOGO!G:I,3,0))</f>
        <v/>
      </c>
      <c r="M601" s="87" t="str">
        <f>IF('Consulta1'!I4693="","",'Consulta1'!I4693)</f>
        <v/>
      </c>
      <c r="N601" s="88" t="str">
        <f>IF('Consulta1'!J4693="","",'Consulta1'!J4693)</f>
        <v/>
      </c>
    </row>
    <row r="602" spans="1:14" ht="18.75" x14ac:dyDescent="0.25">
      <c r="A602" s="82" t="str">
        <f>IF('Consulta1'!A4694="","",'Consulta1'!A4694)</f>
        <v/>
      </c>
      <c r="B602" s="82" t="str">
        <f>IF('Consulta1'!B4694="","",'Consulta1'!B4694)</f>
        <v/>
      </c>
      <c r="C602" s="83" t="str">
        <f>IF('Consulta1'!C4694="","",'Consulta1'!C4694)</f>
        <v/>
      </c>
      <c r="D602" s="84" t="str">
        <f>IF('Consulta1'!D4694="","",'Consulta1'!D4694)</f>
        <v/>
      </c>
      <c r="E602" s="82" t="str">
        <f>IF('Consulta1'!E4694="","",'Consulta1'!E4694)</f>
        <v/>
      </c>
      <c r="F602" t="str">
        <f>+IF(E602="","",VLOOKUP(E602,CATALOGO!G:L,6,0))</f>
        <v/>
      </c>
      <c r="G602" s="85" t="str">
        <f>IF('Consulta1'!F4694="","",'Consulta1'!F4694)</f>
        <v/>
      </c>
      <c r="H602" s="85" t="str">
        <f>IF('Consulta1'!G4694="","",'Consulta1'!G4694)</f>
        <v/>
      </c>
      <c r="I602" s="86" t="str">
        <f>IF('Consulta1'!H4694="","",'Consulta1'!H4694)</f>
        <v/>
      </c>
      <c r="J602" t="str">
        <f t="shared" si="9"/>
        <v/>
      </c>
      <c r="K602" t="str">
        <f>+IF(E602="","",VLOOKUP(E602,CATALOGO!G:I,2,0))</f>
        <v/>
      </c>
      <c r="L602" t="str">
        <f>+IF(E602="","",VLOOKUP(E602,CATALOGO!G:I,3,0))</f>
        <v/>
      </c>
      <c r="M602" s="87" t="str">
        <f>IF('Consulta1'!I4694="","",'Consulta1'!I4694)</f>
        <v/>
      </c>
      <c r="N602" s="88" t="str">
        <f>IF('Consulta1'!J4694="","",'Consulta1'!J4694)</f>
        <v/>
      </c>
    </row>
    <row r="603" spans="1:14" ht="18.75" x14ac:dyDescent="0.25">
      <c r="A603" s="82" t="str">
        <f>IF('Consulta1'!A4695="","",'Consulta1'!A4695)</f>
        <v/>
      </c>
      <c r="B603" s="82" t="str">
        <f>IF('Consulta1'!B4695="","",'Consulta1'!B4695)</f>
        <v/>
      </c>
      <c r="C603" s="83" t="str">
        <f>IF('Consulta1'!C4695="","",'Consulta1'!C4695)</f>
        <v/>
      </c>
      <c r="D603" s="84" t="str">
        <f>IF('Consulta1'!D4695="","",'Consulta1'!D4695)</f>
        <v/>
      </c>
      <c r="E603" s="82" t="str">
        <f>IF('Consulta1'!E4695="","",'Consulta1'!E4695)</f>
        <v/>
      </c>
      <c r="F603" t="str">
        <f>+IF(E603="","",VLOOKUP(E603,CATALOGO!G:L,6,0))</f>
        <v/>
      </c>
      <c r="G603" s="85" t="str">
        <f>IF('Consulta1'!F4695="","",'Consulta1'!F4695)</f>
        <v/>
      </c>
      <c r="H603" s="85" t="str">
        <f>IF('Consulta1'!G4695="","",'Consulta1'!G4695)</f>
        <v/>
      </c>
      <c r="I603" s="86" t="str">
        <f>IF('Consulta1'!H4695="","",'Consulta1'!H4695)</f>
        <v/>
      </c>
      <c r="J603" t="str">
        <f t="shared" si="9"/>
        <v/>
      </c>
      <c r="K603" t="str">
        <f>+IF(E603="","",VLOOKUP(E603,CATALOGO!G:I,2,0))</f>
        <v/>
      </c>
      <c r="L603" t="str">
        <f>+IF(E603="","",VLOOKUP(E603,CATALOGO!G:I,3,0))</f>
        <v/>
      </c>
      <c r="M603" s="87" t="str">
        <f>IF('Consulta1'!I4695="","",'Consulta1'!I4695)</f>
        <v/>
      </c>
      <c r="N603" s="88" t="str">
        <f>IF('Consulta1'!J4695="","",'Consulta1'!J4695)</f>
        <v/>
      </c>
    </row>
    <row r="604" spans="1:14" ht="18.75" x14ac:dyDescent="0.25">
      <c r="A604" s="82" t="str">
        <f>IF('Consulta1'!A4696="","",'Consulta1'!A4696)</f>
        <v/>
      </c>
      <c r="B604" s="82" t="str">
        <f>IF('Consulta1'!B4696="","",'Consulta1'!B4696)</f>
        <v/>
      </c>
      <c r="C604" s="83" t="str">
        <f>IF('Consulta1'!C4696="","",'Consulta1'!C4696)</f>
        <v/>
      </c>
      <c r="D604" s="84" t="str">
        <f>IF('Consulta1'!D4696="","",'Consulta1'!D4696)</f>
        <v/>
      </c>
      <c r="E604" s="82" t="str">
        <f>IF('Consulta1'!E4696="","",'Consulta1'!E4696)</f>
        <v/>
      </c>
      <c r="F604" t="str">
        <f>+IF(E604="","",VLOOKUP(E604,CATALOGO!G:L,6,0))</f>
        <v/>
      </c>
      <c r="G604" s="85" t="str">
        <f>IF('Consulta1'!F4696="","",'Consulta1'!F4696)</f>
        <v/>
      </c>
      <c r="H604" s="85" t="str">
        <f>IF('Consulta1'!G4696="","",'Consulta1'!G4696)</f>
        <v/>
      </c>
      <c r="I604" s="86" t="str">
        <f>IF('Consulta1'!H4696="","",'Consulta1'!H4696)</f>
        <v/>
      </c>
      <c r="J604" t="str">
        <f t="shared" si="9"/>
        <v/>
      </c>
      <c r="K604" t="str">
        <f>+IF(E604="","",VLOOKUP(E604,CATALOGO!G:I,2,0))</f>
        <v/>
      </c>
      <c r="L604" t="str">
        <f>+IF(E604="","",VLOOKUP(E604,CATALOGO!G:I,3,0))</f>
        <v/>
      </c>
      <c r="M604" s="87" t="str">
        <f>IF('Consulta1'!I4696="","",'Consulta1'!I4696)</f>
        <v/>
      </c>
      <c r="N604" s="88" t="str">
        <f>IF('Consulta1'!J4696="","",'Consulta1'!J4696)</f>
        <v/>
      </c>
    </row>
    <row r="605" spans="1:14" ht="18.75" x14ac:dyDescent="0.25">
      <c r="A605" s="82" t="str">
        <f>IF('Consulta1'!A4697="","",'Consulta1'!A4697)</f>
        <v/>
      </c>
      <c r="B605" s="82" t="str">
        <f>IF('Consulta1'!B4697="","",'Consulta1'!B4697)</f>
        <v/>
      </c>
      <c r="C605" s="83" t="str">
        <f>IF('Consulta1'!C4697="","",'Consulta1'!C4697)</f>
        <v/>
      </c>
      <c r="D605" s="84" t="str">
        <f>IF('Consulta1'!D4697="","",'Consulta1'!D4697)</f>
        <v/>
      </c>
      <c r="E605" s="82" t="str">
        <f>IF('Consulta1'!E4697="","",'Consulta1'!E4697)</f>
        <v/>
      </c>
      <c r="F605" t="str">
        <f>+IF(E605="","",VLOOKUP(E605,CATALOGO!G:L,6,0))</f>
        <v/>
      </c>
      <c r="G605" s="85" t="str">
        <f>IF('Consulta1'!F4697="","",'Consulta1'!F4697)</f>
        <v/>
      </c>
      <c r="H605" s="85" t="str">
        <f>IF('Consulta1'!G4697="","",'Consulta1'!G4697)</f>
        <v/>
      </c>
      <c r="I605" s="86" t="str">
        <f>IF('Consulta1'!H4697="","",'Consulta1'!H4697)</f>
        <v/>
      </c>
      <c r="J605" t="str">
        <f t="shared" si="9"/>
        <v/>
      </c>
      <c r="K605" t="str">
        <f>+IF(E605="","",VLOOKUP(E605,CATALOGO!G:I,2,0))</f>
        <v/>
      </c>
      <c r="L605" t="str">
        <f>+IF(E605="","",VLOOKUP(E605,CATALOGO!G:I,3,0))</f>
        <v/>
      </c>
      <c r="M605" s="87" t="str">
        <f>IF('Consulta1'!I4697="","",'Consulta1'!I4697)</f>
        <v/>
      </c>
      <c r="N605" s="88" t="str">
        <f>IF('Consulta1'!J4697="","",'Consulta1'!J4697)</f>
        <v/>
      </c>
    </row>
    <row r="606" spans="1:14" ht="18.75" x14ac:dyDescent="0.25">
      <c r="A606" s="82" t="str">
        <f>IF('Consulta1'!A4698="","",'Consulta1'!A4698)</f>
        <v/>
      </c>
      <c r="B606" s="82" t="str">
        <f>IF('Consulta1'!B4698="","",'Consulta1'!B4698)</f>
        <v/>
      </c>
      <c r="C606" s="83" t="str">
        <f>IF('Consulta1'!C4698="","",'Consulta1'!C4698)</f>
        <v/>
      </c>
      <c r="D606" s="84" t="str">
        <f>IF('Consulta1'!D4698="","",'Consulta1'!D4698)</f>
        <v/>
      </c>
      <c r="E606" s="82" t="str">
        <f>IF('Consulta1'!E4698="","",'Consulta1'!E4698)</f>
        <v/>
      </c>
      <c r="F606" t="str">
        <f>+IF(E606="","",VLOOKUP(E606,CATALOGO!G:L,6,0))</f>
        <v/>
      </c>
      <c r="G606" s="85" t="str">
        <f>IF('Consulta1'!F4698="","",'Consulta1'!F4698)</f>
        <v/>
      </c>
      <c r="H606" s="85" t="str">
        <f>IF('Consulta1'!G4698="","",'Consulta1'!G4698)</f>
        <v/>
      </c>
      <c r="I606" s="86" t="str">
        <f>IF('Consulta1'!H4698="","",'Consulta1'!H4698)</f>
        <v/>
      </c>
      <c r="J606" t="str">
        <f t="shared" si="9"/>
        <v/>
      </c>
      <c r="K606" t="str">
        <f>+IF(E606="","",VLOOKUP(E606,CATALOGO!G:I,2,0))</f>
        <v/>
      </c>
      <c r="L606" t="str">
        <f>+IF(E606="","",VLOOKUP(E606,CATALOGO!G:I,3,0))</f>
        <v/>
      </c>
      <c r="M606" s="87" t="str">
        <f>IF('Consulta1'!I4698="","",'Consulta1'!I4698)</f>
        <v/>
      </c>
      <c r="N606" s="88" t="str">
        <f>IF('Consulta1'!J4698="","",'Consulta1'!J4698)</f>
        <v/>
      </c>
    </row>
    <row r="607" spans="1:14" ht="18.75" x14ac:dyDescent="0.25">
      <c r="A607" s="82" t="str">
        <f>IF('Consulta1'!A4699="","",'Consulta1'!A4699)</f>
        <v/>
      </c>
      <c r="B607" s="82" t="str">
        <f>IF('Consulta1'!B4699="","",'Consulta1'!B4699)</f>
        <v/>
      </c>
      <c r="C607" s="83" t="str">
        <f>IF('Consulta1'!C4699="","",'Consulta1'!C4699)</f>
        <v/>
      </c>
      <c r="D607" s="84" t="str">
        <f>IF('Consulta1'!D4699="","",'Consulta1'!D4699)</f>
        <v/>
      </c>
      <c r="E607" s="82" t="str">
        <f>IF('Consulta1'!E4699="","",'Consulta1'!E4699)</f>
        <v/>
      </c>
      <c r="F607" t="str">
        <f>+IF(E607="","",VLOOKUP(E607,CATALOGO!G:L,6,0))</f>
        <v/>
      </c>
      <c r="G607" s="85" t="str">
        <f>IF('Consulta1'!F4699="","",'Consulta1'!F4699)</f>
        <v/>
      </c>
      <c r="H607" s="85" t="str">
        <f>IF('Consulta1'!G4699="","",'Consulta1'!G4699)</f>
        <v/>
      </c>
      <c r="I607" s="86" t="str">
        <f>IF('Consulta1'!H4699="","",'Consulta1'!H4699)</f>
        <v/>
      </c>
      <c r="J607" t="str">
        <f t="shared" si="9"/>
        <v/>
      </c>
      <c r="K607" t="str">
        <f>+IF(E607="","",VLOOKUP(E607,CATALOGO!G:I,2,0))</f>
        <v/>
      </c>
      <c r="L607" t="str">
        <f>+IF(E607="","",VLOOKUP(E607,CATALOGO!G:I,3,0))</f>
        <v/>
      </c>
      <c r="M607" s="87" t="str">
        <f>IF('Consulta1'!I4699="","",'Consulta1'!I4699)</f>
        <v/>
      </c>
      <c r="N607" s="88" t="str">
        <f>IF('Consulta1'!J4699="","",'Consulta1'!J4699)</f>
        <v/>
      </c>
    </row>
    <row r="608" spans="1:14" ht="18.75" x14ac:dyDescent="0.25">
      <c r="A608" s="82" t="str">
        <f>IF('Consulta1'!A4700="","",'Consulta1'!A4700)</f>
        <v/>
      </c>
      <c r="B608" s="82" t="str">
        <f>IF('Consulta1'!B4700="","",'Consulta1'!B4700)</f>
        <v/>
      </c>
      <c r="C608" s="83" t="str">
        <f>IF('Consulta1'!C4700="","",'Consulta1'!C4700)</f>
        <v/>
      </c>
      <c r="D608" s="84" t="str">
        <f>IF('Consulta1'!D4700="","",'Consulta1'!D4700)</f>
        <v/>
      </c>
      <c r="E608" s="82" t="str">
        <f>IF('Consulta1'!E4700="","",'Consulta1'!E4700)</f>
        <v/>
      </c>
      <c r="F608" t="str">
        <f>+IF(E608="","",VLOOKUP(E608,CATALOGO!G:L,6,0))</f>
        <v/>
      </c>
      <c r="G608" s="85" t="str">
        <f>IF('Consulta1'!F4700="","",'Consulta1'!F4700)</f>
        <v/>
      </c>
      <c r="H608" s="85" t="str">
        <f>IF('Consulta1'!G4700="","",'Consulta1'!G4700)</f>
        <v/>
      </c>
      <c r="I608" s="86" t="str">
        <f>IF('Consulta1'!H4700="","",'Consulta1'!H4700)</f>
        <v/>
      </c>
      <c r="J608" t="str">
        <f t="shared" si="9"/>
        <v/>
      </c>
      <c r="K608" t="str">
        <f>+IF(E608="","",VLOOKUP(E608,CATALOGO!G:I,2,0))</f>
        <v/>
      </c>
      <c r="L608" t="str">
        <f>+IF(E608="","",VLOOKUP(E608,CATALOGO!G:I,3,0))</f>
        <v/>
      </c>
      <c r="M608" s="87" t="str">
        <f>IF('Consulta1'!I4700="","",'Consulta1'!I4700)</f>
        <v/>
      </c>
      <c r="N608" s="88" t="str">
        <f>IF('Consulta1'!J4700="","",'Consulta1'!J4700)</f>
        <v/>
      </c>
    </row>
    <row r="609" spans="1:14" ht="18.75" x14ac:dyDescent="0.25">
      <c r="A609" s="82" t="str">
        <f>IF('Consulta1'!A4701="","",'Consulta1'!A4701)</f>
        <v/>
      </c>
      <c r="B609" s="82" t="str">
        <f>IF('Consulta1'!B4701="","",'Consulta1'!B4701)</f>
        <v/>
      </c>
      <c r="C609" s="83" t="str">
        <f>IF('Consulta1'!C4701="","",'Consulta1'!C4701)</f>
        <v/>
      </c>
      <c r="D609" s="84" t="str">
        <f>IF('Consulta1'!D4701="","",'Consulta1'!D4701)</f>
        <v/>
      </c>
      <c r="E609" s="82" t="str">
        <f>IF('Consulta1'!E4701="","",'Consulta1'!E4701)</f>
        <v/>
      </c>
      <c r="F609" t="str">
        <f>+IF(E609="","",VLOOKUP(E609,CATALOGO!G:L,6,0))</f>
        <v/>
      </c>
      <c r="G609" s="85" t="str">
        <f>IF('Consulta1'!F4701="","",'Consulta1'!F4701)</f>
        <v/>
      </c>
      <c r="H609" s="85" t="str">
        <f>IF('Consulta1'!G4701="","",'Consulta1'!G4701)</f>
        <v/>
      </c>
      <c r="I609" s="86" t="str">
        <f>IF('Consulta1'!H4701="","",'Consulta1'!H4701)</f>
        <v/>
      </c>
      <c r="J609" t="str">
        <f t="shared" si="9"/>
        <v/>
      </c>
      <c r="K609" t="str">
        <f>+IF(E609="","",VLOOKUP(E609,CATALOGO!G:I,2,0))</f>
        <v/>
      </c>
      <c r="L609" t="str">
        <f>+IF(E609="","",VLOOKUP(E609,CATALOGO!G:I,3,0))</f>
        <v/>
      </c>
      <c r="M609" s="87" t="str">
        <f>IF('Consulta1'!I4701="","",'Consulta1'!I4701)</f>
        <v/>
      </c>
      <c r="N609" s="88" t="str">
        <f>IF('Consulta1'!J4701="","",'Consulta1'!J4701)</f>
        <v/>
      </c>
    </row>
    <row r="610" spans="1:14" ht="18.75" x14ac:dyDescent="0.25">
      <c r="A610" s="82" t="str">
        <f>IF('Consulta1'!A4702="","",'Consulta1'!A4702)</f>
        <v/>
      </c>
      <c r="B610" s="82" t="str">
        <f>IF('Consulta1'!B4702="","",'Consulta1'!B4702)</f>
        <v/>
      </c>
      <c r="C610" s="83" t="str">
        <f>IF('Consulta1'!C4702="","",'Consulta1'!C4702)</f>
        <v/>
      </c>
      <c r="D610" s="84" t="str">
        <f>IF('Consulta1'!D4702="","",'Consulta1'!D4702)</f>
        <v/>
      </c>
      <c r="E610" s="82" t="str">
        <f>IF('Consulta1'!E4702="","",'Consulta1'!E4702)</f>
        <v/>
      </c>
      <c r="F610" t="str">
        <f>+IF(E610="","",VLOOKUP(E610,CATALOGO!G:L,6,0))</f>
        <v/>
      </c>
      <c r="G610" s="85" t="str">
        <f>IF('Consulta1'!F4702="","",'Consulta1'!F4702)</f>
        <v/>
      </c>
      <c r="H610" s="85" t="str">
        <f>IF('Consulta1'!G4702="","",'Consulta1'!G4702)</f>
        <v/>
      </c>
      <c r="I610" s="86" t="str">
        <f>IF('Consulta1'!H4702="","",'Consulta1'!H4702)</f>
        <v/>
      </c>
      <c r="J610" t="str">
        <f t="shared" si="9"/>
        <v/>
      </c>
      <c r="K610" t="str">
        <f>+IF(E610="","",VLOOKUP(E610,CATALOGO!G:I,2,0))</f>
        <v/>
      </c>
      <c r="L610" t="str">
        <f>+IF(E610="","",VLOOKUP(E610,CATALOGO!G:I,3,0))</f>
        <v/>
      </c>
      <c r="M610" s="87" t="str">
        <f>IF('Consulta1'!I4702="","",'Consulta1'!I4702)</f>
        <v/>
      </c>
      <c r="N610" s="88" t="str">
        <f>IF('Consulta1'!J4702="","",'Consulta1'!J4702)</f>
        <v/>
      </c>
    </row>
    <row r="611" spans="1:14" ht="18.75" x14ac:dyDescent="0.25">
      <c r="A611" s="82" t="str">
        <f>IF('Consulta1'!A4703="","",'Consulta1'!A4703)</f>
        <v/>
      </c>
      <c r="B611" s="82" t="str">
        <f>IF('Consulta1'!B4703="","",'Consulta1'!B4703)</f>
        <v/>
      </c>
      <c r="C611" s="83" t="str">
        <f>IF('Consulta1'!C4703="","",'Consulta1'!C4703)</f>
        <v/>
      </c>
      <c r="D611" s="84" t="str">
        <f>IF('Consulta1'!D4703="","",'Consulta1'!D4703)</f>
        <v/>
      </c>
      <c r="E611" s="82" t="str">
        <f>IF('Consulta1'!E4703="","",'Consulta1'!E4703)</f>
        <v/>
      </c>
      <c r="F611" t="str">
        <f>+IF(E611="","",VLOOKUP(E611,CATALOGO!G:L,6,0))</f>
        <v/>
      </c>
      <c r="G611" s="85" t="str">
        <f>IF('Consulta1'!F4703="","",'Consulta1'!F4703)</f>
        <v/>
      </c>
      <c r="H611" s="85" t="str">
        <f>IF('Consulta1'!G4703="","",'Consulta1'!G4703)</f>
        <v/>
      </c>
      <c r="I611" s="86" t="str">
        <f>IF('Consulta1'!H4703="","",'Consulta1'!H4703)</f>
        <v/>
      </c>
      <c r="J611" t="str">
        <f t="shared" si="9"/>
        <v/>
      </c>
      <c r="K611" t="str">
        <f>+IF(E611="","",VLOOKUP(E611,CATALOGO!G:I,2,0))</f>
        <v/>
      </c>
      <c r="L611" t="str">
        <f>+IF(E611="","",VLOOKUP(E611,CATALOGO!G:I,3,0))</f>
        <v/>
      </c>
      <c r="M611" s="87" t="str">
        <f>IF('Consulta1'!I4703="","",'Consulta1'!I4703)</f>
        <v/>
      </c>
      <c r="N611" s="88" t="str">
        <f>IF('Consulta1'!J4703="","",'Consulta1'!J4703)</f>
        <v/>
      </c>
    </row>
    <row r="612" spans="1:14" ht="18.75" x14ac:dyDescent="0.25">
      <c r="A612" s="82" t="str">
        <f>IF('Consulta1'!A4704="","",'Consulta1'!A4704)</f>
        <v/>
      </c>
      <c r="B612" s="82" t="str">
        <f>IF('Consulta1'!B4704="","",'Consulta1'!B4704)</f>
        <v/>
      </c>
      <c r="C612" s="83" t="str">
        <f>IF('Consulta1'!C4704="","",'Consulta1'!C4704)</f>
        <v/>
      </c>
      <c r="D612" s="84" t="str">
        <f>IF('Consulta1'!D4704="","",'Consulta1'!D4704)</f>
        <v/>
      </c>
      <c r="E612" s="82" t="str">
        <f>IF('Consulta1'!E4704="","",'Consulta1'!E4704)</f>
        <v/>
      </c>
      <c r="F612" t="str">
        <f>+IF(E612="","",VLOOKUP(E612,CATALOGO!G:L,6,0))</f>
        <v/>
      </c>
      <c r="G612" s="85" t="str">
        <f>IF('Consulta1'!F4704="","",'Consulta1'!F4704)</f>
        <v/>
      </c>
      <c r="H612" s="85" t="str">
        <f>IF('Consulta1'!G4704="","",'Consulta1'!G4704)</f>
        <v/>
      </c>
      <c r="I612" s="86" t="str">
        <f>IF('Consulta1'!H4704="","",'Consulta1'!H4704)</f>
        <v/>
      </c>
      <c r="J612" t="str">
        <f t="shared" si="9"/>
        <v/>
      </c>
      <c r="K612" t="str">
        <f>+IF(E612="","",VLOOKUP(E612,CATALOGO!G:I,2,0))</f>
        <v/>
      </c>
      <c r="L612" t="str">
        <f>+IF(E612="","",VLOOKUP(E612,CATALOGO!G:I,3,0))</f>
        <v/>
      </c>
      <c r="M612" s="87" t="str">
        <f>IF('Consulta1'!I4704="","",'Consulta1'!I4704)</f>
        <v/>
      </c>
      <c r="N612" s="88" t="str">
        <f>IF('Consulta1'!J4704="","",'Consulta1'!J4704)</f>
        <v/>
      </c>
    </row>
    <row r="613" spans="1:14" ht="18.75" x14ac:dyDescent="0.25">
      <c r="A613" s="82" t="str">
        <f>IF('Consulta1'!A4705="","",'Consulta1'!A4705)</f>
        <v/>
      </c>
      <c r="B613" s="82" t="str">
        <f>IF('Consulta1'!B4705="","",'Consulta1'!B4705)</f>
        <v/>
      </c>
      <c r="C613" s="83" t="str">
        <f>IF('Consulta1'!C4705="","",'Consulta1'!C4705)</f>
        <v/>
      </c>
      <c r="D613" s="84" t="str">
        <f>IF('Consulta1'!D4705="","",'Consulta1'!D4705)</f>
        <v/>
      </c>
      <c r="E613" s="82" t="str">
        <f>IF('Consulta1'!E4705="","",'Consulta1'!E4705)</f>
        <v/>
      </c>
      <c r="F613" t="str">
        <f>+IF(E613="","",VLOOKUP(E613,CATALOGO!G:L,6,0))</f>
        <v/>
      </c>
      <c r="G613" s="85" t="str">
        <f>IF('Consulta1'!F4705="","",'Consulta1'!F4705)</f>
        <v/>
      </c>
      <c r="H613" s="85" t="str">
        <f>IF('Consulta1'!G4705="","",'Consulta1'!G4705)</f>
        <v/>
      </c>
      <c r="I613" s="86" t="str">
        <f>IF('Consulta1'!H4705="","",'Consulta1'!H4705)</f>
        <v/>
      </c>
      <c r="J613" t="str">
        <f t="shared" si="9"/>
        <v/>
      </c>
      <c r="K613" t="str">
        <f>+IF(E613="","",VLOOKUP(E613,CATALOGO!G:I,2,0))</f>
        <v/>
      </c>
      <c r="L613" t="str">
        <f>+IF(E613="","",VLOOKUP(E613,CATALOGO!G:I,3,0))</f>
        <v/>
      </c>
      <c r="M613" s="87" t="str">
        <f>IF('Consulta1'!I4705="","",'Consulta1'!I4705)</f>
        <v/>
      </c>
      <c r="N613" s="88" t="str">
        <f>IF('Consulta1'!J4705="","",'Consulta1'!J4705)</f>
        <v/>
      </c>
    </row>
    <row r="614" spans="1:14" ht="18.75" x14ac:dyDescent="0.25">
      <c r="A614" s="82" t="str">
        <f>IF('Consulta1'!A4706="","",'Consulta1'!A4706)</f>
        <v/>
      </c>
      <c r="B614" s="82" t="str">
        <f>IF('Consulta1'!B4706="","",'Consulta1'!B4706)</f>
        <v/>
      </c>
      <c r="C614" s="83" t="str">
        <f>IF('Consulta1'!C4706="","",'Consulta1'!C4706)</f>
        <v/>
      </c>
      <c r="D614" s="84" t="str">
        <f>IF('Consulta1'!D4706="","",'Consulta1'!D4706)</f>
        <v/>
      </c>
      <c r="E614" s="82" t="str">
        <f>IF('Consulta1'!E4706="","",'Consulta1'!E4706)</f>
        <v/>
      </c>
      <c r="F614" t="str">
        <f>+IF(E614="","",VLOOKUP(E614,CATALOGO!G:L,6,0))</f>
        <v/>
      </c>
      <c r="G614" s="85" t="str">
        <f>IF('Consulta1'!F4706="","",'Consulta1'!F4706)</f>
        <v/>
      </c>
      <c r="H614" s="85" t="str">
        <f>IF('Consulta1'!G4706="","",'Consulta1'!G4706)</f>
        <v/>
      </c>
      <c r="I614" s="86" t="str">
        <f>IF('Consulta1'!H4706="","",'Consulta1'!H4706)</f>
        <v/>
      </c>
      <c r="J614" t="str">
        <f t="shared" si="9"/>
        <v/>
      </c>
      <c r="K614" t="str">
        <f>+IF(E614="","",VLOOKUP(E614,CATALOGO!G:I,2,0))</f>
        <v/>
      </c>
      <c r="L614" t="str">
        <f>+IF(E614="","",VLOOKUP(E614,CATALOGO!G:I,3,0))</f>
        <v/>
      </c>
      <c r="M614" s="87" t="str">
        <f>IF('Consulta1'!I4706="","",'Consulta1'!I4706)</f>
        <v/>
      </c>
      <c r="N614" s="88" t="str">
        <f>IF('Consulta1'!J4706="","",'Consulta1'!J4706)</f>
        <v/>
      </c>
    </row>
    <row r="615" spans="1:14" ht="18.75" x14ac:dyDescent="0.25">
      <c r="A615" s="82" t="str">
        <f>IF('Consulta1'!A4707="","",'Consulta1'!A4707)</f>
        <v/>
      </c>
      <c r="B615" s="82" t="str">
        <f>IF('Consulta1'!B4707="","",'Consulta1'!B4707)</f>
        <v/>
      </c>
      <c r="C615" s="83" t="str">
        <f>IF('Consulta1'!C4707="","",'Consulta1'!C4707)</f>
        <v/>
      </c>
      <c r="D615" s="84" t="str">
        <f>IF('Consulta1'!D4707="","",'Consulta1'!D4707)</f>
        <v/>
      </c>
      <c r="E615" s="82" t="str">
        <f>IF('Consulta1'!E4707="","",'Consulta1'!E4707)</f>
        <v/>
      </c>
      <c r="F615" t="str">
        <f>+IF(E615="","",VLOOKUP(E615,CATALOGO!G:L,6,0))</f>
        <v/>
      </c>
      <c r="G615" s="85" t="str">
        <f>IF('Consulta1'!F4707="","",'Consulta1'!F4707)</f>
        <v/>
      </c>
      <c r="H615" s="85" t="str">
        <f>IF('Consulta1'!G4707="","",'Consulta1'!G4707)</f>
        <v/>
      </c>
      <c r="I615" s="86" t="str">
        <f>IF('Consulta1'!H4707="","",'Consulta1'!H4707)</f>
        <v/>
      </c>
      <c r="J615" t="str">
        <f t="shared" si="9"/>
        <v/>
      </c>
      <c r="K615" t="str">
        <f>+IF(E615="","",VLOOKUP(E615,CATALOGO!G:I,2,0))</f>
        <v/>
      </c>
      <c r="L615" t="str">
        <f>+IF(E615="","",VLOOKUP(E615,CATALOGO!G:I,3,0))</f>
        <v/>
      </c>
      <c r="M615" s="87" t="str">
        <f>IF('Consulta1'!I4707="","",'Consulta1'!I4707)</f>
        <v/>
      </c>
      <c r="N615" s="88" t="str">
        <f>IF('Consulta1'!J4707="","",'Consulta1'!J4707)</f>
        <v/>
      </c>
    </row>
    <row r="616" spans="1:14" ht="18.75" x14ac:dyDescent="0.25">
      <c r="A616" s="82" t="str">
        <f>IF('Consulta1'!A4708="","",'Consulta1'!A4708)</f>
        <v/>
      </c>
      <c r="B616" s="82" t="str">
        <f>IF('Consulta1'!B4708="","",'Consulta1'!B4708)</f>
        <v/>
      </c>
      <c r="C616" s="83" t="str">
        <f>IF('Consulta1'!C4708="","",'Consulta1'!C4708)</f>
        <v/>
      </c>
      <c r="D616" s="84" t="str">
        <f>IF('Consulta1'!D4708="","",'Consulta1'!D4708)</f>
        <v/>
      </c>
      <c r="E616" s="82" t="str">
        <f>IF('Consulta1'!E4708="","",'Consulta1'!E4708)</f>
        <v/>
      </c>
      <c r="F616" t="str">
        <f>+IF(E616="","",VLOOKUP(E616,CATALOGO!G:L,6,0))</f>
        <v/>
      </c>
      <c r="G616" s="85" t="str">
        <f>IF('Consulta1'!F4708="","",'Consulta1'!F4708)</f>
        <v/>
      </c>
      <c r="H616" s="85" t="str">
        <f>IF('Consulta1'!G4708="","",'Consulta1'!G4708)</f>
        <v/>
      </c>
      <c r="I616" s="86" t="str">
        <f>IF('Consulta1'!H4708="","",'Consulta1'!H4708)</f>
        <v/>
      </c>
      <c r="J616" t="str">
        <f t="shared" si="9"/>
        <v/>
      </c>
      <c r="K616" t="str">
        <f>+IF(E616="","",VLOOKUP(E616,CATALOGO!G:I,2,0))</f>
        <v/>
      </c>
      <c r="L616" t="str">
        <f>+IF(E616="","",VLOOKUP(E616,CATALOGO!G:I,3,0))</f>
        <v/>
      </c>
      <c r="M616" s="87" t="str">
        <f>IF('Consulta1'!I4708="","",'Consulta1'!I4708)</f>
        <v/>
      </c>
      <c r="N616" s="88" t="str">
        <f>IF('Consulta1'!J4708="","",'Consulta1'!J4708)</f>
        <v/>
      </c>
    </row>
    <row r="617" spans="1:14" ht="18.75" x14ac:dyDescent="0.25">
      <c r="A617" s="82" t="str">
        <f>IF('Consulta1'!A4709="","",'Consulta1'!A4709)</f>
        <v/>
      </c>
      <c r="B617" s="82" t="str">
        <f>IF('Consulta1'!B4709="","",'Consulta1'!B4709)</f>
        <v/>
      </c>
      <c r="C617" s="83" t="str">
        <f>IF('Consulta1'!C4709="","",'Consulta1'!C4709)</f>
        <v/>
      </c>
      <c r="D617" s="84" t="str">
        <f>IF('Consulta1'!D4709="","",'Consulta1'!D4709)</f>
        <v/>
      </c>
      <c r="E617" s="82" t="str">
        <f>IF('Consulta1'!E4709="","",'Consulta1'!E4709)</f>
        <v/>
      </c>
      <c r="F617" t="str">
        <f>+IF(E617="","",VLOOKUP(E617,CATALOGO!G:L,6,0))</f>
        <v/>
      </c>
      <c r="G617" s="85" t="str">
        <f>IF('Consulta1'!F4709="","",'Consulta1'!F4709)</f>
        <v/>
      </c>
      <c r="H617" s="85" t="str">
        <f>IF('Consulta1'!G4709="","",'Consulta1'!G4709)</f>
        <v/>
      </c>
      <c r="I617" s="86" t="str">
        <f>IF('Consulta1'!H4709="","",'Consulta1'!H4709)</f>
        <v/>
      </c>
      <c r="J617" t="str">
        <f t="shared" si="9"/>
        <v/>
      </c>
      <c r="K617" t="str">
        <f>+IF(E617="","",VLOOKUP(E617,CATALOGO!G:I,2,0))</f>
        <v/>
      </c>
      <c r="L617" t="str">
        <f>+IF(E617="","",VLOOKUP(E617,CATALOGO!G:I,3,0))</f>
        <v/>
      </c>
      <c r="M617" s="87" t="str">
        <f>IF('Consulta1'!I4709="","",'Consulta1'!I4709)</f>
        <v/>
      </c>
      <c r="N617" s="88" t="str">
        <f>IF('Consulta1'!J4709="","",'Consulta1'!J4709)</f>
        <v/>
      </c>
    </row>
    <row r="618" spans="1:14" ht="18.75" x14ac:dyDescent="0.25">
      <c r="A618" s="82" t="str">
        <f>IF('Consulta1'!A4710="","",'Consulta1'!A4710)</f>
        <v/>
      </c>
      <c r="B618" s="82" t="str">
        <f>IF('Consulta1'!B4710="","",'Consulta1'!B4710)</f>
        <v/>
      </c>
      <c r="C618" s="83" t="str">
        <f>IF('Consulta1'!C4710="","",'Consulta1'!C4710)</f>
        <v/>
      </c>
      <c r="D618" s="84" t="str">
        <f>IF('Consulta1'!D4710="","",'Consulta1'!D4710)</f>
        <v/>
      </c>
      <c r="E618" s="82" t="str">
        <f>IF('Consulta1'!E4710="","",'Consulta1'!E4710)</f>
        <v/>
      </c>
      <c r="F618" t="str">
        <f>+IF(E618="","",VLOOKUP(E618,CATALOGO!G:L,6,0))</f>
        <v/>
      </c>
      <c r="G618" s="85" t="str">
        <f>IF('Consulta1'!F4710="","",'Consulta1'!F4710)</f>
        <v/>
      </c>
      <c r="H618" s="85" t="str">
        <f>IF('Consulta1'!G4710="","",'Consulta1'!G4710)</f>
        <v/>
      </c>
      <c r="I618" s="86" t="str">
        <f>IF('Consulta1'!H4710="","",'Consulta1'!H4710)</f>
        <v/>
      </c>
      <c r="J618" t="str">
        <f t="shared" si="9"/>
        <v/>
      </c>
      <c r="K618" t="str">
        <f>+IF(E618="","",VLOOKUP(E618,CATALOGO!G:I,2,0))</f>
        <v/>
      </c>
      <c r="L618" t="str">
        <f>+IF(E618="","",VLOOKUP(E618,CATALOGO!G:I,3,0))</f>
        <v/>
      </c>
      <c r="M618" s="87" t="str">
        <f>IF('Consulta1'!I4710="","",'Consulta1'!I4710)</f>
        <v/>
      </c>
      <c r="N618" s="88" t="str">
        <f>IF('Consulta1'!J4710="","",'Consulta1'!J4710)</f>
        <v/>
      </c>
    </row>
    <row r="619" spans="1:14" ht="18.75" x14ac:dyDescent="0.25">
      <c r="A619" s="82" t="str">
        <f>IF('Consulta1'!A4711="","",'Consulta1'!A4711)</f>
        <v/>
      </c>
      <c r="B619" s="82" t="str">
        <f>IF('Consulta1'!B4711="","",'Consulta1'!B4711)</f>
        <v/>
      </c>
      <c r="C619" s="83" t="str">
        <f>IF('Consulta1'!C4711="","",'Consulta1'!C4711)</f>
        <v/>
      </c>
      <c r="D619" s="84" t="str">
        <f>IF('Consulta1'!D4711="","",'Consulta1'!D4711)</f>
        <v/>
      </c>
      <c r="E619" s="82" t="str">
        <f>IF('Consulta1'!E4711="","",'Consulta1'!E4711)</f>
        <v/>
      </c>
      <c r="F619" t="str">
        <f>+IF(E619="","",VLOOKUP(E619,CATALOGO!G:L,6,0))</f>
        <v/>
      </c>
      <c r="G619" s="85" t="str">
        <f>IF('Consulta1'!F4711="","",'Consulta1'!F4711)</f>
        <v/>
      </c>
      <c r="H619" s="85" t="str">
        <f>IF('Consulta1'!G4711="","",'Consulta1'!G4711)</f>
        <v/>
      </c>
      <c r="I619" s="86" t="str">
        <f>IF('Consulta1'!H4711="","",'Consulta1'!H4711)</f>
        <v/>
      </c>
      <c r="J619" t="str">
        <f t="shared" si="9"/>
        <v/>
      </c>
      <c r="K619" t="str">
        <f>+IF(E619="","",VLOOKUP(E619,CATALOGO!G:I,2,0))</f>
        <v/>
      </c>
      <c r="L619" t="str">
        <f>+IF(E619="","",VLOOKUP(E619,CATALOGO!G:I,3,0))</f>
        <v/>
      </c>
      <c r="M619" s="87" t="str">
        <f>IF('Consulta1'!I4711="","",'Consulta1'!I4711)</f>
        <v/>
      </c>
      <c r="N619" s="88" t="str">
        <f>IF('Consulta1'!J4711="","",'Consulta1'!J4711)</f>
        <v/>
      </c>
    </row>
    <row r="620" spans="1:14" ht="18.75" x14ac:dyDescent="0.25">
      <c r="A620" s="82" t="str">
        <f>IF('Consulta1'!A4712="","",'Consulta1'!A4712)</f>
        <v/>
      </c>
      <c r="B620" s="82" t="str">
        <f>IF('Consulta1'!B4712="","",'Consulta1'!B4712)</f>
        <v/>
      </c>
      <c r="C620" s="83" t="str">
        <f>IF('Consulta1'!C4712="","",'Consulta1'!C4712)</f>
        <v/>
      </c>
      <c r="D620" s="84" t="str">
        <f>IF('Consulta1'!D4712="","",'Consulta1'!D4712)</f>
        <v/>
      </c>
      <c r="E620" s="82" t="str">
        <f>IF('Consulta1'!E4712="","",'Consulta1'!E4712)</f>
        <v/>
      </c>
      <c r="F620" t="str">
        <f>+IF(E620="","",VLOOKUP(E620,CATALOGO!G:L,6,0))</f>
        <v/>
      </c>
      <c r="G620" s="85" t="str">
        <f>IF('Consulta1'!F4712="","",'Consulta1'!F4712)</f>
        <v/>
      </c>
      <c r="H620" s="85" t="str">
        <f>IF('Consulta1'!G4712="","",'Consulta1'!G4712)</f>
        <v/>
      </c>
      <c r="I620" s="86" t="str">
        <f>IF('Consulta1'!H4712="","",'Consulta1'!H4712)</f>
        <v/>
      </c>
      <c r="J620" t="str">
        <f t="shared" si="9"/>
        <v/>
      </c>
      <c r="K620" t="str">
        <f>+IF(E620="","",VLOOKUP(E620,CATALOGO!G:I,2,0))</f>
        <v/>
      </c>
      <c r="L620" t="str">
        <f>+IF(E620="","",VLOOKUP(E620,CATALOGO!G:I,3,0))</f>
        <v/>
      </c>
      <c r="M620" s="87" t="str">
        <f>IF('Consulta1'!I4712="","",'Consulta1'!I4712)</f>
        <v/>
      </c>
      <c r="N620" s="88" t="str">
        <f>IF('Consulta1'!J4712="","",'Consulta1'!J4712)</f>
        <v/>
      </c>
    </row>
    <row r="621" spans="1:14" ht="18.75" x14ac:dyDescent="0.25">
      <c r="A621" s="82" t="str">
        <f>IF('Consulta1'!A4713="","",'Consulta1'!A4713)</f>
        <v/>
      </c>
      <c r="B621" s="82" t="str">
        <f>IF('Consulta1'!B4713="","",'Consulta1'!B4713)</f>
        <v/>
      </c>
      <c r="C621" s="83" t="str">
        <f>IF('Consulta1'!C4713="","",'Consulta1'!C4713)</f>
        <v/>
      </c>
      <c r="D621" s="84" t="str">
        <f>IF('Consulta1'!D4713="","",'Consulta1'!D4713)</f>
        <v/>
      </c>
      <c r="E621" s="82" t="str">
        <f>IF('Consulta1'!E4713="","",'Consulta1'!E4713)</f>
        <v/>
      </c>
      <c r="F621" t="str">
        <f>+IF(E621="","",VLOOKUP(E621,CATALOGO!G:L,6,0))</f>
        <v/>
      </c>
      <c r="G621" s="85" t="str">
        <f>IF('Consulta1'!F4713="","",'Consulta1'!F4713)</f>
        <v/>
      </c>
      <c r="H621" s="85" t="str">
        <f>IF('Consulta1'!G4713="","",'Consulta1'!G4713)</f>
        <v/>
      </c>
      <c r="I621" s="86" t="str">
        <f>IF('Consulta1'!H4713="","",'Consulta1'!H4713)</f>
        <v/>
      </c>
      <c r="J621" t="str">
        <f t="shared" si="9"/>
        <v/>
      </c>
      <c r="K621" t="str">
        <f>+IF(E621="","",VLOOKUP(E621,CATALOGO!G:I,2,0))</f>
        <v/>
      </c>
      <c r="L621" t="str">
        <f>+IF(E621="","",VLOOKUP(E621,CATALOGO!G:I,3,0))</f>
        <v/>
      </c>
      <c r="M621" s="87" t="str">
        <f>IF('Consulta1'!I4713="","",'Consulta1'!I4713)</f>
        <v/>
      </c>
      <c r="N621" s="88" t="str">
        <f>IF('Consulta1'!J4713="","",'Consulta1'!J4713)</f>
        <v/>
      </c>
    </row>
    <row r="622" spans="1:14" ht="18.75" x14ac:dyDescent="0.25">
      <c r="A622" s="82" t="str">
        <f>IF('Consulta1'!A4714="","",'Consulta1'!A4714)</f>
        <v/>
      </c>
      <c r="B622" s="82" t="str">
        <f>IF('Consulta1'!B4714="","",'Consulta1'!B4714)</f>
        <v/>
      </c>
      <c r="C622" s="83" t="str">
        <f>IF('Consulta1'!C4714="","",'Consulta1'!C4714)</f>
        <v/>
      </c>
      <c r="D622" s="84" t="str">
        <f>IF('Consulta1'!D4714="","",'Consulta1'!D4714)</f>
        <v/>
      </c>
      <c r="E622" s="82" t="str">
        <f>IF('Consulta1'!E4714="","",'Consulta1'!E4714)</f>
        <v/>
      </c>
      <c r="F622" t="str">
        <f>+IF(E622="","",VLOOKUP(E622,CATALOGO!G:L,6,0))</f>
        <v/>
      </c>
      <c r="G622" s="85" t="str">
        <f>IF('Consulta1'!F4714="","",'Consulta1'!F4714)</f>
        <v/>
      </c>
      <c r="H622" s="85" t="str">
        <f>IF('Consulta1'!G4714="","",'Consulta1'!G4714)</f>
        <v/>
      </c>
      <c r="I622" s="86" t="str">
        <f>IF('Consulta1'!H4714="","",'Consulta1'!H4714)</f>
        <v/>
      </c>
      <c r="J622" t="str">
        <f t="shared" si="9"/>
        <v/>
      </c>
      <c r="K622" t="str">
        <f>+IF(E622="","",VLOOKUP(E622,CATALOGO!G:I,2,0))</f>
        <v/>
      </c>
      <c r="L622" t="str">
        <f>+IF(E622="","",VLOOKUP(E622,CATALOGO!G:I,3,0))</f>
        <v/>
      </c>
      <c r="M622" s="87" t="str">
        <f>IF('Consulta1'!I4714="","",'Consulta1'!I4714)</f>
        <v/>
      </c>
      <c r="N622" s="88" t="str">
        <f>IF('Consulta1'!J4714="","",'Consulta1'!J4714)</f>
        <v/>
      </c>
    </row>
    <row r="623" spans="1:14" ht="18.75" x14ac:dyDescent="0.25">
      <c r="A623" s="82" t="str">
        <f>IF('Consulta1'!A4715="","",'Consulta1'!A4715)</f>
        <v/>
      </c>
      <c r="B623" s="82" t="str">
        <f>IF('Consulta1'!B4715="","",'Consulta1'!B4715)</f>
        <v/>
      </c>
      <c r="C623" s="83" t="str">
        <f>IF('Consulta1'!C4715="","",'Consulta1'!C4715)</f>
        <v/>
      </c>
      <c r="D623" s="84" t="str">
        <f>IF('Consulta1'!D4715="","",'Consulta1'!D4715)</f>
        <v/>
      </c>
      <c r="E623" s="82" t="str">
        <f>IF('Consulta1'!E4715="","",'Consulta1'!E4715)</f>
        <v/>
      </c>
      <c r="F623" t="str">
        <f>+IF(E623="","",VLOOKUP(E623,CATALOGO!G:L,6,0))</f>
        <v/>
      </c>
      <c r="G623" s="85" t="str">
        <f>IF('Consulta1'!F4715="","",'Consulta1'!F4715)</f>
        <v/>
      </c>
      <c r="H623" s="85" t="str">
        <f>IF('Consulta1'!G4715="","",'Consulta1'!G4715)</f>
        <v/>
      </c>
      <c r="I623" s="86" t="str">
        <f>IF('Consulta1'!H4715="","",'Consulta1'!H4715)</f>
        <v/>
      </c>
      <c r="J623" t="str">
        <f t="shared" si="9"/>
        <v/>
      </c>
      <c r="K623" t="str">
        <f>+IF(E623="","",VLOOKUP(E623,CATALOGO!G:I,2,0))</f>
        <v/>
      </c>
      <c r="L623" t="str">
        <f>+IF(E623="","",VLOOKUP(E623,CATALOGO!G:I,3,0))</f>
        <v/>
      </c>
      <c r="M623" s="87" t="str">
        <f>IF('Consulta1'!I4715="","",'Consulta1'!I4715)</f>
        <v/>
      </c>
      <c r="N623" s="88" t="str">
        <f>IF('Consulta1'!J4715="","",'Consulta1'!J4715)</f>
        <v/>
      </c>
    </row>
    <row r="624" spans="1:14" ht="18.75" x14ac:dyDescent="0.25">
      <c r="A624" s="82" t="str">
        <f>IF('Consulta1'!A4716="","",'Consulta1'!A4716)</f>
        <v/>
      </c>
      <c r="B624" s="82" t="str">
        <f>IF('Consulta1'!B4716="","",'Consulta1'!B4716)</f>
        <v/>
      </c>
      <c r="C624" s="83" t="str">
        <f>IF('Consulta1'!C4716="","",'Consulta1'!C4716)</f>
        <v/>
      </c>
      <c r="D624" s="84" t="str">
        <f>IF('Consulta1'!D4716="","",'Consulta1'!D4716)</f>
        <v/>
      </c>
      <c r="E624" s="82" t="str">
        <f>IF('Consulta1'!E4716="","",'Consulta1'!E4716)</f>
        <v/>
      </c>
      <c r="F624" t="str">
        <f>+IF(E624="","",VLOOKUP(E624,CATALOGO!G:L,6,0))</f>
        <v/>
      </c>
      <c r="G624" s="85" t="str">
        <f>IF('Consulta1'!F4716="","",'Consulta1'!F4716)</f>
        <v/>
      </c>
      <c r="H624" s="85" t="str">
        <f>IF('Consulta1'!G4716="","",'Consulta1'!G4716)</f>
        <v/>
      </c>
      <c r="I624" s="86" t="str">
        <f>IF('Consulta1'!H4716="","",'Consulta1'!H4716)</f>
        <v/>
      </c>
      <c r="J624" t="str">
        <f t="shared" si="9"/>
        <v/>
      </c>
      <c r="K624" t="str">
        <f>+IF(E624="","",VLOOKUP(E624,CATALOGO!G:I,2,0))</f>
        <v/>
      </c>
      <c r="L624" t="str">
        <f>+IF(E624="","",VLOOKUP(E624,CATALOGO!G:I,3,0))</f>
        <v/>
      </c>
      <c r="M624" s="87" t="str">
        <f>IF('Consulta1'!I4716="","",'Consulta1'!I4716)</f>
        <v/>
      </c>
      <c r="N624" s="88" t="str">
        <f>IF('Consulta1'!J4716="","",'Consulta1'!J4716)</f>
        <v/>
      </c>
    </row>
    <row r="625" spans="1:14" ht="18.75" x14ac:dyDescent="0.25">
      <c r="A625" s="82" t="str">
        <f>IF('Consulta1'!A4717="","",'Consulta1'!A4717)</f>
        <v/>
      </c>
      <c r="B625" s="82" t="str">
        <f>IF('Consulta1'!B4717="","",'Consulta1'!B4717)</f>
        <v/>
      </c>
      <c r="C625" s="83" t="str">
        <f>IF('Consulta1'!C4717="","",'Consulta1'!C4717)</f>
        <v/>
      </c>
      <c r="D625" s="84" t="str">
        <f>IF('Consulta1'!D4717="","",'Consulta1'!D4717)</f>
        <v/>
      </c>
      <c r="E625" s="82" t="str">
        <f>IF('Consulta1'!E4717="","",'Consulta1'!E4717)</f>
        <v/>
      </c>
      <c r="F625" t="str">
        <f>+IF(E625="","",VLOOKUP(E625,CATALOGO!G:L,6,0))</f>
        <v/>
      </c>
      <c r="G625" s="85" t="str">
        <f>IF('Consulta1'!F4717="","",'Consulta1'!F4717)</f>
        <v/>
      </c>
      <c r="H625" s="85" t="str">
        <f>IF('Consulta1'!G4717="","",'Consulta1'!G4717)</f>
        <v/>
      </c>
      <c r="I625" s="86" t="str">
        <f>IF('Consulta1'!H4717="","",'Consulta1'!H4717)</f>
        <v/>
      </c>
      <c r="J625" t="str">
        <f t="shared" si="9"/>
        <v/>
      </c>
      <c r="K625" t="str">
        <f>+IF(E625="","",VLOOKUP(E625,CATALOGO!G:I,2,0))</f>
        <v/>
      </c>
      <c r="L625" t="str">
        <f>+IF(E625="","",VLOOKUP(E625,CATALOGO!G:I,3,0))</f>
        <v/>
      </c>
      <c r="M625" s="87" t="str">
        <f>IF('Consulta1'!I4717="","",'Consulta1'!I4717)</f>
        <v/>
      </c>
      <c r="N625" s="88" t="str">
        <f>IF('Consulta1'!J4717="","",'Consulta1'!J4717)</f>
        <v/>
      </c>
    </row>
    <row r="626" spans="1:14" ht="18.75" x14ac:dyDescent="0.25">
      <c r="A626" s="82" t="str">
        <f>IF('Consulta1'!A4718="","",'Consulta1'!A4718)</f>
        <v/>
      </c>
      <c r="B626" s="82" t="str">
        <f>IF('Consulta1'!B4718="","",'Consulta1'!B4718)</f>
        <v/>
      </c>
      <c r="C626" s="83" t="str">
        <f>IF('Consulta1'!C4718="","",'Consulta1'!C4718)</f>
        <v/>
      </c>
      <c r="D626" s="84" t="str">
        <f>IF('Consulta1'!D4718="","",'Consulta1'!D4718)</f>
        <v/>
      </c>
      <c r="E626" s="82" t="str">
        <f>IF('Consulta1'!E4718="","",'Consulta1'!E4718)</f>
        <v/>
      </c>
      <c r="F626" t="str">
        <f>+IF(E626="","",VLOOKUP(E626,CATALOGO!G:L,6,0))</f>
        <v/>
      </c>
      <c r="G626" s="85" t="str">
        <f>IF('Consulta1'!F4718="","",'Consulta1'!F4718)</f>
        <v/>
      </c>
      <c r="H626" s="85" t="str">
        <f>IF('Consulta1'!G4718="","",'Consulta1'!G4718)</f>
        <v/>
      </c>
      <c r="I626" s="86" t="str">
        <f>IF('Consulta1'!H4718="","",'Consulta1'!H4718)</f>
        <v/>
      </c>
      <c r="J626" t="str">
        <f t="shared" si="9"/>
        <v/>
      </c>
      <c r="K626" t="str">
        <f>+IF(E626="","",VLOOKUP(E626,CATALOGO!G:I,2,0))</f>
        <v/>
      </c>
      <c r="L626" t="str">
        <f>+IF(E626="","",VLOOKUP(E626,CATALOGO!G:I,3,0))</f>
        <v/>
      </c>
      <c r="M626" s="87" t="str">
        <f>IF('Consulta1'!I4718="","",'Consulta1'!I4718)</f>
        <v/>
      </c>
      <c r="N626" s="88" t="str">
        <f>IF('Consulta1'!J4718="","",'Consulta1'!J4718)</f>
        <v/>
      </c>
    </row>
    <row r="627" spans="1:14" ht="18.75" x14ac:dyDescent="0.25">
      <c r="A627" s="82" t="str">
        <f>IF('Consulta1'!A4719="","",'Consulta1'!A4719)</f>
        <v/>
      </c>
      <c r="B627" s="82" t="str">
        <f>IF('Consulta1'!B4719="","",'Consulta1'!B4719)</f>
        <v/>
      </c>
      <c r="C627" s="83" t="str">
        <f>IF('Consulta1'!C4719="","",'Consulta1'!C4719)</f>
        <v/>
      </c>
      <c r="D627" s="84" t="str">
        <f>IF('Consulta1'!D4719="","",'Consulta1'!D4719)</f>
        <v/>
      </c>
      <c r="E627" s="82" t="str">
        <f>IF('Consulta1'!E4719="","",'Consulta1'!E4719)</f>
        <v/>
      </c>
      <c r="F627" t="str">
        <f>+IF(E627="","",VLOOKUP(E627,CATALOGO!G:L,6,0))</f>
        <v/>
      </c>
      <c r="G627" s="85" t="str">
        <f>IF('Consulta1'!F4719="","",'Consulta1'!F4719)</f>
        <v/>
      </c>
      <c r="H627" s="85" t="str">
        <f>IF('Consulta1'!G4719="","",'Consulta1'!G4719)</f>
        <v/>
      </c>
      <c r="I627" s="86" t="str">
        <f>IF('Consulta1'!H4719="","",'Consulta1'!H4719)</f>
        <v/>
      </c>
      <c r="J627" t="str">
        <f t="shared" si="9"/>
        <v/>
      </c>
      <c r="K627" t="str">
        <f>+IF(E627="","",VLOOKUP(E627,CATALOGO!G:I,2,0))</f>
        <v/>
      </c>
      <c r="L627" t="str">
        <f>+IF(E627="","",VLOOKUP(E627,CATALOGO!G:I,3,0))</f>
        <v/>
      </c>
      <c r="M627" s="87" t="str">
        <f>IF('Consulta1'!I4719="","",'Consulta1'!I4719)</f>
        <v/>
      </c>
      <c r="N627" s="88" t="str">
        <f>IF('Consulta1'!J4719="","",'Consulta1'!J4719)</f>
        <v/>
      </c>
    </row>
    <row r="628" spans="1:14" ht="18.75" x14ac:dyDescent="0.25">
      <c r="A628" s="82" t="str">
        <f>IF('Consulta1'!A4720="","",'Consulta1'!A4720)</f>
        <v/>
      </c>
      <c r="B628" s="82" t="str">
        <f>IF('Consulta1'!B4720="","",'Consulta1'!B4720)</f>
        <v/>
      </c>
      <c r="C628" s="83" t="str">
        <f>IF('Consulta1'!C4720="","",'Consulta1'!C4720)</f>
        <v/>
      </c>
      <c r="D628" s="84" t="str">
        <f>IF('Consulta1'!D4720="","",'Consulta1'!D4720)</f>
        <v/>
      </c>
      <c r="E628" s="82" t="str">
        <f>IF('Consulta1'!E4720="","",'Consulta1'!E4720)</f>
        <v/>
      </c>
      <c r="F628" t="str">
        <f>+IF(E628="","",VLOOKUP(E628,CATALOGO!G:L,6,0))</f>
        <v/>
      </c>
      <c r="G628" s="85" t="str">
        <f>IF('Consulta1'!F4720="","",'Consulta1'!F4720)</f>
        <v/>
      </c>
      <c r="H628" s="85" t="str">
        <f>IF('Consulta1'!G4720="","",'Consulta1'!G4720)</f>
        <v/>
      </c>
      <c r="I628" s="86" t="str">
        <f>IF('Consulta1'!H4720="","",'Consulta1'!H4720)</f>
        <v/>
      </c>
      <c r="J628" t="str">
        <f t="shared" si="9"/>
        <v/>
      </c>
      <c r="K628" t="str">
        <f>+IF(E628="","",VLOOKUP(E628,CATALOGO!G:I,2,0))</f>
        <v/>
      </c>
      <c r="L628" t="str">
        <f>+IF(E628="","",VLOOKUP(E628,CATALOGO!G:I,3,0))</f>
        <v/>
      </c>
      <c r="M628" s="87" t="str">
        <f>IF('Consulta1'!I4720="","",'Consulta1'!I4720)</f>
        <v/>
      </c>
      <c r="N628" s="88" t="str">
        <f>IF('Consulta1'!J4720="","",'Consulta1'!J4720)</f>
        <v/>
      </c>
    </row>
    <row r="629" spans="1:14" ht="18.75" x14ac:dyDescent="0.25">
      <c r="A629" s="82" t="str">
        <f>IF('Consulta1'!A4721="","",'Consulta1'!A4721)</f>
        <v/>
      </c>
      <c r="B629" s="82" t="str">
        <f>IF('Consulta1'!B4721="","",'Consulta1'!B4721)</f>
        <v/>
      </c>
      <c r="C629" s="83" t="str">
        <f>IF('Consulta1'!C4721="","",'Consulta1'!C4721)</f>
        <v/>
      </c>
      <c r="D629" s="84" t="str">
        <f>IF('Consulta1'!D4721="","",'Consulta1'!D4721)</f>
        <v/>
      </c>
      <c r="E629" s="82" t="str">
        <f>IF('Consulta1'!E4721="","",'Consulta1'!E4721)</f>
        <v/>
      </c>
      <c r="F629" t="str">
        <f>+IF(E629="","",VLOOKUP(E629,CATALOGO!G:L,6,0))</f>
        <v/>
      </c>
      <c r="G629" s="85" t="str">
        <f>IF('Consulta1'!F4721="","",'Consulta1'!F4721)</f>
        <v/>
      </c>
      <c r="H629" s="85" t="str">
        <f>IF('Consulta1'!G4721="","",'Consulta1'!G4721)</f>
        <v/>
      </c>
      <c r="I629" s="86" t="str">
        <f>IF('Consulta1'!H4721="","",'Consulta1'!H4721)</f>
        <v/>
      </c>
      <c r="J629" t="str">
        <f t="shared" si="9"/>
        <v/>
      </c>
      <c r="K629" t="str">
        <f>+IF(E629="","",VLOOKUP(E629,CATALOGO!G:I,2,0))</f>
        <v/>
      </c>
      <c r="L629" t="str">
        <f>+IF(E629="","",VLOOKUP(E629,CATALOGO!G:I,3,0))</f>
        <v/>
      </c>
      <c r="M629" s="87" t="str">
        <f>IF('Consulta1'!I4721="","",'Consulta1'!I4721)</f>
        <v/>
      </c>
      <c r="N629" s="88" t="str">
        <f>IF('Consulta1'!J4721="","",'Consulta1'!J4721)</f>
        <v/>
      </c>
    </row>
    <row r="630" spans="1:14" ht="18.75" x14ac:dyDescent="0.25">
      <c r="A630" s="82" t="str">
        <f>IF('Consulta1'!A4722="","",'Consulta1'!A4722)</f>
        <v/>
      </c>
      <c r="B630" s="82" t="str">
        <f>IF('Consulta1'!B4722="","",'Consulta1'!B4722)</f>
        <v/>
      </c>
      <c r="C630" s="83" t="str">
        <f>IF('Consulta1'!C4722="","",'Consulta1'!C4722)</f>
        <v/>
      </c>
      <c r="D630" s="84" t="str">
        <f>IF('Consulta1'!D4722="","",'Consulta1'!D4722)</f>
        <v/>
      </c>
      <c r="E630" s="82" t="str">
        <f>IF('Consulta1'!E4722="","",'Consulta1'!E4722)</f>
        <v/>
      </c>
      <c r="F630" t="str">
        <f>+IF(E630="","",VLOOKUP(E630,CATALOGO!G:L,6,0))</f>
        <v/>
      </c>
      <c r="G630" s="85" t="str">
        <f>IF('Consulta1'!F4722="","",'Consulta1'!F4722)</f>
        <v/>
      </c>
      <c r="H630" s="85" t="str">
        <f>IF('Consulta1'!G4722="","",'Consulta1'!G4722)</f>
        <v/>
      </c>
      <c r="I630" s="86" t="str">
        <f>IF('Consulta1'!H4722="","",'Consulta1'!H4722)</f>
        <v/>
      </c>
      <c r="J630" t="str">
        <f t="shared" si="9"/>
        <v/>
      </c>
      <c r="K630" t="str">
        <f>+IF(E630="","",VLOOKUP(E630,CATALOGO!G:I,2,0))</f>
        <v/>
      </c>
      <c r="L630" t="str">
        <f>+IF(E630="","",VLOOKUP(E630,CATALOGO!G:I,3,0))</f>
        <v/>
      </c>
      <c r="M630" s="87" t="str">
        <f>IF('Consulta1'!I4722="","",'Consulta1'!I4722)</f>
        <v/>
      </c>
      <c r="N630" s="88" t="str">
        <f>IF('Consulta1'!J4722="","",'Consulta1'!J4722)</f>
        <v/>
      </c>
    </row>
    <row r="631" spans="1:14" ht="18.75" x14ac:dyDescent="0.25">
      <c r="A631" s="82" t="str">
        <f>IF('Consulta1'!A4723="","",'Consulta1'!A4723)</f>
        <v/>
      </c>
      <c r="B631" s="82" t="str">
        <f>IF('Consulta1'!B4723="","",'Consulta1'!B4723)</f>
        <v/>
      </c>
      <c r="C631" s="83" t="str">
        <f>IF('Consulta1'!C4723="","",'Consulta1'!C4723)</f>
        <v/>
      </c>
      <c r="D631" s="84" t="str">
        <f>IF('Consulta1'!D4723="","",'Consulta1'!D4723)</f>
        <v/>
      </c>
      <c r="E631" s="82" t="str">
        <f>IF('Consulta1'!E4723="","",'Consulta1'!E4723)</f>
        <v/>
      </c>
      <c r="F631" t="str">
        <f>+IF(E631="","",VLOOKUP(E631,CATALOGO!G:L,6,0))</f>
        <v/>
      </c>
      <c r="G631" s="85" t="str">
        <f>IF('Consulta1'!F4723="","",'Consulta1'!F4723)</f>
        <v/>
      </c>
      <c r="H631" s="85" t="str">
        <f>IF('Consulta1'!G4723="","",'Consulta1'!G4723)</f>
        <v/>
      </c>
      <c r="I631" s="86" t="str">
        <f>IF('Consulta1'!H4723="","",'Consulta1'!H4723)</f>
        <v/>
      </c>
      <c r="J631" t="str">
        <f t="shared" si="9"/>
        <v/>
      </c>
      <c r="K631" t="str">
        <f>+IF(E631="","",VLOOKUP(E631,CATALOGO!G:I,2,0))</f>
        <v/>
      </c>
      <c r="L631" t="str">
        <f>+IF(E631="","",VLOOKUP(E631,CATALOGO!G:I,3,0))</f>
        <v/>
      </c>
      <c r="M631" s="87" t="str">
        <f>IF('Consulta1'!I4723="","",'Consulta1'!I4723)</f>
        <v/>
      </c>
      <c r="N631" s="88" t="str">
        <f>IF('Consulta1'!J4723="","",'Consulta1'!J4723)</f>
        <v/>
      </c>
    </row>
    <row r="632" spans="1:14" ht="18.75" x14ac:dyDescent="0.25">
      <c r="A632" s="82" t="str">
        <f>IF('Consulta1'!A4724="","",'Consulta1'!A4724)</f>
        <v/>
      </c>
      <c r="B632" s="82" t="str">
        <f>IF('Consulta1'!B4724="","",'Consulta1'!B4724)</f>
        <v/>
      </c>
      <c r="C632" s="83" t="str">
        <f>IF('Consulta1'!C4724="","",'Consulta1'!C4724)</f>
        <v/>
      </c>
      <c r="D632" s="84" t="str">
        <f>IF('Consulta1'!D4724="","",'Consulta1'!D4724)</f>
        <v/>
      </c>
      <c r="E632" s="82" t="str">
        <f>IF('Consulta1'!E4724="","",'Consulta1'!E4724)</f>
        <v/>
      </c>
      <c r="F632" t="str">
        <f>+IF(E632="","",VLOOKUP(E632,CATALOGO!G:L,6,0))</f>
        <v/>
      </c>
      <c r="G632" s="85" t="str">
        <f>IF('Consulta1'!F4724="","",'Consulta1'!F4724)</f>
        <v/>
      </c>
      <c r="H632" s="85" t="str">
        <f>IF('Consulta1'!G4724="","",'Consulta1'!G4724)</f>
        <v/>
      </c>
      <c r="I632" s="86" t="str">
        <f>IF('Consulta1'!H4724="","",'Consulta1'!H4724)</f>
        <v/>
      </c>
      <c r="J632" t="str">
        <f t="shared" si="9"/>
        <v/>
      </c>
      <c r="K632" t="str">
        <f>+IF(E632="","",VLOOKUP(E632,CATALOGO!G:I,2,0))</f>
        <v/>
      </c>
      <c r="L632" t="str">
        <f>+IF(E632="","",VLOOKUP(E632,CATALOGO!G:I,3,0))</f>
        <v/>
      </c>
      <c r="M632" s="87" t="str">
        <f>IF('Consulta1'!I4724="","",'Consulta1'!I4724)</f>
        <v/>
      </c>
      <c r="N632" s="88" t="str">
        <f>IF('Consulta1'!J4724="","",'Consulta1'!J4724)</f>
        <v/>
      </c>
    </row>
    <row r="633" spans="1:14" ht="18.75" x14ac:dyDescent="0.25">
      <c r="A633" s="82" t="str">
        <f>IF('Consulta1'!A4725="","",'Consulta1'!A4725)</f>
        <v/>
      </c>
      <c r="B633" s="82" t="str">
        <f>IF('Consulta1'!B4725="","",'Consulta1'!B4725)</f>
        <v/>
      </c>
      <c r="C633" s="83" t="str">
        <f>IF('Consulta1'!C4725="","",'Consulta1'!C4725)</f>
        <v/>
      </c>
      <c r="D633" s="84" t="str">
        <f>IF('Consulta1'!D4725="","",'Consulta1'!D4725)</f>
        <v/>
      </c>
      <c r="E633" s="82" t="str">
        <f>IF('Consulta1'!E4725="","",'Consulta1'!E4725)</f>
        <v/>
      </c>
      <c r="F633" t="str">
        <f>+IF(E633="","",VLOOKUP(E633,CATALOGO!G:L,6,0))</f>
        <v/>
      </c>
      <c r="G633" s="85" t="str">
        <f>IF('Consulta1'!F4725="","",'Consulta1'!F4725)</f>
        <v/>
      </c>
      <c r="H633" s="85" t="str">
        <f>IF('Consulta1'!G4725="","",'Consulta1'!G4725)</f>
        <v/>
      </c>
      <c r="I633" s="86" t="str">
        <f>IF('Consulta1'!H4725="","",'Consulta1'!H4725)</f>
        <v/>
      </c>
      <c r="J633" t="str">
        <f t="shared" si="9"/>
        <v/>
      </c>
      <c r="K633" t="str">
        <f>+IF(E633="","",VLOOKUP(E633,CATALOGO!G:I,2,0))</f>
        <v/>
      </c>
      <c r="L633" t="str">
        <f>+IF(E633="","",VLOOKUP(E633,CATALOGO!G:I,3,0))</f>
        <v/>
      </c>
      <c r="M633" s="87" t="str">
        <f>IF('Consulta1'!I4725="","",'Consulta1'!I4725)</f>
        <v/>
      </c>
      <c r="N633" s="88" t="str">
        <f>IF('Consulta1'!J4725="","",'Consulta1'!J4725)</f>
        <v/>
      </c>
    </row>
    <row r="634" spans="1:14" ht="18.75" x14ac:dyDescent="0.25">
      <c r="A634" s="82" t="str">
        <f>IF('Consulta1'!A4726="","",'Consulta1'!A4726)</f>
        <v/>
      </c>
      <c r="B634" s="82" t="str">
        <f>IF('Consulta1'!B4726="","",'Consulta1'!B4726)</f>
        <v/>
      </c>
      <c r="C634" s="83" t="str">
        <f>IF('Consulta1'!C4726="","",'Consulta1'!C4726)</f>
        <v/>
      </c>
      <c r="D634" s="84" t="str">
        <f>IF('Consulta1'!D4726="","",'Consulta1'!D4726)</f>
        <v/>
      </c>
      <c r="E634" s="82" t="str">
        <f>IF('Consulta1'!E4726="","",'Consulta1'!E4726)</f>
        <v/>
      </c>
      <c r="F634" t="str">
        <f>+IF(E634="","",VLOOKUP(E634,CATALOGO!G:L,6,0))</f>
        <v/>
      </c>
      <c r="G634" s="85" t="str">
        <f>IF('Consulta1'!F4726="","",'Consulta1'!F4726)</f>
        <v/>
      </c>
      <c r="H634" s="85" t="str">
        <f>IF('Consulta1'!G4726="","",'Consulta1'!G4726)</f>
        <v/>
      </c>
      <c r="I634" s="86" t="str">
        <f>IF('Consulta1'!H4726="","",'Consulta1'!H4726)</f>
        <v/>
      </c>
      <c r="J634" t="str">
        <f t="shared" si="9"/>
        <v/>
      </c>
      <c r="K634" t="str">
        <f>+IF(E634="","",VLOOKUP(E634,CATALOGO!G:I,2,0))</f>
        <v/>
      </c>
      <c r="L634" t="str">
        <f>+IF(E634="","",VLOOKUP(E634,CATALOGO!G:I,3,0))</f>
        <v/>
      </c>
      <c r="M634" s="87" t="str">
        <f>IF('Consulta1'!I4726="","",'Consulta1'!I4726)</f>
        <v/>
      </c>
      <c r="N634" s="88" t="str">
        <f>IF('Consulta1'!J4726="","",'Consulta1'!J4726)</f>
        <v/>
      </c>
    </row>
    <row r="635" spans="1:14" ht="18.75" x14ac:dyDescent="0.25">
      <c r="A635" s="82" t="str">
        <f>IF('Consulta1'!A4727="","",'Consulta1'!A4727)</f>
        <v/>
      </c>
      <c r="B635" s="82" t="str">
        <f>IF('Consulta1'!B4727="","",'Consulta1'!B4727)</f>
        <v/>
      </c>
      <c r="C635" s="83" t="str">
        <f>IF('Consulta1'!C4727="","",'Consulta1'!C4727)</f>
        <v/>
      </c>
      <c r="D635" s="84" t="str">
        <f>IF('Consulta1'!D4727="","",'Consulta1'!D4727)</f>
        <v/>
      </c>
      <c r="E635" s="82" t="str">
        <f>IF('Consulta1'!E4727="","",'Consulta1'!E4727)</f>
        <v/>
      </c>
      <c r="F635" t="str">
        <f>+IF(E635="","",VLOOKUP(E635,CATALOGO!G:L,6,0))</f>
        <v/>
      </c>
      <c r="G635" s="85" t="str">
        <f>IF('Consulta1'!F4727="","",'Consulta1'!F4727)</f>
        <v/>
      </c>
      <c r="H635" s="85" t="str">
        <f>IF('Consulta1'!G4727="","",'Consulta1'!G4727)</f>
        <v/>
      </c>
      <c r="I635" s="86" t="str">
        <f>IF('Consulta1'!H4727="","",'Consulta1'!H4727)</f>
        <v/>
      </c>
      <c r="J635" t="str">
        <f t="shared" si="9"/>
        <v/>
      </c>
      <c r="K635" t="str">
        <f>+IF(E635="","",VLOOKUP(E635,CATALOGO!G:I,2,0))</f>
        <v/>
      </c>
      <c r="L635" t="str">
        <f>+IF(E635="","",VLOOKUP(E635,CATALOGO!G:I,3,0))</f>
        <v/>
      </c>
      <c r="M635" s="87" t="str">
        <f>IF('Consulta1'!I4727="","",'Consulta1'!I4727)</f>
        <v/>
      </c>
      <c r="N635" s="88" t="str">
        <f>IF('Consulta1'!J4727="","",'Consulta1'!J4727)</f>
        <v/>
      </c>
    </row>
    <row r="636" spans="1:14" ht="18.75" x14ac:dyDescent="0.25">
      <c r="A636" s="82" t="str">
        <f>IF('Consulta1'!A4728="","",'Consulta1'!A4728)</f>
        <v/>
      </c>
      <c r="B636" s="82" t="str">
        <f>IF('Consulta1'!B4728="","",'Consulta1'!B4728)</f>
        <v/>
      </c>
      <c r="C636" s="83" t="str">
        <f>IF('Consulta1'!C4728="","",'Consulta1'!C4728)</f>
        <v/>
      </c>
      <c r="D636" s="84" t="str">
        <f>IF('Consulta1'!D4728="","",'Consulta1'!D4728)</f>
        <v/>
      </c>
      <c r="E636" s="82" t="str">
        <f>IF('Consulta1'!E4728="","",'Consulta1'!E4728)</f>
        <v/>
      </c>
      <c r="F636" t="str">
        <f>+IF(E636="","",VLOOKUP(E636,CATALOGO!G:L,6,0))</f>
        <v/>
      </c>
      <c r="G636" s="85" t="str">
        <f>IF('Consulta1'!F4728="","",'Consulta1'!F4728)</f>
        <v/>
      </c>
      <c r="H636" s="85" t="str">
        <f>IF('Consulta1'!G4728="","",'Consulta1'!G4728)</f>
        <v/>
      </c>
      <c r="I636" s="86" t="str">
        <f>IF('Consulta1'!H4728="","",'Consulta1'!H4728)</f>
        <v/>
      </c>
      <c r="J636" t="str">
        <f t="shared" si="9"/>
        <v/>
      </c>
      <c r="K636" t="str">
        <f>+IF(E636="","",VLOOKUP(E636,CATALOGO!G:I,2,0))</f>
        <v/>
      </c>
      <c r="L636" t="str">
        <f>+IF(E636="","",VLOOKUP(E636,CATALOGO!G:I,3,0))</f>
        <v/>
      </c>
      <c r="M636" s="87" t="str">
        <f>IF('Consulta1'!I4728="","",'Consulta1'!I4728)</f>
        <v/>
      </c>
      <c r="N636" s="88" t="str">
        <f>IF('Consulta1'!J4728="","",'Consulta1'!J4728)</f>
        <v/>
      </c>
    </row>
    <row r="637" spans="1:14" ht="18.75" x14ac:dyDescent="0.25">
      <c r="A637" s="82" t="str">
        <f>IF('Consulta1'!A4729="","",'Consulta1'!A4729)</f>
        <v/>
      </c>
      <c r="B637" s="82" t="str">
        <f>IF('Consulta1'!B4729="","",'Consulta1'!B4729)</f>
        <v/>
      </c>
      <c r="C637" s="83" t="str">
        <f>IF('Consulta1'!C4729="","",'Consulta1'!C4729)</f>
        <v/>
      </c>
      <c r="D637" s="84" t="str">
        <f>IF('Consulta1'!D4729="","",'Consulta1'!D4729)</f>
        <v/>
      </c>
      <c r="E637" s="82" t="str">
        <f>IF('Consulta1'!E4729="","",'Consulta1'!E4729)</f>
        <v/>
      </c>
      <c r="F637" t="str">
        <f>+IF(E637="","",VLOOKUP(E637,CATALOGO!G:L,6,0))</f>
        <v/>
      </c>
      <c r="G637" s="85" t="str">
        <f>IF('Consulta1'!F4729="","",'Consulta1'!F4729)</f>
        <v/>
      </c>
      <c r="H637" s="85" t="str">
        <f>IF('Consulta1'!G4729="","",'Consulta1'!G4729)</f>
        <v/>
      </c>
      <c r="I637" s="86" t="str">
        <f>IF('Consulta1'!H4729="","",'Consulta1'!H4729)</f>
        <v/>
      </c>
      <c r="J637" t="str">
        <f t="shared" si="9"/>
        <v/>
      </c>
      <c r="K637" t="str">
        <f>+IF(E637="","",VLOOKUP(E637,CATALOGO!G:I,2,0))</f>
        <v/>
      </c>
      <c r="L637" t="str">
        <f>+IF(E637="","",VLOOKUP(E637,CATALOGO!G:I,3,0))</f>
        <v/>
      </c>
      <c r="M637" s="87" t="str">
        <f>IF('Consulta1'!I4729="","",'Consulta1'!I4729)</f>
        <v/>
      </c>
      <c r="N637" s="88" t="str">
        <f>IF('Consulta1'!J4729="","",'Consulta1'!J4729)</f>
        <v/>
      </c>
    </row>
    <row r="638" spans="1:14" ht="18.75" x14ac:dyDescent="0.25">
      <c r="A638" s="82" t="str">
        <f>IF('Consulta1'!A4730="","",'Consulta1'!A4730)</f>
        <v/>
      </c>
      <c r="B638" s="82" t="str">
        <f>IF('Consulta1'!B4730="","",'Consulta1'!B4730)</f>
        <v/>
      </c>
      <c r="C638" s="83" t="str">
        <f>IF('Consulta1'!C4730="","",'Consulta1'!C4730)</f>
        <v/>
      </c>
      <c r="D638" s="84" t="str">
        <f>IF('Consulta1'!D4730="","",'Consulta1'!D4730)</f>
        <v/>
      </c>
      <c r="E638" s="82" t="str">
        <f>IF('Consulta1'!E4730="","",'Consulta1'!E4730)</f>
        <v/>
      </c>
      <c r="F638" t="str">
        <f>+IF(E638="","",VLOOKUP(E638,CATALOGO!G:L,6,0))</f>
        <v/>
      </c>
      <c r="G638" s="85" t="str">
        <f>IF('Consulta1'!F4730="","",'Consulta1'!F4730)</f>
        <v/>
      </c>
      <c r="H638" s="85" t="str">
        <f>IF('Consulta1'!G4730="","",'Consulta1'!G4730)</f>
        <v/>
      </c>
      <c r="I638" s="86" t="str">
        <f>IF('Consulta1'!H4730="","",'Consulta1'!H4730)</f>
        <v/>
      </c>
      <c r="J638" t="str">
        <f t="shared" si="9"/>
        <v/>
      </c>
      <c r="K638" t="str">
        <f>+IF(E638="","",VLOOKUP(E638,CATALOGO!G:I,2,0))</f>
        <v/>
      </c>
      <c r="L638" t="str">
        <f>+IF(E638="","",VLOOKUP(E638,CATALOGO!G:I,3,0))</f>
        <v/>
      </c>
      <c r="M638" s="87" t="str">
        <f>IF('Consulta1'!I4730="","",'Consulta1'!I4730)</f>
        <v/>
      </c>
      <c r="N638" s="88" t="str">
        <f>IF('Consulta1'!J4730="","",'Consulta1'!J4730)</f>
        <v/>
      </c>
    </row>
    <row r="639" spans="1:14" ht="18.75" x14ac:dyDescent="0.25">
      <c r="A639" s="82" t="str">
        <f>IF('Consulta1'!A4731="","",'Consulta1'!A4731)</f>
        <v/>
      </c>
      <c r="B639" s="82" t="str">
        <f>IF('Consulta1'!B4731="","",'Consulta1'!B4731)</f>
        <v/>
      </c>
      <c r="C639" s="83" t="str">
        <f>IF('Consulta1'!C4731="","",'Consulta1'!C4731)</f>
        <v/>
      </c>
      <c r="D639" s="84" t="str">
        <f>IF('Consulta1'!D4731="","",'Consulta1'!D4731)</f>
        <v/>
      </c>
      <c r="E639" s="82" t="str">
        <f>IF('Consulta1'!E4731="","",'Consulta1'!E4731)</f>
        <v/>
      </c>
      <c r="F639" t="str">
        <f>+IF(E639="","",VLOOKUP(E639,CATALOGO!G:L,6,0))</f>
        <v/>
      </c>
      <c r="G639" s="85" t="str">
        <f>IF('Consulta1'!F4731="","",'Consulta1'!F4731)</f>
        <v/>
      </c>
      <c r="H639" s="85" t="str">
        <f>IF('Consulta1'!G4731="","",'Consulta1'!G4731)</f>
        <v/>
      </c>
      <c r="I639" s="86" t="str">
        <f>IF('Consulta1'!H4731="","",'Consulta1'!H4731)</f>
        <v/>
      </c>
      <c r="J639" t="str">
        <f t="shared" si="9"/>
        <v/>
      </c>
      <c r="K639" t="str">
        <f>+IF(E639="","",VLOOKUP(E639,CATALOGO!G:I,2,0))</f>
        <v/>
      </c>
      <c r="L639" t="str">
        <f>+IF(E639="","",VLOOKUP(E639,CATALOGO!G:I,3,0))</f>
        <v/>
      </c>
      <c r="M639" s="87" t="str">
        <f>IF('Consulta1'!I4731="","",'Consulta1'!I4731)</f>
        <v/>
      </c>
      <c r="N639" s="88" t="str">
        <f>IF('Consulta1'!J4731="","",'Consulta1'!J4731)</f>
        <v/>
      </c>
    </row>
    <row r="640" spans="1:14" ht="18.75" x14ac:dyDescent="0.25">
      <c r="A640" s="82" t="str">
        <f>IF('Consulta1'!A4732="","",'Consulta1'!A4732)</f>
        <v/>
      </c>
      <c r="B640" s="82" t="str">
        <f>IF('Consulta1'!B4732="","",'Consulta1'!B4732)</f>
        <v/>
      </c>
      <c r="C640" s="83" t="str">
        <f>IF('Consulta1'!C4732="","",'Consulta1'!C4732)</f>
        <v/>
      </c>
      <c r="D640" s="84" t="str">
        <f>IF('Consulta1'!D4732="","",'Consulta1'!D4732)</f>
        <v/>
      </c>
      <c r="E640" s="82" t="str">
        <f>IF('Consulta1'!E4732="","",'Consulta1'!E4732)</f>
        <v/>
      </c>
      <c r="F640" t="str">
        <f>+IF(E640="","",VLOOKUP(E640,CATALOGO!G:L,6,0))</f>
        <v/>
      </c>
      <c r="G640" s="85" t="str">
        <f>IF('Consulta1'!F4732="","",'Consulta1'!F4732)</f>
        <v/>
      </c>
      <c r="H640" s="85" t="str">
        <f>IF('Consulta1'!G4732="","",'Consulta1'!G4732)</f>
        <v/>
      </c>
      <c r="I640" s="86" t="str">
        <f>IF('Consulta1'!H4732="","",'Consulta1'!H4732)</f>
        <v/>
      </c>
      <c r="J640" t="str">
        <f t="shared" si="9"/>
        <v/>
      </c>
      <c r="K640" t="str">
        <f>+IF(E640="","",VLOOKUP(E640,CATALOGO!G:I,2,0))</f>
        <v/>
      </c>
      <c r="L640" t="str">
        <f>+IF(E640="","",VLOOKUP(E640,CATALOGO!G:I,3,0))</f>
        <v/>
      </c>
      <c r="M640" s="87" t="str">
        <f>IF('Consulta1'!I4732="","",'Consulta1'!I4732)</f>
        <v/>
      </c>
      <c r="N640" s="88" t="str">
        <f>IF('Consulta1'!J4732="","",'Consulta1'!J4732)</f>
        <v/>
      </c>
    </row>
    <row r="641" spans="1:14" ht="18.75" x14ac:dyDescent="0.25">
      <c r="A641" s="82" t="str">
        <f>IF('Consulta1'!A4733="","",'Consulta1'!A4733)</f>
        <v/>
      </c>
      <c r="B641" s="82" t="str">
        <f>IF('Consulta1'!B4733="","",'Consulta1'!B4733)</f>
        <v/>
      </c>
      <c r="C641" s="83" t="str">
        <f>IF('Consulta1'!C4733="","",'Consulta1'!C4733)</f>
        <v/>
      </c>
      <c r="D641" s="84" t="str">
        <f>IF('Consulta1'!D4733="","",'Consulta1'!D4733)</f>
        <v/>
      </c>
      <c r="E641" s="82" t="str">
        <f>IF('Consulta1'!E4733="","",'Consulta1'!E4733)</f>
        <v/>
      </c>
      <c r="F641" t="str">
        <f>+IF(E641="","",VLOOKUP(E641,CATALOGO!G:L,6,0))</f>
        <v/>
      </c>
      <c r="G641" s="85" t="str">
        <f>IF('Consulta1'!F4733="","",'Consulta1'!F4733)</f>
        <v/>
      </c>
      <c r="H641" s="85" t="str">
        <f>IF('Consulta1'!G4733="","",'Consulta1'!G4733)</f>
        <v/>
      </c>
      <c r="I641" s="86" t="str">
        <f>IF('Consulta1'!H4733="","",'Consulta1'!H4733)</f>
        <v/>
      </c>
      <c r="J641" t="str">
        <f t="shared" si="9"/>
        <v/>
      </c>
      <c r="K641" t="str">
        <f>+IF(E641="","",VLOOKUP(E641,CATALOGO!G:I,2,0))</f>
        <v/>
      </c>
      <c r="L641" t="str">
        <f>+IF(E641="","",VLOOKUP(E641,CATALOGO!G:I,3,0))</f>
        <v/>
      </c>
      <c r="M641" s="87" t="str">
        <f>IF('Consulta1'!I4733="","",'Consulta1'!I4733)</f>
        <v/>
      </c>
      <c r="N641" s="88" t="str">
        <f>IF('Consulta1'!J4733="","",'Consulta1'!J4733)</f>
        <v/>
      </c>
    </row>
    <row r="642" spans="1:14" ht="18.75" x14ac:dyDescent="0.25">
      <c r="A642" s="82" t="str">
        <f>IF('Consulta1'!A4734="","",'Consulta1'!A4734)</f>
        <v/>
      </c>
      <c r="B642" s="82" t="str">
        <f>IF('Consulta1'!B4734="","",'Consulta1'!B4734)</f>
        <v/>
      </c>
      <c r="C642" s="83" t="str">
        <f>IF('Consulta1'!C4734="","",'Consulta1'!C4734)</f>
        <v/>
      </c>
      <c r="D642" s="84" t="str">
        <f>IF('Consulta1'!D4734="","",'Consulta1'!D4734)</f>
        <v/>
      </c>
      <c r="E642" s="82" t="str">
        <f>IF('Consulta1'!E4734="","",'Consulta1'!E4734)</f>
        <v/>
      </c>
      <c r="F642" t="str">
        <f>+IF(E642="","",VLOOKUP(E642,CATALOGO!G:L,6,0))</f>
        <v/>
      </c>
      <c r="G642" s="85" t="str">
        <f>IF('Consulta1'!F4734="","",'Consulta1'!F4734)</f>
        <v/>
      </c>
      <c r="H642" s="85" t="str">
        <f>IF('Consulta1'!G4734="","",'Consulta1'!G4734)</f>
        <v/>
      </c>
      <c r="I642" s="86" t="str">
        <f>IF('Consulta1'!H4734="","",'Consulta1'!H4734)</f>
        <v/>
      </c>
      <c r="J642" t="str">
        <f t="shared" si="9"/>
        <v/>
      </c>
      <c r="K642" t="str">
        <f>+IF(E642="","",VLOOKUP(E642,CATALOGO!G:I,2,0))</f>
        <v/>
      </c>
      <c r="L642" t="str">
        <f>+IF(E642="","",VLOOKUP(E642,CATALOGO!G:I,3,0))</f>
        <v/>
      </c>
      <c r="M642" s="87" t="str">
        <f>IF('Consulta1'!I4734="","",'Consulta1'!I4734)</f>
        <v/>
      </c>
      <c r="N642" s="88" t="str">
        <f>IF('Consulta1'!J4734="","",'Consulta1'!J4734)</f>
        <v/>
      </c>
    </row>
    <row r="643" spans="1:14" ht="18.75" x14ac:dyDescent="0.25">
      <c r="A643" s="82" t="str">
        <f>IF('Consulta1'!A4735="","",'Consulta1'!A4735)</f>
        <v/>
      </c>
      <c r="B643" s="82" t="str">
        <f>IF('Consulta1'!B4735="","",'Consulta1'!B4735)</f>
        <v/>
      </c>
      <c r="C643" s="83" t="str">
        <f>IF('Consulta1'!C4735="","",'Consulta1'!C4735)</f>
        <v/>
      </c>
      <c r="D643" s="84" t="str">
        <f>IF('Consulta1'!D4735="","",'Consulta1'!D4735)</f>
        <v/>
      </c>
      <c r="E643" s="82" t="str">
        <f>IF('Consulta1'!E4735="","",'Consulta1'!E4735)</f>
        <v/>
      </c>
      <c r="F643" t="str">
        <f>+IF(E643="","",VLOOKUP(E643,CATALOGO!G:L,6,0))</f>
        <v/>
      </c>
      <c r="G643" s="85" t="str">
        <f>IF('Consulta1'!F4735="","",'Consulta1'!F4735)</f>
        <v/>
      </c>
      <c r="H643" s="85" t="str">
        <f>IF('Consulta1'!G4735="","",'Consulta1'!G4735)</f>
        <v/>
      </c>
      <c r="I643" s="86" t="str">
        <f>IF('Consulta1'!H4735="","",'Consulta1'!H4735)</f>
        <v/>
      </c>
      <c r="J643" t="str">
        <f t="shared" ref="J643:J706" si="10">+IF(E643="","",WEEKNUM(I643))</f>
        <v/>
      </c>
      <c r="K643" t="str">
        <f>+IF(E643="","",VLOOKUP(E643,CATALOGO!G:I,2,0))</f>
        <v/>
      </c>
      <c r="L643" t="str">
        <f>+IF(E643="","",VLOOKUP(E643,CATALOGO!G:I,3,0))</f>
        <v/>
      </c>
      <c r="M643" s="87" t="str">
        <f>IF('Consulta1'!I4735="","",'Consulta1'!I4735)</f>
        <v/>
      </c>
      <c r="N643" s="88" t="str">
        <f>IF('Consulta1'!J4735="","",'Consulta1'!J4735)</f>
        <v/>
      </c>
    </row>
    <row r="644" spans="1:14" ht="18.75" x14ac:dyDescent="0.25">
      <c r="A644" s="82" t="str">
        <f>IF('Consulta1'!A4736="","",'Consulta1'!A4736)</f>
        <v/>
      </c>
      <c r="B644" s="82" t="str">
        <f>IF('Consulta1'!B4736="","",'Consulta1'!B4736)</f>
        <v/>
      </c>
      <c r="C644" s="83" t="str">
        <f>IF('Consulta1'!C4736="","",'Consulta1'!C4736)</f>
        <v/>
      </c>
      <c r="D644" s="84" t="str">
        <f>IF('Consulta1'!D4736="","",'Consulta1'!D4736)</f>
        <v/>
      </c>
      <c r="E644" s="82" t="str">
        <f>IF('Consulta1'!E4736="","",'Consulta1'!E4736)</f>
        <v/>
      </c>
      <c r="F644" t="str">
        <f>+IF(E644="","",VLOOKUP(E644,CATALOGO!G:L,6,0))</f>
        <v/>
      </c>
      <c r="G644" s="85" t="str">
        <f>IF('Consulta1'!F4736="","",'Consulta1'!F4736)</f>
        <v/>
      </c>
      <c r="H644" s="85" t="str">
        <f>IF('Consulta1'!G4736="","",'Consulta1'!G4736)</f>
        <v/>
      </c>
      <c r="I644" s="86" t="str">
        <f>IF('Consulta1'!H4736="","",'Consulta1'!H4736)</f>
        <v/>
      </c>
      <c r="J644" t="str">
        <f t="shared" si="10"/>
        <v/>
      </c>
      <c r="K644" t="str">
        <f>+IF(E644="","",VLOOKUP(E644,CATALOGO!G:I,2,0))</f>
        <v/>
      </c>
      <c r="L644" t="str">
        <f>+IF(E644="","",VLOOKUP(E644,CATALOGO!G:I,3,0))</f>
        <v/>
      </c>
      <c r="M644" s="87" t="str">
        <f>IF('Consulta1'!I4736="","",'Consulta1'!I4736)</f>
        <v/>
      </c>
      <c r="N644" s="88" t="str">
        <f>IF('Consulta1'!J4736="","",'Consulta1'!J4736)</f>
        <v/>
      </c>
    </row>
    <row r="645" spans="1:14" ht="18.75" x14ac:dyDescent="0.25">
      <c r="A645" s="82" t="str">
        <f>IF('Consulta1'!A4737="","",'Consulta1'!A4737)</f>
        <v/>
      </c>
      <c r="B645" s="82" t="str">
        <f>IF('Consulta1'!B4737="","",'Consulta1'!B4737)</f>
        <v/>
      </c>
      <c r="C645" s="83" t="str">
        <f>IF('Consulta1'!C4737="","",'Consulta1'!C4737)</f>
        <v/>
      </c>
      <c r="D645" s="84" t="str">
        <f>IF('Consulta1'!D4737="","",'Consulta1'!D4737)</f>
        <v/>
      </c>
      <c r="E645" s="82" t="str">
        <f>IF('Consulta1'!E4737="","",'Consulta1'!E4737)</f>
        <v/>
      </c>
      <c r="F645" t="str">
        <f>+IF(E645="","",VLOOKUP(E645,CATALOGO!G:L,6,0))</f>
        <v/>
      </c>
      <c r="G645" s="85" t="str">
        <f>IF('Consulta1'!F4737="","",'Consulta1'!F4737)</f>
        <v/>
      </c>
      <c r="H645" s="85" t="str">
        <f>IF('Consulta1'!G4737="","",'Consulta1'!G4737)</f>
        <v/>
      </c>
      <c r="I645" s="86" t="str">
        <f>IF('Consulta1'!H4737="","",'Consulta1'!H4737)</f>
        <v/>
      </c>
      <c r="J645" t="str">
        <f t="shared" si="10"/>
        <v/>
      </c>
      <c r="K645" t="str">
        <f>+IF(E645="","",VLOOKUP(E645,CATALOGO!G:I,2,0))</f>
        <v/>
      </c>
      <c r="L645" t="str">
        <f>+IF(E645="","",VLOOKUP(E645,CATALOGO!G:I,3,0))</f>
        <v/>
      </c>
      <c r="M645" s="87" t="str">
        <f>IF('Consulta1'!I4737="","",'Consulta1'!I4737)</f>
        <v/>
      </c>
      <c r="N645" s="88" t="str">
        <f>IF('Consulta1'!J4737="","",'Consulta1'!J4737)</f>
        <v/>
      </c>
    </row>
    <row r="646" spans="1:14" ht="18.75" x14ac:dyDescent="0.25">
      <c r="A646" s="82" t="str">
        <f>IF('Consulta1'!A4738="","",'Consulta1'!A4738)</f>
        <v/>
      </c>
      <c r="B646" s="82" t="str">
        <f>IF('Consulta1'!B4738="","",'Consulta1'!B4738)</f>
        <v/>
      </c>
      <c r="C646" s="83" t="str">
        <f>IF('Consulta1'!C4738="","",'Consulta1'!C4738)</f>
        <v/>
      </c>
      <c r="D646" s="84" t="str">
        <f>IF('Consulta1'!D4738="","",'Consulta1'!D4738)</f>
        <v/>
      </c>
      <c r="E646" s="82" t="str">
        <f>IF('Consulta1'!E4738="","",'Consulta1'!E4738)</f>
        <v/>
      </c>
      <c r="F646" t="str">
        <f>+IF(E646="","",VLOOKUP(E646,CATALOGO!G:L,6,0))</f>
        <v/>
      </c>
      <c r="G646" s="85" t="str">
        <f>IF('Consulta1'!F4738="","",'Consulta1'!F4738)</f>
        <v/>
      </c>
      <c r="H646" s="85" t="str">
        <f>IF('Consulta1'!G4738="","",'Consulta1'!G4738)</f>
        <v/>
      </c>
      <c r="I646" s="86" t="str">
        <f>IF('Consulta1'!H4738="","",'Consulta1'!H4738)</f>
        <v/>
      </c>
      <c r="J646" t="str">
        <f t="shared" si="10"/>
        <v/>
      </c>
      <c r="K646" t="str">
        <f>+IF(E646="","",VLOOKUP(E646,CATALOGO!G:I,2,0))</f>
        <v/>
      </c>
      <c r="L646" t="str">
        <f>+IF(E646="","",VLOOKUP(E646,CATALOGO!G:I,3,0))</f>
        <v/>
      </c>
      <c r="M646" s="87" t="str">
        <f>IF('Consulta1'!I4738="","",'Consulta1'!I4738)</f>
        <v/>
      </c>
      <c r="N646" s="88" t="str">
        <f>IF('Consulta1'!J4738="","",'Consulta1'!J4738)</f>
        <v/>
      </c>
    </row>
    <row r="647" spans="1:14" ht="18.75" x14ac:dyDescent="0.25">
      <c r="A647" s="82" t="str">
        <f>IF('Consulta1'!A4739="","",'Consulta1'!A4739)</f>
        <v/>
      </c>
      <c r="B647" s="82" t="str">
        <f>IF('Consulta1'!B4739="","",'Consulta1'!B4739)</f>
        <v/>
      </c>
      <c r="C647" s="83" t="str">
        <f>IF('Consulta1'!C4739="","",'Consulta1'!C4739)</f>
        <v/>
      </c>
      <c r="D647" s="84" t="str">
        <f>IF('Consulta1'!D4739="","",'Consulta1'!D4739)</f>
        <v/>
      </c>
      <c r="E647" s="82" t="str">
        <f>IF('Consulta1'!E4739="","",'Consulta1'!E4739)</f>
        <v/>
      </c>
      <c r="F647" t="str">
        <f>+IF(E647="","",VLOOKUP(E647,CATALOGO!G:L,6,0))</f>
        <v/>
      </c>
      <c r="G647" s="85" t="str">
        <f>IF('Consulta1'!F4739="","",'Consulta1'!F4739)</f>
        <v/>
      </c>
      <c r="H647" s="85" t="str">
        <f>IF('Consulta1'!G4739="","",'Consulta1'!G4739)</f>
        <v/>
      </c>
      <c r="I647" s="86" t="str">
        <f>IF('Consulta1'!H4739="","",'Consulta1'!H4739)</f>
        <v/>
      </c>
      <c r="J647" t="str">
        <f t="shared" si="10"/>
        <v/>
      </c>
      <c r="K647" t="str">
        <f>+IF(E647="","",VLOOKUP(E647,CATALOGO!G:I,2,0))</f>
        <v/>
      </c>
      <c r="L647" t="str">
        <f>+IF(E647="","",VLOOKUP(E647,CATALOGO!G:I,3,0))</f>
        <v/>
      </c>
      <c r="M647" s="87" t="str">
        <f>IF('Consulta1'!I4739="","",'Consulta1'!I4739)</f>
        <v/>
      </c>
      <c r="N647" s="88" t="str">
        <f>IF('Consulta1'!J4739="","",'Consulta1'!J4739)</f>
        <v/>
      </c>
    </row>
    <row r="648" spans="1:14" ht="18.75" x14ac:dyDescent="0.25">
      <c r="A648" s="82" t="str">
        <f>IF('Consulta1'!A4740="","",'Consulta1'!A4740)</f>
        <v/>
      </c>
      <c r="B648" s="82" t="str">
        <f>IF('Consulta1'!B4740="","",'Consulta1'!B4740)</f>
        <v/>
      </c>
      <c r="C648" s="83" t="str">
        <f>IF('Consulta1'!C4740="","",'Consulta1'!C4740)</f>
        <v/>
      </c>
      <c r="D648" s="84" t="str">
        <f>IF('Consulta1'!D4740="","",'Consulta1'!D4740)</f>
        <v/>
      </c>
      <c r="E648" s="82" t="str">
        <f>IF('Consulta1'!E4740="","",'Consulta1'!E4740)</f>
        <v/>
      </c>
      <c r="F648" t="str">
        <f>+IF(E648="","",VLOOKUP(E648,CATALOGO!G:L,6,0))</f>
        <v/>
      </c>
      <c r="G648" s="85" t="str">
        <f>IF('Consulta1'!F4740="","",'Consulta1'!F4740)</f>
        <v/>
      </c>
      <c r="H648" s="85" t="str">
        <f>IF('Consulta1'!G4740="","",'Consulta1'!G4740)</f>
        <v/>
      </c>
      <c r="I648" s="86" t="str">
        <f>IF('Consulta1'!H4740="","",'Consulta1'!H4740)</f>
        <v/>
      </c>
      <c r="J648" t="str">
        <f t="shared" si="10"/>
        <v/>
      </c>
      <c r="K648" t="str">
        <f>+IF(E648="","",VLOOKUP(E648,CATALOGO!G:I,2,0))</f>
        <v/>
      </c>
      <c r="L648" t="str">
        <f>+IF(E648="","",VLOOKUP(E648,CATALOGO!G:I,3,0))</f>
        <v/>
      </c>
      <c r="M648" s="87" t="str">
        <f>IF('Consulta1'!I4740="","",'Consulta1'!I4740)</f>
        <v/>
      </c>
      <c r="N648" s="88" t="str">
        <f>IF('Consulta1'!J4740="","",'Consulta1'!J4740)</f>
        <v/>
      </c>
    </row>
    <row r="649" spans="1:14" ht="18.75" x14ac:dyDescent="0.25">
      <c r="A649" s="82" t="str">
        <f>IF('Consulta1'!A4741="","",'Consulta1'!A4741)</f>
        <v/>
      </c>
      <c r="B649" s="82" t="str">
        <f>IF('Consulta1'!B4741="","",'Consulta1'!B4741)</f>
        <v/>
      </c>
      <c r="C649" s="83" t="str">
        <f>IF('Consulta1'!C4741="","",'Consulta1'!C4741)</f>
        <v/>
      </c>
      <c r="D649" s="84" t="str">
        <f>IF('Consulta1'!D4741="","",'Consulta1'!D4741)</f>
        <v/>
      </c>
      <c r="E649" s="82" t="str">
        <f>IF('Consulta1'!E4741="","",'Consulta1'!E4741)</f>
        <v/>
      </c>
      <c r="F649" t="str">
        <f>+IF(E649="","",VLOOKUP(E649,CATALOGO!G:L,6,0))</f>
        <v/>
      </c>
      <c r="G649" s="85" t="str">
        <f>IF('Consulta1'!F4741="","",'Consulta1'!F4741)</f>
        <v/>
      </c>
      <c r="H649" s="85" t="str">
        <f>IF('Consulta1'!G4741="","",'Consulta1'!G4741)</f>
        <v/>
      </c>
      <c r="I649" s="86" t="str">
        <f>IF('Consulta1'!H4741="","",'Consulta1'!H4741)</f>
        <v/>
      </c>
      <c r="J649" t="str">
        <f t="shared" si="10"/>
        <v/>
      </c>
      <c r="K649" t="str">
        <f>+IF(E649="","",VLOOKUP(E649,CATALOGO!G:I,2,0))</f>
        <v/>
      </c>
      <c r="L649" t="str">
        <f>+IF(E649="","",VLOOKUP(E649,CATALOGO!G:I,3,0))</f>
        <v/>
      </c>
      <c r="M649" s="87" t="str">
        <f>IF('Consulta1'!I4741="","",'Consulta1'!I4741)</f>
        <v/>
      </c>
      <c r="N649" s="88" t="str">
        <f>IF('Consulta1'!J4741="","",'Consulta1'!J4741)</f>
        <v/>
      </c>
    </row>
    <row r="650" spans="1:14" ht="18.75" x14ac:dyDescent="0.25">
      <c r="A650" s="82" t="str">
        <f>IF('Consulta1'!A4742="","",'Consulta1'!A4742)</f>
        <v/>
      </c>
      <c r="B650" s="82" t="str">
        <f>IF('Consulta1'!B4742="","",'Consulta1'!B4742)</f>
        <v/>
      </c>
      <c r="C650" s="83" t="str">
        <f>IF('Consulta1'!C4742="","",'Consulta1'!C4742)</f>
        <v/>
      </c>
      <c r="D650" s="84" t="str">
        <f>IF('Consulta1'!D4742="","",'Consulta1'!D4742)</f>
        <v/>
      </c>
      <c r="E650" s="82" t="str">
        <f>IF('Consulta1'!E4742="","",'Consulta1'!E4742)</f>
        <v/>
      </c>
      <c r="F650" t="str">
        <f>+IF(E650="","",VLOOKUP(E650,CATALOGO!G:L,6,0))</f>
        <v/>
      </c>
      <c r="G650" s="85" t="str">
        <f>IF('Consulta1'!F4742="","",'Consulta1'!F4742)</f>
        <v/>
      </c>
      <c r="H650" s="85" t="str">
        <f>IF('Consulta1'!G4742="","",'Consulta1'!G4742)</f>
        <v/>
      </c>
      <c r="I650" s="86" t="str">
        <f>IF('Consulta1'!H4742="","",'Consulta1'!H4742)</f>
        <v/>
      </c>
      <c r="J650" t="str">
        <f t="shared" si="10"/>
        <v/>
      </c>
      <c r="K650" t="str">
        <f>+IF(E650="","",VLOOKUP(E650,CATALOGO!G:I,2,0))</f>
        <v/>
      </c>
      <c r="L650" t="str">
        <f>+IF(E650="","",VLOOKUP(E650,CATALOGO!G:I,3,0))</f>
        <v/>
      </c>
      <c r="M650" s="87" t="str">
        <f>IF('Consulta1'!I4742="","",'Consulta1'!I4742)</f>
        <v/>
      </c>
      <c r="N650" s="88" t="str">
        <f>IF('Consulta1'!J4742="","",'Consulta1'!J4742)</f>
        <v/>
      </c>
    </row>
    <row r="651" spans="1:14" ht="18.75" x14ac:dyDescent="0.25">
      <c r="A651" s="82" t="str">
        <f>IF('Consulta1'!A4743="","",'Consulta1'!A4743)</f>
        <v/>
      </c>
      <c r="B651" s="82" t="str">
        <f>IF('Consulta1'!B4743="","",'Consulta1'!B4743)</f>
        <v/>
      </c>
      <c r="C651" s="83" t="str">
        <f>IF('Consulta1'!C4743="","",'Consulta1'!C4743)</f>
        <v/>
      </c>
      <c r="D651" s="84" t="str">
        <f>IF('Consulta1'!D4743="","",'Consulta1'!D4743)</f>
        <v/>
      </c>
      <c r="E651" s="82" t="str">
        <f>IF('Consulta1'!E4743="","",'Consulta1'!E4743)</f>
        <v/>
      </c>
      <c r="F651" t="str">
        <f>+IF(E651="","",VLOOKUP(E651,CATALOGO!G:L,6,0))</f>
        <v/>
      </c>
      <c r="G651" s="85" t="str">
        <f>IF('Consulta1'!F4743="","",'Consulta1'!F4743)</f>
        <v/>
      </c>
      <c r="H651" s="85" t="str">
        <f>IF('Consulta1'!G4743="","",'Consulta1'!G4743)</f>
        <v/>
      </c>
      <c r="I651" s="86" t="str">
        <f>IF('Consulta1'!H4743="","",'Consulta1'!H4743)</f>
        <v/>
      </c>
      <c r="J651" t="str">
        <f t="shared" si="10"/>
        <v/>
      </c>
      <c r="K651" t="str">
        <f>+IF(E651="","",VLOOKUP(E651,CATALOGO!G:I,2,0))</f>
        <v/>
      </c>
      <c r="L651" t="str">
        <f>+IF(E651="","",VLOOKUP(E651,CATALOGO!G:I,3,0))</f>
        <v/>
      </c>
      <c r="M651" s="87" t="str">
        <f>IF('Consulta1'!I4743="","",'Consulta1'!I4743)</f>
        <v/>
      </c>
      <c r="N651" s="88" t="str">
        <f>IF('Consulta1'!J4743="","",'Consulta1'!J4743)</f>
        <v/>
      </c>
    </row>
    <row r="652" spans="1:14" ht="18.75" x14ac:dyDescent="0.25">
      <c r="A652" s="82" t="str">
        <f>IF('Consulta1'!A4744="","",'Consulta1'!A4744)</f>
        <v/>
      </c>
      <c r="B652" s="82" t="str">
        <f>IF('Consulta1'!B4744="","",'Consulta1'!B4744)</f>
        <v/>
      </c>
      <c r="C652" s="83" t="str">
        <f>IF('Consulta1'!C4744="","",'Consulta1'!C4744)</f>
        <v/>
      </c>
      <c r="D652" s="84" t="str">
        <f>IF('Consulta1'!D4744="","",'Consulta1'!D4744)</f>
        <v/>
      </c>
      <c r="E652" s="82" t="str">
        <f>IF('Consulta1'!E4744="","",'Consulta1'!E4744)</f>
        <v/>
      </c>
      <c r="F652" t="str">
        <f>+IF(E652="","",VLOOKUP(E652,CATALOGO!G:L,6,0))</f>
        <v/>
      </c>
      <c r="G652" s="85" t="str">
        <f>IF('Consulta1'!F4744="","",'Consulta1'!F4744)</f>
        <v/>
      </c>
      <c r="H652" s="85" t="str">
        <f>IF('Consulta1'!G4744="","",'Consulta1'!G4744)</f>
        <v/>
      </c>
      <c r="I652" s="86" t="str">
        <f>IF('Consulta1'!H4744="","",'Consulta1'!H4744)</f>
        <v/>
      </c>
      <c r="J652" t="str">
        <f t="shared" si="10"/>
        <v/>
      </c>
      <c r="K652" t="str">
        <f>+IF(E652="","",VLOOKUP(E652,CATALOGO!G:I,2,0))</f>
        <v/>
      </c>
      <c r="L652" t="str">
        <f>+IF(E652="","",VLOOKUP(E652,CATALOGO!G:I,3,0))</f>
        <v/>
      </c>
      <c r="M652" s="87" t="str">
        <f>IF('Consulta1'!I4744="","",'Consulta1'!I4744)</f>
        <v/>
      </c>
      <c r="N652" s="88" t="str">
        <f>IF('Consulta1'!J4744="","",'Consulta1'!J4744)</f>
        <v/>
      </c>
    </row>
    <row r="653" spans="1:14" ht="18.75" x14ac:dyDescent="0.25">
      <c r="A653" s="82" t="str">
        <f>IF('Consulta1'!A4745="","",'Consulta1'!A4745)</f>
        <v/>
      </c>
      <c r="B653" s="82" t="str">
        <f>IF('Consulta1'!B4745="","",'Consulta1'!B4745)</f>
        <v/>
      </c>
      <c r="C653" s="83" t="str">
        <f>IF('Consulta1'!C4745="","",'Consulta1'!C4745)</f>
        <v/>
      </c>
      <c r="D653" s="84" t="str">
        <f>IF('Consulta1'!D4745="","",'Consulta1'!D4745)</f>
        <v/>
      </c>
      <c r="E653" s="82" t="str">
        <f>IF('Consulta1'!E4745="","",'Consulta1'!E4745)</f>
        <v/>
      </c>
      <c r="F653" t="str">
        <f>+IF(E653="","",VLOOKUP(E653,CATALOGO!G:L,6,0))</f>
        <v/>
      </c>
      <c r="G653" s="85" t="str">
        <f>IF('Consulta1'!F4745="","",'Consulta1'!F4745)</f>
        <v/>
      </c>
      <c r="H653" s="85" t="str">
        <f>IF('Consulta1'!G4745="","",'Consulta1'!G4745)</f>
        <v/>
      </c>
      <c r="I653" s="86" t="str">
        <f>IF('Consulta1'!H4745="","",'Consulta1'!H4745)</f>
        <v/>
      </c>
      <c r="J653" t="str">
        <f t="shared" si="10"/>
        <v/>
      </c>
      <c r="K653" t="str">
        <f>+IF(E653="","",VLOOKUP(E653,CATALOGO!G:I,2,0))</f>
        <v/>
      </c>
      <c r="L653" t="str">
        <f>+IF(E653="","",VLOOKUP(E653,CATALOGO!G:I,3,0))</f>
        <v/>
      </c>
      <c r="M653" s="87" t="str">
        <f>IF('Consulta1'!I4745="","",'Consulta1'!I4745)</f>
        <v/>
      </c>
      <c r="N653" s="88" t="str">
        <f>IF('Consulta1'!J4745="","",'Consulta1'!J4745)</f>
        <v/>
      </c>
    </row>
    <row r="654" spans="1:14" ht="18.75" x14ac:dyDescent="0.25">
      <c r="A654" s="82" t="str">
        <f>IF('Consulta1'!A4746="","",'Consulta1'!A4746)</f>
        <v/>
      </c>
      <c r="B654" s="82" t="str">
        <f>IF('Consulta1'!B4746="","",'Consulta1'!B4746)</f>
        <v/>
      </c>
      <c r="C654" s="83" t="str">
        <f>IF('Consulta1'!C4746="","",'Consulta1'!C4746)</f>
        <v/>
      </c>
      <c r="D654" s="84" t="str">
        <f>IF('Consulta1'!D4746="","",'Consulta1'!D4746)</f>
        <v/>
      </c>
      <c r="E654" s="82" t="str">
        <f>IF('Consulta1'!E4746="","",'Consulta1'!E4746)</f>
        <v/>
      </c>
      <c r="F654" t="str">
        <f>+IF(E654="","",VLOOKUP(E654,CATALOGO!G:L,6,0))</f>
        <v/>
      </c>
      <c r="G654" s="85" t="str">
        <f>IF('Consulta1'!F4746="","",'Consulta1'!F4746)</f>
        <v/>
      </c>
      <c r="H654" s="85" t="str">
        <f>IF('Consulta1'!G4746="","",'Consulta1'!G4746)</f>
        <v/>
      </c>
      <c r="I654" s="86" t="str">
        <f>IF('Consulta1'!H4746="","",'Consulta1'!H4746)</f>
        <v/>
      </c>
      <c r="J654" t="str">
        <f t="shared" si="10"/>
        <v/>
      </c>
      <c r="K654" t="str">
        <f>+IF(E654="","",VLOOKUP(E654,CATALOGO!G:I,2,0))</f>
        <v/>
      </c>
      <c r="L654" t="str">
        <f>+IF(E654="","",VLOOKUP(E654,CATALOGO!G:I,3,0))</f>
        <v/>
      </c>
      <c r="M654" s="87" t="str">
        <f>IF('Consulta1'!I4746="","",'Consulta1'!I4746)</f>
        <v/>
      </c>
      <c r="N654" s="88" t="str">
        <f>IF('Consulta1'!J4746="","",'Consulta1'!J4746)</f>
        <v/>
      </c>
    </row>
    <row r="655" spans="1:14" ht="18.75" x14ac:dyDescent="0.25">
      <c r="A655" s="82" t="str">
        <f>IF('Consulta1'!A4747="","",'Consulta1'!A4747)</f>
        <v/>
      </c>
      <c r="B655" s="82" t="str">
        <f>IF('Consulta1'!B4747="","",'Consulta1'!B4747)</f>
        <v/>
      </c>
      <c r="C655" s="83" t="str">
        <f>IF('Consulta1'!C4747="","",'Consulta1'!C4747)</f>
        <v/>
      </c>
      <c r="D655" s="84" t="str">
        <f>IF('Consulta1'!D4747="","",'Consulta1'!D4747)</f>
        <v/>
      </c>
      <c r="E655" s="82" t="str">
        <f>IF('Consulta1'!E4747="","",'Consulta1'!E4747)</f>
        <v/>
      </c>
      <c r="F655" t="str">
        <f>+IF(E655="","",VLOOKUP(E655,CATALOGO!G:L,6,0))</f>
        <v/>
      </c>
      <c r="G655" s="85" t="str">
        <f>IF('Consulta1'!F4747="","",'Consulta1'!F4747)</f>
        <v/>
      </c>
      <c r="H655" s="85" t="str">
        <f>IF('Consulta1'!G4747="","",'Consulta1'!G4747)</f>
        <v/>
      </c>
      <c r="I655" s="86" t="str">
        <f>IF('Consulta1'!H4747="","",'Consulta1'!H4747)</f>
        <v/>
      </c>
      <c r="J655" t="str">
        <f t="shared" si="10"/>
        <v/>
      </c>
      <c r="K655" t="str">
        <f>+IF(E655="","",VLOOKUP(E655,CATALOGO!G:I,2,0))</f>
        <v/>
      </c>
      <c r="L655" t="str">
        <f>+IF(E655="","",VLOOKUP(E655,CATALOGO!G:I,3,0))</f>
        <v/>
      </c>
      <c r="M655" s="87" t="str">
        <f>IF('Consulta1'!I4747="","",'Consulta1'!I4747)</f>
        <v/>
      </c>
      <c r="N655" s="88" t="str">
        <f>IF('Consulta1'!J4747="","",'Consulta1'!J4747)</f>
        <v/>
      </c>
    </row>
    <row r="656" spans="1:14" ht="18.75" x14ac:dyDescent="0.25">
      <c r="A656" s="82" t="str">
        <f>IF('Consulta1'!A4748="","",'Consulta1'!A4748)</f>
        <v/>
      </c>
      <c r="B656" s="82" t="str">
        <f>IF('Consulta1'!B4748="","",'Consulta1'!B4748)</f>
        <v/>
      </c>
      <c r="C656" s="83" t="str">
        <f>IF('Consulta1'!C4748="","",'Consulta1'!C4748)</f>
        <v/>
      </c>
      <c r="D656" s="84" t="str">
        <f>IF('Consulta1'!D4748="","",'Consulta1'!D4748)</f>
        <v/>
      </c>
      <c r="E656" s="82" t="str">
        <f>IF('Consulta1'!E4748="","",'Consulta1'!E4748)</f>
        <v/>
      </c>
      <c r="F656" t="str">
        <f>+IF(E656="","",VLOOKUP(E656,CATALOGO!G:L,6,0))</f>
        <v/>
      </c>
      <c r="G656" s="85" t="str">
        <f>IF('Consulta1'!F4748="","",'Consulta1'!F4748)</f>
        <v/>
      </c>
      <c r="H656" s="85" t="str">
        <f>IF('Consulta1'!G4748="","",'Consulta1'!G4748)</f>
        <v/>
      </c>
      <c r="I656" s="86" t="str">
        <f>IF('Consulta1'!H4748="","",'Consulta1'!H4748)</f>
        <v/>
      </c>
      <c r="J656" t="str">
        <f t="shared" si="10"/>
        <v/>
      </c>
      <c r="K656" t="str">
        <f>+IF(E656="","",VLOOKUP(E656,CATALOGO!G:I,2,0))</f>
        <v/>
      </c>
      <c r="L656" t="str">
        <f>+IF(E656="","",VLOOKUP(E656,CATALOGO!G:I,3,0))</f>
        <v/>
      </c>
      <c r="M656" s="87" t="str">
        <f>IF('Consulta1'!I4748="","",'Consulta1'!I4748)</f>
        <v/>
      </c>
      <c r="N656" s="88" t="str">
        <f>IF('Consulta1'!J4748="","",'Consulta1'!J4748)</f>
        <v/>
      </c>
    </row>
    <row r="657" spans="1:14" ht="18.75" x14ac:dyDescent="0.25">
      <c r="A657" s="82" t="str">
        <f>IF('Consulta1'!A4749="","",'Consulta1'!A4749)</f>
        <v/>
      </c>
      <c r="B657" s="82" t="str">
        <f>IF('Consulta1'!B4749="","",'Consulta1'!B4749)</f>
        <v/>
      </c>
      <c r="C657" s="83" t="str">
        <f>IF('Consulta1'!C4749="","",'Consulta1'!C4749)</f>
        <v/>
      </c>
      <c r="D657" s="84" t="str">
        <f>IF('Consulta1'!D4749="","",'Consulta1'!D4749)</f>
        <v/>
      </c>
      <c r="E657" s="82" t="str">
        <f>IF('Consulta1'!E4749="","",'Consulta1'!E4749)</f>
        <v/>
      </c>
      <c r="F657" t="str">
        <f>+IF(E657="","",VLOOKUP(E657,CATALOGO!G:L,6,0))</f>
        <v/>
      </c>
      <c r="G657" s="85" t="str">
        <f>IF('Consulta1'!F4749="","",'Consulta1'!F4749)</f>
        <v/>
      </c>
      <c r="H657" s="85" t="str">
        <f>IF('Consulta1'!G4749="","",'Consulta1'!G4749)</f>
        <v/>
      </c>
      <c r="I657" s="86" t="str">
        <f>IF('Consulta1'!H4749="","",'Consulta1'!H4749)</f>
        <v/>
      </c>
      <c r="J657" t="str">
        <f t="shared" si="10"/>
        <v/>
      </c>
      <c r="K657" t="str">
        <f>+IF(E657="","",VLOOKUP(E657,CATALOGO!G:I,2,0))</f>
        <v/>
      </c>
      <c r="L657" t="str">
        <f>+IF(E657="","",VLOOKUP(E657,CATALOGO!G:I,3,0))</f>
        <v/>
      </c>
      <c r="M657" s="87" t="str">
        <f>IF('Consulta1'!I4749="","",'Consulta1'!I4749)</f>
        <v/>
      </c>
      <c r="N657" s="88" t="str">
        <f>IF('Consulta1'!J4749="","",'Consulta1'!J4749)</f>
        <v/>
      </c>
    </row>
    <row r="658" spans="1:14" ht="18.75" x14ac:dyDescent="0.25">
      <c r="A658" s="82" t="str">
        <f>IF('Consulta1'!A4750="","",'Consulta1'!A4750)</f>
        <v/>
      </c>
      <c r="B658" s="82" t="str">
        <f>IF('Consulta1'!B4750="","",'Consulta1'!B4750)</f>
        <v/>
      </c>
      <c r="C658" s="83" t="str">
        <f>IF('Consulta1'!C4750="","",'Consulta1'!C4750)</f>
        <v/>
      </c>
      <c r="D658" s="84" t="str">
        <f>IF('Consulta1'!D4750="","",'Consulta1'!D4750)</f>
        <v/>
      </c>
      <c r="E658" s="82" t="str">
        <f>IF('Consulta1'!E4750="","",'Consulta1'!E4750)</f>
        <v/>
      </c>
      <c r="F658" t="str">
        <f>+IF(E658="","",VLOOKUP(E658,CATALOGO!G:L,6,0))</f>
        <v/>
      </c>
      <c r="G658" s="85" t="str">
        <f>IF('Consulta1'!F4750="","",'Consulta1'!F4750)</f>
        <v/>
      </c>
      <c r="H658" s="85" t="str">
        <f>IF('Consulta1'!G4750="","",'Consulta1'!G4750)</f>
        <v/>
      </c>
      <c r="I658" s="86" t="str">
        <f>IF('Consulta1'!H4750="","",'Consulta1'!H4750)</f>
        <v/>
      </c>
      <c r="J658" t="str">
        <f t="shared" si="10"/>
        <v/>
      </c>
      <c r="K658" t="str">
        <f>+IF(E658="","",VLOOKUP(E658,CATALOGO!G:I,2,0))</f>
        <v/>
      </c>
      <c r="L658" t="str">
        <f>+IF(E658="","",VLOOKUP(E658,CATALOGO!G:I,3,0))</f>
        <v/>
      </c>
      <c r="M658" s="87" t="str">
        <f>IF('Consulta1'!I4750="","",'Consulta1'!I4750)</f>
        <v/>
      </c>
      <c r="N658" s="88" t="str">
        <f>IF('Consulta1'!J4750="","",'Consulta1'!J4750)</f>
        <v/>
      </c>
    </row>
    <row r="659" spans="1:14" ht="18.75" x14ac:dyDescent="0.25">
      <c r="A659" s="82" t="str">
        <f>IF('Consulta1'!A4751="","",'Consulta1'!A4751)</f>
        <v/>
      </c>
      <c r="B659" s="82" t="str">
        <f>IF('Consulta1'!B4751="","",'Consulta1'!B4751)</f>
        <v/>
      </c>
      <c r="C659" s="83" t="str">
        <f>IF('Consulta1'!C4751="","",'Consulta1'!C4751)</f>
        <v/>
      </c>
      <c r="D659" s="84" t="str">
        <f>IF('Consulta1'!D4751="","",'Consulta1'!D4751)</f>
        <v/>
      </c>
      <c r="E659" s="82" t="str">
        <f>IF('Consulta1'!E4751="","",'Consulta1'!E4751)</f>
        <v/>
      </c>
      <c r="F659" t="str">
        <f>+IF(E659="","",VLOOKUP(E659,CATALOGO!G:L,6,0))</f>
        <v/>
      </c>
      <c r="G659" s="85" t="str">
        <f>IF('Consulta1'!F4751="","",'Consulta1'!F4751)</f>
        <v/>
      </c>
      <c r="H659" s="85" t="str">
        <f>IF('Consulta1'!G4751="","",'Consulta1'!G4751)</f>
        <v/>
      </c>
      <c r="I659" s="86" t="str">
        <f>IF('Consulta1'!H4751="","",'Consulta1'!H4751)</f>
        <v/>
      </c>
      <c r="J659" t="str">
        <f t="shared" si="10"/>
        <v/>
      </c>
      <c r="K659" t="str">
        <f>+IF(E659="","",VLOOKUP(E659,CATALOGO!G:I,2,0))</f>
        <v/>
      </c>
      <c r="L659" t="str">
        <f>+IF(E659="","",VLOOKUP(E659,CATALOGO!G:I,3,0))</f>
        <v/>
      </c>
      <c r="M659" s="87" t="str">
        <f>IF('Consulta1'!I4751="","",'Consulta1'!I4751)</f>
        <v/>
      </c>
      <c r="N659" s="88" t="str">
        <f>IF('Consulta1'!J4751="","",'Consulta1'!J4751)</f>
        <v/>
      </c>
    </row>
    <row r="660" spans="1:14" ht="18.75" x14ac:dyDescent="0.25">
      <c r="A660" s="82" t="str">
        <f>IF('Consulta1'!A4752="","",'Consulta1'!A4752)</f>
        <v/>
      </c>
      <c r="B660" s="82" t="str">
        <f>IF('Consulta1'!B4752="","",'Consulta1'!B4752)</f>
        <v/>
      </c>
      <c r="C660" s="83" t="str">
        <f>IF('Consulta1'!C4752="","",'Consulta1'!C4752)</f>
        <v/>
      </c>
      <c r="D660" s="84" t="str">
        <f>IF('Consulta1'!D4752="","",'Consulta1'!D4752)</f>
        <v/>
      </c>
      <c r="E660" s="82" t="str">
        <f>IF('Consulta1'!E4752="","",'Consulta1'!E4752)</f>
        <v/>
      </c>
      <c r="F660" t="str">
        <f>+IF(E660="","",VLOOKUP(E660,CATALOGO!G:L,6,0))</f>
        <v/>
      </c>
      <c r="G660" s="85" t="str">
        <f>IF('Consulta1'!F4752="","",'Consulta1'!F4752)</f>
        <v/>
      </c>
      <c r="H660" s="85" t="str">
        <f>IF('Consulta1'!G4752="","",'Consulta1'!G4752)</f>
        <v/>
      </c>
      <c r="I660" s="86" t="str">
        <f>IF('Consulta1'!H4752="","",'Consulta1'!H4752)</f>
        <v/>
      </c>
      <c r="J660" t="str">
        <f t="shared" si="10"/>
        <v/>
      </c>
      <c r="K660" t="str">
        <f>+IF(E660="","",VLOOKUP(E660,CATALOGO!G:I,2,0))</f>
        <v/>
      </c>
      <c r="L660" t="str">
        <f>+IF(E660="","",VLOOKUP(E660,CATALOGO!G:I,3,0))</f>
        <v/>
      </c>
      <c r="M660" s="87" t="str">
        <f>IF('Consulta1'!I4752="","",'Consulta1'!I4752)</f>
        <v/>
      </c>
      <c r="N660" s="88" t="str">
        <f>IF('Consulta1'!J4752="","",'Consulta1'!J4752)</f>
        <v/>
      </c>
    </row>
    <row r="661" spans="1:14" ht="18.75" x14ac:dyDescent="0.25">
      <c r="A661" s="82" t="str">
        <f>IF('Consulta1'!A4753="","",'Consulta1'!A4753)</f>
        <v/>
      </c>
      <c r="B661" s="82" t="str">
        <f>IF('Consulta1'!B4753="","",'Consulta1'!B4753)</f>
        <v/>
      </c>
      <c r="C661" s="83" t="str">
        <f>IF('Consulta1'!C4753="","",'Consulta1'!C4753)</f>
        <v/>
      </c>
      <c r="D661" s="84" t="str">
        <f>IF('Consulta1'!D4753="","",'Consulta1'!D4753)</f>
        <v/>
      </c>
      <c r="E661" s="82" t="str">
        <f>IF('Consulta1'!E4753="","",'Consulta1'!E4753)</f>
        <v/>
      </c>
      <c r="F661" t="str">
        <f>+IF(E661="","",VLOOKUP(E661,CATALOGO!G:L,6,0))</f>
        <v/>
      </c>
      <c r="G661" s="85" t="str">
        <f>IF('Consulta1'!F4753="","",'Consulta1'!F4753)</f>
        <v/>
      </c>
      <c r="H661" s="85" t="str">
        <f>IF('Consulta1'!G4753="","",'Consulta1'!G4753)</f>
        <v/>
      </c>
      <c r="I661" s="86" t="str">
        <f>IF('Consulta1'!H4753="","",'Consulta1'!H4753)</f>
        <v/>
      </c>
      <c r="J661" t="str">
        <f t="shared" si="10"/>
        <v/>
      </c>
      <c r="K661" t="str">
        <f>+IF(E661="","",VLOOKUP(E661,CATALOGO!G:I,2,0))</f>
        <v/>
      </c>
      <c r="L661" t="str">
        <f>+IF(E661="","",VLOOKUP(E661,CATALOGO!G:I,3,0))</f>
        <v/>
      </c>
      <c r="M661" s="87" t="str">
        <f>IF('Consulta1'!I4753="","",'Consulta1'!I4753)</f>
        <v/>
      </c>
      <c r="N661" s="88" t="str">
        <f>IF('Consulta1'!J4753="","",'Consulta1'!J4753)</f>
        <v/>
      </c>
    </row>
    <row r="662" spans="1:14" ht="18.75" x14ac:dyDescent="0.25">
      <c r="A662" s="82" t="str">
        <f>IF('Consulta1'!A4754="","",'Consulta1'!A4754)</f>
        <v/>
      </c>
      <c r="B662" s="82" t="str">
        <f>IF('Consulta1'!B4754="","",'Consulta1'!B4754)</f>
        <v/>
      </c>
      <c r="C662" s="83" t="str">
        <f>IF('Consulta1'!C4754="","",'Consulta1'!C4754)</f>
        <v/>
      </c>
      <c r="D662" s="84" t="str">
        <f>IF('Consulta1'!D4754="","",'Consulta1'!D4754)</f>
        <v/>
      </c>
      <c r="E662" s="82" t="str">
        <f>IF('Consulta1'!E4754="","",'Consulta1'!E4754)</f>
        <v/>
      </c>
      <c r="F662" t="str">
        <f>+IF(E662="","",VLOOKUP(E662,CATALOGO!G:L,6,0))</f>
        <v/>
      </c>
      <c r="G662" s="85" t="str">
        <f>IF('Consulta1'!F4754="","",'Consulta1'!F4754)</f>
        <v/>
      </c>
      <c r="H662" s="85" t="str">
        <f>IF('Consulta1'!G4754="","",'Consulta1'!G4754)</f>
        <v/>
      </c>
      <c r="I662" s="86" t="str">
        <f>IF('Consulta1'!H4754="","",'Consulta1'!H4754)</f>
        <v/>
      </c>
      <c r="J662" t="str">
        <f t="shared" si="10"/>
        <v/>
      </c>
      <c r="K662" t="str">
        <f>+IF(E662="","",VLOOKUP(E662,CATALOGO!G:I,2,0))</f>
        <v/>
      </c>
      <c r="L662" t="str">
        <f>+IF(E662="","",VLOOKUP(E662,CATALOGO!G:I,3,0))</f>
        <v/>
      </c>
      <c r="M662" s="87" t="str">
        <f>IF('Consulta1'!I4754="","",'Consulta1'!I4754)</f>
        <v/>
      </c>
      <c r="N662" s="88" t="str">
        <f>IF('Consulta1'!J4754="","",'Consulta1'!J4754)</f>
        <v/>
      </c>
    </row>
    <row r="663" spans="1:14" ht="18.75" x14ac:dyDescent="0.25">
      <c r="A663" s="82" t="str">
        <f>IF('Consulta1'!A4755="","",'Consulta1'!A4755)</f>
        <v/>
      </c>
      <c r="B663" s="82" t="str">
        <f>IF('Consulta1'!B4755="","",'Consulta1'!B4755)</f>
        <v/>
      </c>
      <c r="C663" s="83" t="str">
        <f>IF('Consulta1'!C4755="","",'Consulta1'!C4755)</f>
        <v/>
      </c>
      <c r="D663" s="84" t="str">
        <f>IF('Consulta1'!D4755="","",'Consulta1'!D4755)</f>
        <v/>
      </c>
      <c r="E663" s="82" t="str">
        <f>IF('Consulta1'!E4755="","",'Consulta1'!E4755)</f>
        <v/>
      </c>
      <c r="F663" t="str">
        <f>+IF(E663="","",VLOOKUP(E663,CATALOGO!G:L,6,0))</f>
        <v/>
      </c>
      <c r="G663" s="85" t="str">
        <f>IF('Consulta1'!F4755="","",'Consulta1'!F4755)</f>
        <v/>
      </c>
      <c r="H663" s="85" t="str">
        <f>IF('Consulta1'!G4755="","",'Consulta1'!G4755)</f>
        <v/>
      </c>
      <c r="I663" s="86" t="str">
        <f>IF('Consulta1'!H4755="","",'Consulta1'!H4755)</f>
        <v/>
      </c>
      <c r="J663" t="str">
        <f t="shared" si="10"/>
        <v/>
      </c>
      <c r="K663" t="str">
        <f>+IF(E663="","",VLOOKUP(E663,CATALOGO!G:I,2,0))</f>
        <v/>
      </c>
      <c r="L663" t="str">
        <f>+IF(E663="","",VLOOKUP(E663,CATALOGO!G:I,3,0))</f>
        <v/>
      </c>
      <c r="M663" s="87" t="str">
        <f>IF('Consulta1'!I4755="","",'Consulta1'!I4755)</f>
        <v/>
      </c>
      <c r="N663" s="88" t="str">
        <f>IF('Consulta1'!J4755="","",'Consulta1'!J4755)</f>
        <v/>
      </c>
    </row>
    <row r="664" spans="1:14" ht="18.75" x14ac:dyDescent="0.25">
      <c r="A664" s="82" t="str">
        <f>IF('Consulta1'!A4756="","",'Consulta1'!A4756)</f>
        <v/>
      </c>
      <c r="B664" s="82" t="str">
        <f>IF('Consulta1'!B4756="","",'Consulta1'!B4756)</f>
        <v/>
      </c>
      <c r="C664" s="83" t="str">
        <f>IF('Consulta1'!C4756="","",'Consulta1'!C4756)</f>
        <v/>
      </c>
      <c r="D664" s="84" t="str">
        <f>IF('Consulta1'!D4756="","",'Consulta1'!D4756)</f>
        <v/>
      </c>
      <c r="E664" s="82" t="str">
        <f>IF('Consulta1'!E4756="","",'Consulta1'!E4756)</f>
        <v/>
      </c>
      <c r="F664" t="str">
        <f>+IF(E664="","",VLOOKUP(E664,CATALOGO!G:L,6,0))</f>
        <v/>
      </c>
      <c r="G664" s="85" t="str">
        <f>IF('Consulta1'!F4756="","",'Consulta1'!F4756)</f>
        <v/>
      </c>
      <c r="H664" s="85" t="str">
        <f>IF('Consulta1'!G4756="","",'Consulta1'!G4756)</f>
        <v/>
      </c>
      <c r="I664" s="86" t="str">
        <f>IF('Consulta1'!H4756="","",'Consulta1'!H4756)</f>
        <v/>
      </c>
      <c r="J664" t="str">
        <f t="shared" si="10"/>
        <v/>
      </c>
      <c r="K664" t="str">
        <f>+IF(E664="","",VLOOKUP(E664,CATALOGO!G:I,2,0))</f>
        <v/>
      </c>
      <c r="L664" t="str">
        <f>+IF(E664="","",VLOOKUP(E664,CATALOGO!G:I,3,0))</f>
        <v/>
      </c>
      <c r="M664" s="87" t="str">
        <f>IF('Consulta1'!I4756="","",'Consulta1'!I4756)</f>
        <v/>
      </c>
      <c r="N664" s="88" t="str">
        <f>IF('Consulta1'!J4756="","",'Consulta1'!J4756)</f>
        <v/>
      </c>
    </row>
    <row r="665" spans="1:14" ht="18.75" x14ac:dyDescent="0.25">
      <c r="A665" s="82" t="str">
        <f>IF('Consulta1'!A4757="","",'Consulta1'!A4757)</f>
        <v/>
      </c>
      <c r="B665" s="82" t="str">
        <f>IF('Consulta1'!B4757="","",'Consulta1'!B4757)</f>
        <v/>
      </c>
      <c r="C665" s="83" t="str">
        <f>IF('Consulta1'!C4757="","",'Consulta1'!C4757)</f>
        <v/>
      </c>
      <c r="D665" s="84" t="str">
        <f>IF('Consulta1'!D4757="","",'Consulta1'!D4757)</f>
        <v/>
      </c>
      <c r="E665" s="82" t="str">
        <f>IF('Consulta1'!E4757="","",'Consulta1'!E4757)</f>
        <v/>
      </c>
      <c r="F665" t="str">
        <f>+IF(E665="","",VLOOKUP(E665,CATALOGO!G:L,6,0))</f>
        <v/>
      </c>
      <c r="G665" s="85" t="str">
        <f>IF('Consulta1'!F4757="","",'Consulta1'!F4757)</f>
        <v/>
      </c>
      <c r="H665" s="85" t="str">
        <f>IF('Consulta1'!G4757="","",'Consulta1'!G4757)</f>
        <v/>
      </c>
      <c r="I665" s="86" t="str">
        <f>IF('Consulta1'!H4757="","",'Consulta1'!H4757)</f>
        <v/>
      </c>
      <c r="J665" t="str">
        <f t="shared" si="10"/>
        <v/>
      </c>
      <c r="K665" t="str">
        <f>+IF(E665="","",VLOOKUP(E665,CATALOGO!G:I,2,0))</f>
        <v/>
      </c>
      <c r="L665" t="str">
        <f>+IF(E665="","",VLOOKUP(E665,CATALOGO!G:I,3,0))</f>
        <v/>
      </c>
      <c r="M665" s="87" t="str">
        <f>IF('Consulta1'!I4757="","",'Consulta1'!I4757)</f>
        <v/>
      </c>
      <c r="N665" s="88" t="str">
        <f>IF('Consulta1'!J4757="","",'Consulta1'!J4757)</f>
        <v/>
      </c>
    </row>
    <row r="666" spans="1:14" ht="18.75" x14ac:dyDescent="0.25">
      <c r="A666" s="82" t="str">
        <f>IF('Consulta1'!A4758="","",'Consulta1'!A4758)</f>
        <v/>
      </c>
      <c r="B666" s="82" t="str">
        <f>IF('Consulta1'!B4758="","",'Consulta1'!B4758)</f>
        <v/>
      </c>
      <c r="C666" s="83" t="str">
        <f>IF('Consulta1'!C4758="","",'Consulta1'!C4758)</f>
        <v/>
      </c>
      <c r="D666" s="84" t="str">
        <f>IF('Consulta1'!D4758="","",'Consulta1'!D4758)</f>
        <v/>
      </c>
      <c r="E666" s="82" t="str">
        <f>IF('Consulta1'!E4758="","",'Consulta1'!E4758)</f>
        <v/>
      </c>
      <c r="F666" t="str">
        <f>+IF(E666="","",VLOOKUP(E666,CATALOGO!G:L,6,0))</f>
        <v/>
      </c>
      <c r="G666" s="85" t="str">
        <f>IF('Consulta1'!F4758="","",'Consulta1'!F4758)</f>
        <v/>
      </c>
      <c r="H666" s="85" t="str">
        <f>IF('Consulta1'!G4758="","",'Consulta1'!G4758)</f>
        <v/>
      </c>
      <c r="I666" s="86" t="str">
        <f>IF('Consulta1'!H4758="","",'Consulta1'!H4758)</f>
        <v/>
      </c>
      <c r="J666" t="str">
        <f t="shared" si="10"/>
        <v/>
      </c>
      <c r="K666" t="str">
        <f>+IF(E666="","",VLOOKUP(E666,CATALOGO!G:I,2,0))</f>
        <v/>
      </c>
      <c r="L666" t="str">
        <f>+IF(E666="","",VLOOKUP(E666,CATALOGO!G:I,3,0))</f>
        <v/>
      </c>
      <c r="M666" s="87" t="str">
        <f>IF('Consulta1'!I4758="","",'Consulta1'!I4758)</f>
        <v/>
      </c>
      <c r="N666" s="88" t="str">
        <f>IF('Consulta1'!J4758="","",'Consulta1'!J4758)</f>
        <v/>
      </c>
    </row>
    <row r="667" spans="1:14" ht="18.75" x14ac:dyDescent="0.25">
      <c r="A667" s="82" t="str">
        <f>IF('Consulta1'!A4759="","",'Consulta1'!A4759)</f>
        <v/>
      </c>
      <c r="B667" s="82" t="str">
        <f>IF('Consulta1'!B4759="","",'Consulta1'!B4759)</f>
        <v/>
      </c>
      <c r="C667" s="83" t="str">
        <f>IF('Consulta1'!C4759="","",'Consulta1'!C4759)</f>
        <v/>
      </c>
      <c r="D667" s="84" t="str">
        <f>IF('Consulta1'!D4759="","",'Consulta1'!D4759)</f>
        <v/>
      </c>
      <c r="E667" s="82" t="str">
        <f>IF('Consulta1'!E4759="","",'Consulta1'!E4759)</f>
        <v/>
      </c>
      <c r="F667" t="str">
        <f>+IF(E667="","",VLOOKUP(E667,CATALOGO!G:L,6,0))</f>
        <v/>
      </c>
      <c r="G667" s="85" t="str">
        <f>IF('Consulta1'!F4759="","",'Consulta1'!F4759)</f>
        <v/>
      </c>
      <c r="H667" s="85" t="str">
        <f>IF('Consulta1'!G4759="","",'Consulta1'!G4759)</f>
        <v/>
      </c>
      <c r="I667" s="86" t="str">
        <f>IF('Consulta1'!H4759="","",'Consulta1'!H4759)</f>
        <v/>
      </c>
      <c r="J667" t="str">
        <f t="shared" si="10"/>
        <v/>
      </c>
      <c r="K667" t="str">
        <f>+IF(E667="","",VLOOKUP(E667,CATALOGO!G:I,2,0))</f>
        <v/>
      </c>
      <c r="L667" t="str">
        <f>+IF(E667="","",VLOOKUP(E667,CATALOGO!G:I,3,0))</f>
        <v/>
      </c>
      <c r="M667" s="87" t="str">
        <f>IF('Consulta1'!I4759="","",'Consulta1'!I4759)</f>
        <v/>
      </c>
      <c r="N667" s="88" t="str">
        <f>IF('Consulta1'!J4759="","",'Consulta1'!J4759)</f>
        <v/>
      </c>
    </row>
    <row r="668" spans="1:14" ht="18.75" x14ac:dyDescent="0.25">
      <c r="A668" s="82" t="str">
        <f>IF('Consulta1'!A4760="","",'Consulta1'!A4760)</f>
        <v/>
      </c>
      <c r="B668" s="82" t="str">
        <f>IF('Consulta1'!B4760="","",'Consulta1'!B4760)</f>
        <v/>
      </c>
      <c r="C668" s="83" t="str">
        <f>IF('Consulta1'!C4760="","",'Consulta1'!C4760)</f>
        <v/>
      </c>
      <c r="D668" s="84" t="str">
        <f>IF('Consulta1'!D4760="","",'Consulta1'!D4760)</f>
        <v/>
      </c>
      <c r="E668" s="82" t="str">
        <f>IF('Consulta1'!E4760="","",'Consulta1'!E4760)</f>
        <v/>
      </c>
      <c r="F668" t="str">
        <f>+IF(E668="","",VLOOKUP(E668,CATALOGO!G:L,6,0))</f>
        <v/>
      </c>
      <c r="G668" s="85" t="str">
        <f>IF('Consulta1'!F4760="","",'Consulta1'!F4760)</f>
        <v/>
      </c>
      <c r="H668" s="85" t="str">
        <f>IF('Consulta1'!G4760="","",'Consulta1'!G4760)</f>
        <v/>
      </c>
      <c r="I668" s="86" t="str">
        <f>IF('Consulta1'!H4760="","",'Consulta1'!H4760)</f>
        <v/>
      </c>
      <c r="J668" t="str">
        <f t="shared" si="10"/>
        <v/>
      </c>
      <c r="K668" t="str">
        <f>+IF(E668="","",VLOOKUP(E668,CATALOGO!G:I,2,0))</f>
        <v/>
      </c>
      <c r="L668" t="str">
        <f>+IF(E668="","",VLOOKUP(E668,CATALOGO!G:I,3,0))</f>
        <v/>
      </c>
      <c r="M668" s="87" t="str">
        <f>IF('Consulta1'!I4760="","",'Consulta1'!I4760)</f>
        <v/>
      </c>
      <c r="N668" s="88" t="str">
        <f>IF('Consulta1'!J4760="","",'Consulta1'!J4760)</f>
        <v/>
      </c>
    </row>
    <row r="669" spans="1:14" ht="18.75" x14ac:dyDescent="0.25">
      <c r="A669" s="82" t="str">
        <f>IF('Consulta1'!A4761="","",'Consulta1'!A4761)</f>
        <v/>
      </c>
      <c r="B669" s="82" t="str">
        <f>IF('Consulta1'!B4761="","",'Consulta1'!B4761)</f>
        <v/>
      </c>
      <c r="C669" s="83" t="str">
        <f>IF('Consulta1'!C4761="","",'Consulta1'!C4761)</f>
        <v/>
      </c>
      <c r="D669" s="84" t="str">
        <f>IF('Consulta1'!D4761="","",'Consulta1'!D4761)</f>
        <v/>
      </c>
      <c r="E669" s="82" t="str">
        <f>IF('Consulta1'!E4761="","",'Consulta1'!E4761)</f>
        <v/>
      </c>
      <c r="F669" t="str">
        <f>+IF(E669="","",VLOOKUP(E669,CATALOGO!G:L,6,0))</f>
        <v/>
      </c>
      <c r="G669" s="85" t="str">
        <f>IF('Consulta1'!F4761="","",'Consulta1'!F4761)</f>
        <v/>
      </c>
      <c r="H669" s="85" t="str">
        <f>IF('Consulta1'!G4761="","",'Consulta1'!G4761)</f>
        <v/>
      </c>
      <c r="I669" s="86" t="str">
        <f>IF('Consulta1'!H4761="","",'Consulta1'!H4761)</f>
        <v/>
      </c>
      <c r="J669" t="str">
        <f t="shared" si="10"/>
        <v/>
      </c>
      <c r="K669" t="str">
        <f>+IF(E669="","",VLOOKUP(E669,CATALOGO!G:I,2,0))</f>
        <v/>
      </c>
      <c r="L669" t="str">
        <f>+IF(E669="","",VLOOKUP(E669,CATALOGO!G:I,3,0))</f>
        <v/>
      </c>
      <c r="M669" s="87" t="str">
        <f>IF('Consulta1'!I4761="","",'Consulta1'!I4761)</f>
        <v/>
      </c>
      <c r="N669" s="88" t="str">
        <f>IF('Consulta1'!J4761="","",'Consulta1'!J4761)</f>
        <v/>
      </c>
    </row>
    <row r="670" spans="1:14" ht="18.75" x14ac:dyDescent="0.25">
      <c r="A670" s="82" t="str">
        <f>IF('Consulta1'!A4762="","",'Consulta1'!A4762)</f>
        <v/>
      </c>
      <c r="B670" s="82" t="str">
        <f>IF('Consulta1'!B4762="","",'Consulta1'!B4762)</f>
        <v/>
      </c>
      <c r="C670" s="83" t="str">
        <f>IF('Consulta1'!C4762="","",'Consulta1'!C4762)</f>
        <v/>
      </c>
      <c r="D670" s="84" t="str">
        <f>IF('Consulta1'!D4762="","",'Consulta1'!D4762)</f>
        <v/>
      </c>
      <c r="E670" s="82" t="str">
        <f>IF('Consulta1'!E4762="","",'Consulta1'!E4762)</f>
        <v/>
      </c>
      <c r="F670" t="str">
        <f>+IF(E670="","",VLOOKUP(E670,CATALOGO!G:L,6,0))</f>
        <v/>
      </c>
      <c r="G670" s="85" t="str">
        <f>IF('Consulta1'!F4762="","",'Consulta1'!F4762)</f>
        <v/>
      </c>
      <c r="H670" s="85" t="str">
        <f>IF('Consulta1'!G4762="","",'Consulta1'!G4762)</f>
        <v/>
      </c>
      <c r="I670" s="86" t="str">
        <f>IF('Consulta1'!H4762="","",'Consulta1'!H4762)</f>
        <v/>
      </c>
      <c r="J670" t="str">
        <f t="shared" si="10"/>
        <v/>
      </c>
      <c r="K670" t="str">
        <f>+IF(E670="","",VLOOKUP(E670,CATALOGO!G:I,2,0))</f>
        <v/>
      </c>
      <c r="L670" t="str">
        <f>+IF(E670="","",VLOOKUP(E670,CATALOGO!G:I,3,0))</f>
        <v/>
      </c>
      <c r="M670" s="87" t="str">
        <f>IF('Consulta1'!I4762="","",'Consulta1'!I4762)</f>
        <v/>
      </c>
      <c r="N670" s="88" t="str">
        <f>IF('Consulta1'!J4762="","",'Consulta1'!J4762)</f>
        <v/>
      </c>
    </row>
    <row r="671" spans="1:14" ht="18.75" x14ac:dyDescent="0.25">
      <c r="A671" s="82" t="str">
        <f>IF('Consulta1'!A4763="","",'Consulta1'!A4763)</f>
        <v/>
      </c>
      <c r="B671" s="82" t="str">
        <f>IF('Consulta1'!B4763="","",'Consulta1'!B4763)</f>
        <v/>
      </c>
      <c r="C671" s="83" t="str">
        <f>IF('Consulta1'!C4763="","",'Consulta1'!C4763)</f>
        <v/>
      </c>
      <c r="D671" s="84" t="str">
        <f>IF('Consulta1'!D4763="","",'Consulta1'!D4763)</f>
        <v/>
      </c>
      <c r="E671" s="82" t="str">
        <f>IF('Consulta1'!E4763="","",'Consulta1'!E4763)</f>
        <v/>
      </c>
      <c r="F671" t="str">
        <f>+IF(E671="","",VLOOKUP(E671,CATALOGO!G:L,6,0))</f>
        <v/>
      </c>
      <c r="G671" s="85" t="str">
        <f>IF('Consulta1'!F4763="","",'Consulta1'!F4763)</f>
        <v/>
      </c>
      <c r="H671" s="85" t="str">
        <f>IF('Consulta1'!G4763="","",'Consulta1'!G4763)</f>
        <v/>
      </c>
      <c r="I671" s="86" t="str">
        <f>IF('Consulta1'!H4763="","",'Consulta1'!H4763)</f>
        <v/>
      </c>
      <c r="J671" t="str">
        <f t="shared" si="10"/>
        <v/>
      </c>
      <c r="K671" t="str">
        <f>+IF(E671="","",VLOOKUP(E671,CATALOGO!G:I,2,0))</f>
        <v/>
      </c>
      <c r="L671" t="str">
        <f>+IF(E671="","",VLOOKUP(E671,CATALOGO!G:I,3,0))</f>
        <v/>
      </c>
      <c r="M671" s="87" t="str">
        <f>IF('Consulta1'!I4763="","",'Consulta1'!I4763)</f>
        <v/>
      </c>
      <c r="N671" s="88" t="str">
        <f>IF('Consulta1'!J4763="","",'Consulta1'!J4763)</f>
        <v/>
      </c>
    </row>
    <row r="672" spans="1:14" ht="18.75" x14ac:dyDescent="0.25">
      <c r="A672" s="82" t="str">
        <f>IF('Consulta1'!A4764="","",'Consulta1'!A4764)</f>
        <v/>
      </c>
      <c r="B672" s="82" t="str">
        <f>IF('Consulta1'!B4764="","",'Consulta1'!B4764)</f>
        <v/>
      </c>
      <c r="C672" s="83" t="str">
        <f>IF('Consulta1'!C4764="","",'Consulta1'!C4764)</f>
        <v/>
      </c>
      <c r="D672" s="84" t="str">
        <f>IF('Consulta1'!D4764="","",'Consulta1'!D4764)</f>
        <v/>
      </c>
      <c r="E672" s="82" t="str">
        <f>IF('Consulta1'!E4764="","",'Consulta1'!E4764)</f>
        <v/>
      </c>
      <c r="F672" t="str">
        <f>+IF(E672="","",VLOOKUP(E672,CATALOGO!G:L,6,0))</f>
        <v/>
      </c>
      <c r="G672" s="85" t="str">
        <f>IF('Consulta1'!F4764="","",'Consulta1'!F4764)</f>
        <v/>
      </c>
      <c r="H672" s="85" t="str">
        <f>IF('Consulta1'!G4764="","",'Consulta1'!G4764)</f>
        <v/>
      </c>
      <c r="I672" s="86" t="str">
        <f>IF('Consulta1'!H4764="","",'Consulta1'!H4764)</f>
        <v/>
      </c>
      <c r="J672" t="str">
        <f t="shared" si="10"/>
        <v/>
      </c>
      <c r="K672" t="str">
        <f>+IF(E672="","",VLOOKUP(E672,CATALOGO!G:I,2,0))</f>
        <v/>
      </c>
      <c r="L672" t="str">
        <f>+IF(E672="","",VLOOKUP(E672,CATALOGO!G:I,3,0))</f>
        <v/>
      </c>
      <c r="M672" s="87" t="str">
        <f>IF('Consulta1'!I4764="","",'Consulta1'!I4764)</f>
        <v/>
      </c>
      <c r="N672" s="88" t="str">
        <f>IF('Consulta1'!J4764="","",'Consulta1'!J4764)</f>
        <v/>
      </c>
    </row>
    <row r="673" spans="1:14" ht="18.75" x14ac:dyDescent="0.25">
      <c r="A673" s="82" t="str">
        <f>IF('Consulta1'!A4765="","",'Consulta1'!A4765)</f>
        <v/>
      </c>
      <c r="B673" s="82" t="str">
        <f>IF('Consulta1'!B4765="","",'Consulta1'!B4765)</f>
        <v/>
      </c>
      <c r="C673" s="83" t="str">
        <f>IF('Consulta1'!C4765="","",'Consulta1'!C4765)</f>
        <v/>
      </c>
      <c r="D673" s="84" t="str">
        <f>IF('Consulta1'!D4765="","",'Consulta1'!D4765)</f>
        <v/>
      </c>
      <c r="E673" s="82" t="str">
        <f>IF('Consulta1'!E4765="","",'Consulta1'!E4765)</f>
        <v/>
      </c>
      <c r="F673" t="str">
        <f>+IF(E673="","",VLOOKUP(E673,CATALOGO!G:L,6,0))</f>
        <v/>
      </c>
      <c r="G673" s="85" t="str">
        <f>IF('Consulta1'!F4765="","",'Consulta1'!F4765)</f>
        <v/>
      </c>
      <c r="H673" s="85" t="str">
        <f>IF('Consulta1'!G4765="","",'Consulta1'!G4765)</f>
        <v/>
      </c>
      <c r="I673" s="86" t="str">
        <f>IF('Consulta1'!H4765="","",'Consulta1'!H4765)</f>
        <v/>
      </c>
      <c r="J673" t="str">
        <f t="shared" si="10"/>
        <v/>
      </c>
      <c r="K673" t="str">
        <f>+IF(E673="","",VLOOKUP(E673,CATALOGO!G:I,2,0))</f>
        <v/>
      </c>
      <c r="L673" t="str">
        <f>+IF(E673="","",VLOOKUP(E673,CATALOGO!G:I,3,0))</f>
        <v/>
      </c>
      <c r="M673" s="87" t="str">
        <f>IF('Consulta1'!I4765="","",'Consulta1'!I4765)</f>
        <v/>
      </c>
      <c r="N673" s="88" t="str">
        <f>IF('Consulta1'!J4765="","",'Consulta1'!J4765)</f>
        <v/>
      </c>
    </row>
    <row r="674" spans="1:14" ht="18.75" x14ac:dyDescent="0.25">
      <c r="A674" s="82" t="str">
        <f>IF('Consulta1'!A4766="","",'Consulta1'!A4766)</f>
        <v/>
      </c>
      <c r="B674" s="82" t="str">
        <f>IF('Consulta1'!B4766="","",'Consulta1'!B4766)</f>
        <v/>
      </c>
      <c r="C674" s="83" t="str">
        <f>IF('Consulta1'!C4766="","",'Consulta1'!C4766)</f>
        <v/>
      </c>
      <c r="D674" s="84" t="str">
        <f>IF('Consulta1'!D4766="","",'Consulta1'!D4766)</f>
        <v/>
      </c>
      <c r="E674" s="82" t="str">
        <f>IF('Consulta1'!E4766="","",'Consulta1'!E4766)</f>
        <v/>
      </c>
      <c r="F674" t="str">
        <f>+IF(E674="","",VLOOKUP(E674,CATALOGO!G:L,6,0))</f>
        <v/>
      </c>
      <c r="G674" s="85" t="str">
        <f>IF('Consulta1'!F4766="","",'Consulta1'!F4766)</f>
        <v/>
      </c>
      <c r="H674" s="85" t="str">
        <f>IF('Consulta1'!G4766="","",'Consulta1'!G4766)</f>
        <v/>
      </c>
      <c r="I674" s="86" t="str">
        <f>IF('Consulta1'!H4766="","",'Consulta1'!H4766)</f>
        <v/>
      </c>
      <c r="J674" t="str">
        <f t="shared" si="10"/>
        <v/>
      </c>
      <c r="K674" t="str">
        <f>+IF(E674="","",VLOOKUP(E674,CATALOGO!G:I,2,0))</f>
        <v/>
      </c>
      <c r="L674" t="str">
        <f>+IF(E674="","",VLOOKUP(E674,CATALOGO!G:I,3,0))</f>
        <v/>
      </c>
      <c r="M674" s="87" t="str">
        <f>IF('Consulta1'!I4766="","",'Consulta1'!I4766)</f>
        <v/>
      </c>
      <c r="N674" s="88" t="str">
        <f>IF('Consulta1'!J4766="","",'Consulta1'!J4766)</f>
        <v/>
      </c>
    </row>
    <row r="675" spans="1:14" ht="18.75" x14ac:dyDescent="0.25">
      <c r="A675" s="82" t="str">
        <f>IF('Consulta1'!A4767="","",'Consulta1'!A4767)</f>
        <v/>
      </c>
      <c r="B675" s="82" t="str">
        <f>IF('Consulta1'!B4767="","",'Consulta1'!B4767)</f>
        <v/>
      </c>
      <c r="C675" s="83" t="str">
        <f>IF('Consulta1'!C4767="","",'Consulta1'!C4767)</f>
        <v/>
      </c>
      <c r="D675" s="84" t="str">
        <f>IF('Consulta1'!D4767="","",'Consulta1'!D4767)</f>
        <v/>
      </c>
      <c r="E675" s="82" t="str">
        <f>IF('Consulta1'!E4767="","",'Consulta1'!E4767)</f>
        <v/>
      </c>
      <c r="F675" t="str">
        <f>+IF(E675="","",VLOOKUP(E675,CATALOGO!G:L,6,0))</f>
        <v/>
      </c>
      <c r="G675" s="85" t="str">
        <f>IF('Consulta1'!F4767="","",'Consulta1'!F4767)</f>
        <v/>
      </c>
      <c r="H675" s="85" t="str">
        <f>IF('Consulta1'!G4767="","",'Consulta1'!G4767)</f>
        <v/>
      </c>
      <c r="I675" s="86" t="str">
        <f>IF('Consulta1'!H4767="","",'Consulta1'!H4767)</f>
        <v/>
      </c>
      <c r="J675" t="str">
        <f t="shared" si="10"/>
        <v/>
      </c>
      <c r="K675" t="str">
        <f>+IF(E675="","",VLOOKUP(E675,CATALOGO!G:I,2,0))</f>
        <v/>
      </c>
      <c r="L675" t="str">
        <f>+IF(E675="","",VLOOKUP(E675,CATALOGO!G:I,3,0))</f>
        <v/>
      </c>
      <c r="M675" s="87" t="str">
        <f>IF('Consulta1'!I4767="","",'Consulta1'!I4767)</f>
        <v/>
      </c>
      <c r="N675" s="88" t="str">
        <f>IF('Consulta1'!J4767="","",'Consulta1'!J4767)</f>
        <v/>
      </c>
    </row>
    <row r="676" spans="1:14" ht="18.75" x14ac:dyDescent="0.25">
      <c r="A676" s="82" t="str">
        <f>IF('Consulta1'!A4768="","",'Consulta1'!A4768)</f>
        <v/>
      </c>
      <c r="B676" s="82" t="str">
        <f>IF('Consulta1'!B4768="","",'Consulta1'!B4768)</f>
        <v/>
      </c>
      <c r="C676" s="83" t="str">
        <f>IF('Consulta1'!C4768="","",'Consulta1'!C4768)</f>
        <v/>
      </c>
      <c r="D676" s="84" t="str">
        <f>IF('Consulta1'!D4768="","",'Consulta1'!D4768)</f>
        <v/>
      </c>
      <c r="E676" s="82" t="str">
        <f>IF('Consulta1'!E4768="","",'Consulta1'!E4768)</f>
        <v/>
      </c>
      <c r="F676" t="str">
        <f>+IF(E676="","",VLOOKUP(E676,CATALOGO!G:L,6,0))</f>
        <v/>
      </c>
      <c r="G676" s="85" t="str">
        <f>IF('Consulta1'!F4768="","",'Consulta1'!F4768)</f>
        <v/>
      </c>
      <c r="H676" s="85" t="str">
        <f>IF('Consulta1'!G4768="","",'Consulta1'!G4768)</f>
        <v/>
      </c>
      <c r="I676" s="86" t="str">
        <f>IF('Consulta1'!H4768="","",'Consulta1'!H4768)</f>
        <v/>
      </c>
      <c r="J676" t="str">
        <f t="shared" si="10"/>
        <v/>
      </c>
      <c r="K676" t="str">
        <f>+IF(E676="","",VLOOKUP(E676,CATALOGO!G:I,2,0))</f>
        <v/>
      </c>
      <c r="L676" t="str">
        <f>+IF(E676="","",VLOOKUP(E676,CATALOGO!G:I,3,0))</f>
        <v/>
      </c>
      <c r="M676" s="87" t="str">
        <f>IF('Consulta1'!I4768="","",'Consulta1'!I4768)</f>
        <v/>
      </c>
      <c r="N676" s="88" t="str">
        <f>IF('Consulta1'!J4768="","",'Consulta1'!J4768)</f>
        <v/>
      </c>
    </row>
    <row r="677" spans="1:14" ht="18.75" x14ac:dyDescent="0.25">
      <c r="A677" s="82" t="str">
        <f>IF('Consulta1'!A4769="","",'Consulta1'!A4769)</f>
        <v/>
      </c>
      <c r="B677" s="82" t="str">
        <f>IF('Consulta1'!B4769="","",'Consulta1'!B4769)</f>
        <v/>
      </c>
      <c r="C677" s="83" t="str">
        <f>IF('Consulta1'!C4769="","",'Consulta1'!C4769)</f>
        <v/>
      </c>
      <c r="D677" s="84" t="str">
        <f>IF('Consulta1'!D4769="","",'Consulta1'!D4769)</f>
        <v/>
      </c>
      <c r="E677" s="82" t="str">
        <f>IF('Consulta1'!E4769="","",'Consulta1'!E4769)</f>
        <v/>
      </c>
      <c r="F677" t="str">
        <f>+IF(E677="","",VLOOKUP(E677,CATALOGO!G:L,6,0))</f>
        <v/>
      </c>
      <c r="G677" s="85" t="str">
        <f>IF('Consulta1'!F4769="","",'Consulta1'!F4769)</f>
        <v/>
      </c>
      <c r="H677" s="85" t="str">
        <f>IF('Consulta1'!G4769="","",'Consulta1'!G4769)</f>
        <v/>
      </c>
      <c r="I677" s="86" t="str">
        <f>IF('Consulta1'!H4769="","",'Consulta1'!H4769)</f>
        <v/>
      </c>
      <c r="J677" t="str">
        <f t="shared" si="10"/>
        <v/>
      </c>
      <c r="K677" t="str">
        <f>+IF(E677="","",VLOOKUP(E677,CATALOGO!G:I,2,0))</f>
        <v/>
      </c>
      <c r="L677" t="str">
        <f>+IF(E677="","",VLOOKUP(E677,CATALOGO!G:I,3,0))</f>
        <v/>
      </c>
      <c r="M677" s="87" t="str">
        <f>IF('Consulta1'!I4769="","",'Consulta1'!I4769)</f>
        <v/>
      </c>
      <c r="N677" s="88" t="str">
        <f>IF('Consulta1'!J4769="","",'Consulta1'!J4769)</f>
        <v/>
      </c>
    </row>
    <row r="678" spans="1:14" ht="18.75" x14ac:dyDescent="0.25">
      <c r="A678" s="82" t="str">
        <f>IF('Consulta1'!A4770="","",'Consulta1'!A4770)</f>
        <v/>
      </c>
      <c r="B678" s="82" t="str">
        <f>IF('Consulta1'!B4770="","",'Consulta1'!B4770)</f>
        <v/>
      </c>
      <c r="C678" s="83" t="str">
        <f>IF('Consulta1'!C4770="","",'Consulta1'!C4770)</f>
        <v/>
      </c>
      <c r="D678" s="84" t="str">
        <f>IF('Consulta1'!D4770="","",'Consulta1'!D4770)</f>
        <v/>
      </c>
      <c r="E678" s="82" t="str">
        <f>IF('Consulta1'!E4770="","",'Consulta1'!E4770)</f>
        <v/>
      </c>
      <c r="F678" t="str">
        <f>+IF(E678="","",VLOOKUP(E678,CATALOGO!G:L,6,0))</f>
        <v/>
      </c>
      <c r="G678" s="85" t="str">
        <f>IF('Consulta1'!F4770="","",'Consulta1'!F4770)</f>
        <v/>
      </c>
      <c r="H678" s="85" t="str">
        <f>IF('Consulta1'!G4770="","",'Consulta1'!G4770)</f>
        <v/>
      </c>
      <c r="I678" s="86" t="str">
        <f>IF('Consulta1'!H4770="","",'Consulta1'!H4770)</f>
        <v/>
      </c>
      <c r="J678" t="str">
        <f t="shared" si="10"/>
        <v/>
      </c>
      <c r="K678" t="str">
        <f>+IF(E678="","",VLOOKUP(E678,CATALOGO!G:I,2,0))</f>
        <v/>
      </c>
      <c r="L678" t="str">
        <f>+IF(E678="","",VLOOKUP(E678,CATALOGO!G:I,3,0))</f>
        <v/>
      </c>
      <c r="M678" s="87" t="str">
        <f>IF('Consulta1'!I4770="","",'Consulta1'!I4770)</f>
        <v/>
      </c>
      <c r="N678" s="88" t="str">
        <f>IF('Consulta1'!J4770="","",'Consulta1'!J4770)</f>
        <v/>
      </c>
    </row>
    <row r="679" spans="1:14" ht="18.75" x14ac:dyDescent="0.25">
      <c r="A679" s="82" t="str">
        <f>IF('Consulta1'!A4771="","",'Consulta1'!A4771)</f>
        <v/>
      </c>
      <c r="B679" s="82" t="str">
        <f>IF('Consulta1'!B4771="","",'Consulta1'!B4771)</f>
        <v/>
      </c>
      <c r="C679" s="83" t="str">
        <f>IF('Consulta1'!C4771="","",'Consulta1'!C4771)</f>
        <v/>
      </c>
      <c r="D679" s="84" t="str">
        <f>IF('Consulta1'!D4771="","",'Consulta1'!D4771)</f>
        <v/>
      </c>
      <c r="E679" s="82" t="str">
        <f>IF('Consulta1'!E4771="","",'Consulta1'!E4771)</f>
        <v/>
      </c>
      <c r="F679" t="str">
        <f>+IF(E679="","",VLOOKUP(E679,CATALOGO!G:L,6,0))</f>
        <v/>
      </c>
      <c r="G679" s="85" t="str">
        <f>IF('Consulta1'!F4771="","",'Consulta1'!F4771)</f>
        <v/>
      </c>
      <c r="H679" s="85" t="str">
        <f>IF('Consulta1'!G4771="","",'Consulta1'!G4771)</f>
        <v/>
      </c>
      <c r="I679" s="86" t="str">
        <f>IF('Consulta1'!H4771="","",'Consulta1'!H4771)</f>
        <v/>
      </c>
      <c r="J679" t="str">
        <f t="shared" si="10"/>
        <v/>
      </c>
      <c r="K679" t="str">
        <f>+IF(E679="","",VLOOKUP(E679,CATALOGO!G:I,2,0))</f>
        <v/>
      </c>
      <c r="L679" t="str">
        <f>+IF(E679="","",VLOOKUP(E679,CATALOGO!G:I,3,0))</f>
        <v/>
      </c>
      <c r="M679" s="87" t="str">
        <f>IF('Consulta1'!I4771="","",'Consulta1'!I4771)</f>
        <v/>
      </c>
      <c r="N679" s="88" t="str">
        <f>IF('Consulta1'!J4771="","",'Consulta1'!J4771)</f>
        <v/>
      </c>
    </row>
    <row r="680" spans="1:14" ht="18.75" x14ac:dyDescent="0.25">
      <c r="A680" s="82" t="str">
        <f>IF('Consulta1'!A4772="","",'Consulta1'!A4772)</f>
        <v/>
      </c>
      <c r="B680" s="82" t="str">
        <f>IF('Consulta1'!B4772="","",'Consulta1'!B4772)</f>
        <v/>
      </c>
      <c r="C680" s="83" t="str">
        <f>IF('Consulta1'!C4772="","",'Consulta1'!C4772)</f>
        <v/>
      </c>
      <c r="D680" s="84" t="str">
        <f>IF('Consulta1'!D4772="","",'Consulta1'!D4772)</f>
        <v/>
      </c>
      <c r="E680" s="82" t="str">
        <f>IF('Consulta1'!E4772="","",'Consulta1'!E4772)</f>
        <v/>
      </c>
      <c r="F680" t="str">
        <f>+IF(E680="","",VLOOKUP(E680,CATALOGO!G:L,6,0))</f>
        <v/>
      </c>
      <c r="G680" s="85" t="str">
        <f>IF('Consulta1'!F4772="","",'Consulta1'!F4772)</f>
        <v/>
      </c>
      <c r="H680" s="85" t="str">
        <f>IF('Consulta1'!G4772="","",'Consulta1'!G4772)</f>
        <v/>
      </c>
      <c r="I680" s="86" t="str">
        <f>IF('Consulta1'!H4772="","",'Consulta1'!H4772)</f>
        <v/>
      </c>
      <c r="J680" t="str">
        <f t="shared" si="10"/>
        <v/>
      </c>
      <c r="K680" t="str">
        <f>+IF(E680="","",VLOOKUP(E680,CATALOGO!G:I,2,0))</f>
        <v/>
      </c>
      <c r="L680" t="str">
        <f>+IF(E680="","",VLOOKUP(E680,CATALOGO!G:I,3,0))</f>
        <v/>
      </c>
      <c r="M680" s="87" t="str">
        <f>IF('Consulta1'!I4772="","",'Consulta1'!I4772)</f>
        <v/>
      </c>
      <c r="N680" s="88" t="str">
        <f>IF('Consulta1'!J4772="","",'Consulta1'!J4772)</f>
        <v/>
      </c>
    </row>
    <row r="681" spans="1:14" ht="18.75" x14ac:dyDescent="0.25">
      <c r="A681" s="82" t="str">
        <f>IF('Consulta1'!A4773="","",'Consulta1'!A4773)</f>
        <v/>
      </c>
      <c r="B681" s="82" t="str">
        <f>IF('Consulta1'!B4773="","",'Consulta1'!B4773)</f>
        <v/>
      </c>
      <c r="C681" s="83" t="str">
        <f>IF('Consulta1'!C4773="","",'Consulta1'!C4773)</f>
        <v/>
      </c>
      <c r="D681" s="84" t="str">
        <f>IF('Consulta1'!D4773="","",'Consulta1'!D4773)</f>
        <v/>
      </c>
      <c r="E681" s="82" t="str">
        <f>IF('Consulta1'!E4773="","",'Consulta1'!E4773)</f>
        <v/>
      </c>
      <c r="F681" t="str">
        <f>+IF(E681="","",VLOOKUP(E681,CATALOGO!G:L,6,0))</f>
        <v/>
      </c>
      <c r="G681" s="85" t="str">
        <f>IF('Consulta1'!F4773="","",'Consulta1'!F4773)</f>
        <v/>
      </c>
      <c r="H681" s="85" t="str">
        <f>IF('Consulta1'!G4773="","",'Consulta1'!G4773)</f>
        <v/>
      </c>
      <c r="I681" s="86" t="str">
        <f>IF('Consulta1'!H4773="","",'Consulta1'!H4773)</f>
        <v/>
      </c>
      <c r="J681" t="str">
        <f t="shared" si="10"/>
        <v/>
      </c>
      <c r="K681" t="str">
        <f>+IF(E681="","",VLOOKUP(E681,CATALOGO!G:I,2,0))</f>
        <v/>
      </c>
      <c r="L681" t="str">
        <f>+IF(E681="","",VLOOKUP(E681,CATALOGO!G:I,3,0))</f>
        <v/>
      </c>
      <c r="M681" s="87" t="str">
        <f>IF('Consulta1'!I4773="","",'Consulta1'!I4773)</f>
        <v/>
      </c>
      <c r="N681" s="88" t="str">
        <f>IF('Consulta1'!J4773="","",'Consulta1'!J4773)</f>
        <v/>
      </c>
    </row>
    <row r="682" spans="1:14" ht="18.75" x14ac:dyDescent="0.25">
      <c r="A682" s="82" t="str">
        <f>IF('Consulta1'!A4774="","",'Consulta1'!A4774)</f>
        <v/>
      </c>
      <c r="B682" s="82" t="str">
        <f>IF('Consulta1'!B4774="","",'Consulta1'!B4774)</f>
        <v/>
      </c>
      <c r="C682" s="83" t="str">
        <f>IF('Consulta1'!C4774="","",'Consulta1'!C4774)</f>
        <v/>
      </c>
      <c r="D682" s="84" t="str">
        <f>IF('Consulta1'!D4774="","",'Consulta1'!D4774)</f>
        <v/>
      </c>
      <c r="E682" s="82" t="str">
        <f>IF('Consulta1'!E4774="","",'Consulta1'!E4774)</f>
        <v/>
      </c>
      <c r="F682" t="str">
        <f>+IF(E682="","",VLOOKUP(E682,CATALOGO!G:L,6,0))</f>
        <v/>
      </c>
      <c r="G682" s="85" t="str">
        <f>IF('Consulta1'!F4774="","",'Consulta1'!F4774)</f>
        <v/>
      </c>
      <c r="H682" s="85" t="str">
        <f>IF('Consulta1'!G4774="","",'Consulta1'!G4774)</f>
        <v/>
      </c>
      <c r="I682" s="86" t="str">
        <f>IF('Consulta1'!H4774="","",'Consulta1'!H4774)</f>
        <v/>
      </c>
      <c r="J682" t="str">
        <f t="shared" si="10"/>
        <v/>
      </c>
      <c r="K682" t="str">
        <f>+IF(E682="","",VLOOKUP(E682,CATALOGO!G:I,2,0))</f>
        <v/>
      </c>
      <c r="L682" t="str">
        <f>+IF(E682="","",VLOOKUP(E682,CATALOGO!G:I,3,0))</f>
        <v/>
      </c>
      <c r="M682" s="87" t="str">
        <f>IF('Consulta1'!I4774="","",'Consulta1'!I4774)</f>
        <v/>
      </c>
      <c r="N682" s="88" t="str">
        <f>IF('Consulta1'!J4774="","",'Consulta1'!J4774)</f>
        <v/>
      </c>
    </row>
    <row r="683" spans="1:14" ht="18.75" x14ac:dyDescent="0.25">
      <c r="A683" s="82" t="str">
        <f>IF('Consulta1'!A4775="","",'Consulta1'!A4775)</f>
        <v/>
      </c>
      <c r="B683" s="82" t="str">
        <f>IF('Consulta1'!B4775="","",'Consulta1'!B4775)</f>
        <v/>
      </c>
      <c r="C683" s="83" t="str">
        <f>IF('Consulta1'!C4775="","",'Consulta1'!C4775)</f>
        <v/>
      </c>
      <c r="D683" s="84" t="str">
        <f>IF('Consulta1'!D4775="","",'Consulta1'!D4775)</f>
        <v/>
      </c>
      <c r="E683" s="82" t="str">
        <f>IF('Consulta1'!E4775="","",'Consulta1'!E4775)</f>
        <v/>
      </c>
      <c r="F683" t="str">
        <f>+IF(E683="","",VLOOKUP(E683,CATALOGO!G:L,6,0))</f>
        <v/>
      </c>
      <c r="G683" s="85" t="str">
        <f>IF('Consulta1'!F4775="","",'Consulta1'!F4775)</f>
        <v/>
      </c>
      <c r="H683" s="85" t="str">
        <f>IF('Consulta1'!G4775="","",'Consulta1'!G4775)</f>
        <v/>
      </c>
      <c r="I683" s="86" t="str">
        <f>IF('Consulta1'!H4775="","",'Consulta1'!H4775)</f>
        <v/>
      </c>
      <c r="J683" t="str">
        <f t="shared" si="10"/>
        <v/>
      </c>
      <c r="K683" t="str">
        <f>+IF(E683="","",VLOOKUP(E683,CATALOGO!G:I,2,0))</f>
        <v/>
      </c>
      <c r="L683" t="str">
        <f>+IF(E683="","",VLOOKUP(E683,CATALOGO!G:I,3,0))</f>
        <v/>
      </c>
      <c r="M683" s="87" t="str">
        <f>IF('Consulta1'!I4775="","",'Consulta1'!I4775)</f>
        <v/>
      </c>
      <c r="N683" s="88" t="str">
        <f>IF('Consulta1'!J4775="","",'Consulta1'!J4775)</f>
        <v/>
      </c>
    </row>
    <row r="684" spans="1:14" ht="18.75" x14ac:dyDescent="0.25">
      <c r="A684" s="82" t="str">
        <f>IF('Consulta1'!A4776="","",'Consulta1'!A4776)</f>
        <v/>
      </c>
      <c r="B684" s="82" t="str">
        <f>IF('Consulta1'!B4776="","",'Consulta1'!B4776)</f>
        <v/>
      </c>
      <c r="C684" s="83" t="str">
        <f>IF('Consulta1'!C4776="","",'Consulta1'!C4776)</f>
        <v/>
      </c>
      <c r="D684" s="84" t="str">
        <f>IF('Consulta1'!D4776="","",'Consulta1'!D4776)</f>
        <v/>
      </c>
      <c r="E684" s="82" t="str">
        <f>IF('Consulta1'!E4776="","",'Consulta1'!E4776)</f>
        <v/>
      </c>
      <c r="F684" t="str">
        <f>+IF(E684="","",VLOOKUP(E684,CATALOGO!G:L,6,0))</f>
        <v/>
      </c>
      <c r="G684" s="85" t="str">
        <f>IF('Consulta1'!F4776="","",'Consulta1'!F4776)</f>
        <v/>
      </c>
      <c r="H684" s="85" t="str">
        <f>IF('Consulta1'!G4776="","",'Consulta1'!G4776)</f>
        <v/>
      </c>
      <c r="I684" s="86" t="str">
        <f>IF('Consulta1'!H4776="","",'Consulta1'!H4776)</f>
        <v/>
      </c>
      <c r="J684" t="str">
        <f t="shared" si="10"/>
        <v/>
      </c>
      <c r="K684" t="str">
        <f>+IF(E684="","",VLOOKUP(E684,CATALOGO!G:I,2,0))</f>
        <v/>
      </c>
      <c r="L684" t="str">
        <f>+IF(E684="","",VLOOKUP(E684,CATALOGO!G:I,3,0))</f>
        <v/>
      </c>
      <c r="M684" s="87" t="str">
        <f>IF('Consulta1'!I4776="","",'Consulta1'!I4776)</f>
        <v/>
      </c>
      <c r="N684" s="88" t="str">
        <f>IF('Consulta1'!J4776="","",'Consulta1'!J4776)</f>
        <v/>
      </c>
    </row>
    <row r="685" spans="1:14" ht="18.75" x14ac:dyDescent="0.25">
      <c r="A685" s="82" t="str">
        <f>IF('Consulta1'!A4777="","",'Consulta1'!A4777)</f>
        <v/>
      </c>
      <c r="B685" s="82" t="str">
        <f>IF('Consulta1'!B4777="","",'Consulta1'!B4777)</f>
        <v/>
      </c>
      <c r="C685" s="83" t="str">
        <f>IF('Consulta1'!C4777="","",'Consulta1'!C4777)</f>
        <v/>
      </c>
      <c r="D685" s="84" t="str">
        <f>IF('Consulta1'!D4777="","",'Consulta1'!D4777)</f>
        <v/>
      </c>
      <c r="E685" s="82" t="str">
        <f>IF('Consulta1'!E4777="","",'Consulta1'!E4777)</f>
        <v/>
      </c>
      <c r="F685" t="str">
        <f>+IF(E685="","",VLOOKUP(E685,CATALOGO!G:L,6,0))</f>
        <v/>
      </c>
      <c r="G685" s="85" t="str">
        <f>IF('Consulta1'!F4777="","",'Consulta1'!F4777)</f>
        <v/>
      </c>
      <c r="H685" s="85" t="str">
        <f>IF('Consulta1'!G4777="","",'Consulta1'!G4777)</f>
        <v/>
      </c>
      <c r="I685" s="86" t="str">
        <f>IF('Consulta1'!H4777="","",'Consulta1'!H4777)</f>
        <v/>
      </c>
      <c r="J685" t="str">
        <f t="shared" si="10"/>
        <v/>
      </c>
      <c r="K685" t="str">
        <f>+IF(E685="","",VLOOKUP(E685,CATALOGO!G:I,2,0))</f>
        <v/>
      </c>
      <c r="L685" t="str">
        <f>+IF(E685="","",VLOOKUP(E685,CATALOGO!G:I,3,0))</f>
        <v/>
      </c>
      <c r="M685" s="87" t="str">
        <f>IF('Consulta1'!I4777="","",'Consulta1'!I4777)</f>
        <v/>
      </c>
      <c r="N685" s="88" t="str">
        <f>IF('Consulta1'!J4777="","",'Consulta1'!J4777)</f>
        <v/>
      </c>
    </row>
    <row r="686" spans="1:14" ht="18.75" x14ac:dyDescent="0.25">
      <c r="A686" s="82" t="str">
        <f>IF('Consulta1'!A4778="","",'Consulta1'!A4778)</f>
        <v/>
      </c>
      <c r="B686" s="82" t="str">
        <f>IF('Consulta1'!B4778="","",'Consulta1'!B4778)</f>
        <v/>
      </c>
      <c r="C686" s="83" t="str">
        <f>IF('Consulta1'!C4778="","",'Consulta1'!C4778)</f>
        <v/>
      </c>
      <c r="D686" s="84" t="str">
        <f>IF('Consulta1'!D4778="","",'Consulta1'!D4778)</f>
        <v/>
      </c>
      <c r="E686" s="82" t="str">
        <f>IF('Consulta1'!E4778="","",'Consulta1'!E4778)</f>
        <v/>
      </c>
      <c r="F686" t="str">
        <f>+IF(E686="","",VLOOKUP(E686,CATALOGO!G:L,6,0))</f>
        <v/>
      </c>
      <c r="G686" s="85" t="str">
        <f>IF('Consulta1'!F4778="","",'Consulta1'!F4778)</f>
        <v/>
      </c>
      <c r="H686" s="85" t="str">
        <f>IF('Consulta1'!G4778="","",'Consulta1'!G4778)</f>
        <v/>
      </c>
      <c r="I686" s="86" t="str">
        <f>IF('Consulta1'!H4778="","",'Consulta1'!H4778)</f>
        <v/>
      </c>
      <c r="J686" t="str">
        <f t="shared" si="10"/>
        <v/>
      </c>
      <c r="K686" t="str">
        <f>+IF(E686="","",VLOOKUP(E686,CATALOGO!G:I,2,0))</f>
        <v/>
      </c>
      <c r="L686" t="str">
        <f>+IF(E686="","",VLOOKUP(E686,CATALOGO!G:I,3,0))</f>
        <v/>
      </c>
      <c r="M686" s="87" t="str">
        <f>IF('Consulta1'!I4778="","",'Consulta1'!I4778)</f>
        <v/>
      </c>
      <c r="N686" s="88" t="str">
        <f>IF('Consulta1'!J4778="","",'Consulta1'!J4778)</f>
        <v/>
      </c>
    </row>
    <row r="687" spans="1:14" ht="18.75" x14ac:dyDescent="0.25">
      <c r="A687" s="82" t="str">
        <f>IF('Consulta1'!A4779="","",'Consulta1'!A4779)</f>
        <v/>
      </c>
      <c r="B687" s="82" t="str">
        <f>IF('Consulta1'!B4779="","",'Consulta1'!B4779)</f>
        <v/>
      </c>
      <c r="C687" s="83" t="str">
        <f>IF('Consulta1'!C4779="","",'Consulta1'!C4779)</f>
        <v/>
      </c>
      <c r="D687" s="84" t="str">
        <f>IF('Consulta1'!D4779="","",'Consulta1'!D4779)</f>
        <v/>
      </c>
      <c r="E687" s="82" t="str">
        <f>IF('Consulta1'!E4779="","",'Consulta1'!E4779)</f>
        <v/>
      </c>
      <c r="F687" t="str">
        <f>+IF(E687="","",VLOOKUP(E687,CATALOGO!G:L,6,0))</f>
        <v/>
      </c>
      <c r="G687" s="85" t="str">
        <f>IF('Consulta1'!F4779="","",'Consulta1'!F4779)</f>
        <v/>
      </c>
      <c r="H687" s="85" t="str">
        <f>IF('Consulta1'!G4779="","",'Consulta1'!G4779)</f>
        <v/>
      </c>
      <c r="I687" s="86" t="str">
        <f>IF('Consulta1'!H4779="","",'Consulta1'!H4779)</f>
        <v/>
      </c>
      <c r="J687" t="str">
        <f t="shared" si="10"/>
        <v/>
      </c>
      <c r="K687" t="str">
        <f>+IF(E687="","",VLOOKUP(E687,CATALOGO!G:I,2,0))</f>
        <v/>
      </c>
      <c r="L687" t="str">
        <f>+IF(E687="","",VLOOKUP(E687,CATALOGO!G:I,3,0))</f>
        <v/>
      </c>
      <c r="M687" s="87" t="str">
        <f>IF('Consulta1'!I4779="","",'Consulta1'!I4779)</f>
        <v/>
      </c>
      <c r="N687" s="88" t="str">
        <f>IF('Consulta1'!J4779="","",'Consulta1'!J4779)</f>
        <v/>
      </c>
    </row>
    <row r="688" spans="1:14" ht="18.75" x14ac:dyDescent="0.25">
      <c r="A688" s="82" t="str">
        <f>IF('Consulta1'!A4780="","",'Consulta1'!A4780)</f>
        <v/>
      </c>
      <c r="B688" s="82" t="str">
        <f>IF('Consulta1'!B4780="","",'Consulta1'!B4780)</f>
        <v/>
      </c>
      <c r="C688" s="83" t="str">
        <f>IF('Consulta1'!C4780="","",'Consulta1'!C4780)</f>
        <v/>
      </c>
      <c r="D688" s="84" t="str">
        <f>IF('Consulta1'!D4780="","",'Consulta1'!D4780)</f>
        <v/>
      </c>
      <c r="E688" s="82" t="str">
        <f>IF('Consulta1'!E4780="","",'Consulta1'!E4780)</f>
        <v/>
      </c>
      <c r="F688" t="str">
        <f>+IF(E688="","",VLOOKUP(E688,CATALOGO!G:L,6,0))</f>
        <v/>
      </c>
      <c r="G688" s="85" t="str">
        <f>IF('Consulta1'!F4780="","",'Consulta1'!F4780)</f>
        <v/>
      </c>
      <c r="H688" s="85" t="str">
        <f>IF('Consulta1'!G4780="","",'Consulta1'!G4780)</f>
        <v/>
      </c>
      <c r="I688" s="86" t="str">
        <f>IF('Consulta1'!H4780="","",'Consulta1'!H4780)</f>
        <v/>
      </c>
      <c r="J688" t="str">
        <f t="shared" si="10"/>
        <v/>
      </c>
      <c r="K688" t="str">
        <f>+IF(E688="","",VLOOKUP(E688,CATALOGO!G:I,2,0))</f>
        <v/>
      </c>
      <c r="L688" t="str">
        <f>+IF(E688="","",VLOOKUP(E688,CATALOGO!G:I,3,0))</f>
        <v/>
      </c>
      <c r="M688" s="87" t="str">
        <f>IF('Consulta1'!I4780="","",'Consulta1'!I4780)</f>
        <v/>
      </c>
      <c r="N688" s="88" t="str">
        <f>IF('Consulta1'!J4780="","",'Consulta1'!J4780)</f>
        <v/>
      </c>
    </row>
    <row r="689" spans="1:14" ht="18.75" x14ac:dyDescent="0.25">
      <c r="A689" s="82" t="str">
        <f>IF('Consulta1'!A4781="","",'Consulta1'!A4781)</f>
        <v/>
      </c>
      <c r="B689" s="82" t="str">
        <f>IF('Consulta1'!B4781="","",'Consulta1'!B4781)</f>
        <v/>
      </c>
      <c r="C689" s="83" t="str">
        <f>IF('Consulta1'!C4781="","",'Consulta1'!C4781)</f>
        <v/>
      </c>
      <c r="D689" s="84" t="str">
        <f>IF('Consulta1'!D4781="","",'Consulta1'!D4781)</f>
        <v/>
      </c>
      <c r="E689" s="82" t="str">
        <f>IF('Consulta1'!E4781="","",'Consulta1'!E4781)</f>
        <v/>
      </c>
      <c r="F689" t="str">
        <f>+IF(E689="","",VLOOKUP(E689,CATALOGO!G:L,6,0))</f>
        <v/>
      </c>
      <c r="G689" s="85" t="str">
        <f>IF('Consulta1'!F4781="","",'Consulta1'!F4781)</f>
        <v/>
      </c>
      <c r="H689" s="85" t="str">
        <f>IF('Consulta1'!G4781="","",'Consulta1'!G4781)</f>
        <v/>
      </c>
      <c r="I689" s="86" t="str">
        <f>IF('Consulta1'!H4781="","",'Consulta1'!H4781)</f>
        <v/>
      </c>
      <c r="J689" t="str">
        <f t="shared" si="10"/>
        <v/>
      </c>
      <c r="K689" t="str">
        <f>+IF(E689="","",VLOOKUP(E689,CATALOGO!G:I,2,0))</f>
        <v/>
      </c>
      <c r="L689" t="str">
        <f>+IF(E689="","",VLOOKUP(E689,CATALOGO!G:I,3,0))</f>
        <v/>
      </c>
      <c r="M689" s="87" t="str">
        <f>IF('Consulta1'!I4781="","",'Consulta1'!I4781)</f>
        <v/>
      </c>
      <c r="N689" s="88" t="str">
        <f>IF('Consulta1'!J4781="","",'Consulta1'!J4781)</f>
        <v/>
      </c>
    </row>
    <row r="690" spans="1:14" ht="18.75" x14ac:dyDescent="0.25">
      <c r="A690" s="82" t="str">
        <f>IF('Consulta1'!A4782="","",'Consulta1'!A4782)</f>
        <v/>
      </c>
      <c r="B690" s="82" t="str">
        <f>IF('Consulta1'!B4782="","",'Consulta1'!B4782)</f>
        <v/>
      </c>
      <c r="C690" s="83" t="str">
        <f>IF('Consulta1'!C4782="","",'Consulta1'!C4782)</f>
        <v/>
      </c>
      <c r="D690" s="84" t="str">
        <f>IF('Consulta1'!D4782="","",'Consulta1'!D4782)</f>
        <v/>
      </c>
      <c r="E690" s="82" t="str">
        <f>IF('Consulta1'!E4782="","",'Consulta1'!E4782)</f>
        <v/>
      </c>
      <c r="F690" t="str">
        <f>+IF(E690="","",VLOOKUP(E690,CATALOGO!G:L,6,0))</f>
        <v/>
      </c>
      <c r="G690" s="85" t="str">
        <f>IF('Consulta1'!F4782="","",'Consulta1'!F4782)</f>
        <v/>
      </c>
      <c r="H690" s="85" t="str">
        <f>IF('Consulta1'!G4782="","",'Consulta1'!G4782)</f>
        <v/>
      </c>
      <c r="I690" s="86" t="str">
        <f>IF('Consulta1'!H4782="","",'Consulta1'!H4782)</f>
        <v/>
      </c>
      <c r="J690" t="str">
        <f t="shared" si="10"/>
        <v/>
      </c>
      <c r="K690" t="str">
        <f>+IF(E690="","",VLOOKUP(E690,CATALOGO!G:I,2,0))</f>
        <v/>
      </c>
      <c r="L690" t="str">
        <f>+IF(E690="","",VLOOKUP(E690,CATALOGO!G:I,3,0))</f>
        <v/>
      </c>
      <c r="M690" s="87" t="str">
        <f>IF('Consulta1'!I4782="","",'Consulta1'!I4782)</f>
        <v/>
      </c>
      <c r="N690" s="88" t="str">
        <f>IF('Consulta1'!J4782="","",'Consulta1'!J4782)</f>
        <v/>
      </c>
    </row>
    <row r="691" spans="1:14" ht="18.75" x14ac:dyDescent="0.25">
      <c r="A691" s="82" t="str">
        <f>IF('Consulta1'!A4783="","",'Consulta1'!A4783)</f>
        <v/>
      </c>
      <c r="B691" s="82" t="str">
        <f>IF('Consulta1'!B4783="","",'Consulta1'!B4783)</f>
        <v/>
      </c>
      <c r="C691" s="83" t="str">
        <f>IF('Consulta1'!C4783="","",'Consulta1'!C4783)</f>
        <v/>
      </c>
      <c r="D691" s="84" t="str">
        <f>IF('Consulta1'!D4783="","",'Consulta1'!D4783)</f>
        <v/>
      </c>
      <c r="E691" s="82" t="str">
        <f>IF('Consulta1'!E4783="","",'Consulta1'!E4783)</f>
        <v/>
      </c>
      <c r="F691" t="str">
        <f>+IF(E691="","",VLOOKUP(E691,CATALOGO!G:L,6,0))</f>
        <v/>
      </c>
      <c r="G691" s="85" t="str">
        <f>IF('Consulta1'!F4783="","",'Consulta1'!F4783)</f>
        <v/>
      </c>
      <c r="H691" s="85" t="str">
        <f>IF('Consulta1'!G4783="","",'Consulta1'!G4783)</f>
        <v/>
      </c>
      <c r="I691" s="86" t="str">
        <f>IF('Consulta1'!H4783="","",'Consulta1'!H4783)</f>
        <v/>
      </c>
      <c r="J691" t="str">
        <f t="shared" si="10"/>
        <v/>
      </c>
      <c r="K691" t="str">
        <f>+IF(E691="","",VLOOKUP(E691,CATALOGO!G:I,2,0))</f>
        <v/>
      </c>
      <c r="L691" t="str">
        <f>+IF(E691="","",VLOOKUP(E691,CATALOGO!G:I,3,0))</f>
        <v/>
      </c>
      <c r="M691" s="87" t="str">
        <f>IF('Consulta1'!I4783="","",'Consulta1'!I4783)</f>
        <v/>
      </c>
      <c r="N691" s="88" t="str">
        <f>IF('Consulta1'!J4783="","",'Consulta1'!J4783)</f>
        <v/>
      </c>
    </row>
    <row r="692" spans="1:14" ht="18.75" x14ac:dyDescent="0.25">
      <c r="A692" s="82" t="str">
        <f>IF('Consulta1'!A4784="","",'Consulta1'!A4784)</f>
        <v/>
      </c>
      <c r="B692" s="82" t="str">
        <f>IF('Consulta1'!B4784="","",'Consulta1'!B4784)</f>
        <v/>
      </c>
      <c r="C692" s="83" t="str">
        <f>IF('Consulta1'!C4784="","",'Consulta1'!C4784)</f>
        <v/>
      </c>
      <c r="D692" s="84" t="str">
        <f>IF('Consulta1'!D4784="","",'Consulta1'!D4784)</f>
        <v/>
      </c>
      <c r="E692" s="82" t="str">
        <f>IF('Consulta1'!E4784="","",'Consulta1'!E4784)</f>
        <v/>
      </c>
      <c r="F692" t="str">
        <f>+IF(E692="","",VLOOKUP(E692,CATALOGO!G:L,6,0))</f>
        <v/>
      </c>
      <c r="G692" s="85" t="str">
        <f>IF('Consulta1'!F4784="","",'Consulta1'!F4784)</f>
        <v/>
      </c>
      <c r="H692" s="85" t="str">
        <f>IF('Consulta1'!G4784="","",'Consulta1'!G4784)</f>
        <v/>
      </c>
      <c r="I692" s="86" t="str">
        <f>IF('Consulta1'!H4784="","",'Consulta1'!H4784)</f>
        <v/>
      </c>
      <c r="J692" t="str">
        <f t="shared" si="10"/>
        <v/>
      </c>
      <c r="K692" t="str">
        <f>+IF(E692="","",VLOOKUP(E692,CATALOGO!G:I,2,0))</f>
        <v/>
      </c>
      <c r="L692" t="str">
        <f>+IF(E692="","",VLOOKUP(E692,CATALOGO!G:I,3,0))</f>
        <v/>
      </c>
      <c r="M692" s="87" t="str">
        <f>IF('Consulta1'!I4784="","",'Consulta1'!I4784)</f>
        <v/>
      </c>
      <c r="N692" s="88" t="str">
        <f>IF('Consulta1'!J4784="","",'Consulta1'!J4784)</f>
        <v/>
      </c>
    </row>
    <row r="693" spans="1:14" ht="18.75" x14ac:dyDescent="0.25">
      <c r="A693" s="82" t="str">
        <f>IF('Consulta1'!A4785="","",'Consulta1'!A4785)</f>
        <v/>
      </c>
      <c r="B693" s="82" t="str">
        <f>IF('Consulta1'!B4785="","",'Consulta1'!B4785)</f>
        <v/>
      </c>
      <c r="C693" s="83" t="str">
        <f>IF('Consulta1'!C4785="","",'Consulta1'!C4785)</f>
        <v/>
      </c>
      <c r="D693" s="84" t="str">
        <f>IF('Consulta1'!D4785="","",'Consulta1'!D4785)</f>
        <v/>
      </c>
      <c r="E693" s="82" t="str">
        <f>IF('Consulta1'!E4785="","",'Consulta1'!E4785)</f>
        <v/>
      </c>
      <c r="F693" t="str">
        <f>+IF(E693="","",VLOOKUP(E693,CATALOGO!G:L,6,0))</f>
        <v/>
      </c>
      <c r="G693" s="85" t="str">
        <f>IF('Consulta1'!F4785="","",'Consulta1'!F4785)</f>
        <v/>
      </c>
      <c r="H693" s="85" t="str">
        <f>IF('Consulta1'!G4785="","",'Consulta1'!G4785)</f>
        <v/>
      </c>
      <c r="I693" s="86" t="str">
        <f>IF('Consulta1'!H4785="","",'Consulta1'!H4785)</f>
        <v/>
      </c>
      <c r="J693" t="str">
        <f t="shared" si="10"/>
        <v/>
      </c>
      <c r="K693" t="str">
        <f>+IF(E693="","",VLOOKUP(E693,CATALOGO!G:I,2,0))</f>
        <v/>
      </c>
      <c r="L693" t="str">
        <f>+IF(E693="","",VLOOKUP(E693,CATALOGO!G:I,3,0))</f>
        <v/>
      </c>
      <c r="M693" s="87" t="str">
        <f>IF('Consulta1'!I4785="","",'Consulta1'!I4785)</f>
        <v/>
      </c>
      <c r="N693" s="88" t="str">
        <f>IF('Consulta1'!J4785="","",'Consulta1'!J4785)</f>
        <v/>
      </c>
    </row>
    <row r="694" spans="1:14" ht="18.75" x14ac:dyDescent="0.25">
      <c r="A694" s="82" t="str">
        <f>IF('Consulta1'!A4786="","",'Consulta1'!A4786)</f>
        <v/>
      </c>
      <c r="B694" s="82" t="str">
        <f>IF('Consulta1'!B4786="","",'Consulta1'!B4786)</f>
        <v/>
      </c>
      <c r="C694" s="83" t="str">
        <f>IF('Consulta1'!C4786="","",'Consulta1'!C4786)</f>
        <v/>
      </c>
      <c r="D694" s="84" t="str">
        <f>IF('Consulta1'!D4786="","",'Consulta1'!D4786)</f>
        <v/>
      </c>
      <c r="E694" s="82" t="str">
        <f>IF('Consulta1'!E4786="","",'Consulta1'!E4786)</f>
        <v/>
      </c>
      <c r="F694" t="str">
        <f>+IF(E694="","",VLOOKUP(E694,CATALOGO!G:L,6,0))</f>
        <v/>
      </c>
      <c r="G694" s="85" t="str">
        <f>IF('Consulta1'!F4786="","",'Consulta1'!F4786)</f>
        <v/>
      </c>
      <c r="H694" s="85" t="str">
        <f>IF('Consulta1'!G4786="","",'Consulta1'!G4786)</f>
        <v/>
      </c>
      <c r="I694" s="86" t="str">
        <f>IF('Consulta1'!H4786="","",'Consulta1'!H4786)</f>
        <v/>
      </c>
      <c r="J694" t="str">
        <f t="shared" si="10"/>
        <v/>
      </c>
      <c r="K694" t="str">
        <f>+IF(E694="","",VLOOKUP(E694,CATALOGO!G:I,2,0))</f>
        <v/>
      </c>
      <c r="L694" t="str">
        <f>+IF(E694="","",VLOOKUP(E694,CATALOGO!G:I,3,0))</f>
        <v/>
      </c>
      <c r="M694" s="87" t="str">
        <f>IF('Consulta1'!I4786="","",'Consulta1'!I4786)</f>
        <v/>
      </c>
      <c r="N694" s="88" t="str">
        <f>IF('Consulta1'!J4786="","",'Consulta1'!J4786)</f>
        <v/>
      </c>
    </row>
    <row r="695" spans="1:14" ht="18.75" x14ac:dyDescent="0.25">
      <c r="A695" s="82" t="str">
        <f>IF('Consulta1'!A4787="","",'Consulta1'!A4787)</f>
        <v/>
      </c>
      <c r="B695" s="82" t="str">
        <f>IF('Consulta1'!B4787="","",'Consulta1'!B4787)</f>
        <v/>
      </c>
      <c r="C695" s="83" t="str">
        <f>IF('Consulta1'!C4787="","",'Consulta1'!C4787)</f>
        <v/>
      </c>
      <c r="D695" s="84" t="str">
        <f>IF('Consulta1'!D4787="","",'Consulta1'!D4787)</f>
        <v/>
      </c>
      <c r="E695" s="82" t="str">
        <f>IF('Consulta1'!E4787="","",'Consulta1'!E4787)</f>
        <v/>
      </c>
      <c r="F695" t="str">
        <f>+IF(E695="","",VLOOKUP(E695,CATALOGO!G:L,6,0))</f>
        <v/>
      </c>
      <c r="G695" s="85" t="str">
        <f>IF('Consulta1'!F4787="","",'Consulta1'!F4787)</f>
        <v/>
      </c>
      <c r="H695" s="85" t="str">
        <f>IF('Consulta1'!G4787="","",'Consulta1'!G4787)</f>
        <v/>
      </c>
      <c r="I695" s="86" t="str">
        <f>IF('Consulta1'!H4787="","",'Consulta1'!H4787)</f>
        <v/>
      </c>
      <c r="J695" t="str">
        <f t="shared" si="10"/>
        <v/>
      </c>
      <c r="K695" t="str">
        <f>+IF(E695="","",VLOOKUP(E695,CATALOGO!G:I,2,0))</f>
        <v/>
      </c>
      <c r="L695" t="str">
        <f>+IF(E695="","",VLOOKUP(E695,CATALOGO!G:I,3,0))</f>
        <v/>
      </c>
      <c r="M695" s="87" t="str">
        <f>IF('Consulta1'!I4787="","",'Consulta1'!I4787)</f>
        <v/>
      </c>
      <c r="N695" s="88" t="str">
        <f>IF('Consulta1'!J4787="","",'Consulta1'!J4787)</f>
        <v/>
      </c>
    </row>
    <row r="696" spans="1:14" ht="18.75" x14ac:dyDescent="0.25">
      <c r="A696" s="82" t="str">
        <f>IF('Consulta1'!A4788="","",'Consulta1'!A4788)</f>
        <v/>
      </c>
      <c r="B696" s="82" t="str">
        <f>IF('Consulta1'!B4788="","",'Consulta1'!B4788)</f>
        <v/>
      </c>
      <c r="C696" s="83" t="str">
        <f>IF('Consulta1'!C4788="","",'Consulta1'!C4788)</f>
        <v/>
      </c>
      <c r="D696" s="84" t="str">
        <f>IF('Consulta1'!D4788="","",'Consulta1'!D4788)</f>
        <v/>
      </c>
      <c r="E696" s="82" t="str">
        <f>IF('Consulta1'!E4788="","",'Consulta1'!E4788)</f>
        <v/>
      </c>
      <c r="F696" t="str">
        <f>+IF(E696="","",VLOOKUP(E696,CATALOGO!G:L,6,0))</f>
        <v/>
      </c>
      <c r="G696" s="85" t="str">
        <f>IF('Consulta1'!F4788="","",'Consulta1'!F4788)</f>
        <v/>
      </c>
      <c r="H696" s="85" t="str">
        <f>IF('Consulta1'!G4788="","",'Consulta1'!G4788)</f>
        <v/>
      </c>
      <c r="I696" s="86" t="str">
        <f>IF('Consulta1'!H4788="","",'Consulta1'!H4788)</f>
        <v/>
      </c>
      <c r="J696" t="str">
        <f t="shared" si="10"/>
        <v/>
      </c>
      <c r="K696" t="str">
        <f>+IF(E696="","",VLOOKUP(E696,CATALOGO!G:I,2,0))</f>
        <v/>
      </c>
      <c r="L696" t="str">
        <f>+IF(E696="","",VLOOKUP(E696,CATALOGO!G:I,3,0))</f>
        <v/>
      </c>
      <c r="M696" s="87" t="str">
        <f>IF('Consulta1'!I4788="","",'Consulta1'!I4788)</f>
        <v/>
      </c>
      <c r="N696" s="88" t="str">
        <f>IF('Consulta1'!J4788="","",'Consulta1'!J4788)</f>
        <v/>
      </c>
    </row>
    <row r="697" spans="1:14" ht="18.75" x14ac:dyDescent="0.25">
      <c r="A697" s="82" t="str">
        <f>IF('Consulta1'!A4789="","",'Consulta1'!A4789)</f>
        <v/>
      </c>
      <c r="B697" s="82" t="str">
        <f>IF('Consulta1'!B4789="","",'Consulta1'!B4789)</f>
        <v/>
      </c>
      <c r="C697" s="83" t="str">
        <f>IF('Consulta1'!C4789="","",'Consulta1'!C4789)</f>
        <v/>
      </c>
      <c r="D697" s="84" t="str">
        <f>IF('Consulta1'!D4789="","",'Consulta1'!D4789)</f>
        <v/>
      </c>
      <c r="E697" s="82" t="str">
        <f>IF('Consulta1'!E4789="","",'Consulta1'!E4789)</f>
        <v/>
      </c>
      <c r="F697" t="str">
        <f>+IF(E697="","",VLOOKUP(E697,CATALOGO!G:L,6,0))</f>
        <v/>
      </c>
      <c r="G697" s="85" t="str">
        <f>IF('Consulta1'!F4789="","",'Consulta1'!F4789)</f>
        <v/>
      </c>
      <c r="H697" s="85" t="str">
        <f>IF('Consulta1'!G4789="","",'Consulta1'!G4789)</f>
        <v/>
      </c>
      <c r="I697" s="86" t="str">
        <f>IF('Consulta1'!H4789="","",'Consulta1'!H4789)</f>
        <v/>
      </c>
      <c r="J697" t="str">
        <f t="shared" si="10"/>
        <v/>
      </c>
      <c r="K697" t="str">
        <f>+IF(E697="","",VLOOKUP(E697,CATALOGO!G:I,2,0))</f>
        <v/>
      </c>
      <c r="L697" t="str">
        <f>+IF(E697="","",VLOOKUP(E697,CATALOGO!G:I,3,0))</f>
        <v/>
      </c>
      <c r="M697" s="87" t="str">
        <f>IF('Consulta1'!I4789="","",'Consulta1'!I4789)</f>
        <v/>
      </c>
      <c r="N697" s="88" t="str">
        <f>IF('Consulta1'!J4789="","",'Consulta1'!J4789)</f>
        <v/>
      </c>
    </row>
    <row r="698" spans="1:14" ht="18.75" x14ac:dyDescent="0.25">
      <c r="A698" s="82" t="str">
        <f>IF('Consulta1'!A4790="","",'Consulta1'!A4790)</f>
        <v/>
      </c>
      <c r="B698" s="82" t="str">
        <f>IF('Consulta1'!B4790="","",'Consulta1'!B4790)</f>
        <v/>
      </c>
      <c r="C698" s="83" t="str">
        <f>IF('Consulta1'!C4790="","",'Consulta1'!C4790)</f>
        <v/>
      </c>
      <c r="D698" s="84" t="str">
        <f>IF('Consulta1'!D4790="","",'Consulta1'!D4790)</f>
        <v/>
      </c>
      <c r="E698" s="82" t="str">
        <f>IF('Consulta1'!E4790="","",'Consulta1'!E4790)</f>
        <v/>
      </c>
      <c r="F698" t="str">
        <f>+IF(E698="","",VLOOKUP(E698,CATALOGO!G:L,6,0))</f>
        <v/>
      </c>
      <c r="G698" s="85" t="str">
        <f>IF('Consulta1'!F4790="","",'Consulta1'!F4790)</f>
        <v/>
      </c>
      <c r="H698" s="85" t="str">
        <f>IF('Consulta1'!G4790="","",'Consulta1'!G4790)</f>
        <v/>
      </c>
      <c r="I698" s="86" t="str">
        <f>IF('Consulta1'!H4790="","",'Consulta1'!H4790)</f>
        <v/>
      </c>
      <c r="J698" t="str">
        <f t="shared" si="10"/>
        <v/>
      </c>
      <c r="K698" t="str">
        <f>+IF(E698="","",VLOOKUP(E698,CATALOGO!G:I,2,0))</f>
        <v/>
      </c>
      <c r="L698" t="str">
        <f>+IF(E698="","",VLOOKUP(E698,CATALOGO!G:I,3,0))</f>
        <v/>
      </c>
      <c r="M698" s="87" t="str">
        <f>IF('Consulta1'!I4790="","",'Consulta1'!I4790)</f>
        <v/>
      </c>
      <c r="N698" s="88" t="str">
        <f>IF('Consulta1'!J4790="","",'Consulta1'!J4790)</f>
        <v/>
      </c>
    </row>
    <row r="699" spans="1:14" ht="18.75" x14ac:dyDescent="0.25">
      <c r="A699" s="82" t="str">
        <f>IF('Consulta1'!A4791="","",'Consulta1'!A4791)</f>
        <v/>
      </c>
      <c r="B699" s="82" t="str">
        <f>IF('Consulta1'!B4791="","",'Consulta1'!B4791)</f>
        <v/>
      </c>
      <c r="C699" s="83" t="str">
        <f>IF('Consulta1'!C4791="","",'Consulta1'!C4791)</f>
        <v/>
      </c>
      <c r="D699" s="84" t="str">
        <f>IF('Consulta1'!D4791="","",'Consulta1'!D4791)</f>
        <v/>
      </c>
      <c r="E699" s="82" t="str">
        <f>IF('Consulta1'!E4791="","",'Consulta1'!E4791)</f>
        <v/>
      </c>
      <c r="F699" t="str">
        <f>+IF(E699="","",VLOOKUP(E699,CATALOGO!G:L,6,0))</f>
        <v/>
      </c>
      <c r="G699" s="85" t="str">
        <f>IF('Consulta1'!F4791="","",'Consulta1'!F4791)</f>
        <v/>
      </c>
      <c r="H699" s="85" t="str">
        <f>IF('Consulta1'!G4791="","",'Consulta1'!G4791)</f>
        <v/>
      </c>
      <c r="I699" s="86" t="str">
        <f>IF('Consulta1'!H4791="","",'Consulta1'!H4791)</f>
        <v/>
      </c>
      <c r="J699" t="str">
        <f t="shared" si="10"/>
        <v/>
      </c>
      <c r="K699" t="str">
        <f>+IF(E699="","",VLOOKUP(E699,CATALOGO!G:I,2,0))</f>
        <v/>
      </c>
      <c r="L699" t="str">
        <f>+IF(E699="","",VLOOKUP(E699,CATALOGO!G:I,3,0))</f>
        <v/>
      </c>
      <c r="M699" s="87" t="str">
        <f>IF('Consulta1'!I4791="","",'Consulta1'!I4791)</f>
        <v/>
      </c>
      <c r="N699" s="88" t="str">
        <f>IF('Consulta1'!J4791="","",'Consulta1'!J4791)</f>
        <v/>
      </c>
    </row>
    <row r="700" spans="1:14" ht="18.75" x14ac:dyDescent="0.25">
      <c r="A700" s="82" t="str">
        <f>IF('Consulta1'!A4792="","",'Consulta1'!A4792)</f>
        <v/>
      </c>
      <c r="B700" s="82" t="str">
        <f>IF('Consulta1'!B4792="","",'Consulta1'!B4792)</f>
        <v/>
      </c>
      <c r="C700" s="83" t="str">
        <f>IF('Consulta1'!C4792="","",'Consulta1'!C4792)</f>
        <v/>
      </c>
      <c r="D700" s="84" t="str">
        <f>IF('Consulta1'!D4792="","",'Consulta1'!D4792)</f>
        <v/>
      </c>
      <c r="E700" s="82" t="str">
        <f>IF('Consulta1'!E4792="","",'Consulta1'!E4792)</f>
        <v/>
      </c>
      <c r="F700" t="str">
        <f>+IF(E700="","",VLOOKUP(E700,CATALOGO!G:L,6,0))</f>
        <v/>
      </c>
      <c r="G700" s="85" t="str">
        <f>IF('Consulta1'!F4792="","",'Consulta1'!F4792)</f>
        <v/>
      </c>
      <c r="H700" s="85" t="str">
        <f>IF('Consulta1'!G4792="","",'Consulta1'!G4792)</f>
        <v/>
      </c>
      <c r="I700" s="86" t="str">
        <f>IF('Consulta1'!H4792="","",'Consulta1'!H4792)</f>
        <v/>
      </c>
      <c r="J700" t="str">
        <f t="shared" si="10"/>
        <v/>
      </c>
      <c r="K700" t="str">
        <f>+IF(E700="","",VLOOKUP(E700,CATALOGO!G:I,2,0))</f>
        <v/>
      </c>
      <c r="L700" t="str">
        <f>+IF(E700="","",VLOOKUP(E700,CATALOGO!G:I,3,0))</f>
        <v/>
      </c>
      <c r="M700" s="87" t="str">
        <f>IF('Consulta1'!I4792="","",'Consulta1'!I4792)</f>
        <v/>
      </c>
      <c r="N700" s="88" t="str">
        <f>IF('Consulta1'!J4792="","",'Consulta1'!J4792)</f>
        <v/>
      </c>
    </row>
    <row r="701" spans="1:14" ht="18.75" x14ac:dyDescent="0.25">
      <c r="A701" s="82" t="str">
        <f>IF('Consulta1'!A4793="","",'Consulta1'!A4793)</f>
        <v/>
      </c>
      <c r="B701" s="82" t="str">
        <f>IF('Consulta1'!B4793="","",'Consulta1'!B4793)</f>
        <v/>
      </c>
      <c r="C701" s="83" t="str">
        <f>IF('Consulta1'!C4793="","",'Consulta1'!C4793)</f>
        <v/>
      </c>
      <c r="D701" s="84" t="str">
        <f>IF('Consulta1'!D4793="","",'Consulta1'!D4793)</f>
        <v/>
      </c>
      <c r="E701" s="82" t="str">
        <f>IF('Consulta1'!E4793="","",'Consulta1'!E4793)</f>
        <v/>
      </c>
      <c r="F701" t="str">
        <f>+IF(E701="","",VLOOKUP(E701,CATALOGO!G:L,6,0))</f>
        <v/>
      </c>
      <c r="G701" s="85" t="str">
        <f>IF('Consulta1'!F4793="","",'Consulta1'!F4793)</f>
        <v/>
      </c>
      <c r="H701" s="85" t="str">
        <f>IF('Consulta1'!G4793="","",'Consulta1'!G4793)</f>
        <v/>
      </c>
      <c r="I701" s="86" t="str">
        <f>IF('Consulta1'!H4793="","",'Consulta1'!H4793)</f>
        <v/>
      </c>
      <c r="J701" t="str">
        <f t="shared" si="10"/>
        <v/>
      </c>
      <c r="K701" t="str">
        <f>+IF(E701="","",VLOOKUP(E701,CATALOGO!G:I,2,0))</f>
        <v/>
      </c>
      <c r="L701" t="str">
        <f>+IF(E701="","",VLOOKUP(E701,CATALOGO!G:I,3,0))</f>
        <v/>
      </c>
      <c r="M701" s="87" t="str">
        <f>IF('Consulta1'!I4793="","",'Consulta1'!I4793)</f>
        <v/>
      </c>
      <c r="N701" s="88" t="str">
        <f>IF('Consulta1'!J4793="","",'Consulta1'!J4793)</f>
        <v/>
      </c>
    </row>
    <row r="702" spans="1:14" ht="18.75" x14ac:dyDescent="0.25">
      <c r="A702" s="82" t="str">
        <f>IF('Consulta1'!A4794="","",'Consulta1'!A4794)</f>
        <v/>
      </c>
      <c r="B702" s="82" t="str">
        <f>IF('Consulta1'!B4794="","",'Consulta1'!B4794)</f>
        <v/>
      </c>
      <c r="C702" s="83" t="str">
        <f>IF('Consulta1'!C4794="","",'Consulta1'!C4794)</f>
        <v/>
      </c>
      <c r="D702" s="84" t="str">
        <f>IF('Consulta1'!D4794="","",'Consulta1'!D4794)</f>
        <v/>
      </c>
      <c r="E702" s="82" t="str">
        <f>IF('Consulta1'!E4794="","",'Consulta1'!E4794)</f>
        <v/>
      </c>
      <c r="F702" t="str">
        <f>+IF(E702="","",VLOOKUP(E702,CATALOGO!G:L,6,0))</f>
        <v/>
      </c>
      <c r="G702" s="85" t="str">
        <f>IF('Consulta1'!F4794="","",'Consulta1'!F4794)</f>
        <v/>
      </c>
      <c r="H702" s="85" t="str">
        <f>IF('Consulta1'!G4794="","",'Consulta1'!G4794)</f>
        <v/>
      </c>
      <c r="I702" s="86" t="str">
        <f>IF('Consulta1'!H4794="","",'Consulta1'!H4794)</f>
        <v/>
      </c>
      <c r="J702" t="str">
        <f t="shared" si="10"/>
        <v/>
      </c>
      <c r="K702" t="str">
        <f>+IF(E702="","",VLOOKUP(E702,CATALOGO!G:I,2,0))</f>
        <v/>
      </c>
      <c r="L702" t="str">
        <f>+IF(E702="","",VLOOKUP(E702,CATALOGO!G:I,3,0))</f>
        <v/>
      </c>
      <c r="M702" s="87" t="str">
        <f>IF('Consulta1'!I4794="","",'Consulta1'!I4794)</f>
        <v/>
      </c>
      <c r="N702" s="88" t="str">
        <f>IF('Consulta1'!J4794="","",'Consulta1'!J4794)</f>
        <v/>
      </c>
    </row>
    <row r="703" spans="1:14" ht="18.75" x14ac:dyDescent="0.25">
      <c r="A703" s="82" t="str">
        <f>IF('Consulta1'!A4795="","",'Consulta1'!A4795)</f>
        <v/>
      </c>
      <c r="B703" s="82" t="str">
        <f>IF('Consulta1'!B4795="","",'Consulta1'!B4795)</f>
        <v/>
      </c>
      <c r="C703" s="83" t="str">
        <f>IF('Consulta1'!C4795="","",'Consulta1'!C4795)</f>
        <v/>
      </c>
      <c r="D703" s="84" t="str">
        <f>IF('Consulta1'!D4795="","",'Consulta1'!D4795)</f>
        <v/>
      </c>
      <c r="E703" s="82" t="str">
        <f>IF('Consulta1'!E4795="","",'Consulta1'!E4795)</f>
        <v/>
      </c>
      <c r="F703" t="str">
        <f>+IF(E703="","",VLOOKUP(E703,CATALOGO!G:L,6,0))</f>
        <v/>
      </c>
      <c r="G703" s="85" t="str">
        <f>IF('Consulta1'!F4795="","",'Consulta1'!F4795)</f>
        <v/>
      </c>
      <c r="H703" s="85" t="str">
        <f>IF('Consulta1'!G4795="","",'Consulta1'!G4795)</f>
        <v/>
      </c>
      <c r="I703" s="86" t="str">
        <f>IF('Consulta1'!H4795="","",'Consulta1'!H4795)</f>
        <v/>
      </c>
      <c r="J703" t="str">
        <f t="shared" si="10"/>
        <v/>
      </c>
      <c r="K703" t="str">
        <f>+IF(E703="","",VLOOKUP(E703,CATALOGO!G:I,2,0))</f>
        <v/>
      </c>
      <c r="L703" t="str">
        <f>+IF(E703="","",VLOOKUP(E703,CATALOGO!G:I,3,0))</f>
        <v/>
      </c>
      <c r="M703" s="87" t="str">
        <f>IF('Consulta1'!I4795="","",'Consulta1'!I4795)</f>
        <v/>
      </c>
      <c r="N703" s="88" t="str">
        <f>IF('Consulta1'!J4795="","",'Consulta1'!J4795)</f>
        <v/>
      </c>
    </row>
    <row r="704" spans="1:14" ht="18.75" x14ac:dyDescent="0.25">
      <c r="A704" s="82" t="str">
        <f>IF('Consulta1'!A4796="","",'Consulta1'!A4796)</f>
        <v/>
      </c>
      <c r="B704" s="82" t="str">
        <f>IF('Consulta1'!B4796="","",'Consulta1'!B4796)</f>
        <v/>
      </c>
      <c r="C704" s="83" t="str">
        <f>IF('Consulta1'!C4796="","",'Consulta1'!C4796)</f>
        <v/>
      </c>
      <c r="D704" s="84" t="str">
        <f>IF('Consulta1'!D4796="","",'Consulta1'!D4796)</f>
        <v/>
      </c>
      <c r="E704" s="82" t="str">
        <f>IF('Consulta1'!E4796="","",'Consulta1'!E4796)</f>
        <v/>
      </c>
      <c r="F704" t="str">
        <f>+IF(E704="","",VLOOKUP(E704,CATALOGO!G:L,6,0))</f>
        <v/>
      </c>
      <c r="G704" s="85" t="str">
        <f>IF('Consulta1'!F4796="","",'Consulta1'!F4796)</f>
        <v/>
      </c>
      <c r="H704" s="85" t="str">
        <f>IF('Consulta1'!G4796="","",'Consulta1'!G4796)</f>
        <v/>
      </c>
      <c r="I704" s="86" t="str">
        <f>IF('Consulta1'!H4796="","",'Consulta1'!H4796)</f>
        <v/>
      </c>
      <c r="J704" t="str">
        <f t="shared" si="10"/>
        <v/>
      </c>
      <c r="K704" t="str">
        <f>+IF(E704="","",VLOOKUP(E704,CATALOGO!G:I,2,0))</f>
        <v/>
      </c>
      <c r="L704" t="str">
        <f>+IF(E704="","",VLOOKUP(E704,CATALOGO!G:I,3,0))</f>
        <v/>
      </c>
      <c r="M704" s="87" t="str">
        <f>IF('Consulta1'!I4796="","",'Consulta1'!I4796)</f>
        <v/>
      </c>
      <c r="N704" s="88" t="str">
        <f>IF('Consulta1'!J4796="","",'Consulta1'!J4796)</f>
        <v/>
      </c>
    </row>
    <row r="705" spans="1:14" ht="18.75" x14ac:dyDescent="0.25">
      <c r="A705" s="82" t="str">
        <f>IF('Consulta1'!A4797="","",'Consulta1'!A4797)</f>
        <v/>
      </c>
      <c r="B705" s="82" t="str">
        <f>IF('Consulta1'!B4797="","",'Consulta1'!B4797)</f>
        <v/>
      </c>
      <c r="C705" s="83" t="str">
        <f>IF('Consulta1'!C4797="","",'Consulta1'!C4797)</f>
        <v/>
      </c>
      <c r="D705" s="84" t="str">
        <f>IF('Consulta1'!D4797="","",'Consulta1'!D4797)</f>
        <v/>
      </c>
      <c r="E705" s="82" t="str">
        <f>IF('Consulta1'!E4797="","",'Consulta1'!E4797)</f>
        <v/>
      </c>
      <c r="F705" t="str">
        <f>+IF(E705="","",VLOOKUP(E705,CATALOGO!G:L,6,0))</f>
        <v/>
      </c>
      <c r="G705" s="85" t="str">
        <f>IF('Consulta1'!F4797="","",'Consulta1'!F4797)</f>
        <v/>
      </c>
      <c r="H705" s="85" t="str">
        <f>IF('Consulta1'!G4797="","",'Consulta1'!G4797)</f>
        <v/>
      </c>
      <c r="I705" s="86" t="str">
        <f>IF('Consulta1'!H4797="","",'Consulta1'!H4797)</f>
        <v/>
      </c>
      <c r="J705" t="str">
        <f t="shared" si="10"/>
        <v/>
      </c>
      <c r="K705" t="str">
        <f>+IF(E705="","",VLOOKUP(E705,CATALOGO!G:I,2,0))</f>
        <v/>
      </c>
      <c r="L705" t="str">
        <f>+IF(E705="","",VLOOKUP(E705,CATALOGO!G:I,3,0))</f>
        <v/>
      </c>
      <c r="M705" s="87" t="str">
        <f>IF('Consulta1'!I4797="","",'Consulta1'!I4797)</f>
        <v/>
      </c>
      <c r="N705" s="88" t="str">
        <f>IF('Consulta1'!J4797="","",'Consulta1'!J4797)</f>
        <v/>
      </c>
    </row>
    <row r="706" spans="1:14" ht="18.75" x14ac:dyDescent="0.25">
      <c r="A706" s="82" t="str">
        <f>IF('Consulta1'!A4798="","",'Consulta1'!A4798)</f>
        <v/>
      </c>
      <c r="B706" s="82" t="str">
        <f>IF('Consulta1'!B4798="","",'Consulta1'!B4798)</f>
        <v/>
      </c>
      <c r="C706" s="83" t="str">
        <f>IF('Consulta1'!C4798="","",'Consulta1'!C4798)</f>
        <v/>
      </c>
      <c r="D706" s="84" t="str">
        <f>IF('Consulta1'!D4798="","",'Consulta1'!D4798)</f>
        <v/>
      </c>
      <c r="E706" s="82" t="str">
        <f>IF('Consulta1'!E4798="","",'Consulta1'!E4798)</f>
        <v/>
      </c>
      <c r="F706" t="str">
        <f>+IF(E706="","",VLOOKUP(E706,CATALOGO!G:L,6,0))</f>
        <v/>
      </c>
      <c r="G706" s="85" t="str">
        <f>IF('Consulta1'!F4798="","",'Consulta1'!F4798)</f>
        <v/>
      </c>
      <c r="H706" s="85" t="str">
        <f>IF('Consulta1'!G4798="","",'Consulta1'!G4798)</f>
        <v/>
      </c>
      <c r="I706" s="86" t="str">
        <f>IF('Consulta1'!H4798="","",'Consulta1'!H4798)</f>
        <v/>
      </c>
      <c r="J706" t="str">
        <f t="shared" si="10"/>
        <v/>
      </c>
      <c r="K706" t="str">
        <f>+IF(E706="","",VLOOKUP(E706,CATALOGO!G:I,2,0))</f>
        <v/>
      </c>
      <c r="L706" t="str">
        <f>+IF(E706="","",VLOOKUP(E706,CATALOGO!G:I,3,0))</f>
        <v/>
      </c>
      <c r="M706" s="87" t="str">
        <f>IF('Consulta1'!I4798="","",'Consulta1'!I4798)</f>
        <v/>
      </c>
      <c r="N706" s="88" t="str">
        <f>IF('Consulta1'!J4798="","",'Consulta1'!J4798)</f>
        <v/>
      </c>
    </row>
    <row r="707" spans="1:14" ht="18.75" x14ac:dyDescent="0.25">
      <c r="A707" s="82" t="str">
        <f>IF('Consulta1'!A4799="","",'Consulta1'!A4799)</f>
        <v/>
      </c>
      <c r="B707" s="82" t="str">
        <f>IF('Consulta1'!B4799="","",'Consulta1'!B4799)</f>
        <v/>
      </c>
      <c r="C707" s="83" t="str">
        <f>IF('Consulta1'!C4799="","",'Consulta1'!C4799)</f>
        <v/>
      </c>
      <c r="D707" s="84" t="str">
        <f>IF('Consulta1'!D4799="","",'Consulta1'!D4799)</f>
        <v/>
      </c>
      <c r="E707" s="82" t="str">
        <f>IF('Consulta1'!E4799="","",'Consulta1'!E4799)</f>
        <v/>
      </c>
      <c r="F707" t="str">
        <f>+IF(E707="","",VLOOKUP(E707,CATALOGO!G:L,6,0))</f>
        <v/>
      </c>
      <c r="G707" s="85" t="str">
        <f>IF('Consulta1'!F4799="","",'Consulta1'!F4799)</f>
        <v/>
      </c>
      <c r="H707" s="85" t="str">
        <f>IF('Consulta1'!G4799="","",'Consulta1'!G4799)</f>
        <v/>
      </c>
      <c r="I707" s="86" t="str">
        <f>IF('Consulta1'!H4799="","",'Consulta1'!H4799)</f>
        <v/>
      </c>
      <c r="J707" t="str">
        <f t="shared" ref="J707:J770" si="11">+IF(E707="","",WEEKNUM(I707))</f>
        <v/>
      </c>
      <c r="K707" t="str">
        <f>+IF(E707="","",VLOOKUP(E707,CATALOGO!G:I,2,0))</f>
        <v/>
      </c>
      <c r="L707" t="str">
        <f>+IF(E707="","",VLOOKUP(E707,CATALOGO!G:I,3,0))</f>
        <v/>
      </c>
      <c r="M707" s="87" t="str">
        <f>IF('Consulta1'!I4799="","",'Consulta1'!I4799)</f>
        <v/>
      </c>
      <c r="N707" s="88" t="str">
        <f>IF('Consulta1'!J4799="","",'Consulta1'!J4799)</f>
        <v/>
      </c>
    </row>
    <row r="708" spans="1:14" ht="18.75" x14ac:dyDescent="0.25">
      <c r="A708" s="82" t="str">
        <f>IF('Consulta1'!A4800="","",'Consulta1'!A4800)</f>
        <v/>
      </c>
      <c r="B708" s="82" t="str">
        <f>IF('Consulta1'!B4800="","",'Consulta1'!B4800)</f>
        <v/>
      </c>
      <c r="C708" s="83" t="str">
        <f>IF('Consulta1'!C4800="","",'Consulta1'!C4800)</f>
        <v/>
      </c>
      <c r="D708" s="84" t="str">
        <f>IF('Consulta1'!D4800="","",'Consulta1'!D4800)</f>
        <v/>
      </c>
      <c r="E708" s="82" t="str">
        <f>IF('Consulta1'!E4800="","",'Consulta1'!E4800)</f>
        <v/>
      </c>
      <c r="F708" t="str">
        <f>+IF(E708="","",VLOOKUP(E708,CATALOGO!G:L,6,0))</f>
        <v/>
      </c>
      <c r="G708" s="85" t="str">
        <f>IF('Consulta1'!F4800="","",'Consulta1'!F4800)</f>
        <v/>
      </c>
      <c r="H708" s="85" t="str">
        <f>IF('Consulta1'!G4800="","",'Consulta1'!G4800)</f>
        <v/>
      </c>
      <c r="I708" s="86" t="str">
        <f>IF('Consulta1'!H4800="","",'Consulta1'!H4800)</f>
        <v/>
      </c>
      <c r="J708" t="str">
        <f t="shared" si="11"/>
        <v/>
      </c>
      <c r="K708" t="str">
        <f>+IF(E708="","",VLOOKUP(E708,CATALOGO!G:I,2,0))</f>
        <v/>
      </c>
      <c r="L708" t="str">
        <f>+IF(E708="","",VLOOKUP(E708,CATALOGO!G:I,3,0))</f>
        <v/>
      </c>
      <c r="M708" s="87" t="str">
        <f>IF('Consulta1'!I4800="","",'Consulta1'!I4800)</f>
        <v/>
      </c>
      <c r="N708" s="88" t="str">
        <f>IF('Consulta1'!J4800="","",'Consulta1'!J4800)</f>
        <v/>
      </c>
    </row>
    <row r="709" spans="1:14" ht="18.75" x14ac:dyDescent="0.25">
      <c r="A709" s="82" t="str">
        <f>IF('Consulta1'!A4801="","",'Consulta1'!A4801)</f>
        <v/>
      </c>
      <c r="B709" s="82" t="str">
        <f>IF('Consulta1'!B4801="","",'Consulta1'!B4801)</f>
        <v/>
      </c>
      <c r="C709" s="83" t="str">
        <f>IF('Consulta1'!C4801="","",'Consulta1'!C4801)</f>
        <v/>
      </c>
      <c r="D709" s="84" t="str">
        <f>IF('Consulta1'!D4801="","",'Consulta1'!D4801)</f>
        <v/>
      </c>
      <c r="E709" s="82" t="str">
        <f>IF('Consulta1'!E4801="","",'Consulta1'!E4801)</f>
        <v/>
      </c>
      <c r="F709" t="str">
        <f>+IF(E709="","",VLOOKUP(E709,CATALOGO!G:L,6,0))</f>
        <v/>
      </c>
      <c r="G709" s="85" t="str">
        <f>IF('Consulta1'!F4801="","",'Consulta1'!F4801)</f>
        <v/>
      </c>
      <c r="H709" s="85" t="str">
        <f>IF('Consulta1'!G4801="","",'Consulta1'!G4801)</f>
        <v/>
      </c>
      <c r="I709" s="86" t="str">
        <f>IF('Consulta1'!H4801="","",'Consulta1'!H4801)</f>
        <v/>
      </c>
      <c r="J709" t="str">
        <f t="shared" si="11"/>
        <v/>
      </c>
      <c r="K709" t="str">
        <f>+IF(E709="","",VLOOKUP(E709,CATALOGO!G:I,2,0))</f>
        <v/>
      </c>
      <c r="L709" t="str">
        <f>+IF(E709="","",VLOOKUP(E709,CATALOGO!G:I,3,0))</f>
        <v/>
      </c>
      <c r="M709" s="87" t="str">
        <f>IF('Consulta1'!I4801="","",'Consulta1'!I4801)</f>
        <v/>
      </c>
      <c r="N709" s="88" t="str">
        <f>IF('Consulta1'!J4801="","",'Consulta1'!J4801)</f>
        <v/>
      </c>
    </row>
    <row r="710" spans="1:14" ht="18.75" x14ac:dyDescent="0.25">
      <c r="A710" s="82" t="str">
        <f>IF('Consulta1'!A4802="","",'Consulta1'!A4802)</f>
        <v/>
      </c>
      <c r="B710" s="82" t="str">
        <f>IF('Consulta1'!B4802="","",'Consulta1'!B4802)</f>
        <v/>
      </c>
      <c r="C710" s="83" t="str">
        <f>IF('Consulta1'!C4802="","",'Consulta1'!C4802)</f>
        <v/>
      </c>
      <c r="D710" s="84" t="str">
        <f>IF('Consulta1'!D4802="","",'Consulta1'!D4802)</f>
        <v/>
      </c>
      <c r="E710" s="82" t="str">
        <f>IF('Consulta1'!E4802="","",'Consulta1'!E4802)</f>
        <v/>
      </c>
      <c r="F710" t="str">
        <f>+IF(E710="","",VLOOKUP(E710,CATALOGO!G:L,6,0))</f>
        <v/>
      </c>
      <c r="G710" s="85" t="str">
        <f>IF('Consulta1'!F4802="","",'Consulta1'!F4802)</f>
        <v/>
      </c>
      <c r="H710" s="85" t="str">
        <f>IF('Consulta1'!G4802="","",'Consulta1'!G4802)</f>
        <v/>
      </c>
      <c r="I710" s="86" t="str">
        <f>IF('Consulta1'!H4802="","",'Consulta1'!H4802)</f>
        <v/>
      </c>
      <c r="J710" t="str">
        <f t="shared" si="11"/>
        <v/>
      </c>
      <c r="K710" t="str">
        <f>+IF(E710="","",VLOOKUP(E710,CATALOGO!G:I,2,0))</f>
        <v/>
      </c>
      <c r="L710" t="str">
        <f>+IF(E710="","",VLOOKUP(E710,CATALOGO!G:I,3,0))</f>
        <v/>
      </c>
      <c r="M710" s="87" t="str">
        <f>IF('Consulta1'!I4802="","",'Consulta1'!I4802)</f>
        <v/>
      </c>
      <c r="N710" s="88" t="str">
        <f>IF('Consulta1'!J4802="","",'Consulta1'!J4802)</f>
        <v/>
      </c>
    </row>
    <row r="711" spans="1:14" ht="18.75" x14ac:dyDescent="0.25">
      <c r="A711" s="82" t="str">
        <f>IF('Consulta1'!A4803="","",'Consulta1'!A4803)</f>
        <v/>
      </c>
      <c r="B711" s="82" t="str">
        <f>IF('Consulta1'!B4803="","",'Consulta1'!B4803)</f>
        <v/>
      </c>
      <c r="C711" s="83" t="str">
        <f>IF('Consulta1'!C4803="","",'Consulta1'!C4803)</f>
        <v/>
      </c>
      <c r="D711" s="84" t="str">
        <f>IF('Consulta1'!D4803="","",'Consulta1'!D4803)</f>
        <v/>
      </c>
      <c r="E711" s="82" t="str">
        <f>IF('Consulta1'!E4803="","",'Consulta1'!E4803)</f>
        <v/>
      </c>
      <c r="F711" t="str">
        <f>+IF(E711="","",VLOOKUP(E711,CATALOGO!G:L,6,0))</f>
        <v/>
      </c>
      <c r="G711" s="85" t="str">
        <f>IF('Consulta1'!F4803="","",'Consulta1'!F4803)</f>
        <v/>
      </c>
      <c r="H711" s="85" t="str">
        <f>IF('Consulta1'!G4803="","",'Consulta1'!G4803)</f>
        <v/>
      </c>
      <c r="I711" s="86" t="str">
        <f>IF('Consulta1'!H4803="","",'Consulta1'!H4803)</f>
        <v/>
      </c>
      <c r="J711" t="str">
        <f t="shared" si="11"/>
        <v/>
      </c>
      <c r="K711" t="str">
        <f>+IF(E711="","",VLOOKUP(E711,CATALOGO!G:I,2,0))</f>
        <v/>
      </c>
      <c r="L711" t="str">
        <f>+IF(E711="","",VLOOKUP(E711,CATALOGO!G:I,3,0))</f>
        <v/>
      </c>
      <c r="M711" s="87" t="str">
        <f>IF('Consulta1'!I4803="","",'Consulta1'!I4803)</f>
        <v/>
      </c>
      <c r="N711" s="88" t="str">
        <f>IF('Consulta1'!J4803="","",'Consulta1'!J4803)</f>
        <v/>
      </c>
    </row>
    <row r="712" spans="1:14" ht="18.75" x14ac:dyDescent="0.25">
      <c r="A712" s="82" t="str">
        <f>IF('Consulta1'!A4804="","",'Consulta1'!A4804)</f>
        <v/>
      </c>
      <c r="B712" s="82" t="str">
        <f>IF('Consulta1'!B4804="","",'Consulta1'!B4804)</f>
        <v/>
      </c>
      <c r="C712" s="83" t="str">
        <f>IF('Consulta1'!C4804="","",'Consulta1'!C4804)</f>
        <v/>
      </c>
      <c r="D712" s="84" t="str">
        <f>IF('Consulta1'!D4804="","",'Consulta1'!D4804)</f>
        <v/>
      </c>
      <c r="E712" s="82" t="str">
        <f>IF('Consulta1'!E4804="","",'Consulta1'!E4804)</f>
        <v/>
      </c>
      <c r="F712" t="str">
        <f>+IF(E712="","",VLOOKUP(E712,CATALOGO!G:L,6,0))</f>
        <v/>
      </c>
      <c r="G712" s="85" t="str">
        <f>IF('Consulta1'!F4804="","",'Consulta1'!F4804)</f>
        <v/>
      </c>
      <c r="H712" s="85" t="str">
        <f>IF('Consulta1'!G4804="","",'Consulta1'!G4804)</f>
        <v/>
      </c>
      <c r="I712" s="86" t="str">
        <f>IF('Consulta1'!H4804="","",'Consulta1'!H4804)</f>
        <v/>
      </c>
      <c r="J712" t="str">
        <f t="shared" si="11"/>
        <v/>
      </c>
      <c r="K712" t="str">
        <f>+IF(E712="","",VLOOKUP(E712,CATALOGO!G:I,2,0))</f>
        <v/>
      </c>
      <c r="L712" t="str">
        <f>+IF(E712="","",VLOOKUP(E712,CATALOGO!G:I,3,0))</f>
        <v/>
      </c>
      <c r="M712" s="87" t="str">
        <f>IF('Consulta1'!I4804="","",'Consulta1'!I4804)</f>
        <v/>
      </c>
      <c r="N712" s="88" t="str">
        <f>IF('Consulta1'!J4804="","",'Consulta1'!J4804)</f>
        <v/>
      </c>
    </row>
    <row r="713" spans="1:14" ht="18.75" x14ac:dyDescent="0.25">
      <c r="A713" s="82" t="str">
        <f>IF('Consulta1'!A4805="","",'Consulta1'!A4805)</f>
        <v/>
      </c>
      <c r="B713" s="82" t="str">
        <f>IF('Consulta1'!B4805="","",'Consulta1'!B4805)</f>
        <v/>
      </c>
      <c r="C713" s="83" t="str">
        <f>IF('Consulta1'!C4805="","",'Consulta1'!C4805)</f>
        <v/>
      </c>
      <c r="D713" s="84" t="str">
        <f>IF('Consulta1'!D4805="","",'Consulta1'!D4805)</f>
        <v/>
      </c>
      <c r="E713" s="82" t="str">
        <f>IF('Consulta1'!E4805="","",'Consulta1'!E4805)</f>
        <v/>
      </c>
      <c r="F713" t="str">
        <f>+IF(E713="","",VLOOKUP(E713,CATALOGO!G:L,6,0))</f>
        <v/>
      </c>
      <c r="G713" s="85" t="str">
        <f>IF('Consulta1'!F4805="","",'Consulta1'!F4805)</f>
        <v/>
      </c>
      <c r="H713" s="85" t="str">
        <f>IF('Consulta1'!G4805="","",'Consulta1'!G4805)</f>
        <v/>
      </c>
      <c r="I713" s="86" t="str">
        <f>IF('Consulta1'!H4805="","",'Consulta1'!H4805)</f>
        <v/>
      </c>
      <c r="J713" t="str">
        <f t="shared" si="11"/>
        <v/>
      </c>
      <c r="K713" t="str">
        <f>+IF(E713="","",VLOOKUP(E713,CATALOGO!G:I,2,0))</f>
        <v/>
      </c>
      <c r="L713" t="str">
        <f>+IF(E713="","",VLOOKUP(E713,CATALOGO!G:I,3,0))</f>
        <v/>
      </c>
      <c r="M713" s="87" t="str">
        <f>IF('Consulta1'!I4805="","",'Consulta1'!I4805)</f>
        <v/>
      </c>
      <c r="N713" s="88" t="str">
        <f>IF('Consulta1'!J4805="","",'Consulta1'!J4805)</f>
        <v/>
      </c>
    </row>
    <row r="714" spans="1:14" ht="18.75" x14ac:dyDescent="0.25">
      <c r="A714" s="82" t="str">
        <f>IF('Consulta1'!A4806="","",'Consulta1'!A4806)</f>
        <v/>
      </c>
      <c r="B714" s="82" t="str">
        <f>IF('Consulta1'!B4806="","",'Consulta1'!B4806)</f>
        <v/>
      </c>
      <c r="C714" s="83" t="str">
        <f>IF('Consulta1'!C4806="","",'Consulta1'!C4806)</f>
        <v/>
      </c>
      <c r="D714" s="84" t="str">
        <f>IF('Consulta1'!D4806="","",'Consulta1'!D4806)</f>
        <v/>
      </c>
      <c r="E714" s="82" t="str">
        <f>IF('Consulta1'!E4806="","",'Consulta1'!E4806)</f>
        <v/>
      </c>
      <c r="F714" t="str">
        <f>+IF(E714="","",VLOOKUP(E714,CATALOGO!G:L,6,0))</f>
        <v/>
      </c>
      <c r="G714" s="85" t="str">
        <f>IF('Consulta1'!F4806="","",'Consulta1'!F4806)</f>
        <v/>
      </c>
      <c r="H714" s="85" t="str">
        <f>IF('Consulta1'!G4806="","",'Consulta1'!G4806)</f>
        <v/>
      </c>
      <c r="I714" s="86" t="str">
        <f>IF('Consulta1'!H4806="","",'Consulta1'!H4806)</f>
        <v/>
      </c>
      <c r="J714" t="str">
        <f t="shared" si="11"/>
        <v/>
      </c>
      <c r="K714" t="str">
        <f>+IF(E714="","",VLOOKUP(E714,CATALOGO!G:I,2,0))</f>
        <v/>
      </c>
      <c r="L714" t="str">
        <f>+IF(E714="","",VLOOKUP(E714,CATALOGO!G:I,3,0))</f>
        <v/>
      </c>
      <c r="M714" s="87" t="str">
        <f>IF('Consulta1'!I4806="","",'Consulta1'!I4806)</f>
        <v/>
      </c>
      <c r="N714" s="88" t="str">
        <f>IF('Consulta1'!J4806="","",'Consulta1'!J4806)</f>
        <v/>
      </c>
    </row>
    <row r="715" spans="1:14" ht="18.75" x14ac:dyDescent="0.25">
      <c r="A715" s="82" t="str">
        <f>IF('Consulta1'!A4807="","",'Consulta1'!A4807)</f>
        <v/>
      </c>
      <c r="B715" s="82" t="str">
        <f>IF('Consulta1'!B4807="","",'Consulta1'!B4807)</f>
        <v/>
      </c>
      <c r="C715" s="83" t="str">
        <f>IF('Consulta1'!C4807="","",'Consulta1'!C4807)</f>
        <v/>
      </c>
      <c r="D715" s="84" t="str">
        <f>IF('Consulta1'!D4807="","",'Consulta1'!D4807)</f>
        <v/>
      </c>
      <c r="E715" s="82" t="str">
        <f>IF('Consulta1'!E4807="","",'Consulta1'!E4807)</f>
        <v/>
      </c>
      <c r="F715" t="str">
        <f>+IF(E715="","",VLOOKUP(E715,CATALOGO!G:L,6,0))</f>
        <v/>
      </c>
      <c r="G715" s="85" t="str">
        <f>IF('Consulta1'!F4807="","",'Consulta1'!F4807)</f>
        <v/>
      </c>
      <c r="H715" s="85" t="str">
        <f>IF('Consulta1'!G4807="","",'Consulta1'!G4807)</f>
        <v/>
      </c>
      <c r="I715" s="86" t="str">
        <f>IF('Consulta1'!H4807="","",'Consulta1'!H4807)</f>
        <v/>
      </c>
      <c r="J715" t="str">
        <f t="shared" si="11"/>
        <v/>
      </c>
      <c r="K715" t="str">
        <f>+IF(E715="","",VLOOKUP(E715,CATALOGO!G:I,2,0))</f>
        <v/>
      </c>
      <c r="L715" t="str">
        <f>+IF(E715="","",VLOOKUP(E715,CATALOGO!G:I,3,0))</f>
        <v/>
      </c>
      <c r="M715" s="87" t="str">
        <f>IF('Consulta1'!I4807="","",'Consulta1'!I4807)</f>
        <v/>
      </c>
      <c r="N715" s="88" t="str">
        <f>IF('Consulta1'!J4807="","",'Consulta1'!J4807)</f>
        <v/>
      </c>
    </row>
    <row r="716" spans="1:14" ht="18.75" x14ac:dyDescent="0.25">
      <c r="A716" s="82" t="str">
        <f>IF('Consulta1'!A4808="","",'Consulta1'!A4808)</f>
        <v/>
      </c>
      <c r="B716" s="82" t="str">
        <f>IF('Consulta1'!B4808="","",'Consulta1'!B4808)</f>
        <v/>
      </c>
      <c r="C716" s="83" t="str">
        <f>IF('Consulta1'!C4808="","",'Consulta1'!C4808)</f>
        <v/>
      </c>
      <c r="D716" s="84" t="str">
        <f>IF('Consulta1'!D4808="","",'Consulta1'!D4808)</f>
        <v/>
      </c>
      <c r="E716" s="82" t="str">
        <f>IF('Consulta1'!E4808="","",'Consulta1'!E4808)</f>
        <v/>
      </c>
      <c r="F716" t="str">
        <f>+IF(E716="","",VLOOKUP(E716,CATALOGO!G:L,6,0))</f>
        <v/>
      </c>
      <c r="G716" s="85" t="str">
        <f>IF('Consulta1'!F4808="","",'Consulta1'!F4808)</f>
        <v/>
      </c>
      <c r="H716" s="85" t="str">
        <f>IF('Consulta1'!G4808="","",'Consulta1'!G4808)</f>
        <v/>
      </c>
      <c r="I716" s="86" t="str">
        <f>IF('Consulta1'!H4808="","",'Consulta1'!H4808)</f>
        <v/>
      </c>
      <c r="J716" t="str">
        <f t="shared" si="11"/>
        <v/>
      </c>
      <c r="K716" t="str">
        <f>+IF(E716="","",VLOOKUP(E716,CATALOGO!G:I,2,0))</f>
        <v/>
      </c>
      <c r="L716" t="str">
        <f>+IF(E716="","",VLOOKUP(E716,CATALOGO!G:I,3,0))</f>
        <v/>
      </c>
      <c r="M716" s="87" t="str">
        <f>IF('Consulta1'!I4808="","",'Consulta1'!I4808)</f>
        <v/>
      </c>
      <c r="N716" s="88" t="str">
        <f>IF('Consulta1'!J4808="","",'Consulta1'!J4808)</f>
        <v/>
      </c>
    </row>
    <row r="717" spans="1:14" ht="18.75" x14ac:dyDescent="0.25">
      <c r="A717" s="82" t="str">
        <f>IF('Consulta1'!A4809="","",'Consulta1'!A4809)</f>
        <v/>
      </c>
      <c r="B717" s="82" t="str">
        <f>IF('Consulta1'!B4809="","",'Consulta1'!B4809)</f>
        <v/>
      </c>
      <c r="C717" s="83" t="str">
        <f>IF('Consulta1'!C4809="","",'Consulta1'!C4809)</f>
        <v/>
      </c>
      <c r="D717" s="84" t="str">
        <f>IF('Consulta1'!D4809="","",'Consulta1'!D4809)</f>
        <v/>
      </c>
      <c r="E717" s="82" t="str">
        <f>IF('Consulta1'!E4809="","",'Consulta1'!E4809)</f>
        <v/>
      </c>
      <c r="F717" t="str">
        <f>+IF(E717="","",VLOOKUP(E717,CATALOGO!G:L,6,0))</f>
        <v/>
      </c>
      <c r="G717" s="85" t="str">
        <f>IF('Consulta1'!F4809="","",'Consulta1'!F4809)</f>
        <v/>
      </c>
      <c r="H717" s="85" t="str">
        <f>IF('Consulta1'!G4809="","",'Consulta1'!G4809)</f>
        <v/>
      </c>
      <c r="I717" s="86" t="str">
        <f>IF('Consulta1'!H4809="","",'Consulta1'!H4809)</f>
        <v/>
      </c>
      <c r="J717" t="str">
        <f t="shared" si="11"/>
        <v/>
      </c>
      <c r="K717" t="str">
        <f>+IF(E717="","",VLOOKUP(E717,CATALOGO!G:I,2,0))</f>
        <v/>
      </c>
      <c r="L717" t="str">
        <f>+IF(E717="","",VLOOKUP(E717,CATALOGO!G:I,3,0))</f>
        <v/>
      </c>
      <c r="M717" s="87" t="str">
        <f>IF('Consulta1'!I4809="","",'Consulta1'!I4809)</f>
        <v/>
      </c>
      <c r="N717" s="88" t="str">
        <f>IF('Consulta1'!J4809="","",'Consulta1'!J4809)</f>
        <v/>
      </c>
    </row>
    <row r="718" spans="1:14" ht="18.75" x14ac:dyDescent="0.25">
      <c r="A718" s="82" t="str">
        <f>IF('Consulta1'!A4810="","",'Consulta1'!A4810)</f>
        <v/>
      </c>
      <c r="B718" s="82" t="str">
        <f>IF('Consulta1'!B4810="","",'Consulta1'!B4810)</f>
        <v/>
      </c>
      <c r="C718" s="83" t="str">
        <f>IF('Consulta1'!C4810="","",'Consulta1'!C4810)</f>
        <v/>
      </c>
      <c r="D718" s="84" t="str">
        <f>IF('Consulta1'!D4810="","",'Consulta1'!D4810)</f>
        <v/>
      </c>
      <c r="E718" s="82" t="str">
        <f>IF('Consulta1'!E4810="","",'Consulta1'!E4810)</f>
        <v/>
      </c>
      <c r="F718" t="str">
        <f>+IF(E718="","",VLOOKUP(E718,CATALOGO!G:L,6,0))</f>
        <v/>
      </c>
      <c r="G718" s="85" t="str">
        <f>IF('Consulta1'!F4810="","",'Consulta1'!F4810)</f>
        <v/>
      </c>
      <c r="H718" s="85" t="str">
        <f>IF('Consulta1'!G4810="","",'Consulta1'!G4810)</f>
        <v/>
      </c>
      <c r="I718" s="86" t="str">
        <f>IF('Consulta1'!H4810="","",'Consulta1'!H4810)</f>
        <v/>
      </c>
      <c r="J718" t="str">
        <f t="shared" si="11"/>
        <v/>
      </c>
      <c r="K718" t="str">
        <f>+IF(E718="","",VLOOKUP(E718,CATALOGO!G:I,2,0))</f>
        <v/>
      </c>
      <c r="L718" t="str">
        <f>+IF(E718="","",VLOOKUP(E718,CATALOGO!G:I,3,0))</f>
        <v/>
      </c>
      <c r="M718" s="87" t="str">
        <f>IF('Consulta1'!I4810="","",'Consulta1'!I4810)</f>
        <v/>
      </c>
      <c r="N718" s="88" t="str">
        <f>IF('Consulta1'!J4810="","",'Consulta1'!J4810)</f>
        <v/>
      </c>
    </row>
    <row r="719" spans="1:14" ht="18.75" x14ac:dyDescent="0.25">
      <c r="A719" s="82" t="str">
        <f>IF('Consulta1'!A4811="","",'Consulta1'!A4811)</f>
        <v/>
      </c>
      <c r="B719" s="82" t="str">
        <f>IF('Consulta1'!B4811="","",'Consulta1'!B4811)</f>
        <v/>
      </c>
      <c r="C719" s="83" t="str">
        <f>IF('Consulta1'!C4811="","",'Consulta1'!C4811)</f>
        <v/>
      </c>
      <c r="D719" s="84" t="str">
        <f>IF('Consulta1'!D4811="","",'Consulta1'!D4811)</f>
        <v/>
      </c>
      <c r="E719" s="82" t="str">
        <f>IF('Consulta1'!E4811="","",'Consulta1'!E4811)</f>
        <v/>
      </c>
      <c r="F719" t="str">
        <f>+IF(E719="","",VLOOKUP(E719,CATALOGO!G:L,6,0))</f>
        <v/>
      </c>
      <c r="G719" s="85" t="str">
        <f>IF('Consulta1'!F4811="","",'Consulta1'!F4811)</f>
        <v/>
      </c>
      <c r="H719" s="85" t="str">
        <f>IF('Consulta1'!G4811="","",'Consulta1'!G4811)</f>
        <v/>
      </c>
      <c r="I719" s="86" t="str">
        <f>IF('Consulta1'!H4811="","",'Consulta1'!H4811)</f>
        <v/>
      </c>
      <c r="J719" t="str">
        <f t="shared" si="11"/>
        <v/>
      </c>
      <c r="K719" t="str">
        <f>+IF(E719="","",VLOOKUP(E719,CATALOGO!G:I,2,0))</f>
        <v/>
      </c>
      <c r="L719" t="str">
        <f>+IF(E719="","",VLOOKUP(E719,CATALOGO!G:I,3,0))</f>
        <v/>
      </c>
      <c r="M719" s="87" t="str">
        <f>IF('Consulta1'!I4811="","",'Consulta1'!I4811)</f>
        <v/>
      </c>
      <c r="N719" s="88" t="str">
        <f>IF('Consulta1'!J4811="","",'Consulta1'!J4811)</f>
        <v/>
      </c>
    </row>
    <row r="720" spans="1:14" ht="18.75" x14ac:dyDescent="0.25">
      <c r="A720" s="82" t="str">
        <f>IF('Consulta1'!A4812="","",'Consulta1'!A4812)</f>
        <v/>
      </c>
      <c r="B720" s="82" t="str">
        <f>IF('Consulta1'!B4812="","",'Consulta1'!B4812)</f>
        <v/>
      </c>
      <c r="C720" s="83" t="str">
        <f>IF('Consulta1'!C4812="","",'Consulta1'!C4812)</f>
        <v/>
      </c>
      <c r="D720" s="84" t="str">
        <f>IF('Consulta1'!D4812="","",'Consulta1'!D4812)</f>
        <v/>
      </c>
      <c r="E720" s="82" t="str">
        <f>IF('Consulta1'!E4812="","",'Consulta1'!E4812)</f>
        <v/>
      </c>
      <c r="F720" t="str">
        <f>+IF(E720="","",VLOOKUP(E720,CATALOGO!G:L,6,0))</f>
        <v/>
      </c>
      <c r="G720" s="85" t="str">
        <f>IF('Consulta1'!F4812="","",'Consulta1'!F4812)</f>
        <v/>
      </c>
      <c r="H720" s="85" t="str">
        <f>IF('Consulta1'!G4812="","",'Consulta1'!G4812)</f>
        <v/>
      </c>
      <c r="I720" s="86" t="str">
        <f>IF('Consulta1'!H4812="","",'Consulta1'!H4812)</f>
        <v/>
      </c>
      <c r="J720" t="str">
        <f t="shared" si="11"/>
        <v/>
      </c>
      <c r="K720" t="str">
        <f>+IF(E720="","",VLOOKUP(E720,CATALOGO!G:I,2,0))</f>
        <v/>
      </c>
      <c r="L720" t="str">
        <f>+IF(E720="","",VLOOKUP(E720,CATALOGO!G:I,3,0))</f>
        <v/>
      </c>
      <c r="M720" s="87" t="str">
        <f>IF('Consulta1'!I4812="","",'Consulta1'!I4812)</f>
        <v/>
      </c>
      <c r="N720" s="88" t="str">
        <f>IF('Consulta1'!J4812="","",'Consulta1'!J4812)</f>
        <v/>
      </c>
    </row>
    <row r="721" spans="1:14" ht="18.75" x14ac:dyDescent="0.25">
      <c r="A721" s="82" t="str">
        <f>IF('Consulta1'!A4813="","",'Consulta1'!A4813)</f>
        <v/>
      </c>
      <c r="B721" s="82" t="str">
        <f>IF('Consulta1'!B4813="","",'Consulta1'!B4813)</f>
        <v/>
      </c>
      <c r="C721" s="83" t="str">
        <f>IF('Consulta1'!C4813="","",'Consulta1'!C4813)</f>
        <v/>
      </c>
      <c r="D721" s="84" t="str">
        <f>IF('Consulta1'!D4813="","",'Consulta1'!D4813)</f>
        <v/>
      </c>
      <c r="E721" s="82" t="str">
        <f>IF('Consulta1'!E4813="","",'Consulta1'!E4813)</f>
        <v/>
      </c>
      <c r="F721" t="str">
        <f>+IF(E721="","",VLOOKUP(E721,CATALOGO!G:L,6,0))</f>
        <v/>
      </c>
      <c r="G721" s="85" t="str">
        <f>IF('Consulta1'!F4813="","",'Consulta1'!F4813)</f>
        <v/>
      </c>
      <c r="H721" s="85" t="str">
        <f>IF('Consulta1'!G4813="","",'Consulta1'!G4813)</f>
        <v/>
      </c>
      <c r="I721" s="86" t="str">
        <f>IF('Consulta1'!H4813="","",'Consulta1'!H4813)</f>
        <v/>
      </c>
      <c r="J721" t="str">
        <f t="shared" si="11"/>
        <v/>
      </c>
      <c r="K721" t="str">
        <f>+IF(E721="","",VLOOKUP(E721,CATALOGO!G:I,2,0))</f>
        <v/>
      </c>
      <c r="L721" t="str">
        <f>+IF(E721="","",VLOOKUP(E721,CATALOGO!G:I,3,0))</f>
        <v/>
      </c>
      <c r="M721" s="87" t="str">
        <f>IF('Consulta1'!I4813="","",'Consulta1'!I4813)</f>
        <v/>
      </c>
      <c r="N721" s="88" t="str">
        <f>IF('Consulta1'!J4813="","",'Consulta1'!J4813)</f>
        <v/>
      </c>
    </row>
    <row r="722" spans="1:14" ht="18.75" x14ac:dyDescent="0.25">
      <c r="A722" s="82" t="str">
        <f>IF('Consulta1'!A4814="","",'Consulta1'!A4814)</f>
        <v/>
      </c>
      <c r="B722" s="82" t="str">
        <f>IF('Consulta1'!B4814="","",'Consulta1'!B4814)</f>
        <v/>
      </c>
      <c r="C722" s="83" t="str">
        <f>IF('Consulta1'!C4814="","",'Consulta1'!C4814)</f>
        <v/>
      </c>
      <c r="D722" s="84" t="str">
        <f>IF('Consulta1'!D4814="","",'Consulta1'!D4814)</f>
        <v/>
      </c>
      <c r="E722" s="82" t="str">
        <f>IF('Consulta1'!E4814="","",'Consulta1'!E4814)</f>
        <v/>
      </c>
      <c r="F722" t="str">
        <f>+IF(E722="","",VLOOKUP(E722,CATALOGO!G:L,6,0))</f>
        <v/>
      </c>
      <c r="G722" s="85" t="str">
        <f>IF('Consulta1'!F4814="","",'Consulta1'!F4814)</f>
        <v/>
      </c>
      <c r="H722" s="85" t="str">
        <f>IF('Consulta1'!G4814="","",'Consulta1'!G4814)</f>
        <v/>
      </c>
      <c r="I722" s="86" t="str">
        <f>IF('Consulta1'!H4814="","",'Consulta1'!H4814)</f>
        <v/>
      </c>
      <c r="J722" t="str">
        <f t="shared" si="11"/>
        <v/>
      </c>
      <c r="K722" t="str">
        <f>+IF(E722="","",VLOOKUP(E722,CATALOGO!G:I,2,0))</f>
        <v/>
      </c>
      <c r="L722" t="str">
        <f>+IF(E722="","",VLOOKUP(E722,CATALOGO!G:I,3,0))</f>
        <v/>
      </c>
      <c r="M722" s="87" t="str">
        <f>IF('Consulta1'!I4814="","",'Consulta1'!I4814)</f>
        <v/>
      </c>
      <c r="N722" s="88" t="str">
        <f>IF('Consulta1'!J4814="","",'Consulta1'!J4814)</f>
        <v/>
      </c>
    </row>
    <row r="723" spans="1:14" ht="18.75" x14ac:dyDescent="0.25">
      <c r="A723" s="82" t="str">
        <f>IF('Consulta1'!A4815="","",'Consulta1'!A4815)</f>
        <v/>
      </c>
      <c r="B723" s="82" t="str">
        <f>IF('Consulta1'!B4815="","",'Consulta1'!B4815)</f>
        <v/>
      </c>
      <c r="C723" s="83" t="str">
        <f>IF('Consulta1'!C4815="","",'Consulta1'!C4815)</f>
        <v/>
      </c>
      <c r="D723" s="84" t="str">
        <f>IF('Consulta1'!D4815="","",'Consulta1'!D4815)</f>
        <v/>
      </c>
      <c r="E723" s="82" t="str">
        <f>IF('Consulta1'!E4815="","",'Consulta1'!E4815)</f>
        <v/>
      </c>
      <c r="F723" t="str">
        <f>+IF(E723="","",VLOOKUP(E723,CATALOGO!G:L,6,0))</f>
        <v/>
      </c>
      <c r="G723" s="85" t="str">
        <f>IF('Consulta1'!F4815="","",'Consulta1'!F4815)</f>
        <v/>
      </c>
      <c r="H723" s="85" t="str">
        <f>IF('Consulta1'!G4815="","",'Consulta1'!G4815)</f>
        <v/>
      </c>
      <c r="I723" s="86" t="str">
        <f>IF('Consulta1'!H4815="","",'Consulta1'!H4815)</f>
        <v/>
      </c>
      <c r="J723" t="str">
        <f t="shared" si="11"/>
        <v/>
      </c>
      <c r="K723" t="str">
        <f>+IF(E723="","",VLOOKUP(E723,CATALOGO!G:I,2,0))</f>
        <v/>
      </c>
      <c r="L723" t="str">
        <f>+IF(E723="","",VLOOKUP(E723,CATALOGO!G:I,3,0))</f>
        <v/>
      </c>
      <c r="M723" s="87" t="str">
        <f>IF('Consulta1'!I4815="","",'Consulta1'!I4815)</f>
        <v/>
      </c>
      <c r="N723" s="88" t="str">
        <f>IF('Consulta1'!J4815="","",'Consulta1'!J4815)</f>
        <v/>
      </c>
    </row>
    <row r="724" spans="1:14" ht="18.75" x14ac:dyDescent="0.25">
      <c r="A724" s="82" t="str">
        <f>IF('Consulta1'!A4816="","",'Consulta1'!A4816)</f>
        <v/>
      </c>
      <c r="B724" s="82" t="str">
        <f>IF('Consulta1'!B4816="","",'Consulta1'!B4816)</f>
        <v/>
      </c>
      <c r="C724" s="83" t="str">
        <f>IF('Consulta1'!C4816="","",'Consulta1'!C4816)</f>
        <v/>
      </c>
      <c r="D724" s="84" t="str">
        <f>IF('Consulta1'!D4816="","",'Consulta1'!D4816)</f>
        <v/>
      </c>
      <c r="E724" s="82" t="str">
        <f>IF('Consulta1'!E4816="","",'Consulta1'!E4816)</f>
        <v/>
      </c>
      <c r="F724" t="str">
        <f>+IF(E724="","",VLOOKUP(E724,CATALOGO!G:L,6,0))</f>
        <v/>
      </c>
      <c r="G724" s="85" t="str">
        <f>IF('Consulta1'!F4816="","",'Consulta1'!F4816)</f>
        <v/>
      </c>
      <c r="H724" s="85" t="str">
        <f>IF('Consulta1'!G4816="","",'Consulta1'!G4816)</f>
        <v/>
      </c>
      <c r="I724" s="86" t="str">
        <f>IF('Consulta1'!H4816="","",'Consulta1'!H4816)</f>
        <v/>
      </c>
      <c r="J724" t="str">
        <f t="shared" si="11"/>
        <v/>
      </c>
      <c r="K724" t="str">
        <f>+IF(E724="","",VLOOKUP(E724,CATALOGO!G:I,2,0))</f>
        <v/>
      </c>
      <c r="L724" t="str">
        <f>+IF(E724="","",VLOOKUP(E724,CATALOGO!G:I,3,0))</f>
        <v/>
      </c>
      <c r="M724" s="87" t="str">
        <f>IF('Consulta1'!I4816="","",'Consulta1'!I4816)</f>
        <v/>
      </c>
      <c r="N724" s="88" t="str">
        <f>IF('Consulta1'!J4816="","",'Consulta1'!J4816)</f>
        <v/>
      </c>
    </row>
    <row r="725" spans="1:14" ht="18.75" x14ac:dyDescent="0.25">
      <c r="A725" s="82" t="str">
        <f>IF('Consulta1'!A4817="","",'Consulta1'!A4817)</f>
        <v/>
      </c>
      <c r="B725" s="82" t="str">
        <f>IF('Consulta1'!B4817="","",'Consulta1'!B4817)</f>
        <v/>
      </c>
      <c r="C725" s="83" t="str">
        <f>IF('Consulta1'!C4817="","",'Consulta1'!C4817)</f>
        <v/>
      </c>
      <c r="D725" s="84" t="str">
        <f>IF('Consulta1'!D4817="","",'Consulta1'!D4817)</f>
        <v/>
      </c>
      <c r="E725" s="82" t="str">
        <f>IF('Consulta1'!E4817="","",'Consulta1'!E4817)</f>
        <v/>
      </c>
      <c r="F725" t="str">
        <f>+IF(E725="","",VLOOKUP(E725,CATALOGO!G:L,6,0))</f>
        <v/>
      </c>
      <c r="G725" s="85" t="str">
        <f>IF('Consulta1'!F4817="","",'Consulta1'!F4817)</f>
        <v/>
      </c>
      <c r="H725" s="85" t="str">
        <f>IF('Consulta1'!G4817="","",'Consulta1'!G4817)</f>
        <v/>
      </c>
      <c r="I725" s="86" t="str">
        <f>IF('Consulta1'!H4817="","",'Consulta1'!H4817)</f>
        <v/>
      </c>
      <c r="J725" t="str">
        <f t="shared" si="11"/>
        <v/>
      </c>
      <c r="K725" t="str">
        <f>+IF(E725="","",VLOOKUP(E725,CATALOGO!G:I,2,0))</f>
        <v/>
      </c>
      <c r="L725" t="str">
        <f>+IF(E725="","",VLOOKUP(E725,CATALOGO!G:I,3,0))</f>
        <v/>
      </c>
      <c r="M725" s="87" t="str">
        <f>IF('Consulta1'!I4817="","",'Consulta1'!I4817)</f>
        <v/>
      </c>
      <c r="N725" s="88" t="str">
        <f>IF('Consulta1'!J4817="","",'Consulta1'!J4817)</f>
        <v/>
      </c>
    </row>
    <row r="726" spans="1:14" ht="18.75" x14ac:dyDescent="0.25">
      <c r="A726" s="82" t="str">
        <f>IF('Consulta1'!A4818="","",'Consulta1'!A4818)</f>
        <v/>
      </c>
      <c r="B726" s="82" t="str">
        <f>IF('Consulta1'!B4818="","",'Consulta1'!B4818)</f>
        <v/>
      </c>
      <c r="C726" s="83" t="str">
        <f>IF('Consulta1'!C4818="","",'Consulta1'!C4818)</f>
        <v/>
      </c>
      <c r="D726" s="84" t="str">
        <f>IF('Consulta1'!D4818="","",'Consulta1'!D4818)</f>
        <v/>
      </c>
      <c r="E726" s="82" t="str">
        <f>IF('Consulta1'!E4818="","",'Consulta1'!E4818)</f>
        <v/>
      </c>
      <c r="F726" t="str">
        <f>+IF(E726="","",VLOOKUP(E726,CATALOGO!G:L,6,0))</f>
        <v/>
      </c>
      <c r="G726" s="85" t="str">
        <f>IF('Consulta1'!F4818="","",'Consulta1'!F4818)</f>
        <v/>
      </c>
      <c r="H726" s="85" t="str">
        <f>IF('Consulta1'!G4818="","",'Consulta1'!G4818)</f>
        <v/>
      </c>
      <c r="I726" s="86" t="str">
        <f>IF('Consulta1'!H4818="","",'Consulta1'!H4818)</f>
        <v/>
      </c>
      <c r="J726" t="str">
        <f t="shared" si="11"/>
        <v/>
      </c>
      <c r="K726" t="str">
        <f>+IF(E726="","",VLOOKUP(E726,CATALOGO!G:I,2,0))</f>
        <v/>
      </c>
      <c r="L726" t="str">
        <f>+IF(E726="","",VLOOKUP(E726,CATALOGO!G:I,3,0))</f>
        <v/>
      </c>
      <c r="M726" s="87" t="str">
        <f>IF('Consulta1'!I4818="","",'Consulta1'!I4818)</f>
        <v/>
      </c>
      <c r="N726" s="88" t="str">
        <f>IF('Consulta1'!J4818="","",'Consulta1'!J4818)</f>
        <v/>
      </c>
    </row>
    <row r="727" spans="1:14" ht="18.75" x14ac:dyDescent="0.25">
      <c r="A727" s="82" t="str">
        <f>IF('Consulta1'!A4819="","",'Consulta1'!A4819)</f>
        <v/>
      </c>
      <c r="B727" s="82" t="str">
        <f>IF('Consulta1'!B4819="","",'Consulta1'!B4819)</f>
        <v/>
      </c>
      <c r="C727" s="83" t="str">
        <f>IF('Consulta1'!C4819="","",'Consulta1'!C4819)</f>
        <v/>
      </c>
      <c r="D727" s="84" t="str">
        <f>IF('Consulta1'!D4819="","",'Consulta1'!D4819)</f>
        <v/>
      </c>
      <c r="E727" s="82" t="str">
        <f>IF('Consulta1'!E4819="","",'Consulta1'!E4819)</f>
        <v/>
      </c>
      <c r="F727" t="str">
        <f>+IF(E727="","",VLOOKUP(E727,CATALOGO!G:L,6,0))</f>
        <v/>
      </c>
      <c r="G727" s="85" t="str">
        <f>IF('Consulta1'!F4819="","",'Consulta1'!F4819)</f>
        <v/>
      </c>
      <c r="H727" s="85" t="str">
        <f>IF('Consulta1'!G4819="","",'Consulta1'!G4819)</f>
        <v/>
      </c>
      <c r="I727" s="86" t="str">
        <f>IF('Consulta1'!H4819="","",'Consulta1'!H4819)</f>
        <v/>
      </c>
      <c r="J727" t="str">
        <f t="shared" si="11"/>
        <v/>
      </c>
      <c r="K727" t="str">
        <f>+IF(E727="","",VLOOKUP(E727,CATALOGO!G:I,2,0))</f>
        <v/>
      </c>
      <c r="L727" t="str">
        <f>+IF(E727="","",VLOOKUP(E727,CATALOGO!G:I,3,0))</f>
        <v/>
      </c>
      <c r="M727" s="87" t="str">
        <f>IF('Consulta1'!I4819="","",'Consulta1'!I4819)</f>
        <v/>
      </c>
      <c r="N727" s="88" t="str">
        <f>IF('Consulta1'!J4819="","",'Consulta1'!J4819)</f>
        <v/>
      </c>
    </row>
    <row r="728" spans="1:14" ht="18.75" x14ac:dyDescent="0.25">
      <c r="A728" s="82" t="str">
        <f>IF('Consulta1'!A4820="","",'Consulta1'!A4820)</f>
        <v/>
      </c>
      <c r="B728" s="82" t="str">
        <f>IF('Consulta1'!B4820="","",'Consulta1'!B4820)</f>
        <v/>
      </c>
      <c r="C728" s="83" t="str">
        <f>IF('Consulta1'!C4820="","",'Consulta1'!C4820)</f>
        <v/>
      </c>
      <c r="D728" s="84" t="str">
        <f>IF('Consulta1'!D4820="","",'Consulta1'!D4820)</f>
        <v/>
      </c>
      <c r="E728" s="82" t="str">
        <f>IF('Consulta1'!E4820="","",'Consulta1'!E4820)</f>
        <v/>
      </c>
      <c r="F728" t="str">
        <f>+IF(E728="","",VLOOKUP(E728,CATALOGO!G:L,6,0))</f>
        <v/>
      </c>
      <c r="G728" s="85" t="str">
        <f>IF('Consulta1'!F4820="","",'Consulta1'!F4820)</f>
        <v/>
      </c>
      <c r="H728" s="85" t="str">
        <f>IF('Consulta1'!G4820="","",'Consulta1'!G4820)</f>
        <v/>
      </c>
      <c r="I728" s="86" t="str">
        <f>IF('Consulta1'!H4820="","",'Consulta1'!H4820)</f>
        <v/>
      </c>
      <c r="J728" t="str">
        <f t="shared" si="11"/>
        <v/>
      </c>
      <c r="K728" t="str">
        <f>+IF(E728="","",VLOOKUP(E728,CATALOGO!G:I,2,0))</f>
        <v/>
      </c>
      <c r="L728" t="str">
        <f>+IF(E728="","",VLOOKUP(E728,CATALOGO!G:I,3,0))</f>
        <v/>
      </c>
      <c r="M728" s="87" t="str">
        <f>IF('Consulta1'!I4820="","",'Consulta1'!I4820)</f>
        <v/>
      </c>
      <c r="N728" s="88" t="str">
        <f>IF('Consulta1'!J4820="","",'Consulta1'!J4820)</f>
        <v/>
      </c>
    </row>
    <row r="729" spans="1:14" ht="18.75" x14ac:dyDescent="0.25">
      <c r="A729" s="82" t="str">
        <f>IF('Consulta1'!A4821="","",'Consulta1'!A4821)</f>
        <v/>
      </c>
      <c r="B729" s="82" t="str">
        <f>IF('Consulta1'!B4821="","",'Consulta1'!B4821)</f>
        <v/>
      </c>
      <c r="C729" s="83" t="str">
        <f>IF('Consulta1'!C4821="","",'Consulta1'!C4821)</f>
        <v/>
      </c>
      <c r="D729" s="84" t="str">
        <f>IF('Consulta1'!D4821="","",'Consulta1'!D4821)</f>
        <v/>
      </c>
      <c r="E729" s="82" t="str">
        <f>IF('Consulta1'!E4821="","",'Consulta1'!E4821)</f>
        <v/>
      </c>
      <c r="F729" t="str">
        <f>+IF(E729="","",VLOOKUP(E729,CATALOGO!G:L,6,0))</f>
        <v/>
      </c>
      <c r="G729" s="85" t="str">
        <f>IF('Consulta1'!F4821="","",'Consulta1'!F4821)</f>
        <v/>
      </c>
      <c r="H729" s="85" t="str">
        <f>IF('Consulta1'!G4821="","",'Consulta1'!G4821)</f>
        <v/>
      </c>
      <c r="I729" s="86" t="str">
        <f>IF('Consulta1'!H4821="","",'Consulta1'!H4821)</f>
        <v/>
      </c>
      <c r="J729" t="str">
        <f t="shared" si="11"/>
        <v/>
      </c>
      <c r="K729" t="str">
        <f>+IF(E729="","",VLOOKUP(E729,CATALOGO!G:I,2,0))</f>
        <v/>
      </c>
      <c r="L729" t="str">
        <f>+IF(E729="","",VLOOKUP(E729,CATALOGO!G:I,3,0))</f>
        <v/>
      </c>
      <c r="M729" s="87" t="str">
        <f>IF('Consulta1'!I4821="","",'Consulta1'!I4821)</f>
        <v/>
      </c>
      <c r="N729" s="88" t="str">
        <f>IF('Consulta1'!J4821="","",'Consulta1'!J4821)</f>
        <v/>
      </c>
    </row>
    <row r="730" spans="1:14" ht="18.75" x14ac:dyDescent="0.25">
      <c r="A730" s="82" t="str">
        <f>IF('Consulta1'!A4822="","",'Consulta1'!A4822)</f>
        <v/>
      </c>
      <c r="B730" s="82" t="str">
        <f>IF('Consulta1'!B4822="","",'Consulta1'!B4822)</f>
        <v/>
      </c>
      <c r="C730" s="83" t="str">
        <f>IF('Consulta1'!C4822="","",'Consulta1'!C4822)</f>
        <v/>
      </c>
      <c r="D730" s="84" t="str">
        <f>IF('Consulta1'!D4822="","",'Consulta1'!D4822)</f>
        <v/>
      </c>
      <c r="E730" s="82" t="str">
        <f>IF('Consulta1'!E4822="","",'Consulta1'!E4822)</f>
        <v/>
      </c>
      <c r="F730" t="str">
        <f>+IF(E730="","",VLOOKUP(E730,CATALOGO!G:L,6,0))</f>
        <v/>
      </c>
      <c r="G730" s="85" t="str">
        <f>IF('Consulta1'!F4822="","",'Consulta1'!F4822)</f>
        <v/>
      </c>
      <c r="H730" s="85" t="str">
        <f>IF('Consulta1'!G4822="","",'Consulta1'!G4822)</f>
        <v/>
      </c>
      <c r="I730" s="86" t="str">
        <f>IF('Consulta1'!H4822="","",'Consulta1'!H4822)</f>
        <v/>
      </c>
      <c r="J730" t="str">
        <f t="shared" si="11"/>
        <v/>
      </c>
      <c r="K730" t="str">
        <f>+IF(E730="","",VLOOKUP(E730,CATALOGO!G:I,2,0))</f>
        <v/>
      </c>
      <c r="L730" t="str">
        <f>+IF(E730="","",VLOOKUP(E730,CATALOGO!G:I,3,0))</f>
        <v/>
      </c>
      <c r="M730" s="87" t="str">
        <f>IF('Consulta1'!I4822="","",'Consulta1'!I4822)</f>
        <v/>
      </c>
      <c r="N730" s="88" t="str">
        <f>IF('Consulta1'!J4822="","",'Consulta1'!J4822)</f>
        <v/>
      </c>
    </row>
    <row r="731" spans="1:14" ht="18.75" x14ac:dyDescent="0.25">
      <c r="A731" s="82" t="str">
        <f>IF('Consulta1'!A4823="","",'Consulta1'!A4823)</f>
        <v/>
      </c>
      <c r="B731" s="82" t="str">
        <f>IF('Consulta1'!B4823="","",'Consulta1'!B4823)</f>
        <v/>
      </c>
      <c r="C731" s="83" t="str">
        <f>IF('Consulta1'!C4823="","",'Consulta1'!C4823)</f>
        <v/>
      </c>
      <c r="D731" s="84" t="str">
        <f>IF('Consulta1'!D4823="","",'Consulta1'!D4823)</f>
        <v/>
      </c>
      <c r="E731" s="82" t="str">
        <f>IF('Consulta1'!E4823="","",'Consulta1'!E4823)</f>
        <v/>
      </c>
      <c r="F731" t="str">
        <f>+IF(E731="","",VLOOKUP(E731,CATALOGO!G:L,6,0))</f>
        <v/>
      </c>
      <c r="G731" s="85" t="str">
        <f>IF('Consulta1'!F4823="","",'Consulta1'!F4823)</f>
        <v/>
      </c>
      <c r="H731" s="85" t="str">
        <f>IF('Consulta1'!G4823="","",'Consulta1'!G4823)</f>
        <v/>
      </c>
      <c r="I731" s="86" t="str">
        <f>IF('Consulta1'!H4823="","",'Consulta1'!H4823)</f>
        <v/>
      </c>
      <c r="J731" t="str">
        <f t="shared" si="11"/>
        <v/>
      </c>
      <c r="K731" t="str">
        <f>+IF(E731="","",VLOOKUP(E731,CATALOGO!G:I,2,0))</f>
        <v/>
      </c>
      <c r="L731" t="str">
        <f>+IF(E731="","",VLOOKUP(E731,CATALOGO!G:I,3,0))</f>
        <v/>
      </c>
      <c r="M731" s="87" t="str">
        <f>IF('Consulta1'!I4823="","",'Consulta1'!I4823)</f>
        <v/>
      </c>
      <c r="N731" s="88" t="str">
        <f>IF('Consulta1'!J4823="","",'Consulta1'!J4823)</f>
        <v/>
      </c>
    </row>
    <row r="732" spans="1:14" ht="18.75" x14ac:dyDescent="0.25">
      <c r="A732" s="82" t="str">
        <f>IF('Consulta1'!A4824="","",'Consulta1'!A4824)</f>
        <v/>
      </c>
      <c r="B732" s="82" t="str">
        <f>IF('Consulta1'!B4824="","",'Consulta1'!B4824)</f>
        <v/>
      </c>
      <c r="C732" s="83" t="str">
        <f>IF('Consulta1'!C4824="","",'Consulta1'!C4824)</f>
        <v/>
      </c>
      <c r="D732" s="84" t="str">
        <f>IF('Consulta1'!D4824="","",'Consulta1'!D4824)</f>
        <v/>
      </c>
      <c r="E732" s="82" t="str">
        <f>IF('Consulta1'!E4824="","",'Consulta1'!E4824)</f>
        <v/>
      </c>
      <c r="F732" t="str">
        <f>+IF(E732="","",VLOOKUP(E732,CATALOGO!G:L,6,0))</f>
        <v/>
      </c>
      <c r="G732" s="85" t="str">
        <f>IF('Consulta1'!F4824="","",'Consulta1'!F4824)</f>
        <v/>
      </c>
      <c r="H732" s="85" t="str">
        <f>IF('Consulta1'!G4824="","",'Consulta1'!G4824)</f>
        <v/>
      </c>
      <c r="I732" s="86" t="str">
        <f>IF('Consulta1'!H4824="","",'Consulta1'!H4824)</f>
        <v/>
      </c>
      <c r="J732" t="str">
        <f t="shared" si="11"/>
        <v/>
      </c>
      <c r="K732" t="str">
        <f>+IF(E732="","",VLOOKUP(E732,CATALOGO!G:I,2,0))</f>
        <v/>
      </c>
      <c r="L732" t="str">
        <f>+IF(E732="","",VLOOKUP(E732,CATALOGO!G:I,3,0))</f>
        <v/>
      </c>
      <c r="M732" s="87" t="str">
        <f>IF('Consulta1'!I4824="","",'Consulta1'!I4824)</f>
        <v/>
      </c>
      <c r="N732" s="88" t="str">
        <f>IF('Consulta1'!J4824="","",'Consulta1'!J4824)</f>
        <v/>
      </c>
    </row>
    <row r="733" spans="1:14" ht="18.75" x14ac:dyDescent="0.25">
      <c r="A733" s="82" t="str">
        <f>IF('Consulta1'!A4825="","",'Consulta1'!A4825)</f>
        <v/>
      </c>
      <c r="B733" s="82" t="str">
        <f>IF('Consulta1'!B4825="","",'Consulta1'!B4825)</f>
        <v/>
      </c>
      <c r="C733" s="83" t="str">
        <f>IF('Consulta1'!C4825="","",'Consulta1'!C4825)</f>
        <v/>
      </c>
      <c r="D733" s="84" t="str">
        <f>IF('Consulta1'!D4825="","",'Consulta1'!D4825)</f>
        <v/>
      </c>
      <c r="E733" s="82" t="str">
        <f>IF('Consulta1'!E4825="","",'Consulta1'!E4825)</f>
        <v/>
      </c>
      <c r="F733" t="str">
        <f>+IF(E733="","",VLOOKUP(E733,CATALOGO!G:L,6,0))</f>
        <v/>
      </c>
      <c r="G733" s="85" t="str">
        <f>IF('Consulta1'!F4825="","",'Consulta1'!F4825)</f>
        <v/>
      </c>
      <c r="H733" s="85" t="str">
        <f>IF('Consulta1'!G4825="","",'Consulta1'!G4825)</f>
        <v/>
      </c>
      <c r="I733" s="86" t="str">
        <f>IF('Consulta1'!H4825="","",'Consulta1'!H4825)</f>
        <v/>
      </c>
      <c r="J733" t="str">
        <f t="shared" si="11"/>
        <v/>
      </c>
      <c r="K733" t="str">
        <f>+IF(E733="","",VLOOKUP(E733,CATALOGO!G:I,2,0))</f>
        <v/>
      </c>
      <c r="L733" t="str">
        <f>+IF(E733="","",VLOOKUP(E733,CATALOGO!G:I,3,0))</f>
        <v/>
      </c>
      <c r="M733" s="87" t="str">
        <f>IF('Consulta1'!I4825="","",'Consulta1'!I4825)</f>
        <v/>
      </c>
      <c r="N733" s="88" t="str">
        <f>IF('Consulta1'!J4825="","",'Consulta1'!J4825)</f>
        <v/>
      </c>
    </row>
    <row r="734" spans="1:14" ht="18.75" x14ac:dyDescent="0.25">
      <c r="A734" s="82" t="str">
        <f>IF('Consulta1'!A4826="","",'Consulta1'!A4826)</f>
        <v/>
      </c>
      <c r="B734" s="82" t="str">
        <f>IF('Consulta1'!B4826="","",'Consulta1'!B4826)</f>
        <v/>
      </c>
      <c r="C734" s="83" t="str">
        <f>IF('Consulta1'!C4826="","",'Consulta1'!C4826)</f>
        <v/>
      </c>
      <c r="D734" s="84" t="str">
        <f>IF('Consulta1'!D4826="","",'Consulta1'!D4826)</f>
        <v/>
      </c>
      <c r="E734" s="82" t="str">
        <f>IF('Consulta1'!E4826="","",'Consulta1'!E4826)</f>
        <v/>
      </c>
      <c r="F734" t="str">
        <f>+IF(E734="","",VLOOKUP(E734,CATALOGO!G:L,6,0))</f>
        <v/>
      </c>
      <c r="G734" s="85" t="str">
        <f>IF('Consulta1'!F4826="","",'Consulta1'!F4826)</f>
        <v/>
      </c>
      <c r="H734" s="85" t="str">
        <f>IF('Consulta1'!G4826="","",'Consulta1'!G4826)</f>
        <v/>
      </c>
      <c r="I734" s="86" t="str">
        <f>IF('Consulta1'!H4826="","",'Consulta1'!H4826)</f>
        <v/>
      </c>
      <c r="J734" t="str">
        <f t="shared" si="11"/>
        <v/>
      </c>
      <c r="K734" t="str">
        <f>+IF(E734="","",VLOOKUP(E734,CATALOGO!G:I,2,0))</f>
        <v/>
      </c>
      <c r="L734" t="str">
        <f>+IF(E734="","",VLOOKUP(E734,CATALOGO!G:I,3,0))</f>
        <v/>
      </c>
      <c r="M734" s="87" t="str">
        <f>IF('Consulta1'!I4826="","",'Consulta1'!I4826)</f>
        <v/>
      </c>
      <c r="N734" s="88" t="str">
        <f>IF('Consulta1'!J4826="","",'Consulta1'!J4826)</f>
        <v/>
      </c>
    </row>
    <row r="735" spans="1:14" ht="18.75" x14ac:dyDescent="0.25">
      <c r="A735" s="82" t="str">
        <f>IF('Consulta1'!A4827="","",'Consulta1'!A4827)</f>
        <v/>
      </c>
      <c r="B735" s="82" t="str">
        <f>IF('Consulta1'!B4827="","",'Consulta1'!B4827)</f>
        <v/>
      </c>
      <c r="C735" s="83" t="str">
        <f>IF('Consulta1'!C4827="","",'Consulta1'!C4827)</f>
        <v/>
      </c>
      <c r="D735" s="84" t="str">
        <f>IF('Consulta1'!D4827="","",'Consulta1'!D4827)</f>
        <v/>
      </c>
      <c r="E735" s="82" t="str">
        <f>IF('Consulta1'!E4827="","",'Consulta1'!E4827)</f>
        <v/>
      </c>
      <c r="F735" t="str">
        <f>+IF(E735="","",VLOOKUP(E735,CATALOGO!G:L,6,0))</f>
        <v/>
      </c>
      <c r="G735" s="85" t="str">
        <f>IF('Consulta1'!F4827="","",'Consulta1'!F4827)</f>
        <v/>
      </c>
      <c r="H735" s="85" t="str">
        <f>IF('Consulta1'!G4827="","",'Consulta1'!G4827)</f>
        <v/>
      </c>
      <c r="I735" s="86" t="str">
        <f>IF('Consulta1'!H4827="","",'Consulta1'!H4827)</f>
        <v/>
      </c>
      <c r="J735" t="str">
        <f t="shared" si="11"/>
        <v/>
      </c>
      <c r="K735" t="str">
        <f>+IF(E735="","",VLOOKUP(E735,CATALOGO!G:I,2,0))</f>
        <v/>
      </c>
      <c r="L735" t="str">
        <f>+IF(E735="","",VLOOKUP(E735,CATALOGO!G:I,3,0))</f>
        <v/>
      </c>
      <c r="M735" s="87" t="str">
        <f>IF('Consulta1'!I4827="","",'Consulta1'!I4827)</f>
        <v/>
      </c>
      <c r="N735" s="88" t="str">
        <f>IF('Consulta1'!J4827="","",'Consulta1'!J4827)</f>
        <v/>
      </c>
    </row>
    <row r="736" spans="1:14" ht="18.75" x14ac:dyDescent="0.25">
      <c r="A736" s="82" t="str">
        <f>IF('Consulta1'!A4828="","",'Consulta1'!A4828)</f>
        <v/>
      </c>
      <c r="B736" s="82" t="str">
        <f>IF('Consulta1'!B4828="","",'Consulta1'!B4828)</f>
        <v/>
      </c>
      <c r="C736" s="83" t="str">
        <f>IF('Consulta1'!C4828="","",'Consulta1'!C4828)</f>
        <v/>
      </c>
      <c r="D736" s="84" t="str">
        <f>IF('Consulta1'!D4828="","",'Consulta1'!D4828)</f>
        <v/>
      </c>
      <c r="E736" s="82" t="str">
        <f>IF('Consulta1'!E4828="","",'Consulta1'!E4828)</f>
        <v/>
      </c>
      <c r="F736" t="str">
        <f>+IF(E736="","",VLOOKUP(E736,CATALOGO!G:L,6,0))</f>
        <v/>
      </c>
      <c r="G736" s="85" t="str">
        <f>IF('Consulta1'!F4828="","",'Consulta1'!F4828)</f>
        <v/>
      </c>
      <c r="H736" s="85" t="str">
        <f>IF('Consulta1'!G4828="","",'Consulta1'!G4828)</f>
        <v/>
      </c>
      <c r="I736" s="86" t="str">
        <f>IF('Consulta1'!H4828="","",'Consulta1'!H4828)</f>
        <v/>
      </c>
      <c r="J736" t="str">
        <f t="shared" si="11"/>
        <v/>
      </c>
      <c r="K736" t="str">
        <f>+IF(E736="","",VLOOKUP(E736,CATALOGO!G:I,2,0))</f>
        <v/>
      </c>
      <c r="L736" t="str">
        <f>+IF(E736="","",VLOOKUP(E736,CATALOGO!G:I,3,0))</f>
        <v/>
      </c>
      <c r="M736" s="87" t="str">
        <f>IF('Consulta1'!I4828="","",'Consulta1'!I4828)</f>
        <v/>
      </c>
      <c r="N736" s="88" t="str">
        <f>IF('Consulta1'!J4828="","",'Consulta1'!J4828)</f>
        <v/>
      </c>
    </row>
    <row r="737" spans="1:14" ht="18.75" x14ac:dyDescent="0.25">
      <c r="A737" s="82" t="str">
        <f>IF('Consulta1'!A4829="","",'Consulta1'!A4829)</f>
        <v/>
      </c>
      <c r="B737" s="82" t="str">
        <f>IF('Consulta1'!B4829="","",'Consulta1'!B4829)</f>
        <v/>
      </c>
      <c r="C737" s="83" t="str">
        <f>IF('Consulta1'!C4829="","",'Consulta1'!C4829)</f>
        <v/>
      </c>
      <c r="D737" s="84" t="str">
        <f>IF('Consulta1'!D4829="","",'Consulta1'!D4829)</f>
        <v/>
      </c>
      <c r="E737" s="82" t="str">
        <f>IF('Consulta1'!E4829="","",'Consulta1'!E4829)</f>
        <v/>
      </c>
      <c r="F737" t="str">
        <f>+IF(E737="","",VLOOKUP(E737,CATALOGO!G:L,6,0))</f>
        <v/>
      </c>
      <c r="G737" s="85" t="str">
        <f>IF('Consulta1'!F4829="","",'Consulta1'!F4829)</f>
        <v/>
      </c>
      <c r="H737" s="85" t="str">
        <f>IF('Consulta1'!G4829="","",'Consulta1'!G4829)</f>
        <v/>
      </c>
      <c r="I737" s="86" t="str">
        <f>IF('Consulta1'!H4829="","",'Consulta1'!H4829)</f>
        <v/>
      </c>
      <c r="J737" t="str">
        <f t="shared" si="11"/>
        <v/>
      </c>
      <c r="K737" t="str">
        <f>+IF(E737="","",VLOOKUP(E737,CATALOGO!G:I,2,0))</f>
        <v/>
      </c>
      <c r="L737" t="str">
        <f>+IF(E737="","",VLOOKUP(E737,CATALOGO!G:I,3,0))</f>
        <v/>
      </c>
      <c r="M737" s="87" t="str">
        <f>IF('Consulta1'!I4829="","",'Consulta1'!I4829)</f>
        <v/>
      </c>
      <c r="N737" s="88" t="str">
        <f>IF('Consulta1'!J4829="","",'Consulta1'!J4829)</f>
        <v/>
      </c>
    </row>
    <row r="738" spans="1:14" ht="18.75" x14ac:dyDescent="0.25">
      <c r="A738" s="82" t="str">
        <f>IF('Consulta1'!A4830="","",'Consulta1'!A4830)</f>
        <v/>
      </c>
      <c r="B738" s="82" t="str">
        <f>IF('Consulta1'!B4830="","",'Consulta1'!B4830)</f>
        <v/>
      </c>
      <c r="C738" s="83" t="str">
        <f>IF('Consulta1'!C4830="","",'Consulta1'!C4830)</f>
        <v/>
      </c>
      <c r="D738" s="84" t="str">
        <f>IF('Consulta1'!D4830="","",'Consulta1'!D4830)</f>
        <v/>
      </c>
      <c r="E738" s="82" t="str">
        <f>IF('Consulta1'!E4830="","",'Consulta1'!E4830)</f>
        <v/>
      </c>
      <c r="F738" t="str">
        <f>+IF(E738="","",VLOOKUP(E738,CATALOGO!G:L,6,0))</f>
        <v/>
      </c>
      <c r="G738" s="85" t="str">
        <f>IF('Consulta1'!F4830="","",'Consulta1'!F4830)</f>
        <v/>
      </c>
      <c r="H738" s="85" t="str">
        <f>IF('Consulta1'!G4830="","",'Consulta1'!G4830)</f>
        <v/>
      </c>
      <c r="I738" s="86" t="str">
        <f>IF('Consulta1'!H4830="","",'Consulta1'!H4830)</f>
        <v/>
      </c>
      <c r="J738" t="str">
        <f t="shared" si="11"/>
        <v/>
      </c>
      <c r="K738" t="str">
        <f>+IF(E738="","",VLOOKUP(E738,CATALOGO!G:I,2,0))</f>
        <v/>
      </c>
      <c r="L738" t="str">
        <f>+IF(E738="","",VLOOKUP(E738,CATALOGO!G:I,3,0))</f>
        <v/>
      </c>
      <c r="M738" s="87" t="str">
        <f>IF('Consulta1'!I4830="","",'Consulta1'!I4830)</f>
        <v/>
      </c>
      <c r="N738" s="88" t="str">
        <f>IF('Consulta1'!J4830="","",'Consulta1'!J4830)</f>
        <v/>
      </c>
    </row>
    <row r="739" spans="1:14" ht="18.75" x14ac:dyDescent="0.25">
      <c r="A739" s="82" t="str">
        <f>IF('Consulta1'!A4831="","",'Consulta1'!A4831)</f>
        <v/>
      </c>
      <c r="B739" s="82" t="str">
        <f>IF('Consulta1'!B4831="","",'Consulta1'!B4831)</f>
        <v/>
      </c>
      <c r="C739" s="83" t="str">
        <f>IF('Consulta1'!C4831="","",'Consulta1'!C4831)</f>
        <v/>
      </c>
      <c r="D739" s="84" t="str">
        <f>IF('Consulta1'!D4831="","",'Consulta1'!D4831)</f>
        <v/>
      </c>
      <c r="E739" s="82" t="str">
        <f>IF('Consulta1'!E4831="","",'Consulta1'!E4831)</f>
        <v/>
      </c>
      <c r="F739" t="str">
        <f>+IF(E739="","",VLOOKUP(E739,CATALOGO!G:L,6,0))</f>
        <v/>
      </c>
      <c r="G739" s="85" t="str">
        <f>IF('Consulta1'!F4831="","",'Consulta1'!F4831)</f>
        <v/>
      </c>
      <c r="H739" s="85" t="str">
        <f>IF('Consulta1'!G4831="","",'Consulta1'!G4831)</f>
        <v/>
      </c>
      <c r="I739" s="86" t="str">
        <f>IF('Consulta1'!H4831="","",'Consulta1'!H4831)</f>
        <v/>
      </c>
      <c r="J739" t="str">
        <f t="shared" si="11"/>
        <v/>
      </c>
      <c r="K739" t="str">
        <f>+IF(E739="","",VLOOKUP(E739,CATALOGO!G:I,2,0))</f>
        <v/>
      </c>
      <c r="L739" t="str">
        <f>+IF(E739="","",VLOOKUP(E739,CATALOGO!G:I,3,0))</f>
        <v/>
      </c>
      <c r="M739" s="87" t="str">
        <f>IF('Consulta1'!I4831="","",'Consulta1'!I4831)</f>
        <v/>
      </c>
      <c r="N739" s="88" t="str">
        <f>IF('Consulta1'!J4831="","",'Consulta1'!J4831)</f>
        <v/>
      </c>
    </row>
    <row r="740" spans="1:14" ht="18.75" x14ac:dyDescent="0.25">
      <c r="A740" s="82" t="str">
        <f>IF('Consulta1'!A4832="","",'Consulta1'!A4832)</f>
        <v/>
      </c>
      <c r="B740" s="82" t="str">
        <f>IF('Consulta1'!B4832="","",'Consulta1'!B4832)</f>
        <v/>
      </c>
      <c r="C740" s="83" t="str">
        <f>IF('Consulta1'!C4832="","",'Consulta1'!C4832)</f>
        <v/>
      </c>
      <c r="D740" s="84" t="str">
        <f>IF('Consulta1'!D4832="","",'Consulta1'!D4832)</f>
        <v/>
      </c>
      <c r="E740" s="82" t="str">
        <f>IF('Consulta1'!E4832="","",'Consulta1'!E4832)</f>
        <v/>
      </c>
      <c r="F740" t="str">
        <f>+IF(E740="","",VLOOKUP(E740,CATALOGO!G:L,6,0))</f>
        <v/>
      </c>
      <c r="G740" s="85" t="str">
        <f>IF('Consulta1'!F4832="","",'Consulta1'!F4832)</f>
        <v/>
      </c>
      <c r="H740" s="85" t="str">
        <f>IF('Consulta1'!G4832="","",'Consulta1'!G4832)</f>
        <v/>
      </c>
      <c r="I740" s="86" t="str">
        <f>IF('Consulta1'!H4832="","",'Consulta1'!H4832)</f>
        <v/>
      </c>
      <c r="J740" t="str">
        <f t="shared" si="11"/>
        <v/>
      </c>
      <c r="K740" t="str">
        <f>+IF(E740="","",VLOOKUP(E740,CATALOGO!G:I,2,0))</f>
        <v/>
      </c>
      <c r="L740" t="str">
        <f>+IF(E740="","",VLOOKUP(E740,CATALOGO!G:I,3,0))</f>
        <v/>
      </c>
      <c r="M740" s="87" t="str">
        <f>IF('Consulta1'!I4832="","",'Consulta1'!I4832)</f>
        <v/>
      </c>
      <c r="N740" s="88" t="str">
        <f>IF('Consulta1'!J4832="","",'Consulta1'!J4832)</f>
        <v/>
      </c>
    </row>
    <row r="741" spans="1:14" ht="18.75" x14ac:dyDescent="0.25">
      <c r="A741" s="82" t="str">
        <f>IF('Consulta1'!A4833="","",'Consulta1'!A4833)</f>
        <v/>
      </c>
      <c r="B741" s="82" t="str">
        <f>IF('Consulta1'!B4833="","",'Consulta1'!B4833)</f>
        <v/>
      </c>
      <c r="C741" s="83" t="str">
        <f>IF('Consulta1'!C4833="","",'Consulta1'!C4833)</f>
        <v/>
      </c>
      <c r="D741" s="84" t="str">
        <f>IF('Consulta1'!D4833="","",'Consulta1'!D4833)</f>
        <v/>
      </c>
      <c r="E741" s="82" t="str">
        <f>IF('Consulta1'!E4833="","",'Consulta1'!E4833)</f>
        <v/>
      </c>
      <c r="F741" t="str">
        <f>+IF(E741="","",VLOOKUP(E741,CATALOGO!G:L,6,0))</f>
        <v/>
      </c>
      <c r="G741" s="85" t="str">
        <f>IF('Consulta1'!F4833="","",'Consulta1'!F4833)</f>
        <v/>
      </c>
      <c r="H741" s="85" t="str">
        <f>IF('Consulta1'!G4833="","",'Consulta1'!G4833)</f>
        <v/>
      </c>
      <c r="I741" s="86" t="str">
        <f>IF('Consulta1'!H4833="","",'Consulta1'!H4833)</f>
        <v/>
      </c>
      <c r="J741" t="str">
        <f t="shared" si="11"/>
        <v/>
      </c>
      <c r="K741" t="str">
        <f>+IF(E741="","",VLOOKUP(E741,CATALOGO!G:I,2,0))</f>
        <v/>
      </c>
      <c r="L741" t="str">
        <f>+IF(E741="","",VLOOKUP(E741,CATALOGO!G:I,3,0))</f>
        <v/>
      </c>
      <c r="M741" s="87" t="str">
        <f>IF('Consulta1'!I4833="","",'Consulta1'!I4833)</f>
        <v/>
      </c>
      <c r="N741" s="88" t="str">
        <f>IF('Consulta1'!J4833="","",'Consulta1'!J4833)</f>
        <v/>
      </c>
    </row>
    <row r="742" spans="1:14" ht="18.75" x14ac:dyDescent="0.25">
      <c r="A742" s="82" t="str">
        <f>IF('Consulta1'!A4834="","",'Consulta1'!A4834)</f>
        <v/>
      </c>
      <c r="B742" s="82" t="str">
        <f>IF('Consulta1'!B4834="","",'Consulta1'!B4834)</f>
        <v/>
      </c>
      <c r="C742" s="83" t="str">
        <f>IF('Consulta1'!C4834="","",'Consulta1'!C4834)</f>
        <v/>
      </c>
      <c r="D742" s="84" t="str">
        <f>IF('Consulta1'!D4834="","",'Consulta1'!D4834)</f>
        <v/>
      </c>
      <c r="E742" s="82" t="str">
        <f>IF('Consulta1'!E4834="","",'Consulta1'!E4834)</f>
        <v/>
      </c>
      <c r="F742" t="str">
        <f>+IF(E742="","",VLOOKUP(E742,CATALOGO!G:L,6,0))</f>
        <v/>
      </c>
      <c r="G742" s="85" t="str">
        <f>IF('Consulta1'!F4834="","",'Consulta1'!F4834)</f>
        <v/>
      </c>
      <c r="H742" s="85" t="str">
        <f>IF('Consulta1'!G4834="","",'Consulta1'!G4834)</f>
        <v/>
      </c>
      <c r="I742" s="86" t="str">
        <f>IF('Consulta1'!H4834="","",'Consulta1'!H4834)</f>
        <v/>
      </c>
      <c r="J742" t="str">
        <f t="shared" si="11"/>
        <v/>
      </c>
      <c r="K742" t="str">
        <f>+IF(E742="","",VLOOKUP(E742,CATALOGO!G:I,2,0))</f>
        <v/>
      </c>
      <c r="L742" t="str">
        <f>+IF(E742="","",VLOOKUP(E742,CATALOGO!G:I,3,0))</f>
        <v/>
      </c>
      <c r="M742" s="87" t="str">
        <f>IF('Consulta1'!I4834="","",'Consulta1'!I4834)</f>
        <v/>
      </c>
      <c r="N742" s="88" t="str">
        <f>IF('Consulta1'!J4834="","",'Consulta1'!J4834)</f>
        <v/>
      </c>
    </row>
    <row r="743" spans="1:14" ht="18.75" x14ac:dyDescent="0.25">
      <c r="A743" s="82" t="str">
        <f>IF('Consulta1'!A4835="","",'Consulta1'!A4835)</f>
        <v/>
      </c>
      <c r="B743" s="82" t="str">
        <f>IF('Consulta1'!B4835="","",'Consulta1'!B4835)</f>
        <v/>
      </c>
      <c r="C743" s="83" t="str">
        <f>IF('Consulta1'!C4835="","",'Consulta1'!C4835)</f>
        <v/>
      </c>
      <c r="D743" s="84" t="str">
        <f>IF('Consulta1'!D4835="","",'Consulta1'!D4835)</f>
        <v/>
      </c>
      <c r="E743" s="82" t="str">
        <f>IF('Consulta1'!E4835="","",'Consulta1'!E4835)</f>
        <v/>
      </c>
      <c r="F743" t="str">
        <f>+IF(E743="","",VLOOKUP(E743,CATALOGO!G:L,6,0))</f>
        <v/>
      </c>
      <c r="G743" s="85" t="str">
        <f>IF('Consulta1'!F4835="","",'Consulta1'!F4835)</f>
        <v/>
      </c>
      <c r="H743" s="85" t="str">
        <f>IF('Consulta1'!G4835="","",'Consulta1'!G4835)</f>
        <v/>
      </c>
      <c r="I743" s="86" t="str">
        <f>IF('Consulta1'!H4835="","",'Consulta1'!H4835)</f>
        <v/>
      </c>
      <c r="J743" t="str">
        <f t="shared" si="11"/>
        <v/>
      </c>
      <c r="K743" t="str">
        <f>+IF(E743="","",VLOOKUP(E743,CATALOGO!G:I,2,0))</f>
        <v/>
      </c>
      <c r="L743" t="str">
        <f>+IF(E743="","",VLOOKUP(E743,CATALOGO!G:I,3,0))</f>
        <v/>
      </c>
      <c r="M743" s="87" t="str">
        <f>IF('Consulta1'!I4835="","",'Consulta1'!I4835)</f>
        <v/>
      </c>
      <c r="N743" s="88" t="str">
        <f>IF('Consulta1'!J4835="","",'Consulta1'!J4835)</f>
        <v/>
      </c>
    </row>
    <row r="744" spans="1:14" ht="18.75" x14ac:dyDescent="0.25">
      <c r="A744" s="82" t="str">
        <f>IF('Consulta1'!A4836="","",'Consulta1'!A4836)</f>
        <v/>
      </c>
      <c r="B744" s="82" t="str">
        <f>IF('Consulta1'!B4836="","",'Consulta1'!B4836)</f>
        <v/>
      </c>
      <c r="C744" s="83" t="str">
        <f>IF('Consulta1'!C4836="","",'Consulta1'!C4836)</f>
        <v/>
      </c>
      <c r="D744" s="84" t="str">
        <f>IF('Consulta1'!D4836="","",'Consulta1'!D4836)</f>
        <v/>
      </c>
      <c r="E744" s="82" t="str">
        <f>IF('Consulta1'!E4836="","",'Consulta1'!E4836)</f>
        <v/>
      </c>
      <c r="F744" t="str">
        <f>+IF(E744="","",VLOOKUP(E744,CATALOGO!G:L,6,0))</f>
        <v/>
      </c>
      <c r="G744" s="85" t="str">
        <f>IF('Consulta1'!F4836="","",'Consulta1'!F4836)</f>
        <v/>
      </c>
      <c r="H744" s="85" t="str">
        <f>IF('Consulta1'!G4836="","",'Consulta1'!G4836)</f>
        <v/>
      </c>
      <c r="I744" s="86" t="str">
        <f>IF('Consulta1'!H4836="","",'Consulta1'!H4836)</f>
        <v/>
      </c>
      <c r="J744" t="str">
        <f t="shared" si="11"/>
        <v/>
      </c>
      <c r="K744" t="str">
        <f>+IF(E744="","",VLOOKUP(E744,CATALOGO!G:I,2,0))</f>
        <v/>
      </c>
      <c r="L744" t="str">
        <f>+IF(E744="","",VLOOKUP(E744,CATALOGO!G:I,3,0))</f>
        <v/>
      </c>
      <c r="M744" s="87" t="str">
        <f>IF('Consulta1'!I4836="","",'Consulta1'!I4836)</f>
        <v/>
      </c>
      <c r="N744" s="88" t="str">
        <f>IF('Consulta1'!J4836="","",'Consulta1'!J4836)</f>
        <v/>
      </c>
    </row>
    <row r="745" spans="1:14" ht="18.75" x14ac:dyDescent="0.25">
      <c r="A745" s="82" t="str">
        <f>IF('Consulta1'!A4837="","",'Consulta1'!A4837)</f>
        <v/>
      </c>
      <c r="B745" s="82" t="str">
        <f>IF('Consulta1'!B4837="","",'Consulta1'!B4837)</f>
        <v/>
      </c>
      <c r="C745" s="83" t="str">
        <f>IF('Consulta1'!C4837="","",'Consulta1'!C4837)</f>
        <v/>
      </c>
      <c r="D745" s="84" t="str">
        <f>IF('Consulta1'!D4837="","",'Consulta1'!D4837)</f>
        <v/>
      </c>
      <c r="E745" s="82" t="str">
        <f>IF('Consulta1'!E4837="","",'Consulta1'!E4837)</f>
        <v/>
      </c>
      <c r="F745" t="str">
        <f>+IF(E745="","",VLOOKUP(E745,CATALOGO!G:L,6,0))</f>
        <v/>
      </c>
      <c r="G745" s="85" t="str">
        <f>IF('Consulta1'!F4837="","",'Consulta1'!F4837)</f>
        <v/>
      </c>
      <c r="H745" s="85" t="str">
        <f>IF('Consulta1'!G4837="","",'Consulta1'!G4837)</f>
        <v/>
      </c>
      <c r="I745" s="86" t="str">
        <f>IF('Consulta1'!H4837="","",'Consulta1'!H4837)</f>
        <v/>
      </c>
      <c r="J745" t="str">
        <f t="shared" si="11"/>
        <v/>
      </c>
      <c r="K745" t="str">
        <f>+IF(E745="","",VLOOKUP(E745,CATALOGO!G:I,2,0))</f>
        <v/>
      </c>
      <c r="L745" t="str">
        <f>+IF(E745="","",VLOOKUP(E745,CATALOGO!G:I,3,0))</f>
        <v/>
      </c>
      <c r="M745" s="87" t="str">
        <f>IF('Consulta1'!I4837="","",'Consulta1'!I4837)</f>
        <v/>
      </c>
      <c r="N745" s="88" t="str">
        <f>IF('Consulta1'!J4837="","",'Consulta1'!J4837)</f>
        <v/>
      </c>
    </row>
    <row r="746" spans="1:14" ht="18.75" x14ac:dyDescent="0.25">
      <c r="A746" s="82" t="str">
        <f>IF('Consulta1'!A4838="","",'Consulta1'!A4838)</f>
        <v/>
      </c>
      <c r="B746" s="82" t="str">
        <f>IF('Consulta1'!B4838="","",'Consulta1'!B4838)</f>
        <v/>
      </c>
      <c r="C746" s="83" t="str">
        <f>IF('Consulta1'!C4838="","",'Consulta1'!C4838)</f>
        <v/>
      </c>
      <c r="D746" s="84" t="str">
        <f>IF('Consulta1'!D4838="","",'Consulta1'!D4838)</f>
        <v/>
      </c>
      <c r="E746" s="82" t="str">
        <f>IF('Consulta1'!E4838="","",'Consulta1'!E4838)</f>
        <v/>
      </c>
      <c r="F746" t="str">
        <f>+IF(E746="","",VLOOKUP(E746,CATALOGO!G:L,6,0))</f>
        <v/>
      </c>
      <c r="G746" s="85" t="str">
        <f>IF('Consulta1'!F4838="","",'Consulta1'!F4838)</f>
        <v/>
      </c>
      <c r="H746" s="85" t="str">
        <f>IF('Consulta1'!G4838="","",'Consulta1'!G4838)</f>
        <v/>
      </c>
      <c r="I746" s="86" t="str">
        <f>IF('Consulta1'!H4838="","",'Consulta1'!H4838)</f>
        <v/>
      </c>
      <c r="J746" t="str">
        <f t="shared" si="11"/>
        <v/>
      </c>
      <c r="K746" t="str">
        <f>+IF(E746="","",VLOOKUP(E746,CATALOGO!G:I,2,0))</f>
        <v/>
      </c>
      <c r="L746" t="str">
        <f>+IF(E746="","",VLOOKUP(E746,CATALOGO!G:I,3,0))</f>
        <v/>
      </c>
      <c r="M746" s="87" t="str">
        <f>IF('Consulta1'!I4838="","",'Consulta1'!I4838)</f>
        <v/>
      </c>
      <c r="N746" s="88" t="str">
        <f>IF('Consulta1'!J4838="","",'Consulta1'!J4838)</f>
        <v/>
      </c>
    </row>
    <row r="747" spans="1:14" ht="18.75" x14ac:dyDescent="0.25">
      <c r="A747" s="82" t="str">
        <f>IF('Consulta1'!A4839="","",'Consulta1'!A4839)</f>
        <v/>
      </c>
      <c r="B747" s="82" t="str">
        <f>IF('Consulta1'!B4839="","",'Consulta1'!B4839)</f>
        <v/>
      </c>
      <c r="C747" s="83" t="str">
        <f>IF('Consulta1'!C4839="","",'Consulta1'!C4839)</f>
        <v/>
      </c>
      <c r="D747" s="84" t="str">
        <f>IF('Consulta1'!D4839="","",'Consulta1'!D4839)</f>
        <v/>
      </c>
      <c r="E747" s="82" t="str">
        <f>IF('Consulta1'!E4839="","",'Consulta1'!E4839)</f>
        <v/>
      </c>
      <c r="F747" t="str">
        <f>+IF(E747="","",VLOOKUP(E747,CATALOGO!G:L,6,0))</f>
        <v/>
      </c>
      <c r="G747" s="85" t="str">
        <f>IF('Consulta1'!F4839="","",'Consulta1'!F4839)</f>
        <v/>
      </c>
      <c r="H747" s="85" t="str">
        <f>IF('Consulta1'!G4839="","",'Consulta1'!G4839)</f>
        <v/>
      </c>
      <c r="I747" s="86" t="str">
        <f>IF('Consulta1'!H4839="","",'Consulta1'!H4839)</f>
        <v/>
      </c>
      <c r="J747" t="str">
        <f t="shared" si="11"/>
        <v/>
      </c>
      <c r="K747" t="str">
        <f>+IF(E747="","",VLOOKUP(E747,CATALOGO!G:I,2,0))</f>
        <v/>
      </c>
      <c r="L747" t="str">
        <f>+IF(E747="","",VLOOKUP(E747,CATALOGO!G:I,3,0))</f>
        <v/>
      </c>
      <c r="M747" s="87" t="str">
        <f>IF('Consulta1'!I4839="","",'Consulta1'!I4839)</f>
        <v/>
      </c>
      <c r="N747" s="88" t="str">
        <f>IF('Consulta1'!J4839="","",'Consulta1'!J4839)</f>
        <v/>
      </c>
    </row>
    <row r="748" spans="1:14" ht="18.75" x14ac:dyDescent="0.25">
      <c r="A748" s="82" t="str">
        <f>IF('Consulta1'!A4840="","",'Consulta1'!A4840)</f>
        <v/>
      </c>
      <c r="B748" s="82" t="str">
        <f>IF('Consulta1'!B4840="","",'Consulta1'!B4840)</f>
        <v/>
      </c>
      <c r="C748" s="83" t="str">
        <f>IF('Consulta1'!C4840="","",'Consulta1'!C4840)</f>
        <v/>
      </c>
      <c r="D748" s="84" t="str">
        <f>IF('Consulta1'!D4840="","",'Consulta1'!D4840)</f>
        <v/>
      </c>
      <c r="E748" s="82" t="str">
        <f>IF('Consulta1'!E4840="","",'Consulta1'!E4840)</f>
        <v/>
      </c>
      <c r="F748" t="str">
        <f>+IF(E748="","",VLOOKUP(E748,CATALOGO!G:L,6,0))</f>
        <v/>
      </c>
      <c r="G748" s="85" t="str">
        <f>IF('Consulta1'!F4840="","",'Consulta1'!F4840)</f>
        <v/>
      </c>
      <c r="H748" s="85" t="str">
        <f>IF('Consulta1'!G4840="","",'Consulta1'!G4840)</f>
        <v/>
      </c>
      <c r="I748" s="86" t="str">
        <f>IF('Consulta1'!H4840="","",'Consulta1'!H4840)</f>
        <v/>
      </c>
      <c r="J748" t="str">
        <f t="shared" si="11"/>
        <v/>
      </c>
      <c r="K748" t="str">
        <f>+IF(E748="","",VLOOKUP(E748,CATALOGO!G:I,2,0))</f>
        <v/>
      </c>
      <c r="L748" t="str">
        <f>+IF(E748="","",VLOOKUP(E748,CATALOGO!G:I,3,0))</f>
        <v/>
      </c>
      <c r="M748" s="87" t="str">
        <f>IF('Consulta1'!I4840="","",'Consulta1'!I4840)</f>
        <v/>
      </c>
      <c r="N748" s="88" t="str">
        <f>IF('Consulta1'!J4840="","",'Consulta1'!J4840)</f>
        <v/>
      </c>
    </row>
    <row r="749" spans="1:14" ht="18.75" x14ac:dyDescent="0.25">
      <c r="A749" s="82" t="str">
        <f>IF('Consulta1'!A4841="","",'Consulta1'!A4841)</f>
        <v/>
      </c>
      <c r="B749" s="82" t="str">
        <f>IF('Consulta1'!B4841="","",'Consulta1'!B4841)</f>
        <v/>
      </c>
      <c r="C749" s="83" t="str">
        <f>IF('Consulta1'!C4841="","",'Consulta1'!C4841)</f>
        <v/>
      </c>
      <c r="D749" s="84" t="str">
        <f>IF('Consulta1'!D4841="","",'Consulta1'!D4841)</f>
        <v/>
      </c>
      <c r="E749" s="82" t="str">
        <f>IF('Consulta1'!E4841="","",'Consulta1'!E4841)</f>
        <v/>
      </c>
      <c r="F749" t="str">
        <f>+IF(E749="","",VLOOKUP(E749,CATALOGO!G:L,6,0))</f>
        <v/>
      </c>
      <c r="G749" s="85" t="str">
        <f>IF('Consulta1'!F4841="","",'Consulta1'!F4841)</f>
        <v/>
      </c>
      <c r="H749" s="85" t="str">
        <f>IF('Consulta1'!G4841="","",'Consulta1'!G4841)</f>
        <v/>
      </c>
      <c r="I749" s="86" t="str">
        <f>IF('Consulta1'!H4841="","",'Consulta1'!H4841)</f>
        <v/>
      </c>
      <c r="J749" t="str">
        <f t="shared" si="11"/>
        <v/>
      </c>
      <c r="K749" t="str">
        <f>+IF(E749="","",VLOOKUP(E749,CATALOGO!G:I,2,0))</f>
        <v/>
      </c>
      <c r="L749" t="str">
        <f>+IF(E749="","",VLOOKUP(E749,CATALOGO!G:I,3,0))</f>
        <v/>
      </c>
      <c r="M749" s="87" t="str">
        <f>IF('Consulta1'!I4841="","",'Consulta1'!I4841)</f>
        <v/>
      </c>
      <c r="N749" s="88" t="str">
        <f>IF('Consulta1'!J4841="","",'Consulta1'!J4841)</f>
        <v/>
      </c>
    </row>
    <row r="750" spans="1:14" ht="18.75" x14ac:dyDescent="0.25">
      <c r="A750" s="82" t="str">
        <f>IF('Consulta1'!A4842="","",'Consulta1'!A4842)</f>
        <v/>
      </c>
      <c r="B750" s="82" t="str">
        <f>IF('Consulta1'!B4842="","",'Consulta1'!B4842)</f>
        <v/>
      </c>
      <c r="C750" s="83" t="str">
        <f>IF('Consulta1'!C4842="","",'Consulta1'!C4842)</f>
        <v/>
      </c>
      <c r="D750" s="84" t="str">
        <f>IF('Consulta1'!D4842="","",'Consulta1'!D4842)</f>
        <v/>
      </c>
      <c r="E750" s="82" t="str">
        <f>IF('Consulta1'!E4842="","",'Consulta1'!E4842)</f>
        <v/>
      </c>
      <c r="F750" t="str">
        <f>+IF(E750="","",VLOOKUP(E750,CATALOGO!G:L,6,0))</f>
        <v/>
      </c>
      <c r="G750" s="85" t="str">
        <f>IF('Consulta1'!F4842="","",'Consulta1'!F4842)</f>
        <v/>
      </c>
      <c r="H750" s="85" t="str">
        <f>IF('Consulta1'!G4842="","",'Consulta1'!G4842)</f>
        <v/>
      </c>
      <c r="I750" s="86" t="str">
        <f>IF('Consulta1'!H4842="","",'Consulta1'!H4842)</f>
        <v/>
      </c>
      <c r="J750" t="str">
        <f t="shared" si="11"/>
        <v/>
      </c>
      <c r="K750" t="str">
        <f>+IF(E750="","",VLOOKUP(E750,CATALOGO!G:I,2,0))</f>
        <v/>
      </c>
      <c r="L750" t="str">
        <f>+IF(E750="","",VLOOKUP(E750,CATALOGO!G:I,3,0))</f>
        <v/>
      </c>
      <c r="M750" s="87" t="str">
        <f>IF('Consulta1'!I4842="","",'Consulta1'!I4842)</f>
        <v/>
      </c>
      <c r="N750" s="88" t="str">
        <f>IF('Consulta1'!J4842="","",'Consulta1'!J4842)</f>
        <v/>
      </c>
    </row>
    <row r="751" spans="1:14" ht="18.75" x14ac:dyDescent="0.25">
      <c r="A751" s="82" t="str">
        <f>IF('Consulta1'!A4843="","",'Consulta1'!A4843)</f>
        <v/>
      </c>
      <c r="B751" s="82" t="str">
        <f>IF('Consulta1'!B4843="","",'Consulta1'!B4843)</f>
        <v/>
      </c>
      <c r="C751" s="83" t="str">
        <f>IF('Consulta1'!C4843="","",'Consulta1'!C4843)</f>
        <v/>
      </c>
      <c r="D751" s="84" t="str">
        <f>IF('Consulta1'!D4843="","",'Consulta1'!D4843)</f>
        <v/>
      </c>
      <c r="E751" s="82" t="str">
        <f>IF('Consulta1'!E4843="","",'Consulta1'!E4843)</f>
        <v/>
      </c>
      <c r="F751" t="str">
        <f>+IF(E751="","",VLOOKUP(E751,CATALOGO!G:L,6,0))</f>
        <v/>
      </c>
      <c r="G751" s="85" t="str">
        <f>IF('Consulta1'!F4843="","",'Consulta1'!F4843)</f>
        <v/>
      </c>
      <c r="H751" s="85" t="str">
        <f>IF('Consulta1'!G4843="","",'Consulta1'!G4843)</f>
        <v/>
      </c>
      <c r="I751" s="86" t="str">
        <f>IF('Consulta1'!H4843="","",'Consulta1'!H4843)</f>
        <v/>
      </c>
      <c r="J751" t="str">
        <f t="shared" si="11"/>
        <v/>
      </c>
      <c r="K751" t="str">
        <f>+IF(E751="","",VLOOKUP(E751,CATALOGO!G:I,2,0))</f>
        <v/>
      </c>
      <c r="L751" t="str">
        <f>+IF(E751="","",VLOOKUP(E751,CATALOGO!G:I,3,0))</f>
        <v/>
      </c>
      <c r="M751" s="87" t="str">
        <f>IF('Consulta1'!I4843="","",'Consulta1'!I4843)</f>
        <v/>
      </c>
      <c r="N751" s="88" t="str">
        <f>IF('Consulta1'!J4843="","",'Consulta1'!J4843)</f>
        <v/>
      </c>
    </row>
    <row r="752" spans="1:14" ht="18.75" x14ac:dyDescent="0.25">
      <c r="A752" s="82" t="str">
        <f>IF('Consulta1'!A4844="","",'Consulta1'!A4844)</f>
        <v/>
      </c>
      <c r="B752" s="82" t="str">
        <f>IF('Consulta1'!B4844="","",'Consulta1'!B4844)</f>
        <v/>
      </c>
      <c r="C752" s="83" t="str">
        <f>IF('Consulta1'!C4844="","",'Consulta1'!C4844)</f>
        <v/>
      </c>
      <c r="D752" s="84" t="str">
        <f>IF('Consulta1'!D4844="","",'Consulta1'!D4844)</f>
        <v/>
      </c>
      <c r="E752" s="82" t="str">
        <f>IF('Consulta1'!E4844="","",'Consulta1'!E4844)</f>
        <v/>
      </c>
      <c r="F752" t="str">
        <f>+IF(E752="","",VLOOKUP(E752,CATALOGO!G:L,6,0))</f>
        <v/>
      </c>
      <c r="G752" s="85" t="str">
        <f>IF('Consulta1'!F4844="","",'Consulta1'!F4844)</f>
        <v/>
      </c>
      <c r="H752" s="85" t="str">
        <f>IF('Consulta1'!G4844="","",'Consulta1'!G4844)</f>
        <v/>
      </c>
      <c r="I752" s="86" t="str">
        <f>IF('Consulta1'!H4844="","",'Consulta1'!H4844)</f>
        <v/>
      </c>
      <c r="J752" t="str">
        <f t="shared" si="11"/>
        <v/>
      </c>
      <c r="K752" t="str">
        <f>+IF(E752="","",VLOOKUP(E752,CATALOGO!G:I,2,0))</f>
        <v/>
      </c>
      <c r="L752" t="str">
        <f>+IF(E752="","",VLOOKUP(E752,CATALOGO!G:I,3,0))</f>
        <v/>
      </c>
      <c r="M752" s="87" t="str">
        <f>IF('Consulta1'!I4844="","",'Consulta1'!I4844)</f>
        <v/>
      </c>
      <c r="N752" s="88" t="str">
        <f>IF('Consulta1'!J4844="","",'Consulta1'!J4844)</f>
        <v/>
      </c>
    </row>
    <row r="753" spans="1:14" ht="18.75" x14ac:dyDescent="0.25">
      <c r="A753" s="82" t="str">
        <f>IF('Consulta1'!A4845="","",'Consulta1'!A4845)</f>
        <v/>
      </c>
      <c r="B753" s="82" t="str">
        <f>IF('Consulta1'!B4845="","",'Consulta1'!B4845)</f>
        <v/>
      </c>
      <c r="C753" s="83" t="str">
        <f>IF('Consulta1'!C4845="","",'Consulta1'!C4845)</f>
        <v/>
      </c>
      <c r="D753" s="84" t="str">
        <f>IF('Consulta1'!D4845="","",'Consulta1'!D4845)</f>
        <v/>
      </c>
      <c r="E753" s="82" t="str">
        <f>IF('Consulta1'!E4845="","",'Consulta1'!E4845)</f>
        <v/>
      </c>
      <c r="F753" t="str">
        <f>+IF(E753="","",VLOOKUP(E753,CATALOGO!G:L,6,0))</f>
        <v/>
      </c>
      <c r="G753" s="85" t="str">
        <f>IF('Consulta1'!F4845="","",'Consulta1'!F4845)</f>
        <v/>
      </c>
      <c r="H753" s="85" t="str">
        <f>IF('Consulta1'!G4845="","",'Consulta1'!G4845)</f>
        <v/>
      </c>
      <c r="I753" s="86" t="str">
        <f>IF('Consulta1'!H4845="","",'Consulta1'!H4845)</f>
        <v/>
      </c>
      <c r="J753" t="str">
        <f t="shared" si="11"/>
        <v/>
      </c>
      <c r="K753" t="str">
        <f>+IF(E753="","",VLOOKUP(E753,CATALOGO!G:I,2,0))</f>
        <v/>
      </c>
      <c r="L753" t="str">
        <f>+IF(E753="","",VLOOKUP(E753,CATALOGO!G:I,3,0))</f>
        <v/>
      </c>
      <c r="M753" s="87" t="str">
        <f>IF('Consulta1'!I4845="","",'Consulta1'!I4845)</f>
        <v/>
      </c>
      <c r="N753" s="88" t="str">
        <f>IF('Consulta1'!J4845="","",'Consulta1'!J4845)</f>
        <v/>
      </c>
    </row>
    <row r="754" spans="1:14" ht="18.75" x14ac:dyDescent="0.25">
      <c r="A754" s="82" t="str">
        <f>IF('Consulta1'!A4846="","",'Consulta1'!A4846)</f>
        <v/>
      </c>
      <c r="B754" s="82" t="str">
        <f>IF('Consulta1'!B4846="","",'Consulta1'!B4846)</f>
        <v/>
      </c>
      <c r="C754" s="83" t="str">
        <f>IF('Consulta1'!C4846="","",'Consulta1'!C4846)</f>
        <v/>
      </c>
      <c r="D754" s="84" t="str">
        <f>IF('Consulta1'!D4846="","",'Consulta1'!D4846)</f>
        <v/>
      </c>
      <c r="E754" s="82" t="str">
        <f>IF('Consulta1'!E4846="","",'Consulta1'!E4846)</f>
        <v/>
      </c>
      <c r="F754" t="str">
        <f>+IF(E754="","",VLOOKUP(E754,CATALOGO!G:L,6,0))</f>
        <v/>
      </c>
      <c r="G754" s="85" t="str">
        <f>IF('Consulta1'!F4846="","",'Consulta1'!F4846)</f>
        <v/>
      </c>
      <c r="H754" s="85" t="str">
        <f>IF('Consulta1'!G4846="","",'Consulta1'!G4846)</f>
        <v/>
      </c>
      <c r="I754" s="86" t="str">
        <f>IF('Consulta1'!H4846="","",'Consulta1'!H4846)</f>
        <v/>
      </c>
      <c r="J754" t="str">
        <f t="shared" si="11"/>
        <v/>
      </c>
      <c r="K754" t="str">
        <f>+IF(E754="","",VLOOKUP(E754,CATALOGO!G:I,2,0))</f>
        <v/>
      </c>
      <c r="L754" t="str">
        <f>+IF(E754="","",VLOOKUP(E754,CATALOGO!G:I,3,0))</f>
        <v/>
      </c>
      <c r="M754" s="87" t="str">
        <f>IF('Consulta1'!I4846="","",'Consulta1'!I4846)</f>
        <v/>
      </c>
      <c r="N754" s="88" t="str">
        <f>IF('Consulta1'!J4846="","",'Consulta1'!J4846)</f>
        <v/>
      </c>
    </row>
    <row r="755" spans="1:14" ht="18.75" x14ac:dyDescent="0.25">
      <c r="A755" s="82" t="str">
        <f>IF('Consulta1'!A4847="","",'Consulta1'!A4847)</f>
        <v/>
      </c>
      <c r="B755" s="82" t="str">
        <f>IF('Consulta1'!B4847="","",'Consulta1'!B4847)</f>
        <v/>
      </c>
      <c r="C755" s="83" t="str">
        <f>IF('Consulta1'!C4847="","",'Consulta1'!C4847)</f>
        <v/>
      </c>
      <c r="D755" s="84" t="str">
        <f>IF('Consulta1'!D4847="","",'Consulta1'!D4847)</f>
        <v/>
      </c>
      <c r="E755" s="82" t="str">
        <f>IF('Consulta1'!E4847="","",'Consulta1'!E4847)</f>
        <v/>
      </c>
      <c r="F755" t="str">
        <f>+IF(E755="","",VLOOKUP(E755,CATALOGO!G:L,6,0))</f>
        <v/>
      </c>
      <c r="G755" s="85" t="str">
        <f>IF('Consulta1'!F4847="","",'Consulta1'!F4847)</f>
        <v/>
      </c>
      <c r="H755" s="85" t="str">
        <f>IF('Consulta1'!G4847="","",'Consulta1'!G4847)</f>
        <v/>
      </c>
      <c r="I755" s="86" t="str">
        <f>IF('Consulta1'!H4847="","",'Consulta1'!H4847)</f>
        <v/>
      </c>
      <c r="J755" t="str">
        <f t="shared" si="11"/>
        <v/>
      </c>
      <c r="K755" t="str">
        <f>+IF(E755="","",VLOOKUP(E755,CATALOGO!G:I,2,0))</f>
        <v/>
      </c>
      <c r="L755" t="str">
        <f>+IF(E755="","",VLOOKUP(E755,CATALOGO!G:I,3,0))</f>
        <v/>
      </c>
      <c r="M755" s="87" t="str">
        <f>IF('Consulta1'!I4847="","",'Consulta1'!I4847)</f>
        <v/>
      </c>
      <c r="N755" s="88" t="str">
        <f>IF('Consulta1'!J4847="","",'Consulta1'!J4847)</f>
        <v/>
      </c>
    </row>
    <row r="756" spans="1:14" ht="18.75" x14ac:dyDescent="0.25">
      <c r="A756" s="82" t="str">
        <f>IF('Consulta1'!A4848="","",'Consulta1'!A4848)</f>
        <v/>
      </c>
      <c r="B756" s="82" t="str">
        <f>IF('Consulta1'!B4848="","",'Consulta1'!B4848)</f>
        <v/>
      </c>
      <c r="C756" s="83" t="str">
        <f>IF('Consulta1'!C4848="","",'Consulta1'!C4848)</f>
        <v/>
      </c>
      <c r="D756" s="84" t="str">
        <f>IF('Consulta1'!D4848="","",'Consulta1'!D4848)</f>
        <v/>
      </c>
      <c r="E756" s="82" t="str">
        <f>IF('Consulta1'!E4848="","",'Consulta1'!E4848)</f>
        <v/>
      </c>
      <c r="F756" t="str">
        <f>+IF(E756="","",VLOOKUP(E756,CATALOGO!G:L,6,0))</f>
        <v/>
      </c>
      <c r="G756" s="85" t="str">
        <f>IF('Consulta1'!F4848="","",'Consulta1'!F4848)</f>
        <v/>
      </c>
      <c r="H756" s="85" t="str">
        <f>IF('Consulta1'!G4848="","",'Consulta1'!G4848)</f>
        <v/>
      </c>
      <c r="I756" s="86" t="str">
        <f>IF('Consulta1'!H4848="","",'Consulta1'!H4848)</f>
        <v/>
      </c>
      <c r="J756" t="str">
        <f t="shared" si="11"/>
        <v/>
      </c>
      <c r="K756" t="str">
        <f>+IF(E756="","",VLOOKUP(E756,CATALOGO!G:I,2,0))</f>
        <v/>
      </c>
      <c r="L756" t="str">
        <f>+IF(E756="","",VLOOKUP(E756,CATALOGO!G:I,3,0))</f>
        <v/>
      </c>
      <c r="M756" s="87" t="str">
        <f>IF('Consulta1'!I4848="","",'Consulta1'!I4848)</f>
        <v/>
      </c>
      <c r="N756" s="88" t="str">
        <f>IF('Consulta1'!J4848="","",'Consulta1'!J4848)</f>
        <v/>
      </c>
    </row>
    <row r="757" spans="1:14" ht="18.75" x14ac:dyDescent="0.25">
      <c r="A757" s="82" t="str">
        <f>IF('Consulta1'!A4849="","",'Consulta1'!A4849)</f>
        <v/>
      </c>
      <c r="B757" s="82" t="str">
        <f>IF('Consulta1'!B4849="","",'Consulta1'!B4849)</f>
        <v/>
      </c>
      <c r="C757" s="83" t="str">
        <f>IF('Consulta1'!C4849="","",'Consulta1'!C4849)</f>
        <v/>
      </c>
      <c r="D757" s="84" t="str">
        <f>IF('Consulta1'!D4849="","",'Consulta1'!D4849)</f>
        <v/>
      </c>
      <c r="E757" s="82" t="str">
        <f>IF('Consulta1'!E4849="","",'Consulta1'!E4849)</f>
        <v/>
      </c>
      <c r="F757" t="str">
        <f>+IF(E757="","",VLOOKUP(E757,CATALOGO!G:L,6,0))</f>
        <v/>
      </c>
      <c r="G757" s="85" t="str">
        <f>IF('Consulta1'!F4849="","",'Consulta1'!F4849)</f>
        <v/>
      </c>
      <c r="H757" s="85" t="str">
        <f>IF('Consulta1'!G4849="","",'Consulta1'!G4849)</f>
        <v/>
      </c>
      <c r="I757" s="86" t="str">
        <f>IF('Consulta1'!H4849="","",'Consulta1'!H4849)</f>
        <v/>
      </c>
      <c r="J757" t="str">
        <f t="shared" si="11"/>
        <v/>
      </c>
      <c r="K757" t="str">
        <f>+IF(E757="","",VLOOKUP(E757,CATALOGO!G:I,2,0))</f>
        <v/>
      </c>
      <c r="L757" t="str">
        <f>+IF(E757="","",VLOOKUP(E757,CATALOGO!G:I,3,0))</f>
        <v/>
      </c>
      <c r="M757" s="87" t="str">
        <f>IF('Consulta1'!I4849="","",'Consulta1'!I4849)</f>
        <v/>
      </c>
      <c r="N757" s="88" t="str">
        <f>IF('Consulta1'!J4849="","",'Consulta1'!J4849)</f>
        <v/>
      </c>
    </row>
    <row r="758" spans="1:14" ht="18.75" x14ac:dyDescent="0.25">
      <c r="A758" s="82" t="str">
        <f>IF('Consulta1'!A4850="","",'Consulta1'!A4850)</f>
        <v/>
      </c>
      <c r="B758" s="82" t="str">
        <f>IF('Consulta1'!B4850="","",'Consulta1'!B4850)</f>
        <v/>
      </c>
      <c r="C758" s="83" t="str">
        <f>IF('Consulta1'!C4850="","",'Consulta1'!C4850)</f>
        <v/>
      </c>
      <c r="D758" s="84" t="str">
        <f>IF('Consulta1'!D4850="","",'Consulta1'!D4850)</f>
        <v/>
      </c>
      <c r="E758" s="82" t="str">
        <f>IF('Consulta1'!E4850="","",'Consulta1'!E4850)</f>
        <v/>
      </c>
      <c r="F758" t="str">
        <f>+IF(E758="","",VLOOKUP(E758,CATALOGO!G:L,6,0))</f>
        <v/>
      </c>
      <c r="G758" s="85" t="str">
        <f>IF('Consulta1'!F4850="","",'Consulta1'!F4850)</f>
        <v/>
      </c>
      <c r="H758" s="85" t="str">
        <f>IF('Consulta1'!G4850="","",'Consulta1'!G4850)</f>
        <v/>
      </c>
      <c r="I758" s="86" t="str">
        <f>IF('Consulta1'!H4850="","",'Consulta1'!H4850)</f>
        <v/>
      </c>
      <c r="J758" t="str">
        <f t="shared" si="11"/>
        <v/>
      </c>
      <c r="K758" t="str">
        <f>+IF(E758="","",VLOOKUP(E758,CATALOGO!G:I,2,0))</f>
        <v/>
      </c>
      <c r="L758" t="str">
        <f>+IF(E758="","",VLOOKUP(E758,CATALOGO!G:I,3,0))</f>
        <v/>
      </c>
      <c r="M758" s="87" t="str">
        <f>IF('Consulta1'!I4850="","",'Consulta1'!I4850)</f>
        <v/>
      </c>
      <c r="N758" s="88" t="str">
        <f>IF('Consulta1'!J4850="","",'Consulta1'!J4850)</f>
        <v/>
      </c>
    </row>
    <row r="759" spans="1:14" ht="18.75" x14ac:dyDescent="0.25">
      <c r="A759" s="82" t="str">
        <f>IF('Consulta1'!A4851="","",'Consulta1'!A4851)</f>
        <v/>
      </c>
      <c r="B759" s="82" t="str">
        <f>IF('Consulta1'!B4851="","",'Consulta1'!B4851)</f>
        <v/>
      </c>
      <c r="C759" s="83" t="str">
        <f>IF('Consulta1'!C4851="","",'Consulta1'!C4851)</f>
        <v/>
      </c>
      <c r="D759" s="84" t="str">
        <f>IF('Consulta1'!D4851="","",'Consulta1'!D4851)</f>
        <v/>
      </c>
      <c r="E759" s="82" t="str">
        <f>IF('Consulta1'!E4851="","",'Consulta1'!E4851)</f>
        <v/>
      </c>
      <c r="F759" t="str">
        <f>+IF(E759="","",VLOOKUP(E759,CATALOGO!G:L,6,0))</f>
        <v/>
      </c>
      <c r="G759" s="85" t="str">
        <f>IF('Consulta1'!F4851="","",'Consulta1'!F4851)</f>
        <v/>
      </c>
      <c r="H759" s="85" t="str">
        <f>IF('Consulta1'!G4851="","",'Consulta1'!G4851)</f>
        <v/>
      </c>
      <c r="I759" s="86" t="str">
        <f>IF('Consulta1'!H4851="","",'Consulta1'!H4851)</f>
        <v/>
      </c>
      <c r="J759" t="str">
        <f t="shared" si="11"/>
        <v/>
      </c>
      <c r="K759" t="str">
        <f>+IF(E759="","",VLOOKUP(E759,CATALOGO!G:I,2,0))</f>
        <v/>
      </c>
      <c r="L759" t="str">
        <f>+IF(E759="","",VLOOKUP(E759,CATALOGO!G:I,3,0))</f>
        <v/>
      </c>
      <c r="M759" s="87" t="str">
        <f>IF('Consulta1'!I4851="","",'Consulta1'!I4851)</f>
        <v/>
      </c>
      <c r="N759" s="88" t="str">
        <f>IF('Consulta1'!J4851="","",'Consulta1'!J4851)</f>
        <v/>
      </c>
    </row>
    <row r="760" spans="1:14" ht="18.75" x14ac:dyDescent="0.25">
      <c r="A760" s="82" t="str">
        <f>IF('Consulta1'!A4852="","",'Consulta1'!A4852)</f>
        <v/>
      </c>
      <c r="B760" s="82" t="str">
        <f>IF('Consulta1'!B4852="","",'Consulta1'!B4852)</f>
        <v/>
      </c>
      <c r="C760" s="83" t="str">
        <f>IF('Consulta1'!C4852="","",'Consulta1'!C4852)</f>
        <v/>
      </c>
      <c r="D760" s="84" t="str">
        <f>IF('Consulta1'!D4852="","",'Consulta1'!D4852)</f>
        <v/>
      </c>
      <c r="E760" s="82" t="str">
        <f>IF('Consulta1'!E4852="","",'Consulta1'!E4852)</f>
        <v/>
      </c>
      <c r="F760" t="str">
        <f>+IF(E760="","",VLOOKUP(E760,CATALOGO!G:L,6,0))</f>
        <v/>
      </c>
      <c r="G760" s="85" t="str">
        <f>IF('Consulta1'!F4852="","",'Consulta1'!F4852)</f>
        <v/>
      </c>
      <c r="H760" s="85" t="str">
        <f>IF('Consulta1'!G4852="","",'Consulta1'!G4852)</f>
        <v/>
      </c>
      <c r="I760" s="86" t="str">
        <f>IF('Consulta1'!H4852="","",'Consulta1'!H4852)</f>
        <v/>
      </c>
      <c r="J760" t="str">
        <f t="shared" si="11"/>
        <v/>
      </c>
      <c r="K760" t="str">
        <f>+IF(E760="","",VLOOKUP(E760,CATALOGO!G:I,2,0))</f>
        <v/>
      </c>
      <c r="L760" t="str">
        <f>+IF(E760="","",VLOOKUP(E760,CATALOGO!G:I,3,0))</f>
        <v/>
      </c>
      <c r="M760" s="87" t="str">
        <f>IF('Consulta1'!I4852="","",'Consulta1'!I4852)</f>
        <v/>
      </c>
      <c r="N760" s="88" t="str">
        <f>IF('Consulta1'!J4852="","",'Consulta1'!J4852)</f>
        <v/>
      </c>
    </row>
    <row r="761" spans="1:14" ht="18.75" x14ac:dyDescent="0.25">
      <c r="A761" s="82" t="str">
        <f>IF('Consulta1'!A4853="","",'Consulta1'!A4853)</f>
        <v/>
      </c>
      <c r="B761" s="82" t="str">
        <f>IF('Consulta1'!B4853="","",'Consulta1'!B4853)</f>
        <v/>
      </c>
      <c r="C761" s="83" t="str">
        <f>IF('Consulta1'!C4853="","",'Consulta1'!C4853)</f>
        <v/>
      </c>
      <c r="D761" s="84" t="str">
        <f>IF('Consulta1'!D4853="","",'Consulta1'!D4853)</f>
        <v/>
      </c>
      <c r="E761" s="82" t="str">
        <f>IF('Consulta1'!E4853="","",'Consulta1'!E4853)</f>
        <v/>
      </c>
      <c r="F761" t="str">
        <f>+IF(E761="","",VLOOKUP(E761,CATALOGO!G:L,6,0))</f>
        <v/>
      </c>
      <c r="G761" s="85" t="str">
        <f>IF('Consulta1'!F4853="","",'Consulta1'!F4853)</f>
        <v/>
      </c>
      <c r="H761" s="85" t="str">
        <f>IF('Consulta1'!G4853="","",'Consulta1'!G4853)</f>
        <v/>
      </c>
      <c r="I761" s="86" t="str">
        <f>IF('Consulta1'!H4853="","",'Consulta1'!H4853)</f>
        <v/>
      </c>
      <c r="J761" t="str">
        <f t="shared" si="11"/>
        <v/>
      </c>
      <c r="K761" t="str">
        <f>+IF(E761="","",VLOOKUP(E761,CATALOGO!G:I,2,0))</f>
        <v/>
      </c>
      <c r="L761" t="str">
        <f>+IF(E761="","",VLOOKUP(E761,CATALOGO!G:I,3,0))</f>
        <v/>
      </c>
      <c r="M761" s="87" t="str">
        <f>IF('Consulta1'!I4853="","",'Consulta1'!I4853)</f>
        <v/>
      </c>
      <c r="N761" s="88" t="str">
        <f>IF('Consulta1'!J4853="","",'Consulta1'!J4853)</f>
        <v/>
      </c>
    </row>
    <row r="762" spans="1:14" ht="18.75" x14ac:dyDescent="0.25">
      <c r="A762" s="82" t="str">
        <f>IF('Consulta1'!A4854="","",'Consulta1'!A4854)</f>
        <v/>
      </c>
      <c r="B762" s="82" t="str">
        <f>IF('Consulta1'!B4854="","",'Consulta1'!B4854)</f>
        <v/>
      </c>
      <c r="C762" s="83" t="str">
        <f>IF('Consulta1'!C4854="","",'Consulta1'!C4854)</f>
        <v/>
      </c>
      <c r="D762" s="84" t="str">
        <f>IF('Consulta1'!D4854="","",'Consulta1'!D4854)</f>
        <v/>
      </c>
      <c r="E762" s="82" t="str">
        <f>IF('Consulta1'!E4854="","",'Consulta1'!E4854)</f>
        <v/>
      </c>
      <c r="F762" t="str">
        <f>+IF(E762="","",VLOOKUP(E762,CATALOGO!G:L,6,0))</f>
        <v/>
      </c>
      <c r="G762" s="85" t="str">
        <f>IF('Consulta1'!F4854="","",'Consulta1'!F4854)</f>
        <v/>
      </c>
      <c r="H762" s="85" t="str">
        <f>IF('Consulta1'!G4854="","",'Consulta1'!G4854)</f>
        <v/>
      </c>
      <c r="I762" s="86" t="str">
        <f>IF('Consulta1'!H4854="","",'Consulta1'!H4854)</f>
        <v/>
      </c>
      <c r="J762" t="str">
        <f t="shared" si="11"/>
        <v/>
      </c>
      <c r="K762" t="str">
        <f>+IF(E762="","",VLOOKUP(E762,CATALOGO!G:I,2,0))</f>
        <v/>
      </c>
      <c r="L762" t="str">
        <f>+IF(E762="","",VLOOKUP(E762,CATALOGO!G:I,3,0))</f>
        <v/>
      </c>
      <c r="M762" s="87" t="str">
        <f>IF('Consulta1'!I4854="","",'Consulta1'!I4854)</f>
        <v/>
      </c>
      <c r="N762" s="88" t="str">
        <f>IF('Consulta1'!J4854="","",'Consulta1'!J4854)</f>
        <v/>
      </c>
    </row>
    <row r="763" spans="1:14" ht="18.75" x14ac:dyDescent="0.25">
      <c r="A763" s="82" t="str">
        <f>IF('Consulta1'!A4855="","",'Consulta1'!A4855)</f>
        <v/>
      </c>
      <c r="B763" s="82" t="str">
        <f>IF('Consulta1'!B4855="","",'Consulta1'!B4855)</f>
        <v/>
      </c>
      <c r="C763" s="83" t="str">
        <f>IF('Consulta1'!C4855="","",'Consulta1'!C4855)</f>
        <v/>
      </c>
      <c r="D763" s="84" t="str">
        <f>IF('Consulta1'!D4855="","",'Consulta1'!D4855)</f>
        <v/>
      </c>
      <c r="E763" s="82" t="str">
        <f>IF('Consulta1'!E4855="","",'Consulta1'!E4855)</f>
        <v/>
      </c>
      <c r="F763" t="str">
        <f>+IF(E763="","",VLOOKUP(E763,CATALOGO!G:L,6,0))</f>
        <v/>
      </c>
      <c r="G763" s="85" t="str">
        <f>IF('Consulta1'!F4855="","",'Consulta1'!F4855)</f>
        <v/>
      </c>
      <c r="H763" s="85" t="str">
        <f>IF('Consulta1'!G4855="","",'Consulta1'!G4855)</f>
        <v/>
      </c>
      <c r="I763" s="86" t="str">
        <f>IF('Consulta1'!H4855="","",'Consulta1'!H4855)</f>
        <v/>
      </c>
      <c r="J763" t="str">
        <f t="shared" si="11"/>
        <v/>
      </c>
      <c r="K763" t="str">
        <f>+IF(E763="","",VLOOKUP(E763,CATALOGO!G:I,2,0))</f>
        <v/>
      </c>
      <c r="L763" t="str">
        <f>+IF(E763="","",VLOOKUP(E763,CATALOGO!G:I,3,0))</f>
        <v/>
      </c>
      <c r="M763" s="87" t="str">
        <f>IF('Consulta1'!I4855="","",'Consulta1'!I4855)</f>
        <v/>
      </c>
      <c r="N763" s="88" t="str">
        <f>IF('Consulta1'!J4855="","",'Consulta1'!J4855)</f>
        <v/>
      </c>
    </row>
    <row r="764" spans="1:14" ht="18.75" x14ac:dyDescent="0.25">
      <c r="A764" s="82" t="str">
        <f>IF('Consulta1'!A4856="","",'Consulta1'!A4856)</f>
        <v/>
      </c>
      <c r="B764" s="82" t="str">
        <f>IF('Consulta1'!B4856="","",'Consulta1'!B4856)</f>
        <v/>
      </c>
      <c r="C764" s="83" t="str">
        <f>IF('Consulta1'!C4856="","",'Consulta1'!C4856)</f>
        <v/>
      </c>
      <c r="D764" s="84" t="str">
        <f>IF('Consulta1'!D4856="","",'Consulta1'!D4856)</f>
        <v/>
      </c>
      <c r="E764" s="82" t="str">
        <f>IF('Consulta1'!E4856="","",'Consulta1'!E4856)</f>
        <v/>
      </c>
      <c r="F764" t="str">
        <f>+IF(E764="","",VLOOKUP(E764,CATALOGO!G:L,6,0))</f>
        <v/>
      </c>
      <c r="G764" s="85" t="str">
        <f>IF('Consulta1'!F4856="","",'Consulta1'!F4856)</f>
        <v/>
      </c>
      <c r="H764" s="85" t="str">
        <f>IF('Consulta1'!G4856="","",'Consulta1'!G4856)</f>
        <v/>
      </c>
      <c r="I764" s="86" t="str">
        <f>IF('Consulta1'!H4856="","",'Consulta1'!H4856)</f>
        <v/>
      </c>
      <c r="J764" t="str">
        <f t="shared" si="11"/>
        <v/>
      </c>
      <c r="K764" t="str">
        <f>+IF(E764="","",VLOOKUP(E764,CATALOGO!G:I,2,0))</f>
        <v/>
      </c>
      <c r="L764" t="str">
        <f>+IF(E764="","",VLOOKUP(E764,CATALOGO!G:I,3,0))</f>
        <v/>
      </c>
      <c r="M764" s="87" t="str">
        <f>IF('Consulta1'!I4856="","",'Consulta1'!I4856)</f>
        <v/>
      </c>
      <c r="N764" s="88" t="str">
        <f>IF('Consulta1'!J4856="","",'Consulta1'!J4856)</f>
        <v/>
      </c>
    </row>
    <row r="765" spans="1:14" ht="18.75" x14ac:dyDescent="0.25">
      <c r="A765" s="82" t="str">
        <f>IF('Consulta1'!A4857="","",'Consulta1'!A4857)</f>
        <v/>
      </c>
      <c r="B765" s="82" t="str">
        <f>IF('Consulta1'!B4857="","",'Consulta1'!B4857)</f>
        <v/>
      </c>
      <c r="C765" s="83" t="str">
        <f>IF('Consulta1'!C4857="","",'Consulta1'!C4857)</f>
        <v/>
      </c>
      <c r="D765" s="84" t="str">
        <f>IF('Consulta1'!D4857="","",'Consulta1'!D4857)</f>
        <v/>
      </c>
      <c r="E765" s="82" t="str">
        <f>IF('Consulta1'!E4857="","",'Consulta1'!E4857)</f>
        <v/>
      </c>
      <c r="F765" t="str">
        <f>+IF(E765="","",VLOOKUP(E765,CATALOGO!G:L,6,0))</f>
        <v/>
      </c>
      <c r="G765" s="85" t="str">
        <f>IF('Consulta1'!F4857="","",'Consulta1'!F4857)</f>
        <v/>
      </c>
      <c r="H765" s="85" t="str">
        <f>IF('Consulta1'!G4857="","",'Consulta1'!G4857)</f>
        <v/>
      </c>
      <c r="I765" s="86" t="str">
        <f>IF('Consulta1'!H4857="","",'Consulta1'!H4857)</f>
        <v/>
      </c>
      <c r="J765" t="str">
        <f t="shared" si="11"/>
        <v/>
      </c>
      <c r="K765" t="str">
        <f>+IF(E765="","",VLOOKUP(E765,CATALOGO!G:I,2,0))</f>
        <v/>
      </c>
      <c r="L765" t="str">
        <f>+IF(E765="","",VLOOKUP(E765,CATALOGO!G:I,3,0))</f>
        <v/>
      </c>
      <c r="M765" s="87" t="str">
        <f>IF('Consulta1'!I4857="","",'Consulta1'!I4857)</f>
        <v/>
      </c>
      <c r="N765" s="88" t="str">
        <f>IF('Consulta1'!J4857="","",'Consulta1'!J4857)</f>
        <v/>
      </c>
    </row>
    <row r="766" spans="1:14" ht="18.75" x14ac:dyDescent="0.25">
      <c r="A766" s="82" t="str">
        <f>IF('Consulta1'!A4858="","",'Consulta1'!A4858)</f>
        <v/>
      </c>
      <c r="B766" s="82" t="str">
        <f>IF('Consulta1'!B4858="","",'Consulta1'!B4858)</f>
        <v/>
      </c>
      <c r="C766" s="83" t="str">
        <f>IF('Consulta1'!C4858="","",'Consulta1'!C4858)</f>
        <v/>
      </c>
      <c r="D766" s="84" t="str">
        <f>IF('Consulta1'!D4858="","",'Consulta1'!D4858)</f>
        <v/>
      </c>
      <c r="E766" s="82" t="str">
        <f>IF('Consulta1'!E4858="","",'Consulta1'!E4858)</f>
        <v/>
      </c>
      <c r="F766" t="str">
        <f>+IF(E766="","",VLOOKUP(E766,CATALOGO!G:L,6,0))</f>
        <v/>
      </c>
      <c r="G766" s="85" t="str">
        <f>IF('Consulta1'!F4858="","",'Consulta1'!F4858)</f>
        <v/>
      </c>
      <c r="H766" s="85" t="str">
        <f>IF('Consulta1'!G4858="","",'Consulta1'!G4858)</f>
        <v/>
      </c>
      <c r="I766" s="86" t="str">
        <f>IF('Consulta1'!H4858="","",'Consulta1'!H4858)</f>
        <v/>
      </c>
      <c r="J766" t="str">
        <f t="shared" si="11"/>
        <v/>
      </c>
      <c r="K766" t="str">
        <f>+IF(E766="","",VLOOKUP(E766,CATALOGO!G:I,2,0))</f>
        <v/>
      </c>
      <c r="L766" t="str">
        <f>+IF(E766="","",VLOOKUP(E766,CATALOGO!G:I,3,0))</f>
        <v/>
      </c>
      <c r="M766" s="87" t="str">
        <f>IF('Consulta1'!I4858="","",'Consulta1'!I4858)</f>
        <v/>
      </c>
      <c r="N766" s="88" t="str">
        <f>IF('Consulta1'!J4858="","",'Consulta1'!J4858)</f>
        <v/>
      </c>
    </row>
    <row r="767" spans="1:14" ht="18.75" x14ac:dyDescent="0.25">
      <c r="A767" s="82" t="str">
        <f>IF('Consulta1'!A4859="","",'Consulta1'!A4859)</f>
        <v/>
      </c>
      <c r="B767" s="82" t="str">
        <f>IF('Consulta1'!B4859="","",'Consulta1'!B4859)</f>
        <v/>
      </c>
      <c r="C767" s="83" t="str">
        <f>IF('Consulta1'!C4859="","",'Consulta1'!C4859)</f>
        <v/>
      </c>
      <c r="D767" s="84" t="str">
        <f>IF('Consulta1'!D4859="","",'Consulta1'!D4859)</f>
        <v/>
      </c>
      <c r="E767" s="82" t="str">
        <f>IF('Consulta1'!E4859="","",'Consulta1'!E4859)</f>
        <v/>
      </c>
      <c r="F767" t="str">
        <f>+IF(E767="","",VLOOKUP(E767,CATALOGO!G:L,6,0))</f>
        <v/>
      </c>
      <c r="G767" s="85" t="str">
        <f>IF('Consulta1'!F4859="","",'Consulta1'!F4859)</f>
        <v/>
      </c>
      <c r="H767" s="85" t="str">
        <f>IF('Consulta1'!G4859="","",'Consulta1'!G4859)</f>
        <v/>
      </c>
      <c r="I767" s="86" t="str">
        <f>IF('Consulta1'!H4859="","",'Consulta1'!H4859)</f>
        <v/>
      </c>
      <c r="J767" t="str">
        <f t="shared" si="11"/>
        <v/>
      </c>
      <c r="K767" t="str">
        <f>+IF(E767="","",VLOOKUP(E767,CATALOGO!G:I,2,0))</f>
        <v/>
      </c>
      <c r="L767" t="str">
        <f>+IF(E767="","",VLOOKUP(E767,CATALOGO!G:I,3,0))</f>
        <v/>
      </c>
      <c r="M767" s="87" t="str">
        <f>IF('Consulta1'!I4859="","",'Consulta1'!I4859)</f>
        <v/>
      </c>
      <c r="N767" s="88" t="str">
        <f>IF('Consulta1'!J4859="","",'Consulta1'!J4859)</f>
        <v/>
      </c>
    </row>
    <row r="768" spans="1:14" ht="18.75" x14ac:dyDescent="0.25">
      <c r="A768" s="82" t="str">
        <f>IF('Consulta1'!A4860="","",'Consulta1'!A4860)</f>
        <v/>
      </c>
      <c r="B768" s="82" t="str">
        <f>IF('Consulta1'!B4860="","",'Consulta1'!B4860)</f>
        <v/>
      </c>
      <c r="C768" s="83" t="str">
        <f>IF('Consulta1'!C4860="","",'Consulta1'!C4860)</f>
        <v/>
      </c>
      <c r="D768" s="84" t="str">
        <f>IF('Consulta1'!D4860="","",'Consulta1'!D4860)</f>
        <v/>
      </c>
      <c r="E768" s="82" t="str">
        <f>IF('Consulta1'!E4860="","",'Consulta1'!E4860)</f>
        <v/>
      </c>
      <c r="F768" t="str">
        <f>+IF(E768="","",VLOOKUP(E768,CATALOGO!G:L,6,0))</f>
        <v/>
      </c>
      <c r="G768" s="85" t="str">
        <f>IF('Consulta1'!F4860="","",'Consulta1'!F4860)</f>
        <v/>
      </c>
      <c r="H768" s="85" t="str">
        <f>IF('Consulta1'!G4860="","",'Consulta1'!G4860)</f>
        <v/>
      </c>
      <c r="I768" s="86" t="str">
        <f>IF('Consulta1'!H4860="","",'Consulta1'!H4860)</f>
        <v/>
      </c>
      <c r="J768" t="str">
        <f t="shared" si="11"/>
        <v/>
      </c>
      <c r="K768" t="str">
        <f>+IF(E768="","",VLOOKUP(E768,CATALOGO!G:I,2,0))</f>
        <v/>
      </c>
      <c r="L768" t="str">
        <f>+IF(E768="","",VLOOKUP(E768,CATALOGO!G:I,3,0))</f>
        <v/>
      </c>
      <c r="M768" s="87" t="str">
        <f>IF('Consulta1'!I4860="","",'Consulta1'!I4860)</f>
        <v/>
      </c>
      <c r="N768" s="88" t="str">
        <f>IF('Consulta1'!J4860="","",'Consulta1'!J4860)</f>
        <v/>
      </c>
    </row>
    <row r="769" spans="1:14" ht="18.75" x14ac:dyDescent="0.25">
      <c r="A769" s="82" t="str">
        <f>IF('Consulta1'!A4861="","",'Consulta1'!A4861)</f>
        <v/>
      </c>
      <c r="B769" s="82" t="str">
        <f>IF('Consulta1'!B4861="","",'Consulta1'!B4861)</f>
        <v/>
      </c>
      <c r="C769" s="83" t="str">
        <f>IF('Consulta1'!C4861="","",'Consulta1'!C4861)</f>
        <v/>
      </c>
      <c r="D769" s="84" t="str">
        <f>IF('Consulta1'!D4861="","",'Consulta1'!D4861)</f>
        <v/>
      </c>
      <c r="E769" s="82" t="str">
        <f>IF('Consulta1'!E4861="","",'Consulta1'!E4861)</f>
        <v/>
      </c>
      <c r="F769" t="str">
        <f>+IF(E769="","",VLOOKUP(E769,CATALOGO!G:L,6,0))</f>
        <v/>
      </c>
      <c r="G769" s="85" t="str">
        <f>IF('Consulta1'!F4861="","",'Consulta1'!F4861)</f>
        <v/>
      </c>
      <c r="H769" s="85" t="str">
        <f>IF('Consulta1'!G4861="","",'Consulta1'!G4861)</f>
        <v/>
      </c>
      <c r="I769" s="86" t="str">
        <f>IF('Consulta1'!H4861="","",'Consulta1'!H4861)</f>
        <v/>
      </c>
      <c r="J769" t="str">
        <f t="shared" si="11"/>
        <v/>
      </c>
      <c r="K769" t="str">
        <f>+IF(E769="","",VLOOKUP(E769,CATALOGO!G:I,2,0))</f>
        <v/>
      </c>
      <c r="L769" t="str">
        <f>+IF(E769="","",VLOOKUP(E769,CATALOGO!G:I,3,0))</f>
        <v/>
      </c>
      <c r="M769" s="87" t="str">
        <f>IF('Consulta1'!I4861="","",'Consulta1'!I4861)</f>
        <v/>
      </c>
      <c r="N769" s="88" t="str">
        <f>IF('Consulta1'!J4861="","",'Consulta1'!J4861)</f>
        <v/>
      </c>
    </row>
    <row r="770" spans="1:14" ht="18.75" x14ac:dyDescent="0.25">
      <c r="A770" s="82" t="str">
        <f>IF('Consulta1'!A4862="","",'Consulta1'!A4862)</f>
        <v/>
      </c>
      <c r="B770" s="82" t="str">
        <f>IF('Consulta1'!B4862="","",'Consulta1'!B4862)</f>
        <v/>
      </c>
      <c r="C770" s="83" t="str">
        <f>IF('Consulta1'!C4862="","",'Consulta1'!C4862)</f>
        <v/>
      </c>
      <c r="D770" s="84" t="str">
        <f>IF('Consulta1'!D4862="","",'Consulta1'!D4862)</f>
        <v/>
      </c>
      <c r="E770" s="82" t="str">
        <f>IF('Consulta1'!E4862="","",'Consulta1'!E4862)</f>
        <v/>
      </c>
      <c r="F770" t="str">
        <f>+IF(E770="","",VLOOKUP(E770,CATALOGO!G:L,6,0))</f>
        <v/>
      </c>
      <c r="G770" s="85" t="str">
        <f>IF('Consulta1'!F4862="","",'Consulta1'!F4862)</f>
        <v/>
      </c>
      <c r="H770" s="85" t="str">
        <f>IF('Consulta1'!G4862="","",'Consulta1'!G4862)</f>
        <v/>
      </c>
      <c r="I770" s="86" t="str">
        <f>IF('Consulta1'!H4862="","",'Consulta1'!H4862)</f>
        <v/>
      </c>
      <c r="J770" t="str">
        <f t="shared" si="11"/>
        <v/>
      </c>
      <c r="K770" t="str">
        <f>+IF(E770="","",VLOOKUP(E770,CATALOGO!G:I,2,0))</f>
        <v/>
      </c>
      <c r="L770" t="str">
        <f>+IF(E770="","",VLOOKUP(E770,CATALOGO!G:I,3,0))</f>
        <v/>
      </c>
      <c r="M770" s="87" t="str">
        <f>IF('Consulta1'!I4862="","",'Consulta1'!I4862)</f>
        <v/>
      </c>
      <c r="N770" s="88" t="str">
        <f>IF('Consulta1'!J4862="","",'Consulta1'!J4862)</f>
        <v/>
      </c>
    </row>
    <row r="771" spans="1:14" ht="18.75" x14ac:dyDescent="0.25">
      <c r="A771" s="82" t="str">
        <f>IF('Consulta1'!A4863="","",'Consulta1'!A4863)</f>
        <v/>
      </c>
      <c r="B771" s="82" t="str">
        <f>IF('Consulta1'!B4863="","",'Consulta1'!B4863)</f>
        <v/>
      </c>
      <c r="C771" s="83" t="str">
        <f>IF('Consulta1'!C4863="","",'Consulta1'!C4863)</f>
        <v/>
      </c>
      <c r="D771" s="84" t="str">
        <f>IF('Consulta1'!D4863="","",'Consulta1'!D4863)</f>
        <v/>
      </c>
      <c r="E771" s="82" t="str">
        <f>IF('Consulta1'!E4863="","",'Consulta1'!E4863)</f>
        <v/>
      </c>
      <c r="F771" t="str">
        <f>+IF(E771="","",VLOOKUP(E771,CATALOGO!G:L,6,0))</f>
        <v/>
      </c>
      <c r="G771" s="85" t="str">
        <f>IF('Consulta1'!F4863="","",'Consulta1'!F4863)</f>
        <v/>
      </c>
      <c r="H771" s="85" t="str">
        <f>IF('Consulta1'!G4863="","",'Consulta1'!G4863)</f>
        <v/>
      </c>
      <c r="I771" s="86" t="str">
        <f>IF('Consulta1'!H4863="","",'Consulta1'!H4863)</f>
        <v/>
      </c>
      <c r="J771" t="str">
        <f t="shared" ref="J771:J834" si="12">+IF(E771="","",WEEKNUM(I771))</f>
        <v/>
      </c>
      <c r="K771" t="str">
        <f>+IF(E771="","",VLOOKUP(E771,CATALOGO!G:I,2,0))</f>
        <v/>
      </c>
      <c r="L771" t="str">
        <f>+IF(E771="","",VLOOKUP(E771,CATALOGO!G:I,3,0))</f>
        <v/>
      </c>
      <c r="M771" s="87" t="str">
        <f>IF('Consulta1'!I4863="","",'Consulta1'!I4863)</f>
        <v/>
      </c>
      <c r="N771" s="88" t="str">
        <f>IF('Consulta1'!J4863="","",'Consulta1'!J4863)</f>
        <v/>
      </c>
    </row>
    <row r="772" spans="1:14" ht="18.75" x14ac:dyDescent="0.25">
      <c r="A772" s="82" t="str">
        <f>IF('Consulta1'!A4864="","",'Consulta1'!A4864)</f>
        <v/>
      </c>
      <c r="B772" s="82" t="str">
        <f>IF('Consulta1'!B4864="","",'Consulta1'!B4864)</f>
        <v/>
      </c>
      <c r="C772" s="83" t="str">
        <f>IF('Consulta1'!C4864="","",'Consulta1'!C4864)</f>
        <v/>
      </c>
      <c r="D772" s="84" t="str">
        <f>IF('Consulta1'!D4864="","",'Consulta1'!D4864)</f>
        <v/>
      </c>
      <c r="E772" s="82" t="str">
        <f>IF('Consulta1'!E4864="","",'Consulta1'!E4864)</f>
        <v/>
      </c>
      <c r="F772" t="str">
        <f>+IF(E772="","",VLOOKUP(E772,CATALOGO!G:L,6,0))</f>
        <v/>
      </c>
      <c r="G772" s="85" t="str">
        <f>IF('Consulta1'!F4864="","",'Consulta1'!F4864)</f>
        <v/>
      </c>
      <c r="H772" s="85" t="str">
        <f>IF('Consulta1'!G4864="","",'Consulta1'!G4864)</f>
        <v/>
      </c>
      <c r="I772" s="86" t="str">
        <f>IF('Consulta1'!H4864="","",'Consulta1'!H4864)</f>
        <v/>
      </c>
      <c r="J772" t="str">
        <f t="shared" si="12"/>
        <v/>
      </c>
      <c r="K772" t="str">
        <f>+IF(E772="","",VLOOKUP(E772,CATALOGO!G:I,2,0))</f>
        <v/>
      </c>
      <c r="L772" t="str">
        <f>+IF(E772="","",VLOOKUP(E772,CATALOGO!G:I,3,0))</f>
        <v/>
      </c>
      <c r="M772" s="87" t="str">
        <f>IF('Consulta1'!I4864="","",'Consulta1'!I4864)</f>
        <v/>
      </c>
      <c r="N772" s="88" t="str">
        <f>IF('Consulta1'!J4864="","",'Consulta1'!J4864)</f>
        <v/>
      </c>
    </row>
    <row r="773" spans="1:14" ht="18.75" x14ac:dyDescent="0.25">
      <c r="A773" s="82" t="str">
        <f>IF('Consulta1'!A4865="","",'Consulta1'!A4865)</f>
        <v/>
      </c>
      <c r="B773" s="82" t="str">
        <f>IF('Consulta1'!B4865="","",'Consulta1'!B4865)</f>
        <v/>
      </c>
      <c r="C773" s="83" t="str">
        <f>IF('Consulta1'!C4865="","",'Consulta1'!C4865)</f>
        <v/>
      </c>
      <c r="D773" s="84" t="str">
        <f>IF('Consulta1'!D4865="","",'Consulta1'!D4865)</f>
        <v/>
      </c>
      <c r="E773" s="82" t="str">
        <f>IF('Consulta1'!E4865="","",'Consulta1'!E4865)</f>
        <v/>
      </c>
      <c r="F773" t="str">
        <f>+IF(E773="","",VLOOKUP(E773,CATALOGO!G:L,6,0))</f>
        <v/>
      </c>
      <c r="G773" s="85" t="str">
        <f>IF('Consulta1'!F4865="","",'Consulta1'!F4865)</f>
        <v/>
      </c>
      <c r="H773" s="85" t="str">
        <f>IF('Consulta1'!G4865="","",'Consulta1'!G4865)</f>
        <v/>
      </c>
      <c r="I773" s="86" t="str">
        <f>IF('Consulta1'!H4865="","",'Consulta1'!H4865)</f>
        <v/>
      </c>
      <c r="J773" t="str">
        <f t="shared" si="12"/>
        <v/>
      </c>
      <c r="K773" t="str">
        <f>+IF(E773="","",VLOOKUP(E773,CATALOGO!G:I,2,0))</f>
        <v/>
      </c>
      <c r="L773" t="str">
        <f>+IF(E773="","",VLOOKUP(E773,CATALOGO!G:I,3,0))</f>
        <v/>
      </c>
      <c r="M773" s="87" t="str">
        <f>IF('Consulta1'!I4865="","",'Consulta1'!I4865)</f>
        <v/>
      </c>
      <c r="N773" s="88" t="str">
        <f>IF('Consulta1'!J4865="","",'Consulta1'!J4865)</f>
        <v/>
      </c>
    </row>
    <row r="774" spans="1:14" ht="18.75" x14ac:dyDescent="0.25">
      <c r="A774" s="82" t="str">
        <f>IF('Consulta1'!A4866="","",'Consulta1'!A4866)</f>
        <v/>
      </c>
      <c r="B774" s="82" t="str">
        <f>IF('Consulta1'!B4866="","",'Consulta1'!B4866)</f>
        <v/>
      </c>
      <c r="C774" s="83" t="str">
        <f>IF('Consulta1'!C4866="","",'Consulta1'!C4866)</f>
        <v/>
      </c>
      <c r="D774" s="84" t="str">
        <f>IF('Consulta1'!D4866="","",'Consulta1'!D4866)</f>
        <v/>
      </c>
      <c r="E774" s="82" t="str">
        <f>IF('Consulta1'!E4866="","",'Consulta1'!E4866)</f>
        <v/>
      </c>
      <c r="F774" t="str">
        <f>+IF(E774="","",VLOOKUP(E774,CATALOGO!G:L,6,0))</f>
        <v/>
      </c>
      <c r="G774" s="85" t="str">
        <f>IF('Consulta1'!F4866="","",'Consulta1'!F4866)</f>
        <v/>
      </c>
      <c r="H774" s="85" t="str">
        <f>IF('Consulta1'!G4866="","",'Consulta1'!G4866)</f>
        <v/>
      </c>
      <c r="I774" s="86" t="str">
        <f>IF('Consulta1'!H4866="","",'Consulta1'!H4866)</f>
        <v/>
      </c>
      <c r="J774" t="str">
        <f t="shared" si="12"/>
        <v/>
      </c>
      <c r="K774" t="str">
        <f>+IF(E774="","",VLOOKUP(E774,CATALOGO!G:I,2,0))</f>
        <v/>
      </c>
      <c r="L774" t="str">
        <f>+IF(E774="","",VLOOKUP(E774,CATALOGO!G:I,3,0))</f>
        <v/>
      </c>
      <c r="M774" s="87" t="str">
        <f>IF('Consulta1'!I4866="","",'Consulta1'!I4866)</f>
        <v/>
      </c>
      <c r="N774" s="88" t="str">
        <f>IF('Consulta1'!J4866="","",'Consulta1'!J4866)</f>
        <v/>
      </c>
    </row>
    <row r="775" spans="1:14" ht="18.75" x14ac:dyDescent="0.25">
      <c r="A775" s="82" t="str">
        <f>IF('Consulta1'!A4867="","",'Consulta1'!A4867)</f>
        <v/>
      </c>
      <c r="B775" s="82" t="str">
        <f>IF('Consulta1'!B4867="","",'Consulta1'!B4867)</f>
        <v/>
      </c>
      <c r="C775" s="83" t="str">
        <f>IF('Consulta1'!C4867="","",'Consulta1'!C4867)</f>
        <v/>
      </c>
      <c r="D775" s="84" t="str">
        <f>IF('Consulta1'!D4867="","",'Consulta1'!D4867)</f>
        <v/>
      </c>
      <c r="E775" s="82" t="str">
        <f>IF('Consulta1'!E4867="","",'Consulta1'!E4867)</f>
        <v/>
      </c>
      <c r="F775" t="str">
        <f>+IF(E775="","",VLOOKUP(E775,CATALOGO!G:L,6,0))</f>
        <v/>
      </c>
      <c r="G775" s="85" t="str">
        <f>IF('Consulta1'!F4867="","",'Consulta1'!F4867)</f>
        <v/>
      </c>
      <c r="H775" s="85" t="str">
        <f>IF('Consulta1'!G4867="","",'Consulta1'!G4867)</f>
        <v/>
      </c>
      <c r="I775" s="86" t="str">
        <f>IF('Consulta1'!H4867="","",'Consulta1'!H4867)</f>
        <v/>
      </c>
      <c r="J775" t="str">
        <f t="shared" si="12"/>
        <v/>
      </c>
      <c r="K775" t="str">
        <f>+IF(E775="","",VLOOKUP(E775,CATALOGO!G:I,2,0))</f>
        <v/>
      </c>
      <c r="L775" t="str">
        <f>+IF(E775="","",VLOOKUP(E775,CATALOGO!G:I,3,0))</f>
        <v/>
      </c>
      <c r="M775" s="87" t="str">
        <f>IF('Consulta1'!I4867="","",'Consulta1'!I4867)</f>
        <v/>
      </c>
      <c r="N775" s="88" t="str">
        <f>IF('Consulta1'!J4867="","",'Consulta1'!J4867)</f>
        <v/>
      </c>
    </row>
    <row r="776" spans="1:14" ht="18.75" x14ac:dyDescent="0.25">
      <c r="A776" s="82" t="str">
        <f>IF('Consulta1'!A4868="","",'Consulta1'!A4868)</f>
        <v/>
      </c>
      <c r="B776" s="82" t="str">
        <f>IF('Consulta1'!B4868="","",'Consulta1'!B4868)</f>
        <v/>
      </c>
      <c r="C776" s="83" t="str">
        <f>IF('Consulta1'!C4868="","",'Consulta1'!C4868)</f>
        <v/>
      </c>
      <c r="D776" s="84" t="str">
        <f>IF('Consulta1'!D4868="","",'Consulta1'!D4868)</f>
        <v/>
      </c>
      <c r="E776" s="82" t="str">
        <f>IF('Consulta1'!E4868="","",'Consulta1'!E4868)</f>
        <v/>
      </c>
      <c r="F776" t="str">
        <f>+IF(E776="","",VLOOKUP(E776,CATALOGO!G:L,6,0))</f>
        <v/>
      </c>
      <c r="G776" s="85" t="str">
        <f>IF('Consulta1'!F4868="","",'Consulta1'!F4868)</f>
        <v/>
      </c>
      <c r="H776" s="85" t="str">
        <f>IF('Consulta1'!G4868="","",'Consulta1'!G4868)</f>
        <v/>
      </c>
      <c r="I776" s="86" t="str">
        <f>IF('Consulta1'!H4868="","",'Consulta1'!H4868)</f>
        <v/>
      </c>
      <c r="J776" t="str">
        <f t="shared" si="12"/>
        <v/>
      </c>
      <c r="K776" t="str">
        <f>+IF(E776="","",VLOOKUP(E776,CATALOGO!G:I,2,0))</f>
        <v/>
      </c>
      <c r="L776" t="str">
        <f>+IF(E776="","",VLOOKUP(E776,CATALOGO!G:I,3,0))</f>
        <v/>
      </c>
      <c r="M776" s="87" t="str">
        <f>IF('Consulta1'!I4868="","",'Consulta1'!I4868)</f>
        <v/>
      </c>
      <c r="N776" s="88" t="str">
        <f>IF('Consulta1'!J4868="","",'Consulta1'!J4868)</f>
        <v/>
      </c>
    </row>
    <row r="777" spans="1:14" ht="18.75" x14ac:dyDescent="0.25">
      <c r="A777" s="82" t="str">
        <f>IF('Consulta1'!A4869="","",'Consulta1'!A4869)</f>
        <v/>
      </c>
      <c r="B777" s="82" t="str">
        <f>IF('Consulta1'!B4869="","",'Consulta1'!B4869)</f>
        <v/>
      </c>
      <c r="C777" s="83" t="str">
        <f>IF('Consulta1'!C4869="","",'Consulta1'!C4869)</f>
        <v/>
      </c>
      <c r="D777" s="84" t="str">
        <f>IF('Consulta1'!D4869="","",'Consulta1'!D4869)</f>
        <v/>
      </c>
      <c r="E777" s="82" t="str">
        <f>IF('Consulta1'!E4869="","",'Consulta1'!E4869)</f>
        <v/>
      </c>
      <c r="F777" t="str">
        <f>+IF(E777="","",VLOOKUP(E777,CATALOGO!G:L,6,0))</f>
        <v/>
      </c>
      <c r="G777" s="85" t="str">
        <f>IF('Consulta1'!F4869="","",'Consulta1'!F4869)</f>
        <v/>
      </c>
      <c r="H777" s="85" t="str">
        <f>IF('Consulta1'!G4869="","",'Consulta1'!G4869)</f>
        <v/>
      </c>
      <c r="I777" s="86" t="str">
        <f>IF('Consulta1'!H4869="","",'Consulta1'!H4869)</f>
        <v/>
      </c>
      <c r="J777" t="str">
        <f t="shared" si="12"/>
        <v/>
      </c>
      <c r="K777" t="str">
        <f>+IF(E777="","",VLOOKUP(E777,CATALOGO!G:I,2,0))</f>
        <v/>
      </c>
      <c r="L777" t="str">
        <f>+IF(E777="","",VLOOKUP(E777,CATALOGO!G:I,3,0))</f>
        <v/>
      </c>
      <c r="M777" s="87" t="str">
        <f>IF('Consulta1'!I4869="","",'Consulta1'!I4869)</f>
        <v/>
      </c>
      <c r="N777" s="88" t="str">
        <f>IF('Consulta1'!J4869="","",'Consulta1'!J4869)</f>
        <v/>
      </c>
    </row>
    <row r="778" spans="1:14" ht="18.75" x14ac:dyDescent="0.25">
      <c r="A778" s="82" t="str">
        <f>IF('Consulta1'!A4870="","",'Consulta1'!A4870)</f>
        <v/>
      </c>
      <c r="B778" s="82" t="str">
        <f>IF('Consulta1'!B4870="","",'Consulta1'!B4870)</f>
        <v/>
      </c>
      <c r="C778" s="83" t="str">
        <f>IF('Consulta1'!C4870="","",'Consulta1'!C4870)</f>
        <v/>
      </c>
      <c r="D778" s="84" t="str">
        <f>IF('Consulta1'!D4870="","",'Consulta1'!D4870)</f>
        <v/>
      </c>
      <c r="E778" s="82" t="str">
        <f>IF('Consulta1'!E4870="","",'Consulta1'!E4870)</f>
        <v/>
      </c>
      <c r="F778" t="str">
        <f>+IF(E778="","",VLOOKUP(E778,CATALOGO!G:L,6,0))</f>
        <v/>
      </c>
      <c r="G778" s="85" t="str">
        <f>IF('Consulta1'!F4870="","",'Consulta1'!F4870)</f>
        <v/>
      </c>
      <c r="H778" s="85" t="str">
        <f>IF('Consulta1'!G4870="","",'Consulta1'!G4870)</f>
        <v/>
      </c>
      <c r="I778" s="86" t="str">
        <f>IF('Consulta1'!H4870="","",'Consulta1'!H4870)</f>
        <v/>
      </c>
      <c r="J778" t="str">
        <f t="shared" si="12"/>
        <v/>
      </c>
      <c r="K778" t="str">
        <f>+IF(E778="","",VLOOKUP(E778,CATALOGO!G:I,2,0))</f>
        <v/>
      </c>
      <c r="L778" t="str">
        <f>+IF(E778="","",VLOOKUP(E778,CATALOGO!G:I,3,0))</f>
        <v/>
      </c>
      <c r="M778" s="87" t="str">
        <f>IF('Consulta1'!I4870="","",'Consulta1'!I4870)</f>
        <v/>
      </c>
      <c r="N778" s="88" t="str">
        <f>IF('Consulta1'!J4870="","",'Consulta1'!J4870)</f>
        <v/>
      </c>
    </row>
    <row r="779" spans="1:14" ht="18.75" x14ac:dyDescent="0.25">
      <c r="A779" s="82" t="str">
        <f>IF('Consulta1'!A4871="","",'Consulta1'!A4871)</f>
        <v/>
      </c>
      <c r="B779" s="82" t="str">
        <f>IF('Consulta1'!B4871="","",'Consulta1'!B4871)</f>
        <v/>
      </c>
      <c r="C779" s="83" t="str">
        <f>IF('Consulta1'!C4871="","",'Consulta1'!C4871)</f>
        <v/>
      </c>
      <c r="D779" s="84" t="str">
        <f>IF('Consulta1'!D4871="","",'Consulta1'!D4871)</f>
        <v/>
      </c>
      <c r="E779" s="82" t="str">
        <f>IF('Consulta1'!E4871="","",'Consulta1'!E4871)</f>
        <v/>
      </c>
      <c r="F779" t="str">
        <f>+IF(E779="","",VLOOKUP(E779,CATALOGO!G:L,6,0))</f>
        <v/>
      </c>
      <c r="G779" s="85" t="str">
        <f>IF('Consulta1'!F4871="","",'Consulta1'!F4871)</f>
        <v/>
      </c>
      <c r="H779" s="85" t="str">
        <f>IF('Consulta1'!G4871="","",'Consulta1'!G4871)</f>
        <v/>
      </c>
      <c r="I779" s="86" t="str">
        <f>IF('Consulta1'!H4871="","",'Consulta1'!H4871)</f>
        <v/>
      </c>
      <c r="J779" t="str">
        <f t="shared" si="12"/>
        <v/>
      </c>
      <c r="K779" t="str">
        <f>+IF(E779="","",VLOOKUP(E779,CATALOGO!G:I,2,0))</f>
        <v/>
      </c>
      <c r="L779" t="str">
        <f>+IF(E779="","",VLOOKUP(E779,CATALOGO!G:I,3,0))</f>
        <v/>
      </c>
      <c r="M779" s="87" t="str">
        <f>IF('Consulta1'!I4871="","",'Consulta1'!I4871)</f>
        <v/>
      </c>
      <c r="N779" s="88" t="str">
        <f>IF('Consulta1'!J4871="","",'Consulta1'!J4871)</f>
        <v/>
      </c>
    </row>
    <row r="780" spans="1:14" ht="18.75" x14ac:dyDescent="0.25">
      <c r="A780" s="82" t="str">
        <f>IF('Consulta1'!A4872="","",'Consulta1'!A4872)</f>
        <v/>
      </c>
      <c r="B780" s="82" t="str">
        <f>IF('Consulta1'!B4872="","",'Consulta1'!B4872)</f>
        <v/>
      </c>
      <c r="C780" s="83" t="str">
        <f>IF('Consulta1'!C4872="","",'Consulta1'!C4872)</f>
        <v/>
      </c>
      <c r="D780" s="84" t="str">
        <f>IF('Consulta1'!D4872="","",'Consulta1'!D4872)</f>
        <v/>
      </c>
      <c r="E780" s="82" t="str">
        <f>IF('Consulta1'!E4872="","",'Consulta1'!E4872)</f>
        <v/>
      </c>
      <c r="F780" t="str">
        <f>+IF(E780="","",VLOOKUP(E780,CATALOGO!G:L,6,0))</f>
        <v/>
      </c>
      <c r="G780" s="85" t="str">
        <f>IF('Consulta1'!F4872="","",'Consulta1'!F4872)</f>
        <v/>
      </c>
      <c r="H780" s="85" t="str">
        <f>IF('Consulta1'!G4872="","",'Consulta1'!G4872)</f>
        <v/>
      </c>
      <c r="I780" s="86" t="str">
        <f>IF('Consulta1'!H4872="","",'Consulta1'!H4872)</f>
        <v/>
      </c>
      <c r="J780" t="str">
        <f t="shared" si="12"/>
        <v/>
      </c>
      <c r="K780" t="str">
        <f>+IF(E780="","",VLOOKUP(E780,CATALOGO!G:I,2,0))</f>
        <v/>
      </c>
      <c r="L780" t="str">
        <f>+IF(E780="","",VLOOKUP(E780,CATALOGO!G:I,3,0))</f>
        <v/>
      </c>
      <c r="M780" s="87" t="str">
        <f>IF('Consulta1'!I4872="","",'Consulta1'!I4872)</f>
        <v/>
      </c>
      <c r="N780" s="88" t="str">
        <f>IF('Consulta1'!J4872="","",'Consulta1'!J4872)</f>
        <v/>
      </c>
    </row>
    <row r="781" spans="1:14" ht="18.75" x14ac:dyDescent="0.25">
      <c r="A781" s="82" t="str">
        <f>IF('Consulta1'!A4873="","",'Consulta1'!A4873)</f>
        <v/>
      </c>
      <c r="B781" s="82" t="str">
        <f>IF('Consulta1'!B4873="","",'Consulta1'!B4873)</f>
        <v/>
      </c>
      <c r="C781" s="83" t="str">
        <f>IF('Consulta1'!C4873="","",'Consulta1'!C4873)</f>
        <v/>
      </c>
      <c r="D781" s="84" t="str">
        <f>IF('Consulta1'!D4873="","",'Consulta1'!D4873)</f>
        <v/>
      </c>
      <c r="E781" s="82" t="str">
        <f>IF('Consulta1'!E4873="","",'Consulta1'!E4873)</f>
        <v/>
      </c>
      <c r="F781" t="str">
        <f>+IF(E781="","",VLOOKUP(E781,CATALOGO!G:L,6,0))</f>
        <v/>
      </c>
      <c r="G781" s="85" t="str">
        <f>IF('Consulta1'!F4873="","",'Consulta1'!F4873)</f>
        <v/>
      </c>
      <c r="H781" s="85" t="str">
        <f>IF('Consulta1'!G4873="","",'Consulta1'!G4873)</f>
        <v/>
      </c>
      <c r="I781" s="86" t="str">
        <f>IF('Consulta1'!H4873="","",'Consulta1'!H4873)</f>
        <v/>
      </c>
      <c r="J781" t="str">
        <f t="shared" si="12"/>
        <v/>
      </c>
      <c r="K781" t="str">
        <f>+IF(E781="","",VLOOKUP(E781,CATALOGO!G:I,2,0))</f>
        <v/>
      </c>
      <c r="L781" t="str">
        <f>+IF(E781="","",VLOOKUP(E781,CATALOGO!G:I,3,0))</f>
        <v/>
      </c>
      <c r="M781" s="87" t="str">
        <f>IF('Consulta1'!I4873="","",'Consulta1'!I4873)</f>
        <v/>
      </c>
      <c r="N781" s="88" t="str">
        <f>IF('Consulta1'!J4873="","",'Consulta1'!J4873)</f>
        <v/>
      </c>
    </row>
    <row r="782" spans="1:14" ht="18.75" x14ac:dyDescent="0.25">
      <c r="A782" s="82" t="str">
        <f>IF('Consulta1'!A4874="","",'Consulta1'!A4874)</f>
        <v/>
      </c>
      <c r="B782" s="82" t="str">
        <f>IF('Consulta1'!B4874="","",'Consulta1'!B4874)</f>
        <v/>
      </c>
      <c r="C782" s="83" t="str">
        <f>IF('Consulta1'!C4874="","",'Consulta1'!C4874)</f>
        <v/>
      </c>
      <c r="D782" s="84" t="str">
        <f>IF('Consulta1'!D4874="","",'Consulta1'!D4874)</f>
        <v/>
      </c>
      <c r="E782" s="82" t="str">
        <f>IF('Consulta1'!E4874="","",'Consulta1'!E4874)</f>
        <v/>
      </c>
      <c r="F782" t="str">
        <f>+IF(E782="","",VLOOKUP(E782,CATALOGO!G:L,6,0))</f>
        <v/>
      </c>
      <c r="G782" s="85" t="str">
        <f>IF('Consulta1'!F4874="","",'Consulta1'!F4874)</f>
        <v/>
      </c>
      <c r="H782" s="85" t="str">
        <f>IF('Consulta1'!G4874="","",'Consulta1'!G4874)</f>
        <v/>
      </c>
      <c r="I782" s="86" t="str">
        <f>IF('Consulta1'!H4874="","",'Consulta1'!H4874)</f>
        <v/>
      </c>
      <c r="J782" t="str">
        <f t="shared" si="12"/>
        <v/>
      </c>
      <c r="K782" t="str">
        <f>+IF(E782="","",VLOOKUP(E782,CATALOGO!G:I,2,0))</f>
        <v/>
      </c>
      <c r="L782" t="str">
        <f>+IF(E782="","",VLOOKUP(E782,CATALOGO!G:I,3,0))</f>
        <v/>
      </c>
      <c r="M782" s="87" t="str">
        <f>IF('Consulta1'!I4874="","",'Consulta1'!I4874)</f>
        <v/>
      </c>
      <c r="N782" s="88" t="str">
        <f>IF('Consulta1'!J4874="","",'Consulta1'!J4874)</f>
        <v/>
      </c>
    </row>
    <row r="783" spans="1:14" ht="18.75" x14ac:dyDescent="0.25">
      <c r="A783" s="82" t="str">
        <f>IF('Consulta1'!A4875="","",'Consulta1'!A4875)</f>
        <v/>
      </c>
      <c r="B783" s="82" t="str">
        <f>IF('Consulta1'!B4875="","",'Consulta1'!B4875)</f>
        <v/>
      </c>
      <c r="C783" s="83" t="str">
        <f>IF('Consulta1'!C4875="","",'Consulta1'!C4875)</f>
        <v/>
      </c>
      <c r="D783" s="84" t="str">
        <f>IF('Consulta1'!D4875="","",'Consulta1'!D4875)</f>
        <v/>
      </c>
      <c r="E783" s="82" t="str">
        <f>IF('Consulta1'!E4875="","",'Consulta1'!E4875)</f>
        <v/>
      </c>
      <c r="F783" t="str">
        <f>+IF(E783="","",VLOOKUP(E783,CATALOGO!G:L,6,0))</f>
        <v/>
      </c>
      <c r="G783" s="85" t="str">
        <f>IF('Consulta1'!F4875="","",'Consulta1'!F4875)</f>
        <v/>
      </c>
      <c r="H783" s="85" t="str">
        <f>IF('Consulta1'!G4875="","",'Consulta1'!G4875)</f>
        <v/>
      </c>
      <c r="I783" s="86" t="str">
        <f>IF('Consulta1'!H4875="","",'Consulta1'!H4875)</f>
        <v/>
      </c>
      <c r="J783" t="str">
        <f t="shared" si="12"/>
        <v/>
      </c>
      <c r="K783" t="str">
        <f>+IF(E783="","",VLOOKUP(E783,CATALOGO!G:I,2,0))</f>
        <v/>
      </c>
      <c r="L783" t="str">
        <f>+IF(E783="","",VLOOKUP(E783,CATALOGO!G:I,3,0))</f>
        <v/>
      </c>
      <c r="M783" s="87" t="str">
        <f>IF('Consulta1'!I4875="","",'Consulta1'!I4875)</f>
        <v/>
      </c>
      <c r="N783" s="88" t="str">
        <f>IF('Consulta1'!J4875="","",'Consulta1'!J4875)</f>
        <v/>
      </c>
    </row>
    <row r="784" spans="1:14" ht="18.75" x14ac:dyDescent="0.25">
      <c r="A784" s="82" t="str">
        <f>IF('Consulta1'!A4876="","",'Consulta1'!A4876)</f>
        <v/>
      </c>
      <c r="B784" s="82" t="str">
        <f>IF('Consulta1'!B4876="","",'Consulta1'!B4876)</f>
        <v/>
      </c>
      <c r="C784" s="83" t="str">
        <f>IF('Consulta1'!C4876="","",'Consulta1'!C4876)</f>
        <v/>
      </c>
      <c r="D784" s="84" t="str">
        <f>IF('Consulta1'!D4876="","",'Consulta1'!D4876)</f>
        <v/>
      </c>
      <c r="E784" s="82" t="str">
        <f>IF('Consulta1'!E4876="","",'Consulta1'!E4876)</f>
        <v/>
      </c>
      <c r="F784" t="str">
        <f>+IF(E784="","",VLOOKUP(E784,CATALOGO!G:L,6,0))</f>
        <v/>
      </c>
      <c r="G784" s="85" t="str">
        <f>IF('Consulta1'!F4876="","",'Consulta1'!F4876)</f>
        <v/>
      </c>
      <c r="H784" s="85" t="str">
        <f>IF('Consulta1'!G4876="","",'Consulta1'!G4876)</f>
        <v/>
      </c>
      <c r="I784" s="86" t="str">
        <f>IF('Consulta1'!H4876="","",'Consulta1'!H4876)</f>
        <v/>
      </c>
      <c r="J784" t="str">
        <f t="shared" si="12"/>
        <v/>
      </c>
      <c r="K784" t="str">
        <f>+IF(E784="","",VLOOKUP(E784,CATALOGO!G:I,2,0))</f>
        <v/>
      </c>
      <c r="L784" t="str">
        <f>+IF(E784="","",VLOOKUP(E784,CATALOGO!G:I,3,0))</f>
        <v/>
      </c>
      <c r="M784" s="87" t="str">
        <f>IF('Consulta1'!I4876="","",'Consulta1'!I4876)</f>
        <v/>
      </c>
      <c r="N784" s="88" t="str">
        <f>IF('Consulta1'!J4876="","",'Consulta1'!J4876)</f>
        <v/>
      </c>
    </row>
    <row r="785" spans="1:14" ht="18.75" x14ac:dyDescent="0.25">
      <c r="A785" s="82" t="str">
        <f>IF('Consulta1'!A4877="","",'Consulta1'!A4877)</f>
        <v/>
      </c>
      <c r="B785" s="82" t="str">
        <f>IF('Consulta1'!B4877="","",'Consulta1'!B4877)</f>
        <v/>
      </c>
      <c r="C785" s="83" t="str">
        <f>IF('Consulta1'!C4877="","",'Consulta1'!C4877)</f>
        <v/>
      </c>
      <c r="D785" s="84" t="str">
        <f>IF('Consulta1'!D4877="","",'Consulta1'!D4877)</f>
        <v/>
      </c>
      <c r="E785" s="82" t="str">
        <f>IF('Consulta1'!E4877="","",'Consulta1'!E4877)</f>
        <v/>
      </c>
      <c r="F785" t="str">
        <f>+IF(E785="","",VLOOKUP(E785,CATALOGO!G:L,6,0))</f>
        <v/>
      </c>
      <c r="G785" s="85" t="str">
        <f>IF('Consulta1'!F4877="","",'Consulta1'!F4877)</f>
        <v/>
      </c>
      <c r="H785" s="85" t="str">
        <f>IF('Consulta1'!G4877="","",'Consulta1'!G4877)</f>
        <v/>
      </c>
      <c r="I785" s="86" t="str">
        <f>IF('Consulta1'!H4877="","",'Consulta1'!H4877)</f>
        <v/>
      </c>
      <c r="J785" t="str">
        <f t="shared" si="12"/>
        <v/>
      </c>
      <c r="K785" t="str">
        <f>+IF(E785="","",VLOOKUP(E785,CATALOGO!G:I,2,0))</f>
        <v/>
      </c>
      <c r="L785" t="str">
        <f>+IF(E785="","",VLOOKUP(E785,CATALOGO!G:I,3,0))</f>
        <v/>
      </c>
      <c r="M785" s="87" t="str">
        <f>IF('Consulta1'!I4877="","",'Consulta1'!I4877)</f>
        <v/>
      </c>
      <c r="N785" s="88" t="str">
        <f>IF('Consulta1'!J4877="","",'Consulta1'!J4877)</f>
        <v/>
      </c>
    </row>
    <row r="786" spans="1:14" ht="18.75" x14ac:dyDescent="0.25">
      <c r="A786" s="82" t="str">
        <f>IF('Consulta1'!A4878="","",'Consulta1'!A4878)</f>
        <v/>
      </c>
      <c r="B786" s="82" t="str">
        <f>IF('Consulta1'!B4878="","",'Consulta1'!B4878)</f>
        <v/>
      </c>
      <c r="C786" s="83" t="str">
        <f>IF('Consulta1'!C4878="","",'Consulta1'!C4878)</f>
        <v/>
      </c>
      <c r="D786" s="84" t="str">
        <f>IF('Consulta1'!D4878="","",'Consulta1'!D4878)</f>
        <v/>
      </c>
      <c r="E786" s="82" t="str">
        <f>IF('Consulta1'!E4878="","",'Consulta1'!E4878)</f>
        <v/>
      </c>
      <c r="F786" t="str">
        <f>+IF(E786="","",VLOOKUP(E786,CATALOGO!G:L,6,0))</f>
        <v/>
      </c>
      <c r="G786" s="85" t="str">
        <f>IF('Consulta1'!F4878="","",'Consulta1'!F4878)</f>
        <v/>
      </c>
      <c r="H786" s="85" t="str">
        <f>IF('Consulta1'!G4878="","",'Consulta1'!G4878)</f>
        <v/>
      </c>
      <c r="I786" s="86" t="str">
        <f>IF('Consulta1'!H4878="","",'Consulta1'!H4878)</f>
        <v/>
      </c>
      <c r="J786" t="str">
        <f t="shared" si="12"/>
        <v/>
      </c>
      <c r="K786" t="str">
        <f>+IF(E786="","",VLOOKUP(E786,CATALOGO!G:I,2,0))</f>
        <v/>
      </c>
      <c r="L786" t="str">
        <f>+IF(E786="","",VLOOKUP(E786,CATALOGO!G:I,3,0))</f>
        <v/>
      </c>
      <c r="M786" s="87" t="str">
        <f>IF('Consulta1'!I4878="","",'Consulta1'!I4878)</f>
        <v/>
      </c>
      <c r="N786" s="88" t="str">
        <f>IF('Consulta1'!J4878="","",'Consulta1'!J4878)</f>
        <v/>
      </c>
    </row>
    <row r="787" spans="1:14" ht="18.75" x14ac:dyDescent="0.25">
      <c r="A787" s="82" t="str">
        <f>IF('Consulta1'!A4879="","",'Consulta1'!A4879)</f>
        <v/>
      </c>
      <c r="B787" s="82" t="str">
        <f>IF('Consulta1'!B4879="","",'Consulta1'!B4879)</f>
        <v/>
      </c>
      <c r="C787" s="83" t="str">
        <f>IF('Consulta1'!C4879="","",'Consulta1'!C4879)</f>
        <v/>
      </c>
      <c r="D787" s="84" t="str">
        <f>IF('Consulta1'!D4879="","",'Consulta1'!D4879)</f>
        <v/>
      </c>
      <c r="E787" s="82" t="str">
        <f>IF('Consulta1'!E4879="","",'Consulta1'!E4879)</f>
        <v/>
      </c>
      <c r="F787" t="str">
        <f>+IF(E787="","",VLOOKUP(E787,CATALOGO!G:L,6,0))</f>
        <v/>
      </c>
      <c r="G787" s="85" t="str">
        <f>IF('Consulta1'!F4879="","",'Consulta1'!F4879)</f>
        <v/>
      </c>
      <c r="H787" s="85" t="str">
        <f>IF('Consulta1'!G4879="","",'Consulta1'!G4879)</f>
        <v/>
      </c>
      <c r="I787" s="86" t="str">
        <f>IF('Consulta1'!H4879="","",'Consulta1'!H4879)</f>
        <v/>
      </c>
      <c r="J787" t="str">
        <f t="shared" si="12"/>
        <v/>
      </c>
      <c r="K787" t="str">
        <f>+IF(E787="","",VLOOKUP(E787,CATALOGO!G:I,2,0))</f>
        <v/>
      </c>
      <c r="L787" t="str">
        <f>+IF(E787="","",VLOOKUP(E787,CATALOGO!G:I,3,0))</f>
        <v/>
      </c>
      <c r="M787" s="87" t="str">
        <f>IF('Consulta1'!I4879="","",'Consulta1'!I4879)</f>
        <v/>
      </c>
      <c r="N787" s="88" t="str">
        <f>IF('Consulta1'!J4879="","",'Consulta1'!J4879)</f>
        <v/>
      </c>
    </row>
    <row r="788" spans="1:14" ht="18.75" x14ac:dyDescent="0.25">
      <c r="A788" s="82" t="str">
        <f>IF('Consulta1'!A4880="","",'Consulta1'!A4880)</f>
        <v/>
      </c>
      <c r="B788" s="82" t="str">
        <f>IF('Consulta1'!B4880="","",'Consulta1'!B4880)</f>
        <v/>
      </c>
      <c r="C788" s="83" t="str">
        <f>IF('Consulta1'!C4880="","",'Consulta1'!C4880)</f>
        <v/>
      </c>
      <c r="D788" s="84" t="str">
        <f>IF('Consulta1'!D4880="","",'Consulta1'!D4880)</f>
        <v/>
      </c>
      <c r="E788" s="82" t="str">
        <f>IF('Consulta1'!E4880="","",'Consulta1'!E4880)</f>
        <v/>
      </c>
      <c r="F788" t="str">
        <f>+IF(E788="","",VLOOKUP(E788,CATALOGO!G:L,6,0))</f>
        <v/>
      </c>
      <c r="G788" s="85" t="str">
        <f>IF('Consulta1'!F4880="","",'Consulta1'!F4880)</f>
        <v/>
      </c>
      <c r="H788" s="85" t="str">
        <f>IF('Consulta1'!G4880="","",'Consulta1'!G4880)</f>
        <v/>
      </c>
      <c r="I788" s="86" t="str">
        <f>IF('Consulta1'!H4880="","",'Consulta1'!H4880)</f>
        <v/>
      </c>
      <c r="J788" t="str">
        <f t="shared" si="12"/>
        <v/>
      </c>
      <c r="K788" t="str">
        <f>+IF(E788="","",VLOOKUP(E788,CATALOGO!G:I,2,0))</f>
        <v/>
      </c>
      <c r="L788" t="str">
        <f>+IF(E788="","",VLOOKUP(E788,CATALOGO!G:I,3,0))</f>
        <v/>
      </c>
      <c r="M788" s="87" t="str">
        <f>IF('Consulta1'!I4880="","",'Consulta1'!I4880)</f>
        <v/>
      </c>
      <c r="N788" s="88" t="str">
        <f>IF('Consulta1'!J4880="","",'Consulta1'!J4880)</f>
        <v/>
      </c>
    </row>
    <row r="789" spans="1:14" ht="18.75" x14ac:dyDescent="0.25">
      <c r="A789" s="82" t="str">
        <f>IF('Consulta1'!A4881="","",'Consulta1'!A4881)</f>
        <v/>
      </c>
      <c r="B789" s="82" t="str">
        <f>IF('Consulta1'!B4881="","",'Consulta1'!B4881)</f>
        <v/>
      </c>
      <c r="C789" s="83" t="str">
        <f>IF('Consulta1'!C4881="","",'Consulta1'!C4881)</f>
        <v/>
      </c>
      <c r="D789" s="84" t="str">
        <f>IF('Consulta1'!D4881="","",'Consulta1'!D4881)</f>
        <v/>
      </c>
      <c r="E789" s="82" t="str">
        <f>IF('Consulta1'!E4881="","",'Consulta1'!E4881)</f>
        <v/>
      </c>
      <c r="F789" t="str">
        <f>+IF(E789="","",VLOOKUP(E789,CATALOGO!G:L,6,0))</f>
        <v/>
      </c>
      <c r="G789" s="85" t="str">
        <f>IF('Consulta1'!F4881="","",'Consulta1'!F4881)</f>
        <v/>
      </c>
      <c r="H789" s="85" t="str">
        <f>IF('Consulta1'!G4881="","",'Consulta1'!G4881)</f>
        <v/>
      </c>
      <c r="I789" s="86" t="str">
        <f>IF('Consulta1'!H4881="","",'Consulta1'!H4881)</f>
        <v/>
      </c>
      <c r="J789" t="str">
        <f t="shared" si="12"/>
        <v/>
      </c>
      <c r="K789" t="str">
        <f>+IF(E789="","",VLOOKUP(E789,CATALOGO!G:I,2,0))</f>
        <v/>
      </c>
      <c r="L789" t="str">
        <f>+IF(E789="","",VLOOKUP(E789,CATALOGO!G:I,3,0))</f>
        <v/>
      </c>
      <c r="M789" s="87" t="str">
        <f>IF('Consulta1'!I4881="","",'Consulta1'!I4881)</f>
        <v/>
      </c>
      <c r="N789" s="88" t="str">
        <f>IF('Consulta1'!J4881="","",'Consulta1'!J4881)</f>
        <v/>
      </c>
    </row>
    <row r="790" spans="1:14" ht="18.75" x14ac:dyDescent="0.25">
      <c r="A790" s="82" t="str">
        <f>IF('Consulta1'!A4882="","",'Consulta1'!A4882)</f>
        <v/>
      </c>
      <c r="B790" s="82" t="str">
        <f>IF('Consulta1'!B4882="","",'Consulta1'!B4882)</f>
        <v/>
      </c>
      <c r="C790" s="83" t="str">
        <f>IF('Consulta1'!C4882="","",'Consulta1'!C4882)</f>
        <v/>
      </c>
      <c r="D790" s="84" t="str">
        <f>IF('Consulta1'!D4882="","",'Consulta1'!D4882)</f>
        <v/>
      </c>
      <c r="E790" s="82" t="str">
        <f>IF('Consulta1'!E4882="","",'Consulta1'!E4882)</f>
        <v/>
      </c>
      <c r="F790" t="str">
        <f>+IF(E790="","",VLOOKUP(E790,CATALOGO!G:L,6,0))</f>
        <v/>
      </c>
      <c r="G790" s="85" t="str">
        <f>IF('Consulta1'!F4882="","",'Consulta1'!F4882)</f>
        <v/>
      </c>
      <c r="H790" s="85" t="str">
        <f>IF('Consulta1'!G4882="","",'Consulta1'!G4882)</f>
        <v/>
      </c>
      <c r="I790" s="86" t="str">
        <f>IF('Consulta1'!H4882="","",'Consulta1'!H4882)</f>
        <v/>
      </c>
      <c r="J790" t="str">
        <f t="shared" si="12"/>
        <v/>
      </c>
      <c r="K790" t="str">
        <f>+IF(E790="","",VLOOKUP(E790,CATALOGO!G:I,2,0))</f>
        <v/>
      </c>
      <c r="L790" t="str">
        <f>+IF(E790="","",VLOOKUP(E790,CATALOGO!G:I,3,0))</f>
        <v/>
      </c>
      <c r="M790" s="87" t="str">
        <f>IF('Consulta1'!I4882="","",'Consulta1'!I4882)</f>
        <v/>
      </c>
      <c r="N790" s="88" t="str">
        <f>IF('Consulta1'!J4882="","",'Consulta1'!J4882)</f>
        <v/>
      </c>
    </row>
    <row r="791" spans="1:14" ht="18.75" x14ac:dyDescent="0.25">
      <c r="A791" s="82" t="str">
        <f>IF('Consulta1'!A4883="","",'Consulta1'!A4883)</f>
        <v/>
      </c>
      <c r="B791" s="82" t="str">
        <f>IF('Consulta1'!B4883="","",'Consulta1'!B4883)</f>
        <v/>
      </c>
      <c r="C791" s="83" t="str">
        <f>IF('Consulta1'!C4883="","",'Consulta1'!C4883)</f>
        <v/>
      </c>
      <c r="D791" s="84" t="str">
        <f>IF('Consulta1'!D4883="","",'Consulta1'!D4883)</f>
        <v/>
      </c>
      <c r="E791" s="82" t="str">
        <f>IF('Consulta1'!E4883="","",'Consulta1'!E4883)</f>
        <v/>
      </c>
      <c r="F791" t="str">
        <f>+IF(E791="","",VLOOKUP(E791,CATALOGO!G:L,6,0))</f>
        <v/>
      </c>
      <c r="G791" s="85" t="str">
        <f>IF('Consulta1'!F4883="","",'Consulta1'!F4883)</f>
        <v/>
      </c>
      <c r="H791" s="85" t="str">
        <f>IF('Consulta1'!G4883="","",'Consulta1'!G4883)</f>
        <v/>
      </c>
      <c r="I791" s="86" t="str">
        <f>IF('Consulta1'!H4883="","",'Consulta1'!H4883)</f>
        <v/>
      </c>
      <c r="J791" t="str">
        <f t="shared" si="12"/>
        <v/>
      </c>
      <c r="K791" t="str">
        <f>+IF(E791="","",VLOOKUP(E791,CATALOGO!G:I,2,0))</f>
        <v/>
      </c>
      <c r="L791" t="str">
        <f>+IF(E791="","",VLOOKUP(E791,CATALOGO!G:I,3,0))</f>
        <v/>
      </c>
      <c r="M791" s="87" t="str">
        <f>IF('Consulta1'!I4883="","",'Consulta1'!I4883)</f>
        <v/>
      </c>
      <c r="N791" s="88" t="str">
        <f>IF('Consulta1'!J4883="","",'Consulta1'!J4883)</f>
        <v/>
      </c>
    </row>
    <row r="792" spans="1:14" ht="18.75" x14ac:dyDescent="0.25">
      <c r="A792" s="82" t="str">
        <f>IF('Consulta1'!A4884="","",'Consulta1'!A4884)</f>
        <v/>
      </c>
      <c r="B792" s="82" t="str">
        <f>IF('Consulta1'!B4884="","",'Consulta1'!B4884)</f>
        <v/>
      </c>
      <c r="C792" s="83" t="str">
        <f>IF('Consulta1'!C4884="","",'Consulta1'!C4884)</f>
        <v/>
      </c>
      <c r="D792" s="84" t="str">
        <f>IF('Consulta1'!D4884="","",'Consulta1'!D4884)</f>
        <v/>
      </c>
      <c r="E792" s="82" t="str">
        <f>IF('Consulta1'!E4884="","",'Consulta1'!E4884)</f>
        <v/>
      </c>
      <c r="F792" t="str">
        <f>+IF(E792="","",VLOOKUP(E792,CATALOGO!G:L,6,0))</f>
        <v/>
      </c>
      <c r="G792" s="85" t="str">
        <f>IF('Consulta1'!F4884="","",'Consulta1'!F4884)</f>
        <v/>
      </c>
      <c r="H792" s="85" t="str">
        <f>IF('Consulta1'!G4884="","",'Consulta1'!G4884)</f>
        <v/>
      </c>
      <c r="I792" s="86" t="str">
        <f>IF('Consulta1'!H4884="","",'Consulta1'!H4884)</f>
        <v/>
      </c>
      <c r="J792" t="str">
        <f t="shared" si="12"/>
        <v/>
      </c>
      <c r="K792" t="str">
        <f>+IF(E792="","",VLOOKUP(E792,CATALOGO!G:I,2,0))</f>
        <v/>
      </c>
      <c r="L792" t="str">
        <f>+IF(E792="","",VLOOKUP(E792,CATALOGO!G:I,3,0))</f>
        <v/>
      </c>
      <c r="M792" s="87" t="str">
        <f>IF('Consulta1'!I4884="","",'Consulta1'!I4884)</f>
        <v/>
      </c>
      <c r="N792" s="88" t="str">
        <f>IF('Consulta1'!J4884="","",'Consulta1'!J4884)</f>
        <v/>
      </c>
    </row>
    <row r="793" spans="1:14" ht="18.75" x14ac:dyDescent="0.25">
      <c r="A793" s="82" t="str">
        <f>IF('Consulta1'!A4885="","",'Consulta1'!A4885)</f>
        <v/>
      </c>
      <c r="B793" s="82" t="str">
        <f>IF('Consulta1'!B4885="","",'Consulta1'!B4885)</f>
        <v/>
      </c>
      <c r="C793" s="83" t="str">
        <f>IF('Consulta1'!C4885="","",'Consulta1'!C4885)</f>
        <v/>
      </c>
      <c r="D793" s="84" t="str">
        <f>IF('Consulta1'!D4885="","",'Consulta1'!D4885)</f>
        <v/>
      </c>
      <c r="E793" s="82" t="str">
        <f>IF('Consulta1'!E4885="","",'Consulta1'!E4885)</f>
        <v/>
      </c>
      <c r="F793" t="str">
        <f>+IF(E793="","",VLOOKUP(E793,CATALOGO!G:L,6,0))</f>
        <v/>
      </c>
      <c r="G793" s="85" t="str">
        <f>IF('Consulta1'!F4885="","",'Consulta1'!F4885)</f>
        <v/>
      </c>
      <c r="H793" s="85" t="str">
        <f>IF('Consulta1'!G4885="","",'Consulta1'!G4885)</f>
        <v/>
      </c>
      <c r="I793" s="86" t="str">
        <f>IF('Consulta1'!H4885="","",'Consulta1'!H4885)</f>
        <v/>
      </c>
      <c r="J793" t="str">
        <f t="shared" si="12"/>
        <v/>
      </c>
      <c r="K793" t="str">
        <f>+IF(E793="","",VLOOKUP(E793,CATALOGO!G:I,2,0))</f>
        <v/>
      </c>
      <c r="L793" t="str">
        <f>+IF(E793="","",VLOOKUP(E793,CATALOGO!G:I,3,0))</f>
        <v/>
      </c>
      <c r="M793" s="87" t="str">
        <f>IF('Consulta1'!I4885="","",'Consulta1'!I4885)</f>
        <v/>
      </c>
      <c r="N793" s="88" t="str">
        <f>IF('Consulta1'!J4885="","",'Consulta1'!J4885)</f>
        <v/>
      </c>
    </row>
    <row r="794" spans="1:14" ht="18.75" x14ac:dyDescent="0.25">
      <c r="A794" s="82" t="str">
        <f>IF('Consulta1'!A4886="","",'Consulta1'!A4886)</f>
        <v/>
      </c>
      <c r="B794" s="82" t="str">
        <f>IF('Consulta1'!B4886="","",'Consulta1'!B4886)</f>
        <v/>
      </c>
      <c r="C794" s="83" t="str">
        <f>IF('Consulta1'!C4886="","",'Consulta1'!C4886)</f>
        <v/>
      </c>
      <c r="D794" s="84" t="str">
        <f>IF('Consulta1'!D4886="","",'Consulta1'!D4886)</f>
        <v/>
      </c>
      <c r="E794" s="82" t="str">
        <f>IF('Consulta1'!E4886="","",'Consulta1'!E4886)</f>
        <v/>
      </c>
      <c r="F794" t="str">
        <f>+IF(E794="","",VLOOKUP(E794,CATALOGO!G:L,6,0))</f>
        <v/>
      </c>
      <c r="G794" s="85" t="str">
        <f>IF('Consulta1'!F4886="","",'Consulta1'!F4886)</f>
        <v/>
      </c>
      <c r="H794" s="85" t="str">
        <f>IF('Consulta1'!G4886="","",'Consulta1'!G4886)</f>
        <v/>
      </c>
      <c r="I794" s="86" t="str">
        <f>IF('Consulta1'!H4886="","",'Consulta1'!H4886)</f>
        <v/>
      </c>
      <c r="J794" t="str">
        <f t="shared" si="12"/>
        <v/>
      </c>
      <c r="K794" t="str">
        <f>+IF(E794="","",VLOOKUP(E794,CATALOGO!G:I,2,0))</f>
        <v/>
      </c>
      <c r="L794" t="str">
        <f>+IF(E794="","",VLOOKUP(E794,CATALOGO!G:I,3,0))</f>
        <v/>
      </c>
      <c r="M794" s="87" t="str">
        <f>IF('Consulta1'!I4886="","",'Consulta1'!I4886)</f>
        <v/>
      </c>
      <c r="N794" s="88" t="str">
        <f>IF('Consulta1'!J4886="","",'Consulta1'!J4886)</f>
        <v/>
      </c>
    </row>
    <row r="795" spans="1:14" ht="18.75" x14ac:dyDescent="0.25">
      <c r="A795" s="82" t="str">
        <f>IF('Consulta1'!A4887="","",'Consulta1'!A4887)</f>
        <v/>
      </c>
      <c r="B795" s="82" t="str">
        <f>IF('Consulta1'!B4887="","",'Consulta1'!B4887)</f>
        <v/>
      </c>
      <c r="C795" s="83" t="str">
        <f>IF('Consulta1'!C4887="","",'Consulta1'!C4887)</f>
        <v/>
      </c>
      <c r="D795" s="84" t="str">
        <f>IF('Consulta1'!D4887="","",'Consulta1'!D4887)</f>
        <v/>
      </c>
      <c r="E795" s="82" t="str">
        <f>IF('Consulta1'!E4887="","",'Consulta1'!E4887)</f>
        <v/>
      </c>
      <c r="F795" t="str">
        <f>+IF(E795="","",VLOOKUP(E795,CATALOGO!G:L,6,0))</f>
        <v/>
      </c>
      <c r="G795" s="85" t="str">
        <f>IF('Consulta1'!F4887="","",'Consulta1'!F4887)</f>
        <v/>
      </c>
      <c r="H795" s="85" t="str">
        <f>IF('Consulta1'!G4887="","",'Consulta1'!G4887)</f>
        <v/>
      </c>
      <c r="I795" s="86" t="str">
        <f>IF('Consulta1'!H4887="","",'Consulta1'!H4887)</f>
        <v/>
      </c>
      <c r="J795" t="str">
        <f t="shared" si="12"/>
        <v/>
      </c>
      <c r="K795" t="str">
        <f>+IF(E795="","",VLOOKUP(E795,CATALOGO!G:I,2,0))</f>
        <v/>
      </c>
      <c r="L795" t="str">
        <f>+IF(E795="","",VLOOKUP(E795,CATALOGO!G:I,3,0))</f>
        <v/>
      </c>
      <c r="M795" s="87" t="str">
        <f>IF('Consulta1'!I4887="","",'Consulta1'!I4887)</f>
        <v/>
      </c>
      <c r="N795" s="88" t="str">
        <f>IF('Consulta1'!J4887="","",'Consulta1'!J4887)</f>
        <v/>
      </c>
    </row>
    <row r="796" spans="1:14" ht="18.75" x14ac:dyDescent="0.25">
      <c r="A796" s="82" t="str">
        <f>IF('Consulta1'!A4888="","",'Consulta1'!A4888)</f>
        <v/>
      </c>
      <c r="B796" s="82" t="str">
        <f>IF('Consulta1'!B4888="","",'Consulta1'!B4888)</f>
        <v/>
      </c>
      <c r="C796" s="83" t="str">
        <f>IF('Consulta1'!C4888="","",'Consulta1'!C4888)</f>
        <v/>
      </c>
      <c r="D796" s="84" t="str">
        <f>IF('Consulta1'!D4888="","",'Consulta1'!D4888)</f>
        <v/>
      </c>
      <c r="E796" s="82" t="str">
        <f>IF('Consulta1'!E4888="","",'Consulta1'!E4888)</f>
        <v/>
      </c>
      <c r="F796" t="str">
        <f>+IF(E796="","",VLOOKUP(E796,CATALOGO!G:L,6,0))</f>
        <v/>
      </c>
      <c r="G796" s="85" t="str">
        <f>IF('Consulta1'!F4888="","",'Consulta1'!F4888)</f>
        <v/>
      </c>
      <c r="H796" s="85" t="str">
        <f>IF('Consulta1'!G4888="","",'Consulta1'!G4888)</f>
        <v/>
      </c>
      <c r="I796" s="86" t="str">
        <f>IF('Consulta1'!H4888="","",'Consulta1'!H4888)</f>
        <v/>
      </c>
      <c r="J796" t="str">
        <f t="shared" si="12"/>
        <v/>
      </c>
      <c r="K796" t="str">
        <f>+IF(E796="","",VLOOKUP(E796,CATALOGO!G:I,2,0))</f>
        <v/>
      </c>
      <c r="L796" t="str">
        <f>+IF(E796="","",VLOOKUP(E796,CATALOGO!G:I,3,0))</f>
        <v/>
      </c>
      <c r="M796" s="87" t="str">
        <f>IF('Consulta1'!I4888="","",'Consulta1'!I4888)</f>
        <v/>
      </c>
      <c r="N796" s="88" t="str">
        <f>IF('Consulta1'!J4888="","",'Consulta1'!J4888)</f>
        <v/>
      </c>
    </row>
    <row r="797" spans="1:14" ht="18.75" x14ac:dyDescent="0.25">
      <c r="A797" s="82" t="str">
        <f>IF('Consulta1'!A4889="","",'Consulta1'!A4889)</f>
        <v/>
      </c>
      <c r="B797" s="82" t="str">
        <f>IF('Consulta1'!B4889="","",'Consulta1'!B4889)</f>
        <v/>
      </c>
      <c r="C797" s="83" t="str">
        <f>IF('Consulta1'!C4889="","",'Consulta1'!C4889)</f>
        <v/>
      </c>
      <c r="D797" s="84" t="str">
        <f>IF('Consulta1'!D4889="","",'Consulta1'!D4889)</f>
        <v/>
      </c>
      <c r="E797" s="82" t="str">
        <f>IF('Consulta1'!E4889="","",'Consulta1'!E4889)</f>
        <v/>
      </c>
      <c r="F797" t="str">
        <f>+IF(E797="","",VLOOKUP(E797,CATALOGO!G:L,6,0))</f>
        <v/>
      </c>
      <c r="G797" s="85" t="str">
        <f>IF('Consulta1'!F4889="","",'Consulta1'!F4889)</f>
        <v/>
      </c>
      <c r="H797" s="85" t="str">
        <f>IF('Consulta1'!G4889="","",'Consulta1'!G4889)</f>
        <v/>
      </c>
      <c r="I797" s="86" t="str">
        <f>IF('Consulta1'!H4889="","",'Consulta1'!H4889)</f>
        <v/>
      </c>
      <c r="J797" t="str">
        <f t="shared" si="12"/>
        <v/>
      </c>
      <c r="K797" t="str">
        <f>+IF(E797="","",VLOOKUP(E797,CATALOGO!G:I,2,0))</f>
        <v/>
      </c>
      <c r="L797" t="str">
        <f>+IF(E797="","",VLOOKUP(E797,CATALOGO!G:I,3,0))</f>
        <v/>
      </c>
      <c r="M797" s="87" t="str">
        <f>IF('Consulta1'!I4889="","",'Consulta1'!I4889)</f>
        <v/>
      </c>
      <c r="N797" s="88" t="str">
        <f>IF('Consulta1'!J4889="","",'Consulta1'!J4889)</f>
        <v/>
      </c>
    </row>
    <row r="798" spans="1:14" ht="18.75" x14ac:dyDescent="0.25">
      <c r="A798" s="82" t="str">
        <f>IF('Consulta1'!A4890="","",'Consulta1'!A4890)</f>
        <v/>
      </c>
      <c r="B798" s="82" t="str">
        <f>IF('Consulta1'!B4890="","",'Consulta1'!B4890)</f>
        <v/>
      </c>
      <c r="C798" s="83" t="str">
        <f>IF('Consulta1'!C4890="","",'Consulta1'!C4890)</f>
        <v/>
      </c>
      <c r="D798" s="84" t="str">
        <f>IF('Consulta1'!D4890="","",'Consulta1'!D4890)</f>
        <v/>
      </c>
      <c r="E798" s="82" t="str">
        <f>IF('Consulta1'!E4890="","",'Consulta1'!E4890)</f>
        <v/>
      </c>
      <c r="F798" t="str">
        <f>+IF(E798="","",VLOOKUP(E798,CATALOGO!G:L,6,0))</f>
        <v/>
      </c>
      <c r="G798" s="85" t="str">
        <f>IF('Consulta1'!F4890="","",'Consulta1'!F4890)</f>
        <v/>
      </c>
      <c r="H798" s="85" t="str">
        <f>IF('Consulta1'!G4890="","",'Consulta1'!G4890)</f>
        <v/>
      </c>
      <c r="I798" s="86" t="str">
        <f>IF('Consulta1'!H4890="","",'Consulta1'!H4890)</f>
        <v/>
      </c>
      <c r="J798" t="str">
        <f t="shared" si="12"/>
        <v/>
      </c>
      <c r="K798" t="str">
        <f>+IF(E798="","",VLOOKUP(E798,CATALOGO!G:I,2,0))</f>
        <v/>
      </c>
      <c r="L798" t="str">
        <f>+IF(E798="","",VLOOKUP(E798,CATALOGO!G:I,3,0))</f>
        <v/>
      </c>
      <c r="M798" s="87" t="str">
        <f>IF('Consulta1'!I4890="","",'Consulta1'!I4890)</f>
        <v/>
      </c>
      <c r="N798" s="88" t="str">
        <f>IF('Consulta1'!J4890="","",'Consulta1'!J4890)</f>
        <v/>
      </c>
    </row>
    <row r="799" spans="1:14" ht="18.75" x14ac:dyDescent="0.25">
      <c r="A799" s="82" t="str">
        <f>IF('Consulta1'!A4891="","",'Consulta1'!A4891)</f>
        <v/>
      </c>
      <c r="B799" s="82" t="str">
        <f>IF('Consulta1'!B4891="","",'Consulta1'!B4891)</f>
        <v/>
      </c>
      <c r="C799" s="83" t="str">
        <f>IF('Consulta1'!C4891="","",'Consulta1'!C4891)</f>
        <v/>
      </c>
      <c r="D799" s="84" t="str">
        <f>IF('Consulta1'!D4891="","",'Consulta1'!D4891)</f>
        <v/>
      </c>
      <c r="E799" s="82" t="str">
        <f>IF('Consulta1'!E4891="","",'Consulta1'!E4891)</f>
        <v/>
      </c>
      <c r="F799" t="str">
        <f>+IF(E799="","",VLOOKUP(E799,CATALOGO!G:L,6,0))</f>
        <v/>
      </c>
      <c r="G799" s="85" t="str">
        <f>IF('Consulta1'!F4891="","",'Consulta1'!F4891)</f>
        <v/>
      </c>
      <c r="H799" s="85" t="str">
        <f>IF('Consulta1'!G4891="","",'Consulta1'!G4891)</f>
        <v/>
      </c>
      <c r="I799" s="86" t="str">
        <f>IF('Consulta1'!H4891="","",'Consulta1'!H4891)</f>
        <v/>
      </c>
      <c r="J799" t="str">
        <f t="shared" si="12"/>
        <v/>
      </c>
      <c r="K799" t="str">
        <f>+IF(E799="","",VLOOKUP(E799,CATALOGO!G:I,2,0))</f>
        <v/>
      </c>
      <c r="L799" t="str">
        <f>+IF(E799="","",VLOOKUP(E799,CATALOGO!G:I,3,0))</f>
        <v/>
      </c>
      <c r="M799" s="87" t="str">
        <f>IF('Consulta1'!I4891="","",'Consulta1'!I4891)</f>
        <v/>
      </c>
      <c r="N799" s="88" t="str">
        <f>IF('Consulta1'!J4891="","",'Consulta1'!J4891)</f>
        <v/>
      </c>
    </row>
    <row r="800" spans="1:14" ht="18.75" x14ac:dyDescent="0.25">
      <c r="A800" s="82" t="str">
        <f>IF('Consulta1'!A4892="","",'Consulta1'!A4892)</f>
        <v/>
      </c>
      <c r="B800" s="82" t="str">
        <f>IF('Consulta1'!B4892="","",'Consulta1'!B4892)</f>
        <v/>
      </c>
      <c r="C800" s="83" t="str">
        <f>IF('Consulta1'!C4892="","",'Consulta1'!C4892)</f>
        <v/>
      </c>
      <c r="D800" s="84" t="str">
        <f>IF('Consulta1'!D4892="","",'Consulta1'!D4892)</f>
        <v/>
      </c>
      <c r="E800" s="82" t="str">
        <f>IF('Consulta1'!E4892="","",'Consulta1'!E4892)</f>
        <v/>
      </c>
      <c r="F800" t="str">
        <f>+IF(E800="","",VLOOKUP(E800,CATALOGO!G:L,6,0))</f>
        <v/>
      </c>
      <c r="G800" s="85" t="str">
        <f>IF('Consulta1'!F4892="","",'Consulta1'!F4892)</f>
        <v/>
      </c>
      <c r="H800" s="85" t="str">
        <f>IF('Consulta1'!G4892="","",'Consulta1'!G4892)</f>
        <v/>
      </c>
      <c r="I800" s="86" t="str">
        <f>IF('Consulta1'!H4892="","",'Consulta1'!H4892)</f>
        <v/>
      </c>
      <c r="J800" t="str">
        <f t="shared" si="12"/>
        <v/>
      </c>
      <c r="K800" t="str">
        <f>+IF(E800="","",VLOOKUP(E800,CATALOGO!G:I,2,0))</f>
        <v/>
      </c>
      <c r="L800" t="str">
        <f>+IF(E800="","",VLOOKUP(E800,CATALOGO!G:I,3,0))</f>
        <v/>
      </c>
      <c r="M800" s="87" t="str">
        <f>IF('Consulta1'!I4892="","",'Consulta1'!I4892)</f>
        <v/>
      </c>
      <c r="N800" s="88" t="str">
        <f>IF('Consulta1'!J4892="","",'Consulta1'!J4892)</f>
        <v/>
      </c>
    </row>
    <row r="801" spans="1:14" ht="18.75" x14ac:dyDescent="0.25">
      <c r="A801" s="82" t="str">
        <f>IF('Consulta1'!A4893="","",'Consulta1'!A4893)</f>
        <v/>
      </c>
      <c r="B801" s="82" t="str">
        <f>IF('Consulta1'!B4893="","",'Consulta1'!B4893)</f>
        <v/>
      </c>
      <c r="C801" s="83" t="str">
        <f>IF('Consulta1'!C4893="","",'Consulta1'!C4893)</f>
        <v/>
      </c>
      <c r="D801" s="84" t="str">
        <f>IF('Consulta1'!D4893="","",'Consulta1'!D4893)</f>
        <v/>
      </c>
      <c r="E801" s="82" t="str">
        <f>IF('Consulta1'!E4893="","",'Consulta1'!E4893)</f>
        <v/>
      </c>
      <c r="F801" t="str">
        <f>+IF(E801="","",VLOOKUP(E801,CATALOGO!G:L,6,0))</f>
        <v/>
      </c>
      <c r="G801" s="85" t="str">
        <f>IF('Consulta1'!F4893="","",'Consulta1'!F4893)</f>
        <v/>
      </c>
      <c r="H801" s="85" t="str">
        <f>IF('Consulta1'!G4893="","",'Consulta1'!G4893)</f>
        <v/>
      </c>
      <c r="I801" s="86" t="str">
        <f>IF('Consulta1'!H4893="","",'Consulta1'!H4893)</f>
        <v/>
      </c>
      <c r="J801" t="str">
        <f t="shared" si="12"/>
        <v/>
      </c>
      <c r="K801" t="str">
        <f>+IF(E801="","",VLOOKUP(E801,CATALOGO!G:I,2,0))</f>
        <v/>
      </c>
      <c r="L801" t="str">
        <f>+IF(E801="","",VLOOKUP(E801,CATALOGO!G:I,3,0))</f>
        <v/>
      </c>
      <c r="M801" s="87" t="str">
        <f>IF('Consulta1'!I4893="","",'Consulta1'!I4893)</f>
        <v/>
      </c>
      <c r="N801" s="88" t="str">
        <f>IF('Consulta1'!J4893="","",'Consulta1'!J4893)</f>
        <v/>
      </c>
    </row>
    <row r="802" spans="1:14" ht="18.75" x14ac:dyDescent="0.25">
      <c r="A802" s="82" t="str">
        <f>IF('Consulta1'!A4894="","",'Consulta1'!A4894)</f>
        <v/>
      </c>
      <c r="B802" s="82" t="str">
        <f>IF('Consulta1'!B4894="","",'Consulta1'!B4894)</f>
        <v/>
      </c>
      <c r="C802" s="83" t="str">
        <f>IF('Consulta1'!C4894="","",'Consulta1'!C4894)</f>
        <v/>
      </c>
      <c r="D802" s="84" t="str">
        <f>IF('Consulta1'!D4894="","",'Consulta1'!D4894)</f>
        <v/>
      </c>
      <c r="E802" s="82" t="str">
        <f>IF('Consulta1'!E4894="","",'Consulta1'!E4894)</f>
        <v/>
      </c>
      <c r="F802" t="str">
        <f>+IF(E802="","",VLOOKUP(E802,CATALOGO!G:L,6,0))</f>
        <v/>
      </c>
      <c r="G802" s="85" t="str">
        <f>IF('Consulta1'!F4894="","",'Consulta1'!F4894)</f>
        <v/>
      </c>
      <c r="H802" s="85" t="str">
        <f>IF('Consulta1'!G4894="","",'Consulta1'!G4894)</f>
        <v/>
      </c>
      <c r="I802" s="86" t="str">
        <f>IF('Consulta1'!H4894="","",'Consulta1'!H4894)</f>
        <v/>
      </c>
      <c r="J802" t="str">
        <f t="shared" si="12"/>
        <v/>
      </c>
      <c r="K802" t="str">
        <f>+IF(E802="","",VLOOKUP(E802,CATALOGO!G:I,2,0))</f>
        <v/>
      </c>
      <c r="L802" t="str">
        <f>+IF(E802="","",VLOOKUP(E802,CATALOGO!G:I,3,0))</f>
        <v/>
      </c>
      <c r="M802" s="87" t="str">
        <f>IF('Consulta1'!I4894="","",'Consulta1'!I4894)</f>
        <v/>
      </c>
      <c r="N802" s="88" t="str">
        <f>IF('Consulta1'!J4894="","",'Consulta1'!J4894)</f>
        <v/>
      </c>
    </row>
    <row r="803" spans="1:14" ht="18.75" x14ac:dyDescent="0.25">
      <c r="A803" s="82" t="str">
        <f>IF('Consulta1'!A4895="","",'Consulta1'!A4895)</f>
        <v/>
      </c>
      <c r="B803" s="82" t="str">
        <f>IF('Consulta1'!B4895="","",'Consulta1'!B4895)</f>
        <v/>
      </c>
      <c r="C803" s="83" t="str">
        <f>IF('Consulta1'!C4895="","",'Consulta1'!C4895)</f>
        <v/>
      </c>
      <c r="D803" s="84" t="str">
        <f>IF('Consulta1'!D4895="","",'Consulta1'!D4895)</f>
        <v/>
      </c>
      <c r="E803" s="82" t="str">
        <f>IF('Consulta1'!E4895="","",'Consulta1'!E4895)</f>
        <v/>
      </c>
      <c r="F803" t="str">
        <f>+IF(E803="","",VLOOKUP(E803,CATALOGO!G:L,6,0))</f>
        <v/>
      </c>
      <c r="G803" s="85" t="str">
        <f>IF('Consulta1'!F4895="","",'Consulta1'!F4895)</f>
        <v/>
      </c>
      <c r="H803" s="85" t="str">
        <f>IF('Consulta1'!G4895="","",'Consulta1'!G4895)</f>
        <v/>
      </c>
      <c r="I803" s="86" t="str">
        <f>IF('Consulta1'!H4895="","",'Consulta1'!H4895)</f>
        <v/>
      </c>
      <c r="J803" t="str">
        <f t="shared" si="12"/>
        <v/>
      </c>
      <c r="K803" t="str">
        <f>+IF(E803="","",VLOOKUP(E803,CATALOGO!G:I,2,0))</f>
        <v/>
      </c>
      <c r="L803" t="str">
        <f>+IF(E803="","",VLOOKUP(E803,CATALOGO!G:I,3,0))</f>
        <v/>
      </c>
      <c r="M803" s="87" t="str">
        <f>IF('Consulta1'!I4895="","",'Consulta1'!I4895)</f>
        <v/>
      </c>
      <c r="N803" s="88" t="str">
        <f>IF('Consulta1'!J4895="","",'Consulta1'!J4895)</f>
        <v/>
      </c>
    </row>
    <row r="804" spans="1:14" ht="18.75" x14ac:dyDescent="0.25">
      <c r="A804" s="82" t="str">
        <f>IF('Consulta1'!A4896="","",'Consulta1'!A4896)</f>
        <v/>
      </c>
      <c r="B804" s="82" t="str">
        <f>IF('Consulta1'!B4896="","",'Consulta1'!B4896)</f>
        <v/>
      </c>
      <c r="C804" s="83" t="str">
        <f>IF('Consulta1'!C4896="","",'Consulta1'!C4896)</f>
        <v/>
      </c>
      <c r="D804" s="84" t="str">
        <f>IF('Consulta1'!D4896="","",'Consulta1'!D4896)</f>
        <v/>
      </c>
      <c r="E804" s="82" t="str">
        <f>IF('Consulta1'!E4896="","",'Consulta1'!E4896)</f>
        <v/>
      </c>
      <c r="F804" t="str">
        <f>+IF(E804="","",VLOOKUP(E804,CATALOGO!G:L,6,0))</f>
        <v/>
      </c>
      <c r="G804" s="85" t="str">
        <f>IF('Consulta1'!F4896="","",'Consulta1'!F4896)</f>
        <v/>
      </c>
      <c r="H804" s="85" t="str">
        <f>IF('Consulta1'!G4896="","",'Consulta1'!G4896)</f>
        <v/>
      </c>
      <c r="I804" s="86" t="str">
        <f>IF('Consulta1'!H4896="","",'Consulta1'!H4896)</f>
        <v/>
      </c>
      <c r="J804" t="str">
        <f t="shared" si="12"/>
        <v/>
      </c>
      <c r="K804" t="str">
        <f>+IF(E804="","",VLOOKUP(E804,CATALOGO!G:I,2,0))</f>
        <v/>
      </c>
      <c r="L804" t="str">
        <f>+IF(E804="","",VLOOKUP(E804,CATALOGO!G:I,3,0))</f>
        <v/>
      </c>
      <c r="M804" s="87" t="str">
        <f>IF('Consulta1'!I4896="","",'Consulta1'!I4896)</f>
        <v/>
      </c>
      <c r="N804" s="88" t="str">
        <f>IF('Consulta1'!J4896="","",'Consulta1'!J4896)</f>
        <v/>
      </c>
    </row>
    <row r="805" spans="1:14" ht="18.75" x14ac:dyDescent="0.25">
      <c r="A805" s="82" t="str">
        <f>IF('Consulta1'!A4897="","",'Consulta1'!A4897)</f>
        <v/>
      </c>
      <c r="B805" s="82" t="str">
        <f>IF('Consulta1'!B4897="","",'Consulta1'!B4897)</f>
        <v/>
      </c>
      <c r="C805" s="83" t="str">
        <f>IF('Consulta1'!C4897="","",'Consulta1'!C4897)</f>
        <v/>
      </c>
      <c r="D805" s="84" t="str">
        <f>IF('Consulta1'!D4897="","",'Consulta1'!D4897)</f>
        <v/>
      </c>
      <c r="E805" s="82" t="str">
        <f>IF('Consulta1'!E4897="","",'Consulta1'!E4897)</f>
        <v/>
      </c>
      <c r="F805" t="str">
        <f>+IF(E805="","",VLOOKUP(E805,CATALOGO!G:L,6,0))</f>
        <v/>
      </c>
      <c r="G805" s="85" t="str">
        <f>IF('Consulta1'!F4897="","",'Consulta1'!F4897)</f>
        <v/>
      </c>
      <c r="H805" s="85" t="str">
        <f>IF('Consulta1'!G4897="","",'Consulta1'!G4897)</f>
        <v/>
      </c>
      <c r="I805" s="86" t="str">
        <f>IF('Consulta1'!H4897="","",'Consulta1'!H4897)</f>
        <v/>
      </c>
      <c r="J805" t="str">
        <f t="shared" si="12"/>
        <v/>
      </c>
      <c r="K805" t="str">
        <f>+IF(E805="","",VLOOKUP(E805,CATALOGO!G:I,2,0))</f>
        <v/>
      </c>
      <c r="L805" t="str">
        <f>+IF(E805="","",VLOOKUP(E805,CATALOGO!G:I,3,0))</f>
        <v/>
      </c>
      <c r="M805" s="87" t="str">
        <f>IF('Consulta1'!I4897="","",'Consulta1'!I4897)</f>
        <v/>
      </c>
      <c r="N805" s="88" t="str">
        <f>IF('Consulta1'!J4897="","",'Consulta1'!J4897)</f>
        <v/>
      </c>
    </row>
    <row r="806" spans="1:14" ht="18.75" x14ac:dyDescent="0.25">
      <c r="A806" s="82" t="str">
        <f>IF('Consulta1'!A4898="","",'Consulta1'!A4898)</f>
        <v/>
      </c>
      <c r="B806" s="82" t="str">
        <f>IF('Consulta1'!B4898="","",'Consulta1'!B4898)</f>
        <v/>
      </c>
      <c r="C806" s="83" t="str">
        <f>IF('Consulta1'!C4898="","",'Consulta1'!C4898)</f>
        <v/>
      </c>
      <c r="D806" s="84" t="str">
        <f>IF('Consulta1'!D4898="","",'Consulta1'!D4898)</f>
        <v/>
      </c>
      <c r="E806" s="82" t="str">
        <f>IF('Consulta1'!E4898="","",'Consulta1'!E4898)</f>
        <v/>
      </c>
      <c r="F806" t="str">
        <f>+IF(E806="","",VLOOKUP(E806,CATALOGO!G:L,6,0))</f>
        <v/>
      </c>
      <c r="G806" s="85" t="str">
        <f>IF('Consulta1'!F4898="","",'Consulta1'!F4898)</f>
        <v/>
      </c>
      <c r="H806" s="85" t="str">
        <f>IF('Consulta1'!G4898="","",'Consulta1'!G4898)</f>
        <v/>
      </c>
      <c r="I806" s="86" t="str">
        <f>IF('Consulta1'!H4898="","",'Consulta1'!H4898)</f>
        <v/>
      </c>
      <c r="J806" t="str">
        <f t="shared" si="12"/>
        <v/>
      </c>
      <c r="K806" t="str">
        <f>+IF(E806="","",VLOOKUP(E806,CATALOGO!G:I,2,0))</f>
        <v/>
      </c>
      <c r="L806" t="str">
        <f>+IF(E806="","",VLOOKUP(E806,CATALOGO!G:I,3,0))</f>
        <v/>
      </c>
      <c r="M806" s="87" t="str">
        <f>IF('Consulta1'!I4898="","",'Consulta1'!I4898)</f>
        <v/>
      </c>
      <c r="N806" s="88" t="str">
        <f>IF('Consulta1'!J4898="","",'Consulta1'!J4898)</f>
        <v/>
      </c>
    </row>
    <row r="807" spans="1:14" ht="18.75" x14ac:dyDescent="0.25">
      <c r="A807" s="82" t="str">
        <f>IF('Consulta1'!A4899="","",'Consulta1'!A4899)</f>
        <v/>
      </c>
      <c r="B807" s="82" t="str">
        <f>IF('Consulta1'!B4899="","",'Consulta1'!B4899)</f>
        <v/>
      </c>
      <c r="C807" s="83" t="str">
        <f>IF('Consulta1'!C4899="","",'Consulta1'!C4899)</f>
        <v/>
      </c>
      <c r="D807" s="84" t="str">
        <f>IF('Consulta1'!D4899="","",'Consulta1'!D4899)</f>
        <v/>
      </c>
      <c r="E807" s="82" t="str">
        <f>IF('Consulta1'!E4899="","",'Consulta1'!E4899)</f>
        <v/>
      </c>
      <c r="F807" t="str">
        <f>+IF(E807="","",VLOOKUP(E807,CATALOGO!G:L,6,0))</f>
        <v/>
      </c>
      <c r="G807" s="85" t="str">
        <f>IF('Consulta1'!F4899="","",'Consulta1'!F4899)</f>
        <v/>
      </c>
      <c r="H807" s="85" t="str">
        <f>IF('Consulta1'!G4899="","",'Consulta1'!G4899)</f>
        <v/>
      </c>
      <c r="I807" s="86" t="str">
        <f>IF('Consulta1'!H4899="","",'Consulta1'!H4899)</f>
        <v/>
      </c>
      <c r="J807" t="str">
        <f t="shared" si="12"/>
        <v/>
      </c>
      <c r="K807" t="str">
        <f>+IF(E807="","",VLOOKUP(E807,CATALOGO!G:I,2,0))</f>
        <v/>
      </c>
      <c r="L807" t="str">
        <f>+IF(E807="","",VLOOKUP(E807,CATALOGO!G:I,3,0))</f>
        <v/>
      </c>
      <c r="M807" s="87" t="str">
        <f>IF('Consulta1'!I4899="","",'Consulta1'!I4899)</f>
        <v/>
      </c>
      <c r="N807" s="88" t="str">
        <f>IF('Consulta1'!J4899="","",'Consulta1'!J4899)</f>
        <v/>
      </c>
    </row>
    <row r="808" spans="1:14" ht="18.75" x14ac:dyDescent="0.25">
      <c r="A808" s="82" t="str">
        <f>IF('Consulta1'!A4900="","",'Consulta1'!A4900)</f>
        <v/>
      </c>
      <c r="B808" s="82" t="str">
        <f>IF('Consulta1'!B4900="","",'Consulta1'!B4900)</f>
        <v/>
      </c>
      <c r="C808" s="83" t="str">
        <f>IF('Consulta1'!C4900="","",'Consulta1'!C4900)</f>
        <v/>
      </c>
      <c r="D808" s="84" t="str">
        <f>IF('Consulta1'!D4900="","",'Consulta1'!D4900)</f>
        <v/>
      </c>
      <c r="E808" s="82" t="str">
        <f>IF('Consulta1'!E4900="","",'Consulta1'!E4900)</f>
        <v/>
      </c>
      <c r="F808" t="str">
        <f>+IF(E808="","",VLOOKUP(E808,CATALOGO!G:L,6,0))</f>
        <v/>
      </c>
      <c r="G808" s="85" t="str">
        <f>IF('Consulta1'!F4900="","",'Consulta1'!F4900)</f>
        <v/>
      </c>
      <c r="H808" s="85" t="str">
        <f>IF('Consulta1'!G4900="","",'Consulta1'!G4900)</f>
        <v/>
      </c>
      <c r="I808" s="86" t="str">
        <f>IF('Consulta1'!H4900="","",'Consulta1'!H4900)</f>
        <v/>
      </c>
      <c r="J808" t="str">
        <f t="shared" si="12"/>
        <v/>
      </c>
      <c r="K808" t="str">
        <f>+IF(E808="","",VLOOKUP(E808,CATALOGO!G:I,2,0))</f>
        <v/>
      </c>
      <c r="L808" t="str">
        <f>+IF(E808="","",VLOOKUP(E808,CATALOGO!G:I,3,0))</f>
        <v/>
      </c>
      <c r="M808" s="87" t="str">
        <f>IF('Consulta1'!I4900="","",'Consulta1'!I4900)</f>
        <v/>
      </c>
      <c r="N808" s="88" t="str">
        <f>IF('Consulta1'!J4900="","",'Consulta1'!J4900)</f>
        <v/>
      </c>
    </row>
    <row r="809" spans="1:14" ht="18.75" x14ac:dyDescent="0.25">
      <c r="A809" s="82" t="str">
        <f>IF('Consulta1'!A4901="","",'Consulta1'!A4901)</f>
        <v/>
      </c>
      <c r="B809" s="82" t="str">
        <f>IF('Consulta1'!B4901="","",'Consulta1'!B4901)</f>
        <v/>
      </c>
      <c r="C809" s="83" t="str">
        <f>IF('Consulta1'!C4901="","",'Consulta1'!C4901)</f>
        <v/>
      </c>
      <c r="D809" s="84" t="str">
        <f>IF('Consulta1'!D4901="","",'Consulta1'!D4901)</f>
        <v/>
      </c>
      <c r="E809" s="82" t="str">
        <f>IF('Consulta1'!E4901="","",'Consulta1'!E4901)</f>
        <v/>
      </c>
      <c r="F809" t="str">
        <f>+IF(E809="","",VLOOKUP(E809,CATALOGO!G:L,6,0))</f>
        <v/>
      </c>
      <c r="G809" s="85" t="str">
        <f>IF('Consulta1'!F4901="","",'Consulta1'!F4901)</f>
        <v/>
      </c>
      <c r="H809" s="85" t="str">
        <f>IF('Consulta1'!G4901="","",'Consulta1'!G4901)</f>
        <v/>
      </c>
      <c r="I809" s="86" t="str">
        <f>IF('Consulta1'!H4901="","",'Consulta1'!H4901)</f>
        <v/>
      </c>
      <c r="J809" t="str">
        <f t="shared" si="12"/>
        <v/>
      </c>
      <c r="K809" t="str">
        <f>+IF(E809="","",VLOOKUP(E809,CATALOGO!G:I,2,0))</f>
        <v/>
      </c>
      <c r="L809" t="str">
        <f>+IF(E809="","",VLOOKUP(E809,CATALOGO!G:I,3,0))</f>
        <v/>
      </c>
      <c r="M809" s="87" t="str">
        <f>IF('Consulta1'!I4901="","",'Consulta1'!I4901)</f>
        <v/>
      </c>
      <c r="N809" s="88" t="str">
        <f>IF('Consulta1'!J4901="","",'Consulta1'!J4901)</f>
        <v/>
      </c>
    </row>
    <row r="810" spans="1:14" ht="18.75" x14ac:dyDescent="0.25">
      <c r="A810" s="82" t="str">
        <f>IF('Consulta1'!A4902="","",'Consulta1'!A4902)</f>
        <v/>
      </c>
      <c r="B810" s="82" t="str">
        <f>IF('Consulta1'!B4902="","",'Consulta1'!B4902)</f>
        <v/>
      </c>
      <c r="C810" s="83" t="str">
        <f>IF('Consulta1'!C4902="","",'Consulta1'!C4902)</f>
        <v/>
      </c>
      <c r="D810" s="84" t="str">
        <f>IF('Consulta1'!D4902="","",'Consulta1'!D4902)</f>
        <v/>
      </c>
      <c r="E810" s="82" t="str">
        <f>IF('Consulta1'!E4902="","",'Consulta1'!E4902)</f>
        <v/>
      </c>
      <c r="F810" t="str">
        <f>+IF(E810="","",VLOOKUP(E810,CATALOGO!G:L,6,0))</f>
        <v/>
      </c>
      <c r="G810" s="85" t="str">
        <f>IF('Consulta1'!F4902="","",'Consulta1'!F4902)</f>
        <v/>
      </c>
      <c r="H810" s="85" t="str">
        <f>IF('Consulta1'!G4902="","",'Consulta1'!G4902)</f>
        <v/>
      </c>
      <c r="I810" s="86" t="str">
        <f>IF('Consulta1'!H4902="","",'Consulta1'!H4902)</f>
        <v/>
      </c>
      <c r="J810" t="str">
        <f t="shared" si="12"/>
        <v/>
      </c>
      <c r="K810" t="str">
        <f>+IF(E810="","",VLOOKUP(E810,CATALOGO!G:I,2,0))</f>
        <v/>
      </c>
      <c r="L810" t="str">
        <f>+IF(E810="","",VLOOKUP(E810,CATALOGO!G:I,3,0))</f>
        <v/>
      </c>
      <c r="M810" s="87" t="str">
        <f>IF('Consulta1'!I4902="","",'Consulta1'!I4902)</f>
        <v/>
      </c>
      <c r="N810" s="88" t="str">
        <f>IF('Consulta1'!J4902="","",'Consulta1'!J4902)</f>
        <v/>
      </c>
    </row>
    <row r="811" spans="1:14" ht="18.75" x14ac:dyDescent="0.25">
      <c r="A811" s="82" t="str">
        <f>IF('Consulta1'!A4903="","",'Consulta1'!A4903)</f>
        <v/>
      </c>
      <c r="B811" s="82" t="str">
        <f>IF('Consulta1'!B4903="","",'Consulta1'!B4903)</f>
        <v/>
      </c>
      <c r="C811" s="83" t="str">
        <f>IF('Consulta1'!C4903="","",'Consulta1'!C4903)</f>
        <v/>
      </c>
      <c r="D811" s="84" t="str">
        <f>IF('Consulta1'!D4903="","",'Consulta1'!D4903)</f>
        <v/>
      </c>
      <c r="E811" s="82" t="str">
        <f>IF('Consulta1'!E4903="","",'Consulta1'!E4903)</f>
        <v/>
      </c>
      <c r="F811" t="str">
        <f>+IF(E811="","",VLOOKUP(E811,CATALOGO!G:L,6,0))</f>
        <v/>
      </c>
      <c r="G811" s="85" t="str">
        <f>IF('Consulta1'!F4903="","",'Consulta1'!F4903)</f>
        <v/>
      </c>
      <c r="H811" s="85" t="str">
        <f>IF('Consulta1'!G4903="","",'Consulta1'!G4903)</f>
        <v/>
      </c>
      <c r="I811" s="86" t="str">
        <f>IF('Consulta1'!H4903="","",'Consulta1'!H4903)</f>
        <v/>
      </c>
      <c r="J811" t="str">
        <f t="shared" si="12"/>
        <v/>
      </c>
      <c r="K811" t="str">
        <f>+IF(E811="","",VLOOKUP(E811,CATALOGO!G:I,2,0))</f>
        <v/>
      </c>
      <c r="L811" t="str">
        <f>+IF(E811="","",VLOOKUP(E811,CATALOGO!G:I,3,0))</f>
        <v/>
      </c>
      <c r="M811" s="87" t="str">
        <f>IF('Consulta1'!I4903="","",'Consulta1'!I4903)</f>
        <v/>
      </c>
      <c r="N811" s="88" t="str">
        <f>IF('Consulta1'!J4903="","",'Consulta1'!J4903)</f>
        <v/>
      </c>
    </row>
    <row r="812" spans="1:14" ht="18.75" x14ac:dyDescent="0.25">
      <c r="A812" s="82" t="str">
        <f>IF('Consulta1'!A4904="","",'Consulta1'!A4904)</f>
        <v/>
      </c>
      <c r="B812" s="82" t="str">
        <f>IF('Consulta1'!B4904="","",'Consulta1'!B4904)</f>
        <v/>
      </c>
      <c r="C812" s="83" t="str">
        <f>IF('Consulta1'!C4904="","",'Consulta1'!C4904)</f>
        <v/>
      </c>
      <c r="D812" s="84" t="str">
        <f>IF('Consulta1'!D4904="","",'Consulta1'!D4904)</f>
        <v/>
      </c>
      <c r="E812" s="82" t="str">
        <f>IF('Consulta1'!E4904="","",'Consulta1'!E4904)</f>
        <v/>
      </c>
      <c r="F812" t="str">
        <f>+IF(E812="","",VLOOKUP(E812,CATALOGO!G:L,6,0))</f>
        <v/>
      </c>
      <c r="G812" s="85" t="str">
        <f>IF('Consulta1'!F4904="","",'Consulta1'!F4904)</f>
        <v/>
      </c>
      <c r="H812" s="85" t="str">
        <f>IF('Consulta1'!G4904="","",'Consulta1'!G4904)</f>
        <v/>
      </c>
      <c r="I812" s="86" t="str">
        <f>IF('Consulta1'!H4904="","",'Consulta1'!H4904)</f>
        <v/>
      </c>
      <c r="J812" t="str">
        <f t="shared" si="12"/>
        <v/>
      </c>
      <c r="K812" t="str">
        <f>+IF(E812="","",VLOOKUP(E812,CATALOGO!G:I,2,0))</f>
        <v/>
      </c>
      <c r="L812" t="str">
        <f>+IF(E812="","",VLOOKUP(E812,CATALOGO!G:I,3,0))</f>
        <v/>
      </c>
      <c r="M812" s="87" t="str">
        <f>IF('Consulta1'!I4904="","",'Consulta1'!I4904)</f>
        <v/>
      </c>
      <c r="N812" s="88" t="str">
        <f>IF('Consulta1'!J4904="","",'Consulta1'!J4904)</f>
        <v/>
      </c>
    </row>
    <row r="813" spans="1:14" ht="18.75" x14ac:dyDescent="0.25">
      <c r="A813" s="82" t="str">
        <f>IF('Consulta1'!A4905="","",'Consulta1'!A4905)</f>
        <v/>
      </c>
      <c r="B813" s="82" t="str">
        <f>IF('Consulta1'!B4905="","",'Consulta1'!B4905)</f>
        <v/>
      </c>
      <c r="C813" s="83" t="str">
        <f>IF('Consulta1'!C4905="","",'Consulta1'!C4905)</f>
        <v/>
      </c>
      <c r="D813" s="84" t="str">
        <f>IF('Consulta1'!D4905="","",'Consulta1'!D4905)</f>
        <v/>
      </c>
      <c r="E813" s="82" t="str">
        <f>IF('Consulta1'!E4905="","",'Consulta1'!E4905)</f>
        <v/>
      </c>
      <c r="F813" t="str">
        <f>+IF(E813="","",VLOOKUP(E813,CATALOGO!G:L,6,0))</f>
        <v/>
      </c>
      <c r="G813" s="85" t="str">
        <f>IF('Consulta1'!F4905="","",'Consulta1'!F4905)</f>
        <v/>
      </c>
      <c r="H813" s="85" t="str">
        <f>IF('Consulta1'!G4905="","",'Consulta1'!G4905)</f>
        <v/>
      </c>
      <c r="I813" s="86" t="str">
        <f>IF('Consulta1'!H4905="","",'Consulta1'!H4905)</f>
        <v/>
      </c>
      <c r="J813" t="str">
        <f t="shared" si="12"/>
        <v/>
      </c>
      <c r="K813" t="str">
        <f>+IF(E813="","",VLOOKUP(E813,CATALOGO!G:I,2,0))</f>
        <v/>
      </c>
      <c r="L813" t="str">
        <f>+IF(E813="","",VLOOKUP(E813,CATALOGO!G:I,3,0))</f>
        <v/>
      </c>
      <c r="M813" s="87" t="str">
        <f>IF('Consulta1'!I4905="","",'Consulta1'!I4905)</f>
        <v/>
      </c>
      <c r="N813" s="88" t="str">
        <f>IF('Consulta1'!J4905="","",'Consulta1'!J4905)</f>
        <v/>
      </c>
    </row>
    <row r="814" spans="1:14" ht="18.75" x14ac:dyDescent="0.25">
      <c r="A814" s="82" t="str">
        <f>IF('Consulta1'!A4906="","",'Consulta1'!A4906)</f>
        <v/>
      </c>
      <c r="B814" s="82" t="str">
        <f>IF('Consulta1'!B4906="","",'Consulta1'!B4906)</f>
        <v/>
      </c>
      <c r="C814" s="83" t="str">
        <f>IF('Consulta1'!C4906="","",'Consulta1'!C4906)</f>
        <v/>
      </c>
      <c r="D814" s="84" t="str">
        <f>IF('Consulta1'!D4906="","",'Consulta1'!D4906)</f>
        <v/>
      </c>
      <c r="E814" s="82" t="str">
        <f>IF('Consulta1'!E4906="","",'Consulta1'!E4906)</f>
        <v/>
      </c>
      <c r="F814" t="str">
        <f>+IF(E814="","",VLOOKUP(E814,CATALOGO!G:L,6,0))</f>
        <v/>
      </c>
      <c r="G814" s="85" t="str">
        <f>IF('Consulta1'!F4906="","",'Consulta1'!F4906)</f>
        <v/>
      </c>
      <c r="H814" s="85" t="str">
        <f>IF('Consulta1'!G4906="","",'Consulta1'!G4906)</f>
        <v/>
      </c>
      <c r="I814" s="86" t="str">
        <f>IF('Consulta1'!H4906="","",'Consulta1'!H4906)</f>
        <v/>
      </c>
      <c r="J814" t="str">
        <f t="shared" si="12"/>
        <v/>
      </c>
      <c r="K814" t="str">
        <f>+IF(E814="","",VLOOKUP(E814,CATALOGO!G:I,2,0))</f>
        <v/>
      </c>
      <c r="L814" t="str">
        <f>+IF(E814="","",VLOOKUP(E814,CATALOGO!G:I,3,0))</f>
        <v/>
      </c>
      <c r="M814" s="87" t="str">
        <f>IF('Consulta1'!I4906="","",'Consulta1'!I4906)</f>
        <v/>
      </c>
      <c r="N814" s="88" t="str">
        <f>IF('Consulta1'!J4906="","",'Consulta1'!J4906)</f>
        <v/>
      </c>
    </row>
    <row r="815" spans="1:14" ht="18.75" x14ac:dyDescent="0.25">
      <c r="A815" s="82" t="str">
        <f>IF('Consulta1'!A4907="","",'Consulta1'!A4907)</f>
        <v/>
      </c>
      <c r="B815" s="82" t="str">
        <f>IF('Consulta1'!B4907="","",'Consulta1'!B4907)</f>
        <v/>
      </c>
      <c r="C815" s="83" t="str">
        <f>IF('Consulta1'!C4907="","",'Consulta1'!C4907)</f>
        <v/>
      </c>
      <c r="D815" s="84" t="str">
        <f>IF('Consulta1'!D4907="","",'Consulta1'!D4907)</f>
        <v/>
      </c>
      <c r="E815" s="82" t="str">
        <f>IF('Consulta1'!E4907="","",'Consulta1'!E4907)</f>
        <v/>
      </c>
      <c r="F815" t="str">
        <f>+IF(E815="","",VLOOKUP(E815,CATALOGO!G:L,6,0))</f>
        <v/>
      </c>
      <c r="G815" s="85" t="str">
        <f>IF('Consulta1'!F4907="","",'Consulta1'!F4907)</f>
        <v/>
      </c>
      <c r="H815" s="85" t="str">
        <f>IF('Consulta1'!G4907="","",'Consulta1'!G4907)</f>
        <v/>
      </c>
      <c r="I815" s="86" t="str">
        <f>IF('Consulta1'!H4907="","",'Consulta1'!H4907)</f>
        <v/>
      </c>
      <c r="J815" t="str">
        <f t="shared" si="12"/>
        <v/>
      </c>
      <c r="K815" t="str">
        <f>+IF(E815="","",VLOOKUP(E815,CATALOGO!G:I,2,0))</f>
        <v/>
      </c>
      <c r="L815" t="str">
        <f>+IF(E815="","",VLOOKUP(E815,CATALOGO!G:I,3,0))</f>
        <v/>
      </c>
      <c r="M815" s="87" t="str">
        <f>IF('Consulta1'!I4907="","",'Consulta1'!I4907)</f>
        <v/>
      </c>
      <c r="N815" s="88" t="str">
        <f>IF('Consulta1'!J4907="","",'Consulta1'!J4907)</f>
        <v/>
      </c>
    </row>
    <row r="816" spans="1:14" ht="18.75" x14ac:dyDescent="0.25">
      <c r="A816" s="82" t="str">
        <f>IF('Consulta1'!A4908="","",'Consulta1'!A4908)</f>
        <v/>
      </c>
      <c r="B816" s="82" t="str">
        <f>IF('Consulta1'!B4908="","",'Consulta1'!B4908)</f>
        <v/>
      </c>
      <c r="C816" s="83" t="str">
        <f>IF('Consulta1'!C4908="","",'Consulta1'!C4908)</f>
        <v/>
      </c>
      <c r="D816" s="84" t="str">
        <f>IF('Consulta1'!D4908="","",'Consulta1'!D4908)</f>
        <v/>
      </c>
      <c r="E816" s="82" t="str">
        <f>IF('Consulta1'!E4908="","",'Consulta1'!E4908)</f>
        <v/>
      </c>
      <c r="F816" t="str">
        <f>+IF(E816="","",VLOOKUP(E816,CATALOGO!G:L,6,0))</f>
        <v/>
      </c>
      <c r="G816" s="85" t="str">
        <f>IF('Consulta1'!F4908="","",'Consulta1'!F4908)</f>
        <v/>
      </c>
      <c r="H816" s="85" t="str">
        <f>IF('Consulta1'!G4908="","",'Consulta1'!G4908)</f>
        <v/>
      </c>
      <c r="I816" s="86" t="str">
        <f>IF('Consulta1'!H4908="","",'Consulta1'!H4908)</f>
        <v/>
      </c>
      <c r="J816" t="str">
        <f t="shared" si="12"/>
        <v/>
      </c>
      <c r="K816" t="str">
        <f>+IF(E816="","",VLOOKUP(E816,CATALOGO!G:I,2,0))</f>
        <v/>
      </c>
      <c r="L816" t="str">
        <f>+IF(E816="","",VLOOKUP(E816,CATALOGO!G:I,3,0))</f>
        <v/>
      </c>
      <c r="M816" s="87" t="str">
        <f>IF('Consulta1'!I4908="","",'Consulta1'!I4908)</f>
        <v/>
      </c>
      <c r="N816" s="88" t="str">
        <f>IF('Consulta1'!J4908="","",'Consulta1'!J4908)</f>
        <v/>
      </c>
    </row>
    <row r="817" spans="1:14" ht="18.75" x14ac:dyDescent="0.25">
      <c r="A817" s="82" t="str">
        <f>IF('Consulta1'!A4909="","",'Consulta1'!A4909)</f>
        <v/>
      </c>
      <c r="B817" s="82" t="str">
        <f>IF('Consulta1'!B4909="","",'Consulta1'!B4909)</f>
        <v/>
      </c>
      <c r="C817" s="83" t="str">
        <f>IF('Consulta1'!C4909="","",'Consulta1'!C4909)</f>
        <v/>
      </c>
      <c r="D817" s="84" t="str">
        <f>IF('Consulta1'!D4909="","",'Consulta1'!D4909)</f>
        <v/>
      </c>
      <c r="E817" s="82" t="str">
        <f>IF('Consulta1'!E4909="","",'Consulta1'!E4909)</f>
        <v/>
      </c>
      <c r="F817" t="str">
        <f>+IF(E817="","",VLOOKUP(E817,CATALOGO!G:L,6,0))</f>
        <v/>
      </c>
      <c r="G817" s="85" t="str">
        <f>IF('Consulta1'!F4909="","",'Consulta1'!F4909)</f>
        <v/>
      </c>
      <c r="H817" s="85" t="str">
        <f>IF('Consulta1'!G4909="","",'Consulta1'!G4909)</f>
        <v/>
      </c>
      <c r="I817" s="86" t="str">
        <f>IF('Consulta1'!H4909="","",'Consulta1'!H4909)</f>
        <v/>
      </c>
      <c r="J817" t="str">
        <f t="shared" si="12"/>
        <v/>
      </c>
      <c r="K817" t="str">
        <f>+IF(E817="","",VLOOKUP(E817,CATALOGO!G:I,2,0))</f>
        <v/>
      </c>
      <c r="L817" t="str">
        <f>+IF(E817="","",VLOOKUP(E817,CATALOGO!G:I,3,0))</f>
        <v/>
      </c>
      <c r="M817" s="87" t="str">
        <f>IF('Consulta1'!I4909="","",'Consulta1'!I4909)</f>
        <v/>
      </c>
      <c r="N817" s="88" t="str">
        <f>IF('Consulta1'!J4909="","",'Consulta1'!J4909)</f>
        <v/>
      </c>
    </row>
    <row r="818" spans="1:14" ht="18.75" x14ac:dyDescent="0.25">
      <c r="A818" s="82" t="str">
        <f>IF('Consulta1'!A4910="","",'Consulta1'!A4910)</f>
        <v/>
      </c>
      <c r="B818" s="82" t="str">
        <f>IF('Consulta1'!B4910="","",'Consulta1'!B4910)</f>
        <v/>
      </c>
      <c r="C818" s="83" t="str">
        <f>IF('Consulta1'!C4910="","",'Consulta1'!C4910)</f>
        <v/>
      </c>
      <c r="D818" s="84" t="str">
        <f>IF('Consulta1'!D4910="","",'Consulta1'!D4910)</f>
        <v/>
      </c>
      <c r="E818" s="82" t="str">
        <f>IF('Consulta1'!E4910="","",'Consulta1'!E4910)</f>
        <v/>
      </c>
      <c r="F818" t="str">
        <f>+IF(E818="","",VLOOKUP(E818,CATALOGO!G:L,6,0))</f>
        <v/>
      </c>
      <c r="G818" s="85" t="str">
        <f>IF('Consulta1'!F4910="","",'Consulta1'!F4910)</f>
        <v/>
      </c>
      <c r="H818" s="85" t="str">
        <f>IF('Consulta1'!G4910="","",'Consulta1'!G4910)</f>
        <v/>
      </c>
      <c r="I818" s="86" t="str">
        <f>IF('Consulta1'!H4910="","",'Consulta1'!H4910)</f>
        <v/>
      </c>
      <c r="J818" t="str">
        <f t="shared" si="12"/>
        <v/>
      </c>
      <c r="K818" t="str">
        <f>+IF(E818="","",VLOOKUP(E818,CATALOGO!G:I,2,0))</f>
        <v/>
      </c>
      <c r="L818" t="str">
        <f>+IF(E818="","",VLOOKUP(E818,CATALOGO!G:I,3,0))</f>
        <v/>
      </c>
      <c r="M818" s="87" t="str">
        <f>IF('Consulta1'!I4910="","",'Consulta1'!I4910)</f>
        <v/>
      </c>
      <c r="N818" s="88" t="str">
        <f>IF('Consulta1'!J4910="","",'Consulta1'!J4910)</f>
        <v/>
      </c>
    </row>
    <row r="819" spans="1:14" ht="18.75" x14ac:dyDescent="0.25">
      <c r="A819" s="82" t="str">
        <f>IF('Consulta1'!A4911="","",'Consulta1'!A4911)</f>
        <v/>
      </c>
      <c r="B819" s="82" t="str">
        <f>IF('Consulta1'!B4911="","",'Consulta1'!B4911)</f>
        <v/>
      </c>
      <c r="C819" s="83" t="str">
        <f>IF('Consulta1'!C4911="","",'Consulta1'!C4911)</f>
        <v/>
      </c>
      <c r="D819" s="84" t="str">
        <f>IF('Consulta1'!D4911="","",'Consulta1'!D4911)</f>
        <v/>
      </c>
      <c r="E819" s="82" t="str">
        <f>IF('Consulta1'!E4911="","",'Consulta1'!E4911)</f>
        <v/>
      </c>
      <c r="F819" t="str">
        <f>+IF(E819="","",VLOOKUP(E819,CATALOGO!G:L,6,0))</f>
        <v/>
      </c>
      <c r="G819" s="85" t="str">
        <f>IF('Consulta1'!F4911="","",'Consulta1'!F4911)</f>
        <v/>
      </c>
      <c r="H819" s="85" t="str">
        <f>IF('Consulta1'!G4911="","",'Consulta1'!G4911)</f>
        <v/>
      </c>
      <c r="I819" s="86" t="str">
        <f>IF('Consulta1'!H4911="","",'Consulta1'!H4911)</f>
        <v/>
      </c>
      <c r="J819" t="str">
        <f t="shared" si="12"/>
        <v/>
      </c>
      <c r="K819" t="str">
        <f>+IF(E819="","",VLOOKUP(E819,CATALOGO!G:I,2,0))</f>
        <v/>
      </c>
      <c r="L819" t="str">
        <f>+IF(E819="","",VLOOKUP(E819,CATALOGO!G:I,3,0))</f>
        <v/>
      </c>
      <c r="M819" s="87" t="str">
        <f>IF('Consulta1'!I4911="","",'Consulta1'!I4911)</f>
        <v/>
      </c>
      <c r="N819" s="88" t="str">
        <f>IF('Consulta1'!J4911="","",'Consulta1'!J4911)</f>
        <v/>
      </c>
    </row>
    <row r="820" spans="1:14" ht="18.75" x14ac:dyDescent="0.25">
      <c r="A820" s="82" t="str">
        <f>IF('Consulta1'!A4912="","",'Consulta1'!A4912)</f>
        <v/>
      </c>
      <c r="B820" s="82" t="str">
        <f>IF('Consulta1'!B4912="","",'Consulta1'!B4912)</f>
        <v/>
      </c>
      <c r="C820" s="83" t="str">
        <f>IF('Consulta1'!C4912="","",'Consulta1'!C4912)</f>
        <v/>
      </c>
      <c r="D820" s="84" t="str">
        <f>IF('Consulta1'!D4912="","",'Consulta1'!D4912)</f>
        <v/>
      </c>
      <c r="E820" s="82" t="str">
        <f>IF('Consulta1'!E4912="","",'Consulta1'!E4912)</f>
        <v/>
      </c>
      <c r="F820" t="str">
        <f>+IF(E820="","",VLOOKUP(E820,CATALOGO!G:L,6,0))</f>
        <v/>
      </c>
      <c r="G820" s="85" t="str">
        <f>IF('Consulta1'!F4912="","",'Consulta1'!F4912)</f>
        <v/>
      </c>
      <c r="H820" s="85" t="str">
        <f>IF('Consulta1'!G4912="","",'Consulta1'!G4912)</f>
        <v/>
      </c>
      <c r="I820" s="86" t="str">
        <f>IF('Consulta1'!H4912="","",'Consulta1'!H4912)</f>
        <v/>
      </c>
      <c r="J820" t="str">
        <f t="shared" si="12"/>
        <v/>
      </c>
      <c r="K820" t="str">
        <f>+IF(E820="","",VLOOKUP(E820,CATALOGO!G:I,2,0))</f>
        <v/>
      </c>
      <c r="L820" t="str">
        <f>+IF(E820="","",VLOOKUP(E820,CATALOGO!G:I,3,0))</f>
        <v/>
      </c>
      <c r="M820" s="87" t="str">
        <f>IF('Consulta1'!I4912="","",'Consulta1'!I4912)</f>
        <v/>
      </c>
      <c r="N820" s="88" t="str">
        <f>IF('Consulta1'!J4912="","",'Consulta1'!J4912)</f>
        <v/>
      </c>
    </row>
    <row r="821" spans="1:14" ht="18.75" x14ac:dyDescent="0.25">
      <c r="A821" s="82" t="str">
        <f>IF('Consulta1'!A4913="","",'Consulta1'!A4913)</f>
        <v/>
      </c>
      <c r="B821" s="82" t="str">
        <f>IF('Consulta1'!B4913="","",'Consulta1'!B4913)</f>
        <v/>
      </c>
      <c r="C821" s="83" t="str">
        <f>IF('Consulta1'!C4913="","",'Consulta1'!C4913)</f>
        <v/>
      </c>
      <c r="D821" s="84" t="str">
        <f>IF('Consulta1'!D4913="","",'Consulta1'!D4913)</f>
        <v/>
      </c>
      <c r="E821" s="82" t="str">
        <f>IF('Consulta1'!E4913="","",'Consulta1'!E4913)</f>
        <v/>
      </c>
      <c r="F821" t="str">
        <f>+IF(E821="","",VLOOKUP(E821,CATALOGO!G:L,6,0))</f>
        <v/>
      </c>
      <c r="G821" s="85" t="str">
        <f>IF('Consulta1'!F4913="","",'Consulta1'!F4913)</f>
        <v/>
      </c>
      <c r="H821" s="85" t="str">
        <f>IF('Consulta1'!G4913="","",'Consulta1'!G4913)</f>
        <v/>
      </c>
      <c r="I821" s="86" t="str">
        <f>IF('Consulta1'!H4913="","",'Consulta1'!H4913)</f>
        <v/>
      </c>
      <c r="J821" t="str">
        <f t="shared" si="12"/>
        <v/>
      </c>
      <c r="K821" t="str">
        <f>+IF(E821="","",VLOOKUP(E821,CATALOGO!G:I,2,0))</f>
        <v/>
      </c>
      <c r="L821" t="str">
        <f>+IF(E821="","",VLOOKUP(E821,CATALOGO!G:I,3,0))</f>
        <v/>
      </c>
      <c r="M821" s="87" t="str">
        <f>IF('Consulta1'!I4913="","",'Consulta1'!I4913)</f>
        <v/>
      </c>
      <c r="N821" s="88" t="str">
        <f>IF('Consulta1'!J4913="","",'Consulta1'!J4913)</f>
        <v/>
      </c>
    </row>
    <row r="822" spans="1:14" ht="18.75" x14ac:dyDescent="0.25">
      <c r="A822" s="82" t="str">
        <f>IF('Consulta1'!A4914="","",'Consulta1'!A4914)</f>
        <v/>
      </c>
      <c r="B822" s="82" t="str">
        <f>IF('Consulta1'!B4914="","",'Consulta1'!B4914)</f>
        <v/>
      </c>
      <c r="C822" s="83" t="str">
        <f>IF('Consulta1'!C4914="","",'Consulta1'!C4914)</f>
        <v/>
      </c>
      <c r="D822" s="84" t="str">
        <f>IF('Consulta1'!D4914="","",'Consulta1'!D4914)</f>
        <v/>
      </c>
      <c r="E822" s="82" t="str">
        <f>IF('Consulta1'!E4914="","",'Consulta1'!E4914)</f>
        <v/>
      </c>
      <c r="F822" t="str">
        <f>+IF(E822="","",VLOOKUP(E822,CATALOGO!G:L,6,0))</f>
        <v/>
      </c>
      <c r="G822" s="85" t="str">
        <f>IF('Consulta1'!F4914="","",'Consulta1'!F4914)</f>
        <v/>
      </c>
      <c r="H822" s="85" t="str">
        <f>IF('Consulta1'!G4914="","",'Consulta1'!G4914)</f>
        <v/>
      </c>
      <c r="I822" s="86" t="str">
        <f>IF('Consulta1'!H4914="","",'Consulta1'!H4914)</f>
        <v/>
      </c>
      <c r="J822" t="str">
        <f t="shared" si="12"/>
        <v/>
      </c>
      <c r="K822" t="str">
        <f>+IF(E822="","",VLOOKUP(E822,CATALOGO!G:I,2,0))</f>
        <v/>
      </c>
      <c r="L822" t="str">
        <f>+IF(E822="","",VLOOKUP(E822,CATALOGO!G:I,3,0))</f>
        <v/>
      </c>
      <c r="M822" s="87" t="str">
        <f>IF('Consulta1'!I4914="","",'Consulta1'!I4914)</f>
        <v/>
      </c>
      <c r="N822" s="88" t="str">
        <f>IF('Consulta1'!J4914="","",'Consulta1'!J4914)</f>
        <v/>
      </c>
    </row>
    <row r="823" spans="1:14" ht="18.75" x14ac:dyDescent="0.25">
      <c r="A823" s="82" t="str">
        <f>IF('Consulta1'!A4915="","",'Consulta1'!A4915)</f>
        <v/>
      </c>
      <c r="B823" s="82" t="str">
        <f>IF('Consulta1'!B4915="","",'Consulta1'!B4915)</f>
        <v/>
      </c>
      <c r="C823" s="83" t="str">
        <f>IF('Consulta1'!C4915="","",'Consulta1'!C4915)</f>
        <v/>
      </c>
      <c r="D823" s="84" t="str">
        <f>IF('Consulta1'!D4915="","",'Consulta1'!D4915)</f>
        <v/>
      </c>
      <c r="E823" s="82" t="str">
        <f>IF('Consulta1'!E4915="","",'Consulta1'!E4915)</f>
        <v/>
      </c>
      <c r="F823" t="str">
        <f>+IF(E823="","",VLOOKUP(E823,CATALOGO!G:L,6,0))</f>
        <v/>
      </c>
      <c r="G823" s="85" t="str">
        <f>IF('Consulta1'!F4915="","",'Consulta1'!F4915)</f>
        <v/>
      </c>
      <c r="H823" s="85" t="str">
        <f>IF('Consulta1'!G4915="","",'Consulta1'!G4915)</f>
        <v/>
      </c>
      <c r="I823" s="86" t="str">
        <f>IF('Consulta1'!H4915="","",'Consulta1'!H4915)</f>
        <v/>
      </c>
      <c r="J823" t="str">
        <f t="shared" si="12"/>
        <v/>
      </c>
      <c r="K823" t="str">
        <f>+IF(E823="","",VLOOKUP(E823,CATALOGO!G:I,2,0))</f>
        <v/>
      </c>
      <c r="L823" t="str">
        <f>+IF(E823="","",VLOOKUP(E823,CATALOGO!G:I,3,0))</f>
        <v/>
      </c>
      <c r="M823" s="87" t="str">
        <f>IF('Consulta1'!I4915="","",'Consulta1'!I4915)</f>
        <v/>
      </c>
      <c r="N823" s="88" t="str">
        <f>IF('Consulta1'!J4915="","",'Consulta1'!J4915)</f>
        <v/>
      </c>
    </row>
    <row r="824" spans="1:14" ht="18.75" x14ac:dyDescent="0.25">
      <c r="A824" s="82" t="str">
        <f>IF('Consulta1'!A4916="","",'Consulta1'!A4916)</f>
        <v/>
      </c>
      <c r="B824" s="82" t="str">
        <f>IF('Consulta1'!B4916="","",'Consulta1'!B4916)</f>
        <v/>
      </c>
      <c r="C824" s="83" t="str">
        <f>IF('Consulta1'!C4916="","",'Consulta1'!C4916)</f>
        <v/>
      </c>
      <c r="D824" s="84" t="str">
        <f>IF('Consulta1'!D4916="","",'Consulta1'!D4916)</f>
        <v/>
      </c>
      <c r="E824" s="82" t="str">
        <f>IF('Consulta1'!E4916="","",'Consulta1'!E4916)</f>
        <v/>
      </c>
      <c r="F824" t="str">
        <f>+IF(E824="","",VLOOKUP(E824,CATALOGO!G:L,6,0))</f>
        <v/>
      </c>
      <c r="G824" s="85" t="str">
        <f>IF('Consulta1'!F4916="","",'Consulta1'!F4916)</f>
        <v/>
      </c>
      <c r="H824" s="85" t="str">
        <f>IF('Consulta1'!G4916="","",'Consulta1'!G4916)</f>
        <v/>
      </c>
      <c r="I824" s="86" t="str">
        <f>IF('Consulta1'!H4916="","",'Consulta1'!H4916)</f>
        <v/>
      </c>
      <c r="J824" t="str">
        <f t="shared" si="12"/>
        <v/>
      </c>
      <c r="K824" t="str">
        <f>+IF(E824="","",VLOOKUP(E824,CATALOGO!G:I,2,0))</f>
        <v/>
      </c>
      <c r="L824" t="str">
        <f>+IF(E824="","",VLOOKUP(E824,CATALOGO!G:I,3,0))</f>
        <v/>
      </c>
      <c r="M824" s="87" t="str">
        <f>IF('Consulta1'!I4916="","",'Consulta1'!I4916)</f>
        <v/>
      </c>
      <c r="N824" s="88" t="str">
        <f>IF('Consulta1'!J4916="","",'Consulta1'!J4916)</f>
        <v/>
      </c>
    </row>
    <row r="825" spans="1:14" ht="18.75" x14ac:dyDescent="0.25">
      <c r="A825" s="82" t="str">
        <f>IF('Consulta1'!A4917="","",'Consulta1'!A4917)</f>
        <v/>
      </c>
      <c r="B825" s="82" t="str">
        <f>IF('Consulta1'!B4917="","",'Consulta1'!B4917)</f>
        <v/>
      </c>
      <c r="C825" s="83" t="str">
        <f>IF('Consulta1'!C4917="","",'Consulta1'!C4917)</f>
        <v/>
      </c>
      <c r="D825" s="84" t="str">
        <f>IF('Consulta1'!D4917="","",'Consulta1'!D4917)</f>
        <v/>
      </c>
      <c r="E825" s="82" t="str">
        <f>IF('Consulta1'!E4917="","",'Consulta1'!E4917)</f>
        <v/>
      </c>
      <c r="F825" t="str">
        <f>+IF(E825="","",VLOOKUP(E825,CATALOGO!G:L,6,0))</f>
        <v/>
      </c>
      <c r="G825" s="85" t="str">
        <f>IF('Consulta1'!F4917="","",'Consulta1'!F4917)</f>
        <v/>
      </c>
      <c r="H825" s="85" t="str">
        <f>IF('Consulta1'!G4917="","",'Consulta1'!G4917)</f>
        <v/>
      </c>
      <c r="I825" s="86" t="str">
        <f>IF('Consulta1'!H4917="","",'Consulta1'!H4917)</f>
        <v/>
      </c>
      <c r="J825" t="str">
        <f t="shared" si="12"/>
        <v/>
      </c>
      <c r="K825" t="str">
        <f>+IF(E825="","",VLOOKUP(E825,CATALOGO!G:I,2,0))</f>
        <v/>
      </c>
      <c r="L825" t="str">
        <f>+IF(E825="","",VLOOKUP(E825,CATALOGO!G:I,3,0))</f>
        <v/>
      </c>
      <c r="M825" s="87" t="str">
        <f>IF('Consulta1'!I4917="","",'Consulta1'!I4917)</f>
        <v/>
      </c>
      <c r="N825" s="88" t="str">
        <f>IF('Consulta1'!J4917="","",'Consulta1'!J4917)</f>
        <v/>
      </c>
    </row>
    <row r="826" spans="1:14" ht="18.75" x14ac:dyDescent="0.25">
      <c r="A826" s="82" t="str">
        <f>IF('Consulta1'!A4918="","",'Consulta1'!A4918)</f>
        <v/>
      </c>
      <c r="B826" s="82" t="str">
        <f>IF('Consulta1'!B4918="","",'Consulta1'!B4918)</f>
        <v/>
      </c>
      <c r="C826" s="83" t="str">
        <f>IF('Consulta1'!C4918="","",'Consulta1'!C4918)</f>
        <v/>
      </c>
      <c r="D826" s="84" t="str">
        <f>IF('Consulta1'!D4918="","",'Consulta1'!D4918)</f>
        <v/>
      </c>
      <c r="E826" s="82" t="str">
        <f>IF('Consulta1'!E4918="","",'Consulta1'!E4918)</f>
        <v/>
      </c>
      <c r="F826" t="str">
        <f>+IF(E826="","",VLOOKUP(E826,CATALOGO!G:L,6,0))</f>
        <v/>
      </c>
      <c r="G826" s="85" t="str">
        <f>IF('Consulta1'!F4918="","",'Consulta1'!F4918)</f>
        <v/>
      </c>
      <c r="H826" s="85" t="str">
        <f>IF('Consulta1'!G4918="","",'Consulta1'!G4918)</f>
        <v/>
      </c>
      <c r="I826" s="86" t="str">
        <f>IF('Consulta1'!H4918="","",'Consulta1'!H4918)</f>
        <v/>
      </c>
      <c r="J826" t="str">
        <f t="shared" si="12"/>
        <v/>
      </c>
      <c r="K826" t="str">
        <f>+IF(E826="","",VLOOKUP(E826,CATALOGO!G:I,2,0))</f>
        <v/>
      </c>
      <c r="L826" t="str">
        <f>+IF(E826="","",VLOOKUP(E826,CATALOGO!G:I,3,0))</f>
        <v/>
      </c>
      <c r="M826" s="87" t="str">
        <f>IF('Consulta1'!I4918="","",'Consulta1'!I4918)</f>
        <v/>
      </c>
      <c r="N826" s="88" t="str">
        <f>IF('Consulta1'!J4918="","",'Consulta1'!J4918)</f>
        <v/>
      </c>
    </row>
    <row r="827" spans="1:14" ht="18.75" x14ac:dyDescent="0.25">
      <c r="A827" s="82" t="str">
        <f>IF('Consulta1'!A4919="","",'Consulta1'!A4919)</f>
        <v/>
      </c>
      <c r="B827" s="82" t="str">
        <f>IF('Consulta1'!B4919="","",'Consulta1'!B4919)</f>
        <v/>
      </c>
      <c r="C827" s="83" t="str">
        <f>IF('Consulta1'!C4919="","",'Consulta1'!C4919)</f>
        <v/>
      </c>
      <c r="D827" s="84" t="str">
        <f>IF('Consulta1'!D4919="","",'Consulta1'!D4919)</f>
        <v/>
      </c>
      <c r="E827" s="82" t="str">
        <f>IF('Consulta1'!E4919="","",'Consulta1'!E4919)</f>
        <v/>
      </c>
      <c r="F827" t="str">
        <f>+IF(E827="","",VLOOKUP(E827,CATALOGO!G:L,6,0))</f>
        <v/>
      </c>
      <c r="G827" s="85" t="str">
        <f>IF('Consulta1'!F4919="","",'Consulta1'!F4919)</f>
        <v/>
      </c>
      <c r="H827" s="85" t="str">
        <f>IF('Consulta1'!G4919="","",'Consulta1'!G4919)</f>
        <v/>
      </c>
      <c r="I827" s="86" t="str">
        <f>IF('Consulta1'!H4919="","",'Consulta1'!H4919)</f>
        <v/>
      </c>
      <c r="J827" t="str">
        <f t="shared" si="12"/>
        <v/>
      </c>
      <c r="K827" t="str">
        <f>+IF(E827="","",VLOOKUP(E827,CATALOGO!G:I,2,0))</f>
        <v/>
      </c>
      <c r="L827" t="str">
        <f>+IF(E827="","",VLOOKUP(E827,CATALOGO!G:I,3,0))</f>
        <v/>
      </c>
      <c r="M827" s="87" t="str">
        <f>IF('Consulta1'!I4919="","",'Consulta1'!I4919)</f>
        <v/>
      </c>
      <c r="N827" s="88" t="str">
        <f>IF('Consulta1'!J4919="","",'Consulta1'!J4919)</f>
        <v/>
      </c>
    </row>
    <row r="828" spans="1:14" ht="18.75" x14ac:dyDescent="0.25">
      <c r="A828" s="82" t="str">
        <f>IF('Consulta1'!A4920="","",'Consulta1'!A4920)</f>
        <v/>
      </c>
      <c r="B828" s="82" t="str">
        <f>IF('Consulta1'!B4920="","",'Consulta1'!B4920)</f>
        <v/>
      </c>
      <c r="C828" s="83" t="str">
        <f>IF('Consulta1'!C4920="","",'Consulta1'!C4920)</f>
        <v/>
      </c>
      <c r="D828" s="84" t="str">
        <f>IF('Consulta1'!D4920="","",'Consulta1'!D4920)</f>
        <v/>
      </c>
      <c r="E828" s="82" t="str">
        <f>IF('Consulta1'!E4920="","",'Consulta1'!E4920)</f>
        <v/>
      </c>
      <c r="F828" t="str">
        <f>+IF(E828="","",VLOOKUP(E828,CATALOGO!G:L,6,0))</f>
        <v/>
      </c>
      <c r="G828" s="85" t="str">
        <f>IF('Consulta1'!F4920="","",'Consulta1'!F4920)</f>
        <v/>
      </c>
      <c r="H828" s="85" t="str">
        <f>IF('Consulta1'!G4920="","",'Consulta1'!G4920)</f>
        <v/>
      </c>
      <c r="I828" s="86" t="str">
        <f>IF('Consulta1'!H4920="","",'Consulta1'!H4920)</f>
        <v/>
      </c>
      <c r="J828" t="str">
        <f t="shared" si="12"/>
        <v/>
      </c>
      <c r="K828" t="str">
        <f>+IF(E828="","",VLOOKUP(E828,CATALOGO!G:I,2,0))</f>
        <v/>
      </c>
      <c r="L828" t="str">
        <f>+IF(E828="","",VLOOKUP(E828,CATALOGO!G:I,3,0))</f>
        <v/>
      </c>
      <c r="M828" s="87" t="str">
        <f>IF('Consulta1'!I4920="","",'Consulta1'!I4920)</f>
        <v/>
      </c>
      <c r="N828" s="88" t="str">
        <f>IF('Consulta1'!J4920="","",'Consulta1'!J4920)</f>
        <v/>
      </c>
    </row>
    <row r="829" spans="1:14" ht="18.75" x14ac:dyDescent="0.25">
      <c r="A829" s="82" t="str">
        <f>IF('Consulta1'!A4921="","",'Consulta1'!A4921)</f>
        <v/>
      </c>
      <c r="B829" s="82" t="str">
        <f>IF('Consulta1'!B4921="","",'Consulta1'!B4921)</f>
        <v/>
      </c>
      <c r="C829" s="83" t="str">
        <f>IF('Consulta1'!C4921="","",'Consulta1'!C4921)</f>
        <v/>
      </c>
      <c r="D829" s="84" t="str">
        <f>IF('Consulta1'!D4921="","",'Consulta1'!D4921)</f>
        <v/>
      </c>
      <c r="E829" s="82" t="str">
        <f>IF('Consulta1'!E4921="","",'Consulta1'!E4921)</f>
        <v/>
      </c>
      <c r="F829" t="str">
        <f>+IF(E829="","",VLOOKUP(E829,CATALOGO!G:L,6,0))</f>
        <v/>
      </c>
      <c r="G829" s="85" t="str">
        <f>IF('Consulta1'!F4921="","",'Consulta1'!F4921)</f>
        <v/>
      </c>
      <c r="H829" s="85" t="str">
        <f>IF('Consulta1'!G4921="","",'Consulta1'!G4921)</f>
        <v/>
      </c>
      <c r="I829" s="86" t="str">
        <f>IF('Consulta1'!H4921="","",'Consulta1'!H4921)</f>
        <v/>
      </c>
      <c r="J829" t="str">
        <f t="shared" si="12"/>
        <v/>
      </c>
      <c r="K829" t="str">
        <f>+IF(E829="","",VLOOKUP(E829,CATALOGO!G:I,2,0))</f>
        <v/>
      </c>
      <c r="L829" t="str">
        <f>+IF(E829="","",VLOOKUP(E829,CATALOGO!G:I,3,0))</f>
        <v/>
      </c>
      <c r="M829" s="87" t="str">
        <f>IF('Consulta1'!I4921="","",'Consulta1'!I4921)</f>
        <v/>
      </c>
      <c r="N829" s="88" t="str">
        <f>IF('Consulta1'!J4921="","",'Consulta1'!J4921)</f>
        <v/>
      </c>
    </row>
    <row r="830" spans="1:14" ht="18.75" x14ac:dyDescent="0.25">
      <c r="A830" s="82" t="str">
        <f>IF('Consulta1'!A4922="","",'Consulta1'!A4922)</f>
        <v/>
      </c>
      <c r="B830" s="82" t="str">
        <f>IF('Consulta1'!B4922="","",'Consulta1'!B4922)</f>
        <v/>
      </c>
      <c r="C830" s="83" t="str">
        <f>IF('Consulta1'!C4922="","",'Consulta1'!C4922)</f>
        <v/>
      </c>
      <c r="D830" s="84" t="str">
        <f>IF('Consulta1'!D4922="","",'Consulta1'!D4922)</f>
        <v/>
      </c>
      <c r="E830" s="82" t="str">
        <f>IF('Consulta1'!E4922="","",'Consulta1'!E4922)</f>
        <v/>
      </c>
      <c r="F830" t="str">
        <f>+IF(E830="","",VLOOKUP(E830,CATALOGO!G:L,6,0))</f>
        <v/>
      </c>
      <c r="G830" s="85" t="str">
        <f>IF('Consulta1'!F4922="","",'Consulta1'!F4922)</f>
        <v/>
      </c>
      <c r="H830" s="85" t="str">
        <f>IF('Consulta1'!G4922="","",'Consulta1'!G4922)</f>
        <v/>
      </c>
      <c r="I830" s="86" t="str">
        <f>IF('Consulta1'!H4922="","",'Consulta1'!H4922)</f>
        <v/>
      </c>
      <c r="J830" t="str">
        <f t="shared" si="12"/>
        <v/>
      </c>
      <c r="K830" t="str">
        <f>+IF(E830="","",VLOOKUP(E830,CATALOGO!G:I,2,0))</f>
        <v/>
      </c>
      <c r="L830" t="str">
        <f>+IF(E830="","",VLOOKUP(E830,CATALOGO!G:I,3,0))</f>
        <v/>
      </c>
      <c r="M830" s="87" t="str">
        <f>IF('Consulta1'!I4922="","",'Consulta1'!I4922)</f>
        <v/>
      </c>
      <c r="N830" s="88" t="str">
        <f>IF('Consulta1'!J4922="","",'Consulta1'!J4922)</f>
        <v/>
      </c>
    </row>
    <row r="831" spans="1:14" ht="18.75" x14ac:dyDescent="0.25">
      <c r="A831" s="82" t="str">
        <f>IF('Consulta1'!A4923="","",'Consulta1'!A4923)</f>
        <v/>
      </c>
      <c r="B831" s="82" t="str">
        <f>IF('Consulta1'!B4923="","",'Consulta1'!B4923)</f>
        <v/>
      </c>
      <c r="C831" s="83" t="str">
        <f>IF('Consulta1'!C4923="","",'Consulta1'!C4923)</f>
        <v/>
      </c>
      <c r="D831" s="84" t="str">
        <f>IF('Consulta1'!D4923="","",'Consulta1'!D4923)</f>
        <v/>
      </c>
      <c r="E831" s="82" t="str">
        <f>IF('Consulta1'!E4923="","",'Consulta1'!E4923)</f>
        <v/>
      </c>
      <c r="F831" t="str">
        <f>+IF(E831="","",VLOOKUP(E831,CATALOGO!G:L,6,0))</f>
        <v/>
      </c>
      <c r="G831" s="85" t="str">
        <f>IF('Consulta1'!F4923="","",'Consulta1'!F4923)</f>
        <v/>
      </c>
      <c r="H831" s="85" t="str">
        <f>IF('Consulta1'!G4923="","",'Consulta1'!G4923)</f>
        <v/>
      </c>
      <c r="I831" s="86" t="str">
        <f>IF('Consulta1'!H4923="","",'Consulta1'!H4923)</f>
        <v/>
      </c>
      <c r="J831" t="str">
        <f t="shared" si="12"/>
        <v/>
      </c>
      <c r="K831" t="str">
        <f>+IF(E831="","",VLOOKUP(E831,CATALOGO!G:I,2,0))</f>
        <v/>
      </c>
      <c r="L831" t="str">
        <f>+IF(E831="","",VLOOKUP(E831,CATALOGO!G:I,3,0))</f>
        <v/>
      </c>
      <c r="M831" s="87" t="str">
        <f>IF('Consulta1'!I4923="","",'Consulta1'!I4923)</f>
        <v/>
      </c>
      <c r="N831" s="88" t="str">
        <f>IF('Consulta1'!J4923="","",'Consulta1'!J4923)</f>
        <v/>
      </c>
    </row>
    <row r="832" spans="1:14" ht="18.75" x14ac:dyDescent="0.25">
      <c r="A832" s="82" t="str">
        <f>IF('Consulta1'!A4924="","",'Consulta1'!A4924)</f>
        <v/>
      </c>
      <c r="B832" s="82" t="str">
        <f>IF('Consulta1'!B4924="","",'Consulta1'!B4924)</f>
        <v/>
      </c>
      <c r="C832" s="83" t="str">
        <f>IF('Consulta1'!C4924="","",'Consulta1'!C4924)</f>
        <v/>
      </c>
      <c r="D832" s="84" t="str">
        <f>IF('Consulta1'!D4924="","",'Consulta1'!D4924)</f>
        <v/>
      </c>
      <c r="E832" s="82" t="str">
        <f>IF('Consulta1'!E4924="","",'Consulta1'!E4924)</f>
        <v/>
      </c>
      <c r="F832" t="str">
        <f>+IF(E832="","",VLOOKUP(E832,CATALOGO!G:L,6,0))</f>
        <v/>
      </c>
      <c r="G832" s="85" t="str">
        <f>IF('Consulta1'!F4924="","",'Consulta1'!F4924)</f>
        <v/>
      </c>
      <c r="H832" s="85" t="str">
        <f>IF('Consulta1'!G4924="","",'Consulta1'!G4924)</f>
        <v/>
      </c>
      <c r="I832" s="86" t="str">
        <f>IF('Consulta1'!H4924="","",'Consulta1'!H4924)</f>
        <v/>
      </c>
      <c r="J832" t="str">
        <f t="shared" si="12"/>
        <v/>
      </c>
      <c r="K832" t="str">
        <f>+IF(E832="","",VLOOKUP(E832,CATALOGO!G:I,2,0))</f>
        <v/>
      </c>
      <c r="L832" t="str">
        <f>+IF(E832="","",VLOOKUP(E832,CATALOGO!G:I,3,0))</f>
        <v/>
      </c>
      <c r="M832" s="87" t="str">
        <f>IF('Consulta1'!I4924="","",'Consulta1'!I4924)</f>
        <v/>
      </c>
      <c r="N832" s="88" t="str">
        <f>IF('Consulta1'!J4924="","",'Consulta1'!J4924)</f>
        <v/>
      </c>
    </row>
    <row r="833" spans="1:14" ht="18.75" x14ac:dyDescent="0.25">
      <c r="A833" s="82" t="str">
        <f>IF('Consulta1'!A4925="","",'Consulta1'!A4925)</f>
        <v/>
      </c>
      <c r="B833" s="82" t="str">
        <f>IF('Consulta1'!B4925="","",'Consulta1'!B4925)</f>
        <v/>
      </c>
      <c r="C833" s="83" t="str">
        <f>IF('Consulta1'!C4925="","",'Consulta1'!C4925)</f>
        <v/>
      </c>
      <c r="D833" s="84" t="str">
        <f>IF('Consulta1'!D4925="","",'Consulta1'!D4925)</f>
        <v/>
      </c>
      <c r="E833" s="82" t="str">
        <f>IF('Consulta1'!E4925="","",'Consulta1'!E4925)</f>
        <v/>
      </c>
      <c r="F833" t="str">
        <f>+IF(E833="","",VLOOKUP(E833,CATALOGO!G:L,6,0))</f>
        <v/>
      </c>
      <c r="G833" s="85" t="str">
        <f>IF('Consulta1'!F4925="","",'Consulta1'!F4925)</f>
        <v/>
      </c>
      <c r="H833" s="85" t="str">
        <f>IF('Consulta1'!G4925="","",'Consulta1'!G4925)</f>
        <v/>
      </c>
      <c r="I833" s="86" t="str">
        <f>IF('Consulta1'!H4925="","",'Consulta1'!H4925)</f>
        <v/>
      </c>
      <c r="J833" t="str">
        <f t="shared" si="12"/>
        <v/>
      </c>
      <c r="K833" t="str">
        <f>+IF(E833="","",VLOOKUP(E833,CATALOGO!G:I,2,0))</f>
        <v/>
      </c>
      <c r="L833" t="str">
        <f>+IF(E833="","",VLOOKUP(E833,CATALOGO!G:I,3,0))</f>
        <v/>
      </c>
      <c r="M833" s="87" t="str">
        <f>IF('Consulta1'!I4925="","",'Consulta1'!I4925)</f>
        <v/>
      </c>
      <c r="N833" s="88" t="str">
        <f>IF('Consulta1'!J4925="","",'Consulta1'!J4925)</f>
        <v/>
      </c>
    </row>
    <row r="834" spans="1:14" ht="18.75" x14ac:dyDescent="0.25">
      <c r="A834" s="82" t="str">
        <f>IF('Consulta1'!A4926="","",'Consulta1'!A4926)</f>
        <v/>
      </c>
      <c r="B834" s="82" t="str">
        <f>IF('Consulta1'!B4926="","",'Consulta1'!B4926)</f>
        <v/>
      </c>
      <c r="C834" s="83" t="str">
        <f>IF('Consulta1'!C4926="","",'Consulta1'!C4926)</f>
        <v/>
      </c>
      <c r="D834" s="84" t="str">
        <f>IF('Consulta1'!D4926="","",'Consulta1'!D4926)</f>
        <v/>
      </c>
      <c r="E834" s="82" t="str">
        <f>IF('Consulta1'!E4926="","",'Consulta1'!E4926)</f>
        <v/>
      </c>
      <c r="F834" t="str">
        <f>+IF(E834="","",VLOOKUP(E834,CATALOGO!G:L,6,0))</f>
        <v/>
      </c>
      <c r="G834" s="85" t="str">
        <f>IF('Consulta1'!F4926="","",'Consulta1'!F4926)</f>
        <v/>
      </c>
      <c r="H834" s="85" t="str">
        <f>IF('Consulta1'!G4926="","",'Consulta1'!G4926)</f>
        <v/>
      </c>
      <c r="I834" s="86" t="str">
        <f>IF('Consulta1'!H4926="","",'Consulta1'!H4926)</f>
        <v/>
      </c>
      <c r="J834" t="str">
        <f t="shared" si="12"/>
        <v/>
      </c>
      <c r="K834" t="str">
        <f>+IF(E834="","",VLOOKUP(E834,CATALOGO!G:I,2,0))</f>
        <v/>
      </c>
      <c r="L834" t="str">
        <f>+IF(E834="","",VLOOKUP(E834,CATALOGO!G:I,3,0))</f>
        <v/>
      </c>
      <c r="M834" s="87" t="str">
        <f>IF('Consulta1'!I4926="","",'Consulta1'!I4926)</f>
        <v/>
      </c>
      <c r="N834" s="88" t="str">
        <f>IF('Consulta1'!J4926="","",'Consulta1'!J4926)</f>
        <v/>
      </c>
    </row>
    <row r="835" spans="1:14" ht="18.75" x14ac:dyDescent="0.25">
      <c r="A835" s="82" t="str">
        <f>IF('Consulta1'!A4927="","",'Consulta1'!A4927)</f>
        <v/>
      </c>
      <c r="B835" s="82" t="str">
        <f>IF('Consulta1'!B4927="","",'Consulta1'!B4927)</f>
        <v/>
      </c>
      <c r="C835" s="83" t="str">
        <f>IF('Consulta1'!C4927="","",'Consulta1'!C4927)</f>
        <v/>
      </c>
      <c r="D835" s="84" t="str">
        <f>IF('Consulta1'!D4927="","",'Consulta1'!D4927)</f>
        <v/>
      </c>
      <c r="E835" s="82" t="str">
        <f>IF('Consulta1'!E4927="","",'Consulta1'!E4927)</f>
        <v/>
      </c>
      <c r="F835" t="str">
        <f>+IF(E835="","",VLOOKUP(E835,CATALOGO!G:L,6,0))</f>
        <v/>
      </c>
      <c r="G835" s="85" t="str">
        <f>IF('Consulta1'!F4927="","",'Consulta1'!F4927)</f>
        <v/>
      </c>
      <c r="H835" s="85" t="str">
        <f>IF('Consulta1'!G4927="","",'Consulta1'!G4927)</f>
        <v/>
      </c>
      <c r="I835" s="86" t="str">
        <f>IF('Consulta1'!H4927="","",'Consulta1'!H4927)</f>
        <v/>
      </c>
      <c r="J835" t="str">
        <f t="shared" ref="J835:J898" si="13">+IF(E835="","",WEEKNUM(I835))</f>
        <v/>
      </c>
      <c r="K835" t="str">
        <f>+IF(E835="","",VLOOKUP(E835,CATALOGO!G:I,2,0))</f>
        <v/>
      </c>
      <c r="L835" t="str">
        <f>+IF(E835="","",VLOOKUP(E835,CATALOGO!G:I,3,0))</f>
        <v/>
      </c>
      <c r="M835" s="87" t="str">
        <f>IF('Consulta1'!I4927="","",'Consulta1'!I4927)</f>
        <v/>
      </c>
      <c r="N835" s="88" t="str">
        <f>IF('Consulta1'!J4927="","",'Consulta1'!J4927)</f>
        <v/>
      </c>
    </row>
    <row r="836" spans="1:14" ht="18.75" x14ac:dyDescent="0.25">
      <c r="A836" s="82" t="str">
        <f>IF('Consulta1'!A4928="","",'Consulta1'!A4928)</f>
        <v/>
      </c>
      <c r="B836" s="82" t="str">
        <f>IF('Consulta1'!B4928="","",'Consulta1'!B4928)</f>
        <v/>
      </c>
      <c r="C836" s="83" t="str">
        <f>IF('Consulta1'!C4928="","",'Consulta1'!C4928)</f>
        <v/>
      </c>
      <c r="D836" s="84" t="str">
        <f>IF('Consulta1'!D4928="","",'Consulta1'!D4928)</f>
        <v/>
      </c>
      <c r="E836" s="82" t="str">
        <f>IF('Consulta1'!E4928="","",'Consulta1'!E4928)</f>
        <v/>
      </c>
      <c r="F836" t="str">
        <f>+IF(E836="","",VLOOKUP(E836,CATALOGO!G:L,6,0))</f>
        <v/>
      </c>
      <c r="G836" s="85" t="str">
        <f>IF('Consulta1'!F4928="","",'Consulta1'!F4928)</f>
        <v/>
      </c>
      <c r="H836" s="85" t="str">
        <f>IF('Consulta1'!G4928="","",'Consulta1'!G4928)</f>
        <v/>
      </c>
      <c r="I836" s="86" t="str">
        <f>IF('Consulta1'!H4928="","",'Consulta1'!H4928)</f>
        <v/>
      </c>
      <c r="J836" t="str">
        <f t="shared" si="13"/>
        <v/>
      </c>
      <c r="K836" t="str">
        <f>+IF(E836="","",VLOOKUP(E836,CATALOGO!G:I,2,0))</f>
        <v/>
      </c>
      <c r="L836" t="str">
        <f>+IF(E836="","",VLOOKUP(E836,CATALOGO!G:I,3,0))</f>
        <v/>
      </c>
      <c r="M836" s="87" t="str">
        <f>IF('Consulta1'!I4928="","",'Consulta1'!I4928)</f>
        <v/>
      </c>
      <c r="N836" s="88" t="str">
        <f>IF('Consulta1'!J4928="","",'Consulta1'!J4928)</f>
        <v/>
      </c>
    </row>
    <row r="837" spans="1:14" ht="18.75" x14ac:dyDescent="0.25">
      <c r="A837" s="82" t="str">
        <f>IF('Consulta1'!A4929="","",'Consulta1'!A4929)</f>
        <v/>
      </c>
      <c r="B837" s="82" t="str">
        <f>IF('Consulta1'!B4929="","",'Consulta1'!B4929)</f>
        <v/>
      </c>
      <c r="C837" s="83" t="str">
        <f>IF('Consulta1'!C4929="","",'Consulta1'!C4929)</f>
        <v/>
      </c>
      <c r="D837" s="84" t="str">
        <f>IF('Consulta1'!D4929="","",'Consulta1'!D4929)</f>
        <v/>
      </c>
      <c r="E837" s="82" t="str">
        <f>IF('Consulta1'!E4929="","",'Consulta1'!E4929)</f>
        <v/>
      </c>
      <c r="F837" t="str">
        <f>+IF(E837="","",VLOOKUP(E837,CATALOGO!G:L,6,0))</f>
        <v/>
      </c>
      <c r="G837" s="85" t="str">
        <f>IF('Consulta1'!F4929="","",'Consulta1'!F4929)</f>
        <v/>
      </c>
      <c r="H837" s="85" t="str">
        <f>IF('Consulta1'!G4929="","",'Consulta1'!G4929)</f>
        <v/>
      </c>
      <c r="I837" s="86" t="str">
        <f>IF('Consulta1'!H4929="","",'Consulta1'!H4929)</f>
        <v/>
      </c>
      <c r="J837" t="str">
        <f t="shared" si="13"/>
        <v/>
      </c>
      <c r="K837" t="str">
        <f>+IF(E837="","",VLOOKUP(E837,CATALOGO!G:I,2,0))</f>
        <v/>
      </c>
      <c r="L837" t="str">
        <f>+IF(E837="","",VLOOKUP(E837,CATALOGO!G:I,3,0))</f>
        <v/>
      </c>
      <c r="M837" s="87" t="str">
        <f>IF('Consulta1'!I4929="","",'Consulta1'!I4929)</f>
        <v/>
      </c>
      <c r="N837" s="88" t="str">
        <f>IF('Consulta1'!J4929="","",'Consulta1'!J4929)</f>
        <v/>
      </c>
    </row>
    <row r="838" spans="1:14" ht="18.75" x14ac:dyDescent="0.25">
      <c r="A838" s="82" t="str">
        <f>IF('Consulta1'!A4930="","",'Consulta1'!A4930)</f>
        <v/>
      </c>
      <c r="B838" s="82" t="str">
        <f>IF('Consulta1'!B4930="","",'Consulta1'!B4930)</f>
        <v/>
      </c>
      <c r="C838" s="83" t="str">
        <f>IF('Consulta1'!C4930="","",'Consulta1'!C4930)</f>
        <v/>
      </c>
      <c r="D838" s="84" t="str">
        <f>IF('Consulta1'!D4930="","",'Consulta1'!D4930)</f>
        <v/>
      </c>
      <c r="E838" s="82" t="str">
        <f>IF('Consulta1'!E4930="","",'Consulta1'!E4930)</f>
        <v/>
      </c>
      <c r="F838" t="str">
        <f>+IF(E838="","",VLOOKUP(E838,CATALOGO!G:L,6,0))</f>
        <v/>
      </c>
      <c r="G838" s="85" t="str">
        <f>IF('Consulta1'!F4930="","",'Consulta1'!F4930)</f>
        <v/>
      </c>
      <c r="H838" s="85" t="str">
        <f>IF('Consulta1'!G4930="","",'Consulta1'!G4930)</f>
        <v/>
      </c>
      <c r="I838" s="86" t="str">
        <f>IF('Consulta1'!H4930="","",'Consulta1'!H4930)</f>
        <v/>
      </c>
      <c r="J838" t="str">
        <f t="shared" si="13"/>
        <v/>
      </c>
      <c r="K838" t="str">
        <f>+IF(E838="","",VLOOKUP(E838,CATALOGO!G:I,2,0))</f>
        <v/>
      </c>
      <c r="L838" t="str">
        <f>+IF(E838="","",VLOOKUP(E838,CATALOGO!G:I,3,0))</f>
        <v/>
      </c>
      <c r="M838" s="87" t="str">
        <f>IF('Consulta1'!I4930="","",'Consulta1'!I4930)</f>
        <v/>
      </c>
      <c r="N838" s="88" t="str">
        <f>IF('Consulta1'!J4930="","",'Consulta1'!J4930)</f>
        <v/>
      </c>
    </row>
    <row r="839" spans="1:14" ht="18.75" x14ac:dyDescent="0.25">
      <c r="A839" s="82" t="str">
        <f>IF('Consulta1'!A4931="","",'Consulta1'!A4931)</f>
        <v/>
      </c>
      <c r="B839" s="82" t="str">
        <f>IF('Consulta1'!B4931="","",'Consulta1'!B4931)</f>
        <v/>
      </c>
      <c r="C839" s="83" t="str">
        <f>IF('Consulta1'!C4931="","",'Consulta1'!C4931)</f>
        <v/>
      </c>
      <c r="D839" s="84" t="str">
        <f>IF('Consulta1'!D4931="","",'Consulta1'!D4931)</f>
        <v/>
      </c>
      <c r="E839" s="82" t="str">
        <f>IF('Consulta1'!E4931="","",'Consulta1'!E4931)</f>
        <v/>
      </c>
      <c r="F839" t="str">
        <f>+IF(E839="","",VLOOKUP(E839,CATALOGO!G:L,6,0))</f>
        <v/>
      </c>
      <c r="G839" s="85" t="str">
        <f>IF('Consulta1'!F4931="","",'Consulta1'!F4931)</f>
        <v/>
      </c>
      <c r="H839" s="85" t="str">
        <f>IF('Consulta1'!G4931="","",'Consulta1'!G4931)</f>
        <v/>
      </c>
      <c r="I839" s="86" t="str">
        <f>IF('Consulta1'!H4931="","",'Consulta1'!H4931)</f>
        <v/>
      </c>
      <c r="J839" t="str">
        <f t="shared" si="13"/>
        <v/>
      </c>
      <c r="K839" t="str">
        <f>+IF(E839="","",VLOOKUP(E839,CATALOGO!G:I,2,0))</f>
        <v/>
      </c>
      <c r="L839" t="str">
        <f>+IF(E839="","",VLOOKUP(E839,CATALOGO!G:I,3,0))</f>
        <v/>
      </c>
      <c r="M839" s="87" t="str">
        <f>IF('Consulta1'!I4931="","",'Consulta1'!I4931)</f>
        <v/>
      </c>
      <c r="N839" s="88" t="str">
        <f>IF('Consulta1'!J4931="","",'Consulta1'!J4931)</f>
        <v/>
      </c>
    </row>
    <row r="840" spans="1:14" ht="18.75" x14ac:dyDescent="0.25">
      <c r="A840" s="82" t="str">
        <f>IF('Consulta1'!A4932="","",'Consulta1'!A4932)</f>
        <v/>
      </c>
      <c r="B840" s="82" t="str">
        <f>IF('Consulta1'!B4932="","",'Consulta1'!B4932)</f>
        <v/>
      </c>
      <c r="C840" s="83" t="str">
        <f>IF('Consulta1'!C4932="","",'Consulta1'!C4932)</f>
        <v/>
      </c>
      <c r="D840" s="84" t="str">
        <f>IF('Consulta1'!D4932="","",'Consulta1'!D4932)</f>
        <v/>
      </c>
      <c r="E840" s="82" t="str">
        <f>IF('Consulta1'!E4932="","",'Consulta1'!E4932)</f>
        <v/>
      </c>
      <c r="F840" t="str">
        <f>+IF(E840="","",VLOOKUP(E840,CATALOGO!G:L,6,0))</f>
        <v/>
      </c>
      <c r="G840" s="85" t="str">
        <f>IF('Consulta1'!F4932="","",'Consulta1'!F4932)</f>
        <v/>
      </c>
      <c r="H840" s="85" t="str">
        <f>IF('Consulta1'!G4932="","",'Consulta1'!G4932)</f>
        <v/>
      </c>
      <c r="I840" s="86" t="str">
        <f>IF('Consulta1'!H4932="","",'Consulta1'!H4932)</f>
        <v/>
      </c>
      <c r="J840" t="str">
        <f t="shared" si="13"/>
        <v/>
      </c>
      <c r="K840" t="str">
        <f>+IF(E840="","",VLOOKUP(E840,CATALOGO!G:I,2,0))</f>
        <v/>
      </c>
      <c r="L840" t="str">
        <f>+IF(E840="","",VLOOKUP(E840,CATALOGO!G:I,3,0))</f>
        <v/>
      </c>
      <c r="M840" s="87" t="str">
        <f>IF('Consulta1'!I4932="","",'Consulta1'!I4932)</f>
        <v/>
      </c>
      <c r="N840" s="88" t="str">
        <f>IF('Consulta1'!J4932="","",'Consulta1'!J4932)</f>
        <v/>
      </c>
    </row>
    <row r="841" spans="1:14" ht="18.75" x14ac:dyDescent="0.25">
      <c r="A841" s="82" t="str">
        <f>IF('Consulta1'!A4933="","",'Consulta1'!A4933)</f>
        <v/>
      </c>
      <c r="B841" s="82" t="str">
        <f>IF('Consulta1'!B4933="","",'Consulta1'!B4933)</f>
        <v/>
      </c>
      <c r="C841" s="83" t="str">
        <f>IF('Consulta1'!C4933="","",'Consulta1'!C4933)</f>
        <v/>
      </c>
      <c r="D841" s="84" t="str">
        <f>IF('Consulta1'!D4933="","",'Consulta1'!D4933)</f>
        <v/>
      </c>
      <c r="E841" s="82" t="str">
        <f>IF('Consulta1'!E4933="","",'Consulta1'!E4933)</f>
        <v/>
      </c>
      <c r="F841" t="str">
        <f>+IF(E841="","",VLOOKUP(E841,CATALOGO!G:L,6,0))</f>
        <v/>
      </c>
      <c r="G841" s="85" t="str">
        <f>IF('Consulta1'!F4933="","",'Consulta1'!F4933)</f>
        <v/>
      </c>
      <c r="H841" s="85" t="str">
        <f>IF('Consulta1'!G4933="","",'Consulta1'!G4933)</f>
        <v/>
      </c>
      <c r="I841" s="86" t="str">
        <f>IF('Consulta1'!H4933="","",'Consulta1'!H4933)</f>
        <v/>
      </c>
      <c r="J841" t="str">
        <f t="shared" si="13"/>
        <v/>
      </c>
      <c r="K841" t="str">
        <f>+IF(E841="","",VLOOKUP(E841,CATALOGO!G:I,2,0))</f>
        <v/>
      </c>
      <c r="L841" t="str">
        <f>+IF(E841="","",VLOOKUP(E841,CATALOGO!G:I,3,0))</f>
        <v/>
      </c>
      <c r="M841" s="87" t="str">
        <f>IF('Consulta1'!I4933="","",'Consulta1'!I4933)</f>
        <v/>
      </c>
      <c r="N841" s="88" t="str">
        <f>IF('Consulta1'!J4933="","",'Consulta1'!J4933)</f>
        <v/>
      </c>
    </row>
    <row r="842" spans="1:14" ht="18.75" x14ac:dyDescent="0.25">
      <c r="A842" s="82" t="str">
        <f>IF('Consulta1'!A4934="","",'Consulta1'!A4934)</f>
        <v/>
      </c>
      <c r="B842" s="82" t="str">
        <f>IF('Consulta1'!B4934="","",'Consulta1'!B4934)</f>
        <v/>
      </c>
      <c r="C842" s="83" t="str">
        <f>IF('Consulta1'!C4934="","",'Consulta1'!C4934)</f>
        <v/>
      </c>
      <c r="D842" s="84" t="str">
        <f>IF('Consulta1'!D4934="","",'Consulta1'!D4934)</f>
        <v/>
      </c>
      <c r="E842" s="82" t="str">
        <f>IF('Consulta1'!E4934="","",'Consulta1'!E4934)</f>
        <v/>
      </c>
      <c r="F842" t="str">
        <f>+IF(E842="","",VLOOKUP(E842,CATALOGO!G:L,6,0))</f>
        <v/>
      </c>
      <c r="G842" s="85" t="str">
        <f>IF('Consulta1'!F4934="","",'Consulta1'!F4934)</f>
        <v/>
      </c>
      <c r="H842" s="85" t="str">
        <f>IF('Consulta1'!G4934="","",'Consulta1'!G4934)</f>
        <v/>
      </c>
      <c r="I842" s="86" t="str">
        <f>IF('Consulta1'!H4934="","",'Consulta1'!H4934)</f>
        <v/>
      </c>
      <c r="J842" t="str">
        <f t="shared" si="13"/>
        <v/>
      </c>
      <c r="K842" t="str">
        <f>+IF(E842="","",VLOOKUP(E842,CATALOGO!G:I,2,0))</f>
        <v/>
      </c>
      <c r="L842" t="str">
        <f>+IF(E842="","",VLOOKUP(E842,CATALOGO!G:I,3,0))</f>
        <v/>
      </c>
      <c r="M842" s="87" t="str">
        <f>IF('Consulta1'!I4934="","",'Consulta1'!I4934)</f>
        <v/>
      </c>
      <c r="N842" s="88" t="str">
        <f>IF('Consulta1'!J4934="","",'Consulta1'!J4934)</f>
        <v/>
      </c>
    </row>
    <row r="843" spans="1:14" ht="18.75" x14ac:dyDescent="0.25">
      <c r="A843" s="82" t="str">
        <f>IF('Consulta1'!A4935="","",'Consulta1'!A4935)</f>
        <v/>
      </c>
      <c r="B843" s="82" t="str">
        <f>IF('Consulta1'!B4935="","",'Consulta1'!B4935)</f>
        <v/>
      </c>
      <c r="C843" s="83" t="str">
        <f>IF('Consulta1'!C4935="","",'Consulta1'!C4935)</f>
        <v/>
      </c>
      <c r="D843" s="84" t="str">
        <f>IF('Consulta1'!D4935="","",'Consulta1'!D4935)</f>
        <v/>
      </c>
      <c r="E843" s="82" t="str">
        <f>IF('Consulta1'!E4935="","",'Consulta1'!E4935)</f>
        <v/>
      </c>
      <c r="F843" t="str">
        <f>+IF(E843="","",VLOOKUP(E843,CATALOGO!G:L,6,0))</f>
        <v/>
      </c>
      <c r="G843" s="85" t="str">
        <f>IF('Consulta1'!F4935="","",'Consulta1'!F4935)</f>
        <v/>
      </c>
      <c r="H843" s="85" t="str">
        <f>IF('Consulta1'!G4935="","",'Consulta1'!G4935)</f>
        <v/>
      </c>
      <c r="I843" s="86" t="str">
        <f>IF('Consulta1'!H4935="","",'Consulta1'!H4935)</f>
        <v/>
      </c>
      <c r="J843" t="str">
        <f t="shared" si="13"/>
        <v/>
      </c>
      <c r="K843" t="str">
        <f>+IF(E843="","",VLOOKUP(E843,CATALOGO!G:I,2,0))</f>
        <v/>
      </c>
      <c r="L843" t="str">
        <f>+IF(E843="","",VLOOKUP(E843,CATALOGO!G:I,3,0))</f>
        <v/>
      </c>
      <c r="M843" s="87" t="str">
        <f>IF('Consulta1'!I4935="","",'Consulta1'!I4935)</f>
        <v/>
      </c>
      <c r="N843" s="88" t="str">
        <f>IF('Consulta1'!J4935="","",'Consulta1'!J4935)</f>
        <v/>
      </c>
    </row>
    <row r="844" spans="1:14" ht="18.75" x14ac:dyDescent="0.25">
      <c r="A844" s="82" t="str">
        <f>IF('Consulta1'!A4936="","",'Consulta1'!A4936)</f>
        <v/>
      </c>
      <c r="B844" s="82" t="str">
        <f>IF('Consulta1'!B4936="","",'Consulta1'!B4936)</f>
        <v/>
      </c>
      <c r="C844" s="83" t="str">
        <f>IF('Consulta1'!C4936="","",'Consulta1'!C4936)</f>
        <v/>
      </c>
      <c r="D844" s="84" t="str">
        <f>IF('Consulta1'!D4936="","",'Consulta1'!D4936)</f>
        <v/>
      </c>
      <c r="E844" s="82" t="str">
        <f>IF('Consulta1'!E4936="","",'Consulta1'!E4936)</f>
        <v/>
      </c>
      <c r="F844" t="str">
        <f>+IF(E844="","",VLOOKUP(E844,CATALOGO!G:L,6,0))</f>
        <v/>
      </c>
      <c r="G844" s="85" t="str">
        <f>IF('Consulta1'!F4936="","",'Consulta1'!F4936)</f>
        <v/>
      </c>
      <c r="H844" s="85" t="str">
        <f>IF('Consulta1'!G4936="","",'Consulta1'!G4936)</f>
        <v/>
      </c>
      <c r="I844" s="86" t="str">
        <f>IF('Consulta1'!H4936="","",'Consulta1'!H4936)</f>
        <v/>
      </c>
      <c r="J844" t="str">
        <f t="shared" si="13"/>
        <v/>
      </c>
      <c r="K844" t="str">
        <f>+IF(E844="","",VLOOKUP(E844,CATALOGO!G:I,2,0))</f>
        <v/>
      </c>
      <c r="L844" t="str">
        <f>+IF(E844="","",VLOOKUP(E844,CATALOGO!G:I,3,0))</f>
        <v/>
      </c>
      <c r="M844" s="87" t="str">
        <f>IF('Consulta1'!I4936="","",'Consulta1'!I4936)</f>
        <v/>
      </c>
      <c r="N844" s="88" t="str">
        <f>IF('Consulta1'!J4936="","",'Consulta1'!J4936)</f>
        <v/>
      </c>
    </row>
    <row r="845" spans="1:14" ht="18.75" x14ac:dyDescent="0.25">
      <c r="A845" s="82" t="str">
        <f>IF('Consulta1'!A4937="","",'Consulta1'!A4937)</f>
        <v/>
      </c>
      <c r="B845" s="82" t="str">
        <f>IF('Consulta1'!B4937="","",'Consulta1'!B4937)</f>
        <v/>
      </c>
      <c r="C845" s="83" t="str">
        <f>IF('Consulta1'!C4937="","",'Consulta1'!C4937)</f>
        <v/>
      </c>
      <c r="D845" s="84" t="str">
        <f>IF('Consulta1'!D4937="","",'Consulta1'!D4937)</f>
        <v/>
      </c>
      <c r="E845" s="82" t="str">
        <f>IF('Consulta1'!E4937="","",'Consulta1'!E4937)</f>
        <v/>
      </c>
      <c r="F845" t="str">
        <f>+IF(E845="","",VLOOKUP(E845,CATALOGO!G:L,6,0))</f>
        <v/>
      </c>
      <c r="G845" s="85" t="str">
        <f>IF('Consulta1'!F4937="","",'Consulta1'!F4937)</f>
        <v/>
      </c>
      <c r="H845" s="85" t="str">
        <f>IF('Consulta1'!G4937="","",'Consulta1'!G4937)</f>
        <v/>
      </c>
      <c r="I845" s="86" t="str">
        <f>IF('Consulta1'!H4937="","",'Consulta1'!H4937)</f>
        <v/>
      </c>
      <c r="J845" t="str">
        <f t="shared" si="13"/>
        <v/>
      </c>
      <c r="K845" t="str">
        <f>+IF(E845="","",VLOOKUP(E845,CATALOGO!G:I,2,0))</f>
        <v/>
      </c>
      <c r="L845" t="str">
        <f>+IF(E845="","",VLOOKUP(E845,CATALOGO!G:I,3,0))</f>
        <v/>
      </c>
      <c r="M845" s="87" t="str">
        <f>IF('Consulta1'!I4937="","",'Consulta1'!I4937)</f>
        <v/>
      </c>
      <c r="N845" s="88" t="str">
        <f>IF('Consulta1'!J4937="","",'Consulta1'!J4937)</f>
        <v/>
      </c>
    </row>
    <row r="846" spans="1:14" ht="18.75" x14ac:dyDescent="0.25">
      <c r="A846" s="82" t="str">
        <f>IF('Consulta1'!A4938="","",'Consulta1'!A4938)</f>
        <v/>
      </c>
      <c r="B846" s="82" t="str">
        <f>IF('Consulta1'!B4938="","",'Consulta1'!B4938)</f>
        <v/>
      </c>
      <c r="C846" s="83" t="str">
        <f>IF('Consulta1'!C4938="","",'Consulta1'!C4938)</f>
        <v/>
      </c>
      <c r="D846" s="84" t="str">
        <f>IF('Consulta1'!D4938="","",'Consulta1'!D4938)</f>
        <v/>
      </c>
      <c r="E846" s="82" t="str">
        <f>IF('Consulta1'!E4938="","",'Consulta1'!E4938)</f>
        <v/>
      </c>
      <c r="F846" t="str">
        <f>+IF(E846="","",VLOOKUP(E846,CATALOGO!G:L,6,0))</f>
        <v/>
      </c>
      <c r="G846" s="85" t="str">
        <f>IF('Consulta1'!F4938="","",'Consulta1'!F4938)</f>
        <v/>
      </c>
      <c r="H846" s="85" t="str">
        <f>IF('Consulta1'!G4938="","",'Consulta1'!G4938)</f>
        <v/>
      </c>
      <c r="I846" s="86" t="str">
        <f>IF('Consulta1'!H4938="","",'Consulta1'!H4938)</f>
        <v/>
      </c>
      <c r="J846" t="str">
        <f t="shared" si="13"/>
        <v/>
      </c>
      <c r="K846" t="str">
        <f>+IF(E846="","",VLOOKUP(E846,CATALOGO!G:I,2,0))</f>
        <v/>
      </c>
      <c r="L846" t="str">
        <f>+IF(E846="","",VLOOKUP(E846,CATALOGO!G:I,3,0))</f>
        <v/>
      </c>
      <c r="M846" s="87" t="str">
        <f>IF('Consulta1'!I4938="","",'Consulta1'!I4938)</f>
        <v/>
      </c>
      <c r="N846" s="88" t="str">
        <f>IF('Consulta1'!J4938="","",'Consulta1'!J4938)</f>
        <v/>
      </c>
    </row>
    <row r="847" spans="1:14" ht="18.75" x14ac:dyDescent="0.25">
      <c r="A847" s="82" t="str">
        <f>IF('Consulta1'!A4939="","",'Consulta1'!A4939)</f>
        <v/>
      </c>
      <c r="B847" s="82" t="str">
        <f>IF('Consulta1'!B4939="","",'Consulta1'!B4939)</f>
        <v/>
      </c>
      <c r="C847" s="83" t="str">
        <f>IF('Consulta1'!C4939="","",'Consulta1'!C4939)</f>
        <v/>
      </c>
      <c r="D847" s="84" t="str">
        <f>IF('Consulta1'!D4939="","",'Consulta1'!D4939)</f>
        <v/>
      </c>
      <c r="E847" s="82" t="str">
        <f>IF('Consulta1'!E4939="","",'Consulta1'!E4939)</f>
        <v/>
      </c>
      <c r="F847" t="str">
        <f>+IF(E847="","",VLOOKUP(E847,CATALOGO!G:L,6,0))</f>
        <v/>
      </c>
      <c r="G847" s="85" t="str">
        <f>IF('Consulta1'!F4939="","",'Consulta1'!F4939)</f>
        <v/>
      </c>
      <c r="H847" s="85" t="str">
        <f>IF('Consulta1'!G4939="","",'Consulta1'!G4939)</f>
        <v/>
      </c>
      <c r="I847" s="86" t="str">
        <f>IF('Consulta1'!H4939="","",'Consulta1'!H4939)</f>
        <v/>
      </c>
      <c r="J847" t="str">
        <f t="shared" si="13"/>
        <v/>
      </c>
      <c r="K847" t="str">
        <f>+IF(E847="","",VLOOKUP(E847,CATALOGO!G:I,2,0))</f>
        <v/>
      </c>
      <c r="L847" t="str">
        <f>+IF(E847="","",VLOOKUP(E847,CATALOGO!G:I,3,0))</f>
        <v/>
      </c>
      <c r="M847" s="87" t="str">
        <f>IF('Consulta1'!I4939="","",'Consulta1'!I4939)</f>
        <v/>
      </c>
      <c r="N847" s="88" t="str">
        <f>IF('Consulta1'!J4939="","",'Consulta1'!J4939)</f>
        <v/>
      </c>
    </row>
    <row r="848" spans="1:14" ht="18.75" x14ac:dyDescent="0.25">
      <c r="A848" s="82" t="str">
        <f>IF('Consulta1'!A4940="","",'Consulta1'!A4940)</f>
        <v/>
      </c>
      <c r="B848" s="82" t="str">
        <f>IF('Consulta1'!B4940="","",'Consulta1'!B4940)</f>
        <v/>
      </c>
      <c r="C848" s="83" t="str">
        <f>IF('Consulta1'!C4940="","",'Consulta1'!C4940)</f>
        <v/>
      </c>
      <c r="D848" s="84" t="str">
        <f>IF('Consulta1'!D4940="","",'Consulta1'!D4940)</f>
        <v/>
      </c>
      <c r="E848" s="82" t="str">
        <f>IF('Consulta1'!E4940="","",'Consulta1'!E4940)</f>
        <v/>
      </c>
      <c r="F848" t="str">
        <f>+IF(E848="","",VLOOKUP(E848,CATALOGO!G:L,6,0))</f>
        <v/>
      </c>
      <c r="G848" s="85" t="str">
        <f>IF('Consulta1'!F4940="","",'Consulta1'!F4940)</f>
        <v/>
      </c>
      <c r="H848" s="85" t="str">
        <f>IF('Consulta1'!G4940="","",'Consulta1'!G4940)</f>
        <v/>
      </c>
      <c r="I848" s="86" t="str">
        <f>IF('Consulta1'!H4940="","",'Consulta1'!H4940)</f>
        <v/>
      </c>
      <c r="J848" t="str">
        <f t="shared" si="13"/>
        <v/>
      </c>
      <c r="K848" t="str">
        <f>+IF(E848="","",VLOOKUP(E848,CATALOGO!G:I,2,0))</f>
        <v/>
      </c>
      <c r="L848" t="str">
        <f>+IF(E848="","",VLOOKUP(E848,CATALOGO!G:I,3,0))</f>
        <v/>
      </c>
      <c r="M848" s="87" t="str">
        <f>IF('Consulta1'!I4940="","",'Consulta1'!I4940)</f>
        <v/>
      </c>
      <c r="N848" s="88" t="str">
        <f>IF('Consulta1'!J4940="","",'Consulta1'!J4940)</f>
        <v/>
      </c>
    </row>
    <row r="849" spans="1:14" ht="18.75" x14ac:dyDescent="0.25">
      <c r="A849" s="82" t="str">
        <f>IF('Consulta1'!A4941="","",'Consulta1'!A4941)</f>
        <v/>
      </c>
      <c r="B849" s="82" t="str">
        <f>IF('Consulta1'!B4941="","",'Consulta1'!B4941)</f>
        <v/>
      </c>
      <c r="C849" s="83" t="str">
        <f>IF('Consulta1'!C4941="","",'Consulta1'!C4941)</f>
        <v/>
      </c>
      <c r="D849" s="84" t="str">
        <f>IF('Consulta1'!D4941="","",'Consulta1'!D4941)</f>
        <v/>
      </c>
      <c r="E849" s="82" t="str">
        <f>IF('Consulta1'!E4941="","",'Consulta1'!E4941)</f>
        <v/>
      </c>
      <c r="F849" t="str">
        <f>+IF(E849="","",VLOOKUP(E849,CATALOGO!G:L,6,0))</f>
        <v/>
      </c>
      <c r="G849" s="85" t="str">
        <f>IF('Consulta1'!F4941="","",'Consulta1'!F4941)</f>
        <v/>
      </c>
      <c r="H849" s="85" t="str">
        <f>IF('Consulta1'!G4941="","",'Consulta1'!G4941)</f>
        <v/>
      </c>
      <c r="I849" s="86" t="str">
        <f>IF('Consulta1'!H4941="","",'Consulta1'!H4941)</f>
        <v/>
      </c>
      <c r="J849" t="str">
        <f t="shared" si="13"/>
        <v/>
      </c>
      <c r="K849" t="str">
        <f>+IF(E849="","",VLOOKUP(E849,CATALOGO!G:I,2,0))</f>
        <v/>
      </c>
      <c r="L849" t="str">
        <f>+IF(E849="","",VLOOKUP(E849,CATALOGO!G:I,3,0))</f>
        <v/>
      </c>
      <c r="M849" s="87" t="str">
        <f>IF('Consulta1'!I4941="","",'Consulta1'!I4941)</f>
        <v/>
      </c>
      <c r="N849" s="88" t="str">
        <f>IF('Consulta1'!J4941="","",'Consulta1'!J4941)</f>
        <v/>
      </c>
    </row>
    <row r="850" spans="1:14" ht="18.75" x14ac:dyDescent="0.25">
      <c r="A850" s="82" t="str">
        <f>IF('Consulta1'!A4942="","",'Consulta1'!A4942)</f>
        <v/>
      </c>
      <c r="B850" s="82" t="str">
        <f>IF('Consulta1'!B4942="","",'Consulta1'!B4942)</f>
        <v/>
      </c>
      <c r="C850" s="83" t="str">
        <f>IF('Consulta1'!C4942="","",'Consulta1'!C4942)</f>
        <v/>
      </c>
      <c r="D850" s="84" t="str">
        <f>IF('Consulta1'!D4942="","",'Consulta1'!D4942)</f>
        <v/>
      </c>
      <c r="E850" s="82" t="str">
        <f>IF('Consulta1'!E4942="","",'Consulta1'!E4942)</f>
        <v/>
      </c>
      <c r="F850" t="str">
        <f>+IF(E850="","",VLOOKUP(E850,CATALOGO!G:L,6,0))</f>
        <v/>
      </c>
      <c r="G850" s="85" t="str">
        <f>IF('Consulta1'!F4942="","",'Consulta1'!F4942)</f>
        <v/>
      </c>
      <c r="H850" s="85" t="str">
        <f>IF('Consulta1'!G4942="","",'Consulta1'!G4942)</f>
        <v/>
      </c>
      <c r="I850" s="86" t="str">
        <f>IF('Consulta1'!H4942="","",'Consulta1'!H4942)</f>
        <v/>
      </c>
      <c r="J850" t="str">
        <f t="shared" si="13"/>
        <v/>
      </c>
      <c r="K850" t="str">
        <f>+IF(E850="","",VLOOKUP(E850,CATALOGO!G:I,2,0))</f>
        <v/>
      </c>
      <c r="L850" t="str">
        <f>+IF(E850="","",VLOOKUP(E850,CATALOGO!G:I,3,0))</f>
        <v/>
      </c>
      <c r="M850" s="87" t="str">
        <f>IF('Consulta1'!I4942="","",'Consulta1'!I4942)</f>
        <v/>
      </c>
      <c r="N850" s="88" t="str">
        <f>IF('Consulta1'!J4942="","",'Consulta1'!J4942)</f>
        <v/>
      </c>
    </row>
    <row r="851" spans="1:14" ht="18.75" x14ac:dyDescent="0.25">
      <c r="A851" s="82" t="str">
        <f>IF('Consulta1'!A4943="","",'Consulta1'!A4943)</f>
        <v/>
      </c>
      <c r="B851" s="82" t="str">
        <f>IF('Consulta1'!B4943="","",'Consulta1'!B4943)</f>
        <v/>
      </c>
      <c r="C851" s="83" t="str">
        <f>IF('Consulta1'!C4943="","",'Consulta1'!C4943)</f>
        <v/>
      </c>
      <c r="D851" s="84" t="str">
        <f>IF('Consulta1'!D4943="","",'Consulta1'!D4943)</f>
        <v/>
      </c>
      <c r="E851" s="82" t="str">
        <f>IF('Consulta1'!E4943="","",'Consulta1'!E4943)</f>
        <v/>
      </c>
      <c r="F851" t="str">
        <f>+IF(E851="","",VLOOKUP(E851,CATALOGO!G:L,6,0))</f>
        <v/>
      </c>
      <c r="G851" s="85" t="str">
        <f>IF('Consulta1'!F4943="","",'Consulta1'!F4943)</f>
        <v/>
      </c>
      <c r="H851" s="85" t="str">
        <f>IF('Consulta1'!G4943="","",'Consulta1'!G4943)</f>
        <v/>
      </c>
      <c r="I851" s="86" t="str">
        <f>IF('Consulta1'!H4943="","",'Consulta1'!H4943)</f>
        <v/>
      </c>
      <c r="J851" t="str">
        <f t="shared" si="13"/>
        <v/>
      </c>
      <c r="K851" t="str">
        <f>+IF(E851="","",VLOOKUP(E851,CATALOGO!G:I,2,0))</f>
        <v/>
      </c>
      <c r="L851" t="str">
        <f>+IF(E851="","",VLOOKUP(E851,CATALOGO!G:I,3,0))</f>
        <v/>
      </c>
      <c r="M851" s="87" t="str">
        <f>IF('Consulta1'!I4943="","",'Consulta1'!I4943)</f>
        <v/>
      </c>
      <c r="N851" s="88" t="str">
        <f>IF('Consulta1'!J4943="","",'Consulta1'!J4943)</f>
        <v/>
      </c>
    </row>
    <row r="852" spans="1:14" ht="18.75" x14ac:dyDescent="0.25">
      <c r="A852" s="82" t="str">
        <f>IF('Consulta1'!A4944="","",'Consulta1'!A4944)</f>
        <v/>
      </c>
      <c r="B852" s="82" t="str">
        <f>IF('Consulta1'!B4944="","",'Consulta1'!B4944)</f>
        <v/>
      </c>
      <c r="C852" s="83" t="str">
        <f>IF('Consulta1'!C4944="","",'Consulta1'!C4944)</f>
        <v/>
      </c>
      <c r="D852" s="84" t="str">
        <f>IF('Consulta1'!D4944="","",'Consulta1'!D4944)</f>
        <v/>
      </c>
      <c r="E852" s="82" t="str">
        <f>IF('Consulta1'!E4944="","",'Consulta1'!E4944)</f>
        <v/>
      </c>
      <c r="F852" t="str">
        <f>+IF(E852="","",VLOOKUP(E852,CATALOGO!G:L,6,0))</f>
        <v/>
      </c>
      <c r="G852" s="85" t="str">
        <f>IF('Consulta1'!F4944="","",'Consulta1'!F4944)</f>
        <v/>
      </c>
      <c r="H852" s="85" t="str">
        <f>IF('Consulta1'!G4944="","",'Consulta1'!G4944)</f>
        <v/>
      </c>
      <c r="I852" s="86" t="str">
        <f>IF('Consulta1'!H4944="","",'Consulta1'!H4944)</f>
        <v/>
      </c>
      <c r="J852" t="str">
        <f t="shared" si="13"/>
        <v/>
      </c>
      <c r="K852" t="str">
        <f>+IF(E852="","",VLOOKUP(E852,CATALOGO!G:I,2,0))</f>
        <v/>
      </c>
      <c r="L852" t="str">
        <f>+IF(E852="","",VLOOKUP(E852,CATALOGO!G:I,3,0))</f>
        <v/>
      </c>
      <c r="M852" s="87" t="str">
        <f>IF('Consulta1'!I4944="","",'Consulta1'!I4944)</f>
        <v/>
      </c>
      <c r="N852" s="88" t="str">
        <f>IF('Consulta1'!J4944="","",'Consulta1'!J4944)</f>
        <v/>
      </c>
    </row>
    <row r="853" spans="1:14" ht="18.75" x14ac:dyDescent="0.25">
      <c r="A853" s="82" t="str">
        <f>IF('Consulta1'!A4945="","",'Consulta1'!A4945)</f>
        <v/>
      </c>
      <c r="B853" s="82" t="str">
        <f>IF('Consulta1'!B4945="","",'Consulta1'!B4945)</f>
        <v/>
      </c>
      <c r="C853" s="83" t="str">
        <f>IF('Consulta1'!C4945="","",'Consulta1'!C4945)</f>
        <v/>
      </c>
      <c r="D853" s="84" t="str">
        <f>IF('Consulta1'!D4945="","",'Consulta1'!D4945)</f>
        <v/>
      </c>
      <c r="E853" s="82" t="str">
        <f>IF('Consulta1'!E4945="","",'Consulta1'!E4945)</f>
        <v/>
      </c>
      <c r="F853" t="str">
        <f>+IF(E853="","",VLOOKUP(E853,CATALOGO!G:L,6,0))</f>
        <v/>
      </c>
      <c r="G853" s="85" t="str">
        <f>IF('Consulta1'!F4945="","",'Consulta1'!F4945)</f>
        <v/>
      </c>
      <c r="H853" s="85" t="str">
        <f>IF('Consulta1'!G4945="","",'Consulta1'!G4945)</f>
        <v/>
      </c>
      <c r="I853" s="86" t="str">
        <f>IF('Consulta1'!H4945="","",'Consulta1'!H4945)</f>
        <v/>
      </c>
      <c r="J853" t="str">
        <f t="shared" si="13"/>
        <v/>
      </c>
      <c r="K853" t="str">
        <f>+IF(E853="","",VLOOKUP(E853,CATALOGO!G:I,2,0))</f>
        <v/>
      </c>
      <c r="L853" t="str">
        <f>+IF(E853="","",VLOOKUP(E853,CATALOGO!G:I,3,0))</f>
        <v/>
      </c>
      <c r="M853" s="87" t="str">
        <f>IF('Consulta1'!I4945="","",'Consulta1'!I4945)</f>
        <v/>
      </c>
      <c r="N853" s="88" t="str">
        <f>IF('Consulta1'!J4945="","",'Consulta1'!J4945)</f>
        <v/>
      </c>
    </row>
    <row r="854" spans="1:14" ht="18.75" x14ac:dyDescent="0.25">
      <c r="A854" s="82" t="str">
        <f>IF('Consulta1'!A4946="","",'Consulta1'!A4946)</f>
        <v/>
      </c>
      <c r="B854" s="82" t="str">
        <f>IF('Consulta1'!B4946="","",'Consulta1'!B4946)</f>
        <v/>
      </c>
      <c r="C854" s="83" t="str">
        <f>IF('Consulta1'!C4946="","",'Consulta1'!C4946)</f>
        <v/>
      </c>
      <c r="D854" s="84" t="str">
        <f>IF('Consulta1'!D4946="","",'Consulta1'!D4946)</f>
        <v/>
      </c>
      <c r="E854" s="82" t="str">
        <f>IF('Consulta1'!E4946="","",'Consulta1'!E4946)</f>
        <v/>
      </c>
      <c r="F854" t="str">
        <f>+IF(E854="","",VLOOKUP(E854,CATALOGO!G:L,6,0))</f>
        <v/>
      </c>
      <c r="G854" s="85" t="str">
        <f>IF('Consulta1'!F4946="","",'Consulta1'!F4946)</f>
        <v/>
      </c>
      <c r="H854" s="85" t="str">
        <f>IF('Consulta1'!G4946="","",'Consulta1'!G4946)</f>
        <v/>
      </c>
      <c r="I854" s="86" t="str">
        <f>IF('Consulta1'!H4946="","",'Consulta1'!H4946)</f>
        <v/>
      </c>
      <c r="J854" t="str">
        <f t="shared" si="13"/>
        <v/>
      </c>
      <c r="K854" t="str">
        <f>+IF(E854="","",VLOOKUP(E854,CATALOGO!G:I,2,0))</f>
        <v/>
      </c>
      <c r="L854" t="str">
        <f>+IF(E854="","",VLOOKUP(E854,CATALOGO!G:I,3,0))</f>
        <v/>
      </c>
      <c r="M854" s="87" t="str">
        <f>IF('Consulta1'!I4946="","",'Consulta1'!I4946)</f>
        <v/>
      </c>
      <c r="N854" s="88" t="str">
        <f>IF('Consulta1'!J4946="","",'Consulta1'!J4946)</f>
        <v/>
      </c>
    </row>
    <row r="855" spans="1:14" ht="18.75" x14ac:dyDescent="0.25">
      <c r="A855" s="82" t="str">
        <f>IF('Consulta1'!A4947="","",'Consulta1'!A4947)</f>
        <v/>
      </c>
      <c r="B855" s="82" t="str">
        <f>IF('Consulta1'!B4947="","",'Consulta1'!B4947)</f>
        <v/>
      </c>
      <c r="C855" s="83" t="str">
        <f>IF('Consulta1'!C4947="","",'Consulta1'!C4947)</f>
        <v/>
      </c>
      <c r="D855" s="84" t="str">
        <f>IF('Consulta1'!D4947="","",'Consulta1'!D4947)</f>
        <v/>
      </c>
      <c r="E855" s="82" t="str">
        <f>IF('Consulta1'!E4947="","",'Consulta1'!E4947)</f>
        <v/>
      </c>
      <c r="F855" t="str">
        <f>+IF(E855="","",VLOOKUP(E855,CATALOGO!G:L,6,0))</f>
        <v/>
      </c>
      <c r="G855" s="85" t="str">
        <f>IF('Consulta1'!F4947="","",'Consulta1'!F4947)</f>
        <v/>
      </c>
      <c r="H855" s="85" t="str">
        <f>IF('Consulta1'!G4947="","",'Consulta1'!G4947)</f>
        <v/>
      </c>
      <c r="I855" s="86" t="str">
        <f>IF('Consulta1'!H4947="","",'Consulta1'!H4947)</f>
        <v/>
      </c>
      <c r="J855" t="str">
        <f t="shared" si="13"/>
        <v/>
      </c>
      <c r="K855" t="str">
        <f>+IF(E855="","",VLOOKUP(E855,CATALOGO!G:I,2,0))</f>
        <v/>
      </c>
      <c r="L855" t="str">
        <f>+IF(E855="","",VLOOKUP(E855,CATALOGO!G:I,3,0))</f>
        <v/>
      </c>
      <c r="M855" s="87" t="str">
        <f>IF('Consulta1'!I4947="","",'Consulta1'!I4947)</f>
        <v/>
      </c>
      <c r="N855" s="88" t="str">
        <f>IF('Consulta1'!J4947="","",'Consulta1'!J4947)</f>
        <v/>
      </c>
    </row>
    <row r="856" spans="1:14" ht="18.75" x14ac:dyDescent="0.25">
      <c r="A856" s="82" t="str">
        <f>IF('Consulta1'!A4948="","",'Consulta1'!A4948)</f>
        <v/>
      </c>
      <c r="B856" s="82" t="str">
        <f>IF('Consulta1'!B4948="","",'Consulta1'!B4948)</f>
        <v/>
      </c>
      <c r="C856" s="83" t="str">
        <f>IF('Consulta1'!C4948="","",'Consulta1'!C4948)</f>
        <v/>
      </c>
      <c r="D856" s="84" t="str">
        <f>IF('Consulta1'!D4948="","",'Consulta1'!D4948)</f>
        <v/>
      </c>
      <c r="E856" s="82" t="str">
        <f>IF('Consulta1'!E4948="","",'Consulta1'!E4948)</f>
        <v/>
      </c>
      <c r="F856" t="str">
        <f>+IF(E856="","",VLOOKUP(E856,CATALOGO!G:L,6,0))</f>
        <v/>
      </c>
      <c r="G856" s="85" t="str">
        <f>IF('Consulta1'!F4948="","",'Consulta1'!F4948)</f>
        <v/>
      </c>
      <c r="H856" s="85" t="str">
        <f>IF('Consulta1'!G4948="","",'Consulta1'!G4948)</f>
        <v/>
      </c>
      <c r="I856" s="86" t="str">
        <f>IF('Consulta1'!H4948="","",'Consulta1'!H4948)</f>
        <v/>
      </c>
      <c r="J856" t="str">
        <f t="shared" si="13"/>
        <v/>
      </c>
      <c r="K856" t="str">
        <f>+IF(E856="","",VLOOKUP(E856,CATALOGO!G:I,2,0))</f>
        <v/>
      </c>
      <c r="L856" t="str">
        <f>+IF(E856="","",VLOOKUP(E856,CATALOGO!G:I,3,0))</f>
        <v/>
      </c>
      <c r="M856" s="87" t="str">
        <f>IF('Consulta1'!I4948="","",'Consulta1'!I4948)</f>
        <v/>
      </c>
      <c r="N856" s="88" t="str">
        <f>IF('Consulta1'!J4948="","",'Consulta1'!J4948)</f>
        <v/>
      </c>
    </row>
    <row r="857" spans="1:14" ht="18.75" x14ac:dyDescent="0.25">
      <c r="A857" s="82" t="str">
        <f>IF('Consulta1'!A4949="","",'Consulta1'!A4949)</f>
        <v/>
      </c>
      <c r="B857" s="82" t="str">
        <f>IF('Consulta1'!B4949="","",'Consulta1'!B4949)</f>
        <v/>
      </c>
      <c r="C857" s="83" t="str">
        <f>IF('Consulta1'!C4949="","",'Consulta1'!C4949)</f>
        <v/>
      </c>
      <c r="D857" s="84" t="str">
        <f>IF('Consulta1'!D4949="","",'Consulta1'!D4949)</f>
        <v/>
      </c>
      <c r="E857" s="82" t="str">
        <f>IF('Consulta1'!E4949="","",'Consulta1'!E4949)</f>
        <v/>
      </c>
      <c r="F857" t="str">
        <f>+IF(E857="","",VLOOKUP(E857,CATALOGO!G:L,6,0))</f>
        <v/>
      </c>
      <c r="G857" s="85" t="str">
        <f>IF('Consulta1'!F4949="","",'Consulta1'!F4949)</f>
        <v/>
      </c>
      <c r="H857" s="85" t="str">
        <f>IF('Consulta1'!G4949="","",'Consulta1'!G4949)</f>
        <v/>
      </c>
      <c r="I857" s="86" t="str">
        <f>IF('Consulta1'!H4949="","",'Consulta1'!H4949)</f>
        <v/>
      </c>
      <c r="J857" t="str">
        <f t="shared" si="13"/>
        <v/>
      </c>
      <c r="K857" t="str">
        <f>+IF(E857="","",VLOOKUP(E857,CATALOGO!G:I,2,0))</f>
        <v/>
      </c>
      <c r="L857" t="str">
        <f>+IF(E857="","",VLOOKUP(E857,CATALOGO!G:I,3,0))</f>
        <v/>
      </c>
      <c r="M857" s="87" t="str">
        <f>IF('Consulta1'!I4949="","",'Consulta1'!I4949)</f>
        <v/>
      </c>
      <c r="N857" s="88" t="str">
        <f>IF('Consulta1'!J4949="","",'Consulta1'!J4949)</f>
        <v/>
      </c>
    </row>
    <row r="858" spans="1:14" ht="18.75" x14ac:dyDescent="0.25">
      <c r="A858" s="82" t="str">
        <f>IF('Consulta1'!A4950="","",'Consulta1'!A4950)</f>
        <v/>
      </c>
      <c r="B858" s="82" t="str">
        <f>IF('Consulta1'!B4950="","",'Consulta1'!B4950)</f>
        <v/>
      </c>
      <c r="C858" s="83" t="str">
        <f>IF('Consulta1'!C4950="","",'Consulta1'!C4950)</f>
        <v/>
      </c>
      <c r="D858" s="84" t="str">
        <f>IF('Consulta1'!D4950="","",'Consulta1'!D4950)</f>
        <v/>
      </c>
      <c r="E858" s="82" t="str">
        <f>IF('Consulta1'!E4950="","",'Consulta1'!E4950)</f>
        <v/>
      </c>
      <c r="F858" t="str">
        <f>+IF(E858="","",VLOOKUP(E858,CATALOGO!G:L,6,0))</f>
        <v/>
      </c>
      <c r="G858" s="85" t="str">
        <f>IF('Consulta1'!F4950="","",'Consulta1'!F4950)</f>
        <v/>
      </c>
      <c r="H858" s="85" t="str">
        <f>IF('Consulta1'!G4950="","",'Consulta1'!G4950)</f>
        <v/>
      </c>
      <c r="I858" s="86" t="str">
        <f>IF('Consulta1'!H4950="","",'Consulta1'!H4950)</f>
        <v/>
      </c>
      <c r="J858" t="str">
        <f t="shared" si="13"/>
        <v/>
      </c>
      <c r="K858" t="str">
        <f>+IF(E858="","",VLOOKUP(E858,CATALOGO!G:I,2,0))</f>
        <v/>
      </c>
      <c r="L858" t="str">
        <f>+IF(E858="","",VLOOKUP(E858,CATALOGO!G:I,3,0))</f>
        <v/>
      </c>
      <c r="M858" s="87" t="str">
        <f>IF('Consulta1'!I4950="","",'Consulta1'!I4950)</f>
        <v/>
      </c>
      <c r="N858" s="88" t="str">
        <f>IF('Consulta1'!J4950="","",'Consulta1'!J4950)</f>
        <v/>
      </c>
    </row>
    <row r="859" spans="1:14" ht="18.75" x14ac:dyDescent="0.25">
      <c r="A859" s="82" t="str">
        <f>IF('Consulta1'!A4951="","",'Consulta1'!A4951)</f>
        <v/>
      </c>
      <c r="B859" s="82" t="str">
        <f>IF('Consulta1'!B4951="","",'Consulta1'!B4951)</f>
        <v/>
      </c>
      <c r="C859" s="83" t="str">
        <f>IF('Consulta1'!C4951="","",'Consulta1'!C4951)</f>
        <v/>
      </c>
      <c r="D859" s="84" t="str">
        <f>IF('Consulta1'!D4951="","",'Consulta1'!D4951)</f>
        <v/>
      </c>
      <c r="E859" s="82" t="str">
        <f>IF('Consulta1'!E4951="","",'Consulta1'!E4951)</f>
        <v/>
      </c>
      <c r="F859" t="str">
        <f>+IF(E859="","",VLOOKUP(E859,CATALOGO!G:L,6,0))</f>
        <v/>
      </c>
      <c r="G859" s="85" t="str">
        <f>IF('Consulta1'!F4951="","",'Consulta1'!F4951)</f>
        <v/>
      </c>
      <c r="H859" s="85" t="str">
        <f>IF('Consulta1'!G4951="","",'Consulta1'!G4951)</f>
        <v/>
      </c>
      <c r="I859" s="86" t="str">
        <f>IF('Consulta1'!H4951="","",'Consulta1'!H4951)</f>
        <v/>
      </c>
      <c r="J859" t="str">
        <f t="shared" si="13"/>
        <v/>
      </c>
      <c r="K859" t="str">
        <f>+IF(E859="","",VLOOKUP(E859,CATALOGO!G:I,2,0))</f>
        <v/>
      </c>
      <c r="L859" t="str">
        <f>+IF(E859="","",VLOOKUP(E859,CATALOGO!G:I,3,0))</f>
        <v/>
      </c>
      <c r="M859" s="87" t="str">
        <f>IF('Consulta1'!I4951="","",'Consulta1'!I4951)</f>
        <v/>
      </c>
      <c r="N859" s="88" t="str">
        <f>IF('Consulta1'!J4951="","",'Consulta1'!J4951)</f>
        <v/>
      </c>
    </row>
    <row r="860" spans="1:14" ht="18.75" x14ac:dyDescent="0.25">
      <c r="A860" s="82" t="str">
        <f>IF('Consulta1'!A4952="","",'Consulta1'!A4952)</f>
        <v/>
      </c>
      <c r="B860" s="82" t="str">
        <f>IF('Consulta1'!B4952="","",'Consulta1'!B4952)</f>
        <v/>
      </c>
      <c r="C860" s="83" t="str">
        <f>IF('Consulta1'!C4952="","",'Consulta1'!C4952)</f>
        <v/>
      </c>
      <c r="D860" s="84" t="str">
        <f>IF('Consulta1'!D4952="","",'Consulta1'!D4952)</f>
        <v/>
      </c>
      <c r="E860" s="82" t="str">
        <f>IF('Consulta1'!E4952="","",'Consulta1'!E4952)</f>
        <v/>
      </c>
      <c r="F860" t="str">
        <f>+IF(E860="","",VLOOKUP(E860,CATALOGO!G:L,6,0))</f>
        <v/>
      </c>
      <c r="G860" s="85" t="str">
        <f>IF('Consulta1'!F4952="","",'Consulta1'!F4952)</f>
        <v/>
      </c>
      <c r="H860" s="85" t="str">
        <f>IF('Consulta1'!G4952="","",'Consulta1'!G4952)</f>
        <v/>
      </c>
      <c r="I860" s="86" t="str">
        <f>IF('Consulta1'!H4952="","",'Consulta1'!H4952)</f>
        <v/>
      </c>
      <c r="J860" t="str">
        <f t="shared" si="13"/>
        <v/>
      </c>
      <c r="K860" t="str">
        <f>+IF(E860="","",VLOOKUP(E860,CATALOGO!G:I,2,0))</f>
        <v/>
      </c>
      <c r="L860" t="str">
        <f>+IF(E860="","",VLOOKUP(E860,CATALOGO!G:I,3,0))</f>
        <v/>
      </c>
      <c r="M860" s="87" t="str">
        <f>IF('Consulta1'!I4952="","",'Consulta1'!I4952)</f>
        <v/>
      </c>
      <c r="N860" s="88" t="str">
        <f>IF('Consulta1'!J4952="","",'Consulta1'!J4952)</f>
        <v/>
      </c>
    </row>
    <row r="861" spans="1:14" ht="18.75" x14ac:dyDescent="0.25">
      <c r="A861" s="82" t="str">
        <f>IF('Consulta1'!A4953="","",'Consulta1'!A4953)</f>
        <v/>
      </c>
      <c r="B861" s="82" t="str">
        <f>IF('Consulta1'!B4953="","",'Consulta1'!B4953)</f>
        <v/>
      </c>
      <c r="C861" s="83" t="str">
        <f>IF('Consulta1'!C4953="","",'Consulta1'!C4953)</f>
        <v/>
      </c>
      <c r="D861" s="84" t="str">
        <f>IF('Consulta1'!D4953="","",'Consulta1'!D4953)</f>
        <v/>
      </c>
      <c r="E861" s="82" t="str">
        <f>IF('Consulta1'!E4953="","",'Consulta1'!E4953)</f>
        <v/>
      </c>
      <c r="F861" t="str">
        <f>+IF(E861="","",VLOOKUP(E861,CATALOGO!G:L,6,0))</f>
        <v/>
      </c>
      <c r="G861" s="85" t="str">
        <f>IF('Consulta1'!F4953="","",'Consulta1'!F4953)</f>
        <v/>
      </c>
      <c r="H861" s="85" t="str">
        <f>IF('Consulta1'!G4953="","",'Consulta1'!G4953)</f>
        <v/>
      </c>
      <c r="I861" s="86" t="str">
        <f>IF('Consulta1'!H4953="","",'Consulta1'!H4953)</f>
        <v/>
      </c>
      <c r="J861" t="str">
        <f t="shared" si="13"/>
        <v/>
      </c>
      <c r="K861" t="str">
        <f>+IF(E861="","",VLOOKUP(E861,CATALOGO!G:I,2,0))</f>
        <v/>
      </c>
      <c r="L861" t="str">
        <f>+IF(E861="","",VLOOKUP(E861,CATALOGO!G:I,3,0))</f>
        <v/>
      </c>
      <c r="M861" s="87" t="str">
        <f>IF('Consulta1'!I4953="","",'Consulta1'!I4953)</f>
        <v/>
      </c>
      <c r="N861" s="88" t="str">
        <f>IF('Consulta1'!J4953="","",'Consulta1'!J4953)</f>
        <v/>
      </c>
    </row>
    <row r="862" spans="1:14" ht="18.75" x14ac:dyDescent="0.25">
      <c r="A862" s="82" t="str">
        <f>IF('Consulta1'!A4954="","",'Consulta1'!A4954)</f>
        <v/>
      </c>
      <c r="B862" s="82" t="str">
        <f>IF('Consulta1'!B4954="","",'Consulta1'!B4954)</f>
        <v/>
      </c>
      <c r="C862" s="83" t="str">
        <f>IF('Consulta1'!C4954="","",'Consulta1'!C4954)</f>
        <v/>
      </c>
      <c r="D862" s="84" t="str">
        <f>IF('Consulta1'!D4954="","",'Consulta1'!D4954)</f>
        <v/>
      </c>
      <c r="E862" s="82" t="str">
        <f>IF('Consulta1'!E4954="","",'Consulta1'!E4954)</f>
        <v/>
      </c>
      <c r="F862" t="str">
        <f>+IF(E862="","",VLOOKUP(E862,CATALOGO!G:L,6,0))</f>
        <v/>
      </c>
      <c r="G862" s="85" t="str">
        <f>IF('Consulta1'!F4954="","",'Consulta1'!F4954)</f>
        <v/>
      </c>
      <c r="H862" s="85" t="str">
        <f>IF('Consulta1'!G4954="","",'Consulta1'!G4954)</f>
        <v/>
      </c>
      <c r="I862" s="86" t="str">
        <f>IF('Consulta1'!H4954="","",'Consulta1'!H4954)</f>
        <v/>
      </c>
      <c r="J862" t="str">
        <f t="shared" si="13"/>
        <v/>
      </c>
      <c r="K862" t="str">
        <f>+IF(E862="","",VLOOKUP(E862,CATALOGO!G:I,2,0))</f>
        <v/>
      </c>
      <c r="L862" t="str">
        <f>+IF(E862="","",VLOOKUP(E862,CATALOGO!G:I,3,0))</f>
        <v/>
      </c>
      <c r="M862" s="87" t="str">
        <f>IF('Consulta1'!I4954="","",'Consulta1'!I4954)</f>
        <v/>
      </c>
      <c r="N862" s="88" t="str">
        <f>IF('Consulta1'!J4954="","",'Consulta1'!J4954)</f>
        <v/>
      </c>
    </row>
    <row r="863" spans="1:14" ht="18.75" x14ac:dyDescent="0.25">
      <c r="A863" s="82" t="str">
        <f>IF('Consulta1'!A4955="","",'Consulta1'!A4955)</f>
        <v/>
      </c>
      <c r="B863" s="82" t="str">
        <f>IF('Consulta1'!B4955="","",'Consulta1'!B4955)</f>
        <v/>
      </c>
      <c r="C863" s="83" t="str">
        <f>IF('Consulta1'!C4955="","",'Consulta1'!C4955)</f>
        <v/>
      </c>
      <c r="D863" s="84" t="str">
        <f>IF('Consulta1'!D4955="","",'Consulta1'!D4955)</f>
        <v/>
      </c>
      <c r="E863" s="82" t="str">
        <f>IF('Consulta1'!E4955="","",'Consulta1'!E4955)</f>
        <v/>
      </c>
      <c r="F863" t="str">
        <f>+IF(E863="","",VLOOKUP(E863,CATALOGO!G:L,6,0))</f>
        <v/>
      </c>
      <c r="G863" s="85" t="str">
        <f>IF('Consulta1'!F4955="","",'Consulta1'!F4955)</f>
        <v/>
      </c>
      <c r="H863" s="85" t="str">
        <f>IF('Consulta1'!G4955="","",'Consulta1'!G4955)</f>
        <v/>
      </c>
      <c r="I863" s="86" t="str">
        <f>IF('Consulta1'!H4955="","",'Consulta1'!H4955)</f>
        <v/>
      </c>
      <c r="J863" t="str">
        <f t="shared" si="13"/>
        <v/>
      </c>
      <c r="K863" t="str">
        <f>+IF(E863="","",VLOOKUP(E863,CATALOGO!G:I,2,0))</f>
        <v/>
      </c>
      <c r="L863" t="str">
        <f>+IF(E863="","",VLOOKUP(E863,CATALOGO!G:I,3,0))</f>
        <v/>
      </c>
      <c r="M863" s="87" t="str">
        <f>IF('Consulta1'!I4955="","",'Consulta1'!I4955)</f>
        <v/>
      </c>
      <c r="N863" s="88" t="str">
        <f>IF('Consulta1'!J4955="","",'Consulta1'!J4955)</f>
        <v/>
      </c>
    </row>
    <row r="864" spans="1:14" ht="18.75" x14ac:dyDescent="0.25">
      <c r="A864" s="82" t="str">
        <f>IF('Consulta1'!A4956="","",'Consulta1'!A4956)</f>
        <v/>
      </c>
      <c r="B864" s="82" t="str">
        <f>IF('Consulta1'!B4956="","",'Consulta1'!B4956)</f>
        <v/>
      </c>
      <c r="C864" s="83" t="str">
        <f>IF('Consulta1'!C4956="","",'Consulta1'!C4956)</f>
        <v/>
      </c>
      <c r="D864" s="84" t="str">
        <f>IF('Consulta1'!D4956="","",'Consulta1'!D4956)</f>
        <v/>
      </c>
      <c r="E864" s="82" t="str">
        <f>IF('Consulta1'!E4956="","",'Consulta1'!E4956)</f>
        <v/>
      </c>
      <c r="F864" t="str">
        <f>+IF(E864="","",VLOOKUP(E864,CATALOGO!G:L,6,0))</f>
        <v/>
      </c>
      <c r="G864" s="85" t="str">
        <f>IF('Consulta1'!F4956="","",'Consulta1'!F4956)</f>
        <v/>
      </c>
      <c r="H864" s="85" t="str">
        <f>IF('Consulta1'!G4956="","",'Consulta1'!G4956)</f>
        <v/>
      </c>
      <c r="I864" s="86" t="str">
        <f>IF('Consulta1'!H4956="","",'Consulta1'!H4956)</f>
        <v/>
      </c>
      <c r="J864" t="str">
        <f t="shared" si="13"/>
        <v/>
      </c>
      <c r="K864" t="str">
        <f>+IF(E864="","",VLOOKUP(E864,CATALOGO!G:I,2,0))</f>
        <v/>
      </c>
      <c r="L864" t="str">
        <f>+IF(E864="","",VLOOKUP(E864,CATALOGO!G:I,3,0))</f>
        <v/>
      </c>
      <c r="M864" s="87" t="str">
        <f>IF('Consulta1'!I4956="","",'Consulta1'!I4956)</f>
        <v/>
      </c>
      <c r="N864" s="88" t="str">
        <f>IF('Consulta1'!J4956="","",'Consulta1'!J4956)</f>
        <v/>
      </c>
    </row>
    <row r="865" spans="1:14" ht="18.75" x14ac:dyDescent="0.25">
      <c r="A865" s="82" t="str">
        <f>IF('Consulta1'!A4957="","",'Consulta1'!A4957)</f>
        <v/>
      </c>
      <c r="B865" s="82" t="str">
        <f>IF('Consulta1'!B4957="","",'Consulta1'!B4957)</f>
        <v/>
      </c>
      <c r="C865" s="83" t="str">
        <f>IF('Consulta1'!C4957="","",'Consulta1'!C4957)</f>
        <v/>
      </c>
      <c r="D865" s="84" t="str">
        <f>IF('Consulta1'!D4957="","",'Consulta1'!D4957)</f>
        <v/>
      </c>
      <c r="E865" s="82" t="str">
        <f>IF('Consulta1'!E4957="","",'Consulta1'!E4957)</f>
        <v/>
      </c>
      <c r="F865" t="str">
        <f>+IF(E865="","",VLOOKUP(E865,CATALOGO!G:L,6,0))</f>
        <v/>
      </c>
      <c r="G865" s="85" t="str">
        <f>IF('Consulta1'!F4957="","",'Consulta1'!F4957)</f>
        <v/>
      </c>
      <c r="H865" s="85" t="str">
        <f>IF('Consulta1'!G4957="","",'Consulta1'!G4957)</f>
        <v/>
      </c>
      <c r="I865" s="86" t="str">
        <f>IF('Consulta1'!H4957="","",'Consulta1'!H4957)</f>
        <v/>
      </c>
      <c r="J865" t="str">
        <f t="shared" si="13"/>
        <v/>
      </c>
      <c r="K865" t="str">
        <f>+IF(E865="","",VLOOKUP(E865,CATALOGO!G:I,2,0))</f>
        <v/>
      </c>
      <c r="L865" t="str">
        <f>+IF(E865="","",VLOOKUP(E865,CATALOGO!G:I,3,0))</f>
        <v/>
      </c>
      <c r="M865" s="87" t="str">
        <f>IF('Consulta1'!I4957="","",'Consulta1'!I4957)</f>
        <v/>
      </c>
      <c r="N865" s="88" t="str">
        <f>IF('Consulta1'!J4957="","",'Consulta1'!J4957)</f>
        <v/>
      </c>
    </row>
    <row r="866" spans="1:14" ht="18.75" x14ac:dyDescent="0.25">
      <c r="A866" s="82" t="str">
        <f>IF('Consulta1'!A4958="","",'Consulta1'!A4958)</f>
        <v/>
      </c>
      <c r="B866" s="82" t="str">
        <f>IF('Consulta1'!B4958="","",'Consulta1'!B4958)</f>
        <v/>
      </c>
      <c r="C866" s="83" t="str">
        <f>IF('Consulta1'!C4958="","",'Consulta1'!C4958)</f>
        <v/>
      </c>
      <c r="D866" s="84" t="str">
        <f>IF('Consulta1'!D4958="","",'Consulta1'!D4958)</f>
        <v/>
      </c>
      <c r="E866" s="82" t="str">
        <f>IF('Consulta1'!E4958="","",'Consulta1'!E4958)</f>
        <v/>
      </c>
      <c r="F866" t="str">
        <f>+IF(E866="","",VLOOKUP(E866,CATALOGO!G:L,6,0))</f>
        <v/>
      </c>
      <c r="G866" s="85" t="str">
        <f>IF('Consulta1'!F4958="","",'Consulta1'!F4958)</f>
        <v/>
      </c>
      <c r="H866" s="85" t="str">
        <f>IF('Consulta1'!G4958="","",'Consulta1'!G4958)</f>
        <v/>
      </c>
      <c r="I866" s="86" t="str">
        <f>IF('Consulta1'!H4958="","",'Consulta1'!H4958)</f>
        <v/>
      </c>
      <c r="J866" t="str">
        <f t="shared" si="13"/>
        <v/>
      </c>
      <c r="K866" t="str">
        <f>+IF(E866="","",VLOOKUP(E866,CATALOGO!G:I,2,0))</f>
        <v/>
      </c>
      <c r="L866" t="str">
        <f>+IF(E866="","",VLOOKUP(E866,CATALOGO!G:I,3,0))</f>
        <v/>
      </c>
      <c r="M866" s="87" t="str">
        <f>IF('Consulta1'!I4958="","",'Consulta1'!I4958)</f>
        <v/>
      </c>
      <c r="N866" s="88" t="str">
        <f>IF('Consulta1'!J4958="","",'Consulta1'!J4958)</f>
        <v/>
      </c>
    </row>
    <row r="867" spans="1:14" ht="18.75" x14ac:dyDescent="0.25">
      <c r="A867" s="82" t="str">
        <f>IF('Consulta1'!A4959="","",'Consulta1'!A4959)</f>
        <v/>
      </c>
      <c r="B867" s="82" t="str">
        <f>IF('Consulta1'!B4959="","",'Consulta1'!B4959)</f>
        <v/>
      </c>
      <c r="C867" s="83" t="str">
        <f>IF('Consulta1'!C4959="","",'Consulta1'!C4959)</f>
        <v/>
      </c>
      <c r="D867" s="84" t="str">
        <f>IF('Consulta1'!D4959="","",'Consulta1'!D4959)</f>
        <v/>
      </c>
      <c r="E867" s="82" t="str">
        <f>IF('Consulta1'!E4959="","",'Consulta1'!E4959)</f>
        <v/>
      </c>
      <c r="F867" t="str">
        <f>+IF(E867="","",VLOOKUP(E867,CATALOGO!G:L,6,0))</f>
        <v/>
      </c>
      <c r="G867" s="85" t="str">
        <f>IF('Consulta1'!F4959="","",'Consulta1'!F4959)</f>
        <v/>
      </c>
      <c r="H867" s="85" t="str">
        <f>IF('Consulta1'!G4959="","",'Consulta1'!G4959)</f>
        <v/>
      </c>
      <c r="I867" s="86" t="str">
        <f>IF('Consulta1'!H4959="","",'Consulta1'!H4959)</f>
        <v/>
      </c>
      <c r="J867" t="str">
        <f t="shared" si="13"/>
        <v/>
      </c>
      <c r="K867" t="str">
        <f>+IF(E867="","",VLOOKUP(E867,CATALOGO!G:I,2,0))</f>
        <v/>
      </c>
      <c r="L867" t="str">
        <f>+IF(E867="","",VLOOKUP(E867,CATALOGO!G:I,3,0))</f>
        <v/>
      </c>
      <c r="M867" s="87" t="str">
        <f>IF('Consulta1'!I4959="","",'Consulta1'!I4959)</f>
        <v/>
      </c>
      <c r="N867" s="88" t="str">
        <f>IF('Consulta1'!J4959="","",'Consulta1'!J4959)</f>
        <v/>
      </c>
    </row>
    <row r="868" spans="1:14" ht="18.75" x14ac:dyDescent="0.25">
      <c r="A868" s="82" t="str">
        <f>IF('Consulta1'!A4960="","",'Consulta1'!A4960)</f>
        <v/>
      </c>
      <c r="B868" s="82" t="str">
        <f>IF('Consulta1'!B4960="","",'Consulta1'!B4960)</f>
        <v/>
      </c>
      <c r="C868" s="83" t="str">
        <f>IF('Consulta1'!C4960="","",'Consulta1'!C4960)</f>
        <v/>
      </c>
      <c r="D868" s="84" t="str">
        <f>IF('Consulta1'!D4960="","",'Consulta1'!D4960)</f>
        <v/>
      </c>
      <c r="E868" s="82" t="str">
        <f>IF('Consulta1'!E4960="","",'Consulta1'!E4960)</f>
        <v/>
      </c>
      <c r="F868" t="str">
        <f>+IF(E868="","",VLOOKUP(E868,CATALOGO!G:L,6,0))</f>
        <v/>
      </c>
      <c r="G868" s="85" t="str">
        <f>IF('Consulta1'!F4960="","",'Consulta1'!F4960)</f>
        <v/>
      </c>
      <c r="H868" s="85" t="str">
        <f>IF('Consulta1'!G4960="","",'Consulta1'!G4960)</f>
        <v/>
      </c>
      <c r="I868" s="86" t="str">
        <f>IF('Consulta1'!H4960="","",'Consulta1'!H4960)</f>
        <v/>
      </c>
      <c r="J868" t="str">
        <f t="shared" si="13"/>
        <v/>
      </c>
      <c r="K868" t="str">
        <f>+IF(E868="","",VLOOKUP(E868,CATALOGO!G:I,2,0))</f>
        <v/>
      </c>
      <c r="L868" t="str">
        <f>+IF(E868="","",VLOOKUP(E868,CATALOGO!G:I,3,0))</f>
        <v/>
      </c>
      <c r="M868" s="87" t="str">
        <f>IF('Consulta1'!I4960="","",'Consulta1'!I4960)</f>
        <v/>
      </c>
      <c r="N868" s="88" t="str">
        <f>IF('Consulta1'!J4960="","",'Consulta1'!J4960)</f>
        <v/>
      </c>
    </row>
    <row r="869" spans="1:14" ht="18.75" x14ac:dyDescent="0.25">
      <c r="A869" s="82" t="str">
        <f>IF('Consulta1'!A4961="","",'Consulta1'!A4961)</f>
        <v/>
      </c>
      <c r="B869" s="82" t="str">
        <f>IF('Consulta1'!B4961="","",'Consulta1'!B4961)</f>
        <v/>
      </c>
      <c r="C869" s="83" t="str">
        <f>IF('Consulta1'!C4961="","",'Consulta1'!C4961)</f>
        <v/>
      </c>
      <c r="D869" s="84" t="str">
        <f>IF('Consulta1'!D4961="","",'Consulta1'!D4961)</f>
        <v/>
      </c>
      <c r="E869" s="82" t="str">
        <f>IF('Consulta1'!E4961="","",'Consulta1'!E4961)</f>
        <v/>
      </c>
      <c r="F869" t="str">
        <f>+IF(E869="","",VLOOKUP(E869,CATALOGO!G:L,6,0))</f>
        <v/>
      </c>
      <c r="G869" s="85" t="str">
        <f>IF('Consulta1'!F4961="","",'Consulta1'!F4961)</f>
        <v/>
      </c>
      <c r="H869" s="85" t="str">
        <f>IF('Consulta1'!G4961="","",'Consulta1'!G4961)</f>
        <v/>
      </c>
      <c r="I869" s="86" t="str">
        <f>IF('Consulta1'!H4961="","",'Consulta1'!H4961)</f>
        <v/>
      </c>
      <c r="J869" t="str">
        <f t="shared" si="13"/>
        <v/>
      </c>
      <c r="K869" t="str">
        <f>+IF(E869="","",VLOOKUP(E869,CATALOGO!G:I,2,0))</f>
        <v/>
      </c>
      <c r="L869" t="str">
        <f>+IF(E869="","",VLOOKUP(E869,CATALOGO!G:I,3,0))</f>
        <v/>
      </c>
      <c r="M869" s="87" t="str">
        <f>IF('Consulta1'!I4961="","",'Consulta1'!I4961)</f>
        <v/>
      </c>
      <c r="N869" s="88" t="str">
        <f>IF('Consulta1'!J4961="","",'Consulta1'!J4961)</f>
        <v/>
      </c>
    </row>
    <row r="870" spans="1:14" ht="18.75" x14ac:dyDescent="0.25">
      <c r="A870" s="82" t="str">
        <f>IF('Consulta1'!A4962="","",'Consulta1'!A4962)</f>
        <v/>
      </c>
      <c r="B870" s="82" t="str">
        <f>IF('Consulta1'!B4962="","",'Consulta1'!B4962)</f>
        <v/>
      </c>
      <c r="C870" s="83" t="str">
        <f>IF('Consulta1'!C4962="","",'Consulta1'!C4962)</f>
        <v/>
      </c>
      <c r="D870" s="84" t="str">
        <f>IF('Consulta1'!D4962="","",'Consulta1'!D4962)</f>
        <v/>
      </c>
      <c r="E870" s="82" t="str">
        <f>IF('Consulta1'!E4962="","",'Consulta1'!E4962)</f>
        <v/>
      </c>
      <c r="F870" t="str">
        <f>+IF(E870="","",VLOOKUP(E870,CATALOGO!G:L,6,0))</f>
        <v/>
      </c>
      <c r="G870" s="85" t="str">
        <f>IF('Consulta1'!F4962="","",'Consulta1'!F4962)</f>
        <v/>
      </c>
      <c r="H870" s="85" t="str">
        <f>IF('Consulta1'!G4962="","",'Consulta1'!G4962)</f>
        <v/>
      </c>
      <c r="I870" s="86" t="str">
        <f>IF('Consulta1'!H4962="","",'Consulta1'!H4962)</f>
        <v/>
      </c>
      <c r="J870" t="str">
        <f t="shared" si="13"/>
        <v/>
      </c>
      <c r="K870" t="str">
        <f>+IF(E870="","",VLOOKUP(E870,CATALOGO!G:I,2,0))</f>
        <v/>
      </c>
      <c r="L870" t="str">
        <f>+IF(E870="","",VLOOKUP(E870,CATALOGO!G:I,3,0))</f>
        <v/>
      </c>
      <c r="M870" s="87" t="str">
        <f>IF('Consulta1'!I4962="","",'Consulta1'!I4962)</f>
        <v/>
      </c>
      <c r="N870" s="88" t="str">
        <f>IF('Consulta1'!J4962="","",'Consulta1'!J4962)</f>
        <v/>
      </c>
    </row>
    <row r="871" spans="1:14" ht="18.75" x14ac:dyDescent="0.25">
      <c r="A871" s="82" t="str">
        <f>IF('Consulta1'!A4963="","",'Consulta1'!A4963)</f>
        <v/>
      </c>
      <c r="B871" s="82" t="str">
        <f>IF('Consulta1'!B4963="","",'Consulta1'!B4963)</f>
        <v/>
      </c>
      <c r="C871" s="83" t="str">
        <f>IF('Consulta1'!C4963="","",'Consulta1'!C4963)</f>
        <v/>
      </c>
      <c r="D871" s="84" t="str">
        <f>IF('Consulta1'!D4963="","",'Consulta1'!D4963)</f>
        <v/>
      </c>
      <c r="E871" s="82" t="str">
        <f>IF('Consulta1'!E4963="","",'Consulta1'!E4963)</f>
        <v/>
      </c>
      <c r="F871" t="str">
        <f>+IF(E871="","",VLOOKUP(E871,CATALOGO!G:L,6,0))</f>
        <v/>
      </c>
      <c r="G871" s="85" t="str">
        <f>IF('Consulta1'!F4963="","",'Consulta1'!F4963)</f>
        <v/>
      </c>
      <c r="H871" s="85" t="str">
        <f>IF('Consulta1'!G4963="","",'Consulta1'!G4963)</f>
        <v/>
      </c>
      <c r="I871" s="86" t="str">
        <f>IF('Consulta1'!H4963="","",'Consulta1'!H4963)</f>
        <v/>
      </c>
      <c r="J871" t="str">
        <f t="shared" si="13"/>
        <v/>
      </c>
      <c r="K871" t="str">
        <f>+IF(E871="","",VLOOKUP(E871,CATALOGO!G:I,2,0))</f>
        <v/>
      </c>
      <c r="L871" t="str">
        <f>+IF(E871="","",VLOOKUP(E871,CATALOGO!G:I,3,0))</f>
        <v/>
      </c>
      <c r="M871" s="87" t="str">
        <f>IF('Consulta1'!I4963="","",'Consulta1'!I4963)</f>
        <v/>
      </c>
      <c r="N871" s="88" t="str">
        <f>IF('Consulta1'!J4963="","",'Consulta1'!J4963)</f>
        <v/>
      </c>
    </row>
    <row r="872" spans="1:14" ht="18.75" x14ac:dyDescent="0.25">
      <c r="A872" s="82" t="str">
        <f>IF('Consulta1'!A4964="","",'Consulta1'!A4964)</f>
        <v/>
      </c>
      <c r="B872" s="82" t="str">
        <f>IF('Consulta1'!B4964="","",'Consulta1'!B4964)</f>
        <v/>
      </c>
      <c r="C872" s="83" t="str">
        <f>IF('Consulta1'!C4964="","",'Consulta1'!C4964)</f>
        <v/>
      </c>
      <c r="D872" s="84" t="str">
        <f>IF('Consulta1'!D4964="","",'Consulta1'!D4964)</f>
        <v/>
      </c>
      <c r="E872" s="82" t="str">
        <f>IF('Consulta1'!E4964="","",'Consulta1'!E4964)</f>
        <v/>
      </c>
      <c r="F872" t="str">
        <f>+IF(E872="","",VLOOKUP(E872,CATALOGO!G:L,6,0))</f>
        <v/>
      </c>
      <c r="G872" s="85" t="str">
        <f>IF('Consulta1'!F4964="","",'Consulta1'!F4964)</f>
        <v/>
      </c>
      <c r="H872" s="85" t="str">
        <f>IF('Consulta1'!G4964="","",'Consulta1'!G4964)</f>
        <v/>
      </c>
      <c r="I872" s="86" t="str">
        <f>IF('Consulta1'!H4964="","",'Consulta1'!H4964)</f>
        <v/>
      </c>
      <c r="J872" t="str">
        <f t="shared" si="13"/>
        <v/>
      </c>
      <c r="K872" t="str">
        <f>+IF(E872="","",VLOOKUP(E872,CATALOGO!G:I,2,0))</f>
        <v/>
      </c>
      <c r="L872" t="str">
        <f>+IF(E872="","",VLOOKUP(E872,CATALOGO!G:I,3,0))</f>
        <v/>
      </c>
      <c r="M872" s="87" t="str">
        <f>IF('Consulta1'!I4964="","",'Consulta1'!I4964)</f>
        <v/>
      </c>
      <c r="N872" s="88" t="str">
        <f>IF('Consulta1'!J4964="","",'Consulta1'!J4964)</f>
        <v/>
      </c>
    </row>
    <row r="873" spans="1:14" ht="18.75" x14ac:dyDescent="0.25">
      <c r="A873" s="82" t="str">
        <f>IF('Consulta1'!A4965="","",'Consulta1'!A4965)</f>
        <v/>
      </c>
      <c r="B873" s="82" t="str">
        <f>IF('Consulta1'!B4965="","",'Consulta1'!B4965)</f>
        <v/>
      </c>
      <c r="C873" s="83" t="str">
        <f>IF('Consulta1'!C4965="","",'Consulta1'!C4965)</f>
        <v/>
      </c>
      <c r="D873" s="84" t="str">
        <f>IF('Consulta1'!D4965="","",'Consulta1'!D4965)</f>
        <v/>
      </c>
      <c r="E873" s="82" t="str">
        <f>IF('Consulta1'!E4965="","",'Consulta1'!E4965)</f>
        <v/>
      </c>
      <c r="F873" t="str">
        <f>+IF(E873="","",VLOOKUP(E873,CATALOGO!G:L,6,0))</f>
        <v/>
      </c>
      <c r="G873" s="85" t="str">
        <f>IF('Consulta1'!F4965="","",'Consulta1'!F4965)</f>
        <v/>
      </c>
      <c r="H873" s="85" t="str">
        <f>IF('Consulta1'!G4965="","",'Consulta1'!G4965)</f>
        <v/>
      </c>
      <c r="I873" s="86" t="str">
        <f>IF('Consulta1'!H4965="","",'Consulta1'!H4965)</f>
        <v/>
      </c>
      <c r="J873" t="str">
        <f t="shared" si="13"/>
        <v/>
      </c>
      <c r="K873" t="str">
        <f>+IF(E873="","",VLOOKUP(E873,CATALOGO!G:I,2,0))</f>
        <v/>
      </c>
      <c r="L873" t="str">
        <f>+IF(E873="","",VLOOKUP(E873,CATALOGO!G:I,3,0))</f>
        <v/>
      </c>
      <c r="M873" s="87" t="str">
        <f>IF('Consulta1'!I4965="","",'Consulta1'!I4965)</f>
        <v/>
      </c>
      <c r="N873" s="88" t="str">
        <f>IF('Consulta1'!J4965="","",'Consulta1'!J4965)</f>
        <v/>
      </c>
    </row>
    <row r="874" spans="1:14" ht="18.75" x14ac:dyDescent="0.25">
      <c r="A874" s="82" t="str">
        <f>IF('Consulta1'!A4966="","",'Consulta1'!A4966)</f>
        <v/>
      </c>
      <c r="B874" s="82" t="str">
        <f>IF('Consulta1'!B4966="","",'Consulta1'!B4966)</f>
        <v/>
      </c>
      <c r="C874" s="83" t="str">
        <f>IF('Consulta1'!C4966="","",'Consulta1'!C4966)</f>
        <v/>
      </c>
      <c r="D874" s="84" t="str">
        <f>IF('Consulta1'!D4966="","",'Consulta1'!D4966)</f>
        <v/>
      </c>
      <c r="E874" s="82" t="str">
        <f>IF('Consulta1'!E4966="","",'Consulta1'!E4966)</f>
        <v/>
      </c>
      <c r="F874" t="str">
        <f>+IF(E874="","",VLOOKUP(E874,CATALOGO!G:L,6,0))</f>
        <v/>
      </c>
      <c r="G874" s="85" t="str">
        <f>IF('Consulta1'!F4966="","",'Consulta1'!F4966)</f>
        <v/>
      </c>
      <c r="H874" s="85" t="str">
        <f>IF('Consulta1'!G4966="","",'Consulta1'!G4966)</f>
        <v/>
      </c>
      <c r="I874" s="86" t="str">
        <f>IF('Consulta1'!H4966="","",'Consulta1'!H4966)</f>
        <v/>
      </c>
      <c r="J874" t="str">
        <f t="shared" si="13"/>
        <v/>
      </c>
      <c r="K874" t="str">
        <f>+IF(E874="","",VLOOKUP(E874,CATALOGO!G:I,2,0))</f>
        <v/>
      </c>
      <c r="L874" t="str">
        <f>+IF(E874="","",VLOOKUP(E874,CATALOGO!G:I,3,0))</f>
        <v/>
      </c>
      <c r="M874" s="87" t="str">
        <f>IF('Consulta1'!I4966="","",'Consulta1'!I4966)</f>
        <v/>
      </c>
      <c r="N874" s="88" t="str">
        <f>IF('Consulta1'!J4966="","",'Consulta1'!J4966)</f>
        <v/>
      </c>
    </row>
    <row r="875" spans="1:14" ht="18.75" x14ac:dyDescent="0.25">
      <c r="A875" s="82" t="str">
        <f>IF('Consulta1'!A4967="","",'Consulta1'!A4967)</f>
        <v/>
      </c>
      <c r="B875" s="82" t="str">
        <f>IF('Consulta1'!B4967="","",'Consulta1'!B4967)</f>
        <v/>
      </c>
      <c r="C875" s="83" t="str">
        <f>IF('Consulta1'!C4967="","",'Consulta1'!C4967)</f>
        <v/>
      </c>
      <c r="D875" s="84" t="str">
        <f>IF('Consulta1'!D4967="","",'Consulta1'!D4967)</f>
        <v/>
      </c>
      <c r="E875" s="82" t="str">
        <f>IF('Consulta1'!E4967="","",'Consulta1'!E4967)</f>
        <v/>
      </c>
      <c r="F875" t="str">
        <f>+IF(E875="","",VLOOKUP(E875,CATALOGO!G:L,6,0))</f>
        <v/>
      </c>
      <c r="G875" s="85" t="str">
        <f>IF('Consulta1'!F4967="","",'Consulta1'!F4967)</f>
        <v/>
      </c>
      <c r="H875" s="85" t="str">
        <f>IF('Consulta1'!G4967="","",'Consulta1'!G4967)</f>
        <v/>
      </c>
      <c r="I875" s="86" t="str">
        <f>IF('Consulta1'!H4967="","",'Consulta1'!H4967)</f>
        <v/>
      </c>
      <c r="J875" t="str">
        <f t="shared" si="13"/>
        <v/>
      </c>
      <c r="K875" t="str">
        <f>+IF(E875="","",VLOOKUP(E875,CATALOGO!G:I,2,0))</f>
        <v/>
      </c>
      <c r="L875" t="str">
        <f>+IF(E875="","",VLOOKUP(E875,CATALOGO!G:I,3,0))</f>
        <v/>
      </c>
      <c r="M875" s="87" t="str">
        <f>IF('Consulta1'!I4967="","",'Consulta1'!I4967)</f>
        <v/>
      </c>
      <c r="N875" s="88" t="str">
        <f>IF('Consulta1'!J4967="","",'Consulta1'!J4967)</f>
        <v/>
      </c>
    </row>
    <row r="876" spans="1:14" ht="18.75" x14ac:dyDescent="0.25">
      <c r="A876" s="82" t="str">
        <f>IF('Consulta1'!A4968="","",'Consulta1'!A4968)</f>
        <v/>
      </c>
      <c r="B876" s="82" t="str">
        <f>IF('Consulta1'!B4968="","",'Consulta1'!B4968)</f>
        <v/>
      </c>
      <c r="C876" s="83" t="str">
        <f>IF('Consulta1'!C4968="","",'Consulta1'!C4968)</f>
        <v/>
      </c>
      <c r="D876" s="84" t="str">
        <f>IF('Consulta1'!D4968="","",'Consulta1'!D4968)</f>
        <v/>
      </c>
      <c r="E876" s="82" t="str">
        <f>IF('Consulta1'!E4968="","",'Consulta1'!E4968)</f>
        <v/>
      </c>
      <c r="F876" t="str">
        <f>+IF(E876="","",VLOOKUP(E876,CATALOGO!G:L,6,0))</f>
        <v/>
      </c>
      <c r="G876" s="85" t="str">
        <f>IF('Consulta1'!F4968="","",'Consulta1'!F4968)</f>
        <v/>
      </c>
      <c r="H876" s="85" t="str">
        <f>IF('Consulta1'!G4968="","",'Consulta1'!G4968)</f>
        <v/>
      </c>
      <c r="I876" s="86" t="str">
        <f>IF('Consulta1'!H4968="","",'Consulta1'!H4968)</f>
        <v/>
      </c>
      <c r="J876" t="str">
        <f t="shared" si="13"/>
        <v/>
      </c>
      <c r="K876" t="str">
        <f>+IF(E876="","",VLOOKUP(E876,CATALOGO!G:I,2,0))</f>
        <v/>
      </c>
      <c r="L876" t="str">
        <f>+IF(E876="","",VLOOKUP(E876,CATALOGO!G:I,3,0))</f>
        <v/>
      </c>
      <c r="M876" s="87" t="str">
        <f>IF('Consulta1'!I4968="","",'Consulta1'!I4968)</f>
        <v/>
      </c>
      <c r="N876" s="88" t="str">
        <f>IF('Consulta1'!J4968="","",'Consulta1'!J4968)</f>
        <v/>
      </c>
    </row>
    <row r="877" spans="1:14" ht="18.75" x14ac:dyDescent="0.25">
      <c r="A877" s="82" t="str">
        <f>IF('Consulta1'!A4969="","",'Consulta1'!A4969)</f>
        <v/>
      </c>
      <c r="B877" s="82" t="str">
        <f>IF('Consulta1'!B4969="","",'Consulta1'!B4969)</f>
        <v/>
      </c>
      <c r="C877" s="83" t="str">
        <f>IF('Consulta1'!C4969="","",'Consulta1'!C4969)</f>
        <v/>
      </c>
      <c r="D877" s="84" t="str">
        <f>IF('Consulta1'!D4969="","",'Consulta1'!D4969)</f>
        <v/>
      </c>
      <c r="E877" s="82" t="str">
        <f>IF('Consulta1'!E4969="","",'Consulta1'!E4969)</f>
        <v/>
      </c>
      <c r="F877" t="str">
        <f>+IF(E877="","",VLOOKUP(E877,CATALOGO!G:L,6,0))</f>
        <v/>
      </c>
      <c r="G877" s="85" t="str">
        <f>IF('Consulta1'!F4969="","",'Consulta1'!F4969)</f>
        <v/>
      </c>
      <c r="H877" s="85" t="str">
        <f>IF('Consulta1'!G4969="","",'Consulta1'!G4969)</f>
        <v/>
      </c>
      <c r="I877" s="86" t="str">
        <f>IF('Consulta1'!H4969="","",'Consulta1'!H4969)</f>
        <v/>
      </c>
      <c r="J877" t="str">
        <f t="shared" si="13"/>
        <v/>
      </c>
      <c r="K877" t="str">
        <f>+IF(E877="","",VLOOKUP(E877,CATALOGO!G:I,2,0))</f>
        <v/>
      </c>
      <c r="L877" t="str">
        <f>+IF(E877="","",VLOOKUP(E877,CATALOGO!G:I,3,0))</f>
        <v/>
      </c>
      <c r="M877" s="87" t="str">
        <f>IF('Consulta1'!I4969="","",'Consulta1'!I4969)</f>
        <v/>
      </c>
      <c r="N877" s="88" t="str">
        <f>IF('Consulta1'!J4969="","",'Consulta1'!J4969)</f>
        <v/>
      </c>
    </row>
    <row r="878" spans="1:14" ht="18.75" x14ac:dyDescent="0.25">
      <c r="A878" s="82" t="str">
        <f>IF('Consulta1'!A4970="","",'Consulta1'!A4970)</f>
        <v/>
      </c>
      <c r="B878" s="82" t="str">
        <f>IF('Consulta1'!B4970="","",'Consulta1'!B4970)</f>
        <v/>
      </c>
      <c r="C878" s="83" t="str">
        <f>IF('Consulta1'!C4970="","",'Consulta1'!C4970)</f>
        <v/>
      </c>
      <c r="D878" s="84" t="str">
        <f>IF('Consulta1'!D4970="","",'Consulta1'!D4970)</f>
        <v/>
      </c>
      <c r="E878" s="82" t="str">
        <f>IF('Consulta1'!E4970="","",'Consulta1'!E4970)</f>
        <v/>
      </c>
      <c r="F878" t="str">
        <f>+IF(E878="","",VLOOKUP(E878,CATALOGO!G:L,6,0))</f>
        <v/>
      </c>
      <c r="G878" s="85" t="str">
        <f>IF('Consulta1'!F4970="","",'Consulta1'!F4970)</f>
        <v/>
      </c>
      <c r="H878" s="85" t="str">
        <f>IF('Consulta1'!G4970="","",'Consulta1'!G4970)</f>
        <v/>
      </c>
      <c r="I878" s="86" t="str">
        <f>IF('Consulta1'!H4970="","",'Consulta1'!H4970)</f>
        <v/>
      </c>
      <c r="J878" t="str">
        <f t="shared" si="13"/>
        <v/>
      </c>
      <c r="K878" t="str">
        <f>+IF(E878="","",VLOOKUP(E878,CATALOGO!G:I,2,0))</f>
        <v/>
      </c>
      <c r="L878" t="str">
        <f>+IF(E878="","",VLOOKUP(E878,CATALOGO!G:I,3,0))</f>
        <v/>
      </c>
      <c r="M878" s="87" t="str">
        <f>IF('Consulta1'!I4970="","",'Consulta1'!I4970)</f>
        <v/>
      </c>
      <c r="N878" s="88" t="str">
        <f>IF('Consulta1'!J4970="","",'Consulta1'!J4970)</f>
        <v/>
      </c>
    </row>
    <row r="879" spans="1:14" ht="18.75" x14ac:dyDescent="0.25">
      <c r="A879" s="82" t="str">
        <f>IF('Consulta1'!A4971="","",'Consulta1'!A4971)</f>
        <v/>
      </c>
      <c r="B879" s="82" t="str">
        <f>IF('Consulta1'!B4971="","",'Consulta1'!B4971)</f>
        <v/>
      </c>
      <c r="C879" s="83" t="str">
        <f>IF('Consulta1'!C4971="","",'Consulta1'!C4971)</f>
        <v/>
      </c>
      <c r="D879" s="84" t="str">
        <f>IF('Consulta1'!D4971="","",'Consulta1'!D4971)</f>
        <v/>
      </c>
      <c r="E879" s="82" t="str">
        <f>IF('Consulta1'!E4971="","",'Consulta1'!E4971)</f>
        <v/>
      </c>
      <c r="F879" t="str">
        <f>+IF(E879="","",VLOOKUP(E879,CATALOGO!G:L,6,0))</f>
        <v/>
      </c>
      <c r="G879" s="85" t="str">
        <f>IF('Consulta1'!F4971="","",'Consulta1'!F4971)</f>
        <v/>
      </c>
      <c r="H879" s="85" t="str">
        <f>IF('Consulta1'!G4971="","",'Consulta1'!G4971)</f>
        <v/>
      </c>
      <c r="I879" s="86" t="str">
        <f>IF('Consulta1'!H4971="","",'Consulta1'!H4971)</f>
        <v/>
      </c>
      <c r="J879" t="str">
        <f t="shared" si="13"/>
        <v/>
      </c>
      <c r="K879" t="str">
        <f>+IF(E879="","",VLOOKUP(E879,CATALOGO!G:I,2,0))</f>
        <v/>
      </c>
      <c r="L879" t="str">
        <f>+IF(E879="","",VLOOKUP(E879,CATALOGO!G:I,3,0))</f>
        <v/>
      </c>
      <c r="M879" s="87" t="str">
        <f>IF('Consulta1'!I4971="","",'Consulta1'!I4971)</f>
        <v/>
      </c>
      <c r="N879" s="88" t="str">
        <f>IF('Consulta1'!J4971="","",'Consulta1'!J4971)</f>
        <v/>
      </c>
    </row>
    <row r="880" spans="1:14" ht="18.75" x14ac:dyDescent="0.25">
      <c r="A880" s="82" t="str">
        <f>IF('Consulta1'!A4972="","",'Consulta1'!A4972)</f>
        <v/>
      </c>
      <c r="B880" s="82" t="str">
        <f>IF('Consulta1'!B4972="","",'Consulta1'!B4972)</f>
        <v/>
      </c>
      <c r="C880" s="83" t="str">
        <f>IF('Consulta1'!C4972="","",'Consulta1'!C4972)</f>
        <v/>
      </c>
      <c r="D880" s="84" t="str">
        <f>IF('Consulta1'!D4972="","",'Consulta1'!D4972)</f>
        <v/>
      </c>
      <c r="E880" s="82" t="str">
        <f>IF('Consulta1'!E4972="","",'Consulta1'!E4972)</f>
        <v/>
      </c>
      <c r="F880" t="str">
        <f>+IF(E880="","",VLOOKUP(E880,CATALOGO!G:L,6,0))</f>
        <v/>
      </c>
      <c r="G880" s="85" t="str">
        <f>IF('Consulta1'!F4972="","",'Consulta1'!F4972)</f>
        <v/>
      </c>
      <c r="H880" s="85" t="str">
        <f>IF('Consulta1'!G4972="","",'Consulta1'!G4972)</f>
        <v/>
      </c>
      <c r="I880" s="86" t="str">
        <f>IF('Consulta1'!H4972="","",'Consulta1'!H4972)</f>
        <v/>
      </c>
      <c r="J880" t="str">
        <f t="shared" si="13"/>
        <v/>
      </c>
      <c r="K880" t="str">
        <f>+IF(E880="","",VLOOKUP(E880,CATALOGO!G:I,2,0))</f>
        <v/>
      </c>
      <c r="L880" t="str">
        <f>+IF(E880="","",VLOOKUP(E880,CATALOGO!G:I,3,0))</f>
        <v/>
      </c>
      <c r="M880" s="87" t="str">
        <f>IF('Consulta1'!I4972="","",'Consulta1'!I4972)</f>
        <v/>
      </c>
      <c r="N880" s="88" t="str">
        <f>IF('Consulta1'!J4972="","",'Consulta1'!J4972)</f>
        <v/>
      </c>
    </row>
    <row r="881" spans="1:14" ht="18.75" x14ac:dyDescent="0.25">
      <c r="A881" s="82" t="str">
        <f>IF('Consulta1'!A4973="","",'Consulta1'!A4973)</f>
        <v/>
      </c>
      <c r="B881" s="82" t="str">
        <f>IF('Consulta1'!B4973="","",'Consulta1'!B4973)</f>
        <v/>
      </c>
      <c r="C881" s="83" t="str">
        <f>IF('Consulta1'!C4973="","",'Consulta1'!C4973)</f>
        <v/>
      </c>
      <c r="D881" s="84" t="str">
        <f>IF('Consulta1'!D4973="","",'Consulta1'!D4973)</f>
        <v/>
      </c>
      <c r="E881" s="82" t="str">
        <f>IF('Consulta1'!E4973="","",'Consulta1'!E4973)</f>
        <v/>
      </c>
      <c r="F881" t="str">
        <f>+IF(E881="","",VLOOKUP(E881,CATALOGO!G:L,6,0))</f>
        <v/>
      </c>
      <c r="G881" s="85" t="str">
        <f>IF('Consulta1'!F4973="","",'Consulta1'!F4973)</f>
        <v/>
      </c>
      <c r="H881" s="85" t="str">
        <f>IF('Consulta1'!G4973="","",'Consulta1'!G4973)</f>
        <v/>
      </c>
      <c r="I881" s="86" t="str">
        <f>IF('Consulta1'!H4973="","",'Consulta1'!H4973)</f>
        <v/>
      </c>
      <c r="J881" t="str">
        <f t="shared" si="13"/>
        <v/>
      </c>
      <c r="K881" t="str">
        <f>+IF(E881="","",VLOOKUP(E881,CATALOGO!G:I,2,0))</f>
        <v/>
      </c>
      <c r="L881" t="str">
        <f>+IF(E881="","",VLOOKUP(E881,CATALOGO!G:I,3,0))</f>
        <v/>
      </c>
      <c r="M881" s="87" t="str">
        <f>IF('Consulta1'!I4973="","",'Consulta1'!I4973)</f>
        <v/>
      </c>
      <c r="N881" s="88" t="str">
        <f>IF('Consulta1'!J4973="","",'Consulta1'!J4973)</f>
        <v/>
      </c>
    </row>
    <row r="882" spans="1:14" ht="18.75" x14ac:dyDescent="0.25">
      <c r="A882" s="82" t="str">
        <f>IF('Consulta1'!A4974="","",'Consulta1'!A4974)</f>
        <v/>
      </c>
      <c r="B882" s="82" t="str">
        <f>IF('Consulta1'!B4974="","",'Consulta1'!B4974)</f>
        <v/>
      </c>
      <c r="C882" s="83" t="str">
        <f>IF('Consulta1'!C4974="","",'Consulta1'!C4974)</f>
        <v/>
      </c>
      <c r="D882" s="84" t="str">
        <f>IF('Consulta1'!D4974="","",'Consulta1'!D4974)</f>
        <v/>
      </c>
      <c r="E882" s="82" t="str">
        <f>IF('Consulta1'!E4974="","",'Consulta1'!E4974)</f>
        <v/>
      </c>
      <c r="F882" t="str">
        <f>+IF(E882="","",VLOOKUP(E882,CATALOGO!G:L,6,0))</f>
        <v/>
      </c>
      <c r="G882" s="85" t="str">
        <f>IF('Consulta1'!F4974="","",'Consulta1'!F4974)</f>
        <v/>
      </c>
      <c r="H882" s="85" t="str">
        <f>IF('Consulta1'!G4974="","",'Consulta1'!G4974)</f>
        <v/>
      </c>
      <c r="I882" s="86" t="str">
        <f>IF('Consulta1'!H4974="","",'Consulta1'!H4974)</f>
        <v/>
      </c>
      <c r="J882" t="str">
        <f t="shared" si="13"/>
        <v/>
      </c>
      <c r="K882" t="str">
        <f>+IF(E882="","",VLOOKUP(E882,CATALOGO!G:I,2,0))</f>
        <v/>
      </c>
      <c r="L882" t="str">
        <f>+IF(E882="","",VLOOKUP(E882,CATALOGO!G:I,3,0))</f>
        <v/>
      </c>
      <c r="M882" s="87" t="str">
        <f>IF('Consulta1'!I4974="","",'Consulta1'!I4974)</f>
        <v/>
      </c>
      <c r="N882" s="88" t="str">
        <f>IF('Consulta1'!J4974="","",'Consulta1'!J4974)</f>
        <v/>
      </c>
    </row>
    <row r="883" spans="1:14" ht="18.75" x14ac:dyDescent="0.25">
      <c r="A883" s="82" t="str">
        <f>IF('Consulta1'!A4975="","",'Consulta1'!A4975)</f>
        <v/>
      </c>
      <c r="B883" s="82" t="str">
        <f>IF('Consulta1'!B4975="","",'Consulta1'!B4975)</f>
        <v/>
      </c>
      <c r="C883" s="83" t="str">
        <f>IF('Consulta1'!C4975="","",'Consulta1'!C4975)</f>
        <v/>
      </c>
      <c r="D883" s="84" t="str">
        <f>IF('Consulta1'!D4975="","",'Consulta1'!D4975)</f>
        <v/>
      </c>
      <c r="E883" s="82" t="str">
        <f>IF('Consulta1'!E4975="","",'Consulta1'!E4975)</f>
        <v/>
      </c>
      <c r="F883" t="str">
        <f>+IF(E883="","",VLOOKUP(E883,CATALOGO!G:L,6,0))</f>
        <v/>
      </c>
      <c r="G883" s="85" t="str">
        <f>IF('Consulta1'!F4975="","",'Consulta1'!F4975)</f>
        <v/>
      </c>
      <c r="H883" s="85" t="str">
        <f>IF('Consulta1'!G4975="","",'Consulta1'!G4975)</f>
        <v/>
      </c>
      <c r="I883" s="86" t="str">
        <f>IF('Consulta1'!H4975="","",'Consulta1'!H4975)</f>
        <v/>
      </c>
      <c r="J883" t="str">
        <f t="shared" si="13"/>
        <v/>
      </c>
      <c r="K883" t="str">
        <f>+IF(E883="","",VLOOKUP(E883,CATALOGO!G:I,2,0))</f>
        <v/>
      </c>
      <c r="L883" t="str">
        <f>+IF(E883="","",VLOOKUP(E883,CATALOGO!G:I,3,0))</f>
        <v/>
      </c>
      <c r="M883" s="87" t="str">
        <f>IF('Consulta1'!I4975="","",'Consulta1'!I4975)</f>
        <v/>
      </c>
      <c r="N883" s="88" t="str">
        <f>IF('Consulta1'!J4975="","",'Consulta1'!J4975)</f>
        <v/>
      </c>
    </row>
    <row r="884" spans="1:14" ht="18.75" x14ac:dyDescent="0.25">
      <c r="A884" s="82" t="str">
        <f>IF('Consulta1'!A4976="","",'Consulta1'!A4976)</f>
        <v/>
      </c>
      <c r="B884" s="82" t="str">
        <f>IF('Consulta1'!B4976="","",'Consulta1'!B4976)</f>
        <v/>
      </c>
      <c r="C884" s="83" t="str">
        <f>IF('Consulta1'!C4976="","",'Consulta1'!C4976)</f>
        <v/>
      </c>
      <c r="D884" s="84" t="str">
        <f>IF('Consulta1'!D4976="","",'Consulta1'!D4976)</f>
        <v/>
      </c>
      <c r="E884" s="82" t="str">
        <f>IF('Consulta1'!E4976="","",'Consulta1'!E4976)</f>
        <v/>
      </c>
      <c r="F884" t="str">
        <f>+IF(E884="","",VLOOKUP(E884,CATALOGO!G:L,6,0))</f>
        <v/>
      </c>
      <c r="G884" s="85" t="str">
        <f>IF('Consulta1'!F4976="","",'Consulta1'!F4976)</f>
        <v/>
      </c>
      <c r="H884" s="85" t="str">
        <f>IF('Consulta1'!G4976="","",'Consulta1'!G4976)</f>
        <v/>
      </c>
      <c r="I884" s="86" t="str">
        <f>IF('Consulta1'!H4976="","",'Consulta1'!H4976)</f>
        <v/>
      </c>
      <c r="J884" t="str">
        <f t="shared" si="13"/>
        <v/>
      </c>
      <c r="K884" t="str">
        <f>+IF(E884="","",VLOOKUP(E884,CATALOGO!G:I,2,0))</f>
        <v/>
      </c>
      <c r="L884" t="str">
        <f>+IF(E884="","",VLOOKUP(E884,CATALOGO!G:I,3,0))</f>
        <v/>
      </c>
      <c r="M884" s="87" t="str">
        <f>IF('Consulta1'!I4976="","",'Consulta1'!I4976)</f>
        <v/>
      </c>
      <c r="N884" s="88" t="str">
        <f>IF('Consulta1'!J4976="","",'Consulta1'!J4976)</f>
        <v/>
      </c>
    </row>
    <row r="885" spans="1:14" ht="18.75" x14ac:dyDescent="0.25">
      <c r="A885" s="82" t="str">
        <f>IF('Consulta1'!A4977="","",'Consulta1'!A4977)</f>
        <v/>
      </c>
      <c r="B885" s="82" t="str">
        <f>IF('Consulta1'!B4977="","",'Consulta1'!B4977)</f>
        <v/>
      </c>
      <c r="C885" s="83" t="str">
        <f>IF('Consulta1'!C4977="","",'Consulta1'!C4977)</f>
        <v/>
      </c>
      <c r="D885" s="84" t="str">
        <f>IF('Consulta1'!D4977="","",'Consulta1'!D4977)</f>
        <v/>
      </c>
      <c r="E885" s="82" t="str">
        <f>IF('Consulta1'!E4977="","",'Consulta1'!E4977)</f>
        <v/>
      </c>
      <c r="F885" t="str">
        <f>+IF(E885="","",VLOOKUP(E885,CATALOGO!G:L,6,0))</f>
        <v/>
      </c>
      <c r="G885" s="85" t="str">
        <f>IF('Consulta1'!F4977="","",'Consulta1'!F4977)</f>
        <v/>
      </c>
      <c r="H885" s="85" t="str">
        <f>IF('Consulta1'!G4977="","",'Consulta1'!G4977)</f>
        <v/>
      </c>
      <c r="I885" s="86" t="str">
        <f>IF('Consulta1'!H4977="","",'Consulta1'!H4977)</f>
        <v/>
      </c>
      <c r="J885" t="str">
        <f t="shared" si="13"/>
        <v/>
      </c>
      <c r="K885" t="str">
        <f>+IF(E885="","",VLOOKUP(E885,CATALOGO!G:I,2,0))</f>
        <v/>
      </c>
      <c r="L885" t="str">
        <f>+IF(E885="","",VLOOKUP(E885,CATALOGO!G:I,3,0))</f>
        <v/>
      </c>
      <c r="M885" s="87" t="str">
        <f>IF('Consulta1'!I4977="","",'Consulta1'!I4977)</f>
        <v/>
      </c>
      <c r="N885" s="88" t="str">
        <f>IF('Consulta1'!J4977="","",'Consulta1'!J4977)</f>
        <v/>
      </c>
    </row>
    <row r="886" spans="1:14" ht="18.75" x14ac:dyDescent="0.25">
      <c r="A886" s="82" t="str">
        <f>IF('Consulta1'!A4978="","",'Consulta1'!A4978)</f>
        <v/>
      </c>
      <c r="B886" s="82" t="str">
        <f>IF('Consulta1'!B4978="","",'Consulta1'!B4978)</f>
        <v/>
      </c>
      <c r="C886" s="83" t="str">
        <f>IF('Consulta1'!C4978="","",'Consulta1'!C4978)</f>
        <v/>
      </c>
      <c r="D886" s="84" t="str">
        <f>IF('Consulta1'!D4978="","",'Consulta1'!D4978)</f>
        <v/>
      </c>
      <c r="E886" s="82" t="str">
        <f>IF('Consulta1'!E4978="","",'Consulta1'!E4978)</f>
        <v/>
      </c>
      <c r="F886" t="str">
        <f>+IF(E886="","",VLOOKUP(E886,CATALOGO!G:L,6,0))</f>
        <v/>
      </c>
      <c r="G886" s="85" t="str">
        <f>IF('Consulta1'!F4978="","",'Consulta1'!F4978)</f>
        <v/>
      </c>
      <c r="H886" s="85" t="str">
        <f>IF('Consulta1'!G4978="","",'Consulta1'!G4978)</f>
        <v/>
      </c>
      <c r="I886" s="86" t="str">
        <f>IF('Consulta1'!H4978="","",'Consulta1'!H4978)</f>
        <v/>
      </c>
      <c r="J886" t="str">
        <f t="shared" si="13"/>
        <v/>
      </c>
      <c r="K886" t="str">
        <f>+IF(E886="","",VLOOKUP(E886,CATALOGO!G:I,2,0))</f>
        <v/>
      </c>
      <c r="L886" t="str">
        <f>+IF(E886="","",VLOOKUP(E886,CATALOGO!G:I,3,0))</f>
        <v/>
      </c>
      <c r="M886" s="87" t="str">
        <f>IF('Consulta1'!I4978="","",'Consulta1'!I4978)</f>
        <v/>
      </c>
      <c r="N886" s="88" t="str">
        <f>IF('Consulta1'!J4978="","",'Consulta1'!J4978)</f>
        <v/>
      </c>
    </row>
    <row r="887" spans="1:14" ht="18.75" x14ac:dyDescent="0.25">
      <c r="A887" s="82" t="str">
        <f>IF('Consulta1'!A4979="","",'Consulta1'!A4979)</f>
        <v/>
      </c>
      <c r="B887" s="82" t="str">
        <f>IF('Consulta1'!B4979="","",'Consulta1'!B4979)</f>
        <v/>
      </c>
      <c r="C887" s="83" t="str">
        <f>IF('Consulta1'!C4979="","",'Consulta1'!C4979)</f>
        <v/>
      </c>
      <c r="D887" s="84" t="str">
        <f>IF('Consulta1'!D4979="","",'Consulta1'!D4979)</f>
        <v/>
      </c>
      <c r="E887" s="82" t="str">
        <f>IF('Consulta1'!E4979="","",'Consulta1'!E4979)</f>
        <v/>
      </c>
      <c r="F887" t="str">
        <f>+IF(E887="","",VLOOKUP(E887,CATALOGO!G:L,6,0))</f>
        <v/>
      </c>
      <c r="G887" s="85" t="str">
        <f>IF('Consulta1'!F4979="","",'Consulta1'!F4979)</f>
        <v/>
      </c>
      <c r="H887" s="85" t="str">
        <f>IF('Consulta1'!G4979="","",'Consulta1'!G4979)</f>
        <v/>
      </c>
      <c r="I887" s="86" t="str">
        <f>IF('Consulta1'!H4979="","",'Consulta1'!H4979)</f>
        <v/>
      </c>
      <c r="J887" t="str">
        <f t="shared" si="13"/>
        <v/>
      </c>
      <c r="K887" t="str">
        <f>+IF(E887="","",VLOOKUP(E887,CATALOGO!G:I,2,0))</f>
        <v/>
      </c>
      <c r="L887" t="str">
        <f>+IF(E887="","",VLOOKUP(E887,CATALOGO!G:I,3,0))</f>
        <v/>
      </c>
      <c r="M887" s="87" t="str">
        <f>IF('Consulta1'!I4979="","",'Consulta1'!I4979)</f>
        <v/>
      </c>
      <c r="N887" s="88" t="str">
        <f>IF('Consulta1'!J4979="","",'Consulta1'!J4979)</f>
        <v/>
      </c>
    </row>
    <row r="888" spans="1:14" ht="18.75" x14ac:dyDescent="0.25">
      <c r="A888" s="82" t="str">
        <f>IF('Consulta1'!A4980="","",'Consulta1'!A4980)</f>
        <v/>
      </c>
      <c r="B888" s="82" t="str">
        <f>IF('Consulta1'!B4980="","",'Consulta1'!B4980)</f>
        <v/>
      </c>
      <c r="C888" s="83" t="str">
        <f>IF('Consulta1'!C4980="","",'Consulta1'!C4980)</f>
        <v/>
      </c>
      <c r="D888" s="84" t="str">
        <f>IF('Consulta1'!D4980="","",'Consulta1'!D4980)</f>
        <v/>
      </c>
      <c r="E888" s="82" t="str">
        <f>IF('Consulta1'!E4980="","",'Consulta1'!E4980)</f>
        <v/>
      </c>
      <c r="F888" t="str">
        <f>+IF(E888="","",VLOOKUP(E888,CATALOGO!G:L,6,0))</f>
        <v/>
      </c>
      <c r="G888" s="85" t="str">
        <f>IF('Consulta1'!F4980="","",'Consulta1'!F4980)</f>
        <v/>
      </c>
      <c r="H888" s="85" t="str">
        <f>IF('Consulta1'!G4980="","",'Consulta1'!G4980)</f>
        <v/>
      </c>
      <c r="I888" s="86" t="str">
        <f>IF('Consulta1'!H4980="","",'Consulta1'!H4980)</f>
        <v/>
      </c>
      <c r="J888" t="str">
        <f t="shared" si="13"/>
        <v/>
      </c>
      <c r="K888" t="str">
        <f>+IF(E888="","",VLOOKUP(E888,CATALOGO!G:I,2,0))</f>
        <v/>
      </c>
      <c r="L888" t="str">
        <f>+IF(E888="","",VLOOKUP(E888,CATALOGO!G:I,3,0))</f>
        <v/>
      </c>
      <c r="M888" s="87" t="str">
        <f>IF('Consulta1'!I4980="","",'Consulta1'!I4980)</f>
        <v/>
      </c>
      <c r="N888" s="88" t="str">
        <f>IF('Consulta1'!J4980="","",'Consulta1'!J4980)</f>
        <v/>
      </c>
    </row>
    <row r="889" spans="1:14" ht="18.75" x14ac:dyDescent="0.25">
      <c r="A889" s="82" t="str">
        <f>IF('Consulta1'!A4981="","",'Consulta1'!A4981)</f>
        <v/>
      </c>
      <c r="B889" s="82" t="str">
        <f>IF('Consulta1'!B4981="","",'Consulta1'!B4981)</f>
        <v/>
      </c>
      <c r="C889" s="83" t="str">
        <f>IF('Consulta1'!C4981="","",'Consulta1'!C4981)</f>
        <v/>
      </c>
      <c r="D889" s="84" t="str">
        <f>IF('Consulta1'!D4981="","",'Consulta1'!D4981)</f>
        <v/>
      </c>
      <c r="E889" s="82" t="str">
        <f>IF('Consulta1'!E4981="","",'Consulta1'!E4981)</f>
        <v/>
      </c>
      <c r="F889" t="str">
        <f>+IF(E889="","",VLOOKUP(E889,CATALOGO!G:L,6,0))</f>
        <v/>
      </c>
      <c r="G889" s="85" t="str">
        <f>IF('Consulta1'!F4981="","",'Consulta1'!F4981)</f>
        <v/>
      </c>
      <c r="H889" s="85" t="str">
        <f>IF('Consulta1'!G4981="","",'Consulta1'!G4981)</f>
        <v/>
      </c>
      <c r="I889" s="86" t="str">
        <f>IF('Consulta1'!H4981="","",'Consulta1'!H4981)</f>
        <v/>
      </c>
      <c r="J889" t="str">
        <f t="shared" si="13"/>
        <v/>
      </c>
      <c r="K889" t="str">
        <f>+IF(E889="","",VLOOKUP(E889,CATALOGO!G:I,2,0))</f>
        <v/>
      </c>
      <c r="L889" t="str">
        <f>+IF(E889="","",VLOOKUP(E889,CATALOGO!G:I,3,0))</f>
        <v/>
      </c>
      <c r="M889" s="87" t="str">
        <f>IF('Consulta1'!I4981="","",'Consulta1'!I4981)</f>
        <v/>
      </c>
      <c r="N889" s="88" t="str">
        <f>IF('Consulta1'!J4981="","",'Consulta1'!J4981)</f>
        <v/>
      </c>
    </row>
    <row r="890" spans="1:14" ht="18.75" x14ac:dyDescent="0.25">
      <c r="A890" s="82" t="str">
        <f>IF('Consulta1'!A4982="","",'Consulta1'!A4982)</f>
        <v/>
      </c>
      <c r="B890" s="82" t="str">
        <f>IF('Consulta1'!B4982="","",'Consulta1'!B4982)</f>
        <v/>
      </c>
      <c r="C890" s="83" t="str">
        <f>IF('Consulta1'!C4982="","",'Consulta1'!C4982)</f>
        <v/>
      </c>
      <c r="D890" s="84" t="str">
        <f>IF('Consulta1'!D4982="","",'Consulta1'!D4982)</f>
        <v/>
      </c>
      <c r="E890" s="82" t="str">
        <f>IF('Consulta1'!E4982="","",'Consulta1'!E4982)</f>
        <v/>
      </c>
      <c r="F890" t="str">
        <f>+IF(E890="","",VLOOKUP(E890,CATALOGO!G:L,6,0))</f>
        <v/>
      </c>
      <c r="G890" s="85" t="str">
        <f>IF('Consulta1'!F4982="","",'Consulta1'!F4982)</f>
        <v/>
      </c>
      <c r="H890" s="85" t="str">
        <f>IF('Consulta1'!G4982="","",'Consulta1'!G4982)</f>
        <v/>
      </c>
      <c r="I890" s="86" t="str">
        <f>IF('Consulta1'!H4982="","",'Consulta1'!H4982)</f>
        <v/>
      </c>
      <c r="J890" t="str">
        <f t="shared" si="13"/>
        <v/>
      </c>
      <c r="K890" t="str">
        <f>+IF(E890="","",VLOOKUP(E890,CATALOGO!G:I,2,0))</f>
        <v/>
      </c>
      <c r="L890" t="str">
        <f>+IF(E890="","",VLOOKUP(E890,CATALOGO!G:I,3,0))</f>
        <v/>
      </c>
      <c r="M890" s="87" t="str">
        <f>IF('Consulta1'!I4982="","",'Consulta1'!I4982)</f>
        <v/>
      </c>
      <c r="N890" s="88" t="str">
        <f>IF('Consulta1'!J4982="","",'Consulta1'!J4982)</f>
        <v/>
      </c>
    </row>
    <row r="891" spans="1:14" ht="18.75" x14ac:dyDescent="0.25">
      <c r="A891" s="82" t="str">
        <f>IF('Consulta1'!A4983="","",'Consulta1'!A4983)</f>
        <v/>
      </c>
      <c r="B891" s="82" t="str">
        <f>IF('Consulta1'!B4983="","",'Consulta1'!B4983)</f>
        <v/>
      </c>
      <c r="C891" s="83" t="str">
        <f>IF('Consulta1'!C4983="","",'Consulta1'!C4983)</f>
        <v/>
      </c>
      <c r="D891" s="84" t="str">
        <f>IF('Consulta1'!D4983="","",'Consulta1'!D4983)</f>
        <v/>
      </c>
      <c r="E891" s="82" t="str">
        <f>IF('Consulta1'!E4983="","",'Consulta1'!E4983)</f>
        <v/>
      </c>
      <c r="F891" t="str">
        <f>+IF(E891="","",VLOOKUP(E891,CATALOGO!G:L,6,0))</f>
        <v/>
      </c>
      <c r="G891" s="85" t="str">
        <f>IF('Consulta1'!F4983="","",'Consulta1'!F4983)</f>
        <v/>
      </c>
      <c r="H891" s="85" t="str">
        <f>IF('Consulta1'!G4983="","",'Consulta1'!G4983)</f>
        <v/>
      </c>
      <c r="I891" s="86" t="str">
        <f>IF('Consulta1'!H4983="","",'Consulta1'!H4983)</f>
        <v/>
      </c>
      <c r="J891" t="str">
        <f t="shared" si="13"/>
        <v/>
      </c>
      <c r="K891" t="str">
        <f>+IF(E891="","",VLOOKUP(E891,CATALOGO!G:I,2,0))</f>
        <v/>
      </c>
      <c r="L891" t="str">
        <f>+IF(E891="","",VLOOKUP(E891,CATALOGO!G:I,3,0))</f>
        <v/>
      </c>
      <c r="M891" s="87" t="str">
        <f>IF('Consulta1'!I4983="","",'Consulta1'!I4983)</f>
        <v/>
      </c>
      <c r="N891" s="88" t="str">
        <f>IF('Consulta1'!J4983="","",'Consulta1'!J4983)</f>
        <v/>
      </c>
    </row>
    <row r="892" spans="1:14" ht="18.75" x14ac:dyDescent="0.25">
      <c r="A892" s="82" t="str">
        <f>IF('Consulta1'!A4984="","",'Consulta1'!A4984)</f>
        <v/>
      </c>
      <c r="B892" s="82" t="str">
        <f>IF('Consulta1'!B4984="","",'Consulta1'!B4984)</f>
        <v/>
      </c>
      <c r="C892" s="83" t="str">
        <f>IF('Consulta1'!C4984="","",'Consulta1'!C4984)</f>
        <v/>
      </c>
      <c r="D892" s="84" t="str">
        <f>IF('Consulta1'!D4984="","",'Consulta1'!D4984)</f>
        <v/>
      </c>
      <c r="E892" s="82" t="str">
        <f>IF('Consulta1'!E4984="","",'Consulta1'!E4984)</f>
        <v/>
      </c>
      <c r="F892" t="str">
        <f>+IF(E892="","",VLOOKUP(E892,CATALOGO!G:L,6,0))</f>
        <v/>
      </c>
      <c r="G892" s="85" t="str">
        <f>IF('Consulta1'!F4984="","",'Consulta1'!F4984)</f>
        <v/>
      </c>
      <c r="H892" s="85" t="str">
        <f>IF('Consulta1'!G4984="","",'Consulta1'!G4984)</f>
        <v/>
      </c>
      <c r="I892" s="86" t="str">
        <f>IF('Consulta1'!H4984="","",'Consulta1'!H4984)</f>
        <v/>
      </c>
      <c r="J892" t="str">
        <f t="shared" si="13"/>
        <v/>
      </c>
      <c r="K892" t="str">
        <f>+IF(E892="","",VLOOKUP(E892,CATALOGO!G:I,2,0))</f>
        <v/>
      </c>
      <c r="L892" t="str">
        <f>+IF(E892="","",VLOOKUP(E892,CATALOGO!G:I,3,0))</f>
        <v/>
      </c>
      <c r="M892" s="87" t="str">
        <f>IF('Consulta1'!I4984="","",'Consulta1'!I4984)</f>
        <v/>
      </c>
      <c r="N892" s="88" t="str">
        <f>IF('Consulta1'!J4984="","",'Consulta1'!J4984)</f>
        <v/>
      </c>
    </row>
    <row r="893" spans="1:14" ht="18.75" x14ac:dyDescent="0.25">
      <c r="A893" s="82" t="str">
        <f>IF('Consulta1'!A4985="","",'Consulta1'!A4985)</f>
        <v/>
      </c>
      <c r="B893" s="82" t="str">
        <f>IF('Consulta1'!B4985="","",'Consulta1'!B4985)</f>
        <v/>
      </c>
      <c r="C893" s="83" t="str">
        <f>IF('Consulta1'!C4985="","",'Consulta1'!C4985)</f>
        <v/>
      </c>
      <c r="D893" s="84" t="str">
        <f>IF('Consulta1'!D4985="","",'Consulta1'!D4985)</f>
        <v/>
      </c>
      <c r="E893" s="82" t="str">
        <f>IF('Consulta1'!E4985="","",'Consulta1'!E4985)</f>
        <v/>
      </c>
      <c r="F893" t="str">
        <f>+IF(E893="","",VLOOKUP(E893,CATALOGO!G:L,6,0))</f>
        <v/>
      </c>
      <c r="G893" s="85" t="str">
        <f>IF('Consulta1'!F4985="","",'Consulta1'!F4985)</f>
        <v/>
      </c>
      <c r="H893" s="85" t="str">
        <f>IF('Consulta1'!G4985="","",'Consulta1'!G4985)</f>
        <v/>
      </c>
      <c r="I893" s="86" t="str">
        <f>IF('Consulta1'!H4985="","",'Consulta1'!H4985)</f>
        <v/>
      </c>
      <c r="J893" t="str">
        <f t="shared" si="13"/>
        <v/>
      </c>
      <c r="K893" t="str">
        <f>+IF(E893="","",VLOOKUP(E893,CATALOGO!G:I,2,0))</f>
        <v/>
      </c>
      <c r="L893" t="str">
        <f>+IF(E893="","",VLOOKUP(E893,CATALOGO!G:I,3,0))</f>
        <v/>
      </c>
      <c r="M893" s="87" t="str">
        <f>IF('Consulta1'!I4985="","",'Consulta1'!I4985)</f>
        <v/>
      </c>
      <c r="N893" s="88" t="str">
        <f>IF('Consulta1'!J4985="","",'Consulta1'!J4985)</f>
        <v/>
      </c>
    </row>
    <row r="894" spans="1:14" ht="18.75" x14ac:dyDescent="0.25">
      <c r="A894" s="82" t="str">
        <f>IF('Consulta1'!A4986="","",'Consulta1'!A4986)</f>
        <v/>
      </c>
      <c r="B894" s="82" t="str">
        <f>IF('Consulta1'!B4986="","",'Consulta1'!B4986)</f>
        <v/>
      </c>
      <c r="C894" s="83" t="str">
        <f>IF('Consulta1'!C4986="","",'Consulta1'!C4986)</f>
        <v/>
      </c>
      <c r="D894" s="84" t="str">
        <f>IF('Consulta1'!D4986="","",'Consulta1'!D4986)</f>
        <v/>
      </c>
      <c r="E894" s="82" t="str">
        <f>IF('Consulta1'!E4986="","",'Consulta1'!E4986)</f>
        <v/>
      </c>
      <c r="F894" t="str">
        <f>+IF(E894="","",VLOOKUP(E894,CATALOGO!G:L,6,0))</f>
        <v/>
      </c>
      <c r="G894" s="85" t="str">
        <f>IF('Consulta1'!F4986="","",'Consulta1'!F4986)</f>
        <v/>
      </c>
      <c r="H894" s="85" t="str">
        <f>IF('Consulta1'!G4986="","",'Consulta1'!G4986)</f>
        <v/>
      </c>
      <c r="I894" s="86" t="str">
        <f>IF('Consulta1'!H4986="","",'Consulta1'!H4986)</f>
        <v/>
      </c>
      <c r="J894" t="str">
        <f t="shared" si="13"/>
        <v/>
      </c>
      <c r="K894" t="str">
        <f>+IF(E894="","",VLOOKUP(E894,CATALOGO!G:I,2,0))</f>
        <v/>
      </c>
      <c r="L894" t="str">
        <f>+IF(E894="","",VLOOKUP(E894,CATALOGO!G:I,3,0))</f>
        <v/>
      </c>
      <c r="M894" s="87" t="str">
        <f>IF('Consulta1'!I4986="","",'Consulta1'!I4986)</f>
        <v/>
      </c>
      <c r="N894" s="88" t="str">
        <f>IF('Consulta1'!J4986="","",'Consulta1'!J4986)</f>
        <v/>
      </c>
    </row>
    <row r="895" spans="1:14" ht="18.75" x14ac:dyDescent="0.25">
      <c r="A895" s="82" t="str">
        <f>IF('Consulta1'!A4987="","",'Consulta1'!A4987)</f>
        <v/>
      </c>
      <c r="B895" s="82" t="str">
        <f>IF('Consulta1'!B4987="","",'Consulta1'!B4987)</f>
        <v/>
      </c>
      <c r="C895" s="83" t="str">
        <f>IF('Consulta1'!C4987="","",'Consulta1'!C4987)</f>
        <v/>
      </c>
      <c r="D895" s="84" t="str">
        <f>IF('Consulta1'!D4987="","",'Consulta1'!D4987)</f>
        <v/>
      </c>
      <c r="E895" s="82" t="str">
        <f>IF('Consulta1'!E4987="","",'Consulta1'!E4987)</f>
        <v/>
      </c>
      <c r="F895" t="str">
        <f>+IF(E895="","",VLOOKUP(E895,CATALOGO!G:L,6,0))</f>
        <v/>
      </c>
      <c r="G895" s="85" t="str">
        <f>IF('Consulta1'!F4987="","",'Consulta1'!F4987)</f>
        <v/>
      </c>
      <c r="H895" s="85" t="str">
        <f>IF('Consulta1'!G4987="","",'Consulta1'!G4987)</f>
        <v/>
      </c>
      <c r="I895" s="86" t="str">
        <f>IF('Consulta1'!H4987="","",'Consulta1'!H4987)</f>
        <v/>
      </c>
      <c r="J895" t="str">
        <f t="shared" si="13"/>
        <v/>
      </c>
      <c r="K895" t="str">
        <f>+IF(E895="","",VLOOKUP(E895,CATALOGO!G:I,2,0))</f>
        <v/>
      </c>
      <c r="L895" t="str">
        <f>+IF(E895="","",VLOOKUP(E895,CATALOGO!G:I,3,0))</f>
        <v/>
      </c>
      <c r="M895" s="87" t="str">
        <f>IF('Consulta1'!I4987="","",'Consulta1'!I4987)</f>
        <v/>
      </c>
      <c r="N895" s="88" t="str">
        <f>IF('Consulta1'!J4987="","",'Consulta1'!J4987)</f>
        <v/>
      </c>
    </row>
    <row r="896" spans="1:14" ht="18.75" x14ac:dyDescent="0.25">
      <c r="A896" s="82" t="str">
        <f>IF('Consulta1'!A4988="","",'Consulta1'!A4988)</f>
        <v/>
      </c>
      <c r="B896" s="82" t="str">
        <f>IF('Consulta1'!B4988="","",'Consulta1'!B4988)</f>
        <v/>
      </c>
      <c r="C896" s="83" t="str">
        <f>IF('Consulta1'!C4988="","",'Consulta1'!C4988)</f>
        <v/>
      </c>
      <c r="D896" s="84" t="str">
        <f>IF('Consulta1'!D4988="","",'Consulta1'!D4988)</f>
        <v/>
      </c>
      <c r="E896" s="82" t="str">
        <f>IF('Consulta1'!E4988="","",'Consulta1'!E4988)</f>
        <v/>
      </c>
      <c r="F896" t="str">
        <f>+IF(E896="","",VLOOKUP(E896,CATALOGO!G:L,6,0))</f>
        <v/>
      </c>
      <c r="G896" s="85" t="str">
        <f>IF('Consulta1'!F4988="","",'Consulta1'!F4988)</f>
        <v/>
      </c>
      <c r="H896" s="85" t="str">
        <f>IF('Consulta1'!G4988="","",'Consulta1'!G4988)</f>
        <v/>
      </c>
      <c r="I896" s="86" t="str">
        <f>IF('Consulta1'!H4988="","",'Consulta1'!H4988)</f>
        <v/>
      </c>
      <c r="J896" t="str">
        <f t="shared" si="13"/>
        <v/>
      </c>
      <c r="K896" t="str">
        <f>+IF(E896="","",VLOOKUP(E896,CATALOGO!G:I,2,0))</f>
        <v/>
      </c>
      <c r="L896" t="str">
        <f>+IF(E896="","",VLOOKUP(E896,CATALOGO!G:I,3,0))</f>
        <v/>
      </c>
      <c r="M896" s="87" t="str">
        <f>IF('Consulta1'!I4988="","",'Consulta1'!I4988)</f>
        <v/>
      </c>
      <c r="N896" s="88" t="str">
        <f>IF('Consulta1'!J4988="","",'Consulta1'!J4988)</f>
        <v/>
      </c>
    </row>
    <row r="897" spans="1:14" ht="18.75" x14ac:dyDescent="0.25">
      <c r="A897" s="82" t="str">
        <f>IF('Consulta1'!A4989="","",'Consulta1'!A4989)</f>
        <v/>
      </c>
      <c r="B897" s="82" t="str">
        <f>IF('Consulta1'!B4989="","",'Consulta1'!B4989)</f>
        <v/>
      </c>
      <c r="C897" s="83" t="str">
        <f>IF('Consulta1'!C4989="","",'Consulta1'!C4989)</f>
        <v/>
      </c>
      <c r="D897" s="84" t="str">
        <f>IF('Consulta1'!D4989="","",'Consulta1'!D4989)</f>
        <v/>
      </c>
      <c r="E897" s="82" t="str">
        <f>IF('Consulta1'!E4989="","",'Consulta1'!E4989)</f>
        <v/>
      </c>
      <c r="F897" t="str">
        <f>+IF(E897="","",VLOOKUP(E897,CATALOGO!G:L,6,0))</f>
        <v/>
      </c>
      <c r="G897" s="85" t="str">
        <f>IF('Consulta1'!F4989="","",'Consulta1'!F4989)</f>
        <v/>
      </c>
      <c r="H897" s="85" t="str">
        <f>IF('Consulta1'!G4989="","",'Consulta1'!G4989)</f>
        <v/>
      </c>
      <c r="I897" s="86" t="str">
        <f>IF('Consulta1'!H4989="","",'Consulta1'!H4989)</f>
        <v/>
      </c>
      <c r="J897" t="str">
        <f t="shared" si="13"/>
        <v/>
      </c>
      <c r="K897" t="str">
        <f>+IF(E897="","",VLOOKUP(E897,CATALOGO!G:I,2,0))</f>
        <v/>
      </c>
      <c r="L897" t="str">
        <f>+IF(E897="","",VLOOKUP(E897,CATALOGO!G:I,3,0))</f>
        <v/>
      </c>
      <c r="M897" s="87" t="str">
        <f>IF('Consulta1'!I4989="","",'Consulta1'!I4989)</f>
        <v/>
      </c>
      <c r="N897" s="88" t="str">
        <f>IF('Consulta1'!J4989="","",'Consulta1'!J4989)</f>
        <v/>
      </c>
    </row>
    <row r="898" spans="1:14" ht="18.75" x14ac:dyDescent="0.25">
      <c r="A898" s="82" t="str">
        <f>IF('Consulta1'!A4990="","",'Consulta1'!A4990)</f>
        <v/>
      </c>
      <c r="B898" s="82" t="str">
        <f>IF('Consulta1'!B4990="","",'Consulta1'!B4990)</f>
        <v/>
      </c>
      <c r="C898" s="83" t="str">
        <f>IF('Consulta1'!C4990="","",'Consulta1'!C4990)</f>
        <v/>
      </c>
      <c r="D898" s="84" t="str">
        <f>IF('Consulta1'!D4990="","",'Consulta1'!D4990)</f>
        <v/>
      </c>
      <c r="E898" s="82" t="str">
        <f>IF('Consulta1'!E4990="","",'Consulta1'!E4990)</f>
        <v/>
      </c>
      <c r="F898" t="str">
        <f>+IF(E898="","",VLOOKUP(E898,CATALOGO!G:L,6,0))</f>
        <v/>
      </c>
      <c r="G898" s="85" t="str">
        <f>IF('Consulta1'!F4990="","",'Consulta1'!F4990)</f>
        <v/>
      </c>
      <c r="H898" s="85" t="str">
        <f>IF('Consulta1'!G4990="","",'Consulta1'!G4990)</f>
        <v/>
      </c>
      <c r="I898" s="86" t="str">
        <f>IF('Consulta1'!H4990="","",'Consulta1'!H4990)</f>
        <v/>
      </c>
      <c r="J898" t="str">
        <f t="shared" si="13"/>
        <v/>
      </c>
      <c r="K898" t="str">
        <f>+IF(E898="","",VLOOKUP(E898,CATALOGO!G:I,2,0))</f>
        <v/>
      </c>
      <c r="L898" t="str">
        <f>+IF(E898="","",VLOOKUP(E898,CATALOGO!G:I,3,0))</f>
        <v/>
      </c>
      <c r="M898" s="87" t="str">
        <f>IF('Consulta1'!I4990="","",'Consulta1'!I4990)</f>
        <v/>
      </c>
      <c r="N898" s="88" t="str">
        <f>IF('Consulta1'!J4990="","",'Consulta1'!J4990)</f>
        <v/>
      </c>
    </row>
    <row r="899" spans="1:14" ht="18.75" x14ac:dyDescent="0.25">
      <c r="A899" s="82" t="str">
        <f>IF('Consulta1'!A4991="","",'Consulta1'!A4991)</f>
        <v/>
      </c>
      <c r="B899" s="82" t="str">
        <f>IF('Consulta1'!B4991="","",'Consulta1'!B4991)</f>
        <v/>
      </c>
      <c r="C899" s="83" t="str">
        <f>IF('Consulta1'!C4991="","",'Consulta1'!C4991)</f>
        <v/>
      </c>
      <c r="D899" s="84" t="str">
        <f>IF('Consulta1'!D4991="","",'Consulta1'!D4991)</f>
        <v/>
      </c>
      <c r="E899" s="82" t="str">
        <f>IF('Consulta1'!E4991="","",'Consulta1'!E4991)</f>
        <v/>
      </c>
      <c r="F899" t="str">
        <f>+IF(E899="","",VLOOKUP(E899,CATALOGO!G:L,6,0))</f>
        <v/>
      </c>
      <c r="G899" s="85" t="str">
        <f>IF('Consulta1'!F4991="","",'Consulta1'!F4991)</f>
        <v/>
      </c>
      <c r="H899" s="85" t="str">
        <f>IF('Consulta1'!G4991="","",'Consulta1'!G4991)</f>
        <v/>
      </c>
      <c r="I899" s="86" t="str">
        <f>IF('Consulta1'!H4991="","",'Consulta1'!H4991)</f>
        <v/>
      </c>
      <c r="J899" t="str">
        <f t="shared" ref="J899:J962" si="14">+IF(E899="","",WEEKNUM(I899))</f>
        <v/>
      </c>
      <c r="K899" t="str">
        <f>+IF(E899="","",VLOOKUP(E899,CATALOGO!G:I,2,0))</f>
        <v/>
      </c>
      <c r="L899" t="str">
        <f>+IF(E899="","",VLOOKUP(E899,CATALOGO!G:I,3,0))</f>
        <v/>
      </c>
      <c r="M899" s="87" t="str">
        <f>IF('Consulta1'!I4991="","",'Consulta1'!I4991)</f>
        <v/>
      </c>
      <c r="N899" s="88" t="str">
        <f>IF('Consulta1'!J4991="","",'Consulta1'!J4991)</f>
        <v/>
      </c>
    </row>
    <row r="900" spans="1:14" ht="18.75" x14ac:dyDescent="0.25">
      <c r="A900" s="82" t="str">
        <f>IF('Consulta1'!A4992="","",'Consulta1'!A4992)</f>
        <v/>
      </c>
      <c r="B900" s="82" t="str">
        <f>IF('Consulta1'!B4992="","",'Consulta1'!B4992)</f>
        <v/>
      </c>
      <c r="C900" s="83" t="str">
        <f>IF('Consulta1'!C4992="","",'Consulta1'!C4992)</f>
        <v/>
      </c>
      <c r="D900" s="84" t="str">
        <f>IF('Consulta1'!D4992="","",'Consulta1'!D4992)</f>
        <v/>
      </c>
      <c r="E900" s="82" t="str">
        <f>IF('Consulta1'!E4992="","",'Consulta1'!E4992)</f>
        <v/>
      </c>
      <c r="F900" t="str">
        <f>+IF(E900="","",VLOOKUP(E900,CATALOGO!G:L,6,0))</f>
        <v/>
      </c>
      <c r="G900" s="85" t="str">
        <f>IF('Consulta1'!F4992="","",'Consulta1'!F4992)</f>
        <v/>
      </c>
      <c r="H900" s="85" t="str">
        <f>IF('Consulta1'!G4992="","",'Consulta1'!G4992)</f>
        <v/>
      </c>
      <c r="I900" s="86" t="str">
        <f>IF('Consulta1'!H4992="","",'Consulta1'!H4992)</f>
        <v/>
      </c>
      <c r="J900" t="str">
        <f t="shared" si="14"/>
        <v/>
      </c>
      <c r="K900" t="str">
        <f>+IF(E900="","",VLOOKUP(E900,CATALOGO!G:I,2,0))</f>
        <v/>
      </c>
      <c r="L900" t="str">
        <f>+IF(E900="","",VLOOKUP(E900,CATALOGO!G:I,3,0))</f>
        <v/>
      </c>
      <c r="M900" s="87" t="str">
        <f>IF('Consulta1'!I4992="","",'Consulta1'!I4992)</f>
        <v/>
      </c>
      <c r="N900" s="88" t="str">
        <f>IF('Consulta1'!J4992="","",'Consulta1'!J4992)</f>
        <v/>
      </c>
    </row>
    <row r="901" spans="1:14" ht="18.75" x14ac:dyDescent="0.25">
      <c r="A901" s="82" t="str">
        <f>IF('Consulta1'!A4993="","",'Consulta1'!A4993)</f>
        <v/>
      </c>
      <c r="B901" s="82" t="str">
        <f>IF('Consulta1'!B4993="","",'Consulta1'!B4993)</f>
        <v/>
      </c>
      <c r="C901" s="83" t="str">
        <f>IF('Consulta1'!C4993="","",'Consulta1'!C4993)</f>
        <v/>
      </c>
      <c r="D901" s="84" t="str">
        <f>IF('Consulta1'!D4993="","",'Consulta1'!D4993)</f>
        <v/>
      </c>
      <c r="E901" s="82" t="str">
        <f>IF('Consulta1'!E4993="","",'Consulta1'!E4993)</f>
        <v/>
      </c>
      <c r="F901" t="str">
        <f>+IF(E901="","",VLOOKUP(E901,CATALOGO!G:L,6,0))</f>
        <v/>
      </c>
      <c r="G901" s="85" t="str">
        <f>IF('Consulta1'!F4993="","",'Consulta1'!F4993)</f>
        <v/>
      </c>
      <c r="H901" s="85" t="str">
        <f>IF('Consulta1'!G4993="","",'Consulta1'!G4993)</f>
        <v/>
      </c>
      <c r="I901" s="86" t="str">
        <f>IF('Consulta1'!H4993="","",'Consulta1'!H4993)</f>
        <v/>
      </c>
      <c r="J901" t="str">
        <f t="shared" si="14"/>
        <v/>
      </c>
      <c r="K901" t="str">
        <f>+IF(E901="","",VLOOKUP(E901,CATALOGO!G:I,2,0))</f>
        <v/>
      </c>
      <c r="L901" t="str">
        <f>+IF(E901="","",VLOOKUP(E901,CATALOGO!G:I,3,0))</f>
        <v/>
      </c>
      <c r="M901" s="87" t="str">
        <f>IF('Consulta1'!I4993="","",'Consulta1'!I4993)</f>
        <v/>
      </c>
      <c r="N901" s="88" t="str">
        <f>IF('Consulta1'!J4993="","",'Consulta1'!J4993)</f>
        <v/>
      </c>
    </row>
    <row r="902" spans="1:14" ht="18.75" x14ac:dyDescent="0.25">
      <c r="A902" s="82" t="str">
        <f>IF('Consulta1'!A4994="","",'Consulta1'!A4994)</f>
        <v/>
      </c>
      <c r="B902" s="82" t="str">
        <f>IF('Consulta1'!B4994="","",'Consulta1'!B4994)</f>
        <v/>
      </c>
      <c r="C902" s="83" t="str">
        <f>IF('Consulta1'!C4994="","",'Consulta1'!C4994)</f>
        <v/>
      </c>
      <c r="D902" s="84" t="str">
        <f>IF('Consulta1'!D4994="","",'Consulta1'!D4994)</f>
        <v/>
      </c>
      <c r="E902" s="82" t="str">
        <f>IF('Consulta1'!E4994="","",'Consulta1'!E4994)</f>
        <v/>
      </c>
      <c r="F902" t="str">
        <f>+IF(E902="","",VLOOKUP(E902,CATALOGO!G:L,6,0))</f>
        <v/>
      </c>
      <c r="G902" s="85" t="str">
        <f>IF('Consulta1'!F4994="","",'Consulta1'!F4994)</f>
        <v/>
      </c>
      <c r="H902" s="85" t="str">
        <f>IF('Consulta1'!G4994="","",'Consulta1'!G4994)</f>
        <v/>
      </c>
      <c r="I902" s="86" t="str">
        <f>IF('Consulta1'!H4994="","",'Consulta1'!H4994)</f>
        <v/>
      </c>
      <c r="J902" t="str">
        <f t="shared" si="14"/>
        <v/>
      </c>
      <c r="K902" t="str">
        <f>+IF(E902="","",VLOOKUP(E902,CATALOGO!G:I,2,0))</f>
        <v/>
      </c>
      <c r="L902" t="str">
        <f>+IF(E902="","",VLOOKUP(E902,CATALOGO!G:I,3,0))</f>
        <v/>
      </c>
      <c r="M902" s="87" t="str">
        <f>IF('Consulta1'!I4994="","",'Consulta1'!I4994)</f>
        <v/>
      </c>
      <c r="N902" s="88" t="str">
        <f>IF('Consulta1'!J4994="","",'Consulta1'!J4994)</f>
        <v/>
      </c>
    </row>
    <row r="903" spans="1:14" ht="18.75" x14ac:dyDescent="0.25">
      <c r="A903" s="82" t="str">
        <f>IF('Consulta1'!A4995="","",'Consulta1'!A4995)</f>
        <v/>
      </c>
      <c r="B903" s="82" t="str">
        <f>IF('Consulta1'!B4995="","",'Consulta1'!B4995)</f>
        <v/>
      </c>
      <c r="C903" s="83" t="str">
        <f>IF('Consulta1'!C4995="","",'Consulta1'!C4995)</f>
        <v/>
      </c>
      <c r="D903" s="84" t="str">
        <f>IF('Consulta1'!D4995="","",'Consulta1'!D4995)</f>
        <v/>
      </c>
      <c r="E903" s="82" t="str">
        <f>IF('Consulta1'!E4995="","",'Consulta1'!E4995)</f>
        <v/>
      </c>
      <c r="F903" t="str">
        <f>+IF(E903="","",VLOOKUP(E903,CATALOGO!G:L,6,0))</f>
        <v/>
      </c>
      <c r="G903" s="85" t="str">
        <f>IF('Consulta1'!F4995="","",'Consulta1'!F4995)</f>
        <v/>
      </c>
      <c r="H903" s="85" t="str">
        <f>IF('Consulta1'!G4995="","",'Consulta1'!G4995)</f>
        <v/>
      </c>
      <c r="I903" s="86" t="str">
        <f>IF('Consulta1'!H4995="","",'Consulta1'!H4995)</f>
        <v/>
      </c>
      <c r="J903" t="str">
        <f t="shared" si="14"/>
        <v/>
      </c>
      <c r="K903" t="str">
        <f>+IF(E903="","",VLOOKUP(E903,CATALOGO!G:I,2,0))</f>
        <v/>
      </c>
      <c r="L903" t="str">
        <f>+IF(E903="","",VLOOKUP(E903,CATALOGO!G:I,3,0))</f>
        <v/>
      </c>
      <c r="M903" s="87" t="str">
        <f>IF('Consulta1'!I4995="","",'Consulta1'!I4995)</f>
        <v/>
      </c>
      <c r="N903" s="88" t="str">
        <f>IF('Consulta1'!J4995="","",'Consulta1'!J4995)</f>
        <v/>
      </c>
    </row>
    <row r="904" spans="1:14" ht="18.75" x14ac:dyDescent="0.25">
      <c r="A904" s="82" t="str">
        <f>IF('Consulta1'!A4996="","",'Consulta1'!A4996)</f>
        <v/>
      </c>
      <c r="B904" s="82" t="str">
        <f>IF('Consulta1'!B4996="","",'Consulta1'!B4996)</f>
        <v/>
      </c>
      <c r="C904" s="83" t="str">
        <f>IF('Consulta1'!C4996="","",'Consulta1'!C4996)</f>
        <v/>
      </c>
      <c r="D904" s="84" t="str">
        <f>IF('Consulta1'!D4996="","",'Consulta1'!D4996)</f>
        <v/>
      </c>
      <c r="E904" s="82" t="str">
        <f>IF('Consulta1'!E4996="","",'Consulta1'!E4996)</f>
        <v/>
      </c>
      <c r="F904" t="str">
        <f>+IF(E904="","",VLOOKUP(E904,CATALOGO!G:L,6,0))</f>
        <v/>
      </c>
      <c r="G904" s="85" t="str">
        <f>IF('Consulta1'!F4996="","",'Consulta1'!F4996)</f>
        <v/>
      </c>
      <c r="H904" s="85" t="str">
        <f>IF('Consulta1'!G4996="","",'Consulta1'!G4996)</f>
        <v/>
      </c>
      <c r="I904" s="86" t="str">
        <f>IF('Consulta1'!H4996="","",'Consulta1'!H4996)</f>
        <v/>
      </c>
      <c r="J904" t="str">
        <f t="shared" si="14"/>
        <v/>
      </c>
      <c r="K904" t="str">
        <f>+IF(E904="","",VLOOKUP(E904,CATALOGO!G:I,2,0))</f>
        <v/>
      </c>
      <c r="L904" t="str">
        <f>+IF(E904="","",VLOOKUP(E904,CATALOGO!G:I,3,0))</f>
        <v/>
      </c>
      <c r="M904" s="87" t="str">
        <f>IF('Consulta1'!I4996="","",'Consulta1'!I4996)</f>
        <v/>
      </c>
      <c r="N904" s="88" t="str">
        <f>IF('Consulta1'!J4996="","",'Consulta1'!J4996)</f>
        <v/>
      </c>
    </row>
    <row r="905" spans="1:14" ht="18.75" x14ac:dyDescent="0.25">
      <c r="A905" s="82" t="str">
        <f>IF('Consulta1'!A4997="","",'Consulta1'!A4997)</f>
        <v/>
      </c>
      <c r="B905" s="82" t="str">
        <f>IF('Consulta1'!B4997="","",'Consulta1'!B4997)</f>
        <v/>
      </c>
      <c r="C905" s="83" t="str">
        <f>IF('Consulta1'!C4997="","",'Consulta1'!C4997)</f>
        <v/>
      </c>
      <c r="D905" s="84" t="str">
        <f>IF('Consulta1'!D4997="","",'Consulta1'!D4997)</f>
        <v/>
      </c>
      <c r="E905" s="82" t="str">
        <f>IF('Consulta1'!E4997="","",'Consulta1'!E4997)</f>
        <v/>
      </c>
      <c r="F905" t="str">
        <f>+IF(E905="","",VLOOKUP(E905,CATALOGO!G:L,6,0))</f>
        <v/>
      </c>
      <c r="G905" s="85" t="str">
        <f>IF('Consulta1'!F4997="","",'Consulta1'!F4997)</f>
        <v/>
      </c>
      <c r="H905" s="85" t="str">
        <f>IF('Consulta1'!G4997="","",'Consulta1'!G4997)</f>
        <v/>
      </c>
      <c r="I905" s="86" t="str">
        <f>IF('Consulta1'!H4997="","",'Consulta1'!H4997)</f>
        <v/>
      </c>
      <c r="J905" t="str">
        <f t="shared" si="14"/>
        <v/>
      </c>
      <c r="K905" t="str">
        <f>+IF(E905="","",VLOOKUP(E905,CATALOGO!G:I,2,0))</f>
        <v/>
      </c>
      <c r="L905" t="str">
        <f>+IF(E905="","",VLOOKUP(E905,CATALOGO!G:I,3,0))</f>
        <v/>
      </c>
      <c r="M905" s="87" t="str">
        <f>IF('Consulta1'!I4997="","",'Consulta1'!I4997)</f>
        <v/>
      </c>
      <c r="N905" s="88" t="str">
        <f>IF('Consulta1'!J4997="","",'Consulta1'!J4997)</f>
        <v/>
      </c>
    </row>
    <row r="906" spans="1:14" ht="18.75" x14ac:dyDescent="0.25">
      <c r="A906" s="82" t="str">
        <f>IF('Consulta1'!A4998="","",'Consulta1'!A4998)</f>
        <v/>
      </c>
      <c r="B906" s="82" t="str">
        <f>IF('Consulta1'!B4998="","",'Consulta1'!B4998)</f>
        <v/>
      </c>
      <c r="C906" s="83" t="str">
        <f>IF('Consulta1'!C4998="","",'Consulta1'!C4998)</f>
        <v/>
      </c>
      <c r="D906" s="84" t="str">
        <f>IF('Consulta1'!D4998="","",'Consulta1'!D4998)</f>
        <v/>
      </c>
      <c r="E906" s="82" t="str">
        <f>IF('Consulta1'!E4998="","",'Consulta1'!E4998)</f>
        <v/>
      </c>
      <c r="F906" t="str">
        <f>+IF(E906="","",VLOOKUP(E906,CATALOGO!G:L,6,0))</f>
        <v/>
      </c>
      <c r="G906" s="85" t="str">
        <f>IF('Consulta1'!F4998="","",'Consulta1'!F4998)</f>
        <v/>
      </c>
      <c r="H906" s="85" t="str">
        <f>IF('Consulta1'!G4998="","",'Consulta1'!G4998)</f>
        <v/>
      </c>
      <c r="I906" s="86" t="str">
        <f>IF('Consulta1'!H4998="","",'Consulta1'!H4998)</f>
        <v/>
      </c>
      <c r="J906" t="str">
        <f t="shared" si="14"/>
        <v/>
      </c>
      <c r="K906" t="str">
        <f>+IF(E906="","",VLOOKUP(E906,CATALOGO!G:I,2,0))</f>
        <v/>
      </c>
      <c r="L906" t="str">
        <f>+IF(E906="","",VLOOKUP(E906,CATALOGO!G:I,3,0))</f>
        <v/>
      </c>
      <c r="M906" s="87" t="str">
        <f>IF('Consulta1'!I4998="","",'Consulta1'!I4998)</f>
        <v/>
      </c>
      <c r="N906" s="88" t="str">
        <f>IF('Consulta1'!J4998="","",'Consulta1'!J4998)</f>
        <v/>
      </c>
    </row>
    <row r="907" spans="1:14" ht="18.75" x14ac:dyDescent="0.25">
      <c r="A907" s="82" t="str">
        <f>IF('Consulta1'!A4999="","",'Consulta1'!A4999)</f>
        <v/>
      </c>
      <c r="B907" s="82" t="str">
        <f>IF('Consulta1'!B4999="","",'Consulta1'!B4999)</f>
        <v/>
      </c>
      <c r="C907" s="83" t="str">
        <f>IF('Consulta1'!C4999="","",'Consulta1'!C4999)</f>
        <v/>
      </c>
      <c r="D907" s="84" t="str">
        <f>IF('Consulta1'!D4999="","",'Consulta1'!D4999)</f>
        <v/>
      </c>
      <c r="E907" s="82" t="str">
        <f>IF('Consulta1'!E4999="","",'Consulta1'!E4999)</f>
        <v/>
      </c>
      <c r="F907" t="str">
        <f>+IF(E907="","",VLOOKUP(E907,CATALOGO!G:L,6,0))</f>
        <v/>
      </c>
      <c r="G907" s="85" t="str">
        <f>IF('Consulta1'!F4999="","",'Consulta1'!F4999)</f>
        <v/>
      </c>
      <c r="H907" s="85" t="str">
        <f>IF('Consulta1'!G4999="","",'Consulta1'!G4999)</f>
        <v/>
      </c>
      <c r="I907" s="86" t="str">
        <f>IF('Consulta1'!H4999="","",'Consulta1'!H4999)</f>
        <v/>
      </c>
      <c r="J907" t="str">
        <f t="shared" si="14"/>
        <v/>
      </c>
      <c r="K907" t="str">
        <f>+IF(E907="","",VLOOKUP(E907,CATALOGO!G:I,2,0))</f>
        <v/>
      </c>
      <c r="L907" t="str">
        <f>+IF(E907="","",VLOOKUP(E907,CATALOGO!G:I,3,0))</f>
        <v/>
      </c>
      <c r="M907" s="87" t="str">
        <f>IF('Consulta1'!I4999="","",'Consulta1'!I4999)</f>
        <v/>
      </c>
      <c r="N907" s="88" t="str">
        <f>IF('Consulta1'!J4999="","",'Consulta1'!J4999)</f>
        <v/>
      </c>
    </row>
    <row r="908" spans="1:14" ht="18.75" x14ac:dyDescent="0.25">
      <c r="A908" s="82" t="str">
        <f>IF('Consulta1'!A5000="","",'Consulta1'!A5000)</f>
        <v/>
      </c>
      <c r="B908" s="82" t="str">
        <f>IF('Consulta1'!B5000="","",'Consulta1'!B5000)</f>
        <v/>
      </c>
      <c r="C908" s="83" t="str">
        <f>IF('Consulta1'!C5000="","",'Consulta1'!C5000)</f>
        <v/>
      </c>
      <c r="D908" s="84" t="str">
        <f>IF('Consulta1'!D5000="","",'Consulta1'!D5000)</f>
        <v/>
      </c>
      <c r="E908" s="82" t="str">
        <f>IF('Consulta1'!E5000="","",'Consulta1'!E5000)</f>
        <v/>
      </c>
      <c r="F908" t="str">
        <f>+IF(E908="","",VLOOKUP(E908,CATALOGO!G:L,6,0))</f>
        <v/>
      </c>
      <c r="G908" s="85" t="str">
        <f>IF('Consulta1'!F5000="","",'Consulta1'!F5000)</f>
        <v/>
      </c>
      <c r="H908" s="85" t="str">
        <f>IF('Consulta1'!G5000="","",'Consulta1'!G5000)</f>
        <v/>
      </c>
      <c r="I908" s="86" t="str">
        <f>IF('Consulta1'!H5000="","",'Consulta1'!H5000)</f>
        <v/>
      </c>
      <c r="J908" t="str">
        <f t="shared" si="14"/>
        <v/>
      </c>
      <c r="K908" t="str">
        <f>+IF(E908="","",VLOOKUP(E908,CATALOGO!G:I,2,0))</f>
        <v/>
      </c>
      <c r="L908" t="str">
        <f>+IF(E908="","",VLOOKUP(E908,CATALOGO!G:I,3,0))</f>
        <v/>
      </c>
      <c r="M908" s="87" t="str">
        <f>IF('Consulta1'!I5000="","",'Consulta1'!I5000)</f>
        <v/>
      </c>
      <c r="N908" s="88" t="str">
        <f>IF('Consulta1'!J5000="","",'Consulta1'!J5000)</f>
        <v/>
      </c>
    </row>
    <row r="909" spans="1:14" ht="18.75" x14ac:dyDescent="0.25">
      <c r="A909" s="82" t="str">
        <f>IF('Consulta1'!A5001="","",'Consulta1'!A5001)</f>
        <v/>
      </c>
      <c r="B909" s="82" t="str">
        <f>IF('Consulta1'!B5001="","",'Consulta1'!B5001)</f>
        <v/>
      </c>
      <c r="C909" s="83" t="str">
        <f>IF('Consulta1'!C5001="","",'Consulta1'!C5001)</f>
        <v/>
      </c>
      <c r="D909" s="84" t="str">
        <f>IF('Consulta1'!D5001="","",'Consulta1'!D5001)</f>
        <v/>
      </c>
      <c r="E909" s="82" t="str">
        <f>IF('Consulta1'!E5001="","",'Consulta1'!E5001)</f>
        <v/>
      </c>
      <c r="F909" t="str">
        <f>+IF(E909="","",VLOOKUP(E909,CATALOGO!G:L,6,0))</f>
        <v/>
      </c>
      <c r="G909" s="85" t="str">
        <f>IF('Consulta1'!F5001="","",'Consulta1'!F5001)</f>
        <v/>
      </c>
      <c r="H909" s="85" t="str">
        <f>IF('Consulta1'!G5001="","",'Consulta1'!G5001)</f>
        <v/>
      </c>
      <c r="I909" s="86" t="str">
        <f>IF('Consulta1'!H5001="","",'Consulta1'!H5001)</f>
        <v/>
      </c>
      <c r="J909" t="str">
        <f t="shared" si="14"/>
        <v/>
      </c>
      <c r="K909" t="str">
        <f>+IF(E909="","",VLOOKUP(E909,CATALOGO!G:I,2,0))</f>
        <v/>
      </c>
      <c r="L909" t="str">
        <f>+IF(E909="","",VLOOKUP(E909,CATALOGO!G:I,3,0))</f>
        <v/>
      </c>
      <c r="M909" s="87" t="str">
        <f>IF('Consulta1'!I5001="","",'Consulta1'!I5001)</f>
        <v/>
      </c>
      <c r="N909" s="88" t="str">
        <f>IF('Consulta1'!J5001="","",'Consulta1'!J5001)</f>
        <v/>
      </c>
    </row>
    <row r="910" spans="1:14" ht="18.75" x14ac:dyDescent="0.25">
      <c r="A910" s="82" t="str">
        <f>IF('Consulta1'!A5002="","",'Consulta1'!A5002)</f>
        <v/>
      </c>
      <c r="B910" s="82" t="str">
        <f>IF('Consulta1'!B5002="","",'Consulta1'!B5002)</f>
        <v/>
      </c>
      <c r="C910" s="83" t="str">
        <f>IF('Consulta1'!C5002="","",'Consulta1'!C5002)</f>
        <v/>
      </c>
      <c r="D910" s="84" t="str">
        <f>IF('Consulta1'!D5002="","",'Consulta1'!D5002)</f>
        <v/>
      </c>
      <c r="E910" s="82" t="str">
        <f>IF('Consulta1'!E5002="","",'Consulta1'!E5002)</f>
        <v/>
      </c>
      <c r="F910" t="str">
        <f>+IF(E910="","",VLOOKUP(E910,CATALOGO!G:L,6,0))</f>
        <v/>
      </c>
      <c r="G910" s="85" t="str">
        <f>IF('Consulta1'!F5002="","",'Consulta1'!F5002)</f>
        <v/>
      </c>
      <c r="H910" s="85" t="str">
        <f>IF('Consulta1'!G5002="","",'Consulta1'!G5002)</f>
        <v/>
      </c>
      <c r="I910" s="86" t="str">
        <f>IF('Consulta1'!H5002="","",'Consulta1'!H5002)</f>
        <v/>
      </c>
      <c r="J910" t="str">
        <f t="shared" si="14"/>
        <v/>
      </c>
      <c r="K910" t="str">
        <f>+IF(E910="","",VLOOKUP(E910,CATALOGO!G:I,2,0))</f>
        <v/>
      </c>
      <c r="L910" t="str">
        <f>+IF(E910="","",VLOOKUP(E910,CATALOGO!G:I,3,0))</f>
        <v/>
      </c>
      <c r="M910" s="87" t="str">
        <f>IF('Consulta1'!I5002="","",'Consulta1'!I5002)</f>
        <v/>
      </c>
      <c r="N910" s="88" t="str">
        <f>IF('Consulta1'!J5002="","",'Consulta1'!J5002)</f>
        <v/>
      </c>
    </row>
    <row r="911" spans="1:14" ht="18.75" x14ac:dyDescent="0.25">
      <c r="A911" s="82" t="str">
        <f>IF('Consulta1'!A5003="","",'Consulta1'!A5003)</f>
        <v/>
      </c>
      <c r="B911" s="82" t="str">
        <f>IF('Consulta1'!B5003="","",'Consulta1'!B5003)</f>
        <v/>
      </c>
      <c r="C911" s="83" t="str">
        <f>IF('Consulta1'!C5003="","",'Consulta1'!C5003)</f>
        <v/>
      </c>
      <c r="D911" s="84" t="str">
        <f>IF('Consulta1'!D5003="","",'Consulta1'!D5003)</f>
        <v/>
      </c>
      <c r="E911" s="82" t="str">
        <f>IF('Consulta1'!E5003="","",'Consulta1'!E5003)</f>
        <v/>
      </c>
      <c r="F911" t="str">
        <f>+IF(E911="","",VLOOKUP(E911,CATALOGO!G:L,6,0))</f>
        <v/>
      </c>
      <c r="G911" s="85" t="str">
        <f>IF('Consulta1'!F5003="","",'Consulta1'!F5003)</f>
        <v/>
      </c>
      <c r="H911" s="85" t="str">
        <f>IF('Consulta1'!G5003="","",'Consulta1'!G5003)</f>
        <v/>
      </c>
      <c r="I911" s="86" t="str">
        <f>IF('Consulta1'!H5003="","",'Consulta1'!H5003)</f>
        <v/>
      </c>
      <c r="J911" t="str">
        <f t="shared" si="14"/>
        <v/>
      </c>
      <c r="K911" t="str">
        <f>+IF(E911="","",VLOOKUP(E911,CATALOGO!G:I,2,0))</f>
        <v/>
      </c>
      <c r="L911" t="str">
        <f>+IF(E911="","",VLOOKUP(E911,CATALOGO!G:I,3,0))</f>
        <v/>
      </c>
      <c r="M911" s="87" t="str">
        <f>IF('Consulta1'!I5003="","",'Consulta1'!I5003)</f>
        <v/>
      </c>
      <c r="N911" s="88" t="str">
        <f>IF('Consulta1'!J5003="","",'Consulta1'!J5003)</f>
        <v/>
      </c>
    </row>
    <row r="912" spans="1:14" ht="18.75" x14ac:dyDescent="0.25">
      <c r="A912" s="82" t="str">
        <f>IF('Consulta1'!A5004="","",'Consulta1'!A5004)</f>
        <v/>
      </c>
      <c r="B912" s="82" t="str">
        <f>IF('Consulta1'!B5004="","",'Consulta1'!B5004)</f>
        <v/>
      </c>
      <c r="C912" s="83" t="str">
        <f>IF('Consulta1'!C5004="","",'Consulta1'!C5004)</f>
        <v/>
      </c>
      <c r="D912" s="84" t="str">
        <f>IF('Consulta1'!D5004="","",'Consulta1'!D5004)</f>
        <v/>
      </c>
      <c r="E912" s="82" t="str">
        <f>IF('Consulta1'!E5004="","",'Consulta1'!E5004)</f>
        <v/>
      </c>
      <c r="F912" t="str">
        <f>+IF(E912="","",VLOOKUP(E912,CATALOGO!G:L,6,0))</f>
        <v/>
      </c>
      <c r="G912" s="85" t="str">
        <f>IF('Consulta1'!F5004="","",'Consulta1'!F5004)</f>
        <v/>
      </c>
      <c r="H912" s="85" t="str">
        <f>IF('Consulta1'!G5004="","",'Consulta1'!G5004)</f>
        <v/>
      </c>
      <c r="I912" s="86" t="str">
        <f>IF('Consulta1'!H5004="","",'Consulta1'!H5004)</f>
        <v/>
      </c>
      <c r="J912" t="str">
        <f t="shared" si="14"/>
        <v/>
      </c>
      <c r="K912" t="str">
        <f>+IF(E912="","",VLOOKUP(E912,CATALOGO!G:I,2,0))</f>
        <v/>
      </c>
      <c r="L912" t="str">
        <f>+IF(E912="","",VLOOKUP(E912,CATALOGO!G:I,3,0))</f>
        <v/>
      </c>
      <c r="M912" s="87" t="str">
        <f>IF('Consulta1'!I5004="","",'Consulta1'!I5004)</f>
        <v/>
      </c>
      <c r="N912" s="88" t="str">
        <f>IF('Consulta1'!J5004="","",'Consulta1'!J5004)</f>
        <v/>
      </c>
    </row>
    <row r="913" spans="1:14" ht="18.75" x14ac:dyDescent="0.25">
      <c r="A913" s="82" t="str">
        <f>IF('Consulta1'!A5005="","",'Consulta1'!A5005)</f>
        <v/>
      </c>
      <c r="B913" s="82" t="str">
        <f>IF('Consulta1'!B5005="","",'Consulta1'!B5005)</f>
        <v/>
      </c>
      <c r="C913" s="83" t="str">
        <f>IF('Consulta1'!C5005="","",'Consulta1'!C5005)</f>
        <v/>
      </c>
      <c r="D913" s="84" t="str">
        <f>IF('Consulta1'!D5005="","",'Consulta1'!D5005)</f>
        <v/>
      </c>
      <c r="E913" s="82" t="str">
        <f>IF('Consulta1'!E5005="","",'Consulta1'!E5005)</f>
        <v/>
      </c>
      <c r="F913" t="str">
        <f>+IF(E913="","",VLOOKUP(E913,CATALOGO!G:L,6,0))</f>
        <v/>
      </c>
      <c r="G913" s="85" t="str">
        <f>IF('Consulta1'!F5005="","",'Consulta1'!F5005)</f>
        <v/>
      </c>
      <c r="H913" s="85" t="str">
        <f>IF('Consulta1'!G5005="","",'Consulta1'!G5005)</f>
        <v/>
      </c>
      <c r="I913" s="86" t="str">
        <f>IF('Consulta1'!H5005="","",'Consulta1'!H5005)</f>
        <v/>
      </c>
      <c r="J913" t="str">
        <f t="shared" si="14"/>
        <v/>
      </c>
      <c r="K913" t="str">
        <f>+IF(E913="","",VLOOKUP(E913,CATALOGO!G:I,2,0))</f>
        <v/>
      </c>
      <c r="L913" t="str">
        <f>+IF(E913="","",VLOOKUP(E913,CATALOGO!G:I,3,0))</f>
        <v/>
      </c>
      <c r="M913" s="87" t="str">
        <f>IF('Consulta1'!I5005="","",'Consulta1'!I5005)</f>
        <v/>
      </c>
      <c r="N913" s="88" t="str">
        <f>IF('Consulta1'!J5005="","",'Consulta1'!J5005)</f>
        <v/>
      </c>
    </row>
    <row r="914" spans="1:14" ht="18.75" x14ac:dyDescent="0.25">
      <c r="A914" s="82" t="str">
        <f>IF('Consulta1'!A5006="","",'Consulta1'!A5006)</f>
        <v/>
      </c>
      <c r="B914" s="82" t="str">
        <f>IF('Consulta1'!B5006="","",'Consulta1'!B5006)</f>
        <v/>
      </c>
      <c r="C914" s="83" t="str">
        <f>IF('Consulta1'!C5006="","",'Consulta1'!C5006)</f>
        <v/>
      </c>
      <c r="D914" s="84" t="str">
        <f>IF('Consulta1'!D5006="","",'Consulta1'!D5006)</f>
        <v/>
      </c>
      <c r="E914" s="82" t="str">
        <f>IF('Consulta1'!E5006="","",'Consulta1'!E5006)</f>
        <v/>
      </c>
      <c r="F914" t="str">
        <f>+IF(E914="","",VLOOKUP(E914,CATALOGO!G:L,6,0))</f>
        <v/>
      </c>
      <c r="G914" s="85" t="str">
        <f>IF('Consulta1'!F5006="","",'Consulta1'!F5006)</f>
        <v/>
      </c>
      <c r="H914" s="85" t="str">
        <f>IF('Consulta1'!G5006="","",'Consulta1'!G5006)</f>
        <v/>
      </c>
      <c r="I914" s="86" t="str">
        <f>IF('Consulta1'!H5006="","",'Consulta1'!H5006)</f>
        <v/>
      </c>
      <c r="J914" t="str">
        <f t="shared" si="14"/>
        <v/>
      </c>
      <c r="K914" t="str">
        <f>+IF(E914="","",VLOOKUP(E914,CATALOGO!G:I,2,0))</f>
        <v/>
      </c>
      <c r="L914" t="str">
        <f>+IF(E914="","",VLOOKUP(E914,CATALOGO!G:I,3,0))</f>
        <v/>
      </c>
      <c r="M914" s="87" t="str">
        <f>IF('Consulta1'!I5006="","",'Consulta1'!I5006)</f>
        <v/>
      </c>
      <c r="N914" s="88" t="str">
        <f>IF('Consulta1'!J5006="","",'Consulta1'!J5006)</f>
        <v/>
      </c>
    </row>
    <row r="915" spans="1:14" ht="18.75" x14ac:dyDescent="0.25">
      <c r="A915" s="82" t="str">
        <f>IF('Consulta1'!A5007="","",'Consulta1'!A5007)</f>
        <v/>
      </c>
      <c r="B915" s="82" t="str">
        <f>IF('Consulta1'!B5007="","",'Consulta1'!B5007)</f>
        <v/>
      </c>
      <c r="C915" s="83" t="str">
        <f>IF('Consulta1'!C5007="","",'Consulta1'!C5007)</f>
        <v/>
      </c>
      <c r="D915" s="84" t="str">
        <f>IF('Consulta1'!D5007="","",'Consulta1'!D5007)</f>
        <v/>
      </c>
      <c r="E915" s="82" t="str">
        <f>IF('Consulta1'!E5007="","",'Consulta1'!E5007)</f>
        <v/>
      </c>
      <c r="F915" t="str">
        <f>+IF(E915="","",VLOOKUP(E915,CATALOGO!G:L,6,0))</f>
        <v/>
      </c>
      <c r="G915" s="85" t="str">
        <f>IF('Consulta1'!F5007="","",'Consulta1'!F5007)</f>
        <v/>
      </c>
      <c r="H915" s="85" t="str">
        <f>IF('Consulta1'!G5007="","",'Consulta1'!G5007)</f>
        <v/>
      </c>
      <c r="I915" s="86" t="str">
        <f>IF('Consulta1'!H5007="","",'Consulta1'!H5007)</f>
        <v/>
      </c>
      <c r="J915" t="str">
        <f t="shared" si="14"/>
        <v/>
      </c>
      <c r="K915" t="str">
        <f>+IF(E915="","",VLOOKUP(E915,CATALOGO!G:I,2,0))</f>
        <v/>
      </c>
      <c r="L915" t="str">
        <f>+IF(E915="","",VLOOKUP(E915,CATALOGO!G:I,3,0))</f>
        <v/>
      </c>
      <c r="M915" s="87" t="str">
        <f>IF('Consulta1'!I5007="","",'Consulta1'!I5007)</f>
        <v/>
      </c>
      <c r="N915" s="88" t="str">
        <f>IF('Consulta1'!J5007="","",'Consulta1'!J5007)</f>
        <v/>
      </c>
    </row>
    <row r="916" spans="1:14" ht="18.75" x14ac:dyDescent="0.25">
      <c r="A916" s="82" t="str">
        <f>IF('Consulta1'!A5008="","",'Consulta1'!A5008)</f>
        <v/>
      </c>
      <c r="B916" s="82" t="str">
        <f>IF('Consulta1'!B5008="","",'Consulta1'!B5008)</f>
        <v/>
      </c>
      <c r="C916" s="83" t="str">
        <f>IF('Consulta1'!C5008="","",'Consulta1'!C5008)</f>
        <v/>
      </c>
      <c r="D916" s="84" t="str">
        <f>IF('Consulta1'!D5008="","",'Consulta1'!D5008)</f>
        <v/>
      </c>
      <c r="E916" s="82" t="str">
        <f>IF('Consulta1'!E5008="","",'Consulta1'!E5008)</f>
        <v/>
      </c>
      <c r="F916" t="str">
        <f>+IF(E916="","",VLOOKUP(E916,CATALOGO!G:L,6,0))</f>
        <v/>
      </c>
      <c r="G916" s="85" t="str">
        <f>IF('Consulta1'!F5008="","",'Consulta1'!F5008)</f>
        <v/>
      </c>
      <c r="H916" s="85" t="str">
        <f>IF('Consulta1'!G5008="","",'Consulta1'!G5008)</f>
        <v/>
      </c>
      <c r="I916" s="86" t="str">
        <f>IF('Consulta1'!H5008="","",'Consulta1'!H5008)</f>
        <v/>
      </c>
      <c r="J916" t="str">
        <f t="shared" si="14"/>
        <v/>
      </c>
      <c r="K916" t="str">
        <f>+IF(E916="","",VLOOKUP(E916,CATALOGO!G:I,2,0))</f>
        <v/>
      </c>
      <c r="L916" t="str">
        <f>+IF(E916="","",VLOOKUP(E916,CATALOGO!G:I,3,0))</f>
        <v/>
      </c>
      <c r="M916" s="87" t="str">
        <f>IF('Consulta1'!I5008="","",'Consulta1'!I5008)</f>
        <v/>
      </c>
      <c r="N916" s="88" t="str">
        <f>IF('Consulta1'!J5008="","",'Consulta1'!J5008)</f>
        <v/>
      </c>
    </row>
    <row r="917" spans="1:14" ht="18.75" x14ac:dyDescent="0.25">
      <c r="A917" s="82" t="str">
        <f>IF('Consulta1'!A5009="","",'Consulta1'!A5009)</f>
        <v/>
      </c>
      <c r="B917" s="82" t="str">
        <f>IF('Consulta1'!B5009="","",'Consulta1'!B5009)</f>
        <v/>
      </c>
      <c r="C917" s="83" t="str">
        <f>IF('Consulta1'!C5009="","",'Consulta1'!C5009)</f>
        <v/>
      </c>
      <c r="D917" s="84" t="str">
        <f>IF('Consulta1'!D5009="","",'Consulta1'!D5009)</f>
        <v/>
      </c>
      <c r="E917" s="82" t="str">
        <f>IF('Consulta1'!E5009="","",'Consulta1'!E5009)</f>
        <v/>
      </c>
      <c r="F917" t="str">
        <f>+IF(E917="","",VLOOKUP(E917,CATALOGO!G:L,6,0))</f>
        <v/>
      </c>
      <c r="G917" s="85" t="str">
        <f>IF('Consulta1'!F5009="","",'Consulta1'!F5009)</f>
        <v/>
      </c>
      <c r="H917" s="85" t="str">
        <f>IF('Consulta1'!G5009="","",'Consulta1'!G5009)</f>
        <v/>
      </c>
      <c r="I917" s="86" t="str">
        <f>IF('Consulta1'!H5009="","",'Consulta1'!H5009)</f>
        <v/>
      </c>
      <c r="J917" t="str">
        <f t="shared" si="14"/>
        <v/>
      </c>
      <c r="K917" t="str">
        <f>+IF(E917="","",VLOOKUP(E917,CATALOGO!G:I,2,0))</f>
        <v/>
      </c>
      <c r="L917" t="str">
        <f>+IF(E917="","",VLOOKUP(E917,CATALOGO!G:I,3,0))</f>
        <v/>
      </c>
      <c r="M917" s="87" t="str">
        <f>IF('Consulta1'!I5009="","",'Consulta1'!I5009)</f>
        <v/>
      </c>
      <c r="N917" s="88" t="str">
        <f>IF('Consulta1'!J5009="","",'Consulta1'!J5009)</f>
        <v/>
      </c>
    </row>
    <row r="918" spans="1:14" ht="18.75" x14ac:dyDescent="0.25">
      <c r="A918" s="82" t="str">
        <f>IF('Consulta1'!A5010="","",'Consulta1'!A5010)</f>
        <v/>
      </c>
      <c r="B918" s="82" t="str">
        <f>IF('Consulta1'!B5010="","",'Consulta1'!B5010)</f>
        <v/>
      </c>
      <c r="C918" s="83" t="str">
        <f>IF('Consulta1'!C5010="","",'Consulta1'!C5010)</f>
        <v/>
      </c>
      <c r="D918" s="84" t="str">
        <f>IF('Consulta1'!D5010="","",'Consulta1'!D5010)</f>
        <v/>
      </c>
      <c r="E918" s="82" t="str">
        <f>IF('Consulta1'!E5010="","",'Consulta1'!E5010)</f>
        <v/>
      </c>
      <c r="F918" t="str">
        <f>+IF(E918="","",VLOOKUP(E918,CATALOGO!G:L,6,0))</f>
        <v/>
      </c>
      <c r="G918" s="85" t="str">
        <f>IF('Consulta1'!F5010="","",'Consulta1'!F5010)</f>
        <v/>
      </c>
      <c r="H918" s="85" t="str">
        <f>IF('Consulta1'!G5010="","",'Consulta1'!G5010)</f>
        <v/>
      </c>
      <c r="I918" s="86" t="str">
        <f>IF('Consulta1'!H5010="","",'Consulta1'!H5010)</f>
        <v/>
      </c>
      <c r="J918" t="str">
        <f t="shared" si="14"/>
        <v/>
      </c>
      <c r="K918" t="str">
        <f>+IF(E918="","",VLOOKUP(E918,CATALOGO!G:I,2,0))</f>
        <v/>
      </c>
      <c r="L918" t="str">
        <f>+IF(E918="","",VLOOKUP(E918,CATALOGO!G:I,3,0))</f>
        <v/>
      </c>
      <c r="M918" s="87" t="str">
        <f>IF('Consulta1'!I5010="","",'Consulta1'!I5010)</f>
        <v/>
      </c>
      <c r="N918" s="88" t="str">
        <f>IF('Consulta1'!J5010="","",'Consulta1'!J5010)</f>
        <v/>
      </c>
    </row>
    <row r="919" spans="1:14" ht="18.75" x14ac:dyDescent="0.25">
      <c r="A919" s="82" t="str">
        <f>IF('Consulta1'!A5011="","",'Consulta1'!A5011)</f>
        <v/>
      </c>
      <c r="B919" s="82" t="str">
        <f>IF('Consulta1'!B5011="","",'Consulta1'!B5011)</f>
        <v/>
      </c>
      <c r="C919" s="83" t="str">
        <f>IF('Consulta1'!C5011="","",'Consulta1'!C5011)</f>
        <v/>
      </c>
      <c r="D919" s="84" t="str">
        <f>IF('Consulta1'!D5011="","",'Consulta1'!D5011)</f>
        <v/>
      </c>
      <c r="E919" s="82" t="str">
        <f>IF('Consulta1'!E5011="","",'Consulta1'!E5011)</f>
        <v/>
      </c>
      <c r="F919" t="str">
        <f>+IF(E919="","",VLOOKUP(E919,CATALOGO!G:L,6,0))</f>
        <v/>
      </c>
      <c r="G919" s="85" t="str">
        <f>IF('Consulta1'!F5011="","",'Consulta1'!F5011)</f>
        <v/>
      </c>
      <c r="H919" s="85" t="str">
        <f>IF('Consulta1'!G5011="","",'Consulta1'!G5011)</f>
        <v/>
      </c>
      <c r="I919" s="86" t="str">
        <f>IF('Consulta1'!H5011="","",'Consulta1'!H5011)</f>
        <v/>
      </c>
      <c r="J919" t="str">
        <f t="shared" si="14"/>
        <v/>
      </c>
      <c r="K919" t="str">
        <f>+IF(E919="","",VLOOKUP(E919,CATALOGO!G:I,2,0))</f>
        <v/>
      </c>
      <c r="L919" t="str">
        <f>+IF(E919="","",VLOOKUP(E919,CATALOGO!G:I,3,0))</f>
        <v/>
      </c>
      <c r="M919" s="87" t="str">
        <f>IF('Consulta1'!I5011="","",'Consulta1'!I5011)</f>
        <v/>
      </c>
      <c r="N919" s="88" t="str">
        <f>IF('Consulta1'!J5011="","",'Consulta1'!J5011)</f>
        <v/>
      </c>
    </row>
    <row r="920" spans="1:14" ht="18.75" x14ac:dyDescent="0.25">
      <c r="A920" s="82" t="str">
        <f>IF('Consulta1'!A5012="","",'Consulta1'!A5012)</f>
        <v/>
      </c>
      <c r="B920" s="82" t="str">
        <f>IF('Consulta1'!B5012="","",'Consulta1'!B5012)</f>
        <v/>
      </c>
      <c r="C920" s="83" t="str">
        <f>IF('Consulta1'!C5012="","",'Consulta1'!C5012)</f>
        <v/>
      </c>
      <c r="D920" s="84" t="str">
        <f>IF('Consulta1'!D5012="","",'Consulta1'!D5012)</f>
        <v/>
      </c>
      <c r="E920" s="82" t="str">
        <f>IF('Consulta1'!E5012="","",'Consulta1'!E5012)</f>
        <v/>
      </c>
      <c r="F920" t="str">
        <f>+IF(E920="","",VLOOKUP(E920,CATALOGO!G:L,6,0))</f>
        <v/>
      </c>
      <c r="G920" s="85" t="str">
        <f>IF('Consulta1'!F5012="","",'Consulta1'!F5012)</f>
        <v/>
      </c>
      <c r="H920" s="85" t="str">
        <f>IF('Consulta1'!G5012="","",'Consulta1'!G5012)</f>
        <v/>
      </c>
      <c r="I920" s="86" t="str">
        <f>IF('Consulta1'!H5012="","",'Consulta1'!H5012)</f>
        <v/>
      </c>
      <c r="J920" t="str">
        <f t="shared" si="14"/>
        <v/>
      </c>
      <c r="K920" t="str">
        <f>+IF(E920="","",VLOOKUP(E920,CATALOGO!G:I,2,0))</f>
        <v/>
      </c>
      <c r="L920" t="str">
        <f>+IF(E920="","",VLOOKUP(E920,CATALOGO!G:I,3,0))</f>
        <v/>
      </c>
      <c r="M920" s="87" t="str">
        <f>IF('Consulta1'!I5012="","",'Consulta1'!I5012)</f>
        <v/>
      </c>
      <c r="N920" s="88" t="str">
        <f>IF('Consulta1'!J5012="","",'Consulta1'!J5012)</f>
        <v/>
      </c>
    </row>
    <row r="921" spans="1:14" ht="18.75" x14ac:dyDescent="0.25">
      <c r="A921" s="82" t="str">
        <f>IF('Consulta1'!A5013="","",'Consulta1'!A5013)</f>
        <v/>
      </c>
      <c r="B921" s="82" t="str">
        <f>IF('Consulta1'!B5013="","",'Consulta1'!B5013)</f>
        <v/>
      </c>
      <c r="C921" s="83" t="str">
        <f>IF('Consulta1'!C5013="","",'Consulta1'!C5013)</f>
        <v/>
      </c>
      <c r="D921" s="84" t="str">
        <f>IF('Consulta1'!D5013="","",'Consulta1'!D5013)</f>
        <v/>
      </c>
      <c r="E921" s="82" t="str">
        <f>IF('Consulta1'!E5013="","",'Consulta1'!E5013)</f>
        <v/>
      </c>
      <c r="F921" t="str">
        <f>+IF(E921="","",VLOOKUP(E921,CATALOGO!G:L,6,0))</f>
        <v/>
      </c>
      <c r="G921" s="85" t="str">
        <f>IF('Consulta1'!F5013="","",'Consulta1'!F5013)</f>
        <v/>
      </c>
      <c r="H921" s="85" t="str">
        <f>IF('Consulta1'!G5013="","",'Consulta1'!G5013)</f>
        <v/>
      </c>
      <c r="I921" s="86" t="str">
        <f>IF('Consulta1'!H5013="","",'Consulta1'!H5013)</f>
        <v/>
      </c>
      <c r="J921" t="str">
        <f t="shared" si="14"/>
        <v/>
      </c>
      <c r="K921" t="str">
        <f>+IF(E921="","",VLOOKUP(E921,CATALOGO!G:I,2,0))</f>
        <v/>
      </c>
      <c r="L921" t="str">
        <f>+IF(E921="","",VLOOKUP(E921,CATALOGO!G:I,3,0))</f>
        <v/>
      </c>
      <c r="M921" s="87" t="str">
        <f>IF('Consulta1'!I5013="","",'Consulta1'!I5013)</f>
        <v/>
      </c>
      <c r="N921" s="88" t="str">
        <f>IF('Consulta1'!J5013="","",'Consulta1'!J5013)</f>
        <v/>
      </c>
    </row>
    <row r="922" spans="1:14" ht="18.75" x14ac:dyDescent="0.25">
      <c r="A922" s="82" t="str">
        <f>IF('Consulta1'!A5014="","",'Consulta1'!A5014)</f>
        <v/>
      </c>
      <c r="B922" s="82" t="str">
        <f>IF('Consulta1'!B5014="","",'Consulta1'!B5014)</f>
        <v/>
      </c>
      <c r="C922" s="83" t="str">
        <f>IF('Consulta1'!C5014="","",'Consulta1'!C5014)</f>
        <v/>
      </c>
      <c r="D922" s="84" t="str">
        <f>IF('Consulta1'!D5014="","",'Consulta1'!D5014)</f>
        <v/>
      </c>
      <c r="E922" s="82" t="str">
        <f>IF('Consulta1'!E5014="","",'Consulta1'!E5014)</f>
        <v/>
      </c>
      <c r="F922" t="str">
        <f>+IF(E922="","",VLOOKUP(E922,CATALOGO!G:L,6,0))</f>
        <v/>
      </c>
      <c r="G922" s="85" t="str">
        <f>IF('Consulta1'!F5014="","",'Consulta1'!F5014)</f>
        <v/>
      </c>
      <c r="H922" s="85" t="str">
        <f>IF('Consulta1'!G5014="","",'Consulta1'!G5014)</f>
        <v/>
      </c>
      <c r="I922" s="86" t="str">
        <f>IF('Consulta1'!H5014="","",'Consulta1'!H5014)</f>
        <v/>
      </c>
      <c r="J922" t="str">
        <f t="shared" si="14"/>
        <v/>
      </c>
      <c r="K922" t="str">
        <f>+IF(E922="","",VLOOKUP(E922,CATALOGO!G:I,2,0))</f>
        <v/>
      </c>
      <c r="L922" t="str">
        <f>+IF(E922="","",VLOOKUP(E922,CATALOGO!G:I,3,0))</f>
        <v/>
      </c>
      <c r="M922" s="87" t="str">
        <f>IF('Consulta1'!I5014="","",'Consulta1'!I5014)</f>
        <v/>
      </c>
      <c r="N922" s="88" t="str">
        <f>IF('Consulta1'!J5014="","",'Consulta1'!J5014)</f>
        <v/>
      </c>
    </row>
    <row r="923" spans="1:14" ht="18.75" x14ac:dyDescent="0.25">
      <c r="A923" s="82" t="str">
        <f>IF('Consulta1'!A5015="","",'Consulta1'!A5015)</f>
        <v/>
      </c>
      <c r="B923" s="82" t="str">
        <f>IF('Consulta1'!B5015="","",'Consulta1'!B5015)</f>
        <v/>
      </c>
      <c r="C923" s="83" t="str">
        <f>IF('Consulta1'!C5015="","",'Consulta1'!C5015)</f>
        <v/>
      </c>
      <c r="D923" s="84" t="str">
        <f>IF('Consulta1'!D5015="","",'Consulta1'!D5015)</f>
        <v/>
      </c>
      <c r="E923" s="82" t="str">
        <f>IF('Consulta1'!E5015="","",'Consulta1'!E5015)</f>
        <v/>
      </c>
      <c r="F923" t="str">
        <f>+IF(E923="","",VLOOKUP(E923,CATALOGO!G:L,6,0))</f>
        <v/>
      </c>
      <c r="G923" s="85" t="str">
        <f>IF('Consulta1'!F5015="","",'Consulta1'!F5015)</f>
        <v/>
      </c>
      <c r="H923" s="85" t="str">
        <f>IF('Consulta1'!G5015="","",'Consulta1'!G5015)</f>
        <v/>
      </c>
      <c r="I923" s="86" t="str">
        <f>IF('Consulta1'!H5015="","",'Consulta1'!H5015)</f>
        <v/>
      </c>
      <c r="J923" t="str">
        <f t="shared" si="14"/>
        <v/>
      </c>
      <c r="K923" t="str">
        <f>+IF(E923="","",VLOOKUP(E923,CATALOGO!G:I,2,0))</f>
        <v/>
      </c>
      <c r="L923" t="str">
        <f>+IF(E923="","",VLOOKUP(E923,CATALOGO!G:I,3,0))</f>
        <v/>
      </c>
      <c r="M923" s="87" t="str">
        <f>IF('Consulta1'!I5015="","",'Consulta1'!I5015)</f>
        <v/>
      </c>
      <c r="N923" s="88" t="str">
        <f>IF('Consulta1'!J5015="","",'Consulta1'!J5015)</f>
        <v/>
      </c>
    </row>
    <row r="924" spans="1:14" ht="18.75" x14ac:dyDescent="0.25">
      <c r="A924" s="82" t="str">
        <f>IF('Consulta1'!A5016="","",'Consulta1'!A5016)</f>
        <v/>
      </c>
      <c r="B924" s="82" t="str">
        <f>IF('Consulta1'!B5016="","",'Consulta1'!B5016)</f>
        <v/>
      </c>
      <c r="C924" s="83" t="str">
        <f>IF('Consulta1'!C5016="","",'Consulta1'!C5016)</f>
        <v/>
      </c>
      <c r="D924" s="84" t="str">
        <f>IF('Consulta1'!D5016="","",'Consulta1'!D5016)</f>
        <v/>
      </c>
      <c r="E924" s="82" t="str">
        <f>IF('Consulta1'!E5016="","",'Consulta1'!E5016)</f>
        <v/>
      </c>
      <c r="F924" t="str">
        <f>+IF(E924="","",VLOOKUP(E924,CATALOGO!G:L,6,0))</f>
        <v/>
      </c>
      <c r="G924" s="85" t="str">
        <f>IF('Consulta1'!F5016="","",'Consulta1'!F5016)</f>
        <v/>
      </c>
      <c r="H924" s="85" t="str">
        <f>IF('Consulta1'!G5016="","",'Consulta1'!G5016)</f>
        <v/>
      </c>
      <c r="I924" s="86" t="str">
        <f>IF('Consulta1'!H5016="","",'Consulta1'!H5016)</f>
        <v/>
      </c>
      <c r="J924" t="str">
        <f t="shared" si="14"/>
        <v/>
      </c>
      <c r="K924" t="str">
        <f>+IF(E924="","",VLOOKUP(E924,CATALOGO!G:I,2,0))</f>
        <v/>
      </c>
      <c r="L924" t="str">
        <f>+IF(E924="","",VLOOKUP(E924,CATALOGO!G:I,3,0))</f>
        <v/>
      </c>
      <c r="M924" s="87" t="str">
        <f>IF('Consulta1'!I5016="","",'Consulta1'!I5016)</f>
        <v/>
      </c>
      <c r="N924" s="88" t="str">
        <f>IF('Consulta1'!J5016="","",'Consulta1'!J5016)</f>
        <v/>
      </c>
    </row>
    <row r="925" spans="1:14" ht="18.75" x14ac:dyDescent="0.25">
      <c r="A925" s="82" t="str">
        <f>IF('Consulta1'!A5017="","",'Consulta1'!A5017)</f>
        <v/>
      </c>
      <c r="B925" s="82" t="str">
        <f>IF('Consulta1'!B5017="","",'Consulta1'!B5017)</f>
        <v/>
      </c>
      <c r="C925" s="83" t="str">
        <f>IF('Consulta1'!C5017="","",'Consulta1'!C5017)</f>
        <v/>
      </c>
      <c r="D925" s="84" t="str">
        <f>IF('Consulta1'!D5017="","",'Consulta1'!D5017)</f>
        <v/>
      </c>
      <c r="E925" s="82" t="str">
        <f>IF('Consulta1'!E5017="","",'Consulta1'!E5017)</f>
        <v/>
      </c>
      <c r="F925" t="str">
        <f>+IF(E925="","",VLOOKUP(E925,CATALOGO!G:L,6,0))</f>
        <v/>
      </c>
      <c r="G925" s="85" t="str">
        <f>IF('Consulta1'!F5017="","",'Consulta1'!F5017)</f>
        <v/>
      </c>
      <c r="H925" s="85" t="str">
        <f>IF('Consulta1'!G5017="","",'Consulta1'!G5017)</f>
        <v/>
      </c>
      <c r="I925" s="86" t="str">
        <f>IF('Consulta1'!H5017="","",'Consulta1'!H5017)</f>
        <v/>
      </c>
      <c r="J925" t="str">
        <f t="shared" si="14"/>
        <v/>
      </c>
      <c r="K925" t="str">
        <f>+IF(E925="","",VLOOKUP(E925,CATALOGO!G:I,2,0))</f>
        <v/>
      </c>
      <c r="L925" t="str">
        <f>+IF(E925="","",VLOOKUP(E925,CATALOGO!G:I,3,0))</f>
        <v/>
      </c>
      <c r="M925" s="87" t="str">
        <f>IF('Consulta1'!I5017="","",'Consulta1'!I5017)</f>
        <v/>
      </c>
      <c r="N925" s="88" t="str">
        <f>IF('Consulta1'!J5017="","",'Consulta1'!J5017)</f>
        <v/>
      </c>
    </row>
    <row r="926" spans="1:14" ht="18.75" x14ac:dyDescent="0.25">
      <c r="A926" s="82" t="str">
        <f>IF('Consulta1'!A5018="","",'Consulta1'!A5018)</f>
        <v/>
      </c>
      <c r="B926" s="82" t="str">
        <f>IF('Consulta1'!B5018="","",'Consulta1'!B5018)</f>
        <v/>
      </c>
      <c r="C926" s="83" t="str">
        <f>IF('Consulta1'!C5018="","",'Consulta1'!C5018)</f>
        <v/>
      </c>
      <c r="D926" s="84" t="str">
        <f>IF('Consulta1'!D5018="","",'Consulta1'!D5018)</f>
        <v/>
      </c>
      <c r="E926" s="82" t="str">
        <f>IF('Consulta1'!E5018="","",'Consulta1'!E5018)</f>
        <v/>
      </c>
      <c r="F926" t="str">
        <f>+IF(E926="","",VLOOKUP(E926,CATALOGO!G:L,6,0))</f>
        <v/>
      </c>
      <c r="G926" s="85" t="str">
        <f>IF('Consulta1'!F5018="","",'Consulta1'!F5018)</f>
        <v/>
      </c>
      <c r="H926" s="85" t="str">
        <f>IF('Consulta1'!G5018="","",'Consulta1'!G5018)</f>
        <v/>
      </c>
      <c r="I926" s="86" t="str">
        <f>IF('Consulta1'!H5018="","",'Consulta1'!H5018)</f>
        <v/>
      </c>
      <c r="J926" t="str">
        <f t="shared" si="14"/>
        <v/>
      </c>
      <c r="K926" t="str">
        <f>+IF(E926="","",VLOOKUP(E926,CATALOGO!G:I,2,0))</f>
        <v/>
      </c>
      <c r="L926" t="str">
        <f>+IF(E926="","",VLOOKUP(E926,CATALOGO!G:I,3,0))</f>
        <v/>
      </c>
      <c r="M926" s="87" t="str">
        <f>IF('Consulta1'!I5018="","",'Consulta1'!I5018)</f>
        <v/>
      </c>
      <c r="N926" s="88" t="str">
        <f>IF('Consulta1'!J5018="","",'Consulta1'!J5018)</f>
        <v/>
      </c>
    </row>
    <row r="927" spans="1:14" ht="18.75" x14ac:dyDescent="0.25">
      <c r="A927" s="82" t="str">
        <f>IF('Consulta1'!A5019="","",'Consulta1'!A5019)</f>
        <v/>
      </c>
      <c r="B927" s="82" t="str">
        <f>IF('Consulta1'!B5019="","",'Consulta1'!B5019)</f>
        <v/>
      </c>
      <c r="C927" s="83" t="str">
        <f>IF('Consulta1'!C5019="","",'Consulta1'!C5019)</f>
        <v/>
      </c>
      <c r="D927" s="84" t="str">
        <f>IF('Consulta1'!D5019="","",'Consulta1'!D5019)</f>
        <v/>
      </c>
      <c r="E927" s="82" t="str">
        <f>IF('Consulta1'!E5019="","",'Consulta1'!E5019)</f>
        <v/>
      </c>
      <c r="F927" t="str">
        <f>+IF(E927="","",VLOOKUP(E927,CATALOGO!G:L,6,0))</f>
        <v/>
      </c>
      <c r="G927" s="85" t="str">
        <f>IF('Consulta1'!F5019="","",'Consulta1'!F5019)</f>
        <v/>
      </c>
      <c r="H927" s="85" t="str">
        <f>IF('Consulta1'!G5019="","",'Consulta1'!G5019)</f>
        <v/>
      </c>
      <c r="I927" s="86" t="str">
        <f>IF('Consulta1'!H5019="","",'Consulta1'!H5019)</f>
        <v/>
      </c>
      <c r="J927" t="str">
        <f t="shared" si="14"/>
        <v/>
      </c>
      <c r="K927" t="str">
        <f>+IF(E927="","",VLOOKUP(E927,CATALOGO!G:I,2,0))</f>
        <v/>
      </c>
      <c r="L927" t="str">
        <f>+IF(E927="","",VLOOKUP(E927,CATALOGO!G:I,3,0))</f>
        <v/>
      </c>
      <c r="M927" s="87" t="str">
        <f>IF('Consulta1'!I5019="","",'Consulta1'!I5019)</f>
        <v/>
      </c>
      <c r="N927" s="88" t="str">
        <f>IF('Consulta1'!J5019="","",'Consulta1'!J5019)</f>
        <v/>
      </c>
    </row>
    <row r="928" spans="1:14" ht="18.75" x14ac:dyDescent="0.25">
      <c r="A928" s="82" t="str">
        <f>IF('Consulta1'!A5020="","",'Consulta1'!A5020)</f>
        <v/>
      </c>
      <c r="B928" s="82" t="str">
        <f>IF('Consulta1'!B5020="","",'Consulta1'!B5020)</f>
        <v/>
      </c>
      <c r="C928" s="83" t="str">
        <f>IF('Consulta1'!C5020="","",'Consulta1'!C5020)</f>
        <v/>
      </c>
      <c r="D928" s="84" t="str">
        <f>IF('Consulta1'!D5020="","",'Consulta1'!D5020)</f>
        <v/>
      </c>
      <c r="E928" s="82" t="str">
        <f>IF('Consulta1'!E5020="","",'Consulta1'!E5020)</f>
        <v/>
      </c>
      <c r="F928" t="str">
        <f>+IF(E928="","",VLOOKUP(E928,CATALOGO!G:L,6,0))</f>
        <v/>
      </c>
      <c r="G928" s="85" t="str">
        <f>IF('Consulta1'!F5020="","",'Consulta1'!F5020)</f>
        <v/>
      </c>
      <c r="H928" s="85" t="str">
        <f>IF('Consulta1'!G5020="","",'Consulta1'!G5020)</f>
        <v/>
      </c>
      <c r="I928" s="86" t="str">
        <f>IF('Consulta1'!H5020="","",'Consulta1'!H5020)</f>
        <v/>
      </c>
      <c r="J928" t="str">
        <f t="shared" si="14"/>
        <v/>
      </c>
      <c r="K928" t="str">
        <f>+IF(E928="","",VLOOKUP(E928,CATALOGO!G:I,2,0))</f>
        <v/>
      </c>
      <c r="L928" t="str">
        <f>+IF(E928="","",VLOOKUP(E928,CATALOGO!G:I,3,0))</f>
        <v/>
      </c>
      <c r="M928" s="87" t="str">
        <f>IF('Consulta1'!I5020="","",'Consulta1'!I5020)</f>
        <v/>
      </c>
      <c r="N928" s="88" t="str">
        <f>IF('Consulta1'!J5020="","",'Consulta1'!J5020)</f>
        <v/>
      </c>
    </row>
    <row r="929" spans="1:14" ht="18.75" x14ac:dyDescent="0.25">
      <c r="A929" s="82" t="str">
        <f>IF('Consulta1'!A5021="","",'Consulta1'!A5021)</f>
        <v/>
      </c>
      <c r="B929" s="82" t="str">
        <f>IF('Consulta1'!B5021="","",'Consulta1'!B5021)</f>
        <v/>
      </c>
      <c r="C929" s="83" t="str">
        <f>IF('Consulta1'!C5021="","",'Consulta1'!C5021)</f>
        <v/>
      </c>
      <c r="D929" s="84" t="str">
        <f>IF('Consulta1'!D5021="","",'Consulta1'!D5021)</f>
        <v/>
      </c>
      <c r="E929" s="82" t="str">
        <f>IF('Consulta1'!E5021="","",'Consulta1'!E5021)</f>
        <v/>
      </c>
      <c r="F929" t="str">
        <f>+IF(E929="","",VLOOKUP(E929,CATALOGO!G:L,6,0))</f>
        <v/>
      </c>
      <c r="G929" s="85" t="str">
        <f>IF('Consulta1'!F5021="","",'Consulta1'!F5021)</f>
        <v/>
      </c>
      <c r="H929" s="85" t="str">
        <f>IF('Consulta1'!G5021="","",'Consulta1'!G5021)</f>
        <v/>
      </c>
      <c r="I929" s="86" t="str">
        <f>IF('Consulta1'!H5021="","",'Consulta1'!H5021)</f>
        <v/>
      </c>
      <c r="J929" t="str">
        <f t="shared" si="14"/>
        <v/>
      </c>
      <c r="K929" t="str">
        <f>+IF(E929="","",VLOOKUP(E929,CATALOGO!G:I,2,0))</f>
        <v/>
      </c>
      <c r="L929" t="str">
        <f>+IF(E929="","",VLOOKUP(E929,CATALOGO!G:I,3,0))</f>
        <v/>
      </c>
      <c r="M929" s="87" t="str">
        <f>IF('Consulta1'!I5021="","",'Consulta1'!I5021)</f>
        <v/>
      </c>
      <c r="N929" s="88" t="str">
        <f>IF('Consulta1'!J5021="","",'Consulta1'!J5021)</f>
        <v/>
      </c>
    </row>
    <row r="930" spans="1:14" ht="18.75" x14ac:dyDescent="0.25">
      <c r="A930" s="82" t="str">
        <f>IF('Consulta1'!A5022="","",'Consulta1'!A5022)</f>
        <v/>
      </c>
      <c r="B930" s="82" t="str">
        <f>IF('Consulta1'!B5022="","",'Consulta1'!B5022)</f>
        <v/>
      </c>
      <c r="C930" s="83" t="str">
        <f>IF('Consulta1'!C5022="","",'Consulta1'!C5022)</f>
        <v/>
      </c>
      <c r="D930" s="84" t="str">
        <f>IF('Consulta1'!D5022="","",'Consulta1'!D5022)</f>
        <v/>
      </c>
      <c r="E930" s="82" t="str">
        <f>IF('Consulta1'!E5022="","",'Consulta1'!E5022)</f>
        <v/>
      </c>
      <c r="F930" t="str">
        <f>+IF(E930="","",VLOOKUP(E930,CATALOGO!G:L,6,0))</f>
        <v/>
      </c>
      <c r="G930" s="85" t="str">
        <f>IF('Consulta1'!F5022="","",'Consulta1'!F5022)</f>
        <v/>
      </c>
      <c r="H930" s="85" t="str">
        <f>IF('Consulta1'!G5022="","",'Consulta1'!G5022)</f>
        <v/>
      </c>
      <c r="I930" s="86" t="str">
        <f>IF('Consulta1'!H5022="","",'Consulta1'!H5022)</f>
        <v/>
      </c>
      <c r="J930" t="str">
        <f t="shared" si="14"/>
        <v/>
      </c>
      <c r="K930" t="str">
        <f>+IF(E930="","",VLOOKUP(E930,CATALOGO!G:I,2,0))</f>
        <v/>
      </c>
      <c r="L930" t="str">
        <f>+IF(E930="","",VLOOKUP(E930,CATALOGO!G:I,3,0))</f>
        <v/>
      </c>
      <c r="M930" s="87" t="str">
        <f>IF('Consulta1'!I5022="","",'Consulta1'!I5022)</f>
        <v/>
      </c>
      <c r="N930" s="88" t="str">
        <f>IF('Consulta1'!J5022="","",'Consulta1'!J5022)</f>
        <v/>
      </c>
    </row>
    <row r="931" spans="1:14" ht="18.75" x14ac:dyDescent="0.25">
      <c r="A931" s="82" t="str">
        <f>IF('Consulta1'!A5023="","",'Consulta1'!A5023)</f>
        <v/>
      </c>
      <c r="B931" s="82" t="str">
        <f>IF('Consulta1'!B5023="","",'Consulta1'!B5023)</f>
        <v/>
      </c>
      <c r="C931" s="83" t="str">
        <f>IF('Consulta1'!C5023="","",'Consulta1'!C5023)</f>
        <v/>
      </c>
      <c r="D931" s="84" t="str">
        <f>IF('Consulta1'!D5023="","",'Consulta1'!D5023)</f>
        <v/>
      </c>
      <c r="E931" s="82" t="str">
        <f>IF('Consulta1'!E5023="","",'Consulta1'!E5023)</f>
        <v/>
      </c>
      <c r="F931" t="str">
        <f>+IF(E931="","",VLOOKUP(E931,CATALOGO!G:L,6,0))</f>
        <v/>
      </c>
      <c r="G931" s="85" t="str">
        <f>IF('Consulta1'!F5023="","",'Consulta1'!F5023)</f>
        <v/>
      </c>
      <c r="H931" s="85" t="str">
        <f>IF('Consulta1'!G5023="","",'Consulta1'!G5023)</f>
        <v/>
      </c>
      <c r="I931" s="86" t="str">
        <f>IF('Consulta1'!H5023="","",'Consulta1'!H5023)</f>
        <v/>
      </c>
      <c r="J931" t="str">
        <f t="shared" si="14"/>
        <v/>
      </c>
      <c r="K931" t="str">
        <f>+IF(E931="","",VLOOKUP(E931,CATALOGO!G:I,2,0))</f>
        <v/>
      </c>
      <c r="L931" t="str">
        <f>+IF(E931="","",VLOOKUP(E931,CATALOGO!G:I,3,0))</f>
        <v/>
      </c>
      <c r="M931" s="87" t="str">
        <f>IF('Consulta1'!I5023="","",'Consulta1'!I5023)</f>
        <v/>
      </c>
      <c r="N931" s="88" t="str">
        <f>IF('Consulta1'!J5023="","",'Consulta1'!J5023)</f>
        <v/>
      </c>
    </row>
    <row r="932" spans="1:14" ht="18.75" x14ac:dyDescent="0.25">
      <c r="A932" s="82" t="str">
        <f>IF('Consulta1'!A5024="","",'Consulta1'!A5024)</f>
        <v/>
      </c>
      <c r="B932" s="82" t="str">
        <f>IF('Consulta1'!B5024="","",'Consulta1'!B5024)</f>
        <v/>
      </c>
      <c r="C932" s="83" t="str">
        <f>IF('Consulta1'!C5024="","",'Consulta1'!C5024)</f>
        <v/>
      </c>
      <c r="D932" s="84" t="str">
        <f>IF('Consulta1'!D5024="","",'Consulta1'!D5024)</f>
        <v/>
      </c>
      <c r="E932" s="82" t="str">
        <f>IF('Consulta1'!E5024="","",'Consulta1'!E5024)</f>
        <v/>
      </c>
      <c r="F932" t="str">
        <f>+IF(E932="","",VLOOKUP(E932,CATALOGO!G:L,6,0))</f>
        <v/>
      </c>
      <c r="G932" s="85" t="str">
        <f>IF('Consulta1'!F5024="","",'Consulta1'!F5024)</f>
        <v/>
      </c>
      <c r="H932" s="85" t="str">
        <f>IF('Consulta1'!G5024="","",'Consulta1'!G5024)</f>
        <v/>
      </c>
      <c r="I932" s="86" t="str">
        <f>IF('Consulta1'!H5024="","",'Consulta1'!H5024)</f>
        <v/>
      </c>
      <c r="J932" t="str">
        <f t="shared" si="14"/>
        <v/>
      </c>
      <c r="K932" t="str">
        <f>+IF(E932="","",VLOOKUP(E932,CATALOGO!G:I,2,0))</f>
        <v/>
      </c>
      <c r="L932" t="str">
        <f>+IF(E932="","",VLOOKUP(E932,CATALOGO!G:I,3,0))</f>
        <v/>
      </c>
      <c r="M932" s="87" t="str">
        <f>IF('Consulta1'!I5024="","",'Consulta1'!I5024)</f>
        <v/>
      </c>
      <c r="N932" s="88" t="str">
        <f>IF('Consulta1'!J5024="","",'Consulta1'!J5024)</f>
        <v/>
      </c>
    </row>
    <row r="933" spans="1:14" ht="18.75" x14ac:dyDescent="0.25">
      <c r="A933" s="82" t="str">
        <f>IF('Consulta1'!A5025="","",'Consulta1'!A5025)</f>
        <v/>
      </c>
      <c r="B933" s="82" t="str">
        <f>IF('Consulta1'!B5025="","",'Consulta1'!B5025)</f>
        <v/>
      </c>
      <c r="C933" s="83" t="str">
        <f>IF('Consulta1'!C5025="","",'Consulta1'!C5025)</f>
        <v/>
      </c>
      <c r="D933" s="84" t="str">
        <f>IF('Consulta1'!D5025="","",'Consulta1'!D5025)</f>
        <v/>
      </c>
      <c r="E933" s="82" t="str">
        <f>IF('Consulta1'!E5025="","",'Consulta1'!E5025)</f>
        <v/>
      </c>
      <c r="F933" t="str">
        <f>+IF(E933="","",VLOOKUP(E933,CATALOGO!G:L,6,0))</f>
        <v/>
      </c>
      <c r="G933" s="85" t="str">
        <f>IF('Consulta1'!F5025="","",'Consulta1'!F5025)</f>
        <v/>
      </c>
      <c r="H933" s="85" t="str">
        <f>IF('Consulta1'!G5025="","",'Consulta1'!G5025)</f>
        <v/>
      </c>
      <c r="I933" s="86" t="str">
        <f>IF('Consulta1'!H5025="","",'Consulta1'!H5025)</f>
        <v/>
      </c>
      <c r="J933" t="str">
        <f t="shared" si="14"/>
        <v/>
      </c>
      <c r="K933" t="str">
        <f>+IF(E933="","",VLOOKUP(E933,CATALOGO!G:I,2,0))</f>
        <v/>
      </c>
      <c r="L933" t="str">
        <f>+IF(E933="","",VLOOKUP(E933,CATALOGO!G:I,3,0))</f>
        <v/>
      </c>
      <c r="M933" s="87" t="str">
        <f>IF('Consulta1'!I5025="","",'Consulta1'!I5025)</f>
        <v/>
      </c>
      <c r="N933" s="88" t="str">
        <f>IF('Consulta1'!J5025="","",'Consulta1'!J5025)</f>
        <v/>
      </c>
    </row>
    <row r="934" spans="1:14" ht="18.75" x14ac:dyDescent="0.25">
      <c r="A934" s="82" t="str">
        <f>IF('Consulta1'!A5026="","",'Consulta1'!A5026)</f>
        <v/>
      </c>
      <c r="B934" s="82" t="str">
        <f>IF('Consulta1'!B5026="","",'Consulta1'!B5026)</f>
        <v/>
      </c>
      <c r="C934" s="83" t="str">
        <f>IF('Consulta1'!C5026="","",'Consulta1'!C5026)</f>
        <v/>
      </c>
      <c r="D934" s="84" t="str">
        <f>IF('Consulta1'!D5026="","",'Consulta1'!D5026)</f>
        <v/>
      </c>
      <c r="E934" s="82" t="str">
        <f>IF('Consulta1'!E5026="","",'Consulta1'!E5026)</f>
        <v/>
      </c>
      <c r="F934" t="str">
        <f>+IF(E934="","",VLOOKUP(E934,CATALOGO!G:L,6,0))</f>
        <v/>
      </c>
      <c r="G934" s="85" t="str">
        <f>IF('Consulta1'!F5026="","",'Consulta1'!F5026)</f>
        <v/>
      </c>
      <c r="H934" s="85" t="str">
        <f>IF('Consulta1'!G5026="","",'Consulta1'!G5026)</f>
        <v/>
      </c>
      <c r="I934" s="86" t="str">
        <f>IF('Consulta1'!H5026="","",'Consulta1'!H5026)</f>
        <v/>
      </c>
      <c r="J934" t="str">
        <f t="shared" si="14"/>
        <v/>
      </c>
      <c r="K934" t="str">
        <f>+IF(E934="","",VLOOKUP(E934,CATALOGO!G:I,2,0))</f>
        <v/>
      </c>
      <c r="L934" t="str">
        <f>+IF(E934="","",VLOOKUP(E934,CATALOGO!G:I,3,0))</f>
        <v/>
      </c>
      <c r="M934" s="87" t="str">
        <f>IF('Consulta1'!I5026="","",'Consulta1'!I5026)</f>
        <v/>
      </c>
      <c r="N934" s="88" t="str">
        <f>IF('Consulta1'!J5026="","",'Consulta1'!J5026)</f>
        <v/>
      </c>
    </row>
    <row r="935" spans="1:14" ht="18.75" x14ac:dyDescent="0.25">
      <c r="A935" s="82" t="str">
        <f>IF('Consulta1'!A5027="","",'Consulta1'!A5027)</f>
        <v/>
      </c>
      <c r="B935" s="82" t="str">
        <f>IF('Consulta1'!B5027="","",'Consulta1'!B5027)</f>
        <v/>
      </c>
      <c r="C935" s="83" t="str">
        <f>IF('Consulta1'!C5027="","",'Consulta1'!C5027)</f>
        <v/>
      </c>
      <c r="D935" s="84" t="str">
        <f>IF('Consulta1'!D5027="","",'Consulta1'!D5027)</f>
        <v/>
      </c>
      <c r="E935" s="82" t="str">
        <f>IF('Consulta1'!E5027="","",'Consulta1'!E5027)</f>
        <v/>
      </c>
      <c r="F935" t="str">
        <f>+IF(E935="","",VLOOKUP(E935,CATALOGO!G:L,6,0))</f>
        <v/>
      </c>
      <c r="G935" s="85" t="str">
        <f>IF('Consulta1'!F5027="","",'Consulta1'!F5027)</f>
        <v/>
      </c>
      <c r="H935" s="85" t="str">
        <f>IF('Consulta1'!G5027="","",'Consulta1'!G5027)</f>
        <v/>
      </c>
      <c r="I935" s="86" t="str">
        <f>IF('Consulta1'!H5027="","",'Consulta1'!H5027)</f>
        <v/>
      </c>
      <c r="J935" t="str">
        <f t="shared" si="14"/>
        <v/>
      </c>
      <c r="K935" t="str">
        <f>+IF(E935="","",VLOOKUP(E935,CATALOGO!G:I,2,0))</f>
        <v/>
      </c>
      <c r="L935" t="str">
        <f>+IF(E935="","",VLOOKUP(E935,CATALOGO!G:I,3,0))</f>
        <v/>
      </c>
      <c r="M935" s="87" t="str">
        <f>IF('Consulta1'!I5027="","",'Consulta1'!I5027)</f>
        <v/>
      </c>
      <c r="N935" s="88" t="str">
        <f>IF('Consulta1'!J5027="","",'Consulta1'!J5027)</f>
        <v/>
      </c>
    </row>
    <row r="936" spans="1:14" ht="18.75" x14ac:dyDescent="0.25">
      <c r="A936" s="82" t="str">
        <f>IF('Consulta1'!A5028="","",'Consulta1'!A5028)</f>
        <v/>
      </c>
      <c r="B936" s="82" t="str">
        <f>IF('Consulta1'!B5028="","",'Consulta1'!B5028)</f>
        <v/>
      </c>
      <c r="C936" s="83" t="str">
        <f>IF('Consulta1'!C5028="","",'Consulta1'!C5028)</f>
        <v/>
      </c>
      <c r="D936" s="84" t="str">
        <f>IF('Consulta1'!D5028="","",'Consulta1'!D5028)</f>
        <v/>
      </c>
      <c r="E936" s="82" t="str">
        <f>IF('Consulta1'!E5028="","",'Consulta1'!E5028)</f>
        <v/>
      </c>
      <c r="F936" t="str">
        <f>+IF(E936="","",VLOOKUP(E936,CATALOGO!G:L,6,0))</f>
        <v/>
      </c>
      <c r="G936" s="85" t="str">
        <f>IF('Consulta1'!F5028="","",'Consulta1'!F5028)</f>
        <v/>
      </c>
      <c r="H936" s="85" t="str">
        <f>IF('Consulta1'!G5028="","",'Consulta1'!G5028)</f>
        <v/>
      </c>
      <c r="I936" s="86" t="str">
        <f>IF('Consulta1'!H5028="","",'Consulta1'!H5028)</f>
        <v/>
      </c>
      <c r="J936" t="str">
        <f t="shared" si="14"/>
        <v/>
      </c>
      <c r="K936" t="str">
        <f>+IF(E936="","",VLOOKUP(E936,CATALOGO!G:I,2,0))</f>
        <v/>
      </c>
      <c r="L936" t="str">
        <f>+IF(E936="","",VLOOKUP(E936,CATALOGO!G:I,3,0))</f>
        <v/>
      </c>
      <c r="M936" s="87" t="str">
        <f>IF('Consulta1'!I5028="","",'Consulta1'!I5028)</f>
        <v/>
      </c>
      <c r="N936" s="88" t="str">
        <f>IF('Consulta1'!J5028="","",'Consulta1'!J5028)</f>
        <v/>
      </c>
    </row>
    <row r="937" spans="1:14" ht="18.75" x14ac:dyDescent="0.25">
      <c r="A937" s="82" t="str">
        <f>IF('Consulta1'!A5029="","",'Consulta1'!A5029)</f>
        <v/>
      </c>
      <c r="B937" s="82" t="str">
        <f>IF('Consulta1'!B5029="","",'Consulta1'!B5029)</f>
        <v/>
      </c>
      <c r="C937" s="83" t="str">
        <f>IF('Consulta1'!C5029="","",'Consulta1'!C5029)</f>
        <v/>
      </c>
      <c r="D937" s="84" t="str">
        <f>IF('Consulta1'!D5029="","",'Consulta1'!D5029)</f>
        <v/>
      </c>
      <c r="E937" s="82" t="str">
        <f>IF('Consulta1'!E5029="","",'Consulta1'!E5029)</f>
        <v/>
      </c>
      <c r="F937" t="str">
        <f>+IF(E937="","",VLOOKUP(E937,CATALOGO!G:L,6,0))</f>
        <v/>
      </c>
      <c r="G937" s="85" t="str">
        <f>IF('Consulta1'!F5029="","",'Consulta1'!F5029)</f>
        <v/>
      </c>
      <c r="H937" s="85" t="str">
        <f>IF('Consulta1'!G5029="","",'Consulta1'!G5029)</f>
        <v/>
      </c>
      <c r="I937" s="86" t="str">
        <f>IF('Consulta1'!H5029="","",'Consulta1'!H5029)</f>
        <v/>
      </c>
      <c r="J937" t="str">
        <f t="shared" si="14"/>
        <v/>
      </c>
      <c r="K937" t="str">
        <f>+IF(E937="","",VLOOKUP(E937,CATALOGO!G:I,2,0))</f>
        <v/>
      </c>
      <c r="L937" t="str">
        <f>+IF(E937="","",VLOOKUP(E937,CATALOGO!G:I,3,0))</f>
        <v/>
      </c>
      <c r="M937" s="87" t="str">
        <f>IF('Consulta1'!I5029="","",'Consulta1'!I5029)</f>
        <v/>
      </c>
      <c r="N937" s="88" t="str">
        <f>IF('Consulta1'!J5029="","",'Consulta1'!J5029)</f>
        <v/>
      </c>
    </row>
    <row r="938" spans="1:14" ht="18.75" x14ac:dyDescent="0.25">
      <c r="A938" s="82" t="str">
        <f>IF('Consulta1'!A5030="","",'Consulta1'!A5030)</f>
        <v/>
      </c>
      <c r="B938" s="82" t="str">
        <f>IF('Consulta1'!B5030="","",'Consulta1'!B5030)</f>
        <v/>
      </c>
      <c r="C938" s="83" t="str">
        <f>IF('Consulta1'!C5030="","",'Consulta1'!C5030)</f>
        <v/>
      </c>
      <c r="D938" s="84" t="str">
        <f>IF('Consulta1'!D5030="","",'Consulta1'!D5030)</f>
        <v/>
      </c>
      <c r="E938" s="82" t="str">
        <f>IF('Consulta1'!E5030="","",'Consulta1'!E5030)</f>
        <v/>
      </c>
      <c r="F938" t="str">
        <f>+IF(E938="","",VLOOKUP(E938,CATALOGO!G:L,6,0))</f>
        <v/>
      </c>
      <c r="G938" s="85" t="str">
        <f>IF('Consulta1'!F5030="","",'Consulta1'!F5030)</f>
        <v/>
      </c>
      <c r="H938" s="85" t="str">
        <f>IF('Consulta1'!G5030="","",'Consulta1'!G5030)</f>
        <v/>
      </c>
      <c r="I938" s="86" t="str">
        <f>IF('Consulta1'!H5030="","",'Consulta1'!H5030)</f>
        <v/>
      </c>
      <c r="J938" t="str">
        <f t="shared" si="14"/>
        <v/>
      </c>
      <c r="K938" t="str">
        <f>+IF(E938="","",VLOOKUP(E938,CATALOGO!G:I,2,0))</f>
        <v/>
      </c>
      <c r="L938" t="str">
        <f>+IF(E938="","",VLOOKUP(E938,CATALOGO!G:I,3,0))</f>
        <v/>
      </c>
      <c r="M938" s="87" t="str">
        <f>IF('Consulta1'!I5030="","",'Consulta1'!I5030)</f>
        <v/>
      </c>
      <c r="N938" s="88" t="str">
        <f>IF('Consulta1'!J5030="","",'Consulta1'!J5030)</f>
        <v/>
      </c>
    </row>
    <row r="939" spans="1:14" ht="18.75" x14ac:dyDescent="0.25">
      <c r="A939" s="82" t="str">
        <f>IF('Consulta1'!A5031="","",'Consulta1'!A5031)</f>
        <v/>
      </c>
      <c r="B939" s="82" t="str">
        <f>IF('Consulta1'!B5031="","",'Consulta1'!B5031)</f>
        <v/>
      </c>
      <c r="C939" s="83" t="str">
        <f>IF('Consulta1'!C5031="","",'Consulta1'!C5031)</f>
        <v/>
      </c>
      <c r="D939" s="84" t="str">
        <f>IF('Consulta1'!D5031="","",'Consulta1'!D5031)</f>
        <v/>
      </c>
      <c r="E939" s="82" t="str">
        <f>IF('Consulta1'!E5031="","",'Consulta1'!E5031)</f>
        <v/>
      </c>
      <c r="F939" t="str">
        <f>+IF(E939="","",VLOOKUP(E939,CATALOGO!G:L,6,0))</f>
        <v/>
      </c>
      <c r="G939" s="85" t="str">
        <f>IF('Consulta1'!F5031="","",'Consulta1'!F5031)</f>
        <v/>
      </c>
      <c r="H939" s="85" t="str">
        <f>IF('Consulta1'!G5031="","",'Consulta1'!G5031)</f>
        <v/>
      </c>
      <c r="I939" s="86" t="str">
        <f>IF('Consulta1'!H5031="","",'Consulta1'!H5031)</f>
        <v/>
      </c>
      <c r="J939" t="str">
        <f t="shared" si="14"/>
        <v/>
      </c>
      <c r="K939" t="str">
        <f>+IF(E939="","",VLOOKUP(E939,CATALOGO!G:I,2,0))</f>
        <v/>
      </c>
      <c r="L939" t="str">
        <f>+IF(E939="","",VLOOKUP(E939,CATALOGO!G:I,3,0))</f>
        <v/>
      </c>
      <c r="M939" s="87" t="str">
        <f>IF('Consulta1'!I5031="","",'Consulta1'!I5031)</f>
        <v/>
      </c>
      <c r="N939" s="88" t="str">
        <f>IF('Consulta1'!J5031="","",'Consulta1'!J5031)</f>
        <v/>
      </c>
    </row>
    <row r="940" spans="1:14" ht="18.75" x14ac:dyDescent="0.25">
      <c r="A940" s="82" t="str">
        <f>IF('Consulta1'!A5032="","",'Consulta1'!A5032)</f>
        <v/>
      </c>
      <c r="B940" s="82" t="str">
        <f>IF('Consulta1'!B5032="","",'Consulta1'!B5032)</f>
        <v/>
      </c>
      <c r="C940" s="83" t="str">
        <f>IF('Consulta1'!C5032="","",'Consulta1'!C5032)</f>
        <v/>
      </c>
      <c r="D940" s="84" t="str">
        <f>IF('Consulta1'!D5032="","",'Consulta1'!D5032)</f>
        <v/>
      </c>
      <c r="E940" s="82" t="str">
        <f>IF('Consulta1'!E5032="","",'Consulta1'!E5032)</f>
        <v/>
      </c>
      <c r="F940" t="str">
        <f>+IF(E940="","",VLOOKUP(E940,CATALOGO!G:L,6,0))</f>
        <v/>
      </c>
      <c r="G940" s="85" t="str">
        <f>IF('Consulta1'!F5032="","",'Consulta1'!F5032)</f>
        <v/>
      </c>
      <c r="H940" s="85" t="str">
        <f>IF('Consulta1'!G5032="","",'Consulta1'!G5032)</f>
        <v/>
      </c>
      <c r="I940" s="86" t="str">
        <f>IF('Consulta1'!H5032="","",'Consulta1'!H5032)</f>
        <v/>
      </c>
      <c r="J940" t="str">
        <f t="shared" si="14"/>
        <v/>
      </c>
      <c r="K940" t="str">
        <f>+IF(E940="","",VLOOKUP(E940,CATALOGO!G:I,2,0))</f>
        <v/>
      </c>
      <c r="L940" t="str">
        <f>+IF(E940="","",VLOOKUP(E940,CATALOGO!G:I,3,0))</f>
        <v/>
      </c>
      <c r="M940" s="87" t="str">
        <f>IF('Consulta1'!I5032="","",'Consulta1'!I5032)</f>
        <v/>
      </c>
      <c r="N940" s="88" t="str">
        <f>IF('Consulta1'!J5032="","",'Consulta1'!J5032)</f>
        <v/>
      </c>
    </row>
    <row r="941" spans="1:14" ht="18.75" x14ac:dyDescent="0.25">
      <c r="A941" s="82" t="str">
        <f>IF('Consulta1'!A5033="","",'Consulta1'!A5033)</f>
        <v/>
      </c>
      <c r="B941" s="82" t="str">
        <f>IF('Consulta1'!B5033="","",'Consulta1'!B5033)</f>
        <v/>
      </c>
      <c r="C941" s="83" t="str">
        <f>IF('Consulta1'!C5033="","",'Consulta1'!C5033)</f>
        <v/>
      </c>
      <c r="D941" s="84" t="str">
        <f>IF('Consulta1'!D5033="","",'Consulta1'!D5033)</f>
        <v/>
      </c>
      <c r="E941" s="82" t="str">
        <f>IF('Consulta1'!E5033="","",'Consulta1'!E5033)</f>
        <v/>
      </c>
      <c r="F941" t="str">
        <f>+IF(E941="","",VLOOKUP(E941,CATALOGO!G:L,6,0))</f>
        <v/>
      </c>
      <c r="G941" s="85" t="str">
        <f>IF('Consulta1'!F5033="","",'Consulta1'!F5033)</f>
        <v/>
      </c>
      <c r="H941" s="85" t="str">
        <f>IF('Consulta1'!G5033="","",'Consulta1'!G5033)</f>
        <v/>
      </c>
      <c r="I941" s="86" t="str">
        <f>IF('Consulta1'!H5033="","",'Consulta1'!H5033)</f>
        <v/>
      </c>
      <c r="J941" t="str">
        <f t="shared" si="14"/>
        <v/>
      </c>
      <c r="K941" t="str">
        <f>+IF(E941="","",VLOOKUP(E941,CATALOGO!G:I,2,0))</f>
        <v/>
      </c>
      <c r="L941" t="str">
        <f>+IF(E941="","",VLOOKUP(E941,CATALOGO!G:I,3,0))</f>
        <v/>
      </c>
      <c r="M941" s="87" t="str">
        <f>IF('Consulta1'!I5033="","",'Consulta1'!I5033)</f>
        <v/>
      </c>
      <c r="N941" s="88" t="str">
        <f>IF('Consulta1'!J5033="","",'Consulta1'!J5033)</f>
        <v/>
      </c>
    </row>
    <row r="942" spans="1:14" ht="18.75" x14ac:dyDescent="0.25">
      <c r="A942" s="82" t="str">
        <f>IF('Consulta1'!A5034="","",'Consulta1'!A5034)</f>
        <v/>
      </c>
      <c r="B942" s="82" t="str">
        <f>IF('Consulta1'!B5034="","",'Consulta1'!B5034)</f>
        <v/>
      </c>
      <c r="C942" s="83" t="str">
        <f>IF('Consulta1'!C5034="","",'Consulta1'!C5034)</f>
        <v/>
      </c>
      <c r="D942" s="84" t="str">
        <f>IF('Consulta1'!D5034="","",'Consulta1'!D5034)</f>
        <v/>
      </c>
      <c r="E942" s="82" t="str">
        <f>IF('Consulta1'!E5034="","",'Consulta1'!E5034)</f>
        <v/>
      </c>
      <c r="F942" t="str">
        <f>+IF(E942="","",VLOOKUP(E942,CATALOGO!G:L,6,0))</f>
        <v/>
      </c>
      <c r="G942" s="85" t="str">
        <f>IF('Consulta1'!F5034="","",'Consulta1'!F5034)</f>
        <v/>
      </c>
      <c r="H942" s="85" t="str">
        <f>IF('Consulta1'!G5034="","",'Consulta1'!G5034)</f>
        <v/>
      </c>
      <c r="I942" s="86" t="str">
        <f>IF('Consulta1'!H5034="","",'Consulta1'!H5034)</f>
        <v/>
      </c>
      <c r="J942" t="str">
        <f t="shared" si="14"/>
        <v/>
      </c>
      <c r="K942" t="str">
        <f>+IF(E942="","",VLOOKUP(E942,CATALOGO!G:I,2,0))</f>
        <v/>
      </c>
      <c r="L942" t="str">
        <f>+IF(E942="","",VLOOKUP(E942,CATALOGO!G:I,3,0))</f>
        <v/>
      </c>
      <c r="M942" s="87" t="str">
        <f>IF('Consulta1'!I5034="","",'Consulta1'!I5034)</f>
        <v/>
      </c>
      <c r="N942" s="88" t="str">
        <f>IF('Consulta1'!J5034="","",'Consulta1'!J5034)</f>
        <v/>
      </c>
    </row>
    <row r="943" spans="1:14" ht="18.75" x14ac:dyDescent="0.25">
      <c r="A943" s="82" t="str">
        <f>IF('Consulta1'!A5035="","",'Consulta1'!A5035)</f>
        <v/>
      </c>
      <c r="B943" s="82" t="str">
        <f>IF('Consulta1'!B5035="","",'Consulta1'!B5035)</f>
        <v/>
      </c>
      <c r="C943" s="83" t="str">
        <f>IF('Consulta1'!C5035="","",'Consulta1'!C5035)</f>
        <v/>
      </c>
      <c r="D943" s="84" t="str">
        <f>IF('Consulta1'!D5035="","",'Consulta1'!D5035)</f>
        <v/>
      </c>
      <c r="E943" s="82" t="str">
        <f>IF('Consulta1'!E5035="","",'Consulta1'!E5035)</f>
        <v/>
      </c>
      <c r="F943" t="str">
        <f>+IF(E943="","",VLOOKUP(E943,CATALOGO!G:L,6,0))</f>
        <v/>
      </c>
      <c r="G943" s="85" t="str">
        <f>IF('Consulta1'!F5035="","",'Consulta1'!F5035)</f>
        <v/>
      </c>
      <c r="H943" s="85" t="str">
        <f>IF('Consulta1'!G5035="","",'Consulta1'!G5035)</f>
        <v/>
      </c>
      <c r="I943" s="86" t="str">
        <f>IF('Consulta1'!H5035="","",'Consulta1'!H5035)</f>
        <v/>
      </c>
      <c r="J943" t="str">
        <f t="shared" si="14"/>
        <v/>
      </c>
      <c r="K943" t="str">
        <f>+IF(E943="","",VLOOKUP(E943,CATALOGO!G:I,2,0))</f>
        <v/>
      </c>
      <c r="L943" t="str">
        <f>+IF(E943="","",VLOOKUP(E943,CATALOGO!G:I,3,0))</f>
        <v/>
      </c>
      <c r="M943" s="87" t="str">
        <f>IF('Consulta1'!I5035="","",'Consulta1'!I5035)</f>
        <v/>
      </c>
      <c r="N943" s="88" t="str">
        <f>IF('Consulta1'!J5035="","",'Consulta1'!J5035)</f>
        <v/>
      </c>
    </row>
    <row r="944" spans="1:14" ht="18.75" x14ac:dyDescent="0.25">
      <c r="A944" s="82" t="str">
        <f>IF('Consulta1'!A5036="","",'Consulta1'!A5036)</f>
        <v/>
      </c>
      <c r="B944" s="82" t="str">
        <f>IF('Consulta1'!B5036="","",'Consulta1'!B5036)</f>
        <v/>
      </c>
      <c r="C944" s="83" t="str">
        <f>IF('Consulta1'!C5036="","",'Consulta1'!C5036)</f>
        <v/>
      </c>
      <c r="D944" s="84" t="str">
        <f>IF('Consulta1'!D5036="","",'Consulta1'!D5036)</f>
        <v/>
      </c>
      <c r="E944" s="82" t="str">
        <f>IF('Consulta1'!E5036="","",'Consulta1'!E5036)</f>
        <v/>
      </c>
      <c r="F944" t="str">
        <f>+IF(E944="","",VLOOKUP(E944,CATALOGO!G:L,6,0))</f>
        <v/>
      </c>
      <c r="G944" s="85" t="str">
        <f>IF('Consulta1'!F5036="","",'Consulta1'!F5036)</f>
        <v/>
      </c>
      <c r="H944" s="85" t="str">
        <f>IF('Consulta1'!G5036="","",'Consulta1'!G5036)</f>
        <v/>
      </c>
      <c r="I944" s="86" t="str">
        <f>IF('Consulta1'!H5036="","",'Consulta1'!H5036)</f>
        <v/>
      </c>
      <c r="J944" t="str">
        <f t="shared" si="14"/>
        <v/>
      </c>
      <c r="K944" t="str">
        <f>+IF(E944="","",VLOOKUP(E944,CATALOGO!G:I,2,0))</f>
        <v/>
      </c>
      <c r="L944" t="str">
        <f>+IF(E944="","",VLOOKUP(E944,CATALOGO!G:I,3,0))</f>
        <v/>
      </c>
      <c r="M944" s="87" t="str">
        <f>IF('Consulta1'!I5036="","",'Consulta1'!I5036)</f>
        <v/>
      </c>
      <c r="N944" s="88" t="str">
        <f>IF('Consulta1'!J5036="","",'Consulta1'!J5036)</f>
        <v/>
      </c>
    </row>
    <row r="945" spans="1:14" ht="18.75" x14ac:dyDescent="0.25">
      <c r="A945" s="82" t="str">
        <f>IF('Consulta1'!A5037="","",'Consulta1'!A5037)</f>
        <v/>
      </c>
      <c r="B945" s="82" t="str">
        <f>IF('Consulta1'!B5037="","",'Consulta1'!B5037)</f>
        <v/>
      </c>
      <c r="C945" s="83" t="str">
        <f>IF('Consulta1'!C5037="","",'Consulta1'!C5037)</f>
        <v/>
      </c>
      <c r="D945" s="84" t="str">
        <f>IF('Consulta1'!D5037="","",'Consulta1'!D5037)</f>
        <v/>
      </c>
      <c r="E945" s="82" t="str">
        <f>IF('Consulta1'!E5037="","",'Consulta1'!E5037)</f>
        <v/>
      </c>
      <c r="F945" t="str">
        <f>+IF(E945="","",VLOOKUP(E945,CATALOGO!G:L,6,0))</f>
        <v/>
      </c>
      <c r="G945" s="85" t="str">
        <f>IF('Consulta1'!F5037="","",'Consulta1'!F5037)</f>
        <v/>
      </c>
      <c r="H945" s="85" t="str">
        <f>IF('Consulta1'!G5037="","",'Consulta1'!G5037)</f>
        <v/>
      </c>
      <c r="I945" s="86" t="str">
        <f>IF('Consulta1'!H5037="","",'Consulta1'!H5037)</f>
        <v/>
      </c>
      <c r="J945" t="str">
        <f t="shared" si="14"/>
        <v/>
      </c>
      <c r="K945" t="str">
        <f>+IF(E945="","",VLOOKUP(E945,CATALOGO!G:I,2,0))</f>
        <v/>
      </c>
      <c r="L945" t="str">
        <f>+IF(E945="","",VLOOKUP(E945,CATALOGO!G:I,3,0))</f>
        <v/>
      </c>
      <c r="M945" s="87" t="str">
        <f>IF('Consulta1'!I5037="","",'Consulta1'!I5037)</f>
        <v/>
      </c>
      <c r="N945" s="88" t="str">
        <f>IF('Consulta1'!J5037="","",'Consulta1'!J5037)</f>
        <v/>
      </c>
    </row>
    <row r="946" spans="1:14" ht="18.75" x14ac:dyDescent="0.25">
      <c r="A946" s="82" t="str">
        <f>IF('Consulta1'!A5038="","",'Consulta1'!A5038)</f>
        <v/>
      </c>
      <c r="B946" s="82" t="str">
        <f>IF('Consulta1'!B5038="","",'Consulta1'!B5038)</f>
        <v/>
      </c>
      <c r="C946" s="83" t="str">
        <f>IF('Consulta1'!C5038="","",'Consulta1'!C5038)</f>
        <v/>
      </c>
      <c r="D946" s="84" t="str">
        <f>IF('Consulta1'!D5038="","",'Consulta1'!D5038)</f>
        <v/>
      </c>
      <c r="E946" s="82" t="str">
        <f>IF('Consulta1'!E5038="","",'Consulta1'!E5038)</f>
        <v/>
      </c>
      <c r="F946" t="str">
        <f>+IF(E946="","",VLOOKUP(E946,CATALOGO!G:L,6,0))</f>
        <v/>
      </c>
      <c r="G946" s="85" t="str">
        <f>IF('Consulta1'!F5038="","",'Consulta1'!F5038)</f>
        <v/>
      </c>
      <c r="H946" s="85" t="str">
        <f>IF('Consulta1'!G5038="","",'Consulta1'!G5038)</f>
        <v/>
      </c>
      <c r="I946" s="86" t="str">
        <f>IF('Consulta1'!H5038="","",'Consulta1'!H5038)</f>
        <v/>
      </c>
      <c r="J946" t="str">
        <f t="shared" si="14"/>
        <v/>
      </c>
      <c r="K946" t="str">
        <f>+IF(E946="","",VLOOKUP(E946,CATALOGO!G:I,2,0))</f>
        <v/>
      </c>
      <c r="L946" t="str">
        <f>+IF(E946="","",VLOOKUP(E946,CATALOGO!G:I,3,0))</f>
        <v/>
      </c>
      <c r="M946" s="87" t="str">
        <f>IF('Consulta1'!I5038="","",'Consulta1'!I5038)</f>
        <v/>
      </c>
      <c r="N946" s="88" t="str">
        <f>IF('Consulta1'!J5038="","",'Consulta1'!J5038)</f>
        <v/>
      </c>
    </row>
    <row r="947" spans="1:14" ht="18.75" x14ac:dyDescent="0.25">
      <c r="A947" s="82" t="str">
        <f>IF('Consulta1'!A5039="","",'Consulta1'!A5039)</f>
        <v/>
      </c>
      <c r="B947" s="82" t="str">
        <f>IF('Consulta1'!B5039="","",'Consulta1'!B5039)</f>
        <v/>
      </c>
      <c r="C947" s="83" t="str">
        <f>IF('Consulta1'!C5039="","",'Consulta1'!C5039)</f>
        <v/>
      </c>
      <c r="D947" s="84" t="str">
        <f>IF('Consulta1'!D5039="","",'Consulta1'!D5039)</f>
        <v/>
      </c>
      <c r="E947" s="82" t="str">
        <f>IF('Consulta1'!E5039="","",'Consulta1'!E5039)</f>
        <v/>
      </c>
      <c r="F947" t="str">
        <f>+IF(E947="","",VLOOKUP(E947,CATALOGO!G:L,6,0))</f>
        <v/>
      </c>
      <c r="G947" s="85" t="str">
        <f>IF('Consulta1'!F5039="","",'Consulta1'!F5039)</f>
        <v/>
      </c>
      <c r="H947" s="85" t="str">
        <f>IF('Consulta1'!G5039="","",'Consulta1'!G5039)</f>
        <v/>
      </c>
      <c r="I947" s="86" t="str">
        <f>IF('Consulta1'!H5039="","",'Consulta1'!H5039)</f>
        <v/>
      </c>
      <c r="J947" t="str">
        <f t="shared" si="14"/>
        <v/>
      </c>
      <c r="K947" t="str">
        <f>+IF(E947="","",VLOOKUP(E947,CATALOGO!G:I,2,0))</f>
        <v/>
      </c>
      <c r="L947" t="str">
        <f>+IF(E947="","",VLOOKUP(E947,CATALOGO!G:I,3,0))</f>
        <v/>
      </c>
      <c r="M947" s="87" t="str">
        <f>IF('Consulta1'!I5039="","",'Consulta1'!I5039)</f>
        <v/>
      </c>
      <c r="N947" s="88" t="str">
        <f>IF('Consulta1'!J5039="","",'Consulta1'!J5039)</f>
        <v/>
      </c>
    </row>
    <row r="948" spans="1:14" ht="18.75" x14ac:dyDescent="0.25">
      <c r="A948" s="82" t="str">
        <f>IF('Consulta1'!A5040="","",'Consulta1'!A5040)</f>
        <v/>
      </c>
      <c r="B948" s="82" t="str">
        <f>IF('Consulta1'!B5040="","",'Consulta1'!B5040)</f>
        <v/>
      </c>
      <c r="C948" s="83" t="str">
        <f>IF('Consulta1'!C5040="","",'Consulta1'!C5040)</f>
        <v/>
      </c>
      <c r="D948" s="84" t="str">
        <f>IF('Consulta1'!D5040="","",'Consulta1'!D5040)</f>
        <v/>
      </c>
      <c r="E948" s="82" t="str">
        <f>IF('Consulta1'!E5040="","",'Consulta1'!E5040)</f>
        <v/>
      </c>
      <c r="F948" t="str">
        <f>+IF(E948="","",VLOOKUP(E948,CATALOGO!G:L,6,0))</f>
        <v/>
      </c>
      <c r="G948" s="85" t="str">
        <f>IF('Consulta1'!F5040="","",'Consulta1'!F5040)</f>
        <v/>
      </c>
      <c r="H948" s="85" t="str">
        <f>IF('Consulta1'!G5040="","",'Consulta1'!G5040)</f>
        <v/>
      </c>
      <c r="I948" s="86" t="str">
        <f>IF('Consulta1'!H5040="","",'Consulta1'!H5040)</f>
        <v/>
      </c>
      <c r="J948" t="str">
        <f t="shared" si="14"/>
        <v/>
      </c>
      <c r="K948" t="str">
        <f>+IF(E948="","",VLOOKUP(E948,CATALOGO!G:I,2,0))</f>
        <v/>
      </c>
      <c r="L948" t="str">
        <f>+IF(E948="","",VLOOKUP(E948,CATALOGO!G:I,3,0))</f>
        <v/>
      </c>
      <c r="M948" s="87" t="str">
        <f>IF('Consulta1'!I5040="","",'Consulta1'!I5040)</f>
        <v/>
      </c>
      <c r="N948" s="88" t="str">
        <f>IF('Consulta1'!J5040="","",'Consulta1'!J5040)</f>
        <v/>
      </c>
    </row>
    <row r="949" spans="1:14" ht="18.75" x14ac:dyDescent="0.25">
      <c r="A949" s="82" t="str">
        <f>IF('Consulta1'!A5041="","",'Consulta1'!A5041)</f>
        <v/>
      </c>
      <c r="B949" s="82" t="str">
        <f>IF('Consulta1'!B5041="","",'Consulta1'!B5041)</f>
        <v/>
      </c>
      <c r="C949" s="83" t="str">
        <f>IF('Consulta1'!C5041="","",'Consulta1'!C5041)</f>
        <v/>
      </c>
      <c r="D949" s="84" t="str">
        <f>IF('Consulta1'!D5041="","",'Consulta1'!D5041)</f>
        <v/>
      </c>
      <c r="E949" s="82" t="str">
        <f>IF('Consulta1'!E5041="","",'Consulta1'!E5041)</f>
        <v/>
      </c>
      <c r="F949" t="str">
        <f>+IF(E949="","",VLOOKUP(E949,CATALOGO!G:L,6,0))</f>
        <v/>
      </c>
      <c r="G949" s="85" t="str">
        <f>IF('Consulta1'!F5041="","",'Consulta1'!F5041)</f>
        <v/>
      </c>
      <c r="H949" s="85" t="str">
        <f>IF('Consulta1'!G5041="","",'Consulta1'!G5041)</f>
        <v/>
      </c>
      <c r="I949" s="86" t="str">
        <f>IF('Consulta1'!H5041="","",'Consulta1'!H5041)</f>
        <v/>
      </c>
      <c r="J949" t="str">
        <f t="shared" si="14"/>
        <v/>
      </c>
      <c r="K949" t="str">
        <f>+IF(E949="","",VLOOKUP(E949,CATALOGO!G:I,2,0))</f>
        <v/>
      </c>
      <c r="L949" t="str">
        <f>+IF(E949="","",VLOOKUP(E949,CATALOGO!G:I,3,0))</f>
        <v/>
      </c>
      <c r="M949" s="87" t="str">
        <f>IF('Consulta1'!I5041="","",'Consulta1'!I5041)</f>
        <v/>
      </c>
      <c r="N949" s="88" t="str">
        <f>IF('Consulta1'!J5041="","",'Consulta1'!J5041)</f>
        <v/>
      </c>
    </row>
    <row r="950" spans="1:14" ht="18.75" x14ac:dyDescent="0.25">
      <c r="A950" s="82" t="str">
        <f>IF('Consulta1'!A5042="","",'Consulta1'!A5042)</f>
        <v/>
      </c>
      <c r="B950" s="82" t="str">
        <f>IF('Consulta1'!B5042="","",'Consulta1'!B5042)</f>
        <v/>
      </c>
      <c r="C950" s="83" t="str">
        <f>IF('Consulta1'!C5042="","",'Consulta1'!C5042)</f>
        <v/>
      </c>
      <c r="D950" s="84" t="str">
        <f>IF('Consulta1'!D5042="","",'Consulta1'!D5042)</f>
        <v/>
      </c>
      <c r="E950" s="82" t="str">
        <f>IF('Consulta1'!E5042="","",'Consulta1'!E5042)</f>
        <v/>
      </c>
      <c r="F950" t="str">
        <f>+IF(E950="","",VLOOKUP(E950,CATALOGO!G:L,6,0))</f>
        <v/>
      </c>
      <c r="G950" s="85" t="str">
        <f>IF('Consulta1'!F5042="","",'Consulta1'!F5042)</f>
        <v/>
      </c>
      <c r="H950" s="85" t="str">
        <f>IF('Consulta1'!G5042="","",'Consulta1'!G5042)</f>
        <v/>
      </c>
      <c r="I950" s="86" t="str">
        <f>IF('Consulta1'!H5042="","",'Consulta1'!H5042)</f>
        <v/>
      </c>
      <c r="J950" t="str">
        <f t="shared" si="14"/>
        <v/>
      </c>
      <c r="K950" t="str">
        <f>+IF(E950="","",VLOOKUP(E950,CATALOGO!G:I,2,0))</f>
        <v/>
      </c>
      <c r="L950" t="str">
        <f>+IF(E950="","",VLOOKUP(E950,CATALOGO!G:I,3,0))</f>
        <v/>
      </c>
      <c r="M950" s="87" t="str">
        <f>IF('Consulta1'!I5042="","",'Consulta1'!I5042)</f>
        <v/>
      </c>
      <c r="N950" s="88" t="str">
        <f>IF('Consulta1'!J5042="","",'Consulta1'!J5042)</f>
        <v/>
      </c>
    </row>
    <row r="951" spans="1:14" ht="18.75" x14ac:dyDescent="0.25">
      <c r="A951" s="82" t="str">
        <f>IF('Consulta1'!A5043="","",'Consulta1'!A5043)</f>
        <v/>
      </c>
      <c r="B951" s="82" t="str">
        <f>IF('Consulta1'!B5043="","",'Consulta1'!B5043)</f>
        <v/>
      </c>
      <c r="C951" s="83" t="str">
        <f>IF('Consulta1'!C5043="","",'Consulta1'!C5043)</f>
        <v/>
      </c>
      <c r="D951" s="84" t="str">
        <f>IF('Consulta1'!D5043="","",'Consulta1'!D5043)</f>
        <v/>
      </c>
      <c r="E951" s="82" t="str">
        <f>IF('Consulta1'!E5043="","",'Consulta1'!E5043)</f>
        <v/>
      </c>
      <c r="F951" t="str">
        <f>+IF(E951="","",VLOOKUP(E951,CATALOGO!G:L,6,0))</f>
        <v/>
      </c>
      <c r="G951" s="85" t="str">
        <f>IF('Consulta1'!F5043="","",'Consulta1'!F5043)</f>
        <v/>
      </c>
      <c r="H951" s="85" t="str">
        <f>IF('Consulta1'!G5043="","",'Consulta1'!G5043)</f>
        <v/>
      </c>
      <c r="I951" s="86" t="str">
        <f>IF('Consulta1'!H5043="","",'Consulta1'!H5043)</f>
        <v/>
      </c>
      <c r="J951" t="str">
        <f t="shared" si="14"/>
        <v/>
      </c>
      <c r="K951" t="str">
        <f>+IF(E951="","",VLOOKUP(E951,CATALOGO!G:I,2,0))</f>
        <v/>
      </c>
      <c r="L951" t="str">
        <f>+IF(E951="","",VLOOKUP(E951,CATALOGO!G:I,3,0))</f>
        <v/>
      </c>
      <c r="M951" s="87" t="str">
        <f>IF('Consulta1'!I5043="","",'Consulta1'!I5043)</f>
        <v/>
      </c>
      <c r="N951" s="88" t="str">
        <f>IF('Consulta1'!J5043="","",'Consulta1'!J5043)</f>
        <v/>
      </c>
    </row>
    <row r="952" spans="1:14" ht="18.75" x14ac:dyDescent="0.25">
      <c r="A952" s="82" t="str">
        <f>IF('Consulta1'!A5044="","",'Consulta1'!A5044)</f>
        <v/>
      </c>
      <c r="B952" s="82" t="str">
        <f>IF('Consulta1'!B5044="","",'Consulta1'!B5044)</f>
        <v/>
      </c>
      <c r="C952" s="83" t="str">
        <f>IF('Consulta1'!C5044="","",'Consulta1'!C5044)</f>
        <v/>
      </c>
      <c r="D952" s="84" t="str">
        <f>IF('Consulta1'!D5044="","",'Consulta1'!D5044)</f>
        <v/>
      </c>
      <c r="E952" s="82" t="str">
        <f>IF('Consulta1'!E5044="","",'Consulta1'!E5044)</f>
        <v/>
      </c>
      <c r="F952" t="str">
        <f>+IF(E952="","",VLOOKUP(E952,CATALOGO!G:L,6,0))</f>
        <v/>
      </c>
      <c r="G952" s="85" t="str">
        <f>IF('Consulta1'!F5044="","",'Consulta1'!F5044)</f>
        <v/>
      </c>
      <c r="H952" s="85" t="str">
        <f>IF('Consulta1'!G5044="","",'Consulta1'!G5044)</f>
        <v/>
      </c>
      <c r="I952" s="86" t="str">
        <f>IF('Consulta1'!H5044="","",'Consulta1'!H5044)</f>
        <v/>
      </c>
      <c r="J952" t="str">
        <f t="shared" si="14"/>
        <v/>
      </c>
      <c r="K952" t="str">
        <f>+IF(E952="","",VLOOKUP(E952,CATALOGO!G:I,2,0))</f>
        <v/>
      </c>
      <c r="L952" t="str">
        <f>+IF(E952="","",VLOOKUP(E952,CATALOGO!G:I,3,0))</f>
        <v/>
      </c>
      <c r="M952" s="87" t="str">
        <f>IF('Consulta1'!I5044="","",'Consulta1'!I5044)</f>
        <v/>
      </c>
      <c r="N952" s="88" t="str">
        <f>IF('Consulta1'!J5044="","",'Consulta1'!J5044)</f>
        <v/>
      </c>
    </row>
    <row r="953" spans="1:14" ht="18.75" x14ac:dyDescent="0.25">
      <c r="A953" s="82" t="str">
        <f>IF('Consulta1'!A5045="","",'Consulta1'!A5045)</f>
        <v/>
      </c>
      <c r="B953" s="82" t="str">
        <f>IF('Consulta1'!B5045="","",'Consulta1'!B5045)</f>
        <v/>
      </c>
      <c r="C953" s="83" t="str">
        <f>IF('Consulta1'!C5045="","",'Consulta1'!C5045)</f>
        <v/>
      </c>
      <c r="D953" s="84" t="str">
        <f>IF('Consulta1'!D5045="","",'Consulta1'!D5045)</f>
        <v/>
      </c>
      <c r="E953" s="82" t="str">
        <f>IF('Consulta1'!E5045="","",'Consulta1'!E5045)</f>
        <v/>
      </c>
      <c r="F953" t="str">
        <f>+IF(E953="","",VLOOKUP(E953,CATALOGO!G:L,6,0))</f>
        <v/>
      </c>
      <c r="G953" s="85" t="str">
        <f>IF('Consulta1'!F5045="","",'Consulta1'!F5045)</f>
        <v/>
      </c>
      <c r="H953" s="85" t="str">
        <f>IF('Consulta1'!G5045="","",'Consulta1'!G5045)</f>
        <v/>
      </c>
      <c r="I953" s="86" t="str">
        <f>IF('Consulta1'!H5045="","",'Consulta1'!H5045)</f>
        <v/>
      </c>
      <c r="J953" t="str">
        <f t="shared" si="14"/>
        <v/>
      </c>
      <c r="K953" t="str">
        <f>+IF(E953="","",VLOOKUP(E953,CATALOGO!G:I,2,0))</f>
        <v/>
      </c>
      <c r="L953" t="str">
        <f>+IF(E953="","",VLOOKUP(E953,CATALOGO!G:I,3,0))</f>
        <v/>
      </c>
      <c r="M953" s="87" t="str">
        <f>IF('Consulta1'!I5045="","",'Consulta1'!I5045)</f>
        <v/>
      </c>
      <c r="N953" s="88" t="str">
        <f>IF('Consulta1'!J5045="","",'Consulta1'!J5045)</f>
        <v/>
      </c>
    </row>
    <row r="954" spans="1:14" ht="18.75" x14ac:dyDescent="0.25">
      <c r="A954" s="82" t="str">
        <f>IF('Consulta1'!A5046="","",'Consulta1'!A5046)</f>
        <v/>
      </c>
      <c r="B954" s="82" t="str">
        <f>IF('Consulta1'!B5046="","",'Consulta1'!B5046)</f>
        <v/>
      </c>
      <c r="C954" s="83" t="str">
        <f>IF('Consulta1'!C5046="","",'Consulta1'!C5046)</f>
        <v/>
      </c>
      <c r="D954" s="84" t="str">
        <f>IF('Consulta1'!D5046="","",'Consulta1'!D5046)</f>
        <v/>
      </c>
      <c r="E954" s="82" t="str">
        <f>IF('Consulta1'!E5046="","",'Consulta1'!E5046)</f>
        <v/>
      </c>
      <c r="F954" t="str">
        <f>+IF(E954="","",VLOOKUP(E954,CATALOGO!G:L,6,0))</f>
        <v/>
      </c>
      <c r="G954" s="85" t="str">
        <f>IF('Consulta1'!F5046="","",'Consulta1'!F5046)</f>
        <v/>
      </c>
      <c r="H954" s="85" t="str">
        <f>IF('Consulta1'!G5046="","",'Consulta1'!G5046)</f>
        <v/>
      </c>
      <c r="I954" s="86" t="str">
        <f>IF('Consulta1'!H5046="","",'Consulta1'!H5046)</f>
        <v/>
      </c>
      <c r="J954" t="str">
        <f t="shared" si="14"/>
        <v/>
      </c>
      <c r="K954" t="str">
        <f>+IF(E954="","",VLOOKUP(E954,CATALOGO!G:I,2,0))</f>
        <v/>
      </c>
      <c r="L954" t="str">
        <f>+IF(E954="","",VLOOKUP(E954,CATALOGO!G:I,3,0))</f>
        <v/>
      </c>
      <c r="M954" s="87" t="str">
        <f>IF('Consulta1'!I5046="","",'Consulta1'!I5046)</f>
        <v/>
      </c>
      <c r="N954" s="88" t="str">
        <f>IF('Consulta1'!J5046="","",'Consulta1'!J5046)</f>
        <v/>
      </c>
    </row>
    <row r="955" spans="1:14" ht="18.75" x14ac:dyDescent="0.25">
      <c r="A955" s="82" t="str">
        <f>IF('Consulta1'!A5047="","",'Consulta1'!A5047)</f>
        <v/>
      </c>
      <c r="B955" s="82" t="str">
        <f>IF('Consulta1'!B5047="","",'Consulta1'!B5047)</f>
        <v/>
      </c>
      <c r="C955" s="83" t="str">
        <f>IF('Consulta1'!C5047="","",'Consulta1'!C5047)</f>
        <v/>
      </c>
      <c r="D955" s="84" t="str">
        <f>IF('Consulta1'!D5047="","",'Consulta1'!D5047)</f>
        <v/>
      </c>
      <c r="E955" s="82" t="str">
        <f>IF('Consulta1'!E5047="","",'Consulta1'!E5047)</f>
        <v/>
      </c>
      <c r="F955" t="str">
        <f>+IF(E955="","",VLOOKUP(E955,CATALOGO!G:L,6,0))</f>
        <v/>
      </c>
      <c r="G955" s="85" t="str">
        <f>IF('Consulta1'!F5047="","",'Consulta1'!F5047)</f>
        <v/>
      </c>
      <c r="H955" s="85" t="str">
        <f>IF('Consulta1'!G5047="","",'Consulta1'!G5047)</f>
        <v/>
      </c>
      <c r="I955" s="86" t="str">
        <f>IF('Consulta1'!H5047="","",'Consulta1'!H5047)</f>
        <v/>
      </c>
      <c r="J955" t="str">
        <f t="shared" si="14"/>
        <v/>
      </c>
      <c r="K955" t="str">
        <f>+IF(E955="","",VLOOKUP(E955,CATALOGO!G:I,2,0))</f>
        <v/>
      </c>
      <c r="L955" t="str">
        <f>+IF(E955="","",VLOOKUP(E955,CATALOGO!G:I,3,0))</f>
        <v/>
      </c>
      <c r="M955" s="87" t="str">
        <f>IF('Consulta1'!I5047="","",'Consulta1'!I5047)</f>
        <v/>
      </c>
      <c r="N955" s="88" t="str">
        <f>IF('Consulta1'!J5047="","",'Consulta1'!J5047)</f>
        <v/>
      </c>
    </row>
    <row r="956" spans="1:14" ht="18.75" x14ac:dyDescent="0.25">
      <c r="A956" s="82" t="str">
        <f>IF('Consulta1'!A5048="","",'Consulta1'!A5048)</f>
        <v/>
      </c>
      <c r="B956" s="82" t="str">
        <f>IF('Consulta1'!B5048="","",'Consulta1'!B5048)</f>
        <v/>
      </c>
      <c r="C956" s="83" t="str">
        <f>IF('Consulta1'!C5048="","",'Consulta1'!C5048)</f>
        <v/>
      </c>
      <c r="D956" s="84" t="str">
        <f>IF('Consulta1'!D5048="","",'Consulta1'!D5048)</f>
        <v/>
      </c>
      <c r="E956" s="82" t="str">
        <f>IF('Consulta1'!E5048="","",'Consulta1'!E5048)</f>
        <v/>
      </c>
      <c r="F956" t="str">
        <f>+IF(E956="","",VLOOKUP(E956,CATALOGO!G:L,6,0))</f>
        <v/>
      </c>
      <c r="G956" s="85" t="str">
        <f>IF('Consulta1'!F5048="","",'Consulta1'!F5048)</f>
        <v/>
      </c>
      <c r="H956" s="85" t="str">
        <f>IF('Consulta1'!G5048="","",'Consulta1'!G5048)</f>
        <v/>
      </c>
      <c r="I956" s="86" t="str">
        <f>IF('Consulta1'!H5048="","",'Consulta1'!H5048)</f>
        <v/>
      </c>
      <c r="J956" t="str">
        <f t="shared" si="14"/>
        <v/>
      </c>
      <c r="K956" t="str">
        <f>+IF(E956="","",VLOOKUP(E956,CATALOGO!G:I,2,0))</f>
        <v/>
      </c>
      <c r="L956" t="str">
        <f>+IF(E956="","",VLOOKUP(E956,CATALOGO!G:I,3,0))</f>
        <v/>
      </c>
      <c r="M956" s="87" t="str">
        <f>IF('Consulta1'!I5048="","",'Consulta1'!I5048)</f>
        <v/>
      </c>
      <c r="N956" s="88" t="str">
        <f>IF('Consulta1'!J5048="","",'Consulta1'!J5048)</f>
        <v/>
      </c>
    </row>
    <row r="957" spans="1:14" ht="18.75" x14ac:dyDescent="0.25">
      <c r="A957" s="82" t="str">
        <f>IF('Consulta1'!A5049="","",'Consulta1'!A5049)</f>
        <v/>
      </c>
      <c r="B957" s="82" t="str">
        <f>IF('Consulta1'!B5049="","",'Consulta1'!B5049)</f>
        <v/>
      </c>
      <c r="C957" s="83" t="str">
        <f>IF('Consulta1'!C5049="","",'Consulta1'!C5049)</f>
        <v/>
      </c>
      <c r="D957" s="84" t="str">
        <f>IF('Consulta1'!D5049="","",'Consulta1'!D5049)</f>
        <v/>
      </c>
      <c r="E957" s="82" t="str">
        <f>IF('Consulta1'!E5049="","",'Consulta1'!E5049)</f>
        <v/>
      </c>
      <c r="F957" t="str">
        <f>+IF(E957="","",VLOOKUP(E957,CATALOGO!G:L,6,0))</f>
        <v/>
      </c>
      <c r="G957" s="85" t="str">
        <f>IF('Consulta1'!F5049="","",'Consulta1'!F5049)</f>
        <v/>
      </c>
      <c r="H957" s="85" t="str">
        <f>IF('Consulta1'!G5049="","",'Consulta1'!G5049)</f>
        <v/>
      </c>
      <c r="I957" s="86" t="str">
        <f>IF('Consulta1'!H5049="","",'Consulta1'!H5049)</f>
        <v/>
      </c>
      <c r="J957" t="str">
        <f t="shared" si="14"/>
        <v/>
      </c>
      <c r="K957" t="str">
        <f>+IF(E957="","",VLOOKUP(E957,CATALOGO!G:I,2,0))</f>
        <v/>
      </c>
      <c r="L957" t="str">
        <f>+IF(E957="","",VLOOKUP(E957,CATALOGO!G:I,3,0))</f>
        <v/>
      </c>
      <c r="M957" s="87" t="str">
        <f>IF('Consulta1'!I5049="","",'Consulta1'!I5049)</f>
        <v/>
      </c>
      <c r="N957" s="88" t="str">
        <f>IF('Consulta1'!J5049="","",'Consulta1'!J5049)</f>
        <v/>
      </c>
    </row>
    <row r="958" spans="1:14" ht="18.75" x14ac:dyDescent="0.25">
      <c r="A958" s="82" t="str">
        <f>IF('Consulta1'!A5050="","",'Consulta1'!A5050)</f>
        <v/>
      </c>
      <c r="B958" s="82" t="str">
        <f>IF('Consulta1'!B5050="","",'Consulta1'!B5050)</f>
        <v/>
      </c>
      <c r="C958" s="83" t="str">
        <f>IF('Consulta1'!C5050="","",'Consulta1'!C5050)</f>
        <v/>
      </c>
      <c r="D958" s="84" t="str">
        <f>IF('Consulta1'!D5050="","",'Consulta1'!D5050)</f>
        <v/>
      </c>
      <c r="E958" s="82" t="str">
        <f>IF('Consulta1'!E5050="","",'Consulta1'!E5050)</f>
        <v/>
      </c>
      <c r="F958" t="str">
        <f>+IF(E958="","",VLOOKUP(E958,CATALOGO!G:L,6,0))</f>
        <v/>
      </c>
      <c r="G958" s="85" t="str">
        <f>IF('Consulta1'!F5050="","",'Consulta1'!F5050)</f>
        <v/>
      </c>
      <c r="H958" s="85" t="str">
        <f>IF('Consulta1'!G5050="","",'Consulta1'!G5050)</f>
        <v/>
      </c>
      <c r="I958" s="86" t="str">
        <f>IF('Consulta1'!H5050="","",'Consulta1'!H5050)</f>
        <v/>
      </c>
      <c r="J958" t="str">
        <f t="shared" si="14"/>
        <v/>
      </c>
      <c r="K958" t="str">
        <f>+IF(E958="","",VLOOKUP(E958,CATALOGO!G:I,2,0))</f>
        <v/>
      </c>
      <c r="L958" t="str">
        <f>+IF(E958="","",VLOOKUP(E958,CATALOGO!G:I,3,0))</f>
        <v/>
      </c>
      <c r="M958" s="87" t="str">
        <f>IF('Consulta1'!I5050="","",'Consulta1'!I5050)</f>
        <v/>
      </c>
      <c r="N958" s="88" t="str">
        <f>IF('Consulta1'!J5050="","",'Consulta1'!J5050)</f>
        <v/>
      </c>
    </row>
    <row r="959" spans="1:14" ht="18.75" x14ac:dyDescent="0.25">
      <c r="A959" s="82" t="str">
        <f>IF('Consulta1'!A5051="","",'Consulta1'!A5051)</f>
        <v/>
      </c>
      <c r="B959" s="82" t="str">
        <f>IF('Consulta1'!B5051="","",'Consulta1'!B5051)</f>
        <v/>
      </c>
      <c r="C959" s="83" t="str">
        <f>IF('Consulta1'!C5051="","",'Consulta1'!C5051)</f>
        <v/>
      </c>
      <c r="D959" s="84" t="str">
        <f>IF('Consulta1'!D5051="","",'Consulta1'!D5051)</f>
        <v/>
      </c>
      <c r="E959" s="82" t="str">
        <f>IF('Consulta1'!E5051="","",'Consulta1'!E5051)</f>
        <v/>
      </c>
      <c r="F959" t="str">
        <f>+IF(E959="","",VLOOKUP(E959,CATALOGO!G:L,6,0))</f>
        <v/>
      </c>
      <c r="G959" s="85" t="str">
        <f>IF('Consulta1'!F5051="","",'Consulta1'!F5051)</f>
        <v/>
      </c>
      <c r="H959" s="85" t="str">
        <f>IF('Consulta1'!G5051="","",'Consulta1'!G5051)</f>
        <v/>
      </c>
      <c r="I959" s="86" t="str">
        <f>IF('Consulta1'!H5051="","",'Consulta1'!H5051)</f>
        <v/>
      </c>
      <c r="J959" t="str">
        <f t="shared" si="14"/>
        <v/>
      </c>
      <c r="K959" t="str">
        <f>+IF(E959="","",VLOOKUP(E959,CATALOGO!G:I,2,0))</f>
        <v/>
      </c>
      <c r="L959" t="str">
        <f>+IF(E959="","",VLOOKUP(E959,CATALOGO!G:I,3,0))</f>
        <v/>
      </c>
      <c r="M959" s="87" t="str">
        <f>IF('Consulta1'!I5051="","",'Consulta1'!I5051)</f>
        <v/>
      </c>
      <c r="N959" s="88" t="str">
        <f>IF('Consulta1'!J5051="","",'Consulta1'!J5051)</f>
        <v/>
      </c>
    </row>
    <row r="960" spans="1:14" ht="18.75" x14ac:dyDescent="0.25">
      <c r="A960" s="82" t="str">
        <f>IF('Consulta1'!A5052="","",'Consulta1'!A5052)</f>
        <v/>
      </c>
      <c r="B960" s="82" t="str">
        <f>IF('Consulta1'!B5052="","",'Consulta1'!B5052)</f>
        <v/>
      </c>
      <c r="C960" s="83" t="str">
        <f>IF('Consulta1'!C5052="","",'Consulta1'!C5052)</f>
        <v/>
      </c>
      <c r="D960" s="84" t="str">
        <f>IF('Consulta1'!D5052="","",'Consulta1'!D5052)</f>
        <v/>
      </c>
      <c r="E960" s="82" t="str">
        <f>IF('Consulta1'!E5052="","",'Consulta1'!E5052)</f>
        <v/>
      </c>
      <c r="F960" t="str">
        <f>+IF(E960="","",VLOOKUP(E960,CATALOGO!G:L,6,0))</f>
        <v/>
      </c>
      <c r="G960" s="85" t="str">
        <f>IF('Consulta1'!F5052="","",'Consulta1'!F5052)</f>
        <v/>
      </c>
      <c r="H960" s="85" t="str">
        <f>IF('Consulta1'!G5052="","",'Consulta1'!G5052)</f>
        <v/>
      </c>
      <c r="I960" s="86" t="str">
        <f>IF('Consulta1'!H5052="","",'Consulta1'!H5052)</f>
        <v/>
      </c>
      <c r="J960" t="str">
        <f t="shared" si="14"/>
        <v/>
      </c>
      <c r="K960" t="str">
        <f>+IF(E960="","",VLOOKUP(E960,CATALOGO!G:I,2,0))</f>
        <v/>
      </c>
      <c r="L960" t="str">
        <f>+IF(E960="","",VLOOKUP(E960,CATALOGO!G:I,3,0))</f>
        <v/>
      </c>
      <c r="M960" s="87" t="str">
        <f>IF('Consulta1'!I5052="","",'Consulta1'!I5052)</f>
        <v/>
      </c>
      <c r="N960" s="88" t="str">
        <f>IF('Consulta1'!J5052="","",'Consulta1'!J5052)</f>
        <v/>
      </c>
    </row>
    <row r="961" spans="1:14" ht="18.75" x14ac:dyDescent="0.25">
      <c r="A961" s="82" t="str">
        <f>IF('Consulta1'!A5053="","",'Consulta1'!A5053)</f>
        <v/>
      </c>
      <c r="B961" s="82" t="str">
        <f>IF('Consulta1'!B5053="","",'Consulta1'!B5053)</f>
        <v/>
      </c>
      <c r="C961" s="83" t="str">
        <f>IF('Consulta1'!C5053="","",'Consulta1'!C5053)</f>
        <v/>
      </c>
      <c r="D961" s="84" t="str">
        <f>IF('Consulta1'!D5053="","",'Consulta1'!D5053)</f>
        <v/>
      </c>
      <c r="E961" s="82" t="str">
        <f>IF('Consulta1'!E5053="","",'Consulta1'!E5053)</f>
        <v/>
      </c>
      <c r="F961" t="str">
        <f>+IF(E961="","",VLOOKUP(E961,CATALOGO!G:L,6,0))</f>
        <v/>
      </c>
      <c r="G961" s="85" t="str">
        <f>IF('Consulta1'!F5053="","",'Consulta1'!F5053)</f>
        <v/>
      </c>
      <c r="H961" s="85" t="str">
        <f>IF('Consulta1'!G5053="","",'Consulta1'!G5053)</f>
        <v/>
      </c>
      <c r="I961" s="86" t="str">
        <f>IF('Consulta1'!H5053="","",'Consulta1'!H5053)</f>
        <v/>
      </c>
      <c r="J961" t="str">
        <f t="shared" si="14"/>
        <v/>
      </c>
      <c r="K961" t="str">
        <f>+IF(E961="","",VLOOKUP(E961,CATALOGO!G:I,2,0))</f>
        <v/>
      </c>
      <c r="L961" t="str">
        <f>+IF(E961="","",VLOOKUP(E961,CATALOGO!G:I,3,0))</f>
        <v/>
      </c>
      <c r="M961" s="87" t="str">
        <f>IF('Consulta1'!I5053="","",'Consulta1'!I5053)</f>
        <v/>
      </c>
      <c r="N961" s="88" t="str">
        <f>IF('Consulta1'!J5053="","",'Consulta1'!J5053)</f>
        <v/>
      </c>
    </row>
    <row r="962" spans="1:14" ht="18.75" x14ac:dyDescent="0.25">
      <c r="A962" s="82" t="str">
        <f>IF('Consulta1'!A5054="","",'Consulta1'!A5054)</f>
        <v/>
      </c>
      <c r="B962" s="82" t="str">
        <f>IF('Consulta1'!B5054="","",'Consulta1'!B5054)</f>
        <v/>
      </c>
      <c r="C962" s="83" t="str">
        <f>IF('Consulta1'!C5054="","",'Consulta1'!C5054)</f>
        <v/>
      </c>
      <c r="D962" s="84" t="str">
        <f>IF('Consulta1'!D5054="","",'Consulta1'!D5054)</f>
        <v/>
      </c>
      <c r="E962" s="82" t="str">
        <f>IF('Consulta1'!E5054="","",'Consulta1'!E5054)</f>
        <v/>
      </c>
      <c r="F962" t="str">
        <f>+IF(E962="","",VLOOKUP(E962,CATALOGO!G:L,6,0))</f>
        <v/>
      </c>
      <c r="G962" s="85" t="str">
        <f>IF('Consulta1'!F5054="","",'Consulta1'!F5054)</f>
        <v/>
      </c>
      <c r="H962" s="85" t="str">
        <f>IF('Consulta1'!G5054="","",'Consulta1'!G5054)</f>
        <v/>
      </c>
      <c r="I962" s="86" t="str">
        <f>IF('Consulta1'!H5054="","",'Consulta1'!H5054)</f>
        <v/>
      </c>
      <c r="J962" t="str">
        <f t="shared" si="14"/>
        <v/>
      </c>
      <c r="K962" t="str">
        <f>+IF(E962="","",VLOOKUP(E962,CATALOGO!G:I,2,0))</f>
        <v/>
      </c>
      <c r="L962" t="str">
        <f>+IF(E962="","",VLOOKUP(E962,CATALOGO!G:I,3,0))</f>
        <v/>
      </c>
      <c r="M962" s="87" t="str">
        <f>IF('Consulta1'!I5054="","",'Consulta1'!I5054)</f>
        <v/>
      </c>
      <c r="N962" s="88" t="str">
        <f>IF('Consulta1'!J5054="","",'Consulta1'!J5054)</f>
        <v/>
      </c>
    </row>
    <row r="963" spans="1:14" ht="18.75" x14ac:dyDescent="0.25">
      <c r="A963" s="82" t="str">
        <f>IF('Consulta1'!A5055="","",'Consulta1'!A5055)</f>
        <v/>
      </c>
      <c r="B963" s="82" t="str">
        <f>IF('Consulta1'!B5055="","",'Consulta1'!B5055)</f>
        <v/>
      </c>
      <c r="C963" s="83" t="str">
        <f>IF('Consulta1'!C5055="","",'Consulta1'!C5055)</f>
        <v/>
      </c>
      <c r="D963" s="84" t="str">
        <f>IF('Consulta1'!D5055="","",'Consulta1'!D5055)</f>
        <v/>
      </c>
      <c r="E963" s="82" t="str">
        <f>IF('Consulta1'!E5055="","",'Consulta1'!E5055)</f>
        <v/>
      </c>
      <c r="F963" t="str">
        <f>+IF(E963="","",VLOOKUP(E963,CATALOGO!G:L,6,0))</f>
        <v/>
      </c>
      <c r="G963" s="85" t="str">
        <f>IF('Consulta1'!F5055="","",'Consulta1'!F5055)</f>
        <v/>
      </c>
      <c r="H963" s="85" t="str">
        <f>IF('Consulta1'!G5055="","",'Consulta1'!G5055)</f>
        <v/>
      </c>
      <c r="I963" s="86" t="str">
        <f>IF('Consulta1'!H5055="","",'Consulta1'!H5055)</f>
        <v/>
      </c>
      <c r="J963" t="str">
        <f t="shared" ref="J963:J1001" si="15">+IF(E963="","",WEEKNUM(I963))</f>
        <v/>
      </c>
      <c r="K963" t="str">
        <f>+IF(E963="","",VLOOKUP(E963,CATALOGO!G:I,2,0))</f>
        <v/>
      </c>
      <c r="L963" t="str">
        <f>+IF(E963="","",VLOOKUP(E963,CATALOGO!G:I,3,0))</f>
        <v/>
      </c>
      <c r="M963" s="87" t="str">
        <f>IF('Consulta1'!I5055="","",'Consulta1'!I5055)</f>
        <v/>
      </c>
      <c r="N963" s="88" t="str">
        <f>IF('Consulta1'!J5055="","",'Consulta1'!J5055)</f>
        <v/>
      </c>
    </row>
    <row r="964" spans="1:14" ht="18.75" x14ac:dyDescent="0.25">
      <c r="A964" s="82" t="str">
        <f>IF('Consulta1'!A5056="","",'Consulta1'!A5056)</f>
        <v/>
      </c>
      <c r="B964" s="82" t="str">
        <f>IF('Consulta1'!B5056="","",'Consulta1'!B5056)</f>
        <v/>
      </c>
      <c r="C964" s="83" t="str">
        <f>IF('Consulta1'!C5056="","",'Consulta1'!C5056)</f>
        <v/>
      </c>
      <c r="D964" s="84" t="str">
        <f>IF('Consulta1'!D5056="","",'Consulta1'!D5056)</f>
        <v/>
      </c>
      <c r="E964" s="82" t="str">
        <f>IF('Consulta1'!E5056="","",'Consulta1'!E5056)</f>
        <v/>
      </c>
      <c r="F964" t="str">
        <f>+IF(E964="","",VLOOKUP(E964,CATALOGO!G:L,6,0))</f>
        <v/>
      </c>
      <c r="G964" s="85" t="str">
        <f>IF('Consulta1'!F5056="","",'Consulta1'!F5056)</f>
        <v/>
      </c>
      <c r="H964" s="85" t="str">
        <f>IF('Consulta1'!G5056="","",'Consulta1'!G5056)</f>
        <v/>
      </c>
      <c r="I964" s="86" t="str">
        <f>IF('Consulta1'!H5056="","",'Consulta1'!H5056)</f>
        <v/>
      </c>
      <c r="J964" t="str">
        <f t="shared" si="15"/>
        <v/>
      </c>
      <c r="K964" t="str">
        <f>+IF(E964="","",VLOOKUP(E964,CATALOGO!G:I,2,0))</f>
        <v/>
      </c>
      <c r="L964" t="str">
        <f>+IF(E964="","",VLOOKUP(E964,CATALOGO!G:I,3,0))</f>
        <v/>
      </c>
      <c r="M964" s="87" t="str">
        <f>IF('Consulta1'!I5056="","",'Consulta1'!I5056)</f>
        <v/>
      </c>
      <c r="N964" s="88" t="str">
        <f>IF('Consulta1'!J5056="","",'Consulta1'!J5056)</f>
        <v/>
      </c>
    </row>
    <row r="965" spans="1:14" ht="18.75" x14ac:dyDescent="0.25">
      <c r="A965" s="82" t="str">
        <f>IF('Consulta1'!A5057="","",'Consulta1'!A5057)</f>
        <v/>
      </c>
      <c r="B965" s="82" t="str">
        <f>IF('Consulta1'!B5057="","",'Consulta1'!B5057)</f>
        <v/>
      </c>
      <c r="C965" s="83" t="str">
        <f>IF('Consulta1'!C5057="","",'Consulta1'!C5057)</f>
        <v/>
      </c>
      <c r="D965" s="84" t="str">
        <f>IF('Consulta1'!D5057="","",'Consulta1'!D5057)</f>
        <v/>
      </c>
      <c r="E965" s="82" t="str">
        <f>IF('Consulta1'!E5057="","",'Consulta1'!E5057)</f>
        <v/>
      </c>
      <c r="F965" t="str">
        <f>+IF(E965="","",VLOOKUP(E965,CATALOGO!G:L,6,0))</f>
        <v/>
      </c>
      <c r="G965" s="85" t="str">
        <f>IF('Consulta1'!F5057="","",'Consulta1'!F5057)</f>
        <v/>
      </c>
      <c r="H965" s="85" t="str">
        <f>IF('Consulta1'!G5057="","",'Consulta1'!G5057)</f>
        <v/>
      </c>
      <c r="I965" s="86" t="str">
        <f>IF('Consulta1'!H5057="","",'Consulta1'!H5057)</f>
        <v/>
      </c>
      <c r="J965" t="str">
        <f t="shared" si="15"/>
        <v/>
      </c>
      <c r="K965" t="str">
        <f>+IF(E965="","",VLOOKUP(E965,CATALOGO!G:I,2,0))</f>
        <v/>
      </c>
      <c r="L965" t="str">
        <f>+IF(E965="","",VLOOKUP(E965,CATALOGO!G:I,3,0))</f>
        <v/>
      </c>
      <c r="M965" s="87" t="str">
        <f>IF('Consulta1'!I5057="","",'Consulta1'!I5057)</f>
        <v/>
      </c>
      <c r="N965" s="88" t="str">
        <f>IF('Consulta1'!J5057="","",'Consulta1'!J5057)</f>
        <v/>
      </c>
    </row>
    <row r="966" spans="1:14" ht="18.75" x14ac:dyDescent="0.25">
      <c r="A966" s="82" t="str">
        <f>IF('Consulta1'!A5058="","",'Consulta1'!A5058)</f>
        <v/>
      </c>
      <c r="B966" s="82" t="str">
        <f>IF('Consulta1'!B5058="","",'Consulta1'!B5058)</f>
        <v/>
      </c>
      <c r="C966" s="83" t="str">
        <f>IF('Consulta1'!C5058="","",'Consulta1'!C5058)</f>
        <v/>
      </c>
      <c r="D966" s="84" t="str">
        <f>IF('Consulta1'!D5058="","",'Consulta1'!D5058)</f>
        <v/>
      </c>
      <c r="E966" s="82" t="str">
        <f>IF('Consulta1'!E5058="","",'Consulta1'!E5058)</f>
        <v/>
      </c>
      <c r="F966" t="str">
        <f>+IF(E966="","",VLOOKUP(E966,CATALOGO!G:L,6,0))</f>
        <v/>
      </c>
      <c r="G966" s="85" t="str">
        <f>IF('Consulta1'!F5058="","",'Consulta1'!F5058)</f>
        <v/>
      </c>
      <c r="H966" s="85" t="str">
        <f>IF('Consulta1'!G5058="","",'Consulta1'!G5058)</f>
        <v/>
      </c>
      <c r="I966" s="86" t="str">
        <f>IF('Consulta1'!H5058="","",'Consulta1'!H5058)</f>
        <v/>
      </c>
      <c r="J966" t="str">
        <f t="shared" si="15"/>
        <v/>
      </c>
      <c r="K966" t="str">
        <f>+IF(E966="","",VLOOKUP(E966,CATALOGO!G:I,2,0))</f>
        <v/>
      </c>
      <c r="L966" t="str">
        <f>+IF(E966="","",VLOOKUP(E966,CATALOGO!G:I,3,0))</f>
        <v/>
      </c>
      <c r="M966" s="87" t="str">
        <f>IF('Consulta1'!I5058="","",'Consulta1'!I5058)</f>
        <v/>
      </c>
      <c r="N966" s="88" t="str">
        <f>IF('Consulta1'!J5058="","",'Consulta1'!J5058)</f>
        <v/>
      </c>
    </row>
    <row r="967" spans="1:14" ht="18.75" x14ac:dyDescent="0.25">
      <c r="A967" s="82" t="str">
        <f>IF('Consulta1'!A5059="","",'Consulta1'!A5059)</f>
        <v/>
      </c>
      <c r="B967" s="82" t="str">
        <f>IF('Consulta1'!B5059="","",'Consulta1'!B5059)</f>
        <v/>
      </c>
      <c r="C967" s="83" t="str">
        <f>IF('Consulta1'!C5059="","",'Consulta1'!C5059)</f>
        <v/>
      </c>
      <c r="D967" s="84" t="str">
        <f>IF('Consulta1'!D5059="","",'Consulta1'!D5059)</f>
        <v/>
      </c>
      <c r="E967" s="82" t="str">
        <f>IF('Consulta1'!E5059="","",'Consulta1'!E5059)</f>
        <v/>
      </c>
      <c r="F967" t="str">
        <f>+IF(E967="","",VLOOKUP(E967,CATALOGO!G:L,6,0))</f>
        <v/>
      </c>
      <c r="G967" s="85" t="str">
        <f>IF('Consulta1'!F5059="","",'Consulta1'!F5059)</f>
        <v/>
      </c>
      <c r="H967" s="85" t="str">
        <f>IF('Consulta1'!G5059="","",'Consulta1'!G5059)</f>
        <v/>
      </c>
      <c r="I967" s="86" t="str">
        <f>IF('Consulta1'!H5059="","",'Consulta1'!H5059)</f>
        <v/>
      </c>
      <c r="J967" t="str">
        <f t="shared" si="15"/>
        <v/>
      </c>
      <c r="K967" t="str">
        <f>+IF(E967="","",VLOOKUP(E967,CATALOGO!G:I,2,0))</f>
        <v/>
      </c>
      <c r="L967" t="str">
        <f>+IF(E967="","",VLOOKUP(E967,CATALOGO!G:I,3,0))</f>
        <v/>
      </c>
      <c r="M967" s="87" t="str">
        <f>IF('Consulta1'!I5059="","",'Consulta1'!I5059)</f>
        <v/>
      </c>
      <c r="N967" s="88" t="str">
        <f>IF('Consulta1'!J5059="","",'Consulta1'!J5059)</f>
        <v/>
      </c>
    </row>
    <row r="968" spans="1:14" ht="18.75" x14ac:dyDescent="0.25">
      <c r="A968" s="82" t="str">
        <f>IF('Consulta1'!A5060="","",'Consulta1'!A5060)</f>
        <v/>
      </c>
      <c r="B968" s="82" t="str">
        <f>IF('Consulta1'!B5060="","",'Consulta1'!B5060)</f>
        <v/>
      </c>
      <c r="C968" s="83" t="str">
        <f>IF('Consulta1'!C5060="","",'Consulta1'!C5060)</f>
        <v/>
      </c>
      <c r="D968" s="84" t="str">
        <f>IF('Consulta1'!D5060="","",'Consulta1'!D5060)</f>
        <v/>
      </c>
      <c r="E968" s="82" t="str">
        <f>IF('Consulta1'!E5060="","",'Consulta1'!E5060)</f>
        <v/>
      </c>
      <c r="F968" t="str">
        <f>+IF(E968="","",VLOOKUP(E968,CATALOGO!G:L,6,0))</f>
        <v/>
      </c>
      <c r="G968" s="85" t="str">
        <f>IF('Consulta1'!F5060="","",'Consulta1'!F5060)</f>
        <v/>
      </c>
      <c r="H968" s="85" t="str">
        <f>IF('Consulta1'!G5060="","",'Consulta1'!G5060)</f>
        <v/>
      </c>
      <c r="I968" s="86" t="str">
        <f>IF('Consulta1'!H5060="","",'Consulta1'!H5060)</f>
        <v/>
      </c>
      <c r="J968" t="str">
        <f t="shared" si="15"/>
        <v/>
      </c>
      <c r="K968" t="str">
        <f>+IF(E968="","",VLOOKUP(E968,CATALOGO!G:I,2,0))</f>
        <v/>
      </c>
      <c r="L968" t="str">
        <f>+IF(E968="","",VLOOKUP(E968,CATALOGO!G:I,3,0))</f>
        <v/>
      </c>
      <c r="M968" s="87" t="str">
        <f>IF('Consulta1'!I5060="","",'Consulta1'!I5060)</f>
        <v/>
      </c>
      <c r="N968" s="88" t="str">
        <f>IF('Consulta1'!J5060="","",'Consulta1'!J5060)</f>
        <v/>
      </c>
    </row>
    <row r="969" spans="1:14" ht="18.75" x14ac:dyDescent="0.25">
      <c r="A969" s="82" t="str">
        <f>IF('Consulta1'!A5061="","",'Consulta1'!A5061)</f>
        <v/>
      </c>
      <c r="B969" s="82" t="str">
        <f>IF('Consulta1'!B5061="","",'Consulta1'!B5061)</f>
        <v/>
      </c>
      <c r="C969" s="83" t="str">
        <f>IF('Consulta1'!C5061="","",'Consulta1'!C5061)</f>
        <v/>
      </c>
      <c r="D969" s="84" t="str">
        <f>IF('Consulta1'!D5061="","",'Consulta1'!D5061)</f>
        <v/>
      </c>
      <c r="E969" s="82" t="str">
        <f>IF('Consulta1'!E5061="","",'Consulta1'!E5061)</f>
        <v/>
      </c>
      <c r="F969" t="str">
        <f>+IF(E969="","",VLOOKUP(E969,CATALOGO!G:L,6,0))</f>
        <v/>
      </c>
      <c r="G969" s="85" t="str">
        <f>IF('Consulta1'!F5061="","",'Consulta1'!F5061)</f>
        <v/>
      </c>
      <c r="H969" s="85" t="str">
        <f>IF('Consulta1'!G5061="","",'Consulta1'!G5061)</f>
        <v/>
      </c>
      <c r="I969" s="86" t="str">
        <f>IF('Consulta1'!H5061="","",'Consulta1'!H5061)</f>
        <v/>
      </c>
      <c r="J969" t="str">
        <f t="shared" si="15"/>
        <v/>
      </c>
      <c r="K969" t="str">
        <f>+IF(E969="","",VLOOKUP(E969,CATALOGO!G:I,2,0))</f>
        <v/>
      </c>
      <c r="L969" t="str">
        <f>+IF(E969="","",VLOOKUP(E969,CATALOGO!G:I,3,0))</f>
        <v/>
      </c>
      <c r="M969" s="87" t="str">
        <f>IF('Consulta1'!I5061="","",'Consulta1'!I5061)</f>
        <v/>
      </c>
      <c r="N969" s="88" t="str">
        <f>IF('Consulta1'!J5061="","",'Consulta1'!J5061)</f>
        <v/>
      </c>
    </row>
    <row r="970" spans="1:14" ht="18.75" x14ac:dyDescent="0.25">
      <c r="A970" s="82" t="str">
        <f>IF('Consulta1'!A5062="","",'Consulta1'!A5062)</f>
        <v/>
      </c>
      <c r="B970" s="82" t="str">
        <f>IF('Consulta1'!B5062="","",'Consulta1'!B5062)</f>
        <v/>
      </c>
      <c r="C970" s="83" t="str">
        <f>IF('Consulta1'!C5062="","",'Consulta1'!C5062)</f>
        <v/>
      </c>
      <c r="D970" s="84" t="str">
        <f>IF('Consulta1'!D5062="","",'Consulta1'!D5062)</f>
        <v/>
      </c>
      <c r="E970" s="82" t="str">
        <f>IF('Consulta1'!E5062="","",'Consulta1'!E5062)</f>
        <v/>
      </c>
      <c r="F970" t="str">
        <f>+IF(E970="","",VLOOKUP(E970,CATALOGO!G:L,6,0))</f>
        <v/>
      </c>
      <c r="G970" s="85" t="str">
        <f>IF('Consulta1'!F5062="","",'Consulta1'!F5062)</f>
        <v/>
      </c>
      <c r="H970" s="85" t="str">
        <f>IF('Consulta1'!G5062="","",'Consulta1'!G5062)</f>
        <v/>
      </c>
      <c r="I970" s="86" t="str">
        <f>IF('Consulta1'!H5062="","",'Consulta1'!H5062)</f>
        <v/>
      </c>
      <c r="J970" t="str">
        <f t="shared" si="15"/>
        <v/>
      </c>
      <c r="K970" t="str">
        <f>+IF(E970="","",VLOOKUP(E970,CATALOGO!G:I,2,0))</f>
        <v/>
      </c>
      <c r="L970" t="str">
        <f>+IF(E970="","",VLOOKUP(E970,CATALOGO!G:I,3,0))</f>
        <v/>
      </c>
      <c r="M970" s="87" t="str">
        <f>IF('Consulta1'!I5062="","",'Consulta1'!I5062)</f>
        <v/>
      </c>
      <c r="N970" s="88" t="str">
        <f>IF('Consulta1'!J5062="","",'Consulta1'!J5062)</f>
        <v/>
      </c>
    </row>
    <row r="971" spans="1:14" ht="18.75" x14ac:dyDescent="0.25">
      <c r="A971" s="82" t="str">
        <f>IF('Consulta1'!A5063="","",'Consulta1'!A5063)</f>
        <v/>
      </c>
      <c r="B971" s="82" t="str">
        <f>IF('Consulta1'!B5063="","",'Consulta1'!B5063)</f>
        <v/>
      </c>
      <c r="C971" s="83" t="str">
        <f>IF('Consulta1'!C5063="","",'Consulta1'!C5063)</f>
        <v/>
      </c>
      <c r="D971" s="84" t="str">
        <f>IF('Consulta1'!D5063="","",'Consulta1'!D5063)</f>
        <v/>
      </c>
      <c r="E971" s="82" t="str">
        <f>IF('Consulta1'!E5063="","",'Consulta1'!E5063)</f>
        <v/>
      </c>
      <c r="F971" t="str">
        <f>+IF(E971="","",VLOOKUP(E971,CATALOGO!G:L,6,0))</f>
        <v/>
      </c>
      <c r="G971" s="85" t="str">
        <f>IF('Consulta1'!F5063="","",'Consulta1'!F5063)</f>
        <v/>
      </c>
      <c r="H971" s="85" t="str">
        <f>IF('Consulta1'!G5063="","",'Consulta1'!G5063)</f>
        <v/>
      </c>
      <c r="I971" s="86" t="str">
        <f>IF('Consulta1'!H5063="","",'Consulta1'!H5063)</f>
        <v/>
      </c>
      <c r="J971" t="str">
        <f t="shared" si="15"/>
        <v/>
      </c>
      <c r="K971" t="str">
        <f>+IF(E971="","",VLOOKUP(E971,CATALOGO!G:I,2,0))</f>
        <v/>
      </c>
      <c r="L971" t="str">
        <f>+IF(E971="","",VLOOKUP(E971,CATALOGO!G:I,3,0))</f>
        <v/>
      </c>
      <c r="M971" s="87" t="str">
        <f>IF('Consulta1'!I5063="","",'Consulta1'!I5063)</f>
        <v/>
      </c>
      <c r="N971" s="88" t="str">
        <f>IF('Consulta1'!J5063="","",'Consulta1'!J5063)</f>
        <v/>
      </c>
    </row>
    <row r="972" spans="1:14" ht="18.75" x14ac:dyDescent="0.25">
      <c r="A972" s="82" t="str">
        <f>IF('Consulta1'!A5064="","",'Consulta1'!A5064)</f>
        <v/>
      </c>
      <c r="B972" s="82" t="str">
        <f>IF('Consulta1'!B5064="","",'Consulta1'!B5064)</f>
        <v/>
      </c>
      <c r="C972" s="83" t="str">
        <f>IF('Consulta1'!C5064="","",'Consulta1'!C5064)</f>
        <v/>
      </c>
      <c r="D972" s="84" t="str">
        <f>IF('Consulta1'!D5064="","",'Consulta1'!D5064)</f>
        <v/>
      </c>
      <c r="E972" s="82" t="str">
        <f>IF('Consulta1'!E5064="","",'Consulta1'!E5064)</f>
        <v/>
      </c>
      <c r="F972" t="str">
        <f>+IF(E972="","",VLOOKUP(E972,CATALOGO!G:L,6,0))</f>
        <v/>
      </c>
      <c r="G972" s="85" t="str">
        <f>IF('Consulta1'!F5064="","",'Consulta1'!F5064)</f>
        <v/>
      </c>
      <c r="H972" s="85" t="str">
        <f>IF('Consulta1'!G5064="","",'Consulta1'!G5064)</f>
        <v/>
      </c>
      <c r="I972" s="86" t="str">
        <f>IF('Consulta1'!H5064="","",'Consulta1'!H5064)</f>
        <v/>
      </c>
      <c r="J972" t="str">
        <f t="shared" si="15"/>
        <v/>
      </c>
      <c r="K972" t="str">
        <f>+IF(E972="","",VLOOKUP(E972,CATALOGO!G:I,2,0))</f>
        <v/>
      </c>
      <c r="L972" t="str">
        <f>+IF(E972="","",VLOOKUP(E972,CATALOGO!G:I,3,0))</f>
        <v/>
      </c>
      <c r="M972" s="87" t="str">
        <f>IF('Consulta1'!I5064="","",'Consulta1'!I5064)</f>
        <v/>
      </c>
      <c r="N972" s="88" t="str">
        <f>IF('Consulta1'!J5064="","",'Consulta1'!J5064)</f>
        <v/>
      </c>
    </row>
    <row r="973" spans="1:14" ht="18.75" x14ac:dyDescent="0.25">
      <c r="A973" s="82" t="str">
        <f>IF('Consulta1'!A5065="","",'Consulta1'!A5065)</f>
        <v/>
      </c>
      <c r="B973" s="82" t="str">
        <f>IF('Consulta1'!B5065="","",'Consulta1'!B5065)</f>
        <v/>
      </c>
      <c r="C973" s="83" t="str">
        <f>IF('Consulta1'!C5065="","",'Consulta1'!C5065)</f>
        <v/>
      </c>
      <c r="D973" s="84" t="str">
        <f>IF('Consulta1'!D5065="","",'Consulta1'!D5065)</f>
        <v/>
      </c>
      <c r="E973" s="82" t="str">
        <f>IF('Consulta1'!E5065="","",'Consulta1'!E5065)</f>
        <v/>
      </c>
      <c r="F973" t="str">
        <f>+IF(E973="","",VLOOKUP(E973,CATALOGO!G:L,6,0))</f>
        <v/>
      </c>
      <c r="G973" s="85" t="str">
        <f>IF('Consulta1'!F5065="","",'Consulta1'!F5065)</f>
        <v/>
      </c>
      <c r="H973" s="85" t="str">
        <f>IF('Consulta1'!G5065="","",'Consulta1'!G5065)</f>
        <v/>
      </c>
      <c r="I973" s="86" t="str">
        <f>IF('Consulta1'!H5065="","",'Consulta1'!H5065)</f>
        <v/>
      </c>
      <c r="J973" t="str">
        <f t="shared" si="15"/>
        <v/>
      </c>
      <c r="K973" t="str">
        <f>+IF(E973="","",VLOOKUP(E973,CATALOGO!G:I,2,0))</f>
        <v/>
      </c>
      <c r="L973" t="str">
        <f>+IF(E973="","",VLOOKUP(E973,CATALOGO!G:I,3,0))</f>
        <v/>
      </c>
      <c r="M973" s="87" t="str">
        <f>IF('Consulta1'!I5065="","",'Consulta1'!I5065)</f>
        <v/>
      </c>
      <c r="N973" s="88" t="str">
        <f>IF('Consulta1'!J5065="","",'Consulta1'!J5065)</f>
        <v/>
      </c>
    </row>
    <row r="974" spans="1:14" ht="18.75" x14ac:dyDescent="0.25">
      <c r="A974" s="82" t="str">
        <f>IF('Consulta1'!A5066="","",'Consulta1'!A5066)</f>
        <v/>
      </c>
      <c r="B974" s="82" t="str">
        <f>IF('Consulta1'!B5066="","",'Consulta1'!B5066)</f>
        <v/>
      </c>
      <c r="C974" s="83" t="str">
        <f>IF('Consulta1'!C5066="","",'Consulta1'!C5066)</f>
        <v/>
      </c>
      <c r="D974" s="84" t="str">
        <f>IF('Consulta1'!D5066="","",'Consulta1'!D5066)</f>
        <v/>
      </c>
      <c r="E974" s="82" t="str">
        <f>IF('Consulta1'!E5066="","",'Consulta1'!E5066)</f>
        <v/>
      </c>
      <c r="F974" t="str">
        <f>+IF(E974="","",VLOOKUP(E974,CATALOGO!G:L,6,0))</f>
        <v/>
      </c>
      <c r="G974" s="85" t="str">
        <f>IF('Consulta1'!F5066="","",'Consulta1'!F5066)</f>
        <v/>
      </c>
      <c r="H974" s="85" t="str">
        <f>IF('Consulta1'!G5066="","",'Consulta1'!G5066)</f>
        <v/>
      </c>
      <c r="I974" s="86" t="str">
        <f>IF('Consulta1'!H5066="","",'Consulta1'!H5066)</f>
        <v/>
      </c>
      <c r="J974" t="str">
        <f t="shared" si="15"/>
        <v/>
      </c>
      <c r="K974" t="str">
        <f>+IF(E974="","",VLOOKUP(E974,CATALOGO!G:I,2,0))</f>
        <v/>
      </c>
      <c r="L974" t="str">
        <f>+IF(E974="","",VLOOKUP(E974,CATALOGO!G:I,3,0))</f>
        <v/>
      </c>
      <c r="M974" s="87" t="str">
        <f>IF('Consulta1'!I5066="","",'Consulta1'!I5066)</f>
        <v/>
      </c>
      <c r="N974" s="88" t="str">
        <f>IF('Consulta1'!J5066="","",'Consulta1'!J5066)</f>
        <v/>
      </c>
    </row>
    <row r="975" spans="1:14" ht="18.75" x14ac:dyDescent="0.25">
      <c r="A975" s="82" t="str">
        <f>IF('Consulta1'!A5067="","",'Consulta1'!A5067)</f>
        <v/>
      </c>
      <c r="B975" s="82" t="str">
        <f>IF('Consulta1'!B5067="","",'Consulta1'!B5067)</f>
        <v/>
      </c>
      <c r="C975" s="83" t="str">
        <f>IF('Consulta1'!C5067="","",'Consulta1'!C5067)</f>
        <v/>
      </c>
      <c r="D975" s="84" t="str">
        <f>IF('Consulta1'!D5067="","",'Consulta1'!D5067)</f>
        <v/>
      </c>
      <c r="E975" s="82" t="str">
        <f>IF('Consulta1'!E5067="","",'Consulta1'!E5067)</f>
        <v/>
      </c>
      <c r="F975" t="str">
        <f>+IF(E975="","",VLOOKUP(E975,CATALOGO!G:L,6,0))</f>
        <v/>
      </c>
      <c r="G975" s="85" t="str">
        <f>IF('Consulta1'!F5067="","",'Consulta1'!F5067)</f>
        <v/>
      </c>
      <c r="H975" s="85" t="str">
        <f>IF('Consulta1'!G5067="","",'Consulta1'!G5067)</f>
        <v/>
      </c>
      <c r="I975" s="86" t="str">
        <f>IF('Consulta1'!H5067="","",'Consulta1'!H5067)</f>
        <v/>
      </c>
      <c r="J975" t="str">
        <f t="shared" si="15"/>
        <v/>
      </c>
      <c r="K975" t="str">
        <f>+IF(E975="","",VLOOKUP(E975,CATALOGO!G:I,2,0))</f>
        <v/>
      </c>
      <c r="L975" t="str">
        <f>+IF(E975="","",VLOOKUP(E975,CATALOGO!G:I,3,0))</f>
        <v/>
      </c>
      <c r="M975" s="87" t="str">
        <f>IF('Consulta1'!I5067="","",'Consulta1'!I5067)</f>
        <v/>
      </c>
      <c r="N975" s="88" t="str">
        <f>IF('Consulta1'!J5067="","",'Consulta1'!J5067)</f>
        <v/>
      </c>
    </row>
    <row r="976" spans="1:14" ht="18.75" x14ac:dyDescent="0.25">
      <c r="A976" s="82" t="str">
        <f>IF('Consulta1'!A5068="","",'Consulta1'!A5068)</f>
        <v/>
      </c>
      <c r="B976" s="82" t="str">
        <f>IF('Consulta1'!B5068="","",'Consulta1'!B5068)</f>
        <v/>
      </c>
      <c r="C976" s="83" t="str">
        <f>IF('Consulta1'!C5068="","",'Consulta1'!C5068)</f>
        <v/>
      </c>
      <c r="D976" s="84" t="str">
        <f>IF('Consulta1'!D5068="","",'Consulta1'!D5068)</f>
        <v/>
      </c>
      <c r="E976" s="82" t="str">
        <f>IF('Consulta1'!E5068="","",'Consulta1'!E5068)</f>
        <v/>
      </c>
      <c r="F976" t="str">
        <f>+IF(E976="","",VLOOKUP(E976,CATALOGO!G:L,6,0))</f>
        <v/>
      </c>
      <c r="G976" s="85" t="str">
        <f>IF('Consulta1'!F5068="","",'Consulta1'!F5068)</f>
        <v/>
      </c>
      <c r="H976" s="85" t="str">
        <f>IF('Consulta1'!G5068="","",'Consulta1'!G5068)</f>
        <v/>
      </c>
      <c r="I976" s="86" t="str">
        <f>IF('Consulta1'!H5068="","",'Consulta1'!H5068)</f>
        <v/>
      </c>
      <c r="J976" t="str">
        <f t="shared" si="15"/>
        <v/>
      </c>
      <c r="K976" t="str">
        <f>+IF(E976="","",VLOOKUP(E976,CATALOGO!G:I,2,0))</f>
        <v/>
      </c>
      <c r="L976" t="str">
        <f>+IF(E976="","",VLOOKUP(E976,CATALOGO!G:I,3,0))</f>
        <v/>
      </c>
      <c r="M976" s="87" t="str">
        <f>IF('Consulta1'!I5068="","",'Consulta1'!I5068)</f>
        <v/>
      </c>
      <c r="N976" s="88" t="str">
        <f>IF('Consulta1'!J5068="","",'Consulta1'!J5068)</f>
        <v/>
      </c>
    </row>
    <row r="977" spans="1:14" ht="18.75" x14ac:dyDescent="0.25">
      <c r="A977" s="82" t="str">
        <f>IF('Consulta1'!A5069="","",'Consulta1'!A5069)</f>
        <v/>
      </c>
      <c r="B977" s="82" t="str">
        <f>IF('Consulta1'!B5069="","",'Consulta1'!B5069)</f>
        <v/>
      </c>
      <c r="C977" s="83" t="str">
        <f>IF('Consulta1'!C5069="","",'Consulta1'!C5069)</f>
        <v/>
      </c>
      <c r="D977" s="84" t="str">
        <f>IF('Consulta1'!D5069="","",'Consulta1'!D5069)</f>
        <v/>
      </c>
      <c r="E977" s="82" t="str">
        <f>IF('Consulta1'!E5069="","",'Consulta1'!E5069)</f>
        <v/>
      </c>
      <c r="F977" t="str">
        <f>+IF(E977="","",VLOOKUP(E977,CATALOGO!G:L,6,0))</f>
        <v/>
      </c>
      <c r="G977" s="85" t="str">
        <f>IF('Consulta1'!F5069="","",'Consulta1'!F5069)</f>
        <v/>
      </c>
      <c r="H977" s="85" t="str">
        <f>IF('Consulta1'!G5069="","",'Consulta1'!G5069)</f>
        <v/>
      </c>
      <c r="I977" s="86" t="str">
        <f>IF('Consulta1'!H5069="","",'Consulta1'!H5069)</f>
        <v/>
      </c>
      <c r="J977" t="str">
        <f t="shared" si="15"/>
        <v/>
      </c>
      <c r="K977" t="str">
        <f>+IF(E977="","",VLOOKUP(E977,CATALOGO!G:I,2,0))</f>
        <v/>
      </c>
      <c r="L977" t="str">
        <f>+IF(E977="","",VLOOKUP(E977,CATALOGO!G:I,3,0))</f>
        <v/>
      </c>
      <c r="M977" s="87" t="str">
        <f>IF('Consulta1'!I5069="","",'Consulta1'!I5069)</f>
        <v/>
      </c>
      <c r="N977" s="88" t="str">
        <f>IF('Consulta1'!J5069="","",'Consulta1'!J5069)</f>
        <v/>
      </c>
    </row>
    <row r="978" spans="1:14" ht="18.75" x14ac:dyDescent="0.25">
      <c r="A978" s="82" t="str">
        <f>IF('Consulta1'!A5070="","",'Consulta1'!A5070)</f>
        <v/>
      </c>
      <c r="B978" s="82" t="str">
        <f>IF('Consulta1'!B5070="","",'Consulta1'!B5070)</f>
        <v/>
      </c>
      <c r="C978" s="83" t="str">
        <f>IF('Consulta1'!C5070="","",'Consulta1'!C5070)</f>
        <v/>
      </c>
      <c r="D978" s="84" t="str">
        <f>IF('Consulta1'!D5070="","",'Consulta1'!D5070)</f>
        <v/>
      </c>
      <c r="E978" s="82" t="str">
        <f>IF('Consulta1'!E5070="","",'Consulta1'!E5070)</f>
        <v/>
      </c>
      <c r="F978" t="str">
        <f>+IF(E978="","",VLOOKUP(E978,CATALOGO!G:L,6,0))</f>
        <v/>
      </c>
      <c r="G978" s="85" t="str">
        <f>IF('Consulta1'!F5070="","",'Consulta1'!F5070)</f>
        <v/>
      </c>
      <c r="H978" s="85" t="str">
        <f>IF('Consulta1'!G5070="","",'Consulta1'!G5070)</f>
        <v/>
      </c>
      <c r="I978" s="86" t="str">
        <f>IF('Consulta1'!H5070="","",'Consulta1'!H5070)</f>
        <v/>
      </c>
      <c r="J978" t="str">
        <f t="shared" si="15"/>
        <v/>
      </c>
      <c r="K978" t="str">
        <f>+IF(E978="","",VLOOKUP(E978,CATALOGO!G:I,2,0))</f>
        <v/>
      </c>
      <c r="L978" t="str">
        <f>+IF(E978="","",VLOOKUP(E978,CATALOGO!G:I,3,0))</f>
        <v/>
      </c>
      <c r="M978" s="87" t="str">
        <f>IF('Consulta1'!I5070="","",'Consulta1'!I5070)</f>
        <v/>
      </c>
      <c r="N978" s="88" t="str">
        <f>IF('Consulta1'!J5070="","",'Consulta1'!J5070)</f>
        <v/>
      </c>
    </row>
    <row r="979" spans="1:14" ht="18.75" x14ac:dyDescent="0.25">
      <c r="A979" s="82" t="str">
        <f>IF('Consulta1'!A5071="","",'Consulta1'!A5071)</f>
        <v/>
      </c>
      <c r="B979" s="82" t="str">
        <f>IF('Consulta1'!B5071="","",'Consulta1'!B5071)</f>
        <v/>
      </c>
      <c r="C979" s="83" t="str">
        <f>IF('Consulta1'!C5071="","",'Consulta1'!C5071)</f>
        <v/>
      </c>
      <c r="D979" s="84" t="str">
        <f>IF('Consulta1'!D5071="","",'Consulta1'!D5071)</f>
        <v/>
      </c>
      <c r="E979" s="82" t="str">
        <f>IF('Consulta1'!E5071="","",'Consulta1'!E5071)</f>
        <v/>
      </c>
      <c r="F979" t="str">
        <f>+IF(E979="","",VLOOKUP(E979,CATALOGO!G:L,6,0))</f>
        <v/>
      </c>
      <c r="G979" s="85" t="str">
        <f>IF('Consulta1'!F5071="","",'Consulta1'!F5071)</f>
        <v/>
      </c>
      <c r="H979" s="85" t="str">
        <f>IF('Consulta1'!G5071="","",'Consulta1'!G5071)</f>
        <v/>
      </c>
      <c r="I979" s="86" t="str">
        <f>IF('Consulta1'!H5071="","",'Consulta1'!H5071)</f>
        <v/>
      </c>
      <c r="J979" t="str">
        <f t="shared" si="15"/>
        <v/>
      </c>
      <c r="K979" t="str">
        <f>+IF(E979="","",VLOOKUP(E979,CATALOGO!G:I,2,0))</f>
        <v/>
      </c>
      <c r="L979" t="str">
        <f>+IF(E979="","",VLOOKUP(E979,CATALOGO!G:I,3,0))</f>
        <v/>
      </c>
      <c r="M979" s="87" t="str">
        <f>IF('Consulta1'!I5071="","",'Consulta1'!I5071)</f>
        <v/>
      </c>
      <c r="N979" s="88" t="str">
        <f>IF('Consulta1'!J5071="","",'Consulta1'!J5071)</f>
        <v/>
      </c>
    </row>
    <row r="980" spans="1:14" ht="18.75" x14ac:dyDescent="0.25">
      <c r="A980" s="82" t="str">
        <f>IF('Consulta1'!A5072="","",'Consulta1'!A5072)</f>
        <v/>
      </c>
      <c r="B980" s="82" t="str">
        <f>IF('Consulta1'!B5072="","",'Consulta1'!B5072)</f>
        <v/>
      </c>
      <c r="C980" s="83" t="str">
        <f>IF('Consulta1'!C5072="","",'Consulta1'!C5072)</f>
        <v/>
      </c>
      <c r="D980" s="84" t="str">
        <f>IF('Consulta1'!D5072="","",'Consulta1'!D5072)</f>
        <v/>
      </c>
      <c r="E980" s="82" t="str">
        <f>IF('Consulta1'!E5072="","",'Consulta1'!E5072)</f>
        <v/>
      </c>
      <c r="F980" t="str">
        <f>+IF(E980="","",VLOOKUP(E980,CATALOGO!G:L,6,0))</f>
        <v/>
      </c>
      <c r="G980" s="85" t="str">
        <f>IF('Consulta1'!F5072="","",'Consulta1'!F5072)</f>
        <v/>
      </c>
      <c r="H980" s="85" t="str">
        <f>IF('Consulta1'!G5072="","",'Consulta1'!G5072)</f>
        <v/>
      </c>
      <c r="I980" s="86" t="str">
        <f>IF('Consulta1'!H5072="","",'Consulta1'!H5072)</f>
        <v/>
      </c>
      <c r="J980" t="str">
        <f t="shared" si="15"/>
        <v/>
      </c>
      <c r="K980" t="str">
        <f>+IF(E980="","",VLOOKUP(E980,CATALOGO!G:I,2,0))</f>
        <v/>
      </c>
      <c r="L980" t="str">
        <f>+IF(E980="","",VLOOKUP(E980,CATALOGO!G:I,3,0))</f>
        <v/>
      </c>
      <c r="M980" s="87" t="str">
        <f>IF('Consulta1'!I5072="","",'Consulta1'!I5072)</f>
        <v/>
      </c>
      <c r="N980" s="88" t="str">
        <f>IF('Consulta1'!J5072="","",'Consulta1'!J5072)</f>
        <v/>
      </c>
    </row>
    <row r="981" spans="1:14" ht="18.75" x14ac:dyDescent="0.25">
      <c r="A981" s="82" t="str">
        <f>IF('Consulta1'!A5073="","",'Consulta1'!A5073)</f>
        <v/>
      </c>
      <c r="B981" s="82" t="str">
        <f>IF('Consulta1'!B5073="","",'Consulta1'!B5073)</f>
        <v/>
      </c>
      <c r="C981" s="83" t="str">
        <f>IF('Consulta1'!C5073="","",'Consulta1'!C5073)</f>
        <v/>
      </c>
      <c r="D981" s="84" t="str">
        <f>IF('Consulta1'!D5073="","",'Consulta1'!D5073)</f>
        <v/>
      </c>
      <c r="E981" s="82" t="str">
        <f>IF('Consulta1'!E5073="","",'Consulta1'!E5073)</f>
        <v/>
      </c>
      <c r="F981" t="str">
        <f>+IF(E981="","",VLOOKUP(E981,CATALOGO!G:L,6,0))</f>
        <v/>
      </c>
      <c r="G981" s="85" t="str">
        <f>IF('Consulta1'!F5073="","",'Consulta1'!F5073)</f>
        <v/>
      </c>
      <c r="H981" s="85" t="str">
        <f>IF('Consulta1'!G5073="","",'Consulta1'!G5073)</f>
        <v/>
      </c>
      <c r="I981" s="86" t="str">
        <f>IF('Consulta1'!H5073="","",'Consulta1'!H5073)</f>
        <v/>
      </c>
      <c r="J981" t="str">
        <f t="shared" si="15"/>
        <v/>
      </c>
      <c r="K981" t="str">
        <f>+IF(E981="","",VLOOKUP(E981,CATALOGO!G:I,2,0))</f>
        <v/>
      </c>
      <c r="L981" t="str">
        <f>+IF(E981="","",VLOOKUP(E981,CATALOGO!G:I,3,0))</f>
        <v/>
      </c>
      <c r="M981" s="87" t="str">
        <f>IF('Consulta1'!I5073="","",'Consulta1'!I5073)</f>
        <v/>
      </c>
      <c r="N981" s="88" t="str">
        <f>IF('Consulta1'!J5073="","",'Consulta1'!J5073)</f>
        <v/>
      </c>
    </row>
    <row r="982" spans="1:14" ht="18.75" x14ac:dyDescent="0.25">
      <c r="A982" s="82" t="str">
        <f>IF('Consulta1'!A5074="","",'Consulta1'!A5074)</f>
        <v/>
      </c>
      <c r="B982" s="82" t="str">
        <f>IF('Consulta1'!B5074="","",'Consulta1'!B5074)</f>
        <v/>
      </c>
      <c r="C982" s="83" t="str">
        <f>IF('Consulta1'!C5074="","",'Consulta1'!C5074)</f>
        <v/>
      </c>
      <c r="D982" s="84" t="str">
        <f>IF('Consulta1'!D5074="","",'Consulta1'!D5074)</f>
        <v/>
      </c>
      <c r="E982" s="82" t="str">
        <f>IF('Consulta1'!E5074="","",'Consulta1'!E5074)</f>
        <v/>
      </c>
      <c r="F982" t="str">
        <f>+IF(E982="","",VLOOKUP(E982,CATALOGO!G:L,6,0))</f>
        <v/>
      </c>
      <c r="G982" s="85" t="str">
        <f>IF('Consulta1'!F5074="","",'Consulta1'!F5074)</f>
        <v/>
      </c>
      <c r="H982" s="85" t="str">
        <f>IF('Consulta1'!G5074="","",'Consulta1'!G5074)</f>
        <v/>
      </c>
      <c r="I982" s="86" t="str">
        <f>IF('Consulta1'!H5074="","",'Consulta1'!H5074)</f>
        <v/>
      </c>
      <c r="J982" t="str">
        <f t="shared" si="15"/>
        <v/>
      </c>
      <c r="K982" t="str">
        <f>+IF(E982="","",VLOOKUP(E982,CATALOGO!G:I,2,0))</f>
        <v/>
      </c>
      <c r="L982" t="str">
        <f>+IF(E982="","",VLOOKUP(E982,CATALOGO!G:I,3,0))</f>
        <v/>
      </c>
      <c r="M982" s="87" t="str">
        <f>IF('Consulta1'!I5074="","",'Consulta1'!I5074)</f>
        <v/>
      </c>
      <c r="N982" s="88" t="str">
        <f>IF('Consulta1'!J5074="","",'Consulta1'!J5074)</f>
        <v/>
      </c>
    </row>
    <row r="983" spans="1:14" ht="18.75" x14ac:dyDescent="0.25">
      <c r="A983" s="82" t="str">
        <f>IF('Consulta1'!A5075="","",'Consulta1'!A5075)</f>
        <v/>
      </c>
      <c r="B983" s="82" t="str">
        <f>IF('Consulta1'!B5075="","",'Consulta1'!B5075)</f>
        <v/>
      </c>
      <c r="C983" s="83" t="str">
        <f>IF('Consulta1'!C5075="","",'Consulta1'!C5075)</f>
        <v/>
      </c>
      <c r="D983" s="84" t="str">
        <f>IF('Consulta1'!D5075="","",'Consulta1'!D5075)</f>
        <v/>
      </c>
      <c r="E983" s="82" t="str">
        <f>IF('Consulta1'!E5075="","",'Consulta1'!E5075)</f>
        <v/>
      </c>
      <c r="F983" t="str">
        <f>+IF(E983="","",VLOOKUP(E983,CATALOGO!G:L,6,0))</f>
        <v/>
      </c>
      <c r="G983" s="85" t="str">
        <f>IF('Consulta1'!F5075="","",'Consulta1'!F5075)</f>
        <v/>
      </c>
      <c r="H983" s="85" t="str">
        <f>IF('Consulta1'!G5075="","",'Consulta1'!G5075)</f>
        <v/>
      </c>
      <c r="I983" s="86" t="str">
        <f>IF('Consulta1'!H5075="","",'Consulta1'!H5075)</f>
        <v/>
      </c>
      <c r="J983" t="str">
        <f t="shared" si="15"/>
        <v/>
      </c>
      <c r="K983" t="str">
        <f>+IF(E983="","",VLOOKUP(E983,CATALOGO!G:I,2,0))</f>
        <v/>
      </c>
      <c r="L983" t="str">
        <f>+IF(E983="","",VLOOKUP(E983,CATALOGO!G:I,3,0))</f>
        <v/>
      </c>
      <c r="M983" s="87" t="str">
        <f>IF('Consulta1'!I5075="","",'Consulta1'!I5075)</f>
        <v/>
      </c>
      <c r="N983" s="88" t="str">
        <f>IF('Consulta1'!J5075="","",'Consulta1'!J5075)</f>
        <v/>
      </c>
    </row>
    <row r="984" spans="1:14" ht="18.75" x14ac:dyDescent="0.25">
      <c r="A984" s="82" t="str">
        <f>IF('Consulta1'!A5076="","",'Consulta1'!A5076)</f>
        <v/>
      </c>
      <c r="B984" s="82" t="str">
        <f>IF('Consulta1'!B5076="","",'Consulta1'!B5076)</f>
        <v/>
      </c>
      <c r="C984" s="83" t="str">
        <f>IF('Consulta1'!C5076="","",'Consulta1'!C5076)</f>
        <v/>
      </c>
      <c r="D984" s="84" t="str">
        <f>IF('Consulta1'!D5076="","",'Consulta1'!D5076)</f>
        <v/>
      </c>
      <c r="E984" s="82" t="str">
        <f>IF('Consulta1'!E5076="","",'Consulta1'!E5076)</f>
        <v/>
      </c>
      <c r="F984" t="str">
        <f>+IF(E984="","",VLOOKUP(E984,CATALOGO!G:L,6,0))</f>
        <v/>
      </c>
      <c r="G984" s="85" t="str">
        <f>IF('Consulta1'!F5076="","",'Consulta1'!F5076)</f>
        <v/>
      </c>
      <c r="H984" s="85" t="str">
        <f>IF('Consulta1'!G5076="","",'Consulta1'!G5076)</f>
        <v/>
      </c>
      <c r="I984" s="86" t="str">
        <f>IF('Consulta1'!H5076="","",'Consulta1'!H5076)</f>
        <v/>
      </c>
      <c r="J984" t="str">
        <f t="shared" si="15"/>
        <v/>
      </c>
      <c r="K984" t="str">
        <f>+IF(E984="","",VLOOKUP(E984,CATALOGO!G:I,2,0))</f>
        <v/>
      </c>
      <c r="L984" t="str">
        <f>+IF(E984="","",VLOOKUP(E984,CATALOGO!G:I,3,0))</f>
        <v/>
      </c>
      <c r="M984" s="87" t="str">
        <f>IF('Consulta1'!I5076="","",'Consulta1'!I5076)</f>
        <v/>
      </c>
      <c r="N984" s="88" t="str">
        <f>IF('Consulta1'!J5076="","",'Consulta1'!J5076)</f>
        <v/>
      </c>
    </row>
    <row r="985" spans="1:14" ht="18.75" x14ac:dyDescent="0.25">
      <c r="A985" s="82" t="str">
        <f>IF('Consulta1'!A5077="","",'Consulta1'!A5077)</f>
        <v/>
      </c>
      <c r="B985" s="82" t="str">
        <f>IF('Consulta1'!B5077="","",'Consulta1'!B5077)</f>
        <v/>
      </c>
      <c r="C985" s="83" t="str">
        <f>IF('Consulta1'!C5077="","",'Consulta1'!C5077)</f>
        <v/>
      </c>
      <c r="D985" s="84" t="str">
        <f>IF('Consulta1'!D5077="","",'Consulta1'!D5077)</f>
        <v/>
      </c>
      <c r="E985" s="82" t="str">
        <f>IF('Consulta1'!E5077="","",'Consulta1'!E5077)</f>
        <v/>
      </c>
      <c r="F985" t="str">
        <f>+IF(E985="","",VLOOKUP(E985,CATALOGO!G:L,6,0))</f>
        <v/>
      </c>
      <c r="G985" s="85" t="str">
        <f>IF('Consulta1'!F5077="","",'Consulta1'!F5077)</f>
        <v/>
      </c>
      <c r="H985" s="85" t="str">
        <f>IF('Consulta1'!G5077="","",'Consulta1'!G5077)</f>
        <v/>
      </c>
      <c r="I985" s="86" t="str">
        <f>IF('Consulta1'!H5077="","",'Consulta1'!H5077)</f>
        <v/>
      </c>
      <c r="J985" t="str">
        <f t="shared" si="15"/>
        <v/>
      </c>
      <c r="K985" t="str">
        <f>+IF(E985="","",VLOOKUP(E985,CATALOGO!G:I,2,0))</f>
        <v/>
      </c>
      <c r="L985" t="str">
        <f>+IF(E985="","",VLOOKUP(E985,CATALOGO!G:I,3,0))</f>
        <v/>
      </c>
      <c r="M985" s="87" t="str">
        <f>IF('Consulta1'!I5077="","",'Consulta1'!I5077)</f>
        <v/>
      </c>
      <c r="N985" s="88" t="str">
        <f>IF('Consulta1'!J5077="","",'Consulta1'!J5077)</f>
        <v/>
      </c>
    </row>
    <row r="986" spans="1:14" ht="18.75" x14ac:dyDescent="0.25">
      <c r="A986" s="82" t="str">
        <f>IF('Consulta1'!A5078="","",'Consulta1'!A5078)</f>
        <v/>
      </c>
      <c r="B986" s="82" t="str">
        <f>IF('Consulta1'!B5078="","",'Consulta1'!B5078)</f>
        <v/>
      </c>
      <c r="C986" s="83" t="str">
        <f>IF('Consulta1'!C5078="","",'Consulta1'!C5078)</f>
        <v/>
      </c>
      <c r="D986" s="84" t="str">
        <f>IF('Consulta1'!D5078="","",'Consulta1'!D5078)</f>
        <v/>
      </c>
      <c r="E986" s="82" t="str">
        <f>IF('Consulta1'!E5078="","",'Consulta1'!E5078)</f>
        <v/>
      </c>
      <c r="F986" t="str">
        <f>+IF(E986="","",VLOOKUP(E986,CATALOGO!G:L,6,0))</f>
        <v/>
      </c>
      <c r="G986" s="85" t="str">
        <f>IF('Consulta1'!F5078="","",'Consulta1'!F5078)</f>
        <v/>
      </c>
      <c r="H986" s="85" t="str">
        <f>IF('Consulta1'!G5078="","",'Consulta1'!G5078)</f>
        <v/>
      </c>
      <c r="I986" s="86" t="str">
        <f>IF('Consulta1'!H5078="","",'Consulta1'!H5078)</f>
        <v/>
      </c>
      <c r="J986" t="str">
        <f t="shared" si="15"/>
        <v/>
      </c>
      <c r="K986" t="str">
        <f>+IF(E986="","",VLOOKUP(E986,CATALOGO!G:I,2,0))</f>
        <v/>
      </c>
      <c r="L986" t="str">
        <f>+IF(E986="","",VLOOKUP(E986,CATALOGO!G:I,3,0))</f>
        <v/>
      </c>
      <c r="M986" s="87" t="str">
        <f>IF('Consulta1'!I5078="","",'Consulta1'!I5078)</f>
        <v/>
      </c>
      <c r="N986" s="88" t="str">
        <f>IF('Consulta1'!J5078="","",'Consulta1'!J5078)</f>
        <v/>
      </c>
    </row>
    <row r="987" spans="1:14" ht="18.75" x14ac:dyDescent="0.25">
      <c r="A987" s="82" t="str">
        <f>IF('Consulta1'!A5079="","",'Consulta1'!A5079)</f>
        <v/>
      </c>
      <c r="B987" s="82" t="str">
        <f>IF('Consulta1'!B5079="","",'Consulta1'!B5079)</f>
        <v/>
      </c>
      <c r="C987" s="83" t="str">
        <f>IF('Consulta1'!C5079="","",'Consulta1'!C5079)</f>
        <v/>
      </c>
      <c r="D987" s="84" t="str">
        <f>IF('Consulta1'!D5079="","",'Consulta1'!D5079)</f>
        <v/>
      </c>
      <c r="E987" s="82" t="str">
        <f>IF('Consulta1'!E5079="","",'Consulta1'!E5079)</f>
        <v/>
      </c>
      <c r="F987" t="str">
        <f>+IF(E987="","",VLOOKUP(E987,CATALOGO!G:L,6,0))</f>
        <v/>
      </c>
      <c r="G987" s="85" t="str">
        <f>IF('Consulta1'!F5079="","",'Consulta1'!F5079)</f>
        <v/>
      </c>
      <c r="H987" s="85" t="str">
        <f>IF('Consulta1'!G5079="","",'Consulta1'!G5079)</f>
        <v/>
      </c>
      <c r="I987" s="86" t="str">
        <f>IF('Consulta1'!H5079="","",'Consulta1'!H5079)</f>
        <v/>
      </c>
      <c r="J987" t="str">
        <f t="shared" si="15"/>
        <v/>
      </c>
      <c r="K987" t="str">
        <f>+IF(E987="","",VLOOKUP(E987,CATALOGO!G:I,2,0))</f>
        <v/>
      </c>
      <c r="L987" t="str">
        <f>+IF(E987="","",VLOOKUP(E987,CATALOGO!G:I,3,0))</f>
        <v/>
      </c>
      <c r="M987" s="87" t="str">
        <f>IF('Consulta1'!I5079="","",'Consulta1'!I5079)</f>
        <v/>
      </c>
      <c r="N987" s="88" t="str">
        <f>IF('Consulta1'!J5079="","",'Consulta1'!J5079)</f>
        <v/>
      </c>
    </row>
    <row r="988" spans="1:14" ht="18.75" x14ac:dyDescent="0.25">
      <c r="A988" s="82" t="str">
        <f>IF('Consulta1'!A5080="","",'Consulta1'!A5080)</f>
        <v/>
      </c>
      <c r="B988" s="82" t="str">
        <f>IF('Consulta1'!B5080="","",'Consulta1'!B5080)</f>
        <v/>
      </c>
      <c r="C988" s="83" t="str">
        <f>IF('Consulta1'!C5080="","",'Consulta1'!C5080)</f>
        <v/>
      </c>
      <c r="D988" s="84" t="str">
        <f>IF('Consulta1'!D5080="","",'Consulta1'!D5080)</f>
        <v/>
      </c>
      <c r="E988" s="82" t="str">
        <f>IF('Consulta1'!E5080="","",'Consulta1'!E5080)</f>
        <v/>
      </c>
      <c r="F988" t="str">
        <f>+IF(E988="","",VLOOKUP(E988,CATALOGO!G:L,6,0))</f>
        <v/>
      </c>
      <c r="G988" s="85" t="str">
        <f>IF('Consulta1'!F5080="","",'Consulta1'!F5080)</f>
        <v/>
      </c>
      <c r="H988" s="85" t="str">
        <f>IF('Consulta1'!G5080="","",'Consulta1'!G5080)</f>
        <v/>
      </c>
      <c r="I988" s="86" t="str">
        <f>IF('Consulta1'!H5080="","",'Consulta1'!H5080)</f>
        <v/>
      </c>
      <c r="J988" t="str">
        <f t="shared" si="15"/>
        <v/>
      </c>
      <c r="K988" t="str">
        <f>+IF(E988="","",VLOOKUP(E988,CATALOGO!G:I,2,0))</f>
        <v/>
      </c>
      <c r="L988" t="str">
        <f>+IF(E988="","",VLOOKUP(E988,CATALOGO!G:I,3,0))</f>
        <v/>
      </c>
      <c r="M988" s="87" t="str">
        <f>IF('Consulta1'!I5080="","",'Consulta1'!I5080)</f>
        <v/>
      </c>
      <c r="N988" s="88" t="str">
        <f>IF('Consulta1'!J5080="","",'Consulta1'!J5080)</f>
        <v/>
      </c>
    </row>
    <row r="989" spans="1:14" ht="18.75" x14ac:dyDescent="0.25">
      <c r="A989" s="82" t="str">
        <f>IF('Consulta1'!A5081="","",'Consulta1'!A5081)</f>
        <v/>
      </c>
      <c r="B989" s="82" t="str">
        <f>IF('Consulta1'!B5081="","",'Consulta1'!B5081)</f>
        <v/>
      </c>
      <c r="C989" s="83" t="str">
        <f>IF('Consulta1'!C5081="","",'Consulta1'!C5081)</f>
        <v/>
      </c>
      <c r="D989" s="84" t="str">
        <f>IF('Consulta1'!D5081="","",'Consulta1'!D5081)</f>
        <v/>
      </c>
      <c r="E989" s="82" t="str">
        <f>IF('Consulta1'!E5081="","",'Consulta1'!E5081)</f>
        <v/>
      </c>
      <c r="F989" t="str">
        <f>+IF(E989="","",VLOOKUP(E989,CATALOGO!G:L,6,0))</f>
        <v/>
      </c>
      <c r="G989" s="85" t="str">
        <f>IF('Consulta1'!F5081="","",'Consulta1'!F5081)</f>
        <v/>
      </c>
      <c r="H989" s="85" t="str">
        <f>IF('Consulta1'!G5081="","",'Consulta1'!G5081)</f>
        <v/>
      </c>
      <c r="I989" s="86" t="str">
        <f>IF('Consulta1'!H5081="","",'Consulta1'!H5081)</f>
        <v/>
      </c>
      <c r="J989" t="str">
        <f t="shared" si="15"/>
        <v/>
      </c>
      <c r="K989" t="str">
        <f>+IF(E989="","",VLOOKUP(E989,CATALOGO!G:I,2,0))</f>
        <v/>
      </c>
      <c r="L989" t="str">
        <f>+IF(E989="","",VLOOKUP(E989,CATALOGO!G:I,3,0))</f>
        <v/>
      </c>
      <c r="M989" s="87" t="str">
        <f>IF('Consulta1'!I5081="","",'Consulta1'!I5081)</f>
        <v/>
      </c>
      <c r="N989" s="88" t="str">
        <f>IF('Consulta1'!J5081="","",'Consulta1'!J5081)</f>
        <v/>
      </c>
    </row>
    <row r="990" spans="1:14" ht="18.75" x14ac:dyDescent="0.25">
      <c r="A990" s="82" t="str">
        <f>IF('Consulta1'!A5082="","",'Consulta1'!A5082)</f>
        <v/>
      </c>
      <c r="B990" s="82" t="str">
        <f>IF('Consulta1'!B5082="","",'Consulta1'!B5082)</f>
        <v/>
      </c>
      <c r="C990" s="83" t="str">
        <f>IF('Consulta1'!C5082="","",'Consulta1'!C5082)</f>
        <v/>
      </c>
      <c r="D990" s="84" t="str">
        <f>IF('Consulta1'!D5082="","",'Consulta1'!D5082)</f>
        <v/>
      </c>
      <c r="E990" s="82" t="str">
        <f>IF('Consulta1'!E5082="","",'Consulta1'!E5082)</f>
        <v/>
      </c>
      <c r="F990" t="str">
        <f>+IF(E990="","",VLOOKUP(E990,CATALOGO!G:L,6,0))</f>
        <v/>
      </c>
      <c r="G990" s="85" t="str">
        <f>IF('Consulta1'!F5082="","",'Consulta1'!F5082)</f>
        <v/>
      </c>
      <c r="H990" s="85" t="str">
        <f>IF('Consulta1'!G5082="","",'Consulta1'!G5082)</f>
        <v/>
      </c>
      <c r="I990" s="86" t="str">
        <f>IF('Consulta1'!H5082="","",'Consulta1'!H5082)</f>
        <v/>
      </c>
      <c r="J990" t="str">
        <f t="shared" si="15"/>
        <v/>
      </c>
      <c r="K990" t="str">
        <f>+IF(E990="","",VLOOKUP(E990,CATALOGO!G:I,2,0))</f>
        <v/>
      </c>
      <c r="L990" t="str">
        <f>+IF(E990="","",VLOOKUP(E990,CATALOGO!G:I,3,0))</f>
        <v/>
      </c>
      <c r="M990" s="87" t="str">
        <f>IF('Consulta1'!I5082="","",'Consulta1'!I5082)</f>
        <v/>
      </c>
      <c r="N990" s="88" t="str">
        <f>IF('Consulta1'!J5082="","",'Consulta1'!J5082)</f>
        <v/>
      </c>
    </row>
    <row r="991" spans="1:14" ht="18.75" x14ac:dyDescent="0.25">
      <c r="A991" s="82" t="str">
        <f>IF('Consulta1'!A5083="","",'Consulta1'!A5083)</f>
        <v/>
      </c>
      <c r="B991" s="82" t="str">
        <f>IF('Consulta1'!B5083="","",'Consulta1'!B5083)</f>
        <v/>
      </c>
      <c r="C991" s="83" t="str">
        <f>IF('Consulta1'!C5083="","",'Consulta1'!C5083)</f>
        <v/>
      </c>
      <c r="D991" s="84" t="str">
        <f>IF('Consulta1'!D5083="","",'Consulta1'!D5083)</f>
        <v/>
      </c>
      <c r="E991" s="82" t="str">
        <f>IF('Consulta1'!E5083="","",'Consulta1'!E5083)</f>
        <v/>
      </c>
      <c r="F991" t="str">
        <f>+IF(E991="","",VLOOKUP(E991,CATALOGO!G:L,6,0))</f>
        <v/>
      </c>
      <c r="G991" s="85" t="str">
        <f>IF('Consulta1'!F5083="","",'Consulta1'!F5083)</f>
        <v/>
      </c>
      <c r="H991" s="85" t="str">
        <f>IF('Consulta1'!G5083="","",'Consulta1'!G5083)</f>
        <v/>
      </c>
      <c r="I991" s="86" t="str">
        <f>IF('Consulta1'!H5083="","",'Consulta1'!H5083)</f>
        <v/>
      </c>
      <c r="J991" t="str">
        <f t="shared" si="15"/>
        <v/>
      </c>
      <c r="K991" t="str">
        <f>+IF(E991="","",VLOOKUP(E991,CATALOGO!G:I,2,0))</f>
        <v/>
      </c>
      <c r="L991" t="str">
        <f>+IF(E991="","",VLOOKUP(E991,CATALOGO!G:I,3,0))</f>
        <v/>
      </c>
      <c r="M991" s="87" t="str">
        <f>IF('Consulta1'!I5083="","",'Consulta1'!I5083)</f>
        <v/>
      </c>
      <c r="N991" s="88" t="str">
        <f>IF('Consulta1'!J5083="","",'Consulta1'!J5083)</f>
        <v/>
      </c>
    </row>
    <row r="992" spans="1:14" ht="18.75" x14ac:dyDescent="0.25">
      <c r="A992" s="82" t="str">
        <f>IF('Consulta1'!A5084="","",'Consulta1'!A5084)</f>
        <v/>
      </c>
      <c r="B992" s="82" t="str">
        <f>IF('Consulta1'!B5084="","",'Consulta1'!B5084)</f>
        <v/>
      </c>
      <c r="C992" s="83" t="str">
        <f>IF('Consulta1'!C5084="","",'Consulta1'!C5084)</f>
        <v/>
      </c>
      <c r="D992" s="84" t="str">
        <f>IF('Consulta1'!D5084="","",'Consulta1'!D5084)</f>
        <v/>
      </c>
      <c r="E992" s="82" t="str">
        <f>IF('Consulta1'!E5084="","",'Consulta1'!E5084)</f>
        <v/>
      </c>
      <c r="F992" t="str">
        <f>+IF(E992="","",VLOOKUP(E992,CATALOGO!G:L,6,0))</f>
        <v/>
      </c>
      <c r="G992" s="85" t="str">
        <f>IF('Consulta1'!F5084="","",'Consulta1'!F5084)</f>
        <v/>
      </c>
      <c r="H992" s="85" t="str">
        <f>IF('Consulta1'!G5084="","",'Consulta1'!G5084)</f>
        <v/>
      </c>
      <c r="I992" s="86" t="str">
        <f>IF('Consulta1'!H5084="","",'Consulta1'!H5084)</f>
        <v/>
      </c>
      <c r="J992" t="str">
        <f t="shared" si="15"/>
        <v/>
      </c>
      <c r="K992" t="str">
        <f>+IF(E992="","",VLOOKUP(E992,CATALOGO!G:I,2,0))</f>
        <v/>
      </c>
      <c r="L992" t="str">
        <f>+IF(E992="","",VLOOKUP(E992,CATALOGO!G:I,3,0))</f>
        <v/>
      </c>
      <c r="M992" s="87" t="str">
        <f>IF('Consulta1'!I5084="","",'Consulta1'!I5084)</f>
        <v/>
      </c>
      <c r="N992" s="88" t="str">
        <f>IF('Consulta1'!J5084="","",'Consulta1'!J5084)</f>
        <v/>
      </c>
    </row>
    <row r="993" spans="1:14" ht="18.75" x14ac:dyDescent="0.25">
      <c r="A993" s="82" t="str">
        <f>IF('Consulta1'!A5085="","",'Consulta1'!A5085)</f>
        <v/>
      </c>
      <c r="B993" s="82" t="str">
        <f>IF('Consulta1'!B5085="","",'Consulta1'!B5085)</f>
        <v/>
      </c>
      <c r="C993" s="83" t="str">
        <f>IF('Consulta1'!C5085="","",'Consulta1'!C5085)</f>
        <v/>
      </c>
      <c r="D993" s="84" t="str">
        <f>IF('Consulta1'!D5085="","",'Consulta1'!D5085)</f>
        <v/>
      </c>
      <c r="E993" s="82" t="str">
        <f>IF('Consulta1'!E5085="","",'Consulta1'!E5085)</f>
        <v/>
      </c>
      <c r="F993" t="str">
        <f>+IF(E993="","",VLOOKUP(E993,CATALOGO!G:L,6,0))</f>
        <v/>
      </c>
      <c r="G993" s="85" t="str">
        <f>IF('Consulta1'!F5085="","",'Consulta1'!F5085)</f>
        <v/>
      </c>
      <c r="H993" s="85" t="str">
        <f>IF('Consulta1'!G5085="","",'Consulta1'!G5085)</f>
        <v/>
      </c>
      <c r="I993" s="86" t="str">
        <f>IF('Consulta1'!H5085="","",'Consulta1'!H5085)</f>
        <v/>
      </c>
      <c r="J993" t="str">
        <f t="shared" si="15"/>
        <v/>
      </c>
      <c r="K993" t="str">
        <f>+IF(E993="","",VLOOKUP(E993,CATALOGO!G:I,2,0))</f>
        <v/>
      </c>
      <c r="L993" t="str">
        <f>+IF(E993="","",VLOOKUP(E993,CATALOGO!G:I,3,0))</f>
        <v/>
      </c>
      <c r="M993" s="87" t="str">
        <f>IF('Consulta1'!I5085="","",'Consulta1'!I5085)</f>
        <v/>
      </c>
      <c r="N993" s="88" t="str">
        <f>IF('Consulta1'!J5085="","",'Consulta1'!J5085)</f>
        <v/>
      </c>
    </row>
    <row r="994" spans="1:14" ht="18.75" x14ac:dyDescent="0.25">
      <c r="A994" s="82" t="str">
        <f>IF('Consulta1'!A5086="","",'Consulta1'!A5086)</f>
        <v/>
      </c>
      <c r="B994" s="82" t="str">
        <f>IF('Consulta1'!B5086="","",'Consulta1'!B5086)</f>
        <v/>
      </c>
      <c r="C994" s="83" t="str">
        <f>IF('Consulta1'!C5086="","",'Consulta1'!C5086)</f>
        <v/>
      </c>
      <c r="D994" s="84" t="str">
        <f>IF('Consulta1'!D5086="","",'Consulta1'!D5086)</f>
        <v/>
      </c>
      <c r="E994" s="82" t="str">
        <f>IF('Consulta1'!E5086="","",'Consulta1'!E5086)</f>
        <v/>
      </c>
      <c r="F994" t="str">
        <f>+IF(E994="","",VLOOKUP(E994,CATALOGO!G:L,6,0))</f>
        <v/>
      </c>
      <c r="G994" s="85" t="str">
        <f>IF('Consulta1'!F5086="","",'Consulta1'!F5086)</f>
        <v/>
      </c>
      <c r="H994" s="85" t="str">
        <f>IF('Consulta1'!G5086="","",'Consulta1'!G5086)</f>
        <v/>
      </c>
      <c r="I994" s="86" t="str">
        <f>IF('Consulta1'!H5086="","",'Consulta1'!H5086)</f>
        <v/>
      </c>
      <c r="J994" t="str">
        <f t="shared" si="15"/>
        <v/>
      </c>
      <c r="K994" t="str">
        <f>+IF(E994="","",VLOOKUP(E994,CATALOGO!G:I,2,0))</f>
        <v/>
      </c>
      <c r="L994" t="str">
        <f>+IF(E994="","",VLOOKUP(E994,CATALOGO!G:I,3,0))</f>
        <v/>
      </c>
      <c r="M994" s="87" t="str">
        <f>IF('Consulta1'!I5086="","",'Consulta1'!I5086)</f>
        <v/>
      </c>
      <c r="N994" s="88" t="str">
        <f>IF('Consulta1'!J5086="","",'Consulta1'!J5086)</f>
        <v/>
      </c>
    </row>
    <row r="995" spans="1:14" ht="18.75" x14ac:dyDescent="0.25">
      <c r="A995" s="82" t="str">
        <f>IF('Consulta1'!A5087="","",'Consulta1'!A5087)</f>
        <v/>
      </c>
      <c r="B995" s="82" t="str">
        <f>IF('Consulta1'!B5087="","",'Consulta1'!B5087)</f>
        <v/>
      </c>
      <c r="C995" s="83" t="str">
        <f>IF('Consulta1'!C5087="","",'Consulta1'!C5087)</f>
        <v/>
      </c>
      <c r="D995" s="84" t="str">
        <f>IF('Consulta1'!D5087="","",'Consulta1'!D5087)</f>
        <v/>
      </c>
      <c r="E995" s="82" t="str">
        <f>IF('Consulta1'!E5087="","",'Consulta1'!E5087)</f>
        <v/>
      </c>
      <c r="F995" t="str">
        <f>+IF(E995="","",VLOOKUP(E995,CATALOGO!G:L,6,0))</f>
        <v/>
      </c>
      <c r="G995" s="85" t="str">
        <f>IF('Consulta1'!F5087="","",'Consulta1'!F5087)</f>
        <v/>
      </c>
      <c r="H995" s="85" t="str">
        <f>IF('Consulta1'!G5087="","",'Consulta1'!G5087)</f>
        <v/>
      </c>
      <c r="I995" s="86" t="str">
        <f>IF('Consulta1'!H5087="","",'Consulta1'!H5087)</f>
        <v/>
      </c>
      <c r="J995" t="str">
        <f t="shared" si="15"/>
        <v/>
      </c>
      <c r="K995" t="str">
        <f>+IF(E995="","",VLOOKUP(E995,CATALOGO!G:I,2,0))</f>
        <v/>
      </c>
      <c r="L995" t="str">
        <f>+IF(E995="","",VLOOKUP(E995,CATALOGO!G:I,3,0))</f>
        <v/>
      </c>
      <c r="M995" s="87" t="str">
        <f>IF('Consulta1'!I5087="","",'Consulta1'!I5087)</f>
        <v/>
      </c>
      <c r="N995" s="88" t="str">
        <f>IF('Consulta1'!J5087="","",'Consulta1'!J5087)</f>
        <v/>
      </c>
    </row>
    <row r="996" spans="1:14" ht="18.75" x14ac:dyDescent="0.25">
      <c r="A996" s="82" t="str">
        <f>IF('Consulta1'!A5088="","",'Consulta1'!A5088)</f>
        <v/>
      </c>
      <c r="B996" s="82" t="str">
        <f>IF('Consulta1'!B5088="","",'Consulta1'!B5088)</f>
        <v/>
      </c>
      <c r="C996" s="83" t="str">
        <f>IF('Consulta1'!C5088="","",'Consulta1'!C5088)</f>
        <v/>
      </c>
      <c r="D996" s="84" t="str">
        <f>IF('Consulta1'!D5088="","",'Consulta1'!D5088)</f>
        <v/>
      </c>
      <c r="E996" s="82" t="str">
        <f>IF('Consulta1'!E5088="","",'Consulta1'!E5088)</f>
        <v/>
      </c>
      <c r="F996" t="str">
        <f>+IF(E996="","",VLOOKUP(E996,CATALOGO!G:L,6,0))</f>
        <v/>
      </c>
      <c r="G996" s="85" t="str">
        <f>IF('Consulta1'!F5088="","",'Consulta1'!F5088)</f>
        <v/>
      </c>
      <c r="H996" s="85" t="str">
        <f>IF('Consulta1'!G5088="","",'Consulta1'!G5088)</f>
        <v/>
      </c>
      <c r="I996" s="86" t="str">
        <f>IF('Consulta1'!H5088="","",'Consulta1'!H5088)</f>
        <v/>
      </c>
      <c r="J996" t="str">
        <f t="shared" si="15"/>
        <v/>
      </c>
      <c r="K996" t="str">
        <f>+IF(E996="","",VLOOKUP(E996,CATALOGO!G:I,2,0))</f>
        <v/>
      </c>
      <c r="L996" t="str">
        <f>+IF(E996="","",VLOOKUP(E996,CATALOGO!G:I,3,0))</f>
        <v/>
      </c>
      <c r="M996" s="87" t="str">
        <f>IF('Consulta1'!I5088="","",'Consulta1'!I5088)</f>
        <v/>
      </c>
      <c r="N996" s="88" t="str">
        <f>IF('Consulta1'!J5088="","",'Consulta1'!J5088)</f>
        <v/>
      </c>
    </row>
    <row r="997" spans="1:14" ht="18.75" x14ac:dyDescent="0.25">
      <c r="A997" s="82" t="str">
        <f>IF('Consulta1'!A5089="","",'Consulta1'!A5089)</f>
        <v/>
      </c>
      <c r="B997" s="82" t="str">
        <f>IF('Consulta1'!B5089="","",'Consulta1'!B5089)</f>
        <v/>
      </c>
      <c r="C997" s="83" t="str">
        <f>IF('Consulta1'!C5089="","",'Consulta1'!C5089)</f>
        <v/>
      </c>
      <c r="D997" s="84" t="str">
        <f>IF('Consulta1'!D5089="","",'Consulta1'!D5089)</f>
        <v/>
      </c>
      <c r="E997" s="82" t="str">
        <f>IF('Consulta1'!E5089="","",'Consulta1'!E5089)</f>
        <v/>
      </c>
      <c r="F997" t="str">
        <f>+IF(E997="","",VLOOKUP(E997,CATALOGO!G:L,6,0))</f>
        <v/>
      </c>
      <c r="G997" s="85" t="str">
        <f>IF('Consulta1'!F5089="","",'Consulta1'!F5089)</f>
        <v/>
      </c>
      <c r="H997" s="85" t="str">
        <f>IF('Consulta1'!G5089="","",'Consulta1'!G5089)</f>
        <v/>
      </c>
      <c r="I997" s="86" t="str">
        <f>IF('Consulta1'!H5089="","",'Consulta1'!H5089)</f>
        <v/>
      </c>
      <c r="J997" t="str">
        <f t="shared" si="15"/>
        <v/>
      </c>
      <c r="K997" t="str">
        <f>+IF(E997="","",VLOOKUP(E997,CATALOGO!G:I,2,0))</f>
        <v/>
      </c>
      <c r="L997" t="str">
        <f>+IF(E997="","",VLOOKUP(E997,CATALOGO!G:I,3,0))</f>
        <v/>
      </c>
      <c r="M997" s="87" t="str">
        <f>IF('Consulta1'!I5089="","",'Consulta1'!I5089)</f>
        <v/>
      </c>
      <c r="N997" s="88" t="str">
        <f>IF('Consulta1'!J5089="","",'Consulta1'!J5089)</f>
        <v/>
      </c>
    </row>
    <row r="998" spans="1:14" ht="18.75" x14ac:dyDescent="0.25">
      <c r="A998" s="82" t="str">
        <f>IF('Consulta1'!A5090="","",'Consulta1'!A5090)</f>
        <v/>
      </c>
      <c r="B998" s="82" t="str">
        <f>IF('Consulta1'!B5090="","",'Consulta1'!B5090)</f>
        <v/>
      </c>
      <c r="C998" s="83" t="str">
        <f>IF('Consulta1'!C5090="","",'Consulta1'!C5090)</f>
        <v/>
      </c>
      <c r="D998" s="84" t="str">
        <f>IF('Consulta1'!D5090="","",'Consulta1'!D5090)</f>
        <v/>
      </c>
      <c r="E998" s="82" t="str">
        <f>IF('Consulta1'!E5090="","",'Consulta1'!E5090)</f>
        <v/>
      </c>
      <c r="F998" t="str">
        <f>+IF(E998="","",VLOOKUP(E998,CATALOGO!G:L,6,0))</f>
        <v/>
      </c>
      <c r="G998" s="85" t="str">
        <f>IF('Consulta1'!F5090="","",'Consulta1'!F5090)</f>
        <v/>
      </c>
      <c r="H998" s="85" t="str">
        <f>IF('Consulta1'!G5090="","",'Consulta1'!G5090)</f>
        <v/>
      </c>
      <c r="I998" s="86" t="str">
        <f>IF('Consulta1'!H5090="","",'Consulta1'!H5090)</f>
        <v/>
      </c>
      <c r="J998" t="str">
        <f t="shared" si="15"/>
        <v/>
      </c>
      <c r="K998" t="str">
        <f>+IF(E998="","",VLOOKUP(E998,CATALOGO!G:I,2,0))</f>
        <v/>
      </c>
      <c r="L998" t="str">
        <f>+IF(E998="","",VLOOKUP(E998,CATALOGO!G:I,3,0))</f>
        <v/>
      </c>
      <c r="M998" s="87" t="str">
        <f>IF('Consulta1'!I5090="","",'Consulta1'!I5090)</f>
        <v/>
      </c>
      <c r="N998" s="88" t="str">
        <f>IF('Consulta1'!J5090="","",'Consulta1'!J5090)</f>
        <v/>
      </c>
    </row>
    <row r="999" spans="1:14" ht="18.75" x14ac:dyDescent="0.25">
      <c r="A999" s="82" t="str">
        <f>IF('Consulta1'!A5091="","",'Consulta1'!A5091)</f>
        <v/>
      </c>
      <c r="B999" s="82" t="str">
        <f>IF('Consulta1'!B5091="","",'Consulta1'!B5091)</f>
        <v/>
      </c>
      <c r="C999" s="83" t="str">
        <f>IF('Consulta1'!C5091="","",'Consulta1'!C5091)</f>
        <v/>
      </c>
      <c r="D999" s="84" t="str">
        <f>IF('Consulta1'!D5091="","",'Consulta1'!D5091)</f>
        <v/>
      </c>
      <c r="E999" s="82" t="str">
        <f>IF('Consulta1'!E5091="","",'Consulta1'!E5091)</f>
        <v/>
      </c>
      <c r="F999" t="str">
        <f>+IF(E999="","",VLOOKUP(E999,CATALOGO!G:L,6,0))</f>
        <v/>
      </c>
      <c r="G999" s="85" t="str">
        <f>IF('Consulta1'!F5091="","",'Consulta1'!F5091)</f>
        <v/>
      </c>
      <c r="H999" s="85" t="str">
        <f>IF('Consulta1'!G5091="","",'Consulta1'!G5091)</f>
        <v/>
      </c>
      <c r="I999" s="86" t="str">
        <f>IF('Consulta1'!H5091="","",'Consulta1'!H5091)</f>
        <v/>
      </c>
      <c r="J999" t="str">
        <f t="shared" si="15"/>
        <v/>
      </c>
      <c r="K999" t="str">
        <f>+IF(E999="","",VLOOKUP(E999,CATALOGO!G:I,2,0))</f>
        <v/>
      </c>
      <c r="L999" t="str">
        <f>+IF(E999="","",VLOOKUP(E999,CATALOGO!G:I,3,0))</f>
        <v/>
      </c>
      <c r="M999" s="87" t="str">
        <f>IF('Consulta1'!I5091="","",'Consulta1'!I5091)</f>
        <v/>
      </c>
      <c r="N999" s="88" t="str">
        <f>IF('Consulta1'!J5091="","",'Consulta1'!J5091)</f>
        <v/>
      </c>
    </row>
    <row r="1000" spans="1:14" ht="18.75" x14ac:dyDescent="0.25">
      <c r="A1000" s="82" t="str">
        <f>IF('Consulta1'!A5092="","",'Consulta1'!A5092)</f>
        <v/>
      </c>
      <c r="B1000" s="82" t="str">
        <f>IF('Consulta1'!B5092="","",'Consulta1'!B5092)</f>
        <v/>
      </c>
      <c r="C1000" s="83" t="str">
        <f>IF('Consulta1'!C5092="","",'Consulta1'!C5092)</f>
        <v/>
      </c>
      <c r="D1000" s="84" t="str">
        <f>IF('Consulta1'!D5092="","",'Consulta1'!D5092)</f>
        <v/>
      </c>
      <c r="E1000" s="82" t="str">
        <f>IF('Consulta1'!E5092="","",'Consulta1'!E5092)</f>
        <v/>
      </c>
      <c r="F1000" t="str">
        <f>+IF(E1000="","",VLOOKUP(E1000,CATALOGO!G:L,6,0))</f>
        <v/>
      </c>
      <c r="G1000" s="85" t="str">
        <f>IF('Consulta1'!F5092="","",'Consulta1'!F5092)</f>
        <v/>
      </c>
      <c r="H1000" s="85" t="str">
        <f>IF('Consulta1'!G5092="","",'Consulta1'!G5092)</f>
        <v/>
      </c>
      <c r="I1000" s="86" t="str">
        <f>IF('Consulta1'!H5092="","",'Consulta1'!H5092)</f>
        <v/>
      </c>
      <c r="J1000" t="str">
        <f t="shared" si="15"/>
        <v/>
      </c>
      <c r="K1000" t="str">
        <f>+IF(E1000="","",VLOOKUP(E1000,CATALOGO!G:I,2,0))</f>
        <v/>
      </c>
      <c r="L1000" t="str">
        <f>+IF(E1000="","",VLOOKUP(E1000,CATALOGO!G:I,3,0))</f>
        <v/>
      </c>
      <c r="M1000" s="87" t="str">
        <f>IF('Consulta1'!I5092="","",'Consulta1'!I5092)</f>
        <v/>
      </c>
      <c r="N1000" s="88" t="str">
        <f>IF('Consulta1'!J5092="","",'Consulta1'!J5092)</f>
        <v/>
      </c>
    </row>
    <row r="1001" spans="1:14" ht="18.75" x14ac:dyDescent="0.25">
      <c r="A1001" s="82" t="str">
        <f>IF('Consulta1'!A5093="","",'Consulta1'!A5093)</f>
        <v/>
      </c>
      <c r="B1001" s="82" t="str">
        <f>IF('Consulta1'!B5093="","",'Consulta1'!B5093)</f>
        <v/>
      </c>
      <c r="C1001" s="83" t="str">
        <f>IF('Consulta1'!C5093="","",'Consulta1'!C5093)</f>
        <v/>
      </c>
      <c r="D1001" s="84" t="str">
        <f>IF('Consulta1'!D5093="","",'Consulta1'!D5093)</f>
        <v/>
      </c>
      <c r="E1001" s="82" t="str">
        <f>IF('Consulta1'!E5093="","",'Consulta1'!E5093)</f>
        <v/>
      </c>
      <c r="F1001" t="str">
        <f>+IF(E1001="","",VLOOKUP(E1001,CATALOGO!G:L,6,0))</f>
        <v/>
      </c>
      <c r="G1001" s="85" t="str">
        <f>IF('Consulta1'!F5093="","",'Consulta1'!F5093)</f>
        <v/>
      </c>
      <c r="H1001" s="85" t="str">
        <f>IF('Consulta1'!G5093="","",'Consulta1'!G5093)</f>
        <v/>
      </c>
      <c r="I1001" s="86" t="str">
        <f>IF('Consulta1'!H5093="","",'Consulta1'!H5093)</f>
        <v/>
      </c>
      <c r="J1001" t="str">
        <f t="shared" si="15"/>
        <v/>
      </c>
      <c r="K1001" t="str">
        <f>+IF(E1001="","",VLOOKUP(E1001,CATALOGO!G:I,2,0))</f>
        <v/>
      </c>
      <c r="L1001" t="str">
        <f>+IF(E1001="","",VLOOKUP(E1001,CATALOGO!G:I,3,0))</f>
        <v/>
      </c>
      <c r="M1001" s="87" t="str">
        <f>IF('Consulta1'!I5093="","",'Consulta1'!I5093)</f>
        <v/>
      </c>
      <c r="N1001" s="88" t="str">
        <f>IF('Consulta1'!J5093="","",'Consulta1'!J5093)</f>
        <v/>
      </c>
    </row>
    <row r="1002" spans="1:14" ht="18.75" x14ac:dyDescent="0.25">
      <c r="A1002" s="82"/>
      <c r="B1002" s="82"/>
      <c r="C1002" s="83"/>
      <c r="D1002" s="84"/>
      <c r="E1002" s="82"/>
      <c r="G1002" s="85"/>
      <c r="H1002" s="85"/>
      <c r="I1002" s="86"/>
      <c r="M1002" s="87"/>
      <c r="N1002" s="88"/>
    </row>
    <row r="1003" spans="1:14" ht="18.75" x14ac:dyDescent="0.25">
      <c r="A1003" s="82"/>
      <c r="B1003" s="82"/>
      <c r="C1003" s="83"/>
      <c r="D1003" s="84"/>
      <c r="E1003" s="82"/>
      <c r="G1003" s="85"/>
      <c r="H1003" s="85"/>
      <c r="I1003" s="86"/>
      <c r="M1003" s="87"/>
      <c r="N1003" s="88"/>
    </row>
    <row r="1004" spans="1:14" ht="18.75" x14ac:dyDescent="0.25">
      <c r="A1004" s="82"/>
      <c r="B1004" s="82"/>
      <c r="C1004" s="83"/>
      <c r="D1004" s="84"/>
      <c r="E1004" s="82"/>
      <c r="G1004" s="85"/>
      <c r="H1004" s="85"/>
      <c r="I1004" s="86"/>
      <c r="M1004" s="87"/>
      <c r="N1004" s="88"/>
    </row>
    <row r="1005" spans="1:14" ht="18.75" x14ac:dyDescent="0.25">
      <c r="A1005" s="82"/>
      <c r="B1005" s="82"/>
      <c r="C1005" s="83"/>
      <c r="D1005" s="84"/>
      <c r="E1005" s="82"/>
      <c r="G1005" s="85"/>
      <c r="H1005" s="85"/>
      <c r="I1005" s="86"/>
      <c r="M1005" s="87"/>
      <c r="N1005" s="88"/>
    </row>
    <row r="1006" spans="1:14" ht="18.75" x14ac:dyDescent="0.25">
      <c r="A1006" s="82"/>
      <c r="B1006" s="82"/>
      <c r="C1006" s="83"/>
      <c r="D1006" s="84"/>
      <c r="E1006" s="82"/>
      <c r="G1006" s="85"/>
      <c r="H1006" s="85"/>
      <c r="I1006" s="86"/>
      <c r="M1006" s="87"/>
      <c r="N1006" s="88"/>
    </row>
    <row r="1007" spans="1:14" ht="18.75" x14ac:dyDescent="0.25">
      <c r="A1007" s="82"/>
      <c r="B1007" s="82"/>
      <c r="C1007" s="83"/>
      <c r="D1007" s="84"/>
      <c r="E1007" s="82"/>
      <c r="G1007" s="85"/>
      <c r="H1007" s="85"/>
      <c r="I1007" s="86"/>
      <c r="M1007" s="87"/>
      <c r="N1007" s="88"/>
    </row>
    <row r="1008" spans="1:14" ht="18.75" x14ac:dyDescent="0.25">
      <c r="A1008" s="82"/>
      <c r="B1008" s="82"/>
      <c r="C1008" s="83"/>
      <c r="D1008" s="84"/>
      <c r="E1008" s="82"/>
      <c r="G1008" s="85"/>
      <c r="H1008" s="85"/>
      <c r="I1008" s="86"/>
      <c r="M1008" s="87"/>
      <c r="N1008" s="88"/>
    </row>
    <row r="1009" spans="1:14" ht="18.75" x14ac:dyDescent="0.25">
      <c r="A1009" s="82"/>
      <c r="B1009" s="82"/>
      <c r="C1009" s="83"/>
      <c r="D1009" s="84"/>
      <c r="E1009" s="82"/>
      <c r="G1009" s="85"/>
      <c r="H1009" s="85"/>
      <c r="I1009" s="86"/>
      <c r="M1009" s="87"/>
      <c r="N1009" s="88"/>
    </row>
    <row r="1010" spans="1:14" ht="18.75" x14ac:dyDescent="0.25">
      <c r="A1010" s="82"/>
      <c r="B1010" s="82"/>
      <c r="C1010" s="83"/>
      <c r="D1010" s="84"/>
      <c r="E1010" s="82"/>
      <c r="G1010" s="85"/>
      <c r="H1010" s="85"/>
      <c r="I1010" s="86"/>
      <c r="M1010" s="87"/>
      <c r="N1010" s="88"/>
    </row>
    <row r="1011" spans="1:14" ht="18.75" x14ac:dyDescent="0.25">
      <c r="A1011" s="82"/>
      <c r="B1011" s="82"/>
      <c r="C1011" s="83"/>
      <c r="D1011" s="84"/>
      <c r="E1011" s="82"/>
      <c r="G1011" s="85"/>
      <c r="H1011" s="85"/>
      <c r="I1011" s="86"/>
      <c r="M1011" s="87"/>
      <c r="N1011" s="88"/>
    </row>
    <row r="1012" spans="1:14" ht="18.75" x14ac:dyDescent="0.25">
      <c r="A1012" s="82"/>
      <c r="B1012" s="82"/>
      <c r="C1012" s="83"/>
      <c r="D1012" s="84"/>
      <c r="E1012" s="82"/>
      <c r="G1012" s="85"/>
      <c r="H1012" s="85"/>
      <c r="I1012" s="86"/>
      <c r="M1012" s="87"/>
      <c r="N1012" s="88"/>
    </row>
    <row r="1013" spans="1:14" ht="18.75" x14ac:dyDescent="0.25">
      <c r="A1013" s="82"/>
      <c r="B1013" s="82"/>
      <c r="C1013" s="83"/>
      <c r="D1013" s="84"/>
      <c r="E1013" s="82"/>
      <c r="G1013" s="85"/>
      <c r="H1013" s="85"/>
      <c r="I1013" s="86"/>
      <c r="M1013" s="87"/>
      <c r="N1013" s="88"/>
    </row>
    <row r="1014" spans="1:14" ht="18.75" x14ac:dyDescent="0.25">
      <c r="A1014" s="82"/>
      <c r="B1014" s="82"/>
      <c r="C1014" s="83"/>
      <c r="D1014" s="84"/>
      <c r="E1014" s="82"/>
      <c r="G1014" s="85"/>
      <c r="H1014" s="85"/>
      <c r="I1014" s="86"/>
      <c r="M1014" s="87"/>
      <c r="N1014" s="88"/>
    </row>
    <row r="1015" spans="1:14" ht="18.75" x14ac:dyDescent="0.25">
      <c r="A1015" s="82"/>
      <c r="B1015" s="82"/>
      <c r="C1015" s="83"/>
      <c r="D1015" s="84"/>
      <c r="E1015" s="82"/>
      <c r="G1015" s="85"/>
      <c r="H1015" s="85"/>
      <c r="I1015" s="86"/>
      <c r="M1015" s="87"/>
      <c r="N1015" s="88"/>
    </row>
    <row r="1016" spans="1:14" ht="18.75" x14ac:dyDescent="0.25">
      <c r="A1016" s="82"/>
      <c r="B1016" s="82"/>
      <c r="C1016" s="83"/>
      <c r="D1016" s="84"/>
      <c r="E1016" s="82"/>
      <c r="G1016" s="85"/>
      <c r="H1016" s="85"/>
      <c r="I1016" s="86"/>
      <c r="M1016" s="87"/>
      <c r="N1016" s="88"/>
    </row>
    <row r="1017" spans="1:14" ht="18.75" x14ac:dyDescent="0.25">
      <c r="A1017" s="82"/>
      <c r="B1017" s="82"/>
      <c r="C1017" s="83"/>
      <c r="D1017" s="84"/>
      <c r="E1017" s="82"/>
      <c r="G1017" s="85"/>
      <c r="H1017" s="85"/>
      <c r="I1017" s="86"/>
      <c r="M1017" s="87"/>
      <c r="N1017" s="88"/>
    </row>
    <row r="1018" spans="1:14" ht="18.75" x14ac:dyDescent="0.25">
      <c r="A1018" s="82"/>
      <c r="B1018" s="82"/>
      <c r="C1018" s="83"/>
      <c r="D1018" s="84"/>
      <c r="E1018" s="82"/>
      <c r="G1018" s="85"/>
      <c r="H1018" s="85"/>
      <c r="I1018" s="86"/>
      <c r="M1018" s="87"/>
      <c r="N1018" s="88"/>
    </row>
    <row r="1019" spans="1:14" ht="18.75" x14ac:dyDescent="0.25">
      <c r="A1019" s="82"/>
      <c r="B1019" s="82"/>
      <c r="C1019" s="83"/>
      <c r="D1019" s="84"/>
      <c r="E1019" s="82"/>
      <c r="G1019" s="85"/>
      <c r="H1019" s="85"/>
      <c r="I1019" s="86"/>
      <c r="M1019" s="87"/>
      <c r="N1019" s="88"/>
    </row>
    <row r="1020" spans="1:14" ht="18.75" x14ac:dyDescent="0.25">
      <c r="A1020" s="82"/>
      <c r="B1020" s="82"/>
      <c r="C1020" s="83"/>
      <c r="D1020" s="84"/>
      <c r="E1020" s="82"/>
      <c r="G1020" s="85"/>
      <c r="H1020" s="85"/>
      <c r="I1020" s="86"/>
      <c r="M1020" s="87"/>
      <c r="N1020" s="88"/>
    </row>
    <row r="1021" spans="1:14" ht="18.75" x14ac:dyDescent="0.25">
      <c r="A1021" s="82"/>
      <c r="B1021" s="82"/>
      <c r="C1021" s="83"/>
      <c r="D1021" s="84"/>
      <c r="E1021" s="82"/>
      <c r="G1021" s="85"/>
      <c r="H1021" s="85"/>
      <c r="I1021" s="86"/>
      <c r="M1021" s="87"/>
      <c r="N1021" s="88"/>
    </row>
    <row r="1022" spans="1:14" ht="18.75" x14ac:dyDescent="0.25">
      <c r="A1022" s="82"/>
      <c r="B1022" s="82"/>
      <c r="C1022" s="83"/>
      <c r="D1022" s="84"/>
      <c r="E1022" s="82"/>
      <c r="G1022" s="85"/>
      <c r="H1022" s="85"/>
      <c r="I1022" s="86"/>
      <c r="M1022" s="87"/>
      <c r="N1022" s="88"/>
    </row>
    <row r="1023" spans="1:14" ht="18.75" x14ac:dyDescent="0.25">
      <c r="A1023" s="82"/>
      <c r="B1023" s="82"/>
      <c r="C1023" s="83"/>
      <c r="D1023" s="84"/>
      <c r="E1023" s="82"/>
      <c r="G1023" s="85"/>
      <c r="H1023" s="85"/>
      <c r="I1023" s="86"/>
      <c r="M1023" s="87"/>
      <c r="N1023" s="88"/>
    </row>
    <row r="1024" spans="1:14" ht="18.75" x14ac:dyDescent="0.25">
      <c r="A1024" s="82"/>
      <c r="B1024" s="82"/>
      <c r="C1024" s="83"/>
      <c r="D1024" s="84"/>
      <c r="E1024" s="82"/>
      <c r="G1024" s="85"/>
      <c r="H1024" s="85"/>
      <c r="I1024" s="86"/>
      <c r="M1024" s="87"/>
      <c r="N1024" s="88"/>
    </row>
    <row r="1025" spans="1:14" ht="18.75" x14ac:dyDescent="0.25">
      <c r="A1025" s="82"/>
      <c r="B1025" s="82"/>
      <c r="C1025" s="83"/>
      <c r="D1025" s="84"/>
      <c r="E1025" s="82"/>
      <c r="G1025" s="85"/>
      <c r="H1025" s="85"/>
      <c r="I1025" s="86"/>
      <c r="M1025" s="87"/>
      <c r="N1025" s="88"/>
    </row>
    <row r="1026" spans="1:14" ht="18.75" x14ac:dyDescent="0.25">
      <c r="A1026" s="82"/>
      <c r="B1026" s="82"/>
      <c r="C1026" s="83"/>
      <c r="D1026" s="84"/>
      <c r="E1026" s="82"/>
      <c r="G1026" s="85"/>
      <c r="H1026" s="85"/>
      <c r="I1026" s="86"/>
      <c r="M1026" s="87"/>
      <c r="N1026" s="88"/>
    </row>
    <row r="1027" spans="1:14" ht="18.75" x14ac:dyDescent="0.25">
      <c r="A1027" s="82"/>
      <c r="B1027" s="82"/>
      <c r="C1027" s="83"/>
      <c r="D1027" s="84"/>
      <c r="E1027" s="82"/>
      <c r="G1027" s="85"/>
      <c r="H1027" s="85"/>
      <c r="I1027" s="86"/>
      <c r="M1027" s="87"/>
      <c r="N1027" s="88"/>
    </row>
    <row r="1028" spans="1:14" ht="18.75" x14ac:dyDescent="0.25">
      <c r="A1028" s="82"/>
      <c r="B1028" s="82"/>
      <c r="C1028" s="83"/>
      <c r="D1028" s="84"/>
      <c r="E1028" s="82"/>
      <c r="G1028" s="85"/>
      <c r="H1028" s="85"/>
      <c r="I1028" s="86"/>
      <c r="M1028" s="87"/>
      <c r="N1028" s="88"/>
    </row>
    <row r="1029" spans="1:14" ht="18.75" x14ac:dyDescent="0.25">
      <c r="A1029" s="82"/>
      <c r="B1029" s="82"/>
      <c r="C1029" s="83"/>
      <c r="D1029" s="84"/>
      <c r="E1029" s="82"/>
      <c r="G1029" s="85"/>
      <c r="H1029" s="85"/>
      <c r="I1029" s="86"/>
      <c r="M1029" s="87"/>
      <c r="N1029" s="88"/>
    </row>
    <row r="1030" spans="1:14" ht="18.75" x14ac:dyDescent="0.25">
      <c r="A1030" s="82"/>
      <c r="B1030" s="82"/>
      <c r="C1030" s="83"/>
      <c r="D1030" s="84"/>
      <c r="E1030" s="82"/>
      <c r="G1030" s="85"/>
      <c r="H1030" s="85"/>
      <c r="I1030" s="86"/>
      <c r="M1030" s="87"/>
      <c r="N1030" s="88"/>
    </row>
    <row r="1031" spans="1:14" ht="18.75" x14ac:dyDescent="0.25">
      <c r="A1031" s="82"/>
      <c r="B1031" s="82"/>
      <c r="C1031" s="83"/>
      <c r="D1031" s="84"/>
      <c r="E1031" s="82"/>
      <c r="G1031" s="85"/>
      <c r="H1031" s="85"/>
      <c r="I1031" s="86"/>
      <c r="M1031" s="87"/>
      <c r="N1031" s="88"/>
    </row>
    <row r="1032" spans="1:14" ht="18.75" x14ac:dyDescent="0.25">
      <c r="A1032" s="82"/>
      <c r="B1032" s="82"/>
      <c r="C1032" s="83"/>
      <c r="D1032" s="84"/>
      <c r="E1032" s="82"/>
      <c r="G1032" s="85"/>
      <c r="H1032" s="85"/>
      <c r="I1032" s="86"/>
      <c r="M1032" s="87"/>
      <c r="N1032" s="88"/>
    </row>
    <row r="1033" spans="1:14" ht="18.75" x14ac:dyDescent="0.25">
      <c r="A1033" s="82"/>
      <c r="B1033" s="82"/>
      <c r="C1033" s="83"/>
      <c r="D1033" s="84"/>
      <c r="E1033" s="82"/>
      <c r="G1033" s="85"/>
      <c r="H1033" s="85"/>
      <c r="I1033" s="86"/>
      <c r="M1033" s="87"/>
      <c r="N1033" s="88"/>
    </row>
    <row r="1034" spans="1:14" ht="18.75" x14ac:dyDescent="0.25">
      <c r="A1034" s="82"/>
      <c r="B1034" s="82"/>
      <c r="C1034" s="83"/>
      <c r="D1034" s="84"/>
      <c r="E1034" s="82"/>
      <c r="G1034" s="85"/>
      <c r="H1034" s="85"/>
      <c r="I1034" s="86"/>
      <c r="M1034" s="87"/>
      <c r="N1034" s="88"/>
    </row>
    <row r="1035" spans="1:14" ht="18.75" x14ac:dyDescent="0.25">
      <c r="A1035" s="82"/>
      <c r="B1035" s="82"/>
      <c r="C1035" s="83"/>
      <c r="D1035" s="84"/>
      <c r="E1035" s="82"/>
      <c r="G1035" s="85"/>
      <c r="H1035" s="85"/>
      <c r="I1035" s="86"/>
      <c r="M1035" s="87"/>
      <c r="N1035" s="88"/>
    </row>
    <row r="1036" spans="1:14" ht="18.75" x14ac:dyDescent="0.25">
      <c r="A1036" s="82"/>
      <c r="B1036" s="82"/>
      <c r="C1036" s="83"/>
      <c r="D1036" s="84"/>
      <c r="E1036" s="82"/>
      <c r="G1036" s="85"/>
      <c r="H1036" s="85"/>
      <c r="I1036" s="86"/>
      <c r="M1036" s="87"/>
      <c r="N1036" s="88"/>
    </row>
    <row r="1037" spans="1:14" ht="18.75" x14ac:dyDescent="0.25">
      <c r="A1037" s="82"/>
      <c r="B1037" s="82"/>
      <c r="C1037" s="83"/>
      <c r="D1037" s="84"/>
      <c r="E1037" s="82"/>
      <c r="G1037" s="85"/>
      <c r="H1037" s="85"/>
      <c r="I1037" s="86"/>
      <c r="M1037" s="87"/>
      <c r="N1037" s="88"/>
    </row>
    <row r="1038" spans="1:14" ht="18.75" x14ac:dyDescent="0.25">
      <c r="A1038" s="82"/>
      <c r="B1038" s="82"/>
      <c r="C1038" s="83"/>
      <c r="D1038" s="84"/>
      <c r="E1038" s="82"/>
      <c r="G1038" s="85"/>
      <c r="H1038" s="85"/>
      <c r="I1038" s="86"/>
      <c r="M1038" s="87"/>
      <c r="N1038" s="88"/>
    </row>
    <row r="1039" spans="1:14" ht="18.75" x14ac:dyDescent="0.25">
      <c r="A1039" s="82"/>
      <c r="B1039" s="82"/>
      <c r="C1039" s="83"/>
      <c r="D1039" s="84"/>
      <c r="E1039" s="82"/>
      <c r="G1039" s="85"/>
      <c r="H1039" s="85"/>
      <c r="I1039" s="86"/>
      <c r="M1039" s="87"/>
      <c r="N1039" s="88"/>
    </row>
    <row r="1040" spans="1:14" ht="18.75" x14ac:dyDescent="0.25">
      <c r="A1040" s="82"/>
      <c r="B1040" s="82"/>
      <c r="C1040" s="83"/>
      <c r="D1040" s="84"/>
      <c r="E1040" s="82"/>
      <c r="G1040" s="85"/>
      <c r="H1040" s="85"/>
      <c r="I1040" s="86"/>
      <c r="M1040" s="87"/>
      <c r="N1040" s="88"/>
    </row>
    <row r="1041" spans="1:14" ht="18.75" x14ac:dyDescent="0.25">
      <c r="A1041" s="82"/>
      <c r="B1041" s="82"/>
      <c r="C1041" s="83"/>
      <c r="D1041" s="84"/>
      <c r="E1041" s="82"/>
      <c r="G1041" s="85"/>
      <c r="H1041" s="85"/>
      <c r="I1041" s="86"/>
      <c r="M1041" s="87"/>
      <c r="N1041" s="88"/>
    </row>
    <row r="1042" spans="1:14" ht="18.75" x14ac:dyDescent="0.25">
      <c r="A1042" s="82"/>
      <c r="B1042" s="82"/>
      <c r="C1042" s="83"/>
      <c r="D1042" s="84"/>
      <c r="E1042" s="82"/>
      <c r="G1042" s="85"/>
      <c r="H1042" s="85"/>
      <c r="I1042" s="86"/>
      <c r="M1042" s="87"/>
      <c r="N1042" s="88"/>
    </row>
    <row r="1043" spans="1:14" ht="18.75" x14ac:dyDescent="0.25">
      <c r="A1043" s="82"/>
      <c r="B1043" s="82"/>
      <c r="C1043" s="83"/>
      <c r="D1043" s="84"/>
      <c r="E1043" s="82"/>
      <c r="G1043" s="85"/>
      <c r="H1043" s="85"/>
      <c r="I1043" s="86"/>
      <c r="M1043" s="87"/>
      <c r="N1043" s="88"/>
    </row>
    <row r="1044" spans="1:14" ht="18.75" x14ac:dyDescent="0.25">
      <c r="A1044" s="82"/>
      <c r="B1044" s="82"/>
      <c r="C1044" s="83"/>
      <c r="D1044" s="84"/>
      <c r="E1044" s="82"/>
      <c r="G1044" s="85"/>
      <c r="H1044" s="85"/>
      <c r="I1044" s="86"/>
      <c r="M1044" s="87"/>
      <c r="N1044" s="88"/>
    </row>
    <row r="1045" spans="1:14" ht="18.75" x14ac:dyDescent="0.25">
      <c r="A1045" s="82"/>
      <c r="B1045" s="82"/>
      <c r="C1045" s="83"/>
      <c r="D1045" s="84"/>
      <c r="E1045" s="82"/>
      <c r="G1045" s="85"/>
      <c r="H1045" s="85"/>
      <c r="I1045" s="86"/>
      <c r="M1045" s="87"/>
      <c r="N1045" s="88"/>
    </row>
    <row r="1046" spans="1:14" ht="18.75" x14ac:dyDescent="0.25">
      <c r="A1046" s="82"/>
      <c r="B1046" s="82"/>
      <c r="C1046" s="83"/>
      <c r="D1046" s="84"/>
      <c r="E1046" s="82"/>
      <c r="G1046" s="85"/>
      <c r="H1046" s="85"/>
      <c r="I1046" s="86"/>
      <c r="M1046" s="87"/>
      <c r="N1046" s="88"/>
    </row>
    <row r="1047" spans="1:14" ht="18.75" x14ac:dyDescent="0.25">
      <c r="A1047" s="82"/>
      <c r="B1047" s="82"/>
      <c r="C1047" s="83"/>
      <c r="D1047" s="84"/>
      <c r="E1047" s="82"/>
      <c r="G1047" s="85"/>
      <c r="H1047" s="85"/>
      <c r="I1047" s="86"/>
      <c r="M1047" s="87"/>
      <c r="N1047" s="88"/>
    </row>
    <row r="1048" spans="1:14" ht="18.75" x14ac:dyDescent="0.25">
      <c r="A1048" s="82"/>
      <c r="B1048" s="82"/>
      <c r="C1048" s="83"/>
      <c r="D1048" s="84"/>
      <c r="E1048" s="82"/>
      <c r="G1048" s="85"/>
      <c r="H1048" s="85"/>
      <c r="I1048" s="86"/>
      <c r="M1048" s="87"/>
      <c r="N1048" s="88"/>
    </row>
    <row r="1049" spans="1:14" ht="18.75" x14ac:dyDescent="0.25">
      <c r="A1049" s="82"/>
      <c r="B1049" s="82"/>
      <c r="C1049" s="83"/>
      <c r="D1049" s="84"/>
      <c r="E1049" s="82"/>
      <c r="G1049" s="85"/>
      <c r="H1049" s="85"/>
      <c r="I1049" s="86"/>
      <c r="M1049" s="87"/>
      <c r="N1049" s="88"/>
    </row>
    <row r="1050" spans="1:14" ht="18.75" x14ac:dyDescent="0.25">
      <c r="A1050" s="82"/>
      <c r="B1050" s="82"/>
      <c r="C1050" s="83"/>
      <c r="D1050" s="84"/>
      <c r="E1050" s="82"/>
      <c r="G1050" s="85"/>
      <c r="H1050" s="85"/>
      <c r="I1050" s="86"/>
      <c r="M1050" s="87"/>
      <c r="N1050" s="88"/>
    </row>
    <row r="1051" spans="1:14" ht="18.75" x14ac:dyDescent="0.25">
      <c r="A1051" s="82"/>
      <c r="B1051" s="82"/>
      <c r="C1051" s="83"/>
      <c r="D1051" s="84"/>
      <c r="E1051" s="82"/>
      <c r="G1051" s="85"/>
      <c r="H1051" s="85"/>
      <c r="I1051" s="86"/>
      <c r="M1051" s="87"/>
      <c r="N1051" s="88"/>
    </row>
    <row r="1052" spans="1:14" ht="18.75" x14ac:dyDescent="0.25">
      <c r="A1052" s="82"/>
      <c r="B1052" s="82"/>
      <c r="C1052" s="83"/>
      <c r="D1052" s="84"/>
      <c r="E1052" s="82"/>
      <c r="G1052" s="85"/>
      <c r="H1052" s="85"/>
      <c r="I1052" s="86"/>
      <c r="M1052" s="87"/>
      <c r="N1052" s="88"/>
    </row>
    <row r="1053" spans="1:14" ht="18.75" x14ac:dyDescent="0.25">
      <c r="A1053" s="82"/>
      <c r="B1053" s="82"/>
      <c r="C1053" s="83"/>
      <c r="D1053" s="84"/>
      <c r="E1053" s="82"/>
      <c r="G1053" s="85"/>
      <c r="H1053" s="85"/>
      <c r="I1053" s="86"/>
      <c r="M1053" s="87"/>
      <c r="N1053" s="88"/>
    </row>
    <row r="1054" spans="1:14" ht="18.75" x14ac:dyDescent="0.25">
      <c r="A1054" s="82"/>
      <c r="B1054" s="82"/>
      <c r="C1054" s="83"/>
      <c r="D1054" s="84"/>
      <c r="E1054" s="82"/>
      <c r="G1054" s="85"/>
      <c r="H1054" s="85"/>
      <c r="I1054" s="86"/>
      <c r="M1054" s="87"/>
      <c r="N1054" s="88"/>
    </row>
    <row r="1055" spans="1:14" ht="18.75" x14ac:dyDescent="0.25">
      <c r="A1055" s="82"/>
      <c r="B1055" s="82"/>
      <c r="C1055" s="83"/>
      <c r="D1055" s="84"/>
      <c r="E1055" s="82"/>
      <c r="G1055" s="85"/>
      <c r="H1055" s="85"/>
      <c r="I1055" s="86"/>
      <c r="M1055" s="87"/>
      <c r="N1055" s="88"/>
    </row>
    <row r="1056" spans="1:14" ht="18.75" x14ac:dyDescent="0.25">
      <c r="A1056" s="82"/>
      <c r="B1056" s="82"/>
      <c r="C1056" s="83"/>
      <c r="D1056" s="84"/>
      <c r="E1056" s="82"/>
      <c r="G1056" s="85"/>
      <c r="H1056" s="85"/>
      <c r="I1056" s="86"/>
      <c r="M1056" s="87"/>
      <c r="N1056" s="88"/>
    </row>
    <row r="1057" spans="1:14" ht="18.75" x14ac:dyDescent="0.25">
      <c r="A1057" s="82"/>
      <c r="B1057" s="82"/>
      <c r="C1057" s="83"/>
      <c r="D1057" s="84"/>
      <c r="E1057" s="82"/>
      <c r="G1057" s="85"/>
      <c r="H1057" s="85"/>
      <c r="I1057" s="86"/>
      <c r="M1057" s="87"/>
      <c r="N1057" s="88"/>
    </row>
    <row r="1058" spans="1:14" ht="18.75" x14ac:dyDescent="0.25">
      <c r="A1058" s="82"/>
      <c r="B1058" s="82"/>
      <c r="C1058" s="83"/>
      <c r="D1058" s="84"/>
      <c r="E1058" s="82"/>
      <c r="G1058" s="85"/>
      <c r="H1058" s="85"/>
      <c r="I1058" s="86"/>
      <c r="M1058" s="87"/>
      <c r="N1058" s="88"/>
    </row>
    <row r="1059" spans="1:14" ht="18.75" x14ac:dyDescent="0.25">
      <c r="A1059" s="82"/>
      <c r="B1059" s="82"/>
      <c r="C1059" s="83"/>
      <c r="D1059" s="84"/>
      <c r="E1059" s="82"/>
      <c r="G1059" s="85"/>
      <c r="H1059" s="85"/>
      <c r="I1059" s="86"/>
      <c r="M1059" s="87"/>
      <c r="N1059" s="88"/>
    </row>
    <row r="1060" spans="1:14" ht="18.75" x14ac:dyDescent="0.25">
      <c r="A1060" s="82"/>
      <c r="B1060" s="82"/>
      <c r="C1060" s="83"/>
      <c r="D1060" s="84"/>
      <c r="E1060" s="82"/>
      <c r="G1060" s="85"/>
      <c r="H1060" s="85"/>
      <c r="I1060" s="86"/>
      <c r="M1060" s="87"/>
      <c r="N1060" s="88"/>
    </row>
    <row r="1061" spans="1:14" ht="18.75" x14ac:dyDescent="0.25">
      <c r="A1061" s="82"/>
      <c r="B1061" s="82"/>
      <c r="C1061" s="83"/>
      <c r="D1061" s="84"/>
      <c r="E1061" s="82"/>
      <c r="G1061" s="85"/>
      <c r="H1061" s="85"/>
      <c r="I1061" s="86"/>
      <c r="M1061" s="87"/>
      <c r="N1061" s="88"/>
    </row>
    <row r="1062" spans="1:14" ht="18.75" x14ac:dyDescent="0.25">
      <c r="A1062" s="82"/>
      <c r="B1062" s="82"/>
      <c r="C1062" s="83"/>
      <c r="D1062" s="84"/>
      <c r="E1062" s="82"/>
      <c r="G1062" s="85"/>
      <c r="H1062" s="85"/>
      <c r="I1062" s="86"/>
      <c r="M1062" s="87"/>
      <c r="N1062" s="88"/>
    </row>
    <row r="1063" spans="1:14" ht="18.75" x14ac:dyDescent="0.25">
      <c r="A1063" s="82"/>
      <c r="B1063" s="82"/>
      <c r="C1063" s="83"/>
      <c r="D1063" s="84"/>
      <c r="E1063" s="82"/>
      <c r="G1063" s="85"/>
      <c r="H1063" s="85"/>
      <c r="I1063" s="86"/>
      <c r="M1063" s="87"/>
      <c r="N1063" s="88"/>
    </row>
    <row r="1064" spans="1:14" ht="18.75" x14ac:dyDescent="0.25">
      <c r="A1064" s="82"/>
      <c r="B1064" s="82"/>
      <c r="C1064" s="83"/>
      <c r="D1064" s="84"/>
      <c r="E1064" s="82"/>
      <c r="G1064" s="85"/>
      <c r="H1064" s="85"/>
      <c r="I1064" s="86"/>
      <c r="M1064" s="87"/>
      <c r="N1064" s="88"/>
    </row>
    <row r="1065" spans="1:14" ht="18.75" x14ac:dyDescent="0.25">
      <c r="A1065" s="82"/>
      <c r="B1065" s="82"/>
      <c r="C1065" s="83"/>
      <c r="D1065" s="84"/>
      <c r="E1065" s="82"/>
      <c r="G1065" s="85"/>
      <c r="H1065" s="85"/>
      <c r="I1065" s="86"/>
      <c r="M1065" s="87"/>
      <c r="N1065" s="88"/>
    </row>
    <row r="1066" spans="1:14" ht="18.75" x14ac:dyDescent="0.25">
      <c r="A1066" s="82"/>
      <c r="B1066" s="82"/>
      <c r="C1066" s="83"/>
      <c r="D1066" s="84"/>
      <c r="E1066" s="82"/>
      <c r="G1066" s="85"/>
      <c r="H1066" s="85"/>
      <c r="I1066" s="86"/>
      <c r="M1066" s="87"/>
      <c r="N1066" s="88"/>
    </row>
    <row r="1067" spans="1:14" ht="18.75" x14ac:dyDescent="0.25">
      <c r="A1067" s="82"/>
      <c r="B1067" s="82"/>
      <c r="C1067" s="83"/>
      <c r="D1067" s="84"/>
      <c r="E1067" s="82"/>
      <c r="G1067" s="85"/>
      <c r="H1067" s="85"/>
      <c r="I1067" s="86"/>
      <c r="M1067" s="87"/>
      <c r="N1067" s="88"/>
    </row>
    <row r="1068" spans="1:14" ht="18.75" x14ac:dyDescent="0.25">
      <c r="A1068" s="82"/>
      <c r="B1068" s="82"/>
      <c r="C1068" s="83"/>
      <c r="D1068" s="84"/>
      <c r="E1068" s="82"/>
      <c r="G1068" s="85"/>
      <c r="H1068" s="85"/>
      <c r="I1068" s="86"/>
      <c r="M1068" s="87"/>
      <c r="N1068" s="88"/>
    </row>
    <row r="1069" spans="1:14" ht="18.75" x14ac:dyDescent="0.25">
      <c r="A1069" s="82"/>
      <c r="B1069" s="82"/>
      <c r="C1069" s="83"/>
      <c r="D1069" s="84"/>
      <c r="E1069" s="82"/>
      <c r="G1069" s="85"/>
      <c r="H1069" s="85"/>
      <c r="I1069" s="86"/>
      <c r="M1069" s="87"/>
      <c r="N1069" s="88"/>
    </row>
    <row r="1070" spans="1:14" ht="18.75" x14ac:dyDescent="0.25">
      <c r="A1070" s="82"/>
      <c r="B1070" s="82"/>
      <c r="C1070" s="83"/>
      <c r="D1070" s="84"/>
      <c r="E1070" s="82"/>
      <c r="G1070" s="85"/>
      <c r="H1070" s="85"/>
      <c r="I1070" s="86"/>
      <c r="M1070" s="87"/>
      <c r="N1070" s="88"/>
    </row>
    <row r="1071" spans="1:14" ht="18.75" x14ac:dyDescent="0.25">
      <c r="A1071" s="82"/>
      <c r="B1071" s="82"/>
      <c r="C1071" s="83"/>
      <c r="D1071" s="84"/>
      <c r="E1071" s="82"/>
      <c r="G1071" s="85"/>
      <c r="H1071" s="85"/>
      <c r="I1071" s="86"/>
      <c r="M1071" s="87"/>
      <c r="N1071" s="88"/>
    </row>
    <row r="1072" spans="1:14" ht="18.75" x14ac:dyDescent="0.25">
      <c r="A1072" s="82"/>
      <c r="B1072" s="82"/>
      <c r="C1072" s="83"/>
      <c r="D1072" s="84"/>
      <c r="E1072" s="82"/>
      <c r="G1072" s="85"/>
      <c r="H1072" s="85"/>
      <c r="I1072" s="86"/>
      <c r="M1072" s="87"/>
      <c r="N1072" s="88"/>
    </row>
    <row r="1073" spans="1:14" ht="18.75" x14ac:dyDescent="0.25">
      <c r="A1073" s="82"/>
      <c r="B1073" s="82"/>
      <c r="C1073" s="83"/>
      <c r="D1073" s="84"/>
      <c r="E1073" s="82"/>
      <c r="G1073" s="85"/>
      <c r="H1073" s="85"/>
      <c r="I1073" s="86"/>
      <c r="M1073" s="87"/>
      <c r="N1073" s="88"/>
    </row>
    <row r="1074" spans="1:14" ht="18.75" x14ac:dyDescent="0.25">
      <c r="A1074" s="82"/>
      <c r="B1074" s="82"/>
      <c r="C1074" s="83"/>
      <c r="D1074" s="84"/>
      <c r="E1074" s="82"/>
      <c r="G1074" s="85"/>
      <c r="H1074" s="85"/>
      <c r="I1074" s="86"/>
      <c r="M1074" s="87"/>
      <c r="N1074" s="88"/>
    </row>
    <row r="1075" spans="1:14" ht="18.75" x14ac:dyDescent="0.25">
      <c r="A1075" s="82"/>
      <c r="B1075" s="82"/>
      <c r="C1075" s="83"/>
      <c r="D1075" s="84"/>
      <c r="E1075" s="82"/>
      <c r="G1075" s="85"/>
      <c r="H1075" s="85"/>
      <c r="I1075" s="86"/>
      <c r="M1075" s="87"/>
      <c r="N1075" s="88"/>
    </row>
    <row r="1076" spans="1:14" ht="18.75" x14ac:dyDescent="0.25">
      <c r="A1076" s="82"/>
      <c r="B1076" s="82"/>
      <c r="C1076" s="83"/>
      <c r="D1076" s="84"/>
      <c r="E1076" s="82"/>
      <c r="G1076" s="85"/>
      <c r="H1076" s="85"/>
      <c r="I1076" s="86"/>
      <c r="M1076" s="87"/>
      <c r="N1076" s="88"/>
    </row>
    <row r="1077" spans="1:14" ht="18.75" x14ac:dyDescent="0.25">
      <c r="A1077" s="82"/>
      <c r="B1077" s="82"/>
      <c r="C1077" s="83"/>
      <c r="D1077" s="84"/>
      <c r="E1077" s="82"/>
      <c r="G1077" s="85"/>
      <c r="H1077" s="85"/>
      <c r="I1077" s="86"/>
      <c r="M1077" s="87"/>
      <c r="N1077" s="88"/>
    </row>
    <row r="1078" spans="1:14" ht="18.75" x14ac:dyDescent="0.25">
      <c r="A1078" s="82"/>
      <c r="B1078" s="82"/>
      <c r="C1078" s="83"/>
      <c r="D1078" s="84"/>
      <c r="E1078" s="82"/>
      <c r="G1078" s="85"/>
      <c r="H1078" s="85"/>
      <c r="I1078" s="86"/>
      <c r="M1078" s="87"/>
      <c r="N1078" s="88"/>
    </row>
    <row r="1079" spans="1:14" ht="18.75" x14ac:dyDescent="0.25">
      <c r="A1079" s="82"/>
      <c r="B1079" s="82"/>
      <c r="C1079" s="83"/>
      <c r="D1079" s="84"/>
      <c r="E1079" s="82"/>
      <c r="G1079" s="85"/>
      <c r="H1079" s="85"/>
      <c r="I1079" s="86"/>
      <c r="M1079" s="87"/>
      <c r="N1079" s="88"/>
    </row>
    <row r="1080" spans="1:14" ht="18.75" x14ac:dyDescent="0.25">
      <c r="A1080" s="82"/>
      <c r="B1080" s="82"/>
      <c r="C1080" s="83"/>
      <c r="D1080" s="84"/>
      <c r="E1080" s="82"/>
      <c r="G1080" s="85"/>
      <c r="H1080" s="85"/>
      <c r="I1080" s="86"/>
      <c r="M1080" s="87"/>
      <c r="N1080" s="88"/>
    </row>
    <row r="1081" spans="1:14" ht="18.75" x14ac:dyDescent="0.25">
      <c r="A1081" s="82"/>
      <c r="B1081" s="82"/>
      <c r="C1081" s="83"/>
      <c r="D1081" s="84"/>
      <c r="E1081" s="82"/>
      <c r="G1081" s="85"/>
      <c r="H1081" s="85"/>
      <c r="I1081" s="86"/>
      <c r="M1081" s="87"/>
      <c r="N1081" s="88"/>
    </row>
    <row r="1082" spans="1:14" ht="18.75" x14ac:dyDescent="0.25">
      <c r="A1082" s="82"/>
      <c r="B1082" s="82"/>
      <c r="C1082" s="83"/>
      <c r="D1082" s="84"/>
      <c r="E1082" s="82"/>
      <c r="G1082" s="85"/>
      <c r="H1082" s="85"/>
      <c r="I1082" s="86"/>
      <c r="M1082" s="87"/>
      <c r="N1082" s="88"/>
    </row>
    <row r="1083" spans="1:14" ht="18.75" x14ac:dyDescent="0.25">
      <c r="A1083" s="82"/>
      <c r="B1083" s="82"/>
      <c r="C1083" s="83"/>
      <c r="D1083" s="84"/>
      <c r="E1083" s="82"/>
      <c r="G1083" s="85"/>
      <c r="H1083" s="85"/>
      <c r="I1083" s="86"/>
      <c r="M1083" s="87"/>
      <c r="N1083" s="88"/>
    </row>
    <row r="1084" spans="1:14" ht="18.75" x14ac:dyDescent="0.25">
      <c r="A1084" s="82"/>
      <c r="B1084" s="82"/>
      <c r="C1084" s="83"/>
      <c r="D1084" s="84"/>
      <c r="E1084" s="82"/>
      <c r="G1084" s="85"/>
      <c r="H1084" s="85"/>
      <c r="I1084" s="86"/>
      <c r="M1084" s="87"/>
      <c r="N1084" s="88"/>
    </row>
    <row r="1085" spans="1:14" ht="18.75" x14ac:dyDescent="0.25">
      <c r="A1085" s="82"/>
      <c r="B1085" s="82"/>
      <c r="C1085" s="83"/>
      <c r="D1085" s="84"/>
      <c r="E1085" s="82"/>
      <c r="G1085" s="85"/>
      <c r="H1085" s="85"/>
      <c r="I1085" s="86"/>
      <c r="M1085" s="87"/>
      <c r="N1085" s="88"/>
    </row>
    <row r="1086" spans="1:14" ht="18.75" x14ac:dyDescent="0.25">
      <c r="A1086" s="82"/>
      <c r="B1086" s="82"/>
      <c r="C1086" s="83"/>
      <c r="D1086" s="84"/>
      <c r="E1086" s="82"/>
      <c r="G1086" s="85"/>
      <c r="H1086" s="85"/>
      <c r="I1086" s="86"/>
      <c r="M1086" s="87"/>
      <c r="N1086" s="88"/>
    </row>
    <row r="1087" spans="1:14" ht="18.75" x14ac:dyDescent="0.25">
      <c r="A1087" s="82"/>
      <c r="B1087" s="82"/>
      <c r="C1087" s="83"/>
      <c r="D1087" s="84"/>
      <c r="E1087" s="82"/>
      <c r="G1087" s="85"/>
      <c r="H1087" s="85"/>
      <c r="I1087" s="86"/>
      <c r="M1087" s="87"/>
      <c r="N1087" s="88"/>
    </row>
    <row r="1088" spans="1:14" ht="18.75" x14ac:dyDescent="0.25">
      <c r="A1088" s="82"/>
      <c r="B1088" s="82"/>
      <c r="C1088" s="83"/>
      <c r="D1088" s="84"/>
      <c r="E1088" s="82"/>
      <c r="G1088" s="85"/>
      <c r="H1088" s="85"/>
      <c r="I1088" s="86"/>
      <c r="M1088" s="87"/>
      <c r="N1088" s="88"/>
    </row>
    <row r="1089" spans="1:14" ht="18.75" x14ac:dyDescent="0.25">
      <c r="A1089" s="82"/>
      <c r="B1089" s="82"/>
      <c r="C1089" s="83"/>
      <c r="D1089" s="84"/>
      <c r="E1089" s="82"/>
      <c r="G1089" s="85"/>
      <c r="H1089" s="85"/>
      <c r="I1089" s="86"/>
      <c r="M1089" s="87"/>
      <c r="N1089" s="88"/>
    </row>
    <row r="1090" spans="1:14" ht="18.75" x14ac:dyDescent="0.25">
      <c r="A1090" s="82"/>
      <c r="B1090" s="82"/>
      <c r="C1090" s="83"/>
      <c r="D1090" s="84"/>
      <c r="E1090" s="82"/>
      <c r="G1090" s="85"/>
      <c r="H1090" s="85"/>
      <c r="I1090" s="86"/>
      <c r="M1090" s="87"/>
      <c r="N1090" s="88"/>
    </row>
    <row r="1091" spans="1:14" ht="18.75" x14ac:dyDescent="0.25">
      <c r="A1091" s="82"/>
      <c r="B1091" s="82"/>
      <c r="C1091" s="83"/>
      <c r="D1091" s="84"/>
      <c r="E1091" s="82"/>
      <c r="G1091" s="85"/>
      <c r="H1091" s="85"/>
      <c r="I1091" s="86"/>
      <c r="M1091" s="87"/>
      <c r="N1091" s="88"/>
    </row>
    <row r="1092" spans="1:14" ht="18.75" x14ac:dyDescent="0.25">
      <c r="A1092" s="82"/>
      <c r="B1092" s="82"/>
      <c r="C1092" s="83"/>
      <c r="D1092" s="84"/>
      <c r="E1092" s="82"/>
      <c r="G1092" s="85"/>
      <c r="H1092" s="85"/>
      <c r="I1092" s="86"/>
      <c r="M1092" s="87"/>
      <c r="N1092" s="88"/>
    </row>
    <row r="1093" spans="1:14" ht="18.75" x14ac:dyDescent="0.25">
      <c r="A1093" s="82"/>
      <c r="B1093" s="82"/>
      <c r="C1093" s="83"/>
      <c r="D1093" s="84"/>
      <c r="E1093" s="82"/>
      <c r="G1093" s="85"/>
      <c r="H1093" s="85"/>
      <c r="I1093" s="86"/>
      <c r="M1093" s="87"/>
      <c r="N1093" s="88"/>
    </row>
    <row r="1094" spans="1:14" ht="18.75" x14ac:dyDescent="0.25">
      <c r="A1094" s="82"/>
      <c r="B1094" s="82"/>
      <c r="C1094" s="83"/>
      <c r="D1094" s="84"/>
      <c r="E1094" s="82"/>
      <c r="G1094" s="85"/>
      <c r="H1094" s="85"/>
      <c r="I1094" s="86"/>
      <c r="M1094" s="87"/>
      <c r="N1094" s="88"/>
    </row>
    <row r="1095" spans="1:14" ht="18.75" x14ac:dyDescent="0.25">
      <c r="A1095" s="82"/>
      <c r="B1095" s="82"/>
      <c r="C1095" s="83"/>
      <c r="D1095" s="84"/>
      <c r="E1095" s="82"/>
      <c r="G1095" s="85"/>
      <c r="H1095" s="85"/>
      <c r="I1095" s="86"/>
      <c r="M1095" s="87"/>
      <c r="N1095" s="88"/>
    </row>
    <row r="1096" spans="1:14" ht="18.75" x14ac:dyDescent="0.25">
      <c r="A1096" s="82"/>
      <c r="B1096" s="82"/>
      <c r="C1096" s="83"/>
      <c r="D1096" s="84"/>
      <c r="E1096" s="82"/>
      <c r="G1096" s="85"/>
      <c r="H1096" s="85"/>
      <c r="I1096" s="86"/>
      <c r="M1096" s="87"/>
      <c r="N1096" s="88"/>
    </row>
    <row r="1097" spans="1:14" ht="18.75" x14ac:dyDescent="0.25">
      <c r="A1097" s="82"/>
      <c r="B1097" s="82"/>
      <c r="C1097" s="83"/>
      <c r="D1097" s="84"/>
      <c r="E1097" s="82"/>
      <c r="G1097" s="85"/>
      <c r="H1097" s="85"/>
      <c r="I1097" s="86"/>
      <c r="M1097" s="87"/>
      <c r="N1097" s="88"/>
    </row>
    <row r="1098" spans="1:14" ht="18.75" x14ac:dyDescent="0.25">
      <c r="A1098" s="82"/>
      <c r="B1098" s="82"/>
      <c r="C1098" s="83"/>
      <c r="D1098" s="84"/>
      <c r="E1098" s="82"/>
      <c r="G1098" s="85"/>
      <c r="H1098" s="85"/>
      <c r="I1098" s="86"/>
      <c r="M1098" s="87"/>
      <c r="N1098" s="88"/>
    </row>
    <row r="1099" spans="1:14" ht="18.75" x14ac:dyDescent="0.25">
      <c r="A1099" s="82"/>
      <c r="B1099" s="82"/>
      <c r="C1099" s="83"/>
      <c r="D1099" s="84"/>
      <c r="E1099" s="82"/>
      <c r="G1099" s="85"/>
      <c r="H1099" s="85"/>
      <c r="I1099" s="86"/>
      <c r="M1099" s="87"/>
      <c r="N1099" s="88"/>
    </row>
    <row r="1100" spans="1:14" ht="18.75" x14ac:dyDescent="0.25">
      <c r="A1100" s="82"/>
      <c r="B1100" s="82"/>
      <c r="C1100" s="83"/>
      <c r="D1100" s="84"/>
      <c r="E1100" s="82"/>
      <c r="G1100" s="85"/>
      <c r="H1100" s="85"/>
      <c r="I1100" s="86"/>
      <c r="M1100" s="87"/>
      <c r="N1100" s="88"/>
    </row>
    <row r="1101" spans="1:14" ht="18.75" x14ac:dyDescent="0.25">
      <c r="A1101" s="82"/>
      <c r="B1101" s="82"/>
      <c r="C1101" s="83"/>
      <c r="D1101" s="84"/>
      <c r="E1101" s="82"/>
      <c r="G1101" s="85"/>
      <c r="H1101" s="85"/>
      <c r="I1101" s="86"/>
      <c r="M1101" s="87"/>
      <c r="N1101" s="88"/>
    </row>
    <row r="1102" spans="1:14" ht="18.75" x14ac:dyDescent="0.25">
      <c r="A1102" s="82"/>
      <c r="B1102" s="82"/>
      <c r="C1102" s="83"/>
      <c r="D1102" s="84"/>
      <c r="E1102" s="82"/>
      <c r="G1102" s="85"/>
      <c r="H1102" s="85"/>
      <c r="I1102" s="86"/>
      <c r="M1102" s="87"/>
      <c r="N1102" s="88"/>
    </row>
    <row r="1103" spans="1:14" ht="18.75" x14ac:dyDescent="0.25">
      <c r="A1103" s="82"/>
      <c r="B1103" s="82"/>
      <c r="C1103" s="83"/>
      <c r="D1103" s="84"/>
      <c r="E1103" s="82"/>
      <c r="G1103" s="85"/>
      <c r="H1103" s="85"/>
      <c r="I1103" s="86"/>
      <c r="M1103" s="87"/>
      <c r="N1103" s="88"/>
    </row>
    <row r="1104" spans="1:14" ht="18.75" x14ac:dyDescent="0.25">
      <c r="A1104" s="82"/>
      <c r="B1104" s="82"/>
      <c r="C1104" s="83"/>
      <c r="D1104" s="84"/>
      <c r="E1104" s="82"/>
      <c r="G1104" s="85"/>
      <c r="H1104" s="85"/>
      <c r="I1104" s="86"/>
      <c r="M1104" s="87"/>
      <c r="N1104" s="88"/>
    </row>
    <row r="1105" spans="1:14" ht="18.75" x14ac:dyDescent="0.25">
      <c r="A1105" s="82"/>
      <c r="B1105" s="82"/>
      <c r="C1105" s="83"/>
      <c r="D1105" s="84"/>
      <c r="E1105" s="82"/>
      <c r="G1105" s="85"/>
      <c r="H1105" s="85"/>
      <c r="I1105" s="86"/>
      <c r="M1105" s="87"/>
      <c r="N1105" s="88"/>
    </row>
    <row r="1106" spans="1:14" ht="18.75" x14ac:dyDescent="0.25">
      <c r="A1106" s="82"/>
      <c r="B1106" s="82"/>
      <c r="C1106" s="83"/>
      <c r="D1106" s="84"/>
      <c r="E1106" s="82"/>
      <c r="G1106" s="85"/>
      <c r="H1106" s="85"/>
      <c r="I1106" s="86"/>
      <c r="M1106" s="87"/>
      <c r="N1106" s="88"/>
    </row>
    <row r="1107" spans="1:14" ht="18.75" x14ac:dyDescent="0.25">
      <c r="A1107" s="82"/>
      <c r="B1107" s="82"/>
      <c r="C1107" s="83"/>
      <c r="D1107" s="84"/>
      <c r="E1107" s="82"/>
      <c r="G1107" s="85"/>
      <c r="H1107" s="85"/>
      <c r="I1107" s="86"/>
      <c r="M1107" s="87"/>
      <c r="N1107" s="88"/>
    </row>
    <row r="1108" spans="1:14" ht="18.75" x14ac:dyDescent="0.25">
      <c r="A1108" s="82"/>
      <c r="B1108" s="82"/>
      <c r="C1108" s="83"/>
      <c r="D1108" s="84"/>
      <c r="E1108" s="82"/>
      <c r="G1108" s="85"/>
      <c r="H1108" s="85"/>
      <c r="I1108" s="86"/>
      <c r="M1108" s="87"/>
      <c r="N1108" s="88"/>
    </row>
    <row r="1109" spans="1:14" ht="18.75" x14ac:dyDescent="0.25">
      <c r="A1109" s="82"/>
      <c r="B1109" s="82"/>
      <c r="C1109" s="83"/>
      <c r="D1109" s="84"/>
      <c r="E1109" s="82"/>
      <c r="G1109" s="85"/>
      <c r="H1109" s="85"/>
      <c r="I1109" s="86"/>
      <c r="M1109" s="87"/>
      <c r="N1109" s="88"/>
    </row>
    <row r="1110" spans="1:14" ht="18.75" x14ac:dyDescent="0.25">
      <c r="A1110" s="82"/>
      <c r="B1110" s="82"/>
      <c r="C1110" s="83"/>
      <c r="D1110" s="84"/>
      <c r="E1110" s="82"/>
      <c r="G1110" s="85"/>
      <c r="H1110" s="85"/>
      <c r="I1110" s="86"/>
      <c r="M1110" s="87"/>
      <c r="N1110" s="88"/>
    </row>
    <row r="1111" spans="1:14" ht="18.75" x14ac:dyDescent="0.25">
      <c r="A1111" s="82"/>
      <c r="B1111" s="82"/>
      <c r="C1111" s="83"/>
      <c r="D1111" s="84"/>
      <c r="E1111" s="82"/>
      <c r="G1111" s="85"/>
      <c r="H1111" s="85"/>
      <c r="I1111" s="86"/>
      <c r="M1111" s="87"/>
      <c r="N1111" s="88"/>
    </row>
    <row r="1112" spans="1:14" ht="18.75" x14ac:dyDescent="0.25">
      <c r="A1112" s="82"/>
      <c r="B1112" s="82"/>
      <c r="C1112" s="83"/>
      <c r="D1112" s="84"/>
      <c r="E1112" s="82"/>
      <c r="G1112" s="85"/>
      <c r="H1112" s="85"/>
      <c r="I1112" s="86"/>
      <c r="M1112" s="87"/>
      <c r="N1112" s="88"/>
    </row>
    <row r="1113" spans="1:14" ht="18.75" x14ac:dyDescent="0.25">
      <c r="A1113" s="82"/>
      <c r="B1113" s="82"/>
      <c r="C1113" s="83"/>
      <c r="D1113" s="84"/>
      <c r="E1113" s="82"/>
      <c r="G1113" s="85"/>
      <c r="H1113" s="85"/>
      <c r="I1113" s="86"/>
      <c r="M1113" s="87"/>
      <c r="N1113" s="88"/>
    </row>
    <row r="1114" spans="1:14" ht="18.75" x14ac:dyDescent="0.25">
      <c r="A1114" s="82"/>
      <c r="B1114" s="82"/>
      <c r="C1114" s="83"/>
      <c r="D1114" s="84"/>
      <c r="E1114" s="82"/>
      <c r="G1114" s="85"/>
      <c r="H1114" s="85"/>
      <c r="I1114" s="86"/>
      <c r="M1114" s="87"/>
      <c r="N1114" s="88"/>
    </row>
    <row r="1115" spans="1:14" ht="18.75" x14ac:dyDescent="0.25">
      <c r="A1115" s="82"/>
      <c r="B1115" s="82"/>
      <c r="C1115" s="83"/>
      <c r="D1115" s="84"/>
      <c r="E1115" s="82"/>
      <c r="G1115" s="85"/>
      <c r="H1115" s="85"/>
      <c r="I1115" s="86"/>
      <c r="M1115" s="87"/>
      <c r="N1115" s="88"/>
    </row>
    <row r="1116" spans="1:14" ht="18.75" x14ac:dyDescent="0.25">
      <c r="A1116" s="82"/>
      <c r="B1116" s="82"/>
      <c r="C1116" s="83"/>
      <c r="D1116" s="84"/>
      <c r="E1116" s="82"/>
      <c r="G1116" s="85"/>
      <c r="H1116" s="85"/>
      <c r="I1116" s="86"/>
      <c r="M1116" s="87"/>
      <c r="N1116" s="88"/>
    </row>
    <row r="1117" spans="1:14" ht="18.75" x14ac:dyDescent="0.25">
      <c r="A1117" s="82"/>
      <c r="B1117" s="82"/>
      <c r="C1117" s="83"/>
      <c r="D1117" s="84"/>
      <c r="E1117" s="82"/>
      <c r="G1117" s="85"/>
      <c r="H1117" s="85"/>
      <c r="I1117" s="86"/>
      <c r="M1117" s="87"/>
      <c r="N1117" s="88"/>
    </row>
    <row r="1118" spans="1:14" ht="18.75" x14ac:dyDescent="0.25">
      <c r="A1118" s="82"/>
      <c r="B1118" s="82"/>
      <c r="C1118" s="83"/>
      <c r="D1118" s="84"/>
      <c r="E1118" s="82"/>
      <c r="G1118" s="85"/>
      <c r="H1118" s="85"/>
      <c r="I1118" s="86"/>
      <c r="M1118" s="87"/>
      <c r="N1118" s="88"/>
    </row>
    <row r="1119" spans="1:14" ht="18.75" x14ac:dyDescent="0.25">
      <c r="A1119" s="82"/>
      <c r="B1119" s="82"/>
      <c r="C1119" s="83"/>
      <c r="D1119" s="84"/>
      <c r="E1119" s="82"/>
      <c r="G1119" s="85"/>
      <c r="H1119" s="85"/>
      <c r="I1119" s="86"/>
      <c r="M1119" s="87"/>
      <c r="N1119" s="88"/>
    </row>
    <row r="1120" spans="1:14" ht="18.75" x14ac:dyDescent="0.25">
      <c r="A1120" s="82"/>
      <c r="B1120" s="82"/>
      <c r="C1120" s="83"/>
      <c r="D1120" s="84"/>
      <c r="E1120" s="82"/>
      <c r="G1120" s="85"/>
      <c r="H1120" s="85"/>
      <c r="I1120" s="86"/>
      <c r="M1120" s="87"/>
      <c r="N1120" s="88"/>
    </row>
    <row r="1121" spans="1:14" ht="18.75" x14ac:dyDescent="0.25">
      <c r="A1121" s="82"/>
      <c r="B1121" s="82"/>
      <c r="C1121" s="83"/>
      <c r="D1121" s="84"/>
      <c r="E1121" s="82"/>
      <c r="G1121" s="85"/>
      <c r="H1121" s="85"/>
      <c r="I1121" s="86"/>
      <c r="M1121" s="87"/>
      <c r="N1121" s="88"/>
    </row>
    <row r="1122" spans="1:14" ht="18.75" x14ac:dyDescent="0.25">
      <c r="A1122" s="82"/>
      <c r="B1122" s="82"/>
      <c r="C1122" s="83"/>
      <c r="D1122" s="84"/>
      <c r="E1122" s="82"/>
      <c r="G1122" s="85"/>
      <c r="H1122" s="85"/>
      <c r="I1122" s="86"/>
      <c r="M1122" s="87"/>
      <c r="N1122" s="88"/>
    </row>
    <row r="1123" spans="1:14" ht="18.75" x14ac:dyDescent="0.25">
      <c r="A1123" s="82"/>
      <c r="B1123" s="82"/>
      <c r="C1123" s="83"/>
      <c r="D1123" s="84"/>
      <c r="E1123" s="82"/>
      <c r="G1123" s="85"/>
      <c r="H1123" s="85"/>
      <c r="I1123" s="86"/>
      <c r="M1123" s="87"/>
      <c r="N1123" s="88"/>
    </row>
    <row r="1124" spans="1:14" ht="18.75" x14ac:dyDescent="0.25">
      <c r="A1124" s="82"/>
      <c r="B1124" s="82"/>
      <c r="C1124" s="83"/>
      <c r="D1124" s="84"/>
      <c r="E1124" s="82"/>
      <c r="G1124" s="85"/>
      <c r="H1124" s="85"/>
      <c r="I1124" s="86"/>
      <c r="M1124" s="87"/>
      <c r="N1124" s="88"/>
    </row>
    <row r="1125" spans="1:14" ht="18.75" x14ac:dyDescent="0.25">
      <c r="A1125" s="82"/>
      <c r="B1125" s="82"/>
      <c r="C1125" s="83"/>
      <c r="D1125" s="84"/>
      <c r="E1125" s="82"/>
      <c r="G1125" s="85"/>
      <c r="H1125" s="85"/>
      <c r="I1125" s="86"/>
      <c r="M1125" s="87"/>
      <c r="N1125" s="88"/>
    </row>
    <row r="1126" spans="1:14" ht="18.75" x14ac:dyDescent="0.25">
      <c r="A1126" s="82"/>
      <c r="B1126" s="82"/>
      <c r="C1126" s="83"/>
      <c r="D1126" s="84"/>
      <c r="E1126" s="82"/>
      <c r="G1126" s="85"/>
      <c r="H1126" s="85"/>
      <c r="I1126" s="86"/>
      <c r="M1126" s="87"/>
      <c r="N1126" s="88"/>
    </row>
    <row r="1127" spans="1:14" ht="18.75" x14ac:dyDescent="0.25">
      <c r="A1127" s="82"/>
      <c r="B1127" s="82"/>
      <c r="C1127" s="83"/>
      <c r="D1127" s="84"/>
      <c r="E1127" s="82"/>
      <c r="G1127" s="85"/>
      <c r="H1127" s="85"/>
      <c r="I1127" s="86"/>
      <c r="M1127" s="87"/>
      <c r="N1127" s="88"/>
    </row>
    <row r="1128" spans="1:14" ht="18.75" x14ac:dyDescent="0.25">
      <c r="A1128" s="82"/>
      <c r="B1128" s="82"/>
      <c r="C1128" s="83"/>
      <c r="D1128" s="84"/>
      <c r="E1128" s="82"/>
      <c r="G1128" s="85"/>
      <c r="H1128" s="85"/>
      <c r="I1128" s="86"/>
      <c r="M1128" s="87"/>
      <c r="N1128" s="88"/>
    </row>
    <row r="1129" spans="1:14" ht="18.75" x14ac:dyDescent="0.25">
      <c r="A1129" s="82"/>
      <c r="B1129" s="82"/>
      <c r="C1129" s="83"/>
      <c r="D1129" s="84"/>
      <c r="E1129" s="82"/>
      <c r="G1129" s="85"/>
      <c r="H1129" s="85"/>
      <c r="I1129" s="86"/>
      <c r="M1129" s="87"/>
      <c r="N1129" s="88"/>
    </row>
    <row r="1130" spans="1:14" ht="18.75" x14ac:dyDescent="0.25">
      <c r="A1130" s="82"/>
      <c r="B1130" s="82"/>
      <c r="C1130" s="83"/>
      <c r="D1130" s="84"/>
      <c r="E1130" s="82"/>
      <c r="G1130" s="85"/>
      <c r="H1130" s="85"/>
      <c r="I1130" s="86"/>
      <c r="M1130" s="87"/>
      <c r="N1130" s="88"/>
    </row>
    <row r="1131" spans="1:14" ht="18.75" x14ac:dyDescent="0.25">
      <c r="A1131" s="82"/>
      <c r="B1131" s="82"/>
      <c r="C1131" s="83"/>
      <c r="D1131" s="84"/>
      <c r="E1131" s="82"/>
      <c r="G1131" s="85"/>
      <c r="H1131" s="85"/>
      <c r="I1131" s="86"/>
      <c r="M1131" s="87"/>
      <c r="N1131" s="88"/>
    </row>
    <row r="1132" spans="1:14" ht="18.75" x14ac:dyDescent="0.25">
      <c r="A1132" s="82"/>
      <c r="B1132" s="82"/>
      <c r="C1132" s="83"/>
      <c r="D1132" s="84"/>
      <c r="E1132" s="82"/>
      <c r="G1132" s="85"/>
      <c r="H1132" s="85"/>
      <c r="I1132" s="86"/>
      <c r="M1132" s="87"/>
      <c r="N1132" s="88"/>
    </row>
    <row r="1133" spans="1:14" ht="18.75" x14ac:dyDescent="0.25">
      <c r="A1133" s="82"/>
      <c r="B1133" s="82"/>
      <c r="C1133" s="83"/>
      <c r="D1133" s="84"/>
      <c r="E1133" s="82"/>
      <c r="G1133" s="85"/>
      <c r="H1133" s="85"/>
      <c r="I1133" s="86"/>
      <c r="M1133" s="87"/>
      <c r="N1133" s="88"/>
    </row>
    <row r="1134" spans="1:14" ht="18.75" x14ac:dyDescent="0.25">
      <c r="A1134" s="82"/>
      <c r="B1134" s="82"/>
      <c r="C1134" s="83"/>
      <c r="D1134" s="84"/>
      <c r="E1134" s="82"/>
      <c r="G1134" s="85"/>
      <c r="H1134" s="85"/>
      <c r="I1134" s="86"/>
      <c r="M1134" s="87"/>
      <c r="N1134" s="88"/>
    </row>
    <row r="1135" spans="1:14" ht="18.75" x14ac:dyDescent="0.25">
      <c r="A1135" s="82"/>
      <c r="B1135" s="82"/>
      <c r="C1135" s="83"/>
      <c r="D1135" s="84"/>
      <c r="E1135" s="82"/>
      <c r="G1135" s="85"/>
      <c r="H1135" s="85"/>
      <c r="I1135" s="86"/>
      <c r="M1135" s="87"/>
      <c r="N1135" s="88"/>
    </row>
    <row r="1136" spans="1:14" ht="18.75" x14ac:dyDescent="0.25">
      <c r="A1136" s="82"/>
      <c r="B1136" s="82"/>
      <c r="C1136" s="83"/>
      <c r="D1136" s="84"/>
      <c r="E1136" s="82"/>
      <c r="G1136" s="85"/>
      <c r="H1136" s="85"/>
      <c r="I1136" s="86"/>
      <c r="M1136" s="87"/>
      <c r="N1136" s="88"/>
    </row>
    <row r="1137" spans="1:14" ht="18.75" x14ac:dyDescent="0.25">
      <c r="A1137" s="82"/>
      <c r="B1137" s="82"/>
      <c r="C1137" s="83"/>
      <c r="D1137" s="84"/>
      <c r="E1137" s="82"/>
      <c r="G1137" s="85"/>
      <c r="H1137" s="85"/>
      <c r="I1137" s="86"/>
      <c r="M1137" s="87"/>
      <c r="N1137" s="88"/>
    </row>
    <row r="1138" spans="1:14" ht="18.75" x14ac:dyDescent="0.25">
      <c r="A1138" s="82"/>
      <c r="B1138" s="82"/>
      <c r="C1138" s="83"/>
      <c r="D1138" s="84"/>
      <c r="E1138" s="82"/>
      <c r="G1138" s="85"/>
      <c r="H1138" s="85"/>
      <c r="I1138" s="86"/>
      <c r="M1138" s="87"/>
      <c r="N1138" s="88"/>
    </row>
    <row r="1139" spans="1:14" ht="18.75" x14ac:dyDescent="0.25">
      <c r="A1139" s="82"/>
      <c r="B1139" s="82"/>
      <c r="C1139" s="83"/>
      <c r="D1139" s="84"/>
      <c r="E1139" s="82"/>
      <c r="G1139" s="85"/>
      <c r="H1139" s="85"/>
      <c r="I1139" s="86"/>
      <c r="M1139" s="87"/>
      <c r="N1139" s="88"/>
    </row>
    <row r="1140" spans="1:14" ht="18.75" x14ac:dyDescent="0.25">
      <c r="A1140" s="82"/>
      <c r="B1140" s="82"/>
      <c r="C1140" s="83"/>
      <c r="D1140" s="84"/>
      <c r="E1140" s="82"/>
      <c r="G1140" s="85"/>
      <c r="H1140" s="85"/>
      <c r="I1140" s="86"/>
      <c r="M1140" s="87"/>
      <c r="N1140" s="88"/>
    </row>
    <row r="1141" spans="1:14" ht="18.75" x14ac:dyDescent="0.25">
      <c r="A1141" s="82"/>
      <c r="B1141" s="82"/>
      <c r="C1141" s="83"/>
      <c r="D1141" s="84"/>
      <c r="E1141" s="82"/>
      <c r="G1141" s="85"/>
      <c r="H1141" s="85"/>
      <c r="I1141" s="86"/>
      <c r="M1141" s="87"/>
      <c r="N1141" s="88"/>
    </row>
    <row r="1142" spans="1:14" ht="18.75" x14ac:dyDescent="0.25">
      <c r="A1142" s="82"/>
      <c r="B1142" s="82"/>
      <c r="C1142" s="83"/>
      <c r="D1142" s="84"/>
      <c r="E1142" s="82"/>
      <c r="G1142" s="85"/>
      <c r="H1142" s="85"/>
      <c r="I1142" s="86"/>
      <c r="M1142" s="87"/>
      <c r="N1142" s="88"/>
    </row>
    <row r="1143" spans="1:14" ht="18.75" x14ac:dyDescent="0.25">
      <c r="A1143" s="82"/>
      <c r="B1143" s="82"/>
      <c r="C1143" s="83"/>
      <c r="D1143" s="84"/>
      <c r="E1143" s="82"/>
      <c r="G1143" s="85"/>
      <c r="H1143" s="85"/>
      <c r="I1143" s="86"/>
      <c r="M1143" s="87"/>
      <c r="N1143" s="88"/>
    </row>
    <row r="1144" spans="1:14" ht="18.75" x14ac:dyDescent="0.25">
      <c r="A1144" s="82"/>
      <c r="B1144" s="82"/>
      <c r="C1144" s="83"/>
      <c r="D1144" s="84"/>
      <c r="E1144" s="82"/>
      <c r="G1144" s="85"/>
      <c r="H1144" s="85"/>
      <c r="I1144" s="86"/>
      <c r="M1144" s="87"/>
      <c r="N1144" s="88"/>
    </row>
    <row r="1145" spans="1:14" ht="18.75" x14ac:dyDescent="0.25">
      <c r="A1145" s="82"/>
      <c r="B1145" s="82"/>
      <c r="C1145" s="83"/>
      <c r="D1145" s="84"/>
      <c r="E1145" s="82"/>
      <c r="G1145" s="85"/>
      <c r="H1145" s="85"/>
      <c r="I1145" s="86"/>
      <c r="M1145" s="87"/>
      <c r="N1145" s="88"/>
    </row>
    <row r="1146" spans="1:14" ht="18.75" x14ac:dyDescent="0.25">
      <c r="A1146" s="82"/>
      <c r="B1146" s="82"/>
      <c r="C1146" s="83"/>
      <c r="D1146" s="84"/>
      <c r="E1146" s="82"/>
      <c r="G1146" s="85"/>
      <c r="H1146" s="85"/>
      <c r="I1146" s="86"/>
      <c r="M1146" s="87"/>
      <c r="N1146" s="88"/>
    </row>
    <row r="1147" spans="1:14" ht="18.75" x14ac:dyDescent="0.25">
      <c r="A1147" s="82"/>
      <c r="B1147" s="82"/>
      <c r="C1147" s="83"/>
      <c r="D1147" s="84"/>
      <c r="E1147" s="82"/>
      <c r="G1147" s="85"/>
      <c r="H1147" s="85"/>
      <c r="I1147" s="86"/>
      <c r="M1147" s="87"/>
      <c r="N1147" s="88"/>
    </row>
    <row r="1148" spans="1:14" ht="18.75" x14ac:dyDescent="0.25">
      <c r="A1148" s="82"/>
      <c r="B1148" s="82"/>
      <c r="C1148" s="83"/>
      <c r="D1148" s="84"/>
      <c r="E1148" s="82"/>
      <c r="G1148" s="85"/>
      <c r="H1148" s="85"/>
      <c r="I1148" s="86"/>
      <c r="M1148" s="87"/>
      <c r="N1148" s="88"/>
    </row>
    <row r="1149" spans="1:14" ht="18.75" x14ac:dyDescent="0.25">
      <c r="A1149" s="82"/>
      <c r="B1149" s="82"/>
      <c r="C1149" s="83"/>
      <c r="D1149" s="84"/>
      <c r="E1149" s="82"/>
      <c r="G1149" s="85"/>
      <c r="H1149" s="85"/>
      <c r="I1149" s="86"/>
      <c r="M1149" s="87"/>
      <c r="N1149" s="88"/>
    </row>
    <row r="1150" spans="1:14" ht="18.75" x14ac:dyDescent="0.25">
      <c r="A1150" s="82"/>
      <c r="B1150" s="82"/>
      <c r="C1150" s="83"/>
      <c r="D1150" s="84"/>
      <c r="E1150" s="82"/>
      <c r="G1150" s="85"/>
      <c r="H1150" s="85"/>
      <c r="I1150" s="86"/>
      <c r="M1150" s="87"/>
      <c r="N1150" s="88"/>
    </row>
    <row r="1151" spans="1:14" ht="18.75" x14ac:dyDescent="0.25">
      <c r="A1151" s="82"/>
      <c r="B1151" s="82"/>
      <c r="C1151" s="83"/>
      <c r="D1151" s="84"/>
      <c r="E1151" s="82"/>
      <c r="G1151" s="85"/>
      <c r="H1151" s="85"/>
      <c r="I1151" s="86"/>
      <c r="M1151" s="87"/>
      <c r="N1151" s="88"/>
    </row>
    <row r="1152" spans="1:14" ht="18.75" x14ac:dyDescent="0.25">
      <c r="A1152" s="82"/>
      <c r="B1152" s="82"/>
      <c r="C1152" s="83"/>
      <c r="D1152" s="84"/>
      <c r="E1152" s="82"/>
      <c r="G1152" s="85"/>
      <c r="H1152" s="85"/>
      <c r="I1152" s="86"/>
      <c r="M1152" s="87"/>
      <c r="N1152" s="88"/>
    </row>
    <row r="1153" spans="1:14" ht="18.75" x14ac:dyDescent="0.25">
      <c r="A1153" s="82"/>
      <c r="B1153" s="82"/>
      <c r="C1153" s="83"/>
      <c r="D1153" s="84"/>
      <c r="E1153" s="82"/>
      <c r="G1153" s="85"/>
      <c r="H1153" s="85"/>
      <c r="I1153" s="86"/>
      <c r="M1153" s="87"/>
      <c r="N1153" s="88"/>
    </row>
    <row r="1154" spans="1:14" ht="18.75" x14ac:dyDescent="0.25">
      <c r="A1154" s="82"/>
      <c r="B1154" s="82"/>
      <c r="C1154" s="83"/>
      <c r="D1154" s="84"/>
      <c r="E1154" s="82"/>
      <c r="G1154" s="85"/>
      <c r="H1154" s="85"/>
      <c r="I1154" s="86"/>
      <c r="M1154" s="87"/>
      <c r="N1154" s="88"/>
    </row>
    <row r="1155" spans="1:14" ht="18.75" x14ac:dyDescent="0.25">
      <c r="A1155" s="82"/>
      <c r="B1155" s="82"/>
      <c r="C1155" s="83"/>
      <c r="D1155" s="84"/>
      <c r="E1155" s="82"/>
      <c r="G1155" s="85"/>
      <c r="H1155" s="85"/>
      <c r="I1155" s="86"/>
      <c r="M1155" s="87"/>
      <c r="N1155" s="88"/>
    </row>
    <row r="1156" spans="1:14" ht="18.75" x14ac:dyDescent="0.25">
      <c r="A1156" s="82"/>
      <c r="B1156" s="82"/>
      <c r="C1156" s="83"/>
      <c r="D1156" s="84"/>
      <c r="E1156" s="82"/>
      <c r="G1156" s="85"/>
      <c r="H1156" s="85"/>
      <c r="I1156" s="86"/>
      <c r="M1156" s="87"/>
      <c r="N1156" s="88"/>
    </row>
    <row r="1157" spans="1:14" ht="18.75" x14ac:dyDescent="0.25">
      <c r="A1157" s="82"/>
      <c r="B1157" s="82"/>
      <c r="C1157" s="83"/>
      <c r="D1157" s="84"/>
      <c r="E1157" s="82"/>
      <c r="G1157" s="85"/>
      <c r="H1157" s="85"/>
      <c r="I1157" s="86"/>
      <c r="M1157" s="87"/>
      <c r="N1157" s="88"/>
    </row>
    <row r="1158" spans="1:14" ht="18.75" x14ac:dyDescent="0.25">
      <c r="A1158" s="82"/>
      <c r="B1158" s="82"/>
      <c r="C1158" s="83"/>
      <c r="D1158" s="84"/>
      <c r="E1158" s="82"/>
      <c r="G1158" s="85"/>
      <c r="H1158" s="85"/>
      <c r="I1158" s="86"/>
      <c r="M1158" s="87"/>
      <c r="N1158" s="88"/>
    </row>
    <row r="1159" spans="1:14" ht="18.75" x14ac:dyDescent="0.25">
      <c r="A1159" s="82"/>
      <c r="B1159" s="82"/>
      <c r="C1159" s="83"/>
      <c r="D1159" s="84"/>
      <c r="E1159" s="82"/>
      <c r="G1159" s="85"/>
      <c r="H1159" s="85"/>
      <c r="I1159" s="86"/>
      <c r="M1159" s="87"/>
      <c r="N1159" s="88"/>
    </row>
    <row r="1160" spans="1:14" ht="18.75" x14ac:dyDescent="0.25">
      <c r="A1160" s="82"/>
      <c r="B1160" s="82"/>
      <c r="C1160" s="83"/>
      <c r="D1160" s="84"/>
      <c r="E1160" s="82"/>
      <c r="G1160" s="85"/>
      <c r="H1160" s="85"/>
      <c r="I1160" s="86"/>
      <c r="M1160" s="87"/>
      <c r="N1160" s="88"/>
    </row>
    <row r="1161" spans="1:14" ht="18.75" x14ac:dyDescent="0.25">
      <c r="A1161" s="82"/>
      <c r="B1161" s="82"/>
      <c r="C1161" s="83"/>
      <c r="D1161" s="84"/>
      <c r="E1161" s="82"/>
      <c r="G1161" s="85"/>
      <c r="H1161" s="85"/>
      <c r="I1161" s="86"/>
      <c r="M1161" s="87"/>
      <c r="N1161" s="88"/>
    </row>
    <row r="1162" spans="1:14" ht="18.75" x14ac:dyDescent="0.25">
      <c r="A1162" s="82"/>
      <c r="B1162" s="82"/>
      <c r="C1162" s="83"/>
      <c r="D1162" s="84"/>
      <c r="E1162" s="82"/>
      <c r="G1162" s="85"/>
      <c r="H1162" s="85"/>
      <c r="I1162" s="86"/>
      <c r="M1162" s="87"/>
      <c r="N1162" s="88"/>
    </row>
    <row r="1163" spans="1:14" ht="18.75" x14ac:dyDescent="0.25">
      <c r="A1163" s="82"/>
      <c r="B1163" s="82"/>
      <c r="C1163" s="83"/>
      <c r="D1163" s="84"/>
      <c r="E1163" s="82"/>
      <c r="G1163" s="85"/>
      <c r="H1163" s="85"/>
      <c r="I1163" s="86"/>
      <c r="M1163" s="87"/>
      <c r="N1163" s="88"/>
    </row>
    <row r="1164" spans="1:14" ht="18.75" x14ac:dyDescent="0.25">
      <c r="A1164" s="82"/>
      <c r="B1164" s="82"/>
      <c r="C1164" s="83"/>
      <c r="D1164" s="84"/>
      <c r="E1164" s="82"/>
      <c r="G1164" s="85"/>
      <c r="H1164" s="85"/>
      <c r="I1164" s="86"/>
      <c r="M1164" s="87"/>
      <c r="N1164" s="88"/>
    </row>
    <row r="1165" spans="1:14" ht="18.75" x14ac:dyDescent="0.25">
      <c r="A1165" s="82"/>
      <c r="B1165" s="82"/>
      <c r="C1165" s="83"/>
      <c r="D1165" s="84"/>
      <c r="E1165" s="82"/>
      <c r="G1165" s="85"/>
      <c r="H1165" s="85"/>
      <c r="I1165" s="86"/>
      <c r="M1165" s="87"/>
      <c r="N1165" s="88"/>
    </row>
    <row r="1166" spans="1:14" ht="18.75" x14ac:dyDescent="0.25">
      <c r="A1166" s="82"/>
      <c r="B1166" s="82"/>
      <c r="C1166" s="83"/>
      <c r="D1166" s="84"/>
      <c r="E1166" s="82"/>
      <c r="G1166" s="85"/>
      <c r="H1166" s="85"/>
      <c r="I1166" s="86"/>
      <c r="M1166" s="87"/>
      <c r="N1166" s="88"/>
    </row>
    <row r="1167" spans="1:14" ht="18.75" x14ac:dyDescent="0.25">
      <c r="A1167" s="82"/>
      <c r="B1167" s="82"/>
      <c r="C1167" s="83"/>
      <c r="D1167" s="84"/>
      <c r="E1167" s="82"/>
      <c r="G1167" s="85"/>
      <c r="H1167" s="85"/>
      <c r="I1167" s="86"/>
      <c r="M1167" s="87"/>
      <c r="N1167" s="88"/>
    </row>
    <row r="1168" spans="1:14" ht="18.75" x14ac:dyDescent="0.25">
      <c r="A1168" s="82"/>
      <c r="B1168" s="82"/>
      <c r="C1168" s="83"/>
      <c r="D1168" s="84"/>
      <c r="E1168" s="82"/>
      <c r="G1168" s="85"/>
      <c r="H1168" s="85"/>
      <c r="I1168" s="86"/>
      <c r="M1168" s="87"/>
      <c r="N1168" s="88"/>
    </row>
    <row r="1169" spans="1:14" ht="18.75" x14ac:dyDescent="0.25">
      <c r="A1169" s="82"/>
      <c r="B1169" s="82"/>
      <c r="C1169" s="83"/>
      <c r="D1169" s="84"/>
      <c r="E1169" s="82"/>
      <c r="G1169" s="85"/>
      <c r="H1169" s="85"/>
      <c r="I1169" s="86"/>
      <c r="M1169" s="87"/>
      <c r="N1169" s="88"/>
    </row>
    <row r="1170" spans="1:14" ht="18.75" x14ac:dyDescent="0.25">
      <c r="A1170" s="82"/>
      <c r="B1170" s="82"/>
      <c r="C1170" s="83"/>
      <c r="D1170" s="84"/>
      <c r="E1170" s="82"/>
      <c r="G1170" s="85"/>
      <c r="H1170" s="85"/>
      <c r="I1170" s="86"/>
      <c r="M1170" s="87"/>
      <c r="N1170" s="88"/>
    </row>
    <row r="1171" spans="1:14" ht="18.75" x14ac:dyDescent="0.25">
      <c r="A1171" s="82"/>
      <c r="B1171" s="82"/>
      <c r="C1171" s="83"/>
      <c r="D1171" s="84"/>
      <c r="E1171" s="82"/>
      <c r="G1171" s="85"/>
      <c r="H1171" s="85"/>
      <c r="I1171" s="86"/>
      <c r="M1171" s="87"/>
      <c r="N1171" s="88"/>
    </row>
    <row r="1172" spans="1:14" ht="18.75" x14ac:dyDescent="0.25">
      <c r="A1172" s="82"/>
      <c r="B1172" s="82"/>
      <c r="C1172" s="83"/>
      <c r="D1172" s="84"/>
      <c r="E1172" s="82"/>
      <c r="G1172" s="85"/>
      <c r="H1172" s="85"/>
      <c r="I1172" s="86"/>
      <c r="M1172" s="87"/>
      <c r="N1172" s="88"/>
    </row>
    <row r="1173" spans="1:14" ht="18.75" x14ac:dyDescent="0.25">
      <c r="A1173" s="82"/>
      <c r="B1173" s="82"/>
      <c r="C1173" s="83"/>
      <c r="D1173" s="84"/>
      <c r="E1173" s="82"/>
      <c r="G1173" s="85"/>
      <c r="H1173" s="85"/>
      <c r="I1173" s="86"/>
      <c r="M1173" s="87"/>
      <c r="N1173" s="88"/>
    </row>
    <row r="1174" spans="1:14" ht="18.75" x14ac:dyDescent="0.25">
      <c r="A1174" s="82"/>
      <c r="B1174" s="82"/>
      <c r="C1174" s="83"/>
      <c r="D1174" s="84"/>
      <c r="E1174" s="82"/>
      <c r="G1174" s="85"/>
      <c r="H1174" s="85"/>
      <c r="I1174" s="86"/>
      <c r="M1174" s="87"/>
      <c r="N1174" s="88"/>
    </row>
    <row r="1175" spans="1:14" ht="18.75" x14ac:dyDescent="0.25">
      <c r="A1175" s="82"/>
      <c r="B1175" s="82"/>
      <c r="C1175" s="83"/>
      <c r="D1175" s="84"/>
      <c r="E1175" s="82"/>
      <c r="G1175" s="85"/>
      <c r="H1175" s="85"/>
      <c r="I1175" s="86"/>
      <c r="M1175" s="87"/>
      <c r="N1175" s="88"/>
    </row>
    <row r="1176" spans="1:14" ht="18.75" x14ac:dyDescent="0.25">
      <c r="A1176" s="82"/>
      <c r="B1176" s="82"/>
      <c r="C1176" s="83"/>
      <c r="D1176" s="84"/>
      <c r="E1176" s="82"/>
      <c r="G1176" s="85"/>
      <c r="H1176" s="85"/>
      <c r="I1176" s="86"/>
      <c r="M1176" s="87"/>
      <c r="N1176" s="88"/>
    </row>
    <row r="1177" spans="1:14" ht="18.75" x14ac:dyDescent="0.25">
      <c r="A1177" s="82"/>
      <c r="B1177" s="82"/>
      <c r="C1177" s="83"/>
      <c r="D1177" s="84"/>
      <c r="E1177" s="82"/>
      <c r="G1177" s="85"/>
      <c r="H1177" s="85"/>
      <c r="I1177" s="86"/>
      <c r="M1177" s="87"/>
      <c r="N1177" s="88"/>
    </row>
    <row r="1178" spans="1:14" ht="18.75" x14ac:dyDescent="0.25">
      <c r="A1178" s="82"/>
      <c r="B1178" s="82"/>
      <c r="C1178" s="83"/>
      <c r="D1178" s="84"/>
      <c r="E1178" s="82"/>
      <c r="G1178" s="85"/>
      <c r="H1178" s="85"/>
      <c r="I1178" s="86"/>
      <c r="M1178" s="87"/>
      <c r="N1178" s="88"/>
    </row>
    <row r="1179" spans="1:14" ht="18.75" x14ac:dyDescent="0.25">
      <c r="A1179" s="82"/>
      <c r="B1179" s="82"/>
      <c r="C1179" s="83"/>
      <c r="D1179" s="84"/>
      <c r="E1179" s="82"/>
      <c r="G1179" s="85"/>
      <c r="H1179" s="85"/>
      <c r="I1179" s="86"/>
      <c r="M1179" s="87"/>
      <c r="N1179" s="88"/>
    </row>
    <row r="1180" spans="1:14" ht="18.75" x14ac:dyDescent="0.25">
      <c r="A1180" s="82"/>
      <c r="B1180" s="82"/>
      <c r="C1180" s="83"/>
      <c r="D1180" s="84"/>
      <c r="E1180" s="82"/>
      <c r="G1180" s="85"/>
      <c r="H1180" s="85"/>
      <c r="I1180" s="86"/>
      <c r="M1180" s="87"/>
      <c r="N1180" s="88"/>
    </row>
    <row r="1181" spans="1:14" ht="18.75" x14ac:dyDescent="0.25">
      <c r="A1181" s="82"/>
      <c r="B1181" s="82"/>
      <c r="C1181" s="83"/>
      <c r="D1181" s="84"/>
      <c r="E1181" s="82"/>
      <c r="G1181" s="85"/>
      <c r="H1181" s="85"/>
      <c r="I1181" s="86"/>
      <c r="M1181" s="87"/>
      <c r="N1181" s="88"/>
    </row>
    <row r="1182" spans="1:14" ht="18.75" x14ac:dyDescent="0.25">
      <c r="A1182" s="82"/>
      <c r="B1182" s="82"/>
      <c r="C1182" s="83"/>
      <c r="D1182" s="84"/>
      <c r="E1182" s="82"/>
      <c r="G1182" s="85"/>
      <c r="H1182" s="85"/>
      <c r="I1182" s="86"/>
      <c r="M1182" s="87"/>
      <c r="N1182" s="88"/>
    </row>
    <row r="1183" spans="1:14" ht="18.75" x14ac:dyDescent="0.25">
      <c r="A1183" s="82"/>
      <c r="B1183" s="82"/>
      <c r="C1183" s="83"/>
      <c r="D1183" s="84"/>
      <c r="E1183" s="82"/>
      <c r="G1183" s="85"/>
      <c r="H1183" s="85"/>
      <c r="I1183" s="86"/>
      <c r="M1183" s="87"/>
      <c r="N1183" s="88"/>
    </row>
    <row r="1184" spans="1:14" ht="18.75" x14ac:dyDescent="0.25">
      <c r="A1184" s="82"/>
      <c r="B1184" s="82"/>
      <c r="C1184" s="83"/>
      <c r="D1184" s="84"/>
      <c r="E1184" s="82"/>
      <c r="G1184" s="85"/>
      <c r="H1184" s="85"/>
      <c r="I1184" s="86"/>
      <c r="M1184" s="87"/>
      <c r="N1184" s="88"/>
    </row>
    <row r="1185" spans="1:14" ht="18.75" x14ac:dyDescent="0.25">
      <c r="A1185" s="82"/>
      <c r="B1185" s="82"/>
      <c r="C1185" s="83"/>
      <c r="D1185" s="84"/>
      <c r="E1185" s="82"/>
      <c r="G1185" s="85"/>
      <c r="H1185" s="85"/>
      <c r="I1185" s="86"/>
      <c r="M1185" s="87"/>
      <c r="N1185" s="88"/>
    </row>
    <row r="1186" spans="1:14" ht="18.75" x14ac:dyDescent="0.25">
      <c r="A1186" s="82"/>
      <c r="B1186" s="82"/>
      <c r="C1186" s="83"/>
      <c r="D1186" s="84"/>
      <c r="E1186" s="82"/>
      <c r="G1186" s="85"/>
      <c r="H1186" s="85"/>
      <c r="I1186" s="86"/>
      <c r="M1186" s="87"/>
      <c r="N1186" s="88"/>
    </row>
    <row r="1187" spans="1:14" ht="18.75" x14ac:dyDescent="0.25">
      <c r="A1187" s="82"/>
      <c r="B1187" s="82"/>
      <c r="C1187" s="83"/>
      <c r="D1187" s="84"/>
      <c r="E1187" s="82"/>
      <c r="G1187" s="85"/>
      <c r="H1187" s="85"/>
      <c r="I1187" s="86"/>
      <c r="M1187" s="87"/>
      <c r="N1187" s="88"/>
    </row>
    <row r="1188" spans="1:14" ht="18.75" x14ac:dyDescent="0.25">
      <c r="A1188" s="82"/>
      <c r="B1188" s="82"/>
      <c r="C1188" s="83"/>
      <c r="D1188" s="84"/>
      <c r="E1188" s="82"/>
      <c r="G1188" s="85"/>
      <c r="H1188" s="85"/>
      <c r="I1188" s="86"/>
      <c r="M1188" s="87"/>
      <c r="N1188" s="88"/>
    </row>
    <row r="1189" spans="1:14" ht="18.75" x14ac:dyDescent="0.25">
      <c r="A1189" s="82"/>
      <c r="B1189" s="82"/>
      <c r="C1189" s="83"/>
      <c r="D1189" s="84"/>
      <c r="E1189" s="82"/>
      <c r="G1189" s="85"/>
      <c r="H1189" s="85"/>
      <c r="I1189" s="86"/>
      <c r="M1189" s="87"/>
      <c r="N1189" s="88"/>
    </row>
    <row r="1190" spans="1:14" ht="18.75" x14ac:dyDescent="0.25">
      <c r="A1190" s="82"/>
      <c r="B1190" s="82"/>
      <c r="C1190" s="83"/>
      <c r="D1190" s="84"/>
      <c r="E1190" s="82"/>
      <c r="G1190" s="85"/>
      <c r="H1190" s="85"/>
      <c r="I1190" s="86"/>
      <c r="M1190" s="87"/>
      <c r="N1190" s="88"/>
    </row>
    <row r="1191" spans="1:14" ht="18.75" x14ac:dyDescent="0.25">
      <c r="A1191" s="82"/>
      <c r="B1191" s="82"/>
      <c r="C1191" s="83"/>
      <c r="D1191" s="84"/>
      <c r="E1191" s="82"/>
      <c r="G1191" s="85"/>
      <c r="H1191" s="85"/>
      <c r="I1191" s="86"/>
      <c r="M1191" s="87"/>
      <c r="N1191" s="88"/>
    </row>
    <row r="1192" spans="1:14" ht="18.75" x14ac:dyDescent="0.25">
      <c r="A1192" s="82"/>
      <c r="B1192" s="82"/>
      <c r="C1192" s="83"/>
      <c r="D1192" s="84"/>
      <c r="E1192" s="82"/>
      <c r="G1192" s="85"/>
      <c r="H1192" s="85"/>
      <c r="I1192" s="86"/>
      <c r="M1192" s="87"/>
      <c r="N1192" s="88"/>
    </row>
    <row r="1193" spans="1:14" ht="18.75" x14ac:dyDescent="0.25">
      <c r="A1193" s="82"/>
      <c r="B1193" s="82"/>
      <c r="C1193" s="83"/>
      <c r="D1193" s="84"/>
      <c r="E1193" s="82"/>
      <c r="G1193" s="85"/>
      <c r="H1193" s="85"/>
      <c r="I1193" s="86"/>
      <c r="M1193" s="87"/>
      <c r="N1193" s="88"/>
    </row>
    <row r="1194" spans="1:14" ht="18.75" x14ac:dyDescent="0.25">
      <c r="A1194" s="82"/>
      <c r="B1194" s="82"/>
      <c r="C1194" s="83"/>
      <c r="D1194" s="84"/>
      <c r="E1194" s="82"/>
      <c r="G1194" s="85"/>
      <c r="H1194" s="85"/>
      <c r="I1194" s="86"/>
      <c r="M1194" s="87"/>
      <c r="N1194" s="88"/>
    </row>
    <row r="1195" spans="1:14" ht="18.75" x14ac:dyDescent="0.25">
      <c r="A1195" s="82"/>
      <c r="B1195" s="82"/>
      <c r="C1195" s="83"/>
      <c r="D1195" s="84"/>
      <c r="E1195" s="82"/>
      <c r="G1195" s="85"/>
      <c r="H1195" s="85"/>
      <c r="I1195" s="86"/>
      <c r="M1195" s="87"/>
      <c r="N1195" s="88"/>
    </row>
    <row r="1196" spans="1:14" ht="18.75" x14ac:dyDescent="0.25">
      <c r="A1196" s="82"/>
      <c r="B1196" s="82"/>
      <c r="C1196" s="83"/>
      <c r="D1196" s="84"/>
      <c r="E1196" s="82"/>
      <c r="G1196" s="85"/>
      <c r="H1196" s="85"/>
      <c r="I1196" s="86"/>
      <c r="M1196" s="87"/>
      <c r="N1196" s="88"/>
    </row>
    <row r="1197" spans="1:14" ht="18.75" x14ac:dyDescent="0.25">
      <c r="A1197" s="82"/>
      <c r="B1197" s="82"/>
      <c r="C1197" s="83"/>
      <c r="D1197" s="84"/>
      <c r="E1197" s="82"/>
      <c r="G1197" s="85"/>
      <c r="H1197" s="85"/>
      <c r="I1197" s="86"/>
      <c r="M1197" s="87"/>
      <c r="N1197" s="88"/>
    </row>
    <row r="1198" spans="1:14" ht="18.75" x14ac:dyDescent="0.25">
      <c r="A1198" s="82"/>
      <c r="B1198" s="82"/>
      <c r="C1198" s="83"/>
      <c r="D1198" s="84"/>
      <c r="E1198" s="82"/>
      <c r="G1198" s="85"/>
      <c r="H1198" s="85"/>
      <c r="I1198" s="86"/>
      <c r="M1198" s="87"/>
      <c r="N1198" s="88"/>
    </row>
    <row r="1199" spans="1:14" ht="18.75" x14ac:dyDescent="0.25">
      <c r="A1199" s="82"/>
      <c r="B1199" s="82"/>
      <c r="C1199" s="83"/>
      <c r="D1199" s="84"/>
      <c r="E1199" s="82"/>
      <c r="G1199" s="85"/>
      <c r="H1199" s="85"/>
      <c r="I1199" s="86"/>
      <c r="M1199" s="87"/>
      <c r="N1199" s="88"/>
    </row>
    <row r="1200" spans="1:14" ht="18.75" x14ac:dyDescent="0.25">
      <c r="A1200" s="82"/>
      <c r="B1200" s="82"/>
      <c r="C1200" s="83"/>
      <c r="D1200" s="84"/>
      <c r="E1200" s="82"/>
      <c r="G1200" s="85"/>
      <c r="H1200" s="85"/>
      <c r="I1200" s="86"/>
      <c r="M1200" s="87"/>
      <c r="N1200" s="88"/>
    </row>
    <row r="1201" spans="1:14" ht="18.75" x14ac:dyDescent="0.25">
      <c r="A1201" s="82"/>
      <c r="B1201" s="82"/>
      <c r="C1201" s="83"/>
      <c r="D1201" s="84"/>
      <c r="E1201" s="82"/>
      <c r="G1201" s="85"/>
      <c r="H1201" s="85"/>
      <c r="I1201" s="86"/>
      <c r="M1201" s="87"/>
      <c r="N1201" s="88"/>
    </row>
    <row r="1202" spans="1:14" ht="18.75" x14ac:dyDescent="0.25">
      <c r="A1202" s="82"/>
      <c r="B1202" s="82"/>
      <c r="C1202" s="83"/>
      <c r="D1202" s="84"/>
      <c r="E1202" s="82"/>
      <c r="G1202" s="85"/>
      <c r="H1202" s="85"/>
      <c r="I1202" s="86"/>
      <c r="M1202" s="87"/>
      <c r="N1202" s="88"/>
    </row>
    <row r="1203" spans="1:14" ht="18.75" x14ac:dyDescent="0.25">
      <c r="A1203" s="82"/>
      <c r="B1203" s="82"/>
      <c r="C1203" s="83"/>
      <c r="D1203" s="84"/>
      <c r="E1203" s="82"/>
      <c r="G1203" s="85"/>
      <c r="H1203" s="85"/>
      <c r="I1203" s="86"/>
      <c r="M1203" s="87"/>
      <c r="N1203" s="88"/>
    </row>
    <row r="1204" spans="1:14" ht="18.75" x14ac:dyDescent="0.25">
      <c r="A1204" s="82"/>
      <c r="B1204" s="82"/>
      <c r="C1204" s="83"/>
      <c r="D1204" s="84"/>
      <c r="E1204" s="82"/>
      <c r="G1204" s="85"/>
      <c r="H1204" s="85"/>
      <c r="I1204" s="86"/>
      <c r="M1204" s="87"/>
      <c r="N1204" s="88"/>
    </row>
    <row r="1205" spans="1:14" ht="18.75" x14ac:dyDescent="0.25">
      <c r="A1205" s="82"/>
      <c r="B1205" s="82"/>
      <c r="C1205" s="83"/>
      <c r="D1205" s="84"/>
      <c r="E1205" s="82"/>
      <c r="G1205" s="85"/>
      <c r="H1205" s="85"/>
      <c r="I1205" s="86"/>
      <c r="M1205" s="87"/>
      <c r="N1205" s="88"/>
    </row>
    <row r="1206" spans="1:14" ht="18.75" x14ac:dyDescent="0.25">
      <c r="A1206" s="82"/>
      <c r="B1206" s="82"/>
      <c r="C1206" s="83"/>
      <c r="D1206" s="84"/>
      <c r="E1206" s="82"/>
      <c r="G1206" s="85"/>
      <c r="H1206" s="85"/>
      <c r="I1206" s="86"/>
      <c r="M1206" s="87"/>
      <c r="N1206" s="88"/>
    </row>
    <row r="1207" spans="1:14" ht="18.75" x14ac:dyDescent="0.25">
      <c r="A1207" s="82"/>
      <c r="B1207" s="82"/>
      <c r="C1207" s="83"/>
      <c r="D1207" s="84"/>
      <c r="E1207" s="82"/>
      <c r="G1207" s="85"/>
      <c r="H1207" s="85"/>
      <c r="I1207" s="86"/>
      <c r="M1207" s="87"/>
      <c r="N1207" s="88"/>
    </row>
    <row r="1208" spans="1:14" ht="18.75" x14ac:dyDescent="0.25">
      <c r="A1208" s="82"/>
      <c r="B1208" s="82"/>
      <c r="C1208" s="83"/>
      <c r="D1208" s="84"/>
      <c r="E1208" s="82"/>
      <c r="G1208" s="85"/>
      <c r="H1208" s="85"/>
      <c r="I1208" s="86"/>
      <c r="M1208" s="87"/>
      <c r="N1208" s="88"/>
    </row>
    <row r="1209" spans="1:14" ht="18.75" x14ac:dyDescent="0.25">
      <c r="A1209" s="82"/>
      <c r="B1209" s="82"/>
      <c r="C1209" s="83"/>
      <c r="D1209" s="84"/>
      <c r="E1209" s="82"/>
      <c r="G1209" s="85"/>
      <c r="H1209" s="85"/>
      <c r="I1209" s="86"/>
      <c r="M1209" s="87"/>
      <c r="N1209" s="88"/>
    </row>
    <row r="1210" spans="1:14" ht="18.75" x14ac:dyDescent="0.25">
      <c r="A1210" s="82"/>
      <c r="B1210" s="82"/>
      <c r="C1210" s="83"/>
      <c r="D1210" s="84"/>
      <c r="E1210" s="82"/>
      <c r="G1210" s="85"/>
      <c r="H1210" s="85"/>
      <c r="I1210" s="86"/>
      <c r="M1210" s="87"/>
      <c r="N1210" s="88"/>
    </row>
    <row r="1211" spans="1:14" ht="18.75" x14ac:dyDescent="0.25">
      <c r="A1211" s="82"/>
      <c r="B1211" s="82"/>
      <c r="C1211" s="83"/>
      <c r="D1211" s="84"/>
      <c r="E1211" s="82"/>
      <c r="G1211" s="85"/>
      <c r="H1211" s="85"/>
      <c r="I1211" s="86"/>
      <c r="M1211" s="87"/>
      <c r="N1211" s="88"/>
    </row>
    <row r="1212" spans="1:14" ht="18.75" x14ac:dyDescent="0.25">
      <c r="A1212" s="82"/>
      <c r="B1212" s="82"/>
      <c r="C1212" s="83"/>
      <c r="D1212" s="84"/>
      <c r="E1212" s="82"/>
      <c r="G1212" s="85"/>
      <c r="H1212" s="85"/>
      <c r="I1212" s="86"/>
      <c r="M1212" s="87"/>
      <c r="N1212" s="88"/>
    </row>
    <row r="1213" spans="1:14" ht="18.75" x14ac:dyDescent="0.25">
      <c r="A1213" s="82"/>
      <c r="B1213" s="82"/>
      <c r="C1213" s="83"/>
      <c r="D1213" s="84"/>
      <c r="E1213" s="82"/>
      <c r="G1213" s="85"/>
      <c r="H1213" s="85"/>
      <c r="I1213" s="86"/>
      <c r="M1213" s="87"/>
      <c r="N1213" s="88"/>
    </row>
    <row r="1214" spans="1:14" ht="18.75" x14ac:dyDescent="0.25">
      <c r="A1214" s="82"/>
      <c r="B1214" s="82"/>
      <c r="C1214" s="83"/>
      <c r="D1214" s="84"/>
      <c r="E1214" s="82"/>
      <c r="G1214" s="85"/>
      <c r="H1214" s="85"/>
      <c r="I1214" s="86"/>
      <c r="M1214" s="87"/>
      <c r="N1214" s="88"/>
    </row>
    <row r="1215" spans="1:14" ht="18.75" x14ac:dyDescent="0.25">
      <c r="A1215" s="82"/>
      <c r="B1215" s="82"/>
      <c r="C1215" s="83"/>
      <c r="D1215" s="84"/>
      <c r="E1215" s="82"/>
      <c r="G1215" s="85"/>
      <c r="H1215" s="85"/>
      <c r="I1215" s="86"/>
      <c r="M1215" s="87"/>
      <c r="N1215" s="88"/>
    </row>
    <row r="1216" spans="1:14" ht="18.75" x14ac:dyDescent="0.25">
      <c r="A1216" s="82"/>
      <c r="B1216" s="82"/>
      <c r="C1216" s="83"/>
      <c r="D1216" s="84"/>
      <c r="E1216" s="82"/>
      <c r="G1216" s="85"/>
      <c r="H1216" s="85"/>
      <c r="I1216" s="86"/>
      <c r="M1216" s="87"/>
      <c r="N1216" s="88"/>
    </row>
    <row r="1217" spans="1:14" ht="18.75" x14ac:dyDescent="0.25">
      <c r="A1217" s="82"/>
      <c r="B1217" s="82"/>
      <c r="C1217" s="83"/>
      <c r="D1217" s="84"/>
      <c r="E1217" s="82"/>
      <c r="G1217" s="85"/>
      <c r="H1217" s="85"/>
      <c r="I1217" s="86"/>
      <c r="M1217" s="87"/>
      <c r="N1217" s="88"/>
    </row>
    <row r="1218" spans="1:14" ht="18.75" x14ac:dyDescent="0.25">
      <c r="A1218" s="82"/>
      <c r="B1218" s="82"/>
      <c r="C1218" s="83"/>
      <c r="D1218" s="84"/>
      <c r="E1218" s="82"/>
      <c r="G1218" s="85"/>
      <c r="H1218" s="85"/>
      <c r="I1218" s="86"/>
      <c r="M1218" s="87"/>
      <c r="N1218" s="88"/>
    </row>
    <row r="1219" spans="1:14" ht="18.75" x14ac:dyDescent="0.25">
      <c r="A1219" s="82"/>
      <c r="B1219" s="82"/>
      <c r="C1219" s="83"/>
      <c r="D1219" s="84"/>
      <c r="E1219" s="82"/>
      <c r="G1219" s="85"/>
      <c r="H1219" s="85"/>
      <c r="I1219" s="86"/>
      <c r="M1219" s="87"/>
      <c r="N1219" s="88"/>
    </row>
    <row r="1220" spans="1:14" ht="18.75" x14ac:dyDescent="0.25">
      <c r="A1220" s="82"/>
      <c r="B1220" s="82"/>
      <c r="C1220" s="83"/>
      <c r="D1220" s="84"/>
      <c r="E1220" s="82"/>
      <c r="G1220" s="85"/>
      <c r="H1220" s="85"/>
      <c r="I1220" s="86"/>
      <c r="M1220" s="87"/>
      <c r="N1220" s="88"/>
    </row>
    <row r="1221" spans="1:14" ht="18.75" x14ac:dyDescent="0.25">
      <c r="A1221" s="82"/>
      <c r="B1221" s="82"/>
      <c r="C1221" s="83"/>
      <c r="D1221" s="84"/>
      <c r="E1221" s="82"/>
      <c r="G1221" s="85"/>
      <c r="H1221" s="85"/>
      <c r="I1221" s="86"/>
      <c r="M1221" s="87"/>
      <c r="N1221" s="88"/>
    </row>
    <row r="1222" spans="1:14" ht="18.75" x14ac:dyDescent="0.25">
      <c r="A1222" s="82"/>
      <c r="B1222" s="82"/>
      <c r="C1222" s="83"/>
      <c r="D1222" s="84"/>
      <c r="E1222" s="82"/>
      <c r="G1222" s="85"/>
      <c r="H1222" s="85"/>
      <c r="I1222" s="86"/>
      <c r="M1222" s="87"/>
      <c r="N1222" s="88"/>
    </row>
    <row r="1223" spans="1:14" ht="18.75" x14ac:dyDescent="0.25">
      <c r="A1223" s="82"/>
      <c r="B1223" s="82"/>
      <c r="C1223" s="83"/>
      <c r="D1223" s="84"/>
      <c r="E1223" s="82"/>
      <c r="G1223" s="85"/>
      <c r="H1223" s="85"/>
      <c r="I1223" s="86"/>
      <c r="M1223" s="87"/>
      <c r="N1223" s="88"/>
    </row>
    <row r="1224" spans="1:14" ht="18.75" x14ac:dyDescent="0.25">
      <c r="A1224" s="82"/>
      <c r="B1224" s="82"/>
      <c r="C1224" s="83"/>
      <c r="D1224" s="84"/>
      <c r="E1224" s="82"/>
      <c r="G1224" s="85"/>
      <c r="H1224" s="85"/>
      <c r="I1224" s="86"/>
      <c r="M1224" s="87"/>
      <c r="N1224" s="88"/>
    </row>
    <row r="1225" spans="1:14" ht="18.75" x14ac:dyDescent="0.25">
      <c r="A1225" s="82"/>
      <c r="B1225" s="82"/>
      <c r="C1225" s="83"/>
      <c r="D1225" s="84"/>
      <c r="E1225" s="82"/>
      <c r="G1225" s="85"/>
      <c r="H1225" s="85"/>
      <c r="I1225" s="86"/>
      <c r="M1225" s="87"/>
      <c r="N1225" s="88"/>
    </row>
    <row r="1226" spans="1:14" ht="18.75" x14ac:dyDescent="0.25">
      <c r="A1226" s="82"/>
      <c r="B1226" s="82"/>
      <c r="C1226" s="83"/>
      <c r="D1226" s="84"/>
      <c r="E1226" s="82"/>
      <c r="G1226" s="85"/>
      <c r="H1226" s="85"/>
      <c r="I1226" s="86"/>
      <c r="M1226" s="87"/>
      <c r="N1226" s="88"/>
    </row>
    <row r="1227" spans="1:14" ht="18.75" x14ac:dyDescent="0.25">
      <c r="A1227" s="82"/>
      <c r="B1227" s="82"/>
      <c r="C1227" s="83"/>
      <c r="D1227" s="84"/>
      <c r="E1227" s="82"/>
      <c r="G1227" s="85"/>
      <c r="H1227" s="85"/>
      <c r="I1227" s="86"/>
      <c r="M1227" s="87"/>
      <c r="N1227" s="88"/>
    </row>
    <row r="1228" spans="1:14" ht="18.75" x14ac:dyDescent="0.25">
      <c r="A1228" s="82"/>
      <c r="B1228" s="82"/>
      <c r="C1228" s="83"/>
      <c r="D1228" s="84"/>
      <c r="E1228" s="82"/>
      <c r="G1228" s="85"/>
      <c r="H1228" s="85"/>
      <c r="I1228" s="86"/>
      <c r="M1228" s="87"/>
      <c r="N1228" s="88"/>
    </row>
    <row r="1229" spans="1:14" ht="18.75" x14ac:dyDescent="0.25">
      <c r="A1229" s="82"/>
      <c r="B1229" s="82"/>
      <c r="C1229" s="83"/>
      <c r="D1229" s="84"/>
      <c r="E1229" s="82"/>
      <c r="G1229" s="85"/>
      <c r="H1229" s="85"/>
      <c r="I1229" s="86"/>
      <c r="M1229" s="87"/>
      <c r="N1229" s="88"/>
    </row>
    <row r="1230" spans="1:14" ht="18.75" x14ac:dyDescent="0.25">
      <c r="A1230" s="82"/>
      <c r="B1230" s="82"/>
      <c r="C1230" s="83"/>
      <c r="D1230" s="84"/>
      <c r="E1230" s="82"/>
      <c r="G1230" s="85"/>
      <c r="H1230" s="85"/>
      <c r="I1230" s="86"/>
      <c r="M1230" s="87"/>
      <c r="N1230" s="88"/>
    </row>
    <row r="1231" spans="1:14" ht="18.75" x14ac:dyDescent="0.25">
      <c r="A1231" s="82"/>
      <c r="B1231" s="82"/>
      <c r="C1231" s="83"/>
      <c r="D1231" s="84"/>
      <c r="E1231" s="82"/>
      <c r="G1231" s="85"/>
      <c r="H1231" s="85"/>
      <c r="I1231" s="86"/>
      <c r="M1231" s="87"/>
      <c r="N1231" s="88"/>
    </row>
    <row r="1232" spans="1:14" ht="18.75" x14ac:dyDescent="0.25">
      <c r="A1232" s="82"/>
      <c r="B1232" s="82"/>
      <c r="C1232" s="83"/>
      <c r="D1232" s="84"/>
      <c r="E1232" s="82"/>
      <c r="G1232" s="85"/>
      <c r="H1232" s="85"/>
      <c r="I1232" s="86"/>
      <c r="M1232" s="87"/>
      <c r="N1232" s="88"/>
    </row>
    <row r="1233" spans="1:14" ht="18.75" x14ac:dyDescent="0.25">
      <c r="A1233" s="82"/>
      <c r="B1233" s="82"/>
      <c r="C1233" s="83"/>
      <c r="D1233" s="84"/>
      <c r="E1233" s="82"/>
      <c r="G1233" s="85"/>
      <c r="H1233" s="85"/>
      <c r="I1233" s="86"/>
      <c r="M1233" s="87"/>
      <c r="N1233" s="88"/>
    </row>
    <row r="1234" spans="1:14" ht="18.75" x14ac:dyDescent="0.25">
      <c r="A1234" s="82"/>
      <c r="B1234" s="82"/>
      <c r="C1234" s="83"/>
      <c r="D1234" s="84"/>
      <c r="E1234" s="82"/>
      <c r="G1234" s="85"/>
      <c r="H1234" s="85"/>
      <c r="I1234" s="86"/>
      <c r="M1234" s="87"/>
      <c r="N1234" s="88"/>
    </row>
    <row r="1235" spans="1:14" ht="18.75" x14ac:dyDescent="0.25">
      <c r="A1235" s="82"/>
      <c r="B1235" s="82"/>
      <c r="C1235" s="83"/>
      <c r="D1235" s="84"/>
      <c r="E1235" s="82"/>
      <c r="G1235" s="85"/>
      <c r="H1235" s="85"/>
      <c r="I1235" s="86"/>
      <c r="M1235" s="87"/>
      <c r="N1235" s="88"/>
    </row>
    <row r="1236" spans="1:14" ht="18.75" x14ac:dyDescent="0.25">
      <c r="A1236" s="82"/>
      <c r="B1236" s="82"/>
      <c r="C1236" s="83"/>
      <c r="D1236" s="84"/>
      <c r="E1236" s="82"/>
      <c r="G1236" s="85"/>
      <c r="H1236" s="85"/>
      <c r="I1236" s="86"/>
      <c r="M1236" s="87"/>
      <c r="N1236" s="88"/>
    </row>
    <row r="1237" spans="1:14" ht="18.75" x14ac:dyDescent="0.25">
      <c r="A1237" s="82"/>
      <c r="B1237" s="82"/>
      <c r="C1237" s="83"/>
      <c r="D1237" s="84"/>
      <c r="E1237" s="82"/>
      <c r="G1237" s="85"/>
      <c r="H1237" s="85"/>
      <c r="I1237" s="86"/>
      <c r="M1237" s="87"/>
      <c r="N1237" s="88"/>
    </row>
    <row r="1238" spans="1:14" ht="18.75" x14ac:dyDescent="0.25">
      <c r="A1238" s="82"/>
      <c r="B1238" s="82"/>
      <c r="C1238" s="83"/>
      <c r="D1238" s="84"/>
      <c r="E1238" s="82"/>
      <c r="G1238" s="85"/>
      <c r="H1238" s="85"/>
      <c r="I1238" s="86"/>
      <c r="M1238" s="87"/>
      <c r="N1238" s="88"/>
    </row>
    <row r="1239" spans="1:14" ht="18.75" x14ac:dyDescent="0.25">
      <c r="A1239" s="82"/>
      <c r="B1239" s="82"/>
      <c r="C1239" s="83"/>
      <c r="D1239" s="84"/>
      <c r="E1239" s="82"/>
      <c r="G1239" s="85"/>
      <c r="H1239" s="85"/>
      <c r="I1239" s="86"/>
      <c r="M1239" s="87"/>
      <c r="N1239" s="88"/>
    </row>
    <row r="1240" spans="1:14" ht="18.75" x14ac:dyDescent="0.25">
      <c r="A1240" s="82"/>
      <c r="B1240" s="82"/>
      <c r="C1240" s="83"/>
      <c r="D1240" s="84"/>
      <c r="E1240" s="82"/>
      <c r="G1240" s="85"/>
      <c r="H1240" s="85"/>
      <c r="I1240" s="86"/>
      <c r="M1240" s="87"/>
      <c r="N1240" s="88"/>
    </row>
    <row r="1241" spans="1:14" ht="18.75" x14ac:dyDescent="0.25">
      <c r="A1241" s="82"/>
      <c r="B1241" s="82"/>
      <c r="C1241" s="83"/>
      <c r="D1241" s="84"/>
      <c r="E1241" s="82"/>
      <c r="G1241" s="85"/>
      <c r="H1241" s="85"/>
      <c r="I1241" s="86"/>
      <c r="M1241" s="87"/>
      <c r="N1241" s="88"/>
    </row>
    <row r="1242" spans="1:14" ht="18.75" x14ac:dyDescent="0.25">
      <c r="A1242" s="82"/>
      <c r="B1242" s="82"/>
      <c r="C1242" s="83"/>
      <c r="D1242" s="84"/>
      <c r="E1242" s="82"/>
      <c r="G1242" s="85"/>
      <c r="H1242" s="85"/>
      <c r="I1242" s="86"/>
      <c r="M1242" s="87"/>
      <c r="N1242" s="88"/>
    </row>
    <row r="1243" spans="1:14" ht="18.75" x14ac:dyDescent="0.25">
      <c r="A1243" s="82"/>
      <c r="B1243" s="82"/>
      <c r="C1243" s="83"/>
      <c r="D1243" s="84"/>
      <c r="E1243" s="82"/>
      <c r="G1243" s="85"/>
      <c r="H1243" s="85"/>
      <c r="I1243" s="86"/>
      <c r="M1243" s="87"/>
      <c r="N1243" s="88"/>
    </row>
    <row r="1244" spans="1:14" ht="18.75" x14ac:dyDescent="0.25">
      <c r="A1244" s="82"/>
      <c r="B1244" s="82"/>
      <c r="C1244" s="83"/>
      <c r="D1244" s="84"/>
      <c r="E1244" s="82"/>
      <c r="G1244" s="85"/>
      <c r="H1244" s="85"/>
      <c r="I1244" s="86"/>
      <c r="M1244" s="87"/>
      <c r="N1244" s="88"/>
    </row>
    <row r="1245" spans="1:14" ht="18.75" x14ac:dyDescent="0.25">
      <c r="A1245" s="82"/>
      <c r="B1245" s="82"/>
      <c r="C1245" s="83"/>
      <c r="D1245" s="84"/>
      <c r="E1245" s="82"/>
      <c r="G1245" s="85"/>
      <c r="H1245" s="85"/>
      <c r="I1245" s="86"/>
      <c r="M1245" s="87"/>
      <c r="N1245" s="88"/>
    </row>
    <row r="1246" spans="1:14" ht="18.75" x14ac:dyDescent="0.25">
      <c r="A1246" s="82"/>
      <c r="B1246" s="82"/>
      <c r="C1246" s="83"/>
      <c r="D1246" s="84"/>
      <c r="E1246" s="82"/>
      <c r="G1246" s="85"/>
      <c r="H1246" s="85"/>
      <c r="I1246" s="86"/>
      <c r="M1246" s="87"/>
      <c r="N1246" s="88"/>
    </row>
    <row r="1247" spans="1:14" ht="18.75" x14ac:dyDescent="0.25">
      <c r="A1247" s="82"/>
      <c r="B1247" s="82"/>
      <c r="C1247" s="83"/>
      <c r="D1247" s="84"/>
      <c r="E1247" s="82"/>
      <c r="G1247" s="85"/>
      <c r="H1247" s="85"/>
      <c r="I1247" s="86"/>
      <c r="M1247" s="87"/>
      <c r="N1247" s="88"/>
    </row>
    <row r="1248" spans="1:14" ht="18.75" x14ac:dyDescent="0.25">
      <c r="A1248" s="82"/>
      <c r="B1248" s="82"/>
      <c r="C1248" s="83"/>
      <c r="D1248" s="84"/>
      <c r="E1248" s="82"/>
      <c r="G1248" s="85"/>
      <c r="H1248" s="85"/>
      <c r="I1248" s="86"/>
      <c r="M1248" s="87"/>
      <c r="N1248" s="88"/>
    </row>
    <row r="1249" spans="1:14" ht="18.75" x14ac:dyDescent="0.25">
      <c r="A1249" s="82"/>
      <c r="B1249" s="82"/>
      <c r="C1249" s="83"/>
      <c r="D1249" s="84"/>
      <c r="E1249" s="82"/>
      <c r="G1249" s="85"/>
      <c r="H1249" s="85"/>
      <c r="I1249" s="86"/>
      <c r="M1249" s="87"/>
      <c r="N1249" s="88"/>
    </row>
    <row r="1250" spans="1:14" ht="18.75" x14ac:dyDescent="0.25">
      <c r="A1250" s="82"/>
      <c r="B1250" s="82"/>
      <c r="C1250" s="83"/>
      <c r="D1250" s="84"/>
      <c r="E1250" s="82"/>
      <c r="G1250" s="85"/>
      <c r="H1250" s="85"/>
      <c r="I1250" s="86"/>
      <c r="M1250" s="87"/>
      <c r="N1250" s="88"/>
    </row>
    <row r="1251" spans="1:14" ht="18.75" x14ac:dyDescent="0.25">
      <c r="A1251" s="82"/>
      <c r="B1251" s="82"/>
      <c r="C1251" s="83"/>
      <c r="D1251" s="84"/>
      <c r="E1251" s="82"/>
      <c r="G1251" s="85"/>
      <c r="H1251" s="85"/>
      <c r="I1251" s="86"/>
      <c r="M1251" s="87"/>
      <c r="N1251" s="88"/>
    </row>
    <row r="1252" spans="1:14" ht="18.75" x14ac:dyDescent="0.25">
      <c r="A1252" s="82"/>
      <c r="B1252" s="82"/>
      <c r="C1252" s="83"/>
      <c r="D1252" s="84"/>
      <c r="E1252" s="82"/>
      <c r="G1252" s="85"/>
      <c r="H1252" s="85"/>
      <c r="I1252" s="86"/>
      <c r="M1252" s="87"/>
      <c r="N1252" s="88"/>
    </row>
    <row r="1253" spans="1:14" ht="18.75" x14ac:dyDescent="0.25">
      <c r="A1253" s="82"/>
      <c r="B1253" s="82"/>
      <c r="C1253" s="83"/>
      <c r="D1253" s="84"/>
      <c r="E1253" s="82"/>
      <c r="G1253" s="85"/>
      <c r="H1253" s="85"/>
      <c r="I1253" s="86"/>
      <c r="M1253" s="87"/>
      <c r="N1253" s="88"/>
    </row>
    <row r="1254" spans="1:14" ht="18.75" x14ac:dyDescent="0.25">
      <c r="A1254" s="82"/>
      <c r="B1254" s="82"/>
      <c r="C1254" s="83"/>
      <c r="D1254" s="84"/>
      <c r="E1254" s="82"/>
      <c r="G1254" s="85"/>
      <c r="H1254" s="85"/>
      <c r="I1254" s="86"/>
      <c r="M1254" s="87"/>
      <c r="N1254" s="88"/>
    </row>
    <row r="1255" spans="1:14" ht="18.75" x14ac:dyDescent="0.25">
      <c r="A1255" s="82"/>
      <c r="B1255" s="82"/>
      <c r="C1255" s="83"/>
      <c r="D1255" s="84"/>
      <c r="E1255" s="82"/>
      <c r="G1255" s="85"/>
      <c r="H1255" s="85"/>
      <c r="I1255" s="86"/>
      <c r="M1255" s="87"/>
      <c r="N1255" s="88"/>
    </row>
    <row r="1256" spans="1:14" ht="18.75" x14ac:dyDescent="0.25">
      <c r="A1256" s="82"/>
      <c r="B1256" s="82"/>
      <c r="C1256" s="83"/>
      <c r="D1256" s="84"/>
      <c r="E1256" s="82"/>
      <c r="G1256" s="85"/>
      <c r="H1256" s="85"/>
      <c r="I1256" s="86"/>
      <c r="M1256" s="87"/>
      <c r="N1256" s="88"/>
    </row>
    <row r="1257" spans="1:14" ht="18.75" x14ac:dyDescent="0.25">
      <c r="A1257" s="82"/>
      <c r="B1257" s="82"/>
      <c r="C1257" s="83"/>
      <c r="D1257" s="84"/>
      <c r="E1257" s="82"/>
      <c r="G1257" s="85"/>
      <c r="H1257" s="85"/>
      <c r="I1257" s="86"/>
      <c r="M1257" s="87"/>
      <c r="N1257" s="88"/>
    </row>
    <row r="1258" spans="1:14" ht="18.75" x14ac:dyDescent="0.25">
      <c r="A1258" s="82"/>
      <c r="B1258" s="82"/>
      <c r="C1258" s="83"/>
      <c r="D1258" s="84"/>
      <c r="E1258" s="82"/>
      <c r="G1258" s="85"/>
      <c r="H1258" s="85"/>
      <c r="I1258" s="86"/>
      <c r="M1258" s="87"/>
      <c r="N1258" s="88"/>
    </row>
    <row r="1259" spans="1:14" ht="18.75" x14ac:dyDescent="0.25">
      <c r="A1259" s="82"/>
      <c r="B1259" s="82"/>
      <c r="C1259" s="83"/>
      <c r="D1259" s="84"/>
      <c r="E1259" s="82"/>
      <c r="G1259" s="85"/>
      <c r="H1259" s="85"/>
      <c r="I1259" s="86"/>
      <c r="M1259" s="87"/>
      <c r="N1259" s="88"/>
    </row>
    <row r="1260" spans="1:14" ht="18.75" x14ac:dyDescent="0.25">
      <c r="A1260" s="82"/>
      <c r="B1260" s="82"/>
      <c r="C1260" s="83"/>
      <c r="D1260" s="84"/>
      <c r="E1260" s="82"/>
      <c r="G1260" s="85"/>
      <c r="H1260" s="85"/>
      <c r="I1260" s="86"/>
      <c r="M1260" s="87"/>
      <c r="N1260" s="88"/>
    </row>
    <row r="1261" spans="1:14" ht="18.75" x14ac:dyDescent="0.25">
      <c r="A1261" s="82"/>
      <c r="B1261" s="82"/>
      <c r="C1261" s="83"/>
      <c r="D1261" s="84"/>
      <c r="E1261" s="82"/>
      <c r="G1261" s="85"/>
      <c r="H1261" s="85"/>
      <c r="I1261" s="86"/>
      <c r="M1261" s="87"/>
      <c r="N1261" s="88"/>
    </row>
    <row r="1262" spans="1:14" ht="18.75" x14ac:dyDescent="0.25">
      <c r="A1262" s="82"/>
      <c r="B1262" s="82"/>
      <c r="C1262" s="83"/>
      <c r="D1262" s="84"/>
      <c r="E1262" s="82"/>
      <c r="G1262" s="85"/>
      <c r="H1262" s="85"/>
      <c r="I1262" s="86"/>
      <c r="M1262" s="87"/>
      <c r="N1262" s="88"/>
    </row>
    <row r="1263" spans="1:14" ht="18.75" x14ac:dyDescent="0.25">
      <c r="A1263" s="82"/>
      <c r="B1263" s="82"/>
      <c r="C1263" s="83"/>
      <c r="D1263" s="84"/>
      <c r="E1263" s="82"/>
      <c r="G1263" s="85"/>
      <c r="H1263" s="85"/>
      <c r="I1263" s="86"/>
      <c r="M1263" s="87"/>
      <c r="N1263" s="88"/>
    </row>
    <row r="1264" spans="1:14" ht="18.75" x14ac:dyDescent="0.25">
      <c r="A1264" s="82"/>
      <c r="B1264" s="82"/>
      <c r="C1264" s="83"/>
      <c r="D1264" s="84"/>
      <c r="E1264" s="82"/>
      <c r="G1264" s="85"/>
      <c r="H1264" s="85"/>
      <c r="I1264" s="86"/>
      <c r="M1264" s="87"/>
      <c r="N1264" s="88"/>
    </row>
    <row r="1265" spans="1:14" ht="18.75" x14ac:dyDescent="0.25">
      <c r="A1265" s="82"/>
      <c r="B1265" s="82"/>
      <c r="C1265" s="83"/>
      <c r="D1265" s="84"/>
      <c r="E1265" s="82"/>
      <c r="G1265" s="85"/>
      <c r="H1265" s="85"/>
      <c r="I1265" s="86"/>
      <c r="M1265" s="87"/>
      <c r="N1265" s="88"/>
    </row>
    <row r="1266" spans="1:14" ht="18.75" x14ac:dyDescent="0.25">
      <c r="A1266" s="82"/>
      <c r="B1266" s="82"/>
      <c r="C1266" s="83"/>
      <c r="D1266" s="84"/>
      <c r="E1266" s="82"/>
      <c r="G1266" s="85"/>
      <c r="H1266" s="85"/>
      <c r="I1266" s="86"/>
      <c r="M1266" s="87"/>
      <c r="N1266" s="88"/>
    </row>
    <row r="1267" spans="1:14" ht="18.75" x14ac:dyDescent="0.25">
      <c r="A1267" s="82"/>
      <c r="B1267" s="82"/>
      <c r="C1267" s="83"/>
      <c r="D1267" s="84"/>
      <c r="E1267" s="82"/>
      <c r="G1267" s="85"/>
      <c r="H1267" s="85"/>
      <c r="I1267" s="86"/>
      <c r="M1267" s="87"/>
      <c r="N1267" s="88"/>
    </row>
    <row r="1268" spans="1:14" ht="18.75" x14ac:dyDescent="0.25">
      <c r="A1268" s="82"/>
      <c r="B1268" s="82"/>
      <c r="C1268" s="83"/>
      <c r="D1268" s="84"/>
      <c r="E1268" s="82"/>
      <c r="G1268" s="85"/>
      <c r="H1268" s="85"/>
      <c r="I1268" s="86"/>
      <c r="M1268" s="87"/>
      <c r="N1268" s="88"/>
    </row>
    <row r="1269" spans="1:14" ht="18.75" x14ac:dyDescent="0.25">
      <c r="A1269" s="82"/>
      <c r="B1269" s="82"/>
      <c r="C1269" s="83"/>
      <c r="D1269" s="84"/>
      <c r="E1269" s="82"/>
      <c r="G1269" s="85"/>
      <c r="H1269" s="85"/>
      <c r="I1269" s="86"/>
      <c r="M1269" s="87"/>
      <c r="N1269" s="88"/>
    </row>
    <row r="1270" spans="1:14" ht="18.75" x14ac:dyDescent="0.25">
      <c r="A1270" s="82"/>
      <c r="B1270" s="82"/>
      <c r="C1270" s="83"/>
      <c r="D1270" s="84"/>
      <c r="E1270" s="82"/>
      <c r="G1270" s="85"/>
      <c r="H1270" s="85"/>
      <c r="I1270" s="86"/>
      <c r="M1270" s="87"/>
      <c r="N1270" s="88"/>
    </row>
    <row r="1271" spans="1:14" ht="18.75" x14ac:dyDescent="0.25">
      <c r="A1271" s="82"/>
      <c r="B1271" s="82"/>
      <c r="C1271" s="83"/>
      <c r="D1271" s="84"/>
      <c r="E1271" s="82"/>
      <c r="G1271" s="85"/>
      <c r="H1271" s="85"/>
      <c r="I1271" s="86"/>
      <c r="M1271" s="87"/>
      <c r="N1271" s="88"/>
    </row>
    <row r="1272" spans="1:14" ht="18.75" x14ac:dyDescent="0.25">
      <c r="A1272" s="82"/>
      <c r="B1272" s="82"/>
      <c r="C1272" s="83"/>
      <c r="D1272" s="84"/>
      <c r="E1272" s="82"/>
      <c r="G1272" s="85"/>
      <c r="H1272" s="85"/>
      <c r="I1272" s="86"/>
      <c r="M1272" s="87"/>
      <c r="N1272" s="88"/>
    </row>
    <row r="1273" spans="1:14" ht="18.75" x14ac:dyDescent="0.25">
      <c r="A1273" s="82"/>
      <c r="B1273" s="82"/>
      <c r="C1273" s="83"/>
      <c r="D1273" s="84"/>
      <c r="E1273" s="82"/>
      <c r="G1273" s="85"/>
      <c r="H1273" s="85"/>
      <c r="I1273" s="86"/>
      <c r="M1273" s="87"/>
      <c r="N1273" s="88"/>
    </row>
    <row r="1274" spans="1:14" ht="18.75" x14ac:dyDescent="0.25">
      <c r="A1274" s="82"/>
      <c r="B1274" s="82"/>
      <c r="C1274" s="83"/>
      <c r="D1274" s="84"/>
      <c r="E1274" s="82"/>
      <c r="G1274" s="85"/>
      <c r="H1274" s="85"/>
      <c r="I1274" s="86"/>
      <c r="M1274" s="87"/>
      <c r="N1274" s="88"/>
    </row>
    <row r="1275" spans="1:14" ht="18.75" x14ac:dyDescent="0.25">
      <c r="A1275" s="82"/>
      <c r="B1275" s="82"/>
      <c r="C1275" s="83"/>
      <c r="D1275" s="84"/>
      <c r="E1275" s="82"/>
      <c r="G1275" s="85"/>
      <c r="H1275" s="85"/>
      <c r="I1275" s="86"/>
      <c r="M1275" s="87"/>
      <c r="N1275" s="88"/>
    </row>
    <row r="1276" spans="1:14" ht="18.75" x14ac:dyDescent="0.25">
      <c r="A1276" s="82"/>
      <c r="B1276" s="82"/>
      <c r="C1276" s="83"/>
      <c r="D1276" s="84"/>
      <c r="E1276" s="82"/>
      <c r="G1276" s="85"/>
      <c r="H1276" s="85"/>
      <c r="I1276" s="86"/>
      <c r="M1276" s="87"/>
      <c r="N1276" s="88"/>
    </row>
    <row r="1277" spans="1:14" ht="18.75" x14ac:dyDescent="0.25">
      <c r="A1277" s="82"/>
      <c r="B1277" s="82"/>
      <c r="C1277" s="83"/>
      <c r="D1277" s="84"/>
      <c r="E1277" s="82"/>
      <c r="G1277" s="85"/>
      <c r="H1277" s="85"/>
      <c r="I1277" s="86"/>
      <c r="M1277" s="87"/>
      <c r="N1277" s="88"/>
    </row>
    <row r="1278" spans="1:14" ht="18.75" x14ac:dyDescent="0.25">
      <c r="A1278" s="82"/>
      <c r="B1278" s="82"/>
      <c r="C1278" s="83"/>
      <c r="D1278" s="84"/>
      <c r="E1278" s="82"/>
      <c r="G1278" s="85"/>
      <c r="H1278" s="85"/>
      <c r="I1278" s="86"/>
      <c r="M1278" s="87"/>
      <c r="N1278" s="88"/>
    </row>
    <row r="1279" spans="1:14" ht="18.75" x14ac:dyDescent="0.25">
      <c r="A1279" s="82"/>
      <c r="B1279" s="82"/>
      <c r="C1279" s="83"/>
      <c r="D1279" s="84"/>
      <c r="E1279" s="82"/>
      <c r="G1279" s="85"/>
      <c r="H1279" s="85"/>
      <c r="I1279" s="86"/>
      <c r="M1279" s="87"/>
      <c r="N1279" s="88"/>
    </row>
    <row r="1280" spans="1:14" ht="18.75" x14ac:dyDescent="0.25">
      <c r="A1280" s="82"/>
      <c r="B1280" s="82"/>
      <c r="C1280" s="83"/>
      <c r="D1280" s="84"/>
      <c r="E1280" s="82"/>
      <c r="G1280" s="85"/>
      <c r="H1280" s="85"/>
      <c r="I1280" s="86"/>
      <c r="M1280" s="87"/>
      <c r="N1280" s="88"/>
    </row>
    <row r="1281" spans="1:14" ht="18.75" x14ac:dyDescent="0.25">
      <c r="A1281" s="82"/>
      <c r="B1281" s="82"/>
      <c r="C1281" s="83"/>
      <c r="D1281" s="84"/>
      <c r="E1281" s="82"/>
      <c r="G1281" s="85"/>
      <c r="H1281" s="85"/>
      <c r="I1281" s="86"/>
      <c r="M1281" s="87"/>
      <c r="N1281" s="88"/>
    </row>
    <row r="1282" spans="1:14" ht="18.75" x14ac:dyDescent="0.25">
      <c r="A1282" s="82"/>
      <c r="B1282" s="82"/>
      <c r="C1282" s="83"/>
      <c r="D1282" s="84"/>
      <c r="E1282" s="82"/>
      <c r="G1282" s="85"/>
      <c r="H1282" s="85"/>
      <c r="I1282" s="86"/>
      <c r="M1282" s="87"/>
      <c r="N1282" s="88"/>
    </row>
    <row r="1283" spans="1:14" ht="18.75" x14ac:dyDescent="0.25">
      <c r="A1283" s="82"/>
      <c r="B1283" s="82"/>
      <c r="C1283" s="83"/>
      <c r="D1283" s="84"/>
      <c r="E1283" s="82"/>
      <c r="G1283" s="85"/>
      <c r="H1283" s="85"/>
      <c r="I1283" s="86"/>
      <c r="M1283" s="87"/>
      <c r="N1283" s="88"/>
    </row>
    <row r="1284" spans="1:14" ht="18.75" x14ac:dyDescent="0.25">
      <c r="A1284" s="82"/>
      <c r="B1284" s="82"/>
      <c r="C1284" s="83"/>
      <c r="D1284" s="84"/>
      <c r="E1284" s="82"/>
      <c r="G1284" s="85"/>
      <c r="H1284" s="85"/>
      <c r="I1284" s="86"/>
      <c r="M1284" s="87"/>
      <c r="N1284" s="88"/>
    </row>
    <row r="1285" spans="1:14" ht="18.75" x14ac:dyDescent="0.25">
      <c r="A1285" s="82"/>
      <c r="B1285" s="82"/>
      <c r="C1285" s="83"/>
      <c r="D1285" s="84"/>
      <c r="E1285" s="82"/>
      <c r="G1285" s="85"/>
      <c r="H1285" s="85"/>
      <c r="I1285" s="86"/>
      <c r="M1285" s="87"/>
      <c r="N1285" s="88"/>
    </row>
    <row r="1286" spans="1:14" ht="18.75" x14ac:dyDescent="0.25">
      <c r="A1286" s="82"/>
      <c r="B1286" s="82"/>
      <c r="C1286" s="83"/>
      <c r="D1286" s="84"/>
      <c r="E1286" s="82"/>
      <c r="G1286" s="85"/>
      <c r="H1286" s="85"/>
      <c r="I1286" s="86"/>
      <c r="M1286" s="87"/>
      <c r="N1286" s="88"/>
    </row>
    <row r="1287" spans="1:14" ht="18.75" x14ac:dyDescent="0.25">
      <c r="A1287" s="82"/>
      <c r="B1287" s="82"/>
      <c r="C1287" s="83"/>
      <c r="D1287" s="84"/>
      <c r="E1287" s="82"/>
      <c r="G1287" s="85"/>
      <c r="H1287" s="85"/>
      <c r="I1287" s="86"/>
      <c r="M1287" s="87"/>
      <c r="N1287" s="88"/>
    </row>
    <row r="1288" spans="1:14" ht="18.75" x14ac:dyDescent="0.25">
      <c r="A1288" s="82"/>
      <c r="B1288" s="82"/>
      <c r="C1288" s="83"/>
      <c r="D1288" s="84"/>
      <c r="E1288" s="82"/>
      <c r="G1288" s="85"/>
      <c r="H1288" s="85"/>
      <c r="I1288" s="86"/>
      <c r="M1288" s="87"/>
      <c r="N1288" s="88"/>
    </row>
    <row r="1289" spans="1:14" ht="18.75" x14ac:dyDescent="0.25">
      <c r="A1289" s="82"/>
      <c r="B1289" s="82"/>
      <c r="C1289" s="83"/>
      <c r="D1289" s="84"/>
      <c r="E1289" s="82"/>
      <c r="G1289" s="85"/>
      <c r="H1289" s="85"/>
      <c r="I1289" s="86"/>
      <c r="M1289" s="87"/>
      <c r="N1289" s="88"/>
    </row>
    <row r="1290" spans="1:14" ht="18.75" x14ac:dyDescent="0.25">
      <c r="A1290" s="82"/>
      <c r="B1290" s="82"/>
      <c r="C1290" s="83"/>
      <c r="D1290" s="84"/>
      <c r="E1290" s="82"/>
      <c r="G1290" s="85"/>
      <c r="H1290" s="85"/>
      <c r="I1290" s="86"/>
      <c r="M1290" s="87"/>
      <c r="N1290" s="88"/>
    </row>
    <row r="1291" spans="1:14" ht="18.75" x14ac:dyDescent="0.25">
      <c r="A1291" s="82"/>
      <c r="B1291" s="82"/>
      <c r="C1291" s="83"/>
      <c r="D1291" s="84"/>
      <c r="E1291" s="82"/>
      <c r="G1291" s="85"/>
      <c r="H1291" s="85"/>
      <c r="I1291" s="86"/>
      <c r="M1291" s="87"/>
      <c r="N1291" s="88"/>
    </row>
    <row r="1292" spans="1:14" ht="18.75" x14ac:dyDescent="0.25">
      <c r="A1292" s="82"/>
      <c r="B1292" s="82"/>
      <c r="C1292" s="83"/>
      <c r="D1292" s="84"/>
      <c r="E1292" s="82"/>
      <c r="G1292" s="85"/>
      <c r="H1292" s="85"/>
      <c r="I1292" s="86"/>
      <c r="M1292" s="87"/>
      <c r="N1292" s="88"/>
    </row>
    <row r="1293" spans="1:14" ht="18.75" x14ac:dyDescent="0.25">
      <c r="A1293" s="82"/>
      <c r="B1293" s="82"/>
      <c r="C1293" s="83"/>
      <c r="D1293" s="84"/>
      <c r="E1293" s="82"/>
      <c r="G1293" s="85"/>
      <c r="H1293" s="85"/>
      <c r="I1293" s="86"/>
      <c r="M1293" s="87"/>
      <c r="N1293" s="88"/>
    </row>
    <row r="1294" spans="1:14" ht="18.75" x14ac:dyDescent="0.25">
      <c r="A1294" s="82"/>
      <c r="B1294" s="82"/>
      <c r="C1294" s="83"/>
      <c r="D1294" s="84"/>
      <c r="E1294" s="82"/>
      <c r="G1294" s="85"/>
      <c r="H1294" s="85"/>
      <c r="I1294" s="86"/>
      <c r="M1294" s="87"/>
      <c r="N1294" s="88"/>
    </row>
    <row r="1295" spans="1:14" ht="18.75" x14ac:dyDescent="0.25">
      <c r="A1295" s="82"/>
      <c r="B1295" s="82"/>
      <c r="C1295" s="83"/>
      <c r="D1295" s="84"/>
      <c r="E1295" s="82"/>
      <c r="G1295" s="85"/>
      <c r="H1295" s="85"/>
      <c r="I1295" s="86"/>
      <c r="M1295" s="87"/>
      <c r="N1295" s="88"/>
    </row>
    <row r="1296" spans="1:14" ht="18.75" x14ac:dyDescent="0.25">
      <c r="A1296" s="82"/>
      <c r="B1296" s="82"/>
      <c r="C1296" s="83"/>
      <c r="D1296" s="84"/>
      <c r="E1296" s="82"/>
      <c r="G1296" s="85"/>
      <c r="H1296" s="85"/>
      <c r="I1296" s="86"/>
      <c r="M1296" s="87"/>
      <c r="N1296" s="88"/>
    </row>
    <row r="1297" spans="1:14" ht="18.75" x14ac:dyDescent="0.25">
      <c r="A1297" s="82"/>
      <c r="B1297" s="82"/>
      <c r="C1297" s="83"/>
      <c r="D1297" s="84"/>
      <c r="E1297" s="82"/>
      <c r="G1297" s="85"/>
      <c r="H1297" s="85"/>
      <c r="I1297" s="86"/>
      <c r="M1297" s="87"/>
      <c r="N1297" s="88"/>
    </row>
    <row r="1298" spans="1:14" ht="18.75" x14ac:dyDescent="0.25">
      <c r="A1298" s="82"/>
      <c r="B1298" s="82"/>
      <c r="C1298" s="83"/>
      <c r="D1298" s="84"/>
      <c r="E1298" s="82"/>
      <c r="G1298" s="85"/>
      <c r="H1298" s="85"/>
      <c r="I1298" s="86"/>
      <c r="M1298" s="87"/>
      <c r="N1298" s="88"/>
    </row>
    <row r="1299" spans="1:14" ht="18.75" x14ac:dyDescent="0.25">
      <c r="A1299" s="82"/>
      <c r="B1299" s="82"/>
      <c r="C1299" s="83"/>
      <c r="D1299" s="84"/>
      <c r="E1299" s="82"/>
      <c r="G1299" s="85"/>
      <c r="H1299" s="85"/>
      <c r="I1299" s="86"/>
      <c r="M1299" s="87"/>
      <c r="N1299" s="88"/>
    </row>
    <row r="1300" spans="1:14" ht="18.75" x14ac:dyDescent="0.25">
      <c r="A1300" s="82"/>
      <c r="B1300" s="82"/>
      <c r="C1300" s="83"/>
      <c r="D1300" s="84"/>
      <c r="E1300" s="82"/>
      <c r="G1300" s="85"/>
      <c r="H1300" s="85"/>
      <c r="I1300" s="86"/>
      <c r="M1300" s="87"/>
      <c r="N1300" s="88"/>
    </row>
    <row r="1301" spans="1:14" ht="18.75" x14ac:dyDescent="0.25">
      <c r="A1301" s="82"/>
      <c r="B1301" s="82"/>
      <c r="C1301" s="83"/>
      <c r="D1301" s="84"/>
      <c r="E1301" s="82"/>
      <c r="G1301" s="85"/>
      <c r="H1301" s="85"/>
      <c r="I1301" s="86"/>
      <c r="M1301" s="87"/>
      <c r="N1301" s="88"/>
    </row>
    <row r="1302" spans="1:14" ht="18.75" x14ac:dyDescent="0.25">
      <c r="A1302" s="82"/>
      <c r="B1302" s="82"/>
      <c r="C1302" s="83"/>
      <c r="D1302" s="84"/>
      <c r="E1302" s="82"/>
      <c r="G1302" s="85"/>
      <c r="H1302" s="85"/>
      <c r="I1302" s="86"/>
      <c r="M1302" s="87"/>
      <c r="N1302" s="88"/>
    </row>
    <row r="1303" spans="1:14" ht="18.75" x14ac:dyDescent="0.25">
      <c r="A1303" s="82"/>
      <c r="B1303" s="82"/>
      <c r="C1303" s="83"/>
      <c r="D1303" s="84"/>
      <c r="E1303" s="82"/>
      <c r="G1303" s="85"/>
      <c r="H1303" s="85"/>
      <c r="I1303" s="86"/>
      <c r="M1303" s="87"/>
      <c r="N1303" s="88"/>
    </row>
    <row r="1304" spans="1:14" ht="18.75" x14ac:dyDescent="0.25">
      <c r="A1304" s="82"/>
      <c r="B1304" s="82"/>
      <c r="C1304" s="83"/>
      <c r="D1304" s="84"/>
      <c r="E1304" s="82"/>
      <c r="G1304" s="85"/>
      <c r="H1304" s="85"/>
      <c r="I1304" s="86"/>
      <c r="M1304" s="87"/>
      <c r="N1304" s="88"/>
    </row>
    <row r="1305" spans="1:14" ht="18.75" x14ac:dyDescent="0.25">
      <c r="A1305" s="82"/>
      <c r="B1305" s="82"/>
      <c r="C1305" s="83"/>
      <c r="D1305" s="84"/>
      <c r="E1305" s="82"/>
      <c r="G1305" s="85"/>
      <c r="H1305" s="85"/>
      <c r="I1305" s="86"/>
      <c r="M1305" s="87"/>
      <c r="N1305" s="88"/>
    </row>
    <row r="1306" spans="1:14" ht="18.75" x14ac:dyDescent="0.25">
      <c r="A1306" s="82"/>
      <c r="B1306" s="82"/>
      <c r="C1306" s="83"/>
      <c r="D1306" s="84"/>
      <c r="E1306" s="82"/>
      <c r="G1306" s="85"/>
      <c r="H1306" s="85"/>
      <c r="I1306" s="86"/>
      <c r="M1306" s="87"/>
      <c r="N1306" s="88"/>
    </row>
    <row r="1307" spans="1:14" ht="18.75" x14ac:dyDescent="0.25">
      <c r="A1307" s="82"/>
      <c r="B1307" s="82"/>
      <c r="C1307" s="83"/>
      <c r="D1307" s="84"/>
      <c r="E1307" s="82"/>
      <c r="G1307" s="85"/>
      <c r="H1307" s="85"/>
      <c r="I1307" s="86"/>
      <c r="M1307" s="87"/>
      <c r="N1307" s="88"/>
    </row>
    <row r="1308" spans="1:14" ht="18.75" x14ac:dyDescent="0.25">
      <c r="A1308" s="82"/>
      <c r="B1308" s="82"/>
      <c r="C1308" s="83"/>
      <c r="D1308" s="84"/>
      <c r="E1308" s="82"/>
      <c r="G1308" s="85"/>
      <c r="H1308" s="85"/>
      <c r="I1308" s="86"/>
      <c r="M1308" s="87"/>
      <c r="N1308" s="88"/>
    </row>
    <row r="1309" spans="1:14" ht="18.75" x14ac:dyDescent="0.25">
      <c r="A1309" s="82"/>
      <c r="B1309" s="82"/>
      <c r="C1309" s="83"/>
      <c r="D1309" s="84"/>
      <c r="E1309" s="82"/>
      <c r="G1309" s="85"/>
      <c r="H1309" s="85"/>
      <c r="I1309" s="86"/>
      <c r="M1309" s="87"/>
      <c r="N1309" s="88"/>
    </row>
    <row r="1310" spans="1:14" ht="18.75" x14ac:dyDescent="0.25">
      <c r="A1310" s="82"/>
      <c r="B1310" s="82"/>
      <c r="C1310" s="83"/>
      <c r="D1310" s="84"/>
      <c r="E1310" s="82"/>
      <c r="G1310" s="85"/>
      <c r="H1310" s="85"/>
      <c r="I1310" s="86"/>
      <c r="M1310" s="87"/>
      <c r="N1310" s="88"/>
    </row>
    <row r="1311" spans="1:14" ht="18.75" x14ac:dyDescent="0.25">
      <c r="A1311" s="82"/>
      <c r="B1311" s="82"/>
      <c r="C1311" s="83"/>
      <c r="D1311" s="84"/>
      <c r="E1311" s="82"/>
      <c r="G1311" s="85"/>
      <c r="H1311" s="85"/>
      <c r="I1311" s="86"/>
      <c r="M1311" s="87"/>
      <c r="N1311" s="88"/>
    </row>
    <row r="1312" spans="1:14" ht="18.75" x14ac:dyDescent="0.25">
      <c r="A1312" s="82"/>
      <c r="B1312" s="82"/>
      <c r="C1312" s="83"/>
      <c r="D1312" s="84"/>
      <c r="E1312" s="82"/>
      <c r="G1312" s="85"/>
      <c r="H1312" s="85"/>
      <c r="I1312" s="86"/>
      <c r="M1312" s="87"/>
      <c r="N1312" s="88"/>
    </row>
    <row r="1313" spans="1:14" ht="18.75" x14ac:dyDescent="0.25">
      <c r="A1313" s="82"/>
      <c r="B1313" s="82"/>
      <c r="C1313" s="83"/>
      <c r="D1313" s="84"/>
      <c r="E1313" s="82"/>
      <c r="G1313" s="85"/>
      <c r="H1313" s="85"/>
      <c r="I1313" s="86"/>
      <c r="M1313" s="87"/>
      <c r="N1313" s="88"/>
    </row>
    <row r="1314" spans="1:14" ht="18.75" x14ac:dyDescent="0.25">
      <c r="A1314" s="82"/>
      <c r="B1314" s="82"/>
      <c r="C1314" s="83"/>
      <c r="D1314" s="84"/>
      <c r="E1314" s="82"/>
      <c r="G1314" s="85"/>
      <c r="H1314" s="85"/>
      <c r="I1314" s="86"/>
      <c r="M1314" s="87"/>
      <c r="N1314" s="88"/>
    </row>
    <row r="1315" spans="1:14" ht="18.75" x14ac:dyDescent="0.25">
      <c r="A1315" s="82"/>
      <c r="B1315" s="82"/>
      <c r="C1315" s="83"/>
      <c r="D1315" s="84"/>
      <c r="E1315" s="82"/>
      <c r="G1315" s="85"/>
      <c r="H1315" s="85"/>
      <c r="I1315" s="86"/>
      <c r="M1315" s="87"/>
      <c r="N1315" s="88"/>
    </row>
    <row r="1316" spans="1:14" ht="18.75" x14ac:dyDescent="0.25">
      <c r="A1316" s="82"/>
      <c r="B1316" s="82"/>
      <c r="C1316" s="83"/>
      <c r="D1316" s="84"/>
      <c r="E1316" s="82"/>
      <c r="G1316" s="85"/>
      <c r="H1316" s="85"/>
      <c r="I1316" s="86"/>
      <c r="M1316" s="87"/>
      <c r="N1316" s="88"/>
    </row>
    <row r="1317" spans="1:14" ht="18.75" x14ac:dyDescent="0.25">
      <c r="A1317" s="82"/>
      <c r="B1317" s="82"/>
      <c r="C1317" s="83"/>
      <c r="D1317" s="84"/>
      <c r="E1317" s="82"/>
      <c r="G1317" s="85"/>
      <c r="H1317" s="85"/>
      <c r="I1317" s="86"/>
      <c r="M1317" s="87"/>
      <c r="N1317" s="88"/>
    </row>
    <row r="1318" spans="1:14" ht="18.75" x14ac:dyDescent="0.25">
      <c r="A1318" s="82"/>
      <c r="B1318" s="82"/>
      <c r="C1318" s="83"/>
      <c r="D1318" s="84"/>
      <c r="E1318" s="82"/>
      <c r="G1318" s="85"/>
      <c r="H1318" s="85"/>
      <c r="I1318" s="86"/>
      <c r="M1318" s="87"/>
      <c r="N1318" s="88"/>
    </row>
    <row r="1319" spans="1:14" ht="18.75" x14ac:dyDescent="0.25">
      <c r="A1319" s="82"/>
      <c r="B1319" s="82"/>
      <c r="C1319" s="83"/>
      <c r="D1319" s="84"/>
      <c r="E1319" s="82"/>
      <c r="G1319" s="85"/>
      <c r="H1319" s="85"/>
      <c r="I1319" s="86"/>
      <c r="M1319" s="87"/>
      <c r="N1319" s="88"/>
    </row>
    <row r="1320" spans="1:14" ht="18.75" x14ac:dyDescent="0.25">
      <c r="A1320" s="82"/>
      <c r="B1320" s="82"/>
      <c r="C1320" s="83"/>
      <c r="D1320" s="84"/>
      <c r="E1320" s="82"/>
      <c r="G1320" s="85"/>
      <c r="H1320" s="85"/>
      <c r="I1320" s="86"/>
      <c r="M1320" s="87"/>
      <c r="N1320" s="88"/>
    </row>
    <row r="1321" spans="1:14" ht="18.75" x14ac:dyDescent="0.25">
      <c r="A1321" s="82"/>
      <c r="B1321" s="82"/>
      <c r="C1321" s="83"/>
      <c r="D1321" s="84"/>
      <c r="E1321" s="82"/>
      <c r="G1321" s="85"/>
      <c r="H1321" s="85"/>
      <c r="I1321" s="86"/>
      <c r="M1321" s="87"/>
      <c r="N1321" s="88"/>
    </row>
    <row r="1322" spans="1:14" ht="18.75" x14ac:dyDescent="0.25">
      <c r="A1322" s="82"/>
      <c r="B1322" s="82"/>
      <c r="C1322" s="83"/>
      <c r="D1322" s="84"/>
      <c r="E1322" s="82"/>
      <c r="G1322" s="85"/>
      <c r="H1322" s="85"/>
      <c r="I1322" s="86"/>
      <c r="M1322" s="87"/>
      <c r="N1322" s="88"/>
    </row>
    <row r="1323" spans="1:14" ht="18.75" x14ac:dyDescent="0.25">
      <c r="A1323" s="82"/>
      <c r="B1323" s="82"/>
      <c r="C1323" s="83"/>
      <c r="D1323" s="84"/>
      <c r="E1323" s="82"/>
      <c r="G1323" s="85"/>
      <c r="H1323" s="85"/>
      <c r="I1323" s="86"/>
      <c r="M1323" s="87"/>
      <c r="N1323" s="88"/>
    </row>
    <row r="1324" spans="1:14" ht="18.75" x14ac:dyDescent="0.25">
      <c r="A1324" s="82"/>
      <c r="B1324" s="82"/>
      <c r="C1324" s="83"/>
      <c r="D1324" s="84"/>
      <c r="E1324" s="82"/>
      <c r="G1324" s="85"/>
      <c r="H1324" s="85"/>
      <c r="I1324" s="86"/>
      <c r="M1324" s="87"/>
      <c r="N1324" s="88"/>
    </row>
    <row r="1325" spans="1:14" ht="18.75" x14ac:dyDescent="0.25">
      <c r="A1325" s="82"/>
      <c r="B1325" s="82"/>
      <c r="C1325" s="83"/>
      <c r="D1325" s="84"/>
      <c r="E1325" s="82"/>
      <c r="G1325" s="85"/>
      <c r="H1325" s="85"/>
      <c r="I1325" s="86"/>
      <c r="M1325" s="87"/>
      <c r="N1325" s="88"/>
    </row>
    <row r="1326" spans="1:14" ht="18.75" x14ac:dyDescent="0.25">
      <c r="A1326" s="82"/>
      <c r="B1326" s="82"/>
      <c r="C1326" s="83"/>
      <c r="D1326" s="84"/>
      <c r="E1326" s="82"/>
      <c r="G1326" s="85"/>
      <c r="H1326" s="85"/>
      <c r="I1326" s="86"/>
      <c r="M1326" s="87"/>
      <c r="N1326" s="88"/>
    </row>
    <row r="1327" spans="1:14" ht="18.75" x14ac:dyDescent="0.25">
      <c r="A1327" s="82"/>
      <c r="B1327" s="82"/>
      <c r="C1327" s="83"/>
      <c r="D1327" s="84"/>
      <c r="E1327" s="82"/>
      <c r="G1327" s="85"/>
      <c r="H1327" s="85"/>
      <c r="I1327" s="86"/>
      <c r="M1327" s="87"/>
      <c r="N1327" s="88"/>
    </row>
    <row r="1328" spans="1:14" ht="18.75" x14ac:dyDescent="0.25">
      <c r="A1328" s="82"/>
      <c r="B1328" s="82"/>
      <c r="C1328" s="83"/>
      <c r="D1328" s="84"/>
      <c r="E1328" s="82"/>
      <c r="G1328" s="85"/>
      <c r="H1328" s="85"/>
      <c r="I1328" s="86"/>
      <c r="M1328" s="87"/>
      <c r="N1328" s="88"/>
    </row>
    <row r="1329" spans="1:14" ht="18.75" x14ac:dyDescent="0.25">
      <c r="A1329" s="82"/>
      <c r="B1329" s="82"/>
      <c r="C1329" s="83"/>
      <c r="D1329" s="84"/>
      <c r="E1329" s="82"/>
      <c r="G1329" s="85"/>
      <c r="H1329" s="85"/>
      <c r="I1329" s="86"/>
      <c r="M1329" s="87"/>
      <c r="N1329" s="88"/>
    </row>
    <row r="1330" spans="1:14" ht="18.75" x14ac:dyDescent="0.25">
      <c r="A1330" s="82"/>
      <c r="B1330" s="82"/>
      <c r="C1330" s="83"/>
      <c r="D1330" s="84"/>
      <c r="E1330" s="82"/>
      <c r="G1330" s="85"/>
      <c r="H1330" s="85"/>
      <c r="I1330" s="86"/>
      <c r="M1330" s="87"/>
      <c r="N1330" s="88"/>
    </row>
    <row r="1331" spans="1:14" ht="18.75" x14ac:dyDescent="0.25">
      <c r="A1331" s="82"/>
      <c r="B1331" s="82"/>
      <c r="C1331" s="83"/>
      <c r="D1331" s="84"/>
      <c r="E1331" s="82"/>
      <c r="G1331" s="85"/>
      <c r="H1331" s="85"/>
      <c r="I1331" s="86"/>
      <c r="M1331" s="87"/>
      <c r="N1331" s="88"/>
    </row>
    <row r="1332" spans="1:14" ht="18.75" x14ac:dyDescent="0.25">
      <c r="A1332" s="82"/>
      <c r="B1332" s="82"/>
      <c r="C1332" s="83"/>
      <c r="D1332" s="84"/>
      <c r="E1332" s="82"/>
      <c r="G1332" s="85"/>
      <c r="H1332" s="85"/>
      <c r="I1332" s="86"/>
      <c r="M1332" s="87"/>
      <c r="N1332" s="88"/>
    </row>
    <row r="1333" spans="1:14" ht="18.75" x14ac:dyDescent="0.25">
      <c r="A1333" s="82"/>
      <c r="B1333" s="82"/>
      <c r="C1333" s="83"/>
      <c r="D1333" s="84"/>
      <c r="E1333" s="82"/>
      <c r="G1333" s="85"/>
      <c r="H1333" s="85"/>
      <c r="I1333" s="86"/>
      <c r="M1333" s="87"/>
      <c r="N1333" s="88"/>
    </row>
    <row r="1334" spans="1:14" ht="18.75" x14ac:dyDescent="0.25">
      <c r="A1334" s="82"/>
      <c r="B1334" s="82"/>
      <c r="C1334" s="83"/>
      <c r="D1334" s="84"/>
      <c r="E1334" s="82"/>
      <c r="G1334" s="85"/>
      <c r="H1334" s="85"/>
      <c r="I1334" s="86"/>
      <c r="M1334" s="87"/>
      <c r="N1334" s="88"/>
    </row>
    <row r="1335" spans="1:14" ht="18.75" x14ac:dyDescent="0.25">
      <c r="A1335" s="82"/>
      <c r="B1335" s="82"/>
      <c r="C1335" s="83"/>
      <c r="D1335" s="84"/>
      <c r="E1335" s="82"/>
      <c r="G1335" s="85"/>
      <c r="H1335" s="85"/>
      <c r="I1335" s="86"/>
      <c r="M1335" s="87"/>
      <c r="N1335" s="88"/>
    </row>
    <row r="1336" spans="1:14" ht="18.75" x14ac:dyDescent="0.25">
      <c r="A1336" s="82"/>
      <c r="B1336" s="82"/>
      <c r="C1336" s="83"/>
      <c r="D1336" s="84"/>
      <c r="E1336" s="82"/>
      <c r="G1336" s="85"/>
      <c r="H1336" s="85"/>
      <c r="I1336" s="86"/>
      <c r="M1336" s="87"/>
      <c r="N1336" s="88"/>
    </row>
    <row r="1337" spans="1:14" ht="18.75" x14ac:dyDescent="0.25">
      <c r="A1337" s="82"/>
      <c r="B1337" s="82"/>
      <c r="C1337" s="83"/>
      <c r="D1337" s="84"/>
      <c r="E1337" s="82"/>
      <c r="G1337" s="85"/>
      <c r="H1337" s="85"/>
      <c r="I1337" s="86"/>
      <c r="M1337" s="87"/>
      <c r="N1337" s="88"/>
    </row>
    <row r="1338" spans="1:14" ht="18.75" x14ac:dyDescent="0.25">
      <c r="A1338" s="82"/>
      <c r="B1338" s="82"/>
      <c r="C1338" s="83"/>
      <c r="D1338" s="84"/>
      <c r="E1338" s="82"/>
      <c r="G1338" s="85"/>
      <c r="H1338" s="85"/>
      <c r="I1338" s="86"/>
      <c r="M1338" s="87"/>
      <c r="N1338" s="88"/>
    </row>
    <row r="1339" spans="1:14" ht="18.75" x14ac:dyDescent="0.25">
      <c r="A1339" s="82"/>
      <c r="B1339" s="82"/>
      <c r="C1339" s="83"/>
      <c r="D1339" s="84"/>
      <c r="E1339" s="82"/>
      <c r="G1339" s="85"/>
      <c r="H1339" s="85"/>
      <c r="I1339" s="86"/>
      <c r="M1339" s="87"/>
      <c r="N1339" s="88"/>
    </row>
    <row r="1340" spans="1:14" ht="18.75" x14ac:dyDescent="0.25">
      <c r="A1340" s="82"/>
      <c r="B1340" s="82"/>
      <c r="C1340" s="83"/>
      <c r="D1340" s="84"/>
      <c r="E1340" s="82"/>
      <c r="G1340" s="85"/>
      <c r="H1340" s="85"/>
      <c r="I1340" s="86"/>
      <c r="M1340" s="87"/>
      <c r="N1340" s="88"/>
    </row>
    <row r="1341" spans="1:14" ht="18.75" x14ac:dyDescent="0.25">
      <c r="A1341" s="82"/>
      <c r="B1341" s="82"/>
      <c r="C1341" s="83"/>
      <c r="D1341" s="84"/>
      <c r="E1341" s="82"/>
      <c r="G1341" s="85"/>
      <c r="H1341" s="85"/>
      <c r="I1341" s="86"/>
      <c r="M1341" s="87"/>
      <c r="N1341" s="88"/>
    </row>
    <row r="1342" spans="1:14" ht="18.75" x14ac:dyDescent="0.25">
      <c r="A1342" s="82"/>
      <c r="B1342" s="82"/>
      <c r="C1342" s="83"/>
      <c r="D1342" s="84"/>
      <c r="E1342" s="82"/>
      <c r="G1342" s="85"/>
      <c r="H1342" s="85"/>
      <c r="I1342" s="86"/>
      <c r="M1342" s="87"/>
      <c r="N1342" s="88"/>
    </row>
    <row r="1343" spans="1:14" ht="18.75" x14ac:dyDescent="0.25">
      <c r="A1343" s="82"/>
      <c r="B1343" s="82"/>
      <c r="C1343" s="83"/>
      <c r="D1343" s="84"/>
      <c r="E1343" s="82"/>
      <c r="G1343" s="85"/>
      <c r="H1343" s="85"/>
      <c r="I1343" s="86"/>
      <c r="M1343" s="87"/>
      <c r="N1343" s="88"/>
    </row>
    <row r="1344" spans="1:14" ht="18.75" x14ac:dyDescent="0.25">
      <c r="A1344" s="82"/>
      <c r="B1344" s="82"/>
      <c r="C1344" s="83"/>
      <c r="D1344" s="84"/>
      <c r="E1344" s="82"/>
      <c r="G1344" s="85"/>
      <c r="H1344" s="85"/>
      <c r="I1344" s="86"/>
      <c r="M1344" s="87"/>
      <c r="N1344" s="88"/>
    </row>
    <row r="1345" spans="1:14" ht="18.75" x14ac:dyDescent="0.25">
      <c r="A1345" s="82"/>
      <c r="B1345" s="82"/>
      <c r="C1345" s="83"/>
      <c r="D1345" s="84"/>
      <c r="E1345" s="82"/>
      <c r="G1345" s="85"/>
      <c r="H1345" s="85"/>
      <c r="I1345" s="86"/>
      <c r="M1345" s="87"/>
      <c r="N1345" s="88"/>
    </row>
    <row r="1346" spans="1:14" ht="18.75" x14ac:dyDescent="0.25">
      <c r="A1346" s="82"/>
      <c r="B1346" s="82"/>
      <c r="C1346" s="83"/>
      <c r="D1346" s="84"/>
      <c r="E1346" s="82"/>
      <c r="G1346" s="85"/>
      <c r="H1346" s="85"/>
      <c r="I1346" s="86"/>
      <c r="M1346" s="87"/>
      <c r="N1346" s="88"/>
    </row>
    <row r="1347" spans="1:14" ht="18.75" x14ac:dyDescent="0.25">
      <c r="A1347" s="82"/>
      <c r="B1347" s="82"/>
      <c r="C1347" s="83"/>
      <c r="D1347" s="84"/>
      <c r="E1347" s="82"/>
      <c r="G1347" s="85"/>
      <c r="H1347" s="85"/>
      <c r="I1347" s="86"/>
      <c r="M1347" s="87"/>
      <c r="N1347" s="88"/>
    </row>
    <row r="1348" spans="1:14" ht="18.75" x14ac:dyDescent="0.25">
      <c r="A1348" s="82"/>
      <c r="B1348" s="82"/>
      <c r="C1348" s="83"/>
      <c r="D1348" s="84"/>
      <c r="E1348" s="82"/>
      <c r="G1348" s="85"/>
      <c r="H1348" s="85"/>
      <c r="I1348" s="86"/>
      <c r="M1348" s="87"/>
      <c r="N1348" s="88"/>
    </row>
    <row r="1349" spans="1:14" ht="18.75" x14ac:dyDescent="0.25">
      <c r="A1349" s="82"/>
      <c r="B1349" s="82"/>
      <c r="C1349" s="83"/>
      <c r="D1349" s="84"/>
      <c r="E1349" s="82"/>
      <c r="G1349" s="85"/>
      <c r="H1349" s="85"/>
      <c r="I1349" s="86"/>
      <c r="M1349" s="87"/>
      <c r="N1349" s="88"/>
    </row>
    <row r="1350" spans="1:14" ht="18.75" x14ac:dyDescent="0.25">
      <c r="A1350" s="82"/>
      <c r="B1350" s="82"/>
      <c r="C1350" s="83"/>
      <c r="D1350" s="84"/>
      <c r="E1350" s="82"/>
      <c r="G1350" s="85"/>
      <c r="H1350" s="85"/>
      <c r="I1350" s="86"/>
      <c r="M1350" s="87"/>
      <c r="N1350" s="88"/>
    </row>
    <row r="1351" spans="1:14" ht="18.75" x14ac:dyDescent="0.25">
      <c r="A1351" s="82"/>
      <c r="B1351" s="82"/>
      <c r="C1351" s="83"/>
      <c r="D1351" s="84"/>
      <c r="E1351" s="82"/>
      <c r="G1351" s="85"/>
      <c r="H1351" s="85"/>
      <c r="I1351" s="86"/>
      <c r="M1351" s="87"/>
      <c r="N1351" s="88"/>
    </row>
    <row r="1352" spans="1:14" ht="18.75" x14ac:dyDescent="0.25">
      <c r="A1352" s="82"/>
      <c r="B1352" s="82"/>
      <c r="C1352" s="83"/>
      <c r="D1352" s="84"/>
      <c r="E1352" s="82"/>
      <c r="G1352" s="85"/>
      <c r="H1352" s="85"/>
      <c r="I1352" s="86"/>
      <c r="M1352" s="87"/>
      <c r="N1352" s="88"/>
    </row>
    <row r="1353" spans="1:14" ht="18.75" x14ac:dyDescent="0.25">
      <c r="A1353" s="82"/>
      <c r="B1353" s="82"/>
      <c r="C1353" s="83"/>
      <c r="D1353" s="84"/>
      <c r="E1353" s="82"/>
      <c r="G1353" s="85"/>
      <c r="H1353" s="85"/>
      <c r="I1353" s="86"/>
      <c r="M1353" s="87"/>
      <c r="N1353" s="88"/>
    </row>
    <row r="1354" spans="1:14" ht="18.75" x14ac:dyDescent="0.25">
      <c r="A1354" s="82"/>
      <c r="B1354" s="82"/>
      <c r="C1354" s="83"/>
      <c r="D1354" s="84"/>
      <c r="E1354" s="82"/>
      <c r="G1354" s="85"/>
      <c r="H1354" s="85"/>
      <c r="I1354" s="86"/>
      <c r="M1354" s="87"/>
      <c r="N1354" s="88"/>
    </row>
    <row r="1355" spans="1:14" ht="18.75" x14ac:dyDescent="0.25">
      <c r="A1355" s="82"/>
      <c r="B1355" s="82"/>
      <c r="C1355" s="83"/>
      <c r="D1355" s="84"/>
      <c r="E1355" s="82"/>
      <c r="G1355" s="85"/>
      <c r="H1355" s="85"/>
      <c r="I1355" s="86"/>
      <c r="M1355" s="87"/>
      <c r="N1355" s="88"/>
    </row>
    <row r="1356" spans="1:14" ht="18.75" x14ac:dyDescent="0.25">
      <c r="A1356" s="82"/>
      <c r="B1356" s="82"/>
      <c r="C1356" s="83"/>
      <c r="D1356" s="84"/>
      <c r="E1356" s="82"/>
      <c r="G1356" s="85"/>
      <c r="H1356" s="85"/>
      <c r="I1356" s="86"/>
      <c r="M1356" s="87"/>
      <c r="N1356" s="88"/>
    </row>
    <row r="1357" spans="1:14" ht="18.75" x14ac:dyDescent="0.25">
      <c r="A1357" s="82"/>
      <c r="B1357" s="82"/>
      <c r="C1357" s="83"/>
      <c r="D1357" s="84"/>
      <c r="E1357" s="82"/>
      <c r="G1357" s="85"/>
      <c r="H1357" s="85"/>
      <c r="I1357" s="86"/>
      <c r="M1357" s="87"/>
      <c r="N1357" s="88"/>
    </row>
    <row r="1358" spans="1:14" ht="18.75" x14ac:dyDescent="0.25">
      <c r="A1358" s="82"/>
      <c r="B1358" s="82"/>
      <c r="C1358" s="83"/>
      <c r="D1358" s="84"/>
      <c r="E1358" s="82"/>
      <c r="G1358" s="85"/>
      <c r="H1358" s="85"/>
      <c r="I1358" s="86"/>
      <c r="M1358" s="87"/>
      <c r="N1358" s="88"/>
    </row>
    <row r="1359" spans="1:14" ht="18.75" x14ac:dyDescent="0.25">
      <c r="A1359" s="82"/>
      <c r="B1359" s="82"/>
      <c r="C1359" s="83"/>
      <c r="D1359" s="84"/>
      <c r="E1359" s="82"/>
      <c r="G1359" s="85"/>
      <c r="H1359" s="85"/>
      <c r="I1359" s="86"/>
      <c r="M1359" s="87"/>
      <c r="N1359" s="88"/>
    </row>
    <row r="1360" spans="1:14" ht="18.75" x14ac:dyDescent="0.25">
      <c r="A1360" s="82"/>
      <c r="B1360" s="82"/>
      <c r="C1360" s="83"/>
      <c r="D1360" s="84"/>
      <c r="E1360" s="82"/>
      <c r="G1360" s="85"/>
      <c r="H1360" s="85"/>
      <c r="I1360" s="86"/>
      <c r="M1360" s="87"/>
      <c r="N1360" s="88"/>
    </row>
    <row r="1361" spans="1:14" ht="18.75" x14ac:dyDescent="0.25">
      <c r="A1361" s="82"/>
      <c r="B1361" s="82"/>
      <c r="C1361" s="83"/>
      <c r="D1361" s="84"/>
      <c r="E1361" s="82"/>
      <c r="G1361" s="85"/>
      <c r="H1361" s="85"/>
      <c r="I1361" s="86"/>
      <c r="M1361" s="87"/>
      <c r="N1361" s="88"/>
    </row>
    <row r="1362" spans="1:14" ht="18.75" x14ac:dyDescent="0.25">
      <c r="A1362" s="82"/>
      <c r="B1362" s="82"/>
      <c r="C1362" s="83"/>
      <c r="D1362" s="84"/>
      <c r="E1362" s="82"/>
      <c r="G1362" s="85"/>
      <c r="H1362" s="85"/>
      <c r="I1362" s="86"/>
      <c r="M1362" s="87"/>
      <c r="N1362" s="88"/>
    </row>
    <row r="1363" spans="1:14" ht="18.75" x14ac:dyDescent="0.25">
      <c r="A1363" s="82"/>
      <c r="B1363" s="82"/>
      <c r="C1363" s="83"/>
      <c r="D1363" s="84"/>
      <c r="E1363" s="82"/>
      <c r="G1363" s="85"/>
      <c r="H1363" s="85"/>
      <c r="I1363" s="86"/>
      <c r="M1363" s="87"/>
      <c r="N1363" s="88"/>
    </row>
    <row r="1364" spans="1:14" ht="18.75" x14ac:dyDescent="0.25">
      <c r="A1364" s="82"/>
      <c r="B1364" s="82"/>
      <c r="C1364" s="83"/>
      <c r="D1364" s="84"/>
      <c r="E1364" s="82"/>
      <c r="G1364" s="85"/>
      <c r="H1364" s="85"/>
      <c r="I1364" s="86"/>
      <c r="M1364" s="87"/>
      <c r="N1364" s="88"/>
    </row>
    <row r="1365" spans="1:14" ht="18.75" x14ac:dyDescent="0.25">
      <c r="A1365" s="82"/>
      <c r="B1365" s="82"/>
      <c r="C1365" s="83"/>
      <c r="D1365" s="84"/>
      <c r="E1365" s="82"/>
      <c r="G1365" s="85"/>
      <c r="H1365" s="85"/>
      <c r="I1365" s="86"/>
      <c r="M1365" s="87"/>
      <c r="N1365" s="88"/>
    </row>
    <row r="1366" spans="1:14" ht="18.75" x14ac:dyDescent="0.25">
      <c r="A1366" s="82"/>
      <c r="B1366" s="82"/>
      <c r="C1366" s="83"/>
      <c r="D1366" s="84"/>
      <c r="E1366" s="82"/>
      <c r="G1366" s="85"/>
      <c r="H1366" s="85"/>
      <c r="I1366" s="86"/>
      <c r="M1366" s="87"/>
      <c r="N1366" s="88"/>
    </row>
    <row r="1367" spans="1:14" ht="18.75" x14ac:dyDescent="0.25">
      <c r="A1367" s="82"/>
      <c r="B1367" s="82"/>
      <c r="C1367" s="83"/>
      <c r="D1367" s="84"/>
      <c r="E1367" s="82"/>
      <c r="G1367" s="85"/>
      <c r="H1367" s="85"/>
      <c r="I1367" s="86"/>
      <c r="M1367" s="87"/>
      <c r="N1367" s="88"/>
    </row>
    <row r="1368" spans="1:14" ht="18.75" x14ac:dyDescent="0.25">
      <c r="A1368" s="82"/>
      <c r="B1368" s="82"/>
      <c r="C1368" s="83"/>
      <c r="D1368" s="84"/>
      <c r="E1368" s="82"/>
      <c r="G1368" s="85"/>
      <c r="H1368" s="85"/>
      <c r="I1368" s="86"/>
      <c r="M1368" s="87"/>
      <c r="N1368" s="88"/>
    </row>
    <row r="1369" spans="1:14" ht="18.75" x14ac:dyDescent="0.25">
      <c r="A1369" s="82"/>
      <c r="B1369" s="82"/>
      <c r="C1369" s="83"/>
      <c r="D1369" s="84"/>
      <c r="E1369" s="82"/>
      <c r="G1369" s="85"/>
      <c r="H1369" s="85"/>
      <c r="I1369" s="86"/>
      <c r="M1369" s="87"/>
      <c r="N1369" s="88"/>
    </row>
    <row r="1370" spans="1:14" ht="18.75" x14ac:dyDescent="0.25">
      <c r="A1370" s="82"/>
      <c r="B1370" s="82"/>
      <c r="C1370" s="83"/>
      <c r="D1370" s="84"/>
      <c r="E1370" s="82"/>
      <c r="G1370" s="85"/>
      <c r="H1370" s="85"/>
      <c r="I1370" s="86"/>
      <c r="M1370" s="87"/>
      <c r="N1370" s="88"/>
    </row>
    <row r="1371" spans="1:14" ht="18.75" x14ac:dyDescent="0.25">
      <c r="A1371" s="82"/>
      <c r="B1371" s="82"/>
      <c r="C1371" s="83"/>
      <c r="D1371" s="84"/>
      <c r="E1371" s="82"/>
      <c r="G1371" s="85"/>
      <c r="H1371" s="85"/>
      <c r="I1371" s="86"/>
      <c r="M1371" s="87"/>
      <c r="N1371" s="88"/>
    </row>
    <row r="1372" spans="1:14" ht="18.75" x14ac:dyDescent="0.25">
      <c r="A1372" s="82"/>
      <c r="B1372" s="82"/>
      <c r="C1372" s="83"/>
      <c r="D1372" s="84"/>
      <c r="E1372" s="82"/>
      <c r="G1372" s="85"/>
      <c r="H1372" s="85"/>
      <c r="I1372" s="86"/>
      <c r="M1372" s="87"/>
      <c r="N1372" s="88"/>
    </row>
    <row r="1373" spans="1:14" ht="18.75" x14ac:dyDescent="0.25">
      <c r="A1373" s="82"/>
      <c r="B1373" s="82"/>
      <c r="C1373" s="83"/>
      <c r="D1373" s="84"/>
      <c r="E1373" s="82"/>
      <c r="G1373" s="85"/>
      <c r="H1373" s="85"/>
      <c r="I1373" s="86"/>
      <c r="M1373" s="87"/>
      <c r="N1373" s="88"/>
    </row>
    <row r="1374" spans="1:14" ht="18.75" x14ac:dyDescent="0.25">
      <c r="A1374" s="82"/>
      <c r="B1374" s="82"/>
      <c r="C1374" s="83"/>
      <c r="D1374" s="84"/>
      <c r="E1374" s="82"/>
      <c r="G1374" s="85"/>
      <c r="H1374" s="85"/>
      <c r="I1374" s="86"/>
      <c r="M1374" s="87"/>
      <c r="N1374" s="88"/>
    </row>
    <row r="1375" spans="1:14" ht="18.75" x14ac:dyDescent="0.25">
      <c r="A1375" s="82"/>
      <c r="B1375" s="82"/>
      <c r="C1375" s="83"/>
      <c r="D1375" s="84"/>
      <c r="E1375" s="82"/>
      <c r="G1375" s="85"/>
      <c r="H1375" s="85"/>
      <c r="I1375" s="86"/>
      <c r="M1375" s="87"/>
      <c r="N1375" s="88"/>
    </row>
    <row r="1376" spans="1:14" ht="18.75" x14ac:dyDescent="0.25">
      <c r="A1376" s="82"/>
      <c r="B1376" s="82"/>
      <c r="C1376" s="83"/>
      <c r="D1376" s="84"/>
      <c r="E1376" s="82"/>
      <c r="G1376" s="85"/>
      <c r="H1376" s="85"/>
      <c r="I1376" s="86"/>
      <c r="M1376" s="87"/>
      <c r="N1376" s="88"/>
    </row>
    <row r="1377" spans="1:14" ht="18.75" x14ac:dyDescent="0.25">
      <c r="A1377" s="82"/>
      <c r="B1377" s="82"/>
      <c r="C1377" s="83"/>
      <c r="D1377" s="84"/>
      <c r="E1377" s="82"/>
      <c r="G1377" s="85"/>
      <c r="H1377" s="85"/>
      <c r="I1377" s="86"/>
      <c r="M1377" s="87"/>
      <c r="N1377" s="88"/>
    </row>
    <row r="1378" spans="1:14" ht="18.75" x14ac:dyDescent="0.25">
      <c r="A1378" s="82"/>
      <c r="B1378" s="82"/>
      <c r="C1378" s="83"/>
      <c r="D1378" s="84"/>
      <c r="E1378" s="82"/>
      <c r="G1378" s="85"/>
      <c r="H1378" s="85"/>
      <c r="I1378" s="86"/>
      <c r="M1378" s="87"/>
      <c r="N1378" s="88"/>
    </row>
    <row r="1379" spans="1:14" ht="18.75" x14ac:dyDescent="0.25">
      <c r="A1379" s="82"/>
      <c r="B1379" s="82"/>
      <c r="C1379" s="83"/>
      <c r="D1379" s="84"/>
      <c r="E1379" s="82"/>
      <c r="G1379" s="85"/>
      <c r="H1379" s="85"/>
      <c r="I1379" s="86"/>
      <c r="M1379" s="87"/>
      <c r="N1379" s="88"/>
    </row>
    <row r="1380" spans="1:14" ht="18.75" x14ac:dyDescent="0.25">
      <c r="A1380" s="82"/>
      <c r="B1380" s="82"/>
      <c r="C1380" s="83"/>
      <c r="D1380" s="84"/>
      <c r="E1380" s="82"/>
      <c r="G1380" s="85"/>
      <c r="H1380" s="85"/>
      <c r="I1380" s="86"/>
      <c r="M1380" s="87"/>
      <c r="N1380" s="88"/>
    </row>
    <row r="1381" spans="1:14" ht="18.75" x14ac:dyDescent="0.25">
      <c r="A1381" s="82"/>
      <c r="B1381" s="82"/>
      <c r="C1381" s="83"/>
      <c r="D1381" s="84"/>
      <c r="E1381" s="82"/>
      <c r="G1381" s="85"/>
      <c r="H1381" s="85"/>
      <c r="I1381" s="86"/>
      <c r="M1381" s="87"/>
      <c r="N1381" s="88"/>
    </row>
    <row r="1382" spans="1:14" ht="18.75" x14ac:dyDescent="0.25">
      <c r="A1382" s="82"/>
      <c r="B1382" s="82"/>
      <c r="C1382" s="83"/>
      <c r="D1382" s="84"/>
      <c r="E1382" s="82"/>
      <c r="G1382" s="85"/>
      <c r="H1382" s="85"/>
      <c r="I1382" s="86"/>
      <c r="M1382" s="87"/>
      <c r="N1382" s="88"/>
    </row>
    <row r="1383" spans="1:14" ht="18.75" x14ac:dyDescent="0.25">
      <c r="A1383" s="82"/>
      <c r="B1383" s="82"/>
      <c r="C1383" s="83"/>
      <c r="D1383" s="84"/>
      <c r="E1383" s="82"/>
      <c r="G1383" s="85"/>
      <c r="H1383" s="85"/>
      <c r="I1383" s="86"/>
      <c r="M1383" s="87"/>
      <c r="N1383" s="88"/>
    </row>
    <row r="1384" spans="1:14" ht="18.75" x14ac:dyDescent="0.25">
      <c r="A1384" s="82"/>
      <c r="B1384" s="82"/>
      <c r="C1384" s="83"/>
      <c r="D1384" s="84"/>
      <c r="E1384" s="82"/>
      <c r="G1384" s="85"/>
      <c r="H1384" s="85"/>
      <c r="I1384" s="86"/>
      <c r="M1384" s="87"/>
      <c r="N1384" s="88"/>
    </row>
    <row r="1385" spans="1:14" ht="18.75" x14ac:dyDescent="0.25">
      <c r="A1385" s="82"/>
      <c r="B1385" s="82"/>
      <c r="C1385" s="83"/>
      <c r="D1385" s="84"/>
      <c r="E1385" s="82"/>
      <c r="G1385" s="85"/>
      <c r="H1385" s="85"/>
      <c r="I1385" s="86"/>
      <c r="M1385" s="87"/>
      <c r="N1385" s="88"/>
    </row>
    <row r="1386" spans="1:14" ht="18.75" x14ac:dyDescent="0.25">
      <c r="A1386" s="82"/>
      <c r="B1386" s="82"/>
      <c r="C1386" s="83"/>
      <c r="D1386" s="84"/>
      <c r="E1386" s="82"/>
      <c r="G1386" s="85"/>
      <c r="H1386" s="85"/>
      <c r="I1386" s="86"/>
      <c r="M1386" s="87"/>
      <c r="N1386" s="88"/>
    </row>
    <row r="1387" spans="1:14" ht="18.75" x14ac:dyDescent="0.25">
      <c r="A1387" s="82"/>
      <c r="B1387" s="82"/>
      <c r="C1387" s="83"/>
      <c r="D1387" s="84"/>
      <c r="E1387" s="82"/>
      <c r="G1387" s="85"/>
      <c r="H1387" s="85"/>
      <c r="I1387" s="86"/>
      <c r="M1387" s="87"/>
      <c r="N1387" s="88"/>
    </row>
    <row r="1388" spans="1:14" ht="18.75" x14ac:dyDescent="0.25">
      <c r="A1388" s="82"/>
      <c r="B1388" s="82"/>
      <c r="C1388" s="83"/>
      <c r="D1388" s="84"/>
      <c r="E1388" s="82"/>
      <c r="G1388" s="85"/>
      <c r="H1388" s="85"/>
      <c r="I1388" s="86"/>
      <c r="M1388" s="87"/>
      <c r="N1388" s="88"/>
    </row>
    <row r="1389" spans="1:14" ht="18.75" x14ac:dyDescent="0.25">
      <c r="A1389" s="82"/>
      <c r="B1389" s="82"/>
      <c r="C1389" s="83"/>
      <c r="D1389" s="84"/>
      <c r="E1389" s="82"/>
      <c r="G1389" s="85"/>
      <c r="H1389" s="85"/>
      <c r="I1389" s="86"/>
      <c r="M1389" s="87"/>
      <c r="N1389" s="88"/>
    </row>
    <row r="1390" spans="1:14" ht="18.75" x14ac:dyDescent="0.25">
      <c r="A1390" s="82"/>
      <c r="B1390" s="82"/>
      <c r="C1390" s="83"/>
      <c r="D1390" s="84"/>
      <c r="E1390" s="82"/>
      <c r="G1390" s="85"/>
      <c r="H1390" s="85"/>
      <c r="I1390" s="86"/>
      <c r="M1390" s="87"/>
      <c r="N1390" s="88"/>
    </row>
    <row r="1391" spans="1:14" ht="18.75" x14ac:dyDescent="0.25">
      <c r="A1391" s="82"/>
      <c r="B1391" s="82"/>
      <c r="C1391" s="83"/>
      <c r="D1391" s="84"/>
      <c r="E1391" s="82"/>
      <c r="G1391" s="85"/>
      <c r="H1391" s="85"/>
      <c r="I1391" s="86"/>
      <c r="M1391" s="87"/>
      <c r="N1391" s="88"/>
    </row>
    <row r="1392" spans="1:14" ht="18.75" x14ac:dyDescent="0.25">
      <c r="A1392" s="82"/>
      <c r="B1392" s="82"/>
      <c r="C1392" s="83"/>
      <c r="D1392" s="84"/>
      <c r="E1392" s="82"/>
      <c r="G1392" s="85"/>
      <c r="H1392" s="85"/>
      <c r="I1392" s="86"/>
      <c r="M1392" s="87"/>
      <c r="N1392" s="88"/>
    </row>
    <row r="1393" spans="1:14" ht="18.75" x14ac:dyDescent="0.25">
      <c r="A1393" s="82"/>
      <c r="B1393" s="82"/>
      <c r="C1393" s="83"/>
      <c r="D1393" s="84"/>
      <c r="E1393" s="82"/>
      <c r="G1393" s="85"/>
      <c r="H1393" s="85"/>
      <c r="I1393" s="86"/>
      <c r="M1393" s="87"/>
      <c r="N1393" s="88"/>
    </row>
    <row r="1394" spans="1:14" ht="18.75" x14ac:dyDescent="0.25">
      <c r="A1394" s="82"/>
      <c r="B1394" s="82"/>
      <c r="C1394" s="83"/>
      <c r="D1394" s="84"/>
      <c r="E1394" s="82"/>
      <c r="G1394" s="85"/>
      <c r="H1394" s="85"/>
      <c r="I1394" s="86"/>
      <c r="M1394" s="87"/>
      <c r="N1394" s="88"/>
    </row>
    <row r="1395" spans="1:14" ht="18.75" x14ac:dyDescent="0.25">
      <c r="A1395" s="82"/>
      <c r="B1395" s="82"/>
      <c r="C1395" s="83"/>
      <c r="D1395" s="84"/>
      <c r="E1395" s="82"/>
      <c r="G1395" s="85"/>
      <c r="H1395" s="85"/>
      <c r="I1395" s="86"/>
      <c r="M1395" s="87"/>
      <c r="N1395" s="88"/>
    </row>
    <row r="1396" spans="1:14" ht="18.75" x14ac:dyDescent="0.25">
      <c r="A1396" s="82"/>
      <c r="B1396" s="82"/>
      <c r="C1396" s="83"/>
      <c r="D1396" s="84"/>
      <c r="E1396" s="82"/>
      <c r="G1396" s="85"/>
      <c r="H1396" s="85"/>
      <c r="I1396" s="86"/>
      <c r="M1396" s="87"/>
      <c r="N1396" s="88"/>
    </row>
    <row r="1397" spans="1:14" ht="18.75" x14ac:dyDescent="0.25">
      <c r="A1397" s="82"/>
      <c r="B1397" s="82"/>
      <c r="C1397" s="83"/>
      <c r="D1397" s="84"/>
      <c r="E1397" s="82"/>
      <c r="G1397" s="85"/>
      <c r="H1397" s="85"/>
      <c r="I1397" s="86"/>
      <c r="M1397" s="87"/>
      <c r="N1397" s="88"/>
    </row>
    <row r="1398" spans="1:14" ht="18.75" x14ac:dyDescent="0.25">
      <c r="A1398" s="82"/>
      <c r="B1398" s="82"/>
      <c r="C1398" s="83"/>
      <c r="D1398" s="84"/>
      <c r="E1398" s="82"/>
      <c r="G1398" s="85"/>
      <c r="H1398" s="85"/>
      <c r="I1398" s="86"/>
      <c r="M1398" s="87"/>
      <c r="N1398" s="88"/>
    </row>
    <row r="1399" spans="1:14" ht="18.75" x14ac:dyDescent="0.25">
      <c r="A1399" s="82"/>
      <c r="B1399" s="82"/>
      <c r="C1399" s="83"/>
      <c r="D1399" s="84"/>
      <c r="E1399" s="82"/>
      <c r="G1399" s="85"/>
      <c r="H1399" s="85"/>
      <c r="I1399" s="86"/>
      <c r="M1399" s="87"/>
      <c r="N1399" s="88"/>
    </row>
    <row r="1400" spans="1:14" ht="18.75" x14ac:dyDescent="0.25">
      <c r="A1400" s="82"/>
      <c r="B1400" s="82"/>
      <c r="C1400" s="83"/>
      <c r="D1400" s="84"/>
      <c r="E1400" s="82"/>
      <c r="G1400" s="85"/>
      <c r="H1400" s="85"/>
      <c r="I1400" s="86"/>
      <c r="M1400" s="87"/>
      <c r="N1400" s="88"/>
    </row>
    <row r="1401" spans="1:14" ht="18.75" x14ac:dyDescent="0.25">
      <c r="A1401" s="82"/>
      <c r="B1401" s="82"/>
      <c r="C1401" s="83"/>
      <c r="D1401" s="84"/>
      <c r="E1401" s="82"/>
      <c r="G1401" s="85"/>
      <c r="H1401" s="85"/>
      <c r="I1401" s="86"/>
      <c r="M1401" s="87"/>
      <c r="N1401" s="88"/>
    </row>
    <row r="1402" spans="1:14" ht="18.75" x14ac:dyDescent="0.25">
      <c r="A1402" s="82"/>
      <c r="B1402" s="82"/>
      <c r="C1402" s="83"/>
      <c r="D1402" s="84"/>
      <c r="E1402" s="82"/>
      <c r="G1402" s="85"/>
      <c r="H1402" s="85"/>
      <c r="I1402" s="86"/>
      <c r="M1402" s="87"/>
      <c r="N1402" s="88"/>
    </row>
    <row r="1403" spans="1:14" ht="18.75" x14ac:dyDescent="0.25">
      <c r="A1403" s="82"/>
      <c r="B1403" s="82"/>
      <c r="C1403" s="83"/>
      <c r="D1403" s="84"/>
      <c r="E1403" s="82"/>
      <c r="G1403" s="85"/>
      <c r="H1403" s="85"/>
      <c r="I1403" s="86"/>
      <c r="M1403" s="87"/>
      <c r="N1403" s="88"/>
    </row>
    <row r="1404" spans="1:14" ht="18.75" x14ac:dyDescent="0.25">
      <c r="A1404" s="82"/>
      <c r="B1404" s="82"/>
      <c r="C1404" s="83"/>
      <c r="D1404" s="84"/>
      <c r="E1404" s="82"/>
      <c r="G1404" s="85"/>
      <c r="H1404" s="85"/>
      <c r="I1404" s="86"/>
      <c r="M1404" s="87"/>
      <c r="N1404" s="88"/>
    </row>
    <row r="1405" spans="1:14" ht="18.75" x14ac:dyDescent="0.25">
      <c r="A1405" s="82"/>
      <c r="B1405" s="82"/>
      <c r="C1405" s="83"/>
      <c r="D1405" s="84"/>
      <c r="E1405" s="82"/>
      <c r="G1405" s="85"/>
      <c r="H1405" s="85"/>
      <c r="I1405" s="86"/>
      <c r="M1405" s="87"/>
      <c r="N1405" s="88"/>
    </row>
    <row r="1406" spans="1:14" ht="18.75" x14ac:dyDescent="0.25">
      <c r="A1406" s="82"/>
      <c r="B1406" s="82"/>
      <c r="C1406" s="83"/>
      <c r="D1406" s="84"/>
      <c r="E1406" s="82"/>
      <c r="G1406" s="85"/>
      <c r="H1406" s="85"/>
      <c r="I1406" s="86"/>
      <c r="M1406" s="87"/>
      <c r="N1406" s="88"/>
    </row>
    <row r="1407" spans="1:14" ht="18.75" x14ac:dyDescent="0.25">
      <c r="A1407" s="82"/>
      <c r="B1407" s="82"/>
      <c r="C1407" s="83"/>
      <c r="D1407" s="84"/>
      <c r="E1407" s="82"/>
      <c r="G1407" s="85"/>
      <c r="H1407" s="85"/>
      <c r="I1407" s="86"/>
      <c r="M1407" s="87"/>
      <c r="N1407" s="88"/>
    </row>
    <row r="1408" spans="1:14" ht="18.75" x14ac:dyDescent="0.25">
      <c r="A1408" s="82"/>
      <c r="B1408" s="82"/>
      <c r="C1408" s="83"/>
      <c r="D1408" s="84"/>
      <c r="E1408" s="82"/>
      <c r="G1408" s="85"/>
      <c r="H1408" s="85"/>
      <c r="I1408" s="86"/>
      <c r="M1408" s="87"/>
      <c r="N1408" s="88"/>
    </row>
    <row r="1409" spans="1:14" ht="18.75" x14ac:dyDescent="0.25">
      <c r="A1409" s="82"/>
      <c r="B1409" s="82"/>
      <c r="C1409" s="83"/>
      <c r="D1409" s="84"/>
      <c r="E1409" s="82"/>
      <c r="G1409" s="85"/>
      <c r="H1409" s="85"/>
      <c r="I1409" s="86"/>
      <c r="M1409" s="87"/>
      <c r="N1409" s="88"/>
    </row>
    <row r="1410" spans="1:14" ht="18.75" x14ac:dyDescent="0.25">
      <c r="A1410" s="82"/>
      <c r="B1410" s="82"/>
      <c r="C1410" s="83"/>
      <c r="D1410" s="84"/>
      <c r="E1410" s="82"/>
      <c r="G1410" s="85"/>
      <c r="H1410" s="85"/>
      <c r="I1410" s="86"/>
      <c r="M1410" s="87"/>
      <c r="N1410" s="88"/>
    </row>
    <row r="1411" spans="1:14" ht="18.75" x14ac:dyDescent="0.25">
      <c r="A1411" s="82"/>
      <c r="B1411" s="82"/>
      <c r="C1411" s="83"/>
      <c r="D1411" s="84"/>
      <c r="E1411" s="82"/>
      <c r="G1411" s="85"/>
      <c r="H1411" s="85"/>
      <c r="I1411" s="86"/>
      <c r="M1411" s="87"/>
      <c r="N1411" s="88"/>
    </row>
    <row r="1412" spans="1:14" ht="18.75" x14ac:dyDescent="0.25">
      <c r="A1412" s="82"/>
      <c r="B1412" s="82"/>
      <c r="C1412" s="83"/>
      <c r="D1412" s="84"/>
      <c r="E1412" s="82"/>
      <c r="G1412" s="85"/>
      <c r="H1412" s="85"/>
      <c r="I1412" s="86"/>
      <c r="M1412" s="87"/>
      <c r="N1412" s="88"/>
    </row>
    <row r="1413" spans="1:14" ht="18.75" x14ac:dyDescent="0.25">
      <c r="A1413" s="82"/>
      <c r="B1413" s="82"/>
      <c r="C1413" s="83"/>
      <c r="D1413" s="84"/>
      <c r="E1413" s="82"/>
      <c r="G1413" s="85"/>
      <c r="H1413" s="85"/>
      <c r="I1413" s="86"/>
      <c r="M1413" s="87"/>
      <c r="N1413" s="88"/>
    </row>
    <row r="1414" spans="1:14" ht="18.75" x14ac:dyDescent="0.25">
      <c r="A1414" s="82"/>
      <c r="B1414" s="82"/>
      <c r="C1414" s="83"/>
      <c r="D1414" s="84"/>
      <c r="E1414" s="82"/>
      <c r="G1414" s="85"/>
      <c r="H1414" s="85"/>
      <c r="I1414" s="86"/>
      <c r="M1414" s="87"/>
      <c r="N1414" s="88"/>
    </row>
    <row r="1415" spans="1:14" ht="18.75" x14ac:dyDescent="0.25">
      <c r="A1415" s="82"/>
      <c r="B1415" s="82"/>
      <c r="C1415" s="83"/>
      <c r="D1415" s="84"/>
      <c r="E1415" s="82"/>
      <c r="G1415" s="85"/>
      <c r="H1415" s="85"/>
      <c r="I1415" s="86"/>
      <c r="M1415" s="87"/>
      <c r="N1415" s="88"/>
    </row>
    <row r="1416" spans="1:14" ht="18.75" x14ac:dyDescent="0.25">
      <c r="A1416" s="82"/>
      <c r="B1416" s="82"/>
      <c r="C1416" s="83"/>
      <c r="D1416" s="84"/>
      <c r="E1416" s="82"/>
      <c r="G1416" s="85"/>
      <c r="H1416" s="85"/>
      <c r="I1416" s="86"/>
      <c r="M1416" s="87"/>
      <c r="N1416" s="88"/>
    </row>
    <row r="1417" spans="1:14" ht="18.75" x14ac:dyDescent="0.25">
      <c r="A1417" s="82"/>
      <c r="B1417" s="82"/>
      <c r="C1417" s="83"/>
      <c r="D1417" s="84"/>
      <c r="E1417" s="82"/>
      <c r="G1417" s="85"/>
      <c r="H1417" s="85"/>
      <c r="I1417" s="86"/>
      <c r="M1417" s="87"/>
      <c r="N1417" s="88"/>
    </row>
    <row r="1418" spans="1:14" ht="18.75" x14ac:dyDescent="0.25">
      <c r="A1418" s="82"/>
      <c r="B1418" s="82"/>
      <c r="C1418" s="83"/>
      <c r="D1418" s="84"/>
      <c r="E1418" s="82"/>
      <c r="G1418" s="85"/>
      <c r="H1418" s="85"/>
      <c r="I1418" s="86"/>
      <c r="M1418" s="87"/>
      <c r="N1418" s="88"/>
    </row>
    <row r="1419" spans="1:14" ht="18.75" x14ac:dyDescent="0.25">
      <c r="A1419" s="82"/>
      <c r="B1419" s="82"/>
      <c r="C1419" s="83"/>
      <c r="D1419" s="84"/>
      <c r="E1419" s="82"/>
      <c r="G1419" s="85"/>
      <c r="H1419" s="85"/>
      <c r="I1419" s="86"/>
      <c r="M1419" s="87"/>
      <c r="N1419" s="88"/>
    </row>
    <row r="1420" spans="1:14" ht="18.75" x14ac:dyDescent="0.25">
      <c r="A1420" s="82"/>
      <c r="B1420" s="82"/>
      <c r="C1420" s="83"/>
      <c r="D1420" s="84"/>
      <c r="E1420" s="82"/>
      <c r="G1420" s="85"/>
      <c r="H1420" s="85"/>
      <c r="I1420" s="86"/>
      <c r="M1420" s="87"/>
      <c r="N1420" s="88"/>
    </row>
    <row r="1421" spans="1:14" ht="18.75" x14ac:dyDescent="0.25">
      <c r="A1421" s="82"/>
      <c r="B1421" s="82"/>
      <c r="C1421" s="83"/>
      <c r="D1421" s="84"/>
      <c r="E1421" s="82"/>
      <c r="G1421" s="85"/>
      <c r="H1421" s="85"/>
      <c r="I1421" s="86"/>
      <c r="M1421" s="87"/>
      <c r="N1421" s="88"/>
    </row>
    <row r="1422" spans="1:14" ht="18.75" x14ac:dyDescent="0.25">
      <c r="A1422" s="82"/>
      <c r="B1422" s="82"/>
      <c r="C1422" s="83"/>
      <c r="D1422" s="84"/>
      <c r="E1422" s="82"/>
      <c r="G1422" s="85"/>
      <c r="H1422" s="85"/>
      <c r="I1422" s="86"/>
      <c r="M1422" s="87"/>
      <c r="N1422" s="88"/>
    </row>
    <row r="1423" spans="1:14" ht="18.75" x14ac:dyDescent="0.25">
      <c r="A1423" s="82"/>
      <c r="B1423" s="82"/>
      <c r="C1423" s="83"/>
      <c r="D1423" s="84"/>
      <c r="E1423" s="82"/>
      <c r="G1423" s="85"/>
      <c r="H1423" s="85"/>
      <c r="I1423" s="86"/>
      <c r="M1423" s="87"/>
      <c r="N1423" s="88"/>
    </row>
    <row r="1424" spans="1:14" ht="18.75" x14ac:dyDescent="0.25">
      <c r="A1424" s="82"/>
      <c r="B1424" s="82"/>
      <c r="C1424" s="83"/>
      <c r="D1424" s="84"/>
      <c r="E1424" s="82"/>
      <c r="G1424" s="85"/>
      <c r="H1424" s="85"/>
      <c r="I1424" s="86"/>
      <c r="M1424" s="87"/>
      <c r="N1424" s="88"/>
    </row>
    <row r="1425" spans="1:14" ht="18.75" x14ac:dyDescent="0.25">
      <c r="A1425" s="82"/>
      <c r="B1425" s="82"/>
      <c r="C1425" s="83"/>
      <c r="D1425" s="84"/>
      <c r="E1425" s="82"/>
      <c r="G1425" s="85"/>
      <c r="H1425" s="85"/>
      <c r="I1425" s="86"/>
      <c r="M1425" s="87"/>
      <c r="N1425" s="88"/>
    </row>
    <row r="1426" spans="1:14" ht="18.75" x14ac:dyDescent="0.25">
      <c r="A1426" s="82"/>
      <c r="B1426" s="82"/>
      <c r="C1426" s="83"/>
      <c r="D1426" s="84"/>
      <c r="E1426" s="82"/>
      <c r="G1426" s="85"/>
      <c r="H1426" s="85"/>
      <c r="I1426" s="86"/>
      <c r="M1426" s="87"/>
      <c r="N1426" s="88"/>
    </row>
    <row r="1427" spans="1:14" ht="18.75" x14ac:dyDescent="0.25">
      <c r="A1427" s="82"/>
      <c r="B1427" s="82"/>
      <c r="C1427" s="83"/>
      <c r="D1427" s="84"/>
      <c r="E1427" s="82"/>
      <c r="G1427" s="85"/>
      <c r="H1427" s="85"/>
      <c r="I1427" s="86"/>
      <c r="M1427" s="87"/>
      <c r="N1427" s="88"/>
    </row>
    <row r="1428" spans="1:14" ht="18.75" x14ac:dyDescent="0.25">
      <c r="A1428" s="82"/>
      <c r="B1428" s="82"/>
      <c r="C1428" s="83"/>
      <c r="D1428" s="84"/>
      <c r="E1428" s="82"/>
      <c r="G1428" s="85"/>
      <c r="H1428" s="85"/>
      <c r="I1428" s="86"/>
      <c r="M1428" s="87"/>
      <c r="N1428" s="88"/>
    </row>
    <row r="1429" spans="1:14" ht="18.75" x14ac:dyDescent="0.25">
      <c r="A1429" s="82"/>
      <c r="B1429" s="82"/>
      <c r="C1429" s="83"/>
      <c r="D1429" s="84"/>
      <c r="E1429" s="82"/>
      <c r="G1429" s="85"/>
      <c r="H1429" s="85"/>
      <c r="I1429" s="86"/>
      <c r="M1429" s="87"/>
      <c r="N1429" s="88"/>
    </row>
    <row r="1430" spans="1:14" ht="18.75" x14ac:dyDescent="0.25">
      <c r="A1430" s="82"/>
      <c r="B1430" s="82"/>
      <c r="C1430" s="83"/>
      <c r="D1430" s="84"/>
      <c r="E1430" s="82"/>
      <c r="G1430" s="85"/>
      <c r="H1430" s="85"/>
      <c r="I1430" s="86"/>
      <c r="M1430" s="87"/>
      <c r="N1430" s="88"/>
    </row>
    <row r="1431" spans="1:14" ht="18.75" x14ac:dyDescent="0.25">
      <c r="A1431" s="82"/>
      <c r="B1431" s="82"/>
      <c r="C1431" s="83"/>
      <c r="D1431" s="84"/>
      <c r="E1431" s="82"/>
      <c r="G1431" s="85"/>
      <c r="H1431" s="85"/>
      <c r="I1431" s="86"/>
      <c r="M1431" s="87"/>
      <c r="N1431" s="88"/>
    </row>
    <row r="1432" spans="1:14" ht="18.75" x14ac:dyDescent="0.25">
      <c r="A1432" s="82"/>
      <c r="B1432" s="82"/>
      <c r="C1432" s="83"/>
      <c r="D1432" s="84"/>
      <c r="E1432" s="82"/>
      <c r="G1432" s="85"/>
      <c r="H1432" s="85"/>
      <c r="I1432" s="86"/>
      <c r="M1432" s="87"/>
      <c r="N1432" s="88"/>
    </row>
    <row r="1433" spans="1:14" ht="18.75" x14ac:dyDescent="0.25">
      <c r="A1433" s="82"/>
      <c r="B1433" s="82"/>
      <c r="C1433" s="83"/>
      <c r="D1433" s="84"/>
      <c r="E1433" s="82"/>
      <c r="G1433" s="85"/>
      <c r="H1433" s="85"/>
      <c r="I1433" s="86"/>
      <c r="M1433" s="87"/>
      <c r="N1433" s="88"/>
    </row>
    <row r="1434" spans="1:14" ht="18.75" x14ac:dyDescent="0.25">
      <c r="A1434" s="82"/>
      <c r="B1434" s="82"/>
      <c r="C1434" s="83"/>
      <c r="D1434" s="84"/>
      <c r="E1434" s="82"/>
      <c r="G1434" s="85"/>
      <c r="H1434" s="85"/>
      <c r="I1434" s="86"/>
      <c r="M1434" s="87"/>
      <c r="N1434" s="88"/>
    </row>
    <row r="1435" spans="1:14" ht="18.75" x14ac:dyDescent="0.25">
      <c r="A1435" s="82"/>
      <c r="B1435" s="82"/>
      <c r="C1435" s="83"/>
      <c r="D1435" s="84"/>
      <c r="E1435" s="82"/>
      <c r="G1435" s="85"/>
      <c r="H1435" s="85"/>
      <c r="I1435" s="86"/>
      <c r="M1435" s="87"/>
      <c r="N1435" s="88"/>
    </row>
    <row r="1436" spans="1:14" ht="18.75" x14ac:dyDescent="0.25">
      <c r="A1436" s="82"/>
      <c r="B1436" s="82"/>
      <c r="C1436" s="83"/>
      <c r="D1436" s="84"/>
      <c r="E1436" s="82"/>
      <c r="G1436" s="85"/>
      <c r="H1436" s="85"/>
      <c r="I1436" s="86"/>
      <c r="M1436" s="87"/>
      <c r="N1436" s="88"/>
    </row>
    <row r="1437" spans="1:14" ht="18.75" x14ac:dyDescent="0.25">
      <c r="A1437" s="82"/>
      <c r="B1437" s="82"/>
      <c r="C1437" s="83"/>
      <c r="D1437" s="84"/>
      <c r="E1437" s="82"/>
      <c r="G1437" s="85"/>
      <c r="H1437" s="85"/>
      <c r="I1437" s="86"/>
      <c r="M1437" s="87"/>
      <c r="N1437" s="88"/>
    </row>
    <row r="1438" spans="1:14" ht="18.75" x14ac:dyDescent="0.25">
      <c r="A1438" s="82"/>
      <c r="B1438" s="82"/>
      <c r="C1438" s="83"/>
      <c r="D1438" s="84"/>
      <c r="E1438" s="82"/>
      <c r="G1438" s="85"/>
      <c r="H1438" s="85"/>
      <c r="I1438" s="86"/>
      <c r="M1438" s="87"/>
      <c r="N1438" s="88"/>
    </row>
    <row r="1439" spans="1:14" ht="18.75" x14ac:dyDescent="0.25">
      <c r="A1439" s="82"/>
      <c r="B1439" s="82"/>
      <c r="C1439" s="83"/>
      <c r="D1439" s="84"/>
      <c r="E1439" s="82"/>
      <c r="G1439" s="85"/>
      <c r="H1439" s="85"/>
      <c r="I1439" s="86"/>
      <c r="M1439" s="87"/>
      <c r="N1439" s="88"/>
    </row>
    <row r="1440" spans="1:14" ht="18.75" x14ac:dyDescent="0.25">
      <c r="A1440" s="82"/>
      <c r="B1440" s="82"/>
      <c r="C1440" s="83"/>
      <c r="D1440" s="84"/>
      <c r="E1440" s="82"/>
      <c r="G1440" s="85"/>
      <c r="H1440" s="85"/>
      <c r="I1440" s="86"/>
      <c r="M1440" s="87"/>
      <c r="N1440" s="88"/>
    </row>
    <row r="1441" spans="1:14" ht="18.75" x14ac:dyDescent="0.25">
      <c r="A1441" s="82"/>
      <c r="B1441" s="82"/>
      <c r="C1441" s="83"/>
      <c r="D1441" s="84"/>
      <c r="E1441" s="82"/>
      <c r="G1441" s="85"/>
      <c r="H1441" s="85"/>
      <c r="I1441" s="86"/>
      <c r="M1441" s="87"/>
      <c r="N1441" s="88"/>
    </row>
    <row r="1442" spans="1:14" ht="18.75" x14ac:dyDescent="0.25">
      <c r="A1442" s="82"/>
      <c r="B1442" s="82"/>
      <c r="C1442" s="83"/>
      <c r="D1442" s="84"/>
      <c r="E1442" s="82"/>
      <c r="G1442" s="85"/>
      <c r="H1442" s="85"/>
      <c r="I1442" s="86"/>
      <c r="M1442" s="87"/>
      <c r="N1442" s="88"/>
    </row>
    <row r="1443" spans="1:14" ht="18.75" x14ac:dyDescent="0.25">
      <c r="A1443" s="82"/>
      <c r="B1443" s="82"/>
      <c r="C1443" s="83"/>
      <c r="D1443" s="84"/>
      <c r="E1443" s="82"/>
      <c r="G1443" s="85"/>
      <c r="H1443" s="85"/>
      <c r="I1443" s="86"/>
      <c r="M1443" s="87"/>
      <c r="N1443" s="88"/>
    </row>
    <row r="1444" spans="1:14" ht="18.75" x14ac:dyDescent="0.25">
      <c r="A1444" s="82"/>
      <c r="B1444" s="82"/>
      <c r="C1444" s="83"/>
      <c r="D1444" s="84"/>
      <c r="E1444" s="82"/>
      <c r="G1444" s="85"/>
      <c r="H1444" s="85"/>
      <c r="I1444" s="86"/>
      <c r="M1444" s="87"/>
      <c r="N1444" s="88"/>
    </row>
    <row r="1445" spans="1:14" ht="18.75" x14ac:dyDescent="0.25">
      <c r="A1445" s="82"/>
      <c r="B1445" s="82"/>
      <c r="C1445" s="83"/>
      <c r="D1445" s="84"/>
      <c r="E1445" s="82"/>
      <c r="G1445" s="85"/>
      <c r="H1445" s="85"/>
      <c r="I1445" s="86"/>
      <c r="M1445" s="87"/>
      <c r="N1445" s="88"/>
    </row>
    <row r="1446" spans="1:14" ht="18.75" x14ac:dyDescent="0.25">
      <c r="A1446" s="82"/>
      <c r="B1446" s="82"/>
      <c r="C1446" s="83"/>
      <c r="D1446" s="84"/>
      <c r="E1446" s="82"/>
      <c r="G1446" s="85"/>
      <c r="H1446" s="85"/>
      <c r="I1446" s="86"/>
      <c r="M1446" s="87"/>
      <c r="N1446" s="88"/>
    </row>
    <row r="1447" spans="1:14" ht="18.75" x14ac:dyDescent="0.25">
      <c r="A1447" s="82"/>
      <c r="B1447" s="82"/>
      <c r="C1447" s="83"/>
      <c r="D1447" s="84"/>
      <c r="E1447" s="82"/>
      <c r="G1447" s="85"/>
      <c r="H1447" s="85"/>
      <c r="I1447" s="86"/>
      <c r="M1447" s="87"/>
      <c r="N1447" s="88"/>
    </row>
    <row r="1448" spans="1:14" ht="18.75" x14ac:dyDescent="0.25">
      <c r="A1448" s="82"/>
      <c r="B1448" s="82"/>
      <c r="C1448" s="83"/>
      <c r="D1448" s="84"/>
      <c r="E1448" s="82"/>
      <c r="G1448" s="85"/>
      <c r="H1448" s="85"/>
      <c r="I1448" s="86"/>
      <c r="M1448" s="87"/>
      <c r="N1448" s="88"/>
    </row>
    <row r="1449" spans="1:14" ht="18.75" x14ac:dyDescent="0.25">
      <c r="A1449" s="82"/>
      <c r="B1449" s="82"/>
      <c r="C1449" s="83"/>
      <c r="D1449" s="84"/>
      <c r="E1449" s="82"/>
      <c r="G1449" s="85"/>
      <c r="H1449" s="85"/>
      <c r="I1449" s="86"/>
      <c r="M1449" s="87"/>
      <c r="N1449" s="88"/>
    </row>
    <row r="1450" spans="1:14" ht="18.75" x14ac:dyDescent="0.25">
      <c r="A1450" s="82"/>
      <c r="B1450" s="82"/>
      <c r="C1450" s="83"/>
      <c r="D1450" s="84"/>
      <c r="E1450" s="82"/>
      <c r="G1450" s="85"/>
      <c r="H1450" s="85"/>
      <c r="I1450" s="86"/>
      <c r="M1450" s="87"/>
      <c r="N1450" s="88"/>
    </row>
    <row r="1451" spans="1:14" ht="18.75" x14ac:dyDescent="0.25">
      <c r="A1451" s="82"/>
      <c r="B1451" s="82"/>
      <c r="C1451" s="83"/>
      <c r="D1451" s="84"/>
      <c r="E1451" s="82"/>
      <c r="G1451" s="85"/>
      <c r="H1451" s="85"/>
      <c r="I1451" s="86"/>
      <c r="M1451" s="87"/>
      <c r="N1451" s="88"/>
    </row>
    <row r="1452" spans="1:14" ht="18.75" x14ac:dyDescent="0.25">
      <c r="A1452" s="82"/>
      <c r="B1452" s="82"/>
      <c r="C1452" s="83"/>
      <c r="D1452" s="84"/>
      <c r="E1452" s="82"/>
      <c r="G1452" s="85"/>
      <c r="H1452" s="85"/>
      <c r="I1452" s="86"/>
      <c r="M1452" s="87"/>
      <c r="N1452" s="88"/>
    </row>
    <row r="1453" spans="1:14" ht="18.75" x14ac:dyDescent="0.25">
      <c r="A1453" s="82"/>
      <c r="B1453" s="82"/>
      <c r="C1453" s="83"/>
      <c r="D1453" s="84"/>
      <c r="E1453" s="82"/>
      <c r="G1453" s="85"/>
      <c r="H1453" s="85"/>
      <c r="I1453" s="86"/>
      <c r="M1453" s="87"/>
      <c r="N1453" s="88"/>
    </row>
    <row r="1454" spans="1:14" ht="18.75" x14ac:dyDescent="0.25">
      <c r="A1454" s="82"/>
      <c r="B1454" s="82"/>
      <c r="C1454" s="83"/>
      <c r="D1454" s="84"/>
      <c r="E1454" s="82"/>
      <c r="G1454" s="85"/>
      <c r="H1454" s="85"/>
      <c r="I1454" s="86"/>
      <c r="M1454" s="87"/>
      <c r="N1454" s="88"/>
    </row>
    <row r="1455" spans="1:14" ht="18.75" x14ac:dyDescent="0.25">
      <c r="A1455" s="82"/>
      <c r="B1455" s="82"/>
      <c r="C1455" s="83"/>
      <c r="D1455" s="84"/>
      <c r="E1455" s="82"/>
      <c r="G1455" s="85"/>
      <c r="H1455" s="85"/>
      <c r="I1455" s="86"/>
      <c r="M1455" s="87"/>
      <c r="N1455" s="88"/>
    </row>
    <row r="1456" spans="1:14" ht="18.75" x14ac:dyDescent="0.25">
      <c r="A1456" s="82"/>
      <c r="B1456" s="82"/>
      <c r="C1456" s="83"/>
      <c r="D1456" s="84"/>
      <c r="E1456" s="82"/>
      <c r="G1456" s="85"/>
      <c r="H1456" s="85"/>
      <c r="I1456" s="86"/>
      <c r="M1456" s="87"/>
      <c r="N1456" s="88"/>
    </row>
    <row r="1457" spans="1:14" ht="18.75" x14ac:dyDescent="0.25">
      <c r="A1457" s="82"/>
      <c r="B1457" s="82"/>
      <c r="C1457" s="83"/>
      <c r="D1457" s="84"/>
      <c r="E1457" s="82"/>
      <c r="G1457" s="85"/>
      <c r="H1457" s="85"/>
      <c r="I1457" s="86"/>
      <c r="M1457" s="87"/>
      <c r="N1457" s="88"/>
    </row>
    <row r="1458" spans="1:14" ht="18.75" x14ac:dyDescent="0.25">
      <c r="A1458" s="82"/>
      <c r="B1458" s="82"/>
      <c r="C1458" s="83"/>
      <c r="D1458" s="84"/>
      <c r="E1458" s="82"/>
      <c r="G1458" s="85"/>
      <c r="H1458" s="85"/>
      <c r="I1458" s="86"/>
      <c r="M1458" s="87"/>
      <c r="N1458" s="88"/>
    </row>
    <row r="1459" spans="1:14" ht="18.75" x14ac:dyDescent="0.25">
      <c r="A1459" s="82"/>
      <c r="B1459" s="82"/>
      <c r="C1459" s="83"/>
      <c r="D1459" s="84"/>
      <c r="E1459" s="82"/>
      <c r="G1459" s="85"/>
      <c r="H1459" s="85"/>
      <c r="I1459" s="86"/>
      <c r="M1459" s="87"/>
      <c r="N1459" s="88"/>
    </row>
    <row r="1460" spans="1:14" ht="18.75" x14ac:dyDescent="0.25">
      <c r="A1460" s="82"/>
      <c r="B1460" s="82"/>
      <c r="C1460" s="83"/>
      <c r="D1460" s="84"/>
      <c r="E1460" s="82"/>
      <c r="G1460" s="85"/>
      <c r="H1460" s="85"/>
      <c r="I1460" s="86"/>
      <c r="M1460" s="87"/>
      <c r="N1460" s="88"/>
    </row>
    <row r="1461" spans="1:14" ht="18.75" x14ac:dyDescent="0.25">
      <c r="A1461" s="82"/>
      <c r="B1461" s="82"/>
      <c r="C1461" s="83"/>
      <c r="D1461" s="84"/>
      <c r="E1461" s="82"/>
      <c r="G1461" s="85"/>
      <c r="H1461" s="85"/>
      <c r="I1461" s="86"/>
      <c r="M1461" s="87"/>
      <c r="N1461" s="88"/>
    </row>
    <row r="1462" spans="1:14" ht="18.75" x14ac:dyDescent="0.25">
      <c r="A1462" s="82"/>
      <c r="B1462" s="82"/>
      <c r="C1462" s="83"/>
      <c r="D1462" s="84"/>
      <c r="E1462" s="82"/>
      <c r="G1462" s="85"/>
      <c r="H1462" s="85"/>
      <c r="I1462" s="86"/>
      <c r="M1462" s="87"/>
      <c r="N1462" s="88"/>
    </row>
    <row r="1463" spans="1:14" ht="18.75" x14ac:dyDescent="0.25">
      <c r="A1463" s="82"/>
      <c r="B1463" s="82"/>
      <c r="C1463" s="83"/>
      <c r="D1463" s="84"/>
      <c r="E1463" s="82"/>
      <c r="G1463" s="85"/>
      <c r="H1463" s="85"/>
      <c r="I1463" s="86"/>
      <c r="M1463" s="87"/>
      <c r="N1463" s="88"/>
    </row>
    <row r="1464" spans="1:14" ht="18.75" x14ac:dyDescent="0.25">
      <c r="A1464" s="82"/>
      <c r="B1464" s="82"/>
      <c r="C1464" s="83"/>
      <c r="D1464" s="84"/>
      <c r="E1464" s="82"/>
      <c r="G1464" s="85"/>
      <c r="H1464" s="85"/>
      <c r="I1464" s="86"/>
      <c r="M1464" s="87"/>
      <c r="N1464" s="88"/>
    </row>
    <row r="1465" spans="1:14" ht="18.75" x14ac:dyDescent="0.25">
      <c r="A1465" s="82"/>
      <c r="B1465" s="82"/>
      <c r="C1465" s="83"/>
      <c r="D1465" s="84"/>
      <c r="E1465" s="82"/>
      <c r="G1465" s="85"/>
      <c r="H1465" s="85"/>
      <c r="I1465" s="86"/>
      <c r="M1465" s="87"/>
      <c r="N1465" s="88"/>
    </row>
    <row r="1466" spans="1:14" ht="18.75" x14ac:dyDescent="0.25">
      <c r="A1466" s="82"/>
      <c r="B1466" s="82"/>
      <c r="C1466" s="83"/>
      <c r="D1466" s="84"/>
      <c r="E1466" s="82"/>
      <c r="G1466" s="85"/>
      <c r="H1466" s="85"/>
      <c r="I1466" s="86"/>
      <c r="M1466" s="87"/>
      <c r="N1466" s="88"/>
    </row>
    <row r="1467" spans="1:14" ht="18.75" x14ac:dyDescent="0.25">
      <c r="A1467" s="82"/>
      <c r="B1467" s="82"/>
      <c r="C1467" s="83"/>
      <c r="D1467" s="84"/>
      <c r="E1467" s="82"/>
      <c r="G1467" s="85"/>
      <c r="H1467" s="85"/>
      <c r="I1467" s="86"/>
      <c r="M1467" s="87"/>
      <c r="N1467" s="88"/>
    </row>
    <row r="1468" spans="1:14" ht="18.75" x14ac:dyDescent="0.25">
      <c r="A1468" s="82"/>
      <c r="B1468" s="82"/>
      <c r="C1468" s="83"/>
      <c r="D1468" s="84"/>
      <c r="E1468" s="82"/>
      <c r="G1468" s="85"/>
      <c r="H1468" s="85"/>
      <c r="I1468" s="86"/>
      <c r="M1468" s="87"/>
      <c r="N1468" s="88"/>
    </row>
    <row r="1469" spans="1:14" ht="18.75" x14ac:dyDescent="0.25">
      <c r="A1469" s="82"/>
      <c r="B1469" s="82"/>
      <c r="C1469" s="83"/>
      <c r="D1469" s="84"/>
      <c r="E1469" s="82"/>
      <c r="G1469" s="85"/>
      <c r="H1469" s="85"/>
      <c r="I1469" s="86"/>
      <c r="M1469" s="87"/>
      <c r="N1469" s="88"/>
    </row>
    <row r="1470" spans="1:14" ht="18.75" x14ac:dyDescent="0.25">
      <c r="A1470" s="82"/>
      <c r="B1470" s="82"/>
      <c r="C1470" s="83"/>
      <c r="D1470" s="84"/>
      <c r="E1470" s="82"/>
      <c r="G1470" s="85"/>
      <c r="H1470" s="85"/>
      <c r="I1470" s="86"/>
      <c r="M1470" s="87"/>
      <c r="N1470" s="88"/>
    </row>
    <row r="1471" spans="1:14" ht="18.75" x14ac:dyDescent="0.25">
      <c r="A1471" s="82"/>
      <c r="B1471" s="82"/>
      <c r="C1471" s="83"/>
      <c r="D1471" s="84"/>
      <c r="E1471" s="82"/>
      <c r="G1471" s="85"/>
      <c r="H1471" s="85"/>
      <c r="I1471" s="86"/>
      <c r="M1471" s="87"/>
      <c r="N1471" s="88"/>
    </row>
    <row r="1472" spans="1:14" ht="18.75" x14ac:dyDescent="0.25">
      <c r="A1472" s="82"/>
      <c r="B1472" s="82"/>
      <c r="C1472" s="83"/>
      <c r="D1472" s="84"/>
      <c r="E1472" s="82"/>
      <c r="G1472" s="85"/>
      <c r="H1472" s="85"/>
      <c r="I1472" s="86"/>
      <c r="M1472" s="87"/>
      <c r="N1472" s="88"/>
    </row>
    <row r="1473" spans="1:14" ht="18.75" x14ac:dyDescent="0.25">
      <c r="A1473" s="82"/>
      <c r="B1473" s="82"/>
      <c r="C1473" s="83"/>
      <c r="D1473" s="84"/>
      <c r="E1473" s="82"/>
      <c r="G1473" s="85"/>
      <c r="H1473" s="85"/>
      <c r="I1473" s="86"/>
      <c r="M1473" s="87"/>
      <c r="N1473" s="88"/>
    </row>
    <row r="1474" spans="1:14" ht="18.75" x14ac:dyDescent="0.25">
      <c r="A1474" s="82"/>
      <c r="B1474" s="82"/>
      <c r="C1474" s="83"/>
      <c r="D1474" s="84"/>
      <c r="E1474" s="82"/>
      <c r="G1474" s="85"/>
      <c r="H1474" s="85"/>
      <c r="I1474" s="86"/>
      <c r="M1474" s="87"/>
      <c r="N1474" s="88"/>
    </row>
    <row r="1475" spans="1:14" ht="18.75" x14ac:dyDescent="0.25">
      <c r="A1475" s="82"/>
      <c r="B1475" s="82"/>
      <c r="C1475" s="83"/>
      <c r="D1475" s="84"/>
      <c r="E1475" s="82"/>
      <c r="G1475" s="85"/>
      <c r="H1475" s="85"/>
      <c r="I1475" s="86"/>
      <c r="M1475" s="87"/>
      <c r="N1475" s="88"/>
    </row>
    <row r="1476" spans="1:14" ht="18.75" x14ac:dyDescent="0.25">
      <c r="A1476" s="82"/>
      <c r="B1476" s="82"/>
      <c r="C1476" s="83"/>
      <c r="D1476" s="84"/>
      <c r="E1476" s="82"/>
      <c r="G1476" s="85"/>
      <c r="H1476" s="85"/>
      <c r="I1476" s="86"/>
      <c r="M1476" s="87"/>
      <c r="N1476" s="88"/>
    </row>
    <row r="1477" spans="1:14" ht="18.75" x14ac:dyDescent="0.25">
      <c r="A1477" s="82"/>
      <c r="B1477" s="82"/>
      <c r="C1477" s="83"/>
      <c r="D1477" s="84"/>
      <c r="E1477" s="82"/>
      <c r="G1477" s="85"/>
      <c r="H1477" s="85"/>
      <c r="I1477" s="86"/>
      <c r="M1477" s="87"/>
      <c r="N1477" s="88"/>
    </row>
    <row r="1478" spans="1:14" ht="18.75" x14ac:dyDescent="0.25">
      <c r="A1478" s="82"/>
      <c r="B1478" s="82"/>
      <c r="C1478" s="83"/>
      <c r="D1478" s="84"/>
      <c r="E1478" s="82"/>
      <c r="G1478" s="85"/>
      <c r="H1478" s="85"/>
      <c r="I1478" s="86"/>
      <c r="M1478" s="87"/>
      <c r="N1478" s="88"/>
    </row>
    <row r="1479" spans="1:14" ht="18.75" x14ac:dyDescent="0.25">
      <c r="A1479" s="82"/>
      <c r="B1479" s="82"/>
      <c r="C1479" s="83"/>
      <c r="D1479" s="84"/>
      <c r="E1479" s="82"/>
      <c r="G1479" s="85"/>
      <c r="H1479" s="85"/>
      <c r="I1479" s="86"/>
      <c r="M1479" s="87"/>
      <c r="N1479" s="88"/>
    </row>
    <row r="1480" spans="1:14" ht="18.75" x14ac:dyDescent="0.25">
      <c r="A1480" s="82"/>
      <c r="B1480" s="82"/>
      <c r="C1480" s="83"/>
      <c r="D1480" s="84"/>
      <c r="E1480" s="82"/>
      <c r="G1480" s="85"/>
      <c r="H1480" s="85"/>
      <c r="I1480" s="86"/>
      <c r="M1480" s="87"/>
      <c r="N1480" s="88"/>
    </row>
    <row r="1481" spans="1:14" ht="18.75" x14ac:dyDescent="0.25">
      <c r="A1481" s="82"/>
      <c r="B1481" s="82"/>
      <c r="C1481" s="83"/>
      <c r="D1481" s="84"/>
      <c r="E1481" s="82"/>
      <c r="G1481" s="85"/>
      <c r="H1481" s="85"/>
      <c r="I1481" s="86"/>
      <c r="M1481" s="87"/>
      <c r="N1481" s="88"/>
    </row>
    <row r="1482" spans="1:14" ht="18.75" x14ac:dyDescent="0.25">
      <c r="A1482" s="82"/>
      <c r="B1482" s="82"/>
      <c r="C1482" s="83"/>
      <c r="D1482" s="84"/>
      <c r="E1482" s="82"/>
      <c r="G1482" s="85"/>
      <c r="H1482" s="85"/>
      <c r="I1482" s="86"/>
      <c r="M1482" s="87"/>
      <c r="N1482" s="88"/>
    </row>
    <row r="1483" spans="1:14" ht="18.75" x14ac:dyDescent="0.25">
      <c r="A1483" s="82"/>
      <c r="B1483" s="82"/>
      <c r="C1483" s="83"/>
      <c r="D1483" s="84"/>
      <c r="E1483" s="82"/>
      <c r="G1483" s="85"/>
      <c r="H1483" s="85"/>
      <c r="I1483" s="86"/>
      <c r="M1483" s="87"/>
      <c r="N1483" s="88"/>
    </row>
    <row r="1484" spans="1:14" ht="18.75" x14ac:dyDescent="0.25">
      <c r="A1484" s="82"/>
      <c r="B1484" s="82"/>
      <c r="C1484" s="83"/>
      <c r="D1484" s="84"/>
      <c r="E1484" s="82"/>
      <c r="G1484" s="85"/>
      <c r="H1484" s="85"/>
      <c r="I1484" s="86"/>
      <c r="M1484" s="87"/>
      <c r="N1484" s="88"/>
    </row>
    <row r="1485" spans="1:14" ht="18.75" x14ac:dyDescent="0.25">
      <c r="A1485" s="82"/>
      <c r="B1485" s="82"/>
      <c r="C1485" s="83"/>
      <c r="D1485" s="84"/>
      <c r="E1485" s="82"/>
      <c r="G1485" s="85"/>
      <c r="H1485" s="85"/>
      <c r="I1485" s="86"/>
      <c r="M1485" s="87"/>
      <c r="N1485" s="88"/>
    </row>
    <row r="1486" spans="1:14" ht="18.75" x14ac:dyDescent="0.25">
      <c r="A1486" s="82"/>
      <c r="B1486" s="82"/>
      <c r="C1486" s="83"/>
      <c r="D1486" s="84"/>
      <c r="E1486" s="82"/>
      <c r="G1486" s="85"/>
      <c r="H1486" s="85"/>
      <c r="I1486" s="86"/>
      <c r="M1486" s="87"/>
      <c r="N1486" s="88"/>
    </row>
    <row r="1487" spans="1:14" ht="18.75" x14ac:dyDescent="0.25">
      <c r="A1487" s="82"/>
      <c r="B1487" s="82"/>
      <c r="C1487" s="83"/>
      <c r="D1487" s="84"/>
      <c r="E1487" s="82"/>
      <c r="G1487" s="85"/>
      <c r="H1487" s="85"/>
      <c r="I1487" s="86"/>
      <c r="M1487" s="87"/>
      <c r="N1487" s="88"/>
    </row>
    <row r="1488" spans="1:14" ht="18.75" x14ac:dyDescent="0.25">
      <c r="A1488" s="82"/>
      <c r="B1488" s="82"/>
      <c r="C1488" s="83"/>
      <c r="D1488" s="84"/>
      <c r="E1488" s="82"/>
      <c r="G1488" s="85"/>
      <c r="H1488" s="85"/>
      <c r="I1488" s="86"/>
      <c r="M1488" s="87"/>
      <c r="N1488" s="88"/>
    </row>
    <row r="1489" spans="1:14" ht="18.75" x14ac:dyDescent="0.25">
      <c r="A1489" s="82"/>
      <c r="B1489" s="82"/>
      <c r="C1489" s="83"/>
      <c r="D1489" s="84"/>
      <c r="E1489" s="82"/>
      <c r="G1489" s="85"/>
      <c r="H1489" s="85"/>
      <c r="I1489" s="86"/>
      <c r="M1489" s="87"/>
      <c r="N1489" s="88"/>
    </row>
    <row r="1490" spans="1:14" ht="18.75" x14ac:dyDescent="0.25">
      <c r="A1490" s="82"/>
      <c r="B1490" s="82"/>
      <c r="C1490" s="83"/>
      <c r="D1490" s="84"/>
      <c r="E1490" s="82"/>
      <c r="G1490" s="85"/>
      <c r="H1490" s="85"/>
      <c r="I1490" s="86"/>
      <c r="M1490" s="87"/>
      <c r="N1490" s="88"/>
    </row>
    <row r="1491" spans="1:14" ht="18.75" x14ac:dyDescent="0.25">
      <c r="A1491" s="82"/>
      <c r="B1491" s="82"/>
      <c r="C1491" s="83"/>
      <c r="D1491" s="84"/>
      <c r="E1491" s="82"/>
      <c r="G1491" s="85"/>
      <c r="H1491" s="85"/>
      <c r="I1491" s="86"/>
      <c r="M1491" s="87"/>
      <c r="N1491" s="88"/>
    </row>
    <row r="1492" spans="1:14" ht="18.75" x14ac:dyDescent="0.25">
      <c r="A1492" s="82"/>
      <c r="B1492" s="82"/>
      <c r="C1492" s="83"/>
      <c r="D1492" s="84"/>
      <c r="E1492" s="82"/>
      <c r="G1492" s="85"/>
      <c r="H1492" s="85"/>
      <c r="I1492" s="86"/>
      <c r="M1492" s="87"/>
      <c r="N1492" s="88"/>
    </row>
    <row r="1493" spans="1:14" ht="18.75" x14ac:dyDescent="0.25">
      <c r="A1493" s="82"/>
      <c r="B1493" s="82"/>
      <c r="C1493" s="83"/>
      <c r="D1493" s="84"/>
      <c r="E1493" s="82"/>
      <c r="G1493" s="85"/>
      <c r="H1493" s="85"/>
      <c r="I1493" s="86"/>
      <c r="M1493" s="87"/>
      <c r="N1493" s="88"/>
    </row>
    <row r="1494" spans="1:14" ht="18.75" x14ac:dyDescent="0.25">
      <c r="A1494" s="82"/>
      <c r="B1494" s="82"/>
      <c r="C1494" s="83"/>
      <c r="D1494" s="84"/>
      <c r="E1494" s="82"/>
      <c r="G1494" s="85"/>
      <c r="H1494" s="85"/>
      <c r="I1494" s="86"/>
      <c r="M1494" s="87"/>
      <c r="N1494" s="88"/>
    </row>
    <row r="1495" spans="1:14" ht="18.75" x14ac:dyDescent="0.25">
      <c r="A1495" s="82"/>
      <c r="B1495" s="82"/>
      <c r="C1495" s="83"/>
      <c r="D1495" s="84"/>
      <c r="E1495" s="82"/>
      <c r="G1495" s="85"/>
      <c r="H1495" s="85"/>
      <c r="I1495" s="86"/>
      <c r="M1495" s="87"/>
      <c r="N1495" s="88"/>
    </row>
    <row r="1496" spans="1:14" ht="18.75" x14ac:dyDescent="0.25">
      <c r="A1496" s="82"/>
      <c r="B1496" s="82"/>
      <c r="C1496" s="83"/>
      <c r="D1496" s="84"/>
      <c r="E1496" s="82"/>
      <c r="G1496" s="85"/>
      <c r="H1496" s="85"/>
      <c r="I1496" s="86"/>
      <c r="M1496" s="87"/>
      <c r="N1496" s="88"/>
    </row>
    <row r="1497" spans="1:14" ht="18.75" x14ac:dyDescent="0.25">
      <c r="A1497" s="82"/>
      <c r="B1497" s="82"/>
      <c r="C1497" s="83"/>
      <c r="D1497" s="84"/>
      <c r="E1497" s="82"/>
      <c r="G1497" s="85"/>
      <c r="H1497" s="85"/>
      <c r="I1497" s="86"/>
      <c r="M1497" s="87"/>
      <c r="N1497" s="88"/>
    </row>
    <row r="1498" spans="1:14" ht="18.75" x14ac:dyDescent="0.25">
      <c r="A1498" s="82"/>
      <c r="B1498" s="82"/>
      <c r="C1498" s="83"/>
      <c r="D1498" s="84"/>
      <c r="E1498" s="82"/>
      <c r="G1498" s="85"/>
      <c r="H1498" s="85"/>
      <c r="I1498" s="86"/>
      <c r="M1498" s="87"/>
      <c r="N1498" s="88"/>
    </row>
    <row r="1499" spans="1:14" ht="18.75" x14ac:dyDescent="0.25">
      <c r="A1499" s="82"/>
      <c r="B1499" s="82"/>
      <c r="C1499" s="83"/>
      <c r="D1499" s="84"/>
      <c r="E1499" s="82"/>
      <c r="G1499" s="85"/>
      <c r="H1499" s="85"/>
      <c r="I1499" s="86"/>
      <c r="M1499" s="87"/>
      <c r="N1499" s="88"/>
    </row>
    <row r="1500" spans="1:14" ht="18.75" x14ac:dyDescent="0.25">
      <c r="A1500" s="82"/>
      <c r="B1500" s="82"/>
      <c r="C1500" s="83"/>
      <c r="D1500" s="84"/>
      <c r="E1500" s="82"/>
      <c r="G1500" s="85"/>
      <c r="H1500" s="85"/>
      <c r="I1500" s="86"/>
      <c r="M1500" s="87"/>
      <c r="N1500" s="88"/>
    </row>
    <row r="1501" spans="1:14" ht="18.75" x14ac:dyDescent="0.25">
      <c r="A1501" s="82"/>
      <c r="B1501" s="82"/>
      <c r="C1501" s="83"/>
      <c r="D1501" s="84"/>
      <c r="E1501" s="82"/>
      <c r="G1501" s="85"/>
      <c r="H1501" s="85"/>
      <c r="I1501" s="86"/>
      <c r="M1501" s="87"/>
      <c r="N1501" s="88"/>
    </row>
    <row r="1502" spans="1:14" ht="18.75" x14ac:dyDescent="0.25">
      <c r="A1502" s="82"/>
      <c r="B1502" s="82"/>
      <c r="C1502" s="83"/>
      <c r="D1502" s="84"/>
      <c r="E1502" s="82"/>
      <c r="G1502" s="85"/>
      <c r="H1502" s="85"/>
      <c r="I1502" s="86"/>
      <c r="M1502" s="87"/>
      <c r="N1502" s="88"/>
    </row>
    <row r="1503" spans="1:14" ht="18.75" x14ac:dyDescent="0.25">
      <c r="A1503" s="82"/>
      <c r="B1503" s="82"/>
      <c r="C1503" s="83"/>
      <c r="D1503" s="84"/>
      <c r="E1503" s="82"/>
      <c r="G1503" s="85"/>
      <c r="H1503" s="85"/>
      <c r="I1503" s="86"/>
      <c r="M1503" s="87"/>
      <c r="N1503" s="88"/>
    </row>
    <row r="1504" spans="1:14" ht="18.75" x14ac:dyDescent="0.25">
      <c r="A1504" s="82"/>
      <c r="B1504" s="82"/>
      <c r="C1504" s="83"/>
      <c r="D1504" s="84"/>
      <c r="E1504" s="82"/>
      <c r="G1504" s="85"/>
      <c r="H1504" s="85"/>
      <c r="I1504" s="86"/>
      <c r="M1504" s="87"/>
      <c r="N1504" s="88"/>
    </row>
    <row r="1505" spans="1:14" ht="18.75" x14ac:dyDescent="0.25">
      <c r="A1505" s="82"/>
      <c r="B1505" s="82"/>
      <c r="C1505" s="83"/>
      <c r="D1505" s="84"/>
      <c r="E1505" s="82"/>
      <c r="G1505" s="85"/>
      <c r="H1505" s="85"/>
      <c r="I1505" s="86"/>
      <c r="M1505" s="87"/>
      <c r="N1505" s="88"/>
    </row>
    <row r="1506" spans="1:14" ht="18.75" x14ac:dyDescent="0.25">
      <c r="A1506" s="82"/>
      <c r="B1506" s="82"/>
      <c r="C1506" s="83"/>
      <c r="D1506" s="84"/>
      <c r="E1506" s="82"/>
      <c r="G1506" s="85"/>
      <c r="H1506" s="85"/>
      <c r="I1506" s="86"/>
      <c r="M1506" s="87"/>
      <c r="N1506" s="88"/>
    </row>
    <row r="1507" spans="1:14" ht="18.75" x14ac:dyDescent="0.25">
      <c r="A1507" s="82"/>
      <c r="B1507" s="82"/>
      <c r="C1507" s="83"/>
      <c r="D1507" s="84"/>
      <c r="E1507" s="82"/>
      <c r="G1507" s="85"/>
      <c r="H1507" s="85"/>
      <c r="I1507" s="86"/>
      <c r="M1507" s="87"/>
      <c r="N1507" s="88"/>
    </row>
    <row r="1508" spans="1:14" ht="18.75" x14ac:dyDescent="0.25">
      <c r="A1508" s="82"/>
      <c r="B1508" s="82"/>
      <c r="C1508" s="83"/>
      <c r="D1508" s="84"/>
      <c r="E1508" s="82"/>
      <c r="G1508" s="85"/>
      <c r="H1508" s="85"/>
      <c r="I1508" s="86"/>
      <c r="M1508" s="87"/>
      <c r="N1508" s="88"/>
    </row>
    <row r="1509" spans="1:14" ht="18.75" x14ac:dyDescent="0.25">
      <c r="A1509" s="82"/>
      <c r="B1509" s="82"/>
      <c r="C1509" s="83"/>
      <c r="D1509" s="84"/>
      <c r="E1509" s="82"/>
      <c r="G1509" s="85"/>
      <c r="H1509" s="85"/>
      <c r="I1509" s="86"/>
      <c r="M1509" s="87"/>
      <c r="N1509" s="88"/>
    </row>
    <row r="1510" spans="1:14" ht="18.75" x14ac:dyDescent="0.25">
      <c r="A1510" s="82"/>
      <c r="B1510" s="82"/>
      <c r="C1510" s="83"/>
      <c r="D1510" s="84"/>
      <c r="E1510" s="82"/>
      <c r="G1510" s="85"/>
      <c r="H1510" s="85"/>
      <c r="I1510" s="86"/>
      <c r="M1510" s="87"/>
      <c r="N1510" s="88"/>
    </row>
    <row r="1511" spans="1:14" ht="18.75" x14ac:dyDescent="0.25">
      <c r="A1511" s="82"/>
      <c r="B1511" s="82"/>
      <c r="C1511" s="83"/>
      <c r="D1511" s="84"/>
      <c r="E1511" s="82"/>
      <c r="G1511" s="85"/>
      <c r="H1511" s="85"/>
      <c r="I1511" s="86"/>
      <c r="M1511" s="87"/>
      <c r="N1511" s="88"/>
    </row>
    <row r="1512" spans="1:14" ht="18.75" x14ac:dyDescent="0.25">
      <c r="A1512" s="82"/>
      <c r="B1512" s="82"/>
      <c r="C1512" s="83"/>
      <c r="D1512" s="84"/>
      <c r="E1512" s="82"/>
      <c r="G1512" s="85"/>
      <c r="H1512" s="85"/>
      <c r="I1512" s="86"/>
      <c r="M1512" s="87"/>
      <c r="N1512" s="88"/>
    </row>
    <row r="1513" spans="1:14" ht="18.75" x14ac:dyDescent="0.25">
      <c r="A1513" s="82"/>
      <c r="B1513" s="82"/>
      <c r="C1513" s="83"/>
      <c r="D1513" s="84"/>
      <c r="E1513" s="82"/>
      <c r="G1513" s="85"/>
      <c r="H1513" s="85"/>
      <c r="I1513" s="86"/>
      <c r="M1513" s="87"/>
      <c r="N1513" s="88"/>
    </row>
    <row r="1514" spans="1:14" ht="18.75" x14ac:dyDescent="0.25">
      <c r="A1514" s="82"/>
      <c r="B1514" s="82"/>
      <c r="C1514" s="83"/>
      <c r="D1514" s="84"/>
      <c r="E1514" s="82"/>
      <c r="G1514" s="85"/>
      <c r="H1514" s="85"/>
      <c r="I1514" s="86"/>
      <c r="M1514" s="87"/>
      <c r="N1514" s="88"/>
    </row>
    <row r="1515" spans="1:14" ht="18.75" x14ac:dyDescent="0.25">
      <c r="A1515" s="82"/>
      <c r="B1515" s="82"/>
      <c r="C1515" s="83"/>
      <c r="D1515" s="84"/>
      <c r="E1515" s="82"/>
      <c r="G1515" s="85"/>
      <c r="H1515" s="85"/>
      <c r="I1515" s="86"/>
      <c r="M1515" s="87"/>
      <c r="N1515" s="88"/>
    </row>
    <row r="1516" spans="1:14" ht="18.75" x14ac:dyDescent="0.25">
      <c r="A1516" s="82"/>
      <c r="B1516" s="82"/>
      <c r="C1516" s="83"/>
      <c r="D1516" s="84"/>
      <c r="E1516" s="82"/>
      <c r="G1516" s="85"/>
      <c r="H1516" s="85"/>
      <c r="I1516" s="86"/>
      <c r="M1516" s="87"/>
      <c r="N1516" s="88"/>
    </row>
    <row r="1517" spans="1:14" ht="18.75" x14ac:dyDescent="0.25">
      <c r="A1517" s="82"/>
      <c r="B1517" s="82"/>
      <c r="C1517" s="83"/>
      <c r="D1517" s="84"/>
      <c r="E1517" s="82"/>
      <c r="G1517" s="85"/>
      <c r="H1517" s="85"/>
      <c r="I1517" s="86"/>
      <c r="M1517" s="87"/>
      <c r="N1517" s="88"/>
    </row>
    <row r="1518" spans="1:14" ht="18.75" x14ac:dyDescent="0.25">
      <c r="A1518" s="82"/>
      <c r="B1518" s="82"/>
      <c r="C1518" s="83"/>
      <c r="D1518" s="84"/>
      <c r="E1518" s="82"/>
      <c r="G1518" s="85"/>
      <c r="H1518" s="85"/>
      <c r="I1518" s="86"/>
      <c r="M1518" s="87"/>
      <c r="N1518" s="88"/>
    </row>
    <row r="1519" spans="1:14" ht="18.75" x14ac:dyDescent="0.25">
      <c r="A1519" s="82"/>
      <c r="B1519" s="82"/>
      <c r="C1519" s="83"/>
      <c r="D1519" s="84"/>
      <c r="E1519" s="82"/>
      <c r="G1519" s="85"/>
      <c r="H1519" s="85"/>
      <c r="I1519" s="86"/>
      <c r="M1519" s="87"/>
      <c r="N1519" s="88"/>
    </row>
    <row r="1520" spans="1:14" ht="18.75" x14ac:dyDescent="0.25">
      <c r="A1520" s="82"/>
      <c r="B1520" s="82"/>
      <c r="C1520" s="83"/>
      <c r="D1520" s="84"/>
      <c r="E1520" s="82"/>
      <c r="G1520" s="85"/>
      <c r="H1520" s="85"/>
      <c r="I1520" s="86"/>
      <c r="M1520" s="87"/>
      <c r="N1520" s="88"/>
    </row>
    <row r="1521" spans="1:14" ht="18.75" x14ac:dyDescent="0.25">
      <c r="A1521" s="82"/>
      <c r="B1521" s="82"/>
      <c r="C1521" s="83"/>
      <c r="D1521" s="84"/>
      <c r="E1521" s="82"/>
      <c r="G1521" s="85"/>
      <c r="H1521" s="85"/>
      <c r="I1521" s="86"/>
      <c r="M1521" s="87"/>
      <c r="N1521" s="88"/>
    </row>
    <row r="1522" spans="1:14" ht="18.75" x14ac:dyDescent="0.25">
      <c r="A1522" s="82"/>
      <c r="B1522" s="82"/>
      <c r="C1522" s="83"/>
      <c r="D1522" s="84"/>
      <c r="E1522" s="82"/>
      <c r="G1522" s="85"/>
      <c r="H1522" s="85"/>
      <c r="I1522" s="86"/>
      <c r="M1522" s="87"/>
      <c r="N1522" s="88"/>
    </row>
    <row r="1523" spans="1:14" ht="18.75" x14ac:dyDescent="0.25">
      <c r="A1523" s="82"/>
      <c r="B1523" s="82"/>
      <c r="C1523" s="83"/>
      <c r="D1523" s="84"/>
      <c r="E1523" s="82"/>
      <c r="G1523" s="85"/>
      <c r="H1523" s="85"/>
      <c r="I1523" s="86"/>
      <c r="M1523" s="87"/>
      <c r="N1523" s="88"/>
    </row>
    <row r="1524" spans="1:14" ht="18.75" x14ac:dyDescent="0.25">
      <c r="A1524" s="82"/>
      <c r="B1524" s="82"/>
      <c r="C1524" s="83"/>
      <c r="D1524" s="84"/>
      <c r="E1524" s="82"/>
      <c r="G1524" s="85"/>
      <c r="H1524" s="85"/>
      <c r="I1524" s="86"/>
      <c r="M1524" s="87"/>
      <c r="N1524" s="88"/>
    </row>
    <row r="1525" spans="1:14" ht="18.75" x14ac:dyDescent="0.25">
      <c r="A1525" s="82"/>
      <c r="B1525" s="82"/>
      <c r="C1525" s="83"/>
      <c r="D1525" s="84"/>
      <c r="E1525" s="82"/>
      <c r="G1525" s="85"/>
      <c r="H1525" s="85"/>
      <c r="I1525" s="86"/>
      <c r="M1525" s="87"/>
      <c r="N1525" s="88"/>
    </row>
    <row r="1526" spans="1:14" ht="18.75" x14ac:dyDescent="0.25">
      <c r="A1526" s="82"/>
      <c r="B1526" s="82"/>
      <c r="C1526" s="83"/>
      <c r="D1526" s="84"/>
      <c r="E1526" s="82"/>
      <c r="G1526" s="85"/>
      <c r="H1526" s="85"/>
      <c r="I1526" s="86"/>
      <c r="M1526" s="87"/>
      <c r="N1526" s="88"/>
    </row>
    <row r="1527" spans="1:14" ht="18.75" x14ac:dyDescent="0.25">
      <c r="A1527" s="82"/>
      <c r="B1527" s="82"/>
      <c r="C1527" s="83"/>
      <c r="D1527" s="84"/>
      <c r="E1527" s="82"/>
      <c r="G1527" s="85"/>
      <c r="H1527" s="85"/>
      <c r="I1527" s="86"/>
      <c r="M1527" s="87"/>
      <c r="N1527" s="88"/>
    </row>
    <row r="1528" spans="1:14" ht="18.75" x14ac:dyDescent="0.25">
      <c r="A1528" s="82"/>
      <c r="B1528" s="82"/>
      <c r="C1528" s="83"/>
      <c r="D1528" s="84"/>
      <c r="E1528" s="82"/>
      <c r="G1528" s="85"/>
      <c r="H1528" s="85"/>
      <c r="I1528" s="86"/>
      <c r="M1528" s="87"/>
      <c r="N1528" s="88"/>
    </row>
    <row r="1529" spans="1:14" ht="18.75" x14ac:dyDescent="0.25">
      <c r="A1529" s="82"/>
      <c r="B1529" s="82"/>
      <c r="C1529" s="83"/>
      <c r="D1529" s="84"/>
      <c r="E1529" s="82"/>
      <c r="G1529" s="85"/>
      <c r="H1529" s="85"/>
      <c r="I1529" s="86"/>
      <c r="M1529" s="87"/>
      <c r="N1529" s="88"/>
    </row>
    <row r="1530" spans="1:14" ht="18.75" x14ac:dyDescent="0.25">
      <c r="A1530" s="82"/>
      <c r="B1530" s="82"/>
      <c r="C1530" s="83"/>
      <c r="D1530" s="84"/>
      <c r="E1530" s="82"/>
      <c r="G1530" s="85"/>
      <c r="H1530" s="85"/>
      <c r="I1530" s="86"/>
      <c r="M1530" s="87"/>
      <c r="N1530" s="88"/>
    </row>
    <row r="1531" spans="1:14" ht="18.75" x14ac:dyDescent="0.25">
      <c r="A1531" s="82"/>
      <c r="B1531" s="82"/>
      <c r="C1531" s="83"/>
      <c r="D1531" s="84"/>
      <c r="E1531" s="82"/>
      <c r="G1531" s="85"/>
      <c r="H1531" s="85"/>
      <c r="I1531" s="86"/>
      <c r="M1531" s="87"/>
      <c r="N1531" s="88"/>
    </row>
    <row r="1532" spans="1:14" ht="18.75" x14ac:dyDescent="0.25">
      <c r="A1532" s="82"/>
      <c r="B1532" s="82"/>
      <c r="C1532" s="83"/>
      <c r="D1532" s="84"/>
      <c r="E1532" s="82"/>
      <c r="G1532" s="85"/>
      <c r="H1532" s="85"/>
      <c r="I1532" s="86"/>
      <c r="M1532" s="87"/>
      <c r="N1532" s="88"/>
    </row>
    <row r="1533" spans="1:14" ht="18.75" x14ac:dyDescent="0.25">
      <c r="A1533" s="82"/>
      <c r="B1533" s="82"/>
      <c r="C1533" s="83"/>
      <c r="D1533" s="84"/>
      <c r="E1533" s="82"/>
      <c r="G1533" s="85"/>
      <c r="H1533" s="85"/>
      <c r="I1533" s="86"/>
      <c r="M1533" s="87"/>
      <c r="N1533" s="88"/>
    </row>
    <row r="1534" spans="1:14" ht="18.75" x14ac:dyDescent="0.25">
      <c r="A1534" s="82"/>
      <c r="B1534" s="82"/>
      <c r="C1534" s="83"/>
      <c r="D1534" s="84"/>
      <c r="E1534" s="82"/>
      <c r="G1534" s="85"/>
      <c r="H1534" s="85"/>
      <c r="I1534" s="86"/>
      <c r="M1534" s="87"/>
      <c r="N1534" s="88"/>
    </row>
    <row r="1535" spans="1:14" ht="18.75" x14ac:dyDescent="0.25">
      <c r="A1535" s="82"/>
      <c r="B1535" s="82"/>
      <c r="C1535" s="83"/>
      <c r="D1535" s="84"/>
      <c r="E1535" s="82"/>
      <c r="G1535" s="85"/>
      <c r="H1535" s="85"/>
      <c r="I1535" s="86"/>
      <c r="M1535" s="87"/>
      <c r="N1535" s="88"/>
    </row>
    <row r="1536" spans="1:14" ht="18.75" x14ac:dyDescent="0.25">
      <c r="A1536" s="82"/>
      <c r="B1536" s="82"/>
      <c r="C1536" s="83"/>
      <c r="D1536" s="84"/>
      <c r="E1536" s="82"/>
      <c r="G1536" s="85"/>
      <c r="H1536" s="85"/>
      <c r="I1536" s="86"/>
      <c r="M1536" s="87"/>
      <c r="N1536" s="88"/>
    </row>
    <row r="1537" spans="1:14" ht="18.75" x14ac:dyDescent="0.25">
      <c r="A1537" s="82"/>
      <c r="B1537" s="82"/>
      <c r="C1537" s="83"/>
      <c r="D1537" s="84"/>
      <c r="E1537" s="82"/>
      <c r="G1537" s="85"/>
      <c r="H1537" s="85"/>
      <c r="I1537" s="86"/>
      <c r="M1537" s="87"/>
      <c r="N1537" s="88"/>
    </row>
    <row r="1538" spans="1:14" ht="18.75" x14ac:dyDescent="0.25">
      <c r="A1538" s="82"/>
      <c r="B1538" s="82"/>
      <c r="C1538" s="83"/>
      <c r="D1538" s="84"/>
      <c r="E1538" s="82"/>
      <c r="G1538" s="85"/>
      <c r="H1538" s="85"/>
      <c r="I1538" s="86"/>
      <c r="M1538" s="87"/>
      <c r="N1538" s="88"/>
    </row>
    <row r="1539" spans="1:14" ht="18.75" x14ac:dyDescent="0.25">
      <c r="A1539" s="82"/>
      <c r="B1539" s="82"/>
      <c r="C1539" s="83"/>
      <c r="D1539" s="84"/>
      <c r="E1539" s="82"/>
      <c r="G1539" s="85"/>
      <c r="H1539" s="85"/>
      <c r="I1539" s="86"/>
      <c r="M1539" s="87"/>
      <c r="N1539" s="88"/>
    </row>
    <row r="1540" spans="1:14" ht="18.75" x14ac:dyDescent="0.25">
      <c r="A1540" s="82"/>
      <c r="B1540" s="82"/>
      <c r="C1540" s="83"/>
      <c r="D1540" s="84"/>
      <c r="E1540" s="82"/>
      <c r="G1540" s="85"/>
      <c r="H1540" s="85"/>
      <c r="I1540" s="86"/>
      <c r="M1540" s="87"/>
      <c r="N1540" s="88"/>
    </row>
    <row r="1541" spans="1:14" ht="18.75" x14ac:dyDescent="0.25">
      <c r="A1541" s="82"/>
      <c r="B1541" s="82"/>
      <c r="C1541" s="83"/>
      <c r="D1541" s="84"/>
      <c r="E1541" s="82"/>
      <c r="G1541" s="85"/>
      <c r="H1541" s="85"/>
      <c r="I1541" s="86"/>
      <c r="M1541" s="87"/>
      <c r="N1541" s="88"/>
    </row>
    <row r="1542" spans="1:14" ht="18.75" x14ac:dyDescent="0.25">
      <c r="A1542" s="82"/>
      <c r="B1542" s="82"/>
      <c r="C1542" s="83"/>
      <c r="D1542" s="84"/>
      <c r="E1542" s="82"/>
      <c r="G1542" s="85"/>
      <c r="H1542" s="85"/>
      <c r="I1542" s="86"/>
      <c r="M1542" s="87"/>
      <c r="N1542" s="88"/>
    </row>
    <row r="1543" spans="1:14" ht="18.75" x14ac:dyDescent="0.25">
      <c r="A1543" s="82"/>
      <c r="B1543" s="82"/>
      <c r="C1543" s="83"/>
      <c r="D1543" s="84"/>
      <c r="E1543" s="82"/>
      <c r="G1543" s="85"/>
      <c r="H1543" s="85"/>
      <c r="I1543" s="86"/>
      <c r="M1543" s="87"/>
      <c r="N1543" s="88"/>
    </row>
    <row r="1544" spans="1:14" ht="18.75" x14ac:dyDescent="0.25">
      <c r="A1544" s="82"/>
      <c r="B1544" s="82"/>
      <c r="C1544" s="83"/>
      <c r="D1544" s="84"/>
      <c r="E1544" s="82"/>
      <c r="G1544" s="85"/>
      <c r="H1544" s="85"/>
      <c r="I1544" s="86"/>
      <c r="M1544" s="87"/>
      <c r="N1544" s="88"/>
    </row>
    <row r="1545" spans="1:14" ht="18.75" x14ac:dyDescent="0.25">
      <c r="A1545" s="82"/>
      <c r="B1545" s="82"/>
      <c r="C1545" s="83"/>
      <c r="D1545" s="84"/>
      <c r="E1545" s="82"/>
      <c r="G1545" s="85"/>
      <c r="H1545" s="85"/>
      <c r="I1545" s="86"/>
      <c r="M1545" s="87"/>
      <c r="N1545" s="88"/>
    </row>
    <row r="1546" spans="1:14" ht="18.75" x14ac:dyDescent="0.25">
      <c r="A1546" s="82"/>
      <c r="B1546" s="82"/>
      <c r="C1546" s="83"/>
      <c r="D1546" s="84"/>
      <c r="E1546" s="82"/>
      <c r="G1546" s="85"/>
      <c r="H1546" s="85"/>
      <c r="I1546" s="86"/>
      <c r="M1546" s="87"/>
      <c r="N1546" s="88"/>
    </row>
    <row r="1547" spans="1:14" ht="18.75" x14ac:dyDescent="0.25">
      <c r="A1547" s="82"/>
      <c r="B1547" s="82"/>
      <c r="C1547" s="83"/>
      <c r="D1547" s="84"/>
      <c r="E1547" s="82"/>
      <c r="G1547" s="85"/>
      <c r="H1547" s="85"/>
      <c r="I1547" s="86"/>
      <c r="M1547" s="87"/>
      <c r="N1547" s="88"/>
    </row>
    <row r="1548" spans="1:14" ht="18.75" x14ac:dyDescent="0.25">
      <c r="A1548" s="82"/>
      <c r="B1548" s="82"/>
      <c r="C1548" s="83"/>
      <c r="D1548" s="84"/>
      <c r="E1548" s="82"/>
      <c r="G1548" s="85"/>
      <c r="H1548" s="85"/>
      <c r="I1548" s="86"/>
      <c r="M1548" s="87"/>
      <c r="N1548" s="88"/>
    </row>
    <row r="1549" spans="1:14" ht="18.75" x14ac:dyDescent="0.25">
      <c r="A1549" s="82"/>
      <c r="B1549" s="82"/>
      <c r="C1549" s="83"/>
      <c r="D1549" s="84"/>
      <c r="E1549" s="82"/>
      <c r="G1549" s="85"/>
      <c r="H1549" s="85"/>
      <c r="I1549" s="86"/>
      <c r="M1549" s="87"/>
      <c r="N1549" s="88"/>
    </row>
    <row r="1550" spans="1:14" ht="18.75" x14ac:dyDescent="0.25">
      <c r="A1550" s="82"/>
      <c r="B1550" s="82"/>
      <c r="C1550" s="83"/>
      <c r="D1550" s="84"/>
      <c r="E1550" s="82"/>
      <c r="G1550" s="85"/>
      <c r="H1550" s="85"/>
      <c r="I1550" s="86"/>
      <c r="M1550" s="87"/>
      <c r="N1550" s="88"/>
    </row>
    <row r="1551" spans="1:14" ht="18.75" x14ac:dyDescent="0.25">
      <c r="A1551" s="82"/>
      <c r="B1551" s="82"/>
      <c r="C1551" s="83"/>
      <c r="D1551" s="84"/>
      <c r="E1551" s="82"/>
      <c r="G1551" s="85"/>
      <c r="H1551" s="85"/>
      <c r="I1551" s="86"/>
      <c r="M1551" s="87"/>
      <c r="N1551" s="88"/>
    </row>
    <row r="1552" spans="1:14" ht="18.75" x14ac:dyDescent="0.25">
      <c r="A1552" s="82"/>
      <c r="B1552" s="82"/>
      <c r="C1552" s="83"/>
      <c r="D1552" s="84"/>
      <c r="E1552" s="82"/>
      <c r="G1552" s="85"/>
      <c r="H1552" s="85"/>
      <c r="I1552" s="86"/>
      <c r="M1552" s="87"/>
      <c r="N1552" s="88"/>
    </row>
    <row r="1553" spans="1:14" ht="18.75" x14ac:dyDescent="0.25">
      <c r="A1553" s="82"/>
      <c r="B1553" s="82"/>
      <c r="C1553" s="83"/>
      <c r="D1553" s="84"/>
      <c r="E1553" s="82"/>
      <c r="G1553" s="85"/>
      <c r="H1553" s="85"/>
      <c r="I1553" s="86"/>
      <c r="M1553" s="87"/>
      <c r="N1553" s="88"/>
    </row>
    <row r="1554" spans="1:14" ht="18.75" x14ac:dyDescent="0.25">
      <c r="A1554" s="82"/>
      <c r="B1554" s="82"/>
      <c r="C1554" s="83"/>
      <c r="D1554" s="84"/>
      <c r="E1554" s="82"/>
      <c r="G1554" s="85"/>
      <c r="H1554" s="85"/>
      <c r="I1554" s="86"/>
      <c r="M1554" s="87"/>
      <c r="N1554" s="88"/>
    </row>
    <row r="1555" spans="1:14" ht="18.75" x14ac:dyDescent="0.25">
      <c r="A1555" s="82"/>
      <c r="B1555" s="82"/>
      <c r="C1555" s="83"/>
      <c r="D1555" s="84"/>
      <c r="E1555" s="82"/>
      <c r="G1555" s="85"/>
      <c r="H1555" s="85"/>
      <c r="I1555" s="86"/>
      <c r="M1555" s="87"/>
      <c r="N1555" s="88"/>
    </row>
    <row r="1556" spans="1:14" ht="18.75" x14ac:dyDescent="0.25">
      <c r="A1556" s="82"/>
      <c r="B1556" s="82"/>
      <c r="C1556" s="83"/>
      <c r="D1556" s="84"/>
      <c r="E1556" s="82"/>
      <c r="G1556" s="85"/>
      <c r="H1556" s="85"/>
      <c r="I1556" s="86"/>
      <c r="M1556" s="87"/>
      <c r="N1556" s="88"/>
    </row>
    <row r="1557" spans="1:14" ht="18.75" x14ac:dyDescent="0.25">
      <c r="A1557" s="82"/>
      <c r="B1557" s="82"/>
      <c r="C1557" s="83"/>
      <c r="D1557" s="84"/>
      <c r="E1557" s="82"/>
      <c r="G1557" s="85"/>
      <c r="H1557" s="85"/>
      <c r="I1557" s="86"/>
      <c r="M1557" s="87"/>
      <c r="N1557" s="88"/>
    </row>
    <row r="1558" spans="1:14" ht="18.75" x14ac:dyDescent="0.25">
      <c r="A1558" s="82"/>
      <c r="B1558" s="82"/>
      <c r="C1558" s="83"/>
      <c r="D1558" s="84"/>
      <c r="E1558" s="82"/>
      <c r="G1558" s="85"/>
      <c r="H1558" s="85"/>
      <c r="I1558" s="86"/>
      <c r="M1558" s="87"/>
      <c r="N1558" s="88"/>
    </row>
    <row r="1559" spans="1:14" ht="18.75" x14ac:dyDescent="0.25">
      <c r="A1559" s="82"/>
      <c r="B1559" s="82"/>
      <c r="C1559" s="83"/>
      <c r="D1559" s="84"/>
      <c r="E1559" s="82"/>
      <c r="G1559" s="85"/>
      <c r="H1559" s="85"/>
      <c r="I1559" s="86"/>
      <c r="M1559" s="87"/>
      <c r="N1559" s="88"/>
    </row>
    <row r="1560" spans="1:14" ht="18.75" x14ac:dyDescent="0.25">
      <c r="A1560" s="82"/>
      <c r="B1560" s="82"/>
      <c r="C1560" s="83"/>
      <c r="D1560" s="84"/>
      <c r="E1560" s="82"/>
      <c r="G1560" s="85"/>
      <c r="H1560" s="85"/>
      <c r="I1560" s="86"/>
      <c r="M1560" s="87"/>
      <c r="N1560" s="88"/>
    </row>
    <row r="1561" spans="1:14" ht="18.75" x14ac:dyDescent="0.25">
      <c r="A1561" s="82"/>
      <c r="B1561" s="82"/>
      <c r="C1561" s="83"/>
      <c r="D1561" s="84"/>
      <c r="E1561" s="82"/>
      <c r="G1561" s="85"/>
      <c r="H1561" s="85"/>
      <c r="I1561" s="86"/>
      <c r="M1561" s="87"/>
      <c r="N1561" s="88"/>
    </row>
    <row r="1562" spans="1:14" ht="18.75" x14ac:dyDescent="0.25">
      <c r="A1562" s="82"/>
      <c r="B1562" s="82"/>
      <c r="C1562" s="83"/>
      <c r="D1562" s="84"/>
      <c r="E1562" s="82"/>
      <c r="G1562" s="85"/>
      <c r="H1562" s="85"/>
      <c r="I1562" s="86"/>
      <c r="M1562" s="87"/>
      <c r="N1562" s="88"/>
    </row>
    <row r="1563" spans="1:14" ht="18.75" x14ac:dyDescent="0.25">
      <c r="A1563" s="82"/>
      <c r="B1563" s="82"/>
      <c r="C1563" s="83"/>
      <c r="D1563" s="84"/>
      <c r="E1563" s="82"/>
      <c r="G1563" s="85"/>
      <c r="H1563" s="85"/>
      <c r="I1563" s="86"/>
      <c r="M1563" s="87"/>
      <c r="N1563" s="88"/>
    </row>
    <row r="1564" spans="1:14" ht="18.75" x14ac:dyDescent="0.25">
      <c r="A1564" s="82"/>
      <c r="B1564" s="82"/>
      <c r="C1564" s="83"/>
      <c r="D1564" s="84"/>
      <c r="E1564" s="82"/>
      <c r="G1564" s="85"/>
      <c r="H1564" s="85"/>
      <c r="I1564" s="86"/>
      <c r="M1564" s="87"/>
      <c r="N1564" s="88"/>
    </row>
    <row r="1565" spans="1:14" ht="18.75" x14ac:dyDescent="0.25">
      <c r="A1565" s="82"/>
      <c r="B1565" s="82"/>
      <c r="C1565" s="83"/>
      <c r="D1565" s="84"/>
      <c r="E1565" s="82"/>
      <c r="G1565" s="85"/>
      <c r="H1565" s="85"/>
      <c r="I1565" s="86"/>
      <c r="M1565" s="87"/>
      <c r="N1565" s="88"/>
    </row>
    <row r="1566" spans="1:14" ht="18.75" x14ac:dyDescent="0.25">
      <c r="A1566" s="82"/>
      <c r="B1566" s="82"/>
      <c r="C1566" s="83"/>
      <c r="D1566" s="84"/>
      <c r="E1566" s="82"/>
      <c r="G1566" s="85"/>
      <c r="H1566" s="85"/>
      <c r="I1566" s="86"/>
      <c r="M1566" s="87"/>
      <c r="N1566" s="88"/>
    </row>
    <row r="1567" spans="1:14" ht="18.75" x14ac:dyDescent="0.25">
      <c r="A1567" s="82"/>
      <c r="B1567" s="82"/>
      <c r="C1567" s="83"/>
      <c r="D1567" s="84"/>
      <c r="E1567" s="82"/>
      <c r="G1567" s="85"/>
      <c r="H1567" s="85"/>
      <c r="I1567" s="86"/>
      <c r="M1567" s="87"/>
      <c r="N1567" s="88"/>
    </row>
    <row r="1568" spans="1:14" ht="18.75" x14ac:dyDescent="0.25">
      <c r="A1568" s="82"/>
      <c r="B1568" s="82"/>
      <c r="C1568" s="83"/>
      <c r="D1568" s="84"/>
      <c r="E1568" s="82"/>
      <c r="G1568" s="85"/>
      <c r="H1568" s="85"/>
      <c r="I1568" s="86"/>
      <c r="M1568" s="87"/>
      <c r="N1568" s="88"/>
    </row>
    <row r="1569" spans="1:14" ht="18.75" x14ac:dyDescent="0.25">
      <c r="A1569" s="82"/>
      <c r="B1569" s="82"/>
      <c r="C1569" s="83"/>
      <c r="D1569" s="84"/>
      <c r="E1569" s="82"/>
      <c r="G1569" s="85"/>
      <c r="H1569" s="85"/>
      <c r="I1569" s="86"/>
      <c r="M1569" s="87"/>
      <c r="N1569" s="88"/>
    </row>
    <row r="1570" spans="1:14" ht="18.75" x14ac:dyDescent="0.25">
      <c r="A1570" s="82"/>
      <c r="B1570" s="82"/>
      <c r="C1570" s="83"/>
      <c r="D1570" s="84"/>
      <c r="E1570" s="82"/>
      <c r="G1570" s="85"/>
      <c r="H1570" s="85"/>
      <c r="I1570" s="86"/>
      <c r="M1570" s="87"/>
      <c r="N1570" s="88"/>
    </row>
    <row r="1571" spans="1:14" ht="18.75" x14ac:dyDescent="0.25">
      <c r="A1571" s="82"/>
      <c r="B1571" s="82"/>
      <c r="C1571" s="83"/>
      <c r="D1571" s="84"/>
      <c r="E1571" s="82"/>
      <c r="G1571" s="85"/>
      <c r="H1571" s="85"/>
      <c r="I1571" s="86"/>
      <c r="M1571" s="87"/>
      <c r="N1571" s="88"/>
    </row>
    <row r="1572" spans="1:14" ht="18.75" x14ac:dyDescent="0.25">
      <c r="A1572" s="82"/>
      <c r="B1572" s="82"/>
      <c r="C1572" s="83"/>
      <c r="D1572" s="84"/>
      <c r="E1572" s="82"/>
      <c r="G1572" s="85"/>
      <c r="H1572" s="85"/>
      <c r="I1572" s="86"/>
      <c r="M1572" s="87"/>
      <c r="N1572" s="88"/>
    </row>
    <row r="1573" spans="1:14" ht="18.75" x14ac:dyDescent="0.25">
      <c r="A1573" s="82"/>
      <c r="B1573" s="82"/>
      <c r="C1573" s="83"/>
      <c r="D1573" s="84"/>
      <c r="E1573" s="82"/>
      <c r="G1573" s="85"/>
      <c r="H1573" s="85"/>
      <c r="I1573" s="86"/>
      <c r="M1573" s="87"/>
      <c r="N1573" s="88"/>
    </row>
    <row r="1574" spans="1:14" ht="18.75" x14ac:dyDescent="0.25">
      <c r="A1574" s="82"/>
      <c r="B1574" s="82"/>
      <c r="C1574" s="83"/>
      <c r="D1574" s="84"/>
      <c r="E1574" s="82"/>
      <c r="G1574" s="85"/>
      <c r="H1574" s="85"/>
      <c r="I1574" s="86"/>
      <c r="M1574" s="87"/>
      <c r="N1574" s="88"/>
    </row>
    <row r="1575" spans="1:14" ht="18.75" x14ac:dyDescent="0.25">
      <c r="A1575" s="82"/>
      <c r="B1575" s="82"/>
      <c r="C1575" s="83"/>
      <c r="D1575" s="84"/>
      <c r="E1575" s="82"/>
      <c r="G1575" s="85"/>
      <c r="H1575" s="85"/>
      <c r="I1575" s="86"/>
      <c r="M1575" s="87"/>
      <c r="N1575" s="88"/>
    </row>
    <row r="1576" spans="1:14" ht="18.75" x14ac:dyDescent="0.25">
      <c r="A1576" s="82"/>
      <c r="B1576" s="82"/>
      <c r="C1576" s="83"/>
      <c r="D1576" s="84"/>
      <c r="E1576" s="82"/>
      <c r="G1576" s="85"/>
      <c r="H1576" s="85"/>
      <c r="I1576" s="86"/>
      <c r="M1576" s="87"/>
      <c r="N1576" s="88"/>
    </row>
    <row r="1577" spans="1:14" ht="18.75" x14ac:dyDescent="0.25">
      <c r="A1577" s="82"/>
      <c r="B1577" s="82"/>
      <c r="C1577" s="83"/>
      <c r="D1577" s="84"/>
      <c r="E1577" s="82"/>
      <c r="G1577" s="85"/>
      <c r="H1577" s="85"/>
      <c r="I1577" s="86"/>
      <c r="M1577" s="87"/>
      <c r="N1577" s="88"/>
    </row>
    <row r="1578" spans="1:14" ht="18.75" x14ac:dyDescent="0.25">
      <c r="A1578" s="82"/>
      <c r="B1578" s="82"/>
      <c r="C1578" s="83"/>
      <c r="D1578" s="84"/>
      <c r="E1578" s="82"/>
      <c r="G1578" s="85"/>
      <c r="H1578" s="85"/>
      <c r="I1578" s="86"/>
      <c r="M1578" s="87"/>
      <c r="N1578" s="88"/>
    </row>
    <row r="1579" spans="1:14" ht="18.75" x14ac:dyDescent="0.25">
      <c r="A1579" s="82"/>
      <c r="B1579" s="82"/>
      <c r="C1579" s="83"/>
      <c r="D1579" s="84"/>
      <c r="E1579" s="82"/>
      <c r="G1579" s="85"/>
      <c r="H1579" s="85"/>
      <c r="I1579" s="86"/>
      <c r="M1579" s="87"/>
      <c r="N1579" s="88"/>
    </row>
    <row r="1580" spans="1:14" ht="18.75" x14ac:dyDescent="0.25">
      <c r="A1580" s="82"/>
      <c r="B1580" s="82"/>
      <c r="C1580" s="83"/>
      <c r="D1580" s="84"/>
      <c r="E1580" s="82"/>
      <c r="G1580" s="85"/>
      <c r="H1580" s="85"/>
      <c r="I1580" s="86"/>
      <c r="M1580" s="87"/>
      <c r="N1580" s="88"/>
    </row>
    <row r="1581" spans="1:14" ht="18.75" x14ac:dyDescent="0.25">
      <c r="A1581" s="82"/>
      <c r="B1581" s="82"/>
      <c r="C1581" s="83"/>
      <c r="D1581" s="84"/>
      <c r="E1581" s="82"/>
      <c r="G1581" s="85"/>
      <c r="H1581" s="85"/>
      <c r="I1581" s="86"/>
      <c r="M1581" s="87"/>
      <c r="N1581" s="88"/>
    </row>
    <row r="1582" spans="1:14" ht="18.75" x14ac:dyDescent="0.25">
      <c r="A1582" s="82"/>
      <c r="B1582" s="82"/>
      <c r="C1582" s="83"/>
      <c r="D1582" s="84"/>
      <c r="E1582" s="82"/>
      <c r="G1582" s="85"/>
      <c r="H1582" s="85"/>
      <c r="I1582" s="86"/>
      <c r="M1582" s="87"/>
      <c r="N1582" s="88"/>
    </row>
    <row r="1583" spans="1:14" ht="18.75" x14ac:dyDescent="0.25">
      <c r="A1583" s="82"/>
      <c r="B1583" s="82"/>
      <c r="C1583" s="83"/>
      <c r="D1583" s="84"/>
      <c r="E1583" s="82"/>
      <c r="G1583" s="85"/>
      <c r="H1583" s="85"/>
      <c r="I1583" s="86"/>
      <c r="M1583" s="87"/>
      <c r="N1583" s="88"/>
    </row>
    <row r="1584" spans="1:14" ht="18.75" x14ac:dyDescent="0.25">
      <c r="A1584" s="82"/>
      <c r="B1584" s="82"/>
      <c r="C1584" s="83"/>
      <c r="D1584" s="84"/>
      <c r="E1584" s="82"/>
      <c r="G1584" s="85"/>
      <c r="H1584" s="85"/>
      <c r="I1584" s="86"/>
      <c r="M1584" s="87"/>
      <c r="N1584" s="88"/>
    </row>
    <row r="1585" spans="1:14" ht="18.75" x14ac:dyDescent="0.25">
      <c r="A1585" s="82"/>
      <c r="B1585" s="82"/>
      <c r="C1585" s="83"/>
      <c r="D1585" s="84"/>
      <c r="E1585" s="82"/>
      <c r="G1585" s="85"/>
      <c r="H1585" s="85"/>
      <c r="I1585" s="86"/>
      <c r="M1585" s="87"/>
      <c r="N1585" s="88"/>
    </row>
    <row r="1586" spans="1:14" ht="18.75" x14ac:dyDescent="0.25">
      <c r="A1586" s="82"/>
      <c r="B1586" s="82"/>
      <c r="C1586" s="83"/>
      <c r="D1586" s="84"/>
      <c r="E1586" s="82"/>
      <c r="G1586" s="85"/>
      <c r="H1586" s="85"/>
      <c r="I1586" s="86"/>
      <c r="M1586" s="87"/>
      <c r="N1586" s="88"/>
    </row>
    <row r="1587" spans="1:14" ht="18.75" x14ac:dyDescent="0.25">
      <c r="A1587" s="82"/>
      <c r="B1587" s="82"/>
      <c r="C1587" s="83"/>
      <c r="D1587" s="84"/>
      <c r="E1587" s="82"/>
      <c r="G1587" s="85"/>
      <c r="H1587" s="85"/>
      <c r="I1587" s="86"/>
      <c r="M1587" s="87"/>
      <c r="N1587" s="88"/>
    </row>
    <row r="1588" spans="1:14" ht="18.75" x14ac:dyDescent="0.25">
      <c r="A1588" s="82"/>
      <c r="B1588" s="82"/>
      <c r="C1588" s="83"/>
      <c r="D1588" s="84"/>
      <c r="E1588" s="82"/>
      <c r="G1588" s="85"/>
      <c r="H1588" s="85"/>
      <c r="I1588" s="86"/>
      <c r="M1588" s="87"/>
      <c r="N1588" s="88"/>
    </row>
    <row r="1589" spans="1:14" ht="18.75" x14ac:dyDescent="0.25">
      <c r="A1589" s="82"/>
      <c r="B1589" s="82"/>
      <c r="C1589" s="83"/>
      <c r="D1589" s="84"/>
      <c r="E1589" s="82"/>
      <c r="G1589" s="85"/>
      <c r="H1589" s="85"/>
      <c r="I1589" s="86"/>
      <c r="M1589" s="87"/>
      <c r="N1589" s="88"/>
    </row>
    <row r="1590" spans="1:14" ht="18.75" x14ac:dyDescent="0.25">
      <c r="A1590" s="82"/>
      <c r="B1590" s="82"/>
      <c r="C1590" s="83"/>
      <c r="D1590" s="84"/>
      <c r="E1590" s="82"/>
      <c r="G1590" s="85"/>
      <c r="H1590" s="85"/>
      <c r="I1590" s="86"/>
      <c r="M1590" s="87"/>
      <c r="N1590" s="88"/>
    </row>
    <row r="1591" spans="1:14" ht="18.75" x14ac:dyDescent="0.25">
      <c r="A1591" s="82"/>
      <c r="B1591" s="82"/>
      <c r="C1591" s="83"/>
      <c r="D1591" s="84"/>
      <c r="E1591" s="82"/>
      <c r="G1591" s="85"/>
      <c r="H1591" s="85"/>
      <c r="I1591" s="86"/>
      <c r="M1591" s="87"/>
      <c r="N1591" s="88"/>
    </row>
    <row r="1592" spans="1:14" ht="18.75" x14ac:dyDescent="0.25">
      <c r="A1592" s="82"/>
      <c r="B1592" s="82"/>
      <c r="C1592" s="83"/>
      <c r="D1592" s="84"/>
      <c r="E1592" s="82"/>
      <c r="G1592" s="85"/>
      <c r="H1592" s="85"/>
      <c r="I1592" s="86"/>
      <c r="M1592" s="87"/>
      <c r="N1592" s="88"/>
    </row>
    <row r="1593" spans="1:14" ht="18.75" x14ac:dyDescent="0.25">
      <c r="A1593" s="82"/>
      <c r="B1593" s="82"/>
      <c r="C1593" s="83"/>
      <c r="D1593" s="84"/>
      <c r="E1593" s="82"/>
      <c r="G1593" s="85"/>
      <c r="H1593" s="85"/>
      <c r="I1593" s="86"/>
      <c r="M1593" s="87"/>
      <c r="N1593" s="88"/>
    </row>
    <row r="1594" spans="1:14" ht="18.75" x14ac:dyDescent="0.25">
      <c r="A1594" s="82"/>
      <c r="B1594" s="82"/>
      <c r="C1594" s="83"/>
      <c r="D1594" s="84"/>
      <c r="E1594" s="82"/>
      <c r="G1594" s="85"/>
      <c r="H1594" s="85"/>
      <c r="I1594" s="86"/>
      <c r="M1594" s="87"/>
      <c r="N1594" s="88"/>
    </row>
    <row r="1595" spans="1:14" ht="18.75" x14ac:dyDescent="0.25">
      <c r="A1595" s="82"/>
      <c r="B1595" s="82"/>
      <c r="C1595" s="83"/>
      <c r="D1595" s="84"/>
      <c r="E1595" s="82"/>
      <c r="G1595" s="85"/>
      <c r="H1595" s="85"/>
      <c r="I1595" s="86"/>
      <c r="M1595" s="87"/>
      <c r="N1595" s="88"/>
    </row>
    <row r="1596" spans="1:14" ht="18.75" x14ac:dyDescent="0.25">
      <c r="A1596" s="82"/>
      <c r="B1596" s="82"/>
      <c r="C1596" s="83"/>
      <c r="D1596" s="84"/>
      <c r="E1596" s="82"/>
      <c r="G1596" s="85"/>
      <c r="H1596" s="85"/>
      <c r="I1596" s="86"/>
      <c r="M1596" s="87"/>
      <c r="N1596" s="88"/>
    </row>
    <row r="1597" spans="1:14" ht="18.75" x14ac:dyDescent="0.25">
      <c r="A1597" s="82"/>
      <c r="B1597" s="82"/>
      <c r="C1597" s="83"/>
      <c r="D1597" s="84"/>
      <c r="E1597" s="82"/>
      <c r="G1597" s="85"/>
      <c r="H1597" s="85"/>
      <c r="I1597" s="86"/>
      <c r="M1597" s="87"/>
      <c r="N1597" s="88"/>
    </row>
    <row r="1598" spans="1:14" ht="18.75" x14ac:dyDescent="0.25">
      <c r="A1598" s="82"/>
      <c r="B1598" s="82"/>
      <c r="C1598" s="83"/>
      <c r="D1598" s="84"/>
      <c r="E1598" s="82"/>
      <c r="G1598" s="85"/>
      <c r="H1598" s="85"/>
      <c r="I1598" s="86"/>
      <c r="M1598" s="87"/>
      <c r="N1598" s="88"/>
    </row>
    <row r="1599" spans="1:14" ht="18.75" x14ac:dyDescent="0.25">
      <c r="A1599" s="82"/>
      <c r="B1599" s="82"/>
      <c r="C1599" s="83"/>
      <c r="D1599" s="84"/>
      <c r="E1599" s="82"/>
      <c r="G1599" s="85"/>
      <c r="H1599" s="85"/>
      <c r="I1599" s="86"/>
      <c r="M1599" s="87"/>
      <c r="N1599" s="88"/>
    </row>
    <row r="1600" spans="1:14" ht="18.75" x14ac:dyDescent="0.25">
      <c r="A1600" s="82"/>
      <c r="B1600" s="82"/>
      <c r="C1600" s="83"/>
      <c r="D1600" s="84"/>
      <c r="E1600" s="82"/>
      <c r="G1600" s="85"/>
      <c r="H1600" s="85"/>
      <c r="I1600" s="86"/>
      <c r="M1600" s="87"/>
      <c r="N1600" s="88"/>
    </row>
    <row r="1601" spans="1:14" ht="18.75" x14ac:dyDescent="0.25">
      <c r="A1601" s="82"/>
      <c r="B1601" s="82"/>
      <c r="C1601" s="83"/>
      <c r="D1601" s="84"/>
      <c r="E1601" s="82"/>
      <c r="G1601" s="85"/>
      <c r="H1601" s="85"/>
      <c r="I1601" s="86"/>
      <c r="M1601" s="87"/>
      <c r="N1601" s="88"/>
    </row>
    <row r="1602" spans="1:14" ht="18.75" x14ac:dyDescent="0.25">
      <c r="A1602" s="82"/>
      <c r="B1602" s="82"/>
      <c r="C1602" s="83"/>
      <c r="D1602" s="84"/>
      <c r="E1602" s="82"/>
      <c r="G1602" s="85"/>
      <c r="H1602" s="85"/>
      <c r="I1602" s="86"/>
      <c r="M1602" s="87"/>
      <c r="N1602" s="88"/>
    </row>
    <row r="1603" spans="1:14" ht="18.75" x14ac:dyDescent="0.25">
      <c r="A1603" s="82"/>
      <c r="B1603" s="82"/>
      <c r="C1603" s="83"/>
      <c r="D1603" s="84"/>
      <c r="E1603" s="82"/>
      <c r="G1603" s="85"/>
      <c r="H1603" s="85"/>
      <c r="I1603" s="86"/>
      <c r="M1603" s="87"/>
      <c r="N1603" s="88"/>
    </row>
    <row r="1604" spans="1:14" ht="18.75" x14ac:dyDescent="0.25">
      <c r="A1604" s="82"/>
      <c r="B1604" s="82"/>
      <c r="C1604" s="83"/>
      <c r="D1604" s="84"/>
      <c r="E1604" s="82"/>
      <c r="G1604" s="85"/>
      <c r="H1604" s="85"/>
      <c r="I1604" s="86"/>
      <c r="M1604" s="87"/>
      <c r="N1604" s="88"/>
    </row>
    <row r="1605" spans="1:14" ht="18.75" x14ac:dyDescent="0.25">
      <c r="A1605" s="82"/>
      <c r="B1605" s="82"/>
      <c r="C1605" s="83"/>
      <c r="D1605" s="84"/>
      <c r="E1605" s="82"/>
      <c r="G1605" s="85"/>
      <c r="H1605" s="85"/>
      <c r="I1605" s="86"/>
      <c r="M1605" s="87"/>
      <c r="N1605" s="88"/>
    </row>
    <row r="1606" spans="1:14" ht="18.75" x14ac:dyDescent="0.25">
      <c r="A1606" s="82"/>
      <c r="B1606" s="82"/>
      <c r="C1606" s="83"/>
      <c r="D1606" s="84"/>
      <c r="E1606" s="82"/>
      <c r="G1606" s="85"/>
      <c r="H1606" s="85"/>
      <c r="I1606" s="86"/>
      <c r="M1606" s="87"/>
      <c r="N1606" s="88"/>
    </row>
    <row r="1607" spans="1:14" ht="18.75" x14ac:dyDescent="0.25">
      <c r="A1607" s="82"/>
      <c r="B1607" s="82"/>
      <c r="C1607" s="83"/>
      <c r="D1607" s="84"/>
      <c r="E1607" s="82"/>
      <c r="G1607" s="85"/>
      <c r="H1607" s="85"/>
      <c r="I1607" s="86"/>
      <c r="M1607" s="87"/>
      <c r="N1607" s="88"/>
    </row>
    <row r="1608" spans="1:14" ht="18.75" x14ac:dyDescent="0.25">
      <c r="A1608" s="82"/>
      <c r="B1608" s="82"/>
      <c r="C1608" s="83"/>
      <c r="D1608" s="84"/>
      <c r="E1608" s="82"/>
      <c r="G1608" s="85"/>
      <c r="H1608" s="85"/>
      <c r="I1608" s="86"/>
      <c r="M1608" s="87"/>
      <c r="N1608" s="88"/>
    </row>
    <row r="1609" spans="1:14" ht="18.75" x14ac:dyDescent="0.25">
      <c r="A1609" s="82"/>
      <c r="B1609" s="82"/>
      <c r="C1609" s="83"/>
      <c r="D1609" s="84"/>
      <c r="E1609" s="82"/>
      <c r="G1609" s="85"/>
      <c r="H1609" s="85"/>
      <c r="I1609" s="86"/>
      <c r="M1609" s="87"/>
      <c r="N1609" s="88"/>
    </row>
    <row r="1610" spans="1:14" ht="18.75" x14ac:dyDescent="0.25">
      <c r="A1610" s="82"/>
      <c r="B1610" s="82"/>
      <c r="C1610" s="83"/>
      <c r="D1610" s="84"/>
      <c r="E1610" s="82"/>
      <c r="G1610" s="85"/>
      <c r="H1610" s="85"/>
      <c r="I1610" s="86"/>
      <c r="M1610" s="87"/>
      <c r="N1610" s="88"/>
    </row>
    <row r="1611" spans="1:14" ht="18.75" x14ac:dyDescent="0.25">
      <c r="A1611" s="82"/>
      <c r="B1611" s="82"/>
      <c r="C1611" s="83"/>
      <c r="D1611" s="84"/>
      <c r="E1611" s="82"/>
      <c r="G1611" s="85"/>
      <c r="H1611" s="85"/>
      <c r="I1611" s="86"/>
      <c r="M1611" s="87"/>
      <c r="N1611" s="88"/>
    </row>
    <row r="1612" spans="1:14" ht="18.75" x14ac:dyDescent="0.25">
      <c r="A1612" s="82"/>
      <c r="B1612" s="82"/>
      <c r="C1612" s="83"/>
      <c r="D1612" s="84"/>
      <c r="E1612" s="82"/>
      <c r="G1612" s="85"/>
      <c r="H1612" s="85"/>
      <c r="I1612" s="86"/>
      <c r="M1612" s="87"/>
      <c r="N1612" s="88"/>
    </row>
    <row r="1613" spans="1:14" ht="18.75" x14ac:dyDescent="0.25">
      <c r="A1613" s="82"/>
      <c r="B1613" s="82"/>
      <c r="C1613" s="83"/>
      <c r="D1613" s="84"/>
      <c r="E1613" s="82"/>
      <c r="G1613" s="85"/>
      <c r="H1613" s="85"/>
      <c r="I1613" s="86"/>
      <c r="M1613" s="87"/>
      <c r="N1613" s="88"/>
    </row>
    <row r="1614" spans="1:14" ht="18.75" x14ac:dyDescent="0.25">
      <c r="A1614" s="82"/>
      <c r="B1614" s="82"/>
      <c r="C1614" s="83"/>
      <c r="D1614" s="84"/>
      <c r="E1614" s="82"/>
      <c r="G1614" s="85"/>
      <c r="H1614" s="85"/>
      <c r="I1614" s="86"/>
      <c r="M1614" s="87"/>
      <c r="N1614" s="88"/>
    </row>
    <row r="1615" spans="1:14" ht="18.75" x14ac:dyDescent="0.25">
      <c r="A1615" s="82"/>
      <c r="B1615" s="82"/>
      <c r="C1615" s="83"/>
      <c r="D1615" s="84"/>
      <c r="E1615" s="82"/>
      <c r="G1615" s="85"/>
      <c r="H1615" s="85"/>
      <c r="I1615" s="86"/>
      <c r="M1615" s="87"/>
      <c r="N1615" s="88"/>
    </row>
    <row r="1616" spans="1:14" ht="18.75" x14ac:dyDescent="0.25">
      <c r="A1616" s="82"/>
      <c r="B1616" s="82"/>
      <c r="C1616" s="83"/>
      <c r="D1616" s="84"/>
      <c r="E1616" s="82"/>
      <c r="G1616" s="85"/>
      <c r="H1616" s="85"/>
      <c r="I1616" s="86"/>
      <c r="M1616" s="87"/>
      <c r="N1616" s="88"/>
    </row>
    <row r="1617" spans="1:14" ht="18.75" x14ac:dyDescent="0.25">
      <c r="A1617" s="82"/>
      <c r="B1617" s="82"/>
      <c r="C1617" s="83"/>
      <c r="D1617" s="84"/>
      <c r="E1617" s="82"/>
      <c r="G1617" s="85"/>
      <c r="H1617" s="85"/>
      <c r="I1617" s="86"/>
      <c r="M1617" s="87"/>
      <c r="N1617" s="88"/>
    </row>
    <row r="1618" spans="1:14" ht="18.75" x14ac:dyDescent="0.25">
      <c r="A1618" s="82"/>
      <c r="B1618" s="82"/>
      <c r="C1618" s="83"/>
      <c r="D1618" s="84"/>
      <c r="E1618" s="82"/>
      <c r="G1618" s="85"/>
      <c r="H1618" s="85"/>
      <c r="I1618" s="86"/>
      <c r="M1618" s="87"/>
      <c r="N1618" s="88"/>
    </row>
    <row r="1619" spans="1:14" ht="18.75" x14ac:dyDescent="0.25">
      <c r="A1619" s="82"/>
      <c r="B1619" s="82"/>
      <c r="C1619" s="83"/>
      <c r="D1619" s="84"/>
      <c r="E1619" s="82"/>
      <c r="G1619" s="85"/>
      <c r="H1619" s="85"/>
      <c r="I1619" s="86"/>
      <c r="M1619" s="87"/>
      <c r="N1619" s="88"/>
    </row>
    <row r="1620" spans="1:14" ht="18.75" x14ac:dyDescent="0.25">
      <c r="A1620" s="82"/>
      <c r="B1620" s="82"/>
      <c r="C1620" s="83"/>
      <c r="D1620" s="84"/>
      <c r="E1620" s="82"/>
      <c r="G1620" s="85"/>
      <c r="H1620" s="85"/>
      <c r="I1620" s="86"/>
      <c r="M1620" s="87"/>
      <c r="N1620" s="88"/>
    </row>
    <row r="1621" spans="1:14" ht="18.75" x14ac:dyDescent="0.25">
      <c r="A1621" s="82"/>
      <c r="B1621" s="82"/>
      <c r="C1621" s="83"/>
      <c r="D1621" s="84"/>
      <c r="E1621" s="82"/>
      <c r="G1621" s="85"/>
      <c r="H1621" s="85"/>
      <c r="I1621" s="86"/>
      <c r="M1621" s="87"/>
      <c r="N1621" s="88"/>
    </row>
    <row r="1622" spans="1:14" ht="18.75" x14ac:dyDescent="0.25">
      <c r="A1622" s="82"/>
      <c r="B1622" s="82"/>
      <c r="C1622" s="83"/>
      <c r="D1622" s="84"/>
      <c r="E1622" s="82"/>
      <c r="G1622" s="85"/>
      <c r="H1622" s="85"/>
      <c r="I1622" s="86"/>
      <c r="M1622" s="87"/>
      <c r="N1622" s="88"/>
    </row>
    <row r="1623" spans="1:14" ht="18.75" x14ac:dyDescent="0.25">
      <c r="A1623" s="82"/>
      <c r="B1623" s="82"/>
      <c r="C1623" s="83"/>
      <c r="D1623" s="84"/>
      <c r="E1623" s="82"/>
      <c r="G1623" s="85"/>
      <c r="H1623" s="85"/>
      <c r="I1623" s="86"/>
      <c r="M1623" s="87"/>
      <c r="N1623" s="88"/>
    </row>
    <row r="1624" spans="1:14" ht="18.75" x14ac:dyDescent="0.25">
      <c r="A1624" s="82"/>
      <c r="B1624" s="82"/>
      <c r="C1624" s="83"/>
      <c r="D1624" s="84"/>
      <c r="E1624" s="82"/>
      <c r="G1624" s="85"/>
      <c r="H1624" s="85"/>
      <c r="I1624" s="86"/>
      <c r="M1624" s="87"/>
      <c r="N1624" s="88"/>
    </row>
    <row r="1625" spans="1:14" ht="18.75" x14ac:dyDescent="0.25">
      <c r="A1625" s="82"/>
      <c r="B1625" s="82"/>
      <c r="C1625" s="83"/>
      <c r="D1625" s="84"/>
      <c r="E1625" s="82"/>
      <c r="G1625" s="85"/>
      <c r="H1625" s="85"/>
      <c r="I1625" s="86"/>
      <c r="M1625" s="87"/>
      <c r="N1625" s="88"/>
    </row>
    <row r="1626" spans="1:14" ht="18.75" x14ac:dyDescent="0.25">
      <c r="A1626" s="82"/>
      <c r="B1626" s="82"/>
      <c r="C1626" s="83"/>
      <c r="D1626" s="84"/>
      <c r="E1626" s="82"/>
      <c r="G1626" s="85"/>
      <c r="H1626" s="85"/>
      <c r="I1626" s="86"/>
      <c r="M1626" s="87"/>
      <c r="N1626" s="88"/>
    </row>
    <row r="1627" spans="1:14" ht="18.75" x14ac:dyDescent="0.25">
      <c r="A1627" s="82"/>
      <c r="B1627" s="82"/>
      <c r="C1627" s="83"/>
      <c r="D1627" s="84"/>
      <c r="E1627" s="82"/>
      <c r="G1627" s="85"/>
      <c r="H1627" s="85"/>
      <c r="I1627" s="86"/>
      <c r="M1627" s="87"/>
      <c r="N1627" s="88"/>
    </row>
    <row r="1628" spans="1:14" ht="18.75" x14ac:dyDescent="0.25">
      <c r="A1628" s="82"/>
      <c r="B1628" s="82"/>
      <c r="C1628" s="83"/>
      <c r="D1628" s="84"/>
      <c r="E1628" s="82"/>
      <c r="G1628" s="85"/>
      <c r="H1628" s="85"/>
      <c r="I1628" s="86"/>
      <c r="M1628" s="87"/>
      <c r="N1628" s="88"/>
    </row>
    <row r="1629" spans="1:14" ht="18.75" x14ac:dyDescent="0.25">
      <c r="A1629" s="82"/>
      <c r="B1629" s="82"/>
      <c r="C1629" s="83"/>
      <c r="D1629" s="84"/>
      <c r="E1629" s="82"/>
      <c r="G1629" s="85"/>
      <c r="H1629" s="85"/>
      <c r="I1629" s="86"/>
      <c r="M1629" s="87"/>
      <c r="N1629" s="88"/>
    </row>
    <row r="1630" spans="1:14" ht="18.75" x14ac:dyDescent="0.25">
      <c r="A1630" s="82"/>
      <c r="B1630" s="82"/>
      <c r="C1630" s="83"/>
      <c r="D1630" s="84"/>
      <c r="E1630" s="82"/>
      <c r="G1630" s="85"/>
      <c r="H1630" s="85"/>
      <c r="I1630" s="86"/>
      <c r="M1630" s="87"/>
      <c r="N1630" s="88"/>
    </row>
    <row r="1631" spans="1:14" ht="18.75" x14ac:dyDescent="0.25">
      <c r="A1631" s="82"/>
      <c r="B1631" s="82"/>
      <c r="C1631" s="83"/>
      <c r="D1631" s="84"/>
      <c r="E1631" s="82"/>
      <c r="G1631" s="85"/>
      <c r="H1631" s="85"/>
      <c r="I1631" s="86"/>
      <c r="M1631" s="87"/>
      <c r="N1631" s="88"/>
    </row>
    <row r="1632" spans="1:14" ht="18.75" x14ac:dyDescent="0.25">
      <c r="A1632" s="82"/>
      <c r="B1632" s="82"/>
      <c r="C1632" s="83"/>
      <c r="D1632" s="84"/>
      <c r="E1632" s="82"/>
      <c r="G1632" s="85"/>
      <c r="H1632" s="85"/>
      <c r="I1632" s="86"/>
      <c r="M1632" s="87"/>
      <c r="N1632" s="88"/>
    </row>
    <row r="1633" spans="1:14" ht="18.75" x14ac:dyDescent="0.25">
      <c r="A1633" s="82"/>
      <c r="B1633" s="82"/>
      <c r="C1633" s="83"/>
      <c r="D1633" s="84"/>
      <c r="E1633" s="82"/>
      <c r="G1633" s="85"/>
      <c r="H1633" s="85"/>
      <c r="I1633" s="86"/>
      <c r="M1633" s="87"/>
      <c r="N1633" s="88"/>
    </row>
    <row r="1634" spans="1:14" ht="18.75" x14ac:dyDescent="0.25">
      <c r="A1634" s="82"/>
      <c r="B1634" s="82"/>
      <c r="C1634" s="83"/>
      <c r="D1634" s="84"/>
      <c r="E1634" s="82"/>
      <c r="G1634" s="85"/>
      <c r="H1634" s="85"/>
      <c r="I1634" s="86"/>
      <c r="M1634" s="87"/>
      <c r="N1634" s="88"/>
    </row>
    <row r="1635" spans="1:14" ht="18.75" x14ac:dyDescent="0.25">
      <c r="A1635" s="82"/>
      <c r="B1635" s="82"/>
      <c r="C1635" s="83"/>
      <c r="D1635" s="84"/>
      <c r="E1635" s="82"/>
      <c r="G1635" s="85"/>
      <c r="H1635" s="85"/>
      <c r="I1635" s="86"/>
      <c r="M1635" s="87"/>
      <c r="N1635" s="88"/>
    </row>
    <row r="1636" spans="1:14" ht="18.75" x14ac:dyDescent="0.25">
      <c r="A1636" s="82"/>
      <c r="B1636" s="82"/>
      <c r="C1636" s="83"/>
      <c r="D1636" s="84"/>
      <c r="E1636" s="82"/>
      <c r="G1636" s="85"/>
      <c r="H1636" s="85"/>
      <c r="I1636" s="86"/>
      <c r="M1636" s="87"/>
      <c r="N1636" s="88"/>
    </row>
    <row r="1637" spans="1:14" ht="18.75" x14ac:dyDescent="0.25">
      <c r="A1637" s="82"/>
      <c r="B1637" s="82"/>
      <c r="C1637" s="83"/>
      <c r="D1637" s="84"/>
      <c r="E1637" s="82"/>
      <c r="G1637" s="85"/>
      <c r="H1637" s="85"/>
      <c r="I1637" s="86"/>
      <c r="M1637" s="87"/>
      <c r="N1637" s="88"/>
    </row>
    <row r="1638" spans="1:14" ht="18.75" x14ac:dyDescent="0.25">
      <c r="A1638" s="82"/>
      <c r="B1638" s="82"/>
      <c r="C1638" s="83"/>
      <c r="D1638" s="84"/>
      <c r="E1638" s="82"/>
      <c r="G1638" s="85"/>
      <c r="H1638" s="85"/>
      <c r="I1638" s="86"/>
      <c r="M1638" s="87"/>
      <c r="N1638" s="88"/>
    </row>
    <row r="1639" spans="1:14" ht="18.75" x14ac:dyDescent="0.25">
      <c r="A1639" s="82"/>
      <c r="B1639" s="82"/>
      <c r="C1639" s="83"/>
      <c r="D1639" s="84"/>
      <c r="E1639" s="82"/>
      <c r="G1639" s="85"/>
      <c r="H1639" s="85"/>
      <c r="I1639" s="86"/>
      <c r="M1639" s="87"/>
      <c r="N1639" s="88"/>
    </row>
    <row r="1640" spans="1:14" ht="18.75" x14ac:dyDescent="0.25">
      <c r="A1640" s="82"/>
      <c r="B1640" s="82"/>
      <c r="C1640" s="83"/>
      <c r="D1640" s="84"/>
      <c r="E1640" s="82"/>
      <c r="G1640" s="85"/>
      <c r="H1640" s="85"/>
      <c r="I1640" s="86"/>
      <c r="M1640" s="87"/>
      <c r="N1640" s="88"/>
    </row>
    <row r="1641" spans="1:14" ht="18.75" x14ac:dyDescent="0.25">
      <c r="A1641" s="82"/>
      <c r="B1641" s="82"/>
      <c r="C1641" s="83"/>
      <c r="D1641" s="84"/>
      <c r="E1641" s="82"/>
      <c r="G1641" s="85"/>
      <c r="H1641" s="85"/>
      <c r="I1641" s="86"/>
      <c r="M1641" s="87"/>
      <c r="N1641" s="88"/>
    </row>
    <row r="1642" spans="1:14" ht="18.75" x14ac:dyDescent="0.25">
      <c r="A1642" s="82"/>
      <c r="B1642" s="82"/>
      <c r="C1642" s="83"/>
      <c r="D1642" s="84"/>
      <c r="E1642" s="82"/>
      <c r="G1642" s="85"/>
      <c r="H1642" s="85"/>
      <c r="I1642" s="86"/>
      <c r="M1642" s="87"/>
      <c r="N1642" s="88"/>
    </row>
    <row r="1643" spans="1:14" ht="18.75" x14ac:dyDescent="0.25">
      <c r="A1643" s="82"/>
      <c r="B1643" s="82"/>
      <c r="C1643" s="83"/>
      <c r="D1643" s="84"/>
      <c r="E1643" s="82"/>
      <c r="G1643" s="85"/>
      <c r="H1643" s="85"/>
      <c r="I1643" s="86"/>
      <c r="M1643" s="87"/>
      <c r="N1643" s="88"/>
    </row>
    <row r="1644" spans="1:14" ht="18.75" x14ac:dyDescent="0.25">
      <c r="A1644" s="82"/>
      <c r="B1644" s="82"/>
      <c r="C1644" s="83"/>
      <c r="D1644" s="84"/>
      <c r="E1644" s="82"/>
      <c r="G1644" s="85"/>
      <c r="H1644" s="85"/>
      <c r="I1644" s="86"/>
      <c r="M1644" s="87"/>
      <c r="N1644" s="88"/>
    </row>
    <row r="1645" spans="1:14" ht="18.75" x14ac:dyDescent="0.25">
      <c r="A1645" s="82"/>
      <c r="B1645" s="82"/>
      <c r="C1645" s="83"/>
      <c r="D1645" s="84"/>
      <c r="E1645" s="82"/>
      <c r="G1645" s="85"/>
      <c r="H1645" s="85"/>
      <c r="I1645" s="86"/>
      <c r="M1645" s="87"/>
      <c r="N1645" s="88"/>
    </row>
    <row r="1646" spans="1:14" ht="18.75" x14ac:dyDescent="0.25">
      <c r="A1646" s="82"/>
      <c r="B1646" s="82"/>
      <c r="C1646" s="83"/>
      <c r="D1646" s="84"/>
      <c r="E1646" s="82"/>
      <c r="G1646" s="85"/>
      <c r="H1646" s="85"/>
      <c r="I1646" s="86"/>
      <c r="M1646" s="87"/>
      <c r="N1646" s="88"/>
    </row>
    <row r="1647" spans="1:14" ht="18.75" x14ac:dyDescent="0.25">
      <c r="A1647" s="82"/>
      <c r="B1647" s="82"/>
      <c r="C1647" s="83"/>
      <c r="D1647" s="84"/>
      <c r="E1647" s="82"/>
      <c r="G1647" s="85"/>
      <c r="H1647" s="85"/>
      <c r="I1647" s="86"/>
      <c r="M1647" s="87"/>
      <c r="N1647" s="88"/>
    </row>
    <row r="1648" spans="1:14" ht="18.75" x14ac:dyDescent="0.25">
      <c r="A1648" s="82"/>
      <c r="B1648" s="82"/>
      <c r="C1648" s="83"/>
      <c r="D1648" s="84"/>
      <c r="E1648" s="82"/>
      <c r="G1648" s="85"/>
      <c r="H1648" s="85"/>
      <c r="I1648" s="86"/>
      <c r="M1648" s="87"/>
      <c r="N1648" s="88"/>
    </row>
    <row r="1649" spans="1:14" ht="18.75" x14ac:dyDescent="0.25">
      <c r="A1649" s="82"/>
      <c r="B1649" s="82"/>
      <c r="C1649" s="83"/>
      <c r="D1649" s="84"/>
      <c r="E1649" s="82"/>
      <c r="G1649" s="85"/>
      <c r="H1649" s="85"/>
      <c r="I1649" s="86"/>
      <c r="M1649" s="87"/>
      <c r="N1649" s="88"/>
    </row>
    <row r="1650" spans="1:14" ht="18.75" x14ac:dyDescent="0.25">
      <c r="A1650" s="82"/>
      <c r="B1650" s="82"/>
      <c r="C1650" s="83"/>
      <c r="D1650" s="84"/>
      <c r="E1650" s="82"/>
      <c r="G1650" s="85"/>
      <c r="H1650" s="85"/>
      <c r="I1650" s="86"/>
      <c r="M1650" s="87"/>
      <c r="N1650" s="88"/>
    </row>
    <row r="1651" spans="1:14" ht="18.75" x14ac:dyDescent="0.25">
      <c r="A1651" s="82"/>
      <c r="B1651" s="82"/>
      <c r="C1651" s="83"/>
      <c r="D1651" s="84"/>
      <c r="E1651" s="82"/>
      <c r="G1651" s="85"/>
      <c r="H1651" s="85"/>
      <c r="I1651" s="86"/>
      <c r="M1651" s="87"/>
      <c r="N1651" s="88"/>
    </row>
    <row r="1652" spans="1:14" ht="18.75" x14ac:dyDescent="0.25">
      <c r="A1652" s="82"/>
      <c r="B1652" s="82"/>
      <c r="C1652" s="83"/>
      <c r="D1652" s="84"/>
      <c r="E1652" s="82"/>
      <c r="G1652" s="85"/>
      <c r="H1652" s="85"/>
      <c r="I1652" s="86"/>
      <c r="M1652" s="87"/>
      <c r="N1652" s="88"/>
    </row>
    <row r="1653" spans="1:14" ht="18.75" x14ac:dyDescent="0.25">
      <c r="A1653" s="82"/>
      <c r="B1653" s="82"/>
      <c r="C1653" s="83"/>
      <c r="D1653" s="84"/>
      <c r="E1653" s="82"/>
      <c r="G1653" s="85"/>
      <c r="H1653" s="85"/>
      <c r="I1653" s="86"/>
      <c r="M1653" s="87"/>
      <c r="N1653" s="88"/>
    </row>
    <row r="1654" spans="1:14" ht="18.75" x14ac:dyDescent="0.25">
      <c r="A1654" s="82"/>
      <c r="B1654" s="82"/>
      <c r="C1654" s="83"/>
      <c r="D1654" s="84"/>
      <c r="E1654" s="82"/>
      <c r="G1654" s="85"/>
      <c r="H1654" s="85"/>
      <c r="I1654" s="86"/>
      <c r="M1654" s="87"/>
      <c r="N1654" s="88"/>
    </row>
    <row r="1655" spans="1:14" ht="18.75" x14ac:dyDescent="0.25">
      <c r="A1655" s="82"/>
      <c r="B1655" s="82"/>
      <c r="C1655" s="83"/>
      <c r="D1655" s="84"/>
      <c r="E1655" s="82"/>
      <c r="G1655" s="85"/>
      <c r="H1655" s="85"/>
      <c r="I1655" s="86"/>
      <c r="M1655" s="87"/>
      <c r="N1655" s="88"/>
    </row>
    <row r="1656" spans="1:14" ht="18.75" x14ac:dyDescent="0.25">
      <c r="A1656" s="82"/>
      <c r="B1656" s="82"/>
      <c r="C1656" s="83"/>
      <c r="D1656" s="84"/>
      <c r="E1656" s="82"/>
      <c r="G1656" s="85"/>
      <c r="H1656" s="85"/>
      <c r="I1656" s="86"/>
      <c r="M1656" s="87"/>
      <c r="N1656" s="88"/>
    </row>
    <row r="1657" spans="1:14" ht="18.75" x14ac:dyDescent="0.25">
      <c r="A1657" s="82"/>
      <c r="B1657" s="82"/>
      <c r="C1657" s="83"/>
      <c r="D1657" s="84"/>
      <c r="E1657" s="82"/>
      <c r="G1657" s="85"/>
      <c r="H1657" s="85"/>
      <c r="I1657" s="86"/>
      <c r="M1657" s="87"/>
      <c r="N1657" s="88"/>
    </row>
    <row r="1658" spans="1:14" ht="18.75" x14ac:dyDescent="0.25">
      <c r="A1658" s="82"/>
      <c r="B1658" s="82"/>
      <c r="C1658" s="83"/>
      <c r="D1658" s="84"/>
      <c r="E1658" s="82"/>
      <c r="G1658" s="85"/>
      <c r="H1658" s="85"/>
      <c r="I1658" s="86"/>
      <c r="M1658" s="87"/>
      <c r="N1658" s="88"/>
    </row>
    <row r="1659" spans="1:14" ht="18.75" x14ac:dyDescent="0.25">
      <c r="A1659" s="82"/>
      <c r="B1659" s="82"/>
      <c r="C1659" s="83"/>
      <c r="D1659" s="84"/>
      <c r="E1659" s="82"/>
      <c r="G1659" s="85"/>
      <c r="H1659" s="85"/>
      <c r="I1659" s="86"/>
      <c r="M1659" s="87"/>
      <c r="N1659" s="88"/>
    </row>
    <row r="1660" spans="1:14" ht="18.75" x14ac:dyDescent="0.25">
      <c r="A1660" s="82"/>
      <c r="B1660" s="82"/>
      <c r="C1660" s="83"/>
      <c r="D1660" s="84"/>
      <c r="E1660" s="82"/>
      <c r="G1660" s="85"/>
      <c r="H1660" s="85"/>
      <c r="I1660" s="86"/>
      <c r="M1660" s="87"/>
      <c r="N1660" s="88"/>
    </row>
    <row r="1661" spans="1:14" ht="18.75" x14ac:dyDescent="0.25">
      <c r="A1661" s="82"/>
      <c r="B1661" s="82"/>
      <c r="C1661" s="83"/>
      <c r="D1661" s="84"/>
      <c r="E1661" s="82"/>
      <c r="G1661" s="85"/>
      <c r="H1661" s="85"/>
      <c r="I1661" s="86"/>
      <c r="M1661" s="87"/>
      <c r="N1661" s="88"/>
    </row>
    <row r="1662" spans="1:14" ht="18.75" x14ac:dyDescent="0.25">
      <c r="A1662" s="82"/>
      <c r="B1662" s="82"/>
      <c r="C1662" s="83"/>
      <c r="D1662" s="84"/>
      <c r="E1662" s="82"/>
      <c r="G1662" s="85"/>
      <c r="H1662" s="85"/>
      <c r="I1662" s="86"/>
      <c r="M1662" s="87"/>
      <c r="N1662" s="88"/>
    </row>
    <row r="1663" spans="1:14" ht="18.75" x14ac:dyDescent="0.25">
      <c r="A1663" s="82"/>
      <c r="B1663" s="82"/>
      <c r="C1663" s="83"/>
      <c r="D1663" s="84"/>
      <c r="E1663" s="82"/>
      <c r="G1663" s="85"/>
      <c r="H1663" s="85"/>
      <c r="I1663" s="86"/>
      <c r="M1663" s="87"/>
      <c r="N1663" s="88"/>
    </row>
    <row r="1664" spans="1:14" ht="18.75" x14ac:dyDescent="0.25">
      <c r="A1664" s="82"/>
      <c r="B1664" s="82"/>
      <c r="C1664" s="83"/>
      <c r="D1664" s="84"/>
      <c r="E1664" s="82"/>
      <c r="G1664" s="85"/>
      <c r="H1664" s="85"/>
      <c r="I1664" s="86"/>
      <c r="M1664" s="87"/>
      <c r="N1664" s="88"/>
    </row>
    <row r="1665" spans="1:14" ht="18.75" x14ac:dyDescent="0.25">
      <c r="A1665" s="82"/>
      <c r="B1665" s="82"/>
      <c r="C1665" s="83"/>
      <c r="D1665" s="84"/>
      <c r="E1665" s="82"/>
      <c r="G1665" s="85"/>
      <c r="H1665" s="85"/>
      <c r="I1665" s="86"/>
      <c r="M1665" s="87"/>
      <c r="N1665" s="88"/>
    </row>
    <row r="1666" spans="1:14" ht="18.75" x14ac:dyDescent="0.25">
      <c r="A1666" s="82"/>
      <c r="B1666" s="82"/>
      <c r="C1666" s="83"/>
      <c r="D1666" s="84"/>
      <c r="E1666" s="82"/>
      <c r="G1666" s="85"/>
      <c r="H1666" s="85"/>
      <c r="I1666" s="86"/>
      <c r="M1666" s="87"/>
      <c r="N1666" s="88"/>
    </row>
    <row r="1667" spans="1:14" ht="18.75" x14ac:dyDescent="0.25">
      <c r="A1667" s="82"/>
      <c r="B1667" s="82"/>
      <c r="C1667" s="83"/>
      <c r="D1667" s="84"/>
      <c r="E1667" s="82"/>
      <c r="G1667" s="85"/>
      <c r="H1667" s="85"/>
      <c r="I1667" s="86"/>
      <c r="M1667" s="87"/>
      <c r="N1667" s="88"/>
    </row>
    <row r="1668" spans="1:14" ht="18.75" x14ac:dyDescent="0.25">
      <c r="A1668" s="82"/>
      <c r="B1668" s="82"/>
      <c r="C1668" s="83"/>
      <c r="D1668" s="84"/>
      <c r="E1668" s="82"/>
      <c r="G1668" s="85"/>
      <c r="H1668" s="85"/>
      <c r="I1668" s="86"/>
      <c r="M1668" s="87"/>
      <c r="N1668" s="88"/>
    </row>
    <row r="1669" spans="1:14" ht="18.75" x14ac:dyDescent="0.25">
      <c r="A1669" s="82"/>
      <c r="B1669" s="82"/>
      <c r="C1669" s="83"/>
      <c r="D1669" s="84"/>
      <c r="E1669" s="82"/>
      <c r="G1669" s="85"/>
      <c r="H1669" s="85"/>
      <c r="I1669" s="86"/>
      <c r="M1669" s="87"/>
      <c r="N1669" s="88"/>
    </row>
    <row r="1670" spans="1:14" ht="18.75" x14ac:dyDescent="0.25">
      <c r="A1670" s="82"/>
      <c r="B1670" s="82"/>
      <c r="C1670" s="83"/>
      <c r="D1670" s="84"/>
      <c r="E1670" s="82"/>
      <c r="G1670" s="85"/>
      <c r="H1670" s="85"/>
      <c r="I1670" s="86"/>
      <c r="M1670" s="87"/>
      <c r="N1670" s="88"/>
    </row>
    <row r="1671" spans="1:14" ht="18.75" x14ac:dyDescent="0.25">
      <c r="A1671" s="82"/>
      <c r="B1671" s="82"/>
      <c r="C1671" s="83"/>
      <c r="D1671" s="84"/>
      <c r="E1671" s="82"/>
      <c r="G1671" s="85"/>
      <c r="H1671" s="85"/>
      <c r="I1671" s="86"/>
      <c r="M1671" s="87"/>
      <c r="N1671" s="88"/>
    </row>
    <row r="1672" spans="1:14" ht="18.75" x14ac:dyDescent="0.25">
      <c r="A1672" s="82"/>
      <c r="B1672" s="82"/>
      <c r="C1672" s="83"/>
      <c r="D1672" s="84"/>
      <c r="E1672" s="82"/>
      <c r="G1672" s="85"/>
      <c r="H1672" s="85"/>
      <c r="I1672" s="86"/>
      <c r="M1672" s="87"/>
      <c r="N1672" s="88"/>
    </row>
    <row r="1673" spans="1:14" ht="18.75" x14ac:dyDescent="0.25">
      <c r="A1673" s="82"/>
      <c r="B1673" s="82"/>
      <c r="C1673" s="83"/>
      <c r="D1673" s="84"/>
      <c r="E1673" s="82"/>
      <c r="G1673" s="85"/>
      <c r="H1673" s="85"/>
      <c r="I1673" s="86"/>
      <c r="M1673" s="87"/>
      <c r="N1673" s="88"/>
    </row>
    <row r="1674" spans="1:14" ht="18.75" x14ac:dyDescent="0.25">
      <c r="A1674" s="82"/>
      <c r="B1674" s="82"/>
      <c r="C1674" s="83"/>
      <c r="D1674" s="84"/>
      <c r="E1674" s="82"/>
      <c r="G1674" s="85"/>
      <c r="H1674" s="85"/>
      <c r="I1674" s="86"/>
      <c r="M1674" s="87"/>
      <c r="N1674" s="88"/>
    </row>
    <row r="1675" spans="1:14" ht="18.75" x14ac:dyDescent="0.25">
      <c r="A1675" s="82"/>
      <c r="B1675" s="82"/>
      <c r="C1675" s="83"/>
      <c r="D1675" s="84"/>
      <c r="E1675" s="82"/>
      <c r="G1675" s="85"/>
      <c r="H1675" s="85"/>
      <c r="I1675" s="86"/>
      <c r="M1675" s="87"/>
      <c r="N1675" s="88"/>
    </row>
    <row r="1676" spans="1:14" ht="18.75" x14ac:dyDescent="0.25">
      <c r="A1676" s="82"/>
      <c r="B1676" s="82"/>
      <c r="C1676" s="83"/>
      <c r="D1676" s="84"/>
      <c r="E1676" s="82"/>
      <c r="G1676" s="85"/>
      <c r="H1676" s="85"/>
      <c r="I1676" s="86"/>
      <c r="M1676" s="87"/>
      <c r="N1676" s="88"/>
    </row>
    <row r="1677" spans="1:14" ht="18.75" x14ac:dyDescent="0.25">
      <c r="A1677" s="82"/>
      <c r="B1677" s="82"/>
      <c r="C1677" s="83"/>
      <c r="D1677" s="84"/>
      <c r="E1677" s="82"/>
      <c r="G1677" s="85"/>
      <c r="H1677" s="85"/>
      <c r="I1677" s="86"/>
      <c r="M1677" s="87"/>
      <c r="N1677" s="88"/>
    </row>
    <row r="1678" spans="1:14" ht="18.75" x14ac:dyDescent="0.25">
      <c r="A1678" s="82"/>
      <c r="B1678" s="82"/>
      <c r="C1678" s="83"/>
      <c r="D1678" s="84"/>
      <c r="E1678" s="82"/>
      <c r="G1678" s="85"/>
      <c r="H1678" s="85"/>
      <c r="I1678" s="86"/>
      <c r="M1678" s="87"/>
      <c r="N1678" s="88"/>
    </row>
    <row r="1679" spans="1:14" ht="18.75" x14ac:dyDescent="0.25">
      <c r="A1679" s="82"/>
      <c r="B1679" s="82"/>
      <c r="C1679" s="83"/>
      <c r="D1679" s="84"/>
      <c r="E1679" s="82"/>
      <c r="G1679" s="85"/>
      <c r="H1679" s="85"/>
      <c r="I1679" s="86"/>
      <c r="M1679" s="87"/>
      <c r="N1679" s="88"/>
    </row>
    <row r="1680" spans="1:14" ht="18.75" x14ac:dyDescent="0.25">
      <c r="A1680" s="82"/>
      <c r="B1680" s="82"/>
      <c r="C1680" s="83"/>
      <c r="D1680" s="84"/>
      <c r="E1680" s="82"/>
      <c r="G1680" s="85"/>
      <c r="H1680" s="85"/>
      <c r="I1680" s="86"/>
      <c r="M1680" s="87"/>
      <c r="N1680" s="88"/>
    </row>
    <row r="1681" spans="1:14" ht="18.75" x14ac:dyDescent="0.25">
      <c r="A1681" s="82"/>
      <c r="B1681" s="82"/>
      <c r="C1681" s="83"/>
      <c r="D1681" s="84"/>
      <c r="E1681" s="82"/>
      <c r="G1681" s="85"/>
      <c r="H1681" s="85"/>
      <c r="I1681" s="86"/>
      <c r="M1681" s="87"/>
      <c r="N1681" s="88"/>
    </row>
    <row r="1682" spans="1:14" ht="18.75" x14ac:dyDescent="0.25">
      <c r="A1682" s="82"/>
      <c r="B1682" s="82"/>
      <c r="C1682" s="83"/>
      <c r="D1682" s="84"/>
      <c r="E1682" s="82"/>
      <c r="G1682" s="85"/>
      <c r="H1682" s="85"/>
      <c r="I1682" s="86"/>
      <c r="M1682" s="87"/>
      <c r="N1682" s="88"/>
    </row>
    <row r="1683" spans="1:14" ht="18.75" x14ac:dyDescent="0.25">
      <c r="A1683" s="82"/>
      <c r="B1683" s="82"/>
      <c r="C1683" s="83"/>
      <c r="D1683" s="84"/>
      <c r="E1683" s="82"/>
      <c r="G1683" s="85"/>
      <c r="H1683" s="85"/>
      <c r="I1683" s="86"/>
      <c r="M1683" s="87"/>
      <c r="N1683" s="88"/>
    </row>
    <row r="1684" spans="1:14" ht="18.75" x14ac:dyDescent="0.25">
      <c r="A1684" s="82"/>
      <c r="B1684" s="82"/>
      <c r="C1684" s="83"/>
      <c r="D1684" s="84"/>
      <c r="E1684" s="82"/>
      <c r="G1684" s="85"/>
      <c r="H1684" s="85"/>
      <c r="I1684" s="86"/>
      <c r="M1684" s="87"/>
      <c r="N1684" s="88"/>
    </row>
    <row r="1685" spans="1:14" ht="18.75" x14ac:dyDescent="0.25">
      <c r="A1685" s="82"/>
      <c r="B1685" s="82"/>
      <c r="C1685" s="83"/>
      <c r="D1685" s="84"/>
      <c r="E1685" s="82"/>
      <c r="G1685" s="85"/>
      <c r="H1685" s="85"/>
      <c r="I1685" s="86"/>
      <c r="M1685" s="87"/>
      <c r="N1685" s="88"/>
    </row>
    <row r="1686" spans="1:14" ht="18.75" x14ac:dyDescent="0.25">
      <c r="A1686" s="82"/>
      <c r="B1686" s="82"/>
      <c r="C1686" s="83"/>
      <c r="D1686" s="84"/>
      <c r="E1686" s="82"/>
      <c r="G1686" s="85"/>
      <c r="H1686" s="85"/>
      <c r="I1686" s="86"/>
      <c r="M1686" s="87"/>
      <c r="N1686" s="88"/>
    </row>
    <row r="1687" spans="1:14" ht="18.75" x14ac:dyDescent="0.25">
      <c r="A1687" s="82"/>
      <c r="B1687" s="82"/>
      <c r="C1687" s="83"/>
      <c r="D1687" s="84"/>
      <c r="E1687" s="82"/>
      <c r="G1687" s="85"/>
      <c r="H1687" s="85"/>
      <c r="I1687" s="86"/>
      <c r="M1687" s="87"/>
      <c r="N1687" s="88"/>
    </row>
    <row r="1688" spans="1:14" ht="18.75" x14ac:dyDescent="0.25">
      <c r="A1688" s="82"/>
      <c r="B1688" s="82"/>
      <c r="C1688" s="83"/>
      <c r="D1688" s="84"/>
      <c r="E1688" s="82"/>
      <c r="G1688" s="85"/>
      <c r="H1688" s="85"/>
      <c r="I1688" s="86"/>
      <c r="M1688" s="87"/>
      <c r="N1688" s="88"/>
    </row>
    <row r="1689" spans="1:14" ht="18.75" x14ac:dyDescent="0.25">
      <c r="A1689" s="82"/>
      <c r="B1689" s="82"/>
      <c r="C1689" s="83"/>
      <c r="D1689" s="84"/>
      <c r="E1689" s="82"/>
      <c r="G1689" s="85"/>
      <c r="H1689" s="85"/>
      <c r="I1689" s="86"/>
      <c r="M1689" s="87"/>
      <c r="N1689" s="88"/>
    </row>
    <row r="1690" spans="1:14" ht="18.75" x14ac:dyDescent="0.25">
      <c r="A1690" s="82"/>
      <c r="B1690" s="82"/>
      <c r="C1690" s="83"/>
      <c r="D1690" s="84"/>
      <c r="E1690" s="82"/>
      <c r="G1690" s="85"/>
      <c r="H1690" s="85"/>
      <c r="I1690" s="86"/>
      <c r="M1690" s="87"/>
      <c r="N1690" s="88"/>
    </row>
    <row r="1691" spans="1:14" ht="18.75" x14ac:dyDescent="0.25">
      <c r="A1691" s="82"/>
      <c r="B1691" s="82"/>
      <c r="C1691" s="83"/>
      <c r="D1691" s="84"/>
      <c r="E1691" s="82"/>
      <c r="G1691" s="85"/>
      <c r="H1691" s="85"/>
      <c r="I1691" s="86"/>
      <c r="M1691" s="87"/>
      <c r="N1691" s="88"/>
    </row>
    <row r="1692" spans="1:14" ht="18.75" x14ac:dyDescent="0.25">
      <c r="A1692" s="82"/>
      <c r="B1692" s="82"/>
      <c r="C1692" s="83"/>
      <c r="D1692" s="84"/>
      <c r="E1692" s="82"/>
      <c r="G1692" s="85"/>
      <c r="H1692" s="85"/>
      <c r="I1692" s="86"/>
      <c r="M1692" s="87"/>
      <c r="N1692" s="88"/>
    </row>
    <row r="1693" spans="1:14" ht="18.75" x14ac:dyDescent="0.25">
      <c r="A1693" s="82"/>
      <c r="B1693" s="82"/>
      <c r="C1693" s="83"/>
      <c r="D1693" s="84"/>
      <c r="E1693" s="82"/>
      <c r="G1693" s="85"/>
      <c r="H1693" s="85"/>
      <c r="I1693" s="86"/>
      <c r="M1693" s="87"/>
      <c r="N1693" s="88"/>
    </row>
    <row r="1694" spans="1:14" ht="18.75" x14ac:dyDescent="0.25">
      <c r="A1694" s="82"/>
      <c r="B1694" s="82"/>
      <c r="C1694" s="83"/>
      <c r="D1694" s="84"/>
      <c r="E1694" s="82"/>
      <c r="G1694" s="85"/>
      <c r="H1694" s="85"/>
      <c r="I1694" s="86"/>
      <c r="M1694" s="87"/>
      <c r="N1694" s="88"/>
    </row>
    <row r="1695" spans="1:14" ht="18.75" x14ac:dyDescent="0.25">
      <c r="A1695" s="82"/>
      <c r="B1695" s="82"/>
      <c r="C1695" s="83"/>
      <c r="D1695" s="84"/>
      <c r="E1695" s="82"/>
      <c r="G1695" s="85"/>
      <c r="H1695" s="85"/>
      <c r="I1695" s="86"/>
      <c r="M1695" s="87"/>
      <c r="N1695" s="88"/>
    </row>
    <row r="1696" spans="1:14" ht="18.75" x14ac:dyDescent="0.25">
      <c r="A1696" s="82"/>
      <c r="B1696" s="82"/>
      <c r="C1696" s="83"/>
      <c r="D1696" s="84"/>
      <c r="E1696" s="82"/>
      <c r="G1696" s="85"/>
      <c r="H1696" s="85"/>
      <c r="I1696" s="86"/>
      <c r="M1696" s="87"/>
      <c r="N1696" s="88"/>
    </row>
    <row r="1697" spans="1:14" ht="18.75" x14ac:dyDescent="0.25">
      <c r="A1697" s="82"/>
      <c r="B1697" s="82"/>
      <c r="C1697" s="83"/>
      <c r="D1697" s="84"/>
      <c r="E1697" s="82"/>
      <c r="G1697" s="85"/>
      <c r="H1697" s="85"/>
      <c r="I1697" s="86"/>
      <c r="M1697" s="87"/>
      <c r="N1697" s="88"/>
    </row>
    <row r="1698" spans="1:14" ht="18.75" x14ac:dyDescent="0.25">
      <c r="A1698" s="82"/>
      <c r="B1698" s="82"/>
      <c r="C1698" s="83"/>
      <c r="D1698" s="84"/>
      <c r="E1698" s="82"/>
      <c r="G1698" s="85"/>
      <c r="H1698" s="85"/>
      <c r="I1698" s="86"/>
      <c r="M1698" s="87"/>
      <c r="N1698" s="88"/>
    </row>
    <row r="1699" spans="1:14" ht="18.75" x14ac:dyDescent="0.25">
      <c r="A1699" s="82"/>
      <c r="B1699" s="82"/>
      <c r="C1699" s="83"/>
      <c r="D1699" s="84"/>
      <c r="E1699" s="82"/>
      <c r="G1699" s="85"/>
      <c r="H1699" s="85"/>
      <c r="I1699" s="86"/>
      <c r="M1699" s="87"/>
      <c r="N1699" s="88"/>
    </row>
    <row r="1700" spans="1:14" ht="18.75" x14ac:dyDescent="0.25">
      <c r="A1700" s="82"/>
      <c r="B1700" s="82"/>
      <c r="C1700" s="83"/>
      <c r="D1700" s="84"/>
      <c r="E1700" s="82"/>
      <c r="G1700" s="85"/>
      <c r="H1700" s="85"/>
      <c r="I1700" s="86"/>
      <c r="M1700" s="87"/>
      <c r="N1700" s="88"/>
    </row>
  </sheetData>
  <autoFilter ref="A1:N1" xr:uid="{F6943C4E-D0C1-4399-9277-8C3BA29014B7}"/>
  <conditionalFormatting sqref="M2:M1700">
    <cfRule type="cellIs" dxfId="3" priority="2" operator="equal">
      <formula>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42C4-8DA2-4635-82D5-091C3953F167}">
  <dimension ref="A1:N4260"/>
  <sheetViews>
    <sheetView tabSelected="1" zoomScale="70" zoomScaleNormal="70" workbookViewId="0">
      <selection sqref="A1:N4260"/>
    </sheetView>
  </sheetViews>
  <sheetFormatPr baseColWidth="10" defaultRowHeight="15" x14ac:dyDescent="0.25"/>
  <cols>
    <col min="1" max="1" width="48.5703125" bestFit="1" customWidth="1"/>
    <col min="2" max="2" width="11.5703125" bestFit="1" customWidth="1"/>
    <col min="3" max="3" width="19.140625" bestFit="1" customWidth="1"/>
    <col min="4" max="4" width="43.140625" bestFit="1" customWidth="1"/>
    <col min="5" max="5" width="14.85546875" bestFit="1" customWidth="1"/>
    <col min="6" max="6" width="15.28515625" bestFit="1" customWidth="1"/>
    <col min="7" max="7" width="14.85546875" bestFit="1" customWidth="1"/>
    <col min="8" max="8" width="25.7109375" bestFit="1" customWidth="1"/>
    <col min="9" max="9" width="18.7109375" bestFit="1" customWidth="1"/>
    <col min="10" max="10" width="65.85546875" bestFit="1" customWidth="1"/>
    <col min="11" max="11" width="81.140625" bestFit="1" customWidth="1"/>
    <col min="12" max="12" width="29.28515625" bestFit="1" customWidth="1"/>
    <col min="13" max="13" width="81.140625" bestFit="1" customWidth="1"/>
    <col min="14" max="14" width="36.85546875" bestFit="1" customWidth="1"/>
  </cols>
  <sheetData>
    <row r="1" spans="1:14" x14ac:dyDescent="0.25">
      <c r="A1" t="s">
        <v>0</v>
      </c>
      <c r="B1" t="s">
        <v>1420</v>
      </c>
      <c r="C1" t="s">
        <v>1421</v>
      </c>
      <c r="D1" t="s">
        <v>3</v>
      </c>
      <c r="E1" t="s">
        <v>4</v>
      </c>
      <c r="F1" t="s">
        <v>6</v>
      </c>
      <c r="G1" t="s">
        <v>7</v>
      </c>
      <c r="H1" t="s">
        <v>1422</v>
      </c>
      <c r="I1" t="s">
        <v>12</v>
      </c>
      <c r="J1" t="s">
        <v>1312</v>
      </c>
      <c r="K1" t="s">
        <v>1423</v>
      </c>
      <c r="L1" t="s">
        <v>1424</v>
      </c>
      <c r="M1" t="s">
        <v>1425</v>
      </c>
      <c r="N1" t="s">
        <v>1426</v>
      </c>
    </row>
    <row r="2" spans="1:14" hidden="1" x14ac:dyDescent="0.25">
      <c r="A2" t="s">
        <v>1427</v>
      </c>
      <c r="B2" t="s">
        <v>1428</v>
      </c>
      <c r="C2" t="s">
        <v>1429</v>
      </c>
      <c r="D2" t="s">
        <v>20</v>
      </c>
      <c r="F2">
        <v>756</v>
      </c>
      <c r="G2">
        <v>14</v>
      </c>
      <c r="H2" s="89">
        <v>46020</v>
      </c>
      <c r="I2" s="89">
        <v>46024</v>
      </c>
      <c r="J2" t="s">
        <v>1430</v>
      </c>
      <c r="N2" t="s">
        <v>1431</v>
      </c>
    </row>
    <row r="3" spans="1:14" hidden="1" x14ac:dyDescent="0.25">
      <c r="A3" t="s">
        <v>1322</v>
      </c>
      <c r="B3" t="s">
        <v>1336</v>
      </c>
      <c r="C3" t="s">
        <v>1429</v>
      </c>
      <c r="D3" t="s">
        <v>20</v>
      </c>
      <c r="F3">
        <v>324</v>
      </c>
      <c r="G3">
        <v>6</v>
      </c>
      <c r="H3" s="89">
        <v>46020</v>
      </c>
      <c r="I3" s="89">
        <v>46024</v>
      </c>
      <c r="J3" t="s">
        <v>1430</v>
      </c>
      <c r="N3" t="s">
        <v>1431</v>
      </c>
    </row>
    <row r="4" spans="1:14" hidden="1" x14ac:dyDescent="0.25">
      <c r="A4" t="s">
        <v>1315</v>
      </c>
      <c r="B4" t="s">
        <v>1329</v>
      </c>
      <c r="C4" t="s">
        <v>1429</v>
      </c>
      <c r="D4" t="s">
        <v>20</v>
      </c>
      <c r="F4">
        <v>152</v>
      </c>
      <c r="G4" t="s">
        <v>1419</v>
      </c>
      <c r="H4" s="89">
        <v>46020</v>
      </c>
      <c r="I4" s="89">
        <v>46022</v>
      </c>
      <c r="N4" t="s">
        <v>1431</v>
      </c>
    </row>
    <row r="5" spans="1:14" hidden="1" x14ac:dyDescent="0.25">
      <c r="A5" t="s">
        <v>1316</v>
      </c>
      <c r="B5" t="s">
        <v>1330</v>
      </c>
      <c r="C5" t="s">
        <v>1432</v>
      </c>
      <c r="D5" t="s">
        <v>20</v>
      </c>
      <c r="F5">
        <v>88</v>
      </c>
      <c r="G5" t="s">
        <v>1419</v>
      </c>
      <c r="H5" s="89">
        <v>46020</v>
      </c>
      <c r="I5" s="89">
        <v>46022</v>
      </c>
      <c r="N5" t="s">
        <v>1431</v>
      </c>
    </row>
    <row r="6" spans="1:14" hidden="1" x14ac:dyDescent="0.25">
      <c r="A6" t="s">
        <v>1317</v>
      </c>
      <c r="B6" t="s">
        <v>1331</v>
      </c>
      <c r="C6" t="s">
        <v>1433</v>
      </c>
      <c r="D6" t="s">
        <v>20</v>
      </c>
      <c r="F6">
        <v>2</v>
      </c>
      <c r="G6" t="s">
        <v>1419</v>
      </c>
      <c r="H6" s="89">
        <v>46020</v>
      </c>
      <c r="I6" s="89">
        <v>46022</v>
      </c>
      <c r="N6" t="s">
        <v>1431</v>
      </c>
    </row>
    <row r="7" spans="1:14" hidden="1" x14ac:dyDescent="0.25">
      <c r="A7" t="s">
        <v>1318</v>
      </c>
      <c r="B7" t="s">
        <v>1332</v>
      </c>
      <c r="C7" t="s">
        <v>1434</v>
      </c>
      <c r="D7" t="s">
        <v>20</v>
      </c>
      <c r="F7">
        <v>40</v>
      </c>
      <c r="G7" t="s">
        <v>1419</v>
      </c>
      <c r="H7" s="89">
        <v>46020</v>
      </c>
      <c r="I7" s="89">
        <v>46022</v>
      </c>
      <c r="N7" t="s">
        <v>1431</v>
      </c>
    </row>
    <row r="8" spans="1:14" hidden="1" x14ac:dyDescent="0.25">
      <c r="A8" t="s">
        <v>1313</v>
      </c>
      <c r="B8" t="s">
        <v>1327</v>
      </c>
      <c r="C8" t="s">
        <v>1435</v>
      </c>
      <c r="D8" t="s">
        <v>23</v>
      </c>
      <c r="F8">
        <v>1008</v>
      </c>
      <c r="G8">
        <v>21</v>
      </c>
      <c r="H8" s="89">
        <v>46020</v>
      </c>
      <c r="I8" s="89">
        <v>46024</v>
      </c>
      <c r="J8" t="s">
        <v>1436</v>
      </c>
      <c r="N8" t="s">
        <v>1431</v>
      </c>
    </row>
    <row r="9" spans="1:14" hidden="1" x14ac:dyDescent="0.25">
      <c r="A9" t="s">
        <v>1313</v>
      </c>
      <c r="B9" t="s">
        <v>1327</v>
      </c>
      <c r="C9" t="s">
        <v>1437</v>
      </c>
      <c r="D9" t="s">
        <v>15</v>
      </c>
      <c r="F9">
        <v>864</v>
      </c>
      <c r="G9">
        <v>18</v>
      </c>
      <c r="H9" s="89">
        <v>46020</v>
      </c>
      <c r="I9" s="89">
        <v>46024</v>
      </c>
      <c r="J9" t="s">
        <v>1438</v>
      </c>
      <c r="N9" t="s">
        <v>1431</v>
      </c>
    </row>
    <row r="10" spans="1:14" hidden="1" x14ac:dyDescent="0.25">
      <c r="A10" t="s">
        <v>1324</v>
      </c>
      <c r="B10" t="s">
        <v>1338</v>
      </c>
      <c r="C10" t="s">
        <v>1439</v>
      </c>
      <c r="D10" t="s">
        <v>13</v>
      </c>
      <c r="F10">
        <v>960</v>
      </c>
      <c r="G10">
        <v>20</v>
      </c>
      <c r="H10" s="89">
        <v>46020</v>
      </c>
      <c r="I10" s="89">
        <v>46027</v>
      </c>
      <c r="J10" t="s">
        <v>1440</v>
      </c>
      <c r="N10" t="s">
        <v>1431</v>
      </c>
    </row>
    <row r="11" spans="1:14" hidden="1" x14ac:dyDescent="0.25">
      <c r="A11" t="s">
        <v>1324</v>
      </c>
      <c r="B11" t="s">
        <v>1338</v>
      </c>
      <c r="C11" t="s">
        <v>1441</v>
      </c>
      <c r="D11" t="s">
        <v>152</v>
      </c>
      <c r="F11">
        <v>624</v>
      </c>
      <c r="G11">
        <v>13</v>
      </c>
      <c r="H11" s="89">
        <v>46020</v>
      </c>
      <c r="I11" s="89">
        <v>46027</v>
      </c>
      <c r="J11" t="s">
        <v>1442</v>
      </c>
      <c r="N11" t="s">
        <v>1431</v>
      </c>
    </row>
    <row r="12" spans="1:14" hidden="1" x14ac:dyDescent="0.25">
      <c r="A12" t="s">
        <v>1313</v>
      </c>
      <c r="B12" t="s">
        <v>1327</v>
      </c>
      <c r="C12" t="s">
        <v>1437</v>
      </c>
      <c r="D12" t="s">
        <v>15</v>
      </c>
      <c r="F12">
        <v>144</v>
      </c>
      <c r="G12">
        <v>3</v>
      </c>
      <c r="H12" s="89">
        <v>46020</v>
      </c>
      <c r="I12" s="89">
        <v>46024</v>
      </c>
      <c r="J12" t="s">
        <v>1436</v>
      </c>
      <c r="N12" t="s">
        <v>1431</v>
      </c>
    </row>
    <row r="13" spans="1:14" hidden="1" x14ac:dyDescent="0.25">
      <c r="A13" t="s">
        <v>1313</v>
      </c>
      <c r="B13" t="s">
        <v>1327</v>
      </c>
      <c r="C13" t="s">
        <v>1437</v>
      </c>
      <c r="D13" t="s">
        <v>15</v>
      </c>
      <c r="F13">
        <v>48</v>
      </c>
      <c r="G13">
        <v>2</v>
      </c>
      <c r="H13" s="89">
        <v>46020</v>
      </c>
      <c r="I13" s="89">
        <v>46022</v>
      </c>
      <c r="N13" t="s">
        <v>1431</v>
      </c>
    </row>
    <row r="14" spans="1:14" hidden="1" x14ac:dyDescent="0.25">
      <c r="A14" t="s">
        <v>1315</v>
      </c>
      <c r="B14" t="s">
        <v>1329</v>
      </c>
      <c r="C14" t="s">
        <v>1437</v>
      </c>
      <c r="D14" t="s">
        <v>15</v>
      </c>
      <c r="F14">
        <v>16</v>
      </c>
      <c r="G14" t="s">
        <v>1419</v>
      </c>
      <c r="H14" s="89">
        <v>46020</v>
      </c>
      <c r="I14" s="89">
        <v>46022</v>
      </c>
      <c r="N14" t="s">
        <v>1431</v>
      </c>
    </row>
    <row r="15" spans="1:14" hidden="1" x14ac:dyDescent="0.25">
      <c r="A15" t="s">
        <v>1313</v>
      </c>
      <c r="B15" t="s">
        <v>1327</v>
      </c>
      <c r="C15" t="s">
        <v>1443</v>
      </c>
      <c r="D15" t="s">
        <v>28</v>
      </c>
      <c r="F15">
        <v>1056</v>
      </c>
      <c r="G15">
        <v>22</v>
      </c>
      <c r="H15" s="89">
        <v>46020</v>
      </c>
      <c r="I15" s="89">
        <v>46022</v>
      </c>
      <c r="N15" t="s">
        <v>1431</v>
      </c>
    </row>
    <row r="16" spans="1:14" hidden="1" x14ac:dyDescent="0.25">
      <c r="A16" t="s">
        <v>1315</v>
      </c>
      <c r="B16" t="s">
        <v>1329</v>
      </c>
      <c r="C16" t="s">
        <v>1443</v>
      </c>
      <c r="D16" t="s">
        <v>28</v>
      </c>
      <c r="F16">
        <v>15</v>
      </c>
      <c r="G16" t="s">
        <v>1419</v>
      </c>
      <c r="H16" s="89">
        <v>46020</v>
      </c>
      <c r="I16" s="89">
        <v>46022</v>
      </c>
      <c r="N16" t="s">
        <v>1431</v>
      </c>
    </row>
    <row r="17" spans="1:14" hidden="1" x14ac:dyDescent="0.25">
      <c r="A17" t="s">
        <v>1444</v>
      </c>
      <c r="B17" t="s">
        <v>1445</v>
      </c>
      <c r="C17" t="s">
        <v>1437</v>
      </c>
      <c r="D17" t="s">
        <v>15</v>
      </c>
      <c r="F17">
        <v>235</v>
      </c>
      <c r="G17">
        <v>2</v>
      </c>
      <c r="H17" s="89">
        <v>46020</v>
      </c>
      <c r="I17" s="89">
        <v>46022</v>
      </c>
      <c r="N17" t="s">
        <v>1431</v>
      </c>
    </row>
    <row r="18" spans="1:14" hidden="1" x14ac:dyDescent="0.25">
      <c r="A18" t="s">
        <v>1313</v>
      </c>
      <c r="B18" t="s">
        <v>1327</v>
      </c>
      <c r="C18" t="s">
        <v>1446</v>
      </c>
      <c r="D18" t="s">
        <v>20</v>
      </c>
      <c r="F18">
        <v>1152</v>
      </c>
      <c r="G18">
        <v>24</v>
      </c>
      <c r="H18" s="89">
        <v>46021</v>
      </c>
      <c r="I18" s="89">
        <v>46025</v>
      </c>
      <c r="J18" t="s">
        <v>1447</v>
      </c>
      <c r="N18" t="s">
        <v>1431</v>
      </c>
    </row>
    <row r="19" spans="1:14" hidden="1" x14ac:dyDescent="0.25">
      <c r="A19" t="s">
        <v>1315</v>
      </c>
      <c r="B19" t="s">
        <v>1329</v>
      </c>
      <c r="C19" t="s">
        <v>1446</v>
      </c>
      <c r="D19" t="s">
        <v>20</v>
      </c>
      <c r="F19">
        <v>108</v>
      </c>
      <c r="G19" t="s">
        <v>1419</v>
      </c>
      <c r="H19" s="89">
        <v>46021</v>
      </c>
      <c r="I19" s="89">
        <v>46022</v>
      </c>
      <c r="N19" t="s">
        <v>1431</v>
      </c>
    </row>
    <row r="20" spans="1:14" hidden="1" x14ac:dyDescent="0.25">
      <c r="A20" t="s">
        <v>1316</v>
      </c>
      <c r="B20" t="s">
        <v>1330</v>
      </c>
      <c r="C20" t="s">
        <v>1448</v>
      </c>
      <c r="D20" t="s">
        <v>20</v>
      </c>
      <c r="F20">
        <v>88</v>
      </c>
      <c r="G20" t="s">
        <v>1419</v>
      </c>
      <c r="H20" s="89">
        <v>46021</v>
      </c>
      <c r="I20" s="89">
        <v>46023</v>
      </c>
      <c r="N20" t="s">
        <v>1431</v>
      </c>
    </row>
    <row r="21" spans="1:14" hidden="1" x14ac:dyDescent="0.25">
      <c r="A21" t="s">
        <v>1317</v>
      </c>
      <c r="B21" t="s">
        <v>1331</v>
      </c>
      <c r="C21" t="s">
        <v>1449</v>
      </c>
      <c r="D21" t="s">
        <v>20</v>
      </c>
      <c r="F21">
        <v>12</v>
      </c>
      <c r="G21" t="s">
        <v>1419</v>
      </c>
      <c r="H21" s="89">
        <v>46021</v>
      </c>
      <c r="I21" s="89">
        <v>46023</v>
      </c>
      <c r="N21" t="s">
        <v>1431</v>
      </c>
    </row>
    <row r="22" spans="1:14" hidden="1" x14ac:dyDescent="0.25">
      <c r="A22" t="s">
        <v>1318</v>
      </c>
      <c r="B22" t="s">
        <v>1332</v>
      </c>
      <c r="C22" t="s">
        <v>1450</v>
      </c>
      <c r="D22" t="s">
        <v>20</v>
      </c>
      <c r="F22">
        <v>62</v>
      </c>
      <c r="G22" t="s">
        <v>1419</v>
      </c>
      <c r="H22" s="89">
        <v>46021</v>
      </c>
      <c r="I22" s="89">
        <v>46023</v>
      </c>
      <c r="N22" t="s">
        <v>1431</v>
      </c>
    </row>
    <row r="23" spans="1:14" hidden="1" x14ac:dyDescent="0.25">
      <c r="A23" t="s">
        <v>1314</v>
      </c>
      <c r="B23" t="s">
        <v>1328</v>
      </c>
      <c r="C23" t="s">
        <v>1451</v>
      </c>
      <c r="D23" t="s">
        <v>15</v>
      </c>
      <c r="F23">
        <v>288</v>
      </c>
      <c r="G23">
        <v>6</v>
      </c>
      <c r="H23" s="89">
        <v>46021</v>
      </c>
      <c r="I23" s="89">
        <v>46024</v>
      </c>
      <c r="J23" t="s">
        <v>1452</v>
      </c>
      <c r="N23" t="s">
        <v>1431</v>
      </c>
    </row>
    <row r="24" spans="1:14" hidden="1" x14ac:dyDescent="0.25">
      <c r="A24" t="s">
        <v>1313</v>
      </c>
      <c r="B24" t="s">
        <v>1327</v>
      </c>
      <c r="C24" t="s">
        <v>1453</v>
      </c>
      <c r="D24" t="s">
        <v>23</v>
      </c>
      <c r="F24">
        <v>1056</v>
      </c>
      <c r="G24">
        <v>22</v>
      </c>
      <c r="H24" s="89">
        <v>46021</v>
      </c>
      <c r="I24" s="89">
        <v>46027</v>
      </c>
      <c r="J24" t="s">
        <v>1454</v>
      </c>
      <c r="N24" t="s">
        <v>1431</v>
      </c>
    </row>
    <row r="25" spans="1:14" hidden="1" x14ac:dyDescent="0.25">
      <c r="A25" t="s">
        <v>1313</v>
      </c>
      <c r="B25" t="s">
        <v>1327</v>
      </c>
      <c r="C25" t="s">
        <v>1451</v>
      </c>
      <c r="D25" t="s">
        <v>15</v>
      </c>
      <c r="F25">
        <v>96</v>
      </c>
      <c r="G25">
        <v>2</v>
      </c>
      <c r="H25" s="89">
        <v>46021</v>
      </c>
      <c r="I25" s="89">
        <v>46027</v>
      </c>
      <c r="J25" t="s">
        <v>1454</v>
      </c>
      <c r="N25" t="s">
        <v>1431</v>
      </c>
    </row>
    <row r="26" spans="1:14" hidden="1" x14ac:dyDescent="0.25">
      <c r="A26" t="s">
        <v>1324</v>
      </c>
      <c r="B26" t="s">
        <v>1338</v>
      </c>
      <c r="C26" t="s">
        <v>1451</v>
      </c>
      <c r="D26" t="s">
        <v>15</v>
      </c>
      <c r="F26">
        <v>816</v>
      </c>
      <c r="G26">
        <v>17</v>
      </c>
      <c r="H26" s="89">
        <v>46021</v>
      </c>
      <c r="I26" s="89">
        <v>46027</v>
      </c>
      <c r="J26" t="s">
        <v>1440</v>
      </c>
      <c r="N26" t="s">
        <v>1431</v>
      </c>
    </row>
    <row r="27" spans="1:14" hidden="1" x14ac:dyDescent="0.25">
      <c r="A27" t="s">
        <v>1321</v>
      </c>
      <c r="B27" t="s">
        <v>1335</v>
      </c>
      <c r="C27" t="s">
        <v>1455</v>
      </c>
      <c r="D27" t="s">
        <v>138</v>
      </c>
      <c r="F27">
        <v>144</v>
      </c>
      <c r="G27">
        <v>3</v>
      </c>
      <c r="H27" s="89">
        <v>46021</v>
      </c>
      <c r="I27" s="89">
        <v>46027</v>
      </c>
      <c r="J27" t="s">
        <v>1440</v>
      </c>
      <c r="N27" t="s">
        <v>1431</v>
      </c>
    </row>
    <row r="28" spans="1:14" hidden="1" x14ac:dyDescent="0.25">
      <c r="A28" t="s">
        <v>1321</v>
      </c>
      <c r="B28" t="s">
        <v>1335</v>
      </c>
      <c r="C28" t="s">
        <v>1455</v>
      </c>
      <c r="D28" t="s">
        <v>138</v>
      </c>
      <c r="F28">
        <v>144</v>
      </c>
      <c r="G28">
        <v>3</v>
      </c>
      <c r="H28" s="89">
        <v>46021</v>
      </c>
      <c r="I28" s="89">
        <v>46031</v>
      </c>
      <c r="J28" t="s">
        <v>1456</v>
      </c>
      <c r="N28" t="s">
        <v>1431</v>
      </c>
    </row>
    <row r="29" spans="1:14" hidden="1" x14ac:dyDescent="0.25">
      <c r="A29" t="s">
        <v>1325</v>
      </c>
      <c r="B29" t="s">
        <v>1339</v>
      </c>
      <c r="C29" t="s">
        <v>1455</v>
      </c>
      <c r="D29" t="s">
        <v>138</v>
      </c>
      <c r="F29">
        <v>288</v>
      </c>
      <c r="G29">
        <v>6</v>
      </c>
      <c r="H29" s="89">
        <v>46021</v>
      </c>
      <c r="I29" s="89">
        <v>46024</v>
      </c>
      <c r="N29" t="s">
        <v>1431</v>
      </c>
    </row>
    <row r="30" spans="1:14" hidden="1" x14ac:dyDescent="0.25">
      <c r="A30" t="s">
        <v>1324</v>
      </c>
      <c r="B30" t="s">
        <v>1338</v>
      </c>
      <c r="C30" t="s">
        <v>1457</v>
      </c>
      <c r="D30" t="s">
        <v>28</v>
      </c>
      <c r="F30">
        <v>960</v>
      </c>
      <c r="G30">
        <v>20</v>
      </c>
      <c r="H30" s="89">
        <v>46021</v>
      </c>
      <c r="I30" s="89">
        <v>46027</v>
      </c>
      <c r="J30" t="s">
        <v>1442</v>
      </c>
      <c r="N30" t="s">
        <v>1431</v>
      </c>
    </row>
    <row r="31" spans="1:14" hidden="1" x14ac:dyDescent="0.25">
      <c r="A31" t="s">
        <v>1315</v>
      </c>
      <c r="B31" t="s">
        <v>1329</v>
      </c>
      <c r="C31" t="s">
        <v>1457</v>
      </c>
      <c r="D31" t="s">
        <v>28</v>
      </c>
      <c r="F31">
        <v>5</v>
      </c>
      <c r="G31" t="s">
        <v>1419</v>
      </c>
      <c r="H31" s="89">
        <v>46021</v>
      </c>
      <c r="I31" s="89">
        <v>46022</v>
      </c>
      <c r="N31" t="s">
        <v>1431</v>
      </c>
    </row>
    <row r="32" spans="1:14" hidden="1" x14ac:dyDescent="0.25">
      <c r="A32" t="s">
        <v>1324</v>
      </c>
      <c r="B32" t="s">
        <v>1338</v>
      </c>
      <c r="C32" t="s">
        <v>1458</v>
      </c>
      <c r="D32" t="s">
        <v>147</v>
      </c>
      <c r="F32">
        <v>336</v>
      </c>
      <c r="G32">
        <v>7</v>
      </c>
      <c r="H32" s="89">
        <v>46021</v>
      </c>
      <c r="I32" s="89">
        <v>46027</v>
      </c>
      <c r="J32" t="s">
        <v>1442</v>
      </c>
      <c r="N32" t="s">
        <v>1431</v>
      </c>
    </row>
    <row r="33" spans="1:14" hidden="1" x14ac:dyDescent="0.25">
      <c r="A33" t="s">
        <v>1326</v>
      </c>
      <c r="B33" t="s">
        <v>1340</v>
      </c>
      <c r="C33" t="s">
        <v>1459</v>
      </c>
      <c r="D33" t="s">
        <v>32</v>
      </c>
      <c r="F33">
        <v>840</v>
      </c>
      <c r="G33">
        <v>20</v>
      </c>
      <c r="H33" s="89">
        <v>46021</v>
      </c>
      <c r="I33" s="89">
        <v>46024</v>
      </c>
      <c r="J33" t="s">
        <v>1460</v>
      </c>
      <c r="N33" t="s">
        <v>1431</v>
      </c>
    </row>
    <row r="34" spans="1:14" hidden="1" x14ac:dyDescent="0.25">
      <c r="A34" t="s">
        <v>1444</v>
      </c>
      <c r="B34" t="s">
        <v>1445</v>
      </c>
      <c r="C34" t="s">
        <v>1451</v>
      </c>
      <c r="D34" t="s">
        <v>15</v>
      </c>
      <c r="F34">
        <v>109</v>
      </c>
      <c r="G34">
        <v>1</v>
      </c>
      <c r="H34" s="89">
        <v>46021</v>
      </c>
      <c r="I34" s="89">
        <v>46023</v>
      </c>
      <c r="N34" t="s">
        <v>1431</v>
      </c>
    </row>
    <row r="35" spans="1:14" hidden="1" x14ac:dyDescent="0.25">
      <c r="A35" t="s">
        <v>1315</v>
      </c>
      <c r="B35" t="s">
        <v>1329</v>
      </c>
      <c r="C35" t="s">
        <v>1451</v>
      </c>
      <c r="D35" t="s">
        <v>15</v>
      </c>
      <c r="F35">
        <v>40</v>
      </c>
      <c r="G35" t="s">
        <v>1419</v>
      </c>
      <c r="H35" s="89">
        <v>46021</v>
      </c>
      <c r="I35" s="89">
        <v>46022</v>
      </c>
      <c r="N35" t="s">
        <v>1431</v>
      </c>
    </row>
    <row r="36" spans="1:14" hidden="1" x14ac:dyDescent="0.25">
      <c r="A36" t="s">
        <v>1313</v>
      </c>
      <c r="B36" t="s">
        <v>1327</v>
      </c>
      <c r="C36" t="s">
        <v>1451</v>
      </c>
      <c r="D36" t="s">
        <v>15</v>
      </c>
      <c r="F36">
        <v>192</v>
      </c>
      <c r="G36">
        <v>4</v>
      </c>
      <c r="H36" s="89">
        <v>46021</v>
      </c>
      <c r="I36" s="89">
        <v>46023</v>
      </c>
      <c r="N36" t="s">
        <v>1431</v>
      </c>
    </row>
    <row r="37" spans="1:14" hidden="1" x14ac:dyDescent="0.25">
      <c r="A37" t="s">
        <v>1326</v>
      </c>
      <c r="B37" t="s">
        <v>1340</v>
      </c>
      <c r="C37" t="s">
        <v>1461</v>
      </c>
      <c r="D37" t="s">
        <v>32</v>
      </c>
      <c r="F37">
        <v>1008</v>
      </c>
      <c r="G37">
        <v>24</v>
      </c>
      <c r="H37" s="89">
        <v>46024</v>
      </c>
      <c r="I37" s="89">
        <v>46031</v>
      </c>
      <c r="J37" t="s">
        <v>1462</v>
      </c>
      <c r="N37" t="s">
        <v>1431</v>
      </c>
    </row>
    <row r="38" spans="1:14" hidden="1" x14ac:dyDescent="0.25">
      <c r="A38" t="s">
        <v>1444</v>
      </c>
      <c r="B38" t="s">
        <v>1445</v>
      </c>
      <c r="C38" t="s">
        <v>1463</v>
      </c>
      <c r="D38" t="s">
        <v>15</v>
      </c>
      <c r="F38">
        <v>209</v>
      </c>
      <c r="G38">
        <v>2</v>
      </c>
      <c r="H38" s="89">
        <v>46024</v>
      </c>
      <c r="I38" s="89">
        <v>46025</v>
      </c>
      <c r="N38" t="s">
        <v>1431</v>
      </c>
    </row>
    <row r="39" spans="1:14" hidden="1" x14ac:dyDescent="0.25">
      <c r="A39" t="s">
        <v>1313</v>
      </c>
      <c r="B39" t="s">
        <v>1327</v>
      </c>
      <c r="C39" t="s">
        <v>1464</v>
      </c>
      <c r="D39" t="s">
        <v>20</v>
      </c>
      <c r="F39">
        <v>1200</v>
      </c>
      <c r="G39">
        <v>25</v>
      </c>
      <c r="H39" s="89">
        <v>46024</v>
      </c>
      <c r="I39" s="89">
        <v>46027</v>
      </c>
      <c r="N39" t="s">
        <v>1431</v>
      </c>
    </row>
    <row r="40" spans="1:14" hidden="1" x14ac:dyDescent="0.25">
      <c r="A40" t="s">
        <v>1315</v>
      </c>
      <c r="B40" t="s">
        <v>1329</v>
      </c>
      <c r="C40" t="s">
        <v>1464</v>
      </c>
      <c r="D40" t="s">
        <v>20</v>
      </c>
      <c r="F40">
        <v>4</v>
      </c>
      <c r="G40" t="s">
        <v>1419</v>
      </c>
      <c r="H40" s="89">
        <v>46024</v>
      </c>
      <c r="I40" s="89">
        <v>46026</v>
      </c>
      <c r="N40" t="s">
        <v>1431</v>
      </c>
    </row>
    <row r="41" spans="1:14" hidden="1" x14ac:dyDescent="0.25">
      <c r="A41" t="s">
        <v>1316</v>
      </c>
      <c r="B41" t="s">
        <v>1330</v>
      </c>
      <c r="C41" t="s">
        <v>1465</v>
      </c>
      <c r="D41" t="s">
        <v>20</v>
      </c>
      <c r="F41">
        <v>171</v>
      </c>
      <c r="G41" t="s">
        <v>1419</v>
      </c>
      <c r="H41" s="89">
        <v>46024</v>
      </c>
      <c r="I41" s="89">
        <v>46026</v>
      </c>
      <c r="N41" t="s">
        <v>1431</v>
      </c>
    </row>
    <row r="42" spans="1:14" hidden="1" x14ac:dyDescent="0.25">
      <c r="A42" t="s">
        <v>1317</v>
      </c>
      <c r="B42" t="s">
        <v>1331</v>
      </c>
      <c r="C42" t="s">
        <v>1466</v>
      </c>
      <c r="D42" t="s">
        <v>20</v>
      </c>
      <c r="F42">
        <v>17</v>
      </c>
      <c r="G42" t="s">
        <v>1419</v>
      </c>
      <c r="H42" s="89">
        <v>46024</v>
      </c>
      <c r="I42" s="89">
        <v>46026</v>
      </c>
      <c r="N42" t="s">
        <v>1431</v>
      </c>
    </row>
    <row r="43" spans="1:14" hidden="1" x14ac:dyDescent="0.25">
      <c r="A43" t="s">
        <v>1318</v>
      </c>
      <c r="B43" t="s">
        <v>1332</v>
      </c>
      <c r="C43" t="s">
        <v>1467</v>
      </c>
      <c r="D43" t="s">
        <v>20</v>
      </c>
      <c r="F43">
        <v>50</v>
      </c>
      <c r="G43" t="s">
        <v>1419</v>
      </c>
      <c r="H43" s="89">
        <v>46024</v>
      </c>
      <c r="I43" s="89">
        <v>46026</v>
      </c>
      <c r="N43" t="s">
        <v>1431</v>
      </c>
    </row>
    <row r="44" spans="1:14" hidden="1" x14ac:dyDescent="0.25">
      <c r="A44" t="s">
        <v>1313</v>
      </c>
      <c r="B44" t="s">
        <v>1327</v>
      </c>
      <c r="C44" t="s">
        <v>1463</v>
      </c>
      <c r="D44" t="s">
        <v>15</v>
      </c>
      <c r="F44">
        <v>1056</v>
      </c>
      <c r="G44">
        <v>22</v>
      </c>
      <c r="H44" s="89">
        <v>46024</v>
      </c>
      <c r="I44" s="89">
        <v>46026</v>
      </c>
      <c r="N44" t="s">
        <v>1431</v>
      </c>
    </row>
    <row r="45" spans="1:14" hidden="1" x14ac:dyDescent="0.25">
      <c r="A45" t="s">
        <v>1315</v>
      </c>
      <c r="B45" t="s">
        <v>1329</v>
      </c>
      <c r="C45" t="s">
        <v>1463</v>
      </c>
      <c r="D45" t="s">
        <v>15</v>
      </c>
      <c r="F45">
        <v>29</v>
      </c>
      <c r="G45" t="s">
        <v>1419</v>
      </c>
      <c r="H45" s="89">
        <v>46024</v>
      </c>
      <c r="I45" s="89">
        <v>46026</v>
      </c>
      <c r="N45" t="s">
        <v>1431</v>
      </c>
    </row>
    <row r="46" spans="1:14" hidden="1" x14ac:dyDescent="0.25">
      <c r="A46" t="s">
        <v>1316</v>
      </c>
      <c r="B46" t="s">
        <v>1330</v>
      </c>
      <c r="C46" t="s">
        <v>1468</v>
      </c>
      <c r="D46" t="s">
        <v>15</v>
      </c>
      <c r="F46">
        <v>34</v>
      </c>
      <c r="G46" t="s">
        <v>1419</v>
      </c>
      <c r="H46" s="89">
        <v>46024</v>
      </c>
      <c r="I46" s="89">
        <v>46026</v>
      </c>
      <c r="N46" t="s">
        <v>1431</v>
      </c>
    </row>
    <row r="47" spans="1:14" hidden="1" x14ac:dyDescent="0.25">
      <c r="A47" t="s">
        <v>1317</v>
      </c>
      <c r="B47" t="s">
        <v>1331</v>
      </c>
      <c r="C47" t="s">
        <v>1469</v>
      </c>
      <c r="D47" t="s">
        <v>15</v>
      </c>
      <c r="F47">
        <v>13</v>
      </c>
      <c r="G47" t="s">
        <v>1419</v>
      </c>
      <c r="H47" s="89">
        <v>46024</v>
      </c>
      <c r="I47" s="89">
        <v>46026</v>
      </c>
      <c r="N47" t="s">
        <v>1431</v>
      </c>
    </row>
    <row r="48" spans="1:14" hidden="1" x14ac:dyDescent="0.25">
      <c r="A48" t="s">
        <v>1318</v>
      </c>
      <c r="B48" t="s">
        <v>1332</v>
      </c>
      <c r="C48" t="s">
        <v>1470</v>
      </c>
      <c r="D48" t="s">
        <v>15</v>
      </c>
      <c r="F48">
        <v>5</v>
      </c>
      <c r="G48" t="s">
        <v>1419</v>
      </c>
      <c r="H48" s="89">
        <v>46024</v>
      </c>
      <c r="I48" s="89">
        <v>46026</v>
      </c>
      <c r="N48" t="s">
        <v>1431</v>
      </c>
    </row>
    <row r="49" spans="1:14" hidden="1" x14ac:dyDescent="0.25">
      <c r="A49" t="s">
        <v>1313</v>
      </c>
      <c r="B49" t="s">
        <v>1327</v>
      </c>
      <c r="C49" t="s">
        <v>1471</v>
      </c>
      <c r="D49" t="s">
        <v>21</v>
      </c>
      <c r="F49">
        <v>864</v>
      </c>
      <c r="G49">
        <v>18</v>
      </c>
      <c r="H49" s="89">
        <v>46024</v>
      </c>
      <c r="I49" s="89">
        <v>46026</v>
      </c>
      <c r="J49" t="s">
        <v>1472</v>
      </c>
      <c r="N49" t="s">
        <v>1431</v>
      </c>
    </row>
    <row r="50" spans="1:14" hidden="1" x14ac:dyDescent="0.25">
      <c r="A50" t="s">
        <v>1314</v>
      </c>
      <c r="B50" t="s">
        <v>1328</v>
      </c>
      <c r="C50" t="s">
        <v>1471</v>
      </c>
      <c r="D50" t="s">
        <v>21</v>
      </c>
      <c r="F50">
        <v>288</v>
      </c>
      <c r="G50">
        <v>6</v>
      </c>
      <c r="H50" s="89">
        <v>46024</v>
      </c>
      <c r="I50" s="89">
        <v>46026</v>
      </c>
      <c r="J50" t="s">
        <v>1473</v>
      </c>
      <c r="N50" t="s">
        <v>1431</v>
      </c>
    </row>
    <row r="51" spans="1:14" hidden="1" x14ac:dyDescent="0.25">
      <c r="A51" t="s">
        <v>1315</v>
      </c>
      <c r="B51" t="s">
        <v>1329</v>
      </c>
      <c r="C51" t="s">
        <v>1471</v>
      </c>
      <c r="D51" t="s">
        <v>21</v>
      </c>
      <c r="F51">
        <v>50</v>
      </c>
      <c r="G51" t="s">
        <v>1419</v>
      </c>
      <c r="H51" s="89">
        <v>46024</v>
      </c>
      <c r="I51" s="89">
        <v>46026</v>
      </c>
      <c r="N51" t="s">
        <v>1431</v>
      </c>
    </row>
    <row r="52" spans="1:14" hidden="1" x14ac:dyDescent="0.25">
      <c r="A52" t="s">
        <v>1316</v>
      </c>
      <c r="B52" t="s">
        <v>1330</v>
      </c>
      <c r="C52" t="s">
        <v>1474</v>
      </c>
      <c r="D52" t="s">
        <v>21</v>
      </c>
      <c r="F52">
        <v>33</v>
      </c>
      <c r="G52" t="s">
        <v>1419</v>
      </c>
      <c r="H52" s="89">
        <v>46024</v>
      </c>
      <c r="I52" s="89">
        <v>46026</v>
      </c>
      <c r="N52" t="s">
        <v>1431</v>
      </c>
    </row>
    <row r="53" spans="1:14" hidden="1" x14ac:dyDescent="0.25">
      <c r="A53" t="s">
        <v>1318</v>
      </c>
      <c r="B53" t="s">
        <v>1332</v>
      </c>
      <c r="C53" t="s">
        <v>1475</v>
      </c>
      <c r="D53" t="s">
        <v>21</v>
      </c>
      <c r="F53">
        <v>112</v>
      </c>
      <c r="G53" t="s">
        <v>1419</v>
      </c>
      <c r="H53" s="89">
        <v>46024</v>
      </c>
      <c r="I53" s="89">
        <v>46026</v>
      </c>
      <c r="N53" t="s">
        <v>1431</v>
      </c>
    </row>
    <row r="54" spans="1:14" hidden="1" x14ac:dyDescent="0.25">
      <c r="A54" t="s">
        <v>1313</v>
      </c>
      <c r="B54" t="s">
        <v>1327</v>
      </c>
      <c r="C54" t="s">
        <v>1471</v>
      </c>
      <c r="D54" t="s">
        <v>21</v>
      </c>
      <c r="F54">
        <v>96</v>
      </c>
      <c r="G54">
        <v>2</v>
      </c>
      <c r="H54" s="89">
        <v>46024</v>
      </c>
      <c r="I54" s="89">
        <v>46028</v>
      </c>
      <c r="N54" t="s">
        <v>1431</v>
      </c>
    </row>
    <row r="55" spans="1:14" hidden="1" x14ac:dyDescent="0.25">
      <c r="A55" t="s">
        <v>1313</v>
      </c>
      <c r="B55" t="s">
        <v>1327</v>
      </c>
      <c r="C55" t="s">
        <v>1476</v>
      </c>
      <c r="D55" t="s">
        <v>1477</v>
      </c>
      <c r="F55">
        <v>432</v>
      </c>
      <c r="G55">
        <v>9</v>
      </c>
      <c r="H55" s="89">
        <v>46025</v>
      </c>
      <c r="I55" s="89">
        <v>46030</v>
      </c>
      <c r="J55" t="s">
        <v>1478</v>
      </c>
      <c r="N55" t="s">
        <v>1431</v>
      </c>
    </row>
    <row r="56" spans="1:14" hidden="1" x14ac:dyDescent="0.25">
      <c r="A56" t="s">
        <v>1313</v>
      </c>
      <c r="B56" t="s">
        <v>1327</v>
      </c>
      <c r="C56" t="s">
        <v>1479</v>
      </c>
      <c r="D56" t="s">
        <v>106</v>
      </c>
      <c r="F56">
        <v>720</v>
      </c>
      <c r="G56">
        <v>15</v>
      </c>
      <c r="H56" s="89">
        <v>46025</v>
      </c>
      <c r="I56" s="89">
        <v>46030</v>
      </c>
      <c r="J56" t="s">
        <v>1478</v>
      </c>
      <c r="N56" t="s">
        <v>1431</v>
      </c>
    </row>
    <row r="57" spans="1:14" hidden="1" x14ac:dyDescent="0.25">
      <c r="A57" t="s">
        <v>1313</v>
      </c>
      <c r="B57" t="s">
        <v>1327</v>
      </c>
      <c r="C57" t="s">
        <v>1480</v>
      </c>
      <c r="D57" t="s">
        <v>21</v>
      </c>
      <c r="F57">
        <v>144</v>
      </c>
      <c r="G57">
        <v>3</v>
      </c>
      <c r="H57" s="89">
        <v>46025</v>
      </c>
      <c r="I57" s="89">
        <v>46030</v>
      </c>
      <c r="J57" t="s">
        <v>1478</v>
      </c>
      <c r="N57" t="s">
        <v>1431</v>
      </c>
    </row>
    <row r="58" spans="1:14" hidden="1" x14ac:dyDescent="0.25">
      <c r="A58" t="s">
        <v>1324</v>
      </c>
      <c r="B58" t="s">
        <v>1338</v>
      </c>
      <c r="C58" t="s">
        <v>1480</v>
      </c>
      <c r="D58" t="s">
        <v>21</v>
      </c>
      <c r="F58">
        <v>816</v>
      </c>
      <c r="G58">
        <v>17</v>
      </c>
      <c r="H58" s="89">
        <v>46025</v>
      </c>
      <c r="I58" s="89">
        <v>46031</v>
      </c>
      <c r="J58" t="s">
        <v>1456</v>
      </c>
      <c r="N58" t="s">
        <v>1431</v>
      </c>
    </row>
    <row r="59" spans="1:14" hidden="1" x14ac:dyDescent="0.25">
      <c r="A59" t="s">
        <v>1314</v>
      </c>
      <c r="B59" t="s">
        <v>1328</v>
      </c>
      <c r="C59" t="s">
        <v>1480</v>
      </c>
      <c r="D59" t="s">
        <v>21</v>
      </c>
      <c r="F59">
        <v>288</v>
      </c>
      <c r="G59">
        <v>6</v>
      </c>
      <c r="H59" s="89">
        <v>46025</v>
      </c>
      <c r="I59" s="89">
        <v>46029</v>
      </c>
      <c r="J59" t="s">
        <v>1481</v>
      </c>
      <c r="N59" t="s">
        <v>1431</v>
      </c>
    </row>
    <row r="60" spans="1:14" hidden="1" x14ac:dyDescent="0.25">
      <c r="A60" t="s">
        <v>1315</v>
      </c>
      <c r="B60" t="s">
        <v>1329</v>
      </c>
      <c r="C60" t="s">
        <v>1480</v>
      </c>
      <c r="D60" t="s">
        <v>21</v>
      </c>
      <c r="F60">
        <v>4</v>
      </c>
      <c r="G60" t="s">
        <v>1419</v>
      </c>
      <c r="H60" s="89">
        <v>46025</v>
      </c>
      <c r="I60" s="89">
        <v>46026</v>
      </c>
      <c r="N60" t="s">
        <v>1431</v>
      </c>
    </row>
    <row r="61" spans="1:14" hidden="1" x14ac:dyDescent="0.25">
      <c r="A61" t="s">
        <v>1316</v>
      </c>
      <c r="B61" t="s">
        <v>1330</v>
      </c>
      <c r="C61" t="s">
        <v>1482</v>
      </c>
      <c r="D61" t="s">
        <v>21</v>
      </c>
      <c r="F61">
        <v>29</v>
      </c>
      <c r="G61" t="s">
        <v>1419</v>
      </c>
      <c r="H61" s="89">
        <v>46025</v>
      </c>
      <c r="I61" s="89">
        <v>46027</v>
      </c>
      <c r="N61" t="s">
        <v>1431</v>
      </c>
    </row>
    <row r="62" spans="1:14" hidden="1" x14ac:dyDescent="0.25">
      <c r="A62" t="s">
        <v>1317</v>
      </c>
      <c r="B62" t="s">
        <v>1331</v>
      </c>
      <c r="C62" t="s">
        <v>1483</v>
      </c>
      <c r="D62" t="s">
        <v>21</v>
      </c>
      <c r="F62">
        <v>14</v>
      </c>
      <c r="G62" t="s">
        <v>1419</v>
      </c>
      <c r="H62" s="89">
        <v>46025</v>
      </c>
      <c r="I62" s="89">
        <v>46027</v>
      </c>
      <c r="N62" t="s">
        <v>1431</v>
      </c>
    </row>
    <row r="63" spans="1:14" hidden="1" x14ac:dyDescent="0.25">
      <c r="A63" t="s">
        <v>1318</v>
      </c>
      <c r="B63" t="s">
        <v>1332</v>
      </c>
      <c r="C63" t="s">
        <v>1484</v>
      </c>
      <c r="D63" t="s">
        <v>21</v>
      </c>
      <c r="F63">
        <v>123</v>
      </c>
      <c r="G63" t="s">
        <v>1419</v>
      </c>
      <c r="H63" s="89">
        <v>46025</v>
      </c>
      <c r="I63" s="89">
        <v>46027</v>
      </c>
      <c r="N63" t="s">
        <v>1431</v>
      </c>
    </row>
    <row r="64" spans="1:14" hidden="1" x14ac:dyDescent="0.25">
      <c r="A64" t="s">
        <v>1313</v>
      </c>
      <c r="B64" t="s">
        <v>1327</v>
      </c>
      <c r="C64" t="s">
        <v>1485</v>
      </c>
      <c r="D64" t="s">
        <v>20</v>
      </c>
      <c r="F64">
        <v>864</v>
      </c>
      <c r="G64">
        <v>18</v>
      </c>
      <c r="H64" s="89">
        <v>46025</v>
      </c>
      <c r="I64" s="89">
        <v>46029</v>
      </c>
      <c r="J64" t="s">
        <v>1486</v>
      </c>
      <c r="N64" t="s">
        <v>1431</v>
      </c>
    </row>
    <row r="65" spans="1:14" hidden="1" x14ac:dyDescent="0.25">
      <c r="A65" t="s">
        <v>1313</v>
      </c>
      <c r="B65" t="s">
        <v>1327</v>
      </c>
      <c r="C65" t="s">
        <v>1485</v>
      </c>
      <c r="D65" t="s">
        <v>20</v>
      </c>
      <c r="F65">
        <v>288</v>
      </c>
      <c r="G65">
        <v>6</v>
      </c>
      <c r="H65" s="89">
        <v>46025</v>
      </c>
      <c r="I65" s="89">
        <v>46028</v>
      </c>
      <c r="N65" t="s">
        <v>1431</v>
      </c>
    </row>
    <row r="66" spans="1:14" hidden="1" x14ac:dyDescent="0.25">
      <c r="A66" t="s">
        <v>1315</v>
      </c>
      <c r="B66" t="s">
        <v>1329</v>
      </c>
      <c r="C66" t="s">
        <v>1485</v>
      </c>
      <c r="D66" t="s">
        <v>20</v>
      </c>
      <c r="F66">
        <v>5</v>
      </c>
      <c r="G66" t="s">
        <v>1419</v>
      </c>
      <c r="H66" s="89">
        <v>46025</v>
      </c>
      <c r="I66" s="89">
        <v>46026</v>
      </c>
      <c r="N66" t="s">
        <v>1431</v>
      </c>
    </row>
    <row r="67" spans="1:14" hidden="1" x14ac:dyDescent="0.25">
      <c r="A67" t="s">
        <v>1316</v>
      </c>
      <c r="B67" t="s">
        <v>1330</v>
      </c>
      <c r="C67" t="s">
        <v>1487</v>
      </c>
      <c r="D67" t="s">
        <v>20</v>
      </c>
      <c r="F67">
        <v>80</v>
      </c>
      <c r="G67" t="s">
        <v>1419</v>
      </c>
      <c r="H67" s="89">
        <v>46025</v>
      </c>
      <c r="I67" s="89">
        <v>46027</v>
      </c>
      <c r="N67" t="s">
        <v>1431</v>
      </c>
    </row>
    <row r="68" spans="1:14" hidden="1" x14ac:dyDescent="0.25">
      <c r="A68" t="s">
        <v>1317</v>
      </c>
      <c r="B68" t="s">
        <v>1331</v>
      </c>
      <c r="C68" t="s">
        <v>1488</v>
      </c>
      <c r="D68" t="s">
        <v>20</v>
      </c>
      <c r="F68">
        <v>8</v>
      </c>
      <c r="G68" t="s">
        <v>1419</v>
      </c>
      <c r="H68" s="89">
        <v>46025</v>
      </c>
      <c r="I68" s="89">
        <v>46027</v>
      </c>
      <c r="N68" t="s">
        <v>1431</v>
      </c>
    </row>
    <row r="69" spans="1:14" hidden="1" x14ac:dyDescent="0.25">
      <c r="A69" t="s">
        <v>1318</v>
      </c>
      <c r="B69" t="s">
        <v>1332</v>
      </c>
      <c r="C69" t="s">
        <v>1489</v>
      </c>
      <c r="D69" t="s">
        <v>20</v>
      </c>
      <c r="F69">
        <v>46</v>
      </c>
      <c r="G69" t="s">
        <v>1419</v>
      </c>
      <c r="H69" s="89">
        <v>46025</v>
      </c>
      <c r="I69" s="89">
        <v>46027</v>
      </c>
      <c r="N69" t="s">
        <v>1431</v>
      </c>
    </row>
    <row r="70" spans="1:14" hidden="1" x14ac:dyDescent="0.25">
      <c r="A70" t="s">
        <v>1324</v>
      </c>
      <c r="B70" t="s">
        <v>1338</v>
      </c>
      <c r="C70" t="s">
        <v>1490</v>
      </c>
      <c r="D70" t="s">
        <v>15</v>
      </c>
      <c r="F70">
        <v>960</v>
      </c>
      <c r="G70">
        <v>20</v>
      </c>
      <c r="H70" s="89">
        <v>46025</v>
      </c>
      <c r="I70" s="89">
        <v>46031</v>
      </c>
      <c r="J70" t="s">
        <v>1456</v>
      </c>
      <c r="N70" t="s">
        <v>1431</v>
      </c>
    </row>
    <row r="71" spans="1:14" hidden="1" x14ac:dyDescent="0.25">
      <c r="A71" t="s">
        <v>1315</v>
      </c>
      <c r="B71" t="s">
        <v>1329</v>
      </c>
      <c r="C71" t="s">
        <v>1490</v>
      </c>
      <c r="D71" t="s">
        <v>15</v>
      </c>
      <c r="F71">
        <v>39</v>
      </c>
      <c r="G71" t="s">
        <v>1419</v>
      </c>
      <c r="H71" s="89">
        <v>46025</v>
      </c>
      <c r="I71" s="89">
        <v>46026</v>
      </c>
      <c r="N71" t="s">
        <v>1431</v>
      </c>
    </row>
    <row r="72" spans="1:14" hidden="1" x14ac:dyDescent="0.25">
      <c r="A72" t="s">
        <v>1444</v>
      </c>
      <c r="B72" t="s">
        <v>1445</v>
      </c>
      <c r="C72" t="s">
        <v>1490</v>
      </c>
      <c r="D72" t="s">
        <v>15</v>
      </c>
      <c r="F72">
        <v>156</v>
      </c>
      <c r="G72">
        <v>1</v>
      </c>
      <c r="H72" s="89">
        <v>46025</v>
      </c>
      <c r="I72" s="89">
        <v>46028</v>
      </c>
      <c r="N72" t="s">
        <v>1431</v>
      </c>
    </row>
    <row r="73" spans="1:14" hidden="1" x14ac:dyDescent="0.25">
      <c r="A73" t="s">
        <v>1316</v>
      </c>
      <c r="B73" t="s">
        <v>1330</v>
      </c>
      <c r="C73" t="s">
        <v>1491</v>
      </c>
      <c r="D73" t="s">
        <v>15</v>
      </c>
      <c r="F73">
        <v>33</v>
      </c>
      <c r="G73" t="s">
        <v>1419</v>
      </c>
      <c r="H73" s="89">
        <v>46025</v>
      </c>
      <c r="I73" s="89">
        <v>46027</v>
      </c>
      <c r="N73" t="s">
        <v>1431</v>
      </c>
    </row>
    <row r="74" spans="1:14" hidden="1" x14ac:dyDescent="0.25">
      <c r="A74" t="s">
        <v>1317</v>
      </c>
      <c r="B74" t="s">
        <v>1331</v>
      </c>
      <c r="C74" t="s">
        <v>1492</v>
      </c>
      <c r="D74" t="s">
        <v>15</v>
      </c>
      <c r="F74">
        <v>16</v>
      </c>
      <c r="G74" t="s">
        <v>1419</v>
      </c>
      <c r="H74" s="89">
        <v>46025</v>
      </c>
      <c r="I74" s="89">
        <v>46027</v>
      </c>
      <c r="N74" t="s">
        <v>1431</v>
      </c>
    </row>
    <row r="75" spans="1:14" hidden="1" x14ac:dyDescent="0.25">
      <c r="A75" t="s">
        <v>1318</v>
      </c>
      <c r="B75" t="s">
        <v>1332</v>
      </c>
      <c r="C75" t="s">
        <v>1493</v>
      </c>
      <c r="D75" t="s">
        <v>15</v>
      </c>
      <c r="F75">
        <v>8</v>
      </c>
      <c r="G75" t="s">
        <v>1419</v>
      </c>
      <c r="H75" s="89">
        <v>46025</v>
      </c>
      <c r="I75" s="89">
        <v>46027</v>
      </c>
      <c r="N75" t="s">
        <v>1431</v>
      </c>
    </row>
    <row r="76" spans="1:14" hidden="1" x14ac:dyDescent="0.25">
      <c r="A76" t="s">
        <v>1313</v>
      </c>
      <c r="B76" t="s">
        <v>1327</v>
      </c>
      <c r="C76" t="s">
        <v>1494</v>
      </c>
      <c r="D76" t="s">
        <v>23</v>
      </c>
      <c r="F76">
        <v>960</v>
      </c>
      <c r="G76">
        <v>20</v>
      </c>
      <c r="H76" s="89">
        <v>46027</v>
      </c>
      <c r="I76" s="89">
        <v>46031</v>
      </c>
      <c r="J76" t="s">
        <v>1495</v>
      </c>
      <c r="N76" t="s">
        <v>1496</v>
      </c>
    </row>
    <row r="77" spans="1:14" hidden="1" x14ac:dyDescent="0.25">
      <c r="A77" t="s">
        <v>1313</v>
      </c>
      <c r="B77" t="s">
        <v>1327</v>
      </c>
      <c r="C77" t="s">
        <v>1497</v>
      </c>
      <c r="D77" t="s">
        <v>15</v>
      </c>
      <c r="F77">
        <v>192</v>
      </c>
      <c r="G77">
        <v>4</v>
      </c>
      <c r="H77" s="89">
        <v>46027</v>
      </c>
      <c r="I77" s="89">
        <v>46031</v>
      </c>
      <c r="J77" t="s">
        <v>1495</v>
      </c>
      <c r="N77" t="s">
        <v>1496</v>
      </c>
    </row>
    <row r="78" spans="1:14" hidden="1" x14ac:dyDescent="0.25">
      <c r="A78" t="s">
        <v>1324</v>
      </c>
      <c r="B78" t="s">
        <v>1338</v>
      </c>
      <c r="C78" t="s">
        <v>1497</v>
      </c>
      <c r="D78" t="s">
        <v>15</v>
      </c>
      <c r="F78">
        <v>1152</v>
      </c>
      <c r="G78">
        <v>24</v>
      </c>
      <c r="H78" s="89">
        <v>46027</v>
      </c>
      <c r="I78" s="89">
        <v>46032</v>
      </c>
      <c r="J78" t="s">
        <v>1498</v>
      </c>
      <c r="N78" t="s">
        <v>1496</v>
      </c>
    </row>
    <row r="79" spans="1:14" hidden="1" x14ac:dyDescent="0.25">
      <c r="A79" t="s">
        <v>1315</v>
      </c>
      <c r="B79" t="s">
        <v>1329</v>
      </c>
      <c r="C79" t="s">
        <v>1497</v>
      </c>
      <c r="D79" t="s">
        <v>15</v>
      </c>
      <c r="F79">
        <v>30</v>
      </c>
      <c r="G79" t="s">
        <v>1419</v>
      </c>
      <c r="H79" s="89">
        <v>46027</v>
      </c>
      <c r="I79" s="89">
        <v>46031</v>
      </c>
      <c r="N79" t="s">
        <v>1496</v>
      </c>
    </row>
    <row r="80" spans="1:14" hidden="1" x14ac:dyDescent="0.25">
      <c r="A80" t="s">
        <v>1316</v>
      </c>
      <c r="B80" t="s">
        <v>1330</v>
      </c>
      <c r="C80" t="s">
        <v>1499</v>
      </c>
      <c r="D80" t="s">
        <v>15</v>
      </c>
      <c r="F80">
        <v>38</v>
      </c>
      <c r="G80" t="s">
        <v>1419</v>
      </c>
      <c r="H80" s="89">
        <v>46027</v>
      </c>
      <c r="I80" s="89">
        <v>46029</v>
      </c>
      <c r="N80" t="s">
        <v>1496</v>
      </c>
    </row>
    <row r="81" spans="1:14" hidden="1" x14ac:dyDescent="0.25">
      <c r="A81" t="s">
        <v>1317</v>
      </c>
      <c r="B81" t="s">
        <v>1331</v>
      </c>
      <c r="C81" t="s">
        <v>1500</v>
      </c>
      <c r="D81" t="s">
        <v>15</v>
      </c>
      <c r="F81">
        <v>13</v>
      </c>
      <c r="G81" t="s">
        <v>1419</v>
      </c>
      <c r="H81" s="89">
        <v>46027</v>
      </c>
      <c r="I81" s="89">
        <v>46029</v>
      </c>
      <c r="N81" t="s">
        <v>1496</v>
      </c>
    </row>
    <row r="82" spans="1:14" hidden="1" x14ac:dyDescent="0.25">
      <c r="A82" t="s">
        <v>1318</v>
      </c>
      <c r="B82" t="s">
        <v>1332</v>
      </c>
      <c r="C82" t="s">
        <v>1501</v>
      </c>
      <c r="D82" t="s">
        <v>15</v>
      </c>
      <c r="F82">
        <v>31</v>
      </c>
      <c r="G82" t="s">
        <v>1419</v>
      </c>
      <c r="H82" s="89">
        <v>46027</v>
      </c>
      <c r="I82" s="89">
        <v>46029</v>
      </c>
      <c r="N82" t="s">
        <v>1496</v>
      </c>
    </row>
    <row r="83" spans="1:14" hidden="1" x14ac:dyDescent="0.25">
      <c r="A83" t="s">
        <v>1313</v>
      </c>
      <c r="B83" t="s">
        <v>1327</v>
      </c>
      <c r="C83" t="s">
        <v>1502</v>
      </c>
      <c r="D83" t="s">
        <v>21</v>
      </c>
      <c r="F83">
        <v>1152</v>
      </c>
      <c r="G83">
        <v>24</v>
      </c>
      <c r="H83" s="89">
        <v>46027</v>
      </c>
      <c r="I83" s="89">
        <v>46031</v>
      </c>
      <c r="J83" t="s">
        <v>1503</v>
      </c>
      <c r="N83" t="s">
        <v>1496</v>
      </c>
    </row>
    <row r="84" spans="1:14" hidden="1" x14ac:dyDescent="0.25">
      <c r="A84" t="s">
        <v>1315</v>
      </c>
      <c r="B84" t="s">
        <v>1329</v>
      </c>
      <c r="C84" t="s">
        <v>1502</v>
      </c>
      <c r="D84" t="s">
        <v>21</v>
      </c>
      <c r="F84">
        <v>6</v>
      </c>
      <c r="G84" t="s">
        <v>1419</v>
      </c>
      <c r="H84" s="89">
        <v>46027</v>
      </c>
      <c r="I84" s="89">
        <v>46031</v>
      </c>
      <c r="N84" t="s">
        <v>1496</v>
      </c>
    </row>
    <row r="85" spans="1:14" hidden="1" x14ac:dyDescent="0.25">
      <c r="A85" t="s">
        <v>1316</v>
      </c>
      <c r="B85" t="s">
        <v>1330</v>
      </c>
      <c r="C85" t="s">
        <v>1504</v>
      </c>
      <c r="D85" t="s">
        <v>21</v>
      </c>
      <c r="F85">
        <v>26</v>
      </c>
      <c r="G85" t="s">
        <v>1419</v>
      </c>
      <c r="H85" s="89">
        <v>46027</v>
      </c>
      <c r="I85" s="89">
        <v>46029</v>
      </c>
      <c r="N85" t="s">
        <v>1496</v>
      </c>
    </row>
    <row r="86" spans="1:14" hidden="1" x14ac:dyDescent="0.25">
      <c r="A86" t="s">
        <v>1317</v>
      </c>
      <c r="B86" t="s">
        <v>1331</v>
      </c>
      <c r="C86" t="s">
        <v>1505</v>
      </c>
      <c r="D86" t="s">
        <v>21</v>
      </c>
      <c r="F86">
        <v>2</v>
      </c>
      <c r="G86" t="s">
        <v>1419</v>
      </c>
      <c r="H86" s="89">
        <v>46027</v>
      </c>
      <c r="I86" s="89">
        <v>46029</v>
      </c>
      <c r="N86" t="s">
        <v>1496</v>
      </c>
    </row>
    <row r="87" spans="1:14" hidden="1" x14ac:dyDescent="0.25">
      <c r="A87" t="s">
        <v>1318</v>
      </c>
      <c r="B87" t="s">
        <v>1332</v>
      </c>
      <c r="C87" t="s">
        <v>1506</v>
      </c>
      <c r="D87" t="s">
        <v>21</v>
      </c>
      <c r="F87">
        <v>109</v>
      </c>
      <c r="G87" t="s">
        <v>1419</v>
      </c>
      <c r="H87" s="89">
        <v>46027</v>
      </c>
      <c r="I87" s="89">
        <v>46029</v>
      </c>
      <c r="N87" t="s">
        <v>1496</v>
      </c>
    </row>
    <row r="88" spans="1:14" hidden="1" x14ac:dyDescent="0.25">
      <c r="A88" t="s">
        <v>1427</v>
      </c>
      <c r="B88" t="s">
        <v>1428</v>
      </c>
      <c r="C88" t="s">
        <v>1507</v>
      </c>
      <c r="D88" t="s">
        <v>20</v>
      </c>
      <c r="F88">
        <v>918</v>
      </c>
      <c r="G88">
        <v>17</v>
      </c>
      <c r="H88" s="89">
        <v>46027</v>
      </c>
      <c r="I88" s="89">
        <v>46030</v>
      </c>
      <c r="J88" t="s">
        <v>1508</v>
      </c>
      <c r="N88" t="s">
        <v>1496</v>
      </c>
    </row>
    <row r="89" spans="1:14" hidden="1" x14ac:dyDescent="0.25">
      <c r="A89" t="s">
        <v>1322</v>
      </c>
      <c r="B89" t="s">
        <v>1336</v>
      </c>
      <c r="C89" t="s">
        <v>1507</v>
      </c>
      <c r="D89" t="s">
        <v>20</v>
      </c>
      <c r="F89">
        <v>162</v>
      </c>
      <c r="G89">
        <v>3</v>
      </c>
      <c r="H89" s="89">
        <v>46027</v>
      </c>
      <c r="I89" s="89">
        <v>46030</v>
      </c>
      <c r="J89" t="s">
        <v>1508</v>
      </c>
      <c r="N89" t="s">
        <v>1496</v>
      </c>
    </row>
    <row r="90" spans="1:14" hidden="1" x14ac:dyDescent="0.25">
      <c r="A90" t="s">
        <v>1313</v>
      </c>
      <c r="B90" t="s">
        <v>1327</v>
      </c>
      <c r="C90" t="s">
        <v>1507</v>
      </c>
      <c r="D90" t="s">
        <v>20</v>
      </c>
      <c r="F90">
        <v>96</v>
      </c>
      <c r="G90">
        <v>2</v>
      </c>
      <c r="H90" s="89">
        <v>46027</v>
      </c>
      <c r="I90" s="89">
        <v>46032</v>
      </c>
      <c r="N90" t="s">
        <v>1496</v>
      </c>
    </row>
    <row r="91" spans="1:14" hidden="1" x14ac:dyDescent="0.25">
      <c r="A91" t="s">
        <v>1316</v>
      </c>
      <c r="B91" t="s">
        <v>1330</v>
      </c>
      <c r="C91" t="s">
        <v>1509</v>
      </c>
      <c r="D91" t="s">
        <v>20</v>
      </c>
      <c r="F91">
        <v>113</v>
      </c>
      <c r="G91" t="s">
        <v>1419</v>
      </c>
      <c r="H91" s="89">
        <v>46027</v>
      </c>
      <c r="I91" s="89">
        <v>46029</v>
      </c>
      <c r="N91" t="s">
        <v>1496</v>
      </c>
    </row>
    <row r="92" spans="1:14" hidden="1" x14ac:dyDescent="0.25">
      <c r="A92" t="s">
        <v>1317</v>
      </c>
      <c r="B92" t="s">
        <v>1331</v>
      </c>
      <c r="C92" t="s">
        <v>1510</v>
      </c>
      <c r="D92" t="s">
        <v>20</v>
      </c>
      <c r="F92">
        <v>7</v>
      </c>
      <c r="G92" t="s">
        <v>1419</v>
      </c>
      <c r="H92" s="89">
        <v>46027</v>
      </c>
      <c r="I92" s="89">
        <v>46029</v>
      </c>
      <c r="N92" t="s">
        <v>1496</v>
      </c>
    </row>
    <row r="93" spans="1:14" hidden="1" x14ac:dyDescent="0.25">
      <c r="A93" t="s">
        <v>1318</v>
      </c>
      <c r="B93" t="s">
        <v>1332</v>
      </c>
      <c r="C93" t="s">
        <v>1511</v>
      </c>
      <c r="D93" t="s">
        <v>20</v>
      </c>
      <c r="F93">
        <v>46</v>
      </c>
      <c r="G93" t="s">
        <v>1419</v>
      </c>
      <c r="H93" s="89">
        <v>46027</v>
      </c>
      <c r="I93" s="89">
        <v>46029</v>
      </c>
      <c r="N93" t="s">
        <v>1496</v>
      </c>
    </row>
    <row r="94" spans="1:14" hidden="1" x14ac:dyDescent="0.25">
      <c r="A94" t="s">
        <v>1326</v>
      </c>
      <c r="B94" t="s">
        <v>1340</v>
      </c>
      <c r="C94" t="s">
        <v>1512</v>
      </c>
      <c r="D94" t="s">
        <v>32</v>
      </c>
      <c r="F94">
        <v>840</v>
      </c>
      <c r="G94">
        <v>20</v>
      </c>
      <c r="H94" s="89">
        <v>46027</v>
      </c>
      <c r="I94" s="89">
        <v>46031</v>
      </c>
      <c r="J94" t="s">
        <v>1513</v>
      </c>
      <c r="N94" t="s">
        <v>1496</v>
      </c>
    </row>
    <row r="95" spans="1:14" hidden="1" x14ac:dyDescent="0.25">
      <c r="A95" t="s">
        <v>1313</v>
      </c>
      <c r="B95" t="s">
        <v>1327</v>
      </c>
      <c r="C95" t="s">
        <v>1514</v>
      </c>
      <c r="D95" t="s">
        <v>23</v>
      </c>
      <c r="F95">
        <v>864</v>
      </c>
      <c r="G95">
        <v>18</v>
      </c>
      <c r="H95" s="89">
        <v>46028</v>
      </c>
      <c r="I95" s="89">
        <v>46031</v>
      </c>
      <c r="J95" t="s">
        <v>1515</v>
      </c>
      <c r="N95" t="s">
        <v>1496</v>
      </c>
    </row>
    <row r="96" spans="1:14" hidden="1" x14ac:dyDescent="0.25">
      <c r="A96" t="s">
        <v>1313</v>
      </c>
      <c r="B96" t="s">
        <v>1327</v>
      </c>
      <c r="C96" t="s">
        <v>1514</v>
      </c>
      <c r="D96" t="s">
        <v>23</v>
      </c>
      <c r="F96">
        <v>96</v>
      </c>
      <c r="G96">
        <v>2</v>
      </c>
      <c r="H96" s="89">
        <v>46028</v>
      </c>
      <c r="I96" s="89">
        <v>46032</v>
      </c>
      <c r="N96" t="s">
        <v>1496</v>
      </c>
    </row>
    <row r="97" spans="1:14" hidden="1" x14ac:dyDescent="0.25">
      <c r="A97" t="s">
        <v>1314</v>
      </c>
      <c r="B97" t="s">
        <v>1328</v>
      </c>
      <c r="C97" t="s">
        <v>1516</v>
      </c>
      <c r="D97" t="s">
        <v>15</v>
      </c>
      <c r="F97">
        <v>288</v>
      </c>
      <c r="G97">
        <v>6</v>
      </c>
      <c r="H97" s="89">
        <v>46028</v>
      </c>
      <c r="I97" s="89">
        <v>46031</v>
      </c>
      <c r="J97" t="s">
        <v>1517</v>
      </c>
      <c r="N97" t="s">
        <v>1496</v>
      </c>
    </row>
    <row r="98" spans="1:14" hidden="1" x14ac:dyDescent="0.25">
      <c r="A98" t="s">
        <v>1313</v>
      </c>
      <c r="B98" t="s">
        <v>1327</v>
      </c>
      <c r="C98" t="s">
        <v>1516</v>
      </c>
      <c r="D98" t="s">
        <v>15</v>
      </c>
      <c r="F98">
        <v>768</v>
      </c>
      <c r="G98">
        <v>16</v>
      </c>
      <c r="H98" s="89">
        <v>46028</v>
      </c>
      <c r="I98" s="89">
        <v>46032</v>
      </c>
      <c r="J98" t="s">
        <v>1518</v>
      </c>
      <c r="N98" t="s">
        <v>1496</v>
      </c>
    </row>
    <row r="99" spans="1:14" hidden="1" x14ac:dyDescent="0.25">
      <c r="A99" t="s">
        <v>1315</v>
      </c>
      <c r="B99" t="s">
        <v>1329</v>
      </c>
      <c r="C99" t="s">
        <v>1516</v>
      </c>
      <c r="D99" t="s">
        <v>15</v>
      </c>
      <c r="F99">
        <v>18</v>
      </c>
      <c r="G99" t="s">
        <v>1419</v>
      </c>
      <c r="H99" s="89">
        <v>46028</v>
      </c>
      <c r="I99" s="89">
        <v>46031</v>
      </c>
      <c r="N99" t="s">
        <v>1496</v>
      </c>
    </row>
    <row r="100" spans="1:14" hidden="1" x14ac:dyDescent="0.25">
      <c r="A100" t="s">
        <v>1316</v>
      </c>
      <c r="B100" t="s">
        <v>1330</v>
      </c>
      <c r="C100" t="s">
        <v>1519</v>
      </c>
      <c r="D100" t="s">
        <v>15</v>
      </c>
      <c r="F100">
        <v>26</v>
      </c>
      <c r="G100" t="s">
        <v>1419</v>
      </c>
      <c r="H100" s="89">
        <v>46028</v>
      </c>
      <c r="I100" s="89">
        <v>46030</v>
      </c>
      <c r="N100" t="s">
        <v>1496</v>
      </c>
    </row>
    <row r="101" spans="1:14" hidden="1" x14ac:dyDescent="0.25">
      <c r="A101" t="s">
        <v>1317</v>
      </c>
      <c r="B101" t="s">
        <v>1331</v>
      </c>
      <c r="C101" t="s">
        <v>1520</v>
      </c>
      <c r="D101" t="s">
        <v>15</v>
      </c>
      <c r="F101">
        <v>5</v>
      </c>
      <c r="G101" t="s">
        <v>1419</v>
      </c>
      <c r="H101" s="89">
        <v>46028</v>
      </c>
      <c r="I101" s="89">
        <v>46030</v>
      </c>
      <c r="N101" t="s">
        <v>1496</v>
      </c>
    </row>
    <row r="102" spans="1:14" hidden="1" x14ac:dyDescent="0.25">
      <c r="A102" t="s">
        <v>1318</v>
      </c>
      <c r="B102" t="s">
        <v>1332</v>
      </c>
      <c r="C102" t="s">
        <v>1521</v>
      </c>
      <c r="D102" t="s">
        <v>15</v>
      </c>
      <c r="F102">
        <v>20</v>
      </c>
      <c r="G102" t="s">
        <v>1419</v>
      </c>
      <c r="H102" s="89">
        <v>46028</v>
      </c>
      <c r="I102" s="89">
        <v>46030</v>
      </c>
      <c r="N102" t="s">
        <v>1496</v>
      </c>
    </row>
    <row r="103" spans="1:14" hidden="1" x14ac:dyDescent="0.25">
      <c r="A103" t="s">
        <v>1313</v>
      </c>
      <c r="B103" t="s">
        <v>1327</v>
      </c>
      <c r="C103" t="s">
        <v>1522</v>
      </c>
      <c r="D103" t="s">
        <v>28</v>
      </c>
      <c r="F103">
        <v>384</v>
      </c>
      <c r="G103">
        <v>8</v>
      </c>
      <c r="H103" s="89">
        <v>46028</v>
      </c>
      <c r="I103" s="89">
        <v>46032</v>
      </c>
      <c r="J103" t="s">
        <v>1518</v>
      </c>
      <c r="N103" t="s">
        <v>1496</v>
      </c>
    </row>
    <row r="104" spans="1:14" hidden="1" x14ac:dyDescent="0.25">
      <c r="A104" t="s">
        <v>1313</v>
      </c>
      <c r="B104" t="s">
        <v>1327</v>
      </c>
      <c r="C104" t="s">
        <v>1522</v>
      </c>
      <c r="D104" t="s">
        <v>28</v>
      </c>
      <c r="F104">
        <v>48</v>
      </c>
      <c r="G104">
        <v>1</v>
      </c>
      <c r="H104" s="89">
        <v>46028</v>
      </c>
      <c r="I104" s="89">
        <v>46030</v>
      </c>
      <c r="N104" t="s">
        <v>1496</v>
      </c>
    </row>
    <row r="105" spans="1:14" hidden="1" x14ac:dyDescent="0.25">
      <c r="A105" t="s">
        <v>1321</v>
      </c>
      <c r="B105" t="s">
        <v>1335</v>
      </c>
      <c r="C105" t="s">
        <v>1523</v>
      </c>
      <c r="D105" t="s">
        <v>138</v>
      </c>
      <c r="F105">
        <v>144</v>
      </c>
      <c r="G105">
        <v>3</v>
      </c>
      <c r="H105" s="89">
        <v>46028</v>
      </c>
      <c r="I105" s="89">
        <v>46034</v>
      </c>
      <c r="J105" t="s">
        <v>1524</v>
      </c>
      <c r="N105" t="s">
        <v>1496</v>
      </c>
    </row>
    <row r="106" spans="1:14" hidden="1" x14ac:dyDescent="0.25">
      <c r="A106" t="s">
        <v>1324</v>
      </c>
      <c r="B106" t="s">
        <v>1338</v>
      </c>
      <c r="C106" t="s">
        <v>1525</v>
      </c>
      <c r="D106" t="s">
        <v>118</v>
      </c>
      <c r="F106">
        <v>960</v>
      </c>
      <c r="G106">
        <v>20</v>
      </c>
      <c r="H106" s="89">
        <v>46028</v>
      </c>
      <c r="I106" s="89">
        <v>46034</v>
      </c>
      <c r="J106" t="s">
        <v>1524</v>
      </c>
      <c r="N106" t="s">
        <v>1496</v>
      </c>
    </row>
    <row r="107" spans="1:14" hidden="1" x14ac:dyDescent="0.25">
      <c r="A107" t="s">
        <v>1427</v>
      </c>
      <c r="B107" t="s">
        <v>1428</v>
      </c>
      <c r="C107" t="s">
        <v>1526</v>
      </c>
      <c r="D107" t="s">
        <v>20</v>
      </c>
      <c r="F107">
        <v>918</v>
      </c>
      <c r="G107">
        <v>17</v>
      </c>
      <c r="H107" s="89">
        <v>46028</v>
      </c>
      <c r="I107" s="89">
        <v>46031</v>
      </c>
      <c r="J107" t="s">
        <v>1527</v>
      </c>
      <c r="N107" t="s">
        <v>1496</v>
      </c>
    </row>
    <row r="108" spans="1:14" hidden="1" x14ac:dyDescent="0.25">
      <c r="A108" t="s">
        <v>1322</v>
      </c>
      <c r="B108" t="s">
        <v>1336</v>
      </c>
      <c r="C108" t="s">
        <v>1526</v>
      </c>
      <c r="D108" t="s">
        <v>20</v>
      </c>
      <c r="F108">
        <v>162</v>
      </c>
      <c r="G108">
        <v>3</v>
      </c>
      <c r="H108" s="89">
        <v>46028</v>
      </c>
      <c r="I108" s="89">
        <v>46031</v>
      </c>
      <c r="J108" t="s">
        <v>1527</v>
      </c>
      <c r="N108" t="s">
        <v>1496</v>
      </c>
    </row>
    <row r="109" spans="1:14" hidden="1" x14ac:dyDescent="0.25">
      <c r="A109" t="s">
        <v>1313</v>
      </c>
      <c r="B109" t="s">
        <v>1327</v>
      </c>
      <c r="C109" t="s">
        <v>1526</v>
      </c>
      <c r="D109" t="s">
        <v>20</v>
      </c>
      <c r="F109">
        <v>96</v>
      </c>
      <c r="G109">
        <v>2</v>
      </c>
      <c r="H109" s="89">
        <v>46028</v>
      </c>
      <c r="I109" s="89">
        <v>46032</v>
      </c>
      <c r="N109" t="s">
        <v>1496</v>
      </c>
    </row>
    <row r="110" spans="1:14" hidden="1" x14ac:dyDescent="0.25">
      <c r="A110" t="s">
        <v>1315</v>
      </c>
      <c r="B110" t="s">
        <v>1329</v>
      </c>
      <c r="C110" t="s">
        <v>1526</v>
      </c>
      <c r="D110" t="s">
        <v>20</v>
      </c>
      <c r="F110">
        <v>41</v>
      </c>
      <c r="G110" t="s">
        <v>1419</v>
      </c>
      <c r="H110" s="89">
        <v>46028</v>
      </c>
      <c r="I110" s="89">
        <v>46030</v>
      </c>
      <c r="N110" t="s">
        <v>1496</v>
      </c>
    </row>
    <row r="111" spans="1:14" hidden="1" x14ac:dyDescent="0.25">
      <c r="A111" t="s">
        <v>1316</v>
      </c>
      <c r="B111" t="s">
        <v>1330</v>
      </c>
      <c r="C111" t="s">
        <v>1528</v>
      </c>
      <c r="D111" t="s">
        <v>20</v>
      </c>
      <c r="F111">
        <v>44</v>
      </c>
      <c r="G111" t="s">
        <v>1419</v>
      </c>
      <c r="H111" s="89">
        <v>46028</v>
      </c>
      <c r="I111" s="89">
        <v>46030</v>
      </c>
      <c r="N111" t="s">
        <v>1496</v>
      </c>
    </row>
    <row r="112" spans="1:14" hidden="1" x14ac:dyDescent="0.25">
      <c r="A112" t="s">
        <v>1317</v>
      </c>
      <c r="B112" t="s">
        <v>1331</v>
      </c>
      <c r="C112" t="s">
        <v>1529</v>
      </c>
      <c r="D112" t="s">
        <v>20</v>
      </c>
      <c r="F112">
        <v>5</v>
      </c>
      <c r="G112" t="s">
        <v>1419</v>
      </c>
      <c r="H112" s="89">
        <v>46028</v>
      </c>
      <c r="I112" s="89">
        <v>46030</v>
      </c>
      <c r="N112" t="s">
        <v>1496</v>
      </c>
    </row>
    <row r="113" spans="1:14" hidden="1" x14ac:dyDescent="0.25">
      <c r="A113" t="s">
        <v>1318</v>
      </c>
      <c r="B113" t="s">
        <v>1332</v>
      </c>
      <c r="C113" t="s">
        <v>1530</v>
      </c>
      <c r="D113" t="s">
        <v>20</v>
      </c>
      <c r="F113">
        <v>31</v>
      </c>
      <c r="G113" t="s">
        <v>1419</v>
      </c>
      <c r="H113" s="89">
        <v>46028</v>
      </c>
      <c r="I113" s="89">
        <v>46030</v>
      </c>
      <c r="N113" t="s">
        <v>1496</v>
      </c>
    </row>
    <row r="114" spans="1:14" hidden="1" x14ac:dyDescent="0.25">
      <c r="A114" t="s">
        <v>1325</v>
      </c>
      <c r="B114" t="s">
        <v>1339</v>
      </c>
      <c r="C114" t="s">
        <v>1523</v>
      </c>
      <c r="D114" t="s">
        <v>138</v>
      </c>
      <c r="F114">
        <v>576</v>
      </c>
      <c r="G114">
        <v>12</v>
      </c>
      <c r="H114" s="89">
        <v>46028</v>
      </c>
      <c r="I114" s="89">
        <v>46031</v>
      </c>
      <c r="N114" t="s">
        <v>1496</v>
      </c>
    </row>
    <row r="115" spans="1:14" hidden="1" x14ac:dyDescent="0.25">
      <c r="A115" t="s">
        <v>1315</v>
      </c>
      <c r="B115" t="s">
        <v>1329</v>
      </c>
      <c r="C115" t="s">
        <v>1522</v>
      </c>
      <c r="D115" t="s">
        <v>28</v>
      </c>
      <c r="F115">
        <v>22</v>
      </c>
      <c r="G115" t="s">
        <v>1419</v>
      </c>
      <c r="H115" s="89">
        <v>46028</v>
      </c>
      <c r="I115" s="89">
        <v>46031</v>
      </c>
      <c r="N115" t="s">
        <v>1496</v>
      </c>
    </row>
    <row r="116" spans="1:14" hidden="1" x14ac:dyDescent="0.25">
      <c r="A116" t="s">
        <v>1316</v>
      </c>
      <c r="B116" t="s">
        <v>1330</v>
      </c>
      <c r="C116" t="s">
        <v>1531</v>
      </c>
      <c r="D116" t="s">
        <v>28</v>
      </c>
      <c r="F116">
        <v>42</v>
      </c>
      <c r="G116" t="s">
        <v>1419</v>
      </c>
      <c r="H116" s="89">
        <v>46028</v>
      </c>
      <c r="I116" s="89">
        <v>46030</v>
      </c>
      <c r="N116" t="s">
        <v>1496</v>
      </c>
    </row>
    <row r="117" spans="1:14" hidden="1" x14ac:dyDescent="0.25">
      <c r="A117" t="s">
        <v>1317</v>
      </c>
      <c r="B117" t="s">
        <v>1331</v>
      </c>
      <c r="C117" t="s">
        <v>1532</v>
      </c>
      <c r="D117" t="s">
        <v>28</v>
      </c>
      <c r="F117">
        <v>0</v>
      </c>
      <c r="G117" t="s">
        <v>1419</v>
      </c>
      <c r="H117" s="89">
        <v>46028</v>
      </c>
      <c r="I117" s="89">
        <v>46030</v>
      </c>
      <c r="N117" t="s">
        <v>1496</v>
      </c>
    </row>
    <row r="118" spans="1:14" hidden="1" x14ac:dyDescent="0.25">
      <c r="A118" t="s">
        <v>1318</v>
      </c>
      <c r="B118" t="s">
        <v>1332</v>
      </c>
      <c r="C118" t="s">
        <v>1533</v>
      </c>
      <c r="D118" t="s">
        <v>28</v>
      </c>
      <c r="F118">
        <v>60</v>
      </c>
      <c r="G118" t="s">
        <v>1419</v>
      </c>
      <c r="H118" s="89">
        <v>46028</v>
      </c>
      <c r="I118" s="89">
        <v>46030</v>
      </c>
      <c r="N118" t="s">
        <v>1496</v>
      </c>
    </row>
    <row r="119" spans="1:14" hidden="1" x14ac:dyDescent="0.25">
      <c r="A119" t="s">
        <v>1313</v>
      </c>
      <c r="B119" t="s">
        <v>1327</v>
      </c>
      <c r="C119" t="s">
        <v>1534</v>
      </c>
      <c r="D119" t="s">
        <v>20</v>
      </c>
      <c r="F119">
        <v>1104</v>
      </c>
      <c r="G119">
        <v>23</v>
      </c>
      <c r="H119" s="89">
        <v>46029</v>
      </c>
      <c r="I119" s="89">
        <v>46032</v>
      </c>
      <c r="N119" t="s">
        <v>1496</v>
      </c>
    </row>
    <row r="120" spans="1:14" hidden="1" x14ac:dyDescent="0.25">
      <c r="A120" t="s">
        <v>1315</v>
      </c>
      <c r="B120" t="s">
        <v>1329</v>
      </c>
      <c r="C120" t="s">
        <v>1534</v>
      </c>
      <c r="D120" t="s">
        <v>20</v>
      </c>
      <c r="F120">
        <v>46</v>
      </c>
      <c r="G120" t="s">
        <v>1419</v>
      </c>
      <c r="H120" s="89">
        <v>46029</v>
      </c>
      <c r="I120" s="89">
        <v>46032</v>
      </c>
      <c r="N120" t="s">
        <v>1496</v>
      </c>
    </row>
    <row r="121" spans="1:14" hidden="1" x14ac:dyDescent="0.25">
      <c r="A121" t="s">
        <v>1316</v>
      </c>
      <c r="B121" t="s">
        <v>1330</v>
      </c>
      <c r="C121" t="s">
        <v>1535</v>
      </c>
      <c r="D121" t="s">
        <v>20</v>
      </c>
      <c r="F121">
        <v>72</v>
      </c>
      <c r="G121" t="s">
        <v>1419</v>
      </c>
      <c r="H121" s="89">
        <v>46029</v>
      </c>
      <c r="I121" s="89">
        <v>46031</v>
      </c>
      <c r="N121" t="s">
        <v>1496</v>
      </c>
    </row>
    <row r="122" spans="1:14" hidden="1" x14ac:dyDescent="0.25">
      <c r="A122" t="s">
        <v>1317</v>
      </c>
      <c r="B122" t="s">
        <v>1331</v>
      </c>
      <c r="C122" t="s">
        <v>1536</v>
      </c>
      <c r="D122" t="s">
        <v>20</v>
      </c>
      <c r="F122">
        <v>30</v>
      </c>
      <c r="G122" t="s">
        <v>1419</v>
      </c>
      <c r="H122" s="89">
        <v>46029</v>
      </c>
      <c r="I122" s="89">
        <v>46031</v>
      </c>
      <c r="N122" t="s">
        <v>1496</v>
      </c>
    </row>
    <row r="123" spans="1:14" hidden="1" x14ac:dyDescent="0.25">
      <c r="A123" t="s">
        <v>1318</v>
      </c>
      <c r="B123" t="s">
        <v>1332</v>
      </c>
      <c r="C123" t="s">
        <v>1537</v>
      </c>
      <c r="D123" t="s">
        <v>20</v>
      </c>
      <c r="F123">
        <v>51</v>
      </c>
      <c r="G123" t="s">
        <v>1419</v>
      </c>
      <c r="H123" s="89">
        <v>46029</v>
      </c>
      <c r="I123" s="89">
        <v>46031</v>
      </c>
      <c r="N123" t="s">
        <v>1496</v>
      </c>
    </row>
    <row r="124" spans="1:14" hidden="1" x14ac:dyDescent="0.25">
      <c r="A124" t="s">
        <v>1313</v>
      </c>
      <c r="B124" t="s">
        <v>1327</v>
      </c>
      <c r="C124" t="s">
        <v>1538</v>
      </c>
      <c r="D124" t="s">
        <v>15</v>
      </c>
      <c r="F124">
        <v>1152</v>
      </c>
      <c r="G124">
        <v>24</v>
      </c>
      <c r="H124" s="89">
        <v>46029</v>
      </c>
      <c r="I124" s="89">
        <v>46033</v>
      </c>
      <c r="J124" t="s">
        <v>1539</v>
      </c>
      <c r="N124" t="s">
        <v>1496</v>
      </c>
    </row>
    <row r="125" spans="1:14" hidden="1" x14ac:dyDescent="0.25">
      <c r="A125" t="s">
        <v>1315</v>
      </c>
      <c r="B125" t="s">
        <v>1329</v>
      </c>
      <c r="C125" t="s">
        <v>1538</v>
      </c>
      <c r="D125" t="s">
        <v>15</v>
      </c>
      <c r="F125">
        <v>9</v>
      </c>
      <c r="G125" t="s">
        <v>1419</v>
      </c>
      <c r="H125" s="89">
        <v>46029</v>
      </c>
      <c r="I125" s="89">
        <v>46031</v>
      </c>
      <c r="N125" t="s">
        <v>1496</v>
      </c>
    </row>
    <row r="126" spans="1:14" hidden="1" x14ac:dyDescent="0.25">
      <c r="A126" t="s">
        <v>1444</v>
      </c>
      <c r="B126" t="s">
        <v>1445</v>
      </c>
      <c r="C126" t="s">
        <v>1538</v>
      </c>
      <c r="D126" t="s">
        <v>15</v>
      </c>
      <c r="F126">
        <v>291</v>
      </c>
      <c r="G126">
        <v>2</v>
      </c>
      <c r="H126" s="89">
        <v>46029</v>
      </c>
      <c r="I126" s="89">
        <v>46031</v>
      </c>
      <c r="N126" t="s">
        <v>1496</v>
      </c>
    </row>
    <row r="127" spans="1:14" hidden="1" x14ac:dyDescent="0.25">
      <c r="A127" t="s">
        <v>1316</v>
      </c>
      <c r="B127" t="s">
        <v>1330</v>
      </c>
      <c r="C127" t="s">
        <v>1540</v>
      </c>
      <c r="D127" t="s">
        <v>15</v>
      </c>
      <c r="F127">
        <v>41</v>
      </c>
      <c r="G127" t="s">
        <v>1419</v>
      </c>
      <c r="H127" s="89">
        <v>46029</v>
      </c>
      <c r="I127" s="89">
        <v>46031</v>
      </c>
      <c r="N127" t="s">
        <v>1496</v>
      </c>
    </row>
    <row r="128" spans="1:14" hidden="1" x14ac:dyDescent="0.25">
      <c r="A128" t="s">
        <v>1317</v>
      </c>
      <c r="B128" t="s">
        <v>1331</v>
      </c>
      <c r="C128" t="s">
        <v>1541</v>
      </c>
      <c r="D128" t="s">
        <v>15</v>
      </c>
      <c r="F128">
        <v>13</v>
      </c>
      <c r="G128" t="s">
        <v>1419</v>
      </c>
      <c r="H128" s="89">
        <v>46029</v>
      </c>
      <c r="I128" s="89">
        <v>46031</v>
      </c>
      <c r="N128" t="s">
        <v>1496</v>
      </c>
    </row>
    <row r="129" spans="1:14" hidden="1" x14ac:dyDescent="0.25">
      <c r="A129" t="s">
        <v>1318</v>
      </c>
      <c r="B129" t="s">
        <v>1332</v>
      </c>
      <c r="C129" t="s">
        <v>1542</v>
      </c>
      <c r="D129" t="s">
        <v>15</v>
      </c>
      <c r="F129">
        <v>5</v>
      </c>
      <c r="G129" t="s">
        <v>1419</v>
      </c>
      <c r="H129" s="89">
        <v>46029</v>
      </c>
      <c r="I129" s="89">
        <v>46031</v>
      </c>
      <c r="N129" t="s">
        <v>1496</v>
      </c>
    </row>
    <row r="130" spans="1:14" hidden="1" x14ac:dyDescent="0.25">
      <c r="A130" t="s">
        <v>1324</v>
      </c>
      <c r="B130" t="s">
        <v>1338</v>
      </c>
      <c r="C130" t="s">
        <v>1543</v>
      </c>
      <c r="D130" t="s">
        <v>152</v>
      </c>
      <c r="F130">
        <v>336</v>
      </c>
      <c r="G130">
        <v>7</v>
      </c>
      <c r="H130" s="89">
        <v>46029</v>
      </c>
      <c r="I130" s="89">
        <v>46034</v>
      </c>
      <c r="J130" t="s">
        <v>1524</v>
      </c>
      <c r="N130" t="s">
        <v>1496</v>
      </c>
    </row>
    <row r="131" spans="1:14" hidden="1" x14ac:dyDescent="0.25">
      <c r="A131" t="s">
        <v>1324</v>
      </c>
      <c r="B131" t="s">
        <v>1338</v>
      </c>
      <c r="C131" t="s">
        <v>1543</v>
      </c>
      <c r="D131" t="s">
        <v>152</v>
      </c>
      <c r="F131">
        <v>144</v>
      </c>
      <c r="G131">
        <v>3</v>
      </c>
      <c r="H131" s="89">
        <v>46029</v>
      </c>
      <c r="I131" s="89">
        <v>46035</v>
      </c>
      <c r="J131" t="s">
        <v>1544</v>
      </c>
      <c r="N131" t="s">
        <v>1496</v>
      </c>
    </row>
    <row r="132" spans="1:14" hidden="1" x14ac:dyDescent="0.25">
      <c r="A132" t="s">
        <v>1324</v>
      </c>
      <c r="B132" t="s">
        <v>1338</v>
      </c>
      <c r="C132" t="s">
        <v>1545</v>
      </c>
      <c r="D132" t="s">
        <v>23</v>
      </c>
      <c r="F132">
        <v>816</v>
      </c>
      <c r="G132">
        <v>17</v>
      </c>
      <c r="H132" s="89">
        <v>46029</v>
      </c>
      <c r="I132" s="89">
        <v>46035</v>
      </c>
      <c r="J132" t="s">
        <v>1544</v>
      </c>
      <c r="N132" t="s">
        <v>1496</v>
      </c>
    </row>
    <row r="133" spans="1:14" hidden="1" x14ac:dyDescent="0.25">
      <c r="A133" t="s">
        <v>1324</v>
      </c>
      <c r="B133" t="s">
        <v>1338</v>
      </c>
      <c r="C133" t="s">
        <v>1546</v>
      </c>
      <c r="D133" t="s">
        <v>28</v>
      </c>
      <c r="F133">
        <v>960</v>
      </c>
      <c r="G133">
        <v>20</v>
      </c>
      <c r="H133" s="89">
        <v>46029</v>
      </c>
      <c r="I133" s="89">
        <v>46035</v>
      </c>
      <c r="J133" t="s">
        <v>1544</v>
      </c>
      <c r="N133" t="s">
        <v>1496</v>
      </c>
    </row>
    <row r="134" spans="1:14" hidden="1" x14ac:dyDescent="0.25">
      <c r="A134" t="s">
        <v>1315</v>
      </c>
      <c r="B134" t="s">
        <v>1329</v>
      </c>
      <c r="C134" t="s">
        <v>1546</v>
      </c>
      <c r="D134" t="s">
        <v>28</v>
      </c>
      <c r="F134">
        <v>23</v>
      </c>
      <c r="G134" t="s">
        <v>1419</v>
      </c>
      <c r="H134" s="89">
        <v>46029</v>
      </c>
      <c r="I134" s="89">
        <v>46035</v>
      </c>
      <c r="N134" t="s">
        <v>1496</v>
      </c>
    </row>
    <row r="135" spans="1:14" hidden="1" x14ac:dyDescent="0.25">
      <c r="A135" t="s">
        <v>1316</v>
      </c>
      <c r="B135" t="s">
        <v>1330</v>
      </c>
      <c r="C135" t="s">
        <v>1547</v>
      </c>
      <c r="D135" t="s">
        <v>28</v>
      </c>
      <c r="F135">
        <v>47</v>
      </c>
      <c r="G135" t="s">
        <v>1419</v>
      </c>
      <c r="H135" s="89">
        <v>46029</v>
      </c>
      <c r="I135" s="89">
        <v>46031</v>
      </c>
      <c r="N135" t="s">
        <v>1496</v>
      </c>
    </row>
    <row r="136" spans="1:14" hidden="1" x14ac:dyDescent="0.25">
      <c r="A136" t="s">
        <v>1317</v>
      </c>
      <c r="B136" t="s">
        <v>1331</v>
      </c>
      <c r="C136" t="s">
        <v>1548</v>
      </c>
      <c r="D136" t="s">
        <v>28</v>
      </c>
      <c r="F136">
        <v>0</v>
      </c>
      <c r="G136" t="s">
        <v>1419</v>
      </c>
      <c r="H136" s="89">
        <v>46029</v>
      </c>
      <c r="I136" s="89">
        <v>46031</v>
      </c>
      <c r="N136" t="s">
        <v>1496</v>
      </c>
    </row>
    <row r="137" spans="1:14" hidden="1" x14ac:dyDescent="0.25">
      <c r="A137" t="s">
        <v>1318</v>
      </c>
      <c r="B137" t="s">
        <v>1332</v>
      </c>
      <c r="C137" t="s">
        <v>1549</v>
      </c>
      <c r="D137" t="s">
        <v>28</v>
      </c>
      <c r="F137">
        <v>73</v>
      </c>
      <c r="G137" t="s">
        <v>1419</v>
      </c>
      <c r="H137" s="89">
        <v>46029</v>
      </c>
      <c r="I137" s="89">
        <v>46031</v>
      </c>
      <c r="N137" t="s">
        <v>1496</v>
      </c>
    </row>
    <row r="138" spans="1:14" hidden="1" x14ac:dyDescent="0.25">
      <c r="A138" t="s">
        <v>1313</v>
      </c>
      <c r="B138" t="s">
        <v>1327</v>
      </c>
      <c r="C138" t="s">
        <v>1550</v>
      </c>
      <c r="D138" t="s">
        <v>20</v>
      </c>
      <c r="F138">
        <v>1152</v>
      </c>
      <c r="G138">
        <v>24</v>
      </c>
      <c r="H138" s="89">
        <v>46030</v>
      </c>
      <c r="I138" s="89">
        <v>46034</v>
      </c>
      <c r="N138" t="s">
        <v>1496</v>
      </c>
    </row>
    <row r="139" spans="1:14" hidden="1" x14ac:dyDescent="0.25">
      <c r="A139" t="s">
        <v>1315</v>
      </c>
      <c r="B139" t="s">
        <v>1329</v>
      </c>
      <c r="C139" t="s">
        <v>1550</v>
      </c>
      <c r="D139" t="s">
        <v>20</v>
      </c>
      <c r="F139">
        <v>13</v>
      </c>
      <c r="G139" t="s">
        <v>1419</v>
      </c>
      <c r="H139" s="89">
        <v>46030</v>
      </c>
      <c r="I139" s="89">
        <v>46034</v>
      </c>
      <c r="N139" t="s">
        <v>1496</v>
      </c>
    </row>
    <row r="140" spans="1:14" hidden="1" x14ac:dyDescent="0.25">
      <c r="A140" t="s">
        <v>1316</v>
      </c>
      <c r="B140" t="s">
        <v>1330</v>
      </c>
      <c r="C140" t="s">
        <v>1551</v>
      </c>
      <c r="D140" t="s">
        <v>20</v>
      </c>
      <c r="F140">
        <v>77</v>
      </c>
      <c r="G140" t="s">
        <v>1419</v>
      </c>
      <c r="H140" s="89">
        <v>46030</v>
      </c>
      <c r="I140" s="89">
        <v>46032</v>
      </c>
      <c r="N140" t="s">
        <v>1496</v>
      </c>
    </row>
    <row r="141" spans="1:14" hidden="1" x14ac:dyDescent="0.25">
      <c r="A141" t="s">
        <v>1317</v>
      </c>
      <c r="B141" t="s">
        <v>1331</v>
      </c>
      <c r="C141" t="s">
        <v>1552</v>
      </c>
      <c r="D141" t="s">
        <v>20</v>
      </c>
      <c r="F141">
        <v>14</v>
      </c>
      <c r="G141" t="s">
        <v>1419</v>
      </c>
      <c r="H141" s="89">
        <v>46030</v>
      </c>
      <c r="I141" s="89">
        <v>46032</v>
      </c>
      <c r="N141" t="s">
        <v>1496</v>
      </c>
    </row>
    <row r="142" spans="1:14" hidden="1" x14ac:dyDescent="0.25">
      <c r="A142" t="s">
        <v>1318</v>
      </c>
      <c r="B142" t="s">
        <v>1332</v>
      </c>
      <c r="C142" t="s">
        <v>1553</v>
      </c>
      <c r="D142" t="s">
        <v>20</v>
      </c>
      <c r="F142">
        <v>53</v>
      </c>
      <c r="G142" t="s">
        <v>1419</v>
      </c>
      <c r="H142" s="89">
        <v>46030</v>
      </c>
      <c r="I142" s="89">
        <v>46032</v>
      </c>
      <c r="N142" t="s">
        <v>1496</v>
      </c>
    </row>
    <row r="143" spans="1:14" hidden="1" x14ac:dyDescent="0.25">
      <c r="A143" t="s">
        <v>1313</v>
      </c>
      <c r="B143" t="s">
        <v>1327</v>
      </c>
      <c r="C143" t="s">
        <v>1554</v>
      </c>
      <c r="D143" t="s">
        <v>23</v>
      </c>
      <c r="F143">
        <v>816</v>
      </c>
      <c r="G143">
        <v>17</v>
      </c>
      <c r="H143" s="89">
        <v>46030</v>
      </c>
      <c r="I143" s="89">
        <v>46034</v>
      </c>
      <c r="J143" t="s">
        <v>1555</v>
      </c>
      <c r="N143" t="s">
        <v>1496</v>
      </c>
    </row>
    <row r="144" spans="1:14" hidden="1" x14ac:dyDescent="0.25">
      <c r="A144" t="s">
        <v>1313</v>
      </c>
      <c r="B144" t="s">
        <v>1327</v>
      </c>
      <c r="C144" t="s">
        <v>1554</v>
      </c>
      <c r="D144" t="s">
        <v>23</v>
      </c>
      <c r="F144">
        <v>144</v>
      </c>
      <c r="G144">
        <v>3</v>
      </c>
      <c r="H144" s="89">
        <v>46030</v>
      </c>
      <c r="I144" s="89">
        <v>46033</v>
      </c>
      <c r="J144" t="s">
        <v>1556</v>
      </c>
      <c r="N144" t="s">
        <v>1496</v>
      </c>
    </row>
    <row r="145" spans="1:14" hidden="1" x14ac:dyDescent="0.25">
      <c r="A145" t="s">
        <v>1313</v>
      </c>
      <c r="B145" t="s">
        <v>1327</v>
      </c>
      <c r="C145" t="s">
        <v>1554</v>
      </c>
      <c r="D145" t="s">
        <v>23</v>
      </c>
      <c r="F145">
        <v>96</v>
      </c>
      <c r="G145">
        <v>2</v>
      </c>
      <c r="H145" s="89">
        <v>46030</v>
      </c>
      <c r="I145" s="89">
        <v>46035</v>
      </c>
      <c r="J145" t="s">
        <v>1518</v>
      </c>
      <c r="N145" t="s">
        <v>1496</v>
      </c>
    </row>
    <row r="146" spans="1:14" hidden="1" x14ac:dyDescent="0.25">
      <c r="A146" t="s">
        <v>1314</v>
      </c>
      <c r="B146" t="s">
        <v>1328</v>
      </c>
      <c r="C146" t="s">
        <v>1557</v>
      </c>
      <c r="D146" t="s">
        <v>21</v>
      </c>
      <c r="F146">
        <v>336</v>
      </c>
      <c r="G146">
        <v>7</v>
      </c>
      <c r="H146" s="89">
        <v>46030</v>
      </c>
      <c r="I146" s="89">
        <v>46034</v>
      </c>
      <c r="J146" t="s">
        <v>1558</v>
      </c>
      <c r="N146" t="s">
        <v>1496</v>
      </c>
    </row>
    <row r="147" spans="1:14" hidden="1" x14ac:dyDescent="0.25">
      <c r="A147" t="s">
        <v>1324</v>
      </c>
      <c r="B147" t="s">
        <v>1338</v>
      </c>
      <c r="C147" t="s">
        <v>1557</v>
      </c>
      <c r="D147" t="s">
        <v>21</v>
      </c>
      <c r="F147">
        <v>144</v>
      </c>
      <c r="G147">
        <v>3</v>
      </c>
      <c r="H147" s="89">
        <v>46030</v>
      </c>
      <c r="I147" s="89">
        <v>46034</v>
      </c>
      <c r="J147" t="s">
        <v>1524</v>
      </c>
      <c r="N147" t="s">
        <v>1496</v>
      </c>
    </row>
    <row r="148" spans="1:14" hidden="1" x14ac:dyDescent="0.25">
      <c r="A148" t="s">
        <v>1313</v>
      </c>
      <c r="B148" t="s">
        <v>1327</v>
      </c>
      <c r="C148" t="s">
        <v>1557</v>
      </c>
      <c r="D148" t="s">
        <v>21</v>
      </c>
      <c r="F148">
        <v>1008</v>
      </c>
      <c r="G148">
        <v>21</v>
      </c>
      <c r="H148" s="89">
        <v>46030</v>
      </c>
      <c r="I148" s="89">
        <v>46033</v>
      </c>
      <c r="J148" t="s">
        <v>1556</v>
      </c>
      <c r="N148" t="s">
        <v>1496</v>
      </c>
    </row>
    <row r="149" spans="1:14" hidden="1" x14ac:dyDescent="0.25">
      <c r="A149" t="s">
        <v>1315</v>
      </c>
      <c r="B149" t="s">
        <v>1329</v>
      </c>
      <c r="C149" t="s">
        <v>1557</v>
      </c>
      <c r="D149" t="s">
        <v>21</v>
      </c>
      <c r="F149">
        <v>13</v>
      </c>
      <c r="G149" t="s">
        <v>1419</v>
      </c>
      <c r="H149" s="89">
        <v>46030</v>
      </c>
      <c r="I149" s="89">
        <v>46034</v>
      </c>
      <c r="N149" t="s">
        <v>1496</v>
      </c>
    </row>
    <row r="150" spans="1:14" hidden="1" x14ac:dyDescent="0.25">
      <c r="A150" t="s">
        <v>1316</v>
      </c>
      <c r="B150" t="s">
        <v>1330</v>
      </c>
      <c r="C150" t="s">
        <v>1559</v>
      </c>
      <c r="D150" t="s">
        <v>21</v>
      </c>
      <c r="F150">
        <v>66</v>
      </c>
      <c r="G150" t="s">
        <v>1419</v>
      </c>
      <c r="H150" s="89">
        <v>46030</v>
      </c>
      <c r="I150" s="89">
        <v>46032</v>
      </c>
      <c r="N150" t="s">
        <v>1496</v>
      </c>
    </row>
    <row r="151" spans="1:14" hidden="1" x14ac:dyDescent="0.25">
      <c r="A151" t="s">
        <v>1317</v>
      </c>
      <c r="B151" t="s">
        <v>1331</v>
      </c>
      <c r="C151" t="s">
        <v>1560</v>
      </c>
      <c r="D151" t="s">
        <v>21</v>
      </c>
      <c r="F151">
        <v>24</v>
      </c>
      <c r="G151" t="s">
        <v>1419</v>
      </c>
      <c r="H151" s="89">
        <v>46030</v>
      </c>
      <c r="I151" s="89">
        <v>46032</v>
      </c>
      <c r="N151" t="s">
        <v>1496</v>
      </c>
    </row>
    <row r="152" spans="1:14" hidden="1" x14ac:dyDescent="0.25">
      <c r="A152" t="s">
        <v>1318</v>
      </c>
      <c r="B152" t="s">
        <v>1332</v>
      </c>
      <c r="C152" t="s">
        <v>1561</v>
      </c>
      <c r="D152" t="s">
        <v>21</v>
      </c>
      <c r="F152">
        <v>108</v>
      </c>
      <c r="G152" t="s">
        <v>1419</v>
      </c>
      <c r="H152" s="89">
        <v>46030</v>
      </c>
      <c r="I152" s="89">
        <v>46032</v>
      </c>
      <c r="N152" t="s">
        <v>1496</v>
      </c>
    </row>
    <row r="153" spans="1:14" hidden="1" x14ac:dyDescent="0.25">
      <c r="A153" t="s">
        <v>1313</v>
      </c>
      <c r="B153" t="s">
        <v>1327</v>
      </c>
      <c r="C153" t="s">
        <v>1562</v>
      </c>
      <c r="D153" t="s">
        <v>21</v>
      </c>
      <c r="F153">
        <v>864</v>
      </c>
      <c r="G153">
        <v>18</v>
      </c>
      <c r="H153" s="89">
        <v>46031</v>
      </c>
      <c r="I153" s="89">
        <v>46035</v>
      </c>
      <c r="N153" t="s">
        <v>1496</v>
      </c>
    </row>
    <row r="154" spans="1:14" hidden="1" x14ac:dyDescent="0.25">
      <c r="A154" t="s">
        <v>1315</v>
      </c>
      <c r="B154" t="s">
        <v>1329</v>
      </c>
      <c r="C154" t="s">
        <v>1562</v>
      </c>
      <c r="D154" t="s">
        <v>21</v>
      </c>
      <c r="F154">
        <v>78</v>
      </c>
      <c r="G154" t="s">
        <v>1419</v>
      </c>
      <c r="H154" s="89">
        <v>46031</v>
      </c>
      <c r="I154" s="89">
        <v>46035</v>
      </c>
      <c r="N154" t="s">
        <v>1496</v>
      </c>
    </row>
    <row r="155" spans="1:14" hidden="1" x14ac:dyDescent="0.25">
      <c r="A155" t="s">
        <v>1444</v>
      </c>
      <c r="B155" t="s">
        <v>1445</v>
      </c>
      <c r="C155" t="s">
        <v>1562</v>
      </c>
      <c r="D155" t="s">
        <v>21</v>
      </c>
      <c r="F155">
        <v>132</v>
      </c>
      <c r="G155">
        <v>1</v>
      </c>
      <c r="H155" s="89">
        <v>46031</v>
      </c>
      <c r="I155" s="89">
        <v>46033</v>
      </c>
      <c r="N155" t="s">
        <v>1496</v>
      </c>
    </row>
    <row r="156" spans="1:14" hidden="1" x14ac:dyDescent="0.25">
      <c r="A156" t="s">
        <v>1316</v>
      </c>
      <c r="B156" t="s">
        <v>1330</v>
      </c>
      <c r="C156" t="s">
        <v>1563</v>
      </c>
      <c r="D156" t="s">
        <v>21</v>
      </c>
      <c r="F156">
        <v>26</v>
      </c>
      <c r="G156" t="s">
        <v>1419</v>
      </c>
      <c r="H156" s="89">
        <v>46031</v>
      </c>
      <c r="I156" s="89">
        <v>46033</v>
      </c>
      <c r="N156" t="s">
        <v>1496</v>
      </c>
    </row>
    <row r="157" spans="1:14" hidden="1" x14ac:dyDescent="0.25">
      <c r="A157" t="s">
        <v>1318</v>
      </c>
      <c r="B157" t="s">
        <v>1332</v>
      </c>
      <c r="C157" t="s">
        <v>1564</v>
      </c>
      <c r="D157" t="s">
        <v>21</v>
      </c>
      <c r="F157">
        <v>9</v>
      </c>
      <c r="G157" t="s">
        <v>1419</v>
      </c>
      <c r="H157" s="89">
        <v>46031</v>
      </c>
      <c r="I157" s="89">
        <v>46033</v>
      </c>
      <c r="N157" t="s">
        <v>1496</v>
      </c>
    </row>
    <row r="158" spans="1:14" hidden="1" x14ac:dyDescent="0.25">
      <c r="A158" t="s">
        <v>1317</v>
      </c>
      <c r="B158" t="s">
        <v>1331</v>
      </c>
      <c r="C158" t="s">
        <v>1564</v>
      </c>
      <c r="D158" t="s">
        <v>21</v>
      </c>
      <c r="F158">
        <v>2</v>
      </c>
      <c r="G158" t="s">
        <v>1419</v>
      </c>
      <c r="H158" s="89">
        <v>46031</v>
      </c>
      <c r="I158" s="89">
        <v>46033</v>
      </c>
      <c r="N158" t="s">
        <v>1496</v>
      </c>
    </row>
    <row r="159" spans="1:14" hidden="1" x14ac:dyDescent="0.25">
      <c r="A159" t="s">
        <v>1318</v>
      </c>
      <c r="B159" t="s">
        <v>1332</v>
      </c>
      <c r="C159" t="s">
        <v>1565</v>
      </c>
      <c r="D159" t="s">
        <v>21</v>
      </c>
      <c r="F159">
        <v>61</v>
      </c>
      <c r="G159" t="s">
        <v>1419</v>
      </c>
      <c r="H159" s="89">
        <v>46031</v>
      </c>
      <c r="I159" s="89">
        <v>46033</v>
      </c>
      <c r="N159" t="s">
        <v>1496</v>
      </c>
    </row>
    <row r="160" spans="1:14" hidden="1" x14ac:dyDescent="0.25">
      <c r="A160" t="s">
        <v>1444</v>
      </c>
      <c r="B160" t="s">
        <v>1445</v>
      </c>
      <c r="C160" t="s">
        <v>1568</v>
      </c>
      <c r="D160" t="s">
        <v>15</v>
      </c>
      <c r="F160">
        <v>174</v>
      </c>
      <c r="G160">
        <v>1</v>
      </c>
      <c r="H160" s="89">
        <v>46034</v>
      </c>
      <c r="I160" s="89">
        <v>46034</v>
      </c>
      <c r="N160" t="s">
        <v>1569</v>
      </c>
    </row>
    <row r="161" spans="1:14" hidden="1" x14ac:dyDescent="0.25">
      <c r="A161" t="s">
        <v>1315</v>
      </c>
      <c r="B161" t="s">
        <v>1329</v>
      </c>
      <c r="C161" t="s">
        <v>1568</v>
      </c>
      <c r="D161" t="s">
        <v>15</v>
      </c>
      <c r="F161">
        <v>315</v>
      </c>
      <c r="G161" t="s">
        <v>1419</v>
      </c>
      <c r="H161" s="89">
        <v>46034</v>
      </c>
      <c r="I161" s="89">
        <v>46036</v>
      </c>
      <c r="N161" t="s">
        <v>1569</v>
      </c>
    </row>
    <row r="162" spans="1:14" hidden="1" x14ac:dyDescent="0.25">
      <c r="A162" t="s">
        <v>1316</v>
      </c>
      <c r="B162" t="s">
        <v>1330</v>
      </c>
      <c r="C162" t="s">
        <v>1570</v>
      </c>
      <c r="D162" t="s">
        <v>15</v>
      </c>
      <c r="F162">
        <v>21</v>
      </c>
      <c r="G162" t="s">
        <v>1419</v>
      </c>
      <c r="H162" s="89">
        <v>46034</v>
      </c>
      <c r="I162" s="89">
        <v>46036</v>
      </c>
      <c r="N162" t="s">
        <v>1569</v>
      </c>
    </row>
    <row r="163" spans="1:14" hidden="1" x14ac:dyDescent="0.25">
      <c r="A163" t="s">
        <v>1317</v>
      </c>
      <c r="B163" t="s">
        <v>1331</v>
      </c>
      <c r="C163" t="s">
        <v>1571</v>
      </c>
      <c r="D163" t="s">
        <v>15</v>
      </c>
      <c r="F163">
        <v>9</v>
      </c>
      <c r="G163" t="s">
        <v>1419</v>
      </c>
      <c r="H163" s="89">
        <v>46034</v>
      </c>
      <c r="I163" s="89">
        <v>46036</v>
      </c>
      <c r="N163" t="s">
        <v>1569</v>
      </c>
    </row>
    <row r="164" spans="1:14" hidden="1" x14ac:dyDescent="0.25">
      <c r="A164" t="s">
        <v>1318</v>
      </c>
      <c r="B164" t="s">
        <v>1332</v>
      </c>
      <c r="C164" t="s">
        <v>1572</v>
      </c>
      <c r="D164" t="s">
        <v>15</v>
      </c>
      <c r="F164">
        <v>0</v>
      </c>
      <c r="G164" t="s">
        <v>1419</v>
      </c>
      <c r="H164" s="89">
        <v>46034</v>
      </c>
      <c r="I164" s="89">
        <v>46036</v>
      </c>
      <c r="N164" t="s">
        <v>1569</v>
      </c>
    </row>
    <row r="165" spans="1:14" hidden="1" x14ac:dyDescent="0.25">
      <c r="A165" t="s">
        <v>1315</v>
      </c>
      <c r="B165" t="s">
        <v>1329</v>
      </c>
      <c r="C165" t="s">
        <v>1573</v>
      </c>
      <c r="D165" t="s">
        <v>28</v>
      </c>
      <c r="F165">
        <v>1010</v>
      </c>
      <c r="G165" t="s">
        <v>1419</v>
      </c>
      <c r="H165" s="89">
        <v>46034</v>
      </c>
      <c r="I165" s="89">
        <v>46036</v>
      </c>
      <c r="N165" t="s">
        <v>1569</v>
      </c>
    </row>
    <row r="166" spans="1:14" hidden="1" x14ac:dyDescent="0.25">
      <c r="A166" t="s">
        <v>1318</v>
      </c>
      <c r="B166" t="s">
        <v>1332</v>
      </c>
      <c r="C166" t="s">
        <v>1574</v>
      </c>
      <c r="D166" t="s">
        <v>28</v>
      </c>
      <c r="F166">
        <v>17</v>
      </c>
      <c r="G166" t="s">
        <v>1419</v>
      </c>
      <c r="H166" s="89">
        <v>46034</v>
      </c>
      <c r="I166" s="89">
        <v>46036</v>
      </c>
      <c r="N166" t="s">
        <v>1569</v>
      </c>
    </row>
    <row r="167" spans="1:14" hidden="1" x14ac:dyDescent="0.25">
      <c r="A167" t="s">
        <v>1318</v>
      </c>
      <c r="B167" t="s">
        <v>1332</v>
      </c>
      <c r="C167" t="s">
        <v>1575</v>
      </c>
      <c r="D167" t="s">
        <v>28</v>
      </c>
      <c r="F167">
        <v>52</v>
      </c>
      <c r="G167" t="s">
        <v>1419</v>
      </c>
      <c r="H167" s="89">
        <v>46034</v>
      </c>
      <c r="I167" s="89">
        <v>46036</v>
      </c>
      <c r="N167" t="s">
        <v>1569</v>
      </c>
    </row>
    <row r="168" spans="1:14" hidden="1" x14ac:dyDescent="0.25">
      <c r="A168" t="s">
        <v>1326</v>
      </c>
      <c r="B168" t="s">
        <v>1340</v>
      </c>
      <c r="C168" t="s">
        <v>1576</v>
      </c>
      <c r="D168" t="s">
        <v>32</v>
      </c>
      <c r="F168">
        <v>840</v>
      </c>
      <c r="G168">
        <v>20</v>
      </c>
      <c r="H168" s="89">
        <v>46034</v>
      </c>
      <c r="I168" s="89">
        <v>46038</v>
      </c>
      <c r="J168" t="s">
        <v>1577</v>
      </c>
      <c r="N168" t="s">
        <v>1569</v>
      </c>
    </row>
    <row r="169" spans="1:14" hidden="1" x14ac:dyDescent="0.25">
      <c r="A169" t="s">
        <v>1313</v>
      </c>
      <c r="B169" t="s">
        <v>1327</v>
      </c>
      <c r="C169" t="s">
        <v>1578</v>
      </c>
      <c r="D169" t="s">
        <v>20</v>
      </c>
      <c r="F169">
        <v>1152</v>
      </c>
      <c r="G169">
        <v>24</v>
      </c>
      <c r="H169" s="89">
        <v>46034</v>
      </c>
      <c r="I169" s="89">
        <v>46038</v>
      </c>
      <c r="J169" t="s">
        <v>1579</v>
      </c>
      <c r="N169" t="s">
        <v>1569</v>
      </c>
    </row>
    <row r="170" spans="1:14" hidden="1" x14ac:dyDescent="0.25">
      <c r="A170" t="s">
        <v>1315</v>
      </c>
      <c r="B170" t="s">
        <v>1329</v>
      </c>
      <c r="C170" t="s">
        <v>1578</v>
      </c>
      <c r="D170" t="s">
        <v>20</v>
      </c>
      <c r="F170">
        <v>20</v>
      </c>
      <c r="G170" t="s">
        <v>1419</v>
      </c>
      <c r="H170" s="89">
        <v>46034</v>
      </c>
      <c r="I170" s="89">
        <v>46036</v>
      </c>
      <c r="N170" t="s">
        <v>1569</v>
      </c>
    </row>
    <row r="171" spans="1:14" hidden="1" x14ac:dyDescent="0.25">
      <c r="A171" t="s">
        <v>1316</v>
      </c>
      <c r="B171" t="s">
        <v>1330</v>
      </c>
      <c r="C171" t="s">
        <v>1580</v>
      </c>
      <c r="D171" t="s">
        <v>20</v>
      </c>
      <c r="F171">
        <v>89</v>
      </c>
      <c r="G171" t="s">
        <v>1419</v>
      </c>
      <c r="H171" s="89">
        <v>46034</v>
      </c>
      <c r="I171" s="89">
        <v>46036</v>
      </c>
      <c r="N171" t="s">
        <v>1569</v>
      </c>
    </row>
    <row r="172" spans="1:14" hidden="1" x14ac:dyDescent="0.25">
      <c r="A172" t="s">
        <v>1317</v>
      </c>
      <c r="B172" t="s">
        <v>1331</v>
      </c>
      <c r="C172" t="s">
        <v>1581</v>
      </c>
      <c r="D172" t="s">
        <v>20</v>
      </c>
      <c r="F172">
        <v>46</v>
      </c>
      <c r="G172" t="s">
        <v>1419</v>
      </c>
      <c r="H172" s="89">
        <v>46034</v>
      </c>
      <c r="I172" s="89">
        <v>46036</v>
      </c>
      <c r="N172" t="s">
        <v>1569</v>
      </c>
    </row>
    <row r="173" spans="1:14" hidden="1" x14ac:dyDescent="0.25">
      <c r="A173" t="s">
        <v>1318</v>
      </c>
      <c r="B173" t="s">
        <v>1332</v>
      </c>
      <c r="C173" t="s">
        <v>1582</v>
      </c>
      <c r="D173" t="s">
        <v>20</v>
      </c>
      <c r="F173">
        <v>48</v>
      </c>
      <c r="G173" t="s">
        <v>1419</v>
      </c>
      <c r="H173" s="89">
        <v>46034</v>
      </c>
      <c r="I173" s="89">
        <v>46036</v>
      </c>
      <c r="N173" t="s">
        <v>1569</v>
      </c>
    </row>
    <row r="174" spans="1:14" hidden="1" x14ac:dyDescent="0.25">
      <c r="A174" t="s">
        <v>1313</v>
      </c>
      <c r="B174" t="s">
        <v>1327</v>
      </c>
      <c r="C174" t="s">
        <v>1583</v>
      </c>
      <c r="D174" t="s">
        <v>23</v>
      </c>
      <c r="F174">
        <v>864</v>
      </c>
      <c r="G174">
        <v>18</v>
      </c>
      <c r="H174" s="89">
        <v>46034</v>
      </c>
      <c r="I174" s="89">
        <v>46036</v>
      </c>
      <c r="J174" t="s">
        <v>1584</v>
      </c>
      <c r="N174" t="s">
        <v>1569</v>
      </c>
    </row>
    <row r="175" spans="1:14" hidden="1" x14ac:dyDescent="0.25">
      <c r="A175" t="s">
        <v>1314</v>
      </c>
      <c r="B175" t="s">
        <v>1328</v>
      </c>
      <c r="C175" t="s">
        <v>1568</v>
      </c>
      <c r="D175" t="s">
        <v>15</v>
      </c>
      <c r="F175">
        <v>288</v>
      </c>
      <c r="G175">
        <v>6</v>
      </c>
      <c r="H175" s="89">
        <v>46034</v>
      </c>
      <c r="I175" s="89">
        <v>46036</v>
      </c>
      <c r="J175" t="s">
        <v>1585</v>
      </c>
      <c r="N175" t="s">
        <v>1569</v>
      </c>
    </row>
    <row r="176" spans="1:14" hidden="1" x14ac:dyDescent="0.25">
      <c r="A176" t="s">
        <v>1314</v>
      </c>
      <c r="B176" t="s">
        <v>1328</v>
      </c>
      <c r="C176" t="s">
        <v>1568</v>
      </c>
      <c r="D176" t="s">
        <v>15</v>
      </c>
      <c r="F176">
        <v>240</v>
      </c>
      <c r="G176">
        <v>5</v>
      </c>
      <c r="H176" s="89">
        <v>46034</v>
      </c>
      <c r="I176" s="89">
        <v>46038</v>
      </c>
      <c r="J176" t="s">
        <v>1586</v>
      </c>
      <c r="N176" t="s">
        <v>1569</v>
      </c>
    </row>
    <row r="177" spans="1:14" hidden="1" x14ac:dyDescent="0.25">
      <c r="A177" t="s">
        <v>1315</v>
      </c>
      <c r="B177" t="s">
        <v>1329</v>
      </c>
      <c r="C177" t="s">
        <v>1587</v>
      </c>
      <c r="D177" t="s">
        <v>15</v>
      </c>
      <c r="F177">
        <v>905</v>
      </c>
      <c r="G177" t="s">
        <v>1419</v>
      </c>
      <c r="H177" s="89">
        <v>46035</v>
      </c>
      <c r="I177" s="89">
        <v>46037</v>
      </c>
      <c r="N177" t="s">
        <v>1569</v>
      </c>
    </row>
    <row r="178" spans="1:14" hidden="1" x14ac:dyDescent="0.25">
      <c r="A178" t="s">
        <v>1444</v>
      </c>
      <c r="B178" t="s">
        <v>1445</v>
      </c>
      <c r="C178" t="s">
        <v>1587</v>
      </c>
      <c r="D178" t="s">
        <v>15</v>
      </c>
      <c r="F178">
        <v>270</v>
      </c>
      <c r="G178">
        <v>2</v>
      </c>
      <c r="H178" s="89">
        <v>46035</v>
      </c>
      <c r="I178" s="89">
        <v>46036</v>
      </c>
      <c r="N178" t="s">
        <v>1569</v>
      </c>
    </row>
    <row r="179" spans="1:14" hidden="1" x14ac:dyDescent="0.25">
      <c r="A179" t="s">
        <v>1316</v>
      </c>
      <c r="B179" t="s">
        <v>1330</v>
      </c>
      <c r="C179" t="s">
        <v>1588</v>
      </c>
      <c r="D179" t="s">
        <v>15</v>
      </c>
      <c r="F179">
        <v>17</v>
      </c>
      <c r="G179" t="s">
        <v>1419</v>
      </c>
      <c r="H179" s="89">
        <v>46035</v>
      </c>
      <c r="I179" s="89">
        <v>46037</v>
      </c>
      <c r="N179" t="s">
        <v>1569</v>
      </c>
    </row>
    <row r="180" spans="1:14" hidden="1" x14ac:dyDescent="0.25">
      <c r="A180" t="s">
        <v>1317</v>
      </c>
      <c r="B180" t="s">
        <v>1331</v>
      </c>
      <c r="C180" t="s">
        <v>1589</v>
      </c>
      <c r="D180" t="s">
        <v>15</v>
      </c>
      <c r="F180">
        <v>10</v>
      </c>
      <c r="G180" t="s">
        <v>1419</v>
      </c>
      <c r="H180" s="89">
        <v>46035</v>
      </c>
      <c r="I180" s="89">
        <v>46037</v>
      </c>
      <c r="N180" t="s">
        <v>1569</v>
      </c>
    </row>
    <row r="181" spans="1:14" hidden="1" x14ac:dyDescent="0.25">
      <c r="A181" t="s">
        <v>1318</v>
      </c>
      <c r="B181" t="s">
        <v>1332</v>
      </c>
      <c r="C181" t="s">
        <v>1590</v>
      </c>
      <c r="D181" t="s">
        <v>15</v>
      </c>
      <c r="F181">
        <v>5</v>
      </c>
      <c r="G181" t="s">
        <v>1419</v>
      </c>
      <c r="H181" s="89">
        <v>46035</v>
      </c>
      <c r="I181" s="89">
        <v>46037</v>
      </c>
      <c r="N181" t="s">
        <v>1569</v>
      </c>
    </row>
    <row r="182" spans="1:14" hidden="1" x14ac:dyDescent="0.25">
      <c r="A182" t="s">
        <v>1427</v>
      </c>
      <c r="B182" t="s">
        <v>1428</v>
      </c>
      <c r="C182" t="s">
        <v>1591</v>
      </c>
      <c r="D182" t="s">
        <v>20</v>
      </c>
      <c r="F182">
        <v>756</v>
      </c>
      <c r="G182">
        <v>14</v>
      </c>
      <c r="H182" s="89">
        <v>46035</v>
      </c>
      <c r="I182" s="89">
        <v>46038</v>
      </c>
      <c r="J182" t="s">
        <v>1592</v>
      </c>
      <c r="N182" t="s">
        <v>1569</v>
      </c>
    </row>
    <row r="183" spans="1:14" hidden="1" x14ac:dyDescent="0.25">
      <c r="A183" t="s">
        <v>1322</v>
      </c>
      <c r="B183" t="s">
        <v>1336</v>
      </c>
      <c r="C183" t="s">
        <v>1591</v>
      </c>
      <c r="D183" t="s">
        <v>20</v>
      </c>
      <c r="F183">
        <v>324</v>
      </c>
      <c r="G183">
        <v>6</v>
      </c>
      <c r="H183" s="89">
        <v>46035</v>
      </c>
      <c r="I183" s="89">
        <v>46038</v>
      </c>
      <c r="J183" t="s">
        <v>1592</v>
      </c>
      <c r="N183" t="s">
        <v>1569</v>
      </c>
    </row>
    <row r="184" spans="1:14" hidden="1" x14ac:dyDescent="0.25">
      <c r="A184" t="s">
        <v>1313</v>
      </c>
      <c r="B184" t="s">
        <v>1327</v>
      </c>
      <c r="C184" t="s">
        <v>1591</v>
      </c>
      <c r="D184" t="s">
        <v>20</v>
      </c>
      <c r="F184">
        <v>144</v>
      </c>
      <c r="G184">
        <v>3</v>
      </c>
      <c r="H184" s="89">
        <v>46035</v>
      </c>
      <c r="I184" s="89">
        <v>46040</v>
      </c>
      <c r="J184" t="s">
        <v>1593</v>
      </c>
      <c r="N184" t="s">
        <v>1569</v>
      </c>
    </row>
    <row r="185" spans="1:14" hidden="1" x14ac:dyDescent="0.25">
      <c r="A185" t="s">
        <v>1315</v>
      </c>
      <c r="B185" t="s">
        <v>1329</v>
      </c>
      <c r="C185" t="s">
        <v>1591</v>
      </c>
      <c r="D185" t="s">
        <v>20</v>
      </c>
      <c r="F185">
        <v>21</v>
      </c>
      <c r="G185" t="s">
        <v>1419</v>
      </c>
      <c r="H185" s="89">
        <v>46035</v>
      </c>
      <c r="I185" s="89">
        <v>46037</v>
      </c>
      <c r="J185" t="s">
        <v>1594</v>
      </c>
      <c r="N185" t="s">
        <v>1569</v>
      </c>
    </row>
    <row r="186" spans="1:14" hidden="1" x14ac:dyDescent="0.25">
      <c r="A186" t="s">
        <v>1316</v>
      </c>
      <c r="B186" t="s">
        <v>1330</v>
      </c>
      <c r="C186" t="s">
        <v>1595</v>
      </c>
      <c r="D186" t="s">
        <v>20</v>
      </c>
      <c r="F186">
        <v>81</v>
      </c>
      <c r="G186" t="s">
        <v>1419</v>
      </c>
      <c r="H186" s="89">
        <v>46035</v>
      </c>
      <c r="I186" s="89">
        <v>46037</v>
      </c>
      <c r="N186" t="s">
        <v>1569</v>
      </c>
    </row>
    <row r="187" spans="1:14" hidden="1" x14ac:dyDescent="0.25">
      <c r="A187" t="s">
        <v>1317</v>
      </c>
      <c r="B187" t="s">
        <v>1331</v>
      </c>
      <c r="C187" t="s">
        <v>1596</v>
      </c>
      <c r="D187" t="s">
        <v>20</v>
      </c>
      <c r="F187">
        <v>6</v>
      </c>
      <c r="G187" t="s">
        <v>1419</v>
      </c>
      <c r="H187" s="89">
        <v>46035</v>
      </c>
      <c r="I187" s="89">
        <v>46037</v>
      </c>
      <c r="N187" t="s">
        <v>1569</v>
      </c>
    </row>
    <row r="188" spans="1:14" hidden="1" x14ac:dyDescent="0.25">
      <c r="A188" t="s">
        <v>1318</v>
      </c>
      <c r="B188" t="s">
        <v>1332</v>
      </c>
      <c r="C188" t="s">
        <v>1597</v>
      </c>
      <c r="D188" t="s">
        <v>20</v>
      </c>
      <c r="F188">
        <v>39</v>
      </c>
      <c r="G188" t="s">
        <v>1419</v>
      </c>
      <c r="H188" s="89">
        <v>46035</v>
      </c>
      <c r="I188" s="89">
        <v>46037</v>
      </c>
      <c r="N188" t="s">
        <v>1569</v>
      </c>
    </row>
    <row r="189" spans="1:14" hidden="1" x14ac:dyDescent="0.25">
      <c r="A189" t="s">
        <v>1324</v>
      </c>
      <c r="B189" t="s">
        <v>1338</v>
      </c>
      <c r="C189" t="s">
        <v>1598</v>
      </c>
      <c r="D189" t="s">
        <v>13</v>
      </c>
      <c r="F189">
        <v>960</v>
      </c>
      <c r="G189">
        <v>20</v>
      </c>
      <c r="H189" s="89">
        <v>46035</v>
      </c>
      <c r="I189" s="89">
        <v>46039</v>
      </c>
      <c r="J189" t="s">
        <v>1599</v>
      </c>
      <c r="N189" t="s">
        <v>1569</v>
      </c>
    </row>
    <row r="190" spans="1:14" hidden="1" x14ac:dyDescent="0.25">
      <c r="A190" t="s">
        <v>1324</v>
      </c>
      <c r="B190" t="s">
        <v>1338</v>
      </c>
      <c r="C190" t="s">
        <v>1600</v>
      </c>
      <c r="D190" t="s">
        <v>152</v>
      </c>
      <c r="F190">
        <v>288</v>
      </c>
      <c r="G190">
        <v>6</v>
      </c>
      <c r="H190" s="89">
        <v>46035</v>
      </c>
      <c r="I190" s="89">
        <v>46039</v>
      </c>
      <c r="J190" t="s">
        <v>1599</v>
      </c>
      <c r="N190" t="s">
        <v>1569</v>
      </c>
    </row>
    <row r="191" spans="1:14" hidden="1" x14ac:dyDescent="0.25">
      <c r="A191" t="s">
        <v>1315</v>
      </c>
      <c r="B191" t="s">
        <v>1329</v>
      </c>
      <c r="C191" t="s">
        <v>1600</v>
      </c>
      <c r="D191" t="s">
        <v>152</v>
      </c>
      <c r="F191">
        <v>40</v>
      </c>
      <c r="G191" t="s">
        <v>1419</v>
      </c>
      <c r="H191" s="89">
        <v>46035</v>
      </c>
      <c r="I191" s="89">
        <v>46041</v>
      </c>
      <c r="N191" t="s">
        <v>1569</v>
      </c>
    </row>
    <row r="192" spans="1:14" hidden="1" x14ac:dyDescent="0.25">
      <c r="A192" t="s">
        <v>1316</v>
      </c>
      <c r="B192" t="s">
        <v>1330</v>
      </c>
      <c r="C192" t="s">
        <v>1600</v>
      </c>
      <c r="D192" t="s">
        <v>152</v>
      </c>
      <c r="F192">
        <v>8</v>
      </c>
      <c r="G192" t="s">
        <v>1419</v>
      </c>
      <c r="H192" s="89">
        <v>46035</v>
      </c>
      <c r="I192" s="89">
        <v>46041</v>
      </c>
      <c r="N192" t="s">
        <v>1569</v>
      </c>
    </row>
    <row r="193" spans="1:14" hidden="1" x14ac:dyDescent="0.25">
      <c r="A193" t="s">
        <v>1313</v>
      </c>
      <c r="B193" t="s">
        <v>1327</v>
      </c>
      <c r="C193" t="s">
        <v>1601</v>
      </c>
      <c r="D193" t="s">
        <v>21</v>
      </c>
      <c r="F193">
        <v>1152</v>
      </c>
      <c r="G193">
        <v>24</v>
      </c>
      <c r="H193" s="89">
        <v>46035</v>
      </c>
      <c r="I193" s="89">
        <v>46039</v>
      </c>
      <c r="J193" t="s">
        <v>1602</v>
      </c>
      <c r="N193" t="s">
        <v>1569</v>
      </c>
    </row>
    <row r="194" spans="1:14" hidden="1" x14ac:dyDescent="0.25">
      <c r="A194" t="s">
        <v>1313</v>
      </c>
      <c r="B194" t="s">
        <v>1327</v>
      </c>
      <c r="C194" t="s">
        <v>1601</v>
      </c>
      <c r="D194" t="s">
        <v>21</v>
      </c>
      <c r="F194">
        <v>48</v>
      </c>
      <c r="G194">
        <v>1</v>
      </c>
      <c r="H194" s="89">
        <v>46035</v>
      </c>
      <c r="I194" s="89">
        <v>46040</v>
      </c>
      <c r="J194" t="s">
        <v>1594</v>
      </c>
      <c r="N194" t="s">
        <v>1569</v>
      </c>
    </row>
    <row r="195" spans="1:14" hidden="1" x14ac:dyDescent="0.25">
      <c r="A195" t="s">
        <v>1315</v>
      </c>
      <c r="B195" t="s">
        <v>1329</v>
      </c>
      <c r="C195" t="s">
        <v>1601</v>
      </c>
      <c r="D195" t="s">
        <v>21</v>
      </c>
      <c r="F195">
        <v>42</v>
      </c>
      <c r="G195" t="s">
        <v>1419</v>
      </c>
      <c r="H195" s="89">
        <v>46035</v>
      </c>
      <c r="I195" s="89">
        <v>46037</v>
      </c>
      <c r="J195" t="s">
        <v>1594</v>
      </c>
      <c r="N195" t="s">
        <v>1569</v>
      </c>
    </row>
    <row r="196" spans="1:14" hidden="1" x14ac:dyDescent="0.25">
      <c r="A196" t="s">
        <v>1316</v>
      </c>
      <c r="B196" t="s">
        <v>1330</v>
      </c>
      <c r="C196" t="s">
        <v>1603</v>
      </c>
      <c r="D196" t="s">
        <v>21</v>
      </c>
      <c r="F196">
        <v>35</v>
      </c>
      <c r="G196" t="s">
        <v>1419</v>
      </c>
      <c r="H196" s="89">
        <v>46035</v>
      </c>
      <c r="I196" s="89">
        <v>46037</v>
      </c>
      <c r="N196" t="s">
        <v>1569</v>
      </c>
    </row>
    <row r="197" spans="1:14" hidden="1" x14ac:dyDescent="0.25">
      <c r="A197" t="s">
        <v>1317</v>
      </c>
      <c r="B197" t="s">
        <v>1331</v>
      </c>
      <c r="C197" t="s">
        <v>1604</v>
      </c>
      <c r="D197" t="s">
        <v>21</v>
      </c>
      <c r="F197">
        <v>13</v>
      </c>
      <c r="G197" t="s">
        <v>1419</v>
      </c>
      <c r="H197" s="89">
        <v>46035</v>
      </c>
      <c r="I197" s="89">
        <v>46037</v>
      </c>
      <c r="N197" t="s">
        <v>1569</v>
      </c>
    </row>
    <row r="198" spans="1:14" hidden="1" x14ac:dyDescent="0.25">
      <c r="A198" t="s">
        <v>1318</v>
      </c>
      <c r="B198" t="s">
        <v>1332</v>
      </c>
      <c r="C198" t="s">
        <v>1605</v>
      </c>
      <c r="D198" t="s">
        <v>21</v>
      </c>
      <c r="F198">
        <v>59</v>
      </c>
      <c r="G198" t="s">
        <v>1419</v>
      </c>
      <c r="H198" s="89">
        <v>46035</v>
      </c>
      <c r="I198" s="89">
        <v>46037</v>
      </c>
      <c r="N198" t="s">
        <v>1569</v>
      </c>
    </row>
    <row r="199" spans="1:14" hidden="1" x14ac:dyDescent="0.25">
      <c r="A199" t="s">
        <v>1313</v>
      </c>
      <c r="B199" t="s">
        <v>1327</v>
      </c>
      <c r="C199" t="s">
        <v>1606</v>
      </c>
      <c r="D199" t="s">
        <v>23</v>
      </c>
      <c r="F199">
        <v>912</v>
      </c>
      <c r="G199">
        <v>19</v>
      </c>
      <c r="H199" s="89">
        <v>46035</v>
      </c>
      <c r="I199" s="89">
        <v>46038</v>
      </c>
      <c r="J199" t="s">
        <v>1607</v>
      </c>
      <c r="N199" t="s">
        <v>1569</v>
      </c>
    </row>
    <row r="200" spans="1:14" hidden="1" x14ac:dyDescent="0.25">
      <c r="A200" t="s">
        <v>1324</v>
      </c>
      <c r="B200" t="s">
        <v>1338</v>
      </c>
      <c r="C200" t="s">
        <v>1608</v>
      </c>
      <c r="D200" t="s">
        <v>15</v>
      </c>
      <c r="F200">
        <v>960</v>
      </c>
      <c r="G200">
        <v>20</v>
      </c>
      <c r="H200" s="89">
        <v>46036</v>
      </c>
      <c r="I200" s="89">
        <v>46043</v>
      </c>
      <c r="J200" t="s">
        <v>1609</v>
      </c>
      <c r="N200" t="s">
        <v>1569</v>
      </c>
    </row>
    <row r="201" spans="1:14" hidden="1" x14ac:dyDescent="0.25">
      <c r="A201" t="s">
        <v>1315</v>
      </c>
      <c r="B201" t="s">
        <v>1329</v>
      </c>
      <c r="C201" t="s">
        <v>1608</v>
      </c>
      <c r="D201" t="s">
        <v>15</v>
      </c>
      <c r="F201">
        <v>74</v>
      </c>
      <c r="G201" t="s">
        <v>1419</v>
      </c>
      <c r="H201" s="89">
        <v>46036</v>
      </c>
      <c r="I201" s="89">
        <v>46038</v>
      </c>
      <c r="N201" t="s">
        <v>1569</v>
      </c>
    </row>
    <row r="202" spans="1:14" hidden="1" x14ac:dyDescent="0.25">
      <c r="A202" t="s">
        <v>1316</v>
      </c>
      <c r="B202" t="s">
        <v>1330</v>
      </c>
      <c r="C202" t="s">
        <v>1610</v>
      </c>
      <c r="D202" t="s">
        <v>15</v>
      </c>
      <c r="F202">
        <v>27</v>
      </c>
      <c r="G202" t="s">
        <v>1419</v>
      </c>
      <c r="H202" s="89">
        <v>46036</v>
      </c>
      <c r="I202" s="89">
        <v>46038</v>
      </c>
      <c r="N202" t="s">
        <v>1569</v>
      </c>
    </row>
    <row r="203" spans="1:14" hidden="1" x14ac:dyDescent="0.25">
      <c r="A203" t="s">
        <v>1317</v>
      </c>
      <c r="B203" t="s">
        <v>1331</v>
      </c>
      <c r="C203" t="s">
        <v>1611</v>
      </c>
      <c r="D203" t="s">
        <v>15</v>
      </c>
      <c r="F203">
        <v>10</v>
      </c>
      <c r="G203" t="s">
        <v>1419</v>
      </c>
      <c r="H203" s="89">
        <v>46036</v>
      </c>
      <c r="I203" s="89">
        <v>46038</v>
      </c>
      <c r="N203" t="s">
        <v>1569</v>
      </c>
    </row>
    <row r="204" spans="1:14" hidden="1" x14ac:dyDescent="0.25">
      <c r="A204" t="s">
        <v>1318</v>
      </c>
      <c r="B204" t="s">
        <v>1332</v>
      </c>
      <c r="C204" t="s">
        <v>1612</v>
      </c>
      <c r="D204" t="s">
        <v>15</v>
      </c>
      <c r="F204">
        <v>31</v>
      </c>
      <c r="G204" t="s">
        <v>1419</v>
      </c>
      <c r="H204" s="89">
        <v>46036</v>
      </c>
      <c r="I204" s="89">
        <v>46038</v>
      </c>
      <c r="N204" t="s">
        <v>1569</v>
      </c>
    </row>
    <row r="205" spans="1:14" hidden="1" x14ac:dyDescent="0.25">
      <c r="A205" t="s">
        <v>1324</v>
      </c>
      <c r="B205" t="s">
        <v>1338</v>
      </c>
      <c r="C205" t="s">
        <v>1613</v>
      </c>
      <c r="D205" t="s">
        <v>147</v>
      </c>
      <c r="F205">
        <v>672</v>
      </c>
      <c r="G205">
        <v>14</v>
      </c>
      <c r="H205" s="89">
        <v>46036</v>
      </c>
      <c r="I205" s="89">
        <v>46039</v>
      </c>
      <c r="J205" t="s">
        <v>1599</v>
      </c>
      <c r="N205" t="s">
        <v>1569</v>
      </c>
    </row>
    <row r="206" spans="1:14" hidden="1" x14ac:dyDescent="0.25">
      <c r="A206" t="s">
        <v>1324</v>
      </c>
      <c r="B206" t="s">
        <v>1338</v>
      </c>
      <c r="C206" t="s">
        <v>1614</v>
      </c>
      <c r="D206" t="s">
        <v>21</v>
      </c>
      <c r="F206">
        <v>96</v>
      </c>
      <c r="G206">
        <v>2</v>
      </c>
      <c r="H206" s="89">
        <v>46036</v>
      </c>
      <c r="I206" s="89">
        <v>46041</v>
      </c>
      <c r="J206" t="s">
        <v>1615</v>
      </c>
      <c r="N206" t="s">
        <v>1569</v>
      </c>
    </row>
    <row r="207" spans="1:14" hidden="1" x14ac:dyDescent="0.25">
      <c r="A207" t="s">
        <v>1313</v>
      </c>
      <c r="B207" t="s">
        <v>1327</v>
      </c>
      <c r="C207" t="s">
        <v>1614</v>
      </c>
      <c r="D207" t="s">
        <v>21</v>
      </c>
      <c r="F207">
        <v>1051</v>
      </c>
      <c r="G207">
        <v>21.895833333333332</v>
      </c>
      <c r="H207" s="89">
        <v>46036</v>
      </c>
      <c r="I207" s="89">
        <v>46040</v>
      </c>
      <c r="J207" t="s">
        <v>1594</v>
      </c>
      <c r="N207" t="s">
        <v>1569</v>
      </c>
    </row>
    <row r="208" spans="1:14" hidden="1" x14ac:dyDescent="0.25">
      <c r="A208" t="s">
        <v>1566</v>
      </c>
      <c r="B208" t="s">
        <v>1567</v>
      </c>
      <c r="C208" t="s">
        <v>1614</v>
      </c>
      <c r="D208" t="s">
        <v>21</v>
      </c>
      <c r="F208">
        <v>5</v>
      </c>
      <c r="G208">
        <v>0.10416666666666669</v>
      </c>
      <c r="H208" s="89">
        <v>46036</v>
      </c>
      <c r="I208" s="89">
        <v>46040</v>
      </c>
      <c r="J208" t="s">
        <v>1616</v>
      </c>
      <c r="N208" t="s">
        <v>1569</v>
      </c>
    </row>
    <row r="209" spans="1:14" hidden="1" x14ac:dyDescent="0.25">
      <c r="A209" t="s">
        <v>1314</v>
      </c>
      <c r="B209" t="s">
        <v>1328</v>
      </c>
      <c r="C209" t="s">
        <v>1614</v>
      </c>
      <c r="D209" t="s">
        <v>21</v>
      </c>
      <c r="F209">
        <v>144</v>
      </c>
      <c r="G209">
        <v>3</v>
      </c>
      <c r="H209" s="89">
        <v>46036</v>
      </c>
      <c r="I209" s="89">
        <v>46041</v>
      </c>
      <c r="J209" t="s">
        <v>1617</v>
      </c>
      <c r="N209" t="s">
        <v>1569</v>
      </c>
    </row>
    <row r="210" spans="1:14" hidden="1" x14ac:dyDescent="0.25">
      <c r="A210" t="s">
        <v>1315</v>
      </c>
      <c r="B210" t="s">
        <v>1329</v>
      </c>
      <c r="C210" t="s">
        <v>1614</v>
      </c>
      <c r="D210" t="s">
        <v>21</v>
      </c>
      <c r="F210">
        <v>24</v>
      </c>
      <c r="G210" t="s">
        <v>1419</v>
      </c>
      <c r="H210" s="89">
        <v>46036</v>
      </c>
      <c r="I210" s="89">
        <v>46038</v>
      </c>
      <c r="N210" t="s">
        <v>1569</v>
      </c>
    </row>
    <row r="211" spans="1:14" hidden="1" x14ac:dyDescent="0.25">
      <c r="A211" t="s">
        <v>1316</v>
      </c>
      <c r="B211" t="s">
        <v>1330</v>
      </c>
      <c r="C211" t="s">
        <v>1618</v>
      </c>
      <c r="D211" t="s">
        <v>21</v>
      </c>
      <c r="F211">
        <v>7</v>
      </c>
      <c r="G211" t="s">
        <v>1419</v>
      </c>
      <c r="H211" s="89">
        <v>46036</v>
      </c>
      <c r="I211" s="89">
        <v>46038</v>
      </c>
      <c r="N211" t="s">
        <v>1569</v>
      </c>
    </row>
    <row r="212" spans="1:14" hidden="1" x14ac:dyDescent="0.25">
      <c r="A212" t="s">
        <v>1317</v>
      </c>
      <c r="B212" t="s">
        <v>1331</v>
      </c>
      <c r="C212" t="s">
        <v>1619</v>
      </c>
      <c r="D212" t="s">
        <v>21</v>
      </c>
      <c r="F212">
        <v>9</v>
      </c>
      <c r="G212" t="s">
        <v>1419</v>
      </c>
      <c r="H212" s="89">
        <v>46036</v>
      </c>
      <c r="I212" s="89">
        <v>46038</v>
      </c>
      <c r="N212" t="s">
        <v>1569</v>
      </c>
    </row>
    <row r="213" spans="1:14" hidden="1" x14ac:dyDescent="0.25">
      <c r="A213" t="s">
        <v>1318</v>
      </c>
      <c r="B213" t="s">
        <v>1332</v>
      </c>
      <c r="C213" t="s">
        <v>1620</v>
      </c>
      <c r="D213" t="s">
        <v>21</v>
      </c>
      <c r="F213">
        <v>41</v>
      </c>
      <c r="G213" t="s">
        <v>1419</v>
      </c>
      <c r="H213" s="89">
        <v>46036</v>
      </c>
      <c r="I213" s="89">
        <v>46038</v>
      </c>
      <c r="N213" t="s">
        <v>1569</v>
      </c>
    </row>
    <row r="214" spans="1:14" hidden="1" x14ac:dyDescent="0.25">
      <c r="A214" t="s">
        <v>1324</v>
      </c>
      <c r="B214" t="s">
        <v>1338</v>
      </c>
      <c r="C214" t="s">
        <v>1621</v>
      </c>
      <c r="D214" t="s">
        <v>23</v>
      </c>
      <c r="F214">
        <v>960</v>
      </c>
      <c r="G214">
        <v>20</v>
      </c>
      <c r="H214" s="89">
        <v>46036</v>
      </c>
      <c r="I214" s="89">
        <v>46041</v>
      </c>
      <c r="J214" t="s">
        <v>1615</v>
      </c>
      <c r="N214" t="s">
        <v>1569</v>
      </c>
    </row>
    <row r="215" spans="1:14" hidden="1" x14ac:dyDescent="0.25">
      <c r="A215" t="s">
        <v>1313</v>
      </c>
      <c r="B215" t="s">
        <v>1327</v>
      </c>
      <c r="C215" t="s">
        <v>1622</v>
      </c>
      <c r="D215" t="s">
        <v>20</v>
      </c>
      <c r="F215">
        <v>48</v>
      </c>
      <c r="G215">
        <v>1</v>
      </c>
      <c r="H215" s="89">
        <v>46036</v>
      </c>
      <c r="I215" s="89">
        <v>46040</v>
      </c>
      <c r="J215" t="s">
        <v>1594</v>
      </c>
      <c r="N215" t="s">
        <v>1569</v>
      </c>
    </row>
    <row r="216" spans="1:14" hidden="1" x14ac:dyDescent="0.25">
      <c r="A216" t="s">
        <v>1313</v>
      </c>
      <c r="B216" t="s">
        <v>1327</v>
      </c>
      <c r="C216" t="s">
        <v>1622</v>
      </c>
      <c r="D216" t="s">
        <v>20</v>
      </c>
      <c r="F216">
        <v>1008</v>
      </c>
      <c r="G216">
        <v>21</v>
      </c>
      <c r="H216" s="89">
        <v>46036</v>
      </c>
      <c r="I216" s="89">
        <v>46040</v>
      </c>
      <c r="J216" t="s">
        <v>1593</v>
      </c>
      <c r="N216" t="s">
        <v>1569</v>
      </c>
    </row>
    <row r="217" spans="1:14" hidden="1" x14ac:dyDescent="0.25">
      <c r="A217" t="s">
        <v>1315</v>
      </c>
      <c r="B217" t="s">
        <v>1329</v>
      </c>
      <c r="C217" t="s">
        <v>1622</v>
      </c>
      <c r="D217" t="s">
        <v>20</v>
      </c>
      <c r="F217">
        <v>192</v>
      </c>
      <c r="G217" t="s">
        <v>1419</v>
      </c>
      <c r="H217" s="89">
        <v>46036</v>
      </c>
      <c r="I217" s="89">
        <v>46039</v>
      </c>
      <c r="N217" t="s">
        <v>1569</v>
      </c>
    </row>
    <row r="218" spans="1:14" hidden="1" x14ac:dyDescent="0.25">
      <c r="A218" t="s">
        <v>1316</v>
      </c>
      <c r="B218" t="s">
        <v>1330</v>
      </c>
      <c r="C218" t="s">
        <v>1623</v>
      </c>
      <c r="D218" t="s">
        <v>20</v>
      </c>
      <c r="F218">
        <v>127</v>
      </c>
      <c r="G218" t="s">
        <v>1419</v>
      </c>
      <c r="H218" s="89">
        <v>46036</v>
      </c>
      <c r="I218" s="89">
        <v>46038</v>
      </c>
      <c r="N218" t="s">
        <v>1569</v>
      </c>
    </row>
    <row r="219" spans="1:14" hidden="1" x14ac:dyDescent="0.25">
      <c r="A219" t="s">
        <v>1317</v>
      </c>
      <c r="B219" t="s">
        <v>1331</v>
      </c>
      <c r="C219" t="s">
        <v>1624</v>
      </c>
      <c r="D219" t="s">
        <v>20</v>
      </c>
      <c r="F219">
        <v>47</v>
      </c>
      <c r="G219" t="s">
        <v>1419</v>
      </c>
      <c r="H219" s="89">
        <v>46036</v>
      </c>
      <c r="I219" s="89">
        <v>46038</v>
      </c>
      <c r="N219" t="s">
        <v>1569</v>
      </c>
    </row>
    <row r="220" spans="1:14" hidden="1" x14ac:dyDescent="0.25">
      <c r="A220" t="s">
        <v>1318</v>
      </c>
      <c r="B220" t="s">
        <v>1332</v>
      </c>
      <c r="C220" t="s">
        <v>1625</v>
      </c>
      <c r="D220" t="s">
        <v>20</v>
      </c>
      <c r="F220">
        <v>69</v>
      </c>
      <c r="G220" t="s">
        <v>1419</v>
      </c>
      <c r="H220" s="89">
        <v>46036</v>
      </c>
      <c r="I220" s="89">
        <v>46038</v>
      </c>
      <c r="N220" t="s">
        <v>1569</v>
      </c>
    </row>
    <row r="221" spans="1:14" hidden="1" x14ac:dyDescent="0.25">
      <c r="A221" t="s">
        <v>1324</v>
      </c>
      <c r="B221" t="s">
        <v>1338</v>
      </c>
      <c r="C221" t="s">
        <v>1626</v>
      </c>
      <c r="D221" t="s">
        <v>23</v>
      </c>
      <c r="F221">
        <v>144</v>
      </c>
      <c r="G221">
        <v>3</v>
      </c>
      <c r="H221" s="89">
        <v>46037</v>
      </c>
      <c r="I221" s="89">
        <v>46043</v>
      </c>
      <c r="J221" t="s">
        <v>1609</v>
      </c>
      <c r="N221" t="s">
        <v>1569</v>
      </c>
    </row>
    <row r="222" spans="1:14" hidden="1" x14ac:dyDescent="0.25">
      <c r="A222" t="s">
        <v>1313</v>
      </c>
      <c r="B222" t="s">
        <v>1327</v>
      </c>
      <c r="C222" t="s">
        <v>1626</v>
      </c>
      <c r="D222" t="s">
        <v>23</v>
      </c>
      <c r="F222">
        <v>624</v>
      </c>
      <c r="G222">
        <v>13</v>
      </c>
      <c r="H222" s="89">
        <v>46037</v>
      </c>
      <c r="I222" s="89">
        <v>46043</v>
      </c>
      <c r="J222" t="s">
        <v>1627</v>
      </c>
      <c r="N222" t="s">
        <v>1569</v>
      </c>
    </row>
    <row r="223" spans="1:14" hidden="1" x14ac:dyDescent="0.25">
      <c r="A223" t="s">
        <v>1313</v>
      </c>
      <c r="B223" t="s">
        <v>1327</v>
      </c>
      <c r="C223" t="s">
        <v>1628</v>
      </c>
      <c r="D223" t="s">
        <v>150</v>
      </c>
      <c r="F223">
        <v>1152</v>
      </c>
      <c r="G223">
        <v>24</v>
      </c>
      <c r="H223" s="89">
        <v>46037</v>
      </c>
      <c r="I223" s="89">
        <v>46041</v>
      </c>
      <c r="J223" t="s">
        <v>1629</v>
      </c>
      <c r="N223" t="s">
        <v>1569</v>
      </c>
    </row>
    <row r="224" spans="1:14" hidden="1" x14ac:dyDescent="0.25">
      <c r="A224" t="s">
        <v>1313</v>
      </c>
      <c r="B224" t="s">
        <v>1327</v>
      </c>
      <c r="C224" t="s">
        <v>1630</v>
      </c>
      <c r="D224" t="s">
        <v>20</v>
      </c>
      <c r="F224">
        <v>432</v>
      </c>
      <c r="G224">
        <v>9</v>
      </c>
      <c r="H224" s="89">
        <v>46037</v>
      </c>
      <c r="I224" s="89">
        <v>46039</v>
      </c>
      <c r="N224" t="s">
        <v>1569</v>
      </c>
    </row>
    <row r="225" spans="1:14" hidden="1" x14ac:dyDescent="0.25">
      <c r="A225" t="s">
        <v>1313</v>
      </c>
      <c r="B225" t="s">
        <v>1327</v>
      </c>
      <c r="C225" t="s">
        <v>1630</v>
      </c>
      <c r="D225" t="s">
        <v>20</v>
      </c>
      <c r="F225">
        <v>864</v>
      </c>
      <c r="G225">
        <v>18</v>
      </c>
      <c r="H225" s="89">
        <v>46037</v>
      </c>
      <c r="I225" s="89">
        <v>46041</v>
      </c>
      <c r="J225" t="s">
        <v>1631</v>
      </c>
      <c r="N225" t="s">
        <v>1569</v>
      </c>
    </row>
    <row r="226" spans="1:14" hidden="1" x14ac:dyDescent="0.25">
      <c r="A226" t="s">
        <v>1315</v>
      </c>
      <c r="B226" t="s">
        <v>1329</v>
      </c>
      <c r="C226" t="s">
        <v>1630</v>
      </c>
      <c r="D226" t="s">
        <v>20</v>
      </c>
      <c r="F226">
        <v>21</v>
      </c>
      <c r="G226" t="s">
        <v>1419</v>
      </c>
      <c r="H226" s="89">
        <v>46037</v>
      </c>
      <c r="I226" s="89">
        <v>46041</v>
      </c>
      <c r="J226" t="s">
        <v>1631</v>
      </c>
      <c r="N226" t="s">
        <v>1569</v>
      </c>
    </row>
    <row r="227" spans="1:14" hidden="1" x14ac:dyDescent="0.25">
      <c r="A227" t="s">
        <v>1316</v>
      </c>
      <c r="B227" t="s">
        <v>1330</v>
      </c>
      <c r="C227" t="s">
        <v>1632</v>
      </c>
      <c r="D227" t="s">
        <v>20</v>
      </c>
      <c r="F227">
        <v>102</v>
      </c>
      <c r="G227" t="s">
        <v>1419</v>
      </c>
      <c r="H227" s="89">
        <v>46037</v>
      </c>
      <c r="I227" s="89">
        <v>46039</v>
      </c>
      <c r="N227" t="s">
        <v>1569</v>
      </c>
    </row>
    <row r="228" spans="1:14" hidden="1" x14ac:dyDescent="0.25">
      <c r="A228" t="s">
        <v>1317</v>
      </c>
      <c r="B228" t="s">
        <v>1331</v>
      </c>
      <c r="C228" t="s">
        <v>1633</v>
      </c>
      <c r="D228" t="s">
        <v>20</v>
      </c>
      <c r="F228">
        <v>22</v>
      </c>
      <c r="G228" t="s">
        <v>1419</v>
      </c>
      <c r="H228" s="89">
        <v>46037</v>
      </c>
      <c r="I228" s="89">
        <v>46039</v>
      </c>
      <c r="N228" t="s">
        <v>1569</v>
      </c>
    </row>
    <row r="229" spans="1:14" hidden="1" x14ac:dyDescent="0.25">
      <c r="A229" t="s">
        <v>1318</v>
      </c>
      <c r="B229" t="s">
        <v>1332</v>
      </c>
      <c r="C229" t="s">
        <v>1634</v>
      </c>
      <c r="D229" t="s">
        <v>20</v>
      </c>
      <c r="F229">
        <v>57</v>
      </c>
      <c r="G229" t="s">
        <v>1419</v>
      </c>
      <c r="H229" s="89">
        <v>46037</v>
      </c>
      <c r="I229" s="89">
        <v>46039</v>
      </c>
      <c r="N229" t="s">
        <v>1569</v>
      </c>
    </row>
    <row r="230" spans="1:14" hidden="1" x14ac:dyDescent="0.25">
      <c r="A230" t="s">
        <v>1444</v>
      </c>
      <c r="B230" t="s">
        <v>1445</v>
      </c>
      <c r="C230" t="s">
        <v>1635</v>
      </c>
      <c r="D230" t="s">
        <v>21</v>
      </c>
      <c r="F230">
        <v>205</v>
      </c>
      <c r="G230">
        <v>2</v>
      </c>
      <c r="H230" s="89">
        <v>46037</v>
      </c>
      <c r="I230" s="89">
        <v>46039</v>
      </c>
      <c r="N230" t="s">
        <v>1569</v>
      </c>
    </row>
    <row r="231" spans="1:14" hidden="1" x14ac:dyDescent="0.25">
      <c r="A231" t="s">
        <v>1314</v>
      </c>
      <c r="B231" t="s">
        <v>1328</v>
      </c>
      <c r="C231" t="s">
        <v>1635</v>
      </c>
      <c r="D231" t="s">
        <v>21</v>
      </c>
      <c r="F231">
        <v>144</v>
      </c>
      <c r="G231">
        <v>3</v>
      </c>
      <c r="H231" s="89">
        <v>46037</v>
      </c>
      <c r="I231" s="89">
        <v>46041</v>
      </c>
      <c r="J231" t="s">
        <v>1617</v>
      </c>
      <c r="N231" t="s">
        <v>1569</v>
      </c>
    </row>
    <row r="232" spans="1:14" hidden="1" x14ac:dyDescent="0.25">
      <c r="A232" t="s">
        <v>1313</v>
      </c>
      <c r="B232" t="s">
        <v>1327</v>
      </c>
      <c r="C232" t="s">
        <v>1635</v>
      </c>
      <c r="D232" t="s">
        <v>21</v>
      </c>
      <c r="F232">
        <v>192</v>
      </c>
      <c r="G232">
        <v>4</v>
      </c>
      <c r="H232" s="89">
        <v>46037</v>
      </c>
      <c r="I232" s="89">
        <v>46041</v>
      </c>
      <c r="N232" t="s">
        <v>1569</v>
      </c>
    </row>
    <row r="233" spans="1:14" hidden="1" x14ac:dyDescent="0.25">
      <c r="A233" t="s">
        <v>1315</v>
      </c>
      <c r="B233" t="s">
        <v>1329</v>
      </c>
      <c r="C233" t="s">
        <v>1635</v>
      </c>
      <c r="D233" t="s">
        <v>21</v>
      </c>
      <c r="F233">
        <v>102</v>
      </c>
      <c r="G233" t="s">
        <v>1419</v>
      </c>
      <c r="H233" s="89">
        <v>46037</v>
      </c>
      <c r="I233" s="89">
        <v>46041</v>
      </c>
      <c r="N233" t="s">
        <v>1569</v>
      </c>
    </row>
    <row r="234" spans="1:14" hidden="1" x14ac:dyDescent="0.25">
      <c r="A234" t="s">
        <v>1316</v>
      </c>
      <c r="B234" t="s">
        <v>1330</v>
      </c>
      <c r="C234" t="s">
        <v>1636</v>
      </c>
      <c r="D234" t="s">
        <v>21</v>
      </c>
      <c r="F234">
        <v>19</v>
      </c>
      <c r="G234" t="s">
        <v>1419</v>
      </c>
      <c r="H234" s="89">
        <v>46037</v>
      </c>
      <c r="I234" s="89">
        <v>46039</v>
      </c>
      <c r="N234" t="s">
        <v>1569</v>
      </c>
    </row>
    <row r="235" spans="1:14" hidden="1" x14ac:dyDescent="0.25">
      <c r="A235" t="s">
        <v>1317</v>
      </c>
      <c r="B235" t="s">
        <v>1331</v>
      </c>
      <c r="C235" t="s">
        <v>1637</v>
      </c>
      <c r="D235" t="s">
        <v>21</v>
      </c>
      <c r="F235">
        <v>14</v>
      </c>
      <c r="G235" t="s">
        <v>1419</v>
      </c>
      <c r="H235" s="89">
        <v>46037</v>
      </c>
      <c r="I235" s="89">
        <v>46039</v>
      </c>
      <c r="N235" t="s">
        <v>1569</v>
      </c>
    </row>
    <row r="236" spans="1:14" hidden="1" x14ac:dyDescent="0.25">
      <c r="A236" t="s">
        <v>1318</v>
      </c>
      <c r="B236" t="s">
        <v>1332</v>
      </c>
      <c r="C236" t="s">
        <v>1638</v>
      </c>
      <c r="D236" t="s">
        <v>21</v>
      </c>
      <c r="F236">
        <v>47</v>
      </c>
      <c r="G236" t="s">
        <v>1419</v>
      </c>
      <c r="H236" s="89">
        <v>46037</v>
      </c>
      <c r="I236" s="89">
        <v>46039</v>
      </c>
      <c r="N236" t="s">
        <v>1569</v>
      </c>
    </row>
    <row r="237" spans="1:14" hidden="1" x14ac:dyDescent="0.25">
      <c r="A237" t="s">
        <v>1325</v>
      </c>
      <c r="B237" t="s">
        <v>1339</v>
      </c>
      <c r="C237" t="s">
        <v>1639</v>
      </c>
      <c r="D237" t="s">
        <v>138</v>
      </c>
      <c r="F237">
        <v>576</v>
      </c>
      <c r="G237">
        <v>12</v>
      </c>
      <c r="H237" s="89">
        <v>46037</v>
      </c>
      <c r="I237" s="89">
        <v>46039</v>
      </c>
      <c r="N237" t="s">
        <v>1569</v>
      </c>
    </row>
    <row r="238" spans="1:14" hidden="1" x14ac:dyDescent="0.25">
      <c r="A238" t="s">
        <v>1321</v>
      </c>
      <c r="B238" t="s">
        <v>1335</v>
      </c>
      <c r="C238" t="s">
        <v>1639</v>
      </c>
      <c r="D238" t="s">
        <v>138</v>
      </c>
      <c r="F238">
        <v>144</v>
      </c>
      <c r="G238">
        <v>3</v>
      </c>
      <c r="H238" s="89">
        <v>46037</v>
      </c>
      <c r="I238" s="89">
        <v>46043</v>
      </c>
      <c r="J238" t="s">
        <v>1609</v>
      </c>
      <c r="N238" t="s">
        <v>1569</v>
      </c>
    </row>
    <row r="239" spans="1:14" hidden="1" x14ac:dyDescent="0.25">
      <c r="A239" t="s">
        <v>1324</v>
      </c>
      <c r="B239" t="s">
        <v>1338</v>
      </c>
      <c r="C239" t="s">
        <v>1640</v>
      </c>
      <c r="D239" t="s">
        <v>15</v>
      </c>
      <c r="F239">
        <v>672</v>
      </c>
      <c r="G239">
        <v>14</v>
      </c>
      <c r="H239" s="89">
        <v>46037</v>
      </c>
      <c r="I239" s="89">
        <v>46043</v>
      </c>
      <c r="J239" t="s">
        <v>1609</v>
      </c>
      <c r="N239" t="s">
        <v>1569</v>
      </c>
    </row>
    <row r="240" spans="1:14" hidden="1" x14ac:dyDescent="0.25">
      <c r="A240" t="s">
        <v>1324</v>
      </c>
      <c r="B240" t="s">
        <v>1338</v>
      </c>
      <c r="C240" t="s">
        <v>1640</v>
      </c>
      <c r="D240" t="s">
        <v>15</v>
      </c>
      <c r="F240">
        <v>96</v>
      </c>
      <c r="G240">
        <v>2</v>
      </c>
      <c r="H240" s="89">
        <v>46037</v>
      </c>
      <c r="I240" s="89">
        <v>46041</v>
      </c>
      <c r="J240" t="s">
        <v>1615</v>
      </c>
      <c r="N240" t="s">
        <v>1569</v>
      </c>
    </row>
    <row r="241" spans="1:14" hidden="1" x14ac:dyDescent="0.25">
      <c r="A241" t="s">
        <v>1314</v>
      </c>
      <c r="B241" t="s">
        <v>1328</v>
      </c>
      <c r="C241" t="s">
        <v>1640</v>
      </c>
      <c r="D241" t="s">
        <v>15</v>
      </c>
      <c r="F241">
        <v>240</v>
      </c>
      <c r="G241">
        <v>5</v>
      </c>
      <c r="H241" s="89">
        <v>46037</v>
      </c>
      <c r="I241" s="89">
        <v>46043</v>
      </c>
      <c r="J241" t="s">
        <v>1641</v>
      </c>
      <c r="N241" t="s">
        <v>1569</v>
      </c>
    </row>
    <row r="242" spans="1:14" hidden="1" x14ac:dyDescent="0.25">
      <c r="A242" t="s">
        <v>1315</v>
      </c>
      <c r="B242" t="s">
        <v>1329</v>
      </c>
      <c r="C242" t="s">
        <v>1640</v>
      </c>
      <c r="D242" t="s">
        <v>15</v>
      </c>
      <c r="F242">
        <v>61</v>
      </c>
      <c r="G242" t="s">
        <v>1419</v>
      </c>
      <c r="H242" s="89">
        <v>46037</v>
      </c>
      <c r="I242" s="89">
        <v>46039</v>
      </c>
      <c r="N242" t="s">
        <v>1569</v>
      </c>
    </row>
    <row r="243" spans="1:14" hidden="1" x14ac:dyDescent="0.25">
      <c r="A243" t="s">
        <v>1316</v>
      </c>
      <c r="B243" t="s">
        <v>1330</v>
      </c>
      <c r="C243" t="s">
        <v>1642</v>
      </c>
      <c r="D243" t="s">
        <v>15</v>
      </c>
      <c r="F243">
        <v>32</v>
      </c>
      <c r="G243" t="s">
        <v>1419</v>
      </c>
      <c r="H243" s="89">
        <v>46037</v>
      </c>
      <c r="I243" s="89">
        <v>46039</v>
      </c>
      <c r="N243" t="s">
        <v>1569</v>
      </c>
    </row>
    <row r="244" spans="1:14" hidden="1" x14ac:dyDescent="0.25">
      <c r="A244" t="s">
        <v>1317</v>
      </c>
      <c r="B244" t="s">
        <v>1331</v>
      </c>
      <c r="C244" t="s">
        <v>1643</v>
      </c>
      <c r="D244" t="s">
        <v>15</v>
      </c>
      <c r="F244">
        <v>13</v>
      </c>
      <c r="G244" t="s">
        <v>1419</v>
      </c>
      <c r="H244" s="89">
        <v>46037</v>
      </c>
      <c r="I244" s="89">
        <v>46039</v>
      </c>
      <c r="N244" t="s">
        <v>1569</v>
      </c>
    </row>
    <row r="245" spans="1:14" hidden="1" x14ac:dyDescent="0.25">
      <c r="A245" t="s">
        <v>1318</v>
      </c>
      <c r="B245" t="s">
        <v>1332</v>
      </c>
      <c r="C245" t="s">
        <v>1644</v>
      </c>
      <c r="D245" t="s">
        <v>15</v>
      </c>
      <c r="F245">
        <v>32</v>
      </c>
      <c r="G245" t="s">
        <v>1419</v>
      </c>
      <c r="H245" s="89">
        <v>46037</v>
      </c>
      <c r="I245" s="89">
        <v>46039</v>
      </c>
      <c r="N245" t="s">
        <v>1569</v>
      </c>
    </row>
    <row r="246" spans="1:14" hidden="1" x14ac:dyDescent="0.25">
      <c r="A246" t="s">
        <v>1324</v>
      </c>
      <c r="B246" t="s">
        <v>1338</v>
      </c>
      <c r="C246" t="s">
        <v>1645</v>
      </c>
      <c r="D246" t="s">
        <v>88</v>
      </c>
      <c r="F246">
        <v>960</v>
      </c>
      <c r="G246">
        <v>20</v>
      </c>
      <c r="H246" s="89">
        <v>46038</v>
      </c>
      <c r="I246" s="89">
        <v>46044</v>
      </c>
      <c r="J246" t="s">
        <v>1646</v>
      </c>
      <c r="N246" t="s">
        <v>1569</v>
      </c>
    </row>
    <row r="247" spans="1:14" hidden="1" x14ac:dyDescent="0.25">
      <c r="A247" t="s">
        <v>1313</v>
      </c>
      <c r="B247" t="s">
        <v>1327</v>
      </c>
      <c r="C247" t="s">
        <v>1647</v>
      </c>
      <c r="D247" t="s">
        <v>23</v>
      </c>
      <c r="F247">
        <v>240</v>
      </c>
      <c r="G247">
        <v>5</v>
      </c>
      <c r="H247" s="89">
        <v>46038</v>
      </c>
      <c r="I247" s="89">
        <v>46043</v>
      </c>
      <c r="J247" t="s">
        <v>1627</v>
      </c>
      <c r="N247" t="s">
        <v>1569</v>
      </c>
    </row>
    <row r="248" spans="1:14" hidden="1" x14ac:dyDescent="0.25">
      <c r="A248" t="s">
        <v>1324</v>
      </c>
      <c r="B248" t="s">
        <v>1338</v>
      </c>
      <c r="C248" t="s">
        <v>1647</v>
      </c>
      <c r="D248" t="s">
        <v>23</v>
      </c>
      <c r="F248">
        <v>96</v>
      </c>
      <c r="G248">
        <v>2</v>
      </c>
      <c r="H248" s="89">
        <v>46038</v>
      </c>
      <c r="I248" s="89">
        <v>46044</v>
      </c>
      <c r="J248" t="s">
        <v>1646</v>
      </c>
      <c r="N248" t="s">
        <v>1569</v>
      </c>
    </row>
    <row r="249" spans="1:14" hidden="1" x14ac:dyDescent="0.25">
      <c r="A249" t="s">
        <v>1313</v>
      </c>
      <c r="B249" t="s">
        <v>1327</v>
      </c>
      <c r="C249" t="s">
        <v>1647</v>
      </c>
      <c r="D249" t="s">
        <v>23</v>
      </c>
      <c r="F249">
        <v>144</v>
      </c>
      <c r="G249">
        <v>3</v>
      </c>
      <c r="H249" s="89">
        <v>46038</v>
      </c>
      <c r="I249" s="89">
        <v>46040</v>
      </c>
      <c r="N249" t="s">
        <v>1569</v>
      </c>
    </row>
    <row r="250" spans="1:14" hidden="1" x14ac:dyDescent="0.25">
      <c r="A250" t="s">
        <v>1444</v>
      </c>
      <c r="B250" t="s">
        <v>1445</v>
      </c>
      <c r="C250" t="s">
        <v>1648</v>
      </c>
      <c r="D250" t="s">
        <v>15</v>
      </c>
      <c r="F250">
        <v>110</v>
      </c>
      <c r="G250">
        <v>1</v>
      </c>
      <c r="H250" s="89">
        <v>46038</v>
      </c>
      <c r="I250" s="89">
        <v>46042</v>
      </c>
      <c r="N250" t="s">
        <v>1569</v>
      </c>
    </row>
    <row r="251" spans="1:14" hidden="1" x14ac:dyDescent="0.25">
      <c r="A251" t="s">
        <v>1324</v>
      </c>
      <c r="B251" t="s">
        <v>1338</v>
      </c>
      <c r="C251" t="s">
        <v>1648</v>
      </c>
      <c r="D251" t="s">
        <v>15</v>
      </c>
      <c r="F251">
        <v>816</v>
      </c>
      <c r="G251">
        <v>17</v>
      </c>
      <c r="H251" s="89">
        <v>46038</v>
      </c>
      <c r="I251" s="89">
        <v>46044</v>
      </c>
      <c r="J251" t="s">
        <v>1646</v>
      </c>
      <c r="N251" t="s">
        <v>1569</v>
      </c>
    </row>
    <row r="252" spans="1:14" hidden="1" x14ac:dyDescent="0.25">
      <c r="A252" t="s">
        <v>1315</v>
      </c>
      <c r="B252" t="s">
        <v>1329</v>
      </c>
      <c r="C252" t="s">
        <v>1648</v>
      </c>
      <c r="D252" t="s">
        <v>15</v>
      </c>
      <c r="F252">
        <v>41</v>
      </c>
      <c r="G252" t="s">
        <v>1419</v>
      </c>
      <c r="H252" s="89">
        <v>46038</v>
      </c>
      <c r="I252" s="89">
        <v>46040</v>
      </c>
      <c r="N252" t="s">
        <v>1569</v>
      </c>
    </row>
    <row r="253" spans="1:14" hidden="1" x14ac:dyDescent="0.25">
      <c r="A253" t="s">
        <v>1649</v>
      </c>
      <c r="B253" t="s">
        <v>1332</v>
      </c>
      <c r="C253" t="s">
        <v>1650</v>
      </c>
      <c r="D253" t="s">
        <v>15</v>
      </c>
      <c r="F253">
        <v>14</v>
      </c>
      <c r="G253" t="s">
        <v>1419</v>
      </c>
      <c r="H253" s="89">
        <v>46038</v>
      </c>
      <c r="I253" s="89">
        <v>46038</v>
      </c>
      <c r="N253" t="s">
        <v>1569</v>
      </c>
    </row>
    <row r="254" spans="1:14" hidden="1" x14ac:dyDescent="0.25">
      <c r="A254" t="s">
        <v>1314</v>
      </c>
      <c r="B254" t="s">
        <v>1328</v>
      </c>
      <c r="C254" t="s">
        <v>1648</v>
      </c>
      <c r="D254" t="s">
        <v>15</v>
      </c>
      <c r="F254">
        <v>48</v>
      </c>
      <c r="G254">
        <v>1</v>
      </c>
      <c r="H254" s="89">
        <v>46038</v>
      </c>
      <c r="I254" s="89">
        <v>46043</v>
      </c>
      <c r="J254" t="s">
        <v>1641</v>
      </c>
      <c r="N254" t="s">
        <v>1569</v>
      </c>
    </row>
    <row r="255" spans="1:14" hidden="1" x14ac:dyDescent="0.25">
      <c r="A255" t="s">
        <v>1316</v>
      </c>
      <c r="B255" t="s">
        <v>1330</v>
      </c>
      <c r="C255" t="s">
        <v>1651</v>
      </c>
      <c r="D255" t="s">
        <v>15</v>
      </c>
      <c r="F255">
        <v>21</v>
      </c>
      <c r="G255" t="s">
        <v>1419</v>
      </c>
      <c r="H255" s="89">
        <v>46038</v>
      </c>
      <c r="I255" s="89">
        <v>46040</v>
      </c>
      <c r="N255" t="s">
        <v>1569</v>
      </c>
    </row>
    <row r="256" spans="1:14" hidden="1" x14ac:dyDescent="0.25">
      <c r="A256" t="s">
        <v>1317</v>
      </c>
      <c r="B256" t="s">
        <v>1331</v>
      </c>
      <c r="C256" t="s">
        <v>1652</v>
      </c>
      <c r="D256" t="s">
        <v>15</v>
      </c>
      <c r="F256">
        <v>10</v>
      </c>
      <c r="G256" t="s">
        <v>1419</v>
      </c>
      <c r="H256" s="89">
        <v>46038</v>
      </c>
      <c r="I256" s="89">
        <v>46040</v>
      </c>
      <c r="N256" t="s">
        <v>1569</v>
      </c>
    </row>
    <row r="257" spans="1:14" hidden="1" x14ac:dyDescent="0.25">
      <c r="A257" t="s">
        <v>1653</v>
      </c>
      <c r="B257" t="s">
        <v>1654</v>
      </c>
      <c r="C257" t="s">
        <v>1655</v>
      </c>
      <c r="G257">
        <v>4</v>
      </c>
      <c r="H257" s="89">
        <v>5</v>
      </c>
      <c r="I257" s="89">
        <v>4</v>
      </c>
      <c r="N257" t="s">
        <v>1569</v>
      </c>
    </row>
    <row r="258" spans="1:14" hidden="1" x14ac:dyDescent="0.25">
      <c r="A258" t="s">
        <v>1326</v>
      </c>
      <c r="B258" t="s">
        <v>1340</v>
      </c>
      <c r="C258" t="s">
        <v>1657</v>
      </c>
      <c r="D258" t="s">
        <v>32</v>
      </c>
      <c r="F258">
        <v>840</v>
      </c>
      <c r="G258">
        <v>20</v>
      </c>
      <c r="H258" s="89">
        <v>46041</v>
      </c>
      <c r="I258" s="89">
        <v>46045</v>
      </c>
      <c r="J258" t="s">
        <v>1658</v>
      </c>
      <c r="N258" t="s">
        <v>1659</v>
      </c>
    </row>
    <row r="259" spans="1:14" hidden="1" x14ac:dyDescent="0.25">
      <c r="A259" t="s">
        <v>1313</v>
      </c>
      <c r="B259" t="s">
        <v>1327</v>
      </c>
      <c r="C259" t="s">
        <v>1660</v>
      </c>
      <c r="D259" t="s">
        <v>21</v>
      </c>
      <c r="F259">
        <v>1152</v>
      </c>
      <c r="G259">
        <v>24</v>
      </c>
      <c r="H259" s="89">
        <v>46041</v>
      </c>
      <c r="I259" s="89">
        <v>46045</v>
      </c>
      <c r="J259" t="s">
        <v>1661</v>
      </c>
      <c r="N259" t="s">
        <v>1659</v>
      </c>
    </row>
    <row r="260" spans="1:14" hidden="1" x14ac:dyDescent="0.25">
      <c r="A260" t="s">
        <v>1315</v>
      </c>
      <c r="B260" t="s">
        <v>1329</v>
      </c>
      <c r="C260" t="s">
        <v>1660</v>
      </c>
      <c r="D260" t="s">
        <v>21</v>
      </c>
      <c r="F260">
        <v>19</v>
      </c>
      <c r="G260" t="s">
        <v>1419</v>
      </c>
      <c r="H260" s="89">
        <v>46041</v>
      </c>
      <c r="I260" s="89">
        <v>46045</v>
      </c>
      <c r="N260" t="s">
        <v>1659</v>
      </c>
    </row>
    <row r="261" spans="1:14" hidden="1" x14ac:dyDescent="0.25">
      <c r="A261" t="s">
        <v>1316</v>
      </c>
      <c r="B261" t="s">
        <v>1330</v>
      </c>
      <c r="C261" t="s">
        <v>1662</v>
      </c>
      <c r="D261" t="s">
        <v>21</v>
      </c>
      <c r="F261">
        <v>22</v>
      </c>
      <c r="G261" t="s">
        <v>1419</v>
      </c>
      <c r="H261" s="89">
        <v>46041</v>
      </c>
      <c r="I261" s="89">
        <v>46047</v>
      </c>
      <c r="N261" t="s">
        <v>1659</v>
      </c>
    </row>
    <row r="262" spans="1:14" hidden="1" x14ac:dyDescent="0.25">
      <c r="A262" t="s">
        <v>1317</v>
      </c>
      <c r="B262" t="s">
        <v>1331</v>
      </c>
      <c r="C262" t="s">
        <v>1663</v>
      </c>
      <c r="D262" t="s">
        <v>21</v>
      </c>
      <c r="F262">
        <v>7</v>
      </c>
      <c r="G262" t="s">
        <v>1419</v>
      </c>
      <c r="H262" s="89">
        <v>46041</v>
      </c>
      <c r="I262" s="89">
        <v>46047</v>
      </c>
      <c r="N262" t="s">
        <v>1659</v>
      </c>
    </row>
    <row r="263" spans="1:14" hidden="1" x14ac:dyDescent="0.25">
      <c r="A263" t="s">
        <v>1318</v>
      </c>
      <c r="B263" t="s">
        <v>1332</v>
      </c>
      <c r="C263" t="s">
        <v>1664</v>
      </c>
      <c r="D263" t="s">
        <v>21</v>
      </c>
      <c r="F263">
        <v>41</v>
      </c>
      <c r="G263" t="s">
        <v>1419</v>
      </c>
      <c r="H263" s="89">
        <v>46041</v>
      </c>
      <c r="I263" s="89">
        <v>46047</v>
      </c>
      <c r="N263" t="s">
        <v>1659</v>
      </c>
    </row>
    <row r="264" spans="1:14" hidden="1" x14ac:dyDescent="0.25">
      <c r="A264" t="s">
        <v>1313</v>
      </c>
      <c r="B264" t="s">
        <v>1327</v>
      </c>
      <c r="C264" t="s">
        <v>1665</v>
      </c>
      <c r="D264" t="s">
        <v>23</v>
      </c>
      <c r="F264">
        <v>480</v>
      </c>
      <c r="G264">
        <v>10</v>
      </c>
      <c r="H264" s="89">
        <v>46041</v>
      </c>
      <c r="I264" s="89">
        <v>46045</v>
      </c>
      <c r="J264" t="s">
        <v>1666</v>
      </c>
      <c r="N264" t="s">
        <v>1659</v>
      </c>
    </row>
    <row r="265" spans="1:14" hidden="1" x14ac:dyDescent="0.25">
      <c r="A265" t="s">
        <v>1324</v>
      </c>
      <c r="B265" t="s">
        <v>1338</v>
      </c>
      <c r="C265" t="s">
        <v>1667</v>
      </c>
      <c r="D265" t="s">
        <v>13</v>
      </c>
      <c r="F265">
        <v>960</v>
      </c>
      <c r="G265">
        <v>20</v>
      </c>
      <c r="H265" s="89">
        <v>46041</v>
      </c>
      <c r="I265" s="89">
        <v>46048</v>
      </c>
      <c r="J265" t="s">
        <v>1668</v>
      </c>
      <c r="N265" t="s">
        <v>1659</v>
      </c>
    </row>
    <row r="266" spans="1:14" hidden="1" x14ac:dyDescent="0.25">
      <c r="A266" t="s">
        <v>1427</v>
      </c>
      <c r="B266" t="s">
        <v>1428</v>
      </c>
      <c r="C266" t="s">
        <v>1669</v>
      </c>
      <c r="D266" t="s">
        <v>20</v>
      </c>
      <c r="F266">
        <v>918</v>
      </c>
      <c r="G266">
        <v>17</v>
      </c>
      <c r="H266" s="89">
        <v>46041</v>
      </c>
      <c r="I266" s="89">
        <v>46044</v>
      </c>
      <c r="J266" t="s">
        <v>1670</v>
      </c>
      <c r="N266" t="s">
        <v>1659</v>
      </c>
    </row>
    <row r="267" spans="1:14" hidden="1" x14ac:dyDescent="0.25">
      <c r="A267" t="s">
        <v>1322</v>
      </c>
      <c r="B267" t="s">
        <v>1336</v>
      </c>
      <c r="C267" t="s">
        <v>1669</v>
      </c>
      <c r="D267" t="s">
        <v>20</v>
      </c>
      <c r="F267">
        <v>162</v>
      </c>
      <c r="G267">
        <v>3</v>
      </c>
      <c r="H267" s="89">
        <v>46041</v>
      </c>
      <c r="I267" s="89">
        <v>46044</v>
      </c>
      <c r="J267" t="s">
        <v>1670</v>
      </c>
      <c r="N267" t="s">
        <v>1659</v>
      </c>
    </row>
    <row r="268" spans="1:14" hidden="1" x14ac:dyDescent="0.25">
      <c r="A268" t="s">
        <v>1313</v>
      </c>
      <c r="B268" t="s">
        <v>1327</v>
      </c>
      <c r="C268" t="s">
        <v>1669</v>
      </c>
      <c r="D268" t="s">
        <v>20</v>
      </c>
      <c r="F268">
        <v>144</v>
      </c>
      <c r="G268">
        <v>3</v>
      </c>
      <c r="H268" s="89">
        <v>46041</v>
      </c>
      <c r="I268" s="89">
        <v>46045</v>
      </c>
      <c r="N268" t="s">
        <v>1659</v>
      </c>
    </row>
    <row r="269" spans="1:14" hidden="1" x14ac:dyDescent="0.25">
      <c r="A269" t="s">
        <v>1315</v>
      </c>
      <c r="B269" t="s">
        <v>1329</v>
      </c>
      <c r="C269" t="s">
        <v>1669</v>
      </c>
      <c r="D269" t="s">
        <v>20</v>
      </c>
      <c r="F269">
        <v>3</v>
      </c>
      <c r="G269" t="s">
        <v>1419</v>
      </c>
      <c r="H269" s="89">
        <v>46041</v>
      </c>
      <c r="I269" s="89">
        <v>46045</v>
      </c>
      <c r="N269" t="s">
        <v>1659</v>
      </c>
    </row>
    <row r="270" spans="1:14" hidden="1" x14ac:dyDescent="0.25">
      <c r="A270" t="s">
        <v>1316</v>
      </c>
      <c r="B270" t="s">
        <v>1330</v>
      </c>
      <c r="C270" t="s">
        <v>1671</v>
      </c>
      <c r="D270" t="s">
        <v>20</v>
      </c>
      <c r="F270">
        <v>77</v>
      </c>
      <c r="G270" t="s">
        <v>1419</v>
      </c>
      <c r="H270" s="89">
        <v>46041</v>
      </c>
      <c r="I270" s="89">
        <v>46047</v>
      </c>
      <c r="N270" t="s">
        <v>1659</v>
      </c>
    </row>
    <row r="271" spans="1:14" hidden="1" x14ac:dyDescent="0.25">
      <c r="A271" t="s">
        <v>1317</v>
      </c>
      <c r="B271" t="s">
        <v>1331</v>
      </c>
      <c r="C271" t="s">
        <v>1672</v>
      </c>
      <c r="D271" t="s">
        <v>20</v>
      </c>
      <c r="F271">
        <v>11</v>
      </c>
      <c r="G271" t="s">
        <v>1419</v>
      </c>
      <c r="H271" s="89">
        <v>46041</v>
      </c>
      <c r="I271" s="89">
        <v>46047</v>
      </c>
      <c r="N271" t="s">
        <v>1659</v>
      </c>
    </row>
    <row r="272" spans="1:14" hidden="1" x14ac:dyDescent="0.25">
      <c r="A272" t="s">
        <v>1318</v>
      </c>
      <c r="B272" t="s">
        <v>1332</v>
      </c>
      <c r="C272" t="s">
        <v>1673</v>
      </c>
      <c r="D272" t="s">
        <v>20</v>
      </c>
      <c r="F272">
        <v>33</v>
      </c>
      <c r="G272" t="s">
        <v>1419</v>
      </c>
      <c r="H272" s="89">
        <v>46041</v>
      </c>
      <c r="I272" s="89">
        <v>46047</v>
      </c>
      <c r="N272" t="s">
        <v>1659</v>
      </c>
    </row>
    <row r="273" spans="1:14" hidden="1" x14ac:dyDescent="0.25">
      <c r="A273" t="s">
        <v>1314</v>
      </c>
      <c r="B273" t="s">
        <v>1328</v>
      </c>
      <c r="C273" t="s">
        <v>1674</v>
      </c>
      <c r="D273" t="s">
        <v>15</v>
      </c>
      <c r="F273">
        <v>288</v>
      </c>
      <c r="G273">
        <v>6</v>
      </c>
      <c r="H273" s="89">
        <v>46041</v>
      </c>
      <c r="I273" s="89">
        <v>46045</v>
      </c>
      <c r="J273" t="s">
        <v>1675</v>
      </c>
      <c r="N273" t="s">
        <v>1659</v>
      </c>
    </row>
    <row r="274" spans="1:14" hidden="1" x14ac:dyDescent="0.25">
      <c r="A274" t="s">
        <v>1313</v>
      </c>
      <c r="B274" t="s">
        <v>1327</v>
      </c>
      <c r="C274" t="s">
        <v>1674</v>
      </c>
      <c r="D274" t="s">
        <v>15</v>
      </c>
      <c r="F274">
        <v>720</v>
      </c>
      <c r="G274">
        <v>15</v>
      </c>
      <c r="H274" s="89">
        <v>46041</v>
      </c>
      <c r="I274" s="89">
        <v>46043</v>
      </c>
      <c r="N274" t="s">
        <v>1659</v>
      </c>
    </row>
    <row r="275" spans="1:14" hidden="1" x14ac:dyDescent="0.25">
      <c r="A275" t="s">
        <v>1444</v>
      </c>
      <c r="B275" t="s">
        <v>1445</v>
      </c>
      <c r="C275" t="s">
        <v>1674</v>
      </c>
      <c r="D275" t="s">
        <v>15</v>
      </c>
      <c r="F275">
        <v>156</v>
      </c>
      <c r="G275">
        <v>1</v>
      </c>
      <c r="H275" s="89">
        <v>46041</v>
      </c>
      <c r="I275" s="89">
        <v>46043</v>
      </c>
      <c r="N275" t="s">
        <v>1659</v>
      </c>
    </row>
    <row r="276" spans="1:14" hidden="1" x14ac:dyDescent="0.25">
      <c r="A276" t="s">
        <v>1315</v>
      </c>
      <c r="B276" t="s">
        <v>1329</v>
      </c>
      <c r="C276" t="s">
        <v>1674</v>
      </c>
      <c r="D276" t="s">
        <v>15</v>
      </c>
      <c r="F276">
        <v>40</v>
      </c>
      <c r="G276" t="s">
        <v>1419</v>
      </c>
      <c r="H276" s="89">
        <v>46041</v>
      </c>
      <c r="I276" s="89">
        <v>46045</v>
      </c>
      <c r="N276" t="s">
        <v>1659</v>
      </c>
    </row>
    <row r="277" spans="1:14" hidden="1" x14ac:dyDescent="0.25">
      <c r="A277" t="s">
        <v>1316</v>
      </c>
      <c r="B277" t="s">
        <v>1330</v>
      </c>
      <c r="C277" t="s">
        <v>1676</v>
      </c>
      <c r="D277" t="s">
        <v>15</v>
      </c>
      <c r="F277">
        <v>29</v>
      </c>
      <c r="G277" t="s">
        <v>1419</v>
      </c>
      <c r="H277" s="89">
        <v>46041</v>
      </c>
      <c r="I277" s="89">
        <v>46047</v>
      </c>
      <c r="N277" t="s">
        <v>1659</v>
      </c>
    </row>
    <row r="278" spans="1:14" hidden="1" x14ac:dyDescent="0.25">
      <c r="A278" t="s">
        <v>1317</v>
      </c>
      <c r="B278" t="s">
        <v>1331</v>
      </c>
      <c r="C278" t="s">
        <v>1677</v>
      </c>
      <c r="D278" t="s">
        <v>15</v>
      </c>
      <c r="F278">
        <v>14</v>
      </c>
      <c r="G278" t="s">
        <v>1419</v>
      </c>
      <c r="H278" s="89">
        <v>46041</v>
      </c>
      <c r="I278" s="89">
        <v>46047</v>
      </c>
      <c r="N278" t="s">
        <v>1659</v>
      </c>
    </row>
    <row r="279" spans="1:14" hidden="1" x14ac:dyDescent="0.25">
      <c r="A279" t="s">
        <v>1318</v>
      </c>
      <c r="B279" t="s">
        <v>1332</v>
      </c>
      <c r="C279" t="s">
        <v>1678</v>
      </c>
      <c r="D279" t="s">
        <v>15</v>
      </c>
      <c r="F279">
        <v>4</v>
      </c>
      <c r="G279" t="s">
        <v>1419</v>
      </c>
      <c r="H279" s="89">
        <v>46041</v>
      </c>
      <c r="I279" s="89">
        <v>46047</v>
      </c>
      <c r="N279" t="s">
        <v>1659</v>
      </c>
    </row>
    <row r="280" spans="1:14" hidden="1" x14ac:dyDescent="0.25">
      <c r="A280" t="s">
        <v>1324</v>
      </c>
      <c r="B280" t="s">
        <v>1338</v>
      </c>
      <c r="C280" t="s">
        <v>1679</v>
      </c>
      <c r="D280" t="s">
        <v>13</v>
      </c>
      <c r="F280">
        <v>336</v>
      </c>
      <c r="G280">
        <v>7</v>
      </c>
      <c r="H280" s="89">
        <v>46042</v>
      </c>
      <c r="I280" s="89">
        <v>46048</v>
      </c>
      <c r="J280" t="s">
        <v>1668</v>
      </c>
      <c r="N280" t="s">
        <v>1659</v>
      </c>
    </row>
    <row r="281" spans="1:14" hidden="1" x14ac:dyDescent="0.25">
      <c r="A281" t="s">
        <v>1324</v>
      </c>
      <c r="B281" t="s">
        <v>1338</v>
      </c>
      <c r="C281" t="s">
        <v>1680</v>
      </c>
      <c r="D281" t="s">
        <v>152</v>
      </c>
      <c r="F281">
        <v>216</v>
      </c>
      <c r="G281">
        <v>4.5</v>
      </c>
      <c r="H281" s="89">
        <v>46042</v>
      </c>
      <c r="I281" s="89">
        <v>46048</v>
      </c>
      <c r="J281" t="s">
        <v>1668</v>
      </c>
      <c r="N281" t="s">
        <v>1659</v>
      </c>
    </row>
    <row r="282" spans="1:14" hidden="1" x14ac:dyDescent="0.25">
      <c r="A282" t="s">
        <v>1313</v>
      </c>
      <c r="B282" t="s">
        <v>1327</v>
      </c>
      <c r="C282" t="s">
        <v>1680</v>
      </c>
      <c r="D282" t="s">
        <v>152</v>
      </c>
      <c r="F282">
        <v>144</v>
      </c>
      <c r="G282">
        <v>3</v>
      </c>
      <c r="H282" s="89">
        <v>46042</v>
      </c>
      <c r="I282" s="89">
        <v>46047</v>
      </c>
      <c r="J282" t="s">
        <v>1681</v>
      </c>
      <c r="N282" t="s">
        <v>1659</v>
      </c>
    </row>
    <row r="283" spans="1:14" hidden="1" x14ac:dyDescent="0.25">
      <c r="A283" t="s">
        <v>1321</v>
      </c>
      <c r="B283" t="s">
        <v>1335</v>
      </c>
      <c r="C283" t="s">
        <v>1682</v>
      </c>
      <c r="D283" t="s">
        <v>138</v>
      </c>
      <c r="F283">
        <v>144</v>
      </c>
      <c r="G283">
        <v>3</v>
      </c>
      <c r="H283" s="89">
        <v>46042</v>
      </c>
      <c r="I283" s="89">
        <v>46048</v>
      </c>
      <c r="J283" t="s">
        <v>1668</v>
      </c>
      <c r="N283" t="s">
        <v>1659</v>
      </c>
    </row>
    <row r="284" spans="1:14" hidden="1" x14ac:dyDescent="0.25">
      <c r="A284" t="s">
        <v>1313</v>
      </c>
      <c r="B284" t="s">
        <v>1327</v>
      </c>
      <c r="C284" t="s">
        <v>1683</v>
      </c>
      <c r="D284" t="s">
        <v>15</v>
      </c>
      <c r="F284">
        <v>1152</v>
      </c>
      <c r="G284">
        <v>24</v>
      </c>
      <c r="H284" s="89">
        <v>46042</v>
      </c>
      <c r="I284" s="89">
        <v>46043</v>
      </c>
      <c r="N284" t="s">
        <v>1659</v>
      </c>
    </row>
    <row r="285" spans="1:14" hidden="1" x14ac:dyDescent="0.25">
      <c r="A285" t="s">
        <v>1315</v>
      </c>
      <c r="B285" t="s">
        <v>1329</v>
      </c>
      <c r="C285" t="s">
        <v>1683</v>
      </c>
      <c r="D285" t="s">
        <v>15</v>
      </c>
      <c r="F285">
        <v>40</v>
      </c>
      <c r="G285" t="s">
        <v>1419</v>
      </c>
      <c r="H285" s="89">
        <v>46042</v>
      </c>
      <c r="I285" s="89">
        <v>46045</v>
      </c>
      <c r="N285" t="s">
        <v>1659</v>
      </c>
    </row>
    <row r="286" spans="1:14" hidden="1" x14ac:dyDescent="0.25">
      <c r="A286" t="s">
        <v>1316</v>
      </c>
      <c r="B286" t="s">
        <v>1330</v>
      </c>
      <c r="C286" t="s">
        <v>1684</v>
      </c>
      <c r="D286" t="s">
        <v>15</v>
      </c>
      <c r="F286">
        <v>29</v>
      </c>
      <c r="G286" t="s">
        <v>1419</v>
      </c>
      <c r="H286" s="89">
        <v>46042</v>
      </c>
      <c r="I286" s="89">
        <v>46047</v>
      </c>
      <c r="N286" t="s">
        <v>1659</v>
      </c>
    </row>
    <row r="287" spans="1:14" hidden="1" x14ac:dyDescent="0.25">
      <c r="A287" t="s">
        <v>1317</v>
      </c>
      <c r="B287" t="s">
        <v>1331</v>
      </c>
      <c r="C287" t="s">
        <v>1685</v>
      </c>
      <c r="D287" t="s">
        <v>15</v>
      </c>
      <c r="F287">
        <v>15</v>
      </c>
      <c r="G287" t="s">
        <v>1419</v>
      </c>
      <c r="H287" s="89">
        <v>46042</v>
      </c>
      <c r="I287" s="89">
        <v>46047</v>
      </c>
      <c r="N287" t="s">
        <v>1659</v>
      </c>
    </row>
    <row r="288" spans="1:14" hidden="1" x14ac:dyDescent="0.25">
      <c r="A288" t="s">
        <v>1318</v>
      </c>
      <c r="B288" t="s">
        <v>1332</v>
      </c>
      <c r="C288" t="s">
        <v>1686</v>
      </c>
      <c r="D288" t="s">
        <v>15</v>
      </c>
      <c r="F288">
        <v>28</v>
      </c>
      <c r="G288" t="s">
        <v>1419</v>
      </c>
      <c r="H288" s="89">
        <v>46042</v>
      </c>
      <c r="I288" s="89">
        <v>46047</v>
      </c>
      <c r="N288" t="s">
        <v>1659</v>
      </c>
    </row>
    <row r="289" spans="1:14" hidden="1" x14ac:dyDescent="0.25">
      <c r="A289" t="s">
        <v>1427</v>
      </c>
      <c r="B289" t="s">
        <v>1428</v>
      </c>
      <c r="C289" t="s">
        <v>1687</v>
      </c>
      <c r="D289" t="s">
        <v>20</v>
      </c>
      <c r="F289">
        <v>918</v>
      </c>
      <c r="G289">
        <v>17</v>
      </c>
      <c r="H289" s="89">
        <v>46042</v>
      </c>
      <c r="I289" s="89">
        <v>46045</v>
      </c>
      <c r="J289" t="s">
        <v>1688</v>
      </c>
      <c r="N289" t="s">
        <v>1659</v>
      </c>
    </row>
    <row r="290" spans="1:14" hidden="1" x14ac:dyDescent="0.25">
      <c r="A290" t="s">
        <v>1322</v>
      </c>
      <c r="B290" t="s">
        <v>1336</v>
      </c>
      <c r="C290" t="s">
        <v>1687</v>
      </c>
      <c r="D290" t="s">
        <v>20</v>
      </c>
      <c r="F290">
        <v>162</v>
      </c>
      <c r="G290">
        <v>3</v>
      </c>
      <c r="H290" s="89">
        <v>46042</v>
      </c>
      <c r="I290" s="89">
        <v>46045</v>
      </c>
      <c r="J290" t="s">
        <v>1688</v>
      </c>
      <c r="N290" t="s">
        <v>1659</v>
      </c>
    </row>
    <row r="291" spans="1:14" hidden="1" x14ac:dyDescent="0.25">
      <c r="A291" t="s">
        <v>1313</v>
      </c>
      <c r="B291" t="s">
        <v>1327</v>
      </c>
      <c r="C291" t="s">
        <v>1687</v>
      </c>
      <c r="D291" t="s">
        <v>20</v>
      </c>
      <c r="F291">
        <v>144</v>
      </c>
      <c r="G291">
        <v>3</v>
      </c>
      <c r="H291" s="89">
        <v>46042</v>
      </c>
      <c r="I291" s="89">
        <v>46045</v>
      </c>
      <c r="N291" t="s">
        <v>1659</v>
      </c>
    </row>
    <row r="292" spans="1:14" hidden="1" x14ac:dyDescent="0.25">
      <c r="A292" t="s">
        <v>1315</v>
      </c>
      <c r="B292" t="s">
        <v>1329</v>
      </c>
      <c r="C292" t="s">
        <v>1687</v>
      </c>
      <c r="D292" t="s">
        <v>20</v>
      </c>
      <c r="F292">
        <v>64</v>
      </c>
      <c r="G292" t="s">
        <v>1419</v>
      </c>
      <c r="H292" s="89">
        <v>46042</v>
      </c>
      <c r="I292" s="89">
        <v>46045</v>
      </c>
      <c r="N292" t="s">
        <v>1659</v>
      </c>
    </row>
    <row r="293" spans="1:14" hidden="1" x14ac:dyDescent="0.25">
      <c r="A293" t="s">
        <v>1316</v>
      </c>
      <c r="B293" t="s">
        <v>1330</v>
      </c>
      <c r="C293" t="s">
        <v>1689</v>
      </c>
      <c r="D293" t="s">
        <v>20</v>
      </c>
      <c r="F293">
        <v>61</v>
      </c>
      <c r="G293" t="s">
        <v>1419</v>
      </c>
      <c r="H293" s="89">
        <v>46042</v>
      </c>
      <c r="I293" s="89">
        <v>46047</v>
      </c>
      <c r="N293" t="s">
        <v>1659</v>
      </c>
    </row>
    <row r="294" spans="1:14" hidden="1" x14ac:dyDescent="0.25">
      <c r="A294" t="s">
        <v>1317</v>
      </c>
      <c r="B294" t="s">
        <v>1331</v>
      </c>
      <c r="C294" t="s">
        <v>1690</v>
      </c>
      <c r="D294" t="s">
        <v>20</v>
      </c>
      <c r="F294">
        <v>12</v>
      </c>
      <c r="G294" t="s">
        <v>1419</v>
      </c>
      <c r="H294" s="89">
        <v>46042</v>
      </c>
      <c r="I294" s="89">
        <v>46047</v>
      </c>
      <c r="N294" t="s">
        <v>1659</v>
      </c>
    </row>
    <row r="295" spans="1:14" hidden="1" x14ac:dyDescent="0.25">
      <c r="A295" t="s">
        <v>1318</v>
      </c>
      <c r="B295" t="s">
        <v>1332</v>
      </c>
      <c r="C295" t="s">
        <v>1691</v>
      </c>
      <c r="D295" t="s">
        <v>20</v>
      </c>
      <c r="F295">
        <v>28</v>
      </c>
      <c r="G295" t="s">
        <v>1419</v>
      </c>
      <c r="H295" s="89">
        <v>46042</v>
      </c>
      <c r="I295" s="89">
        <v>46047</v>
      </c>
      <c r="N295" t="s">
        <v>1659</v>
      </c>
    </row>
    <row r="296" spans="1:14" hidden="1" x14ac:dyDescent="0.25">
      <c r="A296" t="s">
        <v>1325</v>
      </c>
      <c r="B296" t="s">
        <v>1339</v>
      </c>
      <c r="C296" t="s">
        <v>1682</v>
      </c>
      <c r="D296" t="s">
        <v>138</v>
      </c>
      <c r="F296">
        <v>576</v>
      </c>
      <c r="G296">
        <v>12</v>
      </c>
      <c r="H296" s="89">
        <v>46042</v>
      </c>
      <c r="I296" s="89">
        <v>46045</v>
      </c>
      <c r="N296" t="s">
        <v>1659</v>
      </c>
    </row>
    <row r="297" spans="1:14" hidden="1" x14ac:dyDescent="0.25">
      <c r="A297" t="s">
        <v>1313</v>
      </c>
      <c r="B297" t="s">
        <v>1327</v>
      </c>
      <c r="C297" t="s">
        <v>1692</v>
      </c>
      <c r="D297" t="s">
        <v>28</v>
      </c>
      <c r="F297">
        <v>336</v>
      </c>
      <c r="G297">
        <v>7</v>
      </c>
      <c r="H297" s="89">
        <v>46042</v>
      </c>
      <c r="I297" s="89">
        <v>46045</v>
      </c>
      <c r="N297" t="s">
        <v>1659</v>
      </c>
    </row>
    <row r="298" spans="1:14" hidden="1" x14ac:dyDescent="0.25">
      <c r="A298" t="s">
        <v>1313</v>
      </c>
      <c r="B298" t="s">
        <v>1327</v>
      </c>
      <c r="C298" t="s">
        <v>1692</v>
      </c>
      <c r="D298" t="s">
        <v>28</v>
      </c>
      <c r="F298">
        <v>624</v>
      </c>
      <c r="G298">
        <v>13</v>
      </c>
      <c r="H298" s="89">
        <v>46042</v>
      </c>
      <c r="I298" s="89">
        <v>46047</v>
      </c>
      <c r="J298" t="s">
        <v>1681</v>
      </c>
      <c r="N298" t="s">
        <v>1659</v>
      </c>
    </row>
    <row r="299" spans="1:14" hidden="1" x14ac:dyDescent="0.25">
      <c r="A299" t="s">
        <v>1315</v>
      </c>
      <c r="B299" t="s">
        <v>1329</v>
      </c>
      <c r="C299" t="s">
        <v>1692</v>
      </c>
      <c r="D299" t="s">
        <v>28</v>
      </c>
      <c r="F299">
        <v>12</v>
      </c>
      <c r="G299" t="s">
        <v>1419</v>
      </c>
      <c r="H299" s="89">
        <v>46042</v>
      </c>
      <c r="I299" s="89">
        <v>46045</v>
      </c>
      <c r="N299" t="s">
        <v>1659</v>
      </c>
    </row>
    <row r="300" spans="1:14" hidden="1" x14ac:dyDescent="0.25">
      <c r="A300" t="s">
        <v>1316</v>
      </c>
      <c r="B300" t="s">
        <v>1330</v>
      </c>
      <c r="C300" t="s">
        <v>1693</v>
      </c>
      <c r="D300" t="s">
        <v>28</v>
      </c>
      <c r="F300">
        <v>33</v>
      </c>
      <c r="G300" t="s">
        <v>1419</v>
      </c>
      <c r="H300" s="89">
        <v>46042</v>
      </c>
      <c r="I300" s="89">
        <v>46047</v>
      </c>
      <c r="N300" t="s">
        <v>1659</v>
      </c>
    </row>
    <row r="301" spans="1:14" hidden="1" x14ac:dyDescent="0.25">
      <c r="A301" t="s">
        <v>1318</v>
      </c>
      <c r="B301" t="s">
        <v>1332</v>
      </c>
      <c r="C301" t="s">
        <v>1694</v>
      </c>
      <c r="D301" t="s">
        <v>28</v>
      </c>
      <c r="F301">
        <v>47</v>
      </c>
      <c r="G301" t="s">
        <v>1419</v>
      </c>
      <c r="H301" s="89">
        <v>46042</v>
      </c>
      <c r="I301" s="89">
        <v>46047</v>
      </c>
      <c r="N301" t="s">
        <v>1659</v>
      </c>
    </row>
    <row r="302" spans="1:14" hidden="1" x14ac:dyDescent="0.25">
      <c r="A302" t="s">
        <v>1313</v>
      </c>
      <c r="B302" t="s">
        <v>1327</v>
      </c>
      <c r="C302" t="s">
        <v>1695</v>
      </c>
      <c r="D302" t="s">
        <v>23</v>
      </c>
      <c r="F302">
        <v>384</v>
      </c>
      <c r="G302">
        <v>8</v>
      </c>
      <c r="H302" s="89">
        <v>46042</v>
      </c>
      <c r="I302" s="89">
        <v>46045</v>
      </c>
      <c r="J302" t="s">
        <v>1666</v>
      </c>
      <c r="N302" t="s">
        <v>1659</v>
      </c>
    </row>
    <row r="303" spans="1:14" hidden="1" x14ac:dyDescent="0.25">
      <c r="A303" t="s">
        <v>1313</v>
      </c>
      <c r="B303" t="s">
        <v>1327</v>
      </c>
      <c r="C303" t="s">
        <v>1695</v>
      </c>
      <c r="D303" t="s">
        <v>23</v>
      </c>
      <c r="F303">
        <v>624</v>
      </c>
      <c r="G303">
        <v>13</v>
      </c>
      <c r="H303" s="89">
        <v>46042</v>
      </c>
      <c r="I303" s="89">
        <v>46047</v>
      </c>
      <c r="J303" t="s">
        <v>1696</v>
      </c>
      <c r="N303" t="s">
        <v>1659</v>
      </c>
    </row>
    <row r="304" spans="1:14" hidden="1" x14ac:dyDescent="0.25">
      <c r="A304" t="s">
        <v>1313</v>
      </c>
      <c r="B304" t="s">
        <v>1327</v>
      </c>
      <c r="C304" t="s">
        <v>1697</v>
      </c>
      <c r="D304" t="s">
        <v>15</v>
      </c>
      <c r="F304">
        <v>379</v>
      </c>
      <c r="G304">
        <v>7.895833333333333</v>
      </c>
      <c r="H304" s="89">
        <v>46043</v>
      </c>
      <c r="I304" s="89">
        <v>46047</v>
      </c>
      <c r="J304" t="s">
        <v>1681</v>
      </c>
      <c r="N304" t="s">
        <v>1659</v>
      </c>
    </row>
    <row r="305" spans="1:14" hidden="1" x14ac:dyDescent="0.25">
      <c r="A305" t="s">
        <v>1566</v>
      </c>
      <c r="B305" t="s">
        <v>1567</v>
      </c>
      <c r="C305" t="s">
        <v>1697</v>
      </c>
      <c r="D305" t="s">
        <v>15</v>
      </c>
      <c r="F305">
        <v>5</v>
      </c>
      <c r="G305">
        <v>0.10416666666666669</v>
      </c>
      <c r="H305" s="89">
        <v>46043</v>
      </c>
      <c r="I305" s="89">
        <v>46047</v>
      </c>
      <c r="J305" t="s">
        <v>1698</v>
      </c>
      <c r="N305" t="s">
        <v>1659</v>
      </c>
    </row>
    <row r="306" spans="1:14" hidden="1" x14ac:dyDescent="0.25">
      <c r="A306" t="s">
        <v>1314</v>
      </c>
      <c r="B306" t="s">
        <v>1328</v>
      </c>
      <c r="C306" t="s">
        <v>1697</v>
      </c>
      <c r="D306" t="s">
        <v>15</v>
      </c>
      <c r="F306">
        <v>288</v>
      </c>
      <c r="G306">
        <v>6</v>
      </c>
      <c r="H306" s="89">
        <v>46043</v>
      </c>
      <c r="I306" s="89">
        <v>46048</v>
      </c>
      <c r="J306" t="s">
        <v>1699</v>
      </c>
      <c r="N306" t="s">
        <v>1659</v>
      </c>
    </row>
    <row r="307" spans="1:14" hidden="1" x14ac:dyDescent="0.25">
      <c r="A307" t="s">
        <v>1313</v>
      </c>
      <c r="B307" t="s">
        <v>1327</v>
      </c>
      <c r="C307" t="s">
        <v>1697</v>
      </c>
      <c r="D307" t="s">
        <v>15</v>
      </c>
      <c r="F307">
        <v>48</v>
      </c>
      <c r="G307">
        <v>1</v>
      </c>
      <c r="H307" s="89">
        <v>46043</v>
      </c>
      <c r="I307" s="89">
        <v>46045</v>
      </c>
      <c r="N307" t="s">
        <v>1659</v>
      </c>
    </row>
    <row r="308" spans="1:14" hidden="1" x14ac:dyDescent="0.25">
      <c r="A308" t="s">
        <v>1315</v>
      </c>
      <c r="B308" t="s">
        <v>1329</v>
      </c>
      <c r="C308" t="s">
        <v>1697</v>
      </c>
      <c r="D308" t="s">
        <v>15</v>
      </c>
      <c r="F308">
        <v>19</v>
      </c>
      <c r="G308" t="s">
        <v>1419</v>
      </c>
      <c r="H308" s="89">
        <v>46043</v>
      </c>
      <c r="I308" s="89">
        <v>46047</v>
      </c>
      <c r="N308" t="s">
        <v>1659</v>
      </c>
    </row>
    <row r="309" spans="1:14" hidden="1" x14ac:dyDescent="0.25">
      <c r="A309" t="s">
        <v>1316</v>
      </c>
      <c r="B309" t="s">
        <v>1330</v>
      </c>
      <c r="C309" t="s">
        <v>1700</v>
      </c>
      <c r="D309" t="s">
        <v>15</v>
      </c>
      <c r="F309">
        <v>30</v>
      </c>
      <c r="G309" t="s">
        <v>1419</v>
      </c>
      <c r="H309" s="89">
        <v>46043</v>
      </c>
      <c r="I309" s="89">
        <v>46047</v>
      </c>
      <c r="N309" t="s">
        <v>1659</v>
      </c>
    </row>
    <row r="310" spans="1:14" hidden="1" x14ac:dyDescent="0.25">
      <c r="A310" t="s">
        <v>1317</v>
      </c>
      <c r="B310" t="s">
        <v>1331</v>
      </c>
      <c r="C310" t="s">
        <v>1701</v>
      </c>
      <c r="D310" t="s">
        <v>15</v>
      </c>
      <c r="F310">
        <v>9</v>
      </c>
      <c r="G310" t="s">
        <v>1419</v>
      </c>
      <c r="H310" s="89">
        <v>46043</v>
      </c>
      <c r="I310" s="89">
        <v>46047</v>
      </c>
      <c r="N310" t="s">
        <v>1659</v>
      </c>
    </row>
    <row r="311" spans="1:14" hidden="1" x14ac:dyDescent="0.25">
      <c r="A311" t="s">
        <v>1318</v>
      </c>
      <c r="B311" t="s">
        <v>1332</v>
      </c>
      <c r="C311" t="s">
        <v>1702</v>
      </c>
      <c r="D311" t="s">
        <v>15</v>
      </c>
      <c r="F311">
        <v>2</v>
      </c>
      <c r="G311" t="s">
        <v>1419</v>
      </c>
      <c r="H311" s="89">
        <v>46043</v>
      </c>
      <c r="I311" s="89">
        <v>46047</v>
      </c>
      <c r="N311" t="s">
        <v>1659</v>
      </c>
    </row>
    <row r="312" spans="1:14" hidden="1" x14ac:dyDescent="0.25">
      <c r="A312" t="s">
        <v>1324</v>
      </c>
      <c r="B312" t="s">
        <v>1338</v>
      </c>
      <c r="C312" t="s">
        <v>1703</v>
      </c>
      <c r="D312" t="s">
        <v>88</v>
      </c>
      <c r="F312">
        <v>960</v>
      </c>
      <c r="G312">
        <v>20</v>
      </c>
      <c r="H312" s="89">
        <v>46043</v>
      </c>
      <c r="I312" s="89">
        <v>46050</v>
      </c>
      <c r="J312" t="s">
        <v>1704</v>
      </c>
      <c r="N312" t="s">
        <v>1659</v>
      </c>
    </row>
    <row r="313" spans="1:14" hidden="1" x14ac:dyDescent="0.25">
      <c r="A313" t="s">
        <v>1313</v>
      </c>
      <c r="B313" t="s">
        <v>1327</v>
      </c>
      <c r="C313" t="s">
        <v>1705</v>
      </c>
      <c r="D313" t="s">
        <v>20</v>
      </c>
      <c r="F313">
        <v>1152</v>
      </c>
      <c r="G313">
        <v>24</v>
      </c>
      <c r="H313" s="89">
        <v>46043</v>
      </c>
      <c r="I313" s="89">
        <v>46045</v>
      </c>
      <c r="N313" t="s">
        <v>1659</v>
      </c>
    </row>
    <row r="314" spans="1:14" hidden="1" x14ac:dyDescent="0.25">
      <c r="A314" t="s">
        <v>1316</v>
      </c>
      <c r="B314" t="s">
        <v>1330</v>
      </c>
      <c r="C314" t="s">
        <v>1706</v>
      </c>
      <c r="D314" t="s">
        <v>20</v>
      </c>
      <c r="F314">
        <v>189</v>
      </c>
      <c r="G314" t="s">
        <v>1419</v>
      </c>
      <c r="H314" s="89">
        <v>46043</v>
      </c>
      <c r="I314" s="89">
        <v>46047</v>
      </c>
      <c r="N314" t="s">
        <v>1659</v>
      </c>
    </row>
    <row r="315" spans="1:14" hidden="1" x14ac:dyDescent="0.25">
      <c r="A315" t="s">
        <v>1317</v>
      </c>
      <c r="B315" t="s">
        <v>1331</v>
      </c>
      <c r="C315" t="s">
        <v>1707</v>
      </c>
      <c r="D315" t="s">
        <v>20</v>
      </c>
      <c r="F315">
        <v>36</v>
      </c>
      <c r="G315" t="s">
        <v>1419</v>
      </c>
      <c r="H315" s="89">
        <v>46043</v>
      </c>
      <c r="I315" s="89">
        <v>46047</v>
      </c>
      <c r="N315" t="s">
        <v>1659</v>
      </c>
    </row>
    <row r="316" spans="1:14" hidden="1" x14ac:dyDescent="0.25">
      <c r="A316" t="s">
        <v>1318</v>
      </c>
      <c r="B316" t="s">
        <v>1332</v>
      </c>
      <c r="C316" t="s">
        <v>1708</v>
      </c>
      <c r="D316" t="s">
        <v>20</v>
      </c>
      <c r="F316">
        <v>58</v>
      </c>
      <c r="G316" t="s">
        <v>1419</v>
      </c>
      <c r="H316" s="89">
        <v>46043</v>
      </c>
      <c r="I316" s="89">
        <v>46047</v>
      </c>
      <c r="N316" t="s">
        <v>1659</v>
      </c>
    </row>
    <row r="317" spans="1:14" hidden="1" x14ac:dyDescent="0.25">
      <c r="A317" t="s">
        <v>1313</v>
      </c>
      <c r="B317" t="s">
        <v>1327</v>
      </c>
      <c r="C317" t="s">
        <v>1709</v>
      </c>
      <c r="D317" t="s">
        <v>28</v>
      </c>
      <c r="F317">
        <v>1104</v>
      </c>
      <c r="G317">
        <v>23</v>
      </c>
      <c r="H317" s="89">
        <v>46043</v>
      </c>
      <c r="I317" s="89">
        <v>46045</v>
      </c>
      <c r="N317" t="s">
        <v>1659</v>
      </c>
    </row>
    <row r="318" spans="1:14" hidden="1" x14ac:dyDescent="0.25">
      <c r="A318" t="s">
        <v>1315</v>
      </c>
      <c r="B318" t="s">
        <v>1329</v>
      </c>
      <c r="C318" t="s">
        <v>1709</v>
      </c>
      <c r="D318" t="s">
        <v>28</v>
      </c>
      <c r="F318">
        <v>43</v>
      </c>
      <c r="G318" t="s">
        <v>1419</v>
      </c>
      <c r="H318" s="89">
        <v>46043</v>
      </c>
      <c r="I318" s="89">
        <v>46047</v>
      </c>
      <c r="N318" t="s">
        <v>1659</v>
      </c>
    </row>
    <row r="319" spans="1:14" hidden="1" x14ac:dyDescent="0.25">
      <c r="A319" t="s">
        <v>1316</v>
      </c>
      <c r="B319" t="s">
        <v>1330</v>
      </c>
      <c r="C319" t="s">
        <v>1710</v>
      </c>
      <c r="D319" t="s">
        <v>28</v>
      </c>
      <c r="F319">
        <v>27</v>
      </c>
      <c r="G319" t="s">
        <v>1419</v>
      </c>
      <c r="H319" s="89">
        <v>46043</v>
      </c>
      <c r="I319" s="89">
        <v>46047</v>
      </c>
      <c r="N319" t="s">
        <v>1659</v>
      </c>
    </row>
    <row r="320" spans="1:14" hidden="1" x14ac:dyDescent="0.25">
      <c r="A320" t="s">
        <v>1318</v>
      </c>
      <c r="B320" t="s">
        <v>1332</v>
      </c>
      <c r="C320" t="s">
        <v>1711</v>
      </c>
      <c r="D320" t="s">
        <v>28</v>
      </c>
      <c r="F320">
        <v>52</v>
      </c>
      <c r="G320" t="s">
        <v>1419</v>
      </c>
      <c r="H320" s="89">
        <v>46043</v>
      </c>
      <c r="I320" s="89">
        <v>46047</v>
      </c>
      <c r="N320" t="s">
        <v>1659</v>
      </c>
    </row>
    <row r="321" spans="1:14" hidden="1" x14ac:dyDescent="0.25">
      <c r="A321" t="s">
        <v>1313</v>
      </c>
      <c r="B321" t="s">
        <v>1327</v>
      </c>
      <c r="C321" t="s">
        <v>1712</v>
      </c>
      <c r="D321" t="s">
        <v>23</v>
      </c>
      <c r="F321">
        <v>528</v>
      </c>
      <c r="G321">
        <v>11</v>
      </c>
      <c r="H321" s="89">
        <v>46043</v>
      </c>
      <c r="I321" s="89">
        <v>46047</v>
      </c>
      <c r="J321" t="s">
        <v>1696</v>
      </c>
      <c r="N321" t="s">
        <v>1659</v>
      </c>
    </row>
    <row r="322" spans="1:14" hidden="1" x14ac:dyDescent="0.25">
      <c r="A322" t="s">
        <v>1313</v>
      </c>
      <c r="B322" t="s">
        <v>1327</v>
      </c>
      <c r="C322" t="s">
        <v>1712</v>
      </c>
      <c r="D322" t="s">
        <v>23</v>
      </c>
      <c r="F322">
        <v>768</v>
      </c>
      <c r="G322">
        <v>16</v>
      </c>
      <c r="H322" s="89">
        <v>46043</v>
      </c>
      <c r="I322" s="89">
        <v>46048</v>
      </c>
      <c r="J322" t="s">
        <v>1713</v>
      </c>
      <c r="N322" t="s">
        <v>1659</v>
      </c>
    </row>
    <row r="323" spans="1:14" hidden="1" x14ac:dyDescent="0.25">
      <c r="A323" t="s">
        <v>1313</v>
      </c>
      <c r="B323" t="s">
        <v>1327</v>
      </c>
      <c r="C323" t="s">
        <v>1714</v>
      </c>
      <c r="D323" t="s">
        <v>21</v>
      </c>
      <c r="F323">
        <v>1152</v>
      </c>
      <c r="G323">
        <v>24</v>
      </c>
      <c r="H323" s="89">
        <v>46044</v>
      </c>
      <c r="I323" s="89">
        <v>46048</v>
      </c>
      <c r="J323" t="s">
        <v>1715</v>
      </c>
      <c r="N323" t="s">
        <v>1659</v>
      </c>
    </row>
    <row r="324" spans="1:14" hidden="1" x14ac:dyDescent="0.25">
      <c r="A324" t="s">
        <v>1315</v>
      </c>
      <c r="B324" t="s">
        <v>1329</v>
      </c>
      <c r="C324" t="s">
        <v>1714</v>
      </c>
      <c r="D324" t="s">
        <v>21</v>
      </c>
      <c r="F324">
        <v>19</v>
      </c>
      <c r="G324" t="s">
        <v>1419</v>
      </c>
      <c r="H324" s="89">
        <v>46044</v>
      </c>
      <c r="I324" s="89">
        <v>46047</v>
      </c>
      <c r="N324" t="s">
        <v>1659</v>
      </c>
    </row>
    <row r="325" spans="1:14" hidden="1" x14ac:dyDescent="0.25">
      <c r="A325" t="s">
        <v>1316</v>
      </c>
      <c r="B325" t="s">
        <v>1330</v>
      </c>
      <c r="C325" t="s">
        <v>1716</v>
      </c>
      <c r="D325" t="s">
        <v>21</v>
      </c>
      <c r="F325">
        <v>28</v>
      </c>
      <c r="G325" t="s">
        <v>1419</v>
      </c>
      <c r="H325" s="89">
        <v>46044</v>
      </c>
      <c r="I325" s="89">
        <v>46047</v>
      </c>
      <c r="N325" t="s">
        <v>1659</v>
      </c>
    </row>
    <row r="326" spans="1:14" hidden="1" x14ac:dyDescent="0.25">
      <c r="A326" t="s">
        <v>1317</v>
      </c>
      <c r="B326" t="s">
        <v>1331</v>
      </c>
      <c r="C326" t="s">
        <v>1717</v>
      </c>
      <c r="D326" t="s">
        <v>21</v>
      </c>
      <c r="F326">
        <v>19</v>
      </c>
      <c r="G326" t="s">
        <v>1419</v>
      </c>
      <c r="H326" s="89">
        <v>46044</v>
      </c>
      <c r="I326" s="89">
        <v>46047</v>
      </c>
      <c r="N326" t="s">
        <v>1659</v>
      </c>
    </row>
    <row r="327" spans="1:14" hidden="1" x14ac:dyDescent="0.25">
      <c r="A327" t="s">
        <v>1318</v>
      </c>
      <c r="B327" t="s">
        <v>1332</v>
      </c>
      <c r="C327" t="s">
        <v>1718</v>
      </c>
      <c r="D327" t="s">
        <v>21</v>
      </c>
      <c r="F327">
        <v>52</v>
      </c>
      <c r="G327" t="s">
        <v>1419</v>
      </c>
      <c r="H327" s="89">
        <v>46044</v>
      </c>
      <c r="I327" s="89">
        <v>46047</v>
      </c>
      <c r="N327" t="s">
        <v>1659</v>
      </c>
    </row>
    <row r="328" spans="1:14" hidden="1" x14ac:dyDescent="0.25">
      <c r="A328" t="s">
        <v>1313</v>
      </c>
      <c r="B328" t="s">
        <v>1327</v>
      </c>
      <c r="C328" t="s">
        <v>1719</v>
      </c>
      <c r="D328" t="s">
        <v>23</v>
      </c>
      <c r="F328">
        <v>96</v>
      </c>
      <c r="G328">
        <v>2</v>
      </c>
      <c r="H328" s="89">
        <v>46044</v>
      </c>
      <c r="I328" s="89">
        <v>46048</v>
      </c>
      <c r="J328" t="s">
        <v>1713</v>
      </c>
      <c r="N328" t="s">
        <v>1659</v>
      </c>
    </row>
    <row r="329" spans="1:14" hidden="1" x14ac:dyDescent="0.25">
      <c r="A329" t="s">
        <v>1313</v>
      </c>
      <c r="B329" t="s">
        <v>1327</v>
      </c>
      <c r="C329" t="s">
        <v>1719</v>
      </c>
      <c r="D329" t="s">
        <v>23</v>
      </c>
      <c r="F329">
        <v>960</v>
      </c>
      <c r="G329">
        <v>20</v>
      </c>
      <c r="H329" s="89">
        <v>46044</v>
      </c>
      <c r="I329" s="89">
        <v>46046</v>
      </c>
      <c r="N329" t="s">
        <v>1659</v>
      </c>
    </row>
    <row r="330" spans="1:14" hidden="1" x14ac:dyDescent="0.25">
      <c r="A330" t="s">
        <v>1324</v>
      </c>
      <c r="B330" t="s">
        <v>1338</v>
      </c>
      <c r="C330" t="s">
        <v>1720</v>
      </c>
      <c r="D330" t="s">
        <v>88</v>
      </c>
      <c r="F330">
        <v>960</v>
      </c>
      <c r="G330">
        <v>20</v>
      </c>
      <c r="H330" s="89">
        <v>46044</v>
      </c>
      <c r="I330" s="89">
        <v>46050</v>
      </c>
      <c r="J330" t="s">
        <v>1704</v>
      </c>
      <c r="N330" t="s">
        <v>1659</v>
      </c>
    </row>
    <row r="331" spans="1:14" hidden="1" x14ac:dyDescent="0.25">
      <c r="A331" t="s">
        <v>1313</v>
      </c>
      <c r="B331" t="s">
        <v>1327</v>
      </c>
      <c r="C331" t="s">
        <v>1721</v>
      </c>
      <c r="D331" t="s">
        <v>150</v>
      </c>
      <c r="F331">
        <v>1152</v>
      </c>
      <c r="G331">
        <v>24</v>
      </c>
      <c r="H331" s="89">
        <v>46044</v>
      </c>
      <c r="I331" s="89">
        <v>46045</v>
      </c>
      <c r="N331" t="s">
        <v>1659</v>
      </c>
    </row>
    <row r="332" spans="1:14" hidden="1" x14ac:dyDescent="0.25">
      <c r="A332" t="s">
        <v>1313</v>
      </c>
      <c r="B332" t="s">
        <v>1327</v>
      </c>
      <c r="C332" t="s">
        <v>1722</v>
      </c>
      <c r="D332" t="s">
        <v>15</v>
      </c>
      <c r="F332">
        <v>144</v>
      </c>
      <c r="G332">
        <v>3</v>
      </c>
      <c r="H332" s="89">
        <v>46044</v>
      </c>
      <c r="I332" s="89">
        <v>46045</v>
      </c>
      <c r="N332" t="s">
        <v>1659</v>
      </c>
    </row>
    <row r="333" spans="1:14" hidden="1" x14ac:dyDescent="0.25">
      <c r="A333" t="s">
        <v>1313</v>
      </c>
      <c r="B333" t="s">
        <v>1327</v>
      </c>
      <c r="C333" t="s">
        <v>1723</v>
      </c>
      <c r="D333" t="s">
        <v>20</v>
      </c>
      <c r="F333">
        <v>1075</v>
      </c>
      <c r="G333">
        <v>22.395833333333332</v>
      </c>
      <c r="H333" s="89">
        <v>46044</v>
      </c>
      <c r="I333" s="89">
        <v>46048</v>
      </c>
      <c r="N333" t="s">
        <v>1659</v>
      </c>
    </row>
    <row r="334" spans="1:14" hidden="1" x14ac:dyDescent="0.25">
      <c r="A334" t="s">
        <v>1316</v>
      </c>
      <c r="B334" t="s">
        <v>1330</v>
      </c>
      <c r="C334" t="s">
        <v>1724</v>
      </c>
      <c r="D334" t="s">
        <v>20</v>
      </c>
      <c r="F334">
        <v>119</v>
      </c>
      <c r="G334" t="s">
        <v>1419</v>
      </c>
      <c r="H334" s="89">
        <v>46044</v>
      </c>
      <c r="I334" s="89">
        <v>46047</v>
      </c>
      <c r="N334" t="s">
        <v>1659</v>
      </c>
    </row>
    <row r="335" spans="1:14" hidden="1" x14ac:dyDescent="0.25">
      <c r="A335" t="s">
        <v>1317</v>
      </c>
      <c r="B335" t="s">
        <v>1331</v>
      </c>
      <c r="C335" t="s">
        <v>1725</v>
      </c>
      <c r="D335" t="s">
        <v>20</v>
      </c>
      <c r="F335">
        <v>4</v>
      </c>
      <c r="G335" t="s">
        <v>1419</v>
      </c>
      <c r="H335" s="89">
        <v>46044</v>
      </c>
      <c r="I335" s="89">
        <v>46047</v>
      </c>
      <c r="N335" t="s">
        <v>1659</v>
      </c>
    </row>
    <row r="336" spans="1:14" hidden="1" x14ac:dyDescent="0.25">
      <c r="A336" t="s">
        <v>1318</v>
      </c>
      <c r="B336" t="s">
        <v>1332</v>
      </c>
      <c r="C336" t="s">
        <v>1726</v>
      </c>
      <c r="D336" t="s">
        <v>20</v>
      </c>
      <c r="F336">
        <v>43</v>
      </c>
      <c r="G336" t="s">
        <v>1419</v>
      </c>
      <c r="H336" s="89">
        <v>46044</v>
      </c>
      <c r="I336" s="89">
        <v>46047</v>
      </c>
      <c r="N336" t="s">
        <v>1659</v>
      </c>
    </row>
    <row r="337" spans="1:14" hidden="1" x14ac:dyDescent="0.25">
      <c r="A337" t="s">
        <v>1444</v>
      </c>
      <c r="B337" t="s">
        <v>1445</v>
      </c>
      <c r="C337" t="s">
        <v>1722</v>
      </c>
      <c r="D337" t="s">
        <v>15</v>
      </c>
      <c r="F337">
        <v>143</v>
      </c>
      <c r="G337">
        <v>1</v>
      </c>
      <c r="H337" s="89">
        <v>46044</v>
      </c>
      <c r="I337" s="89">
        <v>46046</v>
      </c>
      <c r="N337" t="s">
        <v>1659</v>
      </c>
    </row>
    <row r="338" spans="1:14" hidden="1" x14ac:dyDescent="0.25">
      <c r="A338" t="s">
        <v>1315</v>
      </c>
      <c r="B338" t="s">
        <v>1329</v>
      </c>
      <c r="C338" t="s">
        <v>1722</v>
      </c>
      <c r="D338" t="s">
        <v>15</v>
      </c>
      <c r="F338">
        <v>28</v>
      </c>
      <c r="G338" t="s">
        <v>1419</v>
      </c>
      <c r="H338" s="89">
        <v>46044</v>
      </c>
      <c r="I338" s="89">
        <v>46047</v>
      </c>
      <c r="N338" t="s">
        <v>1659</v>
      </c>
    </row>
    <row r="339" spans="1:14" hidden="1" x14ac:dyDescent="0.25">
      <c r="A339" t="s">
        <v>1316</v>
      </c>
      <c r="B339" t="s">
        <v>1330</v>
      </c>
      <c r="C339" t="s">
        <v>1727</v>
      </c>
      <c r="D339" t="s">
        <v>15</v>
      </c>
      <c r="F339">
        <v>20</v>
      </c>
      <c r="G339" t="s">
        <v>1419</v>
      </c>
      <c r="H339" s="89">
        <v>46044</v>
      </c>
      <c r="I339" s="89">
        <v>46047</v>
      </c>
      <c r="N339" t="s">
        <v>1659</v>
      </c>
    </row>
    <row r="340" spans="1:14" hidden="1" x14ac:dyDescent="0.25">
      <c r="A340" t="s">
        <v>1317</v>
      </c>
      <c r="B340" t="s">
        <v>1331</v>
      </c>
      <c r="C340" t="s">
        <v>1728</v>
      </c>
      <c r="D340" t="s">
        <v>15</v>
      </c>
      <c r="F340">
        <v>14</v>
      </c>
      <c r="G340" t="s">
        <v>1419</v>
      </c>
      <c r="H340" s="89">
        <v>46044</v>
      </c>
      <c r="I340" s="89">
        <v>46047</v>
      </c>
      <c r="N340" t="s">
        <v>1659</v>
      </c>
    </row>
    <row r="341" spans="1:14" hidden="1" x14ac:dyDescent="0.25">
      <c r="A341" t="s">
        <v>1318</v>
      </c>
      <c r="B341" t="s">
        <v>1332</v>
      </c>
      <c r="C341" t="s">
        <v>1729</v>
      </c>
      <c r="D341" t="s">
        <v>15</v>
      </c>
      <c r="F341">
        <v>4</v>
      </c>
      <c r="G341" t="s">
        <v>1419</v>
      </c>
      <c r="H341" s="89">
        <v>46044</v>
      </c>
      <c r="I341" s="89">
        <v>46047</v>
      </c>
      <c r="N341" t="s">
        <v>1659</v>
      </c>
    </row>
    <row r="342" spans="1:14" hidden="1" x14ac:dyDescent="0.25">
      <c r="A342" t="s">
        <v>1326</v>
      </c>
      <c r="B342" t="s">
        <v>1340</v>
      </c>
      <c r="C342" t="s">
        <v>1730</v>
      </c>
      <c r="D342" t="s">
        <v>32</v>
      </c>
      <c r="F342">
        <v>1008</v>
      </c>
      <c r="G342">
        <v>24</v>
      </c>
      <c r="H342" s="89">
        <v>46045</v>
      </c>
      <c r="I342" s="89">
        <v>46052</v>
      </c>
      <c r="J342" t="s">
        <v>1731</v>
      </c>
      <c r="N342" t="s">
        <v>1659</v>
      </c>
    </row>
    <row r="343" spans="1:14" hidden="1" x14ac:dyDescent="0.25">
      <c r="A343" t="s">
        <v>1313</v>
      </c>
      <c r="B343" t="s">
        <v>1327</v>
      </c>
      <c r="C343" t="s">
        <v>1732</v>
      </c>
      <c r="D343" t="s">
        <v>21</v>
      </c>
      <c r="F343">
        <v>768</v>
      </c>
      <c r="G343">
        <v>16</v>
      </c>
      <c r="H343" s="89">
        <v>46045</v>
      </c>
      <c r="I343" s="89">
        <v>46049</v>
      </c>
      <c r="N343" t="s">
        <v>1659</v>
      </c>
    </row>
    <row r="344" spans="1:14" hidden="1" x14ac:dyDescent="0.25">
      <c r="A344" t="s">
        <v>1444</v>
      </c>
      <c r="B344" t="s">
        <v>1445</v>
      </c>
      <c r="C344" t="s">
        <v>1732</v>
      </c>
      <c r="D344" t="s">
        <v>21</v>
      </c>
      <c r="F344">
        <v>168</v>
      </c>
      <c r="G344">
        <v>1</v>
      </c>
      <c r="H344" s="89">
        <v>46045</v>
      </c>
      <c r="I344" s="89">
        <v>46048</v>
      </c>
      <c r="N344" t="s">
        <v>1659</v>
      </c>
    </row>
    <row r="345" spans="1:14" hidden="1" x14ac:dyDescent="0.25">
      <c r="A345" t="s">
        <v>1315</v>
      </c>
      <c r="B345" t="s">
        <v>1329</v>
      </c>
      <c r="C345" t="s">
        <v>1732</v>
      </c>
      <c r="D345" t="s">
        <v>21</v>
      </c>
      <c r="F345">
        <v>44</v>
      </c>
      <c r="G345" t="s">
        <v>1419</v>
      </c>
      <c r="H345" s="89">
        <v>46045</v>
      </c>
      <c r="I345" s="89">
        <v>46047</v>
      </c>
      <c r="N345" t="s">
        <v>1659</v>
      </c>
    </row>
    <row r="346" spans="1:14" hidden="1" x14ac:dyDescent="0.25">
      <c r="A346" t="s">
        <v>1316</v>
      </c>
      <c r="B346" t="s">
        <v>1330</v>
      </c>
      <c r="C346" t="s">
        <v>1733</v>
      </c>
      <c r="D346" t="s">
        <v>21</v>
      </c>
      <c r="F346">
        <v>42</v>
      </c>
      <c r="G346" t="s">
        <v>1419</v>
      </c>
      <c r="H346" s="89">
        <v>46045</v>
      </c>
      <c r="I346" s="89">
        <v>46047</v>
      </c>
      <c r="N346" t="s">
        <v>1659</v>
      </c>
    </row>
    <row r="347" spans="1:14" hidden="1" x14ac:dyDescent="0.25">
      <c r="A347" t="s">
        <v>1317</v>
      </c>
      <c r="B347" t="s">
        <v>1331</v>
      </c>
      <c r="C347" t="s">
        <v>1734</v>
      </c>
      <c r="D347" t="s">
        <v>21</v>
      </c>
      <c r="F347">
        <v>21</v>
      </c>
      <c r="G347" t="s">
        <v>1419</v>
      </c>
      <c r="H347" s="89">
        <v>46045</v>
      </c>
      <c r="I347" s="89">
        <v>46047</v>
      </c>
      <c r="N347" t="s">
        <v>1659</v>
      </c>
    </row>
    <row r="348" spans="1:14" hidden="1" x14ac:dyDescent="0.25">
      <c r="A348" t="s">
        <v>1318</v>
      </c>
      <c r="B348" t="s">
        <v>1332</v>
      </c>
      <c r="C348" t="s">
        <v>1735</v>
      </c>
      <c r="D348" t="s">
        <v>21</v>
      </c>
      <c r="F348">
        <v>56</v>
      </c>
      <c r="G348" t="s">
        <v>1419</v>
      </c>
      <c r="H348" s="89">
        <v>46045</v>
      </c>
      <c r="I348" s="89">
        <v>46047</v>
      </c>
      <c r="N348" t="s">
        <v>1659</v>
      </c>
    </row>
    <row r="349" spans="1:14" hidden="1" x14ac:dyDescent="0.25">
      <c r="A349" t="s">
        <v>1313</v>
      </c>
      <c r="B349" t="s">
        <v>1327</v>
      </c>
      <c r="C349" t="s">
        <v>1736</v>
      </c>
      <c r="D349" t="s">
        <v>150</v>
      </c>
      <c r="F349">
        <v>1008</v>
      </c>
      <c r="G349">
        <v>21</v>
      </c>
      <c r="H349" s="89">
        <v>46045</v>
      </c>
      <c r="I349" s="89">
        <v>46050</v>
      </c>
      <c r="J349" t="s">
        <v>1737</v>
      </c>
      <c r="N349" t="s">
        <v>1659</v>
      </c>
    </row>
    <row r="350" spans="1:14" hidden="1" x14ac:dyDescent="0.25">
      <c r="A350" t="s">
        <v>1313</v>
      </c>
      <c r="B350" t="s">
        <v>1327</v>
      </c>
      <c r="C350" t="s">
        <v>1736</v>
      </c>
      <c r="D350" t="s">
        <v>150</v>
      </c>
      <c r="F350">
        <v>144</v>
      </c>
      <c r="G350">
        <v>3</v>
      </c>
      <c r="H350" s="89">
        <v>46045</v>
      </c>
      <c r="I350" s="89">
        <v>46049</v>
      </c>
      <c r="N350" t="s">
        <v>1659</v>
      </c>
    </row>
    <row r="351" spans="1:14" hidden="1" x14ac:dyDescent="0.25">
      <c r="A351" t="s">
        <v>1313</v>
      </c>
      <c r="B351" t="s">
        <v>1327</v>
      </c>
      <c r="C351" t="s">
        <v>1738</v>
      </c>
      <c r="D351" t="s">
        <v>23</v>
      </c>
      <c r="F351">
        <v>96</v>
      </c>
      <c r="G351">
        <v>2</v>
      </c>
      <c r="H351" s="89">
        <v>46045</v>
      </c>
      <c r="I351" s="89">
        <v>46050</v>
      </c>
      <c r="N351" t="s">
        <v>1659</v>
      </c>
    </row>
    <row r="352" spans="1:14" hidden="1" x14ac:dyDescent="0.25">
      <c r="A352" t="s">
        <v>1313</v>
      </c>
      <c r="B352" t="s">
        <v>1327</v>
      </c>
      <c r="C352" t="s">
        <v>1738</v>
      </c>
      <c r="D352" t="s">
        <v>23</v>
      </c>
      <c r="F352">
        <v>864</v>
      </c>
      <c r="G352">
        <v>18</v>
      </c>
      <c r="H352" s="89">
        <v>46045</v>
      </c>
      <c r="I352" s="89">
        <v>46050</v>
      </c>
      <c r="J352" t="s">
        <v>1739</v>
      </c>
      <c r="N352" t="s">
        <v>1659</v>
      </c>
    </row>
    <row r="353" spans="1:14" hidden="1" x14ac:dyDescent="0.25">
      <c r="A353" t="s">
        <v>1314</v>
      </c>
      <c r="B353" t="s">
        <v>1328</v>
      </c>
      <c r="C353" t="s">
        <v>1740</v>
      </c>
      <c r="D353" t="s">
        <v>21</v>
      </c>
      <c r="F353">
        <v>288</v>
      </c>
      <c r="G353">
        <v>6</v>
      </c>
      <c r="H353" s="89">
        <v>46046</v>
      </c>
      <c r="I353" s="89">
        <v>46050</v>
      </c>
      <c r="J353" t="s">
        <v>1741</v>
      </c>
      <c r="N353" t="s">
        <v>1659</v>
      </c>
    </row>
    <row r="354" spans="1:14" hidden="1" x14ac:dyDescent="0.25">
      <c r="A354" t="s">
        <v>1314</v>
      </c>
      <c r="B354" t="s">
        <v>1328</v>
      </c>
      <c r="C354" t="s">
        <v>1740</v>
      </c>
      <c r="D354" t="s">
        <v>21</v>
      </c>
      <c r="F354">
        <v>144</v>
      </c>
      <c r="G354">
        <v>3</v>
      </c>
      <c r="H354" s="89">
        <v>46046</v>
      </c>
      <c r="I354" s="89">
        <v>46050</v>
      </c>
      <c r="J354" t="s">
        <v>1742</v>
      </c>
      <c r="N354" t="s">
        <v>1659</v>
      </c>
    </row>
    <row r="355" spans="1:14" hidden="1" x14ac:dyDescent="0.25">
      <c r="A355" t="s">
        <v>1313</v>
      </c>
      <c r="B355" t="s">
        <v>1327</v>
      </c>
      <c r="C355" t="s">
        <v>1740</v>
      </c>
      <c r="D355" t="s">
        <v>21</v>
      </c>
      <c r="F355">
        <v>720</v>
      </c>
      <c r="G355">
        <v>15</v>
      </c>
      <c r="H355" s="89">
        <v>46046</v>
      </c>
      <c r="I355" s="89">
        <v>46050</v>
      </c>
      <c r="N355" t="s">
        <v>1659</v>
      </c>
    </row>
    <row r="356" spans="1:14" hidden="1" x14ac:dyDescent="0.25">
      <c r="A356" t="s">
        <v>1315</v>
      </c>
      <c r="B356" t="s">
        <v>1329</v>
      </c>
      <c r="C356" t="s">
        <v>1740</v>
      </c>
      <c r="D356" t="s">
        <v>21</v>
      </c>
      <c r="F356">
        <v>69</v>
      </c>
      <c r="G356" t="s">
        <v>1419</v>
      </c>
      <c r="H356" s="89">
        <v>46046</v>
      </c>
      <c r="I356" s="89">
        <v>46047</v>
      </c>
      <c r="N356" t="s">
        <v>1659</v>
      </c>
    </row>
    <row r="357" spans="1:14" hidden="1" x14ac:dyDescent="0.25">
      <c r="A357" t="s">
        <v>1316</v>
      </c>
      <c r="B357" t="s">
        <v>1330</v>
      </c>
      <c r="C357" t="s">
        <v>1743</v>
      </c>
      <c r="D357" t="s">
        <v>21</v>
      </c>
      <c r="F357">
        <v>19</v>
      </c>
      <c r="G357" t="s">
        <v>1419</v>
      </c>
      <c r="H357" s="89">
        <v>46046</v>
      </c>
      <c r="I357" s="89">
        <v>46047</v>
      </c>
      <c r="N357" t="s">
        <v>1659</v>
      </c>
    </row>
    <row r="358" spans="1:14" hidden="1" x14ac:dyDescent="0.25">
      <c r="A358" t="s">
        <v>1317</v>
      </c>
      <c r="B358" t="s">
        <v>1331</v>
      </c>
      <c r="C358" t="s">
        <v>1744</v>
      </c>
      <c r="D358" t="s">
        <v>21</v>
      </c>
      <c r="F358">
        <v>18</v>
      </c>
      <c r="G358" t="s">
        <v>1419</v>
      </c>
      <c r="H358" s="89">
        <v>46046</v>
      </c>
      <c r="I358" s="89">
        <v>46047</v>
      </c>
      <c r="N358" t="s">
        <v>1659</v>
      </c>
    </row>
    <row r="359" spans="1:14" hidden="1" x14ac:dyDescent="0.25">
      <c r="A359" t="s">
        <v>1318</v>
      </c>
      <c r="B359" t="s">
        <v>1332</v>
      </c>
      <c r="C359" t="s">
        <v>1745</v>
      </c>
      <c r="D359" t="s">
        <v>21</v>
      </c>
      <c r="F359">
        <v>78</v>
      </c>
      <c r="G359" t="s">
        <v>1419</v>
      </c>
      <c r="H359" s="89">
        <v>46046</v>
      </c>
      <c r="I359" s="89">
        <v>46047</v>
      </c>
      <c r="N359" t="s">
        <v>1659</v>
      </c>
    </row>
    <row r="360" spans="1:14" hidden="1" x14ac:dyDescent="0.25">
      <c r="B360" t="s">
        <v>1746</v>
      </c>
      <c r="C360" t="s">
        <v>1747</v>
      </c>
      <c r="H360" s="89">
        <v>4</v>
      </c>
      <c r="I360" s="89">
        <v>4</v>
      </c>
      <c r="N360" t="s">
        <v>1659</v>
      </c>
    </row>
    <row r="361" spans="1:14" hidden="1" x14ac:dyDescent="0.25">
      <c r="A361" t="s">
        <v>1313</v>
      </c>
      <c r="B361" t="s">
        <v>1327</v>
      </c>
      <c r="C361" t="s">
        <v>1748</v>
      </c>
      <c r="D361" t="s">
        <v>28</v>
      </c>
      <c r="F361">
        <v>1152</v>
      </c>
      <c r="G361">
        <v>24</v>
      </c>
      <c r="H361" s="89">
        <v>46048</v>
      </c>
      <c r="I361" s="89">
        <v>46052</v>
      </c>
      <c r="J361" t="s">
        <v>1749</v>
      </c>
      <c r="N361" t="s">
        <v>1750</v>
      </c>
    </row>
    <row r="362" spans="1:14" hidden="1" x14ac:dyDescent="0.25">
      <c r="A362" t="s">
        <v>1313</v>
      </c>
      <c r="B362" t="s">
        <v>1327</v>
      </c>
      <c r="C362" t="s">
        <v>1748</v>
      </c>
      <c r="D362" t="s">
        <v>28</v>
      </c>
      <c r="F362">
        <v>144</v>
      </c>
      <c r="G362">
        <v>3</v>
      </c>
      <c r="H362" s="89">
        <v>46048</v>
      </c>
      <c r="I362" s="89">
        <v>46054</v>
      </c>
      <c r="J362" t="s">
        <v>1751</v>
      </c>
      <c r="N362" t="s">
        <v>1750</v>
      </c>
    </row>
    <row r="363" spans="1:14" hidden="1" x14ac:dyDescent="0.25">
      <c r="A363" t="s">
        <v>1315</v>
      </c>
      <c r="B363" t="s">
        <v>1329</v>
      </c>
      <c r="C363" t="s">
        <v>1748</v>
      </c>
      <c r="D363" t="s">
        <v>28</v>
      </c>
      <c r="F363">
        <v>16</v>
      </c>
      <c r="G363" t="s">
        <v>1419</v>
      </c>
      <c r="H363" s="89">
        <v>46048</v>
      </c>
      <c r="I363" s="89">
        <v>46049</v>
      </c>
      <c r="N363" t="s">
        <v>1750</v>
      </c>
    </row>
    <row r="364" spans="1:14" hidden="1" x14ac:dyDescent="0.25">
      <c r="A364" t="s">
        <v>1316</v>
      </c>
      <c r="B364" t="s">
        <v>1330</v>
      </c>
      <c r="C364" t="s">
        <v>1752</v>
      </c>
      <c r="D364" t="s">
        <v>28</v>
      </c>
      <c r="F364">
        <v>40</v>
      </c>
      <c r="G364" t="s">
        <v>1419</v>
      </c>
      <c r="H364" s="89">
        <v>46048</v>
      </c>
      <c r="I364" s="89">
        <v>46049</v>
      </c>
      <c r="N364" t="s">
        <v>1750</v>
      </c>
    </row>
    <row r="365" spans="1:14" hidden="1" x14ac:dyDescent="0.25">
      <c r="A365" t="s">
        <v>1317</v>
      </c>
      <c r="B365" t="s">
        <v>1331</v>
      </c>
      <c r="C365" t="s">
        <v>1752</v>
      </c>
      <c r="D365" t="s">
        <v>28</v>
      </c>
      <c r="F365">
        <v>5</v>
      </c>
      <c r="G365" t="s">
        <v>1419</v>
      </c>
      <c r="H365" s="89">
        <v>46048</v>
      </c>
      <c r="I365" s="89">
        <v>46049</v>
      </c>
      <c r="N365" t="s">
        <v>1750</v>
      </c>
    </row>
    <row r="366" spans="1:14" hidden="1" x14ac:dyDescent="0.25">
      <c r="A366" t="s">
        <v>1318</v>
      </c>
      <c r="B366" t="s">
        <v>1332</v>
      </c>
      <c r="C366" t="s">
        <v>1753</v>
      </c>
      <c r="D366" t="s">
        <v>28</v>
      </c>
      <c r="F366">
        <v>56</v>
      </c>
      <c r="G366" t="s">
        <v>1419</v>
      </c>
      <c r="H366" s="89">
        <v>46048</v>
      </c>
      <c r="I366" s="89">
        <v>46049</v>
      </c>
      <c r="N366" t="s">
        <v>1750</v>
      </c>
    </row>
    <row r="367" spans="1:14" hidden="1" x14ac:dyDescent="0.25">
      <c r="A367" t="s">
        <v>1313</v>
      </c>
      <c r="B367" t="s">
        <v>1327</v>
      </c>
      <c r="C367" t="s">
        <v>1754</v>
      </c>
      <c r="D367" t="s">
        <v>23</v>
      </c>
      <c r="F367">
        <v>816</v>
      </c>
      <c r="G367">
        <v>17</v>
      </c>
      <c r="H367" s="89">
        <v>46048</v>
      </c>
      <c r="I367" s="89">
        <v>46052</v>
      </c>
      <c r="J367" t="s">
        <v>1755</v>
      </c>
      <c r="N367" t="s">
        <v>1750</v>
      </c>
    </row>
    <row r="368" spans="1:14" hidden="1" x14ac:dyDescent="0.25">
      <c r="A368" t="s">
        <v>1315</v>
      </c>
      <c r="B368" t="s">
        <v>1329</v>
      </c>
      <c r="C368" t="s">
        <v>1754</v>
      </c>
      <c r="D368" t="s">
        <v>23</v>
      </c>
      <c r="F368">
        <v>48</v>
      </c>
      <c r="G368">
        <v>1</v>
      </c>
      <c r="H368" s="89">
        <v>46048</v>
      </c>
      <c r="I368" s="89">
        <v>46049</v>
      </c>
      <c r="N368" t="s">
        <v>1750</v>
      </c>
    </row>
    <row r="369" spans="1:14" hidden="1" x14ac:dyDescent="0.25">
      <c r="A369" t="s">
        <v>1314</v>
      </c>
      <c r="B369" t="s">
        <v>1328</v>
      </c>
      <c r="C369" t="s">
        <v>1756</v>
      </c>
      <c r="D369" t="s">
        <v>15</v>
      </c>
      <c r="F369">
        <v>288</v>
      </c>
      <c r="G369">
        <v>6</v>
      </c>
      <c r="H369" s="89">
        <v>46048</v>
      </c>
      <c r="I369" s="89">
        <v>46052</v>
      </c>
      <c r="J369" t="s">
        <v>1757</v>
      </c>
      <c r="N369" t="s">
        <v>1750</v>
      </c>
    </row>
    <row r="370" spans="1:14" hidden="1" x14ac:dyDescent="0.25">
      <c r="A370" t="s">
        <v>1326</v>
      </c>
      <c r="B370" t="s">
        <v>1340</v>
      </c>
      <c r="C370" t="s">
        <v>1758</v>
      </c>
      <c r="D370" t="s">
        <v>32</v>
      </c>
      <c r="F370">
        <v>840</v>
      </c>
      <c r="G370">
        <v>20</v>
      </c>
      <c r="H370" s="89">
        <v>46048</v>
      </c>
      <c r="I370" s="89">
        <v>46052</v>
      </c>
      <c r="J370" t="s">
        <v>1759</v>
      </c>
      <c r="N370" t="s">
        <v>1750</v>
      </c>
    </row>
    <row r="371" spans="1:14" hidden="1" x14ac:dyDescent="0.25">
      <c r="A371" t="s">
        <v>1427</v>
      </c>
      <c r="B371" t="s">
        <v>1428</v>
      </c>
      <c r="C371" t="s">
        <v>1760</v>
      </c>
      <c r="D371" t="s">
        <v>20</v>
      </c>
      <c r="F371">
        <v>756</v>
      </c>
      <c r="G371">
        <v>14</v>
      </c>
      <c r="H371" s="89">
        <v>46048</v>
      </c>
      <c r="I371" s="89">
        <v>46051</v>
      </c>
      <c r="J371" t="s">
        <v>1761</v>
      </c>
      <c r="N371" t="s">
        <v>1750</v>
      </c>
    </row>
    <row r="372" spans="1:14" hidden="1" x14ac:dyDescent="0.25">
      <c r="A372" t="s">
        <v>1322</v>
      </c>
      <c r="B372" t="s">
        <v>1336</v>
      </c>
      <c r="C372" t="s">
        <v>1760</v>
      </c>
      <c r="D372" t="s">
        <v>20</v>
      </c>
      <c r="F372">
        <v>324</v>
      </c>
      <c r="G372">
        <v>6</v>
      </c>
      <c r="H372" s="89">
        <v>46048</v>
      </c>
      <c r="I372" s="89">
        <v>46051</v>
      </c>
      <c r="J372" t="s">
        <v>1761</v>
      </c>
      <c r="N372" t="s">
        <v>1750</v>
      </c>
    </row>
    <row r="373" spans="1:14" hidden="1" x14ac:dyDescent="0.25">
      <c r="A373" t="s">
        <v>1315</v>
      </c>
      <c r="B373" t="s">
        <v>1329</v>
      </c>
      <c r="C373" t="s">
        <v>1760</v>
      </c>
      <c r="D373" t="s">
        <v>20</v>
      </c>
      <c r="F373">
        <v>206</v>
      </c>
      <c r="G373" t="s">
        <v>1419</v>
      </c>
      <c r="H373" s="89">
        <v>46048</v>
      </c>
      <c r="I373" s="89">
        <v>46049</v>
      </c>
      <c r="N373" t="s">
        <v>1750</v>
      </c>
    </row>
    <row r="374" spans="1:14" hidden="1" x14ac:dyDescent="0.25">
      <c r="A374" t="s">
        <v>1316</v>
      </c>
      <c r="B374" t="s">
        <v>1330</v>
      </c>
      <c r="C374" t="s">
        <v>1762</v>
      </c>
      <c r="D374" t="s">
        <v>20</v>
      </c>
      <c r="F374">
        <v>90</v>
      </c>
      <c r="G374" t="s">
        <v>1419</v>
      </c>
      <c r="H374" s="89">
        <v>46048</v>
      </c>
      <c r="I374" s="89">
        <v>46049</v>
      </c>
      <c r="N374" t="s">
        <v>1750</v>
      </c>
    </row>
    <row r="375" spans="1:14" hidden="1" x14ac:dyDescent="0.25">
      <c r="A375" t="s">
        <v>1317</v>
      </c>
      <c r="B375" t="s">
        <v>1331</v>
      </c>
      <c r="C375" t="s">
        <v>1763</v>
      </c>
      <c r="D375" t="s">
        <v>20</v>
      </c>
      <c r="F375">
        <v>17</v>
      </c>
      <c r="G375" t="s">
        <v>1419</v>
      </c>
      <c r="H375" s="89">
        <v>46048</v>
      </c>
      <c r="I375" s="89">
        <v>46049</v>
      </c>
      <c r="N375" t="s">
        <v>1750</v>
      </c>
    </row>
    <row r="376" spans="1:14" hidden="1" x14ac:dyDescent="0.25">
      <c r="A376" t="s">
        <v>1318</v>
      </c>
      <c r="B376" t="s">
        <v>1332</v>
      </c>
      <c r="C376" t="s">
        <v>1764</v>
      </c>
      <c r="D376" t="s">
        <v>20</v>
      </c>
      <c r="F376">
        <v>32</v>
      </c>
      <c r="G376" t="s">
        <v>1419</v>
      </c>
      <c r="H376" s="89">
        <v>46048</v>
      </c>
      <c r="I376" s="89">
        <v>46049</v>
      </c>
      <c r="N376" t="s">
        <v>1750</v>
      </c>
    </row>
    <row r="377" spans="1:14" hidden="1" x14ac:dyDescent="0.25">
      <c r="A377" t="s">
        <v>1444</v>
      </c>
      <c r="B377" t="s">
        <v>1445</v>
      </c>
      <c r="C377" t="s">
        <v>1756</v>
      </c>
      <c r="D377" t="s">
        <v>15</v>
      </c>
      <c r="F377">
        <v>156</v>
      </c>
      <c r="G377">
        <v>1</v>
      </c>
      <c r="H377" s="89">
        <v>46048</v>
      </c>
      <c r="I377" s="89">
        <v>46050</v>
      </c>
      <c r="N377" t="s">
        <v>1750</v>
      </c>
    </row>
    <row r="378" spans="1:14" hidden="1" x14ac:dyDescent="0.25">
      <c r="A378" t="s">
        <v>1313</v>
      </c>
      <c r="B378" t="s">
        <v>1327</v>
      </c>
      <c r="C378" t="s">
        <v>1756</v>
      </c>
      <c r="D378" t="s">
        <v>15</v>
      </c>
      <c r="F378">
        <v>480</v>
      </c>
      <c r="G378">
        <v>10</v>
      </c>
      <c r="H378" s="89">
        <v>46048</v>
      </c>
      <c r="I378" s="89">
        <v>46050</v>
      </c>
      <c r="N378" t="s">
        <v>1750</v>
      </c>
    </row>
    <row r="379" spans="1:14" hidden="1" x14ac:dyDescent="0.25">
      <c r="A379" t="s">
        <v>1315</v>
      </c>
      <c r="B379" t="s">
        <v>1329</v>
      </c>
      <c r="C379" t="s">
        <v>1756</v>
      </c>
      <c r="D379" t="s">
        <v>15</v>
      </c>
      <c r="F379">
        <v>40</v>
      </c>
      <c r="G379" t="s">
        <v>1419</v>
      </c>
      <c r="H379" s="89">
        <v>46048</v>
      </c>
      <c r="I379" s="89">
        <v>46049</v>
      </c>
      <c r="N379" t="s">
        <v>1750</v>
      </c>
    </row>
    <row r="380" spans="1:14" hidden="1" x14ac:dyDescent="0.25">
      <c r="A380" t="s">
        <v>1316</v>
      </c>
      <c r="B380" t="s">
        <v>1330</v>
      </c>
      <c r="C380" t="s">
        <v>1765</v>
      </c>
      <c r="D380" t="s">
        <v>15</v>
      </c>
      <c r="F380">
        <v>24</v>
      </c>
      <c r="G380" t="s">
        <v>1419</v>
      </c>
      <c r="H380" s="89">
        <v>46048</v>
      </c>
      <c r="I380" s="89">
        <v>46049</v>
      </c>
      <c r="N380" t="s">
        <v>1750</v>
      </c>
    </row>
    <row r="381" spans="1:14" hidden="1" x14ac:dyDescent="0.25">
      <c r="A381" t="s">
        <v>1317</v>
      </c>
      <c r="B381" t="s">
        <v>1331</v>
      </c>
      <c r="C381" t="s">
        <v>1766</v>
      </c>
      <c r="D381" t="s">
        <v>15</v>
      </c>
      <c r="F381">
        <v>7</v>
      </c>
      <c r="G381" t="s">
        <v>1419</v>
      </c>
      <c r="H381" s="89">
        <v>46048</v>
      </c>
      <c r="I381" s="89">
        <v>46049</v>
      </c>
      <c r="N381" t="s">
        <v>1750</v>
      </c>
    </row>
    <row r="382" spans="1:14" hidden="1" x14ac:dyDescent="0.25">
      <c r="A382" t="s">
        <v>1318</v>
      </c>
      <c r="B382" t="s">
        <v>1332</v>
      </c>
      <c r="C382" t="s">
        <v>1767</v>
      </c>
      <c r="D382" t="s">
        <v>15</v>
      </c>
      <c r="F382">
        <v>6</v>
      </c>
      <c r="G382" t="s">
        <v>1419</v>
      </c>
      <c r="H382" s="89">
        <v>46048</v>
      </c>
      <c r="I382" s="89">
        <v>46049</v>
      </c>
      <c r="N382" t="s">
        <v>1750</v>
      </c>
    </row>
    <row r="383" spans="1:14" hidden="1" x14ac:dyDescent="0.25">
      <c r="A383" t="s">
        <v>1313</v>
      </c>
      <c r="B383" t="s">
        <v>1327</v>
      </c>
      <c r="C383" t="s">
        <v>1768</v>
      </c>
      <c r="D383" t="s">
        <v>23</v>
      </c>
      <c r="F383">
        <v>1147</v>
      </c>
      <c r="G383">
        <v>23.895833333333332</v>
      </c>
      <c r="H383" s="89">
        <v>46049</v>
      </c>
      <c r="I383" s="89">
        <v>46054</v>
      </c>
      <c r="J383" t="s">
        <v>1769</v>
      </c>
      <c r="N383" t="s">
        <v>1750</v>
      </c>
    </row>
    <row r="384" spans="1:14" hidden="1" x14ac:dyDescent="0.25">
      <c r="A384" t="s">
        <v>1566</v>
      </c>
      <c r="B384" t="s">
        <v>1567</v>
      </c>
      <c r="C384" t="s">
        <v>1770</v>
      </c>
      <c r="D384" t="s">
        <v>15</v>
      </c>
      <c r="F384">
        <v>5</v>
      </c>
      <c r="G384">
        <v>0.10416666666666669</v>
      </c>
      <c r="H384" s="89">
        <v>46049</v>
      </c>
      <c r="I384" s="89">
        <v>46054</v>
      </c>
      <c r="J384" t="s">
        <v>1771</v>
      </c>
      <c r="N384" t="s">
        <v>1750</v>
      </c>
    </row>
    <row r="385" spans="1:14" hidden="1" x14ac:dyDescent="0.25">
      <c r="A385" t="s">
        <v>1313</v>
      </c>
      <c r="B385" t="s">
        <v>1327</v>
      </c>
      <c r="C385" t="s">
        <v>1768</v>
      </c>
      <c r="D385" t="s">
        <v>23</v>
      </c>
      <c r="F385">
        <v>5</v>
      </c>
      <c r="G385">
        <v>0.10416666666666669</v>
      </c>
      <c r="H385" s="89">
        <v>46049</v>
      </c>
      <c r="I385" s="89">
        <v>46049</v>
      </c>
      <c r="N385" t="s">
        <v>1750</v>
      </c>
    </row>
    <row r="386" spans="1:14" hidden="1" x14ac:dyDescent="0.25">
      <c r="A386" t="s">
        <v>1313</v>
      </c>
      <c r="B386" t="s">
        <v>1327</v>
      </c>
      <c r="C386" t="s">
        <v>1770</v>
      </c>
      <c r="D386" t="s">
        <v>15</v>
      </c>
      <c r="F386">
        <v>768</v>
      </c>
      <c r="G386">
        <v>15.895833333333334</v>
      </c>
      <c r="H386" s="89">
        <v>46049</v>
      </c>
      <c r="I386" s="89">
        <v>46049</v>
      </c>
      <c r="N386" t="s">
        <v>1750</v>
      </c>
    </row>
    <row r="387" spans="1:14" hidden="1" x14ac:dyDescent="0.25">
      <c r="A387" t="s">
        <v>1313</v>
      </c>
      <c r="B387" t="s">
        <v>1327</v>
      </c>
      <c r="C387" t="s">
        <v>1770</v>
      </c>
      <c r="D387" t="s">
        <v>15</v>
      </c>
      <c r="F387">
        <v>48</v>
      </c>
      <c r="G387">
        <v>1</v>
      </c>
      <c r="H387" s="89">
        <v>46049</v>
      </c>
      <c r="I387" s="89">
        <v>46052</v>
      </c>
      <c r="J387" t="s">
        <v>1755</v>
      </c>
      <c r="N387" t="s">
        <v>1750</v>
      </c>
    </row>
    <row r="388" spans="1:14" hidden="1" x14ac:dyDescent="0.25">
      <c r="A388" t="s">
        <v>1315</v>
      </c>
      <c r="B388" t="s">
        <v>1329</v>
      </c>
      <c r="C388" t="s">
        <v>1770</v>
      </c>
      <c r="D388" t="s">
        <v>15</v>
      </c>
      <c r="F388">
        <v>221</v>
      </c>
      <c r="G388" t="s">
        <v>1419</v>
      </c>
      <c r="H388" s="89">
        <v>46049</v>
      </c>
      <c r="I388" s="89">
        <v>46049</v>
      </c>
      <c r="N388" t="s">
        <v>1750</v>
      </c>
    </row>
    <row r="389" spans="1:14" hidden="1" x14ac:dyDescent="0.25">
      <c r="A389" t="s">
        <v>1313</v>
      </c>
      <c r="B389" t="s">
        <v>1327</v>
      </c>
      <c r="C389" t="s">
        <v>1770</v>
      </c>
      <c r="D389" t="s">
        <v>15</v>
      </c>
      <c r="F389">
        <v>144</v>
      </c>
      <c r="G389">
        <v>3</v>
      </c>
      <c r="H389" s="89">
        <v>46049</v>
      </c>
      <c r="I389" s="89">
        <v>46053</v>
      </c>
      <c r="J389" t="s">
        <v>1772</v>
      </c>
      <c r="N389" t="s">
        <v>1750</v>
      </c>
    </row>
    <row r="390" spans="1:14" hidden="1" x14ac:dyDescent="0.25">
      <c r="A390" t="s">
        <v>1313</v>
      </c>
      <c r="B390" t="s">
        <v>1327</v>
      </c>
      <c r="C390" t="s">
        <v>1770</v>
      </c>
      <c r="D390" t="s">
        <v>15</v>
      </c>
      <c r="F390">
        <v>96</v>
      </c>
      <c r="G390">
        <v>2</v>
      </c>
      <c r="H390" s="89">
        <v>46049</v>
      </c>
      <c r="I390" s="89">
        <v>46054</v>
      </c>
      <c r="J390" t="s">
        <v>1751</v>
      </c>
      <c r="N390" t="s">
        <v>1750</v>
      </c>
    </row>
    <row r="391" spans="1:14" hidden="1" x14ac:dyDescent="0.25">
      <c r="A391" t="s">
        <v>1316</v>
      </c>
      <c r="B391" t="s">
        <v>1330</v>
      </c>
      <c r="C391" t="s">
        <v>1773</v>
      </c>
      <c r="D391" t="s">
        <v>15</v>
      </c>
      <c r="F391">
        <v>29</v>
      </c>
      <c r="G391" t="s">
        <v>1419</v>
      </c>
      <c r="H391" s="89">
        <v>46049</v>
      </c>
      <c r="I391" s="89">
        <v>46049</v>
      </c>
      <c r="N391" t="s">
        <v>1750</v>
      </c>
    </row>
    <row r="392" spans="1:14" hidden="1" x14ac:dyDescent="0.25">
      <c r="A392" t="s">
        <v>1317</v>
      </c>
      <c r="B392" t="s">
        <v>1331</v>
      </c>
      <c r="C392" t="s">
        <v>1774</v>
      </c>
      <c r="D392" t="s">
        <v>15</v>
      </c>
      <c r="F392">
        <v>15</v>
      </c>
      <c r="G392" t="s">
        <v>1419</v>
      </c>
      <c r="H392" s="89">
        <v>46049</v>
      </c>
      <c r="I392" s="89">
        <v>46049</v>
      </c>
      <c r="N392" t="s">
        <v>1750</v>
      </c>
    </row>
    <row r="393" spans="1:14" hidden="1" x14ac:dyDescent="0.25">
      <c r="A393" t="s">
        <v>1318</v>
      </c>
      <c r="B393" t="s">
        <v>1332</v>
      </c>
      <c r="C393" t="s">
        <v>1775</v>
      </c>
      <c r="D393" t="s">
        <v>15</v>
      </c>
      <c r="F393">
        <v>28</v>
      </c>
      <c r="G393" t="s">
        <v>1419</v>
      </c>
      <c r="H393" s="89">
        <v>46049</v>
      </c>
      <c r="I393" s="89">
        <v>46049</v>
      </c>
      <c r="N393" t="s">
        <v>1750</v>
      </c>
    </row>
    <row r="394" spans="1:14" hidden="1" x14ac:dyDescent="0.25">
      <c r="A394" t="s">
        <v>1313</v>
      </c>
      <c r="B394" t="s">
        <v>1327</v>
      </c>
      <c r="C394" t="s">
        <v>1776</v>
      </c>
      <c r="D394" t="s">
        <v>28</v>
      </c>
      <c r="F394">
        <v>1008</v>
      </c>
      <c r="G394">
        <v>21</v>
      </c>
      <c r="H394" s="89">
        <v>46049</v>
      </c>
      <c r="I394" s="89">
        <v>46053</v>
      </c>
      <c r="J394" t="s">
        <v>1772</v>
      </c>
      <c r="N394" t="s">
        <v>1750</v>
      </c>
    </row>
    <row r="395" spans="1:14" hidden="1" x14ac:dyDescent="0.25">
      <c r="A395" t="s">
        <v>1315</v>
      </c>
      <c r="B395" t="s">
        <v>1329</v>
      </c>
      <c r="C395" t="s">
        <v>1776</v>
      </c>
      <c r="D395" t="s">
        <v>28</v>
      </c>
      <c r="F395">
        <v>400</v>
      </c>
      <c r="G395" t="s">
        <v>1419</v>
      </c>
      <c r="H395" s="89">
        <v>46049</v>
      </c>
      <c r="I395" s="89">
        <v>46049</v>
      </c>
      <c r="N395" t="s">
        <v>1750</v>
      </c>
    </row>
    <row r="396" spans="1:14" hidden="1" x14ac:dyDescent="0.25">
      <c r="A396" t="s">
        <v>1316</v>
      </c>
      <c r="B396" t="s">
        <v>1330</v>
      </c>
      <c r="C396" t="s">
        <v>1777</v>
      </c>
      <c r="D396" t="s">
        <v>28</v>
      </c>
      <c r="F396">
        <v>32</v>
      </c>
      <c r="G396" t="s">
        <v>1419</v>
      </c>
      <c r="H396" s="89">
        <v>46049</v>
      </c>
      <c r="I396" s="89">
        <v>46049</v>
      </c>
      <c r="N396" t="s">
        <v>1750</v>
      </c>
    </row>
    <row r="397" spans="1:14" hidden="1" x14ac:dyDescent="0.25">
      <c r="A397" t="s">
        <v>1317</v>
      </c>
      <c r="B397" t="s">
        <v>1331</v>
      </c>
      <c r="C397" t="s">
        <v>1777</v>
      </c>
      <c r="D397" t="s">
        <v>28</v>
      </c>
      <c r="F397">
        <v>9</v>
      </c>
      <c r="G397" t="s">
        <v>1419</v>
      </c>
      <c r="H397" s="89">
        <v>46049</v>
      </c>
      <c r="I397" s="89">
        <v>46049</v>
      </c>
      <c r="N397" t="s">
        <v>1750</v>
      </c>
    </row>
    <row r="398" spans="1:14" hidden="1" x14ac:dyDescent="0.25">
      <c r="A398" t="s">
        <v>1318</v>
      </c>
      <c r="B398" t="s">
        <v>1332</v>
      </c>
      <c r="C398" t="s">
        <v>1778</v>
      </c>
      <c r="D398" t="s">
        <v>28</v>
      </c>
      <c r="F398">
        <v>59</v>
      </c>
      <c r="G398" t="s">
        <v>1419</v>
      </c>
      <c r="H398" s="89">
        <v>46049</v>
      </c>
      <c r="I398" s="89">
        <v>46049</v>
      </c>
      <c r="N398" t="s">
        <v>1750</v>
      </c>
    </row>
    <row r="399" spans="1:14" hidden="1" x14ac:dyDescent="0.25">
      <c r="A399" t="s">
        <v>1324</v>
      </c>
      <c r="B399" t="s">
        <v>1338</v>
      </c>
      <c r="C399" t="s">
        <v>1779</v>
      </c>
      <c r="D399" t="s">
        <v>147</v>
      </c>
      <c r="F399">
        <v>624</v>
      </c>
      <c r="G399">
        <v>13</v>
      </c>
      <c r="H399" s="89">
        <v>46049</v>
      </c>
      <c r="I399" s="89">
        <v>46055</v>
      </c>
      <c r="J399" t="s">
        <v>1780</v>
      </c>
      <c r="N399" t="s">
        <v>1750</v>
      </c>
    </row>
    <row r="400" spans="1:14" hidden="1" x14ac:dyDescent="0.25">
      <c r="A400" t="s">
        <v>1324</v>
      </c>
      <c r="B400" t="s">
        <v>1338</v>
      </c>
      <c r="C400" t="s">
        <v>1781</v>
      </c>
      <c r="D400" t="s">
        <v>13</v>
      </c>
      <c r="F400">
        <v>336</v>
      </c>
      <c r="G400">
        <v>7</v>
      </c>
      <c r="H400" s="89">
        <v>46049</v>
      </c>
      <c r="I400" s="89">
        <v>46055</v>
      </c>
      <c r="J400" t="s">
        <v>1780</v>
      </c>
      <c r="N400" t="s">
        <v>1750</v>
      </c>
    </row>
    <row r="401" spans="1:14" hidden="1" x14ac:dyDescent="0.25">
      <c r="A401" t="s">
        <v>1315</v>
      </c>
      <c r="B401" t="s">
        <v>1329</v>
      </c>
      <c r="C401" t="s">
        <v>1782</v>
      </c>
      <c r="D401" t="s">
        <v>20</v>
      </c>
      <c r="F401">
        <v>1155</v>
      </c>
      <c r="G401" t="s">
        <v>1419</v>
      </c>
      <c r="H401" s="89">
        <v>46049</v>
      </c>
      <c r="I401" s="89">
        <v>46050</v>
      </c>
      <c r="N401" t="s">
        <v>1750</v>
      </c>
    </row>
    <row r="402" spans="1:14" hidden="1" x14ac:dyDescent="0.25">
      <c r="A402" t="s">
        <v>1316</v>
      </c>
      <c r="B402" t="s">
        <v>1330</v>
      </c>
      <c r="C402" t="s">
        <v>1783</v>
      </c>
      <c r="D402" t="s">
        <v>20</v>
      </c>
      <c r="F402">
        <v>113</v>
      </c>
      <c r="G402" t="s">
        <v>1419</v>
      </c>
      <c r="H402" s="89">
        <v>46049</v>
      </c>
      <c r="I402" s="89">
        <v>46050</v>
      </c>
      <c r="N402" t="s">
        <v>1750</v>
      </c>
    </row>
    <row r="403" spans="1:14" hidden="1" x14ac:dyDescent="0.25">
      <c r="A403" t="s">
        <v>1317</v>
      </c>
      <c r="B403" t="s">
        <v>1331</v>
      </c>
      <c r="C403" t="s">
        <v>1784</v>
      </c>
      <c r="D403" t="s">
        <v>20</v>
      </c>
      <c r="F403">
        <v>7</v>
      </c>
      <c r="G403" t="s">
        <v>1419</v>
      </c>
      <c r="H403" s="89">
        <v>46049</v>
      </c>
      <c r="I403" s="89">
        <v>46050</v>
      </c>
      <c r="N403" t="s">
        <v>1750</v>
      </c>
    </row>
    <row r="404" spans="1:14" hidden="1" x14ac:dyDescent="0.25">
      <c r="A404" t="s">
        <v>1318</v>
      </c>
      <c r="B404" t="s">
        <v>1332</v>
      </c>
      <c r="C404" t="s">
        <v>1785</v>
      </c>
      <c r="D404" t="s">
        <v>20</v>
      </c>
      <c r="F404">
        <v>53</v>
      </c>
      <c r="G404" t="s">
        <v>1419</v>
      </c>
      <c r="H404" s="89">
        <v>46049</v>
      </c>
      <c r="I404" s="89">
        <v>46050</v>
      </c>
      <c r="N404" t="s">
        <v>1750</v>
      </c>
    </row>
    <row r="405" spans="1:14" hidden="1" x14ac:dyDescent="0.25">
      <c r="A405" t="s">
        <v>1313</v>
      </c>
      <c r="B405" t="s">
        <v>1327</v>
      </c>
      <c r="C405" t="s">
        <v>1786</v>
      </c>
      <c r="D405" t="s">
        <v>15</v>
      </c>
      <c r="F405">
        <v>912</v>
      </c>
      <c r="G405">
        <v>19</v>
      </c>
      <c r="H405" s="89">
        <v>46050</v>
      </c>
      <c r="I405" s="89">
        <v>46054</v>
      </c>
      <c r="J405" t="s">
        <v>1751</v>
      </c>
      <c r="N405" t="s">
        <v>1750</v>
      </c>
    </row>
    <row r="406" spans="1:14" hidden="1" x14ac:dyDescent="0.25">
      <c r="A406" t="s">
        <v>1313</v>
      </c>
      <c r="B406" t="s">
        <v>1327</v>
      </c>
      <c r="C406" t="s">
        <v>1786</v>
      </c>
      <c r="D406" t="s">
        <v>15</v>
      </c>
      <c r="F406">
        <v>384</v>
      </c>
      <c r="G406">
        <v>8</v>
      </c>
      <c r="H406" s="89">
        <v>46050</v>
      </c>
      <c r="I406" s="89">
        <v>46052</v>
      </c>
      <c r="N406" t="s">
        <v>1750</v>
      </c>
    </row>
    <row r="407" spans="1:14" hidden="1" x14ac:dyDescent="0.25">
      <c r="A407" t="s">
        <v>1315</v>
      </c>
      <c r="B407" t="s">
        <v>1329</v>
      </c>
      <c r="C407" t="s">
        <v>1786</v>
      </c>
      <c r="D407" t="s">
        <v>15</v>
      </c>
      <c r="F407">
        <v>44</v>
      </c>
      <c r="G407" t="s">
        <v>1419</v>
      </c>
      <c r="H407" s="89">
        <v>46050</v>
      </c>
      <c r="I407" s="89">
        <v>46050</v>
      </c>
      <c r="N407" t="s">
        <v>1750</v>
      </c>
    </row>
    <row r="408" spans="1:14" hidden="1" x14ac:dyDescent="0.25">
      <c r="A408" t="s">
        <v>1316</v>
      </c>
      <c r="B408" t="s">
        <v>1330</v>
      </c>
      <c r="C408" t="s">
        <v>1787</v>
      </c>
      <c r="D408" t="s">
        <v>15</v>
      </c>
      <c r="F408">
        <v>28</v>
      </c>
      <c r="G408" t="s">
        <v>1419</v>
      </c>
      <c r="H408" s="89">
        <v>46050</v>
      </c>
      <c r="I408" s="89">
        <v>46050</v>
      </c>
      <c r="N408" t="s">
        <v>1750</v>
      </c>
    </row>
    <row r="409" spans="1:14" hidden="1" x14ac:dyDescent="0.25">
      <c r="A409" t="s">
        <v>1317</v>
      </c>
      <c r="B409" t="s">
        <v>1331</v>
      </c>
      <c r="C409" t="s">
        <v>1788</v>
      </c>
      <c r="D409" t="s">
        <v>15</v>
      </c>
      <c r="F409">
        <v>12</v>
      </c>
      <c r="G409" t="s">
        <v>1419</v>
      </c>
      <c r="H409" s="89">
        <v>46050</v>
      </c>
      <c r="I409" s="89">
        <v>46050</v>
      </c>
      <c r="N409" t="s">
        <v>1750</v>
      </c>
    </row>
    <row r="410" spans="1:14" hidden="1" x14ac:dyDescent="0.25">
      <c r="A410" t="s">
        <v>1318</v>
      </c>
      <c r="B410" t="s">
        <v>1332</v>
      </c>
      <c r="C410" t="s">
        <v>1789</v>
      </c>
      <c r="D410" t="s">
        <v>15</v>
      </c>
      <c r="F410">
        <v>21</v>
      </c>
      <c r="G410" t="s">
        <v>1419</v>
      </c>
      <c r="H410" s="89">
        <v>46050</v>
      </c>
      <c r="I410" s="89">
        <v>46050</v>
      </c>
      <c r="N410" t="s">
        <v>1750</v>
      </c>
    </row>
    <row r="411" spans="1:14" hidden="1" x14ac:dyDescent="0.25">
      <c r="A411" t="s">
        <v>1315</v>
      </c>
      <c r="B411" t="s">
        <v>1329</v>
      </c>
      <c r="C411" t="s">
        <v>1790</v>
      </c>
      <c r="D411" t="s">
        <v>20</v>
      </c>
      <c r="F411">
        <v>1155</v>
      </c>
      <c r="G411" t="s">
        <v>1419</v>
      </c>
      <c r="H411" s="89">
        <v>46050</v>
      </c>
      <c r="I411" s="89">
        <v>46052</v>
      </c>
      <c r="N411" t="s">
        <v>1750</v>
      </c>
    </row>
    <row r="412" spans="1:14" hidden="1" x14ac:dyDescent="0.25">
      <c r="A412" t="s">
        <v>1316</v>
      </c>
      <c r="B412" t="s">
        <v>1330</v>
      </c>
      <c r="C412" t="s">
        <v>1791</v>
      </c>
      <c r="D412" t="s">
        <v>20</v>
      </c>
      <c r="F412">
        <v>107</v>
      </c>
      <c r="G412" t="s">
        <v>1419</v>
      </c>
      <c r="H412" s="89">
        <v>46050</v>
      </c>
      <c r="I412" s="89">
        <v>46052</v>
      </c>
      <c r="N412" t="s">
        <v>1750</v>
      </c>
    </row>
    <row r="413" spans="1:14" hidden="1" x14ac:dyDescent="0.25">
      <c r="A413" t="s">
        <v>1317</v>
      </c>
      <c r="B413" t="s">
        <v>1331</v>
      </c>
      <c r="C413" t="s">
        <v>1792</v>
      </c>
      <c r="D413" t="s">
        <v>20</v>
      </c>
      <c r="F413">
        <v>3</v>
      </c>
      <c r="G413" t="s">
        <v>1419</v>
      </c>
      <c r="H413" s="89">
        <v>46050</v>
      </c>
      <c r="I413" s="89">
        <v>46052</v>
      </c>
      <c r="N413" t="s">
        <v>1750</v>
      </c>
    </row>
    <row r="414" spans="1:14" hidden="1" x14ac:dyDescent="0.25">
      <c r="A414" t="s">
        <v>1318</v>
      </c>
      <c r="B414" t="s">
        <v>1332</v>
      </c>
      <c r="C414" t="s">
        <v>1793</v>
      </c>
      <c r="D414" t="s">
        <v>20</v>
      </c>
      <c r="F414">
        <v>59</v>
      </c>
      <c r="G414" t="s">
        <v>1419</v>
      </c>
      <c r="H414" s="89">
        <v>46050</v>
      </c>
      <c r="I414" s="89">
        <v>46052</v>
      </c>
      <c r="N414" t="s">
        <v>1750</v>
      </c>
    </row>
    <row r="415" spans="1:14" hidden="1" x14ac:dyDescent="0.25">
      <c r="A415" t="s">
        <v>1325</v>
      </c>
      <c r="B415" t="s">
        <v>1339</v>
      </c>
      <c r="C415" t="s">
        <v>1794</v>
      </c>
      <c r="D415" t="s">
        <v>138</v>
      </c>
      <c r="F415">
        <v>576</v>
      </c>
      <c r="G415">
        <v>12</v>
      </c>
      <c r="H415" s="89">
        <v>46050</v>
      </c>
      <c r="I415" s="89">
        <v>46052</v>
      </c>
      <c r="N415" t="s">
        <v>1750</v>
      </c>
    </row>
    <row r="416" spans="1:14" hidden="1" x14ac:dyDescent="0.25">
      <c r="A416" t="s">
        <v>1313</v>
      </c>
      <c r="B416" t="s">
        <v>1327</v>
      </c>
      <c r="C416" t="s">
        <v>1795</v>
      </c>
      <c r="D416" t="s">
        <v>23</v>
      </c>
      <c r="F416">
        <v>672</v>
      </c>
      <c r="G416">
        <v>14</v>
      </c>
      <c r="H416" s="89">
        <v>46050</v>
      </c>
      <c r="I416" s="89">
        <v>46052</v>
      </c>
      <c r="N416" t="s">
        <v>1750</v>
      </c>
    </row>
    <row r="417" spans="1:14" hidden="1" x14ac:dyDescent="0.25">
      <c r="A417" t="s">
        <v>1444</v>
      </c>
      <c r="B417" t="s">
        <v>1445</v>
      </c>
      <c r="C417" t="s">
        <v>1796</v>
      </c>
      <c r="D417" t="s">
        <v>21</v>
      </c>
      <c r="F417">
        <v>132</v>
      </c>
      <c r="G417">
        <v>1</v>
      </c>
      <c r="H417" s="89">
        <v>46050</v>
      </c>
      <c r="I417" s="89">
        <v>46053</v>
      </c>
      <c r="N417" t="s">
        <v>1750</v>
      </c>
    </row>
    <row r="418" spans="1:14" hidden="1" x14ac:dyDescent="0.25">
      <c r="A418" t="s">
        <v>1313</v>
      </c>
      <c r="B418" t="s">
        <v>1327</v>
      </c>
      <c r="C418" t="s">
        <v>1796</v>
      </c>
      <c r="D418" t="s">
        <v>21</v>
      </c>
      <c r="F418">
        <v>1248</v>
      </c>
      <c r="G418">
        <v>26</v>
      </c>
      <c r="H418" s="89">
        <v>46050</v>
      </c>
      <c r="I418" s="89">
        <v>46052</v>
      </c>
      <c r="N418" t="s">
        <v>1750</v>
      </c>
    </row>
    <row r="419" spans="1:14" hidden="1" x14ac:dyDescent="0.25">
      <c r="A419" t="s">
        <v>1315</v>
      </c>
      <c r="B419" t="s">
        <v>1329</v>
      </c>
      <c r="C419" t="s">
        <v>1796</v>
      </c>
      <c r="D419" t="s">
        <v>21</v>
      </c>
      <c r="F419">
        <v>163</v>
      </c>
      <c r="G419" t="s">
        <v>1419</v>
      </c>
      <c r="H419" s="89">
        <v>46050</v>
      </c>
      <c r="I419" s="89">
        <v>46051</v>
      </c>
      <c r="N419" t="s">
        <v>1750</v>
      </c>
    </row>
    <row r="420" spans="1:14" hidden="1" x14ac:dyDescent="0.25">
      <c r="A420" t="s">
        <v>1316</v>
      </c>
      <c r="B420" t="s">
        <v>1330</v>
      </c>
      <c r="C420" t="s">
        <v>1797</v>
      </c>
      <c r="D420" t="s">
        <v>21</v>
      </c>
      <c r="F420">
        <v>39</v>
      </c>
      <c r="G420" t="s">
        <v>1419</v>
      </c>
      <c r="H420" s="89">
        <v>46050</v>
      </c>
      <c r="I420" s="89">
        <v>46050</v>
      </c>
      <c r="N420" t="s">
        <v>1750</v>
      </c>
    </row>
    <row r="421" spans="1:14" hidden="1" x14ac:dyDescent="0.25">
      <c r="A421" t="s">
        <v>1317</v>
      </c>
      <c r="B421" t="s">
        <v>1331</v>
      </c>
      <c r="C421" t="s">
        <v>1798</v>
      </c>
      <c r="D421" t="s">
        <v>21</v>
      </c>
      <c r="F421">
        <v>24</v>
      </c>
      <c r="G421" t="s">
        <v>1419</v>
      </c>
      <c r="H421" s="89">
        <v>46050</v>
      </c>
      <c r="I421" s="89">
        <v>46050</v>
      </c>
      <c r="N421" t="s">
        <v>1750</v>
      </c>
    </row>
    <row r="422" spans="1:14" hidden="1" x14ac:dyDescent="0.25">
      <c r="A422" t="s">
        <v>1318</v>
      </c>
      <c r="B422" t="s">
        <v>1332</v>
      </c>
      <c r="C422" t="s">
        <v>1799</v>
      </c>
      <c r="D422" t="s">
        <v>21</v>
      </c>
      <c r="F422">
        <v>65</v>
      </c>
      <c r="G422" t="s">
        <v>1419</v>
      </c>
      <c r="H422" s="89">
        <v>46050</v>
      </c>
      <c r="I422" s="89">
        <v>46050</v>
      </c>
      <c r="N422" t="s">
        <v>1750</v>
      </c>
    </row>
    <row r="423" spans="1:14" hidden="1" x14ac:dyDescent="0.25">
      <c r="A423" t="s">
        <v>1313</v>
      </c>
      <c r="B423" t="s">
        <v>1327</v>
      </c>
      <c r="C423" t="s">
        <v>1800</v>
      </c>
      <c r="D423" t="s">
        <v>21</v>
      </c>
      <c r="F423">
        <v>1152</v>
      </c>
      <c r="G423">
        <v>24</v>
      </c>
      <c r="H423" s="89">
        <v>46051</v>
      </c>
      <c r="I423" s="89">
        <v>46055</v>
      </c>
      <c r="J423" t="s">
        <v>1801</v>
      </c>
      <c r="N423" t="s">
        <v>1750</v>
      </c>
    </row>
    <row r="424" spans="1:14" hidden="1" x14ac:dyDescent="0.25">
      <c r="A424" t="s">
        <v>1313</v>
      </c>
      <c r="B424" t="s">
        <v>1327</v>
      </c>
      <c r="C424" t="s">
        <v>1800</v>
      </c>
      <c r="D424" t="s">
        <v>21</v>
      </c>
      <c r="F424">
        <v>336</v>
      </c>
      <c r="G424">
        <v>7</v>
      </c>
      <c r="H424" s="89">
        <v>46051</v>
      </c>
      <c r="I424" s="89">
        <v>46053</v>
      </c>
      <c r="N424" t="s">
        <v>1750</v>
      </c>
    </row>
    <row r="425" spans="1:14" hidden="1" x14ac:dyDescent="0.25">
      <c r="A425" t="s">
        <v>1315</v>
      </c>
      <c r="B425" t="s">
        <v>1329</v>
      </c>
      <c r="C425" t="s">
        <v>1800</v>
      </c>
      <c r="D425" t="s">
        <v>21</v>
      </c>
      <c r="F425">
        <v>50</v>
      </c>
      <c r="G425" t="s">
        <v>1419</v>
      </c>
      <c r="H425" s="89">
        <v>46051</v>
      </c>
      <c r="I425" s="89">
        <v>46053</v>
      </c>
      <c r="N425" t="s">
        <v>1750</v>
      </c>
    </row>
    <row r="426" spans="1:14" hidden="1" x14ac:dyDescent="0.25">
      <c r="A426" t="s">
        <v>1316</v>
      </c>
      <c r="B426" t="s">
        <v>1330</v>
      </c>
      <c r="C426" t="s">
        <v>1802</v>
      </c>
      <c r="D426" t="s">
        <v>21</v>
      </c>
      <c r="F426">
        <v>42</v>
      </c>
      <c r="G426" t="s">
        <v>1419</v>
      </c>
      <c r="H426" s="89">
        <v>46051</v>
      </c>
      <c r="I426" s="89">
        <v>46053</v>
      </c>
      <c r="N426" t="s">
        <v>1750</v>
      </c>
    </row>
    <row r="427" spans="1:14" hidden="1" x14ac:dyDescent="0.25">
      <c r="A427" t="s">
        <v>1317</v>
      </c>
      <c r="B427" t="s">
        <v>1331</v>
      </c>
      <c r="C427" t="s">
        <v>1803</v>
      </c>
      <c r="D427" t="s">
        <v>21</v>
      </c>
      <c r="F427">
        <v>21</v>
      </c>
      <c r="G427" t="s">
        <v>1419</v>
      </c>
      <c r="H427" s="89">
        <v>46051</v>
      </c>
      <c r="I427" s="89">
        <v>46053</v>
      </c>
      <c r="N427" t="s">
        <v>1750</v>
      </c>
    </row>
    <row r="428" spans="1:14" hidden="1" x14ac:dyDescent="0.25">
      <c r="A428" t="s">
        <v>1318</v>
      </c>
      <c r="B428" t="s">
        <v>1332</v>
      </c>
      <c r="C428" t="s">
        <v>1804</v>
      </c>
      <c r="D428" t="s">
        <v>21</v>
      </c>
      <c r="F428">
        <v>58</v>
      </c>
      <c r="G428" t="s">
        <v>1419</v>
      </c>
      <c r="H428" s="89">
        <v>46051</v>
      </c>
      <c r="I428" s="89">
        <v>46053</v>
      </c>
      <c r="N428" t="s">
        <v>1750</v>
      </c>
    </row>
    <row r="429" spans="1:14" hidden="1" x14ac:dyDescent="0.25">
      <c r="A429" t="s">
        <v>1313</v>
      </c>
      <c r="B429" t="s">
        <v>1327</v>
      </c>
      <c r="C429" t="s">
        <v>1805</v>
      </c>
      <c r="D429" t="s">
        <v>20</v>
      </c>
      <c r="F429">
        <v>1152</v>
      </c>
      <c r="G429">
        <v>24</v>
      </c>
      <c r="H429" s="89">
        <v>46051</v>
      </c>
      <c r="I429" s="89">
        <v>46054</v>
      </c>
      <c r="J429" t="s">
        <v>1806</v>
      </c>
      <c r="N429" t="s">
        <v>1750</v>
      </c>
    </row>
    <row r="430" spans="1:14" hidden="1" x14ac:dyDescent="0.25">
      <c r="A430" t="s">
        <v>1315</v>
      </c>
      <c r="B430" t="s">
        <v>1329</v>
      </c>
      <c r="C430" t="s">
        <v>1805</v>
      </c>
      <c r="D430" t="s">
        <v>20</v>
      </c>
      <c r="F430">
        <v>109</v>
      </c>
      <c r="G430" t="s">
        <v>1419</v>
      </c>
      <c r="H430" s="89">
        <v>46051</v>
      </c>
      <c r="I430" s="89">
        <v>46053</v>
      </c>
      <c r="N430" t="s">
        <v>1750</v>
      </c>
    </row>
    <row r="431" spans="1:14" hidden="1" x14ac:dyDescent="0.25">
      <c r="A431" t="s">
        <v>1316</v>
      </c>
      <c r="B431" t="s">
        <v>1330</v>
      </c>
      <c r="C431" t="s">
        <v>1807</v>
      </c>
      <c r="D431" t="s">
        <v>20</v>
      </c>
      <c r="F431">
        <v>131</v>
      </c>
      <c r="G431" t="s">
        <v>1419</v>
      </c>
      <c r="H431" s="89">
        <v>46051</v>
      </c>
      <c r="I431" s="89">
        <v>46052</v>
      </c>
      <c r="N431" t="s">
        <v>1750</v>
      </c>
    </row>
    <row r="432" spans="1:14" hidden="1" x14ac:dyDescent="0.25">
      <c r="A432" t="s">
        <v>1317</v>
      </c>
      <c r="B432" t="s">
        <v>1331</v>
      </c>
      <c r="C432" t="s">
        <v>1808</v>
      </c>
      <c r="D432" t="s">
        <v>20</v>
      </c>
      <c r="F432">
        <v>16</v>
      </c>
      <c r="G432" t="s">
        <v>1419</v>
      </c>
      <c r="H432" s="89">
        <v>46051</v>
      </c>
      <c r="I432" s="89">
        <v>46052</v>
      </c>
      <c r="N432" t="s">
        <v>1750</v>
      </c>
    </row>
    <row r="433" spans="1:14" hidden="1" x14ac:dyDescent="0.25">
      <c r="A433" t="s">
        <v>1318</v>
      </c>
      <c r="B433" t="s">
        <v>1332</v>
      </c>
      <c r="C433" t="s">
        <v>1809</v>
      </c>
      <c r="D433" t="s">
        <v>20</v>
      </c>
      <c r="F433">
        <v>55</v>
      </c>
      <c r="G433" t="s">
        <v>1419</v>
      </c>
      <c r="H433" s="89">
        <v>46051</v>
      </c>
      <c r="I433" s="89">
        <v>46052</v>
      </c>
      <c r="N433" t="s">
        <v>1750</v>
      </c>
    </row>
    <row r="434" spans="1:14" hidden="1" x14ac:dyDescent="0.25">
      <c r="A434" t="s">
        <v>1313</v>
      </c>
      <c r="B434" t="s">
        <v>1327</v>
      </c>
      <c r="C434" t="s">
        <v>1810</v>
      </c>
      <c r="D434" t="s">
        <v>15</v>
      </c>
      <c r="F434">
        <v>864</v>
      </c>
      <c r="G434">
        <v>18</v>
      </c>
      <c r="H434" s="89">
        <v>46051</v>
      </c>
      <c r="I434" s="89">
        <v>46055</v>
      </c>
      <c r="J434" t="s">
        <v>1811</v>
      </c>
      <c r="N434" t="s">
        <v>1750</v>
      </c>
    </row>
    <row r="435" spans="1:14" hidden="1" x14ac:dyDescent="0.25">
      <c r="A435" t="s">
        <v>1314</v>
      </c>
      <c r="B435" t="s">
        <v>1328</v>
      </c>
      <c r="C435" t="s">
        <v>1810</v>
      </c>
      <c r="D435" t="s">
        <v>15</v>
      </c>
      <c r="F435">
        <v>288</v>
      </c>
      <c r="G435">
        <v>6</v>
      </c>
      <c r="H435" s="89">
        <v>46051</v>
      </c>
      <c r="I435" s="89">
        <v>46055</v>
      </c>
      <c r="J435" t="s">
        <v>1812</v>
      </c>
      <c r="N435" t="s">
        <v>1750</v>
      </c>
    </row>
    <row r="436" spans="1:14" hidden="1" x14ac:dyDescent="0.25">
      <c r="A436" t="s">
        <v>1315</v>
      </c>
      <c r="B436" t="s">
        <v>1329</v>
      </c>
      <c r="C436" t="s">
        <v>1810</v>
      </c>
      <c r="D436" t="s">
        <v>15</v>
      </c>
      <c r="F436">
        <v>43</v>
      </c>
      <c r="G436" t="s">
        <v>1419</v>
      </c>
      <c r="H436" s="89">
        <v>46051</v>
      </c>
      <c r="I436" s="89">
        <v>46054</v>
      </c>
      <c r="N436" t="s">
        <v>1750</v>
      </c>
    </row>
    <row r="437" spans="1:14" hidden="1" x14ac:dyDescent="0.25">
      <c r="A437" t="s">
        <v>1316</v>
      </c>
      <c r="B437" t="s">
        <v>1330</v>
      </c>
      <c r="C437" t="s">
        <v>1813</v>
      </c>
      <c r="D437" t="s">
        <v>15</v>
      </c>
      <c r="F437">
        <v>32</v>
      </c>
      <c r="G437" t="s">
        <v>1419</v>
      </c>
      <c r="H437" s="89">
        <v>46051</v>
      </c>
      <c r="I437" s="89">
        <v>46054</v>
      </c>
      <c r="N437" t="s">
        <v>1750</v>
      </c>
    </row>
    <row r="438" spans="1:14" hidden="1" x14ac:dyDescent="0.25">
      <c r="A438" t="s">
        <v>1317</v>
      </c>
      <c r="B438" t="s">
        <v>1331</v>
      </c>
      <c r="C438" t="s">
        <v>1814</v>
      </c>
      <c r="D438" t="s">
        <v>15</v>
      </c>
      <c r="F438">
        <v>12</v>
      </c>
      <c r="G438" t="s">
        <v>1419</v>
      </c>
      <c r="H438" s="89">
        <v>46051</v>
      </c>
      <c r="I438" s="89">
        <v>46054</v>
      </c>
      <c r="N438" t="s">
        <v>1750</v>
      </c>
    </row>
    <row r="439" spans="1:14" hidden="1" x14ac:dyDescent="0.25">
      <c r="A439" t="s">
        <v>1318</v>
      </c>
      <c r="B439" t="s">
        <v>1332</v>
      </c>
      <c r="C439" t="s">
        <v>1815</v>
      </c>
      <c r="D439" t="s">
        <v>15</v>
      </c>
      <c r="F439">
        <v>24</v>
      </c>
      <c r="G439" t="s">
        <v>1419</v>
      </c>
      <c r="H439" s="89">
        <v>46051</v>
      </c>
      <c r="I439" s="89">
        <v>46054</v>
      </c>
      <c r="N439" t="s">
        <v>1750</v>
      </c>
    </row>
    <row r="440" spans="1:14" hidden="1" x14ac:dyDescent="0.25">
      <c r="A440" t="s">
        <v>1313</v>
      </c>
      <c r="B440" t="s">
        <v>1327</v>
      </c>
      <c r="C440" t="s">
        <v>1816</v>
      </c>
      <c r="D440" t="s">
        <v>23</v>
      </c>
      <c r="F440">
        <v>768</v>
      </c>
      <c r="G440">
        <v>16</v>
      </c>
      <c r="H440" s="89">
        <v>46051</v>
      </c>
      <c r="I440" s="89">
        <v>46055</v>
      </c>
      <c r="N440" t="s">
        <v>1750</v>
      </c>
    </row>
    <row r="441" spans="1:14" hidden="1" x14ac:dyDescent="0.25">
      <c r="A441" t="s">
        <v>1324</v>
      </c>
      <c r="B441" t="s">
        <v>1338</v>
      </c>
      <c r="C441" t="s">
        <v>1817</v>
      </c>
      <c r="D441" t="s">
        <v>97</v>
      </c>
      <c r="F441">
        <v>960</v>
      </c>
      <c r="G441">
        <v>20</v>
      </c>
      <c r="H441" s="89">
        <v>46052</v>
      </c>
      <c r="I441" s="89">
        <v>46057</v>
      </c>
      <c r="J441" t="s">
        <v>1818</v>
      </c>
      <c r="N441" t="s">
        <v>1750</v>
      </c>
    </row>
    <row r="442" spans="1:14" hidden="1" x14ac:dyDescent="0.25">
      <c r="A442" t="s">
        <v>1313</v>
      </c>
      <c r="B442" t="s">
        <v>1327</v>
      </c>
      <c r="C442" t="s">
        <v>1819</v>
      </c>
      <c r="D442" t="s">
        <v>21</v>
      </c>
      <c r="F442">
        <v>864</v>
      </c>
      <c r="G442">
        <v>18</v>
      </c>
      <c r="H442" s="89">
        <v>46052</v>
      </c>
      <c r="I442" s="89">
        <v>46057</v>
      </c>
      <c r="J442" t="s">
        <v>1820</v>
      </c>
      <c r="N442" t="s">
        <v>1750</v>
      </c>
    </row>
    <row r="443" spans="1:14" hidden="1" x14ac:dyDescent="0.25">
      <c r="A443" t="s">
        <v>1314</v>
      </c>
      <c r="B443" t="s">
        <v>1328</v>
      </c>
      <c r="C443" t="s">
        <v>1819</v>
      </c>
      <c r="D443" t="s">
        <v>21</v>
      </c>
      <c r="F443">
        <v>288</v>
      </c>
      <c r="G443">
        <v>6</v>
      </c>
      <c r="H443" s="89">
        <v>46052</v>
      </c>
      <c r="I443" s="89">
        <v>46057</v>
      </c>
      <c r="J443" t="s">
        <v>1821</v>
      </c>
      <c r="N443" t="s">
        <v>1750</v>
      </c>
    </row>
    <row r="444" spans="1:14" hidden="1" x14ac:dyDescent="0.25">
      <c r="A444" t="s">
        <v>1315</v>
      </c>
      <c r="B444" t="s">
        <v>1329</v>
      </c>
      <c r="C444" t="s">
        <v>1819</v>
      </c>
      <c r="D444" t="s">
        <v>21</v>
      </c>
      <c r="F444">
        <v>442</v>
      </c>
      <c r="G444" t="s">
        <v>1419</v>
      </c>
      <c r="H444" s="89">
        <v>46052</v>
      </c>
      <c r="I444" s="89">
        <v>46053</v>
      </c>
      <c r="N444" t="s">
        <v>1750</v>
      </c>
    </row>
    <row r="445" spans="1:14" hidden="1" x14ac:dyDescent="0.25">
      <c r="A445" t="s">
        <v>1316</v>
      </c>
      <c r="B445" t="s">
        <v>1330</v>
      </c>
      <c r="C445" t="s">
        <v>1822</v>
      </c>
      <c r="D445" t="s">
        <v>21</v>
      </c>
      <c r="F445">
        <v>65</v>
      </c>
      <c r="G445" t="s">
        <v>1419</v>
      </c>
      <c r="H445" s="89">
        <v>46052</v>
      </c>
      <c r="I445" s="89">
        <v>46053</v>
      </c>
      <c r="N445" t="s">
        <v>1750</v>
      </c>
    </row>
    <row r="446" spans="1:14" hidden="1" x14ac:dyDescent="0.25">
      <c r="A446" t="s">
        <v>1317</v>
      </c>
      <c r="B446" t="s">
        <v>1331</v>
      </c>
      <c r="C446" t="s">
        <v>1823</v>
      </c>
      <c r="D446" t="s">
        <v>21</v>
      </c>
      <c r="F446">
        <v>22</v>
      </c>
      <c r="G446" t="s">
        <v>1419</v>
      </c>
      <c r="H446" s="89">
        <v>46052</v>
      </c>
      <c r="I446" s="89">
        <v>46053</v>
      </c>
      <c r="N446" t="s">
        <v>1750</v>
      </c>
    </row>
    <row r="447" spans="1:14" hidden="1" x14ac:dyDescent="0.25">
      <c r="A447" t="s">
        <v>1318</v>
      </c>
      <c r="B447" t="s">
        <v>1332</v>
      </c>
      <c r="C447" t="s">
        <v>1824</v>
      </c>
      <c r="D447" t="s">
        <v>21</v>
      </c>
      <c r="F447">
        <v>56</v>
      </c>
      <c r="G447" t="s">
        <v>1419</v>
      </c>
      <c r="H447" s="89">
        <v>46052</v>
      </c>
      <c r="I447" s="89">
        <v>46053</v>
      </c>
      <c r="N447" t="s">
        <v>1750</v>
      </c>
    </row>
    <row r="448" spans="1:14" hidden="1" x14ac:dyDescent="0.25">
      <c r="A448" t="s">
        <v>1313</v>
      </c>
      <c r="B448" t="s">
        <v>1327</v>
      </c>
      <c r="C448" t="s">
        <v>1825</v>
      </c>
      <c r="D448" t="s">
        <v>23</v>
      </c>
      <c r="F448">
        <v>624</v>
      </c>
      <c r="G448">
        <v>13</v>
      </c>
      <c r="H448" s="89">
        <v>46052</v>
      </c>
      <c r="I448" s="89">
        <v>46057</v>
      </c>
      <c r="N448" t="s">
        <v>1750</v>
      </c>
    </row>
    <row r="449" spans="1:14" hidden="1" x14ac:dyDescent="0.25">
      <c r="A449" t="s">
        <v>1313</v>
      </c>
      <c r="B449" t="s">
        <v>1327</v>
      </c>
      <c r="C449" t="s">
        <v>1826</v>
      </c>
      <c r="D449" t="s">
        <v>15</v>
      </c>
      <c r="F449">
        <v>336</v>
      </c>
      <c r="G449">
        <v>7</v>
      </c>
      <c r="H449" s="89">
        <v>46052</v>
      </c>
      <c r="I449" s="89">
        <v>46057</v>
      </c>
      <c r="N449" t="s">
        <v>1750</v>
      </c>
    </row>
    <row r="450" spans="1:14" hidden="1" x14ac:dyDescent="0.25">
      <c r="A450" t="s">
        <v>1444</v>
      </c>
      <c r="B450" t="s">
        <v>1445</v>
      </c>
      <c r="C450" t="s">
        <v>1826</v>
      </c>
      <c r="D450" t="s">
        <v>15</v>
      </c>
      <c r="F450">
        <v>176</v>
      </c>
      <c r="G450">
        <v>1</v>
      </c>
      <c r="H450" s="89">
        <v>46052</v>
      </c>
      <c r="I450" s="89">
        <v>46055</v>
      </c>
      <c r="N450" t="s">
        <v>1750</v>
      </c>
    </row>
    <row r="451" spans="1:14" hidden="1" x14ac:dyDescent="0.25">
      <c r="A451" t="s">
        <v>1315</v>
      </c>
      <c r="B451" t="s">
        <v>1329</v>
      </c>
      <c r="C451" t="s">
        <v>1826</v>
      </c>
      <c r="D451" t="s">
        <v>15</v>
      </c>
      <c r="F451">
        <v>61</v>
      </c>
      <c r="G451" t="s">
        <v>1419</v>
      </c>
      <c r="H451" s="89">
        <v>46052</v>
      </c>
      <c r="I451" s="89">
        <v>46054</v>
      </c>
      <c r="N451" t="s">
        <v>1750</v>
      </c>
    </row>
    <row r="452" spans="1:14" hidden="1" x14ac:dyDescent="0.25">
      <c r="A452" t="s">
        <v>1316</v>
      </c>
      <c r="B452" t="s">
        <v>1330</v>
      </c>
      <c r="C452" t="s">
        <v>1827</v>
      </c>
      <c r="D452" t="s">
        <v>15</v>
      </c>
      <c r="F452">
        <v>20</v>
      </c>
      <c r="G452" t="s">
        <v>1419</v>
      </c>
      <c r="H452" s="89">
        <v>46052</v>
      </c>
      <c r="I452" s="89">
        <v>46054</v>
      </c>
      <c r="N452" t="s">
        <v>1750</v>
      </c>
    </row>
    <row r="453" spans="1:14" hidden="1" x14ac:dyDescent="0.25">
      <c r="A453" t="s">
        <v>1317</v>
      </c>
      <c r="B453" t="s">
        <v>1331</v>
      </c>
      <c r="C453" t="s">
        <v>1828</v>
      </c>
      <c r="D453" t="s">
        <v>15</v>
      </c>
      <c r="F453">
        <v>16</v>
      </c>
      <c r="G453" t="s">
        <v>1419</v>
      </c>
      <c r="H453" s="89">
        <v>46052</v>
      </c>
      <c r="I453" s="89">
        <v>46054</v>
      </c>
      <c r="N453" t="s">
        <v>1750</v>
      </c>
    </row>
    <row r="454" spans="1:14" hidden="1" x14ac:dyDescent="0.25">
      <c r="A454" t="s">
        <v>1318</v>
      </c>
      <c r="B454" t="s">
        <v>1332</v>
      </c>
      <c r="C454" t="s">
        <v>1829</v>
      </c>
      <c r="D454" t="s">
        <v>15</v>
      </c>
      <c r="F454">
        <v>5</v>
      </c>
      <c r="G454" t="s">
        <v>1419</v>
      </c>
      <c r="H454" s="89">
        <v>46052</v>
      </c>
      <c r="I454" s="89">
        <v>46054</v>
      </c>
      <c r="N454" t="s">
        <v>1750</v>
      </c>
    </row>
    <row r="455" spans="1:14" hidden="1" x14ac:dyDescent="0.25">
      <c r="A455" t="s">
        <v>1324</v>
      </c>
      <c r="B455" t="s">
        <v>1338</v>
      </c>
      <c r="C455" t="s">
        <v>1830</v>
      </c>
      <c r="D455" t="s">
        <v>88</v>
      </c>
      <c r="F455">
        <v>960</v>
      </c>
      <c r="G455">
        <v>20</v>
      </c>
      <c r="H455" s="89">
        <v>46053</v>
      </c>
      <c r="I455" s="89">
        <v>46057</v>
      </c>
      <c r="J455" t="s">
        <v>1818</v>
      </c>
      <c r="N455" t="s">
        <v>1750</v>
      </c>
    </row>
    <row r="456" spans="1:14" hidden="1" x14ac:dyDescent="0.25">
      <c r="A456" t="s">
        <v>1444</v>
      </c>
      <c r="B456" t="s">
        <v>1445</v>
      </c>
      <c r="C456" t="s">
        <v>1831</v>
      </c>
      <c r="D456" t="s">
        <v>21</v>
      </c>
      <c r="F456">
        <v>156</v>
      </c>
      <c r="G456">
        <v>1</v>
      </c>
      <c r="H456" s="89">
        <v>46053</v>
      </c>
      <c r="I456" s="89">
        <v>46057</v>
      </c>
      <c r="N456" t="s">
        <v>1750</v>
      </c>
    </row>
    <row r="457" spans="1:14" hidden="1" x14ac:dyDescent="0.25">
      <c r="A457" t="s">
        <v>1313</v>
      </c>
      <c r="B457" t="s">
        <v>1327</v>
      </c>
      <c r="C457" t="s">
        <v>1831</v>
      </c>
      <c r="D457" t="s">
        <v>21</v>
      </c>
      <c r="F457">
        <v>624</v>
      </c>
      <c r="G457">
        <v>13</v>
      </c>
      <c r="H457" s="89">
        <v>46053</v>
      </c>
      <c r="I457" s="89">
        <v>46057</v>
      </c>
      <c r="N457" t="s">
        <v>1750</v>
      </c>
    </row>
    <row r="458" spans="1:14" hidden="1" x14ac:dyDescent="0.25">
      <c r="A458" t="s">
        <v>1315</v>
      </c>
      <c r="B458" t="s">
        <v>1329</v>
      </c>
      <c r="C458" t="s">
        <v>1831</v>
      </c>
      <c r="D458" t="s">
        <v>21</v>
      </c>
      <c r="F458">
        <v>417</v>
      </c>
      <c r="G458" t="s">
        <v>1419</v>
      </c>
      <c r="H458" s="89">
        <v>46053</v>
      </c>
      <c r="I458" s="89">
        <v>46054</v>
      </c>
      <c r="N458" t="s">
        <v>1750</v>
      </c>
    </row>
    <row r="459" spans="1:14" hidden="1" x14ac:dyDescent="0.25">
      <c r="A459" t="s">
        <v>1316</v>
      </c>
      <c r="B459" t="s">
        <v>1330</v>
      </c>
      <c r="C459" t="s">
        <v>1832</v>
      </c>
      <c r="D459" t="s">
        <v>21</v>
      </c>
      <c r="F459">
        <v>18</v>
      </c>
      <c r="G459" t="s">
        <v>1419</v>
      </c>
      <c r="H459" s="89">
        <v>46053</v>
      </c>
      <c r="I459" s="89">
        <v>46054</v>
      </c>
      <c r="N459" t="s">
        <v>1750</v>
      </c>
    </row>
    <row r="460" spans="1:14" hidden="1" x14ac:dyDescent="0.25">
      <c r="A460" t="s">
        <v>1317</v>
      </c>
      <c r="B460" t="s">
        <v>1331</v>
      </c>
      <c r="C460" t="s">
        <v>1833</v>
      </c>
      <c r="D460" t="s">
        <v>21</v>
      </c>
      <c r="F460">
        <v>21</v>
      </c>
      <c r="G460" t="s">
        <v>1419</v>
      </c>
      <c r="H460" s="89">
        <v>46053</v>
      </c>
      <c r="I460" s="89">
        <v>46054</v>
      </c>
      <c r="N460" t="s">
        <v>1750</v>
      </c>
    </row>
    <row r="461" spans="1:14" hidden="1" x14ac:dyDescent="0.25">
      <c r="A461" t="s">
        <v>1318</v>
      </c>
      <c r="B461" t="s">
        <v>1332</v>
      </c>
      <c r="C461" t="s">
        <v>1834</v>
      </c>
      <c r="D461" t="s">
        <v>21</v>
      </c>
      <c r="F461">
        <v>33</v>
      </c>
      <c r="G461" t="s">
        <v>1419</v>
      </c>
      <c r="H461" s="89">
        <v>46053</v>
      </c>
      <c r="I461" s="89">
        <v>46054</v>
      </c>
      <c r="N461" t="s">
        <v>1750</v>
      </c>
    </row>
    <row r="462" spans="1:14" hidden="1" x14ac:dyDescent="0.25">
      <c r="A462" t="s">
        <v>1324</v>
      </c>
      <c r="B462" t="s">
        <v>1338</v>
      </c>
      <c r="C462" t="s">
        <v>1835</v>
      </c>
      <c r="D462" t="s">
        <v>28</v>
      </c>
      <c r="F462">
        <v>720</v>
      </c>
      <c r="G462">
        <v>15</v>
      </c>
      <c r="H462" s="89">
        <v>46062</v>
      </c>
      <c r="I462" s="89">
        <v>46067</v>
      </c>
      <c r="J462" t="s">
        <v>1836</v>
      </c>
      <c r="N462" t="s">
        <v>1837</v>
      </c>
    </row>
    <row r="463" spans="1:14" hidden="1" x14ac:dyDescent="0.25">
      <c r="A463" t="s">
        <v>1324</v>
      </c>
      <c r="B463" t="s">
        <v>1338</v>
      </c>
      <c r="C463" t="s">
        <v>1835</v>
      </c>
      <c r="D463" t="s">
        <v>28</v>
      </c>
      <c r="F463">
        <v>240</v>
      </c>
      <c r="G463">
        <v>5</v>
      </c>
      <c r="H463" s="89">
        <v>46062</v>
      </c>
      <c r="I463" s="89">
        <v>46070</v>
      </c>
      <c r="J463" t="s">
        <v>1838</v>
      </c>
      <c r="N463" t="s">
        <v>1837</v>
      </c>
    </row>
    <row r="464" spans="1:14" hidden="1" x14ac:dyDescent="0.25">
      <c r="A464" t="s">
        <v>1315</v>
      </c>
      <c r="B464" t="s">
        <v>1329</v>
      </c>
      <c r="C464" t="s">
        <v>1835</v>
      </c>
      <c r="D464" t="s">
        <v>28</v>
      </c>
      <c r="F464">
        <v>4</v>
      </c>
      <c r="G464" t="s">
        <v>1419</v>
      </c>
      <c r="H464" s="89">
        <v>46062</v>
      </c>
      <c r="I464" s="89">
        <v>46064</v>
      </c>
      <c r="N464" t="s">
        <v>1837</v>
      </c>
    </row>
    <row r="465" spans="1:14" hidden="1" x14ac:dyDescent="0.25">
      <c r="A465" t="s">
        <v>1316</v>
      </c>
      <c r="B465" t="s">
        <v>1330</v>
      </c>
      <c r="C465" t="s">
        <v>1839</v>
      </c>
      <c r="D465" t="s">
        <v>28</v>
      </c>
      <c r="F465">
        <v>50</v>
      </c>
      <c r="G465" t="s">
        <v>1419</v>
      </c>
      <c r="H465" s="89">
        <v>46062</v>
      </c>
      <c r="I465" s="89">
        <v>46064</v>
      </c>
      <c r="N465" t="s">
        <v>1837</v>
      </c>
    </row>
    <row r="466" spans="1:14" hidden="1" x14ac:dyDescent="0.25">
      <c r="A466" t="s">
        <v>1317</v>
      </c>
      <c r="B466" t="s">
        <v>1331</v>
      </c>
      <c r="C466" t="s">
        <v>1840</v>
      </c>
      <c r="D466" t="s">
        <v>28</v>
      </c>
      <c r="F466">
        <v>2</v>
      </c>
      <c r="G466" t="s">
        <v>1419</v>
      </c>
      <c r="H466" s="89">
        <v>46062</v>
      </c>
      <c r="I466" s="89">
        <v>46064</v>
      </c>
      <c r="N466" t="s">
        <v>1837</v>
      </c>
    </row>
    <row r="467" spans="1:14" hidden="1" x14ac:dyDescent="0.25">
      <c r="A467" t="s">
        <v>1318</v>
      </c>
      <c r="B467" t="s">
        <v>1332</v>
      </c>
      <c r="C467" t="s">
        <v>1841</v>
      </c>
      <c r="D467" t="s">
        <v>28</v>
      </c>
      <c r="F467">
        <v>49</v>
      </c>
      <c r="G467" t="s">
        <v>1419</v>
      </c>
      <c r="H467" s="89">
        <v>46062</v>
      </c>
      <c r="I467" s="89">
        <v>46064</v>
      </c>
      <c r="N467" t="s">
        <v>1837</v>
      </c>
    </row>
    <row r="468" spans="1:14" hidden="1" x14ac:dyDescent="0.25">
      <c r="A468" t="s">
        <v>1324</v>
      </c>
      <c r="B468" t="s">
        <v>1338</v>
      </c>
      <c r="C468" t="s">
        <v>1842</v>
      </c>
      <c r="D468" t="s">
        <v>13</v>
      </c>
      <c r="F468">
        <v>960</v>
      </c>
      <c r="G468">
        <v>20</v>
      </c>
      <c r="H468" s="89">
        <v>46062</v>
      </c>
      <c r="I468" s="89">
        <v>46070</v>
      </c>
      <c r="J468" t="s">
        <v>1838</v>
      </c>
      <c r="N468" t="s">
        <v>1837</v>
      </c>
    </row>
    <row r="469" spans="1:14" hidden="1" x14ac:dyDescent="0.25">
      <c r="A469" t="s">
        <v>1324</v>
      </c>
      <c r="B469" t="s">
        <v>1338</v>
      </c>
      <c r="C469" t="s">
        <v>1842</v>
      </c>
      <c r="D469" t="s">
        <v>13</v>
      </c>
      <c r="F469">
        <v>480</v>
      </c>
      <c r="G469">
        <v>10</v>
      </c>
      <c r="H469" s="89">
        <v>46062</v>
      </c>
      <c r="I469" s="89">
        <v>46069</v>
      </c>
      <c r="J469" t="s">
        <v>1843</v>
      </c>
      <c r="N469" t="s">
        <v>1837</v>
      </c>
    </row>
    <row r="470" spans="1:14" hidden="1" x14ac:dyDescent="0.25">
      <c r="A470" t="s">
        <v>1313</v>
      </c>
      <c r="B470" t="s">
        <v>1327</v>
      </c>
      <c r="C470" t="s">
        <v>1844</v>
      </c>
      <c r="D470" t="s">
        <v>20</v>
      </c>
      <c r="F470">
        <v>1152</v>
      </c>
      <c r="G470">
        <v>24</v>
      </c>
      <c r="H470" s="89">
        <v>46062</v>
      </c>
      <c r="I470" s="89">
        <v>46066</v>
      </c>
      <c r="J470" t="s">
        <v>1845</v>
      </c>
      <c r="N470" t="s">
        <v>1837</v>
      </c>
    </row>
    <row r="471" spans="1:14" hidden="1" x14ac:dyDescent="0.25">
      <c r="A471" t="s">
        <v>1316</v>
      </c>
      <c r="B471" t="s">
        <v>1330</v>
      </c>
      <c r="C471" t="s">
        <v>1846</v>
      </c>
      <c r="D471" t="s">
        <v>20</v>
      </c>
      <c r="F471">
        <v>138</v>
      </c>
      <c r="G471" t="s">
        <v>1419</v>
      </c>
      <c r="H471" s="89">
        <v>46062</v>
      </c>
      <c r="I471" s="89">
        <v>46064</v>
      </c>
      <c r="N471" t="s">
        <v>1837</v>
      </c>
    </row>
    <row r="472" spans="1:14" hidden="1" x14ac:dyDescent="0.25">
      <c r="A472" t="s">
        <v>1317</v>
      </c>
      <c r="B472" t="s">
        <v>1331</v>
      </c>
      <c r="C472" t="s">
        <v>1847</v>
      </c>
      <c r="D472" t="s">
        <v>20</v>
      </c>
      <c r="F472">
        <v>12</v>
      </c>
      <c r="G472" t="s">
        <v>1419</v>
      </c>
      <c r="H472" s="89">
        <v>46062</v>
      </c>
      <c r="I472" s="89">
        <v>46064</v>
      </c>
      <c r="N472" t="s">
        <v>1837</v>
      </c>
    </row>
    <row r="473" spans="1:14" hidden="1" x14ac:dyDescent="0.25">
      <c r="A473" t="s">
        <v>1318</v>
      </c>
      <c r="B473" t="s">
        <v>1332</v>
      </c>
      <c r="C473" t="s">
        <v>1848</v>
      </c>
      <c r="D473" t="s">
        <v>20</v>
      </c>
      <c r="F473">
        <v>55</v>
      </c>
      <c r="G473" t="s">
        <v>1419</v>
      </c>
      <c r="H473" s="89">
        <v>46062</v>
      </c>
      <c r="I473" s="89">
        <v>46064</v>
      </c>
      <c r="N473" t="s">
        <v>1837</v>
      </c>
    </row>
    <row r="474" spans="1:14" hidden="1" x14ac:dyDescent="0.25">
      <c r="A474" t="s">
        <v>1313</v>
      </c>
      <c r="B474" t="s">
        <v>1327</v>
      </c>
      <c r="C474" t="s">
        <v>1849</v>
      </c>
      <c r="D474" t="s">
        <v>15</v>
      </c>
      <c r="F474">
        <v>192</v>
      </c>
      <c r="G474">
        <v>4</v>
      </c>
      <c r="H474" s="89">
        <v>46062</v>
      </c>
      <c r="I474" s="89">
        <v>46068</v>
      </c>
      <c r="J474" t="s">
        <v>1850</v>
      </c>
      <c r="N474" t="s">
        <v>1837</v>
      </c>
    </row>
    <row r="475" spans="1:14" hidden="1" x14ac:dyDescent="0.25">
      <c r="A475" t="s">
        <v>1314</v>
      </c>
      <c r="B475" t="s">
        <v>1328</v>
      </c>
      <c r="C475" t="s">
        <v>1849</v>
      </c>
      <c r="D475" t="s">
        <v>15</v>
      </c>
      <c r="F475">
        <v>288</v>
      </c>
      <c r="G475">
        <v>6</v>
      </c>
      <c r="H475" s="89">
        <v>46062</v>
      </c>
      <c r="I475" s="89">
        <v>46066</v>
      </c>
      <c r="J475" t="s">
        <v>1851</v>
      </c>
      <c r="N475" t="s">
        <v>1837</v>
      </c>
    </row>
    <row r="476" spans="1:14" hidden="1" x14ac:dyDescent="0.25">
      <c r="A476" t="s">
        <v>1324</v>
      </c>
      <c r="B476" t="s">
        <v>1338</v>
      </c>
      <c r="C476" t="s">
        <v>1849</v>
      </c>
      <c r="D476" t="s">
        <v>15</v>
      </c>
      <c r="F476">
        <v>672</v>
      </c>
      <c r="G476">
        <v>14</v>
      </c>
      <c r="H476" s="89">
        <v>46062</v>
      </c>
      <c r="I476" s="89">
        <v>46069</v>
      </c>
      <c r="J476" t="s">
        <v>1843</v>
      </c>
      <c r="N476" t="s">
        <v>1837</v>
      </c>
    </row>
    <row r="477" spans="1:14" hidden="1" x14ac:dyDescent="0.25">
      <c r="A477" t="s">
        <v>1315</v>
      </c>
      <c r="B477" t="s">
        <v>1329</v>
      </c>
      <c r="C477" t="s">
        <v>1849</v>
      </c>
      <c r="D477" t="s">
        <v>15</v>
      </c>
      <c r="F477">
        <v>51</v>
      </c>
      <c r="G477" t="s">
        <v>1419</v>
      </c>
      <c r="H477" s="89">
        <v>46062</v>
      </c>
      <c r="I477" s="89">
        <v>46064</v>
      </c>
      <c r="N477" t="s">
        <v>1837</v>
      </c>
    </row>
    <row r="478" spans="1:14" hidden="1" x14ac:dyDescent="0.25">
      <c r="A478" t="s">
        <v>1316</v>
      </c>
      <c r="B478" t="s">
        <v>1330</v>
      </c>
      <c r="C478" t="s">
        <v>1852</v>
      </c>
      <c r="D478" t="s">
        <v>15</v>
      </c>
      <c r="F478">
        <v>35</v>
      </c>
      <c r="G478" t="s">
        <v>1419</v>
      </c>
      <c r="H478" s="89">
        <v>46062</v>
      </c>
      <c r="I478" s="89">
        <v>46064</v>
      </c>
      <c r="N478" t="s">
        <v>1837</v>
      </c>
    </row>
    <row r="479" spans="1:14" hidden="1" x14ac:dyDescent="0.25">
      <c r="A479" t="s">
        <v>1317</v>
      </c>
      <c r="B479" t="s">
        <v>1331</v>
      </c>
      <c r="C479" t="s">
        <v>1853</v>
      </c>
      <c r="D479" t="s">
        <v>15</v>
      </c>
      <c r="F479">
        <v>9</v>
      </c>
      <c r="G479" t="s">
        <v>1419</v>
      </c>
      <c r="H479" s="89">
        <v>46062</v>
      </c>
      <c r="I479" s="89">
        <v>46064</v>
      </c>
      <c r="N479" t="s">
        <v>1837</v>
      </c>
    </row>
    <row r="480" spans="1:14" hidden="1" x14ac:dyDescent="0.25">
      <c r="A480" t="s">
        <v>1318</v>
      </c>
      <c r="B480" t="s">
        <v>1332</v>
      </c>
      <c r="C480" t="s">
        <v>1854</v>
      </c>
      <c r="D480" t="s">
        <v>15</v>
      </c>
      <c r="F480">
        <v>15</v>
      </c>
      <c r="G480" t="s">
        <v>1419</v>
      </c>
      <c r="H480" s="89">
        <v>46062</v>
      </c>
      <c r="I480" s="89">
        <v>46064</v>
      </c>
      <c r="N480" t="s">
        <v>1837</v>
      </c>
    </row>
    <row r="481" spans="1:14" hidden="1" x14ac:dyDescent="0.25">
      <c r="A481" t="s">
        <v>1326</v>
      </c>
      <c r="B481" t="s">
        <v>1340</v>
      </c>
      <c r="C481" t="s">
        <v>1855</v>
      </c>
      <c r="D481" t="s">
        <v>32</v>
      </c>
      <c r="F481">
        <v>840</v>
      </c>
      <c r="G481">
        <v>20</v>
      </c>
      <c r="H481" s="89">
        <v>46062</v>
      </c>
      <c r="I481" s="89">
        <v>46066</v>
      </c>
      <c r="J481" t="s">
        <v>1856</v>
      </c>
      <c r="N481" t="s">
        <v>1837</v>
      </c>
    </row>
    <row r="482" spans="1:14" hidden="1" x14ac:dyDescent="0.25">
      <c r="A482" t="s">
        <v>1313</v>
      </c>
      <c r="B482" t="s">
        <v>1327</v>
      </c>
      <c r="C482" t="s">
        <v>1857</v>
      </c>
      <c r="D482" t="s">
        <v>28</v>
      </c>
      <c r="F482">
        <v>1008</v>
      </c>
      <c r="G482">
        <v>21</v>
      </c>
      <c r="H482" s="89">
        <v>46063</v>
      </c>
      <c r="I482" s="89">
        <v>46068</v>
      </c>
      <c r="J482" t="s">
        <v>1858</v>
      </c>
      <c r="N482" t="s">
        <v>1837</v>
      </c>
    </row>
    <row r="483" spans="1:14" hidden="1" x14ac:dyDescent="0.25">
      <c r="A483" t="s">
        <v>1315</v>
      </c>
      <c r="B483" t="s">
        <v>1329</v>
      </c>
      <c r="C483" t="s">
        <v>1857</v>
      </c>
      <c r="D483" t="s">
        <v>28</v>
      </c>
      <c r="F483">
        <v>22</v>
      </c>
      <c r="G483" t="s">
        <v>1419</v>
      </c>
      <c r="H483" s="89">
        <v>46063</v>
      </c>
      <c r="I483" s="89">
        <v>46065</v>
      </c>
      <c r="N483" t="s">
        <v>1837</v>
      </c>
    </row>
    <row r="484" spans="1:14" hidden="1" x14ac:dyDescent="0.25">
      <c r="A484" t="s">
        <v>1316</v>
      </c>
      <c r="B484" t="s">
        <v>1330</v>
      </c>
      <c r="C484" t="s">
        <v>1859</v>
      </c>
      <c r="D484" t="s">
        <v>28</v>
      </c>
      <c r="F484">
        <v>41</v>
      </c>
      <c r="G484" t="s">
        <v>1419</v>
      </c>
      <c r="H484" s="89">
        <v>46063</v>
      </c>
      <c r="I484" s="89">
        <v>46065</v>
      </c>
      <c r="N484" t="s">
        <v>1837</v>
      </c>
    </row>
    <row r="485" spans="1:14" hidden="1" x14ac:dyDescent="0.25">
      <c r="A485" t="s">
        <v>1317</v>
      </c>
      <c r="B485" t="s">
        <v>1331</v>
      </c>
      <c r="C485" t="s">
        <v>1857</v>
      </c>
      <c r="D485" t="s">
        <v>28</v>
      </c>
      <c r="F485">
        <v>1</v>
      </c>
      <c r="G485" t="s">
        <v>1419</v>
      </c>
      <c r="H485" s="89">
        <v>46063</v>
      </c>
      <c r="I485" s="89">
        <v>46065</v>
      </c>
      <c r="N485" t="s">
        <v>1837</v>
      </c>
    </row>
    <row r="486" spans="1:14" hidden="1" x14ac:dyDescent="0.25">
      <c r="A486" t="s">
        <v>1318</v>
      </c>
      <c r="B486" t="s">
        <v>1332</v>
      </c>
      <c r="C486" t="s">
        <v>1860</v>
      </c>
      <c r="D486" t="s">
        <v>28</v>
      </c>
      <c r="F486">
        <v>40</v>
      </c>
      <c r="G486" t="s">
        <v>1419</v>
      </c>
      <c r="H486" s="89">
        <v>46063</v>
      </c>
      <c r="I486" s="89">
        <v>46065</v>
      </c>
      <c r="N486" t="s">
        <v>1837</v>
      </c>
    </row>
    <row r="487" spans="1:14" hidden="1" x14ac:dyDescent="0.25">
      <c r="A487" t="s">
        <v>1324</v>
      </c>
      <c r="B487" t="s">
        <v>1338</v>
      </c>
      <c r="C487" t="s">
        <v>1861</v>
      </c>
      <c r="D487" t="s">
        <v>13</v>
      </c>
      <c r="F487">
        <v>480</v>
      </c>
      <c r="G487">
        <v>10</v>
      </c>
      <c r="H487" s="89">
        <v>46063</v>
      </c>
      <c r="I487" s="89">
        <v>46069</v>
      </c>
      <c r="J487" t="s">
        <v>1843</v>
      </c>
      <c r="N487" t="s">
        <v>1837</v>
      </c>
    </row>
    <row r="488" spans="1:14" hidden="1" x14ac:dyDescent="0.25">
      <c r="A488" t="s">
        <v>1324</v>
      </c>
      <c r="B488" t="s">
        <v>1338</v>
      </c>
      <c r="C488" t="s">
        <v>1862</v>
      </c>
      <c r="D488" t="s">
        <v>13</v>
      </c>
      <c r="F488">
        <v>576</v>
      </c>
      <c r="G488">
        <v>12</v>
      </c>
      <c r="H488" s="89">
        <v>46064</v>
      </c>
      <c r="I488" s="89">
        <v>46070</v>
      </c>
      <c r="J488" t="s">
        <v>1838</v>
      </c>
      <c r="N488" t="s">
        <v>1837</v>
      </c>
    </row>
    <row r="489" spans="1:14" hidden="1" x14ac:dyDescent="0.25">
      <c r="A489" t="s">
        <v>1324</v>
      </c>
      <c r="B489" t="s">
        <v>1338</v>
      </c>
      <c r="C489" t="s">
        <v>1861</v>
      </c>
      <c r="D489" t="s">
        <v>13</v>
      </c>
      <c r="F489">
        <v>192</v>
      </c>
      <c r="G489">
        <v>4</v>
      </c>
      <c r="H489" s="89">
        <v>46063</v>
      </c>
      <c r="I489" s="89">
        <v>46071</v>
      </c>
      <c r="J489" t="s">
        <v>1863</v>
      </c>
      <c r="N489" t="s">
        <v>1837</v>
      </c>
    </row>
    <row r="490" spans="1:14" hidden="1" x14ac:dyDescent="0.25">
      <c r="A490" t="s">
        <v>1321</v>
      </c>
      <c r="B490" t="s">
        <v>1335</v>
      </c>
      <c r="C490" t="s">
        <v>1864</v>
      </c>
      <c r="D490" t="s">
        <v>138</v>
      </c>
      <c r="F490">
        <v>144</v>
      </c>
      <c r="G490">
        <v>3</v>
      </c>
      <c r="H490" s="89">
        <v>46064</v>
      </c>
      <c r="I490" s="89">
        <v>46070</v>
      </c>
      <c r="J490" t="s">
        <v>1838</v>
      </c>
      <c r="N490" t="s">
        <v>1837</v>
      </c>
    </row>
    <row r="491" spans="1:14" hidden="1" x14ac:dyDescent="0.25">
      <c r="A491" t="s">
        <v>1324</v>
      </c>
      <c r="B491" t="s">
        <v>1338</v>
      </c>
      <c r="C491" t="s">
        <v>1865</v>
      </c>
      <c r="D491" t="s">
        <v>129</v>
      </c>
      <c r="F491">
        <v>576</v>
      </c>
      <c r="G491">
        <v>12</v>
      </c>
      <c r="H491" s="89">
        <v>46063</v>
      </c>
      <c r="I491" s="89">
        <v>46071</v>
      </c>
      <c r="J491" t="s">
        <v>1863</v>
      </c>
      <c r="N491" t="s">
        <v>1837</v>
      </c>
    </row>
    <row r="492" spans="1:14" hidden="1" x14ac:dyDescent="0.25">
      <c r="A492" t="s">
        <v>1321</v>
      </c>
      <c r="B492" t="s">
        <v>1335</v>
      </c>
      <c r="C492" t="s">
        <v>1866</v>
      </c>
      <c r="D492" t="s">
        <v>138</v>
      </c>
      <c r="F492">
        <v>96</v>
      </c>
      <c r="G492">
        <v>2</v>
      </c>
      <c r="H492" s="89">
        <v>46063</v>
      </c>
      <c r="I492" s="89">
        <v>46069</v>
      </c>
      <c r="J492" t="s">
        <v>1843</v>
      </c>
      <c r="N492" t="s">
        <v>1837</v>
      </c>
    </row>
    <row r="493" spans="1:14" hidden="1" x14ac:dyDescent="0.25">
      <c r="A493" t="s">
        <v>1313</v>
      </c>
      <c r="B493" t="s">
        <v>1327</v>
      </c>
      <c r="C493" t="s">
        <v>1867</v>
      </c>
      <c r="D493" t="s">
        <v>23</v>
      </c>
      <c r="F493">
        <v>864</v>
      </c>
      <c r="G493">
        <v>18</v>
      </c>
      <c r="H493" s="89">
        <v>46063</v>
      </c>
      <c r="I493" s="89">
        <v>46066</v>
      </c>
      <c r="J493" t="s">
        <v>1868</v>
      </c>
      <c r="N493" t="s">
        <v>1837</v>
      </c>
    </row>
    <row r="494" spans="1:14" hidden="1" x14ac:dyDescent="0.25">
      <c r="A494" t="s">
        <v>1313</v>
      </c>
      <c r="B494" t="s">
        <v>1327</v>
      </c>
      <c r="C494" t="s">
        <v>1867</v>
      </c>
      <c r="D494" t="s">
        <v>23</v>
      </c>
      <c r="F494">
        <v>144</v>
      </c>
      <c r="G494">
        <v>3</v>
      </c>
      <c r="H494" s="89">
        <v>46063</v>
      </c>
      <c r="I494" s="89">
        <v>46065</v>
      </c>
      <c r="N494" t="s">
        <v>1837</v>
      </c>
    </row>
    <row r="495" spans="1:14" hidden="1" x14ac:dyDescent="0.25">
      <c r="A495" t="s">
        <v>1325</v>
      </c>
      <c r="B495" t="s">
        <v>1339</v>
      </c>
      <c r="C495" t="s">
        <v>1866</v>
      </c>
      <c r="D495" t="s">
        <v>138</v>
      </c>
      <c r="F495">
        <v>336</v>
      </c>
      <c r="G495">
        <v>7</v>
      </c>
      <c r="H495" s="89">
        <v>46063</v>
      </c>
      <c r="I495" s="89">
        <v>46065</v>
      </c>
      <c r="N495" t="s">
        <v>1837</v>
      </c>
    </row>
    <row r="496" spans="1:14" hidden="1" x14ac:dyDescent="0.25">
      <c r="A496" t="s">
        <v>1313</v>
      </c>
      <c r="B496" t="s">
        <v>1327</v>
      </c>
      <c r="C496" t="s">
        <v>1869</v>
      </c>
      <c r="D496" t="s">
        <v>15</v>
      </c>
      <c r="F496">
        <v>955</v>
      </c>
      <c r="G496">
        <v>19.895833333333332</v>
      </c>
      <c r="H496" s="89">
        <v>46063</v>
      </c>
      <c r="I496" s="89">
        <v>46068</v>
      </c>
      <c r="J496" t="s">
        <v>1850</v>
      </c>
      <c r="N496" t="s">
        <v>1837</v>
      </c>
    </row>
    <row r="497" spans="1:14" hidden="1" x14ac:dyDescent="0.25">
      <c r="A497" t="s">
        <v>1566</v>
      </c>
      <c r="B497" t="s">
        <v>1567</v>
      </c>
      <c r="C497" t="s">
        <v>1869</v>
      </c>
      <c r="D497" t="s">
        <v>15</v>
      </c>
      <c r="F497">
        <v>5</v>
      </c>
      <c r="G497">
        <v>0.10416666666666669</v>
      </c>
      <c r="H497" s="89">
        <v>46063</v>
      </c>
      <c r="I497" s="89">
        <v>46068</v>
      </c>
      <c r="J497" t="s">
        <v>1870</v>
      </c>
      <c r="N497" t="s">
        <v>1837</v>
      </c>
    </row>
    <row r="498" spans="1:14" hidden="1" x14ac:dyDescent="0.25">
      <c r="A498" t="s">
        <v>1313</v>
      </c>
      <c r="B498" t="s">
        <v>1327</v>
      </c>
      <c r="C498" t="s">
        <v>1869</v>
      </c>
      <c r="D498" t="s">
        <v>15</v>
      </c>
      <c r="F498">
        <v>144</v>
      </c>
      <c r="G498">
        <v>3</v>
      </c>
      <c r="H498" s="89">
        <v>46063</v>
      </c>
      <c r="I498" s="89">
        <v>46068</v>
      </c>
      <c r="J498" t="s">
        <v>1858</v>
      </c>
      <c r="N498" t="s">
        <v>1837</v>
      </c>
    </row>
    <row r="499" spans="1:14" hidden="1" x14ac:dyDescent="0.25">
      <c r="A499" t="s">
        <v>1313</v>
      </c>
      <c r="B499" t="s">
        <v>1327</v>
      </c>
      <c r="C499" t="s">
        <v>1869</v>
      </c>
      <c r="D499" t="s">
        <v>15</v>
      </c>
      <c r="F499">
        <v>192</v>
      </c>
      <c r="G499">
        <v>4</v>
      </c>
      <c r="H499" s="89">
        <v>46063</v>
      </c>
      <c r="I499" s="89">
        <v>46067</v>
      </c>
      <c r="J499" t="s">
        <v>1871</v>
      </c>
      <c r="N499" t="s">
        <v>1837</v>
      </c>
    </row>
    <row r="500" spans="1:14" hidden="1" x14ac:dyDescent="0.25">
      <c r="A500" t="s">
        <v>1444</v>
      </c>
      <c r="B500" t="s">
        <v>1445</v>
      </c>
      <c r="C500" t="s">
        <v>1869</v>
      </c>
      <c r="D500" t="s">
        <v>15</v>
      </c>
      <c r="F500">
        <v>120</v>
      </c>
      <c r="G500">
        <v>1</v>
      </c>
      <c r="H500" s="89">
        <v>46063</v>
      </c>
      <c r="I500" s="89">
        <v>46065</v>
      </c>
      <c r="N500" t="s">
        <v>1837</v>
      </c>
    </row>
    <row r="501" spans="1:14" hidden="1" x14ac:dyDescent="0.25">
      <c r="A501" t="s">
        <v>1315</v>
      </c>
      <c r="B501" t="s">
        <v>1329</v>
      </c>
      <c r="C501" t="s">
        <v>1869</v>
      </c>
      <c r="D501" t="s">
        <v>15</v>
      </c>
      <c r="F501">
        <v>52</v>
      </c>
      <c r="G501" t="s">
        <v>1419</v>
      </c>
      <c r="H501" s="89">
        <v>46063</v>
      </c>
      <c r="I501" s="89">
        <v>46065</v>
      </c>
      <c r="N501" t="s">
        <v>1837</v>
      </c>
    </row>
    <row r="502" spans="1:14" hidden="1" x14ac:dyDescent="0.25">
      <c r="A502" t="s">
        <v>1316</v>
      </c>
      <c r="B502" t="s">
        <v>1330</v>
      </c>
      <c r="C502" t="s">
        <v>1872</v>
      </c>
      <c r="D502" t="s">
        <v>15</v>
      </c>
      <c r="F502">
        <v>26</v>
      </c>
      <c r="G502" t="s">
        <v>1419</v>
      </c>
      <c r="H502" s="89">
        <v>46063</v>
      </c>
      <c r="I502" s="89">
        <v>46065</v>
      </c>
      <c r="N502" t="s">
        <v>1837</v>
      </c>
    </row>
    <row r="503" spans="1:14" hidden="1" x14ac:dyDescent="0.25">
      <c r="A503" t="s">
        <v>1317</v>
      </c>
      <c r="B503" t="s">
        <v>1331</v>
      </c>
      <c r="C503" t="s">
        <v>1873</v>
      </c>
      <c r="D503" t="s">
        <v>15</v>
      </c>
      <c r="F503">
        <v>14</v>
      </c>
      <c r="G503" t="s">
        <v>1419</v>
      </c>
      <c r="H503" s="89">
        <v>46063</v>
      </c>
      <c r="I503" s="89">
        <v>46065</v>
      </c>
      <c r="N503" t="s">
        <v>1837</v>
      </c>
    </row>
    <row r="504" spans="1:14" hidden="1" x14ac:dyDescent="0.25">
      <c r="A504" t="s">
        <v>1318</v>
      </c>
      <c r="B504" t="s">
        <v>1332</v>
      </c>
      <c r="C504" t="s">
        <v>1874</v>
      </c>
      <c r="D504" t="s">
        <v>15</v>
      </c>
      <c r="F504">
        <v>9</v>
      </c>
      <c r="G504" t="s">
        <v>1419</v>
      </c>
      <c r="H504" s="89">
        <v>46063</v>
      </c>
      <c r="I504" s="89">
        <v>46065</v>
      </c>
      <c r="N504" t="s">
        <v>1837</v>
      </c>
    </row>
    <row r="505" spans="1:14" hidden="1" x14ac:dyDescent="0.25">
      <c r="A505" t="s">
        <v>1313</v>
      </c>
      <c r="B505" t="s">
        <v>1327</v>
      </c>
      <c r="C505" t="s">
        <v>1875</v>
      </c>
      <c r="D505" t="s">
        <v>20</v>
      </c>
      <c r="F505">
        <v>1248</v>
      </c>
      <c r="G505">
        <v>26</v>
      </c>
      <c r="H505" s="89">
        <v>46063</v>
      </c>
      <c r="I505" s="89">
        <v>46066</v>
      </c>
      <c r="N505" t="s">
        <v>1837</v>
      </c>
    </row>
    <row r="506" spans="1:14" hidden="1" x14ac:dyDescent="0.25">
      <c r="A506" t="s">
        <v>1315</v>
      </c>
      <c r="B506" t="s">
        <v>1329</v>
      </c>
      <c r="C506" t="s">
        <v>1875</v>
      </c>
      <c r="D506" t="s">
        <v>20</v>
      </c>
      <c r="F506">
        <v>11</v>
      </c>
      <c r="G506" t="s">
        <v>1419</v>
      </c>
      <c r="H506" s="89">
        <v>46063</v>
      </c>
      <c r="I506" s="89">
        <v>46066</v>
      </c>
      <c r="N506" t="s">
        <v>1837</v>
      </c>
    </row>
    <row r="507" spans="1:14" hidden="1" x14ac:dyDescent="0.25">
      <c r="A507" t="s">
        <v>1316</v>
      </c>
      <c r="B507" t="s">
        <v>1330</v>
      </c>
      <c r="C507" t="s">
        <v>1876</v>
      </c>
      <c r="D507" t="s">
        <v>20</v>
      </c>
      <c r="F507">
        <v>102</v>
      </c>
      <c r="G507" t="s">
        <v>1419</v>
      </c>
      <c r="H507" s="89">
        <v>46063</v>
      </c>
      <c r="I507" s="89">
        <v>46065</v>
      </c>
      <c r="N507" t="s">
        <v>1837</v>
      </c>
    </row>
    <row r="508" spans="1:14" hidden="1" x14ac:dyDescent="0.25">
      <c r="A508" t="s">
        <v>1317</v>
      </c>
      <c r="B508" t="s">
        <v>1331</v>
      </c>
      <c r="C508" t="s">
        <v>1877</v>
      </c>
      <c r="D508" t="s">
        <v>20</v>
      </c>
      <c r="F508">
        <v>6</v>
      </c>
      <c r="G508" t="s">
        <v>1419</v>
      </c>
      <c r="H508" s="89">
        <v>46063</v>
      </c>
      <c r="I508" s="89">
        <v>46065</v>
      </c>
      <c r="N508" t="s">
        <v>1837</v>
      </c>
    </row>
    <row r="509" spans="1:14" hidden="1" x14ac:dyDescent="0.25">
      <c r="A509" t="s">
        <v>1318</v>
      </c>
      <c r="B509" t="s">
        <v>1332</v>
      </c>
      <c r="C509" t="s">
        <v>1878</v>
      </c>
      <c r="D509" t="s">
        <v>20</v>
      </c>
      <c r="F509">
        <v>54</v>
      </c>
      <c r="G509" t="s">
        <v>1419</v>
      </c>
      <c r="H509" s="89">
        <v>46063</v>
      </c>
      <c r="I509" s="89">
        <v>46065</v>
      </c>
      <c r="N509" t="s">
        <v>1837</v>
      </c>
    </row>
    <row r="510" spans="1:14" hidden="1" x14ac:dyDescent="0.25">
      <c r="A510" t="s">
        <v>1313</v>
      </c>
      <c r="B510" t="s">
        <v>1327</v>
      </c>
      <c r="C510" t="s">
        <v>1879</v>
      </c>
      <c r="D510" t="s">
        <v>15</v>
      </c>
      <c r="F510">
        <v>960</v>
      </c>
      <c r="G510">
        <v>20</v>
      </c>
      <c r="H510" s="89">
        <v>46064</v>
      </c>
      <c r="I510" s="89">
        <v>46067</v>
      </c>
      <c r="J510" t="s">
        <v>1871</v>
      </c>
      <c r="N510" t="s">
        <v>1837</v>
      </c>
    </row>
    <row r="511" spans="1:14" hidden="1" x14ac:dyDescent="0.25">
      <c r="A511" t="s">
        <v>1313</v>
      </c>
      <c r="B511" t="s">
        <v>1327</v>
      </c>
      <c r="C511" t="s">
        <v>1879</v>
      </c>
      <c r="D511" t="s">
        <v>15</v>
      </c>
      <c r="F511">
        <v>331</v>
      </c>
      <c r="G511">
        <v>6.895833333333333</v>
      </c>
      <c r="H511" s="89">
        <v>46064</v>
      </c>
      <c r="I511" s="89">
        <v>46069</v>
      </c>
      <c r="J511" t="s">
        <v>1880</v>
      </c>
      <c r="N511" t="s">
        <v>1837</v>
      </c>
    </row>
    <row r="512" spans="1:14" hidden="1" x14ac:dyDescent="0.25">
      <c r="A512" t="s">
        <v>1316</v>
      </c>
      <c r="B512" t="s">
        <v>1330</v>
      </c>
      <c r="C512" t="s">
        <v>1881</v>
      </c>
      <c r="D512" t="s">
        <v>15</v>
      </c>
      <c r="F512">
        <v>39</v>
      </c>
      <c r="G512" t="s">
        <v>1419</v>
      </c>
      <c r="H512" s="89">
        <v>46064</v>
      </c>
      <c r="I512" s="89">
        <v>46066</v>
      </c>
      <c r="N512" t="s">
        <v>1837</v>
      </c>
    </row>
    <row r="513" spans="1:14" hidden="1" x14ac:dyDescent="0.25">
      <c r="A513" t="s">
        <v>1317</v>
      </c>
      <c r="B513" t="s">
        <v>1331</v>
      </c>
      <c r="C513" t="s">
        <v>1882</v>
      </c>
      <c r="D513" t="s">
        <v>15</v>
      </c>
      <c r="F513">
        <v>12</v>
      </c>
      <c r="G513" t="s">
        <v>1419</v>
      </c>
      <c r="H513" s="89">
        <v>46064</v>
      </c>
      <c r="I513" s="89">
        <v>46066</v>
      </c>
      <c r="N513" t="s">
        <v>1837</v>
      </c>
    </row>
    <row r="514" spans="1:14" hidden="1" x14ac:dyDescent="0.25">
      <c r="A514" t="s">
        <v>1318</v>
      </c>
      <c r="B514" t="s">
        <v>1332</v>
      </c>
      <c r="C514" t="s">
        <v>1883</v>
      </c>
      <c r="D514" t="s">
        <v>15</v>
      </c>
      <c r="F514">
        <v>30</v>
      </c>
      <c r="G514" t="s">
        <v>1419</v>
      </c>
      <c r="H514" s="89">
        <v>46064</v>
      </c>
      <c r="I514" s="89">
        <v>46066</v>
      </c>
      <c r="N514" t="s">
        <v>1837</v>
      </c>
    </row>
    <row r="515" spans="1:14" hidden="1" x14ac:dyDescent="0.25">
      <c r="A515" t="s">
        <v>1313</v>
      </c>
      <c r="B515" t="s">
        <v>1327</v>
      </c>
      <c r="C515" t="s">
        <v>1884</v>
      </c>
      <c r="D515" t="s">
        <v>21</v>
      </c>
      <c r="F515">
        <v>480</v>
      </c>
      <c r="G515">
        <v>10</v>
      </c>
      <c r="H515" s="89">
        <v>46064</v>
      </c>
      <c r="I515" s="89">
        <v>46065</v>
      </c>
      <c r="N515" t="s">
        <v>1837</v>
      </c>
    </row>
    <row r="516" spans="1:14" hidden="1" x14ac:dyDescent="0.25">
      <c r="A516" t="s">
        <v>1315</v>
      </c>
      <c r="B516" t="s">
        <v>1329</v>
      </c>
      <c r="C516" t="s">
        <v>1885</v>
      </c>
      <c r="D516" t="s">
        <v>21</v>
      </c>
      <c r="F516">
        <v>39</v>
      </c>
      <c r="G516" t="s">
        <v>1419</v>
      </c>
      <c r="H516" s="89">
        <v>46064</v>
      </c>
      <c r="I516" s="89">
        <v>46066</v>
      </c>
      <c r="N516" t="s">
        <v>1837</v>
      </c>
    </row>
    <row r="517" spans="1:14" hidden="1" x14ac:dyDescent="0.25">
      <c r="A517" t="s">
        <v>1316</v>
      </c>
      <c r="B517" t="s">
        <v>1330</v>
      </c>
      <c r="C517" t="s">
        <v>1885</v>
      </c>
      <c r="D517" t="s">
        <v>21</v>
      </c>
      <c r="F517">
        <v>23</v>
      </c>
      <c r="G517" t="s">
        <v>1419</v>
      </c>
      <c r="H517" s="89">
        <v>46064</v>
      </c>
      <c r="I517" s="89">
        <v>46066</v>
      </c>
      <c r="N517" t="s">
        <v>1837</v>
      </c>
    </row>
    <row r="518" spans="1:14" hidden="1" x14ac:dyDescent="0.25">
      <c r="A518" t="s">
        <v>1317</v>
      </c>
      <c r="B518" t="s">
        <v>1331</v>
      </c>
      <c r="C518" t="s">
        <v>1886</v>
      </c>
      <c r="D518" t="s">
        <v>21</v>
      </c>
      <c r="F518">
        <v>21</v>
      </c>
      <c r="G518" t="s">
        <v>1419</v>
      </c>
      <c r="H518" s="89">
        <v>46064</v>
      </c>
      <c r="I518" s="89">
        <v>46066</v>
      </c>
      <c r="N518" t="s">
        <v>1837</v>
      </c>
    </row>
    <row r="519" spans="1:14" hidden="1" x14ac:dyDescent="0.25">
      <c r="A519" t="s">
        <v>1318</v>
      </c>
      <c r="B519" t="s">
        <v>1332</v>
      </c>
      <c r="C519" t="s">
        <v>1887</v>
      </c>
      <c r="D519" t="s">
        <v>21</v>
      </c>
      <c r="F519">
        <v>56</v>
      </c>
      <c r="G519" t="s">
        <v>1419</v>
      </c>
      <c r="H519" s="89">
        <v>46064</v>
      </c>
      <c r="I519" s="89">
        <v>46066</v>
      </c>
      <c r="N519" t="s">
        <v>1837</v>
      </c>
    </row>
    <row r="520" spans="1:14" hidden="1" x14ac:dyDescent="0.25">
      <c r="A520" t="s">
        <v>1313</v>
      </c>
      <c r="B520" t="s">
        <v>1327</v>
      </c>
      <c r="C520" t="s">
        <v>1888</v>
      </c>
      <c r="D520" t="s">
        <v>23</v>
      </c>
      <c r="F520">
        <v>144</v>
      </c>
      <c r="G520">
        <v>3</v>
      </c>
      <c r="H520" s="89">
        <v>46064</v>
      </c>
      <c r="I520" s="89">
        <v>46069</v>
      </c>
      <c r="J520" t="s">
        <v>1889</v>
      </c>
      <c r="N520" t="s">
        <v>1837</v>
      </c>
    </row>
    <row r="521" spans="1:14" hidden="1" x14ac:dyDescent="0.25">
      <c r="A521" t="s">
        <v>1324</v>
      </c>
      <c r="B521" t="s">
        <v>1338</v>
      </c>
      <c r="C521" t="s">
        <v>1890</v>
      </c>
      <c r="D521" t="s">
        <v>129</v>
      </c>
      <c r="F521">
        <v>192</v>
      </c>
      <c r="G521">
        <v>4</v>
      </c>
      <c r="H521" s="89">
        <v>46064</v>
      </c>
      <c r="I521" s="89">
        <v>46071</v>
      </c>
      <c r="J521" t="s">
        <v>1863</v>
      </c>
      <c r="N521" t="s">
        <v>1837</v>
      </c>
    </row>
    <row r="522" spans="1:14" hidden="1" x14ac:dyDescent="0.25">
      <c r="A522" t="s">
        <v>1313</v>
      </c>
      <c r="B522" t="s">
        <v>1327</v>
      </c>
      <c r="C522" t="s">
        <v>1890</v>
      </c>
      <c r="D522" t="s">
        <v>129</v>
      </c>
      <c r="F522">
        <v>192</v>
      </c>
      <c r="G522">
        <v>4</v>
      </c>
      <c r="H522" s="89">
        <v>46064</v>
      </c>
      <c r="I522" s="89">
        <v>46066</v>
      </c>
      <c r="N522" t="s">
        <v>1837</v>
      </c>
    </row>
    <row r="523" spans="1:14" hidden="1" x14ac:dyDescent="0.25">
      <c r="A523" t="s">
        <v>1427</v>
      </c>
      <c r="B523" t="s">
        <v>1428</v>
      </c>
      <c r="C523" t="s">
        <v>1891</v>
      </c>
      <c r="D523" t="s">
        <v>20</v>
      </c>
      <c r="F523">
        <v>756</v>
      </c>
      <c r="G523">
        <v>14</v>
      </c>
      <c r="H523" s="89">
        <v>46064</v>
      </c>
      <c r="I523" s="89">
        <v>46066</v>
      </c>
      <c r="J523" t="s">
        <v>1892</v>
      </c>
      <c r="N523" t="s">
        <v>1837</v>
      </c>
    </row>
    <row r="524" spans="1:14" hidden="1" x14ac:dyDescent="0.25">
      <c r="A524" t="s">
        <v>1322</v>
      </c>
      <c r="B524" t="s">
        <v>1336</v>
      </c>
      <c r="C524" t="s">
        <v>1891</v>
      </c>
      <c r="D524" t="s">
        <v>20</v>
      </c>
      <c r="F524">
        <v>324</v>
      </c>
      <c r="G524">
        <v>6</v>
      </c>
      <c r="H524" s="89">
        <v>46064</v>
      </c>
      <c r="I524" s="89">
        <v>46066</v>
      </c>
      <c r="J524" t="s">
        <v>1892</v>
      </c>
      <c r="N524" t="s">
        <v>1837</v>
      </c>
    </row>
    <row r="525" spans="1:14" hidden="1" x14ac:dyDescent="0.25">
      <c r="A525" t="s">
        <v>1315</v>
      </c>
      <c r="B525" t="s">
        <v>1329</v>
      </c>
      <c r="C525" t="s">
        <v>1891</v>
      </c>
      <c r="D525" t="s">
        <v>20</v>
      </c>
      <c r="F525">
        <v>160</v>
      </c>
      <c r="G525" t="s">
        <v>1419</v>
      </c>
      <c r="H525" s="89">
        <v>46064</v>
      </c>
      <c r="I525" s="89">
        <v>46066</v>
      </c>
      <c r="N525" t="s">
        <v>1837</v>
      </c>
    </row>
    <row r="526" spans="1:14" hidden="1" x14ac:dyDescent="0.25">
      <c r="A526" t="s">
        <v>1316</v>
      </c>
      <c r="B526" t="s">
        <v>1330</v>
      </c>
      <c r="C526" t="s">
        <v>1893</v>
      </c>
      <c r="D526" t="s">
        <v>20</v>
      </c>
      <c r="F526">
        <v>104</v>
      </c>
      <c r="G526" t="s">
        <v>1419</v>
      </c>
      <c r="H526" s="89">
        <v>46064</v>
      </c>
      <c r="I526" s="89">
        <v>46066</v>
      </c>
      <c r="N526" t="s">
        <v>1837</v>
      </c>
    </row>
    <row r="527" spans="1:14" hidden="1" x14ac:dyDescent="0.25">
      <c r="A527" t="s">
        <v>1317</v>
      </c>
      <c r="B527" t="s">
        <v>1331</v>
      </c>
      <c r="C527" t="s">
        <v>1894</v>
      </c>
      <c r="D527" t="s">
        <v>20</v>
      </c>
      <c r="F527">
        <v>9</v>
      </c>
      <c r="G527" t="s">
        <v>1419</v>
      </c>
      <c r="H527" s="89">
        <v>46064</v>
      </c>
      <c r="I527" s="89">
        <v>46066</v>
      </c>
      <c r="N527" t="s">
        <v>1837</v>
      </c>
    </row>
    <row r="528" spans="1:14" hidden="1" x14ac:dyDescent="0.25">
      <c r="A528" t="s">
        <v>1318</v>
      </c>
      <c r="B528" t="s">
        <v>1332</v>
      </c>
      <c r="C528" t="s">
        <v>1895</v>
      </c>
      <c r="D528" t="s">
        <v>20</v>
      </c>
      <c r="F528">
        <v>37</v>
      </c>
      <c r="G528" t="s">
        <v>1419</v>
      </c>
      <c r="H528" s="89">
        <v>46064</v>
      </c>
      <c r="I528" s="89">
        <v>46066</v>
      </c>
      <c r="N528" t="s">
        <v>1837</v>
      </c>
    </row>
    <row r="529" spans="1:14" hidden="1" x14ac:dyDescent="0.25">
      <c r="A529" t="s">
        <v>1313</v>
      </c>
      <c r="B529" t="s">
        <v>1327</v>
      </c>
      <c r="C529" t="s">
        <v>1888</v>
      </c>
      <c r="D529" t="s">
        <v>23</v>
      </c>
      <c r="F529">
        <v>816</v>
      </c>
      <c r="G529">
        <v>17</v>
      </c>
      <c r="H529" s="89">
        <v>46064</v>
      </c>
      <c r="I529" s="89">
        <v>46065</v>
      </c>
      <c r="N529" t="s">
        <v>1837</v>
      </c>
    </row>
    <row r="530" spans="1:14" hidden="1" x14ac:dyDescent="0.25">
      <c r="A530" t="s">
        <v>1313</v>
      </c>
      <c r="B530" t="s">
        <v>1327</v>
      </c>
      <c r="C530" t="s">
        <v>1896</v>
      </c>
      <c r="D530" t="s">
        <v>23</v>
      </c>
      <c r="F530">
        <v>1008</v>
      </c>
      <c r="G530">
        <v>21</v>
      </c>
      <c r="H530" s="89">
        <v>46065</v>
      </c>
      <c r="I530" s="89">
        <v>46069</v>
      </c>
      <c r="J530" t="s">
        <v>1889</v>
      </c>
      <c r="N530" t="s">
        <v>1837</v>
      </c>
    </row>
    <row r="531" spans="1:14" hidden="1" x14ac:dyDescent="0.25">
      <c r="A531" t="s">
        <v>1313</v>
      </c>
      <c r="B531" t="s">
        <v>1327</v>
      </c>
      <c r="C531" t="s">
        <v>1897</v>
      </c>
      <c r="D531" t="s">
        <v>15</v>
      </c>
      <c r="F531">
        <v>5</v>
      </c>
      <c r="G531">
        <v>0.10416666666666669</v>
      </c>
      <c r="H531" s="89">
        <v>46065</v>
      </c>
      <c r="I531" s="89">
        <v>46069</v>
      </c>
      <c r="J531" t="s">
        <v>1880</v>
      </c>
      <c r="N531" t="s">
        <v>1837</v>
      </c>
    </row>
    <row r="532" spans="1:14" hidden="1" x14ac:dyDescent="0.25">
      <c r="A532" t="s">
        <v>1314</v>
      </c>
      <c r="B532" t="s">
        <v>1328</v>
      </c>
      <c r="C532" t="s">
        <v>1897</v>
      </c>
      <c r="D532" t="s">
        <v>15</v>
      </c>
      <c r="F532">
        <v>336</v>
      </c>
      <c r="G532">
        <v>7</v>
      </c>
      <c r="H532" s="89">
        <v>46065</v>
      </c>
      <c r="I532" s="89">
        <v>46069</v>
      </c>
      <c r="J532" t="s">
        <v>1898</v>
      </c>
      <c r="N532" t="s">
        <v>1837</v>
      </c>
    </row>
    <row r="533" spans="1:14" hidden="1" x14ac:dyDescent="0.25">
      <c r="A533" t="s">
        <v>1313</v>
      </c>
      <c r="B533" t="s">
        <v>1327</v>
      </c>
      <c r="C533" t="s">
        <v>1897</v>
      </c>
      <c r="D533" t="s">
        <v>15</v>
      </c>
      <c r="F533">
        <v>480</v>
      </c>
      <c r="G533">
        <v>10</v>
      </c>
      <c r="H533" s="89">
        <v>46065</v>
      </c>
      <c r="I533" s="89">
        <v>46067</v>
      </c>
      <c r="N533" t="s">
        <v>1837</v>
      </c>
    </row>
    <row r="534" spans="1:14" hidden="1" x14ac:dyDescent="0.25">
      <c r="A534" t="s">
        <v>1444</v>
      </c>
      <c r="B534" t="s">
        <v>1445</v>
      </c>
      <c r="C534" t="s">
        <v>1897</v>
      </c>
      <c r="D534" t="s">
        <v>15</v>
      </c>
      <c r="F534">
        <v>136</v>
      </c>
      <c r="G534">
        <v>1</v>
      </c>
      <c r="H534" s="89">
        <v>46065</v>
      </c>
      <c r="I534" s="89">
        <v>46067</v>
      </c>
      <c r="N534" t="s">
        <v>1837</v>
      </c>
    </row>
    <row r="535" spans="1:14" hidden="1" x14ac:dyDescent="0.25">
      <c r="A535" t="s">
        <v>1315</v>
      </c>
      <c r="B535" t="s">
        <v>1329</v>
      </c>
      <c r="C535" t="s">
        <v>1897</v>
      </c>
      <c r="D535" t="s">
        <v>15</v>
      </c>
      <c r="F535">
        <v>38</v>
      </c>
      <c r="G535" t="s">
        <v>1419</v>
      </c>
      <c r="H535" s="89">
        <v>46065</v>
      </c>
      <c r="I535" s="89">
        <v>46067</v>
      </c>
      <c r="N535" t="s">
        <v>1837</v>
      </c>
    </row>
    <row r="536" spans="1:14" hidden="1" x14ac:dyDescent="0.25">
      <c r="A536" t="s">
        <v>1316</v>
      </c>
      <c r="B536" t="s">
        <v>1330</v>
      </c>
      <c r="C536" t="s">
        <v>1899</v>
      </c>
      <c r="D536" t="s">
        <v>15</v>
      </c>
      <c r="F536">
        <v>49</v>
      </c>
      <c r="G536" t="s">
        <v>1419</v>
      </c>
      <c r="H536" s="89">
        <v>46065</v>
      </c>
      <c r="I536" s="89">
        <v>46067</v>
      </c>
      <c r="N536" t="s">
        <v>1837</v>
      </c>
    </row>
    <row r="537" spans="1:14" hidden="1" x14ac:dyDescent="0.25">
      <c r="A537" t="s">
        <v>1317</v>
      </c>
      <c r="B537" t="s">
        <v>1331</v>
      </c>
      <c r="C537" t="s">
        <v>1900</v>
      </c>
      <c r="D537" t="s">
        <v>15</v>
      </c>
      <c r="F537">
        <v>14</v>
      </c>
      <c r="G537" t="s">
        <v>1419</v>
      </c>
      <c r="H537" s="89">
        <v>46065</v>
      </c>
      <c r="I537" s="89">
        <v>46067</v>
      </c>
      <c r="N537" t="s">
        <v>1837</v>
      </c>
    </row>
    <row r="538" spans="1:14" hidden="1" x14ac:dyDescent="0.25">
      <c r="A538" t="s">
        <v>1318</v>
      </c>
      <c r="B538" t="s">
        <v>1332</v>
      </c>
      <c r="C538" t="s">
        <v>1901</v>
      </c>
      <c r="D538" t="s">
        <v>15</v>
      </c>
      <c r="F538">
        <v>8</v>
      </c>
      <c r="G538" t="s">
        <v>1419</v>
      </c>
      <c r="H538" s="89">
        <v>46065</v>
      </c>
      <c r="I538" s="89">
        <v>46067</v>
      </c>
      <c r="N538" t="s">
        <v>1837</v>
      </c>
    </row>
    <row r="539" spans="1:14" hidden="1" x14ac:dyDescent="0.25">
      <c r="A539" t="s">
        <v>1313</v>
      </c>
      <c r="B539" t="s">
        <v>1327</v>
      </c>
      <c r="C539" t="s">
        <v>1902</v>
      </c>
      <c r="D539" t="s">
        <v>21</v>
      </c>
      <c r="F539">
        <v>288</v>
      </c>
      <c r="G539">
        <v>6</v>
      </c>
      <c r="H539" s="89">
        <v>46065</v>
      </c>
      <c r="I539" s="89">
        <v>46068</v>
      </c>
      <c r="N539" t="s">
        <v>1837</v>
      </c>
    </row>
    <row r="540" spans="1:14" hidden="1" x14ac:dyDescent="0.25">
      <c r="A540" t="s">
        <v>1313</v>
      </c>
      <c r="B540" t="s">
        <v>1327</v>
      </c>
      <c r="C540" t="s">
        <v>1902</v>
      </c>
      <c r="D540" t="s">
        <v>21</v>
      </c>
      <c r="F540">
        <v>1152</v>
      </c>
      <c r="G540">
        <v>24</v>
      </c>
      <c r="H540" s="89">
        <v>46065</v>
      </c>
      <c r="I540" s="89">
        <v>46068</v>
      </c>
      <c r="J540" t="s">
        <v>1903</v>
      </c>
      <c r="N540" t="s">
        <v>1837</v>
      </c>
    </row>
    <row r="541" spans="1:14" hidden="1" x14ac:dyDescent="0.25">
      <c r="A541" t="s">
        <v>1315</v>
      </c>
      <c r="B541" t="s">
        <v>1329</v>
      </c>
      <c r="C541" t="s">
        <v>1902</v>
      </c>
      <c r="D541" t="s">
        <v>21</v>
      </c>
      <c r="F541">
        <v>57</v>
      </c>
      <c r="G541" t="s">
        <v>1419</v>
      </c>
      <c r="H541" s="89">
        <v>46065</v>
      </c>
      <c r="I541" s="89">
        <v>46067</v>
      </c>
      <c r="N541" t="s">
        <v>1837</v>
      </c>
    </row>
    <row r="542" spans="1:14" hidden="1" x14ac:dyDescent="0.25">
      <c r="A542" t="s">
        <v>1316</v>
      </c>
      <c r="B542" t="s">
        <v>1330</v>
      </c>
      <c r="C542" t="s">
        <v>1904</v>
      </c>
      <c r="D542" t="s">
        <v>21</v>
      </c>
      <c r="F542">
        <v>25</v>
      </c>
      <c r="G542" t="s">
        <v>1419</v>
      </c>
      <c r="H542" s="89">
        <v>46065</v>
      </c>
      <c r="I542" s="89">
        <v>46067</v>
      </c>
      <c r="N542" t="s">
        <v>1837</v>
      </c>
    </row>
    <row r="543" spans="1:14" hidden="1" x14ac:dyDescent="0.25">
      <c r="A543" t="s">
        <v>1317</v>
      </c>
      <c r="B543" t="s">
        <v>1331</v>
      </c>
      <c r="C543" t="s">
        <v>1905</v>
      </c>
      <c r="D543" t="s">
        <v>21</v>
      </c>
      <c r="F543">
        <v>27</v>
      </c>
      <c r="G543" t="s">
        <v>1419</v>
      </c>
      <c r="H543" s="89">
        <v>46065</v>
      </c>
      <c r="I543" s="89">
        <v>46067</v>
      </c>
      <c r="N543" t="s">
        <v>1837</v>
      </c>
    </row>
    <row r="544" spans="1:14" hidden="1" x14ac:dyDescent="0.25">
      <c r="A544" t="s">
        <v>1318</v>
      </c>
      <c r="B544" t="s">
        <v>1332</v>
      </c>
      <c r="C544" t="s">
        <v>1906</v>
      </c>
      <c r="D544" t="s">
        <v>21</v>
      </c>
      <c r="F544">
        <v>69</v>
      </c>
      <c r="G544" t="s">
        <v>1419</v>
      </c>
      <c r="H544" s="89">
        <v>46065</v>
      </c>
      <c r="I544" s="89">
        <v>46067</v>
      </c>
      <c r="N544" t="s">
        <v>1837</v>
      </c>
    </row>
    <row r="545" spans="1:14" hidden="1" x14ac:dyDescent="0.25">
      <c r="A545" t="s">
        <v>1324</v>
      </c>
      <c r="B545" t="s">
        <v>1338</v>
      </c>
      <c r="C545" t="s">
        <v>1907</v>
      </c>
      <c r="D545" t="s">
        <v>97</v>
      </c>
      <c r="F545">
        <v>960</v>
      </c>
      <c r="G545">
        <v>20</v>
      </c>
      <c r="H545" s="89">
        <v>46065</v>
      </c>
      <c r="I545" s="89">
        <v>46071</v>
      </c>
      <c r="J545" t="s">
        <v>1863</v>
      </c>
      <c r="N545" t="s">
        <v>1837</v>
      </c>
    </row>
    <row r="546" spans="1:14" hidden="1" x14ac:dyDescent="0.25">
      <c r="A546" t="s">
        <v>1315</v>
      </c>
      <c r="B546" t="s">
        <v>1329</v>
      </c>
      <c r="C546" t="s">
        <v>1908</v>
      </c>
      <c r="D546" t="s">
        <v>20</v>
      </c>
      <c r="F546">
        <v>1300</v>
      </c>
      <c r="G546" t="s">
        <v>1419</v>
      </c>
      <c r="H546" s="89">
        <v>46065</v>
      </c>
      <c r="I546" s="89">
        <v>46069</v>
      </c>
      <c r="N546" t="s">
        <v>1837</v>
      </c>
    </row>
    <row r="547" spans="1:14" hidden="1" x14ac:dyDescent="0.25">
      <c r="A547" t="s">
        <v>1316</v>
      </c>
      <c r="B547" t="s">
        <v>1330</v>
      </c>
      <c r="C547" t="s">
        <v>1909</v>
      </c>
      <c r="D547" t="s">
        <v>20</v>
      </c>
      <c r="F547">
        <v>145</v>
      </c>
      <c r="G547" t="s">
        <v>1419</v>
      </c>
      <c r="H547" s="89">
        <v>46065</v>
      </c>
      <c r="I547" s="89">
        <v>46067</v>
      </c>
      <c r="N547" t="s">
        <v>1837</v>
      </c>
    </row>
    <row r="548" spans="1:14" hidden="1" x14ac:dyDescent="0.25">
      <c r="A548" t="s">
        <v>1317</v>
      </c>
      <c r="B548" t="s">
        <v>1331</v>
      </c>
      <c r="C548" t="s">
        <v>1910</v>
      </c>
      <c r="D548" t="s">
        <v>20</v>
      </c>
      <c r="F548">
        <v>14</v>
      </c>
      <c r="G548" t="s">
        <v>1419</v>
      </c>
      <c r="H548" s="89">
        <v>46065</v>
      </c>
      <c r="I548" s="89">
        <v>46067</v>
      </c>
      <c r="N548" t="s">
        <v>1837</v>
      </c>
    </row>
    <row r="549" spans="1:14" hidden="1" x14ac:dyDescent="0.25">
      <c r="A549" t="s">
        <v>1318</v>
      </c>
      <c r="B549" t="s">
        <v>1332</v>
      </c>
      <c r="C549" t="s">
        <v>1911</v>
      </c>
      <c r="D549" t="s">
        <v>20</v>
      </c>
      <c r="F549">
        <v>58</v>
      </c>
      <c r="G549" t="s">
        <v>1419</v>
      </c>
      <c r="H549" s="89">
        <v>46065</v>
      </c>
      <c r="I549" s="89">
        <v>46067</v>
      </c>
      <c r="N549" t="s">
        <v>1837</v>
      </c>
    </row>
    <row r="550" spans="1:14" hidden="1" x14ac:dyDescent="0.25">
      <c r="A550" t="s">
        <v>1324</v>
      </c>
      <c r="B550" t="s">
        <v>1338</v>
      </c>
      <c r="C550" t="s">
        <v>1912</v>
      </c>
      <c r="D550" t="s">
        <v>23</v>
      </c>
      <c r="F550">
        <v>960</v>
      </c>
      <c r="G550">
        <v>20</v>
      </c>
      <c r="H550" s="89">
        <v>46066</v>
      </c>
      <c r="I550" s="89">
        <v>46070</v>
      </c>
      <c r="N550" t="s">
        <v>1837</v>
      </c>
    </row>
    <row r="551" spans="1:14" hidden="1" x14ac:dyDescent="0.25">
      <c r="A551" t="s">
        <v>1315</v>
      </c>
      <c r="B551" t="s">
        <v>1329</v>
      </c>
      <c r="C551" t="s">
        <v>1913</v>
      </c>
      <c r="D551" t="s">
        <v>15</v>
      </c>
      <c r="F551">
        <v>984</v>
      </c>
      <c r="G551" t="s">
        <v>1419</v>
      </c>
      <c r="H551" s="89">
        <v>46066</v>
      </c>
      <c r="I551" s="89">
        <v>46070</v>
      </c>
      <c r="N551" t="s">
        <v>1837</v>
      </c>
    </row>
    <row r="552" spans="1:14" hidden="1" x14ac:dyDescent="0.25">
      <c r="A552" t="s">
        <v>1314</v>
      </c>
      <c r="B552" t="s">
        <v>1328</v>
      </c>
      <c r="C552" t="s">
        <v>1913</v>
      </c>
      <c r="D552" t="s">
        <v>15</v>
      </c>
      <c r="F552">
        <v>336</v>
      </c>
      <c r="G552">
        <v>7</v>
      </c>
      <c r="H552" s="89">
        <v>46066</v>
      </c>
      <c r="I552" s="89">
        <v>46071</v>
      </c>
      <c r="J552" t="s">
        <v>1914</v>
      </c>
      <c r="N552" t="s">
        <v>1837</v>
      </c>
    </row>
    <row r="553" spans="1:14" hidden="1" x14ac:dyDescent="0.25">
      <c r="A553" t="s">
        <v>1316</v>
      </c>
      <c r="B553" t="s">
        <v>1330</v>
      </c>
      <c r="C553" t="s">
        <v>1915</v>
      </c>
      <c r="D553" t="s">
        <v>15</v>
      </c>
      <c r="F553">
        <v>34</v>
      </c>
      <c r="G553" t="s">
        <v>1419</v>
      </c>
      <c r="H553" s="89">
        <v>46066</v>
      </c>
      <c r="I553" s="89">
        <v>46068</v>
      </c>
      <c r="N553" t="s">
        <v>1837</v>
      </c>
    </row>
    <row r="554" spans="1:14" hidden="1" x14ac:dyDescent="0.25">
      <c r="A554" t="s">
        <v>1317</v>
      </c>
      <c r="B554" t="s">
        <v>1331</v>
      </c>
      <c r="C554" t="s">
        <v>1916</v>
      </c>
      <c r="D554" t="s">
        <v>15</v>
      </c>
      <c r="F554">
        <v>15</v>
      </c>
      <c r="G554" t="s">
        <v>1419</v>
      </c>
      <c r="H554" s="89">
        <v>46066</v>
      </c>
      <c r="I554" s="89">
        <v>46068</v>
      </c>
      <c r="N554" t="s">
        <v>1837</v>
      </c>
    </row>
    <row r="555" spans="1:14" hidden="1" x14ac:dyDescent="0.25">
      <c r="A555" t="s">
        <v>1318</v>
      </c>
      <c r="B555" t="s">
        <v>1332</v>
      </c>
      <c r="C555" t="s">
        <v>1917</v>
      </c>
      <c r="D555" t="s">
        <v>15</v>
      </c>
      <c r="F555">
        <v>26</v>
      </c>
      <c r="G555" t="s">
        <v>1419</v>
      </c>
      <c r="H555" s="89">
        <v>46066</v>
      </c>
      <c r="I555" s="89">
        <v>46068</v>
      </c>
      <c r="N555" t="s">
        <v>1837</v>
      </c>
    </row>
    <row r="556" spans="1:14" hidden="1" x14ac:dyDescent="0.25">
      <c r="A556" t="s">
        <v>1313</v>
      </c>
      <c r="B556" t="s">
        <v>1327</v>
      </c>
      <c r="C556" t="s">
        <v>1918</v>
      </c>
      <c r="D556" t="s">
        <v>21</v>
      </c>
      <c r="F556">
        <v>816</v>
      </c>
      <c r="G556">
        <v>17</v>
      </c>
      <c r="H556" s="89">
        <v>46066</v>
      </c>
      <c r="I556" s="89">
        <v>46071</v>
      </c>
      <c r="J556" t="s">
        <v>1919</v>
      </c>
      <c r="N556" t="s">
        <v>1837</v>
      </c>
    </row>
    <row r="557" spans="1:14" hidden="1" x14ac:dyDescent="0.25">
      <c r="A557" t="s">
        <v>1313</v>
      </c>
      <c r="B557" t="s">
        <v>1327</v>
      </c>
      <c r="C557" t="s">
        <v>1918</v>
      </c>
      <c r="D557" t="s">
        <v>21</v>
      </c>
      <c r="F557">
        <v>144</v>
      </c>
      <c r="G557">
        <v>3</v>
      </c>
      <c r="H557" s="89">
        <v>46066</v>
      </c>
      <c r="I557" s="89">
        <v>46068</v>
      </c>
      <c r="N557" t="s">
        <v>1837</v>
      </c>
    </row>
    <row r="558" spans="1:14" hidden="1" x14ac:dyDescent="0.25">
      <c r="A558" t="s">
        <v>1324</v>
      </c>
      <c r="B558" t="s">
        <v>1338</v>
      </c>
      <c r="C558" t="s">
        <v>1918</v>
      </c>
      <c r="D558" t="s">
        <v>21</v>
      </c>
      <c r="F558">
        <v>48</v>
      </c>
      <c r="G558">
        <v>1</v>
      </c>
      <c r="H558" s="89">
        <v>46066</v>
      </c>
      <c r="I558" s="89">
        <v>46068</v>
      </c>
      <c r="N558" t="s">
        <v>1837</v>
      </c>
    </row>
    <row r="559" spans="1:14" hidden="1" x14ac:dyDescent="0.25">
      <c r="A559" t="s">
        <v>1315</v>
      </c>
      <c r="B559" t="s">
        <v>1329</v>
      </c>
      <c r="C559" t="s">
        <v>1918</v>
      </c>
      <c r="D559" t="s">
        <v>21</v>
      </c>
      <c r="F559">
        <v>29</v>
      </c>
      <c r="G559" t="s">
        <v>1419</v>
      </c>
      <c r="H559" s="89">
        <v>46066</v>
      </c>
      <c r="I559" s="89">
        <v>46068</v>
      </c>
      <c r="N559" t="s">
        <v>1837</v>
      </c>
    </row>
    <row r="560" spans="1:14" hidden="1" x14ac:dyDescent="0.25">
      <c r="A560" t="s">
        <v>1316</v>
      </c>
      <c r="B560" t="s">
        <v>1330</v>
      </c>
      <c r="C560" t="s">
        <v>1920</v>
      </c>
      <c r="D560" t="s">
        <v>21</v>
      </c>
      <c r="F560">
        <v>36</v>
      </c>
      <c r="G560" t="s">
        <v>1419</v>
      </c>
      <c r="H560" s="89">
        <v>46066</v>
      </c>
      <c r="I560" s="89">
        <v>46068</v>
      </c>
      <c r="N560" t="s">
        <v>1837</v>
      </c>
    </row>
    <row r="561" spans="1:14" hidden="1" x14ac:dyDescent="0.25">
      <c r="A561" t="s">
        <v>1317</v>
      </c>
      <c r="B561" t="s">
        <v>1331</v>
      </c>
      <c r="C561" t="s">
        <v>1921</v>
      </c>
      <c r="D561" t="s">
        <v>21</v>
      </c>
      <c r="F561">
        <v>23</v>
      </c>
      <c r="G561" t="s">
        <v>1419</v>
      </c>
      <c r="H561" s="89">
        <v>46066</v>
      </c>
      <c r="I561" s="89">
        <v>46068</v>
      </c>
      <c r="N561" t="s">
        <v>1837</v>
      </c>
    </row>
    <row r="562" spans="1:14" hidden="1" x14ac:dyDescent="0.25">
      <c r="A562" t="s">
        <v>1318</v>
      </c>
      <c r="B562" t="s">
        <v>1332</v>
      </c>
      <c r="C562" t="s">
        <v>1922</v>
      </c>
      <c r="D562" t="s">
        <v>21</v>
      </c>
      <c r="F562">
        <v>45</v>
      </c>
      <c r="G562" t="s">
        <v>1419</v>
      </c>
      <c r="H562" s="89">
        <v>46066</v>
      </c>
      <c r="I562" s="89">
        <v>46068</v>
      </c>
      <c r="N562" t="s">
        <v>1837</v>
      </c>
    </row>
    <row r="563" spans="1:14" hidden="1" x14ac:dyDescent="0.25">
      <c r="A563" t="s">
        <v>1324</v>
      </c>
      <c r="B563" t="s">
        <v>1338</v>
      </c>
      <c r="C563" t="s">
        <v>1923</v>
      </c>
      <c r="D563" t="s">
        <v>97</v>
      </c>
      <c r="F563">
        <v>960</v>
      </c>
      <c r="G563">
        <v>20</v>
      </c>
      <c r="H563" s="89">
        <v>46067</v>
      </c>
      <c r="I563" s="89">
        <v>46074</v>
      </c>
      <c r="J563" t="s">
        <v>1924</v>
      </c>
      <c r="N563" t="s">
        <v>1837</v>
      </c>
    </row>
    <row r="564" spans="1:14" hidden="1" x14ac:dyDescent="0.25">
      <c r="A564" t="s">
        <v>1324</v>
      </c>
      <c r="B564" t="s">
        <v>1338</v>
      </c>
      <c r="C564" t="s">
        <v>1925</v>
      </c>
      <c r="D564" t="s">
        <v>23</v>
      </c>
      <c r="F564">
        <v>960</v>
      </c>
      <c r="G564">
        <v>20</v>
      </c>
      <c r="H564" s="89">
        <v>46067</v>
      </c>
      <c r="I564" s="89">
        <v>46074</v>
      </c>
      <c r="J564" t="s">
        <v>1924</v>
      </c>
      <c r="N564" t="s">
        <v>1837</v>
      </c>
    </row>
    <row r="565" spans="1:14" hidden="1" x14ac:dyDescent="0.25">
      <c r="A565" t="s">
        <v>1313</v>
      </c>
      <c r="B565" t="s">
        <v>1327</v>
      </c>
      <c r="C565" t="s">
        <v>1926</v>
      </c>
      <c r="D565" t="s">
        <v>21</v>
      </c>
      <c r="F565">
        <v>1152</v>
      </c>
      <c r="G565">
        <v>24</v>
      </c>
      <c r="H565" s="89">
        <v>46069</v>
      </c>
      <c r="I565" s="89">
        <v>46072</v>
      </c>
      <c r="J565" t="s">
        <v>1927</v>
      </c>
      <c r="N565" t="s">
        <v>1928</v>
      </c>
    </row>
    <row r="566" spans="1:14" hidden="1" x14ac:dyDescent="0.25">
      <c r="A566" t="s">
        <v>1313</v>
      </c>
      <c r="B566" t="s">
        <v>1327</v>
      </c>
      <c r="C566" t="s">
        <v>1926</v>
      </c>
      <c r="D566" t="s">
        <v>21</v>
      </c>
      <c r="F566">
        <v>96</v>
      </c>
      <c r="G566">
        <v>2</v>
      </c>
      <c r="H566" s="89">
        <v>46069</v>
      </c>
      <c r="I566" s="89">
        <v>46073</v>
      </c>
      <c r="J566" t="s">
        <v>1929</v>
      </c>
      <c r="N566" t="s">
        <v>1928</v>
      </c>
    </row>
    <row r="567" spans="1:14" hidden="1" x14ac:dyDescent="0.25">
      <c r="A567" t="s">
        <v>1315</v>
      </c>
      <c r="B567" t="s">
        <v>1329</v>
      </c>
      <c r="C567" t="s">
        <v>1926</v>
      </c>
      <c r="D567" t="s">
        <v>21</v>
      </c>
      <c r="F567">
        <v>38</v>
      </c>
      <c r="G567">
        <v>2</v>
      </c>
      <c r="H567" s="89">
        <v>46069</v>
      </c>
      <c r="I567" s="89">
        <v>46073</v>
      </c>
      <c r="N567" t="s">
        <v>1928</v>
      </c>
    </row>
    <row r="568" spans="1:14" hidden="1" x14ac:dyDescent="0.25">
      <c r="A568" t="s">
        <v>1444</v>
      </c>
      <c r="B568" t="s">
        <v>1445</v>
      </c>
      <c r="C568" t="s">
        <v>1926</v>
      </c>
      <c r="D568" t="s">
        <v>21</v>
      </c>
      <c r="F568">
        <v>156</v>
      </c>
      <c r="G568">
        <v>1</v>
      </c>
      <c r="H568" s="89">
        <v>46069</v>
      </c>
      <c r="I568" s="89">
        <v>46071</v>
      </c>
      <c r="N568" t="s">
        <v>1928</v>
      </c>
    </row>
    <row r="569" spans="1:14" hidden="1" x14ac:dyDescent="0.25">
      <c r="A569" t="s">
        <v>1316</v>
      </c>
      <c r="B569" t="s">
        <v>1330</v>
      </c>
      <c r="C569" t="s">
        <v>1930</v>
      </c>
      <c r="D569" t="s">
        <v>21</v>
      </c>
      <c r="F569">
        <v>45</v>
      </c>
      <c r="G569" t="s">
        <v>1419</v>
      </c>
      <c r="H569" s="89">
        <v>46069</v>
      </c>
      <c r="I569" s="89">
        <v>46073</v>
      </c>
      <c r="N569" t="s">
        <v>1928</v>
      </c>
    </row>
    <row r="570" spans="1:14" hidden="1" x14ac:dyDescent="0.25">
      <c r="A570" t="s">
        <v>1317</v>
      </c>
      <c r="B570" t="s">
        <v>1331</v>
      </c>
      <c r="C570" t="s">
        <v>1931</v>
      </c>
      <c r="D570" t="s">
        <v>21</v>
      </c>
      <c r="F570">
        <v>29</v>
      </c>
      <c r="G570" t="s">
        <v>1419</v>
      </c>
      <c r="H570" s="89">
        <v>46069</v>
      </c>
      <c r="I570" s="89">
        <v>46073</v>
      </c>
      <c r="N570" t="s">
        <v>1928</v>
      </c>
    </row>
    <row r="571" spans="1:14" hidden="1" x14ac:dyDescent="0.25">
      <c r="A571" t="s">
        <v>1318</v>
      </c>
      <c r="B571" t="s">
        <v>1332</v>
      </c>
      <c r="C571" t="s">
        <v>1932</v>
      </c>
      <c r="D571" t="s">
        <v>21</v>
      </c>
      <c r="F571">
        <v>68</v>
      </c>
      <c r="G571" t="s">
        <v>1419</v>
      </c>
      <c r="H571" s="89">
        <v>46069</v>
      </c>
      <c r="I571" s="89">
        <v>46073</v>
      </c>
      <c r="N571" t="s">
        <v>1928</v>
      </c>
    </row>
    <row r="572" spans="1:14" hidden="1" x14ac:dyDescent="0.25">
      <c r="A572" t="s">
        <v>1324</v>
      </c>
      <c r="B572" t="s">
        <v>1338</v>
      </c>
      <c r="C572" t="s">
        <v>1933</v>
      </c>
      <c r="D572" t="s">
        <v>13</v>
      </c>
      <c r="F572">
        <v>624</v>
      </c>
      <c r="G572">
        <v>13</v>
      </c>
      <c r="H572" s="89">
        <v>46069</v>
      </c>
      <c r="I572" s="89">
        <v>46077</v>
      </c>
      <c r="J572" t="s">
        <v>1934</v>
      </c>
      <c r="N572" t="s">
        <v>1928</v>
      </c>
    </row>
    <row r="573" spans="1:14" hidden="1" x14ac:dyDescent="0.25">
      <c r="A573" t="s">
        <v>1427</v>
      </c>
      <c r="B573" t="s">
        <v>1428</v>
      </c>
      <c r="C573" t="s">
        <v>1935</v>
      </c>
      <c r="D573" t="s">
        <v>20</v>
      </c>
      <c r="F573">
        <v>918</v>
      </c>
      <c r="G573">
        <v>17</v>
      </c>
      <c r="H573" s="89">
        <v>46069</v>
      </c>
      <c r="I573" s="89">
        <v>46072</v>
      </c>
      <c r="J573" t="s">
        <v>1936</v>
      </c>
      <c r="N573" t="s">
        <v>1928</v>
      </c>
    </row>
    <row r="574" spans="1:14" hidden="1" x14ac:dyDescent="0.25">
      <c r="A574" t="s">
        <v>1322</v>
      </c>
      <c r="B574" t="s">
        <v>1336</v>
      </c>
      <c r="C574" t="s">
        <v>1935</v>
      </c>
      <c r="D574" t="s">
        <v>20</v>
      </c>
      <c r="F574">
        <v>162</v>
      </c>
      <c r="G574">
        <v>3</v>
      </c>
      <c r="H574" s="89">
        <v>46069</v>
      </c>
      <c r="I574" s="89">
        <v>46072</v>
      </c>
      <c r="J574" t="s">
        <v>1936</v>
      </c>
      <c r="N574" t="s">
        <v>1928</v>
      </c>
    </row>
    <row r="575" spans="1:14" hidden="1" x14ac:dyDescent="0.25">
      <c r="A575" t="s">
        <v>1315</v>
      </c>
      <c r="B575" t="s">
        <v>1329</v>
      </c>
      <c r="C575" t="s">
        <v>1935</v>
      </c>
      <c r="D575" t="s">
        <v>20</v>
      </c>
      <c r="F575">
        <v>377</v>
      </c>
      <c r="G575" t="s">
        <v>1419</v>
      </c>
      <c r="H575" s="89">
        <v>46069</v>
      </c>
      <c r="I575" s="89">
        <v>46073</v>
      </c>
      <c r="N575" t="s">
        <v>1928</v>
      </c>
    </row>
    <row r="576" spans="1:14" hidden="1" x14ac:dyDescent="0.25">
      <c r="A576" t="s">
        <v>1316</v>
      </c>
      <c r="B576" t="s">
        <v>1330</v>
      </c>
      <c r="C576" t="s">
        <v>1937</v>
      </c>
      <c r="D576" t="s">
        <v>20</v>
      </c>
      <c r="F576">
        <v>141</v>
      </c>
      <c r="G576" t="s">
        <v>1419</v>
      </c>
      <c r="H576" s="89">
        <v>46069</v>
      </c>
      <c r="I576" s="89">
        <v>46073</v>
      </c>
      <c r="N576" t="s">
        <v>1928</v>
      </c>
    </row>
    <row r="577" spans="1:14" hidden="1" x14ac:dyDescent="0.25">
      <c r="A577" t="s">
        <v>1317</v>
      </c>
      <c r="B577" t="s">
        <v>1331</v>
      </c>
      <c r="C577" t="s">
        <v>1938</v>
      </c>
      <c r="D577" t="s">
        <v>20</v>
      </c>
      <c r="F577">
        <v>6</v>
      </c>
      <c r="G577" t="s">
        <v>1419</v>
      </c>
      <c r="H577" s="89">
        <v>46069</v>
      </c>
      <c r="I577" s="89">
        <v>46073</v>
      </c>
      <c r="N577" t="s">
        <v>1928</v>
      </c>
    </row>
    <row r="578" spans="1:14" hidden="1" x14ac:dyDescent="0.25">
      <c r="A578" t="s">
        <v>1318</v>
      </c>
      <c r="B578" t="s">
        <v>1332</v>
      </c>
      <c r="C578" t="s">
        <v>1939</v>
      </c>
      <c r="D578" t="s">
        <v>20</v>
      </c>
      <c r="F578">
        <v>53</v>
      </c>
      <c r="G578" t="s">
        <v>1419</v>
      </c>
      <c r="H578" s="89">
        <v>46069</v>
      </c>
      <c r="I578" s="89">
        <v>46073</v>
      </c>
      <c r="N578" t="s">
        <v>1928</v>
      </c>
    </row>
    <row r="579" spans="1:14" hidden="1" x14ac:dyDescent="0.25">
      <c r="A579" t="s">
        <v>1326</v>
      </c>
      <c r="B579" t="s">
        <v>1340</v>
      </c>
      <c r="C579" t="s">
        <v>1940</v>
      </c>
      <c r="D579" t="s">
        <v>32</v>
      </c>
      <c r="F579">
        <v>126</v>
      </c>
      <c r="G579">
        <v>3</v>
      </c>
      <c r="H579" s="89">
        <v>46069</v>
      </c>
      <c r="I579" s="89">
        <v>46073</v>
      </c>
      <c r="J579" t="s">
        <v>1941</v>
      </c>
      <c r="N579" t="s">
        <v>1928</v>
      </c>
    </row>
    <row r="580" spans="1:14" hidden="1" x14ac:dyDescent="0.25">
      <c r="A580" t="s">
        <v>1313</v>
      </c>
      <c r="B580" t="s">
        <v>1327</v>
      </c>
      <c r="C580" t="s">
        <v>1942</v>
      </c>
      <c r="D580" t="s">
        <v>21</v>
      </c>
      <c r="F580">
        <v>1056</v>
      </c>
      <c r="G580">
        <v>22</v>
      </c>
      <c r="H580" s="89">
        <v>46070</v>
      </c>
      <c r="I580" s="89">
        <v>46073</v>
      </c>
      <c r="J580" t="s">
        <v>1929</v>
      </c>
      <c r="N580" t="s">
        <v>1928</v>
      </c>
    </row>
    <row r="581" spans="1:14" hidden="1" x14ac:dyDescent="0.25">
      <c r="A581" t="s">
        <v>1313</v>
      </c>
      <c r="B581" t="s">
        <v>1327</v>
      </c>
      <c r="C581" t="s">
        <v>1942</v>
      </c>
      <c r="D581" t="s">
        <v>21</v>
      </c>
      <c r="F581">
        <v>192</v>
      </c>
      <c r="G581">
        <v>4</v>
      </c>
      <c r="H581" s="89">
        <v>46070</v>
      </c>
      <c r="I581" s="89">
        <v>46072</v>
      </c>
      <c r="N581" t="s">
        <v>1928</v>
      </c>
    </row>
    <row r="582" spans="1:14" hidden="1" x14ac:dyDescent="0.25">
      <c r="A582" t="s">
        <v>1315</v>
      </c>
      <c r="B582" t="s">
        <v>1329</v>
      </c>
      <c r="C582" t="s">
        <v>1942</v>
      </c>
      <c r="D582" t="s">
        <v>21</v>
      </c>
      <c r="F582">
        <v>20</v>
      </c>
      <c r="G582" t="s">
        <v>1419</v>
      </c>
      <c r="H582" s="89">
        <v>46070</v>
      </c>
      <c r="I582" s="89">
        <v>46072</v>
      </c>
      <c r="N582" t="s">
        <v>1928</v>
      </c>
    </row>
    <row r="583" spans="1:14" hidden="1" x14ac:dyDescent="0.25">
      <c r="A583" t="s">
        <v>1444</v>
      </c>
      <c r="B583" t="s">
        <v>1445</v>
      </c>
      <c r="C583" t="s">
        <v>1942</v>
      </c>
      <c r="D583" t="s">
        <v>21</v>
      </c>
      <c r="F583">
        <v>108</v>
      </c>
      <c r="G583">
        <v>1</v>
      </c>
      <c r="H583" s="89">
        <v>46070</v>
      </c>
      <c r="I583" s="89">
        <v>46072</v>
      </c>
      <c r="N583" t="s">
        <v>1928</v>
      </c>
    </row>
    <row r="584" spans="1:14" hidden="1" x14ac:dyDescent="0.25">
      <c r="A584" t="s">
        <v>1316</v>
      </c>
      <c r="B584" t="s">
        <v>1330</v>
      </c>
      <c r="C584" t="s">
        <v>1943</v>
      </c>
      <c r="D584" t="s">
        <v>21</v>
      </c>
      <c r="F584">
        <v>52</v>
      </c>
      <c r="G584" t="s">
        <v>1419</v>
      </c>
      <c r="H584" s="89">
        <v>46070</v>
      </c>
      <c r="I584" s="89">
        <v>46073</v>
      </c>
      <c r="N584" t="s">
        <v>1928</v>
      </c>
    </row>
    <row r="585" spans="1:14" hidden="1" x14ac:dyDescent="0.25">
      <c r="A585" t="s">
        <v>1317</v>
      </c>
      <c r="B585" t="s">
        <v>1331</v>
      </c>
      <c r="C585" t="s">
        <v>1944</v>
      </c>
      <c r="D585" t="s">
        <v>21</v>
      </c>
      <c r="F585">
        <v>34</v>
      </c>
      <c r="G585" t="s">
        <v>1419</v>
      </c>
      <c r="H585" s="89">
        <v>46070</v>
      </c>
      <c r="I585" s="89">
        <v>46073</v>
      </c>
      <c r="N585" t="s">
        <v>1928</v>
      </c>
    </row>
    <row r="586" spans="1:14" hidden="1" x14ac:dyDescent="0.25">
      <c r="A586" t="s">
        <v>1318</v>
      </c>
      <c r="B586" t="s">
        <v>1332</v>
      </c>
      <c r="C586" t="s">
        <v>1945</v>
      </c>
      <c r="D586" t="s">
        <v>21</v>
      </c>
      <c r="F586">
        <v>62</v>
      </c>
      <c r="G586" t="s">
        <v>1419</v>
      </c>
      <c r="H586" s="89">
        <v>46070</v>
      </c>
      <c r="I586" s="89">
        <v>46073</v>
      </c>
      <c r="N586" t="s">
        <v>1928</v>
      </c>
    </row>
    <row r="587" spans="1:14" hidden="1" x14ac:dyDescent="0.25">
      <c r="A587" t="s">
        <v>1313</v>
      </c>
      <c r="B587" t="s">
        <v>1327</v>
      </c>
      <c r="C587" t="s">
        <v>1946</v>
      </c>
      <c r="D587" t="s">
        <v>15</v>
      </c>
      <c r="F587">
        <v>816</v>
      </c>
      <c r="G587">
        <v>17</v>
      </c>
      <c r="H587" s="89">
        <v>46070</v>
      </c>
      <c r="I587" s="89">
        <v>46073</v>
      </c>
      <c r="J587" t="s">
        <v>1947</v>
      </c>
      <c r="N587" t="s">
        <v>1928</v>
      </c>
    </row>
    <row r="588" spans="1:14" hidden="1" x14ac:dyDescent="0.25">
      <c r="A588" t="s">
        <v>1314</v>
      </c>
      <c r="B588" t="s">
        <v>1328</v>
      </c>
      <c r="C588" t="s">
        <v>1946</v>
      </c>
      <c r="D588" t="s">
        <v>15</v>
      </c>
      <c r="F588">
        <v>336</v>
      </c>
      <c r="G588">
        <v>7</v>
      </c>
      <c r="H588" s="89">
        <v>46070</v>
      </c>
      <c r="I588" s="89">
        <v>46073</v>
      </c>
      <c r="J588" t="s">
        <v>1948</v>
      </c>
      <c r="N588" t="s">
        <v>1928</v>
      </c>
    </row>
    <row r="589" spans="1:14" hidden="1" x14ac:dyDescent="0.25">
      <c r="A589" t="s">
        <v>1566</v>
      </c>
      <c r="B589" t="s">
        <v>1567</v>
      </c>
      <c r="C589" t="s">
        <v>1946</v>
      </c>
      <c r="D589" t="s">
        <v>15</v>
      </c>
      <c r="F589">
        <v>5</v>
      </c>
      <c r="G589">
        <v>0.10416666666666669</v>
      </c>
      <c r="H589" s="89">
        <v>46070</v>
      </c>
      <c r="I589" s="89">
        <v>46075</v>
      </c>
      <c r="J589" t="s">
        <v>1949</v>
      </c>
      <c r="N589" t="s">
        <v>1928</v>
      </c>
    </row>
    <row r="590" spans="1:14" hidden="1" x14ac:dyDescent="0.25">
      <c r="A590" t="s">
        <v>1315</v>
      </c>
      <c r="B590" t="s">
        <v>1329</v>
      </c>
      <c r="C590" t="s">
        <v>1946</v>
      </c>
      <c r="D590" t="s">
        <v>15</v>
      </c>
      <c r="F590">
        <v>44</v>
      </c>
      <c r="G590" t="s">
        <v>1419</v>
      </c>
      <c r="H590" s="89">
        <v>46070</v>
      </c>
      <c r="I590" s="89">
        <v>46072</v>
      </c>
      <c r="N590" t="s">
        <v>1928</v>
      </c>
    </row>
    <row r="591" spans="1:14" hidden="1" x14ac:dyDescent="0.25">
      <c r="A591" t="s">
        <v>1316</v>
      </c>
      <c r="B591" t="s">
        <v>1330</v>
      </c>
      <c r="C591" t="s">
        <v>1950</v>
      </c>
      <c r="D591" t="s">
        <v>15</v>
      </c>
      <c r="F591">
        <v>27</v>
      </c>
      <c r="G591" t="s">
        <v>1419</v>
      </c>
      <c r="H591" s="89">
        <v>46070</v>
      </c>
      <c r="I591" s="89">
        <v>46073</v>
      </c>
      <c r="N591" t="s">
        <v>1928</v>
      </c>
    </row>
    <row r="592" spans="1:14" hidden="1" x14ac:dyDescent="0.25">
      <c r="A592" t="s">
        <v>1317</v>
      </c>
      <c r="B592" t="s">
        <v>1331</v>
      </c>
      <c r="C592" t="s">
        <v>1951</v>
      </c>
      <c r="D592" t="s">
        <v>15</v>
      </c>
      <c r="F592">
        <v>8</v>
      </c>
      <c r="G592" t="s">
        <v>1419</v>
      </c>
      <c r="H592" s="89">
        <v>46070</v>
      </c>
      <c r="I592" s="89">
        <v>46073</v>
      </c>
      <c r="N592" t="s">
        <v>1928</v>
      </c>
    </row>
    <row r="593" spans="1:14" hidden="1" x14ac:dyDescent="0.25">
      <c r="A593" t="s">
        <v>1318</v>
      </c>
      <c r="B593" t="s">
        <v>1332</v>
      </c>
      <c r="C593" t="s">
        <v>1952</v>
      </c>
      <c r="D593" t="s">
        <v>15</v>
      </c>
      <c r="F593">
        <v>20</v>
      </c>
      <c r="G593" t="s">
        <v>1419</v>
      </c>
      <c r="H593" s="89">
        <v>46070</v>
      </c>
      <c r="I593" s="89">
        <v>46073</v>
      </c>
      <c r="N593" t="s">
        <v>1928</v>
      </c>
    </row>
    <row r="594" spans="1:14" hidden="1" x14ac:dyDescent="0.25">
      <c r="A594" t="s">
        <v>1324</v>
      </c>
      <c r="B594" t="s">
        <v>1338</v>
      </c>
      <c r="C594" t="s">
        <v>1953</v>
      </c>
      <c r="D594" t="s">
        <v>13</v>
      </c>
      <c r="F594">
        <v>336</v>
      </c>
      <c r="G594">
        <v>7</v>
      </c>
      <c r="H594" s="89">
        <v>46070</v>
      </c>
      <c r="I594" s="89">
        <v>46077</v>
      </c>
      <c r="J594" t="s">
        <v>1934</v>
      </c>
      <c r="N594" t="s">
        <v>1928</v>
      </c>
    </row>
    <row r="595" spans="1:14" hidden="1" x14ac:dyDescent="0.25">
      <c r="A595" t="s">
        <v>1427</v>
      </c>
      <c r="B595" t="s">
        <v>1428</v>
      </c>
      <c r="C595" t="s">
        <v>1954</v>
      </c>
      <c r="D595" t="s">
        <v>20</v>
      </c>
      <c r="F595">
        <v>918</v>
      </c>
      <c r="G595">
        <v>17</v>
      </c>
      <c r="H595" s="89">
        <v>46070</v>
      </c>
      <c r="I595" s="89">
        <v>46073</v>
      </c>
      <c r="J595" t="s">
        <v>1955</v>
      </c>
      <c r="N595" t="s">
        <v>1928</v>
      </c>
    </row>
    <row r="596" spans="1:14" hidden="1" x14ac:dyDescent="0.25">
      <c r="A596" t="s">
        <v>1322</v>
      </c>
      <c r="B596" t="s">
        <v>1336</v>
      </c>
      <c r="C596" t="s">
        <v>1954</v>
      </c>
      <c r="D596" t="s">
        <v>20</v>
      </c>
      <c r="F596">
        <v>162</v>
      </c>
      <c r="G596">
        <v>3</v>
      </c>
      <c r="H596" s="89">
        <v>46070</v>
      </c>
      <c r="I596" s="89">
        <v>46073</v>
      </c>
      <c r="J596" t="s">
        <v>1955</v>
      </c>
      <c r="N596" t="s">
        <v>1928</v>
      </c>
    </row>
    <row r="597" spans="1:14" hidden="1" x14ac:dyDescent="0.25">
      <c r="A597" t="s">
        <v>1315</v>
      </c>
      <c r="B597" t="s">
        <v>1329</v>
      </c>
      <c r="C597" t="s">
        <v>1954</v>
      </c>
      <c r="D597" t="s">
        <v>20</v>
      </c>
      <c r="F597">
        <v>61</v>
      </c>
      <c r="G597" t="s">
        <v>1419</v>
      </c>
      <c r="H597" s="89">
        <v>46070</v>
      </c>
      <c r="I597" s="89">
        <v>46073</v>
      </c>
      <c r="N597" t="s">
        <v>1928</v>
      </c>
    </row>
    <row r="598" spans="1:14" hidden="1" x14ac:dyDescent="0.25">
      <c r="A598" t="s">
        <v>1316</v>
      </c>
      <c r="B598" t="s">
        <v>1330</v>
      </c>
      <c r="C598" t="s">
        <v>1956</v>
      </c>
      <c r="D598" t="s">
        <v>20</v>
      </c>
      <c r="F598">
        <v>77</v>
      </c>
      <c r="G598" t="s">
        <v>1419</v>
      </c>
      <c r="H598" s="89">
        <v>46070</v>
      </c>
      <c r="I598" s="89">
        <v>46073</v>
      </c>
      <c r="N598" t="s">
        <v>1928</v>
      </c>
    </row>
    <row r="599" spans="1:14" hidden="1" x14ac:dyDescent="0.25">
      <c r="A599" t="s">
        <v>1317</v>
      </c>
      <c r="B599" t="s">
        <v>1331</v>
      </c>
      <c r="C599" t="s">
        <v>1957</v>
      </c>
      <c r="D599" t="s">
        <v>20</v>
      </c>
      <c r="F599">
        <v>4</v>
      </c>
      <c r="G599" t="s">
        <v>1419</v>
      </c>
      <c r="H599" s="89">
        <v>46070</v>
      </c>
      <c r="I599" s="89">
        <v>46073</v>
      </c>
      <c r="N599" t="s">
        <v>1928</v>
      </c>
    </row>
    <row r="600" spans="1:14" hidden="1" x14ac:dyDescent="0.25">
      <c r="A600" t="s">
        <v>1318</v>
      </c>
      <c r="B600" t="s">
        <v>1332</v>
      </c>
      <c r="C600" t="s">
        <v>1958</v>
      </c>
      <c r="D600" t="s">
        <v>20</v>
      </c>
      <c r="F600">
        <v>31</v>
      </c>
      <c r="G600" t="s">
        <v>1419</v>
      </c>
      <c r="H600" s="89">
        <v>46070</v>
      </c>
      <c r="I600" s="89">
        <v>46073</v>
      </c>
      <c r="N600" t="s">
        <v>1928</v>
      </c>
    </row>
    <row r="601" spans="1:14" hidden="1" x14ac:dyDescent="0.25">
      <c r="A601" t="s">
        <v>1325</v>
      </c>
      <c r="B601" t="s">
        <v>1339</v>
      </c>
      <c r="C601" t="s">
        <v>1959</v>
      </c>
      <c r="D601" t="s">
        <v>138</v>
      </c>
      <c r="F601">
        <v>336</v>
      </c>
      <c r="G601">
        <v>7</v>
      </c>
      <c r="H601" s="89">
        <v>46070</v>
      </c>
      <c r="I601" s="89">
        <v>46072</v>
      </c>
      <c r="N601" t="s">
        <v>1928</v>
      </c>
    </row>
    <row r="602" spans="1:14" hidden="1" x14ac:dyDescent="0.25">
      <c r="A602" t="s">
        <v>1313</v>
      </c>
      <c r="B602" t="s">
        <v>1327</v>
      </c>
      <c r="C602" t="s">
        <v>1960</v>
      </c>
      <c r="D602" t="s">
        <v>23</v>
      </c>
      <c r="F602">
        <v>720</v>
      </c>
      <c r="G602">
        <v>15</v>
      </c>
      <c r="H602" s="89">
        <v>46070</v>
      </c>
      <c r="I602" s="89">
        <v>46072</v>
      </c>
      <c r="N602" t="s">
        <v>1928</v>
      </c>
    </row>
    <row r="603" spans="1:14" hidden="1" x14ac:dyDescent="0.25">
      <c r="A603" t="s">
        <v>1313</v>
      </c>
      <c r="B603" t="s">
        <v>1327</v>
      </c>
      <c r="C603" t="s">
        <v>1961</v>
      </c>
      <c r="D603" t="s">
        <v>129</v>
      </c>
      <c r="F603">
        <v>619</v>
      </c>
      <c r="G603">
        <v>12.895833333333334</v>
      </c>
      <c r="H603" s="89">
        <v>46070</v>
      </c>
      <c r="I603" s="89">
        <v>46075</v>
      </c>
      <c r="J603" t="s">
        <v>1962</v>
      </c>
      <c r="N603" t="s">
        <v>1928</v>
      </c>
    </row>
    <row r="604" spans="1:14" hidden="1" x14ac:dyDescent="0.25">
      <c r="A604" t="s">
        <v>1315</v>
      </c>
      <c r="B604" t="s">
        <v>1329</v>
      </c>
      <c r="C604" t="s">
        <v>1961</v>
      </c>
      <c r="D604" t="s">
        <v>129</v>
      </c>
      <c r="F604">
        <v>5</v>
      </c>
      <c r="G604" t="s">
        <v>1419</v>
      </c>
      <c r="H604" s="89">
        <v>46070</v>
      </c>
      <c r="I604" s="89">
        <v>46075</v>
      </c>
      <c r="N604" t="s">
        <v>1928</v>
      </c>
    </row>
    <row r="605" spans="1:14" hidden="1" x14ac:dyDescent="0.25">
      <c r="A605" t="s">
        <v>1313</v>
      </c>
      <c r="B605" t="s">
        <v>1327</v>
      </c>
      <c r="C605" t="s">
        <v>1963</v>
      </c>
      <c r="D605" t="s">
        <v>23</v>
      </c>
      <c r="F605">
        <v>960</v>
      </c>
      <c r="G605">
        <v>20</v>
      </c>
      <c r="H605" s="89">
        <v>46071</v>
      </c>
      <c r="I605" s="89">
        <v>46075</v>
      </c>
      <c r="J605" t="s">
        <v>1964</v>
      </c>
      <c r="N605" t="s">
        <v>1928</v>
      </c>
    </row>
    <row r="606" spans="1:14" hidden="1" x14ac:dyDescent="0.25">
      <c r="A606" t="s">
        <v>1313</v>
      </c>
      <c r="B606" t="s">
        <v>1327</v>
      </c>
      <c r="C606" t="s">
        <v>1965</v>
      </c>
      <c r="D606" t="s">
        <v>15</v>
      </c>
      <c r="F606">
        <v>192</v>
      </c>
      <c r="G606">
        <v>4</v>
      </c>
      <c r="H606" s="89">
        <v>46071</v>
      </c>
      <c r="I606" s="89">
        <v>46075</v>
      </c>
      <c r="J606" t="s">
        <v>1964</v>
      </c>
      <c r="N606" t="s">
        <v>1928</v>
      </c>
    </row>
    <row r="607" spans="1:14" hidden="1" x14ac:dyDescent="0.25">
      <c r="A607" t="s">
        <v>1313</v>
      </c>
      <c r="B607" t="s">
        <v>1327</v>
      </c>
      <c r="C607" t="s">
        <v>1965</v>
      </c>
      <c r="D607" t="s">
        <v>15</v>
      </c>
      <c r="F607">
        <v>816</v>
      </c>
      <c r="G607">
        <v>17</v>
      </c>
      <c r="H607" s="89">
        <v>46071</v>
      </c>
      <c r="I607" s="89">
        <v>46075</v>
      </c>
      <c r="J607" t="s">
        <v>1966</v>
      </c>
      <c r="N607" t="s">
        <v>1928</v>
      </c>
    </row>
    <row r="608" spans="1:14" hidden="1" x14ac:dyDescent="0.25">
      <c r="A608" t="s">
        <v>1314</v>
      </c>
      <c r="B608" t="s">
        <v>1328</v>
      </c>
      <c r="C608" t="s">
        <v>1965</v>
      </c>
      <c r="D608" t="s">
        <v>15</v>
      </c>
      <c r="F608">
        <v>144</v>
      </c>
      <c r="G608">
        <v>3</v>
      </c>
      <c r="H608" s="89">
        <v>46071</v>
      </c>
      <c r="I608" s="89">
        <v>46076</v>
      </c>
      <c r="J608" t="s">
        <v>1967</v>
      </c>
      <c r="N608" t="s">
        <v>1928</v>
      </c>
    </row>
    <row r="609" spans="1:14" hidden="1" x14ac:dyDescent="0.25">
      <c r="A609" t="s">
        <v>1315</v>
      </c>
      <c r="B609" t="s">
        <v>1329</v>
      </c>
      <c r="C609" t="s">
        <v>1965</v>
      </c>
      <c r="D609" t="s">
        <v>15</v>
      </c>
      <c r="F609">
        <v>92</v>
      </c>
      <c r="G609" t="s">
        <v>1419</v>
      </c>
      <c r="H609" s="89">
        <v>46071</v>
      </c>
      <c r="I609" s="89">
        <v>46073</v>
      </c>
      <c r="N609" t="s">
        <v>1928</v>
      </c>
    </row>
    <row r="610" spans="1:14" hidden="1" x14ac:dyDescent="0.25">
      <c r="A610" t="s">
        <v>1316</v>
      </c>
      <c r="B610" t="s">
        <v>1330</v>
      </c>
      <c r="C610" t="s">
        <v>1968</v>
      </c>
      <c r="D610" t="s">
        <v>15</v>
      </c>
      <c r="F610">
        <v>36</v>
      </c>
      <c r="G610" t="s">
        <v>1419</v>
      </c>
      <c r="H610" s="89">
        <v>46071</v>
      </c>
      <c r="I610" s="89">
        <v>46073</v>
      </c>
      <c r="N610" t="s">
        <v>1928</v>
      </c>
    </row>
    <row r="611" spans="1:14" hidden="1" x14ac:dyDescent="0.25">
      <c r="A611" t="s">
        <v>1317</v>
      </c>
      <c r="B611" t="s">
        <v>1331</v>
      </c>
      <c r="C611" t="s">
        <v>1969</v>
      </c>
      <c r="D611" t="s">
        <v>15</v>
      </c>
      <c r="F611">
        <v>11</v>
      </c>
      <c r="G611" t="s">
        <v>1419</v>
      </c>
      <c r="H611" s="89">
        <v>46071</v>
      </c>
      <c r="I611" s="89">
        <v>46073</v>
      </c>
      <c r="N611" t="s">
        <v>1928</v>
      </c>
    </row>
    <row r="612" spans="1:14" hidden="1" x14ac:dyDescent="0.25">
      <c r="A612" t="s">
        <v>1318</v>
      </c>
      <c r="B612" t="s">
        <v>1332</v>
      </c>
      <c r="C612" t="s">
        <v>1970</v>
      </c>
      <c r="D612" t="s">
        <v>15</v>
      </c>
      <c r="F612">
        <v>23</v>
      </c>
      <c r="G612" t="s">
        <v>1419</v>
      </c>
      <c r="H612" s="89">
        <v>46071</v>
      </c>
      <c r="I612" s="89">
        <v>46073</v>
      </c>
      <c r="N612" t="s">
        <v>1928</v>
      </c>
    </row>
    <row r="613" spans="1:14" hidden="1" x14ac:dyDescent="0.25">
      <c r="A613" t="s">
        <v>1313</v>
      </c>
      <c r="B613" t="s">
        <v>1327</v>
      </c>
      <c r="C613" t="s">
        <v>1971</v>
      </c>
      <c r="D613" t="s">
        <v>129</v>
      </c>
      <c r="F613">
        <v>528</v>
      </c>
      <c r="G613">
        <v>11</v>
      </c>
      <c r="H613" s="89">
        <v>46071</v>
      </c>
      <c r="I613" s="89">
        <v>46075</v>
      </c>
      <c r="J613" t="s">
        <v>1962</v>
      </c>
      <c r="N613" t="s">
        <v>1928</v>
      </c>
    </row>
    <row r="614" spans="1:14" hidden="1" x14ac:dyDescent="0.25">
      <c r="A614" t="s">
        <v>1313</v>
      </c>
      <c r="B614" t="s">
        <v>1327</v>
      </c>
      <c r="C614" t="s">
        <v>1972</v>
      </c>
      <c r="D614" t="s">
        <v>28</v>
      </c>
      <c r="F614">
        <v>240</v>
      </c>
      <c r="G614">
        <v>5</v>
      </c>
      <c r="H614" s="89">
        <v>46071</v>
      </c>
      <c r="I614" s="89">
        <v>46075</v>
      </c>
      <c r="J614" t="s">
        <v>1973</v>
      </c>
      <c r="N614" t="s">
        <v>1928</v>
      </c>
    </row>
    <row r="615" spans="1:14" hidden="1" x14ac:dyDescent="0.25">
      <c r="A615" t="s">
        <v>1313</v>
      </c>
      <c r="B615" t="s">
        <v>1327</v>
      </c>
      <c r="C615" t="s">
        <v>1972</v>
      </c>
      <c r="D615" t="s">
        <v>28</v>
      </c>
      <c r="F615">
        <v>1152</v>
      </c>
      <c r="G615">
        <v>24</v>
      </c>
      <c r="H615" s="89">
        <v>46071</v>
      </c>
      <c r="I615" s="89">
        <v>46075</v>
      </c>
      <c r="J615" t="s">
        <v>1974</v>
      </c>
      <c r="N615" t="s">
        <v>1928</v>
      </c>
    </row>
    <row r="616" spans="1:14" hidden="1" x14ac:dyDescent="0.25">
      <c r="A616" t="s">
        <v>1315</v>
      </c>
      <c r="B616" t="s">
        <v>1329</v>
      </c>
      <c r="C616" t="s">
        <v>1972</v>
      </c>
      <c r="D616" t="s">
        <v>28</v>
      </c>
      <c r="F616">
        <v>47</v>
      </c>
      <c r="G616" t="s">
        <v>1419</v>
      </c>
      <c r="H616" s="89">
        <v>46071</v>
      </c>
      <c r="I616" s="89">
        <v>46073</v>
      </c>
      <c r="N616" t="s">
        <v>1928</v>
      </c>
    </row>
    <row r="617" spans="1:14" hidden="1" x14ac:dyDescent="0.25">
      <c r="A617" t="s">
        <v>1316</v>
      </c>
      <c r="B617" t="s">
        <v>1330</v>
      </c>
      <c r="C617" t="s">
        <v>1975</v>
      </c>
      <c r="D617" t="s">
        <v>28</v>
      </c>
      <c r="F617">
        <v>62</v>
      </c>
      <c r="G617" t="s">
        <v>1419</v>
      </c>
      <c r="H617" s="89">
        <v>46071</v>
      </c>
      <c r="I617" s="89">
        <v>46073</v>
      </c>
      <c r="N617" t="s">
        <v>1928</v>
      </c>
    </row>
    <row r="618" spans="1:14" hidden="1" x14ac:dyDescent="0.25">
      <c r="A618" t="s">
        <v>1317</v>
      </c>
      <c r="B618" t="s">
        <v>1331</v>
      </c>
      <c r="C618" t="s">
        <v>1976</v>
      </c>
      <c r="D618" t="s">
        <v>28</v>
      </c>
      <c r="F618">
        <v>2</v>
      </c>
      <c r="G618" t="s">
        <v>1419</v>
      </c>
      <c r="H618" s="89">
        <v>46071</v>
      </c>
      <c r="I618" s="89">
        <v>46073</v>
      </c>
      <c r="N618" t="s">
        <v>1928</v>
      </c>
    </row>
    <row r="619" spans="1:14" hidden="1" x14ac:dyDescent="0.25">
      <c r="A619" t="s">
        <v>1318</v>
      </c>
      <c r="B619" t="s">
        <v>1332</v>
      </c>
      <c r="C619" t="s">
        <v>1977</v>
      </c>
      <c r="D619" t="s">
        <v>28</v>
      </c>
      <c r="F619">
        <v>50</v>
      </c>
      <c r="G619" t="s">
        <v>1419</v>
      </c>
      <c r="H619" s="89">
        <v>46071</v>
      </c>
      <c r="I619" s="89">
        <v>46073</v>
      </c>
      <c r="N619" t="s">
        <v>1928</v>
      </c>
    </row>
    <row r="620" spans="1:14" hidden="1" x14ac:dyDescent="0.25">
      <c r="A620" t="s">
        <v>1324</v>
      </c>
      <c r="B620" t="s">
        <v>1338</v>
      </c>
      <c r="C620" t="s">
        <v>1978</v>
      </c>
      <c r="D620" t="s">
        <v>13</v>
      </c>
      <c r="F620">
        <v>672</v>
      </c>
      <c r="G620">
        <v>14</v>
      </c>
      <c r="H620" s="89">
        <v>46071</v>
      </c>
      <c r="I620" s="89">
        <v>46077</v>
      </c>
      <c r="J620" t="s">
        <v>1934</v>
      </c>
      <c r="N620" t="s">
        <v>1928</v>
      </c>
    </row>
    <row r="621" spans="1:14" hidden="1" x14ac:dyDescent="0.25">
      <c r="A621" t="s">
        <v>1324</v>
      </c>
      <c r="B621" t="s">
        <v>1338</v>
      </c>
      <c r="C621" t="s">
        <v>1979</v>
      </c>
      <c r="D621" t="s">
        <v>118</v>
      </c>
      <c r="F621">
        <v>960</v>
      </c>
      <c r="G621">
        <v>20</v>
      </c>
      <c r="H621" s="89">
        <v>46071</v>
      </c>
      <c r="I621" s="89">
        <v>46077</v>
      </c>
      <c r="J621" t="s">
        <v>1980</v>
      </c>
      <c r="N621" t="s">
        <v>1928</v>
      </c>
    </row>
    <row r="622" spans="1:14" hidden="1" x14ac:dyDescent="0.25">
      <c r="A622" t="s">
        <v>1324</v>
      </c>
      <c r="B622" t="s">
        <v>1338</v>
      </c>
      <c r="C622" t="s">
        <v>1978</v>
      </c>
      <c r="D622" t="s">
        <v>13</v>
      </c>
      <c r="F622">
        <v>480</v>
      </c>
      <c r="G622">
        <v>10</v>
      </c>
      <c r="H622" s="89">
        <v>46071</v>
      </c>
      <c r="I622" s="89">
        <v>46077</v>
      </c>
      <c r="J622" t="s">
        <v>1980</v>
      </c>
      <c r="N622" t="s">
        <v>1928</v>
      </c>
    </row>
    <row r="623" spans="1:14" hidden="1" x14ac:dyDescent="0.25">
      <c r="A623" t="s">
        <v>1313</v>
      </c>
      <c r="B623" t="s">
        <v>1327</v>
      </c>
      <c r="C623" t="s">
        <v>1981</v>
      </c>
      <c r="D623" t="s">
        <v>20</v>
      </c>
      <c r="F623">
        <v>1296</v>
      </c>
      <c r="G623">
        <v>27</v>
      </c>
      <c r="H623" s="89">
        <v>46071</v>
      </c>
      <c r="I623" s="89">
        <v>46073</v>
      </c>
      <c r="N623" t="s">
        <v>1928</v>
      </c>
    </row>
    <row r="624" spans="1:14" hidden="1" x14ac:dyDescent="0.25">
      <c r="A624" t="s">
        <v>1315</v>
      </c>
      <c r="B624" t="s">
        <v>1329</v>
      </c>
      <c r="C624" t="s">
        <v>1981</v>
      </c>
      <c r="D624" t="s">
        <v>20</v>
      </c>
      <c r="F624">
        <v>33</v>
      </c>
      <c r="G624" t="s">
        <v>1419</v>
      </c>
      <c r="H624" s="89">
        <v>46071</v>
      </c>
      <c r="I624" s="89">
        <v>46073</v>
      </c>
      <c r="N624" t="s">
        <v>1928</v>
      </c>
    </row>
    <row r="625" spans="1:14" hidden="1" x14ac:dyDescent="0.25">
      <c r="A625" t="s">
        <v>1316</v>
      </c>
      <c r="B625" t="s">
        <v>1330</v>
      </c>
      <c r="C625" t="s">
        <v>1982</v>
      </c>
      <c r="D625" t="s">
        <v>20</v>
      </c>
      <c r="F625">
        <v>143</v>
      </c>
      <c r="G625" t="s">
        <v>1419</v>
      </c>
      <c r="H625" s="89">
        <v>46071</v>
      </c>
      <c r="I625" s="89">
        <v>46073</v>
      </c>
      <c r="N625" t="s">
        <v>1928</v>
      </c>
    </row>
    <row r="626" spans="1:14" hidden="1" x14ac:dyDescent="0.25">
      <c r="A626" t="s">
        <v>1317</v>
      </c>
      <c r="B626" t="s">
        <v>1331</v>
      </c>
      <c r="C626" t="s">
        <v>1983</v>
      </c>
      <c r="D626" t="s">
        <v>20</v>
      </c>
      <c r="F626">
        <v>5</v>
      </c>
      <c r="G626" t="s">
        <v>1419</v>
      </c>
      <c r="H626" s="89">
        <v>46071</v>
      </c>
      <c r="I626" s="89">
        <v>46073</v>
      </c>
      <c r="N626" t="s">
        <v>1928</v>
      </c>
    </row>
    <row r="627" spans="1:14" hidden="1" x14ac:dyDescent="0.25">
      <c r="A627" t="s">
        <v>1318</v>
      </c>
      <c r="B627" t="s">
        <v>1332</v>
      </c>
      <c r="C627" t="s">
        <v>1984</v>
      </c>
      <c r="D627" t="s">
        <v>20</v>
      </c>
      <c r="F627">
        <v>51</v>
      </c>
      <c r="G627" t="s">
        <v>1419</v>
      </c>
      <c r="H627" s="89">
        <v>46071</v>
      </c>
      <c r="I627" s="89">
        <v>46073</v>
      </c>
      <c r="N627" t="s">
        <v>1928</v>
      </c>
    </row>
    <row r="628" spans="1:14" hidden="1" x14ac:dyDescent="0.25">
      <c r="A628" t="s">
        <v>1314</v>
      </c>
      <c r="B628" t="s">
        <v>1328</v>
      </c>
      <c r="C628" t="s">
        <v>1985</v>
      </c>
      <c r="D628" t="s">
        <v>15</v>
      </c>
      <c r="F628">
        <v>192</v>
      </c>
      <c r="G628">
        <v>4</v>
      </c>
      <c r="H628" s="89">
        <v>46072</v>
      </c>
      <c r="I628" s="89">
        <v>46076</v>
      </c>
      <c r="J628" t="s">
        <v>1967</v>
      </c>
      <c r="N628" t="s">
        <v>1928</v>
      </c>
    </row>
    <row r="629" spans="1:14" hidden="1" x14ac:dyDescent="0.25">
      <c r="A629" t="s">
        <v>1313</v>
      </c>
      <c r="B629" t="s">
        <v>1327</v>
      </c>
      <c r="C629" t="s">
        <v>1985</v>
      </c>
      <c r="D629" t="s">
        <v>15</v>
      </c>
      <c r="F629">
        <v>816</v>
      </c>
      <c r="G629">
        <v>17</v>
      </c>
      <c r="H629" s="89">
        <v>46072</v>
      </c>
      <c r="I629" s="89">
        <v>46076</v>
      </c>
      <c r="J629" t="s">
        <v>1973</v>
      </c>
      <c r="N629" t="s">
        <v>1928</v>
      </c>
    </row>
    <row r="630" spans="1:14" hidden="1" x14ac:dyDescent="0.25">
      <c r="A630" t="s">
        <v>1315</v>
      </c>
      <c r="B630" t="s">
        <v>1329</v>
      </c>
      <c r="C630" t="s">
        <v>1985</v>
      </c>
      <c r="D630" t="s">
        <v>15</v>
      </c>
      <c r="F630">
        <v>24</v>
      </c>
      <c r="G630" t="s">
        <v>1419</v>
      </c>
      <c r="H630" s="89">
        <v>46072</v>
      </c>
      <c r="I630" s="89">
        <v>46073</v>
      </c>
      <c r="N630" t="s">
        <v>1928</v>
      </c>
    </row>
    <row r="631" spans="1:14" hidden="1" x14ac:dyDescent="0.25">
      <c r="A631" t="s">
        <v>1444</v>
      </c>
      <c r="B631" t="s">
        <v>1445</v>
      </c>
      <c r="C631" t="s">
        <v>1985</v>
      </c>
      <c r="D631" t="s">
        <v>15</v>
      </c>
      <c r="F631">
        <v>140</v>
      </c>
      <c r="G631">
        <v>1</v>
      </c>
      <c r="H631" s="89">
        <v>46072</v>
      </c>
      <c r="I631" s="89">
        <v>46074</v>
      </c>
      <c r="N631" t="s">
        <v>1928</v>
      </c>
    </row>
    <row r="632" spans="1:14" hidden="1" x14ac:dyDescent="0.25">
      <c r="A632" t="s">
        <v>1316</v>
      </c>
      <c r="B632" t="s">
        <v>1330</v>
      </c>
      <c r="C632" t="s">
        <v>1986</v>
      </c>
      <c r="D632" t="s">
        <v>15</v>
      </c>
      <c r="F632">
        <v>28</v>
      </c>
      <c r="G632" t="s">
        <v>1419</v>
      </c>
      <c r="H632" s="89">
        <v>46072</v>
      </c>
      <c r="I632" s="89">
        <v>46075</v>
      </c>
      <c r="N632" t="s">
        <v>1928</v>
      </c>
    </row>
    <row r="633" spans="1:14" hidden="1" x14ac:dyDescent="0.25">
      <c r="A633" t="s">
        <v>1317</v>
      </c>
      <c r="B633" t="s">
        <v>1331</v>
      </c>
      <c r="C633" t="s">
        <v>1987</v>
      </c>
      <c r="D633" t="s">
        <v>15</v>
      </c>
      <c r="F633">
        <v>17</v>
      </c>
      <c r="G633" t="s">
        <v>1419</v>
      </c>
      <c r="H633" s="89">
        <v>46072</v>
      </c>
      <c r="I633" s="89">
        <v>46075</v>
      </c>
      <c r="N633" t="s">
        <v>1928</v>
      </c>
    </row>
    <row r="634" spans="1:14" hidden="1" x14ac:dyDescent="0.25">
      <c r="A634" t="s">
        <v>1318</v>
      </c>
      <c r="B634" t="s">
        <v>1332</v>
      </c>
      <c r="C634" t="s">
        <v>1988</v>
      </c>
      <c r="D634" t="s">
        <v>15</v>
      </c>
      <c r="F634">
        <v>10</v>
      </c>
      <c r="G634" t="s">
        <v>1419</v>
      </c>
      <c r="H634" s="89">
        <v>46072</v>
      </c>
      <c r="I634" s="89">
        <v>46075</v>
      </c>
      <c r="N634" t="s">
        <v>1928</v>
      </c>
    </row>
    <row r="635" spans="1:14" hidden="1" x14ac:dyDescent="0.25">
      <c r="A635" t="s">
        <v>1313</v>
      </c>
      <c r="B635" t="s">
        <v>1327</v>
      </c>
      <c r="C635" t="s">
        <v>1989</v>
      </c>
      <c r="D635" t="s">
        <v>129</v>
      </c>
      <c r="F635">
        <v>528</v>
      </c>
      <c r="G635">
        <v>11</v>
      </c>
      <c r="H635" s="89">
        <v>46072</v>
      </c>
      <c r="I635" s="89">
        <v>46078</v>
      </c>
      <c r="J635" t="s">
        <v>1990</v>
      </c>
      <c r="N635" t="s">
        <v>1928</v>
      </c>
    </row>
    <row r="636" spans="1:14" hidden="1" x14ac:dyDescent="0.25">
      <c r="A636" t="s">
        <v>1324</v>
      </c>
      <c r="B636" t="s">
        <v>1338</v>
      </c>
      <c r="C636" t="s">
        <v>1991</v>
      </c>
      <c r="D636" t="s">
        <v>13</v>
      </c>
      <c r="F636">
        <v>480</v>
      </c>
      <c r="G636">
        <v>10</v>
      </c>
      <c r="H636" s="89">
        <v>46072</v>
      </c>
      <c r="I636" s="89">
        <v>46077</v>
      </c>
      <c r="J636" t="s">
        <v>1980</v>
      </c>
      <c r="N636" t="s">
        <v>1928</v>
      </c>
    </row>
    <row r="637" spans="1:14" hidden="1" x14ac:dyDescent="0.25">
      <c r="A637" t="s">
        <v>1324</v>
      </c>
      <c r="B637" t="s">
        <v>1338</v>
      </c>
      <c r="C637" t="s">
        <v>1992</v>
      </c>
      <c r="D637" t="s">
        <v>21</v>
      </c>
      <c r="F637">
        <v>960</v>
      </c>
      <c r="G637">
        <v>20</v>
      </c>
      <c r="H637" s="89">
        <v>46072</v>
      </c>
      <c r="I637" s="89">
        <v>46078</v>
      </c>
      <c r="J637" t="s">
        <v>1993</v>
      </c>
      <c r="N637" t="s">
        <v>1928</v>
      </c>
    </row>
    <row r="638" spans="1:14" hidden="1" x14ac:dyDescent="0.25">
      <c r="A638" t="s">
        <v>1313</v>
      </c>
      <c r="B638" t="s">
        <v>1327</v>
      </c>
      <c r="C638" t="s">
        <v>1992</v>
      </c>
      <c r="D638" t="s">
        <v>21</v>
      </c>
      <c r="F638">
        <v>240</v>
      </c>
      <c r="G638">
        <v>5</v>
      </c>
      <c r="H638" s="89">
        <v>46072</v>
      </c>
      <c r="I638" s="89">
        <v>46072</v>
      </c>
      <c r="N638" t="s">
        <v>1928</v>
      </c>
    </row>
    <row r="639" spans="1:14" hidden="1" x14ac:dyDescent="0.25">
      <c r="A639" t="s">
        <v>1315</v>
      </c>
      <c r="B639" t="s">
        <v>1329</v>
      </c>
      <c r="C639" t="s">
        <v>1992</v>
      </c>
      <c r="D639" t="s">
        <v>21</v>
      </c>
      <c r="F639">
        <v>46</v>
      </c>
      <c r="G639" t="s">
        <v>1419</v>
      </c>
      <c r="H639" s="89">
        <v>46072</v>
      </c>
      <c r="I639" s="89">
        <v>46073</v>
      </c>
      <c r="N639" t="s">
        <v>1928</v>
      </c>
    </row>
    <row r="640" spans="1:14" hidden="1" x14ac:dyDescent="0.25">
      <c r="A640" t="s">
        <v>1316</v>
      </c>
      <c r="B640" t="s">
        <v>1330</v>
      </c>
      <c r="C640" t="s">
        <v>1994</v>
      </c>
      <c r="D640" t="s">
        <v>21</v>
      </c>
      <c r="F640">
        <v>99</v>
      </c>
      <c r="G640" t="s">
        <v>1419</v>
      </c>
      <c r="H640" s="89">
        <v>46072</v>
      </c>
      <c r="I640" s="89">
        <v>46075</v>
      </c>
      <c r="N640" t="s">
        <v>1928</v>
      </c>
    </row>
    <row r="641" spans="1:14" hidden="1" x14ac:dyDescent="0.25">
      <c r="A641" t="s">
        <v>1317</v>
      </c>
      <c r="B641" t="s">
        <v>1331</v>
      </c>
      <c r="C641" t="s">
        <v>1995</v>
      </c>
      <c r="D641" t="s">
        <v>21</v>
      </c>
      <c r="F641">
        <v>29</v>
      </c>
      <c r="G641" t="s">
        <v>1419</v>
      </c>
      <c r="H641" s="89">
        <v>46072</v>
      </c>
      <c r="I641" s="89">
        <v>46075</v>
      </c>
      <c r="N641" t="s">
        <v>1928</v>
      </c>
    </row>
    <row r="642" spans="1:14" hidden="1" x14ac:dyDescent="0.25">
      <c r="A642" t="s">
        <v>1318</v>
      </c>
      <c r="B642" t="s">
        <v>1332</v>
      </c>
      <c r="C642" t="s">
        <v>1996</v>
      </c>
      <c r="D642" t="s">
        <v>21</v>
      </c>
      <c r="F642">
        <v>59</v>
      </c>
      <c r="G642" t="s">
        <v>1419</v>
      </c>
      <c r="H642" s="89">
        <v>46072</v>
      </c>
      <c r="I642" s="89">
        <v>46075</v>
      </c>
      <c r="N642" t="s">
        <v>1928</v>
      </c>
    </row>
    <row r="643" spans="1:14" hidden="1" x14ac:dyDescent="0.25">
      <c r="A643" t="s">
        <v>1313</v>
      </c>
      <c r="B643" t="s">
        <v>1327</v>
      </c>
      <c r="C643" t="s">
        <v>1997</v>
      </c>
      <c r="D643" t="s">
        <v>20</v>
      </c>
      <c r="F643">
        <v>1152</v>
      </c>
      <c r="G643">
        <v>24</v>
      </c>
      <c r="H643" s="89">
        <v>46072</v>
      </c>
      <c r="I643" s="89">
        <v>46076</v>
      </c>
      <c r="J643" t="s">
        <v>1998</v>
      </c>
      <c r="N643" t="s">
        <v>1928</v>
      </c>
    </row>
    <row r="644" spans="1:14" hidden="1" x14ac:dyDescent="0.25">
      <c r="A644" t="s">
        <v>1315</v>
      </c>
      <c r="B644" t="s">
        <v>1329</v>
      </c>
      <c r="C644" t="s">
        <v>1997</v>
      </c>
      <c r="D644" t="s">
        <v>20</v>
      </c>
      <c r="F644">
        <v>16</v>
      </c>
      <c r="G644" t="s">
        <v>1419</v>
      </c>
      <c r="H644" s="89">
        <v>46072</v>
      </c>
      <c r="I644" s="89">
        <v>46073</v>
      </c>
      <c r="N644" t="s">
        <v>1928</v>
      </c>
    </row>
    <row r="645" spans="1:14" hidden="1" x14ac:dyDescent="0.25">
      <c r="A645" t="s">
        <v>1316</v>
      </c>
      <c r="B645" t="s">
        <v>1330</v>
      </c>
      <c r="C645" t="s">
        <v>1999</v>
      </c>
      <c r="D645" t="s">
        <v>20</v>
      </c>
      <c r="F645">
        <v>87</v>
      </c>
      <c r="G645" t="s">
        <v>1419</v>
      </c>
      <c r="H645" s="89">
        <v>46072</v>
      </c>
      <c r="I645" s="89">
        <v>46075</v>
      </c>
      <c r="N645" t="s">
        <v>1928</v>
      </c>
    </row>
    <row r="646" spans="1:14" hidden="1" x14ac:dyDescent="0.25">
      <c r="A646" t="s">
        <v>1317</v>
      </c>
      <c r="B646" t="s">
        <v>1331</v>
      </c>
      <c r="C646" t="s">
        <v>2000</v>
      </c>
      <c r="D646" t="s">
        <v>20</v>
      </c>
      <c r="F646">
        <v>4</v>
      </c>
      <c r="G646" t="s">
        <v>1419</v>
      </c>
      <c r="H646" s="89">
        <v>46072</v>
      </c>
      <c r="I646" s="89">
        <v>46075</v>
      </c>
      <c r="N646" t="s">
        <v>1928</v>
      </c>
    </row>
    <row r="647" spans="1:14" hidden="1" x14ac:dyDescent="0.25">
      <c r="A647" t="s">
        <v>1318</v>
      </c>
      <c r="B647" t="s">
        <v>1332</v>
      </c>
      <c r="C647" t="s">
        <v>2001</v>
      </c>
      <c r="D647" t="s">
        <v>20</v>
      </c>
      <c r="F647">
        <v>38</v>
      </c>
      <c r="G647" t="s">
        <v>1419</v>
      </c>
      <c r="H647" s="89">
        <v>46072</v>
      </c>
      <c r="I647" s="89">
        <v>46075</v>
      </c>
      <c r="N647" t="s">
        <v>1928</v>
      </c>
    </row>
    <row r="648" spans="1:14" hidden="1" x14ac:dyDescent="0.25">
      <c r="A648" t="s">
        <v>1313</v>
      </c>
      <c r="B648" t="s">
        <v>1327</v>
      </c>
      <c r="C648" t="s">
        <v>2002</v>
      </c>
      <c r="D648" t="s">
        <v>23</v>
      </c>
      <c r="F648">
        <v>960</v>
      </c>
      <c r="G648">
        <v>20</v>
      </c>
      <c r="H648" s="89">
        <v>46072</v>
      </c>
      <c r="I648" s="89">
        <v>46074</v>
      </c>
      <c r="N648" t="s">
        <v>1928</v>
      </c>
    </row>
    <row r="649" spans="1:14" hidden="1" x14ac:dyDescent="0.25">
      <c r="A649" t="s">
        <v>1325</v>
      </c>
      <c r="B649" t="s">
        <v>1339</v>
      </c>
      <c r="C649" t="s">
        <v>2003</v>
      </c>
      <c r="D649" t="s">
        <v>138</v>
      </c>
      <c r="F649">
        <v>336</v>
      </c>
      <c r="G649">
        <v>7</v>
      </c>
      <c r="H649" s="89">
        <v>46072</v>
      </c>
      <c r="I649" s="89">
        <v>46074</v>
      </c>
      <c r="N649" t="s">
        <v>1928</v>
      </c>
    </row>
    <row r="650" spans="1:14" hidden="1" x14ac:dyDescent="0.25">
      <c r="A650" t="s">
        <v>1324</v>
      </c>
      <c r="B650" t="s">
        <v>1338</v>
      </c>
      <c r="C650" t="s">
        <v>2004</v>
      </c>
      <c r="D650" t="s">
        <v>23</v>
      </c>
      <c r="F650">
        <v>960</v>
      </c>
      <c r="G650">
        <v>20</v>
      </c>
      <c r="H650" s="89">
        <v>46073</v>
      </c>
      <c r="I650" s="89">
        <v>46078</v>
      </c>
      <c r="J650" t="s">
        <v>1993</v>
      </c>
      <c r="N650" t="s">
        <v>1928</v>
      </c>
    </row>
    <row r="651" spans="1:14" hidden="1" x14ac:dyDescent="0.25">
      <c r="A651" t="s">
        <v>1313</v>
      </c>
      <c r="B651" t="s">
        <v>1327</v>
      </c>
      <c r="C651" t="s">
        <v>2005</v>
      </c>
      <c r="D651" t="s">
        <v>129</v>
      </c>
      <c r="F651">
        <v>288</v>
      </c>
      <c r="G651">
        <v>6</v>
      </c>
      <c r="H651" s="89">
        <v>46073</v>
      </c>
      <c r="I651" s="89">
        <v>46078</v>
      </c>
      <c r="J651" t="s">
        <v>1990</v>
      </c>
      <c r="N651" t="s">
        <v>1928</v>
      </c>
    </row>
    <row r="652" spans="1:14" hidden="1" x14ac:dyDescent="0.25">
      <c r="A652" t="s">
        <v>1313</v>
      </c>
      <c r="B652" t="s">
        <v>1327</v>
      </c>
      <c r="C652" t="s">
        <v>2005</v>
      </c>
      <c r="D652" t="s">
        <v>129</v>
      </c>
      <c r="F652">
        <v>144</v>
      </c>
      <c r="G652">
        <v>3</v>
      </c>
      <c r="H652" s="89">
        <v>46073</v>
      </c>
      <c r="I652" s="89">
        <v>46075</v>
      </c>
      <c r="N652" t="s">
        <v>1928</v>
      </c>
    </row>
    <row r="653" spans="1:14" hidden="1" x14ac:dyDescent="0.25">
      <c r="A653" t="s">
        <v>1313</v>
      </c>
      <c r="B653" t="s">
        <v>1327</v>
      </c>
      <c r="C653" t="s">
        <v>2006</v>
      </c>
      <c r="D653" t="s">
        <v>15</v>
      </c>
      <c r="F653">
        <v>816</v>
      </c>
      <c r="G653">
        <v>17</v>
      </c>
      <c r="H653" s="89">
        <v>46073</v>
      </c>
      <c r="I653" s="89">
        <v>46077</v>
      </c>
      <c r="J653" t="s">
        <v>2007</v>
      </c>
      <c r="N653" t="s">
        <v>1928</v>
      </c>
    </row>
    <row r="654" spans="1:14" hidden="1" x14ac:dyDescent="0.25">
      <c r="A654" t="s">
        <v>1313</v>
      </c>
      <c r="B654" t="s">
        <v>1327</v>
      </c>
      <c r="C654" t="s">
        <v>2006</v>
      </c>
      <c r="D654" t="s">
        <v>15</v>
      </c>
      <c r="F654">
        <v>144</v>
      </c>
      <c r="G654">
        <v>3</v>
      </c>
      <c r="H654" s="89">
        <v>46073</v>
      </c>
      <c r="I654" s="89">
        <v>46078</v>
      </c>
      <c r="J654" t="s">
        <v>2008</v>
      </c>
      <c r="N654" t="s">
        <v>1928</v>
      </c>
    </row>
    <row r="655" spans="1:14" hidden="1" x14ac:dyDescent="0.25">
      <c r="A655" t="s">
        <v>1314</v>
      </c>
      <c r="B655" t="s">
        <v>1328</v>
      </c>
      <c r="C655" t="s">
        <v>2006</v>
      </c>
      <c r="D655" t="s">
        <v>15</v>
      </c>
      <c r="F655">
        <v>336</v>
      </c>
      <c r="G655">
        <v>7</v>
      </c>
      <c r="H655" s="89">
        <v>46073</v>
      </c>
      <c r="I655" s="89">
        <v>46078</v>
      </c>
      <c r="J655" t="s">
        <v>2009</v>
      </c>
      <c r="N655" t="s">
        <v>1928</v>
      </c>
    </row>
    <row r="656" spans="1:14" hidden="1" x14ac:dyDescent="0.25">
      <c r="A656" t="s">
        <v>1315</v>
      </c>
      <c r="B656" t="s">
        <v>1329</v>
      </c>
      <c r="C656" t="s">
        <v>2006</v>
      </c>
      <c r="D656" t="s">
        <v>15</v>
      </c>
      <c r="F656">
        <v>21</v>
      </c>
      <c r="G656" t="s">
        <v>1419</v>
      </c>
      <c r="H656" s="89">
        <v>46073</v>
      </c>
      <c r="I656" s="89">
        <v>46073</v>
      </c>
      <c r="N656" t="s">
        <v>1928</v>
      </c>
    </row>
    <row r="657" spans="1:14" hidden="1" x14ac:dyDescent="0.25">
      <c r="A657" t="s">
        <v>1316</v>
      </c>
      <c r="B657" t="s">
        <v>1330</v>
      </c>
      <c r="C657" t="s">
        <v>2010</v>
      </c>
      <c r="D657" t="s">
        <v>15</v>
      </c>
      <c r="F657">
        <v>41</v>
      </c>
      <c r="G657" t="s">
        <v>1419</v>
      </c>
      <c r="H657" s="89">
        <v>46073</v>
      </c>
      <c r="I657" s="89">
        <v>46075</v>
      </c>
      <c r="N657" t="s">
        <v>1928</v>
      </c>
    </row>
    <row r="658" spans="1:14" hidden="1" x14ac:dyDescent="0.25">
      <c r="A658" t="s">
        <v>1317</v>
      </c>
      <c r="B658" t="s">
        <v>1331</v>
      </c>
      <c r="C658" t="s">
        <v>2011</v>
      </c>
      <c r="D658" t="s">
        <v>15</v>
      </c>
      <c r="F658">
        <v>10</v>
      </c>
      <c r="G658" t="s">
        <v>1419</v>
      </c>
      <c r="H658" s="89">
        <v>46073</v>
      </c>
      <c r="I658" s="89">
        <v>46075</v>
      </c>
      <c r="N658" t="s">
        <v>1928</v>
      </c>
    </row>
    <row r="659" spans="1:14" hidden="1" x14ac:dyDescent="0.25">
      <c r="A659" t="s">
        <v>1318</v>
      </c>
      <c r="B659" t="s">
        <v>1332</v>
      </c>
      <c r="C659" t="s">
        <v>2012</v>
      </c>
      <c r="D659" t="s">
        <v>15</v>
      </c>
      <c r="F659">
        <v>34</v>
      </c>
      <c r="G659" t="s">
        <v>1419</v>
      </c>
      <c r="H659" s="89">
        <v>46073</v>
      </c>
      <c r="I659" s="89">
        <v>46075</v>
      </c>
      <c r="N659" t="s">
        <v>1928</v>
      </c>
    </row>
    <row r="660" spans="1:14" hidden="1" x14ac:dyDescent="0.25">
      <c r="A660" t="s">
        <v>1313</v>
      </c>
      <c r="B660" t="s">
        <v>1327</v>
      </c>
      <c r="C660" t="s">
        <v>2013</v>
      </c>
      <c r="D660" t="s">
        <v>21</v>
      </c>
      <c r="F660">
        <v>336</v>
      </c>
      <c r="G660">
        <v>7</v>
      </c>
      <c r="H660" s="89">
        <v>46073</v>
      </c>
      <c r="I660" s="89">
        <v>46077</v>
      </c>
      <c r="J660" t="s">
        <v>2007</v>
      </c>
      <c r="N660" t="s">
        <v>1928</v>
      </c>
    </row>
    <row r="661" spans="1:14" hidden="1" x14ac:dyDescent="0.25">
      <c r="A661" t="s">
        <v>1324</v>
      </c>
      <c r="B661" t="s">
        <v>1338</v>
      </c>
      <c r="C661" t="s">
        <v>2013</v>
      </c>
      <c r="D661" t="s">
        <v>21</v>
      </c>
      <c r="F661">
        <v>1056</v>
      </c>
      <c r="G661">
        <v>22</v>
      </c>
      <c r="H661" s="89">
        <v>46073</v>
      </c>
      <c r="I661" s="89">
        <v>46076</v>
      </c>
      <c r="N661" t="s">
        <v>1928</v>
      </c>
    </row>
    <row r="662" spans="1:14" hidden="1" x14ac:dyDescent="0.25">
      <c r="A662" t="s">
        <v>1313</v>
      </c>
      <c r="B662" t="s">
        <v>1327</v>
      </c>
      <c r="C662" t="s">
        <v>2013</v>
      </c>
      <c r="D662" t="s">
        <v>21</v>
      </c>
      <c r="F662">
        <v>240</v>
      </c>
      <c r="G662">
        <v>5</v>
      </c>
      <c r="H662" s="89">
        <v>46073</v>
      </c>
      <c r="I662" s="89">
        <v>46076</v>
      </c>
      <c r="N662" t="s">
        <v>1928</v>
      </c>
    </row>
    <row r="663" spans="1:14" hidden="1" x14ac:dyDescent="0.25">
      <c r="A663" t="s">
        <v>1315</v>
      </c>
      <c r="B663" t="s">
        <v>1329</v>
      </c>
      <c r="C663" t="s">
        <v>2013</v>
      </c>
      <c r="D663" t="s">
        <v>21</v>
      </c>
      <c r="F663">
        <v>14</v>
      </c>
      <c r="G663" t="s">
        <v>1419</v>
      </c>
      <c r="H663" s="89">
        <v>46073</v>
      </c>
      <c r="I663" s="89">
        <v>46073</v>
      </c>
      <c r="N663" t="s">
        <v>1928</v>
      </c>
    </row>
    <row r="664" spans="1:14" hidden="1" x14ac:dyDescent="0.25">
      <c r="A664" t="s">
        <v>1316</v>
      </c>
      <c r="B664" t="s">
        <v>1330</v>
      </c>
      <c r="C664" t="s">
        <v>2014</v>
      </c>
      <c r="D664" t="s">
        <v>21</v>
      </c>
      <c r="F664">
        <v>95</v>
      </c>
      <c r="G664" t="s">
        <v>1419</v>
      </c>
      <c r="H664" s="89">
        <v>46073</v>
      </c>
      <c r="I664" s="89">
        <v>46075</v>
      </c>
      <c r="N664" t="s">
        <v>1928</v>
      </c>
    </row>
    <row r="665" spans="1:14" hidden="1" x14ac:dyDescent="0.25">
      <c r="A665" t="s">
        <v>1317</v>
      </c>
      <c r="B665" t="s">
        <v>1331</v>
      </c>
      <c r="C665" t="s">
        <v>2015</v>
      </c>
      <c r="D665" t="s">
        <v>21</v>
      </c>
      <c r="F665">
        <v>18</v>
      </c>
      <c r="G665" t="s">
        <v>1419</v>
      </c>
      <c r="H665" s="89">
        <v>46073</v>
      </c>
      <c r="I665" s="89">
        <v>46075</v>
      </c>
      <c r="N665" t="s">
        <v>1928</v>
      </c>
    </row>
    <row r="666" spans="1:14" hidden="1" x14ac:dyDescent="0.25">
      <c r="A666" t="s">
        <v>1318</v>
      </c>
      <c r="B666" t="s">
        <v>1332</v>
      </c>
      <c r="C666" t="s">
        <v>2016</v>
      </c>
      <c r="D666" t="s">
        <v>21</v>
      </c>
      <c r="F666">
        <v>83</v>
      </c>
      <c r="G666" t="s">
        <v>1419</v>
      </c>
      <c r="H666" s="89">
        <v>46073</v>
      </c>
      <c r="I666" s="89">
        <v>46075</v>
      </c>
      <c r="N666" t="s">
        <v>1928</v>
      </c>
    </row>
    <row r="667" spans="1:14" hidden="1" x14ac:dyDescent="0.25">
      <c r="A667" t="s">
        <v>1313</v>
      </c>
      <c r="B667" t="s">
        <v>1327</v>
      </c>
      <c r="C667" t="s">
        <v>2017</v>
      </c>
      <c r="D667" t="s">
        <v>28</v>
      </c>
      <c r="F667">
        <v>816</v>
      </c>
      <c r="G667">
        <v>17</v>
      </c>
      <c r="H667" s="89">
        <v>46074</v>
      </c>
      <c r="I667" s="89">
        <v>46078</v>
      </c>
      <c r="J667" t="s">
        <v>2008</v>
      </c>
      <c r="N667" t="s">
        <v>1928</v>
      </c>
    </row>
    <row r="668" spans="1:14" hidden="1" x14ac:dyDescent="0.25">
      <c r="A668" t="s">
        <v>1313</v>
      </c>
      <c r="B668" t="s">
        <v>1327</v>
      </c>
      <c r="C668" t="s">
        <v>2017</v>
      </c>
      <c r="D668" t="s">
        <v>28</v>
      </c>
      <c r="F668">
        <v>240</v>
      </c>
      <c r="G668">
        <v>5</v>
      </c>
      <c r="H668" s="89">
        <v>46074</v>
      </c>
      <c r="I668" s="89">
        <v>46077</v>
      </c>
      <c r="N668" t="s">
        <v>1928</v>
      </c>
    </row>
    <row r="669" spans="1:14" hidden="1" x14ac:dyDescent="0.25">
      <c r="A669" t="s">
        <v>1315</v>
      </c>
      <c r="B669" t="s">
        <v>1329</v>
      </c>
      <c r="C669" t="s">
        <v>2017</v>
      </c>
      <c r="D669" t="s">
        <v>28</v>
      </c>
      <c r="F669">
        <v>1</v>
      </c>
      <c r="G669" t="s">
        <v>1419</v>
      </c>
      <c r="H669" s="89">
        <v>46074</v>
      </c>
      <c r="I669" s="89">
        <v>46073</v>
      </c>
      <c r="N669" t="s">
        <v>1928</v>
      </c>
    </row>
    <row r="670" spans="1:14" hidden="1" x14ac:dyDescent="0.25">
      <c r="A670" t="s">
        <v>1316</v>
      </c>
      <c r="B670" t="s">
        <v>1330</v>
      </c>
      <c r="C670" t="s">
        <v>2018</v>
      </c>
      <c r="D670" t="s">
        <v>28</v>
      </c>
      <c r="F670">
        <v>64</v>
      </c>
      <c r="G670" t="s">
        <v>1419</v>
      </c>
      <c r="H670" s="89">
        <v>46074</v>
      </c>
      <c r="I670" s="89">
        <v>46075</v>
      </c>
      <c r="N670" t="s">
        <v>1928</v>
      </c>
    </row>
    <row r="671" spans="1:14" hidden="1" x14ac:dyDescent="0.25">
      <c r="A671" t="s">
        <v>1317</v>
      </c>
      <c r="B671" t="s">
        <v>1331</v>
      </c>
      <c r="C671" t="s">
        <v>2019</v>
      </c>
      <c r="D671" t="s">
        <v>28</v>
      </c>
      <c r="F671">
        <v>0</v>
      </c>
      <c r="G671" t="s">
        <v>1419</v>
      </c>
      <c r="H671" s="89">
        <v>46074</v>
      </c>
      <c r="I671" s="89">
        <v>46075</v>
      </c>
      <c r="N671" t="s">
        <v>1928</v>
      </c>
    </row>
    <row r="672" spans="1:14" hidden="1" x14ac:dyDescent="0.25">
      <c r="A672" t="s">
        <v>1318</v>
      </c>
      <c r="B672" t="s">
        <v>1332</v>
      </c>
      <c r="C672" t="s">
        <v>2020</v>
      </c>
      <c r="D672" t="s">
        <v>28</v>
      </c>
      <c r="F672">
        <v>40</v>
      </c>
      <c r="G672" t="s">
        <v>1419</v>
      </c>
      <c r="H672" s="89">
        <v>46074</v>
      </c>
      <c r="I672" s="89">
        <v>46075</v>
      </c>
      <c r="N672" t="s">
        <v>1928</v>
      </c>
    </row>
    <row r="673" spans="1:14" hidden="1" x14ac:dyDescent="0.25">
      <c r="A673" t="s">
        <v>1320</v>
      </c>
      <c r="B673" t="s">
        <v>1334</v>
      </c>
      <c r="C673" t="s">
        <v>2021</v>
      </c>
      <c r="D673" t="s">
        <v>88</v>
      </c>
      <c r="F673">
        <v>960</v>
      </c>
      <c r="G673">
        <v>20</v>
      </c>
      <c r="H673" s="89">
        <v>46074</v>
      </c>
      <c r="I673" s="89">
        <v>46079</v>
      </c>
      <c r="J673" t="s">
        <v>2022</v>
      </c>
      <c r="N673" t="s">
        <v>1928</v>
      </c>
    </row>
    <row r="674" spans="1:14" hidden="1" x14ac:dyDescent="0.25">
      <c r="A674" t="s">
        <v>1320</v>
      </c>
      <c r="B674" t="s">
        <v>1334</v>
      </c>
      <c r="C674" t="s">
        <v>2023</v>
      </c>
      <c r="D674" t="s">
        <v>15</v>
      </c>
      <c r="F674">
        <v>960</v>
      </c>
      <c r="G674">
        <v>20</v>
      </c>
      <c r="H674" s="89">
        <v>46074</v>
      </c>
      <c r="I674" s="89">
        <v>46079</v>
      </c>
      <c r="J674" t="s">
        <v>2024</v>
      </c>
      <c r="N674" t="s">
        <v>1928</v>
      </c>
    </row>
    <row r="675" spans="1:14" hidden="1" x14ac:dyDescent="0.25">
      <c r="A675" t="s">
        <v>1313</v>
      </c>
      <c r="B675" t="s">
        <v>1327</v>
      </c>
      <c r="C675" t="s">
        <v>2023</v>
      </c>
      <c r="D675" t="s">
        <v>15</v>
      </c>
      <c r="F675">
        <v>192</v>
      </c>
      <c r="G675">
        <v>4</v>
      </c>
      <c r="H675" s="89">
        <v>46074</v>
      </c>
      <c r="I675" s="89">
        <v>46078</v>
      </c>
      <c r="J675" t="s">
        <v>2008</v>
      </c>
      <c r="N675" t="s">
        <v>1928</v>
      </c>
    </row>
    <row r="676" spans="1:14" hidden="1" x14ac:dyDescent="0.25">
      <c r="A676" t="s">
        <v>1315</v>
      </c>
      <c r="B676" t="s">
        <v>1329</v>
      </c>
      <c r="C676" t="s">
        <v>2023</v>
      </c>
      <c r="D676" t="s">
        <v>15</v>
      </c>
      <c r="F676">
        <v>36</v>
      </c>
      <c r="G676" t="s">
        <v>1419</v>
      </c>
      <c r="H676" s="89">
        <v>46074</v>
      </c>
      <c r="I676" s="89">
        <v>46073</v>
      </c>
      <c r="N676" t="s">
        <v>1928</v>
      </c>
    </row>
    <row r="677" spans="1:14" hidden="1" x14ac:dyDescent="0.25">
      <c r="A677" t="s">
        <v>1444</v>
      </c>
      <c r="B677" t="s">
        <v>1445</v>
      </c>
      <c r="C677" t="s">
        <v>2023</v>
      </c>
      <c r="D677" t="s">
        <v>15</v>
      </c>
      <c r="F677">
        <v>120</v>
      </c>
      <c r="G677">
        <v>1</v>
      </c>
      <c r="H677" s="89">
        <v>46074</v>
      </c>
      <c r="I677" s="89">
        <v>46076</v>
      </c>
      <c r="N677" t="s">
        <v>1928</v>
      </c>
    </row>
    <row r="678" spans="1:14" hidden="1" x14ac:dyDescent="0.25">
      <c r="A678" t="s">
        <v>1316</v>
      </c>
      <c r="B678" t="s">
        <v>1330</v>
      </c>
      <c r="C678" t="s">
        <v>2025</v>
      </c>
      <c r="D678" t="s">
        <v>15</v>
      </c>
      <c r="F678">
        <v>56</v>
      </c>
      <c r="G678" t="s">
        <v>1419</v>
      </c>
      <c r="H678" s="89">
        <v>46074</v>
      </c>
      <c r="I678" s="89">
        <v>46077</v>
      </c>
      <c r="N678" t="s">
        <v>1928</v>
      </c>
    </row>
    <row r="679" spans="1:14" hidden="1" x14ac:dyDescent="0.25">
      <c r="A679" t="s">
        <v>1317</v>
      </c>
      <c r="B679" t="s">
        <v>1331</v>
      </c>
      <c r="C679" t="s">
        <v>2026</v>
      </c>
      <c r="D679" t="s">
        <v>15</v>
      </c>
      <c r="F679">
        <v>4</v>
      </c>
      <c r="G679" t="s">
        <v>1419</v>
      </c>
      <c r="H679" s="89">
        <v>46074</v>
      </c>
      <c r="I679" s="89">
        <v>46077</v>
      </c>
      <c r="N679" t="s">
        <v>1928</v>
      </c>
    </row>
    <row r="680" spans="1:14" hidden="1" x14ac:dyDescent="0.25">
      <c r="A680" t="s">
        <v>1318</v>
      </c>
      <c r="B680" t="s">
        <v>1332</v>
      </c>
      <c r="C680" t="s">
        <v>2027</v>
      </c>
      <c r="D680" t="s">
        <v>15</v>
      </c>
      <c r="F680">
        <v>17</v>
      </c>
      <c r="G680" t="s">
        <v>1419</v>
      </c>
      <c r="H680" s="89">
        <v>46074</v>
      </c>
      <c r="I680" s="89">
        <v>46077</v>
      </c>
      <c r="N680" t="s">
        <v>1928</v>
      </c>
    </row>
    <row r="681" spans="1:14" hidden="1" x14ac:dyDescent="0.25">
      <c r="A681" t="s">
        <v>1320</v>
      </c>
      <c r="B681" t="s">
        <v>1334</v>
      </c>
      <c r="C681" t="s">
        <v>2028</v>
      </c>
      <c r="D681" t="s">
        <v>20</v>
      </c>
      <c r="F681">
        <v>960</v>
      </c>
      <c r="G681">
        <v>20</v>
      </c>
      <c r="H681" s="89">
        <v>46076</v>
      </c>
      <c r="I681" s="89">
        <v>46080</v>
      </c>
      <c r="J681" t="s">
        <v>2029</v>
      </c>
      <c r="N681" t="s">
        <v>2030</v>
      </c>
    </row>
    <row r="682" spans="1:14" hidden="1" x14ac:dyDescent="0.25">
      <c r="A682" t="s">
        <v>1315</v>
      </c>
      <c r="B682" t="s">
        <v>1329</v>
      </c>
      <c r="C682" t="s">
        <v>2028</v>
      </c>
      <c r="D682" t="s">
        <v>20</v>
      </c>
      <c r="F682">
        <v>80</v>
      </c>
      <c r="G682" t="s">
        <v>1419</v>
      </c>
      <c r="H682" s="89">
        <v>46076</v>
      </c>
      <c r="I682" s="89">
        <v>46078</v>
      </c>
      <c r="N682" t="s">
        <v>2030</v>
      </c>
    </row>
    <row r="683" spans="1:14" hidden="1" x14ac:dyDescent="0.25">
      <c r="A683" t="s">
        <v>1316</v>
      </c>
      <c r="B683" t="s">
        <v>1330</v>
      </c>
      <c r="C683" t="s">
        <v>2031</v>
      </c>
      <c r="D683" t="s">
        <v>20</v>
      </c>
      <c r="F683">
        <v>160</v>
      </c>
      <c r="G683" t="s">
        <v>1419</v>
      </c>
      <c r="H683" s="89">
        <v>46076</v>
      </c>
      <c r="I683" s="89">
        <v>46078</v>
      </c>
      <c r="N683" t="s">
        <v>2030</v>
      </c>
    </row>
    <row r="684" spans="1:14" hidden="1" x14ac:dyDescent="0.25">
      <c r="A684" t="s">
        <v>1317</v>
      </c>
      <c r="B684" t="s">
        <v>1331</v>
      </c>
      <c r="C684" t="s">
        <v>2032</v>
      </c>
      <c r="D684" t="s">
        <v>20</v>
      </c>
      <c r="F684">
        <v>10</v>
      </c>
      <c r="G684" t="s">
        <v>1419</v>
      </c>
      <c r="H684" s="89">
        <v>46076</v>
      </c>
      <c r="I684" s="89">
        <v>46078</v>
      </c>
      <c r="N684" t="s">
        <v>2030</v>
      </c>
    </row>
    <row r="685" spans="1:14" hidden="1" x14ac:dyDescent="0.25">
      <c r="A685" t="s">
        <v>1318</v>
      </c>
      <c r="B685" t="s">
        <v>1332</v>
      </c>
      <c r="C685" t="s">
        <v>2033</v>
      </c>
      <c r="D685" t="s">
        <v>20</v>
      </c>
      <c r="F685">
        <v>55</v>
      </c>
      <c r="G685" t="s">
        <v>1419</v>
      </c>
      <c r="H685" s="89">
        <v>46076</v>
      </c>
      <c r="I685" s="89">
        <v>46078</v>
      </c>
      <c r="N685" t="s">
        <v>2030</v>
      </c>
    </row>
    <row r="686" spans="1:14" hidden="1" x14ac:dyDescent="0.25">
      <c r="A686" t="s">
        <v>1320</v>
      </c>
      <c r="B686" t="s">
        <v>1334</v>
      </c>
      <c r="C686" t="s">
        <v>2034</v>
      </c>
      <c r="D686" t="s">
        <v>15</v>
      </c>
      <c r="F686">
        <v>960</v>
      </c>
      <c r="G686">
        <v>20</v>
      </c>
      <c r="H686" s="89">
        <v>46076</v>
      </c>
      <c r="I686" s="89">
        <v>46080</v>
      </c>
      <c r="J686" t="s">
        <v>2035</v>
      </c>
      <c r="N686" t="s">
        <v>2030</v>
      </c>
    </row>
    <row r="687" spans="1:14" hidden="1" x14ac:dyDescent="0.25">
      <c r="A687" t="s">
        <v>1315</v>
      </c>
      <c r="B687" t="s">
        <v>1329</v>
      </c>
      <c r="C687" t="s">
        <v>2034</v>
      </c>
      <c r="D687" t="s">
        <v>15</v>
      </c>
      <c r="F687">
        <v>59</v>
      </c>
      <c r="G687" t="s">
        <v>1419</v>
      </c>
      <c r="H687" s="89">
        <v>46076</v>
      </c>
      <c r="I687" s="89">
        <v>46078</v>
      </c>
      <c r="N687" t="s">
        <v>2030</v>
      </c>
    </row>
    <row r="688" spans="1:14" hidden="1" x14ac:dyDescent="0.25">
      <c r="A688" t="s">
        <v>1444</v>
      </c>
      <c r="B688" t="s">
        <v>1445</v>
      </c>
      <c r="C688" t="s">
        <v>2034</v>
      </c>
      <c r="D688" t="s">
        <v>15</v>
      </c>
      <c r="F688">
        <v>180</v>
      </c>
      <c r="G688">
        <v>1</v>
      </c>
      <c r="H688" s="89">
        <v>46076</v>
      </c>
      <c r="I688" s="89">
        <v>46078</v>
      </c>
      <c r="N688" t="s">
        <v>2030</v>
      </c>
    </row>
    <row r="689" spans="1:14" hidden="1" x14ac:dyDescent="0.25">
      <c r="A689" t="s">
        <v>1316</v>
      </c>
      <c r="B689" t="s">
        <v>1330</v>
      </c>
      <c r="C689" t="s">
        <v>2036</v>
      </c>
      <c r="D689" t="s">
        <v>15</v>
      </c>
      <c r="F689">
        <v>38</v>
      </c>
      <c r="G689" t="s">
        <v>1419</v>
      </c>
      <c r="H689" s="89">
        <v>46076</v>
      </c>
      <c r="I689" s="89">
        <v>46078</v>
      </c>
      <c r="N689" t="s">
        <v>2030</v>
      </c>
    </row>
    <row r="690" spans="1:14" hidden="1" x14ac:dyDescent="0.25">
      <c r="A690" t="s">
        <v>1317</v>
      </c>
      <c r="B690" t="s">
        <v>1331</v>
      </c>
      <c r="C690" t="s">
        <v>2037</v>
      </c>
      <c r="D690" t="s">
        <v>15</v>
      </c>
      <c r="F690">
        <v>14</v>
      </c>
      <c r="G690" t="s">
        <v>1419</v>
      </c>
      <c r="H690" s="89">
        <v>46076</v>
      </c>
      <c r="I690" s="89">
        <v>46078</v>
      </c>
      <c r="N690" t="s">
        <v>2030</v>
      </c>
    </row>
    <row r="691" spans="1:14" hidden="1" x14ac:dyDescent="0.25">
      <c r="A691" t="s">
        <v>1318</v>
      </c>
      <c r="B691" t="s">
        <v>1332</v>
      </c>
      <c r="C691" t="s">
        <v>2038</v>
      </c>
      <c r="D691" t="s">
        <v>15</v>
      </c>
      <c r="F691">
        <v>12</v>
      </c>
      <c r="G691" t="s">
        <v>1419</v>
      </c>
      <c r="H691" s="89">
        <v>46076</v>
      </c>
      <c r="I691" s="89">
        <v>46078</v>
      </c>
      <c r="N691" t="s">
        <v>2030</v>
      </c>
    </row>
    <row r="692" spans="1:14" hidden="1" x14ac:dyDescent="0.25">
      <c r="A692" t="s">
        <v>1326</v>
      </c>
      <c r="B692" t="s">
        <v>1340</v>
      </c>
      <c r="C692" t="s">
        <v>2039</v>
      </c>
      <c r="D692" t="s">
        <v>138</v>
      </c>
      <c r="F692">
        <v>672</v>
      </c>
      <c r="G692">
        <v>16</v>
      </c>
      <c r="H692" s="89">
        <v>46076</v>
      </c>
      <c r="I692" s="89">
        <v>46080</v>
      </c>
      <c r="J692" t="s">
        <v>2040</v>
      </c>
      <c r="N692" t="s">
        <v>2030</v>
      </c>
    </row>
    <row r="693" spans="1:14" hidden="1" x14ac:dyDescent="0.25">
      <c r="A693" t="s">
        <v>1324</v>
      </c>
      <c r="B693" t="s">
        <v>1338</v>
      </c>
      <c r="C693" t="s">
        <v>2041</v>
      </c>
      <c r="D693" t="s">
        <v>13</v>
      </c>
      <c r="F693">
        <v>384</v>
      </c>
      <c r="G693">
        <v>8</v>
      </c>
      <c r="H693" s="89">
        <v>46076</v>
      </c>
      <c r="I693" s="89">
        <v>46081</v>
      </c>
      <c r="J693" t="s">
        <v>2042</v>
      </c>
      <c r="N693" t="s">
        <v>2030</v>
      </c>
    </row>
    <row r="694" spans="1:14" hidden="1" x14ac:dyDescent="0.25">
      <c r="A694" t="s">
        <v>1324</v>
      </c>
      <c r="B694" t="s">
        <v>1338</v>
      </c>
      <c r="C694" t="s">
        <v>2043</v>
      </c>
      <c r="D694" t="s">
        <v>21</v>
      </c>
      <c r="F694">
        <v>960</v>
      </c>
      <c r="G694">
        <v>20</v>
      </c>
      <c r="H694" s="89">
        <v>46076</v>
      </c>
      <c r="I694" s="89">
        <v>46081</v>
      </c>
      <c r="J694" t="s">
        <v>2042</v>
      </c>
      <c r="N694" t="s">
        <v>2030</v>
      </c>
    </row>
    <row r="695" spans="1:14" hidden="1" x14ac:dyDescent="0.25">
      <c r="A695" t="s">
        <v>1315</v>
      </c>
      <c r="B695" t="s">
        <v>1329</v>
      </c>
      <c r="C695" t="s">
        <v>2043</v>
      </c>
      <c r="D695" t="s">
        <v>21</v>
      </c>
      <c r="F695">
        <v>53</v>
      </c>
      <c r="G695" t="s">
        <v>1419</v>
      </c>
      <c r="H695" s="89">
        <v>46076</v>
      </c>
      <c r="I695" s="89">
        <v>46078</v>
      </c>
      <c r="N695" t="s">
        <v>2030</v>
      </c>
    </row>
    <row r="696" spans="1:14" hidden="1" x14ac:dyDescent="0.25">
      <c r="A696" t="s">
        <v>1316</v>
      </c>
      <c r="B696" t="s">
        <v>1330</v>
      </c>
      <c r="C696" t="s">
        <v>2044</v>
      </c>
      <c r="D696" t="s">
        <v>21</v>
      </c>
      <c r="F696">
        <v>63</v>
      </c>
      <c r="G696" t="s">
        <v>1419</v>
      </c>
      <c r="H696" s="89">
        <v>46076</v>
      </c>
      <c r="I696" s="89">
        <v>46078</v>
      </c>
      <c r="N696" t="s">
        <v>2030</v>
      </c>
    </row>
    <row r="697" spans="1:14" hidden="1" x14ac:dyDescent="0.25">
      <c r="A697" t="s">
        <v>1317</v>
      </c>
      <c r="B697" t="s">
        <v>1331</v>
      </c>
      <c r="C697" t="s">
        <v>2045</v>
      </c>
      <c r="D697" t="s">
        <v>21</v>
      </c>
      <c r="F697">
        <v>43</v>
      </c>
      <c r="G697" t="s">
        <v>1419</v>
      </c>
      <c r="H697" s="89">
        <v>46076</v>
      </c>
      <c r="I697" s="89">
        <v>46078</v>
      </c>
      <c r="N697" t="s">
        <v>2030</v>
      </c>
    </row>
    <row r="698" spans="1:14" hidden="1" x14ac:dyDescent="0.25">
      <c r="A698" t="s">
        <v>1318</v>
      </c>
      <c r="B698" t="s">
        <v>1332</v>
      </c>
      <c r="C698" t="s">
        <v>2046</v>
      </c>
      <c r="D698" t="s">
        <v>21</v>
      </c>
      <c r="F698">
        <v>86</v>
      </c>
      <c r="G698" t="s">
        <v>1419</v>
      </c>
      <c r="H698" s="89">
        <v>46076</v>
      </c>
      <c r="I698" s="89">
        <v>46078</v>
      </c>
      <c r="N698" t="s">
        <v>2030</v>
      </c>
    </row>
    <row r="699" spans="1:14" hidden="1" x14ac:dyDescent="0.25">
      <c r="A699" t="s">
        <v>1321</v>
      </c>
      <c r="B699" t="s">
        <v>1335</v>
      </c>
      <c r="C699" t="s">
        <v>2039</v>
      </c>
      <c r="D699" t="s">
        <v>138</v>
      </c>
      <c r="F699">
        <v>96</v>
      </c>
      <c r="G699">
        <v>2</v>
      </c>
      <c r="H699" s="89">
        <v>46076</v>
      </c>
      <c r="I699" s="89">
        <v>46081</v>
      </c>
      <c r="J699" t="s">
        <v>2042</v>
      </c>
      <c r="N699" t="s">
        <v>2030</v>
      </c>
    </row>
    <row r="700" spans="1:14" hidden="1" x14ac:dyDescent="0.25">
      <c r="A700" t="s">
        <v>1326</v>
      </c>
      <c r="B700" t="s">
        <v>1340</v>
      </c>
      <c r="C700" t="s">
        <v>2047</v>
      </c>
      <c r="D700" t="s">
        <v>138</v>
      </c>
      <c r="F700">
        <v>336</v>
      </c>
      <c r="G700">
        <v>8</v>
      </c>
      <c r="H700" s="89">
        <v>46077</v>
      </c>
      <c r="I700" s="89">
        <v>46080</v>
      </c>
      <c r="J700" t="s">
        <v>2040</v>
      </c>
      <c r="N700" t="s">
        <v>2030</v>
      </c>
    </row>
    <row r="701" spans="1:14" hidden="1" x14ac:dyDescent="0.25">
      <c r="A701" t="s">
        <v>1325</v>
      </c>
      <c r="B701" t="s">
        <v>1339</v>
      </c>
      <c r="C701" t="s">
        <v>2047</v>
      </c>
      <c r="D701" t="s">
        <v>138</v>
      </c>
      <c r="F701">
        <v>242</v>
      </c>
      <c r="G701">
        <v>5</v>
      </c>
      <c r="H701" s="89">
        <v>46077</v>
      </c>
      <c r="I701" s="89">
        <v>46079</v>
      </c>
      <c r="N701" t="s">
        <v>2030</v>
      </c>
    </row>
    <row r="702" spans="1:14" hidden="1" x14ac:dyDescent="0.25">
      <c r="A702" t="s">
        <v>1324</v>
      </c>
      <c r="B702" t="s">
        <v>1338</v>
      </c>
      <c r="C702" t="s">
        <v>2048</v>
      </c>
      <c r="D702" t="s">
        <v>13</v>
      </c>
      <c r="F702">
        <v>960</v>
      </c>
      <c r="G702">
        <v>20</v>
      </c>
      <c r="H702" s="89">
        <v>46077</v>
      </c>
      <c r="I702" s="89">
        <v>46083</v>
      </c>
      <c r="J702" t="s">
        <v>2049</v>
      </c>
      <c r="N702" t="s">
        <v>2030</v>
      </c>
    </row>
    <row r="703" spans="1:14" hidden="1" x14ac:dyDescent="0.25">
      <c r="A703" t="s">
        <v>1324</v>
      </c>
      <c r="B703" t="s">
        <v>1338</v>
      </c>
      <c r="C703" t="s">
        <v>2050</v>
      </c>
      <c r="D703" t="s">
        <v>15</v>
      </c>
      <c r="F703">
        <v>192</v>
      </c>
      <c r="G703">
        <v>4</v>
      </c>
      <c r="H703" s="89">
        <v>46077</v>
      </c>
      <c r="I703" s="89">
        <v>46083</v>
      </c>
      <c r="J703" t="s">
        <v>2049</v>
      </c>
      <c r="N703" t="s">
        <v>2030</v>
      </c>
    </row>
    <row r="704" spans="1:14" hidden="1" x14ac:dyDescent="0.25">
      <c r="A704" t="s">
        <v>1320</v>
      </c>
      <c r="B704" t="s">
        <v>1334</v>
      </c>
      <c r="C704" t="s">
        <v>2050</v>
      </c>
      <c r="D704" t="s">
        <v>15</v>
      </c>
      <c r="F704">
        <v>960</v>
      </c>
      <c r="G704">
        <v>20</v>
      </c>
      <c r="H704" s="89">
        <v>46077</v>
      </c>
      <c r="I704" s="89">
        <v>46081</v>
      </c>
      <c r="J704" t="s">
        <v>2051</v>
      </c>
      <c r="N704" t="s">
        <v>2030</v>
      </c>
    </row>
    <row r="705" spans="1:14" hidden="1" x14ac:dyDescent="0.25">
      <c r="A705" t="s">
        <v>1313</v>
      </c>
      <c r="B705" t="s">
        <v>1327</v>
      </c>
      <c r="C705" t="s">
        <v>2050</v>
      </c>
      <c r="D705" t="s">
        <v>15</v>
      </c>
      <c r="F705">
        <v>179</v>
      </c>
      <c r="G705">
        <v>3.7291666666666665</v>
      </c>
      <c r="H705" s="89">
        <v>46077</v>
      </c>
      <c r="I705" s="89">
        <v>46082</v>
      </c>
      <c r="J705" t="s">
        <v>2052</v>
      </c>
      <c r="N705" t="s">
        <v>2030</v>
      </c>
    </row>
    <row r="706" spans="1:14" hidden="1" x14ac:dyDescent="0.25">
      <c r="A706" t="s">
        <v>1316</v>
      </c>
      <c r="B706" t="s">
        <v>1330</v>
      </c>
      <c r="C706" t="s">
        <v>2053</v>
      </c>
      <c r="D706" t="s">
        <v>15</v>
      </c>
      <c r="F706">
        <v>57</v>
      </c>
      <c r="G706" t="s">
        <v>1419</v>
      </c>
      <c r="H706" s="89">
        <v>46077</v>
      </c>
      <c r="I706" s="89">
        <v>46079</v>
      </c>
      <c r="N706" t="s">
        <v>2030</v>
      </c>
    </row>
    <row r="707" spans="1:14" hidden="1" x14ac:dyDescent="0.25">
      <c r="A707" t="s">
        <v>1317</v>
      </c>
      <c r="B707" t="s">
        <v>1331</v>
      </c>
      <c r="C707" t="s">
        <v>2054</v>
      </c>
      <c r="D707" t="s">
        <v>15</v>
      </c>
      <c r="F707">
        <v>13</v>
      </c>
      <c r="G707" t="s">
        <v>1419</v>
      </c>
      <c r="H707" s="89">
        <v>46077</v>
      </c>
      <c r="I707" s="89">
        <v>46079</v>
      </c>
      <c r="N707" t="s">
        <v>2030</v>
      </c>
    </row>
    <row r="708" spans="1:14" hidden="1" x14ac:dyDescent="0.25">
      <c r="A708" t="s">
        <v>1318</v>
      </c>
      <c r="B708" t="s">
        <v>1332</v>
      </c>
      <c r="C708" t="s">
        <v>2055</v>
      </c>
      <c r="D708" t="s">
        <v>15</v>
      </c>
      <c r="F708">
        <v>40</v>
      </c>
      <c r="G708" t="s">
        <v>1419</v>
      </c>
      <c r="H708" s="89">
        <v>46077</v>
      </c>
      <c r="I708" s="89">
        <v>46079</v>
      </c>
      <c r="N708" t="s">
        <v>2030</v>
      </c>
    </row>
    <row r="709" spans="1:14" hidden="1" x14ac:dyDescent="0.25">
      <c r="A709" t="s">
        <v>1323</v>
      </c>
      <c r="B709" t="s">
        <v>1337</v>
      </c>
      <c r="C709" t="s">
        <v>2056</v>
      </c>
      <c r="D709" t="s">
        <v>20</v>
      </c>
      <c r="F709">
        <v>756</v>
      </c>
      <c r="G709">
        <v>14</v>
      </c>
      <c r="H709" s="89">
        <v>46077</v>
      </c>
      <c r="I709" s="89">
        <v>46080</v>
      </c>
      <c r="J709" t="s">
        <v>2057</v>
      </c>
      <c r="N709" t="s">
        <v>2030</v>
      </c>
    </row>
    <row r="710" spans="1:14" hidden="1" x14ac:dyDescent="0.25">
      <c r="A710" t="s">
        <v>1322</v>
      </c>
      <c r="B710" t="s">
        <v>1336</v>
      </c>
      <c r="C710" t="s">
        <v>2056</v>
      </c>
      <c r="D710" t="s">
        <v>20</v>
      </c>
      <c r="F710">
        <v>324</v>
      </c>
      <c r="G710">
        <v>6</v>
      </c>
      <c r="H710" s="89">
        <v>46077</v>
      </c>
      <c r="I710" s="89">
        <v>46080</v>
      </c>
      <c r="J710" t="s">
        <v>2057</v>
      </c>
      <c r="N710" t="s">
        <v>2030</v>
      </c>
    </row>
    <row r="711" spans="1:14" hidden="1" x14ac:dyDescent="0.25">
      <c r="A711" t="s">
        <v>1315</v>
      </c>
      <c r="B711" t="s">
        <v>1329</v>
      </c>
      <c r="C711" t="s">
        <v>2056</v>
      </c>
      <c r="D711" t="s">
        <v>20</v>
      </c>
      <c r="F711">
        <v>108</v>
      </c>
      <c r="G711" t="s">
        <v>1419</v>
      </c>
      <c r="H711" s="89">
        <v>46077</v>
      </c>
      <c r="I711" s="89">
        <v>46080</v>
      </c>
      <c r="N711" t="s">
        <v>2030</v>
      </c>
    </row>
    <row r="712" spans="1:14" hidden="1" x14ac:dyDescent="0.25">
      <c r="A712" t="s">
        <v>1316</v>
      </c>
      <c r="B712" t="s">
        <v>1330</v>
      </c>
      <c r="C712" t="s">
        <v>2058</v>
      </c>
      <c r="D712" t="s">
        <v>20</v>
      </c>
      <c r="F712">
        <v>92</v>
      </c>
      <c r="G712" t="s">
        <v>1419</v>
      </c>
      <c r="H712" s="89">
        <v>46077</v>
      </c>
      <c r="I712" s="89">
        <v>46079</v>
      </c>
      <c r="N712" t="s">
        <v>2030</v>
      </c>
    </row>
    <row r="713" spans="1:14" hidden="1" x14ac:dyDescent="0.25">
      <c r="A713" t="s">
        <v>1317</v>
      </c>
      <c r="B713" t="s">
        <v>1331</v>
      </c>
      <c r="C713" t="s">
        <v>2059</v>
      </c>
      <c r="D713" t="s">
        <v>20</v>
      </c>
      <c r="F713">
        <v>8</v>
      </c>
      <c r="G713" t="s">
        <v>1419</v>
      </c>
      <c r="H713" s="89">
        <v>46077</v>
      </c>
      <c r="I713" s="89">
        <v>46079</v>
      </c>
      <c r="N713" t="s">
        <v>2030</v>
      </c>
    </row>
    <row r="714" spans="1:14" hidden="1" x14ac:dyDescent="0.25">
      <c r="A714" t="s">
        <v>1318</v>
      </c>
      <c r="B714" t="s">
        <v>1332</v>
      </c>
      <c r="C714" t="s">
        <v>2060</v>
      </c>
      <c r="D714" t="s">
        <v>20</v>
      </c>
      <c r="F714">
        <v>35</v>
      </c>
      <c r="G714" t="s">
        <v>1419</v>
      </c>
      <c r="H714" s="89">
        <v>46077</v>
      </c>
      <c r="I714" s="89">
        <v>46079</v>
      </c>
      <c r="N714" t="s">
        <v>2030</v>
      </c>
    </row>
    <row r="715" spans="1:14" hidden="1" x14ac:dyDescent="0.25">
      <c r="A715" t="s">
        <v>1324</v>
      </c>
      <c r="B715" t="s">
        <v>1338</v>
      </c>
      <c r="C715" t="s">
        <v>2061</v>
      </c>
      <c r="D715" t="s">
        <v>21</v>
      </c>
      <c r="F715">
        <v>48</v>
      </c>
      <c r="G715">
        <v>1</v>
      </c>
      <c r="H715" s="89">
        <v>46077</v>
      </c>
      <c r="I715" s="89">
        <v>46081</v>
      </c>
      <c r="J715" t="s">
        <v>2042</v>
      </c>
      <c r="N715" t="s">
        <v>2030</v>
      </c>
    </row>
    <row r="716" spans="1:14" hidden="1" x14ac:dyDescent="0.25">
      <c r="A716" t="s">
        <v>1324</v>
      </c>
      <c r="B716" t="s">
        <v>1338</v>
      </c>
      <c r="C716" t="s">
        <v>2061</v>
      </c>
      <c r="D716" t="s">
        <v>21</v>
      </c>
      <c r="F716">
        <v>192</v>
      </c>
      <c r="G716">
        <v>4</v>
      </c>
      <c r="H716" s="89">
        <v>46077</v>
      </c>
      <c r="I716" s="89">
        <v>46083</v>
      </c>
      <c r="J716" t="s">
        <v>2049</v>
      </c>
      <c r="N716" t="s">
        <v>2030</v>
      </c>
    </row>
    <row r="717" spans="1:14" hidden="1" x14ac:dyDescent="0.25">
      <c r="A717" t="s">
        <v>1314</v>
      </c>
      <c r="B717" t="s">
        <v>1328</v>
      </c>
      <c r="C717" t="s">
        <v>2061</v>
      </c>
      <c r="D717" t="s">
        <v>21</v>
      </c>
      <c r="F717">
        <v>288</v>
      </c>
      <c r="G717">
        <v>6</v>
      </c>
      <c r="H717" s="89">
        <v>46077</v>
      </c>
      <c r="I717" s="89">
        <v>46080</v>
      </c>
      <c r="J717" t="s">
        <v>2062</v>
      </c>
      <c r="N717" t="s">
        <v>2030</v>
      </c>
    </row>
    <row r="718" spans="1:14" hidden="1" x14ac:dyDescent="0.25">
      <c r="A718" t="s">
        <v>1313</v>
      </c>
      <c r="B718" t="s">
        <v>1327</v>
      </c>
      <c r="C718" t="s">
        <v>2061</v>
      </c>
      <c r="D718" t="s">
        <v>21</v>
      </c>
      <c r="F718">
        <v>864</v>
      </c>
      <c r="G718">
        <v>18</v>
      </c>
      <c r="H718" s="89">
        <v>46077</v>
      </c>
      <c r="I718" s="89">
        <v>46080</v>
      </c>
      <c r="J718" t="s">
        <v>2063</v>
      </c>
      <c r="N718" t="s">
        <v>2030</v>
      </c>
    </row>
    <row r="719" spans="1:14" hidden="1" x14ac:dyDescent="0.25">
      <c r="A719" t="s">
        <v>1315</v>
      </c>
      <c r="B719" t="s">
        <v>1329</v>
      </c>
      <c r="C719" t="s">
        <v>2061</v>
      </c>
      <c r="D719" t="s">
        <v>21</v>
      </c>
      <c r="F719">
        <v>62</v>
      </c>
      <c r="G719" t="s">
        <v>1419</v>
      </c>
      <c r="H719" s="89">
        <v>46077</v>
      </c>
      <c r="I719" s="89">
        <v>46079</v>
      </c>
      <c r="N719" t="s">
        <v>2030</v>
      </c>
    </row>
    <row r="720" spans="1:14" hidden="1" x14ac:dyDescent="0.25">
      <c r="A720" t="s">
        <v>1316</v>
      </c>
      <c r="B720" t="s">
        <v>1330</v>
      </c>
      <c r="C720" t="s">
        <v>2064</v>
      </c>
      <c r="D720" t="s">
        <v>21</v>
      </c>
      <c r="F720">
        <v>18</v>
      </c>
      <c r="G720" t="s">
        <v>1419</v>
      </c>
      <c r="H720" s="89">
        <v>46077</v>
      </c>
      <c r="I720" s="89">
        <v>46079</v>
      </c>
      <c r="N720" t="s">
        <v>2030</v>
      </c>
    </row>
    <row r="721" spans="1:14" hidden="1" x14ac:dyDescent="0.25">
      <c r="A721" t="s">
        <v>1317</v>
      </c>
      <c r="B721" t="s">
        <v>1331</v>
      </c>
      <c r="C721" t="s">
        <v>2065</v>
      </c>
      <c r="D721" t="s">
        <v>21</v>
      </c>
      <c r="F721">
        <v>35</v>
      </c>
      <c r="G721" t="s">
        <v>1419</v>
      </c>
      <c r="H721" s="89">
        <v>46077</v>
      </c>
      <c r="I721" s="89">
        <v>46079</v>
      </c>
      <c r="N721" t="s">
        <v>2030</v>
      </c>
    </row>
    <row r="722" spans="1:14" hidden="1" x14ac:dyDescent="0.25">
      <c r="A722" t="s">
        <v>1318</v>
      </c>
      <c r="B722" t="s">
        <v>1332</v>
      </c>
      <c r="C722" t="s">
        <v>2066</v>
      </c>
      <c r="D722" t="s">
        <v>21</v>
      </c>
      <c r="F722">
        <v>62</v>
      </c>
      <c r="G722" t="s">
        <v>1419</v>
      </c>
      <c r="H722" s="89">
        <v>46077</v>
      </c>
      <c r="I722" s="89">
        <v>46079</v>
      </c>
      <c r="N722" t="s">
        <v>2030</v>
      </c>
    </row>
    <row r="723" spans="1:14" hidden="1" x14ac:dyDescent="0.25">
      <c r="A723" t="s">
        <v>1313</v>
      </c>
      <c r="B723" t="s">
        <v>1327</v>
      </c>
      <c r="C723" t="s">
        <v>2067</v>
      </c>
      <c r="D723" t="s">
        <v>23</v>
      </c>
      <c r="F723">
        <v>720</v>
      </c>
      <c r="G723">
        <v>15</v>
      </c>
      <c r="H723" s="89">
        <v>46077</v>
      </c>
      <c r="I723" s="89">
        <v>46079</v>
      </c>
      <c r="N723" t="s">
        <v>2030</v>
      </c>
    </row>
    <row r="724" spans="1:14" hidden="1" x14ac:dyDescent="0.25">
      <c r="A724" t="s">
        <v>1324</v>
      </c>
      <c r="B724" t="s">
        <v>1338</v>
      </c>
      <c r="C724" t="s">
        <v>2068</v>
      </c>
      <c r="D724" t="s">
        <v>147</v>
      </c>
      <c r="F724">
        <v>960</v>
      </c>
      <c r="G724">
        <v>20</v>
      </c>
      <c r="H724" s="89">
        <v>46078</v>
      </c>
      <c r="I724" s="89">
        <v>46085</v>
      </c>
      <c r="J724" t="s">
        <v>2069</v>
      </c>
      <c r="N724" t="s">
        <v>2030</v>
      </c>
    </row>
    <row r="725" spans="1:14" hidden="1" x14ac:dyDescent="0.25">
      <c r="A725" t="s">
        <v>1313</v>
      </c>
      <c r="B725" t="s">
        <v>1327</v>
      </c>
      <c r="C725" t="s">
        <v>2070</v>
      </c>
      <c r="D725" t="s">
        <v>21</v>
      </c>
      <c r="F725">
        <v>859</v>
      </c>
      <c r="G725">
        <v>17.895833333333332</v>
      </c>
      <c r="H725" s="89">
        <v>46078</v>
      </c>
      <c r="I725" s="89">
        <v>46082</v>
      </c>
      <c r="J725" t="s">
        <v>2052</v>
      </c>
      <c r="N725" t="s">
        <v>2030</v>
      </c>
    </row>
    <row r="726" spans="1:14" hidden="1" x14ac:dyDescent="0.25">
      <c r="A726" t="s">
        <v>1566</v>
      </c>
      <c r="B726" t="s">
        <v>1567</v>
      </c>
      <c r="C726" t="s">
        <v>2070</v>
      </c>
      <c r="D726" t="s">
        <v>21</v>
      </c>
      <c r="F726">
        <v>5</v>
      </c>
      <c r="G726">
        <v>0.10416666666666669</v>
      </c>
      <c r="H726" s="89">
        <v>46078</v>
      </c>
      <c r="I726" s="89">
        <v>46082</v>
      </c>
      <c r="J726" t="s">
        <v>2071</v>
      </c>
      <c r="N726" t="s">
        <v>2030</v>
      </c>
    </row>
    <row r="727" spans="1:14" hidden="1" x14ac:dyDescent="0.25">
      <c r="A727" t="s">
        <v>1314</v>
      </c>
      <c r="B727" t="s">
        <v>1328</v>
      </c>
      <c r="C727" t="s">
        <v>2070</v>
      </c>
      <c r="D727" t="s">
        <v>21</v>
      </c>
      <c r="F727">
        <v>336</v>
      </c>
      <c r="G727">
        <v>7</v>
      </c>
      <c r="H727" s="89">
        <v>46078</v>
      </c>
      <c r="I727" s="89">
        <v>46082</v>
      </c>
      <c r="J727" t="s">
        <v>2072</v>
      </c>
      <c r="N727" t="s">
        <v>2030</v>
      </c>
    </row>
    <row r="728" spans="1:14" hidden="1" x14ac:dyDescent="0.25">
      <c r="A728" t="s">
        <v>1313</v>
      </c>
      <c r="B728" t="s">
        <v>1327</v>
      </c>
      <c r="C728" t="s">
        <v>2070</v>
      </c>
      <c r="D728" t="s">
        <v>21</v>
      </c>
      <c r="F728">
        <v>240</v>
      </c>
      <c r="G728">
        <v>5</v>
      </c>
      <c r="H728" s="89">
        <v>46078</v>
      </c>
      <c r="I728" s="89">
        <v>46083</v>
      </c>
      <c r="J728" t="s">
        <v>2073</v>
      </c>
      <c r="N728" t="s">
        <v>2030</v>
      </c>
    </row>
    <row r="729" spans="1:14" hidden="1" x14ac:dyDescent="0.25">
      <c r="A729" t="s">
        <v>1316</v>
      </c>
      <c r="B729" t="s">
        <v>1330</v>
      </c>
      <c r="C729" t="s">
        <v>2074</v>
      </c>
      <c r="D729" t="s">
        <v>21</v>
      </c>
      <c r="F729">
        <v>52</v>
      </c>
      <c r="G729" t="s">
        <v>1419</v>
      </c>
      <c r="H729" s="89">
        <v>46078</v>
      </c>
      <c r="I729" s="89">
        <v>46080</v>
      </c>
      <c r="N729" t="s">
        <v>2030</v>
      </c>
    </row>
    <row r="730" spans="1:14" hidden="1" x14ac:dyDescent="0.25">
      <c r="A730" t="s">
        <v>1317</v>
      </c>
      <c r="B730" t="s">
        <v>1331</v>
      </c>
      <c r="C730" t="s">
        <v>2075</v>
      </c>
      <c r="D730" t="s">
        <v>21</v>
      </c>
      <c r="F730">
        <v>27</v>
      </c>
      <c r="G730" t="s">
        <v>1419</v>
      </c>
      <c r="H730" s="89">
        <v>46078</v>
      </c>
      <c r="I730" s="89">
        <v>46080</v>
      </c>
      <c r="N730" t="s">
        <v>2030</v>
      </c>
    </row>
    <row r="731" spans="1:14" hidden="1" x14ac:dyDescent="0.25">
      <c r="A731" t="s">
        <v>1318</v>
      </c>
      <c r="B731" t="s">
        <v>1332</v>
      </c>
      <c r="C731" t="s">
        <v>2076</v>
      </c>
      <c r="D731" t="s">
        <v>21</v>
      </c>
      <c r="F731">
        <v>53</v>
      </c>
      <c r="G731" t="s">
        <v>1419</v>
      </c>
      <c r="H731" s="89">
        <v>46078</v>
      </c>
      <c r="I731" s="89">
        <v>46080</v>
      </c>
      <c r="N731" t="s">
        <v>2030</v>
      </c>
    </row>
    <row r="732" spans="1:14" hidden="1" x14ac:dyDescent="0.25">
      <c r="A732" t="s">
        <v>1313</v>
      </c>
      <c r="B732" t="s">
        <v>1327</v>
      </c>
      <c r="C732" t="s">
        <v>2077</v>
      </c>
      <c r="D732" t="s">
        <v>129</v>
      </c>
      <c r="F732">
        <v>720</v>
      </c>
      <c r="G732">
        <v>15</v>
      </c>
      <c r="H732" s="89">
        <v>46078</v>
      </c>
      <c r="I732" s="89">
        <v>46081</v>
      </c>
      <c r="N732" t="s">
        <v>2030</v>
      </c>
    </row>
    <row r="733" spans="1:14" hidden="1" x14ac:dyDescent="0.25">
      <c r="A733" t="s">
        <v>1313</v>
      </c>
      <c r="B733" t="s">
        <v>1327</v>
      </c>
      <c r="C733" t="s">
        <v>2078</v>
      </c>
      <c r="D733" t="s">
        <v>20</v>
      </c>
      <c r="F733">
        <v>1152</v>
      </c>
      <c r="G733">
        <v>24</v>
      </c>
      <c r="H733" s="89">
        <v>46078</v>
      </c>
      <c r="I733" s="89">
        <v>46082</v>
      </c>
      <c r="J733" t="s">
        <v>2079</v>
      </c>
      <c r="N733" t="s">
        <v>2030</v>
      </c>
    </row>
    <row r="734" spans="1:14" hidden="1" x14ac:dyDescent="0.25">
      <c r="A734" t="s">
        <v>1313</v>
      </c>
      <c r="B734" t="s">
        <v>1327</v>
      </c>
      <c r="C734" t="s">
        <v>2078</v>
      </c>
      <c r="D734" t="s">
        <v>20</v>
      </c>
      <c r="F734">
        <v>144</v>
      </c>
      <c r="G734">
        <v>3</v>
      </c>
      <c r="H734" s="89">
        <v>46078</v>
      </c>
      <c r="I734" s="89">
        <v>46080</v>
      </c>
      <c r="N734" t="s">
        <v>2030</v>
      </c>
    </row>
    <row r="735" spans="1:14" hidden="1" x14ac:dyDescent="0.25">
      <c r="A735" t="s">
        <v>1315</v>
      </c>
      <c r="B735" t="s">
        <v>1329</v>
      </c>
      <c r="C735" t="s">
        <v>2078</v>
      </c>
      <c r="D735" t="s">
        <v>20</v>
      </c>
      <c r="F735">
        <v>6</v>
      </c>
      <c r="G735" t="s">
        <v>1419</v>
      </c>
      <c r="H735" s="89">
        <v>46078</v>
      </c>
      <c r="I735" s="89">
        <v>46080</v>
      </c>
      <c r="N735" t="s">
        <v>2030</v>
      </c>
    </row>
    <row r="736" spans="1:14" hidden="1" x14ac:dyDescent="0.25">
      <c r="A736" t="s">
        <v>1316</v>
      </c>
      <c r="B736" t="s">
        <v>1330</v>
      </c>
      <c r="C736" t="s">
        <v>2080</v>
      </c>
      <c r="D736" t="s">
        <v>20</v>
      </c>
      <c r="F736">
        <v>159</v>
      </c>
      <c r="G736" t="s">
        <v>1419</v>
      </c>
      <c r="H736" s="89">
        <v>46078</v>
      </c>
      <c r="I736" s="89">
        <v>46080</v>
      </c>
      <c r="N736" t="s">
        <v>2030</v>
      </c>
    </row>
    <row r="737" spans="1:14" hidden="1" x14ac:dyDescent="0.25">
      <c r="A737" t="s">
        <v>1317</v>
      </c>
      <c r="B737" t="s">
        <v>1331</v>
      </c>
      <c r="C737" t="s">
        <v>2081</v>
      </c>
      <c r="D737" t="s">
        <v>20</v>
      </c>
      <c r="F737">
        <v>9</v>
      </c>
      <c r="G737" t="s">
        <v>1419</v>
      </c>
      <c r="H737" s="89">
        <v>46078</v>
      </c>
      <c r="I737" s="89">
        <v>46080</v>
      </c>
      <c r="N737" t="s">
        <v>2030</v>
      </c>
    </row>
    <row r="738" spans="1:14" hidden="1" x14ac:dyDescent="0.25">
      <c r="A738" t="s">
        <v>1318</v>
      </c>
      <c r="B738" t="s">
        <v>1332</v>
      </c>
      <c r="C738" t="s">
        <v>2082</v>
      </c>
      <c r="D738" t="s">
        <v>20</v>
      </c>
      <c r="F738">
        <v>51</v>
      </c>
      <c r="G738" t="s">
        <v>1419</v>
      </c>
      <c r="H738" s="89">
        <v>46078</v>
      </c>
      <c r="I738" s="89">
        <v>46080</v>
      </c>
      <c r="N738" t="s">
        <v>2030</v>
      </c>
    </row>
    <row r="739" spans="1:14" hidden="1" x14ac:dyDescent="0.25">
      <c r="A739" t="s">
        <v>1313</v>
      </c>
      <c r="B739" t="s">
        <v>1327</v>
      </c>
      <c r="C739" t="s">
        <v>2083</v>
      </c>
      <c r="D739" t="s">
        <v>23</v>
      </c>
      <c r="F739">
        <v>816</v>
      </c>
      <c r="G739">
        <v>17</v>
      </c>
      <c r="H739" s="89">
        <v>46078</v>
      </c>
      <c r="I739" s="89">
        <v>46082</v>
      </c>
      <c r="J739" t="s">
        <v>2084</v>
      </c>
      <c r="N739" t="s">
        <v>2030</v>
      </c>
    </row>
    <row r="740" spans="1:14" hidden="1" x14ac:dyDescent="0.25">
      <c r="A740" t="s">
        <v>1313</v>
      </c>
      <c r="B740" t="s">
        <v>1327</v>
      </c>
      <c r="C740" t="s">
        <v>2083</v>
      </c>
      <c r="D740" t="s">
        <v>23</v>
      </c>
      <c r="F740">
        <v>144</v>
      </c>
      <c r="G740">
        <v>3</v>
      </c>
      <c r="H740" s="89">
        <v>46078</v>
      </c>
      <c r="I740" s="89">
        <v>46083</v>
      </c>
      <c r="J740" t="s">
        <v>2073</v>
      </c>
      <c r="N740" t="s">
        <v>2030</v>
      </c>
    </row>
    <row r="741" spans="1:14" hidden="1" x14ac:dyDescent="0.25">
      <c r="A741" t="s">
        <v>1320</v>
      </c>
      <c r="B741" t="s">
        <v>1334</v>
      </c>
      <c r="C741" t="s">
        <v>2085</v>
      </c>
      <c r="D741" t="s">
        <v>15</v>
      </c>
      <c r="F741">
        <v>960</v>
      </c>
      <c r="G741">
        <v>20</v>
      </c>
      <c r="H741" s="89">
        <v>46078</v>
      </c>
      <c r="I741" s="89">
        <v>46081</v>
      </c>
      <c r="J741" t="s">
        <v>2086</v>
      </c>
      <c r="N741" t="s">
        <v>2030</v>
      </c>
    </row>
    <row r="742" spans="1:14" hidden="1" x14ac:dyDescent="0.25">
      <c r="A742" t="s">
        <v>1313</v>
      </c>
      <c r="B742" t="s">
        <v>1327</v>
      </c>
      <c r="C742" t="s">
        <v>2085</v>
      </c>
      <c r="D742" t="s">
        <v>15</v>
      </c>
      <c r="F742">
        <v>109</v>
      </c>
      <c r="G742">
        <v>2.2708333333333335</v>
      </c>
      <c r="H742" s="89">
        <v>46078</v>
      </c>
      <c r="I742" s="89">
        <v>46082</v>
      </c>
      <c r="J742" t="s">
        <v>2052</v>
      </c>
      <c r="N742" t="s">
        <v>2030</v>
      </c>
    </row>
    <row r="743" spans="1:14" hidden="1" x14ac:dyDescent="0.25">
      <c r="A743" t="s">
        <v>1315</v>
      </c>
      <c r="B743" t="s">
        <v>1329</v>
      </c>
      <c r="C743" t="s">
        <v>2085</v>
      </c>
      <c r="D743" t="s">
        <v>15</v>
      </c>
      <c r="F743">
        <v>27</v>
      </c>
      <c r="G743" t="s">
        <v>1419</v>
      </c>
      <c r="H743" s="89">
        <v>46078</v>
      </c>
      <c r="I743" s="89">
        <v>46080</v>
      </c>
      <c r="N743" t="s">
        <v>2030</v>
      </c>
    </row>
    <row r="744" spans="1:14" hidden="1" x14ac:dyDescent="0.25">
      <c r="A744" t="s">
        <v>1316</v>
      </c>
      <c r="B744" t="s">
        <v>1330</v>
      </c>
      <c r="C744" t="s">
        <v>2087</v>
      </c>
      <c r="D744" t="s">
        <v>15</v>
      </c>
      <c r="F744">
        <v>46</v>
      </c>
      <c r="G744" t="s">
        <v>1419</v>
      </c>
      <c r="H744" s="89">
        <v>46078</v>
      </c>
      <c r="I744" s="89">
        <v>46080</v>
      </c>
      <c r="N744" t="s">
        <v>2030</v>
      </c>
    </row>
    <row r="745" spans="1:14" hidden="1" x14ac:dyDescent="0.25">
      <c r="A745" t="s">
        <v>1317</v>
      </c>
      <c r="B745" t="s">
        <v>1331</v>
      </c>
      <c r="C745" t="s">
        <v>2088</v>
      </c>
      <c r="D745" t="s">
        <v>15</v>
      </c>
      <c r="F745">
        <v>10</v>
      </c>
      <c r="G745" t="s">
        <v>1419</v>
      </c>
      <c r="H745" s="89">
        <v>46078</v>
      </c>
      <c r="I745" s="89">
        <v>46080</v>
      </c>
      <c r="N745" t="s">
        <v>2030</v>
      </c>
    </row>
    <row r="746" spans="1:14" hidden="1" x14ac:dyDescent="0.25">
      <c r="A746" t="s">
        <v>1318</v>
      </c>
      <c r="B746" t="s">
        <v>1332</v>
      </c>
      <c r="C746" t="s">
        <v>2089</v>
      </c>
      <c r="D746" t="s">
        <v>15</v>
      </c>
      <c r="F746">
        <v>28</v>
      </c>
      <c r="G746" t="s">
        <v>1419</v>
      </c>
      <c r="H746" s="89">
        <v>46078</v>
      </c>
      <c r="I746" s="89">
        <v>46080</v>
      </c>
      <c r="N746" t="s">
        <v>2030</v>
      </c>
    </row>
    <row r="747" spans="1:14" hidden="1" x14ac:dyDescent="0.25">
      <c r="A747" t="s">
        <v>1324</v>
      </c>
      <c r="B747" t="s">
        <v>1338</v>
      </c>
      <c r="C747" t="s">
        <v>2090</v>
      </c>
      <c r="D747" t="s">
        <v>23</v>
      </c>
      <c r="F747">
        <v>960</v>
      </c>
      <c r="G747">
        <v>20</v>
      </c>
      <c r="H747" s="89">
        <v>46079</v>
      </c>
      <c r="I747" s="89">
        <v>46086</v>
      </c>
      <c r="J747" t="s">
        <v>2091</v>
      </c>
      <c r="N747" t="s">
        <v>2030</v>
      </c>
    </row>
    <row r="748" spans="1:14" hidden="1" x14ac:dyDescent="0.25">
      <c r="A748" t="s">
        <v>1324</v>
      </c>
      <c r="B748" t="s">
        <v>1338</v>
      </c>
      <c r="C748" t="s">
        <v>2092</v>
      </c>
      <c r="D748" t="s">
        <v>28</v>
      </c>
      <c r="F748">
        <v>960</v>
      </c>
      <c r="G748">
        <v>20</v>
      </c>
      <c r="H748" s="89">
        <v>46079</v>
      </c>
      <c r="I748" s="89">
        <v>46086</v>
      </c>
      <c r="J748" t="s">
        <v>2091</v>
      </c>
      <c r="N748" t="s">
        <v>2030</v>
      </c>
    </row>
    <row r="749" spans="1:14" hidden="1" x14ac:dyDescent="0.25">
      <c r="A749" t="s">
        <v>1313</v>
      </c>
      <c r="B749" t="s">
        <v>1327</v>
      </c>
      <c r="C749" t="s">
        <v>2092</v>
      </c>
      <c r="D749" t="s">
        <v>28</v>
      </c>
      <c r="F749">
        <v>576</v>
      </c>
      <c r="G749">
        <v>12</v>
      </c>
      <c r="H749" s="89">
        <v>46079</v>
      </c>
      <c r="I749" s="89">
        <v>46083</v>
      </c>
      <c r="J749" t="s">
        <v>2073</v>
      </c>
      <c r="N749" t="s">
        <v>2030</v>
      </c>
    </row>
    <row r="750" spans="1:14" hidden="1" x14ac:dyDescent="0.25">
      <c r="A750" t="s">
        <v>1315</v>
      </c>
      <c r="B750" t="s">
        <v>1329</v>
      </c>
      <c r="C750" t="s">
        <v>2092</v>
      </c>
      <c r="D750" t="s">
        <v>28</v>
      </c>
      <c r="F750">
        <v>21</v>
      </c>
      <c r="G750" t="s">
        <v>1419</v>
      </c>
      <c r="H750" s="89">
        <v>46079</v>
      </c>
      <c r="I750" s="89">
        <v>46080</v>
      </c>
      <c r="N750" t="s">
        <v>2030</v>
      </c>
    </row>
    <row r="751" spans="1:14" hidden="1" x14ac:dyDescent="0.25">
      <c r="A751" t="s">
        <v>1316</v>
      </c>
      <c r="B751" t="s">
        <v>1330</v>
      </c>
      <c r="C751" t="s">
        <v>2093</v>
      </c>
      <c r="D751" t="s">
        <v>28</v>
      </c>
      <c r="F751">
        <v>45</v>
      </c>
      <c r="G751" t="s">
        <v>1419</v>
      </c>
      <c r="H751" s="89">
        <v>46079</v>
      </c>
      <c r="I751" s="89">
        <v>46081</v>
      </c>
      <c r="N751" t="s">
        <v>2030</v>
      </c>
    </row>
    <row r="752" spans="1:14" hidden="1" x14ac:dyDescent="0.25">
      <c r="A752" t="s">
        <v>1317</v>
      </c>
      <c r="B752" t="s">
        <v>1331</v>
      </c>
      <c r="C752" t="s">
        <v>2094</v>
      </c>
      <c r="D752" t="s">
        <v>28</v>
      </c>
      <c r="F752">
        <v>4</v>
      </c>
      <c r="G752" t="s">
        <v>1419</v>
      </c>
      <c r="H752" s="89">
        <v>46079</v>
      </c>
      <c r="I752" s="89">
        <v>46081</v>
      </c>
      <c r="N752" t="s">
        <v>2030</v>
      </c>
    </row>
    <row r="753" spans="1:14" hidden="1" x14ac:dyDescent="0.25">
      <c r="A753" t="s">
        <v>1318</v>
      </c>
      <c r="B753" t="s">
        <v>1332</v>
      </c>
      <c r="C753" t="s">
        <v>2095</v>
      </c>
      <c r="D753" t="s">
        <v>28</v>
      </c>
      <c r="F753">
        <v>12</v>
      </c>
      <c r="G753" t="s">
        <v>1419</v>
      </c>
      <c r="H753" s="89">
        <v>46079</v>
      </c>
      <c r="I753" s="89">
        <v>46081</v>
      </c>
      <c r="N753" t="s">
        <v>2030</v>
      </c>
    </row>
    <row r="754" spans="1:14" hidden="1" x14ac:dyDescent="0.25">
      <c r="A754" t="s">
        <v>1313</v>
      </c>
      <c r="B754" t="s">
        <v>1327</v>
      </c>
      <c r="C754" t="s">
        <v>2096</v>
      </c>
      <c r="D754" t="s">
        <v>129</v>
      </c>
      <c r="F754">
        <v>432</v>
      </c>
      <c r="G754">
        <v>9</v>
      </c>
      <c r="H754" s="89">
        <v>46079</v>
      </c>
      <c r="I754" s="89">
        <v>46081</v>
      </c>
      <c r="N754" t="s">
        <v>2030</v>
      </c>
    </row>
    <row r="755" spans="1:14" hidden="1" x14ac:dyDescent="0.25">
      <c r="A755" t="s">
        <v>1324</v>
      </c>
      <c r="B755" t="s">
        <v>1338</v>
      </c>
      <c r="C755" t="s">
        <v>2097</v>
      </c>
      <c r="D755" t="s">
        <v>88</v>
      </c>
      <c r="F755">
        <v>960</v>
      </c>
      <c r="G755">
        <v>20</v>
      </c>
      <c r="H755" s="89">
        <v>46079</v>
      </c>
      <c r="I755" s="89">
        <v>46085</v>
      </c>
      <c r="J755" t="s">
        <v>2069</v>
      </c>
      <c r="N755" t="s">
        <v>2030</v>
      </c>
    </row>
    <row r="756" spans="1:14" hidden="1" x14ac:dyDescent="0.25">
      <c r="A756" t="s">
        <v>1313</v>
      </c>
      <c r="B756" t="s">
        <v>1327</v>
      </c>
      <c r="C756" t="s">
        <v>2098</v>
      </c>
      <c r="D756" t="s">
        <v>20</v>
      </c>
      <c r="F756">
        <v>192</v>
      </c>
      <c r="G756">
        <v>4</v>
      </c>
      <c r="H756" s="89">
        <v>46079</v>
      </c>
      <c r="I756" s="89">
        <v>46083</v>
      </c>
      <c r="J756" t="s">
        <v>2073</v>
      </c>
      <c r="N756" t="s">
        <v>2030</v>
      </c>
    </row>
    <row r="757" spans="1:14" hidden="1" x14ac:dyDescent="0.25">
      <c r="A757" t="s">
        <v>1315</v>
      </c>
      <c r="B757" t="s">
        <v>1329</v>
      </c>
      <c r="C757" t="s">
        <v>2098</v>
      </c>
      <c r="D757" t="s">
        <v>20</v>
      </c>
      <c r="F757">
        <v>1151</v>
      </c>
      <c r="G757" t="s">
        <v>1419</v>
      </c>
      <c r="H757" s="89">
        <v>46079</v>
      </c>
      <c r="I757" s="89">
        <v>46082</v>
      </c>
      <c r="N757" t="s">
        <v>2030</v>
      </c>
    </row>
    <row r="758" spans="1:14" hidden="1" x14ac:dyDescent="0.25">
      <c r="A758" t="s">
        <v>1316</v>
      </c>
      <c r="B758" t="s">
        <v>1330</v>
      </c>
      <c r="C758" t="s">
        <v>2099</v>
      </c>
      <c r="D758" t="s">
        <v>20</v>
      </c>
      <c r="F758">
        <v>120</v>
      </c>
      <c r="G758" t="s">
        <v>1419</v>
      </c>
      <c r="H758" s="89">
        <v>46079</v>
      </c>
      <c r="I758" s="89">
        <v>46081</v>
      </c>
      <c r="N758" t="s">
        <v>2030</v>
      </c>
    </row>
    <row r="759" spans="1:14" hidden="1" x14ac:dyDescent="0.25">
      <c r="A759" t="s">
        <v>1317</v>
      </c>
      <c r="B759" t="s">
        <v>1331</v>
      </c>
      <c r="C759" t="s">
        <v>2100</v>
      </c>
      <c r="D759" t="s">
        <v>20</v>
      </c>
      <c r="F759">
        <v>6</v>
      </c>
      <c r="G759" t="s">
        <v>1419</v>
      </c>
      <c r="H759" s="89">
        <v>46079</v>
      </c>
      <c r="I759" s="89">
        <v>46081</v>
      </c>
      <c r="N759" t="s">
        <v>2030</v>
      </c>
    </row>
    <row r="760" spans="1:14" hidden="1" x14ac:dyDescent="0.25">
      <c r="A760" t="s">
        <v>1318</v>
      </c>
      <c r="B760" t="s">
        <v>1332</v>
      </c>
      <c r="C760" t="s">
        <v>2101</v>
      </c>
      <c r="D760" t="s">
        <v>20</v>
      </c>
      <c r="F760">
        <v>29</v>
      </c>
      <c r="G760" t="s">
        <v>1419</v>
      </c>
      <c r="H760" s="89">
        <v>46079</v>
      </c>
      <c r="I760" s="89">
        <v>46081</v>
      </c>
      <c r="N760" t="s">
        <v>2030</v>
      </c>
    </row>
    <row r="761" spans="1:14" hidden="1" x14ac:dyDescent="0.25">
      <c r="A761" t="s">
        <v>1320</v>
      </c>
      <c r="B761" t="s">
        <v>1334</v>
      </c>
      <c r="C761" t="s">
        <v>2102</v>
      </c>
      <c r="D761" t="s">
        <v>15</v>
      </c>
      <c r="F761">
        <v>960</v>
      </c>
      <c r="G761">
        <v>20</v>
      </c>
      <c r="H761" s="89">
        <v>46079</v>
      </c>
      <c r="I761" s="89">
        <v>46084</v>
      </c>
      <c r="J761" t="s">
        <v>2103</v>
      </c>
      <c r="N761" t="s">
        <v>2030</v>
      </c>
    </row>
    <row r="762" spans="1:14" hidden="1" x14ac:dyDescent="0.25">
      <c r="A762" t="s">
        <v>1313</v>
      </c>
      <c r="B762" t="s">
        <v>1327</v>
      </c>
      <c r="C762" t="s">
        <v>2102</v>
      </c>
      <c r="D762" t="s">
        <v>15</v>
      </c>
      <c r="F762">
        <v>192</v>
      </c>
      <c r="G762">
        <v>4</v>
      </c>
      <c r="H762" s="89">
        <v>46079</v>
      </c>
      <c r="I762" s="89">
        <v>46082</v>
      </c>
      <c r="N762" t="s">
        <v>2030</v>
      </c>
    </row>
    <row r="763" spans="1:14" hidden="1" x14ac:dyDescent="0.25">
      <c r="A763" t="s">
        <v>1315</v>
      </c>
      <c r="B763" t="s">
        <v>1329</v>
      </c>
      <c r="C763" t="s">
        <v>2102</v>
      </c>
      <c r="D763" t="s">
        <v>15</v>
      </c>
      <c r="F763">
        <v>23</v>
      </c>
      <c r="G763" t="s">
        <v>1419</v>
      </c>
      <c r="H763" s="89">
        <v>46079</v>
      </c>
      <c r="I763" s="89">
        <v>46080</v>
      </c>
      <c r="N763" t="s">
        <v>2030</v>
      </c>
    </row>
    <row r="764" spans="1:14" hidden="1" x14ac:dyDescent="0.25">
      <c r="A764" t="s">
        <v>1444</v>
      </c>
      <c r="B764" t="s">
        <v>1445</v>
      </c>
      <c r="C764" t="s">
        <v>2102</v>
      </c>
      <c r="D764" t="s">
        <v>15</v>
      </c>
      <c r="F764">
        <v>126</v>
      </c>
      <c r="G764">
        <v>1</v>
      </c>
      <c r="H764" s="89">
        <v>46079</v>
      </c>
      <c r="I764" s="89">
        <v>46081</v>
      </c>
      <c r="N764" t="s">
        <v>2030</v>
      </c>
    </row>
    <row r="765" spans="1:14" hidden="1" x14ac:dyDescent="0.25">
      <c r="A765" t="s">
        <v>1316</v>
      </c>
      <c r="B765" t="s">
        <v>1330</v>
      </c>
      <c r="C765" t="s">
        <v>2104</v>
      </c>
      <c r="D765" t="s">
        <v>15</v>
      </c>
      <c r="F765">
        <v>44</v>
      </c>
      <c r="G765" t="s">
        <v>1419</v>
      </c>
      <c r="H765" s="89">
        <v>46079</v>
      </c>
      <c r="I765" s="89">
        <v>46081</v>
      </c>
      <c r="N765" t="s">
        <v>2030</v>
      </c>
    </row>
    <row r="766" spans="1:14" hidden="1" x14ac:dyDescent="0.25">
      <c r="A766" t="s">
        <v>1317</v>
      </c>
      <c r="B766" t="s">
        <v>1331</v>
      </c>
      <c r="C766" t="s">
        <v>2105</v>
      </c>
      <c r="D766" t="s">
        <v>15</v>
      </c>
      <c r="F766">
        <v>16</v>
      </c>
      <c r="G766" t="s">
        <v>1419</v>
      </c>
      <c r="H766" s="89">
        <v>46079</v>
      </c>
      <c r="I766" s="89">
        <v>46081</v>
      </c>
      <c r="N766" t="s">
        <v>2030</v>
      </c>
    </row>
    <row r="767" spans="1:14" hidden="1" x14ac:dyDescent="0.25">
      <c r="A767" t="s">
        <v>1318</v>
      </c>
      <c r="B767" t="s">
        <v>1332</v>
      </c>
      <c r="C767" t="s">
        <v>2106</v>
      </c>
      <c r="D767" t="s">
        <v>15</v>
      </c>
      <c r="F767">
        <v>25</v>
      </c>
      <c r="G767" t="s">
        <v>1419</v>
      </c>
      <c r="H767" s="89">
        <v>46079</v>
      </c>
      <c r="I767" s="89">
        <v>46081</v>
      </c>
      <c r="N767" t="s">
        <v>2030</v>
      </c>
    </row>
    <row r="768" spans="1:14" hidden="1" x14ac:dyDescent="0.25">
      <c r="A768" t="s">
        <v>1326</v>
      </c>
      <c r="B768" t="s">
        <v>1340</v>
      </c>
      <c r="C768" t="s">
        <v>2107</v>
      </c>
      <c r="D768" t="s">
        <v>2108</v>
      </c>
      <c r="F768">
        <v>546</v>
      </c>
      <c r="G768">
        <v>13</v>
      </c>
      <c r="H768" s="89">
        <v>46079</v>
      </c>
      <c r="I768" s="89">
        <v>46087</v>
      </c>
      <c r="J768" t="s">
        <v>2109</v>
      </c>
      <c r="N768" t="s">
        <v>2030</v>
      </c>
    </row>
    <row r="769" spans="1:14" hidden="1" x14ac:dyDescent="0.25">
      <c r="A769" t="s">
        <v>1325</v>
      </c>
      <c r="B769" t="s">
        <v>1339</v>
      </c>
      <c r="C769" t="s">
        <v>2107</v>
      </c>
      <c r="D769" t="s">
        <v>2108</v>
      </c>
      <c r="F769">
        <v>21</v>
      </c>
      <c r="G769">
        <v>0.4375</v>
      </c>
      <c r="H769" s="89">
        <v>46079</v>
      </c>
      <c r="I769" s="89">
        <v>46082</v>
      </c>
      <c r="N769" t="s">
        <v>2030</v>
      </c>
    </row>
    <row r="770" spans="1:14" hidden="1" x14ac:dyDescent="0.25">
      <c r="A770" t="s">
        <v>1320</v>
      </c>
      <c r="B770" t="s">
        <v>1334</v>
      </c>
      <c r="C770" t="s">
        <v>2110</v>
      </c>
      <c r="D770" t="s">
        <v>15</v>
      </c>
      <c r="F770">
        <v>960</v>
      </c>
      <c r="G770">
        <v>20</v>
      </c>
      <c r="H770" s="89">
        <v>46080</v>
      </c>
      <c r="I770" s="89">
        <v>46084</v>
      </c>
      <c r="J770" t="s">
        <v>2111</v>
      </c>
      <c r="N770" t="s">
        <v>2030</v>
      </c>
    </row>
    <row r="771" spans="1:14" hidden="1" x14ac:dyDescent="0.25">
      <c r="A771" t="s">
        <v>1313</v>
      </c>
      <c r="B771" t="s">
        <v>1327</v>
      </c>
      <c r="C771" t="s">
        <v>2110</v>
      </c>
      <c r="D771" t="s">
        <v>15</v>
      </c>
      <c r="F771">
        <v>96</v>
      </c>
      <c r="G771">
        <v>2</v>
      </c>
      <c r="H771" s="89">
        <v>46080</v>
      </c>
      <c r="I771" s="89">
        <v>46082</v>
      </c>
      <c r="N771" t="s">
        <v>2030</v>
      </c>
    </row>
    <row r="772" spans="1:14" hidden="1" x14ac:dyDescent="0.25">
      <c r="A772" t="s">
        <v>1315</v>
      </c>
      <c r="B772" t="s">
        <v>1329</v>
      </c>
      <c r="C772" t="s">
        <v>2110</v>
      </c>
      <c r="D772" t="s">
        <v>15</v>
      </c>
      <c r="F772">
        <v>45</v>
      </c>
      <c r="G772" t="s">
        <v>1419</v>
      </c>
      <c r="H772" s="89">
        <v>46080</v>
      </c>
      <c r="I772" s="89">
        <v>46080</v>
      </c>
      <c r="N772" t="s">
        <v>2030</v>
      </c>
    </row>
    <row r="773" spans="1:14" hidden="1" x14ac:dyDescent="0.25">
      <c r="A773" t="s">
        <v>1444</v>
      </c>
      <c r="B773" t="s">
        <v>1445</v>
      </c>
      <c r="C773" t="s">
        <v>2110</v>
      </c>
      <c r="D773" t="s">
        <v>15</v>
      </c>
      <c r="F773">
        <v>112</v>
      </c>
      <c r="G773">
        <v>1</v>
      </c>
      <c r="H773" s="89">
        <v>46080</v>
      </c>
      <c r="I773" s="89">
        <v>46083</v>
      </c>
      <c r="N773" t="s">
        <v>2030</v>
      </c>
    </row>
    <row r="774" spans="1:14" hidden="1" x14ac:dyDescent="0.25">
      <c r="A774" t="s">
        <v>1316</v>
      </c>
      <c r="B774" t="s">
        <v>1330</v>
      </c>
      <c r="C774" t="s">
        <v>2112</v>
      </c>
      <c r="D774" t="s">
        <v>15</v>
      </c>
      <c r="F774">
        <v>46</v>
      </c>
      <c r="G774" t="s">
        <v>1419</v>
      </c>
      <c r="H774" s="89">
        <v>46080</v>
      </c>
      <c r="I774" s="89">
        <v>46082</v>
      </c>
      <c r="N774" t="s">
        <v>2030</v>
      </c>
    </row>
    <row r="775" spans="1:14" hidden="1" x14ac:dyDescent="0.25">
      <c r="A775" t="s">
        <v>1317</v>
      </c>
      <c r="B775" t="s">
        <v>1331</v>
      </c>
      <c r="C775" t="s">
        <v>2113</v>
      </c>
      <c r="D775" t="s">
        <v>15</v>
      </c>
      <c r="F775">
        <v>24</v>
      </c>
      <c r="G775" t="s">
        <v>1419</v>
      </c>
      <c r="H775" s="89">
        <v>46080</v>
      </c>
      <c r="I775" s="89">
        <v>46082</v>
      </c>
      <c r="N775" t="s">
        <v>2030</v>
      </c>
    </row>
    <row r="776" spans="1:14" hidden="1" x14ac:dyDescent="0.25">
      <c r="A776" t="s">
        <v>1318</v>
      </c>
      <c r="B776" t="s">
        <v>1332</v>
      </c>
      <c r="C776" t="s">
        <v>2114</v>
      </c>
      <c r="D776" t="s">
        <v>15</v>
      </c>
      <c r="F776">
        <v>16</v>
      </c>
      <c r="G776" t="s">
        <v>1419</v>
      </c>
      <c r="H776" s="89">
        <v>46080</v>
      </c>
      <c r="I776" s="89">
        <v>46082</v>
      </c>
      <c r="N776" t="s">
        <v>2030</v>
      </c>
    </row>
    <row r="777" spans="1:14" hidden="1" x14ac:dyDescent="0.25">
      <c r="A777" t="s">
        <v>1326</v>
      </c>
      <c r="B777" t="s">
        <v>1340</v>
      </c>
      <c r="C777" t="s">
        <v>2115</v>
      </c>
      <c r="D777" t="s">
        <v>2108</v>
      </c>
      <c r="F777">
        <v>462</v>
      </c>
      <c r="G777">
        <v>11</v>
      </c>
      <c r="H777" s="89">
        <v>46080</v>
      </c>
      <c r="I777" s="89">
        <v>46087</v>
      </c>
      <c r="J777" t="s">
        <v>2109</v>
      </c>
      <c r="N777" t="s">
        <v>2030</v>
      </c>
    </row>
    <row r="778" spans="1:14" hidden="1" x14ac:dyDescent="0.25">
      <c r="A778" t="s">
        <v>1325</v>
      </c>
      <c r="B778" t="s">
        <v>1339</v>
      </c>
      <c r="C778" t="s">
        <v>2115</v>
      </c>
      <c r="D778" t="s">
        <v>2108</v>
      </c>
      <c r="F778">
        <v>3</v>
      </c>
      <c r="G778" t="s">
        <v>1419</v>
      </c>
      <c r="H778" s="89">
        <v>46080</v>
      </c>
      <c r="I778" s="89">
        <v>46082</v>
      </c>
      <c r="N778" t="s">
        <v>2030</v>
      </c>
    </row>
    <row r="779" spans="1:14" hidden="1" x14ac:dyDescent="0.25">
      <c r="A779" t="s">
        <v>1313</v>
      </c>
      <c r="B779" t="s">
        <v>1327</v>
      </c>
      <c r="C779" t="s">
        <v>2116</v>
      </c>
      <c r="D779" t="s">
        <v>129</v>
      </c>
      <c r="F779">
        <v>672</v>
      </c>
      <c r="G779">
        <v>14</v>
      </c>
      <c r="H779" s="89">
        <v>46080</v>
      </c>
      <c r="I779" s="89">
        <v>46084</v>
      </c>
      <c r="J779" t="s">
        <v>2117</v>
      </c>
      <c r="N779" t="s">
        <v>2030</v>
      </c>
    </row>
    <row r="780" spans="1:14" hidden="1" x14ac:dyDescent="0.25">
      <c r="A780" t="s">
        <v>1320</v>
      </c>
      <c r="B780" t="s">
        <v>1334</v>
      </c>
      <c r="C780" t="s">
        <v>2118</v>
      </c>
      <c r="D780" t="s">
        <v>20</v>
      </c>
      <c r="F780">
        <v>960</v>
      </c>
      <c r="G780">
        <v>20</v>
      </c>
      <c r="H780" s="89">
        <v>46080</v>
      </c>
      <c r="I780" s="89">
        <v>46085</v>
      </c>
      <c r="J780" t="s">
        <v>2119</v>
      </c>
      <c r="N780" t="s">
        <v>2030</v>
      </c>
    </row>
    <row r="781" spans="1:14" hidden="1" x14ac:dyDescent="0.25">
      <c r="A781" t="s">
        <v>1315</v>
      </c>
      <c r="B781" t="s">
        <v>1329</v>
      </c>
      <c r="C781" t="s">
        <v>2118</v>
      </c>
      <c r="D781" t="s">
        <v>20</v>
      </c>
      <c r="F781">
        <v>46</v>
      </c>
      <c r="G781" t="s">
        <v>1419</v>
      </c>
      <c r="H781" s="89">
        <v>46080</v>
      </c>
      <c r="I781" s="89">
        <v>46080</v>
      </c>
      <c r="N781" t="s">
        <v>2030</v>
      </c>
    </row>
    <row r="782" spans="1:14" hidden="1" x14ac:dyDescent="0.25">
      <c r="A782" t="s">
        <v>1316</v>
      </c>
      <c r="B782" t="s">
        <v>1330</v>
      </c>
      <c r="C782" t="s">
        <v>2120</v>
      </c>
      <c r="D782" t="s">
        <v>20</v>
      </c>
      <c r="F782">
        <v>202</v>
      </c>
      <c r="G782" t="s">
        <v>1419</v>
      </c>
      <c r="H782" s="89">
        <v>46080</v>
      </c>
      <c r="I782" s="89">
        <v>46082</v>
      </c>
      <c r="N782" t="s">
        <v>2030</v>
      </c>
    </row>
    <row r="783" spans="1:14" hidden="1" x14ac:dyDescent="0.25">
      <c r="A783" t="s">
        <v>1317</v>
      </c>
      <c r="B783" t="s">
        <v>1331</v>
      </c>
      <c r="C783" t="s">
        <v>2121</v>
      </c>
      <c r="D783" t="s">
        <v>20</v>
      </c>
      <c r="F783">
        <v>20</v>
      </c>
      <c r="G783" t="s">
        <v>1419</v>
      </c>
      <c r="H783" s="89">
        <v>46080</v>
      </c>
      <c r="I783" s="89">
        <v>46082</v>
      </c>
      <c r="N783" t="s">
        <v>2030</v>
      </c>
    </row>
    <row r="784" spans="1:14" hidden="1" x14ac:dyDescent="0.25">
      <c r="A784" t="s">
        <v>1318</v>
      </c>
      <c r="B784" t="s">
        <v>1332</v>
      </c>
      <c r="C784" t="s">
        <v>2122</v>
      </c>
      <c r="D784" t="s">
        <v>20</v>
      </c>
      <c r="F784">
        <v>57</v>
      </c>
      <c r="G784" t="s">
        <v>1419</v>
      </c>
      <c r="H784" s="89">
        <v>46080</v>
      </c>
      <c r="I784" s="89">
        <v>46082</v>
      </c>
      <c r="N784" t="s">
        <v>2030</v>
      </c>
    </row>
    <row r="785" spans="1:14" hidden="1" x14ac:dyDescent="0.25">
      <c r="A785" t="s">
        <v>1313</v>
      </c>
      <c r="B785" t="s">
        <v>1327</v>
      </c>
      <c r="C785" t="s">
        <v>2118</v>
      </c>
      <c r="D785" t="s">
        <v>20</v>
      </c>
      <c r="F785">
        <v>192</v>
      </c>
      <c r="G785">
        <v>4</v>
      </c>
      <c r="H785" s="89">
        <v>46080</v>
      </c>
      <c r="I785" s="89">
        <v>46082</v>
      </c>
      <c r="N785" t="s">
        <v>2030</v>
      </c>
    </row>
    <row r="786" spans="1:14" hidden="1" x14ac:dyDescent="0.25">
      <c r="A786" t="s">
        <v>1324</v>
      </c>
      <c r="B786" t="s">
        <v>1338</v>
      </c>
      <c r="C786" t="s">
        <v>2123</v>
      </c>
      <c r="D786" t="s">
        <v>23</v>
      </c>
      <c r="F786">
        <v>960</v>
      </c>
      <c r="G786">
        <v>20</v>
      </c>
      <c r="H786" s="89">
        <v>46080</v>
      </c>
      <c r="I786" s="89">
        <v>46088</v>
      </c>
      <c r="J786" t="s">
        <v>2124</v>
      </c>
      <c r="N786" t="s">
        <v>2030</v>
      </c>
    </row>
    <row r="787" spans="1:14" hidden="1" x14ac:dyDescent="0.25">
      <c r="A787" t="s">
        <v>1314</v>
      </c>
      <c r="B787" t="s">
        <v>1328</v>
      </c>
      <c r="C787" t="s">
        <v>2125</v>
      </c>
      <c r="D787" t="s">
        <v>21</v>
      </c>
      <c r="F787">
        <v>336</v>
      </c>
      <c r="G787">
        <v>7</v>
      </c>
      <c r="H787" s="89">
        <v>46080</v>
      </c>
      <c r="I787" s="89">
        <v>46085</v>
      </c>
      <c r="J787" t="s">
        <v>2126</v>
      </c>
      <c r="N787" t="s">
        <v>2030</v>
      </c>
    </row>
    <row r="788" spans="1:14" hidden="1" x14ac:dyDescent="0.25">
      <c r="A788" t="s">
        <v>1313</v>
      </c>
      <c r="B788" t="s">
        <v>1327</v>
      </c>
      <c r="C788" t="s">
        <v>2125</v>
      </c>
      <c r="D788" t="s">
        <v>21</v>
      </c>
      <c r="F788">
        <v>816</v>
      </c>
      <c r="G788">
        <v>17</v>
      </c>
      <c r="H788" s="89">
        <v>46080</v>
      </c>
      <c r="I788" s="89">
        <v>46085</v>
      </c>
      <c r="J788" t="s">
        <v>2127</v>
      </c>
      <c r="N788" t="s">
        <v>2030</v>
      </c>
    </row>
    <row r="789" spans="1:14" hidden="1" x14ac:dyDescent="0.25">
      <c r="A789" t="s">
        <v>1313</v>
      </c>
      <c r="B789" t="s">
        <v>1327</v>
      </c>
      <c r="C789" t="s">
        <v>2125</v>
      </c>
      <c r="D789" t="s">
        <v>21</v>
      </c>
      <c r="F789">
        <v>144</v>
      </c>
      <c r="G789">
        <v>3</v>
      </c>
      <c r="H789" s="89">
        <v>46080</v>
      </c>
      <c r="I789" s="89">
        <v>46082</v>
      </c>
      <c r="N789" t="s">
        <v>2030</v>
      </c>
    </row>
    <row r="790" spans="1:14" hidden="1" x14ac:dyDescent="0.25">
      <c r="A790" t="s">
        <v>1315</v>
      </c>
      <c r="B790" t="s">
        <v>1329</v>
      </c>
      <c r="C790" t="s">
        <v>2125</v>
      </c>
      <c r="D790" t="s">
        <v>21</v>
      </c>
      <c r="F790">
        <v>40</v>
      </c>
      <c r="G790" t="s">
        <v>1419</v>
      </c>
      <c r="H790" s="89">
        <v>46080</v>
      </c>
      <c r="I790" s="89">
        <v>46080</v>
      </c>
      <c r="N790" t="s">
        <v>2030</v>
      </c>
    </row>
    <row r="791" spans="1:14" hidden="1" x14ac:dyDescent="0.25">
      <c r="A791" t="s">
        <v>1316</v>
      </c>
      <c r="B791" t="s">
        <v>1330</v>
      </c>
      <c r="C791" t="s">
        <v>2128</v>
      </c>
      <c r="D791" t="s">
        <v>21</v>
      </c>
      <c r="F791">
        <v>101</v>
      </c>
      <c r="G791" t="s">
        <v>1419</v>
      </c>
      <c r="H791" s="89">
        <v>46080</v>
      </c>
      <c r="I791" s="89">
        <v>46082</v>
      </c>
      <c r="N791" t="s">
        <v>2030</v>
      </c>
    </row>
    <row r="792" spans="1:14" hidden="1" x14ac:dyDescent="0.25">
      <c r="A792" t="s">
        <v>1317</v>
      </c>
      <c r="B792" t="s">
        <v>1331</v>
      </c>
      <c r="C792" t="s">
        <v>2129</v>
      </c>
      <c r="D792" t="s">
        <v>21</v>
      </c>
      <c r="F792">
        <v>31</v>
      </c>
      <c r="G792" t="s">
        <v>1419</v>
      </c>
      <c r="H792" s="89">
        <v>46080</v>
      </c>
      <c r="I792" s="89">
        <v>46082</v>
      </c>
      <c r="N792" t="s">
        <v>2030</v>
      </c>
    </row>
    <row r="793" spans="1:14" hidden="1" x14ac:dyDescent="0.25">
      <c r="A793" t="s">
        <v>1318</v>
      </c>
      <c r="B793" t="s">
        <v>1332</v>
      </c>
      <c r="C793" t="s">
        <v>2130</v>
      </c>
      <c r="D793" t="s">
        <v>21</v>
      </c>
      <c r="F793">
        <v>56</v>
      </c>
      <c r="G793" t="s">
        <v>1419</v>
      </c>
      <c r="H793" s="89">
        <v>46080</v>
      </c>
      <c r="I793" s="89">
        <v>46082</v>
      </c>
      <c r="N793" t="s">
        <v>2030</v>
      </c>
    </row>
    <row r="794" spans="1:14" hidden="1" x14ac:dyDescent="0.25">
      <c r="A794" t="s">
        <v>1324</v>
      </c>
      <c r="B794" t="s">
        <v>1338</v>
      </c>
      <c r="C794" t="s">
        <v>2131</v>
      </c>
      <c r="D794" t="s">
        <v>23</v>
      </c>
      <c r="F794">
        <v>960</v>
      </c>
      <c r="G794">
        <v>20</v>
      </c>
      <c r="H794" s="89">
        <v>46081</v>
      </c>
      <c r="I794" s="89">
        <v>46088</v>
      </c>
      <c r="J794" t="s">
        <v>2124</v>
      </c>
      <c r="N794" t="s">
        <v>2030</v>
      </c>
    </row>
    <row r="795" spans="1:14" hidden="1" x14ac:dyDescent="0.25">
      <c r="A795" t="s">
        <v>1320</v>
      </c>
      <c r="B795" t="s">
        <v>1334</v>
      </c>
      <c r="C795" t="s">
        <v>2132</v>
      </c>
      <c r="D795" t="s">
        <v>88</v>
      </c>
      <c r="F795">
        <v>480</v>
      </c>
      <c r="G795">
        <v>10</v>
      </c>
      <c r="H795" s="89">
        <v>46081</v>
      </c>
      <c r="I795" s="89">
        <v>46086</v>
      </c>
      <c r="J795" t="s">
        <v>2133</v>
      </c>
      <c r="N795" t="s">
        <v>2030</v>
      </c>
    </row>
    <row r="796" spans="1:14" hidden="1" x14ac:dyDescent="0.25">
      <c r="A796" t="s">
        <v>1320</v>
      </c>
      <c r="B796" t="s">
        <v>1334</v>
      </c>
      <c r="C796" t="s">
        <v>2134</v>
      </c>
      <c r="D796" t="s">
        <v>97</v>
      </c>
      <c r="F796">
        <v>480</v>
      </c>
      <c r="G796">
        <v>10</v>
      </c>
      <c r="H796" s="89">
        <v>46081</v>
      </c>
      <c r="I796" s="89">
        <v>46086</v>
      </c>
      <c r="J796" t="s">
        <v>2133</v>
      </c>
      <c r="N796" t="s">
        <v>2030</v>
      </c>
    </row>
    <row r="797" spans="1:14" hidden="1" x14ac:dyDescent="0.25">
      <c r="A797" t="s">
        <v>1320</v>
      </c>
      <c r="B797" t="s">
        <v>1334</v>
      </c>
      <c r="C797" t="s">
        <v>2135</v>
      </c>
      <c r="D797" t="s">
        <v>28</v>
      </c>
      <c r="F797">
        <v>960</v>
      </c>
      <c r="G797">
        <v>20</v>
      </c>
      <c r="H797" s="89">
        <v>46081</v>
      </c>
      <c r="I797" s="89">
        <v>46085</v>
      </c>
      <c r="J797" t="s">
        <v>2136</v>
      </c>
      <c r="N797" t="s">
        <v>2030</v>
      </c>
    </row>
    <row r="798" spans="1:14" hidden="1" x14ac:dyDescent="0.25">
      <c r="A798" t="s">
        <v>1315</v>
      </c>
      <c r="B798" t="s">
        <v>1329</v>
      </c>
      <c r="C798" t="s">
        <v>2135</v>
      </c>
      <c r="D798" t="s">
        <v>28</v>
      </c>
      <c r="F798">
        <v>22</v>
      </c>
      <c r="G798" t="s">
        <v>1419</v>
      </c>
      <c r="H798" s="89">
        <v>46081</v>
      </c>
      <c r="I798" s="89">
        <v>46080</v>
      </c>
      <c r="N798" t="s">
        <v>2030</v>
      </c>
    </row>
    <row r="799" spans="1:14" hidden="1" x14ac:dyDescent="0.25">
      <c r="A799" t="s">
        <v>1316</v>
      </c>
      <c r="B799" t="s">
        <v>1330</v>
      </c>
      <c r="C799" t="s">
        <v>2137</v>
      </c>
      <c r="D799" t="s">
        <v>28</v>
      </c>
      <c r="F799">
        <v>99</v>
      </c>
      <c r="G799" t="s">
        <v>1419</v>
      </c>
      <c r="H799" s="89">
        <v>46081</v>
      </c>
      <c r="I799" s="89">
        <v>46083</v>
      </c>
      <c r="N799" t="s">
        <v>2030</v>
      </c>
    </row>
    <row r="800" spans="1:14" hidden="1" x14ac:dyDescent="0.25">
      <c r="A800" t="s">
        <v>1317</v>
      </c>
      <c r="B800" t="s">
        <v>1331</v>
      </c>
      <c r="C800" t="s">
        <v>2138</v>
      </c>
      <c r="D800" t="s">
        <v>28</v>
      </c>
      <c r="F800">
        <v>6</v>
      </c>
      <c r="G800" t="s">
        <v>1419</v>
      </c>
      <c r="H800" s="89">
        <v>46081</v>
      </c>
      <c r="I800" s="89">
        <v>46083</v>
      </c>
      <c r="N800" t="s">
        <v>2030</v>
      </c>
    </row>
    <row r="801" spans="1:14" hidden="1" x14ac:dyDescent="0.25">
      <c r="A801" t="s">
        <v>1318</v>
      </c>
      <c r="B801" t="s">
        <v>1332</v>
      </c>
      <c r="C801" t="s">
        <v>2139</v>
      </c>
      <c r="D801" t="s">
        <v>28</v>
      </c>
      <c r="F801">
        <v>43</v>
      </c>
      <c r="G801" t="s">
        <v>1419</v>
      </c>
      <c r="H801" s="89">
        <v>46081</v>
      </c>
      <c r="I801" s="89">
        <v>46083</v>
      </c>
      <c r="N801" t="s">
        <v>2030</v>
      </c>
    </row>
    <row r="802" spans="1:14" hidden="1" x14ac:dyDescent="0.25">
      <c r="A802" t="s">
        <v>1313</v>
      </c>
      <c r="B802" t="s">
        <v>1327</v>
      </c>
      <c r="C802" t="s">
        <v>2140</v>
      </c>
      <c r="D802" t="s">
        <v>129</v>
      </c>
      <c r="F802">
        <v>480</v>
      </c>
      <c r="G802">
        <v>10</v>
      </c>
      <c r="H802" s="89">
        <v>46081</v>
      </c>
      <c r="I802" s="89">
        <v>46084</v>
      </c>
      <c r="J802" t="s">
        <v>2117</v>
      </c>
      <c r="N802" t="s">
        <v>2030</v>
      </c>
    </row>
    <row r="803" spans="1:14" hidden="1" x14ac:dyDescent="0.25">
      <c r="A803" t="s">
        <v>1320</v>
      </c>
      <c r="B803" t="s">
        <v>1334</v>
      </c>
      <c r="C803" t="s">
        <v>2141</v>
      </c>
      <c r="D803" t="s">
        <v>20</v>
      </c>
      <c r="F803">
        <v>960</v>
      </c>
      <c r="G803">
        <v>20</v>
      </c>
      <c r="H803" s="89">
        <v>46083</v>
      </c>
      <c r="I803" s="89">
        <v>46086</v>
      </c>
      <c r="J803" t="s">
        <v>2142</v>
      </c>
      <c r="N803" t="s">
        <v>2143</v>
      </c>
    </row>
    <row r="804" spans="1:14" hidden="1" x14ac:dyDescent="0.25">
      <c r="A804" t="s">
        <v>1313</v>
      </c>
      <c r="B804" t="s">
        <v>1327</v>
      </c>
      <c r="C804" t="s">
        <v>2141</v>
      </c>
      <c r="D804" t="s">
        <v>20</v>
      </c>
      <c r="F804">
        <v>374</v>
      </c>
      <c r="G804">
        <v>7.791666666666667</v>
      </c>
      <c r="H804" s="89">
        <v>46083</v>
      </c>
      <c r="I804" s="89">
        <v>46086</v>
      </c>
      <c r="N804" t="s">
        <v>2143</v>
      </c>
    </row>
    <row r="805" spans="1:14" hidden="1" x14ac:dyDescent="0.25">
      <c r="A805" t="s">
        <v>1317</v>
      </c>
      <c r="B805" t="s">
        <v>1331</v>
      </c>
      <c r="C805" t="s">
        <v>2144</v>
      </c>
      <c r="D805" t="s">
        <v>20</v>
      </c>
      <c r="F805">
        <v>18</v>
      </c>
      <c r="G805" t="s">
        <v>1419</v>
      </c>
      <c r="H805" s="89">
        <v>46083</v>
      </c>
      <c r="I805" s="89">
        <v>46085</v>
      </c>
      <c r="N805" t="s">
        <v>2143</v>
      </c>
    </row>
    <row r="806" spans="1:14" hidden="1" x14ac:dyDescent="0.25">
      <c r="A806" t="s">
        <v>1316</v>
      </c>
      <c r="B806" t="s">
        <v>1330</v>
      </c>
      <c r="C806" t="s">
        <v>2145</v>
      </c>
      <c r="D806" t="s">
        <v>20</v>
      </c>
      <c r="F806">
        <v>166</v>
      </c>
      <c r="G806" t="s">
        <v>1419</v>
      </c>
      <c r="H806" s="89">
        <v>46083</v>
      </c>
      <c r="I806" s="89">
        <v>46085</v>
      </c>
      <c r="N806" t="s">
        <v>2143</v>
      </c>
    </row>
    <row r="807" spans="1:14" hidden="1" x14ac:dyDescent="0.25">
      <c r="A807" t="s">
        <v>1318</v>
      </c>
      <c r="B807" t="s">
        <v>1332</v>
      </c>
      <c r="C807" t="s">
        <v>2146</v>
      </c>
      <c r="D807" t="s">
        <v>20</v>
      </c>
      <c r="F807">
        <v>53</v>
      </c>
      <c r="G807" t="s">
        <v>1419</v>
      </c>
      <c r="H807" s="89">
        <v>46083</v>
      </c>
      <c r="I807" s="89">
        <v>46085</v>
      </c>
      <c r="N807" t="s">
        <v>2143</v>
      </c>
    </row>
    <row r="808" spans="1:14" hidden="1" x14ac:dyDescent="0.25">
      <c r="A808" t="s">
        <v>1320</v>
      </c>
      <c r="B808" t="s">
        <v>1334</v>
      </c>
      <c r="C808" t="s">
        <v>2147</v>
      </c>
      <c r="D808" t="s">
        <v>15</v>
      </c>
      <c r="F808">
        <v>960</v>
      </c>
      <c r="G808">
        <v>20</v>
      </c>
      <c r="H808" s="89">
        <v>46083</v>
      </c>
      <c r="I808" s="89">
        <v>46087</v>
      </c>
      <c r="J808" t="s">
        <v>2148</v>
      </c>
      <c r="N808" t="s">
        <v>2143</v>
      </c>
    </row>
    <row r="809" spans="1:14" hidden="1" x14ac:dyDescent="0.25">
      <c r="A809" t="s">
        <v>1320</v>
      </c>
      <c r="B809" t="s">
        <v>1334</v>
      </c>
      <c r="C809" t="s">
        <v>2147</v>
      </c>
      <c r="D809" t="s">
        <v>15</v>
      </c>
      <c r="F809">
        <v>48</v>
      </c>
      <c r="G809">
        <v>1</v>
      </c>
      <c r="H809" s="89">
        <v>46083</v>
      </c>
      <c r="I809" s="89">
        <v>46088</v>
      </c>
      <c r="J809" t="s">
        <v>2149</v>
      </c>
      <c r="N809" t="s">
        <v>2143</v>
      </c>
    </row>
    <row r="810" spans="1:14" hidden="1" x14ac:dyDescent="0.25">
      <c r="A810" t="s">
        <v>1313</v>
      </c>
      <c r="B810" t="s">
        <v>1327</v>
      </c>
      <c r="C810" t="s">
        <v>2147</v>
      </c>
      <c r="D810" t="s">
        <v>15</v>
      </c>
      <c r="F810">
        <v>96</v>
      </c>
      <c r="G810">
        <v>2</v>
      </c>
      <c r="H810" s="89">
        <v>46083</v>
      </c>
      <c r="I810" s="89">
        <v>46086</v>
      </c>
      <c r="N810" t="s">
        <v>2143</v>
      </c>
    </row>
    <row r="811" spans="1:14" hidden="1" x14ac:dyDescent="0.25">
      <c r="A811" t="s">
        <v>1315</v>
      </c>
      <c r="B811" t="s">
        <v>1329</v>
      </c>
      <c r="C811" t="s">
        <v>2147</v>
      </c>
      <c r="D811" t="s">
        <v>15</v>
      </c>
      <c r="F811">
        <v>26</v>
      </c>
      <c r="G811" t="s">
        <v>1419</v>
      </c>
      <c r="H811" s="89">
        <v>46083</v>
      </c>
      <c r="I811" s="89">
        <v>46086</v>
      </c>
      <c r="N811" t="s">
        <v>2143</v>
      </c>
    </row>
    <row r="812" spans="1:14" hidden="1" x14ac:dyDescent="0.25">
      <c r="A812" t="s">
        <v>1317</v>
      </c>
      <c r="B812" t="s">
        <v>1331</v>
      </c>
      <c r="C812" t="s">
        <v>2150</v>
      </c>
      <c r="D812" t="s">
        <v>15</v>
      </c>
      <c r="F812">
        <v>18</v>
      </c>
      <c r="G812" t="s">
        <v>1419</v>
      </c>
      <c r="H812" s="89">
        <v>46083</v>
      </c>
      <c r="I812" s="89">
        <v>46085</v>
      </c>
      <c r="N812" t="s">
        <v>2143</v>
      </c>
    </row>
    <row r="813" spans="1:14" hidden="1" x14ac:dyDescent="0.25">
      <c r="A813" t="s">
        <v>1316</v>
      </c>
      <c r="B813" t="s">
        <v>1330</v>
      </c>
      <c r="C813" t="s">
        <v>2151</v>
      </c>
      <c r="D813" t="s">
        <v>15</v>
      </c>
      <c r="F813">
        <v>41</v>
      </c>
      <c r="G813" t="s">
        <v>1419</v>
      </c>
      <c r="H813" s="89">
        <v>46083</v>
      </c>
      <c r="I813" s="89">
        <v>46085</v>
      </c>
      <c r="N813" t="s">
        <v>2143</v>
      </c>
    </row>
    <row r="814" spans="1:14" hidden="1" x14ac:dyDescent="0.25">
      <c r="A814" t="s">
        <v>1318</v>
      </c>
      <c r="B814" t="s">
        <v>1332</v>
      </c>
      <c r="C814" t="s">
        <v>2152</v>
      </c>
      <c r="D814" t="s">
        <v>15</v>
      </c>
      <c r="F814">
        <v>40</v>
      </c>
      <c r="G814" t="s">
        <v>1419</v>
      </c>
      <c r="H814" s="89">
        <v>46083</v>
      </c>
      <c r="I814" s="89">
        <v>46085</v>
      </c>
      <c r="N814" t="s">
        <v>2143</v>
      </c>
    </row>
    <row r="815" spans="1:14" hidden="1" x14ac:dyDescent="0.25">
      <c r="A815" t="s">
        <v>1320</v>
      </c>
      <c r="B815" t="s">
        <v>1334</v>
      </c>
      <c r="C815" t="s">
        <v>2153</v>
      </c>
      <c r="D815" t="s">
        <v>88</v>
      </c>
      <c r="F815">
        <v>960</v>
      </c>
      <c r="G815">
        <v>20</v>
      </c>
      <c r="H815" s="89">
        <v>46083</v>
      </c>
      <c r="I815" s="89">
        <v>46087</v>
      </c>
      <c r="J815" t="s">
        <v>2154</v>
      </c>
      <c r="N815" t="s">
        <v>2143</v>
      </c>
    </row>
    <row r="816" spans="1:14" hidden="1" x14ac:dyDescent="0.25">
      <c r="A816" t="s">
        <v>1313</v>
      </c>
      <c r="B816" t="s">
        <v>1327</v>
      </c>
      <c r="C816" t="s">
        <v>2155</v>
      </c>
      <c r="D816" t="s">
        <v>21</v>
      </c>
      <c r="F816">
        <v>864</v>
      </c>
      <c r="G816">
        <v>18</v>
      </c>
      <c r="H816" s="89">
        <v>46083</v>
      </c>
      <c r="I816" s="89">
        <v>46087</v>
      </c>
      <c r="J816" t="s">
        <v>2156</v>
      </c>
      <c r="N816" t="s">
        <v>2143</v>
      </c>
    </row>
    <row r="817" spans="1:14" hidden="1" x14ac:dyDescent="0.25">
      <c r="A817" t="s">
        <v>1314</v>
      </c>
      <c r="B817" t="s">
        <v>1328</v>
      </c>
      <c r="C817" t="s">
        <v>2155</v>
      </c>
      <c r="D817" t="s">
        <v>21</v>
      </c>
      <c r="F817">
        <v>288</v>
      </c>
      <c r="G817">
        <v>6</v>
      </c>
      <c r="H817" s="89">
        <v>46083</v>
      </c>
      <c r="I817" s="89">
        <v>46087</v>
      </c>
      <c r="J817" t="s">
        <v>2157</v>
      </c>
      <c r="N817" t="s">
        <v>2143</v>
      </c>
    </row>
    <row r="818" spans="1:14" hidden="1" x14ac:dyDescent="0.25">
      <c r="A818" t="s">
        <v>1324</v>
      </c>
      <c r="B818" t="s">
        <v>1338</v>
      </c>
      <c r="C818" t="s">
        <v>2155</v>
      </c>
      <c r="D818" t="s">
        <v>21</v>
      </c>
      <c r="F818">
        <v>432</v>
      </c>
      <c r="G818">
        <v>9</v>
      </c>
      <c r="H818" s="89">
        <v>46083</v>
      </c>
      <c r="I818" s="89">
        <v>46090</v>
      </c>
      <c r="J818" t="s">
        <v>2158</v>
      </c>
      <c r="N818" t="s">
        <v>2143</v>
      </c>
    </row>
    <row r="819" spans="1:14" hidden="1" x14ac:dyDescent="0.25">
      <c r="A819" t="s">
        <v>1313</v>
      </c>
      <c r="B819" t="s">
        <v>1327</v>
      </c>
      <c r="C819" t="s">
        <v>2155</v>
      </c>
      <c r="D819" t="s">
        <v>21</v>
      </c>
      <c r="F819">
        <v>48</v>
      </c>
      <c r="G819">
        <v>1</v>
      </c>
      <c r="H819" s="89">
        <v>46083</v>
      </c>
      <c r="I819" s="89">
        <v>46089</v>
      </c>
      <c r="N819" t="s">
        <v>2143</v>
      </c>
    </row>
    <row r="820" spans="1:14" hidden="1" x14ac:dyDescent="0.25">
      <c r="A820" t="s">
        <v>1315</v>
      </c>
      <c r="B820" t="s">
        <v>1329</v>
      </c>
      <c r="C820" t="s">
        <v>2155</v>
      </c>
      <c r="D820" t="s">
        <v>21</v>
      </c>
      <c r="F820">
        <v>14</v>
      </c>
      <c r="G820" t="s">
        <v>1419</v>
      </c>
      <c r="H820" s="89">
        <v>46083</v>
      </c>
      <c r="I820" s="89">
        <v>46086</v>
      </c>
      <c r="N820" t="s">
        <v>2143</v>
      </c>
    </row>
    <row r="821" spans="1:14" hidden="1" x14ac:dyDescent="0.25">
      <c r="A821" t="s">
        <v>1317</v>
      </c>
      <c r="B821" t="s">
        <v>1331</v>
      </c>
      <c r="C821" t="s">
        <v>2159</v>
      </c>
      <c r="D821" t="s">
        <v>21</v>
      </c>
      <c r="F821">
        <v>45</v>
      </c>
      <c r="G821" t="s">
        <v>1419</v>
      </c>
      <c r="H821" s="89">
        <v>46083</v>
      </c>
      <c r="I821" s="89">
        <v>46085</v>
      </c>
      <c r="N821" t="s">
        <v>2143</v>
      </c>
    </row>
    <row r="822" spans="1:14" hidden="1" x14ac:dyDescent="0.25">
      <c r="A822" t="s">
        <v>1316</v>
      </c>
      <c r="B822" t="s">
        <v>1330</v>
      </c>
      <c r="C822" t="s">
        <v>2160</v>
      </c>
      <c r="D822" t="s">
        <v>21</v>
      </c>
      <c r="F822">
        <v>79</v>
      </c>
      <c r="G822" t="s">
        <v>1419</v>
      </c>
      <c r="H822" s="89">
        <v>46083</v>
      </c>
      <c r="I822" s="89">
        <v>46085</v>
      </c>
      <c r="N822" t="s">
        <v>2143</v>
      </c>
    </row>
    <row r="823" spans="1:14" hidden="1" x14ac:dyDescent="0.25">
      <c r="A823" t="s">
        <v>1318</v>
      </c>
      <c r="B823" t="s">
        <v>1332</v>
      </c>
      <c r="C823" t="s">
        <v>2161</v>
      </c>
      <c r="D823" t="s">
        <v>21</v>
      </c>
      <c r="F823">
        <v>27</v>
      </c>
      <c r="G823" t="s">
        <v>1419</v>
      </c>
      <c r="H823" s="89">
        <v>46083</v>
      </c>
      <c r="I823" s="89">
        <v>46085</v>
      </c>
      <c r="N823" t="s">
        <v>2143</v>
      </c>
    </row>
    <row r="824" spans="1:14" hidden="1" x14ac:dyDescent="0.25">
      <c r="A824" t="s">
        <v>1320</v>
      </c>
      <c r="B824" t="s">
        <v>1334</v>
      </c>
      <c r="C824" t="s">
        <v>2162</v>
      </c>
      <c r="D824" t="s">
        <v>15</v>
      </c>
      <c r="F824">
        <v>912</v>
      </c>
      <c r="G824">
        <v>19</v>
      </c>
      <c r="H824" s="89">
        <v>46084</v>
      </c>
      <c r="I824" s="89">
        <v>46088</v>
      </c>
      <c r="J824" t="s">
        <v>2149</v>
      </c>
      <c r="N824" t="s">
        <v>2143</v>
      </c>
    </row>
    <row r="825" spans="1:14" hidden="1" x14ac:dyDescent="0.25">
      <c r="A825" t="s">
        <v>1313</v>
      </c>
      <c r="B825" t="s">
        <v>1327</v>
      </c>
      <c r="C825" t="s">
        <v>2162</v>
      </c>
      <c r="D825" t="s">
        <v>15</v>
      </c>
      <c r="F825">
        <v>384</v>
      </c>
      <c r="G825">
        <v>8</v>
      </c>
      <c r="H825" s="89">
        <v>46084</v>
      </c>
      <c r="I825" s="89">
        <v>46086</v>
      </c>
      <c r="N825" t="s">
        <v>2143</v>
      </c>
    </row>
    <row r="826" spans="1:14" hidden="1" x14ac:dyDescent="0.25">
      <c r="A826" t="s">
        <v>1315</v>
      </c>
      <c r="B826" t="s">
        <v>1329</v>
      </c>
      <c r="C826" t="s">
        <v>2162</v>
      </c>
      <c r="D826" t="s">
        <v>15</v>
      </c>
      <c r="F826">
        <v>9</v>
      </c>
      <c r="G826" t="s">
        <v>1419</v>
      </c>
      <c r="H826" s="89">
        <v>46084</v>
      </c>
      <c r="I826" s="89">
        <v>46086</v>
      </c>
      <c r="N826" t="s">
        <v>2143</v>
      </c>
    </row>
    <row r="827" spans="1:14" hidden="1" x14ac:dyDescent="0.25">
      <c r="A827" t="s">
        <v>1317</v>
      </c>
      <c r="B827" t="s">
        <v>1331</v>
      </c>
      <c r="C827" t="s">
        <v>2163</v>
      </c>
      <c r="D827" t="s">
        <v>15</v>
      </c>
      <c r="F827">
        <v>24</v>
      </c>
      <c r="G827" t="s">
        <v>1419</v>
      </c>
      <c r="H827" s="89">
        <v>46084</v>
      </c>
      <c r="I827" s="89">
        <v>46086</v>
      </c>
      <c r="N827" t="s">
        <v>2143</v>
      </c>
    </row>
    <row r="828" spans="1:14" hidden="1" x14ac:dyDescent="0.25">
      <c r="A828" t="s">
        <v>1316</v>
      </c>
      <c r="B828" t="s">
        <v>1330</v>
      </c>
      <c r="C828" t="s">
        <v>2164</v>
      </c>
      <c r="D828" t="s">
        <v>15</v>
      </c>
      <c r="F828">
        <v>42</v>
      </c>
      <c r="G828" t="s">
        <v>1419</v>
      </c>
      <c r="H828" s="89">
        <v>46084</v>
      </c>
      <c r="I828" s="89">
        <v>46086</v>
      </c>
      <c r="N828" t="s">
        <v>2143</v>
      </c>
    </row>
    <row r="829" spans="1:14" hidden="1" x14ac:dyDescent="0.25">
      <c r="A829" t="s">
        <v>1318</v>
      </c>
      <c r="B829" t="s">
        <v>1332</v>
      </c>
      <c r="C829" t="s">
        <v>2165</v>
      </c>
      <c r="D829" t="s">
        <v>15</v>
      </c>
      <c r="F829">
        <v>43</v>
      </c>
      <c r="G829" t="s">
        <v>1419</v>
      </c>
      <c r="H829" s="89">
        <v>46084</v>
      </c>
      <c r="I829" s="89">
        <v>46086</v>
      </c>
      <c r="N829" t="s">
        <v>2143</v>
      </c>
    </row>
    <row r="830" spans="1:14" hidden="1" x14ac:dyDescent="0.25">
      <c r="A830" t="s">
        <v>1320</v>
      </c>
      <c r="B830" t="s">
        <v>1334</v>
      </c>
      <c r="C830" t="s">
        <v>2166</v>
      </c>
      <c r="D830" t="s">
        <v>23</v>
      </c>
      <c r="F830">
        <v>960</v>
      </c>
      <c r="G830">
        <v>20</v>
      </c>
      <c r="H830" s="89">
        <v>46084</v>
      </c>
      <c r="I830" s="89">
        <v>46088</v>
      </c>
      <c r="J830" t="s">
        <v>2167</v>
      </c>
      <c r="N830" t="s">
        <v>2143</v>
      </c>
    </row>
    <row r="831" spans="1:14" hidden="1" x14ac:dyDescent="0.25">
      <c r="A831" t="s">
        <v>1321</v>
      </c>
      <c r="B831" t="s">
        <v>1335</v>
      </c>
      <c r="C831" t="s">
        <v>2168</v>
      </c>
      <c r="D831" t="s">
        <v>32</v>
      </c>
      <c r="F831">
        <v>144</v>
      </c>
      <c r="G831">
        <v>3</v>
      </c>
      <c r="H831" s="89">
        <v>46084</v>
      </c>
      <c r="I831" s="89">
        <v>46090</v>
      </c>
      <c r="J831" t="s">
        <v>2158</v>
      </c>
      <c r="N831" t="s">
        <v>2143</v>
      </c>
    </row>
    <row r="832" spans="1:14" hidden="1" x14ac:dyDescent="0.25">
      <c r="A832" t="s">
        <v>1324</v>
      </c>
      <c r="B832" t="s">
        <v>1338</v>
      </c>
      <c r="C832" t="s">
        <v>2169</v>
      </c>
      <c r="D832" t="s">
        <v>13</v>
      </c>
      <c r="F832">
        <v>96</v>
      </c>
      <c r="G832">
        <v>2</v>
      </c>
      <c r="H832" s="89">
        <v>46084</v>
      </c>
      <c r="I832" s="89">
        <v>46090</v>
      </c>
      <c r="J832" t="s">
        <v>2158</v>
      </c>
      <c r="N832" t="s">
        <v>2143</v>
      </c>
    </row>
    <row r="833" spans="1:14" hidden="1" x14ac:dyDescent="0.25">
      <c r="A833" t="s">
        <v>1324</v>
      </c>
      <c r="B833" t="s">
        <v>1338</v>
      </c>
      <c r="C833" t="s">
        <v>2169</v>
      </c>
      <c r="D833" t="s">
        <v>13</v>
      </c>
      <c r="F833">
        <v>864</v>
      </c>
      <c r="G833">
        <v>18</v>
      </c>
      <c r="H833" s="89">
        <v>46084</v>
      </c>
      <c r="I833" s="89">
        <v>46090</v>
      </c>
      <c r="J833" t="s">
        <v>2170</v>
      </c>
      <c r="N833" t="s">
        <v>2143</v>
      </c>
    </row>
    <row r="834" spans="1:14" hidden="1" x14ac:dyDescent="0.25">
      <c r="A834" t="s">
        <v>1324</v>
      </c>
      <c r="B834" t="s">
        <v>1338</v>
      </c>
      <c r="C834" t="s">
        <v>2171</v>
      </c>
      <c r="D834" t="s">
        <v>21</v>
      </c>
      <c r="F834">
        <v>384</v>
      </c>
      <c r="G834">
        <v>8</v>
      </c>
      <c r="H834" s="89">
        <v>46084</v>
      </c>
      <c r="I834" s="89">
        <v>46090</v>
      </c>
      <c r="J834" t="s">
        <v>2158</v>
      </c>
      <c r="N834" t="s">
        <v>2143</v>
      </c>
    </row>
    <row r="835" spans="1:14" hidden="1" x14ac:dyDescent="0.25">
      <c r="A835" t="s">
        <v>1313</v>
      </c>
      <c r="B835" t="s">
        <v>1327</v>
      </c>
      <c r="C835" t="s">
        <v>2171</v>
      </c>
      <c r="D835" t="s">
        <v>21</v>
      </c>
      <c r="F835">
        <v>336</v>
      </c>
      <c r="G835">
        <v>7</v>
      </c>
      <c r="H835" s="89">
        <v>46084</v>
      </c>
      <c r="I835" s="89">
        <v>46089</v>
      </c>
      <c r="J835" t="s">
        <v>2172</v>
      </c>
      <c r="N835" t="s">
        <v>2143</v>
      </c>
    </row>
    <row r="836" spans="1:14" hidden="1" x14ac:dyDescent="0.25">
      <c r="A836" t="s">
        <v>1315</v>
      </c>
      <c r="B836" t="s">
        <v>1329</v>
      </c>
      <c r="C836" t="s">
        <v>2171</v>
      </c>
      <c r="D836" t="s">
        <v>21</v>
      </c>
      <c r="F836">
        <v>102</v>
      </c>
      <c r="G836" t="s">
        <v>1419</v>
      </c>
      <c r="H836" s="89">
        <v>46084</v>
      </c>
      <c r="I836" s="89">
        <v>46086</v>
      </c>
      <c r="N836" t="s">
        <v>2143</v>
      </c>
    </row>
    <row r="837" spans="1:14" hidden="1" x14ac:dyDescent="0.25">
      <c r="A837" t="s">
        <v>1317</v>
      </c>
      <c r="B837" t="s">
        <v>1331</v>
      </c>
      <c r="C837" t="s">
        <v>2173</v>
      </c>
      <c r="D837" t="s">
        <v>21</v>
      </c>
      <c r="F837">
        <v>33</v>
      </c>
      <c r="G837" t="s">
        <v>1419</v>
      </c>
      <c r="H837" s="89">
        <v>46084</v>
      </c>
      <c r="I837" s="89">
        <v>46086</v>
      </c>
      <c r="N837" t="s">
        <v>2143</v>
      </c>
    </row>
    <row r="838" spans="1:14" hidden="1" x14ac:dyDescent="0.25">
      <c r="A838" t="s">
        <v>1316</v>
      </c>
      <c r="B838" t="s">
        <v>1330</v>
      </c>
      <c r="C838" t="s">
        <v>2174</v>
      </c>
      <c r="D838" t="s">
        <v>21</v>
      </c>
      <c r="F838">
        <v>98</v>
      </c>
      <c r="G838" t="s">
        <v>1419</v>
      </c>
      <c r="H838" s="89">
        <v>46084</v>
      </c>
      <c r="I838" s="89">
        <v>46086</v>
      </c>
      <c r="N838" t="s">
        <v>2143</v>
      </c>
    </row>
    <row r="839" spans="1:14" hidden="1" x14ac:dyDescent="0.25">
      <c r="A839" t="s">
        <v>1318</v>
      </c>
      <c r="B839" t="s">
        <v>1332</v>
      </c>
      <c r="C839" t="s">
        <v>2175</v>
      </c>
      <c r="D839" t="s">
        <v>21</v>
      </c>
      <c r="F839">
        <v>55</v>
      </c>
      <c r="G839" t="s">
        <v>1419</v>
      </c>
      <c r="H839" s="89">
        <v>46084</v>
      </c>
      <c r="I839" s="89">
        <v>46086</v>
      </c>
      <c r="N839" t="s">
        <v>2143</v>
      </c>
    </row>
    <row r="840" spans="1:14" hidden="1" x14ac:dyDescent="0.25">
      <c r="A840" t="s">
        <v>1321</v>
      </c>
      <c r="B840" t="s">
        <v>1335</v>
      </c>
      <c r="C840" t="s">
        <v>2168</v>
      </c>
      <c r="D840" t="s">
        <v>32</v>
      </c>
      <c r="F840">
        <v>96</v>
      </c>
      <c r="G840">
        <v>2</v>
      </c>
      <c r="H840" s="89">
        <v>46084</v>
      </c>
      <c r="I840" s="89">
        <v>46090</v>
      </c>
      <c r="J840" t="s">
        <v>2170</v>
      </c>
      <c r="N840" t="s">
        <v>2143</v>
      </c>
    </row>
    <row r="841" spans="1:14" hidden="1" x14ac:dyDescent="0.25">
      <c r="A841" t="s">
        <v>1324</v>
      </c>
      <c r="B841" t="s">
        <v>1338</v>
      </c>
      <c r="C841" t="s">
        <v>2176</v>
      </c>
      <c r="D841" t="s">
        <v>118</v>
      </c>
      <c r="F841">
        <v>960</v>
      </c>
      <c r="G841">
        <v>20</v>
      </c>
      <c r="H841" s="89">
        <v>46084</v>
      </c>
      <c r="I841" s="89">
        <v>46090</v>
      </c>
      <c r="J841" t="s">
        <v>2170</v>
      </c>
      <c r="N841" t="s">
        <v>2143</v>
      </c>
    </row>
    <row r="842" spans="1:14" hidden="1" x14ac:dyDescent="0.25">
      <c r="A842" t="s">
        <v>1323</v>
      </c>
      <c r="B842" t="s">
        <v>1337</v>
      </c>
      <c r="C842" t="s">
        <v>2177</v>
      </c>
      <c r="D842" t="s">
        <v>20</v>
      </c>
      <c r="F842">
        <v>918</v>
      </c>
      <c r="G842">
        <v>17</v>
      </c>
      <c r="H842" s="89">
        <v>46084</v>
      </c>
      <c r="I842" s="89">
        <v>46087</v>
      </c>
      <c r="J842" t="s">
        <v>2178</v>
      </c>
      <c r="N842" t="s">
        <v>2143</v>
      </c>
    </row>
    <row r="843" spans="1:14" hidden="1" x14ac:dyDescent="0.25">
      <c r="A843" t="s">
        <v>1322</v>
      </c>
      <c r="B843" t="s">
        <v>1336</v>
      </c>
      <c r="C843" t="s">
        <v>2177</v>
      </c>
      <c r="D843" t="s">
        <v>20</v>
      </c>
      <c r="F843">
        <v>162</v>
      </c>
      <c r="G843">
        <v>3</v>
      </c>
      <c r="H843" s="89">
        <v>46084</v>
      </c>
      <c r="I843" s="89">
        <v>46087</v>
      </c>
      <c r="J843" t="s">
        <v>2178</v>
      </c>
      <c r="N843" t="s">
        <v>2143</v>
      </c>
    </row>
    <row r="844" spans="1:14" hidden="1" x14ac:dyDescent="0.25">
      <c r="A844" t="s">
        <v>1313</v>
      </c>
      <c r="B844" t="s">
        <v>1327</v>
      </c>
      <c r="C844" t="s">
        <v>2177</v>
      </c>
      <c r="D844" t="s">
        <v>20</v>
      </c>
      <c r="F844">
        <v>154</v>
      </c>
      <c r="G844">
        <v>3.2083333333333335</v>
      </c>
      <c r="H844" s="89">
        <v>46084</v>
      </c>
      <c r="I844" s="89">
        <v>46086</v>
      </c>
      <c r="N844" t="s">
        <v>2143</v>
      </c>
    </row>
    <row r="845" spans="1:14" hidden="1" x14ac:dyDescent="0.25">
      <c r="A845" t="s">
        <v>1315</v>
      </c>
      <c r="B845" t="s">
        <v>1329</v>
      </c>
      <c r="C845" t="s">
        <v>2177</v>
      </c>
      <c r="D845" t="s">
        <v>20</v>
      </c>
      <c r="F845">
        <v>7</v>
      </c>
      <c r="G845" t="s">
        <v>1419</v>
      </c>
      <c r="H845" s="89">
        <v>46084</v>
      </c>
      <c r="I845" s="89">
        <v>46086</v>
      </c>
      <c r="N845" t="s">
        <v>2143</v>
      </c>
    </row>
    <row r="846" spans="1:14" hidden="1" x14ac:dyDescent="0.25">
      <c r="A846" t="s">
        <v>1317</v>
      </c>
      <c r="B846" t="s">
        <v>1331</v>
      </c>
      <c r="C846" t="s">
        <v>2179</v>
      </c>
      <c r="D846" t="s">
        <v>20</v>
      </c>
      <c r="F846">
        <v>24</v>
      </c>
      <c r="G846" t="s">
        <v>1419</v>
      </c>
      <c r="H846" s="89">
        <v>46084</v>
      </c>
      <c r="I846" s="89">
        <v>46086</v>
      </c>
      <c r="N846" t="s">
        <v>2143</v>
      </c>
    </row>
    <row r="847" spans="1:14" hidden="1" x14ac:dyDescent="0.25">
      <c r="A847" t="s">
        <v>1316</v>
      </c>
      <c r="B847" t="s">
        <v>1330</v>
      </c>
      <c r="C847" t="s">
        <v>2180</v>
      </c>
      <c r="D847" t="s">
        <v>20</v>
      </c>
      <c r="F847">
        <v>111</v>
      </c>
      <c r="G847" t="s">
        <v>1419</v>
      </c>
      <c r="H847" s="89">
        <v>46084</v>
      </c>
      <c r="I847" s="89">
        <v>46086</v>
      </c>
      <c r="N847" t="s">
        <v>2143</v>
      </c>
    </row>
    <row r="848" spans="1:14" hidden="1" x14ac:dyDescent="0.25">
      <c r="A848" t="s">
        <v>1318</v>
      </c>
      <c r="B848" t="s">
        <v>1332</v>
      </c>
      <c r="C848" t="s">
        <v>2181</v>
      </c>
      <c r="D848" t="s">
        <v>20</v>
      </c>
      <c r="F848">
        <v>39</v>
      </c>
      <c r="G848" t="s">
        <v>1419</v>
      </c>
      <c r="H848" s="89">
        <v>46084</v>
      </c>
      <c r="I848" s="89">
        <v>46086</v>
      </c>
      <c r="N848" t="s">
        <v>2143</v>
      </c>
    </row>
    <row r="849" spans="1:14" hidden="1" x14ac:dyDescent="0.25">
      <c r="A849" t="s">
        <v>1325</v>
      </c>
      <c r="B849" t="s">
        <v>1339</v>
      </c>
      <c r="C849" t="s">
        <v>2168</v>
      </c>
      <c r="D849" t="s">
        <v>32</v>
      </c>
      <c r="F849">
        <v>336</v>
      </c>
      <c r="G849">
        <v>7</v>
      </c>
      <c r="H849" s="89">
        <v>46084</v>
      </c>
      <c r="I849" s="89">
        <v>46086</v>
      </c>
      <c r="N849" t="s">
        <v>2143</v>
      </c>
    </row>
    <row r="850" spans="1:14" hidden="1" x14ac:dyDescent="0.25">
      <c r="A850" t="s">
        <v>1320</v>
      </c>
      <c r="B850" t="s">
        <v>1334</v>
      </c>
      <c r="C850" t="s">
        <v>2182</v>
      </c>
      <c r="D850" t="s">
        <v>88</v>
      </c>
      <c r="F850">
        <v>960</v>
      </c>
      <c r="G850">
        <v>20</v>
      </c>
      <c r="H850" s="89">
        <v>46085</v>
      </c>
      <c r="I850" s="89">
        <v>46090</v>
      </c>
      <c r="J850" t="s">
        <v>2183</v>
      </c>
      <c r="N850" t="s">
        <v>2143</v>
      </c>
    </row>
    <row r="851" spans="1:14" hidden="1" x14ac:dyDescent="0.25">
      <c r="A851" t="s">
        <v>1313</v>
      </c>
      <c r="B851" t="s">
        <v>1327</v>
      </c>
      <c r="C851" t="s">
        <v>2184</v>
      </c>
      <c r="D851" t="s">
        <v>21</v>
      </c>
      <c r="F851">
        <v>811</v>
      </c>
      <c r="G851">
        <v>16.895833333333332</v>
      </c>
      <c r="H851" s="89">
        <v>46085</v>
      </c>
      <c r="I851" s="89">
        <v>46089</v>
      </c>
      <c r="J851" t="s">
        <v>2172</v>
      </c>
      <c r="N851" t="s">
        <v>2143</v>
      </c>
    </row>
    <row r="852" spans="1:14" hidden="1" x14ac:dyDescent="0.25">
      <c r="A852" t="s">
        <v>1566</v>
      </c>
      <c r="B852" t="s">
        <v>1567</v>
      </c>
      <c r="C852" t="s">
        <v>2184</v>
      </c>
      <c r="D852" t="s">
        <v>21</v>
      </c>
      <c r="F852">
        <v>5</v>
      </c>
      <c r="G852">
        <v>0.10416666666666669</v>
      </c>
      <c r="H852" s="89">
        <v>46085</v>
      </c>
      <c r="I852" s="89">
        <v>46089</v>
      </c>
      <c r="J852" t="s">
        <v>2185</v>
      </c>
      <c r="N852" t="s">
        <v>2143</v>
      </c>
    </row>
    <row r="853" spans="1:14" hidden="1" x14ac:dyDescent="0.25">
      <c r="A853" t="s">
        <v>1314</v>
      </c>
      <c r="B853" t="s">
        <v>1328</v>
      </c>
      <c r="C853" t="s">
        <v>2184</v>
      </c>
      <c r="D853" t="s">
        <v>21</v>
      </c>
      <c r="F853">
        <v>336</v>
      </c>
      <c r="G853">
        <v>7</v>
      </c>
      <c r="H853" s="89">
        <v>46085</v>
      </c>
      <c r="I853" s="89">
        <v>46090</v>
      </c>
      <c r="J853" t="s">
        <v>2186</v>
      </c>
      <c r="N853" t="s">
        <v>2143</v>
      </c>
    </row>
    <row r="854" spans="1:14" hidden="1" x14ac:dyDescent="0.25">
      <c r="A854" t="s">
        <v>1313</v>
      </c>
      <c r="B854" t="s">
        <v>1327</v>
      </c>
      <c r="C854" t="s">
        <v>2184</v>
      </c>
      <c r="D854" t="s">
        <v>21</v>
      </c>
      <c r="F854">
        <v>384</v>
      </c>
      <c r="G854">
        <v>8</v>
      </c>
      <c r="H854" s="89">
        <v>46085</v>
      </c>
      <c r="I854" s="89">
        <v>46090</v>
      </c>
      <c r="J854" t="s">
        <v>2187</v>
      </c>
      <c r="N854" t="s">
        <v>2143</v>
      </c>
    </row>
    <row r="855" spans="1:14" hidden="1" x14ac:dyDescent="0.25">
      <c r="A855" t="s">
        <v>1315</v>
      </c>
      <c r="B855" t="s">
        <v>1329</v>
      </c>
      <c r="C855" t="s">
        <v>2184</v>
      </c>
      <c r="D855" t="s">
        <v>21</v>
      </c>
      <c r="F855">
        <v>54</v>
      </c>
      <c r="G855" t="s">
        <v>1419</v>
      </c>
      <c r="H855" s="89">
        <v>46085</v>
      </c>
      <c r="I855" s="89">
        <v>46086</v>
      </c>
      <c r="N855" t="s">
        <v>2143</v>
      </c>
    </row>
    <row r="856" spans="1:14" hidden="1" x14ac:dyDescent="0.25">
      <c r="A856" t="s">
        <v>1317</v>
      </c>
      <c r="B856" t="s">
        <v>1331</v>
      </c>
      <c r="C856" t="s">
        <v>2188</v>
      </c>
      <c r="D856" t="s">
        <v>21</v>
      </c>
      <c r="F856">
        <v>31</v>
      </c>
      <c r="G856" t="s">
        <v>1419</v>
      </c>
      <c r="H856" s="89">
        <v>46085</v>
      </c>
      <c r="I856" s="89">
        <v>46087</v>
      </c>
      <c r="N856" t="s">
        <v>2143</v>
      </c>
    </row>
    <row r="857" spans="1:14" hidden="1" x14ac:dyDescent="0.25">
      <c r="A857" t="s">
        <v>1316</v>
      </c>
      <c r="B857" t="s">
        <v>1330</v>
      </c>
      <c r="C857" t="s">
        <v>2189</v>
      </c>
      <c r="D857" t="s">
        <v>21</v>
      </c>
      <c r="F857">
        <v>71</v>
      </c>
      <c r="G857" t="s">
        <v>1419</v>
      </c>
      <c r="H857" s="89">
        <v>46085</v>
      </c>
      <c r="I857" s="89">
        <v>46087</v>
      </c>
      <c r="N857" t="s">
        <v>2143</v>
      </c>
    </row>
    <row r="858" spans="1:14" hidden="1" x14ac:dyDescent="0.25">
      <c r="A858" t="s">
        <v>1318</v>
      </c>
      <c r="B858" t="s">
        <v>1332</v>
      </c>
      <c r="C858" t="s">
        <v>2190</v>
      </c>
      <c r="D858" t="s">
        <v>21</v>
      </c>
      <c r="F858">
        <v>63</v>
      </c>
      <c r="G858" t="s">
        <v>1419</v>
      </c>
      <c r="H858" s="89">
        <v>46085</v>
      </c>
      <c r="I858" s="89">
        <v>46087</v>
      </c>
      <c r="N858" t="s">
        <v>2143</v>
      </c>
    </row>
    <row r="859" spans="1:14" hidden="1" x14ac:dyDescent="0.25">
      <c r="A859" t="s">
        <v>1313</v>
      </c>
      <c r="B859" t="s">
        <v>1327</v>
      </c>
      <c r="C859" t="s">
        <v>2191</v>
      </c>
      <c r="D859" t="s">
        <v>15</v>
      </c>
      <c r="F859">
        <v>1152</v>
      </c>
      <c r="G859">
        <v>24</v>
      </c>
      <c r="H859" s="89">
        <v>46085</v>
      </c>
      <c r="I859" s="89">
        <v>46089</v>
      </c>
      <c r="J859" t="s">
        <v>2192</v>
      </c>
      <c r="N859" t="s">
        <v>2143</v>
      </c>
    </row>
    <row r="860" spans="1:14" hidden="1" x14ac:dyDescent="0.25">
      <c r="A860" t="s">
        <v>1315</v>
      </c>
      <c r="B860" t="s">
        <v>1329</v>
      </c>
      <c r="C860" t="s">
        <v>2191</v>
      </c>
      <c r="D860" t="s">
        <v>15</v>
      </c>
      <c r="F860">
        <v>41</v>
      </c>
      <c r="G860" t="s">
        <v>1419</v>
      </c>
      <c r="H860" s="89">
        <v>46085</v>
      </c>
      <c r="I860" s="89">
        <v>46086</v>
      </c>
      <c r="N860" t="s">
        <v>2143</v>
      </c>
    </row>
    <row r="861" spans="1:14" hidden="1" x14ac:dyDescent="0.25">
      <c r="A861" t="s">
        <v>1317</v>
      </c>
      <c r="B861" t="s">
        <v>1331</v>
      </c>
      <c r="C861" t="s">
        <v>2193</v>
      </c>
      <c r="D861" t="s">
        <v>15</v>
      </c>
      <c r="F861">
        <v>7</v>
      </c>
      <c r="G861" t="s">
        <v>1419</v>
      </c>
      <c r="H861" s="89">
        <v>46085</v>
      </c>
      <c r="I861" s="89">
        <v>46087</v>
      </c>
      <c r="N861" t="s">
        <v>2143</v>
      </c>
    </row>
    <row r="862" spans="1:14" hidden="1" x14ac:dyDescent="0.25">
      <c r="A862" t="s">
        <v>1316</v>
      </c>
      <c r="B862" t="s">
        <v>1330</v>
      </c>
      <c r="C862" t="s">
        <v>2194</v>
      </c>
      <c r="D862" t="s">
        <v>15</v>
      </c>
      <c r="F862">
        <v>44</v>
      </c>
      <c r="G862" t="s">
        <v>1419</v>
      </c>
      <c r="H862" s="89">
        <v>46085</v>
      </c>
      <c r="I862" s="89">
        <v>46087</v>
      </c>
      <c r="N862" t="s">
        <v>2143</v>
      </c>
    </row>
    <row r="863" spans="1:14" hidden="1" x14ac:dyDescent="0.25">
      <c r="A863" t="s">
        <v>1318</v>
      </c>
      <c r="B863" t="s">
        <v>1332</v>
      </c>
      <c r="C863" t="s">
        <v>2195</v>
      </c>
      <c r="D863" t="s">
        <v>15</v>
      </c>
      <c r="F863">
        <v>31</v>
      </c>
      <c r="G863" t="s">
        <v>1419</v>
      </c>
      <c r="H863" s="89">
        <v>46085</v>
      </c>
      <c r="I863" s="89">
        <v>46087</v>
      </c>
      <c r="N863" t="s">
        <v>2143</v>
      </c>
    </row>
    <row r="864" spans="1:14" hidden="1" x14ac:dyDescent="0.25">
      <c r="A864" t="s">
        <v>1320</v>
      </c>
      <c r="B864" t="s">
        <v>1334</v>
      </c>
      <c r="C864" t="s">
        <v>2196</v>
      </c>
      <c r="D864" t="s">
        <v>20</v>
      </c>
      <c r="F864">
        <v>960</v>
      </c>
      <c r="G864">
        <v>20</v>
      </c>
      <c r="H864" s="89">
        <v>46085</v>
      </c>
      <c r="I864" s="89">
        <v>46090</v>
      </c>
      <c r="J864" t="s">
        <v>2197</v>
      </c>
      <c r="N864" t="s">
        <v>2143</v>
      </c>
    </row>
    <row r="865" spans="1:14" hidden="1" x14ac:dyDescent="0.25">
      <c r="A865" t="s">
        <v>1313</v>
      </c>
      <c r="B865" t="s">
        <v>1327</v>
      </c>
      <c r="C865" t="s">
        <v>2196</v>
      </c>
      <c r="D865" t="s">
        <v>20</v>
      </c>
      <c r="F865">
        <v>384</v>
      </c>
      <c r="G865">
        <v>8</v>
      </c>
      <c r="H865" s="89">
        <v>46085</v>
      </c>
      <c r="I865" s="89">
        <v>46088</v>
      </c>
      <c r="N865" t="s">
        <v>2143</v>
      </c>
    </row>
    <row r="866" spans="1:14" hidden="1" x14ac:dyDescent="0.25">
      <c r="A866" t="s">
        <v>1317</v>
      </c>
      <c r="B866" t="s">
        <v>1331</v>
      </c>
      <c r="C866" t="s">
        <v>2198</v>
      </c>
      <c r="D866" t="s">
        <v>20</v>
      </c>
      <c r="F866">
        <v>12</v>
      </c>
      <c r="G866" t="s">
        <v>1419</v>
      </c>
      <c r="H866" s="89">
        <v>46085</v>
      </c>
      <c r="I866" s="89">
        <v>46087</v>
      </c>
      <c r="N866" t="s">
        <v>2143</v>
      </c>
    </row>
    <row r="867" spans="1:14" hidden="1" x14ac:dyDescent="0.25">
      <c r="A867" t="s">
        <v>1316</v>
      </c>
      <c r="B867" t="s">
        <v>1330</v>
      </c>
      <c r="C867" t="s">
        <v>2199</v>
      </c>
      <c r="D867" t="s">
        <v>20</v>
      </c>
      <c r="F867">
        <v>265</v>
      </c>
      <c r="G867" t="s">
        <v>1419</v>
      </c>
      <c r="H867" s="89">
        <v>46085</v>
      </c>
      <c r="I867" s="89">
        <v>46087</v>
      </c>
      <c r="N867" t="s">
        <v>2143</v>
      </c>
    </row>
    <row r="868" spans="1:14" hidden="1" x14ac:dyDescent="0.25">
      <c r="A868" t="s">
        <v>1318</v>
      </c>
      <c r="B868" t="s">
        <v>1332</v>
      </c>
      <c r="C868" t="s">
        <v>2200</v>
      </c>
      <c r="D868" t="s">
        <v>20</v>
      </c>
      <c r="F868">
        <v>64</v>
      </c>
      <c r="G868" t="s">
        <v>1419</v>
      </c>
      <c r="H868" s="89">
        <v>46085</v>
      </c>
      <c r="I868" s="89">
        <v>46087</v>
      </c>
      <c r="N868" t="s">
        <v>2143</v>
      </c>
    </row>
    <row r="869" spans="1:14" hidden="1" x14ac:dyDescent="0.25">
      <c r="A869" t="s">
        <v>1313</v>
      </c>
      <c r="B869" t="s">
        <v>1327</v>
      </c>
      <c r="C869" t="s">
        <v>2201</v>
      </c>
      <c r="D869" t="s">
        <v>20</v>
      </c>
      <c r="F869">
        <v>528</v>
      </c>
      <c r="G869">
        <v>11</v>
      </c>
      <c r="H869" s="89">
        <v>46086</v>
      </c>
      <c r="I869" s="89">
        <v>46090</v>
      </c>
      <c r="J869" t="s">
        <v>2202</v>
      </c>
      <c r="N869" t="s">
        <v>2143</v>
      </c>
    </row>
    <row r="870" spans="1:14" hidden="1" x14ac:dyDescent="0.25">
      <c r="A870" t="s">
        <v>1313</v>
      </c>
      <c r="B870" t="s">
        <v>1327</v>
      </c>
      <c r="C870" t="s">
        <v>2201</v>
      </c>
      <c r="D870" t="s">
        <v>20</v>
      </c>
      <c r="F870">
        <v>432</v>
      </c>
      <c r="G870">
        <v>9</v>
      </c>
      <c r="H870" s="89">
        <v>46086</v>
      </c>
      <c r="I870" s="89">
        <v>46090</v>
      </c>
      <c r="J870" t="s">
        <v>2187</v>
      </c>
      <c r="N870" t="s">
        <v>2143</v>
      </c>
    </row>
    <row r="871" spans="1:14" hidden="1" x14ac:dyDescent="0.25">
      <c r="A871" t="s">
        <v>1313</v>
      </c>
      <c r="B871" t="s">
        <v>1327</v>
      </c>
      <c r="C871" t="s">
        <v>2201</v>
      </c>
      <c r="D871" t="s">
        <v>20</v>
      </c>
      <c r="F871">
        <v>288</v>
      </c>
      <c r="G871">
        <v>6</v>
      </c>
      <c r="H871" s="89">
        <v>46086</v>
      </c>
      <c r="I871" s="89">
        <v>46088</v>
      </c>
      <c r="N871" t="s">
        <v>2143</v>
      </c>
    </row>
    <row r="872" spans="1:14" hidden="1" x14ac:dyDescent="0.25">
      <c r="A872" t="s">
        <v>1315</v>
      </c>
      <c r="B872" t="s">
        <v>1329</v>
      </c>
      <c r="C872" t="s">
        <v>2201</v>
      </c>
      <c r="D872" t="s">
        <v>20</v>
      </c>
      <c r="F872">
        <v>70</v>
      </c>
      <c r="G872" t="s">
        <v>1419</v>
      </c>
      <c r="H872" s="89">
        <v>46086</v>
      </c>
      <c r="I872" s="89">
        <v>46086</v>
      </c>
      <c r="N872" t="s">
        <v>2143</v>
      </c>
    </row>
    <row r="873" spans="1:14" hidden="1" x14ac:dyDescent="0.25">
      <c r="A873" t="s">
        <v>1317</v>
      </c>
      <c r="B873" t="s">
        <v>1331</v>
      </c>
      <c r="C873" t="s">
        <v>2203</v>
      </c>
      <c r="D873" t="s">
        <v>20</v>
      </c>
      <c r="F873">
        <v>21</v>
      </c>
      <c r="G873" t="s">
        <v>1419</v>
      </c>
      <c r="H873" s="89">
        <v>46086</v>
      </c>
      <c r="I873" s="89">
        <v>46088</v>
      </c>
      <c r="N873" t="s">
        <v>2143</v>
      </c>
    </row>
    <row r="874" spans="1:14" hidden="1" x14ac:dyDescent="0.25">
      <c r="A874" t="s">
        <v>1316</v>
      </c>
      <c r="B874" t="s">
        <v>1330</v>
      </c>
      <c r="C874" t="s">
        <v>2204</v>
      </c>
      <c r="D874" t="s">
        <v>20</v>
      </c>
      <c r="F874">
        <v>193</v>
      </c>
      <c r="G874" t="s">
        <v>1419</v>
      </c>
      <c r="H874" s="89">
        <v>46086</v>
      </c>
      <c r="I874" s="89">
        <v>46088</v>
      </c>
      <c r="N874" t="s">
        <v>2143</v>
      </c>
    </row>
    <row r="875" spans="1:14" hidden="1" x14ac:dyDescent="0.25">
      <c r="A875" t="s">
        <v>1318</v>
      </c>
      <c r="B875" t="s">
        <v>1332</v>
      </c>
      <c r="C875" t="s">
        <v>2205</v>
      </c>
      <c r="D875" t="s">
        <v>20</v>
      </c>
      <c r="F875">
        <v>65</v>
      </c>
      <c r="G875" t="s">
        <v>1419</v>
      </c>
      <c r="H875" s="89">
        <v>46086</v>
      </c>
      <c r="I875" s="89">
        <v>46088</v>
      </c>
      <c r="N875" t="s">
        <v>2143</v>
      </c>
    </row>
    <row r="876" spans="1:14" hidden="1" x14ac:dyDescent="0.25">
      <c r="A876" t="s">
        <v>1320</v>
      </c>
      <c r="B876" t="s">
        <v>1334</v>
      </c>
      <c r="C876" t="s">
        <v>2206</v>
      </c>
      <c r="D876" t="s">
        <v>23</v>
      </c>
      <c r="F876">
        <v>960</v>
      </c>
      <c r="G876">
        <v>20</v>
      </c>
      <c r="H876" s="89">
        <v>46086</v>
      </c>
      <c r="I876" s="89">
        <v>46091</v>
      </c>
      <c r="J876" t="s">
        <v>2207</v>
      </c>
      <c r="N876" t="s">
        <v>2143</v>
      </c>
    </row>
    <row r="877" spans="1:14" hidden="1" x14ac:dyDescent="0.25">
      <c r="A877" t="s">
        <v>1326</v>
      </c>
      <c r="B877" t="s">
        <v>1340</v>
      </c>
      <c r="C877" t="s">
        <v>2208</v>
      </c>
      <c r="D877" t="s">
        <v>155</v>
      </c>
      <c r="F877">
        <v>420</v>
      </c>
      <c r="G877">
        <v>10</v>
      </c>
      <c r="H877" s="89">
        <v>46086</v>
      </c>
      <c r="I877" s="89">
        <v>46094</v>
      </c>
      <c r="J877" t="s">
        <v>2209</v>
      </c>
      <c r="N877" t="s">
        <v>2143</v>
      </c>
    </row>
    <row r="878" spans="1:14" hidden="1" x14ac:dyDescent="0.25">
      <c r="A878" t="s">
        <v>1320</v>
      </c>
      <c r="B878" t="s">
        <v>1334</v>
      </c>
      <c r="C878" t="s">
        <v>2210</v>
      </c>
      <c r="D878" t="s">
        <v>15</v>
      </c>
      <c r="F878">
        <v>960</v>
      </c>
      <c r="G878">
        <v>20</v>
      </c>
      <c r="H878" s="89">
        <v>46086</v>
      </c>
      <c r="I878" s="89">
        <v>46091</v>
      </c>
      <c r="J878" t="s">
        <v>2211</v>
      </c>
      <c r="N878" t="s">
        <v>2143</v>
      </c>
    </row>
    <row r="879" spans="1:14" hidden="1" x14ac:dyDescent="0.25">
      <c r="A879" t="s">
        <v>1313</v>
      </c>
      <c r="B879" t="s">
        <v>1327</v>
      </c>
      <c r="C879" t="s">
        <v>2210</v>
      </c>
      <c r="D879" t="s">
        <v>15</v>
      </c>
      <c r="F879">
        <v>92</v>
      </c>
      <c r="G879">
        <v>1.9166666666666667</v>
      </c>
      <c r="H879" s="89">
        <v>46086</v>
      </c>
      <c r="I879" s="89">
        <v>46088</v>
      </c>
      <c r="N879" t="s">
        <v>2143</v>
      </c>
    </row>
    <row r="880" spans="1:14" hidden="1" x14ac:dyDescent="0.25">
      <c r="A880" t="s">
        <v>1317</v>
      </c>
      <c r="B880" t="s">
        <v>1331</v>
      </c>
      <c r="C880" t="s">
        <v>2212</v>
      </c>
      <c r="D880" t="s">
        <v>15</v>
      </c>
      <c r="F880">
        <v>17</v>
      </c>
      <c r="G880" t="s">
        <v>1419</v>
      </c>
      <c r="H880" s="89">
        <v>46086</v>
      </c>
      <c r="I880" s="89">
        <v>46088</v>
      </c>
      <c r="N880" t="s">
        <v>2143</v>
      </c>
    </row>
    <row r="881" spans="1:14" hidden="1" x14ac:dyDescent="0.25">
      <c r="A881" t="s">
        <v>1316</v>
      </c>
      <c r="B881" t="s">
        <v>1330</v>
      </c>
      <c r="C881" t="s">
        <v>2213</v>
      </c>
      <c r="D881" t="s">
        <v>15</v>
      </c>
      <c r="F881">
        <v>30</v>
      </c>
      <c r="G881" t="s">
        <v>1419</v>
      </c>
      <c r="H881" s="89">
        <v>46086</v>
      </c>
      <c r="I881" s="89">
        <v>46088</v>
      </c>
      <c r="N881" t="s">
        <v>2143</v>
      </c>
    </row>
    <row r="882" spans="1:14" hidden="1" x14ac:dyDescent="0.25">
      <c r="A882" t="s">
        <v>1318</v>
      </c>
      <c r="B882" t="s">
        <v>1332</v>
      </c>
      <c r="C882" t="s">
        <v>2214</v>
      </c>
      <c r="D882" t="s">
        <v>15</v>
      </c>
      <c r="F882">
        <v>28</v>
      </c>
      <c r="G882" t="s">
        <v>1419</v>
      </c>
      <c r="H882" s="89">
        <v>46086</v>
      </c>
      <c r="I882" s="89">
        <v>46088</v>
      </c>
      <c r="N882" t="s">
        <v>2143</v>
      </c>
    </row>
    <row r="883" spans="1:14" hidden="1" x14ac:dyDescent="0.25">
      <c r="A883" t="s">
        <v>1313</v>
      </c>
      <c r="B883" t="s">
        <v>1327</v>
      </c>
      <c r="C883" t="s">
        <v>2215</v>
      </c>
      <c r="D883" t="s">
        <v>21</v>
      </c>
      <c r="F883">
        <v>624</v>
      </c>
      <c r="G883">
        <v>13</v>
      </c>
      <c r="H883" s="89">
        <v>46086</v>
      </c>
      <c r="I883" s="89">
        <v>46090</v>
      </c>
      <c r="J883" t="s">
        <v>2202</v>
      </c>
      <c r="N883" t="s">
        <v>2143</v>
      </c>
    </row>
    <row r="884" spans="1:14" hidden="1" x14ac:dyDescent="0.25">
      <c r="A884" t="s">
        <v>1313</v>
      </c>
      <c r="B884" t="s">
        <v>1327</v>
      </c>
      <c r="C884" t="s">
        <v>2215</v>
      </c>
      <c r="D884" t="s">
        <v>21</v>
      </c>
      <c r="F884">
        <v>768</v>
      </c>
      <c r="G884">
        <v>16</v>
      </c>
      <c r="H884" s="89">
        <v>46086</v>
      </c>
      <c r="I884" s="89">
        <v>46091</v>
      </c>
      <c r="J884" t="s">
        <v>2216</v>
      </c>
      <c r="N884" t="s">
        <v>2143</v>
      </c>
    </row>
    <row r="885" spans="1:14" hidden="1" x14ac:dyDescent="0.25">
      <c r="A885" t="s">
        <v>1313</v>
      </c>
      <c r="B885" t="s">
        <v>1327</v>
      </c>
      <c r="C885" t="s">
        <v>2215</v>
      </c>
      <c r="D885" t="s">
        <v>21</v>
      </c>
      <c r="F885">
        <v>192</v>
      </c>
      <c r="G885">
        <v>4</v>
      </c>
      <c r="H885" s="89">
        <v>46086</v>
      </c>
      <c r="I885" s="89">
        <v>46088</v>
      </c>
      <c r="N885" t="s">
        <v>2143</v>
      </c>
    </row>
    <row r="886" spans="1:14" hidden="1" x14ac:dyDescent="0.25">
      <c r="A886" t="s">
        <v>1315</v>
      </c>
      <c r="B886" t="s">
        <v>1329</v>
      </c>
      <c r="C886" t="s">
        <v>2215</v>
      </c>
      <c r="D886" t="s">
        <v>21</v>
      </c>
      <c r="F886">
        <v>30</v>
      </c>
      <c r="G886" t="s">
        <v>1419</v>
      </c>
      <c r="H886" s="89">
        <v>46086</v>
      </c>
      <c r="I886" s="89">
        <v>46086</v>
      </c>
      <c r="N886" t="s">
        <v>2143</v>
      </c>
    </row>
    <row r="887" spans="1:14" hidden="1" x14ac:dyDescent="0.25">
      <c r="A887" t="s">
        <v>1317</v>
      </c>
      <c r="B887" t="s">
        <v>1331</v>
      </c>
      <c r="C887" t="s">
        <v>2217</v>
      </c>
      <c r="D887" t="s">
        <v>21</v>
      </c>
      <c r="F887">
        <v>17</v>
      </c>
      <c r="G887" t="s">
        <v>1419</v>
      </c>
      <c r="H887" s="89">
        <v>46086</v>
      </c>
      <c r="I887" s="89">
        <v>46088</v>
      </c>
      <c r="N887" t="s">
        <v>2143</v>
      </c>
    </row>
    <row r="888" spans="1:14" hidden="1" x14ac:dyDescent="0.25">
      <c r="A888" t="s">
        <v>1316</v>
      </c>
      <c r="B888" t="s">
        <v>1330</v>
      </c>
      <c r="C888" t="s">
        <v>2218</v>
      </c>
      <c r="D888" t="s">
        <v>21</v>
      </c>
      <c r="F888">
        <v>35</v>
      </c>
      <c r="G888" t="s">
        <v>1419</v>
      </c>
      <c r="H888" s="89">
        <v>46086</v>
      </c>
      <c r="I888" s="89">
        <v>46088</v>
      </c>
      <c r="N888" t="s">
        <v>2143</v>
      </c>
    </row>
    <row r="889" spans="1:14" hidden="1" x14ac:dyDescent="0.25">
      <c r="A889" t="s">
        <v>1318</v>
      </c>
      <c r="B889" t="s">
        <v>1332</v>
      </c>
      <c r="C889" t="s">
        <v>2219</v>
      </c>
      <c r="D889" t="s">
        <v>21</v>
      </c>
      <c r="F889">
        <v>51</v>
      </c>
      <c r="G889" t="s">
        <v>1419</v>
      </c>
      <c r="H889" s="89">
        <v>46086</v>
      </c>
      <c r="I889" s="89">
        <v>46088</v>
      </c>
      <c r="N889" t="s">
        <v>2143</v>
      </c>
    </row>
    <row r="890" spans="1:14" hidden="1" x14ac:dyDescent="0.25">
      <c r="A890" t="s">
        <v>1325</v>
      </c>
      <c r="B890" t="s">
        <v>1339</v>
      </c>
      <c r="C890" t="s">
        <v>2220</v>
      </c>
      <c r="D890" t="s">
        <v>32</v>
      </c>
      <c r="F890">
        <v>336</v>
      </c>
      <c r="G890">
        <v>7</v>
      </c>
      <c r="H890" s="89">
        <v>46086</v>
      </c>
      <c r="I890" s="89">
        <v>46088</v>
      </c>
      <c r="N890" t="s">
        <v>2143</v>
      </c>
    </row>
    <row r="891" spans="1:14" hidden="1" x14ac:dyDescent="0.25">
      <c r="A891" t="s">
        <v>1320</v>
      </c>
      <c r="B891" t="s">
        <v>1334</v>
      </c>
      <c r="C891" t="s">
        <v>2221</v>
      </c>
      <c r="D891" t="s">
        <v>15</v>
      </c>
      <c r="F891">
        <v>960</v>
      </c>
      <c r="G891">
        <v>20</v>
      </c>
      <c r="H891" s="89">
        <v>46087</v>
      </c>
      <c r="I891" s="89">
        <v>46092</v>
      </c>
      <c r="J891" t="s">
        <v>2222</v>
      </c>
      <c r="N891" t="s">
        <v>2143</v>
      </c>
    </row>
    <row r="892" spans="1:14" hidden="1" x14ac:dyDescent="0.25">
      <c r="A892" t="s">
        <v>1313</v>
      </c>
      <c r="B892" t="s">
        <v>1327</v>
      </c>
      <c r="C892" t="s">
        <v>2221</v>
      </c>
      <c r="D892" t="s">
        <v>15</v>
      </c>
      <c r="F892">
        <v>100</v>
      </c>
      <c r="G892">
        <v>2</v>
      </c>
      <c r="H892" s="89">
        <v>46087</v>
      </c>
      <c r="I892" s="89">
        <v>46088</v>
      </c>
      <c r="N892" t="s">
        <v>2143</v>
      </c>
    </row>
    <row r="893" spans="1:14" hidden="1" x14ac:dyDescent="0.25">
      <c r="A893" t="s">
        <v>1315</v>
      </c>
      <c r="B893" t="s">
        <v>1329</v>
      </c>
      <c r="C893" t="s">
        <v>2221</v>
      </c>
      <c r="D893" t="s">
        <v>15</v>
      </c>
      <c r="F893">
        <v>23</v>
      </c>
      <c r="G893" t="s">
        <v>1419</v>
      </c>
      <c r="H893" s="89">
        <v>46087</v>
      </c>
      <c r="I893" s="89">
        <v>46089</v>
      </c>
      <c r="N893" t="s">
        <v>2143</v>
      </c>
    </row>
    <row r="894" spans="1:14" hidden="1" x14ac:dyDescent="0.25">
      <c r="A894" t="s">
        <v>1317</v>
      </c>
      <c r="B894" t="s">
        <v>1331</v>
      </c>
      <c r="C894" t="s">
        <v>2223</v>
      </c>
      <c r="D894" t="s">
        <v>15</v>
      </c>
      <c r="F894">
        <v>24</v>
      </c>
      <c r="G894" t="s">
        <v>1419</v>
      </c>
      <c r="H894" s="89">
        <v>46087</v>
      </c>
      <c r="I894" s="89">
        <v>46089</v>
      </c>
      <c r="N894" t="s">
        <v>2143</v>
      </c>
    </row>
    <row r="895" spans="1:14" hidden="1" x14ac:dyDescent="0.25">
      <c r="A895" t="s">
        <v>1316</v>
      </c>
      <c r="B895" t="s">
        <v>1330</v>
      </c>
      <c r="C895" t="s">
        <v>2224</v>
      </c>
      <c r="D895" t="s">
        <v>15</v>
      </c>
      <c r="F895">
        <v>33</v>
      </c>
      <c r="G895" t="s">
        <v>1419</v>
      </c>
      <c r="H895" s="89">
        <v>46087</v>
      </c>
      <c r="I895" s="89">
        <v>46089</v>
      </c>
      <c r="N895" t="s">
        <v>2143</v>
      </c>
    </row>
    <row r="896" spans="1:14" hidden="1" x14ac:dyDescent="0.25">
      <c r="A896" t="s">
        <v>1318</v>
      </c>
      <c r="B896" t="s">
        <v>1332</v>
      </c>
      <c r="C896" t="s">
        <v>2225</v>
      </c>
      <c r="D896" t="s">
        <v>15</v>
      </c>
      <c r="F896">
        <v>26</v>
      </c>
      <c r="G896" t="s">
        <v>1419</v>
      </c>
      <c r="H896" s="89">
        <v>46087</v>
      </c>
      <c r="I896" s="89">
        <v>46089</v>
      </c>
      <c r="N896" t="s">
        <v>2143</v>
      </c>
    </row>
    <row r="897" spans="1:14" hidden="1" x14ac:dyDescent="0.25">
      <c r="A897" t="s">
        <v>1313</v>
      </c>
      <c r="B897" t="s">
        <v>1327</v>
      </c>
      <c r="C897" t="s">
        <v>2226</v>
      </c>
      <c r="D897" t="s">
        <v>20</v>
      </c>
      <c r="F897">
        <v>576</v>
      </c>
      <c r="G897">
        <v>12</v>
      </c>
      <c r="H897" s="89">
        <v>46087</v>
      </c>
      <c r="I897" s="89">
        <v>46092</v>
      </c>
      <c r="J897" t="s">
        <v>2227</v>
      </c>
      <c r="N897" t="s">
        <v>2143</v>
      </c>
    </row>
    <row r="898" spans="1:14" hidden="1" x14ac:dyDescent="0.25">
      <c r="A898" t="s">
        <v>1324</v>
      </c>
      <c r="B898" t="s">
        <v>1338</v>
      </c>
      <c r="C898" t="s">
        <v>2226</v>
      </c>
      <c r="D898" t="s">
        <v>20</v>
      </c>
      <c r="F898">
        <v>144</v>
      </c>
      <c r="G898">
        <v>3</v>
      </c>
      <c r="H898" s="89">
        <v>46087</v>
      </c>
      <c r="I898" s="89">
        <v>46089</v>
      </c>
      <c r="N898" t="s">
        <v>2143</v>
      </c>
    </row>
    <row r="899" spans="1:14" hidden="1" x14ac:dyDescent="0.25">
      <c r="A899" t="s">
        <v>1313</v>
      </c>
      <c r="B899" t="s">
        <v>1327</v>
      </c>
      <c r="C899" t="s">
        <v>2226</v>
      </c>
      <c r="D899" t="s">
        <v>20</v>
      </c>
      <c r="F899">
        <v>384</v>
      </c>
      <c r="G899">
        <v>8</v>
      </c>
      <c r="H899" s="89">
        <v>46087</v>
      </c>
      <c r="I899" s="89">
        <v>46091</v>
      </c>
      <c r="J899" t="s">
        <v>2216</v>
      </c>
      <c r="N899" t="s">
        <v>2143</v>
      </c>
    </row>
    <row r="900" spans="1:14" hidden="1" x14ac:dyDescent="0.25">
      <c r="A900" t="s">
        <v>1315</v>
      </c>
      <c r="B900" t="s">
        <v>1329</v>
      </c>
      <c r="C900" t="s">
        <v>2226</v>
      </c>
      <c r="D900" t="s">
        <v>20</v>
      </c>
      <c r="F900">
        <v>1</v>
      </c>
      <c r="G900" t="s">
        <v>1419</v>
      </c>
      <c r="H900" s="89">
        <v>46087</v>
      </c>
      <c r="I900" s="89">
        <v>46089</v>
      </c>
      <c r="N900" t="s">
        <v>2143</v>
      </c>
    </row>
    <row r="901" spans="1:14" hidden="1" x14ac:dyDescent="0.25">
      <c r="A901" t="s">
        <v>1317</v>
      </c>
      <c r="B901" t="s">
        <v>1331</v>
      </c>
      <c r="C901" t="s">
        <v>2228</v>
      </c>
      <c r="D901" t="s">
        <v>20</v>
      </c>
      <c r="F901">
        <v>18</v>
      </c>
      <c r="G901" t="s">
        <v>1419</v>
      </c>
      <c r="H901" s="89">
        <v>46087</v>
      </c>
      <c r="I901" s="89">
        <v>46089</v>
      </c>
      <c r="N901" t="s">
        <v>2143</v>
      </c>
    </row>
    <row r="902" spans="1:14" hidden="1" x14ac:dyDescent="0.25">
      <c r="A902" t="s">
        <v>1316</v>
      </c>
      <c r="B902" t="s">
        <v>1330</v>
      </c>
      <c r="C902" t="s">
        <v>2229</v>
      </c>
      <c r="D902" t="s">
        <v>20</v>
      </c>
      <c r="F902">
        <v>125</v>
      </c>
      <c r="G902" t="s">
        <v>1419</v>
      </c>
      <c r="H902" s="89">
        <v>46087</v>
      </c>
      <c r="I902" s="89">
        <v>46089</v>
      </c>
      <c r="N902" t="s">
        <v>2143</v>
      </c>
    </row>
    <row r="903" spans="1:14" hidden="1" x14ac:dyDescent="0.25">
      <c r="A903" t="s">
        <v>1318</v>
      </c>
      <c r="B903" t="s">
        <v>1332</v>
      </c>
      <c r="C903" t="s">
        <v>2230</v>
      </c>
      <c r="D903" t="s">
        <v>20</v>
      </c>
      <c r="F903">
        <v>47</v>
      </c>
      <c r="G903" t="s">
        <v>1419</v>
      </c>
      <c r="H903" s="89">
        <v>46087</v>
      </c>
      <c r="I903" s="89">
        <v>46089</v>
      </c>
      <c r="N903" t="s">
        <v>2143</v>
      </c>
    </row>
    <row r="904" spans="1:14" hidden="1" x14ac:dyDescent="0.25">
      <c r="A904" t="s">
        <v>1324</v>
      </c>
      <c r="B904" t="s">
        <v>1338</v>
      </c>
      <c r="C904" t="s">
        <v>2231</v>
      </c>
      <c r="D904" t="s">
        <v>28</v>
      </c>
      <c r="F904">
        <v>960</v>
      </c>
      <c r="G904">
        <v>20</v>
      </c>
      <c r="H904" s="89">
        <v>46087</v>
      </c>
      <c r="I904" s="89">
        <v>46094</v>
      </c>
      <c r="J904" t="s">
        <v>2232</v>
      </c>
      <c r="N904" t="s">
        <v>2143</v>
      </c>
    </row>
    <row r="905" spans="1:14" hidden="1" x14ac:dyDescent="0.25">
      <c r="A905" t="s">
        <v>1324</v>
      </c>
      <c r="B905" t="s">
        <v>1338</v>
      </c>
      <c r="C905" t="s">
        <v>2231</v>
      </c>
      <c r="D905" t="s">
        <v>28</v>
      </c>
      <c r="F905">
        <v>672</v>
      </c>
      <c r="G905">
        <v>14</v>
      </c>
      <c r="H905" s="89">
        <v>46087</v>
      </c>
      <c r="I905" s="89">
        <v>46089</v>
      </c>
      <c r="N905" t="s">
        <v>2143</v>
      </c>
    </row>
    <row r="906" spans="1:14" hidden="1" x14ac:dyDescent="0.25">
      <c r="A906" t="s">
        <v>1315</v>
      </c>
      <c r="B906" t="s">
        <v>1329</v>
      </c>
      <c r="C906" t="s">
        <v>2231</v>
      </c>
      <c r="D906" t="s">
        <v>28</v>
      </c>
      <c r="F906">
        <v>18</v>
      </c>
      <c r="G906" t="s">
        <v>1419</v>
      </c>
      <c r="H906" s="89">
        <v>46087</v>
      </c>
      <c r="I906" s="89">
        <v>46089</v>
      </c>
      <c r="N906" t="s">
        <v>2143</v>
      </c>
    </row>
    <row r="907" spans="1:14" hidden="1" x14ac:dyDescent="0.25">
      <c r="A907" t="s">
        <v>1317</v>
      </c>
      <c r="B907" t="s">
        <v>1331</v>
      </c>
      <c r="C907" t="s">
        <v>2233</v>
      </c>
      <c r="D907" t="s">
        <v>28</v>
      </c>
      <c r="F907">
        <v>4</v>
      </c>
      <c r="G907" t="s">
        <v>1419</v>
      </c>
      <c r="H907" s="89">
        <v>46087</v>
      </c>
      <c r="I907" s="89">
        <v>46089</v>
      </c>
      <c r="N907" t="s">
        <v>2143</v>
      </c>
    </row>
    <row r="908" spans="1:14" hidden="1" x14ac:dyDescent="0.25">
      <c r="A908" t="s">
        <v>1318</v>
      </c>
      <c r="B908" t="s">
        <v>1332</v>
      </c>
      <c r="C908" t="s">
        <v>2234</v>
      </c>
      <c r="D908" t="s">
        <v>28</v>
      </c>
      <c r="F908">
        <v>52</v>
      </c>
      <c r="G908" t="s">
        <v>1419</v>
      </c>
      <c r="H908" s="89">
        <v>46087</v>
      </c>
      <c r="I908" s="89">
        <v>46089</v>
      </c>
      <c r="N908" t="s">
        <v>2143</v>
      </c>
    </row>
    <row r="909" spans="1:14" hidden="1" x14ac:dyDescent="0.25">
      <c r="A909" t="s">
        <v>1316</v>
      </c>
      <c r="B909" t="s">
        <v>1330</v>
      </c>
      <c r="C909" t="s">
        <v>2235</v>
      </c>
      <c r="D909" t="s">
        <v>28</v>
      </c>
      <c r="F909">
        <v>94</v>
      </c>
      <c r="G909" t="s">
        <v>1419</v>
      </c>
      <c r="H909" s="89">
        <v>46087</v>
      </c>
      <c r="I909" s="89">
        <v>46089</v>
      </c>
      <c r="N909" t="s">
        <v>2143</v>
      </c>
    </row>
    <row r="910" spans="1:14" hidden="1" x14ac:dyDescent="0.25">
      <c r="A910" t="s">
        <v>1326</v>
      </c>
      <c r="B910" t="s">
        <v>1340</v>
      </c>
      <c r="C910" t="s">
        <v>2236</v>
      </c>
      <c r="D910" t="s">
        <v>155</v>
      </c>
      <c r="F910">
        <v>588</v>
      </c>
      <c r="G910">
        <v>14</v>
      </c>
      <c r="H910" s="89">
        <v>46087</v>
      </c>
      <c r="I910" s="89">
        <v>46094</v>
      </c>
      <c r="J910" t="s">
        <v>2209</v>
      </c>
      <c r="N910" t="s">
        <v>2143</v>
      </c>
    </row>
    <row r="911" spans="1:14" hidden="1" x14ac:dyDescent="0.25">
      <c r="A911" t="s">
        <v>1324</v>
      </c>
      <c r="B911" t="s">
        <v>1338</v>
      </c>
      <c r="C911" t="s">
        <v>2237</v>
      </c>
      <c r="D911" t="s">
        <v>23</v>
      </c>
      <c r="F911">
        <v>960</v>
      </c>
      <c r="G911">
        <v>20</v>
      </c>
      <c r="H911" s="89">
        <v>46087</v>
      </c>
      <c r="I911" s="89">
        <v>46094</v>
      </c>
      <c r="J911" t="s">
        <v>2232</v>
      </c>
      <c r="N911" t="s">
        <v>2143</v>
      </c>
    </row>
    <row r="912" spans="1:14" hidden="1" x14ac:dyDescent="0.25">
      <c r="A912" t="s">
        <v>1320</v>
      </c>
      <c r="B912" t="s">
        <v>1334</v>
      </c>
      <c r="C912" t="s">
        <v>2238</v>
      </c>
      <c r="D912" t="s">
        <v>88</v>
      </c>
      <c r="F912">
        <v>480</v>
      </c>
      <c r="G912">
        <v>10</v>
      </c>
      <c r="H912" s="89">
        <v>46088</v>
      </c>
      <c r="I912" s="89">
        <v>46092</v>
      </c>
      <c r="J912" t="s">
        <v>2239</v>
      </c>
      <c r="N912" t="s">
        <v>2143</v>
      </c>
    </row>
    <row r="913" spans="1:14" hidden="1" x14ac:dyDescent="0.25">
      <c r="A913" t="s">
        <v>1320</v>
      </c>
      <c r="B913" t="s">
        <v>1334</v>
      </c>
      <c r="C913" t="s">
        <v>2240</v>
      </c>
      <c r="D913" t="s">
        <v>97</v>
      </c>
      <c r="F913">
        <v>480</v>
      </c>
      <c r="G913">
        <v>10</v>
      </c>
      <c r="H913" s="89">
        <v>46088</v>
      </c>
      <c r="I913" s="89">
        <v>46092</v>
      </c>
      <c r="J913" t="s">
        <v>2239</v>
      </c>
      <c r="N913" t="s">
        <v>2143</v>
      </c>
    </row>
    <row r="914" spans="1:14" hidden="1" x14ac:dyDescent="0.25">
      <c r="A914" t="s">
        <v>1324</v>
      </c>
      <c r="B914" t="s">
        <v>1338</v>
      </c>
      <c r="C914" t="s">
        <v>2241</v>
      </c>
      <c r="D914" t="s">
        <v>23</v>
      </c>
      <c r="F914">
        <v>480</v>
      </c>
      <c r="G914">
        <v>10</v>
      </c>
      <c r="H914" s="89">
        <v>46088</v>
      </c>
      <c r="I914" s="89">
        <v>46089</v>
      </c>
      <c r="N914" t="s">
        <v>2143</v>
      </c>
    </row>
    <row r="915" spans="1:14" hidden="1" x14ac:dyDescent="0.25">
      <c r="A915" t="s">
        <v>1314</v>
      </c>
      <c r="B915" t="s">
        <v>1328</v>
      </c>
      <c r="C915" t="s">
        <v>2242</v>
      </c>
      <c r="D915" t="s">
        <v>15</v>
      </c>
      <c r="F915">
        <v>336</v>
      </c>
      <c r="G915">
        <v>7</v>
      </c>
      <c r="H915" s="89">
        <v>46104</v>
      </c>
      <c r="I915" s="89">
        <v>46107</v>
      </c>
      <c r="J915" t="s">
        <v>2243</v>
      </c>
      <c r="N915" t="s">
        <v>2244</v>
      </c>
    </row>
    <row r="916" spans="1:14" hidden="1" x14ac:dyDescent="0.25">
      <c r="A916" t="s">
        <v>1313</v>
      </c>
      <c r="B916" t="s">
        <v>1327</v>
      </c>
      <c r="C916" t="s">
        <v>2242</v>
      </c>
      <c r="D916" t="s">
        <v>15</v>
      </c>
      <c r="F916">
        <v>432</v>
      </c>
      <c r="G916">
        <v>9</v>
      </c>
      <c r="H916" s="89">
        <v>46104</v>
      </c>
      <c r="I916" s="89">
        <v>46107</v>
      </c>
      <c r="J916" t="s">
        <v>2245</v>
      </c>
      <c r="N916" t="s">
        <v>2244</v>
      </c>
    </row>
    <row r="917" spans="1:14" hidden="1" x14ac:dyDescent="0.25">
      <c r="A917" t="s">
        <v>1324</v>
      </c>
      <c r="B917" t="s">
        <v>1338</v>
      </c>
      <c r="C917" t="s">
        <v>2246</v>
      </c>
      <c r="D917" t="s">
        <v>13</v>
      </c>
      <c r="F917">
        <v>960</v>
      </c>
      <c r="G917">
        <v>20</v>
      </c>
      <c r="H917" s="89">
        <v>46104</v>
      </c>
      <c r="I917" s="89">
        <v>46111</v>
      </c>
      <c r="J917" t="s">
        <v>2247</v>
      </c>
      <c r="N917" t="s">
        <v>2244</v>
      </c>
    </row>
    <row r="918" spans="1:14" hidden="1" x14ac:dyDescent="0.25">
      <c r="A918" t="s">
        <v>1324</v>
      </c>
      <c r="B918" t="s">
        <v>1338</v>
      </c>
      <c r="C918" t="s">
        <v>2248</v>
      </c>
      <c r="D918" t="s">
        <v>23</v>
      </c>
      <c r="F918">
        <v>528</v>
      </c>
      <c r="G918">
        <v>11</v>
      </c>
      <c r="H918" s="89">
        <v>46104</v>
      </c>
      <c r="I918" s="89">
        <v>46111</v>
      </c>
      <c r="J918" t="s">
        <v>2247</v>
      </c>
      <c r="N918" t="s">
        <v>2244</v>
      </c>
    </row>
    <row r="919" spans="1:14" hidden="1" x14ac:dyDescent="0.25">
      <c r="A919" t="s">
        <v>1313</v>
      </c>
      <c r="B919" t="s">
        <v>1327</v>
      </c>
      <c r="C919" t="s">
        <v>2249</v>
      </c>
      <c r="D919" t="s">
        <v>28</v>
      </c>
      <c r="F919">
        <v>1152</v>
      </c>
      <c r="G919">
        <v>24</v>
      </c>
      <c r="H919" s="89">
        <v>46104</v>
      </c>
      <c r="I919" s="89">
        <v>46108</v>
      </c>
      <c r="J919" t="s">
        <v>2250</v>
      </c>
      <c r="N919" t="s">
        <v>2244</v>
      </c>
    </row>
    <row r="920" spans="1:14" hidden="1" x14ac:dyDescent="0.25">
      <c r="A920" t="s">
        <v>1315</v>
      </c>
      <c r="B920" t="s">
        <v>1329</v>
      </c>
      <c r="C920" t="s">
        <v>2242</v>
      </c>
      <c r="D920" t="s">
        <v>15</v>
      </c>
      <c r="F920">
        <v>52</v>
      </c>
      <c r="G920" t="s">
        <v>1419</v>
      </c>
      <c r="H920" s="89">
        <v>46104</v>
      </c>
      <c r="I920" s="89">
        <v>46110</v>
      </c>
      <c r="N920" t="s">
        <v>2244</v>
      </c>
    </row>
    <row r="921" spans="1:14" hidden="1" x14ac:dyDescent="0.25">
      <c r="A921" t="s">
        <v>1316</v>
      </c>
      <c r="B921" t="s">
        <v>1330</v>
      </c>
      <c r="C921" t="s">
        <v>2251</v>
      </c>
      <c r="D921" t="s">
        <v>15</v>
      </c>
      <c r="F921">
        <v>58</v>
      </c>
      <c r="G921" t="s">
        <v>1419</v>
      </c>
      <c r="H921" s="89">
        <v>46104</v>
      </c>
      <c r="I921" s="89">
        <v>46110</v>
      </c>
      <c r="N921" t="s">
        <v>2244</v>
      </c>
    </row>
    <row r="922" spans="1:14" hidden="1" x14ac:dyDescent="0.25">
      <c r="A922" t="s">
        <v>1317</v>
      </c>
      <c r="B922" t="s">
        <v>1331</v>
      </c>
      <c r="C922" t="s">
        <v>2252</v>
      </c>
      <c r="D922" t="s">
        <v>15</v>
      </c>
      <c r="F922">
        <v>41</v>
      </c>
      <c r="G922" t="s">
        <v>1419</v>
      </c>
      <c r="H922" s="89">
        <v>46104</v>
      </c>
      <c r="I922" s="89">
        <v>46110</v>
      </c>
      <c r="N922" t="s">
        <v>2244</v>
      </c>
    </row>
    <row r="923" spans="1:14" hidden="1" x14ac:dyDescent="0.25">
      <c r="A923" t="s">
        <v>1318</v>
      </c>
      <c r="B923" t="s">
        <v>1332</v>
      </c>
      <c r="C923" t="s">
        <v>2253</v>
      </c>
      <c r="D923" t="s">
        <v>15</v>
      </c>
      <c r="F923">
        <v>29</v>
      </c>
      <c r="G923" t="s">
        <v>1419</v>
      </c>
      <c r="H923" s="89">
        <v>46104</v>
      </c>
      <c r="I923" s="89">
        <v>46110</v>
      </c>
      <c r="N923" t="s">
        <v>2244</v>
      </c>
    </row>
    <row r="924" spans="1:14" hidden="1" x14ac:dyDescent="0.25">
      <c r="A924" t="s">
        <v>1316</v>
      </c>
      <c r="B924" t="s">
        <v>1330</v>
      </c>
      <c r="C924" t="s">
        <v>2254</v>
      </c>
      <c r="D924" t="s">
        <v>20</v>
      </c>
      <c r="F924">
        <v>200</v>
      </c>
      <c r="G924" t="s">
        <v>1419</v>
      </c>
      <c r="H924" s="89">
        <v>46104</v>
      </c>
      <c r="I924" s="89">
        <v>46110</v>
      </c>
      <c r="N924" t="s">
        <v>2244</v>
      </c>
    </row>
    <row r="925" spans="1:14" hidden="1" x14ac:dyDescent="0.25">
      <c r="A925" t="s">
        <v>1317</v>
      </c>
      <c r="B925" t="s">
        <v>1331</v>
      </c>
      <c r="C925" t="s">
        <v>2255</v>
      </c>
      <c r="D925" t="s">
        <v>20</v>
      </c>
      <c r="F925">
        <v>12</v>
      </c>
      <c r="G925" t="s">
        <v>1419</v>
      </c>
      <c r="H925" s="89">
        <v>46104</v>
      </c>
      <c r="I925" s="89">
        <v>46110</v>
      </c>
      <c r="N925" t="s">
        <v>2244</v>
      </c>
    </row>
    <row r="926" spans="1:14" hidden="1" x14ac:dyDescent="0.25">
      <c r="A926" t="s">
        <v>1318</v>
      </c>
      <c r="B926" t="s">
        <v>1332</v>
      </c>
      <c r="C926" t="s">
        <v>2256</v>
      </c>
      <c r="D926" t="s">
        <v>20</v>
      </c>
      <c r="F926">
        <v>63</v>
      </c>
      <c r="G926" t="s">
        <v>1419</v>
      </c>
      <c r="H926" s="89">
        <v>46104</v>
      </c>
      <c r="I926" s="89">
        <v>46110</v>
      </c>
      <c r="N926" t="s">
        <v>2244</v>
      </c>
    </row>
    <row r="927" spans="1:14" hidden="1" x14ac:dyDescent="0.25">
      <c r="A927" t="s">
        <v>1315</v>
      </c>
      <c r="B927" t="s">
        <v>1329</v>
      </c>
      <c r="C927" t="s">
        <v>2249</v>
      </c>
      <c r="D927" t="s">
        <v>28</v>
      </c>
      <c r="F927">
        <v>35</v>
      </c>
      <c r="G927" t="s">
        <v>1419</v>
      </c>
      <c r="H927" s="89">
        <v>46104</v>
      </c>
      <c r="I927" s="89">
        <v>46110</v>
      </c>
      <c r="N927" t="s">
        <v>2244</v>
      </c>
    </row>
    <row r="928" spans="1:14" hidden="1" x14ac:dyDescent="0.25">
      <c r="A928" t="s">
        <v>1316</v>
      </c>
      <c r="B928" t="s">
        <v>1330</v>
      </c>
      <c r="C928" t="s">
        <v>2257</v>
      </c>
      <c r="D928" t="s">
        <v>28</v>
      </c>
      <c r="F928">
        <v>174</v>
      </c>
      <c r="G928" t="s">
        <v>1419</v>
      </c>
      <c r="H928" s="89">
        <v>46104</v>
      </c>
      <c r="I928" s="89">
        <v>46110</v>
      </c>
      <c r="N928" t="s">
        <v>2244</v>
      </c>
    </row>
    <row r="929" spans="1:14" hidden="1" x14ac:dyDescent="0.25">
      <c r="A929" t="s">
        <v>1317</v>
      </c>
      <c r="B929" t="s">
        <v>1331</v>
      </c>
      <c r="C929" t="s">
        <v>2258</v>
      </c>
      <c r="D929" t="s">
        <v>28</v>
      </c>
      <c r="F929">
        <v>28</v>
      </c>
      <c r="G929" t="s">
        <v>1419</v>
      </c>
      <c r="H929" s="89">
        <v>46104</v>
      </c>
      <c r="I929" s="89">
        <v>46110</v>
      </c>
      <c r="N929" t="s">
        <v>2244</v>
      </c>
    </row>
    <row r="930" spans="1:14" hidden="1" x14ac:dyDescent="0.25">
      <c r="A930" t="s">
        <v>1318</v>
      </c>
      <c r="B930" t="s">
        <v>1332</v>
      </c>
      <c r="C930" t="s">
        <v>2259</v>
      </c>
      <c r="D930" t="s">
        <v>28</v>
      </c>
      <c r="F930">
        <v>113</v>
      </c>
      <c r="G930" t="s">
        <v>1419</v>
      </c>
      <c r="H930" s="89">
        <v>46104</v>
      </c>
      <c r="I930" s="89">
        <v>46110</v>
      </c>
      <c r="N930" t="s">
        <v>2244</v>
      </c>
    </row>
    <row r="931" spans="1:14" hidden="1" x14ac:dyDescent="0.25">
      <c r="A931" t="s">
        <v>1313</v>
      </c>
      <c r="B931" t="s">
        <v>1327</v>
      </c>
      <c r="C931" t="s">
        <v>2242</v>
      </c>
      <c r="D931" t="s">
        <v>15</v>
      </c>
      <c r="F931">
        <v>480</v>
      </c>
      <c r="G931">
        <v>10</v>
      </c>
      <c r="H931" s="89">
        <v>46104</v>
      </c>
      <c r="I931" s="89">
        <v>46107</v>
      </c>
      <c r="N931" t="s">
        <v>2244</v>
      </c>
    </row>
    <row r="932" spans="1:14" hidden="1" x14ac:dyDescent="0.25">
      <c r="A932" t="s">
        <v>1313</v>
      </c>
      <c r="B932" t="s">
        <v>1327</v>
      </c>
      <c r="C932" t="s">
        <v>2260</v>
      </c>
      <c r="D932" t="s">
        <v>20</v>
      </c>
      <c r="F932">
        <v>144</v>
      </c>
      <c r="G932">
        <v>3</v>
      </c>
      <c r="H932" s="89">
        <v>46104</v>
      </c>
      <c r="I932" s="89">
        <v>46106</v>
      </c>
      <c r="N932" t="s">
        <v>2244</v>
      </c>
    </row>
    <row r="933" spans="1:14" hidden="1" x14ac:dyDescent="0.25">
      <c r="A933" t="s">
        <v>1313</v>
      </c>
      <c r="B933" t="s">
        <v>1327</v>
      </c>
      <c r="C933" t="s">
        <v>2249</v>
      </c>
      <c r="D933" t="s">
        <v>28</v>
      </c>
      <c r="F933">
        <v>624</v>
      </c>
      <c r="G933">
        <v>13</v>
      </c>
      <c r="H933" s="89">
        <v>46104</v>
      </c>
      <c r="I933" s="89">
        <v>46107</v>
      </c>
      <c r="N933" t="s">
        <v>2244</v>
      </c>
    </row>
    <row r="934" spans="1:14" hidden="1" x14ac:dyDescent="0.25">
      <c r="A934" t="s">
        <v>1313</v>
      </c>
      <c r="B934" t="s">
        <v>1327</v>
      </c>
      <c r="C934" t="s">
        <v>2261</v>
      </c>
      <c r="D934" t="s">
        <v>21</v>
      </c>
      <c r="F934">
        <v>1152</v>
      </c>
      <c r="G934">
        <v>24</v>
      </c>
      <c r="H934" s="89">
        <v>46105</v>
      </c>
      <c r="I934" s="89">
        <v>46110</v>
      </c>
      <c r="J934" t="s">
        <v>2262</v>
      </c>
      <c r="N934" t="s">
        <v>2244</v>
      </c>
    </row>
    <row r="935" spans="1:14" hidden="1" x14ac:dyDescent="0.25">
      <c r="A935" t="s">
        <v>1313</v>
      </c>
      <c r="B935" t="s">
        <v>1327</v>
      </c>
      <c r="C935" t="s">
        <v>2261</v>
      </c>
      <c r="D935" t="s">
        <v>21</v>
      </c>
      <c r="F935">
        <v>816</v>
      </c>
      <c r="G935">
        <v>17</v>
      </c>
      <c r="H935" s="89">
        <v>46105</v>
      </c>
      <c r="I935" s="89">
        <v>46110</v>
      </c>
      <c r="J935" t="s">
        <v>2263</v>
      </c>
      <c r="N935" t="s">
        <v>2244</v>
      </c>
    </row>
    <row r="936" spans="1:14" hidden="1" x14ac:dyDescent="0.25">
      <c r="A936" t="s">
        <v>1313</v>
      </c>
      <c r="B936" t="s">
        <v>1327</v>
      </c>
      <c r="C936" t="s">
        <v>2261</v>
      </c>
      <c r="D936" t="s">
        <v>21</v>
      </c>
      <c r="F936">
        <v>48</v>
      </c>
      <c r="G936">
        <v>1</v>
      </c>
      <c r="H936" s="89">
        <v>46105</v>
      </c>
      <c r="I936" s="89">
        <v>46110</v>
      </c>
      <c r="N936" t="s">
        <v>2244</v>
      </c>
    </row>
    <row r="937" spans="1:14" hidden="1" x14ac:dyDescent="0.25">
      <c r="A937" t="s">
        <v>1315</v>
      </c>
      <c r="B937" t="s">
        <v>1329</v>
      </c>
      <c r="C937" t="s">
        <v>2261</v>
      </c>
      <c r="D937" t="s">
        <v>21</v>
      </c>
      <c r="F937">
        <v>101</v>
      </c>
      <c r="G937" t="s">
        <v>1419</v>
      </c>
      <c r="H937" s="89">
        <v>46105</v>
      </c>
      <c r="I937" s="89">
        <v>46110</v>
      </c>
      <c r="N937" t="s">
        <v>2244</v>
      </c>
    </row>
    <row r="938" spans="1:14" hidden="1" x14ac:dyDescent="0.25">
      <c r="A938" t="s">
        <v>1316</v>
      </c>
      <c r="B938" t="s">
        <v>1330</v>
      </c>
      <c r="C938" t="s">
        <v>2264</v>
      </c>
      <c r="D938" t="s">
        <v>21</v>
      </c>
      <c r="F938">
        <v>129</v>
      </c>
      <c r="G938" t="s">
        <v>1419</v>
      </c>
      <c r="H938" s="89">
        <v>46105</v>
      </c>
      <c r="I938" s="89">
        <v>46110</v>
      </c>
      <c r="N938" t="s">
        <v>2244</v>
      </c>
    </row>
    <row r="939" spans="1:14" hidden="1" x14ac:dyDescent="0.25">
      <c r="A939" t="s">
        <v>1317</v>
      </c>
      <c r="B939" t="s">
        <v>1331</v>
      </c>
      <c r="C939" t="s">
        <v>2265</v>
      </c>
      <c r="D939" t="s">
        <v>21</v>
      </c>
      <c r="F939">
        <v>55</v>
      </c>
      <c r="G939" t="s">
        <v>1419</v>
      </c>
      <c r="H939" s="89">
        <v>46105</v>
      </c>
      <c r="I939" s="89">
        <v>46110</v>
      </c>
      <c r="N939" t="s">
        <v>2244</v>
      </c>
    </row>
    <row r="940" spans="1:14" hidden="1" x14ac:dyDescent="0.25">
      <c r="A940" t="s">
        <v>1318</v>
      </c>
      <c r="B940" t="s">
        <v>1332</v>
      </c>
      <c r="C940" t="s">
        <v>2266</v>
      </c>
      <c r="D940" t="s">
        <v>21</v>
      </c>
      <c r="F940">
        <v>116</v>
      </c>
      <c r="G940" t="s">
        <v>1419</v>
      </c>
      <c r="H940" s="89">
        <v>46105</v>
      </c>
      <c r="I940" s="89">
        <v>46110</v>
      </c>
      <c r="N940" t="s">
        <v>2244</v>
      </c>
    </row>
    <row r="941" spans="1:14" hidden="1" x14ac:dyDescent="0.25">
      <c r="A941" t="s">
        <v>1324</v>
      </c>
      <c r="B941" t="s">
        <v>1338</v>
      </c>
      <c r="C941" t="s">
        <v>2267</v>
      </c>
      <c r="D941" t="s">
        <v>23</v>
      </c>
      <c r="F941">
        <v>288</v>
      </c>
      <c r="G941">
        <v>6</v>
      </c>
      <c r="H941" s="89">
        <v>46105</v>
      </c>
      <c r="I941" s="89">
        <v>46111</v>
      </c>
      <c r="J941" t="s">
        <v>2247</v>
      </c>
      <c r="N941" t="s">
        <v>2244</v>
      </c>
    </row>
    <row r="942" spans="1:14" hidden="1" x14ac:dyDescent="0.25">
      <c r="A942" t="s">
        <v>1321</v>
      </c>
      <c r="B942" t="s">
        <v>1335</v>
      </c>
      <c r="C942" t="s">
        <v>2268</v>
      </c>
      <c r="D942" t="s">
        <v>138</v>
      </c>
      <c r="F942">
        <v>144</v>
      </c>
      <c r="G942">
        <v>3</v>
      </c>
      <c r="H942" s="89">
        <v>46105</v>
      </c>
      <c r="I942" s="89">
        <v>46111</v>
      </c>
      <c r="J942" t="s">
        <v>2247</v>
      </c>
      <c r="N942" t="s">
        <v>2244</v>
      </c>
    </row>
    <row r="943" spans="1:14" hidden="1" x14ac:dyDescent="0.25">
      <c r="A943" t="s">
        <v>1324</v>
      </c>
      <c r="B943" t="s">
        <v>1338</v>
      </c>
      <c r="C943" t="s">
        <v>2267</v>
      </c>
      <c r="D943" t="s">
        <v>23</v>
      </c>
      <c r="F943">
        <v>672</v>
      </c>
      <c r="G943">
        <v>14</v>
      </c>
      <c r="H943" s="89">
        <v>46105</v>
      </c>
      <c r="I943" s="89">
        <v>46111</v>
      </c>
      <c r="J943" t="s">
        <v>2269</v>
      </c>
      <c r="N943" t="s">
        <v>2244</v>
      </c>
    </row>
    <row r="944" spans="1:14" hidden="1" x14ac:dyDescent="0.25">
      <c r="A944" t="s">
        <v>1321</v>
      </c>
      <c r="B944" t="s">
        <v>1335</v>
      </c>
      <c r="C944" t="s">
        <v>2268</v>
      </c>
      <c r="D944" t="s">
        <v>138</v>
      </c>
      <c r="F944">
        <v>96</v>
      </c>
      <c r="G944">
        <v>2</v>
      </c>
      <c r="H944" s="89">
        <v>46105</v>
      </c>
      <c r="I944" s="89">
        <v>46111</v>
      </c>
      <c r="J944" t="s">
        <v>2269</v>
      </c>
      <c r="N944" t="s">
        <v>2244</v>
      </c>
    </row>
    <row r="945" spans="1:14" hidden="1" x14ac:dyDescent="0.25">
      <c r="A945" t="s">
        <v>1323</v>
      </c>
      <c r="B945" t="s">
        <v>1337</v>
      </c>
      <c r="C945" t="s">
        <v>2270</v>
      </c>
      <c r="D945" t="s">
        <v>20</v>
      </c>
      <c r="F945">
        <v>756</v>
      </c>
      <c r="G945">
        <v>14</v>
      </c>
      <c r="H945" s="89">
        <v>46105</v>
      </c>
      <c r="I945" s="89">
        <v>46108</v>
      </c>
      <c r="J945" t="s">
        <v>2271</v>
      </c>
      <c r="N945" t="s">
        <v>2244</v>
      </c>
    </row>
    <row r="946" spans="1:14" hidden="1" x14ac:dyDescent="0.25">
      <c r="A946" t="s">
        <v>1322</v>
      </c>
      <c r="B946" t="s">
        <v>1336</v>
      </c>
      <c r="C946" t="s">
        <v>2270</v>
      </c>
      <c r="D946" t="s">
        <v>20</v>
      </c>
      <c r="F946">
        <v>324</v>
      </c>
      <c r="G946">
        <v>6</v>
      </c>
      <c r="H946" s="89">
        <v>46105</v>
      </c>
      <c r="I946" s="89">
        <v>46108</v>
      </c>
      <c r="J946" t="s">
        <v>2271</v>
      </c>
      <c r="N946" t="s">
        <v>2244</v>
      </c>
    </row>
    <row r="947" spans="1:14" hidden="1" x14ac:dyDescent="0.25">
      <c r="A947" t="s">
        <v>1313</v>
      </c>
      <c r="B947" t="s">
        <v>1327</v>
      </c>
      <c r="C947" t="s">
        <v>2270</v>
      </c>
      <c r="D947" t="s">
        <v>20</v>
      </c>
      <c r="F947">
        <v>192</v>
      </c>
      <c r="G947">
        <v>4</v>
      </c>
      <c r="H947" s="89">
        <v>46105</v>
      </c>
      <c r="I947" s="89">
        <v>46108</v>
      </c>
      <c r="N947" t="s">
        <v>2244</v>
      </c>
    </row>
    <row r="948" spans="1:14" hidden="1" x14ac:dyDescent="0.25">
      <c r="A948" t="s">
        <v>1315</v>
      </c>
      <c r="B948" t="s">
        <v>1329</v>
      </c>
      <c r="C948" t="s">
        <v>2270</v>
      </c>
      <c r="D948" t="s">
        <v>20</v>
      </c>
      <c r="F948">
        <v>13</v>
      </c>
      <c r="G948" t="s">
        <v>1419</v>
      </c>
      <c r="H948" s="89">
        <v>46105</v>
      </c>
      <c r="I948" s="89">
        <v>46110</v>
      </c>
      <c r="N948" t="s">
        <v>2244</v>
      </c>
    </row>
    <row r="949" spans="1:14" hidden="1" x14ac:dyDescent="0.25">
      <c r="A949" t="s">
        <v>1316</v>
      </c>
      <c r="B949" t="s">
        <v>1330</v>
      </c>
      <c r="C949" t="s">
        <v>2272</v>
      </c>
      <c r="D949" t="s">
        <v>20</v>
      </c>
      <c r="F949">
        <v>98</v>
      </c>
      <c r="G949" t="s">
        <v>1419</v>
      </c>
      <c r="H949" s="89">
        <v>46105</v>
      </c>
      <c r="I949" s="89">
        <v>46110</v>
      </c>
      <c r="N949" t="s">
        <v>2244</v>
      </c>
    </row>
    <row r="950" spans="1:14" hidden="1" x14ac:dyDescent="0.25">
      <c r="A950" t="s">
        <v>1317</v>
      </c>
      <c r="B950" t="s">
        <v>1331</v>
      </c>
      <c r="C950" t="s">
        <v>2273</v>
      </c>
      <c r="D950" t="s">
        <v>20</v>
      </c>
      <c r="F950">
        <v>6</v>
      </c>
      <c r="G950" t="s">
        <v>1419</v>
      </c>
      <c r="H950" s="89">
        <v>46105</v>
      </c>
      <c r="I950" s="89">
        <v>46110</v>
      </c>
      <c r="N950" t="s">
        <v>2244</v>
      </c>
    </row>
    <row r="951" spans="1:14" hidden="1" x14ac:dyDescent="0.25">
      <c r="A951" t="s">
        <v>1318</v>
      </c>
      <c r="B951" t="s">
        <v>1332</v>
      </c>
      <c r="C951" t="s">
        <v>2274</v>
      </c>
      <c r="D951" t="s">
        <v>20</v>
      </c>
      <c r="F951">
        <v>48</v>
      </c>
      <c r="G951" t="s">
        <v>1419</v>
      </c>
      <c r="H951" s="89">
        <v>46105</v>
      </c>
      <c r="I951" s="89">
        <v>46110</v>
      </c>
      <c r="N951" t="s">
        <v>2244</v>
      </c>
    </row>
    <row r="952" spans="1:14" hidden="1" x14ac:dyDescent="0.25">
      <c r="A952" t="s">
        <v>1313</v>
      </c>
      <c r="B952" t="s">
        <v>1327</v>
      </c>
      <c r="C952" t="s">
        <v>2275</v>
      </c>
      <c r="D952" t="s">
        <v>15</v>
      </c>
      <c r="F952">
        <v>1147</v>
      </c>
      <c r="G952">
        <v>23.895833333333332</v>
      </c>
      <c r="H952" s="89">
        <v>46105</v>
      </c>
      <c r="I952" s="89">
        <v>46110</v>
      </c>
      <c r="J952" t="s">
        <v>2276</v>
      </c>
      <c r="N952" t="s">
        <v>2244</v>
      </c>
    </row>
    <row r="953" spans="1:14" hidden="1" x14ac:dyDescent="0.25">
      <c r="A953" t="s">
        <v>1566</v>
      </c>
      <c r="B953" t="s">
        <v>1567</v>
      </c>
      <c r="C953" t="s">
        <v>2275</v>
      </c>
      <c r="D953" t="s">
        <v>15</v>
      </c>
      <c r="F953">
        <v>5</v>
      </c>
      <c r="G953">
        <v>0.10416666666666669</v>
      </c>
      <c r="H953" s="89">
        <v>46105</v>
      </c>
      <c r="I953" s="89">
        <v>46110</v>
      </c>
      <c r="J953" t="s">
        <v>2277</v>
      </c>
      <c r="N953" t="s">
        <v>2244</v>
      </c>
    </row>
    <row r="954" spans="1:14" hidden="1" x14ac:dyDescent="0.25">
      <c r="A954" t="s">
        <v>1313</v>
      </c>
      <c r="B954" t="s">
        <v>1327</v>
      </c>
      <c r="C954" t="s">
        <v>2275</v>
      </c>
      <c r="D954" t="s">
        <v>15</v>
      </c>
      <c r="F954">
        <v>48</v>
      </c>
      <c r="G954">
        <v>1</v>
      </c>
      <c r="H954" s="89">
        <v>46105</v>
      </c>
      <c r="I954" s="89">
        <v>46107</v>
      </c>
      <c r="N954" t="s">
        <v>2244</v>
      </c>
    </row>
    <row r="955" spans="1:14" hidden="1" x14ac:dyDescent="0.25">
      <c r="A955" t="s">
        <v>1315</v>
      </c>
      <c r="B955" t="s">
        <v>1329</v>
      </c>
      <c r="C955" t="s">
        <v>2275</v>
      </c>
      <c r="D955" t="s">
        <v>15</v>
      </c>
      <c r="F955">
        <v>84</v>
      </c>
      <c r="G955" t="s">
        <v>1419</v>
      </c>
      <c r="H955" s="89">
        <v>46105</v>
      </c>
      <c r="I955" s="89">
        <v>46110</v>
      </c>
      <c r="N955" t="s">
        <v>2244</v>
      </c>
    </row>
    <row r="956" spans="1:14" hidden="1" x14ac:dyDescent="0.25">
      <c r="A956" t="s">
        <v>1316</v>
      </c>
      <c r="B956" t="s">
        <v>1330</v>
      </c>
      <c r="C956" t="s">
        <v>2278</v>
      </c>
      <c r="D956" t="s">
        <v>15</v>
      </c>
      <c r="F956">
        <v>89</v>
      </c>
      <c r="G956" t="s">
        <v>1419</v>
      </c>
      <c r="H956" s="89">
        <v>46105</v>
      </c>
      <c r="I956" s="89">
        <v>46110</v>
      </c>
      <c r="N956" t="s">
        <v>2244</v>
      </c>
    </row>
    <row r="957" spans="1:14" hidden="1" x14ac:dyDescent="0.25">
      <c r="A957" t="s">
        <v>1317</v>
      </c>
      <c r="B957" t="s">
        <v>1331</v>
      </c>
      <c r="C957" t="s">
        <v>2279</v>
      </c>
      <c r="D957" t="s">
        <v>15</v>
      </c>
      <c r="F957">
        <v>44</v>
      </c>
      <c r="G957" t="s">
        <v>1419</v>
      </c>
      <c r="H957" s="89">
        <v>46105</v>
      </c>
      <c r="I957" s="89">
        <v>46110</v>
      </c>
      <c r="N957" t="s">
        <v>2244</v>
      </c>
    </row>
    <row r="958" spans="1:14" hidden="1" x14ac:dyDescent="0.25">
      <c r="A958" t="s">
        <v>1318</v>
      </c>
      <c r="B958" t="s">
        <v>1332</v>
      </c>
      <c r="C958" t="s">
        <v>2280</v>
      </c>
      <c r="D958" t="s">
        <v>15</v>
      </c>
      <c r="F958">
        <v>27</v>
      </c>
      <c r="G958" t="s">
        <v>1419</v>
      </c>
      <c r="H958" s="89">
        <v>46105</v>
      </c>
      <c r="I958" s="89">
        <v>46110</v>
      </c>
      <c r="N958" t="s">
        <v>2244</v>
      </c>
    </row>
    <row r="959" spans="1:14" hidden="1" x14ac:dyDescent="0.25">
      <c r="A959" t="s">
        <v>1313</v>
      </c>
      <c r="B959" t="s">
        <v>1327</v>
      </c>
      <c r="C959" t="s">
        <v>2267</v>
      </c>
      <c r="D959" t="s">
        <v>23</v>
      </c>
      <c r="H959" s="89">
        <v>46105</v>
      </c>
      <c r="I959" s="89">
        <v>46107</v>
      </c>
      <c r="N959" t="s">
        <v>2244</v>
      </c>
    </row>
    <row r="960" spans="1:14" hidden="1" x14ac:dyDescent="0.25">
      <c r="A960" t="s">
        <v>1325</v>
      </c>
      <c r="B960" t="s">
        <v>1339</v>
      </c>
      <c r="C960" t="s">
        <v>2268</v>
      </c>
      <c r="D960" t="s">
        <v>138</v>
      </c>
      <c r="F960">
        <v>336</v>
      </c>
      <c r="G960">
        <v>7</v>
      </c>
      <c r="H960" s="89">
        <v>46105</v>
      </c>
      <c r="I960" s="89">
        <v>46107</v>
      </c>
      <c r="N960" t="s">
        <v>2244</v>
      </c>
    </row>
    <row r="961" spans="1:14" hidden="1" x14ac:dyDescent="0.25">
      <c r="A961" t="s">
        <v>1313</v>
      </c>
      <c r="B961" t="s">
        <v>1327</v>
      </c>
      <c r="C961" t="s">
        <v>2281</v>
      </c>
      <c r="D961" t="s">
        <v>21</v>
      </c>
      <c r="F961">
        <v>720</v>
      </c>
      <c r="G961">
        <v>15</v>
      </c>
      <c r="H961" s="89">
        <v>46106</v>
      </c>
      <c r="I961" s="89">
        <v>46112</v>
      </c>
      <c r="J961" t="s">
        <v>2282</v>
      </c>
      <c r="N961" t="s">
        <v>2244</v>
      </c>
    </row>
    <row r="962" spans="1:14" hidden="1" x14ac:dyDescent="0.25">
      <c r="A962" t="s">
        <v>1313</v>
      </c>
      <c r="B962" t="s">
        <v>1327</v>
      </c>
      <c r="C962" t="s">
        <v>2281</v>
      </c>
      <c r="D962" t="s">
        <v>21</v>
      </c>
      <c r="F962">
        <v>48</v>
      </c>
      <c r="G962">
        <v>1</v>
      </c>
      <c r="H962" s="89">
        <v>46106</v>
      </c>
      <c r="I962" s="89">
        <v>46110</v>
      </c>
      <c r="J962" t="s">
        <v>2263</v>
      </c>
      <c r="N962" t="s">
        <v>2244</v>
      </c>
    </row>
    <row r="963" spans="1:14" hidden="1" x14ac:dyDescent="0.25">
      <c r="A963" t="s">
        <v>1314</v>
      </c>
      <c r="B963" t="s">
        <v>1328</v>
      </c>
      <c r="C963" t="s">
        <v>2281</v>
      </c>
      <c r="D963" t="s">
        <v>21</v>
      </c>
      <c r="F963">
        <v>288</v>
      </c>
      <c r="G963">
        <v>6</v>
      </c>
      <c r="H963" s="89">
        <v>46106</v>
      </c>
      <c r="I963" s="89">
        <v>46110</v>
      </c>
      <c r="J963" t="s">
        <v>2283</v>
      </c>
      <c r="N963" t="s">
        <v>2244</v>
      </c>
    </row>
    <row r="964" spans="1:14" hidden="1" x14ac:dyDescent="0.25">
      <c r="A964" t="s">
        <v>1324</v>
      </c>
      <c r="B964" t="s">
        <v>1338</v>
      </c>
      <c r="C964" t="s">
        <v>2281</v>
      </c>
      <c r="D964" t="s">
        <v>21</v>
      </c>
      <c r="F964">
        <v>288</v>
      </c>
      <c r="G964">
        <v>6</v>
      </c>
      <c r="H964" s="89">
        <v>46106</v>
      </c>
      <c r="I964" s="89">
        <v>46111</v>
      </c>
      <c r="J964" t="s">
        <v>2284</v>
      </c>
      <c r="N964" t="s">
        <v>2244</v>
      </c>
    </row>
    <row r="965" spans="1:14" hidden="1" x14ac:dyDescent="0.25">
      <c r="A965" t="s">
        <v>1315</v>
      </c>
      <c r="B965" t="s">
        <v>1329</v>
      </c>
      <c r="C965" t="s">
        <v>2281</v>
      </c>
      <c r="D965" t="s">
        <v>21</v>
      </c>
      <c r="F965">
        <v>96</v>
      </c>
      <c r="G965" t="s">
        <v>1419</v>
      </c>
      <c r="H965" s="89">
        <v>46106</v>
      </c>
      <c r="I965" s="89">
        <v>46110</v>
      </c>
      <c r="N965" t="s">
        <v>2244</v>
      </c>
    </row>
    <row r="966" spans="1:14" hidden="1" x14ac:dyDescent="0.25">
      <c r="A966" t="s">
        <v>1316</v>
      </c>
      <c r="B966" t="s">
        <v>1330</v>
      </c>
      <c r="C966" t="s">
        <v>2285</v>
      </c>
      <c r="D966" t="s">
        <v>21</v>
      </c>
      <c r="F966">
        <v>33</v>
      </c>
      <c r="G966" t="s">
        <v>1419</v>
      </c>
      <c r="H966" s="89">
        <v>46106</v>
      </c>
      <c r="I966" s="89">
        <v>46110</v>
      </c>
      <c r="N966" t="s">
        <v>2244</v>
      </c>
    </row>
    <row r="967" spans="1:14" hidden="1" x14ac:dyDescent="0.25">
      <c r="A967" t="s">
        <v>1317</v>
      </c>
      <c r="B967" t="s">
        <v>1331</v>
      </c>
      <c r="C967" t="s">
        <v>2286</v>
      </c>
      <c r="D967" t="s">
        <v>21</v>
      </c>
      <c r="F967">
        <v>26</v>
      </c>
      <c r="G967" t="s">
        <v>1419</v>
      </c>
      <c r="H967" s="89">
        <v>46106</v>
      </c>
      <c r="I967" s="89">
        <v>46110</v>
      </c>
      <c r="N967" t="s">
        <v>2244</v>
      </c>
    </row>
    <row r="968" spans="1:14" hidden="1" x14ac:dyDescent="0.25">
      <c r="A968" t="s">
        <v>1318</v>
      </c>
      <c r="B968" t="s">
        <v>1332</v>
      </c>
      <c r="C968" t="s">
        <v>2287</v>
      </c>
      <c r="D968" t="s">
        <v>21</v>
      </c>
      <c r="F968">
        <v>61</v>
      </c>
      <c r="G968" t="s">
        <v>1419</v>
      </c>
      <c r="H968" s="89">
        <v>46106</v>
      </c>
      <c r="I968" s="89">
        <v>46110</v>
      </c>
      <c r="N968" t="s">
        <v>2244</v>
      </c>
    </row>
    <row r="969" spans="1:14" hidden="1" x14ac:dyDescent="0.25">
      <c r="A969" t="s">
        <v>1324</v>
      </c>
      <c r="B969" t="s">
        <v>1338</v>
      </c>
      <c r="C969" t="s">
        <v>2288</v>
      </c>
      <c r="D969" t="s">
        <v>118</v>
      </c>
      <c r="F969">
        <v>720</v>
      </c>
      <c r="G969">
        <v>15</v>
      </c>
      <c r="H969" s="89">
        <v>46106</v>
      </c>
      <c r="I969" s="89">
        <v>46111</v>
      </c>
      <c r="J969" t="s">
        <v>2269</v>
      </c>
      <c r="N969" t="s">
        <v>2244</v>
      </c>
    </row>
    <row r="970" spans="1:14" hidden="1" x14ac:dyDescent="0.25">
      <c r="A970" t="s">
        <v>1324</v>
      </c>
      <c r="B970" t="s">
        <v>1338</v>
      </c>
      <c r="C970" t="s">
        <v>2289</v>
      </c>
      <c r="D970" t="s">
        <v>13</v>
      </c>
      <c r="F970">
        <v>240</v>
      </c>
      <c r="G970">
        <v>5</v>
      </c>
      <c r="H970" s="89">
        <v>46106</v>
      </c>
      <c r="I970" s="89">
        <v>46111</v>
      </c>
      <c r="J970" t="s">
        <v>2269</v>
      </c>
      <c r="N970" t="s">
        <v>2244</v>
      </c>
    </row>
    <row r="971" spans="1:14" hidden="1" x14ac:dyDescent="0.25">
      <c r="A971" t="s">
        <v>1324</v>
      </c>
      <c r="B971" t="s">
        <v>1338</v>
      </c>
      <c r="C971" t="s">
        <v>2290</v>
      </c>
      <c r="D971" t="s">
        <v>23</v>
      </c>
      <c r="F971">
        <v>192</v>
      </c>
      <c r="G971">
        <v>4</v>
      </c>
      <c r="H971" s="89">
        <v>46106</v>
      </c>
      <c r="I971" s="89">
        <v>46111</v>
      </c>
      <c r="J971" t="s">
        <v>2269</v>
      </c>
      <c r="N971" t="s">
        <v>2244</v>
      </c>
    </row>
    <row r="972" spans="1:14" hidden="1" x14ac:dyDescent="0.25">
      <c r="A972" t="s">
        <v>1320</v>
      </c>
      <c r="B972" t="s">
        <v>1334</v>
      </c>
      <c r="C972" t="s">
        <v>2290</v>
      </c>
      <c r="D972" t="s">
        <v>23</v>
      </c>
      <c r="F972">
        <v>768</v>
      </c>
      <c r="G972">
        <v>16</v>
      </c>
      <c r="H972" s="89">
        <v>46106</v>
      </c>
      <c r="I972" s="89">
        <v>46112</v>
      </c>
      <c r="J972" t="s">
        <v>2291</v>
      </c>
      <c r="N972" t="s">
        <v>2244</v>
      </c>
    </row>
    <row r="973" spans="1:14" hidden="1" x14ac:dyDescent="0.25">
      <c r="A973" t="s">
        <v>1313</v>
      </c>
      <c r="B973" t="s">
        <v>1327</v>
      </c>
      <c r="C973" t="s">
        <v>2292</v>
      </c>
      <c r="D973" t="s">
        <v>20</v>
      </c>
      <c r="F973">
        <v>1104</v>
      </c>
      <c r="G973">
        <v>23</v>
      </c>
      <c r="H973" s="89">
        <v>46106</v>
      </c>
      <c r="I973" s="89">
        <v>46108</v>
      </c>
      <c r="N973" t="s">
        <v>2244</v>
      </c>
    </row>
    <row r="974" spans="1:14" hidden="1" x14ac:dyDescent="0.25">
      <c r="A974" t="s">
        <v>1315</v>
      </c>
      <c r="B974" t="s">
        <v>1329</v>
      </c>
      <c r="C974" t="s">
        <v>2292</v>
      </c>
      <c r="D974" t="s">
        <v>20</v>
      </c>
      <c r="F974">
        <v>77</v>
      </c>
      <c r="G974" t="s">
        <v>1419</v>
      </c>
      <c r="H974" s="89">
        <v>46106</v>
      </c>
      <c r="I974" s="89">
        <v>46110</v>
      </c>
      <c r="N974" t="s">
        <v>2244</v>
      </c>
    </row>
    <row r="975" spans="1:14" hidden="1" x14ac:dyDescent="0.25">
      <c r="A975" t="s">
        <v>1316</v>
      </c>
      <c r="B975" t="s">
        <v>1330</v>
      </c>
      <c r="C975" t="s">
        <v>2293</v>
      </c>
      <c r="D975" t="s">
        <v>20</v>
      </c>
      <c r="F975">
        <v>167</v>
      </c>
      <c r="G975" t="s">
        <v>1419</v>
      </c>
      <c r="H975" s="89">
        <v>46106</v>
      </c>
      <c r="I975" s="89">
        <v>46110</v>
      </c>
      <c r="N975" t="s">
        <v>2244</v>
      </c>
    </row>
    <row r="976" spans="1:14" hidden="1" x14ac:dyDescent="0.25">
      <c r="A976" t="s">
        <v>1317</v>
      </c>
      <c r="B976" t="s">
        <v>1331</v>
      </c>
      <c r="C976" t="s">
        <v>2294</v>
      </c>
      <c r="D976" t="s">
        <v>20</v>
      </c>
      <c r="F976">
        <v>7</v>
      </c>
      <c r="G976" t="s">
        <v>1419</v>
      </c>
      <c r="H976" s="89">
        <v>46106</v>
      </c>
      <c r="I976" s="89">
        <v>46110</v>
      </c>
      <c r="N976" t="s">
        <v>2244</v>
      </c>
    </row>
    <row r="977" spans="1:14" hidden="1" x14ac:dyDescent="0.25">
      <c r="A977" t="s">
        <v>1318</v>
      </c>
      <c r="B977" t="s">
        <v>1332</v>
      </c>
      <c r="C977" t="s">
        <v>2295</v>
      </c>
      <c r="D977" t="s">
        <v>20</v>
      </c>
      <c r="F977">
        <v>58</v>
      </c>
      <c r="G977" t="s">
        <v>1419</v>
      </c>
      <c r="H977" s="89">
        <v>46106</v>
      </c>
      <c r="I977" s="89">
        <v>46110</v>
      </c>
      <c r="N977" t="s">
        <v>2244</v>
      </c>
    </row>
    <row r="978" spans="1:14" hidden="1" x14ac:dyDescent="0.25">
      <c r="A978" t="s">
        <v>1320</v>
      </c>
      <c r="B978" t="s">
        <v>1334</v>
      </c>
      <c r="C978" t="s">
        <v>2296</v>
      </c>
      <c r="D978" t="s">
        <v>15</v>
      </c>
      <c r="F978">
        <v>960</v>
      </c>
      <c r="G978">
        <v>20</v>
      </c>
      <c r="H978" s="89">
        <v>46106</v>
      </c>
      <c r="I978" s="89">
        <v>46111</v>
      </c>
      <c r="J978" t="s">
        <v>2297</v>
      </c>
      <c r="N978" t="s">
        <v>2244</v>
      </c>
    </row>
    <row r="979" spans="1:14" hidden="1" x14ac:dyDescent="0.25">
      <c r="A979" t="s">
        <v>1313</v>
      </c>
      <c r="B979" t="s">
        <v>1327</v>
      </c>
      <c r="C979" t="s">
        <v>2296</v>
      </c>
      <c r="D979" t="s">
        <v>15</v>
      </c>
      <c r="F979">
        <v>432</v>
      </c>
      <c r="G979">
        <v>9</v>
      </c>
      <c r="H979" s="89">
        <v>46106</v>
      </c>
      <c r="I979" s="89">
        <v>46112</v>
      </c>
      <c r="J979" t="s">
        <v>2282</v>
      </c>
      <c r="N979" t="s">
        <v>2244</v>
      </c>
    </row>
    <row r="980" spans="1:14" hidden="1" x14ac:dyDescent="0.25">
      <c r="A980" t="s">
        <v>1315</v>
      </c>
      <c r="B980" t="s">
        <v>1329</v>
      </c>
      <c r="C980" t="s">
        <v>2296</v>
      </c>
      <c r="D980" t="s">
        <v>15</v>
      </c>
      <c r="F980">
        <v>41</v>
      </c>
      <c r="G980" t="s">
        <v>1419</v>
      </c>
      <c r="H980" s="89">
        <v>46106</v>
      </c>
      <c r="I980" s="89">
        <v>46110</v>
      </c>
      <c r="N980" t="s">
        <v>2244</v>
      </c>
    </row>
    <row r="981" spans="1:14" hidden="1" x14ac:dyDescent="0.25">
      <c r="A981" t="s">
        <v>1316</v>
      </c>
      <c r="B981" t="s">
        <v>1330</v>
      </c>
      <c r="C981" t="s">
        <v>2298</v>
      </c>
      <c r="D981" t="s">
        <v>15</v>
      </c>
      <c r="F981">
        <v>110</v>
      </c>
      <c r="G981" t="s">
        <v>1419</v>
      </c>
      <c r="H981" s="89">
        <v>46106</v>
      </c>
      <c r="I981" s="89">
        <v>46110</v>
      </c>
      <c r="N981" t="s">
        <v>2244</v>
      </c>
    </row>
    <row r="982" spans="1:14" hidden="1" x14ac:dyDescent="0.25">
      <c r="A982" t="s">
        <v>1317</v>
      </c>
      <c r="B982" t="s">
        <v>1331</v>
      </c>
      <c r="C982" t="s">
        <v>2299</v>
      </c>
      <c r="D982" t="s">
        <v>15</v>
      </c>
      <c r="F982">
        <v>29</v>
      </c>
      <c r="G982" t="s">
        <v>1419</v>
      </c>
      <c r="H982" s="89">
        <v>46106</v>
      </c>
      <c r="I982" s="89">
        <v>46110</v>
      </c>
      <c r="N982" t="s">
        <v>2244</v>
      </c>
    </row>
    <row r="983" spans="1:14" hidden="1" x14ac:dyDescent="0.25">
      <c r="A983" t="s">
        <v>1318</v>
      </c>
      <c r="B983" t="s">
        <v>1332</v>
      </c>
      <c r="C983" t="s">
        <v>2300</v>
      </c>
      <c r="D983" t="s">
        <v>15</v>
      </c>
      <c r="F983">
        <v>40</v>
      </c>
      <c r="G983" t="s">
        <v>1419</v>
      </c>
      <c r="H983" s="89">
        <v>46106</v>
      </c>
      <c r="I983" s="89">
        <v>46110</v>
      </c>
      <c r="N983" t="s">
        <v>2244</v>
      </c>
    </row>
    <row r="984" spans="1:14" hidden="1" x14ac:dyDescent="0.25">
      <c r="A984" t="s">
        <v>1313</v>
      </c>
      <c r="B984" t="s">
        <v>1327</v>
      </c>
      <c r="C984" t="s">
        <v>2301</v>
      </c>
      <c r="D984" t="s">
        <v>20</v>
      </c>
      <c r="F984">
        <v>1152</v>
      </c>
      <c r="G984">
        <v>24</v>
      </c>
      <c r="H984" s="89">
        <v>46107</v>
      </c>
      <c r="I984" s="89">
        <v>46113</v>
      </c>
      <c r="J984" t="s">
        <v>2302</v>
      </c>
      <c r="N984" t="s">
        <v>2244</v>
      </c>
    </row>
    <row r="985" spans="1:14" hidden="1" x14ac:dyDescent="0.25">
      <c r="A985" t="s">
        <v>1313</v>
      </c>
      <c r="B985" t="s">
        <v>1327</v>
      </c>
      <c r="C985" t="s">
        <v>2301</v>
      </c>
      <c r="D985" t="s">
        <v>20</v>
      </c>
      <c r="F985">
        <v>432</v>
      </c>
      <c r="G985">
        <v>9</v>
      </c>
      <c r="H985" s="89">
        <v>46107</v>
      </c>
      <c r="I985" s="89">
        <v>46112</v>
      </c>
      <c r="J985" t="s">
        <v>2303</v>
      </c>
      <c r="N985" t="s">
        <v>2244</v>
      </c>
    </row>
    <row r="986" spans="1:14" hidden="1" x14ac:dyDescent="0.25">
      <c r="A986" t="s">
        <v>1315</v>
      </c>
      <c r="B986" t="s">
        <v>1329</v>
      </c>
      <c r="C986" t="s">
        <v>2301</v>
      </c>
      <c r="D986" t="s">
        <v>20</v>
      </c>
      <c r="F986">
        <v>25</v>
      </c>
      <c r="G986" t="s">
        <v>1419</v>
      </c>
      <c r="H986" s="89">
        <v>46107</v>
      </c>
      <c r="I986" s="89">
        <v>46110</v>
      </c>
      <c r="N986" t="s">
        <v>2244</v>
      </c>
    </row>
    <row r="987" spans="1:14" hidden="1" x14ac:dyDescent="0.25">
      <c r="A987" t="s">
        <v>1316</v>
      </c>
      <c r="B987" t="s">
        <v>1330</v>
      </c>
      <c r="C987" t="s">
        <v>2304</v>
      </c>
      <c r="D987" t="s">
        <v>20</v>
      </c>
      <c r="F987">
        <v>269</v>
      </c>
      <c r="G987" t="s">
        <v>1419</v>
      </c>
      <c r="H987" s="89">
        <v>46107</v>
      </c>
      <c r="I987" s="89">
        <v>46110</v>
      </c>
      <c r="N987" t="s">
        <v>2244</v>
      </c>
    </row>
    <row r="988" spans="1:14" hidden="1" x14ac:dyDescent="0.25">
      <c r="A988" t="s">
        <v>1317</v>
      </c>
      <c r="B988" t="s">
        <v>1331</v>
      </c>
      <c r="C988" t="s">
        <v>2305</v>
      </c>
      <c r="D988" t="s">
        <v>20</v>
      </c>
      <c r="F988">
        <v>9</v>
      </c>
      <c r="G988" t="s">
        <v>1419</v>
      </c>
      <c r="H988" s="89">
        <v>46107</v>
      </c>
      <c r="I988" s="89">
        <v>46110</v>
      </c>
      <c r="N988" t="s">
        <v>2244</v>
      </c>
    </row>
    <row r="989" spans="1:14" hidden="1" x14ac:dyDescent="0.25">
      <c r="A989" t="s">
        <v>1318</v>
      </c>
      <c r="B989" t="s">
        <v>1332</v>
      </c>
      <c r="C989" t="s">
        <v>2306</v>
      </c>
      <c r="D989" t="s">
        <v>20</v>
      </c>
      <c r="F989">
        <v>85</v>
      </c>
      <c r="G989" t="s">
        <v>1419</v>
      </c>
      <c r="H989" s="89">
        <v>46107</v>
      </c>
      <c r="I989" s="89">
        <v>46110</v>
      </c>
      <c r="N989" t="s">
        <v>2244</v>
      </c>
    </row>
    <row r="990" spans="1:14" hidden="1" x14ac:dyDescent="0.25">
      <c r="A990" t="s">
        <v>1324</v>
      </c>
      <c r="B990" t="s">
        <v>1338</v>
      </c>
      <c r="C990" t="s">
        <v>2307</v>
      </c>
      <c r="D990" t="s">
        <v>28</v>
      </c>
      <c r="F990">
        <v>336</v>
      </c>
      <c r="G990">
        <v>7</v>
      </c>
      <c r="H990" s="89">
        <v>46107</v>
      </c>
      <c r="I990" s="89">
        <v>46111</v>
      </c>
      <c r="J990" t="s">
        <v>2284</v>
      </c>
      <c r="N990" t="s">
        <v>2244</v>
      </c>
    </row>
    <row r="991" spans="1:14" hidden="1" x14ac:dyDescent="0.25">
      <c r="A991" t="s">
        <v>1320</v>
      </c>
      <c r="B991" t="s">
        <v>1334</v>
      </c>
      <c r="C991" t="s">
        <v>2307</v>
      </c>
      <c r="D991" t="s">
        <v>28</v>
      </c>
      <c r="F991">
        <v>960</v>
      </c>
      <c r="G991">
        <v>20</v>
      </c>
      <c r="H991" s="89">
        <v>46107</v>
      </c>
      <c r="I991" s="89">
        <v>46111</v>
      </c>
      <c r="J991" t="s">
        <v>2308</v>
      </c>
      <c r="N991" t="s">
        <v>2244</v>
      </c>
    </row>
    <row r="992" spans="1:14" hidden="1" x14ac:dyDescent="0.25">
      <c r="A992" t="s">
        <v>1314</v>
      </c>
      <c r="B992" t="s">
        <v>1328</v>
      </c>
      <c r="C992" t="s">
        <v>2307</v>
      </c>
      <c r="D992" t="s">
        <v>28</v>
      </c>
      <c r="F992">
        <v>0</v>
      </c>
      <c r="G992">
        <v>0</v>
      </c>
      <c r="H992" s="89">
        <v>46107</v>
      </c>
      <c r="I992" s="89">
        <v>46112</v>
      </c>
      <c r="N992" t="s">
        <v>2244</v>
      </c>
    </row>
    <row r="993" spans="1:14" hidden="1" x14ac:dyDescent="0.25">
      <c r="A993" t="s">
        <v>1315</v>
      </c>
      <c r="B993" t="s">
        <v>1329</v>
      </c>
      <c r="C993" t="s">
        <v>2307</v>
      </c>
      <c r="D993" t="s">
        <v>28</v>
      </c>
      <c r="F993">
        <v>52</v>
      </c>
      <c r="G993" t="s">
        <v>1419</v>
      </c>
      <c r="H993" s="89">
        <v>46107</v>
      </c>
      <c r="I993" s="89">
        <v>46110</v>
      </c>
      <c r="N993" t="s">
        <v>2244</v>
      </c>
    </row>
    <row r="994" spans="1:14" hidden="1" x14ac:dyDescent="0.25">
      <c r="A994" t="s">
        <v>1313</v>
      </c>
      <c r="B994" t="s">
        <v>1327</v>
      </c>
      <c r="C994" t="s">
        <v>2307</v>
      </c>
      <c r="D994" t="s">
        <v>28</v>
      </c>
      <c r="F994">
        <v>384</v>
      </c>
      <c r="G994">
        <v>8</v>
      </c>
      <c r="H994" s="89">
        <v>46107</v>
      </c>
      <c r="I994" s="89">
        <v>46110</v>
      </c>
      <c r="N994" t="s">
        <v>2244</v>
      </c>
    </row>
    <row r="995" spans="1:14" hidden="1" x14ac:dyDescent="0.25">
      <c r="A995" t="s">
        <v>1316</v>
      </c>
      <c r="B995" t="s">
        <v>1330</v>
      </c>
      <c r="C995" t="s">
        <v>2309</v>
      </c>
      <c r="D995" t="s">
        <v>28</v>
      </c>
      <c r="F995">
        <v>134</v>
      </c>
      <c r="G995" t="s">
        <v>1419</v>
      </c>
      <c r="H995" s="89">
        <v>46107</v>
      </c>
      <c r="I995" s="89">
        <v>46110</v>
      </c>
      <c r="N995" t="s">
        <v>2244</v>
      </c>
    </row>
    <row r="996" spans="1:14" hidden="1" x14ac:dyDescent="0.25">
      <c r="A996" t="s">
        <v>1317</v>
      </c>
      <c r="B996" t="s">
        <v>1331</v>
      </c>
      <c r="C996" t="s">
        <v>2310</v>
      </c>
      <c r="D996" t="s">
        <v>28</v>
      </c>
      <c r="F996">
        <v>31</v>
      </c>
      <c r="G996" t="s">
        <v>1419</v>
      </c>
      <c r="H996" s="89">
        <v>46107</v>
      </c>
      <c r="I996" s="89">
        <v>46110</v>
      </c>
      <c r="N996" t="s">
        <v>2244</v>
      </c>
    </row>
    <row r="997" spans="1:14" hidden="1" x14ac:dyDescent="0.25">
      <c r="A997" t="s">
        <v>1318</v>
      </c>
      <c r="B997" t="s">
        <v>1332</v>
      </c>
      <c r="C997" t="s">
        <v>2311</v>
      </c>
      <c r="D997" t="s">
        <v>28</v>
      </c>
      <c r="F997">
        <v>107</v>
      </c>
      <c r="G997" t="s">
        <v>1419</v>
      </c>
      <c r="H997" s="89">
        <v>46107</v>
      </c>
      <c r="I997" s="89">
        <v>46110</v>
      </c>
      <c r="N997" t="s">
        <v>2244</v>
      </c>
    </row>
    <row r="998" spans="1:14" hidden="1" x14ac:dyDescent="0.25">
      <c r="A998" t="s">
        <v>1326</v>
      </c>
      <c r="B998" t="s">
        <v>1340</v>
      </c>
      <c r="C998" t="s">
        <v>2312</v>
      </c>
      <c r="D998" t="s">
        <v>2108</v>
      </c>
      <c r="F998">
        <v>462</v>
      </c>
      <c r="G998">
        <v>11</v>
      </c>
      <c r="H998" s="89">
        <v>46107</v>
      </c>
      <c r="I998" s="89">
        <v>46115</v>
      </c>
      <c r="J998" t="s">
        <v>2313</v>
      </c>
      <c r="N998" t="s">
        <v>2244</v>
      </c>
    </row>
    <row r="999" spans="1:14" hidden="1" x14ac:dyDescent="0.25">
      <c r="A999" t="s">
        <v>1320</v>
      </c>
      <c r="B999" t="s">
        <v>1334</v>
      </c>
      <c r="C999" t="s">
        <v>2314</v>
      </c>
      <c r="D999" t="s">
        <v>23</v>
      </c>
      <c r="F999">
        <v>192</v>
      </c>
      <c r="G999">
        <v>4</v>
      </c>
      <c r="H999" s="89">
        <v>46107</v>
      </c>
      <c r="I999" s="89">
        <v>46112</v>
      </c>
      <c r="J999" t="s">
        <v>2291</v>
      </c>
      <c r="N999" t="s">
        <v>2244</v>
      </c>
    </row>
    <row r="1000" spans="1:14" hidden="1" x14ac:dyDescent="0.25">
      <c r="A1000" t="s">
        <v>1320</v>
      </c>
      <c r="B1000" t="s">
        <v>1334</v>
      </c>
      <c r="C1000" t="s">
        <v>2314</v>
      </c>
      <c r="D1000" t="s">
        <v>23</v>
      </c>
      <c r="F1000">
        <v>768</v>
      </c>
      <c r="G1000">
        <v>16</v>
      </c>
      <c r="H1000" s="89">
        <v>46107</v>
      </c>
      <c r="I1000" s="89">
        <v>46113</v>
      </c>
      <c r="J1000" t="s">
        <v>2315</v>
      </c>
      <c r="N1000" t="s">
        <v>2244</v>
      </c>
    </row>
    <row r="1001" spans="1:14" hidden="1" x14ac:dyDescent="0.25">
      <c r="A1001" t="s">
        <v>1320</v>
      </c>
      <c r="B1001" t="s">
        <v>1334</v>
      </c>
      <c r="C1001" t="s">
        <v>2316</v>
      </c>
      <c r="D1001" t="s">
        <v>15</v>
      </c>
      <c r="F1001">
        <v>960</v>
      </c>
      <c r="G1001">
        <v>20</v>
      </c>
      <c r="H1001" s="89">
        <v>46107</v>
      </c>
      <c r="I1001" s="89">
        <v>46112</v>
      </c>
      <c r="J1001" t="s">
        <v>2317</v>
      </c>
      <c r="N1001" t="s">
        <v>2244</v>
      </c>
    </row>
    <row r="1002" spans="1:14" hidden="1" x14ac:dyDescent="0.25">
      <c r="A1002" t="s">
        <v>1313</v>
      </c>
      <c r="B1002" t="s">
        <v>1327</v>
      </c>
      <c r="C1002" t="s">
        <v>2316</v>
      </c>
      <c r="D1002" t="s">
        <v>15</v>
      </c>
      <c r="F1002">
        <v>480</v>
      </c>
      <c r="G1002">
        <v>10</v>
      </c>
      <c r="H1002" s="89">
        <v>46107</v>
      </c>
      <c r="I1002" s="89">
        <v>46110</v>
      </c>
      <c r="N1002" t="s">
        <v>2244</v>
      </c>
    </row>
    <row r="1003" spans="1:14" hidden="1" x14ac:dyDescent="0.25">
      <c r="A1003" t="s">
        <v>1315</v>
      </c>
      <c r="B1003" t="s">
        <v>1329</v>
      </c>
      <c r="C1003" t="s">
        <v>2316</v>
      </c>
      <c r="D1003" t="s">
        <v>15</v>
      </c>
      <c r="F1003">
        <v>56</v>
      </c>
      <c r="G1003" t="s">
        <v>1419</v>
      </c>
      <c r="H1003" s="89">
        <v>46107</v>
      </c>
      <c r="I1003" s="89">
        <v>46110</v>
      </c>
      <c r="N1003" t="s">
        <v>2244</v>
      </c>
    </row>
    <row r="1004" spans="1:14" hidden="1" x14ac:dyDescent="0.25">
      <c r="A1004" t="s">
        <v>1316</v>
      </c>
      <c r="B1004" t="s">
        <v>1330</v>
      </c>
      <c r="C1004" t="s">
        <v>2318</v>
      </c>
      <c r="D1004" t="s">
        <v>15</v>
      </c>
      <c r="F1004">
        <v>102</v>
      </c>
      <c r="G1004" t="s">
        <v>1419</v>
      </c>
      <c r="H1004" s="89">
        <v>46107</v>
      </c>
      <c r="I1004" s="89">
        <v>46110</v>
      </c>
      <c r="N1004" t="s">
        <v>2244</v>
      </c>
    </row>
    <row r="1005" spans="1:14" hidden="1" x14ac:dyDescent="0.25">
      <c r="A1005" t="s">
        <v>1317</v>
      </c>
      <c r="B1005" t="s">
        <v>1331</v>
      </c>
      <c r="C1005" t="s">
        <v>2319</v>
      </c>
      <c r="D1005" t="s">
        <v>15</v>
      </c>
      <c r="F1005">
        <v>36</v>
      </c>
      <c r="G1005" t="s">
        <v>1419</v>
      </c>
      <c r="H1005" s="89">
        <v>46107</v>
      </c>
      <c r="I1005" s="89">
        <v>46110</v>
      </c>
      <c r="N1005" t="s">
        <v>2244</v>
      </c>
    </row>
    <row r="1006" spans="1:14" hidden="1" x14ac:dyDescent="0.25">
      <c r="A1006" t="s">
        <v>1318</v>
      </c>
      <c r="B1006" t="s">
        <v>1332</v>
      </c>
      <c r="C1006" t="s">
        <v>2320</v>
      </c>
      <c r="D1006" t="s">
        <v>15</v>
      </c>
      <c r="F1006">
        <v>44</v>
      </c>
      <c r="G1006" t="s">
        <v>1419</v>
      </c>
      <c r="H1006" s="89">
        <v>46107</v>
      </c>
      <c r="I1006" s="89">
        <v>46110</v>
      </c>
      <c r="N1006" t="s">
        <v>2244</v>
      </c>
    </row>
    <row r="1007" spans="1:14" hidden="1" x14ac:dyDescent="0.25">
      <c r="A1007" t="s">
        <v>1324</v>
      </c>
      <c r="B1007" t="s">
        <v>1338</v>
      </c>
      <c r="C1007" t="s">
        <v>2321</v>
      </c>
      <c r="D1007" t="s">
        <v>105</v>
      </c>
      <c r="F1007">
        <v>960</v>
      </c>
      <c r="G1007">
        <v>20</v>
      </c>
      <c r="H1007" s="89">
        <v>46108</v>
      </c>
      <c r="I1007" s="89">
        <v>46114</v>
      </c>
      <c r="J1007" t="s">
        <v>2322</v>
      </c>
      <c r="N1007" t="s">
        <v>2244</v>
      </c>
    </row>
    <row r="1008" spans="1:14" hidden="1" x14ac:dyDescent="0.25">
      <c r="A1008" t="s">
        <v>1324</v>
      </c>
      <c r="B1008" t="s">
        <v>1338</v>
      </c>
      <c r="C1008" t="s">
        <v>2323</v>
      </c>
      <c r="D1008" t="s">
        <v>88</v>
      </c>
      <c r="F1008">
        <v>960</v>
      </c>
      <c r="G1008">
        <v>20</v>
      </c>
      <c r="H1008" s="89">
        <v>46108</v>
      </c>
      <c r="I1008" s="89">
        <v>46114</v>
      </c>
      <c r="J1008" t="s">
        <v>2324</v>
      </c>
      <c r="N1008" t="s">
        <v>2244</v>
      </c>
    </row>
    <row r="1009" spans="1:14" hidden="1" x14ac:dyDescent="0.25">
      <c r="A1009" t="s">
        <v>1314</v>
      </c>
      <c r="B1009" t="s">
        <v>1328</v>
      </c>
      <c r="C1009" t="s">
        <v>2325</v>
      </c>
      <c r="D1009" t="s">
        <v>21</v>
      </c>
      <c r="F1009">
        <v>336</v>
      </c>
      <c r="G1009">
        <v>7</v>
      </c>
      <c r="H1009" s="89">
        <v>46108</v>
      </c>
      <c r="I1009" s="89">
        <v>46112</v>
      </c>
      <c r="J1009" t="s">
        <v>2326</v>
      </c>
      <c r="N1009" t="s">
        <v>2244</v>
      </c>
    </row>
    <row r="1010" spans="1:14" hidden="1" x14ac:dyDescent="0.25">
      <c r="A1010" t="s">
        <v>1320</v>
      </c>
      <c r="B1010" t="s">
        <v>1334</v>
      </c>
      <c r="C1010" t="s">
        <v>2325</v>
      </c>
      <c r="D1010" t="s">
        <v>21</v>
      </c>
      <c r="F1010">
        <v>960</v>
      </c>
      <c r="G1010">
        <v>20</v>
      </c>
      <c r="H1010" s="89">
        <v>46108</v>
      </c>
      <c r="I1010" s="89">
        <v>46113</v>
      </c>
      <c r="J1010" t="s">
        <v>2327</v>
      </c>
      <c r="N1010" t="s">
        <v>2244</v>
      </c>
    </row>
    <row r="1011" spans="1:14" hidden="1" x14ac:dyDescent="0.25">
      <c r="A1011" t="s">
        <v>1313</v>
      </c>
      <c r="B1011" t="s">
        <v>1327</v>
      </c>
      <c r="C1011" t="s">
        <v>2325</v>
      </c>
      <c r="D1011" t="s">
        <v>21</v>
      </c>
      <c r="F1011">
        <v>288</v>
      </c>
      <c r="G1011">
        <v>6</v>
      </c>
      <c r="H1011" s="89">
        <v>46108</v>
      </c>
      <c r="I1011" s="89">
        <v>46110</v>
      </c>
      <c r="N1011" t="s">
        <v>2244</v>
      </c>
    </row>
    <row r="1012" spans="1:14" hidden="1" x14ac:dyDescent="0.25">
      <c r="A1012" t="s">
        <v>1315</v>
      </c>
      <c r="B1012" t="s">
        <v>1329</v>
      </c>
      <c r="C1012" t="s">
        <v>2325</v>
      </c>
      <c r="D1012" t="s">
        <v>21</v>
      </c>
      <c r="F1012">
        <v>105</v>
      </c>
      <c r="G1012" t="s">
        <v>1419</v>
      </c>
      <c r="H1012" s="89">
        <v>46108</v>
      </c>
      <c r="I1012" s="89">
        <v>46110</v>
      </c>
      <c r="N1012" t="s">
        <v>2244</v>
      </c>
    </row>
    <row r="1013" spans="1:14" hidden="1" x14ac:dyDescent="0.25">
      <c r="A1013" t="s">
        <v>1316</v>
      </c>
      <c r="B1013" t="s">
        <v>1330</v>
      </c>
      <c r="C1013" t="s">
        <v>2328</v>
      </c>
      <c r="D1013" t="s">
        <v>21</v>
      </c>
      <c r="F1013">
        <v>115</v>
      </c>
      <c r="G1013" t="s">
        <v>1419</v>
      </c>
      <c r="H1013" s="89">
        <v>46108</v>
      </c>
      <c r="I1013" s="89">
        <v>46110</v>
      </c>
      <c r="N1013" t="s">
        <v>2244</v>
      </c>
    </row>
    <row r="1014" spans="1:14" hidden="1" x14ac:dyDescent="0.25">
      <c r="A1014" t="s">
        <v>1317</v>
      </c>
      <c r="B1014" t="s">
        <v>1331</v>
      </c>
      <c r="C1014" t="s">
        <v>2329</v>
      </c>
      <c r="D1014" t="s">
        <v>21</v>
      </c>
      <c r="F1014">
        <v>11</v>
      </c>
      <c r="G1014" t="s">
        <v>1419</v>
      </c>
      <c r="H1014" s="89">
        <v>46108</v>
      </c>
      <c r="I1014" s="89">
        <v>46110</v>
      </c>
      <c r="N1014" t="s">
        <v>2244</v>
      </c>
    </row>
    <row r="1015" spans="1:14" hidden="1" x14ac:dyDescent="0.25">
      <c r="A1015" t="s">
        <v>1318</v>
      </c>
      <c r="B1015" t="s">
        <v>1332</v>
      </c>
      <c r="C1015" t="s">
        <v>2330</v>
      </c>
      <c r="D1015" t="s">
        <v>21</v>
      </c>
      <c r="F1015">
        <v>108</v>
      </c>
      <c r="G1015" t="s">
        <v>1419</v>
      </c>
      <c r="H1015" s="89">
        <v>46108</v>
      </c>
      <c r="I1015" s="89">
        <v>46110</v>
      </c>
      <c r="N1015" t="s">
        <v>2244</v>
      </c>
    </row>
    <row r="1016" spans="1:14" hidden="1" x14ac:dyDescent="0.25">
      <c r="A1016" t="s">
        <v>1323</v>
      </c>
      <c r="B1016" t="s">
        <v>1337</v>
      </c>
      <c r="C1016" t="s">
        <v>2331</v>
      </c>
      <c r="D1016" t="s">
        <v>20</v>
      </c>
      <c r="F1016">
        <v>918</v>
      </c>
      <c r="G1016">
        <v>17</v>
      </c>
      <c r="H1016" s="89">
        <v>46108</v>
      </c>
      <c r="I1016" s="89">
        <v>46111</v>
      </c>
      <c r="J1016" t="s">
        <v>2332</v>
      </c>
      <c r="N1016" t="s">
        <v>2244</v>
      </c>
    </row>
    <row r="1017" spans="1:14" hidden="1" x14ac:dyDescent="0.25">
      <c r="A1017" t="s">
        <v>1322</v>
      </c>
      <c r="B1017" t="s">
        <v>1336</v>
      </c>
      <c r="C1017" t="s">
        <v>2331</v>
      </c>
      <c r="D1017" t="s">
        <v>20</v>
      </c>
      <c r="F1017">
        <v>162</v>
      </c>
      <c r="G1017">
        <v>3</v>
      </c>
      <c r="H1017" s="89">
        <v>46108</v>
      </c>
      <c r="I1017" s="89">
        <v>46111</v>
      </c>
      <c r="J1017" t="s">
        <v>2332</v>
      </c>
      <c r="N1017" t="s">
        <v>2244</v>
      </c>
    </row>
    <row r="1018" spans="1:14" hidden="1" x14ac:dyDescent="0.25">
      <c r="A1018" t="s">
        <v>1313</v>
      </c>
      <c r="B1018" t="s">
        <v>1327</v>
      </c>
      <c r="C1018" t="s">
        <v>2331</v>
      </c>
      <c r="D1018" t="s">
        <v>20</v>
      </c>
      <c r="F1018">
        <v>384</v>
      </c>
      <c r="G1018">
        <v>8</v>
      </c>
      <c r="H1018" s="89">
        <v>46108</v>
      </c>
      <c r="I1018" s="89">
        <v>46112</v>
      </c>
      <c r="J1018" t="s">
        <v>2303</v>
      </c>
      <c r="N1018" t="s">
        <v>2244</v>
      </c>
    </row>
    <row r="1019" spans="1:14" hidden="1" x14ac:dyDescent="0.25">
      <c r="A1019" t="s">
        <v>1315</v>
      </c>
      <c r="B1019" t="s">
        <v>1329</v>
      </c>
      <c r="C1019" t="s">
        <v>2331</v>
      </c>
      <c r="D1019" t="s">
        <v>20</v>
      </c>
      <c r="F1019">
        <v>5</v>
      </c>
      <c r="G1019" t="s">
        <v>1419</v>
      </c>
      <c r="H1019" s="89">
        <v>46108</v>
      </c>
      <c r="I1019" s="89">
        <v>46110</v>
      </c>
      <c r="N1019" t="s">
        <v>2244</v>
      </c>
    </row>
    <row r="1020" spans="1:14" hidden="1" x14ac:dyDescent="0.25">
      <c r="A1020" t="s">
        <v>1316</v>
      </c>
      <c r="B1020" t="s">
        <v>1330</v>
      </c>
      <c r="C1020" t="s">
        <v>2333</v>
      </c>
      <c r="D1020" t="s">
        <v>20</v>
      </c>
      <c r="F1020">
        <v>128</v>
      </c>
      <c r="G1020" t="s">
        <v>1419</v>
      </c>
      <c r="H1020" s="89">
        <v>46108</v>
      </c>
      <c r="I1020" s="89">
        <v>46110</v>
      </c>
      <c r="N1020" t="s">
        <v>2244</v>
      </c>
    </row>
    <row r="1021" spans="1:14" hidden="1" x14ac:dyDescent="0.25">
      <c r="A1021" t="s">
        <v>1317</v>
      </c>
      <c r="B1021" t="s">
        <v>1331</v>
      </c>
      <c r="C1021" t="s">
        <v>2334</v>
      </c>
      <c r="D1021" t="s">
        <v>20</v>
      </c>
      <c r="F1021">
        <v>11</v>
      </c>
      <c r="G1021" t="s">
        <v>1419</v>
      </c>
      <c r="H1021" s="89">
        <v>46108</v>
      </c>
      <c r="I1021" s="89">
        <v>46110</v>
      </c>
      <c r="N1021" t="s">
        <v>2244</v>
      </c>
    </row>
    <row r="1022" spans="1:14" hidden="1" x14ac:dyDescent="0.25">
      <c r="A1022" t="s">
        <v>1318</v>
      </c>
      <c r="B1022" t="s">
        <v>1332</v>
      </c>
      <c r="C1022" t="s">
        <v>2335</v>
      </c>
      <c r="D1022" t="s">
        <v>20</v>
      </c>
      <c r="F1022">
        <v>60</v>
      </c>
      <c r="G1022" t="s">
        <v>1419</v>
      </c>
      <c r="H1022" s="89">
        <v>46108</v>
      </c>
      <c r="I1022" s="89">
        <v>46110</v>
      </c>
      <c r="N1022" t="s">
        <v>2244</v>
      </c>
    </row>
    <row r="1023" spans="1:14" hidden="1" x14ac:dyDescent="0.25">
      <c r="A1023" t="s">
        <v>1326</v>
      </c>
      <c r="B1023" t="s">
        <v>1340</v>
      </c>
      <c r="C1023" t="s">
        <v>2336</v>
      </c>
      <c r="D1023" t="s">
        <v>2108</v>
      </c>
      <c r="F1023">
        <v>252</v>
      </c>
      <c r="G1023">
        <v>6</v>
      </c>
      <c r="H1023" s="89">
        <v>46108</v>
      </c>
      <c r="I1023" s="89">
        <v>46115</v>
      </c>
      <c r="J1023" t="s">
        <v>2313</v>
      </c>
      <c r="N1023" t="s">
        <v>2244</v>
      </c>
    </row>
    <row r="1024" spans="1:14" hidden="1" x14ac:dyDescent="0.25">
      <c r="A1024" t="s">
        <v>1320</v>
      </c>
      <c r="B1024" t="s">
        <v>1334</v>
      </c>
      <c r="C1024" t="s">
        <v>2337</v>
      </c>
      <c r="D1024" t="s">
        <v>23</v>
      </c>
      <c r="F1024">
        <v>192</v>
      </c>
      <c r="G1024">
        <v>4</v>
      </c>
      <c r="H1024" s="89">
        <v>46108</v>
      </c>
      <c r="I1024" s="89">
        <v>46113</v>
      </c>
      <c r="J1024" t="s">
        <v>2315</v>
      </c>
      <c r="N1024" t="s">
        <v>2244</v>
      </c>
    </row>
    <row r="1025" spans="1:14" hidden="1" x14ac:dyDescent="0.25">
      <c r="A1025" t="s">
        <v>1320</v>
      </c>
      <c r="B1025" t="s">
        <v>1334</v>
      </c>
      <c r="C1025" t="s">
        <v>2337</v>
      </c>
      <c r="D1025" t="s">
        <v>23</v>
      </c>
      <c r="F1025">
        <v>144</v>
      </c>
      <c r="G1025">
        <v>3</v>
      </c>
      <c r="H1025" s="89">
        <v>46108</v>
      </c>
      <c r="I1025" s="89">
        <v>46114</v>
      </c>
      <c r="J1025" t="s">
        <v>2338</v>
      </c>
      <c r="N1025" t="s">
        <v>2244</v>
      </c>
    </row>
    <row r="1026" spans="1:14" hidden="1" x14ac:dyDescent="0.25">
      <c r="A1026" t="s">
        <v>1320</v>
      </c>
      <c r="B1026" t="s">
        <v>1334</v>
      </c>
      <c r="C1026" t="s">
        <v>2337</v>
      </c>
      <c r="D1026" t="s">
        <v>23</v>
      </c>
      <c r="F1026">
        <v>144</v>
      </c>
      <c r="G1026">
        <v>3</v>
      </c>
      <c r="H1026" s="89">
        <v>46108</v>
      </c>
      <c r="I1026" s="89">
        <v>46114</v>
      </c>
      <c r="J1026" t="s">
        <v>2339</v>
      </c>
      <c r="N1026" t="s">
        <v>2244</v>
      </c>
    </row>
    <row r="1027" spans="1:14" hidden="1" x14ac:dyDescent="0.25">
      <c r="A1027" t="s">
        <v>1324</v>
      </c>
      <c r="B1027" t="s">
        <v>1338</v>
      </c>
      <c r="C1027" t="s">
        <v>2340</v>
      </c>
      <c r="D1027" t="s">
        <v>15</v>
      </c>
      <c r="F1027">
        <v>960</v>
      </c>
      <c r="G1027">
        <v>20</v>
      </c>
      <c r="H1027" s="89">
        <v>46108</v>
      </c>
      <c r="I1027" s="89">
        <v>46114</v>
      </c>
      <c r="J1027" t="s">
        <v>2322</v>
      </c>
      <c r="N1027" t="s">
        <v>2244</v>
      </c>
    </row>
    <row r="1028" spans="1:14" hidden="1" x14ac:dyDescent="0.25">
      <c r="A1028" t="s">
        <v>1313</v>
      </c>
      <c r="B1028" t="s">
        <v>1327</v>
      </c>
      <c r="C1028" t="s">
        <v>2340</v>
      </c>
      <c r="D1028" t="s">
        <v>15</v>
      </c>
      <c r="F1028">
        <v>192</v>
      </c>
      <c r="G1028">
        <v>4</v>
      </c>
      <c r="H1028" s="89">
        <v>46108</v>
      </c>
      <c r="I1028" s="89">
        <v>46114</v>
      </c>
      <c r="J1028" t="s">
        <v>2341</v>
      </c>
      <c r="N1028" t="s">
        <v>2244</v>
      </c>
    </row>
    <row r="1029" spans="1:14" hidden="1" x14ac:dyDescent="0.25">
      <c r="A1029" t="s">
        <v>1313</v>
      </c>
      <c r="B1029" t="s">
        <v>1327</v>
      </c>
      <c r="C1029" t="s">
        <v>2340</v>
      </c>
      <c r="D1029" t="s">
        <v>15</v>
      </c>
      <c r="F1029">
        <v>141</v>
      </c>
      <c r="G1029">
        <v>2.9375</v>
      </c>
      <c r="H1029" s="89">
        <v>46108</v>
      </c>
      <c r="I1029" s="89">
        <v>46110</v>
      </c>
      <c r="N1029" t="s">
        <v>2244</v>
      </c>
    </row>
    <row r="1030" spans="1:14" hidden="1" x14ac:dyDescent="0.25">
      <c r="A1030" t="s">
        <v>1314</v>
      </c>
      <c r="B1030" t="s">
        <v>1328</v>
      </c>
      <c r="C1030" t="s">
        <v>2340</v>
      </c>
      <c r="D1030" t="s">
        <v>15</v>
      </c>
      <c r="F1030">
        <v>192</v>
      </c>
      <c r="G1030">
        <v>4</v>
      </c>
      <c r="H1030" s="89">
        <v>46108</v>
      </c>
      <c r="I1030" s="89">
        <v>46114</v>
      </c>
      <c r="J1030" t="s">
        <v>2342</v>
      </c>
      <c r="N1030" t="s">
        <v>2244</v>
      </c>
    </row>
    <row r="1031" spans="1:14" hidden="1" x14ac:dyDescent="0.25">
      <c r="A1031" t="s">
        <v>1315</v>
      </c>
      <c r="B1031" t="s">
        <v>1329</v>
      </c>
      <c r="C1031" t="s">
        <v>2340</v>
      </c>
      <c r="D1031" t="s">
        <v>15</v>
      </c>
      <c r="F1031">
        <v>0</v>
      </c>
      <c r="G1031" t="s">
        <v>1419</v>
      </c>
      <c r="H1031" s="89">
        <v>46108</v>
      </c>
      <c r="I1031" s="89">
        <v>46110</v>
      </c>
      <c r="N1031" t="s">
        <v>2244</v>
      </c>
    </row>
    <row r="1032" spans="1:14" hidden="1" x14ac:dyDescent="0.25">
      <c r="A1032" t="s">
        <v>1316</v>
      </c>
      <c r="B1032" t="s">
        <v>1330</v>
      </c>
      <c r="C1032" t="s">
        <v>2343</v>
      </c>
      <c r="D1032" t="s">
        <v>15</v>
      </c>
      <c r="F1032">
        <v>37</v>
      </c>
      <c r="G1032" t="s">
        <v>1419</v>
      </c>
      <c r="H1032" s="89">
        <v>46108</v>
      </c>
      <c r="I1032" s="89">
        <v>46110</v>
      </c>
      <c r="N1032" t="s">
        <v>2244</v>
      </c>
    </row>
    <row r="1033" spans="1:14" hidden="1" x14ac:dyDescent="0.25">
      <c r="A1033" t="s">
        <v>1317</v>
      </c>
      <c r="B1033" t="s">
        <v>1331</v>
      </c>
      <c r="C1033" t="s">
        <v>2344</v>
      </c>
      <c r="D1033" t="s">
        <v>15</v>
      </c>
      <c r="F1033">
        <v>43</v>
      </c>
      <c r="G1033" t="s">
        <v>1419</v>
      </c>
      <c r="H1033" s="89">
        <v>46108</v>
      </c>
      <c r="I1033" s="89">
        <v>46110</v>
      </c>
      <c r="N1033" t="s">
        <v>2244</v>
      </c>
    </row>
    <row r="1034" spans="1:14" hidden="1" x14ac:dyDescent="0.25">
      <c r="A1034" t="s">
        <v>1318</v>
      </c>
      <c r="B1034" t="s">
        <v>1332</v>
      </c>
      <c r="C1034" t="s">
        <v>2345</v>
      </c>
      <c r="D1034" t="s">
        <v>15</v>
      </c>
      <c r="F1034">
        <v>36</v>
      </c>
      <c r="G1034" t="s">
        <v>1419</v>
      </c>
      <c r="H1034" s="89">
        <v>46108</v>
      </c>
      <c r="I1034" s="89">
        <v>46110</v>
      </c>
      <c r="N1034" t="s">
        <v>2244</v>
      </c>
    </row>
    <row r="1035" spans="1:14" hidden="1" x14ac:dyDescent="0.25">
      <c r="A1035" t="s">
        <v>1325</v>
      </c>
      <c r="B1035" t="s">
        <v>1339</v>
      </c>
      <c r="C1035" t="s">
        <v>2346</v>
      </c>
      <c r="D1035" t="s">
        <v>138</v>
      </c>
      <c r="F1035">
        <v>336</v>
      </c>
      <c r="G1035">
        <v>7</v>
      </c>
      <c r="H1035" s="89">
        <v>46108</v>
      </c>
      <c r="I1035" s="89">
        <v>46110</v>
      </c>
      <c r="N1035" t="s">
        <v>2244</v>
      </c>
    </row>
    <row r="1036" spans="1:14" hidden="1" x14ac:dyDescent="0.25">
      <c r="A1036" t="s">
        <v>1320</v>
      </c>
      <c r="B1036" t="s">
        <v>1334</v>
      </c>
      <c r="C1036" t="s">
        <v>2347</v>
      </c>
      <c r="D1036" t="s">
        <v>21</v>
      </c>
      <c r="F1036">
        <v>960</v>
      </c>
      <c r="G1036">
        <v>20</v>
      </c>
      <c r="H1036" s="89">
        <v>46109</v>
      </c>
      <c r="I1036" s="89">
        <v>46115</v>
      </c>
      <c r="J1036" t="s">
        <v>2348</v>
      </c>
      <c r="N1036" t="s">
        <v>2244</v>
      </c>
    </row>
    <row r="1037" spans="1:14" hidden="1" x14ac:dyDescent="0.25">
      <c r="A1037" t="s">
        <v>1313</v>
      </c>
      <c r="B1037" t="s">
        <v>1327</v>
      </c>
      <c r="C1037" t="s">
        <v>2347</v>
      </c>
      <c r="D1037" t="s">
        <v>21</v>
      </c>
      <c r="F1037">
        <v>624</v>
      </c>
      <c r="G1037">
        <v>13</v>
      </c>
      <c r="H1037" s="89">
        <v>46109</v>
      </c>
      <c r="I1037" s="89">
        <v>46114</v>
      </c>
      <c r="J1037" t="s">
        <v>2341</v>
      </c>
      <c r="N1037" t="s">
        <v>2244</v>
      </c>
    </row>
    <row r="1038" spans="1:14" hidden="1" x14ac:dyDescent="0.25">
      <c r="A1038" t="s">
        <v>1315</v>
      </c>
      <c r="B1038" t="s">
        <v>1329</v>
      </c>
      <c r="C1038" t="s">
        <v>2347</v>
      </c>
      <c r="D1038" t="s">
        <v>21</v>
      </c>
      <c r="F1038">
        <v>122</v>
      </c>
      <c r="G1038" t="s">
        <v>1419</v>
      </c>
      <c r="H1038" s="89">
        <v>46109</v>
      </c>
      <c r="I1038" s="89">
        <v>46110</v>
      </c>
      <c r="N1038" t="s">
        <v>2244</v>
      </c>
    </row>
    <row r="1039" spans="1:14" hidden="1" x14ac:dyDescent="0.25">
      <c r="A1039" t="s">
        <v>1316</v>
      </c>
      <c r="B1039" t="s">
        <v>1330</v>
      </c>
      <c r="C1039" t="s">
        <v>2349</v>
      </c>
      <c r="D1039" t="s">
        <v>21</v>
      </c>
      <c r="F1039">
        <v>73</v>
      </c>
      <c r="G1039" t="s">
        <v>1419</v>
      </c>
      <c r="H1039" s="89">
        <v>46109</v>
      </c>
      <c r="I1039" s="89">
        <v>46110</v>
      </c>
      <c r="N1039" t="s">
        <v>2244</v>
      </c>
    </row>
    <row r="1040" spans="1:14" hidden="1" x14ac:dyDescent="0.25">
      <c r="A1040" t="s">
        <v>1317</v>
      </c>
      <c r="B1040" t="s">
        <v>1331</v>
      </c>
      <c r="C1040" t="s">
        <v>2350</v>
      </c>
      <c r="D1040" t="s">
        <v>21</v>
      </c>
      <c r="F1040">
        <v>17</v>
      </c>
      <c r="G1040" t="s">
        <v>1419</v>
      </c>
      <c r="H1040" s="89">
        <v>46109</v>
      </c>
      <c r="I1040" s="89">
        <v>46110</v>
      </c>
      <c r="N1040" t="s">
        <v>2244</v>
      </c>
    </row>
    <row r="1041" spans="1:14" hidden="1" x14ac:dyDescent="0.25">
      <c r="A1041" t="s">
        <v>1318</v>
      </c>
      <c r="B1041" t="s">
        <v>1332</v>
      </c>
      <c r="C1041" t="s">
        <v>2351</v>
      </c>
      <c r="D1041" t="s">
        <v>21</v>
      </c>
      <c r="F1041">
        <v>106</v>
      </c>
      <c r="G1041" t="s">
        <v>1419</v>
      </c>
      <c r="H1041" s="89">
        <v>46109</v>
      </c>
      <c r="I1041" s="89">
        <v>46110</v>
      </c>
      <c r="N1041" t="s">
        <v>2244</v>
      </c>
    </row>
    <row r="1042" spans="1:14" hidden="1" x14ac:dyDescent="0.25">
      <c r="A1042" t="s">
        <v>1324</v>
      </c>
      <c r="B1042" t="s">
        <v>1338</v>
      </c>
      <c r="C1042" t="s">
        <v>2352</v>
      </c>
      <c r="D1042" t="s">
        <v>104</v>
      </c>
      <c r="F1042">
        <v>960</v>
      </c>
      <c r="G1042">
        <v>20</v>
      </c>
      <c r="H1042" s="89">
        <v>46109</v>
      </c>
      <c r="I1042" s="89">
        <v>46114</v>
      </c>
      <c r="J1042" t="s">
        <v>2324</v>
      </c>
      <c r="N1042" t="s">
        <v>2244</v>
      </c>
    </row>
    <row r="1043" spans="1:14" hidden="1" x14ac:dyDescent="0.25">
      <c r="A1043" t="s">
        <v>1324</v>
      </c>
      <c r="B1043" t="s">
        <v>1338</v>
      </c>
      <c r="C1043" t="s">
        <v>2353</v>
      </c>
      <c r="D1043" t="s">
        <v>13</v>
      </c>
      <c r="F1043">
        <v>816</v>
      </c>
      <c r="G1043">
        <v>17</v>
      </c>
      <c r="H1043" s="89">
        <v>46109</v>
      </c>
      <c r="I1043" s="89">
        <v>46116</v>
      </c>
      <c r="J1043" t="s">
        <v>2354</v>
      </c>
      <c r="N1043" t="s">
        <v>2244</v>
      </c>
    </row>
    <row r="1044" spans="1:14" hidden="1" x14ac:dyDescent="0.25">
      <c r="A1044" t="s">
        <v>1324</v>
      </c>
      <c r="B1044" t="s">
        <v>1338</v>
      </c>
      <c r="C1044" t="s">
        <v>2355</v>
      </c>
      <c r="D1044" t="s">
        <v>147</v>
      </c>
      <c r="F1044">
        <v>144</v>
      </c>
      <c r="G1044">
        <v>3</v>
      </c>
      <c r="H1044" s="89">
        <v>46109</v>
      </c>
      <c r="I1044" s="89">
        <v>46116</v>
      </c>
      <c r="J1044" t="s">
        <v>2354</v>
      </c>
      <c r="N1044" t="s">
        <v>2244</v>
      </c>
    </row>
    <row r="1045" spans="1:14" hidden="1" x14ac:dyDescent="0.25">
      <c r="A1045" t="s">
        <v>1324</v>
      </c>
      <c r="B1045" t="s">
        <v>1338</v>
      </c>
      <c r="C1045" t="s">
        <v>2356</v>
      </c>
      <c r="D1045" t="s">
        <v>97</v>
      </c>
      <c r="F1045">
        <v>960</v>
      </c>
      <c r="G1045">
        <v>20</v>
      </c>
      <c r="H1045" s="89">
        <v>46109</v>
      </c>
      <c r="I1045" s="89">
        <v>46116</v>
      </c>
      <c r="J1045" t="s">
        <v>2354</v>
      </c>
      <c r="N1045" t="s">
        <v>2244</v>
      </c>
    </row>
    <row r="1046" spans="1:14" hidden="1" x14ac:dyDescent="0.25">
      <c r="A1046" t="s">
        <v>1320</v>
      </c>
      <c r="B1046" t="s">
        <v>1334</v>
      </c>
      <c r="C1046" t="s">
        <v>2357</v>
      </c>
      <c r="D1046" t="s">
        <v>23</v>
      </c>
      <c r="F1046">
        <v>672</v>
      </c>
      <c r="G1046">
        <v>14</v>
      </c>
      <c r="H1046" s="89">
        <v>46109</v>
      </c>
      <c r="I1046" s="89">
        <v>46114</v>
      </c>
      <c r="J1046" t="s">
        <v>2339</v>
      </c>
      <c r="N1046" t="s">
        <v>2244</v>
      </c>
    </row>
    <row r="1047" spans="1:14" hidden="1" x14ac:dyDescent="0.25">
      <c r="A1047" t="s">
        <v>1320</v>
      </c>
      <c r="B1047" t="s">
        <v>1334</v>
      </c>
      <c r="C1047" t="s">
        <v>2358</v>
      </c>
      <c r="D1047" t="s">
        <v>20</v>
      </c>
      <c r="F1047">
        <v>960</v>
      </c>
      <c r="G1047">
        <v>20</v>
      </c>
      <c r="H1047" s="89">
        <v>46109</v>
      </c>
      <c r="I1047" s="89">
        <v>46114</v>
      </c>
      <c r="J1047" t="s">
        <v>2359</v>
      </c>
      <c r="N1047" t="s">
        <v>2244</v>
      </c>
    </row>
    <row r="1048" spans="1:14" hidden="1" x14ac:dyDescent="0.25">
      <c r="A1048" t="s">
        <v>1320</v>
      </c>
      <c r="B1048" t="s">
        <v>1334</v>
      </c>
      <c r="C1048" t="s">
        <v>2358</v>
      </c>
      <c r="D1048" t="s">
        <v>20</v>
      </c>
      <c r="F1048">
        <v>144</v>
      </c>
      <c r="G1048">
        <v>3</v>
      </c>
      <c r="H1048" s="89">
        <v>46109</v>
      </c>
      <c r="I1048" s="89">
        <v>46114</v>
      </c>
      <c r="J1048" t="s">
        <v>2339</v>
      </c>
      <c r="N1048" t="s">
        <v>2244</v>
      </c>
    </row>
    <row r="1049" spans="1:14" hidden="1" x14ac:dyDescent="0.25">
      <c r="A1049" t="s">
        <v>1324</v>
      </c>
      <c r="B1049" t="s">
        <v>1338</v>
      </c>
      <c r="C1049" t="s">
        <v>2358</v>
      </c>
      <c r="D1049" t="s">
        <v>20</v>
      </c>
      <c r="F1049">
        <v>48</v>
      </c>
      <c r="G1049">
        <v>1</v>
      </c>
      <c r="H1049" s="89">
        <v>46109</v>
      </c>
      <c r="I1049" s="89">
        <v>46114</v>
      </c>
      <c r="N1049" t="s">
        <v>2244</v>
      </c>
    </row>
    <row r="1050" spans="1:14" hidden="1" x14ac:dyDescent="0.25">
      <c r="A1050" t="s">
        <v>1315</v>
      </c>
      <c r="B1050" t="s">
        <v>1329</v>
      </c>
      <c r="C1050" t="s">
        <v>2358</v>
      </c>
      <c r="D1050" t="s">
        <v>20</v>
      </c>
      <c r="F1050">
        <v>91</v>
      </c>
      <c r="G1050" t="s">
        <v>1419</v>
      </c>
      <c r="H1050" s="89">
        <v>46109</v>
      </c>
      <c r="I1050" s="89">
        <v>46110</v>
      </c>
      <c r="N1050" t="s">
        <v>2244</v>
      </c>
    </row>
    <row r="1051" spans="1:14" hidden="1" x14ac:dyDescent="0.25">
      <c r="A1051" t="s">
        <v>1316</v>
      </c>
      <c r="B1051" t="s">
        <v>1330</v>
      </c>
      <c r="C1051" t="s">
        <v>2360</v>
      </c>
      <c r="D1051" t="s">
        <v>20</v>
      </c>
      <c r="F1051">
        <v>228</v>
      </c>
      <c r="G1051" t="s">
        <v>1419</v>
      </c>
      <c r="H1051" s="89">
        <v>46109</v>
      </c>
      <c r="I1051" s="89">
        <v>46110</v>
      </c>
      <c r="N1051" t="s">
        <v>2244</v>
      </c>
    </row>
    <row r="1052" spans="1:14" hidden="1" x14ac:dyDescent="0.25">
      <c r="A1052" t="s">
        <v>1317</v>
      </c>
      <c r="B1052" t="s">
        <v>1331</v>
      </c>
      <c r="C1052" t="s">
        <v>2361</v>
      </c>
      <c r="D1052" t="s">
        <v>20</v>
      </c>
      <c r="F1052">
        <v>28</v>
      </c>
      <c r="G1052" t="s">
        <v>1419</v>
      </c>
      <c r="H1052" s="89">
        <v>46109</v>
      </c>
      <c r="I1052" s="89">
        <v>46110</v>
      </c>
      <c r="N1052" t="s">
        <v>2244</v>
      </c>
    </row>
    <row r="1053" spans="1:14" hidden="1" x14ac:dyDescent="0.25">
      <c r="A1053" t="s">
        <v>1318</v>
      </c>
      <c r="B1053" t="s">
        <v>1332</v>
      </c>
      <c r="C1053" t="s">
        <v>2362</v>
      </c>
      <c r="D1053" t="s">
        <v>20</v>
      </c>
      <c r="F1053">
        <v>73</v>
      </c>
      <c r="G1053" t="s">
        <v>1419</v>
      </c>
      <c r="H1053" s="89">
        <v>46109</v>
      </c>
      <c r="I1053" s="89">
        <v>46110</v>
      </c>
      <c r="N1053" t="s">
        <v>2244</v>
      </c>
    </row>
    <row r="1054" spans="1:14" hidden="1" x14ac:dyDescent="0.25">
      <c r="A1054" t="s">
        <v>1320</v>
      </c>
      <c r="B1054" t="s">
        <v>1334</v>
      </c>
      <c r="C1054" t="s">
        <v>2363</v>
      </c>
      <c r="D1054" t="s">
        <v>15</v>
      </c>
      <c r="F1054">
        <v>960</v>
      </c>
      <c r="G1054">
        <v>20</v>
      </c>
      <c r="H1054" s="89">
        <v>46109</v>
      </c>
      <c r="I1054" s="89">
        <v>46115</v>
      </c>
      <c r="J1054" t="s">
        <v>2364</v>
      </c>
      <c r="N1054" t="s">
        <v>2244</v>
      </c>
    </row>
    <row r="1055" spans="1:14" hidden="1" x14ac:dyDescent="0.25">
      <c r="A1055" t="s">
        <v>1314</v>
      </c>
      <c r="B1055" t="s">
        <v>1328</v>
      </c>
      <c r="C1055" t="s">
        <v>2363</v>
      </c>
      <c r="D1055" t="s">
        <v>15</v>
      </c>
      <c r="F1055">
        <v>144</v>
      </c>
      <c r="G1055">
        <v>3</v>
      </c>
      <c r="H1055" s="89">
        <v>46109</v>
      </c>
      <c r="I1055" s="89">
        <v>46114</v>
      </c>
      <c r="J1055" t="s">
        <v>2342</v>
      </c>
      <c r="N1055" t="s">
        <v>2244</v>
      </c>
    </row>
    <row r="1056" spans="1:14" hidden="1" x14ac:dyDescent="0.25">
      <c r="A1056" t="s">
        <v>1313</v>
      </c>
      <c r="B1056" t="s">
        <v>1327</v>
      </c>
      <c r="C1056" t="s">
        <v>2363</v>
      </c>
      <c r="D1056" t="s">
        <v>15</v>
      </c>
      <c r="F1056">
        <v>51</v>
      </c>
      <c r="G1056">
        <v>1.0625</v>
      </c>
      <c r="H1056" s="89">
        <v>46109</v>
      </c>
      <c r="I1056" s="89">
        <v>46110</v>
      </c>
      <c r="N1056" t="s">
        <v>2244</v>
      </c>
    </row>
    <row r="1057" spans="1:14" hidden="1" x14ac:dyDescent="0.25">
      <c r="A1057" t="s">
        <v>1315</v>
      </c>
      <c r="B1057" t="s">
        <v>1329</v>
      </c>
      <c r="C1057" t="s">
        <v>2363</v>
      </c>
      <c r="D1057" t="s">
        <v>15</v>
      </c>
      <c r="F1057">
        <v>103</v>
      </c>
      <c r="G1057" t="s">
        <v>1419</v>
      </c>
      <c r="H1057" s="89">
        <v>46109</v>
      </c>
      <c r="I1057" s="89">
        <v>46110</v>
      </c>
      <c r="N1057" t="s">
        <v>2244</v>
      </c>
    </row>
    <row r="1058" spans="1:14" hidden="1" x14ac:dyDescent="0.25">
      <c r="A1058" t="s">
        <v>1316</v>
      </c>
      <c r="B1058" t="s">
        <v>1330</v>
      </c>
      <c r="C1058" t="s">
        <v>2365</v>
      </c>
      <c r="D1058" t="s">
        <v>15</v>
      </c>
      <c r="F1058">
        <v>77</v>
      </c>
      <c r="G1058" t="s">
        <v>1419</v>
      </c>
      <c r="H1058" s="89">
        <v>46109</v>
      </c>
      <c r="I1058" s="89">
        <v>46110</v>
      </c>
      <c r="N1058" t="s">
        <v>2244</v>
      </c>
    </row>
    <row r="1059" spans="1:14" hidden="1" x14ac:dyDescent="0.25">
      <c r="A1059" t="s">
        <v>1317</v>
      </c>
      <c r="B1059" t="s">
        <v>1331</v>
      </c>
      <c r="C1059" t="s">
        <v>2366</v>
      </c>
      <c r="D1059" t="s">
        <v>15</v>
      </c>
      <c r="F1059">
        <v>13</v>
      </c>
      <c r="G1059" t="s">
        <v>1419</v>
      </c>
      <c r="H1059" s="89">
        <v>46109</v>
      </c>
      <c r="I1059" s="89">
        <v>46110</v>
      </c>
      <c r="N1059" t="s">
        <v>2244</v>
      </c>
    </row>
    <row r="1060" spans="1:14" hidden="1" x14ac:dyDescent="0.25">
      <c r="A1060" t="s">
        <v>1318</v>
      </c>
      <c r="B1060" t="s">
        <v>1332</v>
      </c>
      <c r="C1060" t="s">
        <v>2367</v>
      </c>
      <c r="D1060" t="s">
        <v>15</v>
      </c>
      <c r="F1060">
        <v>32</v>
      </c>
      <c r="G1060" t="s">
        <v>1419</v>
      </c>
      <c r="H1060" s="89">
        <v>46109</v>
      </c>
      <c r="I1060" s="89">
        <v>46110</v>
      </c>
      <c r="N1060" t="s">
        <v>2244</v>
      </c>
    </row>
    <row r="1061" spans="1:14" hidden="1" x14ac:dyDescent="0.25">
      <c r="A1061" t="s">
        <v>1320</v>
      </c>
      <c r="B1061" t="s">
        <v>1334</v>
      </c>
      <c r="C1061" t="s">
        <v>2368</v>
      </c>
      <c r="D1061" t="s">
        <v>152</v>
      </c>
      <c r="F1061">
        <v>960</v>
      </c>
      <c r="G1061">
        <v>20</v>
      </c>
      <c r="H1061" s="89">
        <v>46097</v>
      </c>
      <c r="I1061" s="89">
        <v>46101</v>
      </c>
      <c r="J1061" t="s">
        <v>2369</v>
      </c>
      <c r="N1061" t="s">
        <v>2370</v>
      </c>
    </row>
    <row r="1062" spans="1:14" hidden="1" x14ac:dyDescent="0.25">
      <c r="A1062" t="s">
        <v>1324</v>
      </c>
      <c r="B1062" t="s">
        <v>1338</v>
      </c>
      <c r="C1062" t="s">
        <v>2371</v>
      </c>
      <c r="D1062" t="s">
        <v>13</v>
      </c>
      <c r="F1062">
        <v>96</v>
      </c>
      <c r="G1062">
        <v>2</v>
      </c>
      <c r="H1062" s="89">
        <v>46097</v>
      </c>
      <c r="I1062" s="89">
        <v>46104</v>
      </c>
      <c r="J1062" t="s">
        <v>2372</v>
      </c>
      <c r="N1062" t="s">
        <v>2370</v>
      </c>
    </row>
    <row r="1063" spans="1:14" hidden="1" x14ac:dyDescent="0.25">
      <c r="A1063" t="s">
        <v>1324</v>
      </c>
      <c r="B1063" t="s">
        <v>1338</v>
      </c>
      <c r="C1063" t="s">
        <v>2373</v>
      </c>
      <c r="D1063" t="s">
        <v>23</v>
      </c>
      <c r="F1063">
        <v>144</v>
      </c>
      <c r="G1063">
        <v>3</v>
      </c>
      <c r="H1063" s="89">
        <v>46097</v>
      </c>
      <c r="I1063" s="89">
        <v>46104</v>
      </c>
      <c r="J1063" t="s">
        <v>2372</v>
      </c>
      <c r="N1063" t="s">
        <v>2370</v>
      </c>
    </row>
    <row r="1064" spans="1:14" hidden="1" x14ac:dyDescent="0.25">
      <c r="A1064" t="s">
        <v>1320</v>
      </c>
      <c r="B1064" t="s">
        <v>1334</v>
      </c>
      <c r="C1064" t="s">
        <v>2373</v>
      </c>
      <c r="D1064" t="s">
        <v>23</v>
      </c>
      <c r="F1064">
        <v>480</v>
      </c>
      <c r="G1064">
        <v>10</v>
      </c>
      <c r="H1064" s="89">
        <v>46097</v>
      </c>
      <c r="I1064" s="89">
        <v>46101</v>
      </c>
      <c r="J1064" t="s">
        <v>2374</v>
      </c>
      <c r="N1064" t="s">
        <v>2370</v>
      </c>
    </row>
    <row r="1065" spans="1:14" hidden="1" x14ac:dyDescent="0.25">
      <c r="A1065" t="s">
        <v>1320</v>
      </c>
      <c r="B1065" t="s">
        <v>1334</v>
      </c>
      <c r="C1065" t="s">
        <v>2371</v>
      </c>
      <c r="D1065" t="s">
        <v>13</v>
      </c>
      <c r="F1065">
        <v>480</v>
      </c>
      <c r="G1065">
        <v>10</v>
      </c>
      <c r="H1065" s="89">
        <v>46097</v>
      </c>
      <c r="I1065" s="89">
        <v>46101</v>
      </c>
      <c r="J1065" t="s">
        <v>2374</v>
      </c>
      <c r="N1065" t="s">
        <v>2370</v>
      </c>
    </row>
    <row r="1066" spans="1:14" hidden="1" x14ac:dyDescent="0.25">
      <c r="A1066" t="s">
        <v>1314</v>
      </c>
      <c r="B1066" t="s">
        <v>1328</v>
      </c>
      <c r="C1066" t="s">
        <v>2375</v>
      </c>
      <c r="D1066" t="s">
        <v>15</v>
      </c>
      <c r="F1066">
        <v>96</v>
      </c>
      <c r="G1066">
        <v>2</v>
      </c>
      <c r="H1066" s="89">
        <v>46098</v>
      </c>
      <c r="I1066" s="89">
        <v>46101</v>
      </c>
      <c r="J1066" t="s">
        <v>2376</v>
      </c>
      <c r="N1066" t="s">
        <v>2370</v>
      </c>
    </row>
    <row r="1067" spans="1:14" hidden="1" x14ac:dyDescent="0.25">
      <c r="A1067" t="s">
        <v>1324</v>
      </c>
      <c r="B1067" t="s">
        <v>1338</v>
      </c>
      <c r="C1067" t="s">
        <v>2375</v>
      </c>
      <c r="D1067" t="s">
        <v>15</v>
      </c>
      <c r="F1067">
        <v>768</v>
      </c>
      <c r="G1067">
        <v>16</v>
      </c>
      <c r="H1067" s="89">
        <v>46098</v>
      </c>
      <c r="I1067" s="89">
        <v>46104</v>
      </c>
      <c r="J1067" t="s">
        <v>2377</v>
      </c>
      <c r="N1067" t="s">
        <v>2370</v>
      </c>
    </row>
    <row r="1068" spans="1:14" hidden="1" x14ac:dyDescent="0.25">
      <c r="A1068" t="s">
        <v>1324</v>
      </c>
      <c r="B1068" t="s">
        <v>1338</v>
      </c>
      <c r="C1068" t="s">
        <v>2375</v>
      </c>
      <c r="D1068" t="s">
        <v>15</v>
      </c>
      <c r="F1068">
        <v>288</v>
      </c>
      <c r="G1068">
        <v>6</v>
      </c>
      <c r="H1068" s="89">
        <v>46098</v>
      </c>
      <c r="I1068" s="89">
        <v>46104</v>
      </c>
      <c r="J1068" t="s">
        <v>2372</v>
      </c>
      <c r="N1068" t="s">
        <v>2370</v>
      </c>
    </row>
    <row r="1069" spans="1:14" hidden="1" x14ac:dyDescent="0.25">
      <c r="A1069" t="s">
        <v>1313</v>
      </c>
      <c r="B1069" t="s">
        <v>1327</v>
      </c>
      <c r="C1069" t="s">
        <v>2375</v>
      </c>
      <c r="D1069" t="s">
        <v>15</v>
      </c>
      <c r="F1069">
        <v>48</v>
      </c>
      <c r="G1069">
        <v>1</v>
      </c>
      <c r="H1069" s="89">
        <v>46098</v>
      </c>
      <c r="I1069" s="89">
        <v>46100</v>
      </c>
      <c r="N1069" t="s">
        <v>2370</v>
      </c>
    </row>
    <row r="1070" spans="1:14" hidden="1" x14ac:dyDescent="0.25">
      <c r="A1070" t="s">
        <v>1315</v>
      </c>
      <c r="B1070" t="s">
        <v>1329</v>
      </c>
      <c r="C1070" t="s">
        <v>2375</v>
      </c>
      <c r="D1070" t="s">
        <v>15</v>
      </c>
      <c r="F1070">
        <v>26</v>
      </c>
      <c r="G1070" t="s">
        <v>1419</v>
      </c>
      <c r="H1070" s="89">
        <v>46098</v>
      </c>
      <c r="I1070" s="89">
        <v>46100</v>
      </c>
      <c r="N1070" t="s">
        <v>2370</v>
      </c>
    </row>
    <row r="1071" spans="1:14" hidden="1" x14ac:dyDescent="0.25">
      <c r="A1071" t="s">
        <v>1316</v>
      </c>
      <c r="B1071" t="s">
        <v>1330</v>
      </c>
      <c r="C1071" t="s">
        <v>2378</v>
      </c>
      <c r="D1071" t="s">
        <v>15</v>
      </c>
      <c r="F1071">
        <v>67</v>
      </c>
      <c r="G1071" t="s">
        <v>1419</v>
      </c>
      <c r="H1071" s="89">
        <v>46098</v>
      </c>
      <c r="I1071" s="89">
        <v>46100</v>
      </c>
      <c r="N1071" t="s">
        <v>2370</v>
      </c>
    </row>
    <row r="1072" spans="1:14" hidden="1" x14ac:dyDescent="0.25">
      <c r="A1072" t="s">
        <v>1317</v>
      </c>
      <c r="B1072" t="s">
        <v>1331</v>
      </c>
      <c r="C1072" t="s">
        <v>2379</v>
      </c>
      <c r="D1072" t="s">
        <v>15</v>
      </c>
      <c r="F1072">
        <v>37</v>
      </c>
      <c r="G1072" t="s">
        <v>1419</v>
      </c>
      <c r="H1072" s="89">
        <v>46098</v>
      </c>
      <c r="I1072" s="89">
        <v>46100</v>
      </c>
      <c r="N1072" t="s">
        <v>2370</v>
      </c>
    </row>
    <row r="1073" spans="1:14" hidden="1" x14ac:dyDescent="0.25">
      <c r="A1073" t="s">
        <v>1318</v>
      </c>
      <c r="B1073" t="s">
        <v>1332</v>
      </c>
      <c r="C1073" t="s">
        <v>2380</v>
      </c>
      <c r="D1073" t="s">
        <v>15</v>
      </c>
      <c r="F1073">
        <v>41</v>
      </c>
      <c r="G1073" t="s">
        <v>1419</v>
      </c>
      <c r="H1073" s="89">
        <v>46098</v>
      </c>
      <c r="I1073" s="89">
        <v>46100</v>
      </c>
      <c r="N1073" t="s">
        <v>2370</v>
      </c>
    </row>
    <row r="1074" spans="1:14" hidden="1" x14ac:dyDescent="0.25">
      <c r="A1074" t="s">
        <v>1321</v>
      </c>
      <c r="B1074" t="s">
        <v>1335</v>
      </c>
      <c r="C1074" t="s">
        <v>2381</v>
      </c>
      <c r="D1074" t="s">
        <v>138</v>
      </c>
      <c r="F1074">
        <v>144</v>
      </c>
      <c r="G1074">
        <v>3</v>
      </c>
      <c r="H1074" s="89">
        <v>46098</v>
      </c>
      <c r="I1074" s="89">
        <v>46104</v>
      </c>
      <c r="J1074" t="s">
        <v>2372</v>
      </c>
      <c r="N1074" t="s">
        <v>2370</v>
      </c>
    </row>
    <row r="1075" spans="1:14" hidden="1" x14ac:dyDescent="0.25">
      <c r="A1075" t="s">
        <v>1324</v>
      </c>
      <c r="B1075" t="s">
        <v>1338</v>
      </c>
      <c r="C1075" t="s">
        <v>2382</v>
      </c>
      <c r="D1075" t="s">
        <v>13</v>
      </c>
      <c r="F1075">
        <v>384</v>
      </c>
      <c r="G1075">
        <v>8</v>
      </c>
      <c r="H1075" s="89">
        <v>46098</v>
      </c>
      <c r="I1075" s="89">
        <v>46104</v>
      </c>
      <c r="J1075" t="s">
        <v>2372</v>
      </c>
      <c r="N1075" t="s">
        <v>2370</v>
      </c>
    </row>
    <row r="1076" spans="1:14" hidden="1" x14ac:dyDescent="0.25">
      <c r="A1076" t="s">
        <v>1324</v>
      </c>
      <c r="B1076" t="s">
        <v>1338</v>
      </c>
      <c r="C1076" t="s">
        <v>2383</v>
      </c>
      <c r="D1076" t="s">
        <v>23</v>
      </c>
      <c r="F1076">
        <v>864</v>
      </c>
      <c r="G1076">
        <v>18</v>
      </c>
      <c r="H1076" s="89">
        <v>46098</v>
      </c>
      <c r="I1076" s="89">
        <v>46104</v>
      </c>
      <c r="J1076" t="s">
        <v>2372</v>
      </c>
      <c r="N1076" t="s">
        <v>2370</v>
      </c>
    </row>
    <row r="1077" spans="1:14" hidden="1" x14ac:dyDescent="0.25">
      <c r="A1077" t="s">
        <v>1321</v>
      </c>
      <c r="B1077" t="s">
        <v>1335</v>
      </c>
      <c r="C1077" t="s">
        <v>2381</v>
      </c>
      <c r="D1077" t="s">
        <v>138</v>
      </c>
      <c r="F1077">
        <v>96</v>
      </c>
      <c r="G1077">
        <v>2</v>
      </c>
      <c r="H1077" s="89">
        <v>46098</v>
      </c>
      <c r="I1077" s="89">
        <v>46104</v>
      </c>
      <c r="J1077" t="s">
        <v>2377</v>
      </c>
      <c r="N1077" t="s">
        <v>2370</v>
      </c>
    </row>
    <row r="1078" spans="1:14" hidden="1" x14ac:dyDescent="0.25">
      <c r="A1078" t="s">
        <v>1313</v>
      </c>
      <c r="B1078" t="s">
        <v>1327</v>
      </c>
      <c r="C1078" t="s">
        <v>2384</v>
      </c>
      <c r="D1078" t="s">
        <v>21</v>
      </c>
      <c r="F1078">
        <v>1296</v>
      </c>
      <c r="G1078">
        <v>27</v>
      </c>
      <c r="H1078" s="89">
        <v>46098</v>
      </c>
      <c r="I1078" s="89">
        <v>46101</v>
      </c>
      <c r="N1078" t="s">
        <v>2370</v>
      </c>
    </row>
    <row r="1079" spans="1:14" hidden="1" x14ac:dyDescent="0.25">
      <c r="A1079" t="s">
        <v>1315</v>
      </c>
      <c r="B1079" t="s">
        <v>1329</v>
      </c>
      <c r="C1079" t="s">
        <v>2384</v>
      </c>
      <c r="D1079" t="s">
        <v>21</v>
      </c>
      <c r="F1079">
        <v>27</v>
      </c>
      <c r="G1079" t="s">
        <v>1419</v>
      </c>
      <c r="H1079" s="89">
        <v>46098</v>
      </c>
      <c r="I1079" s="89">
        <v>46100</v>
      </c>
      <c r="N1079" t="s">
        <v>2370</v>
      </c>
    </row>
    <row r="1080" spans="1:14" hidden="1" x14ac:dyDescent="0.25">
      <c r="A1080" t="s">
        <v>1316</v>
      </c>
      <c r="B1080" t="s">
        <v>1330</v>
      </c>
      <c r="C1080" t="s">
        <v>2385</v>
      </c>
      <c r="D1080" t="s">
        <v>21</v>
      </c>
      <c r="F1080">
        <v>36</v>
      </c>
      <c r="G1080" t="s">
        <v>1419</v>
      </c>
      <c r="H1080" s="89">
        <v>46098</v>
      </c>
      <c r="I1080" s="89">
        <v>46100</v>
      </c>
      <c r="N1080" t="s">
        <v>2370</v>
      </c>
    </row>
    <row r="1081" spans="1:14" hidden="1" x14ac:dyDescent="0.25">
      <c r="A1081" t="s">
        <v>1317</v>
      </c>
      <c r="B1081" t="s">
        <v>1331</v>
      </c>
      <c r="C1081" t="s">
        <v>2386</v>
      </c>
      <c r="D1081" t="s">
        <v>21</v>
      </c>
      <c r="F1081">
        <v>24</v>
      </c>
      <c r="G1081" t="s">
        <v>1419</v>
      </c>
      <c r="H1081" s="89">
        <v>46098</v>
      </c>
      <c r="I1081" s="89">
        <v>46100</v>
      </c>
      <c r="N1081" t="s">
        <v>2370</v>
      </c>
    </row>
    <row r="1082" spans="1:14" hidden="1" x14ac:dyDescent="0.25">
      <c r="A1082" t="s">
        <v>1318</v>
      </c>
      <c r="B1082" t="s">
        <v>1332</v>
      </c>
      <c r="C1082" t="s">
        <v>2387</v>
      </c>
      <c r="D1082" t="s">
        <v>21</v>
      </c>
      <c r="F1082">
        <v>45</v>
      </c>
      <c r="G1082" t="s">
        <v>1419</v>
      </c>
      <c r="H1082" s="89">
        <v>46098</v>
      </c>
      <c r="I1082" s="89">
        <v>46100</v>
      </c>
      <c r="N1082" t="s">
        <v>2370</v>
      </c>
    </row>
    <row r="1083" spans="1:14" hidden="1" x14ac:dyDescent="0.25">
      <c r="A1083" t="s">
        <v>1313</v>
      </c>
      <c r="B1083" t="s">
        <v>1327</v>
      </c>
      <c r="C1083" t="s">
        <v>2388</v>
      </c>
      <c r="D1083" t="s">
        <v>20</v>
      </c>
      <c r="F1083">
        <v>1152</v>
      </c>
      <c r="G1083">
        <v>24</v>
      </c>
      <c r="H1083" s="89">
        <v>46098</v>
      </c>
      <c r="I1083" s="89">
        <v>46100</v>
      </c>
      <c r="N1083" t="s">
        <v>2370</v>
      </c>
    </row>
    <row r="1084" spans="1:14" hidden="1" x14ac:dyDescent="0.25">
      <c r="A1084" t="s">
        <v>1315</v>
      </c>
      <c r="B1084" t="s">
        <v>1329</v>
      </c>
      <c r="C1084" t="s">
        <v>2388</v>
      </c>
      <c r="D1084" t="s">
        <v>20</v>
      </c>
      <c r="F1084">
        <v>26</v>
      </c>
      <c r="G1084" t="s">
        <v>1419</v>
      </c>
      <c r="H1084" s="89">
        <v>46098</v>
      </c>
      <c r="I1084" s="89">
        <v>46100</v>
      </c>
      <c r="N1084" t="s">
        <v>2370</v>
      </c>
    </row>
    <row r="1085" spans="1:14" hidden="1" x14ac:dyDescent="0.25">
      <c r="A1085" t="s">
        <v>1316</v>
      </c>
      <c r="B1085" t="s">
        <v>1330</v>
      </c>
      <c r="C1085" t="s">
        <v>2389</v>
      </c>
      <c r="D1085" t="s">
        <v>20</v>
      </c>
      <c r="F1085">
        <v>118</v>
      </c>
      <c r="G1085" t="s">
        <v>1419</v>
      </c>
      <c r="H1085" s="89">
        <v>46098</v>
      </c>
      <c r="I1085" s="89">
        <v>46100</v>
      </c>
      <c r="N1085" t="s">
        <v>2370</v>
      </c>
    </row>
    <row r="1086" spans="1:14" hidden="1" x14ac:dyDescent="0.25">
      <c r="A1086" t="s">
        <v>1317</v>
      </c>
      <c r="B1086" t="s">
        <v>1331</v>
      </c>
      <c r="C1086" t="s">
        <v>2390</v>
      </c>
      <c r="D1086" t="s">
        <v>20</v>
      </c>
      <c r="F1086">
        <v>14</v>
      </c>
      <c r="G1086" t="s">
        <v>1419</v>
      </c>
      <c r="H1086" s="89">
        <v>46098</v>
      </c>
      <c r="I1086" s="89">
        <v>46100</v>
      </c>
      <c r="N1086" t="s">
        <v>2370</v>
      </c>
    </row>
    <row r="1087" spans="1:14" hidden="1" x14ac:dyDescent="0.25">
      <c r="A1087" t="s">
        <v>1318</v>
      </c>
      <c r="B1087" t="s">
        <v>1332</v>
      </c>
      <c r="C1087" t="s">
        <v>2391</v>
      </c>
      <c r="D1087" t="s">
        <v>20</v>
      </c>
      <c r="F1087">
        <v>51</v>
      </c>
      <c r="G1087" t="s">
        <v>1419</v>
      </c>
      <c r="H1087" s="89">
        <v>46098</v>
      </c>
      <c r="I1087" s="89">
        <v>46100</v>
      </c>
      <c r="N1087" t="s">
        <v>2370</v>
      </c>
    </row>
    <row r="1088" spans="1:14" hidden="1" x14ac:dyDescent="0.25">
      <c r="A1088" t="s">
        <v>1325</v>
      </c>
      <c r="B1088" t="s">
        <v>1339</v>
      </c>
      <c r="C1088" t="s">
        <v>2381</v>
      </c>
      <c r="D1088" t="s">
        <v>138</v>
      </c>
      <c r="F1088">
        <v>288</v>
      </c>
      <c r="G1088">
        <v>6</v>
      </c>
      <c r="H1088" s="89">
        <v>46098</v>
      </c>
      <c r="I1088" s="89">
        <v>46100</v>
      </c>
      <c r="N1088" t="s">
        <v>2370</v>
      </c>
    </row>
    <row r="1089" spans="1:14" hidden="1" x14ac:dyDescent="0.25">
      <c r="A1089" t="s">
        <v>1314</v>
      </c>
      <c r="B1089" t="s">
        <v>1328</v>
      </c>
      <c r="C1089" t="s">
        <v>2392</v>
      </c>
      <c r="D1089" t="s">
        <v>21</v>
      </c>
      <c r="F1089">
        <v>288</v>
      </c>
      <c r="G1089">
        <v>6</v>
      </c>
      <c r="H1089" s="89">
        <v>46099</v>
      </c>
      <c r="I1089" s="89">
        <v>46103</v>
      </c>
      <c r="J1089" t="s">
        <v>2393</v>
      </c>
      <c r="N1089" t="s">
        <v>2370</v>
      </c>
    </row>
    <row r="1090" spans="1:14" hidden="1" x14ac:dyDescent="0.25">
      <c r="A1090" t="s">
        <v>1320</v>
      </c>
      <c r="B1090" t="s">
        <v>1334</v>
      </c>
      <c r="C1090" t="s">
        <v>2392</v>
      </c>
      <c r="D1090" t="s">
        <v>21</v>
      </c>
      <c r="F1090">
        <v>960</v>
      </c>
      <c r="G1090">
        <v>20</v>
      </c>
      <c r="H1090" s="89">
        <v>46099</v>
      </c>
      <c r="I1090" s="89">
        <v>46105</v>
      </c>
      <c r="J1090" t="s">
        <v>2394</v>
      </c>
      <c r="N1090" t="s">
        <v>2370</v>
      </c>
    </row>
    <row r="1091" spans="1:14" hidden="1" x14ac:dyDescent="0.25">
      <c r="A1091" t="s">
        <v>1315</v>
      </c>
      <c r="B1091" t="s">
        <v>1329</v>
      </c>
      <c r="C1091" t="s">
        <v>2392</v>
      </c>
      <c r="D1091" t="s">
        <v>21</v>
      </c>
      <c r="F1091">
        <v>100</v>
      </c>
      <c r="G1091" t="s">
        <v>1419</v>
      </c>
      <c r="H1091" s="89">
        <v>46099</v>
      </c>
      <c r="I1091" s="89">
        <v>46100</v>
      </c>
      <c r="N1091" t="s">
        <v>2370</v>
      </c>
    </row>
    <row r="1092" spans="1:14" hidden="1" x14ac:dyDescent="0.25">
      <c r="A1092" t="s">
        <v>1316</v>
      </c>
      <c r="B1092" t="s">
        <v>1330</v>
      </c>
      <c r="C1092" t="s">
        <v>2395</v>
      </c>
      <c r="D1092" t="s">
        <v>21</v>
      </c>
      <c r="F1092">
        <v>13</v>
      </c>
      <c r="G1092" t="s">
        <v>1419</v>
      </c>
      <c r="H1092" s="89">
        <v>46099</v>
      </c>
      <c r="I1092" s="89">
        <v>46101</v>
      </c>
      <c r="N1092" t="s">
        <v>2370</v>
      </c>
    </row>
    <row r="1093" spans="1:14" hidden="1" x14ac:dyDescent="0.25">
      <c r="A1093" t="s">
        <v>1317</v>
      </c>
      <c r="B1093" t="s">
        <v>1331</v>
      </c>
      <c r="C1093" t="s">
        <v>2396</v>
      </c>
      <c r="D1093" t="s">
        <v>21</v>
      </c>
      <c r="F1093">
        <v>31</v>
      </c>
      <c r="G1093" t="s">
        <v>1419</v>
      </c>
      <c r="H1093" s="89">
        <v>46099</v>
      </c>
      <c r="I1093" s="89">
        <v>46101</v>
      </c>
      <c r="N1093" t="s">
        <v>2370</v>
      </c>
    </row>
    <row r="1094" spans="1:14" hidden="1" x14ac:dyDescent="0.25">
      <c r="A1094" t="s">
        <v>1318</v>
      </c>
      <c r="B1094" t="s">
        <v>1332</v>
      </c>
      <c r="C1094" t="s">
        <v>2397</v>
      </c>
      <c r="D1094" t="s">
        <v>21</v>
      </c>
      <c r="F1094">
        <v>57</v>
      </c>
      <c r="G1094" t="s">
        <v>1419</v>
      </c>
      <c r="H1094" s="89">
        <v>46099</v>
      </c>
      <c r="I1094" s="89">
        <v>46101</v>
      </c>
      <c r="N1094" t="s">
        <v>2370</v>
      </c>
    </row>
    <row r="1095" spans="1:14" hidden="1" x14ac:dyDescent="0.25">
      <c r="A1095" t="s">
        <v>1324</v>
      </c>
      <c r="B1095" t="s">
        <v>1338</v>
      </c>
      <c r="C1095" t="s">
        <v>2398</v>
      </c>
      <c r="D1095" t="s">
        <v>23</v>
      </c>
      <c r="F1095">
        <v>960</v>
      </c>
      <c r="G1095">
        <v>20</v>
      </c>
      <c r="H1095" s="89">
        <v>46099</v>
      </c>
      <c r="I1095" s="89">
        <v>46104</v>
      </c>
      <c r="J1095" t="s">
        <v>2377</v>
      </c>
      <c r="N1095" t="s">
        <v>2370</v>
      </c>
    </row>
    <row r="1096" spans="1:14" hidden="1" x14ac:dyDescent="0.25">
      <c r="A1096" t="s">
        <v>1313</v>
      </c>
      <c r="B1096" t="s">
        <v>1327</v>
      </c>
      <c r="C1096" t="s">
        <v>2399</v>
      </c>
      <c r="D1096" t="s">
        <v>20</v>
      </c>
      <c r="F1096">
        <v>864</v>
      </c>
      <c r="G1096">
        <v>18</v>
      </c>
      <c r="H1096" s="89">
        <v>46099</v>
      </c>
      <c r="I1096" s="89">
        <v>46103</v>
      </c>
      <c r="J1096" t="s">
        <v>2400</v>
      </c>
      <c r="N1096" t="s">
        <v>2370</v>
      </c>
    </row>
    <row r="1097" spans="1:14" hidden="1" x14ac:dyDescent="0.25">
      <c r="A1097" t="s">
        <v>1313</v>
      </c>
      <c r="B1097" t="s">
        <v>1327</v>
      </c>
      <c r="C1097" t="s">
        <v>2399</v>
      </c>
      <c r="D1097" t="s">
        <v>20</v>
      </c>
      <c r="F1097">
        <v>288</v>
      </c>
      <c r="G1097">
        <v>6</v>
      </c>
      <c r="H1097" s="89">
        <v>46099</v>
      </c>
      <c r="I1097" s="89">
        <v>46104</v>
      </c>
      <c r="J1097" t="s">
        <v>2401</v>
      </c>
      <c r="N1097" t="s">
        <v>2370</v>
      </c>
    </row>
    <row r="1098" spans="1:14" hidden="1" x14ac:dyDescent="0.25">
      <c r="A1098" t="s">
        <v>1315</v>
      </c>
      <c r="B1098" t="s">
        <v>1329</v>
      </c>
      <c r="C1098" t="s">
        <v>2399</v>
      </c>
      <c r="D1098" t="s">
        <v>20</v>
      </c>
      <c r="F1098">
        <v>69</v>
      </c>
      <c r="G1098" t="s">
        <v>1419</v>
      </c>
      <c r="H1098" s="89">
        <v>46099</v>
      </c>
      <c r="I1098" s="89">
        <v>46101</v>
      </c>
      <c r="N1098" t="s">
        <v>2370</v>
      </c>
    </row>
    <row r="1099" spans="1:14" hidden="1" x14ac:dyDescent="0.25">
      <c r="A1099" t="s">
        <v>1316</v>
      </c>
      <c r="B1099" t="s">
        <v>1330</v>
      </c>
      <c r="C1099" t="s">
        <v>2402</v>
      </c>
      <c r="D1099" t="s">
        <v>20</v>
      </c>
      <c r="F1099">
        <v>97</v>
      </c>
      <c r="G1099" t="s">
        <v>1419</v>
      </c>
      <c r="H1099" s="89">
        <v>46099</v>
      </c>
      <c r="I1099" s="89">
        <v>46101</v>
      </c>
      <c r="N1099" t="s">
        <v>2370</v>
      </c>
    </row>
    <row r="1100" spans="1:14" hidden="1" x14ac:dyDescent="0.25">
      <c r="A1100" t="s">
        <v>1317</v>
      </c>
      <c r="B1100" t="s">
        <v>1331</v>
      </c>
      <c r="C1100" t="s">
        <v>2403</v>
      </c>
      <c r="D1100" t="s">
        <v>20</v>
      </c>
      <c r="F1100">
        <v>7</v>
      </c>
      <c r="G1100" t="s">
        <v>1419</v>
      </c>
      <c r="H1100" s="89">
        <v>46099</v>
      </c>
      <c r="I1100" s="89">
        <v>46101</v>
      </c>
      <c r="N1100" t="s">
        <v>2370</v>
      </c>
    </row>
    <row r="1101" spans="1:14" hidden="1" x14ac:dyDescent="0.25">
      <c r="A1101" t="s">
        <v>1318</v>
      </c>
      <c r="B1101" t="s">
        <v>1332</v>
      </c>
      <c r="C1101" t="s">
        <v>2404</v>
      </c>
      <c r="D1101" t="s">
        <v>20</v>
      </c>
      <c r="F1101">
        <v>55</v>
      </c>
      <c r="G1101" t="s">
        <v>1419</v>
      </c>
      <c r="H1101" s="89">
        <v>46099</v>
      </c>
      <c r="I1101" s="89">
        <v>46101</v>
      </c>
      <c r="N1101" t="s">
        <v>2370</v>
      </c>
    </row>
    <row r="1102" spans="1:14" hidden="1" x14ac:dyDescent="0.25">
      <c r="A1102" t="s">
        <v>1324</v>
      </c>
      <c r="B1102" t="s">
        <v>1338</v>
      </c>
      <c r="C1102" t="s">
        <v>2405</v>
      </c>
      <c r="D1102" t="s">
        <v>15</v>
      </c>
      <c r="F1102">
        <v>96</v>
      </c>
      <c r="G1102">
        <v>2</v>
      </c>
      <c r="H1102" s="89">
        <v>46099</v>
      </c>
      <c r="I1102" s="89">
        <v>46104</v>
      </c>
      <c r="J1102" t="s">
        <v>2377</v>
      </c>
      <c r="N1102" t="s">
        <v>2370</v>
      </c>
    </row>
    <row r="1103" spans="1:14" hidden="1" x14ac:dyDescent="0.25">
      <c r="A1103" t="s">
        <v>1320</v>
      </c>
      <c r="B1103" t="s">
        <v>1334</v>
      </c>
      <c r="C1103" t="s">
        <v>2405</v>
      </c>
      <c r="D1103" t="s">
        <v>15</v>
      </c>
      <c r="F1103">
        <v>960</v>
      </c>
      <c r="G1103">
        <v>20</v>
      </c>
      <c r="H1103" s="89">
        <v>46099</v>
      </c>
      <c r="I1103" s="89">
        <v>46105</v>
      </c>
      <c r="J1103" t="s">
        <v>2406</v>
      </c>
      <c r="N1103" t="s">
        <v>2370</v>
      </c>
    </row>
    <row r="1104" spans="1:14" hidden="1" x14ac:dyDescent="0.25">
      <c r="A1104" t="s">
        <v>1313</v>
      </c>
      <c r="B1104" t="s">
        <v>1327</v>
      </c>
      <c r="C1104" t="s">
        <v>2405</v>
      </c>
      <c r="D1104" t="s">
        <v>15</v>
      </c>
      <c r="F1104">
        <v>288</v>
      </c>
      <c r="G1104">
        <v>6</v>
      </c>
      <c r="H1104" s="89">
        <v>46099</v>
      </c>
      <c r="I1104" s="89">
        <v>46105</v>
      </c>
      <c r="N1104" t="s">
        <v>2370</v>
      </c>
    </row>
    <row r="1105" spans="1:14" hidden="1" x14ac:dyDescent="0.25">
      <c r="A1105" t="s">
        <v>1315</v>
      </c>
      <c r="B1105" t="s">
        <v>1329</v>
      </c>
      <c r="C1105" t="s">
        <v>2405</v>
      </c>
      <c r="D1105" t="s">
        <v>15</v>
      </c>
      <c r="F1105">
        <v>3</v>
      </c>
      <c r="G1105" t="s">
        <v>1419</v>
      </c>
      <c r="H1105" s="89">
        <v>46099</v>
      </c>
      <c r="I1105" s="89">
        <v>46100</v>
      </c>
      <c r="N1105" t="s">
        <v>2370</v>
      </c>
    </row>
    <row r="1106" spans="1:14" hidden="1" x14ac:dyDescent="0.25">
      <c r="A1106" t="s">
        <v>1316</v>
      </c>
      <c r="B1106" t="s">
        <v>1330</v>
      </c>
      <c r="C1106" t="s">
        <v>2407</v>
      </c>
      <c r="D1106" t="s">
        <v>15</v>
      </c>
      <c r="F1106">
        <v>82</v>
      </c>
      <c r="G1106" t="s">
        <v>1419</v>
      </c>
      <c r="H1106" s="89">
        <v>46099</v>
      </c>
      <c r="I1106" s="89">
        <v>46101</v>
      </c>
      <c r="N1106" t="s">
        <v>2370</v>
      </c>
    </row>
    <row r="1107" spans="1:14" hidden="1" x14ac:dyDescent="0.25">
      <c r="A1107" t="s">
        <v>1317</v>
      </c>
      <c r="B1107" t="s">
        <v>1331</v>
      </c>
      <c r="C1107" t="s">
        <v>2408</v>
      </c>
      <c r="D1107" t="s">
        <v>15</v>
      </c>
      <c r="F1107">
        <v>32</v>
      </c>
      <c r="G1107" t="s">
        <v>1419</v>
      </c>
      <c r="H1107" s="89">
        <v>46099</v>
      </c>
      <c r="I1107" s="89">
        <v>46101</v>
      </c>
      <c r="N1107" t="s">
        <v>2370</v>
      </c>
    </row>
    <row r="1108" spans="1:14" hidden="1" x14ac:dyDescent="0.25">
      <c r="A1108" t="s">
        <v>1318</v>
      </c>
      <c r="B1108" t="s">
        <v>1332</v>
      </c>
      <c r="C1108" t="s">
        <v>2409</v>
      </c>
      <c r="D1108" t="s">
        <v>15</v>
      </c>
      <c r="F1108">
        <v>42</v>
      </c>
      <c r="G1108" t="s">
        <v>1419</v>
      </c>
      <c r="H1108" s="89">
        <v>46099</v>
      </c>
      <c r="I1108" s="89">
        <v>46101</v>
      </c>
      <c r="N1108" t="s">
        <v>2370</v>
      </c>
    </row>
    <row r="1109" spans="1:14" hidden="1" x14ac:dyDescent="0.25">
      <c r="A1109" t="s">
        <v>1326</v>
      </c>
      <c r="B1109" t="s">
        <v>1340</v>
      </c>
      <c r="C1109" t="s">
        <v>2410</v>
      </c>
      <c r="D1109" t="s">
        <v>2108</v>
      </c>
      <c r="F1109">
        <v>504</v>
      </c>
      <c r="G1109">
        <v>12</v>
      </c>
      <c r="H1109" s="89">
        <v>46100</v>
      </c>
      <c r="I1109" s="89">
        <v>46108</v>
      </c>
      <c r="J1109" t="s">
        <v>2411</v>
      </c>
      <c r="N1109" t="s">
        <v>2370</v>
      </c>
    </row>
    <row r="1110" spans="1:14" hidden="1" x14ac:dyDescent="0.25">
      <c r="A1110" t="s">
        <v>1325</v>
      </c>
      <c r="B1110" t="s">
        <v>1339</v>
      </c>
      <c r="C1110" t="s">
        <v>2410</v>
      </c>
      <c r="D1110" t="s">
        <v>2108</v>
      </c>
      <c r="F1110">
        <v>1</v>
      </c>
      <c r="G1110" t="s">
        <v>1419</v>
      </c>
      <c r="H1110" s="89">
        <v>46100</v>
      </c>
      <c r="I1110" s="89">
        <v>46102</v>
      </c>
      <c r="N1110" t="s">
        <v>2370</v>
      </c>
    </row>
    <row r="1111" spans="1:14" hidden="1" x14ac:dyDescent="0.25">
      <c r="A1111" t="s">
        <v>1324</v>
      </c>
      <c r="B1111" t="s">
        <v>1338</v>
      </c>
      <c r="C1111" t="s">
        <v>2412</v>
      </c>
      <c r="D1111" t="s">
        <v>21</v>
      </c>
      <c r="F1111">
        <v>1152</v>
      </c>
      <c r="G1111">
        <v>24</v>
      </c>
      <c r="H1111" s="89">
        <v>46100</v>
      </c>
      <c r="I1111" s="89">
        <v>46104</v>
      </c>
      <c r="N1111" t="s">
        <v>2370</v>
      </c>
    </row>
    <row r="1112" spans="1:14" hidden="1" x14ac:dyDescent="0.25">
      <c r="A1112" t="s">
        <v>1315</v>
      </c>
      <c r="B1112" t="s">
        <v>1329</v>
      </c>
      <c r="C1112" t="s">
        <v>2412</v>
      </c>
      <c r="D1112" t="s">
        <v>21</v>
      </c>
      <c r="F1112">
        <v>117</v>
      </c>
      <c r="G1112" t="s">
        <v>1419</v>
      </c>
      <c r="H1112" s="89">
        <v>46100</v>
      </c>
      <c r="I1112" s="89">
        <v>46102</v>
      </c>
      <c r="N1112" t="s">
        <v>2370</v>
      </c>
    </row>
    <row r="1113" spans="1:14" hidden="1" x14ac:dyDescent="0.25">
      <c r="A1113" t="s">
        <v>1316</v>
      </c>
      <c r="B1113" t="s">
        <v>1330</v>
      </c>
      <c r="C1113" t="s">
        <v>2413</v>
      </c>
      <c r="D1113" t="s">
        <v>21</v>
      </c>
      <c r="F1113">
        <v>13</v>
      </c>
      <c r="G1113" t="s">
        <v>1419</v>
      </c>
      <c r="H1113" s="89">
        <v>46100</v>
      </c>
      <c r="I1113" s="89">
        <v>46102</v>
      </c>
      <c r="N1113" t="s">
        <v>2370</v>
      </c>
    </row>
    <row r="1114" spans="1:14" hidden="1" x14ac:dyDescent="0.25">
      <c r="A1114" t="s">
        <v>1317</v>
      </c>
      <c r="B1114" t="s">
        <v>1331</v>
      </c>
      <c r="C1114" t="s">
        <v>2414</v>
      </c>
      <c r="D1114" t="s">
        <v>21</v>
      </c>
      <c r="F1114">
        <v>25</v>
      </c>
      <c r="G1114" t="s">
        <v>1419</v>
      </c>
      <c r="H1114" s="89">
        <v>46100</v>
      </c>
      <c r="I1114" s="89">
        <v>46102</v>
      </c>
      <c r="N1114" t="s">
        <v>2370</v>
      </c>
    </row>
    <row r="1115" spans="1:14" hidden="1" x14ac:dyDescent="0.25">
      <c r="A1115" t="s">
        <v>1318</v>
      </c>
      <c r="B1115" t="s">
        <v>1332</v>
      </c>
      <c r="C1115" t="s">
        <v>2415</v>
      </c>
      <c r="D1115" t="s">
        <v>21</v>
      </c>
      <c r="F1115">
        <v>39</v>
      </c>
      <c r="G1115" t="s">
        <v>1419</v>
      </c>
      <c r="H1115" s="89">
        <v>46100</v>
      </c>
      <c r="I1115" s="89">
        <v>46102</v>
      </c>
      <c r="N1115" t="s">
        <v>2370</v>
      </c>
    </row>
    <row r="1116" spans="1:14" hidden="1" x14ac:dyDescent="0.25">
      <c r="A1116" t="s">
        <v>1320</v>
      </c>
      <c r="B1116" t="s">
        <v>1334</v>
      </c>
      <c r="C1116" t="s">
        <v>2416</v>
      </c>
      <c r="D1116" t="s">
        <v>15</v>
      </c>
      <c r="F1116">
        <v>960</v>
      </c>
      <c r="G1116">
        <v>20</v>
      </c>
      <c r="H1116" s="89">
        <v>46100</v>
      </c>
      <c r="I1116" s="89">
        <v>46107</v>
      </c>
      <c r="J1116" t="s">
        <v>2417</v>
      </c>
      <c r="N1116" t="s">
        <v>2370</v>
      </c>
    </row>
    <row r="1117" spans="1:14" hidden="1" x14ac:dyDescent="0.25">
      <c r="A1117" t="s">
        <v>1313</v>
      </c>
      <c r="B1117" t="s">
        <v>1327</v>
      </c>
      <c r="C1117" t="s">
        <v>2416</v>
      </c>
      <c r="D1117" t="s">
        <v>15</v>
      </c>
      <c r="F1117">
        <v>144</v>
      </c>
      <c r="G1117">
        <v>3</v>
      </c>
      <c r="H1117" s="89">
        <v>46100</v>
      </c>
      <c r="I1117" s="89">
        <v>46104</v>
      </c>
      <c r="N1117" t="s">
        <v>2370</v>
      </c>
    </row>
    <row r="1118" spans="1:14" hidden="1" x14ac:dyDescent="0.25">
      <c r="A1118" t="s">
        <v>1313</v>
      </c>
      <c r="B1118" t="s">
        <v>1327</v>
      </c>
      <c r="C1118" t="s">
        <v>2416</v>
      </c>
      <c r="D1118" t="s">
        <v>15</v>
      </c>
      <c r="F1118">
        <v>336</v>
      </c>
      <c r="G1118">
        <v>7</v>
      </c>
      <c r="H1118" s="89">
        <v>46100</v>
      </c>
      <c r="I1118" s="89">
        <v>46105</v>
      </c>
      <c r="J1118" t="s">
        <v>2418</v>
      </c>
      <c r="N1118" t="s">
        <v>2370</v>
      </c>
    </row>
    <row r="1119" spans="1:14" hidden="1" x14ac:dyDescent="0.25">
      <c r="A1119" t="s">
        <v>1315</v>
      </c>
      <c r="B1119" t="s">
        <v>1329</v>
      </c>
      <c r="C1119" t="s">
        <v>2416</v>
      </c>
      <c r="D1119" t="s">
        <v>15</v>
      </c>
      <c r="F1119">
        <v>24</v>
      </c>
      <c r="G1119" t="s">
        <v>1419</v>
      </c>
      <c r="H1119" s="89">
        <v>46100</v>
      </c>
      <c r="I1119" s="89">
        <v>46102</v>
      </c>
      <c r="N1119" t="s">
        <v>2370</v>
      </c>
    </row>
    <row r="1120" spans="1:14" hidden="1" x14ac:dyDescent="0.25">
      <c r="A1120" t="s">
        <v>1316</v>
      </c>
      <c r="B1120" t="s">
        <v>1330</v>
      </c>
      <c r="C1120" t="s">
        <v>2419</v>
      </c>
      <c r="D1120" t="s">
        <v>15</v>
      </c>
      <c r="F1120">
        <v>95</v>
      </c>
      <c r="G1120" t="s">
        <v>1419</v>
      </c>
      <c r="H1120" s="89">
        <v>46100</v>
      </c>
      <c r="I1120" s="89">
        <v>46102</v>
      </c>
      <c r="N1120" t="s">
        <v>2370</v>
      </c>
    </row>
    <row r="1121" spans="1:14" hidden="1" x14ac:dyDescent="0.25">
      <c r="A1121" t="s">
        <v>1317</v>
      </c>
      <c r="B1121" t="s">
        <v>1331</v>
      </c>
      <c r="C1121" t="s">
        <v>2420</v>
      </c>
      <c r="D1121" t="s">
        <v>15</v>
      </c>
      <c r="F1121">
        <v>27</v>
      </c>
      <c r="G1121" t="s">
        <v>1419</v>
      </c>
      <c r="H1121" s="89">
        <v>46100</v>
      </c>
      <c r="I1121" s="89">
        <v>46102</v>
      </c>
      <c r="N1121" t="s">
        <v>2370</v>
      </c>
    </row>
    <row r="1122" spans="1:14" hidden="1" x14ac:dyDescent="0.25">
      <c r="A1122" t="s">
        <v>1318</v>
      </c>
      <c r="B1122" t="s">
        <v>1332</v>
      </c>
      <c r="C1122" t="s">
        <v>2421</v>
      </c>
      <c r="D1122" t="s">
        <v>15</v>
      </c>
      <c r="F1122">
        <v>49</v>
      </c>
      <c r="G1122" t="s">
        <v>1419</v>
      </c>
      <c r="H1122" s="89">
        <v>46100</v>
      </c>
      <c r="I1122" s="89">
        <v>46102</v>
      </c>
      <c r="N1122" t="s">
        <v>2370</v>
      </c>
    </row>
    <row r="1123" spans="1:14" hidden="1" x14ac:dyDescent="0.25">
      <c r="A1123" t="s">
        <v>1313</v>
      </c>
      <c r="B1123" t="s">
        <v>1327</v>
      </c>
      <c r="C1123" t="s">
        <v>2422</v>
      </c>
      <c r="D1123" t="s">
        <v>23</v>
      </c>
      <c r="F1123">
        <v>864</v>
      </c>
      <c r="G1123">
        <v>18</v>
      </c>
      <c r="H1123" s="89">
        <v>46100</v>
      </c>
      <c r="I1123" s="89">
        <v>46102</v>
      </c>
      <c r="N1123" t="s">
        <v>2370</v>
      </c>
    </row>
    <row r="1124" spans="1:14" hidden="1" x14ac:dyDescent="0.25">
      <c r="A1124" t="s">
        <v>1325</v>
      </c>
      <c r="B1124" t="s">
        <v>1339</v>
      </c>
      <c r="C1124" t="s">
        <v>2423</v>
      </c>
      <c r="D1124" t="s">
        <v>138</v>
      </c>
      <c r="F1124">
        <v>384</v>
      </c>
      <c r="G1124">
        <v>8</v>
      </c>
      <c r="H1124" s="89">
        <v>46100</v>
      </c>
      <c r="I1124" s="89">
        <v>46102</v>
      </c>
      <c r="N1124" t="s">
        <v>2370</v>
      </c>
    </row>
    <row r="1125" spans="1:14" hidden="1" x14ac:dyDescent="0.25">
      <c r="A1125" t="s">
        <v>1313</v>
      </c>
      <c r="B1125" t="s">
        <v>1327</v>
      </c>
      <c r="C1125" t="s">
        <v>2424</v>
      </c>
      <c r="D1125" t="s">
        <v>20</v>
      </c>
      <c r="F1125">
        <v>864</v>
      </c>
      <c r="G1125">
        <v>18</v>
      </c>
      <c r="H1125" s="89">
        <v>46100</v>
      </c>
      <c r="I1125" s="89">
        <v>46104</v>
      </c>
      <c r="J1125" t="s">
        <v>2401</v>
      </c>
      <c r="N1125" t="s">
        <v>2370</v>
      </c>
    </row>
    <row r="1126" spans="1:14" hidden="1" x14ac:dyDescent="0.25">
      <c r="A1126" t="s">
        <v>1313</v>
      </c>
      <c r="B1126" t="s">
        <v>1327</v>
      </c>
      <c r="C1126" t="s">
        <v>2424</v>
      </c>
      <c r="D1126" t="s">
        <v>20</v>
      </c>
      <c r="F1126">
        <v>432</v>
      </c>
      <c r="G1126">
        <v>12</v>
      </c>
      <c r="H1126" s="89">
        <v>46100</v>
      </c>
      <c r="I1126" s="89">
        <v>46105</v>
      </c>
      <c r="N1126" t="s">
        <v>2370</v>
      </c>
    </row>
    <row r="1127" spans="1:14" hidden="1" x14ac:dyDescent="0.25">
      <c r="A1127" t="s">
        <v>1315</v>
      </c>
      <c r="B1127" t="s">
        <v>1329</v>
      </c>
      <c r="C1127" t="s">
        <v>2424</v>
      </c>
      <c r="D1127" t="s">
        <v>20</v>
      </c>
      <c r="F1127">
        <v>56</v>
      </c>
      <c r="G1127" t="s">
        <v>1419</v>
      </c>
      <c r="H1127" s="89">
        <v>46100</v>
      </c>
      <c r="I1127" s="89">
        <v>46102</v>
      </c>
      <c r="N1127" t="s">
        <v>2370</v>
      </c>
    </row>
    <row r="1128" spans="1:14" hidden="1" x14ac:dyDescent="0.25">
      <c r="A1128" t="s">
        <v>1316</v>
      </c>
      <c r="B1128" t="s">
        <v>1330</v>
      </c>
      <c r="C1128" t="s">
        <v>2425</v>
      </c>
      <c r="D1128" t="s">
        <v>20</v>
      </c>
      <c r="F1128">
        <v>176</v>
      </c>
      <c r="G1128" t="s">
        <v>1419</v>
      </c>
      <c r="H1128" s="89">
        <v>46100</v>
      </c>
      <c r="I1128" s="89">
        <v>46102</v>
      </c>
      <c r="N1128" t="s">
        <v>2370</v>
      </c>
    </row>
    <row r="1129" spans="1:14" hidden="1" x14ac:dyDescent="0.25">
      <c r="A1129" t="s">
        <v>1317</v>
      </c>
      <c r="B1129" t="s">
        <v>1331</v>
      </c>
      <c r="C1129" t="s">
        <v>2426</v>
      </c>
      <c r="D1129" t="s">
        <v>20</v>
      </c>
      <c r="F1129">
        <v>5</v>
      </c>
      <c r="G1129" t="s">
        <v>1419</v>
      </c>
      <c r="H1129" s="89">
        <v>46100</v>
      </c>
      <c r="I1129" s="89">
        <v>46102</v>
      </c>
      <c r="N1129" t="s">
        <v>2370</v>
      </c>
    </row>
    <row r="1130" spans="1:14" hidden="1" x14ac:dyDescent="0.25">
      <c r="A1130" t="s">
        <v>1318</v>
      </c>
      <c r="B1130" t="s">
        <v>1332</v>
      </c>
      <c r="C1130" t="s">
        <v>2427</v>
      </c>
      <c r="D1130" t="s">
        <v>20</v>
      </c>
      <c r="F1130">
        <v>78</v>
      </c>
      <c r="G1130" t="s">
        <v>1419</v>
      </c>
      <c r="H1130" s="89">
        <v>46100</v>
      </c>
      <c r="I1130" s="89">
        <v>46102</v>
      </c>
      <c r="N1130" t="s">
        <v>2370</v>
      </c>
    </row>
    <row r="1131" spans="1:14" hidden="1" x14ac:dyDescent="0.25">
      <c r="A1131" t="s">
        <v>1326</v>
      </c>
      <c r="B1131" t="s">
        <v>1340</v>
      </c>
      <c r="C1131" t="s">
        <v>2428</v>
      </c>
      <c r="D1131" t="s">
        <v>2108</v>
      </c>
      <c r="F1131">
        <v>504</v>
      </c>
      <c r="G1131">
        <v>12</v>
      </c>
      <c r="H1131" s="89">
        <v>46101</v>
      </c>
      <c r="I1131" s="89">
        <v>46108</v>
      </c>
      <c r="J1131" t="s">
        <v>2411</v>
      </c>
      <c r="N1131" t="s">
        <v>2370</v>
      </c>
    </row>
    <row r="1132" spans="1:14" hidden="1" x14ac:dyDescent="0.25">
      <c r="A1132" t="s">
        <v>1314</v>
      </c>
      <c r="B1132" t="s">
        <v>1328</v>
      </c>
      <c r="C1132" t="s">
        <v>2429</v>
      </c>
      <c r="D1132" t="s">
        <v>21</v>
      </c>
      <c r="F1132">
        <v>336</v>
      </c>
      <c r="G1132">
        <v>7</v>
      </c>
      <c r="H1132" s="89">
        <v>46101</v>
      </c>
      <c r="I1132" s="89">
        <v>46105</v>
      </c>
      <c r="J1132" t="s">
        <v>2430</v>
      </c>
      <c r="N1132" t="s">
        <v>2370</v>
      </c>
    </row>
    <row r="1133" spans="1:14" hidden="1" x14ac:dyDescent="0.25">
      <c r="A1133" t="s">
        <v>1313</v>
      </c>
      <c r="B1133" t="s">
        <v>1327</v>
      </c>
      <c r="C1133" t="s">
        <v>2429</v>
      </c>
      <c r="D1133" t="s">
        <v>21</v>
      </c>
      <c r="F1133">
        <v>816</v>
      </c>
      <c r="G1133">
        <v>17</v>
      </c>
      <c r="H1133" s="89">
        <v>46101</v>
      </c>
      <c r="I1133" s="89">
        <v>46105</v>
      </c>
      <c r="J1133" t="s">
        <v>2431</v>
      </c>
      <c r="N1133" t="s">
        <v>2370</v>
      </c>
    </row>
    <row r="1134" spans="1:14" hidden="1" x14ac:dyDescent="0.25">
      <c r="A1134" t="s">
        <v>1315</v>
      </c>
      <c r="B1134" t="s">
        <v>1329</v>
      </c>
      <c r="C1134" t="s">
        <v>2429</v>
      </c>
      <c r="D1134" t="s">
        <v>21</v>
      </c>
      <c r="F1134">
        <v>102</v>
      </c>
      <c r="G1134" t="s">
        <v>1419</v>
      </c>
      <c r="H1134" s="89">
        <v>46101</v>
      </c>
      <c r="I1134" s="89">
        <v>46102</v>
      </c>
      <c r="N1134" t="s">
        <v>2370</v>
      </c>
    </row>
    <row r="1135" spans="1:14" hidden="1" x14ac:dyDescent="0.25">
      <c r="A1135" t="s">
        <v>1316</v>
      </c>
      <c r="B1135" t="s">
        <v>1330</v>
      </c>
      <c r="C1135" t="s">
        <v>2432</v>
      </c>
      <c r="D1135" t="s">
        <v>21</v>
      </c>
      <c r="F1135">
        <v>54</v>
      </c>
      <c r="G1135" t="s">
        <v>1419</v>
      </c>
      <c r="H1135" s="89">
        <v>46101</v>
      </c>
      <c r="I1135" s="89">
        <v>46103</v>
      </c>
      <c r="N1135" t="s">
        <v>2370</v>
      </c>
    </row>
    <row r="1136" spans="1:14" hidden="1" x14ac:dyDescent="0.25">
      <c r="A1136" t="s">
        <v>1317</v>
      </c>
      <c r="B1136" t="s">
        <v>1331</v>
      </c>
      <c r="C1136" t="s">
        <v>2433</v>
      </c>
      <c r="D1136" t="s">
        <v>21</v>
      </c>
      <c r="F1136">
        <v>23</v>
      </c>
      <c r="G1136" t="s">
        <v>1419</v>
      </c>
      <c r="H1136" s="89">
        <v>46101</v>
      </c>
      <c r="I1136" s="89">
        <v>46103</v>
      </c>
      <c r="N1136" t="s">
        <v>2370</v>
      </c>
    </row>
    <row r="1137" spans="1:14" hidden="1" x14ac:dyDescent="0.25">
      <c r="A1137" t="s">
        <v>1318</v>
      </c>
      <c r="B1137" t="s">
        <v>1332</v>
      </c>
      <c r="C1137" t="s">
        <v>2434</v>
      </c>
      <c r="D1137" t="s">
        <v>21</v>
      </c>
      <c r="F1137">
        <v>52</v>
      </c>
      <c r="G1137" t="s">
        <v>1419</v>
      </c>
      <c r="H1137" s="89">
        <v>46101</v>
      </c>
      <c r="I1137" s="89">
        <v>46103</v>
      </c>
      <c r="N1137" t="s">
        <v>2370</v>
      </c>
    </row>
    <row r="1138" spans="1:14" hidden="1" x14ac:dyDescent="0.25">
      <c r="A1138" t="s">
        <v>1313</v>
      </c>
      <c r="B1138" t="s">
        <v>1327</v>
      </c>
      <c r="C1138" t="s">
        <v>2435</v>
      </c>
      <c r="D1138" t="s">
        <v>23</v>
      </c>
      <c r="F1138">
        <v>912</v>
      </c>
      <c r="G1138">
        <v>19</v>
      </c>
      <c r="H1138" s="89">
        <v>46101</v>
      </c>
      <c r="I1138" s="89">
        <v>46106</v>
      </c>
      <c r="J1138" t="s">
        <v>2436</v>
      </c>
      <c r="N1138" t="s">
        <v>2370</v>
      </c>
    </row>
    <row r="1139" spans="1:14" hidden="1" x14ac:dyDescent="0.25">
      <c r="A1139" t="s">
        <v>1313</v>
      </c>
      <c r="B1139" t="s">
        <v>1327</v>
      </c>
      <c r="C1139" t="s">
        <v>2437</v>
      </c>
      <c r="D1139" t="s">
        <v>20</v>
      </c>
      <c r="F1139">
        <v>96</v>
      </c>
      <c r="G1139">
        <v>18</v>
      </c>
      <c r="H1139" s="89">
        <v>46101</v>
      </c>
      <c r="I1139" s="89">
        <v>46105</v>
      </c>
      <c r="N1139" t="s">
        <v>2370</v>
      </c>
    </row>
    <row r="1140" spans="1:14" hidden="1" x14ac:dyDescent="0.25">
      <c r="A1140" t="s">
        <v>1313</v>
      </c>
      <c r="B1140" t="s">
        <v>1327</v>
      </c>
      <c r="C1140" t="s">
        <v>2437</v>
      </c>
      <c r="D1140" t="s">
        <v>20</v>
      </c>
      <c r="F1140">
        <v>240</v>
      </c>
      <c r="G1140">
        <v>5</v>
      </c>
      <c r="H1140" s="89">
        <v>46101</v>
      </c>
      <c r="I1140" s="89">
        <v>46106</v>
      </c>
      <c r="J1140" t="s">
        <v>2436</v>
      </c>
      <c r="N1140" t="s">
        <v>2370</v>
      </c>
    </row>
    <row r="1141" spans="1:14" hidden="1" x14ac:dyDescent="0.25">
      <c r="A1141" t="s">
        <v>1313</v>
      </c>
      <c r="B1141" t="s">
        <v>1327</v>
      </c>
      <c r="C1141" t="s">
        <v>2437</v>
      </c>
      <c r="D1141" t="s">
        <v>20</v>
      </c>
      <c r="F1141">
        <v>240</v>
      </c>
      <c r="G1141">
        <v>5</v>
      </c>
      <c r="H1141" s="89">
        <v>46101</v>
      </c>
      <c r="I1141" s="89">
        <v>46106</v>
      </c>
      <c r="J1141" t="s">
        <v>2438</v>
      </c>
      <c r="N1141" t="s">
        <v>2370</v>
      </c>
    </row>
    <row r="1142" spans="1:14" hidden="1" x14ac:dyDescent="0.25">
      <c r="A1142" t="s">
        <v>1315</v>
      </c>
      <c r="B1142" t="s">
        <v>1329</v>
      </c>
      <c r="C1142" t="s">
        <v>2424</v>
      </c>
      <c r="D1142" t="s">
        <v>20</v>
      </c>
      <c r="F1142">
        <v>26</v>
      </c>
      <c r="G1142" t="s">
        <v>1419</v>
      </c>
      <c r="H1142" s="89">
        <v>46101</v>
      </c>
      <c r="I1142" s="89">
        <v>46102</v>
      </c>
      <c r="N1142" t="s">
        <v>2370</v>
      </c>
    </row>
    <row r="1143" spans="1:14" hidden="1" x14ac:dyDescent="0.25">
      <c r="A1143" t="s">
        <v>1316</v>
      </c>
      <c r="B1143" t="s">
        <v>1330</v>
      </c>
      <c r="C1143" t="s">
        <v>2439</v>
      </c>
      <c r="D1143" t="s">
        <v>20</v>
      </c>
      <c r="F1143">
        <v>223</v>
      </c>
      <c r="G1143" t="s">
        <v>1419</v>
      </c>
      <c r="H1143" s="89">
        <v>46101</v>
      </c>
      <c r="I1143" s="89">
        <v>46103</v>
      </c>
      <c r="N1143" t="s">
        <v>2370</v>
      </c>
    </row>
    <row r="1144" spans="1:14" hidden="1" x14ac:dyDescent="0.25">
      <c r="A1144" t="s">
        <v>1317</v>
      </c>
      <c r="B1144" t="s">
        <v>1331</v>
      </c>
      <c r="C1144" t="s">
        <v>2440</v>
      </c>
      <c r="D1144" t="s">
        <v>20</v>
      </c>
      <c r="F1144">
        <v>15</v>
      </c>
      <c r="G1144" t="s">
        <v>1419</v>
      </c>
      <c r="H1144" s="89">
        <v>46101</v>
      </c>
      <c r="I1144" s="89">
        <v>46103</v>
      </c>
      <c r="N1144" t="s">
        <v>2370</v>
      </c>
    </row>
    <row r="1145" spans="1:14" hidden="1" x14ac:dyDescent="0.25">
      <c r="A1145" t="s">
        <v>1318</v>
      </c>
      <c r="B1145" t="s">
        <v>1332</v>
      </c>
      <c r="C1145" t="s">
        <v>2441</v>
      </c>
      <c r="D1145" t="s">
        <v>20</v>
      </c>
      <c r="F1145">
        <v>65</v>
      </c>
      <c r="G1145" t="s">
        <v>1419</v>
      </c>
      <c r="H1145" s="89">
        <v>46101</v>
      </c>
      <c r="I1145" s="89">
        <v>46103</v>
      </c>
      <c r="N1145" t="s">
        <v>2370</v>
      </c>
    </row>
    <row r="1146" spans="1:14" hidden="1" x14ac:dyDescent="0.25">
      <c r="A1146" t="s">
        <v>1313</v>
      </c>
      <c r="B1146" t="s">
        <v>1327</v>
      </c>
      <c r="C1146" t="s">
        <v>2442</v>
      </c>
      <c r="D1146" t="s">
        <v>15</v>
      </c>
      <c r="F1146">
        <v>816</v>
      </c>
      <c r="G1146">
        <v>17</v>
      </c>
      <c r="H1146" s="89">
        <v>46101</v>
      </c>
      <c r="I1146" s="89">
        <v>46105</v>
      </c>
      <c r="J1146" t="s">
        <v>2418</v>
      </c>
      <c r="N1146" t="s">
        <v>2370</v>
      </c>
    </row>
    <row r="1147" spans="1:14" hidden="1" x14ac:dyDescent="0.25">
      <c r="A1147" t="s">
        <v>1314</v>
      </c>
      <c r="B1147" t="s">
        <v>1328</v>
      </c>
      <c r="C1147" t="s">
        <v>2442</v>
      </c>
      <c r="D1147" t="s">
        <v>15</v>
      </c>
      <c r="F1147">
        <v>144</v>
      </c>
      <c r="G1147">
        <v>3</v>
      </c>
      <c r="H1147" s="89">
        <v>46101</v>
      </c>
      <c r="I1147" s="89">
        <v>46106</v>
      </c>
      <c r="J1147" t="s">
        <v>2443</v>
      </c>
      <c r="N1147" t="s">
        <v>2370</v>
      </c>
    </row>
    <row r="1148" spans="1:14" hidden="1" x14ac:dyDescent="0.25">
      <c r="A1148" t="s">
        <v>1313</v>
      </c>
      <c r="B1148" t="s">
        <v>1327</v>
      </c>
      <c r="C1148" t="s">
        <v>2442</v>
      </c>
      <c r="D1148" t="s">
        <v>15</v>
      </c>
      <c r="F1148">
        <v>480</v>
      </c>
      <c r="G1148">
        <v>10</v>
      </c>
      <c r="H1148" s="89">
        <v>46101</v>
      </c>
      <c r="I1148" s="89">
        <v>46106</v>
      </c>
      <c r="J1148" t="s">
        <v>2444</v>
      </c>
      <c r="N1148" t="s">
        <v>2370</v>
      </c>
    </row>
    <row r="1149" spans="1:14" hidden="1" x14ac:dyDescent="0.25">
      <c r="A1149" t="s">
        <v>1315</v>
      </c>
      <c r="B1149" t="s">
        <v>1329</v>
      </c>
      <c r="C1149" t="s">
        <v>2416</v>
      </c>
      <c r="D1149" t="s">
        <v>15</v>
      </c>
      <c r="F1149">
        <v>26</v>
      </c>
      <c r="G1149" t="s">
        <v>1419</v>
      </c>
      <c r="H1149" s="89">
        <v>46101</v>
      </c>
      <c r="I1149" s="89">
        <v>46102</v>
      </c>
      <c r="N1149" t="s">
        <v>2370</v>
      </c>
    </row>
    <row r="1150" spans="1:14" hidden="1" x14ac:dyDescent="0.25">
      <c r="A1150" t="s">
        <v>1316</v>
      </c>
      <c r="B1150" t="s">
        <v>1330</v>
      </c>
      <c r="C1150" t="s">
        <v>2445</v>
      </c>
      <c r="D1150" t="s">
        <v>15</v>
      </c>
      <c r="F1150">
        <v>104</v>
      </c>
      <c r="G1150" t="s">
        <v>1419</v>
      </c>
      <c r="H1150" s="89">
        <v>46101</v>
      </c>
      <c r="I1150" s="89">
        <v>46103</v>
      </c>
      <c r="N1150" t="s">
        <v>2370</v>
      </c>
    </row>
    <row r="1151" spans="1:14" hidden="1" x14ac:dyDescent="0.25">
      <c r="A1151" t="s">
        <v>1317</v>
      </c>
      <c r="B1151" t="s">
        <v>1331</v>
      </c>
      <c r="C1151" t="s">
        <v>2446</v>
      </c>
      <c r="D1151" t="s">
        <v>15</v>
      </c>
      <c r="F1151">
        <v>39</v>
      </c>
      <c r="G1151" t="s">
        <v>1419</v>
      </c>
      <c r="H1151" s="89">
        <v>46101</v>
      </c>
      <c r="I1151" s="89">
        <v>46103</v>
      </c>
      <c r="N1151" t="s">
        <v>2370</v>
      </c>
    </row>
    <row r="1152" spans="1:14" hidden="1" x14ac:dyDescent="0.25">
      <c r="A1152" t="s">
        <v>1318</v>
      </c>
      <c r="B1152" t="s">
        <v>1332</v>
      </c>
      <c r="C1152" t="s">
        <v>2447</v>
      </c>
      <c r="D1152" t="s">
        <v>15</v>
      </c>
      <c r="F1152">
        <v>42</v>
      </c>
      <c r="G1152" t="s">
        <v>1419</v>
      </c>
      <c r="H1152" s="89">
        <v>46101</v>
      </c>
      <c r="I1152" s="89">
        <v>46103</v>
      </c>
      <c r="N1152" t="s">
        <v>2370</v>
      </c>
    </row>
    <row r="1153" spans="1:14" hidden="1" x14ac:dyDescent="0.25">
      <c r="A1153" t="s">
        <v>1320</v>
      </c>
      <c r="B1153" t="s">
        <v>1334</v>
      </c>
      <c r="C1153" t="s">
        <v>2448</v>
      </c>
      <c r="D1153" t="s">
        <v>28</v>
      </c>
      <c r="F1153">
        <v>960</v>
      </c>
      <c r="G1153">
        <v>20</v>
      </c>
      <c r="H1153" s="89">
        <v>46102</v>
      </c>
      <c r="I1153" s="89">
        <v>46107</v>
      </c>
      <c r="J1153" t="s">
        <v>2449</v>
      </c>
      <c r="N1153" t="s">
        <v>2370</v>
      </c>
    </row>
    <row r="1154" spans="1:14" hidden="1" x14ac:dyDescent="0.25">
      <c r="A1154" t="s">
        <v>1316</v>
      </c>
      <c r="B1154" t="s">
        <v>1330</v>
      </c>
      <c r="C1154" t="s">
        <v>2450</v>
      </c>
      <c r="D1154" t="s">
        <v>28</v>
      </c>
      <c r="F1154">
        <v>209</v>
      </c>
      <c r="G1154" t="s">
        <v>1419</v>
      </c>
      <c r="H1154" s="89">
        <v>46102</v>
      </c>
      <c r="I1154" s="89">
        <v>46104</v>
      </c>
      <c r="N1154" t="s">
        <v>2370</v>
      </c>
    </row>
    <row r="1155" spans="1:14" hidden="1" x14ac:dyDescent="0.25">
      <c r="A1155" t="s">
        <v>1317</v>
      </c>
      <c r="B1155" t="s">
        <v>1331</v>
      </c>
      <c r="C1155" t="s">
        <v>2451</v>
      </c>
      <c r="D1155" t="s">
        <v>28</v>
      </c>
      <c r="F1155">
        <v>3</v>
      </c>
      <c r="G1155" t="s">
        <v>1419</v>
      </c>
      <c r="H1155" s="89">
        <v>46102</v>
      </c>
      <c r="I1155" s="89">
        <v>46104</v>
      </c>
      <c r="N1155" t="s">
        <v>2370</v>
      </c>
    </row>
    <row r="1156" spans="1:14" hidden="1" x14ac:dyDescent="0.25">
      <c r="A1156" t="s">
        <v>1318</v>
      </c>
      <c r="B1156" t="s">
        <v>1332</v>
      </c>
      <c r="C1156" t="s">
        <v>2452</v>
      </c>
      <c r="D1156" t="s">
        <v>28</v>
      </c>
      <c r="F1156">
        <v>67</v>
      </c>
      <c r="G1156" t="s">
        <v>1419</v>
      </c>
      <c r="H1156" s="89">
        <v>46102</v>
      </c>
      <c r="I1156" s="89">
        <v>46104</v>
      </c>
      <c r="N1156" t="s">
        <v>2370</v>
      </c>
    </row>
    <row r="1157" spans="1:14" hidden="1" x14ac:dyDescent="0.25">
      <c r="A1157" t="s">
        <v>1324</v>
      </c>
      <c r="B1157" t="s">
        <v>1338</v>
      </c>
      <c r="C1157" t="s">
        <v>2453</v>
      </c>
      <c r="D1157" t="s">
        <v>97</v>
      </c>
      <c r="F1157">
        <v>576</v>
      </c>
      <c r="G1157">
        <v>12</v>
      </c>
      <c r="H1157" s="89">
        <v>46102</v>
      </c>
      <c r="I1157" s="89">
        <v>46109</v>
      </c>
      <c r="J1157" t="s">
        <v>2454</v>
      </c>
      <c r="N1157" t="s">
        <v>2370</v>
      </c>
    </row>
    <row r="1158" spans="1:14" hidden="1" x14ac:dyDescent="0.25">
      <c r="A1158" t="s">
        <v>1324</v>
      </c>
      <c r="B1158" t="s">
        <v>1338</v>
      </c>
      <c r="C1158" t="s">
        <v>2455</v>
      </c>
      <c r="D1158" t="s">
        <v>88</v>
      </c>
      <c r="F1158">
        <v>576</v>
      </c>
      <c r="G1158">
        <v>12</v>
      </c>
      <c r="H1158" s="89">
        <v>46102</v>
      </c>
      <c r="I1158" s="89">
        <v>46109</v>
      </c>
      <c r="J1158" t="s">
        <v>2454</v>
      </c>
      <c r="N1158" t="s">
        <v>2370</v>
      </c>
    </row>
    <row r="1159" spans="1:14" hidden="1" x14ac:dyDescent="0.25">
      <c r="A1159" t="s">
        <v>1320</v>
      </c>
      <c r="B1159" t="s">
        <v>1334</v>
      </c>
      <c r="C1159" t="s">
        <v>2456</v>
      </c>
      <c r="D1159" t="s">
        <v>15</v>
      </c>
      <c r="F1159">
        <v>960</v>
      </c>
      <c r="G1159">
        <v>20</v>
      </c>
      <c r="H1159" s="89">
        <v>46102</v>
      </c>
      <c r="I1159" s="89">
        <v>46109</v>
      </c>
      <c r="J1159" t="s">
        <v>2457</v>
      </c>
      <c r="N1159" t="s">
        <v>2370</v>
      </c>
    </row>
    <row r="1160" spans="1:14" hidden="1" x14ac:dyDescent="0.25">
      <c r="A1160" t="s">
        <v>1313</v>
      </c>
      <c r="B1160" t="s">
        <v>1327</v>
      </c>
      <c r="C1160" t="s">
        <v>2456</v>
      </c>
      <c r="D1160" t="s">
        <v>15</v>
      </c>
      <c r="F1160">
        <v>528</v>
      </c>
      <c r="G1160">
        <v>11</v>
      </c>
      <c r="H1160" s="89">
        <v>46102</v>
      </c>
      <c r="I1160" s="89">
        <v>46106</v>
      </c>
      <c r="J1160" t="s">
        <v>2444</v>
      </c>
      <c r="N1160" t="s">
        <v>2370</v>
      </c>
    </row>
    <row r="1161" spans="1:14" hidden="1" x14ac:dyDescent="0.25">
      <c r="A1161" t="s">
        <v>1315</v>
      </c>
      <c r="B1161" t="s">
        <v>1329</v>
      </c>
      <c r="C1161" t="s">
        <v>2416</v>
      </c>
      <c r="D1161" t="s">
        <v>15</v>
      </c>
      <c r="F1161">
        <v>5</v>
      </c>
      <c r="G1161" t="s">
        <v>1419</v>
      </c>
      <c r="H1161" s="89">
        <v>46102</v>
      </c>
      <c r="I1161" s="89">
        <v>46102</v>
      </c>
      <c r="N1161" t="s">
        <v>2370</v>
      </c>
    </row>
    <row r="1162" spans="1:14" hidden="1" x14ac:dyDescent="0.25">
      <c r="A1162" t="s">
        <v>1316</v>
      </c>
      <c r="B1162" t="s">
        <v>1330</v>
      </c>
      <c r="C1162" t="s">
        <v>2458</v>
      </c>
      <c r="D1162" t="s">
        <v>15</v>
      </c>
      <c r="F1162">
        <v>101</v>
      </c>
      <c r="G1162" t="s">
        <v>1419</v>
      </c>
      <c r="H1162" s="89">
        <v>46102</v>
      </c>
      <c r="I1162" s="89">
        <v>46104</v>
      </c>
      <c r="N1162" t="s">
        <v>2370</v>
      </c>
    </row>
    <row r="1163" spans="1:14" hidden="1" x14ac:dyDescent="0.25">
      <c r="A1163" t="s">
        <v>1317</v>
      </c>
      <c r="B1163" t="s">
        <v>1331</v>
      </c>
      <c r="C1163" t="s">
        <v>2459</v>
      </c>
      <c r="D1163" t="s">
        <v>15</v>
      </c>
      <c r="F1163">
        <v>37</v>
      </c>
      <c r="G1163" t="s">
        <v>1419</v>
      </c>
      <c r="H1163" s="89">
        <v>46102</v>
      </c>
      <c r="I1163" s="89">
        <v>46104</v>
      </c>
      <c r="N1163" t="s">
        <v>2370</v>
      </c>
    </row>
    <row r="1164" spans="1:14" hidden="1" x14ac:dyDescent="0.25">
      <c r="A1164" t="s">
        <v>1318</v>
      </c>
      <c r="B1164" t="s">
        <v>1332</v>
      </c>
      <c r="C1164" t="s">
        <v>2460</v>
      </c>
      <c r="D1164" t="s">
        <v>15</v>
      </c>
      <c r="F1164">
        <v>53</v>
      </c>
      <c r="G1164" t="s">
        <v>1419</v>
      </c>
      <c r="H1164" s="89">
        <v>46102</v>
      </c>
      <c r="I1164" s="89">
        <v>46104</v>
      </c>
      <c r="N1164" t="s">
        <v>2370</v>
      </c>
    </row>
    <row r="1165" spans="1:14" hidden="1" x14ac:dyDescent="0.25">
      <c r="A1165" t="s">
        <v>1320</v>
      </c>
      <c r="B1165" t="s">
        <v>1334</v>
      </c>
      <c r="C1165" t="s">
        <v>2461</v>
      </c>
      <c r="D1165" t="s">
        <v>13</v>
      </c>
      <c r="F1165">
        <v>480</v>
      </c>
      <c r="G1165">
        <v>10</v>
      </c>
      <c r="H1165" s="89">
        <v>46102</v>
      </c>
      <c r="I1165" s="89">
        <v>46109</v>
      </c>
      <c r="J1165" t="s">
        <v>2462</v>
      </c>
      <c r="N1165" t="s">
        <v>2370</v>
      </c>
    </row>
    <row r="1166" spans="1:14" hidden="1" x14ac:dyDescent="0.25">
      <c r="A1166" t="s">
        <v>1320</v>
      </c>
      <c r="B1166" t="s">
        <v>1334</v>
      </c>
      <c r="C1166" t="s">
        <v>2463</v>
      </c>
      <c r="D1166" t="s">
        <v>152</v>
      </c>
      <c r="F1166">
        <v>480</v>
      </c>
      <c r="G1166">
        <v>10</v>
      </c>
      <c r="H1166" s="89">
        <v>46102</v>
      </c>
      <c r="I1166" s="89">
        <v>46109</v>
      </c>
      <c r="J1166" t="s">
        <v>2462</v>
      </c>
      <c r="N1166" t="s">
        <v>2370</v>
      </c>
    </row>
    <row r="1167" spans="1:14" hidden="1" x14ac:dyDescent="0.25">
      <c r="A1167" t="s">
        <v>1313</v>
      </c>
      <c r="B1167" t="s">
        <v>1327</v>
      </c>
      <c r="C1167" t="s">
        <v>2464</v>
      </c>
      <c r="D1167" t="s">
        <v>20</v>
      </c>
      <c r="F1167">
        <v>912</v>
      </c>
      <c r="G1167">
        <v>19</v>
      </c>
      <c r="H1167" s="89">
        <v>46102</v>
      </c>
      <c r="I1167" s="89">
        <v>46106</v>
      </c>
      <c r="J1167" t="s">
        <v>2438</v>
      </c>
      <c r="N1167" t="s">
        <v>2370</v>
      </c>
    </row>
    <row r="1168" spans="1:14" hidden="1" x14ac:dyDescent="0.25">
      <c r="A1168" t="s">
        <v>1313</v>
      </c>
      <c r="B1168" t="s">
        <v>1327</v>
      </c>
      <c r="C1168" t="s">
        <v>2464</v>
      </c>
      <c r="D1168" t="s">
        <v>20</v>
      </c>
      <c r="F1168">
        <v>384</v>
      </c>
      <c r="G1168">
        <v>8</v>
      </c>
      <c r="H1168" s="89">
        <v>46102</v>
      </c>
      <c r="I1168" s="89">
        <v>46107</v>
      </c>
      <c r="J1168" t="s">
        <v>2245</v>
      </c>
      <c r="N1168" t="s">
        <v>2370</v>
      </c>
    </row>
    <row r="1169" spans="1:14" hidden="1" x14ac:dyDescent="0.25">
      <c r="A1169" t="s">
        <v>1315</v>
      </c>
      <c r="B1169" t="s">
        <v>1329</v>
      </c>
      <c r="C1169" t="s">
        <v>2424</v>
      </c>
      <c r="D1169" t="s">
        <v>20</v>
      </c>
      <c r="F1169">
        <v>72</v>
      </c>
      <c r="G1169" t="s">
        <v>1419</v>
      </c>
      <c r="H1169" s="89">
        <v>46102</v>
      </c>
      <c r="I1169" s="89">
        <v>46102</v>
      </c>
      <c r="N1169" t="s">
        <v>2370</v>
      </c>
    </row>
    <row r="1170" spans="1:14" hidden="1" x14ac:dyDescent="0.25">
      <c r="A1170" t="s">
        <v>1316</v>
      </c>
      <c r="B1170" t="s">
        <v>1330</v>
      </c>
      <c r="C1170" t="s">
        <v>2465</v>
      </c>
      <c r="D1170" t="s">
        <v>20</v>
      </c>
      <c r="F1170">
        <v>231</v>
      </c>
      <c r="G1170" t="s">
        <v>1419</v>
      </c>
      <c r="H1170" s="89">
        <v>46102</v>
      </c>
      <c r="I1170" s="89">
        <v>46104</v>
      </c>
      <c r="N1170" t="s">
        <v>2370</v>
      </c>
    </row>
    <row r="1171" spans="1:14" hidden="1" x14ac:dyDescent="0.25">
      <c r="A1171" t="s">
        <v>1317</v>
      </c>
      <c r="B1171" t="s">
        <v>1331</v>
      </c>
      <c r="C1171" t="s">
        <v>2466</v>
      </c>
      <c r="D1171" t="s">
        <v>20</v>
      </c>
      <c r="F1171">
        <v>14</v>
      </c>
      <c r="G1171" t="s">
        <v>1419</v>
      </c>
      <c r="H1171" s="89">
        <v>46102</v>
      </c>
      <c r="I1171" s="89">
        <v>46104</v>
      </c>
      <c r="N1171" t="s">
        <v>2370</v>
      </c>
    </row>
    <row r="1172" spans="1:14" hidden="1" x14ac:dyDescent="0.25">
      <c r="A1172" t="s">
        <v>1318</v>
      </c>
      <c r="B1172" t="s">
        <v>1332</v>
      </c>
      <c r="C1172" t="s">
        <v>2467</v>
      </c>
      <c r="D1172" t="s">
        <v>20</v>
      </c>
      <c r="F1172">
        <v>64</v>
      </c>
      <c r="G1172" t="s">
        <v>1419</v>
      </c>
      <c r="H1172" s="89">
        <v>46102</v>
      </c>
      <c r="I1172" s="89">
        <v>46104</v>
      </c>
      <c r="N1172" t="s">
        <v>2370</v>
      </c>
    </row>
    <row r="1173" spans="1:14" hidden="1" x14ac:dyDescent="0.25">
      <c r="A1173" t="s">
        <v>1323</v>
      </c>
      <c r="B1173" t="s">
        <v>1337</v>
      </c>
      <c r="C1173" t="s">
        <v>2468</v>
      </c>
      <c r="D1173" t="s">
        <v>20</v>
      </c>
      <c r="F1173">
        <v>918</v>
      </c>
      <c r="G1173">
        <v>17</v>
      </c>
      <c r="H1173" s="89">
        <v>46125</v>
      </c>
      <c r="I1173" s="89">
        <v>46128</v>
      </c>
      <c r="J1173" t="s">
        <v>2469</v>
      </c>
      <c r="N1173" t="s">
        <v>2470</v>
      </c>
    </row>
    <row r="1174" spans="1:14" hidden="1" x14ac:dyDescent="0.25">
      <c r="A1174" t="s">
        <v>1322</v>
      </c>
      <c r="B1174" t="s">
        <v>1336</v>
      </c>
      <c r="C1174" t="s">
        <v>2468</v>
      </c>
      <c r="D1174" t="s">
        <v>20</v>
      </c>
      <c r="F1174">
        <v>162</v>
      </c>
      <c r="G1174">
        <v>3</v>
      </c>
      <c r="H1174" s="89">
        <v>46125</v>
      </c>
      <c r="I1174" s="89">
        <v>46128</v>
      </c>
      <c r="J1174" t="s">
        <v>2469</v>
      </c>
      <c r="N1174" t="s">
        <v>2470</v>
      </c>
    </row>
    <row r="1175" spans="1:14" hidden="1" x14ac:dyDescent="0.25">
      <c r="A1175" t="s">
        <v>1315</v>
      </c>
      <c r="B1175" t="s">
        <v>1329</v>
      </c>
      <c r="C1175" t="s">
        <v>2468</v>
      </c>
      <c r="D1175" t="s">
        <v>20</v>
      </c>
      <c r="F1175">
        <v>5</v>
      </c>
      <c r="G1175" t="s">
        <v>1419</v>
      </c>
      <c r="H1175" s="89">
        <v>46125</v>
      </c>
      <c r="I1175" s="89">
        <v>46125</v>
      </c>
      <c r="N1175" t="s">
        <v>2470</v>
      </c>
    </row>
    <row r="1176" spans="1:14" hidden="1" x14ac:dyDescent="0.25">
      <c r="A1176" t="s">
        <v>1444</v>
      </c>
      <c r="B1176" t="s">
        <v>1445</v>
      </c>
      <c r="C1176" t="s">
        <v>2468</v>
      </c>
      <c r="D1176" t="s">
        <v>20</v>
      </c>
      <c r="F1176">
        <v>30</v>
      </c>
      <c r="G1176" t="s">
        <v>1419</v>
      </c>
      <c r="H1176" s="89">
        <v>46125</v>
      </c>
      <c r="I1176" s="89">
        <v>46125</v>
      </c>
      <c r="N1176" t="s">
        <v>2470</v>
      </c>
    </row>
    <row r="1177" spans="1:14" hidden="1" x14ac:dyDescent="0.25">
      <c r="A1177" t="s">
        <v>1316</v>
      </c>
      <c r="B1177" t="s">
        <v>1330</v>
      </c>
      <c r="C1177" t="s">
        <v>2471</v>
      </c>
      <c r="D1177" t="s">
        <v>20</v>
      </c>
      <c r="F1177">
        <v>124</v>
      </c>
      <c r="G1177" t="s">
        <v>1419</v>
      </c>
      <c r="H1177" s="89">
        <v>46125</v>
      </c>
      <c r="I1177" s="89">
        <v>46127</v>
      </c>
      <c r="N1177" t="s">
        <v>2470</v>
      </c>
    </row>
    <row r="1178" spans="1:14" hidden="1" x14ac:dyDescent="0.25">
      <c r="A1178" t="s">
        <v>1317</v>
      </c>
      <c r="B1178" t="s">
        <v>1331</v>
      </c>
      <c r="C1178" t="s">
        <v>2472</v>
      </c>
      <c r="D1178" t="s">
        <v>20</v>
      </c>
      <c r="F1178">
        <v>7</v>
      </c>
      <c r="G1178" t="s">
        <v>1419</v>
      </c>
      <c r="H1178" s="89">
        <v>46125</v>
      </c>
      <c r="I1178" s="89">
        <v>46127</v>
      </c>
      <c r="N1178" t="s">
        <v>2470</v>
      </c>
    </row>
    <row r="1179" spans="1:14" hidden="1" x14ac:dyDescent="0.25">
      <c r="A1179" t="s">
        <v>1318</v>
      </c>
      <c r="B1179" t="s">
        <v>1332</v>
      </c>
      <c r="C1179" t="s">
        <v>2473</v>
      </c>
      <c r="D1179" t="s">
        <v>20</v>
      </c>
      <c r="F1179">
        <v>56</v>
      </c>
      <c r="G1179" t="s">
        <v>1419</v>
      </c>
      <c r="H1179" s="89">
        <v>46125</v>
      </c>
      <c r="I1179" s="89">
        <v>46127</v>
      </c>
      <c r="N1179" t="s">
        <v>2470</v>
      </c>
    </row>
    <row r="1180" spans="1:14" hidden="1" x14ac:dyDescent="0.25">
      <c r="A1180" t="s">
        <v>1320</v>
      </c>
      <c r="B1180" t="s">
        <v>1334</v>
      </c>
      <c r="C1180" t="s">
        <v>2474</v>
      </c>
      <c r="D1180" t="s">
        <v>15</v>
      </c>
      <c r="F1180">
        <v>384</v>
      </c>
      <c r="G1180">
        <v>8</v>
      </c>
      <c r="H1180" s="89">
        <v>46125</v>
      </c>
      <c r="I1180" s="89">
        <v>46128</v>
      </c>
      <c r="J1180" t="s">
        <v>2475</v>
      </c>
      <c r="N1180" t="s">
        <v>2470</v>
      </c>
    </row>
    <row r="1181" spans="1:14" hidden="1" x14ac:dyDescent="0.25">
      <c r="A1181" t="s">
        <v>1313</v>
      </c>
      <c r="B1181" t="s">
        <v>1327</v>
      </c>
      <c r="C1181" t="s">
        <v>2474</v>
      </c>
      <c r="D1181" t="s">
        <v>15</v>
      </c>
      <c r="F1181">
        <v>576</v>
      </c>
      <c r="G1181">
        <v>12</v>
      </c>
      <c r="H1181" s="89">
        <v>46125</v>
      </c>
      <c r="I1181" s="89">
        <v>46129</v>
      </c>
      <c r="J1181" t="s">
        <v>2476</v>
      </c>
      <c r="N1181" t="s">
        <v>2470</v>
      </c>
    </row>
    <row r="1182" spans="1:14" hidden="1" x14ac:dyDescent="0.25">
      <c r="A1182" t="s">
        <v>1319</v>
      </c>
      <c r="B1182" t="s">
        <v>1333</v>
      </c>
      <c r="C1182" t="s">
        <v>2474</v>
      </c>
      <c r="D1182" t="s">
        <v>15</v>
      </c>
      <c r="F1182">
        <v>48</v>
      </c>
      <c r="G1182">
        <v>1</v>
      </c>
      <c r="H1182" s="89">
        <v>46125</v>
      </c>
      <c r="I1182" s="89">
        <v>46129</v>
      </c>
      <c r="J1182" t="s">
        <v>2476</v>
      </c>
      <c r="N1182" t="s">
        <v>2470</v>
      </c>
    </row>
    <row r="1183" spans="1:14" hidden="1" x14ac:dyDescent="0.25">
      <c r="A1183" t="s">
        <v>1314</v>
      </c>
      <c r="B1183" t="s">
        <v>1328</v>
      </c>
      <c r="C1183" t="s">
        <v>2474</v>
      </c>
      <c r="D1183" t="s">
        <v>15</v>
      </c>
      <c r="F1183">
        <v>336</v>
      </c>
      <c r="G1183">
        <v>7</v>
      </c>
      <c r="H1183" s="89">
        <v>46125</v>
      </c>
      <c r="I1183" s="89">
        <v>46128</v>
      </c>
      <c r="J1183" t="s">
        <v>2477</v>
      </c>
      <c r="N1183" t="s">
        <v>2470</v>
      </c>
    </row>
    <row r="1184" spans="1:14" hidden="1" x14ac:dyDescent="0.25">
      <c r="A1184" t="s">
        <v>1315</v>
      </c>
      <c r="B1184" t="s">
        <v>1329</v>
      </c>
      <c r="C1184" t="s">
        <v>2474</v>
      </c>
      <c r="D1184" t="s">
        <v>15</v>
      </c>
      <c r="F1184">
        <v>16</v>
      </c>
      <c r="G1184" t="s">
        <v>1419</v>
      </c>
      <c r="H1184" s="89">
        <v>46125</v>
      </c>
      <c r="I1184" s="89">
        <v>46127</v>
      </c>
      <c r="N1184" t="s">
        <v>2470</v>
      </c>
    </row>
    <row r="1185" spans="1:14" hidden="1" x14ac:dyDescent="0.25">
      <c r="A1185" t="s">
        <v>1316</v>
      </c>
      <c r="B1185" t="s">
        <v>1330</v>
      </c>
      <c r="C1185" t="s">
        <v>2478</v>
      </c>
      <c r="D1185" t="s">
        <v>15</v>
      </c>
      <c r="F1185">
        <v>56</v>
      </c>
      <c r="G1185" t="s">
        <v>1419</v>
      </c>
      <c r="H1185" s="89">
        <v>46125</v>
      </c>
      <c r="I1185" s="89">
        <v>46127</v>
      </c>
      <c r="N1185" t="s">
        <v>2470</v>
      </c>
    </row>
    <row r="1186" spans="1:14" hidden="1" x14ac:dyDescent="0.25">
      <c r="A1186" t="s">
        <v>1317</v>
      </c>
      <c r="B1186" t="s">
        <v>1331</v>
      </c>
      <c r="C1186" t="s">
        <v>2479</v>
      </c>
      <c r="D1186" t="s">
        <v>15</v>
      </c>
      <c r="F1186">
        <v>22</v>
      </c>
      <c r="G1186" t="s">
        <v>1419</v>
      </c>
      <c r="H1186" s="89">
        <v>46125</v>
      </c>
      <c r="I1186" s="89">
        <v>46127</v>
      </c>
      <c r="N1186" t="s">
        <v>2470</v>
      </c>
    </row>
    <row r="1187" spans="1:14" hidden="1" x14ac:dyDescent="0.25">
      <c r="A1187" t="s">
        <v>1318</v>
      </c>
      <c r="B1187" t="s">
        <v>1332</v>
      </c>
      <c r="C1187" t="s">
        <v>2480</v>
      </c>
      <c r="D1187" t="s">
        <v>15</v>
      </c>
      <c r="F1187">
        <v>41</v>
      </c>
      <c r="G1187" t="s">
        <v>1419</v>
      </c>
      <c r="H1187" s="89">
        <v>46125</v>
      </c>
      <c r="I1187" s="89">
        <v>46127</v>
      </c>
      <c r="N1187" t="s">
        <v>2470</v>
      </c>
    </row>
    <row r="1188" spans="1:14" hidden="1" x14ac:dyDescent="0.25">
      <c r="A1188" t="s">
        <v>1320</v>
      </c>
      <c r="B1188" t="s">
        <v>1334</v>
      </c>
      <c r="C1188" t="s">
        <v>2481</v>
      </c>
      <c r="D1188" t="s">
        <v>118</v>
      </c>
      <c r="F1188">
        <v>480</v>
      </c>
      <c r="G1188">
        <v>10</v>
      </c>
      <c r="H1188" s="89">
        <v>46125</v>
      </c>
      <c r="I1188" s="89">
        <v>46128</v>
      </c>
      <c r="J1188" t="s">
        <v>2482</v>
      </c>
      <c r="N1188" t="s">
        <v>2470</v>
      </c>
    </row>
    <row r="1189" spans="1:14" hidden="1" x14ac:dyDescent="0.25">
      <c r="A1189" t="s">
        <v>1320</v>
      </c>
      <c r="B1189" t="s">
        <v>1334</v>
      </c>
      <c r="C1189" t="s">
        <v>2483</v>
      </c>
      <c r="D1189" t="s">
        <v>152</v>
      </c>
      <c r="F1189">
        <v>480</v>
      </c>
      <c r="G1189">
        <v>10</v>
      </c>
      <c r="H1189" s="89">
        <v>46125</v>
      </c>
      <c r="I1189" s="89">
        <v>46128</v>
      </c>
      <c r="J1189" t="s">
        <v>2482</v>
      </c>
      <c r="N1189" t="s">
        <v>2470</v>
      </c>
    </row>
    <row r="1190" spans="1:14" hidden="1" x14ac:dyDescent="0.25">
      <c r="A1190" t="s">
        <v>1320</v>
      </c>
      <c r="B1190" t="s">
        <v>1334</v>
      </c>
      <c r="C1190" t="s">
        <v>2484</v>
      </c>
      <c r="D1190" t="s">
        <v>21</v>
      </c>
      <c r="F1190">
        <v>960</v>
      </c>
      <c r="G1190">
        <v>20</v>
      </c>
      <c r="H1190" s="89">
        <v>46125</v>
      </c>
      <c r="I1190" s="89">
        <v>46129</v>
      </c>
      <c r="J1190" t="s">
        <v>2485</v>
      </c>
      <c r="N1190" t="s">
        <v>2470</v>
      </c>
    </row>
    <row r="1191" spans="1:14" hidden="1" x14ac:dyDescent="0.25">
      <c r="A1191" t="s">
        <v>1315</v>
      </c>
      <c r="B1191" t="s">
        <v>1329</v>
      </c>
      <c r="C1191" t="s">
        <v>2484</v>
      </c>
      <c r="D1191" t="s">
        <v>21</v>
      </c>
      <c r="F1191">
        <v>131</v>
      </c>
      <c r="G1191" t="s">
        <v>1419</v>
      </c>
      <c r="H1191" s="89">
        <v>46125</v>
      </c>
      <c r="I1191" s="89">
        <v>46127</v>
      </c>
      <c r="N1191" t="s">
        <v>2470</v>
      </c>
    </row>
    <row r="1192" spans="1:14" hidden="1" x14ac:dyDescent="0.25">
      <c r="A1192" t="s">
        <v>1316</v>
      </c>
      <c r="B1192" t="s">
        <v>1330</v>
      </c>
      <c r="C1192" t="s">
        <v>2486</v>
      </c>
      <c r="D1192" t="s">
        <v>21</v>
      </c>
      <c r="F1192">
        <v>5</v>
      </c>
      <c r="G1192" t="s">
        <v>1419</v>
      </c>
      <c r="H1192" s="89">
        <v>46125</v>
      </c>
      <c r="I1192" s="89">
        <v>46127</v>
      </c>
      <c r="N1192" t="s">
        <v>2470</v>
      </c>
    </row>
    <row r="1193" spans="1:14" hidden="1" x14ac:dyDescent="0.25">
      <c r="A1193" t="s">
        <v>1317</v>
      </c>
      <c r="B1193" t="s">
        <v>1331</v>
      </c>
      <c r="C1193" t="s">
        <v>2487</v>
      </c>
      <c r="D1193" t="s">
        <v>21</v>
      </c>
      <c r="F1193">
        <v>5</v>
      </c>
      <c r="G1193" t="s">
        <v>1419</v>
      </c>
      <c r="H1193" s="89">
        <v>46125</v>
      </c>
      <c r="I1193" s="89">
        <v>46127</v>
      </c>
      <c r="N1193" t="s">
        <v>2470</v>
      </c>
    </row>
    <row r="1194" spans="1:14" hidden="1" x14ac:dyDescent="0.25">
      <c r="A1194" t="s">
        <v>1318</v>
      </c>
      <c r="B1194" t="s">
        <v>1332</v>
      </c>
      <c r="C1194" t="s">
        <v>2488</v>
      </c>
      <c r="D1194" t="s">
        <v>21</v>
      </c>
      <c r="F1194">
        <v>77</v>
      </c>
      <c r="G1194" t="s">
        <v>1419</v>
      </c>
      <c r="H1194" s="89">
        <v>46125</v>
      </c>
      <c r="I1194" s="89">
        <v>46127</v>
      </c>
      <c r="N1194" t="s">
        <v>2470</v>
      </c>
    </row>
    <row r="1195" spans="1:14" hidden="1" x14ac:dyDescent="0.25">
      <c r="A1195" t="s">
        <v>1320</v>
      </c>
      <c r="B1195" t="s">
        <v>1334</v>
      </c>
      <c r="C1195" t="s">
        <v>2489</v>
      </c>
      <c r="D1195" t="s">
        <v>13</v>
      </c>
      <c r="F1195">
        <v>480</v>
      </c>
      <c r="G1195">
        <v>10</v>
      </c>
      <c r="H1195" s="89">
        <v>46126</v>
      </c>
      <c r="I1195" s="89">
        <v>46129</v>
      </c>
      <c r="J1195" t="s">
        <v>2490</v>
      </c>
      <c r="N1195" t="s">
        <v>2470</v>
      </c>
    </row>
    <row r="1196" spans="1:14" hidden="1" x14ac:dyDescent="0.25">
      <c r="A1196" t="s">
        <v>1320</v>
      </c>
      <c r="B1196" t="s">
        <v>1334</v>
      </c>
      <c r="C1196" t="s">
        <v>2491</v>
      </c>
      <c r="D1196" t="s">
        <v>118</v>
      </c>
      <c r="F1196">
        <v>480</v>
      </c>
      <c r="G1196">
        <v>10</v>
      </c>
      <c r="H1196" s="89">
        <v>46126</v>
      </c>
      <c r="I1196" s="89">
        <v>46129</v>
      </c>
      <c r="J1196" t="s">
        <v>2490</v>
      </c>
      <c r="N1196" t="s">
        <v>2470</v>
      </c>
    </row>
    <row r="1197" spans="1:14" hidden="1" x14ac:dyDescent="0.25">
      <c r="A1197" t="s">
        <v>1320</v>
      </c>
      <c r="B1197" t="s">
        <v>1334</v>
      </c>
      <c r="C1197" t="s">
        <v>2492</v>
      </c>
      <c r="D1197" t="s">
        <v>99</v>
      </c>
      <c r="F1197">
        <v>960</v>
      </c>
      <c r="G1197">
        <v>20</v>
      </c>
      <c r="H1197" s="89">
        <v>46126</v>
      </c>
      <c r="I1197" s="89">
        <v>46130</v>
      </c>
      <c r="J1197" t="s">
        <v>2493</v>
      </c>
      <c r="N1197" t="s">
        <v>2470</v>
      </c>
    </row>
    <row r="1198" spans="1:14" hidden="1" x14ac:dyDescent="0.25">
      <c r="A1198" t="s">
        <v>1320</v>
      </c>
      <c r="B1198" t="s">
        <v>1334</v>
      </c>
      <c r="C1198" t="s">
        <v>2494</v>
      </c>
      <c r="D1198" t="s">
        <v>15</v>
      </c>
      <c r="F1198">
        <v>480</v>
      </c>
      <c r="G1198">
        <v>10</v>
      </c>
      <c r="H1198" s="89">
        <v>46126</v>
      </c>
      <c r="I1198" s="89">
        <v>46132</v>
      </c>
      <c r="J1198" t="s">
        <v>2495</v>
      </c>
      <c r="N1198" t="s">
        <v>2470</v>
      </c>
    </row>
    <row r="1199" spans="1:14" hidden="1" x14ac:dyDescent="0.25">
      <c r="A1199" t="s">
        <v>1320</v>
      </c>
      <c r="B1199" t="s">
        <v>1334</v>
      </c>
      <c r="C1199" t="s">
        <v>2494</v>
      </c>
      <c r="D1199" t="s">
        <v>15</v>
      </c>
      <c r="F1199">
        <v>960</v>
      </c>
      <c r="G1199">
        <v>20</v>
      </c>
      <c r="H1199" s="89">
        <v>46126</v>
      </c>
      <c r="I1199" s="89">
        <v>46130</v>
      </c>
      <c r="J1199" t="s">
        <v>2496</v>
      </c>
      <c r="N1199" t="s">
        <v>2470</v>
      </c>
    </row>
    <row r="1200" spans="1:14" hidden="1" x14ac:dyDescent="0.25">
      <c r="A1200" t="s">
        <v>1313</v>
      </c>
      <c r="B1200" t="s">
        <v>1327</v>
      </c>
      <c r="C1200" t="s">
        <v>2494</v>
      </c>
      <c r="D1200" t="s">
        <v>15</v>
      </c>
      <c r="F1200">
        <v>96</v>
      </c>
      <c r="G1200">
        <v>2</v>
      </c>
      <c r="H1200" s="89">
        <v>46126</v>
      </c>
      <c r="I1200" s="89">
        <v>46132</v>
      </c>
      <c r="N1200" t="s">
        <v>2470</v>
      </c>
    </row>
    <row r="1201" spans="1:14" hidden="1" x14ac:dyDescent="0.25">
      <c r="A1201" t="s">
        <v>1315</v>
      </c>
      <c r="B1201" t="s">
        <v>1329</v>
      </c>
      <c r="C1201" t="s">
        <v>2494</v>
      </c>
      <c r="D1201" t="s">
        <v>15</v>
      </c>
      <c r="F1201">
        <v>61</v>
      </c>
      <c r="G1201" t="s">
        <v>1419</v>
      </c>
      <c r="H1201" s="89">
        <v>46126</v>
      </c>
      <c r="I1201" s="89">
        <v>46128</v>
      </c>
      <c r="N1201" t="s">
        <v>2470</v>
      </c>
    </row>
    <row r="1202" spans="1:14" hidden="1" x14ac:dyDescent="0.25">
      <c r="A1202" t="s">
        <v>1316</v>
      </c>
      <c r="B1202" t="s">
        <v>1330</v>
      </c>
      <c r="C1202" t="s">
        <v>2497</v>
      </c>
      <c r="D1202" t="s">
        <v>15</v>
      </c>
      <c r="F1202">
        <v>71</v>
      </c>
      <c r="G1202" t="s">
        <v>1419</v>
      </c>
      <c r="H1202" s="89">
        <v>46126</v>
      </c>
      <c r="I1202" s="89">
        <v>46128</v>
      </c>
      <c r="N1202" t="s">
        <v>2470</v>
      </c>
    </row>
    <row r="1203" spans="1:14" hidden="1" x14ac:dyDescent="0.25">
      <c r="A1203" t="s">
        <v>1317</v>
      </c>
      <c r="B1203" t="s">
        <v>1331</v>
      </c>
      <c r="C1203" t="s">
        <v>2498</v>
      </c>
      <c r="D1203" t="s">
        <v>15</v>
      </c>
      <c r="F1203">
        <v>10</v>
      </c>
      <c r="G1203" t="s">
        <v>1419</v>
      </c>
      <c r="H1203" s="89">
        <v>46126</v>
      </c>
      <c r="I1203" s="89">
        <v>46128</v>
      </c>
      <c r="N1203" t="s">
        <v>2470</v>
      </c>
    </row>
    <row r="1204" spans="1:14" hidden="1" x14ac:dyDescent="0.25">
      <c r="A1204" t="s">
        <v>1318</v>
      </c>
      <c r="B1204" t="s">
        <v>1332</v>
      </c>
      <c r="C1204" t="s">
        <v>2499</v>
      </c>
      <c r="D1204" t="s">
        <v>15</v>
      </c>
      <c r="F1204">
        <v>59</v>
      </c>
      <c r="G1204" t="s">
        <v>1419</v>
      </c>
      <c r="H1204" s="89">
        <v>46126</v>
      </c>
      <c r="I1204" s="89">
        <v>46128</v>
      </c>
      <c r="N1204" t="s">
        <v>2470</v>
      </c>
    </row>
    <row r="1205" spans="1:14" hidden="1" x14ac:dyDescent="0.25">
      <c r="A1205" t="s">
        <v>1324</v>
      </c>
      <c r="B1205" t="s">
        <v>1338</v>
      </c>
      <c r="C1205" t="s">
        <v>2500</v>
      </c>
      <c r="D1205" t="s">
        <v>23</v>
      </c>
      <c r="F1205">
        <v>960</v>
      </c>
      <c r="G1205">
        <v>20</v>
      </c>
      <c r="H1205" s="89">
        <v>46126</v>
      </c>
      <c r="I1205" s="89">
        <v>46133</v>
      </c>
      <c r="J1205" t="s">
        <v>2501</v>
      </c>
      <c r="N1205" t="s">
        <v>2470</v>
      </c>
    </row>
    <row r="1206" spans="1:14" hidden="1" x14ac:dyDescent="0.25">
      <c r="A1206" t="s">
        <v>1324</v>
      </c>
      <c r="B1206" t="s">
        <v>1338</v>
      </c>
      <c r="C1206" t="s">
        <v>2502</v>
      </c>
      <c r="D1206" t="s">
        <v>21</v>
      </c>
      <c r="F1206">
        <v>816</v>
      </c>
      <c r="G1206">
        <v>17</v>
      </c>
      <c r="H1206" s="89">
        <v>46126</v>
      </c>
      <c r="I1206" s="89">
        <v>46133</v>
      </c>
      <c r="J1206" t="s">
        <v>2501</v>
      </c>
      <c r="N1206" t="s">
        <v>2470</v>
      </c>
    </row>
    <row r="1207" spans="1:14" hidden="1" x14ac:dyDescent="0.25">
      <c r="A1207" t="s">
        <v>1313</v>
      </c>
      <c r="B1207" t="s">
        <v>1327</v>
      </c>
      <c r="C1207" t="s">
        <v>2502</v>
      </c>
      <c r="D1207" t="s">
        <v>21</v>
      </c>
      <c r="F1207">
        <v>144</v>
      </c>
      <c r="G1207">
        <v>3</v>
      </c>
      <c r="H1207" s="89">
        <v>46126</v>
      </c>
      <c r="I1207" s="89">
        <v>46132</v>
      </c>
      <c r="N1207" t="s">
        <v>2470</v>
      </c>
    </row>
    <row r="1208" spans="1:14" hidden="1" x14ac:dyDescent="0.25">
      <c r="A1208" t="s">
        <v>1315</v>
      </c>
      <c r="B1208" t="s">
        <v>1329</v>
      </c>
      <c r="C1208" t="s">
        <v>2502</v>
      </c>
      <c r="D1208" t="s">
        <v>21</v>
      </c>
      <c r="F1208">
        <v>90</v>
      </c>
      <c r="G1208" t="s">
        <v>1419</v>
      </c>
      <c r="H1208" s="89">
        <v>46126</v>
      </c>
      <c r="I1208" s="89">
        <v>46128</v>
      </c>
      <c r="N1208" t="s">
        <v>2470</v>
      </c>
    </row>
    <row r="1209" spans="1:14" hidden="1" x14ac:dyDescent="0.25">
      <c r="A1209" t="s">
        <v>1316</v>
      </c>
      <c r="B1209" t="s">
        <v>1330</v>
      </c>
      <c r="C1209" t="s">
        <v>2503</v>
      </c>
      <c r="D1209" t="s">
        <v>21</v>
      </c>
      <c r="F1209">
        <v>12</v>
      </c>
      <c r="G1209" t="s">
        <v>1419</v>
      </c>
      <c r="H1209" s="89">
        <v>46126</v>
      </c>
      <c r="I1209" s="89">
        <v>46128</v>
      </c>
      <c r="N1209" t="s">
        <v>2470</v>
      </c>
    </row>
    <row r="1210" spans="1:14" hidden="1" x14ac:dyDescent="0.25">
      <c r="A1210" t="s">
        <v>1317</v>
      </c>
      <c r="B1210" t="s">
        <v>1331</v>
      </c>
      <c r="C1210" t="s">
        <v>2504</v>
      </c>
      <c r="D1210" t="s">
        <v>21</v>
      </c>
      <c r="F1210">
        <v>4</v>
      </c>
      <c r="G1210" t="s">
        <v>1419</v>
      </c>
      <c r="H1210" s="89">
        <v>46126</v>
      </c>
      <c r="I1210" s="89">
        <v>46128</v>
      </c>
      <c r="N1210" t="s">
        <v>2470</v>
      </c>
    </row>
    <row r="1211" spans="1:14" hidden="1" x14ac:dyDescent="0.25">
      <c r="A1211" t="s">
        <v>1318</v>
      </c>
      <c r="B1211" t="s">
        <v>1332</v>
      </c>
      <c r="C1211" t="s">
        <v>2505</v>
      </c>
      <c r="D1211" t="s">
        <v>21</v>
      </c>
      <c r="F1211">
        <v>24</v>
      </c>
      <c r="G1211" t="s">
        <v>1419</v>
      </c>
      <c r="H1211" s="89">
        <v>46126</v>
      </c>
      <c r="I1211" s="89">
        <v>46128</v>
      </c>
      <c r="N1211" t="s">
        <v>2470</v>
      </c>
    </row>
    <row r="1212" spans="1:14" hidden="1" x14ac:dyDescent="0.25">
      <c r="A1212" t="s">
        <v>1321</v>
      </c>
      <c r="B1212" t="s">
        <v>1335</v>
      </c>
      <c r="C1212" t="s">
        <v>2506</v>
      </c>
      <c r="D1212" t="s">
        <v>138</v>
      </c>
      <c r="F1212">
        <v>144</v>
      </c>
      <c r="G1212">
        <v>3</v>
      </c>
      <c r="H1212" s="89">
        <v>46126</v>
      </c>
      <c r="I1212" s="89">
        <v>46133</v>
      </c>
      <c r="J1212" t="s">
        <v>2501</v>
      </c>
      <c r="N1212" t="s">
        <v>2470</v>
      </c>
    </row>
    <row r="1213" spans="1:14" hidden="1" x14ac:dyDescent="0.25">
      <c r="A1213" t="s">
        <v>1313</v>
      </c>
      <c r="B1213" t="s">
        <v>1327</v>
      </c>
      <c r="C1213" t="s">
        <v>2507</v>
      </c>
      <c r="D1213" t="s">
        <v>20</v>
      </c>
      <c r="F1213">
        <v>1152</v>
      </c>
      <c r="G1213">
        <v>24</v>
      </c>
      <c r="H1213" s="89">
        <v>46126</v>
      </c>
      <c r="I1213" s="89">
        <v>46130</v>
      </c>
      <c r="J1213" t="s">
        <v>2508</v>
      </c>
      <c r="N1213" t="s">
        <v>2470</v>
      </c>
    </row>
    <row r="1214" spans="1:14" hidden="1" x14ac:dyDescent="0.25">
      <c r="A1214" t="s">
        <v>1315</v>
      </c>
      <c r="B1214" t="s">
        <v>1329</v>
      </c>
      <c r="C1214" t="s">
        <v>2507</v>
      </c>
      <c r="D1214" t="s">
        <v>20</v>
      </c>
      <c r="F1214">
        <v>48</v>
      </c>
      <c r="G1214" t="s">
        <v>1419</v>
      </c>
      <c r="H1214" s="89">
        <v>46126</v>
      </c>
      <c r="I1214" s="89">
        <v>46132</v>
      </c>
      <c r="N1214" t="s">
        <v>2470</v>
      </c>
    </row>
    <row r="1215" spans="1:14" hidden="1" x14ac:dyDescent="0.25">
      <c r="A1215" t="s">
        <v>1316</v>
      </c>
      <c r="B1215" t="s">
        <v>1330</v>
      </c>
      <c r="C1215" t="s">
        <v>2509</v>
      </c>
      <c r="D1215" t="s">
        <v>20</v>
      </c>
      <c r="F1215">
        <v>160</v>
      </c>
      <c r="G1215" t="s">
        <v>1419</v>
      </c>
      <c r="H1215" s="89">
        <v>46126</v>
      </c>
      <c r="I1215" s="89">
        <v>46128</v>
      </c>
      <c r="N1215" t="s">
        <v>2470</v>
      </c>
    </row>
    <row r="1216" spans="1:14" hidden="1" x14ac:dyDescent="0.25">
      <c r="A1216" t="s">
        <v>1317</v>
      </c>
      <c r="B1216" t="s">
        <v>1331</v>
      </c>
      <c r="C1216" t="s">
        <v>2510</v>
      </c>
      <c r="D1216" t="s">
        <v>20</v>
      </c>
      <c r="F1216">
        <v>15</v>
      </c>
      <c r="G1216" t="s">
        <v>1419</v>
      </c>
      <c r="H1216" s="89">
        <v>46126</v>
      </c>
      <c r="I1216" s="89">
        <v>46128</v>
      </c>
      <c r="N1216" t="s">
        <v>2470</v>
      </c>
    </row>
    <row r="1217" spans="1:14" hidden="1" x14ac:dyDescent="0.25">
      <c r="A1217" t="s">
        <v>1318</v>
      </c>
      <c r="B1217" t="s">
        <v>1332</v>
      </c>
      <c r="C1217" t="s">
        <v>2511</v>
      </c>
      <c r="D1217" t="s">
        <v>20</v>
      </c>
      <c r="F1217">
        <v>69</v>
      </c>
      <c r="G1217" t="s">
        <v>1419</v>
      </c>
      <c r="H1217" s="89">
        <v>46126</v>
      </c>
      <c r="I1217" s="89">
        <v>46128</v>
      </c>
      <c r="N1217" t="s">
        <v>2470</v>
      </c>
    </row>
    <row r="1218" spans="1:14" hidden="1" x14ac:dyDescent="0.25">
      <c r="A1218" t="s">
        <v>1325</v>
      </c>
      <c r="B1218" t="s">
        <v>1339</v>
      </c>
      <c r="C1218" t="s">
        <v>2506</v>
      </c>
      <c r="D1218" t="s">
        <v>138</v>
      </c>
      <c r="F1218">
        <v>240</v>
      </c>
      <c r="G1218">
        <v>5</v>
      </c>
      <c r="H1218" s="89">
        <v>46126</v>
      </c>
      <c r="I1218" s="89">
        <v>46128</v>
      </c>
      <c r="N1218" t="s">
        <v>2470</v>
      </c>
    </row>
    <row r="1219" spans="1:14" hidden="1" x14ac:dyDescent="0.25">
      <c r="A1219" t="s">
        <v>1323</v>
      </c>
      <c r="B1219" t="s">
        <v>1337</v>
      </c>
      <c r="C1219" t="s">
        <v>2512</v>
      </c>
      <c r="D1219" t="s">
        <v>20</v>
      </c>
      <c r="F1219">
        <v>918</v>
      </c>
      <c r="G1219">
        <v>17</v>
      </c>
      <c r="H1219" s="89">
        <v>46127</v>
      </c>
      <c r="I1219" s="89">
        <v>46130</v>
      </c>
      <c r="J1219" t="s">
        <v>2513</v>
      </c>
      <c r="N1219" t="s">
        <v>2470</v>
      </c>
    </row>
    <row r="1220" spans="1:14" hidden="1" x14ac:dyDescent="0.25">
      <c r="A1220" t="s">
        <v>1322</v>
      </c>
      <c r="B1220" t="s">
        <v>1336</v>
      </c>
      <c r="C1220" t="s">
        <v>2512</v>
      </c>
      <c r="D1220" t="s">
        <v>20</v>
      </c>
      <c r="F1220">
        <v>162</v>
      </c>
      <c r="G1220">
        <v>3</v>
      </c>
      <c r="H1220" s="89">
        <v>46127</v>
      </c>
      <c r="I1220" s="89">
        <v>46130</v>
      </c>
      <c r="J1220" t="s">
        <v>2513</v>
      </c>
      <c r="N1220" t="s">
        <v>2470</v>
      </c>
    </row>
    <row r="1221" spans="1:14" hidden="1" x14ac:dyDescent="0.25">
      <c r="A1221" t="s">
        <v>1315</v>
      </c>
      <c r="B1221" t="s">
        <v>1329</v>
      </c>
      <c r="C1221" t="s">
        <v>2512</v>
      </c>
      <c r="D1221" t="s">
        <v>20</v>
      </c>
      <c r="F1221">
        <v>161</v>
      </c>
      <c r="G1221" t="s">
        <v>1419</v>
      </c>
      <c r="H1221" s="89">
        <v>46127</v>
      </c>
      <c r="I1221" s="89">
        <v>46127</v>
      </c>
      <c r="N1221" t="s">
        <v>2470</v>
      </c>
    </row>
    <row r="1222" spans="1:14" hidden="1" x14ac:dyDescent="0.25">
      <c r="A1222" t="s">
        <v>1316</v>
      </c>
      <c r="B1222" t="s">
        <v>1330</v>
      </c>
      <c r="C1222" t="s">
        <v>2514</v>
      </c>
      <c r="D1222" t="s">
        <v>20</v>
      </c>
      <c r="F1222">
        <v>183</v>
      </c>
      <c r="G1222" t="s">
        <v>1419</v>
      </c>
      <c r="H1222" s="89">
        <v>46127</v>
      </c>
      <c r="I1222" s="89">
        <v>46129</v>
      </c>
      <c r="N1222" t="s">
        <v>2470</v>
      </c>
    </row>
    <row r="1223" spans="1:14" hidden="1" x14ac:dyDescent="0.25">
      <c r="A1223" t="s">
        <v>1317</v>
      </c>
      <c r="B1223" t="s">
        <v>1331</v>
      </c>
      <c r="C1223" t="s">
        <v>2515</v>
      </c>
      <c r="D1223" t="s">
        <v>20</v>
      </c>
      <c r="F1223">
        <v>6</v>
      </c>
      <c r="G1223" t="s">
        <v>1419</v>
      </c>
      <c r="H1223" s="89">
        <v>46127</v>
      </c>
      <c r="I1223" s="89">
        <v>46129</v>
      </c>
      <c r="N1223" t="s">
        <v>2470</v>
      </c>
    </row>
    <row r="1224" spans="1:14" hidden="1" x14ac:dyDescent="0.25">
      <c r="A1224" t="s">
        <v>1318</v>
      </c>
      <c r="B1224" t="s">
        <v>1332</v>
      </c>
      <c r="C1224" t="s">
        <v>2516</v>
      </c>
      <c r="D1224" t="s">
        <v>20</v>
      </c>
      <c r="F1224">
        <v>54</v>
      </c>
      <c r="G1224" t="s">
        <v>1419</v>
      </c>
      <c r="H1224" s="89">
        <v>46127</v>
      </c>
      <c r="I1224" s="89">
        <v>46129</v>
      </c>
      <c r="N1224" t="s">
        <v>2470</v>
      </c>
    </row>
    <row r="1225" spans="1:14" hidden="1" x14ac:dyDescent="0.25">
      <c r="A1225" t="s">
        <v>1313</v>
      </c>
      <c r="B1225" t="s">
        <v>1327</v>
      </c>
      <c r="C1225" t="s">
        <v>2517</v>
      </c>
      <c r="D1225" t="s">
        <v>15</v>
      </c>
      <c r="F1225">
        <v>1104</v>
      </c>
      <c r="G1225">
        <v>23</v>
      </c>
      <c r="H1225" s="89">
        <v>46127</v>
      </c>
      <c r="I1225" s="89">
        <v>46132</v>
      </c>
      <c r="J1225" t="s">
        <v>2518</v>
      </c>
      <c r="N1225" t="s">
        <v>2470</v>
      </c>
    </row>
    <row r="1226" spans="1:14" hidden="1" x14ac:dyDescent="0.25">
      <c r="A1226" t="s">
        <v>1320</v>
      </c>
      <c r="B1226" t="s">
        <v>1334</v>
      </c>
      <c r="C1226" t="s">
        <v>2517</v>
      </c>
      <c r="D1226" t="s">
        <v>15</v>
      </c>
      <c r="F1226">
        <v>480</v>
      </c>
      <c r="G1226">
        <v>10</v>
      </c>
      <c r="H1226" s="89">
        <v>46127</v>
      </c>
      <c r="I1226" s="89">
        <v>46132</v>
      </c>
      <c r="J1226" t="s">
        <v>2495</v>
      </c>
      <c r="N1226" t="s">
        <v>2470</v>
      </c>
    </row>
    <row r="1227" spans="1:14" hidden="1" x14ac:dyDescent="0.25">
      <c r="A1227" t="s">
        <v>1315</v>
      </c>
      <c r="B1227" t="s">
        <v>1329</v>
      </c>
      <c r="C1227" t="s">
        <v>2517</v>
      </c>
      <c r="D1227" t="s">
        <v>15</v>
      </c>
      <c r="F1227">
        <v>20</v>
      </c>
      <c r="G1227" t="s">
        <v>1419</v>
      </c>
      <c r="H1227" s="89">
        <v>46127</v>
      </c>
      <c r="I1227" s="89">
        <v>46129</v>
      </c>
      <c r="N1227" t="s">
        <v>2470</v>
      </c>
    </row>
    <row r="1228" spans="1:14" hidden="1" x14ac:dyDescent="0.25">
      <c r="A1228" t="s">
        <v>1316</v>
      </c>
      <c r="B1228" t="s">
        <v>1330</v>
      </c>
      <c r="C1228" t="s">
        <v>2519</v>
      </c>
      <c r="D1228" t="s">
        <v>15</v>
      </c>
      <c r="F1228">
        <v>69</v>
      </c>
      <c r="G1228" t="s">
        <v>1419</v>
      </c>
      <c r="H1228" s="89">
        <v>46127</v>
      </c>
      <c r="I1228" s="89">
        <v>46129</v>
      </c>
      <c r="N1228" t="s">
        <v>2470</v>
      </c>
    </row>
    <row r="1229" spans="1:14" hidden="1" x14ac:dyDescent="0.25">
      <c r="A1229" t="s">
        <v>1317</v>
      </c>
      <c r="B1229" t="s">
        <v>1331</v>
      </c>
      <c r="C1229" t="s">
        <v>2520</v>
      </c>
      <c r="D1229" t="s">
        <v>15</v>
      </c>
      <c r="F1229">
        <v>25</v>
      </c>
      <c r="G1229" t="s">
        <v>1419</v>
      </c>
      <c r="H1229" s="89">
        <v>46127</v>
      </c>
      <c r="I1229" s="89">
        <v>46129</v>
      </c>
      <c r="N1229" t="s">
        <v>2470</v>
      </c>
    </row>
    <row r="1230" spans="1:14" hidden="1" x14ac:dyDescent="0.25">
      <c r="A1230" t="s">
        <v>1318</v>
      </c>
      <c r="B1230" t="s">
        <v>1332</v>
      </c>
      <c r="C1230" t="s">
        <v>2521</v>
      </c>
      <c r="D1230" t="s">
        <v>15</v>
      </c>
      <c r="F1230">
        <v>55</v>
      </c>
      <c r="G1230" t="s">
        <v>1419</v>
      </c>
      <c r="H1230" s="89">
        <v>46127</v>
      </c>
      <c r="I1230" s="89">
        <v>46129</v>
      </c>
      <c r="N1230" t="s">
        <v>2470</v>
      </c>
    </row>
    <row r="1231" spans="1:14" hidden="1" x14ac:dyDescent="0.25">
      <c r="A1231" t="s">
        <v>1313</v>
      </c>
      <c r="B1231" t="s">
        <v>1327</v>
      </c>
      <c r="C1231" t="s">
        <v>2522</v>
      </c>
      <c r="D1231" t="s">
        <v>21</v>
      </c>
      <c r="F1231">
        <v>864</v>
      </c>
      <c r="G1231">
        <v>18</v>
      </c>
      <c r="H1231" s="89">
        <v>46127</v>
      </c>
      <c r="I1231" s="89">
        <v>46131</v>
      </c>
      <c r="J1231" t="s">
        <v>2523</v>
      </c>
      <c r="N1231" t="s">
        <v>2470</v>
      </c>
    </row>
    <row r="1232" spans="1:14" hidden="1" x14ac:dyDescent="0.25">
      <c r="A1232" t="s">
        <v>1314</v>
      </c>
      <c r="B1232" t="s">
        <v>1328</v>
      </c>
      <c r="C1232" t="s">
        <v>2522</v>
      </c>
      <c r="D1232" t="s">
        <v>21</v>
      </c>
      <c r="F1232">
        <v>288</v>
      </c>
      <c r="G1232">
        <v>6</v>
      </c>
      <c r="H1232" s="89">
        <v>46127</v>
      </c>
      <c r="I1232" s="89">
        <v>46131</v>
      </c>
      <c r="J1232" t="s">
        <v>2524</v>
      </c>
      <c r="N1232" t="s">
        <v>2470</v>
      </c>
    </row>
    <row r="1233" spans="1:14" hidden="1" x14ac:dyDescent="0.25">
      <c r="A1233" t="s">
        <v>1315</v>
      </c>
      <c r="B1233" t="s">
        <v>1329</v>
      </c>
      <c r="C1233" t="s">
        <v>2522</v>
      </c>
      <c r="D1233" t="s">
        <v>21</v>
      </c>
      <c r="F1233">
        <v>71</v>
      </c>
      <c r="G1233" t="s">
        <v>1419</v>
      </c>
      <c r="H1233" s="89">
        <v>46127</v>
      </c>
      <c r="I1233" s="89">
        <v>46129</v>
      </c>
      <c r="N1233" t="s">
        <v>2470</v>
      </c>
    </row>
    <row r="1234" spans="1:14" hidden="1" x14ac:dyDescent="0.25">
      <c r="A1234" t="s">
        <v>1316</v>
      </c>
      <c r="B1234" t="s">
        <v>1330</v>
      </c>
      <c r="C1234" t="s">
        <v>2525</v>
      </c>
      <c r="D1234" t="s">
        <v>21</v>
      </c>
      <c r="F1234">
        <v>60</v>
      </c>
      <c r="G1234" t="s">
        <v>1419</v>
      </c>
      <c r="H1234" s="89">
        <v>46127</v>
      </c>
      <c r="I1234" s="89">
        <v>46129</v>
      </c>
      <c r="N1234" t="s">
        <v>2470</v>
      </c>
    </row>
    <row r="1235" spans="1:14" hidden="1" x14ac:dyDescent="0.25">
      <c r="A1235" t="s">
        <v>1317</v>
      </c>
      <c r="B1235" t="s">
        <v>1331</v>
      </c>
      <c r="C1235" t="s">
        <v>2526</v>
      </c>
      <c r="D1235" t="s">
        <v>21</v>
      </c>
      <c r="F1235">
        <v>5</v>
      </c>
      <c r="G1235" t="s">
        <v>1419</v>
      </c>
      <c r="H1235" s="89">
        <v>46127</v>
      </c>
      <c r="I1235" s="89">
        <v>46129</v>
      </c>
      <c r="N1235" t="s">
        <v>2470</v>
      </c>
    </row>
    <row r="1236" spans="1:14" hidden="1" x14ac:dyDescent="0.25">
      <c r="A1236" t="s">
        <v>1318</v>
      </c>
      <c r="B1236" t="s">
        <v>1332</v>
      </c>
      <c r="C1236" t="s">
        <v>2527</v>
      </c>
      <c r="D1236" t="s">
        <v>21</v>
      </c>
      <c r="F1236">
        <v>61</v>
      </c>
      <c r="G1236" t="s">
        <v>1419</v>
      </c>
      <c r="H1236" s="89">
        <v>46127</v>
      </c>
      <c r="I1236" s="89">
        <v>46129</v>
      </c>
      <c r="N1236" t="s">
        <v>2470</v>
      </c>
    </row>
    <row r="1237" spans="1:14" hidden="1" x14ac:dyDescent="0.25">
      <c r="A1237" t="s">
        <v>1320</v>
      </c>
      <c r="B1237" t="s">
        <v>1334</v>
      </c>
      <c r="C1237" t="s">
        <v>2528</v>
      </c>
      <c r="D1237" t="s">
        <v>23</v>
      </c>
      <c r="F1237">
        <v>960</v>
      </c>
      <c r="G1237">
        <v>20</v>
      </c>
      <c r="H1237" s="89">
        <v>46127</v>
      </c>
      <c r="I1237" s="89">
        <v>46133</v>
      </c>
      <c r="J1237" t="s">
        <v>2529</v>
      </c>
      <c r="N1237" t="s">
        <v>2470</v>
      </c>
    </row>
    <row r="1238" spans="1:14" hidden="1" x14ac:dyDescent="0.25">
      <c r="A1238" t="s">
        <v>1320</v>
      </c>
      <c r="B1238" t="s">
        <v>1334</v>
      </c>
      <c r="C1238" t="s">
        <v>2530</v>
      </c>
      <c r="D1238" t="s">
        <v>144</v>
      </c>
      <c r="F1238">
        <v>960</v>
      </c>
      <c r="G1238">
        <v>20</v>
      </c>
      <c r="H1238" s="89">
        <v>46127</v>
      </c>
      <c r="I1238" s="89">
        <v>46132</v>
      </c>
      <c r="J1238" t="s">
        <v>2531</v>
      </c>
      <c r="N1238" t="s">
        <v>2470</v>
      </c>
    </row>
    <row r="1239" spans="1:14" hidden="1" x14ac:dyDescent="0.25">
      <c r="A1239" t="s">
        <v>1324</v>
      </c>
      <c r="B1239" t="s">
        <v>1338</v>
      </c>
      <c r="C1239" t="s">
        <v>2532</v>
      </c>
      <c r="D1239" t="s">
        <v>23</v>
      </c>
      <c r="F1239">
        <v>960</v>
      </c>
      <c r="G1239">
        <v>20</v>
      </c>
      <c r="H1239" s="89">
        <v>46128</v>
      </c>
      <c r="I1239" s="89">
        <v>46134</v>
      </c>
      <c r="J1239" t="s">
        <v>2533</v>
      </c>
      <c r="N1239" t="s">
        <v>2470</v>
      </c>
    </row>
    <row r="1240" spans="1:14" hidden="1" x14ac:dyDescent="0.25">
      <c r="A1240" t="s">
        <v>1324</v>
      </c>
      <c r="B1240" t="s">
        <v>1338</v>
      </c>
      <c r="C1240" t="s">
        <v>2534</v>
      </c>
      <c r="D1240" t="s">
        <v>144</v>
      </c>
      <c r="F1240">
        <v>960</v>
      </c>
      <c r="G1240">
        <v>20</v>
      </c>
      <c r="H1240" s="89">
        <v>46128</v>
      </c>
      <c r="I1240" s="89">
        <v>46134</v>
      </c>
      <c r="J1240" t="s">
        <v>2533</v>
      </c>
      <c r="N1240" t="s">
        <v>2470</v>
      </c>
    </row>
    <row r="1241" spans="1:14" hidden="1" x14ac:dyDescent="0.25">
      <c r="A1241" t="s">
        <v>1313</v>
      </c>
      <c r="B1241" t="s">
        <v>1327</v>
      </c>
      <c r="C1241" t="s">
        <v>2535</v>
      </c>
      <c r="D1241" t="s">
        <v>20</v>
      </c>
      <c r="F1241">
        <v>1104</v>
      </c>
      <c r="G1241">
        <v>23</v>
      </c>
      <c r="H1241" s="89">
        <v>46128</v>
      </c>
      <c r="I1241" s="89">
        <v>46132</v>
      </c>
      <c r="J1241" t="s">
        <v>2536</v>
      </c>
      <c r="N1241" t="s">
        <v>2470</v>
      </c>
    </row>
    <row r="1242" spans="1:14" hidden="1" x14ac:dyDescent="0.25">
      <c r="A1242" t="s">
        <v>1319</v>
      </c>
      <c r="B1242" t="s">
        <v>1333</v>
      </c>
      <c r="C1242" t="s">
        <v>2535</v>
      </c>
      <c r="D1242" t="s">
        <v>20</v>
      </c>
      <c r="F1242">
        <v>48</v>
      </c>
      <c r="G1242">
        <v>1</v>
      </c>
      <c r="H1242" s="89">
        <v>46128</v>
      </c>
      <c r="I1242" s="89">
        <v>46132</v>
      </c>
      <c r="J1242" t="s">
        <v>2536</v>
      </c>
      <c r="N1242" t="s">
        <v>2470</v>
      </c>
    </row>
    <row r="1243" spans="1:14" hidden="1" x14ac:dyDescent="0.25">
      <c r="A1243" t="s">
        <v>1313</v>
      </c>
      <c r="B1243" t="s">
        <v>1327</v>
      </c>
      <c r="C1243" t="s">
        <v>2535</v>
      </c>
      <c r="D1243" t="s">
        <v>20</v>
      </c>
      <c r="F1243">
        <v>144</v>
      </c>
      <c r="G1243">
        <v>3</v>
      </c>
      <c r="H1243" s="89">
        <v>46128</v>
      </c>
      <c r="I1243" s="89">
        <v>46132</v>
      </c>
      <c r="N1243" t="s">
        <v>2470</v>
      </c>
    </row>
    <row r="1244" spans="1:14" hidden="1" x14ac:dyDescent="0.25">
      <c r="A1244" t="s">
        <v>1315</v>
      </c>
      <c r="B1244" t="s">
        <v>1329</v>
      </c>
      <c r="C1244" t="s">
        <v>2535</v>
      </c>
      <c r="D1244" t="s">
        <v>20</v>
      </c>
      <c r="F1244">
        <v>86</v>
      </c>
      <c r="G1244" t="s">
        <v>1419</v>
      </c>
      <c r="H1244" s="89">
        <v>46128</v>
      </c>
      <c r="I1244" s="89">
        <v>46130</v>
      </c>
      <c r="N1244" t="s">
        <v>2470</v>
      </c>
    </row>
    <row r="1245" spans="1:14" hidden="1" x14ac:dyDescent="0.25">
      <c r="A1245" t="s">
        <v>1316</v>
      </c>
      <c r="B1245" t="s">
        <v>1330</v>
      </c>
      <c r="C1245" t="s">
        <v>2537</v>
      </c>
      <c r="D1245" t="s">
        <v>20</v>
      </c>
      <c r="F1245">
        <v>224</v>
      </c>
      <c r="G1245" t="s">
        <v>1419</v>
      </c>
      <c r="H1245" s="89">
        <v>46128</v>
      </c>
      <c r="I1245" s="89">
        <v>46130</v>
      </c>
      <c r="N1245" t="s">
        <v>2470</v>
      </c>
    </row>
    <row r="1246" spans="1:14" hidden="1" x14ac:dyDescent="0.25">
      <c r="A1246" t="s">
        <v>1317</v>
      </c>
      <c r="B1246" t="s">
        <v>1331</v>
      </c>
      <c r="C1246" t="s">
        <v>2538</v>
      </c>
      <c r="D1246" t="s">
        <v>20</v>
      </c>
      <c r="F1246">
        <v>5</v>
      </c>
      <c r="G1246" t="s">
        <v>1419</v>
      </c>
      <c r="H1246" s="89">
        <v>46128</v>
      </c>
      <c r="I1246" s="89">
        <v>46130</v>
      </c>
      <c r="N1246" t="s">
        <v>2470</v>
      </c>
    </row>
    <row r="1247" spans="1:14" hidden="1" x14ac:dyDescent="0.25">
      <c r="A1247" t="s">
        <v>1318</v>
      </c>
      <c r="B1247" t="s">
        <v>1332</v>
      </c>
      <c r="C1247" t="s">
        <v>2539</v>
      </c>
      <c r="D1247" t="s">
        <v>20</v>
      </c>
      <c r="F1247">
        <v>82</v>
      </c>
      <c r="G1247" t="s">
        <v>1419</v>
      </c>
      <c r="H1247" s="89">
        <v>46128</v>
      </c>
      <c r="I1247" s="89">
        <v>46130</v>
      </c>
      <c r="N1247" t="s">
        <v>2470</v>
      </c>
    </row>
    <row r="1248" spans="1:14" hidden="1" x14ac:dyDescent="0.25">
      <c r="A1248" t="s">
        <v>1313</v>
      </c>
      <c r="B1248" t="s">
        <v>1327</v>
      </c>
      <c r="C1248" t="s">
        <v>2540</v>
      </c>
      <c r="D1248" t="s">
        <v>15</v>
      </c>
      <c r="F1248">
        <v>48</v>
      </c>
      <c r="G1248">
        <v>1</v>
      </c>
      <c r="H1248" s="89">
        <v>46128</v>
      </c>
      <c r="I1248" s="89">
        <v>46132</v>
      </c>
      <c r="J1248" t="s">
        <v>2518</v>
      </c>
      <c r="N1248" t="s">
        <v>2470</v>
      </c>
    </row>
    <row r="1249" spans="1:14" hidden="1" x14ac:dyDescent="0.25">
      <c r="A1249" t="s">
        <v>1313</v>
      </c>
      <c r="B1249" t="s">
        <v>1327</v>
      </c>
      <c r="C1249" t="s">
        <v>2540</v>
      </c>
      <c r="D1249" t="s">
        <v>15</v>
      </c>
      <c r="F1249">
        <v>1152</v>
      </c>
      <c r="G1249">
        <v>24</v>
      </c>
      <c r="H1249" s="89">
        <v>46128</v>
      </c>
      <c r="I1249" s="89">
        <v>46133</v>
      </c>
      <c r="J1249" t="s">
        <v>2541</v>
      </c>
      <c r="N1249" t="s">
        <v>2470</v>
      </c>
    </row>
    <row r="1250" spans="1:14" hidden="1" x14ac:dyDescent="0.25">
      <c r="A1250" t="s">
        <v>1314</v>
      </c>
      <c r="B1250" t="s">
        <v>1328</v>
      </c>
      <c r="C1250" t="s">
        <v>2540</v>
      </c>
      <c r="D1250" t="s">
        <v>15</v>
      </c>
      <c r="F1250">
        <v>336</v>
      </c>
      <c r="G1250">
        <v>7</v>
      </c>
      <c r="H1250" s="89">
        <v>46128</v>
      </c>
      <c r="I1250" s="89">
        <v>46133</v>
      </c>
      <c r="J1250" t="s">
        <v>2542</v>
      </c>
      <c r="N1250" t="s">
        <v>2470</v>
      </c>
    </row>
    <row r="1251" spans="1:14" hidden="1" x14ac:dyDescent="0.25">
      <c r="A1251" t="s">
        <v>1313</v>
      </c>
      <c r="B1251" t="s">
        <v>1327</v>
      </c>
      <c r="C1251" t="s">
        <v>2540</v>
      </c>
      <c r="D1251" t="s">
        <v>15</v>
      </c>
      <c r="F1251">
        <v>48</v>
      </c>
      <c r="G1251">
        <v>1</v>
      </c>
      <c r="H1251" s="89">
        <v>46128</v>
      </c>
      <c r="I1251" s="89">
        <v>46133</v>
      </c>
      <c r="J1251" t="s">
        <v>2543</v>
      </c>
      <c r="N1251" t="s">
        <v>2470</v>
      </c>
    </row>
    <row r="1252" spans="1:14" hidden="1" x14ac:dyDescent="0.25">
      <c r="A1252" t="s">
        <v>1315</v>
      </c>
      <c r="B1252" t="s">
        <v>1329</v>
      </c>
      <c r="C1252" t="s">
        <v>2540</v>
      </c>
      <c r="D1252" t="s">
        <v>15</v>
      </c>
      <c r="F1252">
        <v>24</v>
      </c>
      <c r="G1252" t="s">
        <v>1419</v>
      </c>
      <c r="H1252" s="89">
        <v>46128</v>
      </c>
      <c r="I1252" s="89">
        <v>46130</v>
      </c>
      <c r="N1252" t="s">
        <v>2470</v>
      </c>
    </row>
    <row r="1253" spans="1:14" hidden="1" x14ac:dyDescent="0.25">
      <c r="A1253" t="s">
        <v>1316</v>
      </c>
      <c r="B1253" t="s">
        <v>1330</v>
      </c>
      <c r="C1253" t="s">
        <v>2544</v>
      </c>
      <c r="D1253" t="s">
        <v>15</v>
      </c>
      <c r="F1253">
        <v>73</v>
      </c>
      <c r="G1253" t="s">
        <v>1419</v>
      </c>
      <c r="H1253" s="89">
        <v>46128</v>
      </c>
      <c r="I1253" s="89">
        <v>46130</v>
      </c>
      <c r="N1253" t="s">
        <v>2470</v>
      </c>
    </row>
    <row r="1254" spans="1:14" hidden="1" x14ac:dyDescent="0.25">
      <c r="A1254" t="s">
        <v>1317</v>
      </c>
      <c r="B1254" t="s">
        <v>1331</v>
      </c>
      <c r="C1254" t="s">
        <v>2545</v>
      </c>
      <c r="D1254" t="s">
        <v>15</v>
      </c>
      <c r="F1254">
        <v>34</v>
      </c>
      <c r="G1254" t="s">
        <v>1419</v>
      </c>
      <c r="H1254" s="89">
        <v>46128</v>
      </c>
      <c r="I1254" s="89">
        <v>46130</v>
      </c>
      <c r="N1254" t="s">
        <v>2470</v>
      </c>
    </row>
    <row r="1255" spans="1:14" hidden="1" x14ac:dyDescent="0.25">
      <c r="A1255" t="s">
        <v>1318</v>
      </c>
      <c r="B1255" t="s">
        <v>1332</v>
      </c>
      <c r="C1255" t="s">
        <v>2546</v>
      </c>
      <c r="D1255" t="s">
        <v>15</v>
      </c>
      <c r="F1255">
        <v>43</v>
      </c>
      <c r="G1255" t="s">
        <v>1419</v>
      </c>
      <c r="H1255" s="89">
        <v>46128</v>
      </c>
      <c r="I1255" s="89">
        <v>46130</v>
      </c>
      <c r="N1255" t="s">
        <v>2470</v>
      </c>
    </row>
    <row r="1256" spans="1:14" hidden="1" x14ac:dyDescent="0.25">
      <c r="A1256" t="s">
        <v>1320</v>
      </c>
      <c r="B1256" t="s">
        <v>1334</v>
      </c>
      <c r="C1256" t="s">
        <v>2547</v>
      </c>
      <c r="D1256" t="s">
        <v>28</v>
      </c>
      <c r="F1256">
        <v>960</v>
      </c>
      <c r="G1256">
        <v>20</v>
      </c>
      <c r="H1256" s="89">
        <v>46128</v>
      </c>
      <c r="I1256" s="89">
        <v>46133</v>
      </c>
      <c r="J1256" t="s">
        <v>2548</v>
      </c>
      <c r="N1256" t="s">
        <v>2470</v>
      </c>
    </row>
    <row r="1257" spans="1:14" hidden="1" x14ac:dyDescent="0.25">
      <c r="A1257" t="s">
        <v>1313</v>
      </c>
      <c r="B1257" t="s">
        <v>1327</v>
      </c>
      <c r="C1257" t="s">
        <v>2547</v>
      </c>
      <c r="D1257" t="s">
        <v>28</v>
      </c>
      <c r="F1257">
        <v>288</v>
      </c>
      <c r="G1257">
        <v>6</v>
      </c>
      <c r="H1257" s="89">
        <v>46128</v>
      </c>
      <c r="I1257" s="89">
        <v>46132</v>
      </c>
      <c r="N1257" t="s">
        <v>2470</v>
      </c>
    </row>
    <row r="1258" spans="1:14" hidden="1" x14ac:dyDescent="0.25">
      <c r="A1258" t="s">
        <v>1315</v>
      </c>
      <c r="B1258" t="s">
        <v>1329</v>
      </c>
      <c r="C1258" t="s">
        <v>2547</v>
      </c>
      <c r="D1258" t="s">
        <v>28</v>
      </c>
      <c r="F1258">
        <v>119</v>
      </c>
      <c r="G1258" t="s">
        <v>1419</v>
      </c>
      <c r="H1258" s="89">
        <v>46128</v>
      </c>
      <c r="I1258" s="89">
        <v>46130</v>
      </c>
      <c r="N1258" t="s">
        <v>2470</v>
      </c>
    </row>
    <row r="1259" spans="1:14" hidden="1" x14ac:dyDescent="0.25">
      <c r="A1259" t="s">
        <v>1316</v>
      </c>
      <c r="B1259" t="s">
        <v>1330</v>
      </c>
      <c r="C1259" t="s">
        <v>2549</v>
      </c>
      <c r="D1259" t="s">
        <v>28</v>
      </c>
      <c r="F1259">
        <v>40</v>
      </c>
      <c r="G1259" t="s">
        <v>1419</v>
      </c>
      <c r="H1259" s="89">
        <v>46128</v>
      </c>
      <c r="I1259" s="89">
        <v>46130</v>
      </c>
      <c r="N1259" t="s">
        <v>2470</v>
      </c>
    </row>
    <row r="1260" spans="1:14" hidden="1" x14ac:dyDescent="0.25">
      <c r="A1260" t="s">
        <v>1317</v>
      </c>
      <c r="B1260" t="s">
        <v>1331</v>
      </c>
      <c r="C1260" t="s">
        <v>2550</v>
      </c>
      <c r="D1260" t="s">
        <v>28</v>
      </c>
      <c r="F1260">
        <v>0</v>
      </c>
      <c r="G1260" t="s">
        <v>1419</v>
      </c>
      <c r="H1260" s="89">
        <v>46128</v>
      </c>
      <c r="I1260" s="89">
        <v>46130</v>
      </c>
      <c r="N1260" t="s">
        <v>2470</v>
      </c>
    </row>
    <row r="1261" spans="1:14" hidden="1" x14ac:dyDescent="0.25">
      <c r="A1261" t="s">
        <v>1318</v>
      </c>
      <c r="B1261" t="s">
        <v>1332</v>
      </c>
      <c r="C1261" t="s">
        <v>2551</v>
      </c>
      <c r="D1261" t="s">
        <v>28</v>
      </c>
      <c r="F1261">
        <v>83</v>
      </c>
      <c r="G1261" t="s">
        <v>1419</v>
      </c>
      <c r="H1261" s="89">
        <v>46128</v>
      </c>
      <c r="I1261" s="89">
        <v>46130</v>
      </c>
      <c r="N1261" t="s">
        <v>2470</v>
      </c>
    </row>
    <row r="1262" spans="1:14" hidden="1" x14ac:dyDescent="0.25">
      <c r="A1262" t="s">
        <v>1324</v>
      </c>
      <c r="B1262" t="s">
        <v>1338</v>
      </c>
      <c r="C1262" t="s">
        <v>2552</v>
      </c>
      <c r="D1262" t="s">
        <v>15</v>
      </c>
      <c r="F1262">
        <v>1152</v>
      </c>
      <c r="G1262">
        <v>24</v>
      </c>
      <c r="H1262" s="89">
        <v>46129</v>
      </c>
      <c r="I1262" s="89">
        <v>46136</v>
      </c>
      <c r="J1262" t="s">
        <v>2553</v>
      </c>
      <c r="N1262" t="s">
        <v>2470</v>
      </c>
    </row>
    <row r="1263" spans="1:14" hidden="1" x14ac:dyDescent="0.25">
      <c r="A1263" t="s">
        <v>1313</v>
      </c>
      <c r="B1263" t="s">
        <v>1327</v>
      </c>
      <c r="C1263" t="s">
        <v>2552</v>
      </c>
      <c r="D1263" t="s">
        <v>15</v>
      </c>
      <c r="F1263">
        <v>528</v>
      </c>
      <c r="G1263">
        <v>11</v>
      </c>
      <c r="H1263" s="89">
        <v>46129</v>
      </c>
      <c r="I1263" s="89">
        <v>46133</v>
      </c>
      <c r="J1263" t="s">
        <v>2543</v>
      </c>
      <c r="N1263" t="s">
        <v>2470</v>
      </c>
    </row>
    <row r="1264" spans="1:14" hidden="1" x14ac:dyDescent="0.25">
      <c r="A1264" t="s">
        <v>1315</v>
      </c>
      <c r="B1264" t="s">
        <v>1329</v>
      </c>
      <c r="C1264" t="s">
        <v>2552</v>
      </c>
      <c r="D1264" t="s">
        <v>15</v>
      </c>
      <c r="F1264">
        <v>30</v>
      </c>
      <c r="G1264" t="s">
        <v>1419</v>
      </c>
      <c r="H1264" s="89">
        <v>46129</v>
      </c>
      <c r="I1264" s="89">
        <v>46131</v>
      </c>
      <c r="N1264" t="s">
        <v>2470</v>
      </c>
    </row>
    <row r="1265" spans="1:14" hidden="1" x14ac:dyDescent="0.25">
      <c r="A1265" t="s">
        <v>1316</v>
      </c>
      <c r="B1265" t="s">
        <v>1330</v>
      </c>
      <c r="C1265" t="s">
        <v>2554</v>
      </c>
      <c r="D1265" t="s">
        <v>15</v>
      </c>
      <c r="F1265">
        <v>67</v>
      </c>
      <c r="G1265" t="s">
        <v>1419</v>
      </c>
      <c r="H1265" s="89">
        <v>46129</v>
      </c>
      <c r="I1265" s="89">
        <v>46131</v>
      </c>
      <c r="N1265" t="s">
        <v>2470</v>
      </c>
    </row>
    <row r="1266" spans="1:14" hidden="1" x14ac:dyDescent="0.25">
      <c r="A1266" t="s">
        <v>1317</v>
      </c>
      <c r="B1266" t="s">
        <v>1331</v>
      </c>
      <c r="C1266" t="s">
        <v>2555</v>
      </c>
      <c r="D1266" t="s">
        <v>15</v>
      </c>
      <c r="F1266">
        <v>16</v>
      </c>
      <c r="G1266" t="s">
        <v>1419</v>
      </c>
      <c r="H1266" s="89">
        <v>46129</v>
      </c>
      <c r="I1266" s="89">
        <v>46131</v>
      </c>
      <c r="N1266" t="s">
        <v>2470</v>
      </c>
    </row>
    <row r="1267" spans="1:14" hidden="1" x14ac:dyDescent="0.25">
      <c r="A1267" t="s">
        <v>1318</v>
      </c>
      <c r="B1267" t="s">
        <v>1332</v>
      </c>
      <c r="C1267" t="s">
        <v>2556</v>
      </c>
      <c r="D1267" t="s">
        <v>15</v>
      </c>
      <c r="F1267">
        <v>48</v>
      </c>
      <c r="G1267" t="s">
        <v>1419</v>
      </c>
      <c r="H1267" s="89">
        <v>46129</v>
      </c>
      <c r="I1267" s="89">
        <v>46131</v>
      </c>
      <c r="N1267" t="s">
        <v>2470</v>
      </c>
    </row>
    <row r="1268" spans="1:14" hidden="1" x14ac:dyDescent="0.25">
      <c r="A1268" t="s">
        <v>1313</v>
      </c>
      <c r="B1268" t="s">
        <v>1327</v>
      </c>
      <c r="C1268" t="s">
        <v>2557</v>
      </c>
      <c r="D1268" t="s">
        <v>20</v>
      </c>
      <c r="F1268">
        <v>144</v>
      </c>
      <c r="G1268">
        <v>3</v>
      </c>
      <c r="H1268" s="89">
        <v>46129</v>
      </c>
      <c r="I1268" s="89">
        <v>46134</v>
      </c>
      <c r="N1268" t="s">
        <v>2470</v>
      </c>
    </row>
    <row r="1269" spans="1:14" hidden="1" x14ac:dyDescent="0.25">
      <c r="A1269" t="s">
        <v>1324</v>
      </c>
      <c r="B1269" t="s">
        <v>1338</v>
      </c>
      <c r="C1269" t="s">
        <v>2557</v>
      </c>
      <c r="D1269" t="s">
        <v>20</v>
      </c>
      <c r="F1269">
        <v>1008</v>
      </c>
      <c r="G1269">
        <v>21</v>
      </c>
      <c r="H1269" s="89">
        <v>46129</v>
      </c>
      <c r="I1269" s="89">
        <v>46134</v>
      </c>
      <c r="N1269" t="s">
        <v>2470</v>
      </c>
    </row>
    <row r="1270" spans="1:14" hidden="1" x14ac:dyDescent="0.25">
      <c r="A1270" t="s">
        <v>1315</v>
      </c>
      <c r="B1270" t="s">
        <v>1329</v>
      </c>
      <c r="C1270" t="s">
        <v>2557</v>
      </c>
      <c r="D1270" t="s">
        <v>20</v>
      </c>
      <c r="F1270">
        <v>18</v>
      </c>
      <c r="G1270" t="s">
        <v>1419</v>
      </c>
      <c r="H1270" s="89">
        <v>46129</v>
      </c>
      <c r="I1270" s="89">
        <v>46131</v>
      </c>
      <c r="N1270" t="s">
        <v>2470</v>
      </c>
    </row>
    <row r="1271" spans="1:14" hidden="1" x14ac:dyDescent="0.25">
      <c r="A1271" t="s">
        <v>1316</v>
      </c>
      <c r="B1271" t="s">
        <v>1330</v>
      </c>
      <c r="C1271" t="s">
        <v>2558</v>
      </c>
      <c r="D1271" t="s">
        <v>20</v>
      </c>
      <c r="F1271">
        <v>163</v>
      </c>
      <c r="G1271" t="s">
        <v>1419</v>
      </c>
      <c r="H1271" s="89">
        <v>46129</v>
      </c>
      <c r="I1271" s="89">
        <v>46131</v>
      </c>
      <c r="N1271" t="s">
        <v>2470</v>
      </c>
    </row>
    <row r="1272" spans="1:14" hidden="1" x14ac:dyDescent="0.25">
      <c r="A1272" t="s">
        <v>1317</v>
      </c>
      <c r="B1272" t="s">
        <v>1331</v>
      </c>
      <c r="C1272" t="s">
        <v>2559</v>
      </c>
      <c r="D1272" t="s">
        <v>20</v>
      </c>
      <c r="F1272">
        <v>8</v>
      </c>
      <c r="G1272" t="s">
        <v>1419</v>
      </c>
      <c r="H1272" s="89">
        <v>46129</v>
      </c>
      <c r="I1272" s="89">
        <v>46131</v>
      </c>
      <c r="N1272" t="s">
        <v>2470</v>
      </c>
    </row>
    <row r="1273" spans="1:14" hidden="1" x14ac:dyDescent="0.25">
      <c r="A1273" t="s">
        <v>1318</v>
      </c>
      <c r="B1273" t="s">
        <v>1332</v>
      </c>
      <c r="C1273" t="s">
        <v>2560</v>
      </c>
      <c r="D1273" t="s">
        <v>20</v>
      </c>
      <c r="F1273">
        <v>4</v>
      </c>
      <c r="G1273" t="s">
        <v>1419</v>
      </c>
      <c r="H1273" s="89">
        <v>46129</v>
      </c>
      <c r="I1273" s="89">
        <v>46131</v>
      </c>
      <c r="N1273" t="s">
        <v>2470</v>
      </c>
    </row>
    <row r="1274" spans="1:14" hidden="1" x14ac:dyDescent="0.25">
      <c r="A1274" t="s">
        <v>1324</v>
      </c>
      <c r="B1274" t="s">
        <v>1338</v>
      </c>
      <c r="C1274" t="s">
        <v>2561</v>
      </c>
      <c r="D1274" t="s">
        <v>23</v>
      </c>
      <c r="F1274">
        <v>960</v>
      </c>
      <c r="G1274">
        <v>20</v>
      </c>
      <c r="H1274" s="89">
        <v>46129</v>
      </c>
      <c r="I1274" s="89">
        <v>46135</v>
      </c>
      <c r="J1274" t="s">
        <v>2562</v>
      </c>
      <c r="N1274" t="s">
        <v>2470</v>
      </c>
    </row>
    <row r="1275" spans="1:14" hidden="1" x14ac:dyDescent="0.25">
      <c r="A1275" t="s">
        <v>1324</v>
      </c>
      <c r="B1275" t="s">
        <v>1338</v>
      </c>
      <c r="C1275" t="s">
        <v>2563</v>
      </c>
      <c r="D1275" t="s">
        <v>144</v>
      </c>
      <c r="F1275">
        <v>960</v>
      </c>
      <c r="G1275">
        <v>20</v>
      </c>
      <c r="H1275" s="89">
        <v>46129</v>
      </c>
      <c r="I1275" s="89">
        <v>46135</v>
      </c>
      <c r="J1275" t="s">
        <v>2562</v>
      </c>
      <c r="N1275" t="s">
        <v>2470</v>
      </c>
    </row>
    <row r="1276" spans="1:14" hidden="1" x14ac:dyDescent="0.25">
      <c r="A1276" t="s">
        <v>1326</v>
      </c>
      <c r="B1276" t="s">
        <v>1340</v>
      </c>
      <c r="C1276" t="s">
        <v>2564</v>
      </c>
      <c r="D1276" t="s">
        <v>32</v>
      </c>
      <c r="F1276">
        <v>840</v>
      </c>
      <c r="G1276">
        <v>20</v>
      </c>
      <c r="H1276" s="89">
        <v>46129</v>
      </c>
      <c r="I1276" s="89">
        <v>46129</v>
      </c>
      <c r="J1276" t="s">
        <v>2565</v>
      </c>
      <c r="N1276" t="s">
        <v>2470</v>
      </c>
    </row>
    <row r="1277" spans="1:14" hidden="1" x14ac:dyDescent="0.25">
      <c r="A1277" t="s">
        <v>1325</v>
      </c>
      <c r="B1277" t="s">
        <v>1339</v>
      </c>
      <c r="C1277" t="s">
        <v>2566</v>
      </c>
      <c r="D1277" t="s">
        <v>138</v>
      </c>
      <c r="F1277">
        <v>240</v>
      </c>
      <c r="G1277">
        <v>5</v>
      </c>
      <c r="H1277" s="89">
        <v>46129</v>
      </c>
      <c r="I1277" s="89">
        <v>46132</v>
      </c>
      <c r="N1277" t="s">
        <v>2470</v>
      </c>
    </row>
    <row r="1278" spans="1:14" hidden="1" x14ac:dyDescent="0.25">
      <c r="A1278" t="s">
        <v>1320</v>
      </c>
      <c r="B1278" t="s">
        <v>1334</v>
      </c>
      <c r="C1278" t="s">
        <v>2567</v>
      </c>
      <c r="D1278" t="s">
        <v>15</v>
      </c>
      <c r="F1278">
        <v>960</v>
      </c>
      <c r="G1278">
        <v>20</v>
      </c>
      <c r="H1278" s="89">
        <v>46130</v>
      </c>
      <c r="I1278" s="89">
        <v>46135</v>
      </c>
      <c r="J1278" t="s">
        <v>2568</v>
      </c>
      <c r="N1278" t="s">
        <v>2470</v>
      </c>
    </row>
    <row r="1279" spans="1:14" hidden="1" x14ac:dyDescent="0.25">
      <c r="A1279" t="s">
        <v>1313</v>
      </c>
      <c r="B1279" t="s">
        <v>1327</v>
      </c>
      <c r="C1279" t="s">
        <v>2567</v>
      </c>
      <c r="D1279" t="s">
        <v>15</v>
      </c>
      <c r="F1279">
        <v>240</v>
      </c>
      <c r="G1279">
        <v>5</v>
      </c>
      <c r="H1279" s="89">
        <v>46130</v>
      </c>
      <c r="I1279" s="89">
        <v>46133</v>
      </c>
      <c r="J1279" t="s">
        <v>2543</v>
      </c>
      <c r="N1279" t="s">
        <v>2470</v>
      </c>
    </row>
    <row r="1280" spans="1:14" hidden="1" x14ac:dyDescent="0.25">
      <c r="A1280" t="s">
        <v>1315</v>
      </c>
      <c r="B1280" t="s">
        <v>1329</v>
      </c>
      <c r="C1280" t="s">
        <v>2567</v>
      </c>
      <c r="D1280" t="s">
        <v>15</v>
      </c>
      <c r="F1280">
        <v>9</v>
      </c>
      <c r="G1280" t="s">
        <v>1419</v>
      </c>
      <c r="H1280" s="89">
        <v>46130</v>
      </c>
      <c r="I1280" s="89">
        <v>46132</v>
      </c>
      <c r="N1280" t="s">
        <v>2470</v>
      </c>
    </row>
    <row r="1281" spans="1:14" hidden="1" x14ac:dyDescent="0.25">
      <c r="A1281" t="s">
        <v>1316</v>
      </c>
      <c r="B1281" t="s">
        <v>1330</v>
      </c>
      <c r="C1281" t="s">
        <v>2569</v>
      </c>
      <c r="D1281" t="s">
        <v>15</v>
      </c>
      <c r="F1281">
        <v>67</v>
      </c>
      <c r="G1281" t="s">
        <v>1419</v>
      </c>
      <c r="H1281" s="89">
        <v>46130</v>
      </c>
      <c r="I1281" s="89">
        <v>46132</v>
      </c>
      <c r="N1281" t="s">
        <v>2470</v>
      </c>
    </row>
    <row r="1282" spans="1:14" hidden="1" x14ac:dyDescent="0.25">
      <c r="A1282" t="s">
        <v>1317</v>
      </c>
      <c r="B1282" t="s">
        <v>1331</v>
      </c>
      <c r="C1282" t="s">
        <v>2570</v>
      </c>
      <c r="D1282" t="s">
        <v>15</v>
      </c>
      <c r="F1282">
        <v>14</v>
      </c>
      <c r="G1282" t="s">
        <v>1419</v>
      </c>
      <c r="H1282" s="89">
        <v>46130</v>
      </c>
      <c r="I1282" s="89">
        <v>46132</v>
      </c>
      <c r="N1282" t="s">
        <v>2470</v>
      </c>
    </row>
    <row r="1283" spans="1:14" hidden="1" x14ac:dyDescent="0.25">
      <c r="A1283" t="s">
        <v>1318</v>
      </c>
      <c r="B1283" t="s">
        <v>1332</v>
      </c>
      <c r="C1283" t="s">
        <v>2571</v>
      </c>
      <c r="D1283" t="s">
        <v>15</v>
      </c>
      <c r="F1283">
        <v>38</v>
      </c>
      <c r="G1283" t="s">
        <v>1419</v>
      </c>
      <c r="H1283" s="89">
        <v>46130</v>
      </c>
      <c r="I1283" s="89">
        <v>46132</v>
      </c>
      <c r="N1283" t="s">
        <v>2470</v>
      </c>
    </row>
    <row r="1284" spans="1:14" hidden="1" x14ac:dyDescent="0.25">
      <c r="A1284" t="s">
        <v>1324</v>
      </c>
      <c r="B1284" t="s">
        <v>1338</v>
      </c>
      <c r="C1284" t="s">
        <v>2572</v>
      </c>
      <c r="D1284" t="s">
        <v>13</v>
      </c>
      <c r="F1284">
        <v>960</v>
      </c>
      <c r="G1284">
        <v>20</v>
      </c>
      <c r="H1284" s="89">
        <v>46139</v>
      </c>
      <c r="I1284" s="89">
        <v>46146</v>
      </c>
      <c r="J1284" t="s">
        <v>2573</v>
      </c>
      <c r="N1284" t="s">
        <v>2574</v>
      </c>
    </row>
    <row r="1285" spans="1:14" hidden="1" x14ac:dyDescent="0.25">
      <c r="A1285" t="s">
        <v>1323</v>
      </c>
      <c r="B1285" t="s">
        <v>1337</v>
      </c>
      <c r="C1285" t="s">
        <v>2575</v>
      </c>
      <c r="D1285" t="s">
        <v>20</v>
      </c>
      <c r="F1285">
        <v>918</v>
      </c>
      <c r="G1285">
        <v>17</v>
      </c>
      <c r="H1285" s="89">
        <v>46139</v>
      </c>
      <c r="I1285" s="89">
        <v>46142</v>
      </c>
      <c r="J1285" t="s">
        <v>2576</v>
      </c>
      <c r="N1285" t="s">
        <v>2574</v>
      </c>
    </row>
    <row r="1286" spans="1:14" hidden="1" x14ac:dyDescent="0.25">
      <c r="A1286" t="s">
        <v>1322</v>
      </c>
      <c r="B1286" t="s">
        <v>1336</v>
      </c>
      <c r="C1286" t="s">
        <v>2575</v>
      </c>
      <c r="D1286" t="s">
        <v>20</v>
      </c>
      <c r="F1286">
        <v>162</v>
      </c>
      <c r="G1286">
        <v>3</v>
      </c>
      <c r="H1286" s="89">
        <v>46139</v>
      </c>
      <c r="I1286" s="89">
        <v>46142</v>
      </c>
      <c r="J1286" t="s">
        <v>2576</v>
      </c>
      <c r="N1286" t="s">
        <v>2574</v>
      </c>
    </row>
    <row r="1287" spans="1:14" hidden="1" x14ac:dyDescent="0.25">
      <c r="A1287" t="s">
        <v>1313</v>
      </c>
      <c r="B1287" t="s">
        <v>1327</v>
      </c>
      <c r="C1287" t="s">
        <v>2575</v>
      </c>
      <c r="D1287" t="s">
        <v>20</v>
      </c>
      <c r="F1287">
        <v>336</v>
      </c>
      <c r="G1287">
        <v>7</v>
      </c>
      <c r="H1287" s="89">
        <v>46139</v>
      </c>
      <c r="I1287" s="89">
        <v>46142</v>
      </c>
      <c r="J1287" t="s">
        <v>2577</v>
      </c>
      <c r="N1287" t="s">
        <v>2574</v>
      </c>
    </row>
    <row r="1288" spans="1:14" hidden="1" x14ac:dyDescent="0.25">
      <c r="A1288" t="s">
        <v>1315</v>
      </c>
      <c r="B1288" t="s">
        <v>1329</v>
      </c>
      <c r="C1288" t="s">
        <v>2578</v>
      </c>
      <c r="D1288" t="s">
        <v>20</v>
      </c>
      <c r="F1288">
        <v>27</v>
      </c>
      <c r="G1288" t="s">
        <v>1419</v>
      </c>
      <c r="H1288" s="89">
        <v>46139</v>
      </c>
      <c r="I1288" s="89">
        <v>46141</v>
      </c>
      <c r="N1288" t="s">
        <v>2574</v>
      </c>
    </row>
    <row r="1289" spans="1:14" hidden="1" x14ac:dyDescent="0.25">
      <c r="A1289" t="s">
        <v>1316</v>
      </c>
      <c r="B1289" t="s">
        <v>1330</v>
      </c>
      <c r="C1289" t="s">
        <v>2578</v>
      </c>
      <c r="D1289" t="s">
        <v>20</v>
      </c>
      <c r="F1289">
        <v>169</v>
      </c>
      <c r="G1289" t="s">
        <v>1419</v>
      </c>
      <c r="H1289" s="89">
        <v>46139</v>
      </c>
      <c r="I1289" s="89">
        <v>46141</v>
      </c>
      <c r="N1289" t="s">
        <v>2574</v>
      </c>
    </row>
    <row r="1290" spans="1:14" hidden="1" x14ac:dyDescent="0.25">
      <c r="A1290" t="s">
        <v>1317</v>
      </c>
      <c r="B1290" t="s">
        <v>1331</v>
      </c>
      <c r="C1290" t="s">
        <v>2579</v>
      </c>
      <c r="D1290" t="s">
        <v>20</v>
      </c>
      <c r="F1290">
        <v>14</v>
      </c>
      <c r="G1290" t="s">
        <v>1419</v>
      </c>
      <c r="H1290" s="89">
        <v>46139</v>
      </c>
      <c r="I1290" s="89">
        <v>46141</v>
      </c>
      <c r="N1290" t="s">
        <v>2574</v>
      </c>
    </row>
    <row r="1291" spans="1:14" hidden="1" x14ac:dyDescent="0.25">
      <c r="A1291" t="s">
        <v>1318</v>
      </c>
      <c r="B1291" t="s">
        <v>1332</v>
      </c>
      <c r="C1291" t="s">
        <v>2580</v>
      </c>
      <c r="D1291" t="s">
        <v>20</v>
      </c>
      <c r="F1291">
        <v>60</v>
      </c>
      <c r="G1291" t="s">
        <v>1419</v>
      </c>
      <c r="H1291" s="89">
        <v>46139</v>
      </c>
      <c r="I1291" s="89">
        <v>46141</v>
      </c>
      <c r="N1291" t="s">
        <v>2574</v>
      </c>
    </row>
    <row r="1292" spans="1:14" hidden="1" x14ac:dyDescent="0.25">
      <c r="A1292" t="s">
        <v>1320</v>
      </c>
      <c r="B1292" t="s">
        <v>1334</v>
      </c>
      <c r="C1292" t="s">
        <v>2581</v>
      </c>
      <c r="D1292" t="s">
        <v>15</v>
      </c>
      <c r="F1292">
        <v>960</v>
      </c>
      <c r="G1292">
        <v>20</v>
      </c>
      <c r="H1292" s="89">
        <v>46139</v>
      </c>
      <c r="I1292" s="89">
        <v>46143</v>
      </c>
      <c r="J1292" t="s">
        <v>2582</v>
      </c>
      <c r="N1292" t="s">
        <v>2574</v>
      </c>
    </row>
    <row r="1293" spans="1:14" hidden="1" x14ac:dyDescent="0.25">
      <c r="A1293" t="s">
        <v>1320</v>
      </c>
      <c r="B1293" t="s">
        <v>1334</v>
      </c>
      <c r="C1293" t="s">
        <v>2581</v>
      </c>
      <c r="D1293" t="s">
        <v>15</v>
      </c>
      <c r="F1293">
        <v>336</v>
      </c>
      <c r="G1293">
        <v>7</v>
      </c>
      <c r="H1293" s="89">
        <v>46139</v>
      </c>
      <c r="I1293" s="89">
        <v>46143</v>
      </c>
      <c r="J1293" t="s">
        <v>2583</v>
      </c>
      <c r="N1293" t="s">
        <v>2574</v>
      </c>
    </row>
    <row r="1294" spans="1:14" hidden="1" x14ac:dyDescent="0.25">
      <c r="A1294" t="s">
        <v>1313</v>
      </c>
      <c r="B1294" t="s">
        <v>1327</v>
      </c>
      <c r="C1294" t="s">
        <v>2581</v>
      </c>
      <c r="D1294" t="s">
        <v>15</v>
      </c>
      <c r="F1294">
        <v>96</v>
      </c>
      <c r="G1294">
        <v>2</v>
      </c>
      <c r="H1294" s="89">
        <v>46139</v>
      </c>
      <c r="I1294" s="89">
        <v>46145</v>
      </c>
      <c r="J1294" t="s">
        <v>2584</v>
      </c>
      <c r="N1294" t="s">
        <v>2574</v>
      </c>
    </row>
    <row r="1295" spans="1:14" hidden="1" x14ac:dyDescent="0.25">
      <c r="A1295" t="s">
        <v>1315</v>
      </c>
      <c r="B1295" t="s">
        <v>1329</v>
      </c>
      <c r="C1295" t="s">
        <v>2581</v>
      </c>
      <c r="D1295" t="s">
        <v>15</v>
      </c>
      <c r="F1295">
        <v>103</v>
      </c>
      <c r="G1295" t="s">
        <v>1419</v>
      </c>
      <c r="H1295" s="89">
        <v>46139</v>
      </c>
      <c r="I1295" s="89">
        <v>46141</v>
      </c>
      <c r="N1295" t="s">
        <v>2574</v>
      </c>
    </row>
    <row r="1296" spans="1:14" hidden="1" x14ac:dyDescent="0.25">
      <c r="A1296" t="s">
        <v>1316</v>
      </c>
      <c r="B1296" t="s">
        <v>1330</v>
      </c>
      <c r="C1296" t="s">
        <v>2585</v>
      </c>
      <c r="D1296" t="s">
        <v>15</v>
      </c>
      <c r="F1296">
        <v>82</v>
      </c>
      <c r="G1296" t="s">
        <v>1419</v>
      </c>
      <c r="H1296" s="89">
        <v>46139</v>
      </c>
      <c r="I1296" s="89">
        <v>46141</v>
      </c>
      <c r="N1296" t="s">
        <v>2574</v>
      </c>
    </row>
    <row r="1297" spans="1:14" hidden="1" x14ac:dyDescent="0.25">
      <c r="A1297" t="s">
        <v>1317</v>
      </c>
      <c r="B1297" t="s">
        <v>1331</v>
      </c>
      <c r="C1297" t="s">
        <v>2586</v>
      </c>
      <c r="D1297" t="s">
        <v>15</v>
      </c>
      <c r="F1297">
        <v>18</v>
      </c>
      <c r="G1297" t="s">
        <v>1419</v>
      </c>
      <c r="H1297" s="89">
        <v>46139</v>
      </c>
      <c r="I1297" s="89">
        <v>46141</v>
      </c>
      <c r="N1297" t="s">
        <v>2574</v>
      </c>
    </row>
    <row r="1298" spans="1:14" hidden="1" x14ac:dyDescent="0.25">
      <c r="A1298" t="s">
        <v>1318</v>
      </c>
      <c r="B1298" t="s">
        <v>1332</v>
      </c>
      <c r="C1298" t="s">
        <v>2587</v>
      </c>
      <c r="D1298" t="s">
        <v>15</v>
      </c>
      <c r="F1298">
        <v>52</v>
      </c>
      <c r="G1298" t="s">
        <v>1419</v>
      </c>
      <c r="H1298" s="89">
        <v>46139</v>
      </c>
      <c r="I1298" s="89">
        <v>46141</v>
      </c>
      <c r="N1298" t="s">
        <v>2574</v>
      </c>
    </row>
    <row r="1299" spans="1:14" hidden="1" x14ac:dyDescent="0.25">
      <c r="A1299" t="s">
        <v>1313</v>
      </c>
      <c r="B1299" t="s">
        <v>1327</v>
      </c>
      <c r="C1299" t="s">
        <v>2588</v>
      </c>
      <c r="D1299" t="s">
        <v>21</v>
      </c>
      <c r="F1299">
        <v>480</v>
      </c>
      <c r="G1299">
        <v>10</v>
      </c>
      <c r="H1299" s="89">
        <v>46139</v>
      </c>
      <c r="I1299" s="89">
        <v>46142</v>
      </c>
      <c r="J1299" t="s">
        <v>2577</v>
      </c>
      <c r="N1299" t="s">
        <v>2574</v>
      </c>
    </row>
    <row r="1300" spans="1:14" hidden="1" x14ac:dyDescent="0.25">
      <c r="A1300" t="s">
        <v>1314</v>
      </c>
      <c r="B1300" t="s">
        <v>1328</v>
      </c>
      <c r="C1300" t="s">
        <v>2588</v>
      </c>
      <c r="D1300" t="s">
        <v>21</v>
      </c>
      <c r="F1300">
        <v>336</v>
      </c>
      <c r="G1300">
        <v>7</v>
      </c>
      <c r="H1300" s="89">
        <v>46139</v>
      </c>
      <c r="I1300" s="89">
        <v>46142</v>
      </c>
      <c r="J1300" t="s">
        <v>2589</v>
      </c>
      <c r="N1300" t="s">
        <v>2574</v>
      </c>
    </row>
    <row r="1301" spans="1:14" hidden="1" x14ac:dyDescent="0.25">
      <c r="A1301" t="s">
        <v>1320</v>
      </c>
      <c r="B1301" t="s">
        <v>1334</v>
      </c>
      <c r="C1301" t="s">
        <v>2588</v>
      </c>
      <c r="D1301" t="s">
        <v>21</v>
      </c>
      <c r="F1301">
        <v>96</v>
      </c>
      <c r="G1301">
        <v>2</v>
      </c>
      <c r="H1301" s="89">
        <v>46139</v>
      </c>
      <c r="I1301" s="89">
        <v>46143</v>
      </c>
      <c r="J1301" t="s">
        <v>2583</v>
      </c>
      <c r="N1301" t="s">
        <v>2574</v>
      </c>
    </row>
    <row r="1302" spans="1:14" hidden="1" x14ac:dyDescent="0.25">
      <c r="A1302" t="s">
        <v>1315</v>
      </c>
      <c r="B1302" t="s">
        <v>1329</v>
      </c>
      <c r="C1302" t="s">
        <v>2590</v>
      </c>
      <c r="D1302" t="s">
        <v>21</v>
      </c>
      <c r="F1302">
        <v>20</v>
      </c>
      <c r="G1302" t="s">
        <v>1419</v>
      </c>
      <c r="H1302" s="89">
        <v>46139</v>
      </c>
      <c r="I1302" s="89">
        <v>46141</v>
      </c>
      <c r="N1302" t="s">
        <v>2574</v>
      </c>
    </row>
    <row r="1303" spans="1:14" hidden="1" x14ac:dyDescent="0.25">
      <c r="A1303" t="s">
        <v>1315</v>
      </c>
      <c r="B1303" t="s">
        <v>1329</v>
      </c>
      <c r="C1303" t="s">
        <v>2588</v>
      </c>
      <c r="D1303" t="s">
        <v>21</v>
      </c>
      <c r="F1303">
        <v>75</v>
      </c>
      <c r="G1303" t="s">
        <v>1419</v>
      </c>
      <c r="H1303" s="89">
        <v>46139</v>
      </c>
      <c r="I1303" s="89">
        <v>46141</v>
      </c>
      <c r="N1303" t="s">
        <v>2574</v>
      </c>
    </row>
    <row r="1304" spans="1:14" hidden="1" x14ac:dyDescent="0.25">
      <c r="A1304" t="s">
        <v>1316</v>
      </c>
      <c r="B1304" t="s">
        <v>1330</v>
      </c>
      <c r="C1304" t="s">
        <v>2590</v>
      </c>
      <c r="D1304" t="s">
        <v>21</v>
      </c>
      <c r="F1304">
        <v>60</v>
      </c>
      <c r="G1304" t="s">
        <v>1419</v>
      </c>
      <c r="H1304" s="89">
        <v>46139</v>
      </c>
      <c r="I1304" s="89">
        <v>46141</v>
      </c>
      <c r="N1304" t="s">
        <v>2574</v>
      </c>
    </row>
    <row r="1305" spans="1:14" hidden="1" x14ac:dyDescent="0.25">
      <c r="A1305" t="s">
        <v>1317</v>
      </c>
      <c r="B1305" t="s">
        <v>1331</v>
      </c>
      <c r="C1305" t="s">
        <v>2591</v>
      </c>
      <c r="D1305" t="s">
        <v>21</v>
      </c>
      <c r="F1305">
        <v>9</v>
      </c>
      <c r="G1305" t="s">
        <v>1419</v>
      </c>
      <c r="H1305" s="89">
        <v>46139</v>
      </c>
      <c r="I1305" s="89">
        <v>46141</v>
      </c>
      <c r="N1305" t="s">
        <v>2574</v>
      </c>
    </row>
    <row r="1306" spans="1:14" hidden="1" x14ac:dyDescent="0.25">
      <c r="A1306" t="s">
        <v>1318</v>
      </c>
      <c r="B1306" t="s">
        <v>1332</v>
      </c>
      <c r="C1306" t="s">
        <v>2592</v>
      </c>
      <c r="D1306" t="s">
        <v>21</v>
      </c>
      <c r="F1306">
        <v>37</v>
      </c>
      <c r="G1306" t="s">
        <v>1419</v>
      </c>
      <c r="H1306" s="89">
        <v>46139</v>
      </c>
      <c r="I1306" s="89">
        <v>46141</v>
      </c>
      <c r="N1306" t="s">
        <v>2574</v>
      </c>
    </row>
    <row r="1307" spans="1:14" hidden="1" x14ac:dyDescent="0.25">
      <c r="A1307" t="s">
        <v>1324</v>
      </c>
      <c r="B1307" t="s">
        <v>1338</v>
      </c>
      <c r="C1307" t="s">
        <v>2593</v>
      </c>
      <c r="D1307" t="s">
        <v>13</v>
      </c>
      <c r="F1307">
        <v>960</v>
      </c>
      <c r="G1307">
        <v>20</v>
      </c>
      <c r="H1307" s="89">
        <v>46140</v>
      </c>
      <c r="I1307" s="89">
        <v>46146</v>
      </c>
      <c r="J1307" t="s">
        <v>2594</v>
      </c>
      <c r="N1307" t="s">
        <v>2574</v>
      </c>
    </row>
    <row r="1308" spans="1:14" hidden="1" x14ac:dyDescent="0.25">
      <c r="A1308" t="s">
        <v>1324</v>
      </c>
      <c r="B1308" t="s">
        <v>1338</v>
      </c>
      <c r="C1308" t="s">
        <v>2595</v>
      </c>
      <c r="D1308" t="s">
        <v>23</v>
      </c>
      <c r="F1308">
        <v>960</v>
      </c>
      <c r="G1308">
        <v>20</v>
      </c>
      <c r="H1308" s="89">
        <v>46140</v>
      </c>
      <c r="I1308" s="89">
        <v>46146</v>
      </c>
      <c r="J1308" t="s">
        <v>2594</v>
      </c>
      <c r="N1308" t="s">
        <v>2574</v>
      </c>
    </row>
    <row r="1309" spans="1:14" hidden="1" x14ac:dyDescent="0.25">
      <c r="A1309" t="s">
        <v>1313</v>
      </c>
      <c r="B1309" t="s">
        <v>1327</v>
      </c>
      <c r="C1309" t="s">
        <v>2596</v>
      </c>
      <c r="D1309" t="s">
        <v>20</v>
      </c>
      <c r="F1309">
        <v>1152</v>
      </c>
      <c r="G1309">
        <v>24</v>
      </c>
      <c r="H1309" s="89">
        <v>46140</v>
      </c>
      <c r="I1309" s="89">
        <v>46144</v>
      </c>
      <c r="J1309" t="s">
        <v>2597</v>
      </c>
      <c r="N1309" t="s">
        <v>2574</v>
      </c>
    </row>
    <row r="1310" spans="1:14" hidden="1" x14ac:dyDescent="0.25">
      <c r="A1310" t="s">
        <v>1313</v>
      </c>
      <c r="B1310" t="s">
        <v>1327</v>
      </c>
      <c r="C1310" t="s">
        <v>2596</v>
      </c>
      <c r="D1310" t="s">
        <v>20</v>
      </c>
      <c r="F1310">
        <v>384</v>
      </c>
      <c r="G1310">
        <v>8</v>
      </c>
      <c r="H1310" s="89">
        <v>46140</v>
      </c>
      <c r="I1310" s="89">
        <v>46146</v>
      </c>
      <c r="J1310" t="s">
        <v>2598</v>
      </c>
      <c r="N1310" t="s">
        <v>2574</v>
      </c>
    </row>
    <row r="1311" spans="1:14" hidden="1" x14ac:dyDescent="0.25">
      <c r="A1311" t="s">
        <v>1315</v>
      </c>
      <c r="B1311" t="s">
        <v>1329</v>
      </c>
      <c r="C1311" t="s">
        <v>2599</v>
      </c>
      <c r="D1311" t="s">
        <v>20</v>
      </c>
      <c r="F1311">
        <v>81</v>
      </c>
      <c r="G1311" t="s">
        <v>1419</v>
      </c>
      <c r="H1311" s="89">
        <v>46140</v>
      </c>
      <c r="I1311" s="89">
        <v>46142</v>
      </c>
      <c r="N1311" t="s">
        <v>2574</v>
      </c>
    </row>
    <row r="1312" spans="1:14" hidden="1" x14ac:dyDescent="0.25">
      <c r="A1312" t="s">
        <v>1316</v>
      </c>
      <c r="B1312" t="s">
        <v>1330</v>
      </c>
      <c r="C1312" t="s">
        <v>2599</v>
      </c>
      <c r="D1312" t="s">
        <v>20</v>
      </c>
      <c r="F1312">
        <v>156</v>
      </c>
      <c r="G1312" t="s">
        <v>1419</v>
      </c>
      <c r="H1312" s="89">
        <v>46140</v>
      </c>
      <c r="I1312" s="89">
        <v>46142</v>
      </c>
      <c r="N1312" t="s">
        <v>2574</v>
      </c>
    </row>
    <row r="1313" spans="1:14" hidden="1" x14ac:dyDescent="0.25">
      <c r="A1313" t="s">
        <v>1317</v>
      </c>
      <c r="B1313" t="s">
        <v>1331</v>
      </c>
      <c r="C1313" t="s">
        <v>2600</v>
      </c>
      <c r="D1313" t="s">
        <v>20</v>
      </c>
      <c r="F1313">
        <v>12</v>
      </c>
      <c r="G1313" t="s">
        <v>1419</v>
      </c>
      <c r="H1313" s="89">
        <v>46140</v>
      </c>
      <c r="I1313" s="89">
        <v>46142</v>
      </c>
      <c r="N1313" t="s">
        <v>2574</v>
      </c>
    </row>
    <row r="1314" spans="1:14" hidden="1" x14ac:dyDescent="0.25">
      <c r="A1314" t="s">
        <v>1318</v>
      </c>
      <c r="B1314" t="s">
        <v>1332</v>
      </c>
      <c r="C1314" t="s">
        <v>2601</v>
      </c>
      <c r="D1314" t="s">
        <v>20</v>
      </c>
      <c r="F1314">
        <v>73</v>
      </c>
      <c r="G1314" t="s">
        <v>1419</v>
      </c>
      <c r="H1314" s="89">
        <v>46140</v>
      </c>
      <c r="I1314" s="89">
        <v>46142</v>
      </c>
      <c r="N1314" t="s">
        <v>2574</v>
      </c>
    </row>
    <row r="1315" spans="1:14" hidden="1" x14ac:dyDescent="0.25">
      <c r="A1315" t="s">
        <v>1313</v>
      </c>
      <c r="B1315" t="s">
        <v>1327</v>
      </c>
      <c r="C1315" t="s">
        <v>2602</v>
      </c>
      <c r="D1315" t="s">
        <v>15</v>
      </c>
      <c r="F1315">
        <v>384</v>
      </c>
      <c r="G1315">
        <v>8</v>
      </c>
      <c r="H1315" s="89">
        <v>46140</v>
      </c>
      <c r="I1315" s="89">
        <v>46145</v>
      </c>
      <c r="J1315" t="s">
        <v>2584</v>
      </c>
      <c r="N1315" t="s">
        <v>2574</v>
      </c>
    </row>
    <row r="1316" spans="1:14" hidden="1" x14ac:dyDescent="0.25">
      <c r="A1316" t="s">
        <v>1314</v>
      </c>
      <c r="B1316" t="s">
        <v>1328</v>
      </c>
      <c r="C1316" t="s">
        <v>2602</v>
      </c>
      <c r="D1316" t="s">
        <v>15</v>
      </c>
      <c r="F1316">
        <v>288</v>
      </c>
      <c r="G1316">
        <v>6</v>
      </c>
      <c r="H1316" s="89">
        <v>46140</v>
      </c>
      <c r="I1316" s="89">
        <v>46145</v>
      </c>
      <c r="J1316" t="s">
        <v>2603</v>
      </c>
      <c r="N1316" t="s">
        <v>2574</v>
      </c>
    </row>
    <row r="1317" spans="1:14" hidden="1" x14ac:dyDescent="0.25">
      <c r="A1317" t="s">
        <v>1320</v>
      </c>
      <c r="B1317" t="s">
        <v>1334</v>
      </c>
      <c r="C1317" t="s">
        <v>2602</v>
      </c>
      <c r="D1317" t="s">
        <v>15</v>
      </c>
      <c r="F1317">
        <v>672</v>
      </c>
      <c r="G1317">
        <v>14</v>
      </c>
      <c r="H1317" s="89">
        <v>46140</v>
      </c>
      <c r="I1317" s="89">
        <v>46146</v>
      </c>
      <c r="J1317" t="s">
        <v>2604</v>
      </c>
      <c r="N1317" t="s">
        <v>2574</v>
      </c>
    </row>
    <row r="1318" spans="1:14" hidden="1" x14ac:dyDescent="0.25">
      <c r="A1318" t="s">
        <v>1315</v>
      </c>
      <c r="B1318" t="s">
        <v>1329</v>
      </c>
      <c r="C1318" t="s">
        <v>2605</v>
      </c>
      <c r="D1318" t="s">
        <v>15</v>
      </c>
      <c r="F1318">
        <v>7</v>
      </c>
      <c r="G1318" t="s">
        <v>1419</v>
      </c>
      <c r="H1318" s="89">
        <v>46140</v>
      </c>
      <c r="I1318" s="89">
        <v>46142</v>
      </c>
      <c r="N1318" t="s">
        <v>2574</v>
      </c>
    </row>
    <row r="1319" spans="1:14" hidden="1" x14ac:dyDescent="0.25">
      <c r="A1319" t="s">
        <v>1316</v>
      </c>
      <c r="B1319" t="s">
        <v>1330</v>
      </c>
      <c r="C1319" t="s">
        <v>2605</v>
      </c>
      <c r="D1319" t="s">
        <v>15</v>
      </c>
      <c r="F1319">
        <v>62</v>
      </c>
      <c r="G1319" t="s">
        <v>1419</v>
      </c>
      <c r="H1319" s="89">
        <v>46140</v>
      </c>
      <c r="I1319" s="89">
        <v>46142</v>
      </c>
      <c r="N1319" t="s">
        <v>2574</v>
      </c>
    </row>
    <row r="1320" spans="1:14" hidden="1" x14ac:dyDescent="0.25">
      <c r="A1320" t="s">
        <v>1317</v>
      </c>
      <c r="B1320" t="s">
        <v>1331</v>
      </c>
      <c r="C1320" t="s">
        <v>2606</v>
      </c>
      <c r="D1320" t="s">
        <v>15</v>
      </c>
      <c r="F1320">
        <v>17</v>
      </c>
      <c r="G1320" t="s">
        <v>1419</v>
      </c>
      <c r="H1320" s="89">
        <v>46140</v>
      </c>
      <c r="I1320" s="89">
        <v>46142</v>
      </c>
      <c r="N1320" t="s">
        <v>2574</v>
      </c>
    </row>
    <row r="1321" spans="1:14" hidden="1" x14ac:dyDescent="0.25">
      <c r="A1321" t="s">
        <v>1318</v>
      </c>
      <c r="B1321" t="s">
        <v>1332</v>
      </c>
      <c r="C1321" t="s">
        <v>2607</v>
      </c>
      <c r="D1321" t="s">
        <v>15</v>
      </c>
      <c r="F1321">
        <v>41</v>
      </c>
      <c r="G1321" t="s">
        <v>1419</v>
      </c>
      <c r="H1321" s="89">
        <v>46140</v>
      </c>
      <c r="I1321" s="89">
        <v>46142</v>
      </c>
      <c r="N1321" t="s">
        <v>2574</v>
      </c>
    </row>
    <row r="1322" spans="1:14" hidden="1" x14ac:dyDescent="0.25">
      <c r="A1322" t="s">
        <v>1320</v>
      </c>
      <c r="B1322" t="s">
        <v>1334</v>
      </c>
      <c r="C1322" t="s">
        <v>2608</v>
      </c>
      <c r="D1322" t="s">
        <v>21</v>
      </c>
      <c r="F1322">
        <v>528</v>
      </c>
      <c r="G1322">
        <v>11</v>
      </c>
      <c r="H1322" s="89">
        <v>46140</v>
      </c>
      <c r="I1322" s="89">
        <v>46143</v>
      </c>
      <c r="J1322" t="s">
        <v>2583</v>
      </c>
      <c r="N1322" t="s">
        <v>2574</v>
      </c>
    </row>
    <row r="1323" spans="1:14" hidden="1" x14ac:dyDescent="0.25">
      <c r="A1323" t="s">
        <v>1324</v>
      </c>
      <c r="B1323" t="s">
        <v>1338</v>
      </c>
      <c r="C1323" t="s">
        <v>2608</v>
      </c>
      <c r="D1323" t="s">
        <v>21</v>
      </c>
      <c r="F1323">
        <v>576</v>
      </c>
      <c r="G1323">
        <v>12</v>
      </c>
      <c r="H1323" s="89">
        <v>46140</v>
      </c>
      <c r="I1323" s="89">
        <v>46147</v>
      </c>
      <c r="J1323" t="s">
        <v>2609</v>
      </c>
      <c r="N1323" t="s">
        <v>2574</v>
      </c>
    </row>
    <row r="1324" spans="1:14" hidden="1" x14ac:dyDescent="0.25">
      <c r="A1324" t="s">
        <v>1313</v>
      </c>
      <c r="B1324" t="s">
        <v>1327</v>
      </c>
      <c r="C1324" t="s">
        <v>2608</v>
      </c>
      <c r="D1324" t="s">
        <v>21</v>
      </c>
      <c r="F1324">
        <v>619</v>
      </c>
      <c r="G1324">
        <v>12.895833333333334</v>
      </c>
      <c r="H1324" s="89">
        <v>46140</v>
      </c>
      <c r="I1324" s="89">
        <v>46145</v>
      </c>
      <c r="J1324" t="s">
        <v>2610</v>
      </c>
      <c r="N1324" t="s">
        <v>2574</v>
      </c>
    </row>
    <row r="1325" spans="1:14" hidden="1" x14ac:dyDescent="0.25">
      <c r="A1325" t="s">
        <v>1566</v>
      </c>
      <c r="B1325" t="s">
        <v>1567</v>
      </c>
      <c r="C1325" t="s">
        <v>2608</v>
      </c>
      <c r="D1325" t="s">
        <v>21</v>
      </c>
      <c r="F1325">
        <v>5</v>
      </c>
      <c r="G1325">
        <v>0.10416666666666669</v>
      </c>
      <c r="H1325" s="89">
        <v>46140</v>
      </c>
      <c r="I1325" s="89">
        <v>46145</v>
      </c>
      <c r="J1325" t="s">
        <v>2611</v>
      </c>
      <c r="N1325" t="s">
        <v>2574</v>
      </c>
    </row>
    <row r="1326" spans="1:14" hidden="1" x14ac:dyDescent="0.25">
      <c r="A1326" t="s">
        <v>1315</v>
      </c>
      <c r="B1326" t="s">
        <v>1329</v>
      </c>
      <c r="C1326" t="s">
        <v>2612</v>
      </c>
      <c r="D1326" t="s">
        <v>21</v>
      </c>
      <c r="F1326">
        <v>160</v>
      </c>
      <c r="G1326" t="s">
        <v>1419</v>
      </c>
      <c r="H1326" s="89">
        <v>46140</v>
      </c>
      <c r="I1326" s="89">
        <v>46142</v>
      </c>
      <c r="N1326" t="s">
        <v>2574</v>
      </c>
    </row>
    <row r="1327" spans="1:14" hidden="1" x14ac:dyDescent="0.25">
      <c r="A1327" t="s">
        <v>1316</v>
      </c>
      <c r="B1327" t="s">
        <v>1330</v>
      </c>
      <c r="C1327" t="s">
        <v>2612</v>
      </c>
      <c r="D1327" t="s">
        <v>21</v>
      </c>
      <c r="F1327">
        <v>37</v>
      </c>
      <c r="G1327" t="s">
        <v>1419</v>
      </c>
      <c r="H1327" s="89">
        <v>46140</v>
      </c>
      <c r="I1327" s="89">
        <v>46142</v>
      </c>
      <c r="N1327" t="s">
        <v>2574</v>
      </c>
    </row>
    <row r="1328" spans="1:14" hidden="1" x14ac:dyDescent="0.25">
      <c r="A1328" t="s">
        <v>1317</v>
      </c>
      <c r="B1328" t="s">
        <v>1331</v>
      </c>
      <c r="C1328" t="s">
        <v>2613</v>
      </c>
      <c r="D1328" t="s">
        <v>21</v>
      </c>
      <c r="F1328">
        <v>11</v>
      </c>
      <c r="G1328" t="s">
        <v>1419</v>
      </c>
      <c r="H1328" s="89">
        <v>46140</v>
      </c>
      <c r="I1328" s="89">
        <v>46142</v>
      </c>
      <c r="N1328" t="s">
        <v>2574</v>
      </c>
    </row>
    <row r="1329" spans="1:14" hidden="1" x14ac:dyDescent="0.25">
      <c r="A1329" t="s">
        <v>1318</v>
      </c>
      <c r="B1329" t="s">
        <v>1332</v>
      </c>
      <c r="C1329" t="s">
        <v>2614</v>
      </c>
      <c r="D1329" t="s">
        <v>21</v>
      </c>
      <c r="F1329">
        <v>118</v>
      </c>
      <c r="G1329" t="s">
        <v>1419</v>
      </c>
      <c r="H1329" s="89">
        <v>46140</v>
      </c>
      <c r="I1329" s="89">
        <v>46142</v>
      </c>
      <c r="N1329" t="s">
        <v>2574</v>
      </c>
    </row>
    <row r="1330" spans="1:14" hidden="1" x14ac:dyDescent="0.25">
      <c r="A1330" t="s">
        <v>1321</v>
      </c>
      <c r="B1330" t="s">
        <v>1335</v>
      </c>
      <c r="C1330" t="s">
        <v>2615</v>
      </c>
      <c r="D1330" t="s">
        <v>138</v>
      </c>
      <c r="F1330">
        <v>96</v>
      </c>
      <c r="G1330">
        <v>2</v>
      </c>
      <c r="H1330" s="89">
        <v>46140</v>
      </c>
      <c r="I1330" s="89">
        <v>46146</v>
      </c>
      <c r="J1330" t="s">
        <v>2573</v>
      </c>
      <c r="N1330" t="s">
        <v>2574</v>
      </c>
    </row>
    <row r="1331" spans="1:14" hidden="1" x14ac:dyDescent="0.25">
      <c r="A1331" t="s">
        <v>1325</v>
      </c>
      <c r="B1331" t="s">
        <v>1339</v>
      </c>
      <c r="C1331" t="s">
        <v>2615</v>
      </c>
      <c r="D1331" t="s">
        <v>138</v>
      </c>
      <c r="F1331">
        <v>192</v>
      </c>
      <c r="G1331">
        <v>4</v>
      </c>
      <c r="H1331" s="89">
        <v>46140</v>
      </c>
      <c r="I1331" s="89">
        <v>46143</v>
      </c>
      <c r="N1331" t="s">
        <v>2574</v>
      </c>
    </row>
    <row r="1332" spans="1:14" hidden="1" x14ac:dyDescent="0.25">
      <c r="A1332" t="s">
        <v>1313</v>
      </c>
      <c r="B1332" t="s">
        <v>1327</v>
      </c>
      <c r="C1332" t="s">
        <v>2616</v>
      </c>
      <c r="D1332" t="s">
        <v>20</v>
      </c>
      <c r="F1332">
        <v>768</v>
      </c>
      <c r="G1332">
        <v>16</v>
      </c>
      <c r="H1332" s="89">
        <v>46141</v>
      </c>
      <c r="I1332" s="89">
        <v>46146</v>
      </c>
      <c r="J1332" t="s">
        <v>2598</v>
      </c>
      <c r="N1332" t="s">
        <v>2574</v>
      </c>
    </row>
    <row r="1333" spans="1:14" hidden="1" x14ac:dyDescent="0.25">
      <c r="A1333" t="s">
        <v>1320</v>
      </c>
      <c r="B1333" t="s">
        <v>1334</v>
      </c>
      <c r="C1333" t="s">
        <v>2616</v>
      </c>
      <c r="D1333" t="s">
        <v>20</v>
      </c>
      <c r="F1333">
        <v>240</v>
      </c>
      <c r="G1333">
        <v>5</v>
      </c>
      <c r="H1333" s="89">
        <v>46141</v>
      </c>
      <c r="I1333" s="89">
        <v>46146</v>
      </c>
      <c r="J1333" t="s">
        <v>2617</v>
      </c>
      <c r="N1333" t="s">
        <v>2574</v>
      </c>
    </row>
    <row r="1334" spans="1:14" hidden="1" x14ac:dyDescent="0.25">
      <c r="A1334" t="s">
        <v>1315</v>
      </c>
      <c r="B1334" t="s">
        <v>1329</v>
      </c>
      <c r="C1334" t="s">
        <v>2618</v>
      </c>
      <c r="D1334" t="s">
        <v>20</v>
      </c>
      <c r="F1334">
        <v>57</v>
      </c>
      <c r="G1334" t="s">
        <v>1419</v>
      </c>
      <c r="H1334" s="89">
        <v>46141</v>
      </c>
      <c r="I1334" s="89">
        <v>46143</v>
      </c>
      <c r="N1334" t="s">
        <v>2574</v>
      </c>
    </row>
    <row r="1335" spans="1:14" hidden="1" x14ac:dyDescent="0.25">
      <c r="A1335" t="s">
        <v>1316</v>
      </c>
      <c r="B1335" t="s">
        <v>1330</v>
      </c>
      <c r="C1335" t="s">
        <v>2618</v>
      </c>
      <c r="D1335" t="s">
        <v>20</v>
      </c>
      <c r="F1335">
        <v>154</v>
      </c>
      <c r="G1335" t="s">
        <v>1419</v>
      </c>
      <c r="H1335" s="89">
        <v>46141</v>
      </c>
      <c r="I1335" s="89">
        <v>46143</v>
      </c>
      <c r="N1335" t="s">
        <v>2574</v>
      </c>
    </row>
    <row r="1336" spans="1:14" hidden="1" x14ac:dyDescent="0.25">
      <c r="A1336" t="s">
        <v>1317</v>
      </c>
      <c r="B1336" t="s">
        <v>1331</v>
      </c>
      <c r="C1336" t="s">
        <v>2619</v>
      </c>
      <c r="D1336" t="s">
        <v>20</v>
      </c>
      <c r="F1336">
        <v>8</v>
      </c>
      <c r="G1336" t="s">
        <v>1419</v>
      </c>
      <c r="H1336" s="89">
        <v>46141</v>
      </c>
      <c r="I1336" s="89">
        <v>46143</v>
      </c>
      <c r="N1336" t="s">
        <v>2574</v>
      </c>
    </row>
    <row r="1337" spans="1:14" hidden="1" x14ac:dyDescent="0.25">
      <c r="A1337" t="s">
        <v>1318</v>
      </c>
      <c r="B1337" t="s">
        <v>1332</v>
      </c>
      <c r="C1337" t="s">
        <v>2620</v>
      </c>
      <c r="D1337" t="s">
        <v>20</v>
      </c>
      <c r="F1337">
        <v>59</v>
      </c>
      <c r="G1337" t="s">
        <v>1419</v>
      </c>
      <c r="H1337" s="89">
        <v>46141</v>
      </c>
      <c r="I1337" s="89">
        <v>46143</v>
      </c>
      <c r="N1337" t="s">
        <v>2574</v>
      </c>
    </row>
    <row r="1338" spans="1:14" hidden="1" x14ac:dyDescent="0.25">
      <c r="A1338" t="s">
        <v>1324</v>
      </c>
      <c r="B1338" t="s">
        <v>1338</v>
      </c>
      <c r="C1338" t="s">
        <v>2621</v>
      </c>
      <c r="D1338" t="s">
        <v>105</v>
      </c>
      <c r="F1338">
        <v>960</v>
      </c>
      <c r="G1338">
        <v>20</v>
      </c>
      <c r="H1338" s="89">
        <v>46141</v>
      </c>
      <c r="I1338" s="89">
        <v>46147</v>
      </c>
      <c r="J1338" t="s">
        <v>2609</v>
      </c>
      <c r="N1338" t="s">
        <v>2574</v>
      </c>
    </row>
    <row r="1339" spans="1:14" hidden="1" x14ac:dyDescent="0.25">
      <c r="A1339" t="s">
        <v>1326</v>
      </c>
      <c r="B1339" t="s">
        <v>1340</v>
      </c>
      <c r="C1339" t="s">
        <v>2622</v>
      </c>
      <c r="D1339" t="s">
        <v>138</v>
      </c>
      <c r="F1339">
        <v>1008</v>
      </c>
      <c r="G1339">
        <v>24</v>
      </c>
      <c r="H1339" s="89">
        <v>46141</v>
      </c>
      <c r="I1339" s="89">
        <v>46143</v>
      </c>
      <c r="J1339" t="s">
        <v>2623</v>
      </c>
      <c r="N1339" t="s">
        <v>2574</v>
      </c>
    </row>
    <row r="1340" spans="1:14" hidden="1" x14ac:dyDescent="0.25">
      <c r="A1340" t="s">
        <v>1324</v>
      </c>
      <c r="B1340" t="s">
        <v>1338</v>
      </c>
      <c r="C1340" t="s">
        <v>2624</v>
      </c>
      <c r="D1340" t="s">
        <v>23</v>
      </c>
      <c r="F1340">
        <v>864</v>
      </c>
      <c r="G1340">
        <v>18</v>
      </c>
      <c r="H1340" s="89">
        <v>46141</v>
      </c>
      <c r="I1340" s="89">
        <v>46146</v>
      </c>
      <c r="J1340" t="s">
        <v>2573</v>
      </c>
      <c r="N1340" t="s">
        <v>2574</v>
      </c>
    </row>
    <row r="1341" spans="1:14" hidden="1" x14ac:dyDescent="0.25">
      <c r="A1341" t="s">
        <v>1324</v>
      </c>
      <c r="B1341" t="s">
        <v>1338</v>
      </c>
      <c r="C1341" t="s">
        <v>2625</v>
      </c>
      <c r="D1341" t="s">
        <v>21</v>
      </c>
      <c r="F1341">
        <v>384</v>
      </c>
      <c r="G1341">
        <v>8</v>
      </c>
      <c r="H1341" s="89">
        <v>46141</v>
      </c>
      <c r="I1341" s="89">
        <v>46147</v>
      </c>
      <c r="J1341" t="s">
        <v>2609</v>
      </c>
      <c r="N1341" t="s">
        <v>2574</v>
      </c>
    </row>
    <row r="1342" spans="1:14" hidden="1" x14ac:dyDescent="0.25">
      <c r="A1342" t="s">
        <v>1313</v>
      </c>
      <c r="B1342" t="s">
        <v>1327</v>
      </c>
      <c r="C1342" t="s">
        <v>2625</v>
      </c>
      <c r="D1342" t="s">
        <v>21</v>
      </c>
      <c r="F1342">
        <v>528</v>
      </c>
      <c r="G1342">
        <v>11</v>
      </c>
      <c r="H1342" s="89">
        <v>46141</v>
      </c>
      <c r="I1342" s="89">
        <v>46145</v>
      </c>
      <c r="J1342" t="s">
        <v>2610</v>
      </c>
      <c r="N1342" t="s">
        <v>2574</v>
      </c>
    </row>
    <row r="1343" spans="1:14" hidden="1" x14ac:dyDescent="0.25">
      <c r="A1343" t="s">
        <v>1320</v>
      </c>
      <c r="B1343" t="s">
        <v>1334</v>
      </c>
      <c r="C1343" t="s">
        <v>2625</v>
      </c>
      <c r="D1343" t="s">
        <v>21</v>
      </c>
      <c r="F1343">
        <v>192</v>
      </c>
      <c r="G1343">
        <v>4</v>
      </c>
      <c r="H1343" s="89">
        <v>46141</v>
      </c>
      <c r="I1343" s="89">
        <v>46146</v>
      </c>
      <c r="J1343" t="s">
        <v>2626</v>
      </c>
      <c r="N1343" t="s">
        <v>2574</v>
      </c>
    </row>
    <row r="1344" spans="1:14" hidden="1" x14ac:dyDescent="0.25">
      <c r="A1344" t="s">
        <v>1315</v>
      </c>
      <c r="B1344" t="s">
        <v>1329</v>
      </c>
      <c r="C1344" t="s">
        <v>2627</v>
      </c>
      <c r="D1344" t="s">
        <v>21</v>
      </c>
      <c r="F1344">
        <v>112</v>
      </c>
      <c r="G1344" t="s">
        <v>1419</v>
      </c>
      <c r="H1344" s="89">
        <v>46141</v>
      </c>
      <c r="I1344" s="89">
        <v>46143</v>
      </c>
      <c r="N1344" t="s">
        <v>2574</v>
      </c>
    </row>
    <row r="1345" spans="1:14" hidden="1" x14ac:dyDescent="0.25">
      <c r="A1345" t="s">
        <v>1316</v>
      </c>
      <c r="B1345" t="s">
        <v>1330</v>
      </c>
      <c r="C1345" t="s">
        <v>2627</v>
      </c>
      <c r="D1345" t="s">
        <v>21</v>
      </c>
      <c r="F1345">
        <v>18</v>
      </c>
      <c r="G1345" t="s">
        <v>1419</v>
      </c>
      <c r="H1345" s="89">
        <v>46141</v>
      </c>
      <c r="I1345" s="89">
        <v>46143</v>
      </c>
      <c r="N1345" t="s">
        <v>2574</v>
      </c>
    </row>
    <row r="1346" spans="1:14" hidden="1" x14ac:dyDescent="0.25">
      <c r="A1346" t="s">
        <v>1317</v>
      </c>
      <c r="B1346" t="s">
        <v>1331</v>
      </c>
      <c r="C1346" t="s">
        <v>2628</v>
      </c>
      <c r="D1346" t="s">
        <v>21</v>
      </c>
      <c r="F1346">
        <v>6</v>
      </c>
      <c r="G1346" t="s">
        <v>1419</v>
      </c>
      <c r="H1346" s="89">
        <v>46141</v>
      </c>
      <c r="I1346" s="89">
        <v>46143</v>
      </c>
      <c r="N1346" t="s">
        <v>2574</v>
      </c>
    </row>
    <row r="1347" spans="1:14" hidden="1" x14ac:dyDescent="0.25">
      <c r="A1347" t="s">
        <v>1318</v>
      </c>
      <c r="B1347" t="s">
        <v>1332</v>
      </c>
      <c r="C1347" t="s">
        <v>2629</v>
      </c>
      <c r="D1347" t="s">
        <v>21</v>
      </c>
      <c r="F1347">
        <v>62</v>
      </c>
      <c r="G1347" t="s">
        <v>1419</v>
      </c>
      <c r="H1347" s="89">
        <v>46141</v>
      </c>
      <c r="I1347" s="89">
        <v>46143</v>
      </c>
      <c r="N1347" t="s">
        <v>2574</v>
      </c>
    </row>
    <row r="1348" spans="1:14" hidden="1" x14ac:dyDescent="0.25">
      <c r="A1348" t="s">
        <v>1320</v>
      </c>
      <c r="B1348" t="s">
        <v>1334</v>
      </c>
      <c r="C1348" t="s">
        <v>2630</v>
      </c>
      <c r="D1348" t="s">
        <v>15</v>
      </c>
      <c r="F1348">
        <v>288</v>
      </c>
      <c r="G1348">
        <v>6</v>
      </c>
      <c r="H1348" s="89">
        <v>46141</v>
      </c>
      <c r="I1348" s="89">
        <v>46146</v>
      </c>
      <c r="J1348" t="s">
        <v>2604</v>
      </c>
      <c r="N1348" t="s">
        <v>2574</v>
      </c>
    </row>
    <row r="1349" spans="1:14" hidden="1" x14ac:dyDescent="0.25">
      <c r="A1349" t="s">
        <v>1320</v>
      </c>
      <c r="B1349" t="s">
        <v>1334</v>
      </c>
      <c r="C1349" t="s">
        <v>2630</v>
      </c>
      <c r="D1349" t="s">
        <v>15</v>
      </c>
      <c r="F1349">
        <v>960</v>
      </c>
      <c r="G1349">
        <v>20</v>
      </c>
      <c r="H1349" s="89">
        <v>46141</v>
      </c>
      <c r="I1349" s="89">
        <v>46146</v>
      </c>
      <c r="J1349" t="s">
        <v>2631</v>
      </c>
      <c r="N1349" t="s">
        <v>2574</v>
      </c>
    </row>
    <row r="1350" spans="1:14" hidden="1" x14ac:dyDescent="0.25">
      <c r="A1350" t="s">
        <v>1320</v>
      </c>
      <c r="B1350" t="s">
        <v>1334</v>
      </c>
      <c r="C1350" t="s">
        <v>2630</v>
      </c>
      <c r="D1350" t="s">
        <v>15</v>
      </c>
      <c r="F1350">
        <v>48</v>
      </c>
      <c r="G1350">
        <v>1</v>
      </c>
      <c r="H1350" s="89">
        <v>46141</v>
      </c>
      <c r="I1350" s="89">
        <v>46146</v>
      </c>
      <c r="J1350" t="s">
        <v>2617</v>
      </c>
      <c r="N1350" t="s">
        <v>2574</v>
      </c>
    </row>
    <row r="1351" spans="1:14" hidden="1" x14ac:dyDescent="0.25">
      <c r="A1351" t="s">
        <v>1313</v>
      </c>
      <c r="B1351" t="s">
        <v>1327</v>
      </c>
      <c r="C1351" t="s">
        <v>2630</v>
      </c>
      <c r="D1351" t="s">
        <v>15</v>
      </c>
      <c r="F1351">
        <v>172</v>
      </c>
      <c r="G1351">
        <v>3.5833333333333335</v>
      </c>
      <c r="H1351" s="89">
        <v>46141</v>
      </c>
      <c r="I1351" s="89">
        <v>46145</v>
      </c>
      <c r="J1351" t="s">
        <v>2584</v>
      </c>
      <c r="N1351" t="s">
        <v>2574</v>
      </c>
    </row>
    <row r="1352" spans="1:14" hidden="1" x14ac:dyDescent="0.25">
      <c r="A1352" t="s">
        <v>1316</v>
      </c>
      <c r="B1352" t="s">
        <v>1330</v>
      </c>
      <c r="C1352" t="s">
        <v>2632</v>
      </c>
      <c r="D1352" t="s">
        <v>15</v>
      </c>
      <c r="F1352">
        <v>85</v>
      </c>
      <c r="G1352" t="s">
        <v>1419</v>
      </c>
      <c r="H1352" s="89">
        <v>46141</v>
      </c>
      <c r="I1352" s="89">
        <v>46143</v>
      </c>
      <c r="N1352" t="s">
        <v>2574</v>
      </c>
    </row>
    <row r="1353" spans="1:14" hidden="1" x14ac:dyDescent="0.25">
      <c r="A1353" t="s">
        <v>1317</v>
      </c>
      <c r="B1353" t="s">
        <v>1331</v>
      </c>
      <c r="C1353" t="s">
        <v>2633</v>
      </c>
      <c r="D1353" t="s">
        <v>15</v>
      </c>
      <c r="F1353">
        <v>24</v>
      </c>
      <c r="G1353" t="s">
        <v>1419</v>
      </c>
      <c r="H1353" s="89">
        <v>46141</v>
      </c>
      <c r="I1353" s="89">
        <v>46143</v>
      </c>
      <c r="N1353" t="s">
        <v>2574</v>
      </c>
    </row>
    <row r="1354" spans="1:14" hidden="1" x14ac:dyDescent="0.25">
      <c r="A1354" t="s">
        <v>1318</v>
      </c>
      <c r="B1354" t="s">
        <v>1332</v>
      </c>
      <c r="C1354" t="s">
        <v>2634</v>
      </c>
      <c r="D1354" t="s">
        <v>15</v>
      </c>
      <c r="F1354">
        <v>44</v>
      </c>
      <c r="G1354" t="s">
        <v>1419</v>
      </c>
      <c r="H1354" s="89">
        <v>46141</v>
      </c>
      <c r="I1354" s="89">
        <v>46143</v>
      </c>
      <c r="N1354" t="s">
        <v>2574</v>
      </c>
    </row>
    <row r="1355" spans="1:14" hidden="1" x14ac:dyDescent="0.25">
      <c r="A1355" t="s">
        <v>1320</v>
      </c>
      <c r="B1355" t="s">
        <v>1334</v>
      </c>
      <c r="C1355" t="s">
        <v>2635</v>
      </c>
      <c r="D1355" t="s">
        <v>23</v>
      </c>
      <c r="F1355">
        <v>960</v>
      </c>
      <c r="G1355">
        <v>20</v>
      </c>
      <c r="H1355" s="89">
        <v>46142</v>
      </c>
      <c r="I1355" s="89">
        <v>46147</v>
      </c>
      <c r="J1355" t="s">
        <v>2636</v>
      </c>
      <c r="N1355" t="s">
        <v>2574</v>
      </c>
    </row>
    <row r="1356" spans="1:14" hidden="1" x14ac:dyDescent="0.25">
      <c r="A1356" t="s">
        <v>1324</v>
      </c>
      <c r="B1356" t="s">
        <v>1338</v>
      </c>
      <c r="C1356" t="s">
        <v>2637</v>
      </c>
      <c r="D1356" t="s">
        <v>104</v>
      </c>
      <c r="F1356">
        <v>960</v>
      </c>
      <c r="G1356">
        <v>20</v>
      </c>
      <c r="H1356" s="89">
        <v>46142</v>
      </c>
      <c r="I1356" s="89">
        <v>46149</v>
      </c>
      <c r="J1356" t="s">
        <v>2638</v>
      </c>
      <c r="N1356" t="s">
        <v>2574</v>
      </c>
    </row>
    <row r="1357" spans="1:14" hidden="1" x14ac:dyDescent="0.25">
      <c r="A1357" t="s">
        <v>1324</v>
      </c>
      <c r="B1357" t="s">
        <v>1338</v>
      </c>
      <c r="C1357" t="s">
        <v>2639</v>
      </c>
      <c r="D1357" t="s">
        <v>28</v>
      </c>
      <c r="F1357">
        <v>624</v>
      </c>
      <c r="G1357">
        <v>13</v>
      </c>
      <c r="H1357" s="89">
        <v>46142</v>
      </c>
      <c r="I1357" s="89">
        <v>46149</v>
      </c>
      <c r="J1357" t="s">
        <v>2638</v>
      </c>
      <c r="N1357" t="s">
        <v>2574</v>
      </c>
    </row>
    <row r="1358" spans="1:14" hidden="1" x14ac:dyDescent="0.25">
      <c r="A1358" t="s">
        <v>1320</v>
      </c>
      <c r="B1358" t="s">
        <v>1334</v>
      </c>
      <c r="C1358" t="s">
        <v>2639</v>
      </c>
      <c r="D1358" t="s">
        <v>28</v>
      </c>
      <c r="F1358">
        <v>768</v>
      </c>
      <c r="G1358">
        <v>16</v>
      </c>
      <c r="H1358" s="89">
        <v>46142</v>
      </c>
      <c r="I1358" s="89">
        <v>46146</v>
      </c>
      <c r="J1358" t="s">
        <v>2626</v>
      </c>
      <c r="N1358" t="s">
        <v>2574</v>
      </c>
    </row>
    <row r="1359" spans="1:14" hidden="1" x14ac:dyDescent="0.25">
      <c r="A1359" t="s">
        <v>1313</v>
      </c>
      <c r="B1359" t="s">
        <v>1327</v>
      </c>
      <c r="C1359" t="s">
        <v>2639</v>
      </c>
      <c r="D1359" t="s">
        <v>28</v>
      </c>
      <c r="F1359">
        <v>0</v>
      </c>
      <c r="G1359">
        <v>0</v>
      </c>
      <c r="H1359" s="89">
        <v>46142</v>
      </c>
      <c r="I1359" s="89">
        <v>46145</v>
      </c>
      <c r="J1359" t="s">
        <v>2598</v>
      </c>
      <c r="N1359" t="s">
        <v>2574</v>
      </c>
    </row>
    <row r="1360" spans="1:14" hidden="1" x14ac:dyDescent="0.25">
      <c r="A1360" t="s">
        <v>1315</v>
      </c>
      <c r="B1360" t="s">
        <v>1329</v>
      </c>
      <c r="C1360" t="s">
        <v>2639</v>
      </c>
      <c r="D1360" t="s">
        <v>28</v>
      </c>
      <c r="F1360">
        <v>174</v>
      </c>
      <c r="G1360" t="s">
        <v>1419</v>
      </c>
      <c r="H1360" s="89">
        <v>46142</v>
      </c>
      <c r="I1360" s="89">
        <v>46144</v>
      </c>
      <c r="N1360" t="s">
        <v>2574</v>
      </c>
    </row>
    <row r="1361" spans="1:14" hidden="1" x14ac:dyDescent="0.25">
      <c r="A1361" t="s">
        <v>1316</v>
      </c>
      <c r="B1361" t="s">
        <v>1330</v>
      </c>
      <c r="C1361" t="s">
        <v>2640</v>
      </c>
      <c r="D1361" t="s">
        <v>28</v>
      </c>
      <c r="F1361">
        <v>22</v>
      </c>
      <c r="G1361" t="s">
        <v>1419</v>
      </c>
      <c r="H1361" s="89">
        <v>46142</v>
      </c>
      <c r="I1361" s="89">
        <v>46144</v>
      </c>
      <c r="N1361" t="s">
        <v>2574</v>
      </c>
    </row>
    <row r="1362" spans="1:14" hidden="1" x14ac:dyDescent="0.25">
      <c r="A1362" t="s">
        <v>1317</v>
      </c>
      <c r="B1362" t="s">
        <v>1331</v>
      </c>
      <c r="C1362" t="s">
        <v>2641</v>
      </c>
      <c r="D1362" t="s">
        <v>28</v>
      </c>
      <c r="F1362">
        <v>0</v>
      </c>
      <c r="G1362" t="s">
        <v>1419</v>
      </c>
      <c r="H1362" s="89">
        <v>46142</v>
      </c>
      <c r="I1362" s="89">
        <v>46144</v>
      </c>
      <c r="N1362" t="s">
        <v>2574</v>
      </c>
    </row>
    <row r="1363" spans="1:14" hidden="1" x14ac:dyDescent="0.25">
      <c r="A1363" t="s">
        <v>1318</v>
      </c>
      <c r="B1363" t="s">
        <v>1332</v>
      </c>
      <c r="C1363" t="s">
        <v>2642</v>
      </c>
      <c r="D1363" t="s">
        <v>28</v>
      </c>
      <c r="F1363">
        <v>75</v>
      </c>
      <c r="G1363" t="s">
        <v>1419</v>
      </c>
      <c r="H1363" s="89">
        <v>46142</v>
      </c>
      <c r="I1363" s="89">
        <v>46144</v>
      </c>
      <c r="N1363" t="s">
        <v>2574</v>
      </c>
    </row>
    <row r="1364" spans="1:14" hidden="1" x14ac:dyDescent="0.25">
      <c r="A1364" t="s">
        <v>1320</v>
      </c>
      <c r="B1364" t="s">
        <v>1334</v>
      </c>
      <c r="C1364" t="s">
        <v>2643</v>
      </c>
      <c r="D1364" t="s">
        <v>20</v>
      </c>
      <c r="F1364">
        <v>960</v>
      </c>
      <c r="G1364">
        <v>20</v>
      </c>
      <c r="H1364" s="89">
        <v>46142</v>
      </c>
      <c r="I1364" s="89">
        <v>46147</v>
      </c>
      <c r="J1364" t="s">
        <v>2644</v>
      </c>
      <c r="N1364" t="s">
        <v>2574</v>
      </c>
    </row>
    <row r="1365" spans="1:14" hidden="1" x14ac:dyDescent="0.25">
      <c r="A1365" t="s">
        <v>1320</v>
      </c>
      <c r="B1365" t="s">
        <v>1334</v>
      </c>
      <c r="C1365" t="s">
        <v>2643</v>
      </c>
      <c r="D1365" t="s">
        <v>20</v>
      </c>
      <c r="F1365">
        <v>240</v>
      </c>
      <c r="G1365">
        <v>5</v>
      </c>
      <c r="H1365" s="89">
        <v>46142</v>
      </c>
      <c r="I1365" s="89">
        <v>46146</v>
      </c>
      <c r="J1365" t="s">
        <v>2617</v>
      </c>
      <c r="N1365" t="s">
        <v>2574</v>
      </c>
    </row>
    <row r="1366" spans="1:14" hidden="1" x14ac:dyDescent="0.25">
      <c r="A1366" t="s">
        <v>1315</v>
      </c>
      <c r="B1366" t="s">
        <v>1329</v>
      </c>
      <c r="C1366" t="s">
        <v>2645</v>
      </c>
      <c r="D1366" t="s">
        <v>20</v>
      </c>
      <c r="F1366">
        <v>105</v>
      </c>
      <c r="G1366" t="s">
        <v>1419</v>
      </c>
      <c r="H1366" s="89">
        <v>46142</v>
      </c>
      <c r="I1366" s="89">
        <v>46144</v>
      </c>
      <c r="N1366" t="s">
        <v>2574</v>
      </c>
    </row>
    <row r="1367" spans="1:14" hidden="1" x14ac:dyDescent="0.25">
      <c r="A1367" t="s">
        <v>1316</v>
      </c>
      <c r="B1367" t="s">
        <v>1330</v>
      </c>
      <c r="C1367" t="s">
        <v>2645</v>
      </c>
      <c r="D1367" t="s">
        <v>20</v>
      </c>
      <c r="F1367">
        <v>132</v>
      </c>
      <c r="G1367" t="s">
        <v>1419</v>
      </c>
      <c r="H1367" s="89">
        <v>46142</v>
      </c>
      <c r="I1367" s="89">
        <v>46144</v>
      </c>
      <c r="N1367" t="s">
        <v>2574</v>
      </c>
    </row>
    <row r="1368" spans="1:14" hidden="1" x14ac:dyDescent="0.25">
      <c r="A1368" t="s">
        <v>1317</v>
      </c>
      <c r="B1368" t="s">
        <v>1331</v>
      </c>
      <c r="C1368" t="s">
        <v>2646</v>
      </c>
      <c r="D1368" t="s">
        <v>20</v>
      </c>
      <c r="F1368">
        <v>3</v>
      </c>
      <c r="G1368" t="s">
        <v>1419</v>
      </c>
      <c r="H1368" s="89">
        <v>46142</v>
      </c>
      <c r="I1368" s="89">
        <v>46144</v>
      </c>
      <c r="N1368" t="s">
        <v>2574</v>
      </c>
    </row>
    <row r="1369" spans="1:14" hidden="1" x14ac:dyDescent="0.25">
      <c r="A1369" t="s">
        <v>1318</v>
      </c>
      <c r="B1369" t="s">
        <v>1332</v>
      </c>
      <c r="C1369" t="s">
        <v>2647</v>
      </c>
      <c r="D1369" t="s">
        <v>20</v>
      </c>
      <c r="F1369">
        <v>57</v>
      </c>
      <c r="G1369" t="s">
        <v>1419</v>
      </c>
      <c r="H1369" s="89">
        <v>46142</v>
      </c>
      <c r="I1369" s="89">
        <v>46144</v>
      </c>
      <c r="N1369" t="s">
        <v>2574</v>
      </c>
    </row>
    <row r="1370" spans="1:14" hidden="1" x14ac:dyDescent="0.25">
      <c r="A1370" t="s">
        <v>1320</v>
      </c>
      <c r="B1370" t="s">
        <v>1334</v>
      </c>
      <c r="C1370" t="s">
        <v>2648</v>
      </c>
      <c r="D1370" t="s">
        <v>15</v>
      </c>
      <c r="F1370">
        <v>432</v>
      </c>
      <c r="G1370">
        <v>9</v>
      </c>
      <c r="H1370" s="89">
        <v>46142</v>
      </c>
      <c r="I1370" s="89">
        <v>46146</v>
      </c>
      <c r="J1370" t="s">
        <v>2617</v>
      </c>
      <c r="N1370" t="s">
        <v>2574</v>
      </c>
    </row>
    <row r="1371" spans="1:14" hidden="1" x14ac:dyDescent="0.25">
      <c r="A1371" t="s">
        <v>1313</v>
      </c>
      <c r="B1371" t="s">
        <v>1327</v>
      </c>
      <c r="C1371" t="s">
        <v>2648</v>
      </c>
      <c r="D1371" t="s">
        <v>15</v>
      </c>
      <c r="F1371">
        <v>20</v>
      </c>
      <c r="G1371">
        <v>0.41666666666666674</v>
      </c>
      <c r="H1371" s="89">
        <v>46142</v>
      </c>
      <c r="I1371" s="89">
        <v>46145</v>
      </c>
      <c r="J1371" t="s">
        <v>2584</v>
      </c>
      <c r="N1371" t="s">
        <v>2574</v>
      </c>
    </row>
    <row r="1372" spans="1:14" hidden="1" x14ac:dyDescent="0.25">
      <c r="A1372" t="s">
        <v>1313</v>
      </c>
      <c r="B1372" t="s">
        <v>1327</v>
      </c>
      <c r="C1372" t="s">
        <v>2648</v>
      </c>
      <c r="D1372" t="s">
        <v>15</v>
      </c>
      <c r="F1372">
        <v>576</v>
      </c>
      <c r="G1372">
        <v>12</v>
      </c>
      <c r="H1372" s="89">
        <v>46142</v>
      </c>
      <c r="I1372" s="89">
        <v>46147</v>
      </c>
      <c r="J1372" t="s">
        <v>2649</v>
      </c>
      <c r="N1372" t="s">
        <v>2574</v>
      </c>
    </row>
    <row r="1373" spans="1:14" hidden="1" x14ac:dyDescent="0.25">
      <c r="A1373" t="s">
        <v>1315</v>
      </c>
      <c r="B1373" t="s">
        <v>1329</v>
      </c>
      <c r="C1373" t="s">
        <v>2650</v>
      </c>
      <c r="D1373" t="s">
        <v>15</v>
      </c>
      <c r="F1373">
        <v>20</v>
      </c>
      <c r="G1373" t="s">
        <v>1419</v>
      </c>
      <c r="H1373" s="89">
        <v>46142</v>
      </c>
      <c r="I1373" s="89">
        <v>46144</v>
      </c>
      <c r="N1373" t="s">
        <v>2574</v>
      </c>
    </row>
    <row r="1374" spans="1:14" hidden="1" x14ac:dyDescent="0.25">
      <c r="A1374" t="s">
        <v>1314</v>
      </c>
      <c r="B1374" t="s">
        <v>1328</v>
      </c>
      <c r="C1374" t="s">
        <v>2648</v>
      </c>
      <c r="D1374" t="s">
        <v>15</v>
      </c>
      <c r="F1374">
        <v>336</v>
      </c>
      <c r="G1374">
        <v>7</v>
      </c>
      <c r="H1374" s="89">
        <v>46142</v>
      </c>
      <c r="I1374" s="89">
        <v>46147</v>
      </c>
      <c r="J1374" t="s">
        <v>2651</v>
      </c>
      <c r="N1374" t="s">
        <v>2574</v>
      </c>
    </row>
    <row r="1375" spans="1:14" hidden="1" x14ac:dyDescent="0.25">
      <c r="A1375" t="s">
        <v>1316</v>
      </c>
      <c r="B1375" t="s">
        <v>1330</v>
      </c>
      <c r="C1375" t="s">
        <v>2650</v>
      </c>
      <c r="D1375" t="s">
        <v>15</v>
      </c>
      <c r="F1375">
        <v>85</v>
      </c>
      <c r="G1375" t="s">
        <v>1419</v>
      </c>
      <c r="H1375" s="89">
        <v>46142</v>
      </c>
      <c r="I1375" s="89">
        <v>46144</v>
      </c>
      <c r="N1375" t="s">
        <v>2574</v>
      </c>
    </row>
    <row r="1376" spans="1:14" hidden="1" x14ac:dyDescent="0.25">
      <c r="A1376" t="s">
        <v>1317</v>
      </c>
      <c r="B1376" t="s">
        <v>1331</v>
      </c>
      <c r="C1376" t="s">
        <v>2652</v>
      </c>
      <c r="D1376" t="s">
        <v>15</v>
      </c>
      <c r="F1376">
        <v>11</v>
      </c>
      <c r="G1376" t="s">
        <v>1419</v>
      </c>
      <c r="H1376" s="89">
        <v>46142</v>
      </c>
      <c r="I1376" s="89">
        <v>46144</v>
      </c>
      <c r="N1376" t="s">
        <v>2574</v>
      </c>
    </row>
    <row r="1377" spans="1:14" hidden="1" x14ac:dyDescent="0.25">
      <c r="A1377" t="s">
        <v>1318</v>
      </c>
      <c r="B1377" t="s">
        <v>1332</v>
      </c>
      <c r="C1377" t="s">
        <v>2653</v>
      </c>
      <c r="D1377" t="s">
        <v>15</v>
      </c>
      <c r="F1377">
        <v>47</v>
      </c>
      <c r="G1377" t="s">
        <v>1419</v>
      </c>
      <c r="H1377" s="89">
        <v>46142</v>
      </c>
      <c r="I1377" s="89">
        <v>46144</v>
      </c>
      <c r="N1377" t="s">
        <v>2574</v>
      </c>
    </row>
    <row r="1378" spans="1:14" hidden="1" x14ac:dyDescent="0.25">
      <c r="A1378" t="s">
        <v>1324</v>
      </c>
      <c r="B1378" t="s">
        <v>1338</v>
      </c>
      <c r="C1378" t="s">
        <v>2654</v>
      </c>
      <c r="D1378" t="s">
        <v>144</v>
      </c>
      <c r="F1378">
        <v>960</v>
      </c>
      <c r="G1378">
        <v>20</v>
      </c>
      <c r="H1378" s="89">
        <v>46143</v>
      </c>
      <c r="I1378" s="89">
        <v>46149</v>
      </c>
      <c r="J1378" t="s">
        <v>2655</v>
      </c>
      <c r="N1378" t="s">
        <v>2574</v>
      </c>
    </row>
    <row r="1379" spans="1:14" hidden="1" x14ac:dyDescent="0.25">
      <c r="A1379" t="s">
        <v>1324</v>
      </c>
      <c r="B1379" t="s">
        <v>1338</v>
      </c>
      <c r="C1379" t="s">
        <v>2656</v>
      </c>
      <c r="D1379" t="s">
        <v>103</v>
      </c>
      <c r="F1379">
        <v>960</v>
      </c>
      <c r="G1379">
        <v>20</v>
      </c>
      <c r="H1379" s="89">
        <v>46143</v>
      </c>
      <c r="I1379" s="89">
        <v>46149</v>
      </c>
      <c r="J1379" t="s">
        <v>2655</v>
      </c>
      <c r="N1379" t="s">
        <v>2574</v>
      </c>
    </row>
    <row r="1380" spans="1:14" hidden="1" x14ac:dyDescent="0.25">
      <c r="A1380" t="s">
        <v>1324</v>
      </c>
      <c r="B1380" t="s">
        <v>1338</v>
      </c>
      <c r="C1380" t="s">
        <v>2657</v>
      </c>
      <c r="D1380" t="s">
        <v>23</v>
      </c>
      <c r="F1380">
        <v>192</v>
      </c>
      <c r="G1380">
        <v>4</v>
      </c>
      <c r="H1380" s="89">
        <v>46143</v>
      </c>
      <c r="I1380" s="89">
        <v>46149</v>
      </c>
      <c r="J1380" t="s">
        <v>2638</v>
      </c>
      <c r="N1380" t="s">
        <v>2574</v>
      </c>
    </row>
    <row r="1381" spans="1:14" hidden="1" x14ac:dyDescent="0.25">
      <c r="A1381" t="s">
        <v>1320</v>
      </c>
      <c r="B1381" t="s">
        <v>1334</v>
      </c>
      <c r="C1381" t="s">
        <v>2657</v>
      </c>
      <c r="D1381" t="s">
        <v>23</v>
      </c>
      <c r="F1381">
        <v>768</v>
      </c>
      <c r="G1381">
        <v>16</v>
      </c>
      <c r="H1381" s="89">
        <v>46143</v>
      </c>
      <c r="I1381" s="89">
        <v>46149</v>
      </c>
      <c r="J1381" t="s">
        <v>2658</v>
      </c>
      <c r="N1381" t="s">
        <v>2574</v>
      </c>
    </row>
    <row r="1382" spans="1:14" hidden="1" x14ac:dyDescent="0.25">
      <c r="A1382" t="s">
        <v>1326</v>
      </c>
      <c r="B1382" t="s">
        <v>1340</v>
      </c>
      <c r="C1382" t="s">
        <v>2659</v>
      </c>
      <c r="D1382" t="s">
        <v>32</v>
      </c>
      <c r="F1382">
        <v>840</v>
      </c>
      <c r="G1382">
        <v>20</v>
      </c>
      <c r="H1382" s="89">
        <v>46143</v>
      </c>
      <c r="I1382" s="89">
        <v>46150</v>
      </c>
      <c r="J1382" t="s">
        <v>2660</v>
      </c>
      <c r="N1382" t="s">
        <v>2574</v>
      </c>
    </row>
    <row r="1383" spans="1:14" hidden="1" x14ac:dyDescent="0.25">
      <c r="A1383" t="s">
        <v>1320</v>
      </c>
      <c r="B1383" t="s">
        <v>1334</v>
      </c>
      <c r="C1383" t="s">
        <v>2661</v>
      </c>
      <c r="D1383" t="s">
        <v>106</v>
      </c>
      <c r="F1383">
        <v>960</v>
      </c>
      <c r="G1383">
        <v>20</v>
      </c>
      <c r="H1383" s="89">
        <v>46143</v>
      </c>
      <c r="I1383" s="89">
        <v>46148</v>
      </c>
      <c r="J1383" t="s">
        <v>2662</v>
      </c>
      <c r="N1383" t="s">
        <v>2574</v>
      </c>
    </row>
    <row r="1384" spans="1:14" hidden="1" x14ac:dyDescent="0.25">
      <c r="A1384" t="s">
        <v>1320</v>
      </c>
      <c r="B1384" t="s">
        <v>1334</v>
      </c>
      <c r="C1384" t="s">
        <v>2661</v>
      </c>
      <c r="D1384" t="s">
        <v>106</v>
      </c>
      <c r="F1384">
        <v>144</v>
      </c>
      <c r="G1384">
        <v>3</v>
      </c>
      <c r="H1384" s="89">
        <v>46143</v>
      </c>
      <c r="I1384" s="89">
        <v>46148</v>
      </c>
      <c r="J1384" t="s">
        <v>2663</v>
      </c>
      <c r="N1384" t="s">
        <v>2574</v>
      </c>
    </row>
    <row r="1385" spans="1:14" hidden="1" x14ac:dyDescent="0.25">
      <c r="A1385" t="s">
        <v>1320</v>
      </c>
      <c r="B1385" t="s">
        <v>1334</v>
      </c>
      <c r="C1385" t="s">
        <v>2664</v>
      </c>
      <c r="D1385" t="s">
        <v>104</v>
      </c>
      <c r="F1385">
        <v>816</v>
      </c>
      <c r="G1385">
        <v>17</v>
      </c>
      <c r="H1385" s="89">
        <v>46143</v>
      </c>
      <c r="I1385" s="89">
        <v>46148</v>
      </c>
      <c r="J1385" t="s">
        <v>2663</v>
      </c>
      <c r="N1385" t="s">
        <v>2574</v>
      </c>
    </row>
    <row r="1386" spans="1:14" hidden="1" x14ac:dyDescent="0.25">
      <c r="A1386" t="s">
        <v>1313</v>
      </c>
      <c r="B1386" t="s">
        <v>1327</v>
      </c>
      <c r="C1386" t="s">
        <v>2665</v>
      </c>
      <c r="D1386" t="s">
        <v>71</v>
      </c>
      <c r="F1386">
        <v>1152</v>
      </c>
      <c r="G1386">
        <v>24</v>
      </c>
      <c r="H1386" s="89">
        <v>46143</v>
      </c>
      <c r="I1386" s="89">
        <v>46148</v>
      </c>
      <c r="J1386" t="s">
        <v>2666</v>
      </c>
      <c r="N1386" t="s">
        <v>2574</v>
      </c>
    </row>
    <row r="1387" spans="1:14" hidden="1" x14ac:dyDescent="0.25">
      <c r="A1387" t="s">
        <v>1321</v>
      </c>
      <c r="B1387" t="s">
        <v>1335</v>
      </c>
      <c r="C1387" t="s">
        <v>2667</v>
      </c>
      <c r="D1387" t="s">
        <v>138</v>
      </c>
      <c r="F1387">
        <v>144</v>
      </c>
      <c r="G1387">
        <v>3</v>
      </c>
      <c r="H1387" s="89">
        <v>46143</v>
      </c>
      <c r="I1387" s="89">
        <v>46149</v>
      </c>
      <c r="J1387" t="s">
        <v>2638</v>
      </c>
      <c r="N1387" t="s">
        <v>2574</v>
      </c>
    </row>
    <row r="1388" spans="1:14" hidden="1" x14ac:dyDescent="0.25">
      <c r="A1388" t="s">
        <v>1325</v>
      </c>
      <c r="B1388" t="s">
        <v>1339</v>
      </c>
      <c r="C1388" t="s">
        <v>2667</v>
      </c>
      <c r="D1388" t="s">
        <v>138</v>
      </c>
      <c r="F1388">
        <v>192</v>
      </c>
      <c r="G1388">
        <v>4</v>
      </c>
      <c r="H1388" s="89">
        <v>46143</v>
      </c>
      <c r="I1388" s="89">
        <v>46146</v>
      </c>
      <c r="N1388" t="s">
        <v>2574</v>
      </c>
    </row>
    <row r="1389" spans="1:14" hidden="1" x14ac:dyDescent="0.25">
      <c r="A1389" t="s">
        <v>1324</v>
      </c>
      <c r="B1389" t="s">
        <v>1338</v>
      </c>
      <c r="C1389" t="s">
        <v>2668</v>
      </c>
      <c r="D1389" t="s">
        <v>144</v>
      </c>
      <c r="F1389">
        <v>960</v>
      </c>
      <c r="G1389">
        <v>20</v>
      </c>
      <c r="H1389" s="89">
        <v>46144</v>
      </c>
      <c r="I1389" s="89">
        <v>46153</v>
      </c>
      <c r="J1389" t="s">
        <v>2669</v>
      </c>
      <c r="N1389" t="s">
        <v>2574</v>
      </c>
    </row>
    <row r="1390" spans="1:14" hidden="1" x14ac:dyDescent="0.25">
      <c r="A1390" t="s">
        <v>1324</v>
      </c>
      <c r="B1390" t="s">
        <v>1338</v>
      </c>
      <c r="C1390" t="s">
        <v>2670</v>
      </c>
      <c r="D1390" t="s">
        <v>88</v>
      </c>
      <c r="F1390">
        <v>960</v>
      </c>
      <c r="G1390">
        <v>20</v>
      </c>
      <c r="H1390" s="89">
        <v>46144</v>
      </c>
      <c r="I1390" s="89">
        <v>46153</v>
      </c>
      <c r="J1390" t="s">
        <v>2669</v>
      </c>
      <c r="N1390" t="s">
        <v>2574</v>
      </c>
    </row>
    <row r="1391" spans="1:14" hidden="1" x14ac:dyDescent="0.25">
      <c r="A1391" t="s">
        <v>1313</v>
      </c>
      <c r="B1391" t="s">
        <v>1327</v>
      </c>
      <c r="C1391" t="s">
        <v>2671</v>
      </c>
      <c r="D1391" t="s">
        <v>21</v>
      </c>
      <c r="F1391">
        <v>816</v>
      </c>
      <c r="G1391">
        <v>17</v>
      </c>
      <c r="H1391" s="89">
        <v>46144</v>
      </c>
      <c r="I1391" s="89">
        <v>46149</v>
      </c>
      <c r="J1391" t="s">
        <v>2672</v>
      </c>
      <c r="N1391" t="s">
        <v>2574</v>
      </c>
    </row>
    <row r="1392" spans="1:14" hidden="1" x14ac:dyDescent="0.25">
      <c r="A1392" t="s">
        <v>1314</v>
      </c>
      <c r="B1392" t="s">
        <v>1328</v>
      </c>
      <c r="C1392" t="s">
        <v>2671</v>
      </c>
      <c r="D1392" t="s">
        <v>21</v>
      </c>
      <c r="F1392">
        <v>336</v>
      </c>
      <c r="G1392">
        <v>7</v>
      </c>
      <c r="H1392" s="89">
        <v>46144</v>
      </c>
      <c r="I1392" s="89">
        <v>46149</v>
      </c>
      <c r="J1392" t="s">
        <v>2673</v>
      </c>
      <c r="N1392" t="s">
        <v>2574</v>
      </c>
    </row>
    <row r="1393" spans="1:14" hidden="1" x14ac:dyDescent="0.25">
      <c r="A1393" t="s">
        <v>1315</v>
      </c>
      <c r="B1393" t="s">
        <v>1329</v>
      </c>
      <c r="C1393" t="s">
        <v>2671</v>
      </c>
      <c r="D1393" t="s">
        <v>21</v>
      </c>
      <c r="F1393">
        <v>77</v>
      </c>
      <c r="G1393" t="s">
        <v>1419</v>
      </c>
      <c r="H1393" s="89">
        <v>46144</v>
      </c>
      <c r="I1393" s="89">
        <v>46146</v>
      </c>
      <c r="N1393" t="s">
        <v>2574</v>
      </c>
    </row>
    <row r="1394" spans="1:14" hidden="1" x14ac:dyDescent="0.25">
      <c r="A1394" t="s">
        <v>1316</v>
      </c>
      <c r="B1394" t="s">
        <v>1330</v>
      </c>
      <c r="C1394" t="s">
        <v>2674</v>
      </c>
      <c r="D1394" t="s">
        <v>21</v>
      </c>
      <c r="F1394">
        <v>37</v>
      </c>
      <c r="G1394" t="s">
        <v>1419</v>
      </c>
      <c r="H1394" s="89">
        <v>46144</v>
      </c>
      <c r="I1394" s="89">
        <v>46146</v>
      </c>
      <c r="N1394" t="s">
        <v>2574</v>
      </c>
    </row>
    <row r="1395" spans="1:14" hidden="1" x14ac:dyDescent="0.25">
      <c r="A1395" t="s">
        <v>1317</v>
      </c>
      <c r="B1395" t="s">
        <v>1331</v>
      </c>
      <c r="C1395" t="s">
        <v>2675</v>
      </c>
      <c r="D1395" t="s">
        <v>21</v>
      </c>
      <c r="F1395">
        <v>13</v>
      </c>
      <c r="G1395" t="s">
        <v>1419</v>
      </c>
      <c r="H1395" s="89">
        <v>46144</v>
      </c>
      <c r="I1395" s="89">
        <v>46146</v>
      </c>
      <c r="N1395" t="s">
        <v>2574</v>
      </c>
    </row>
    <row r="1396" spans="1:14" hidden="1" x14ac:dyDescent="0.25">
      <c r="A1396" t="s">
        <v>1318</v>
      </c>
      <c r="B1396" t="s">
        <v>1332</v>
      </c>
      <c r="C1396" t="s">
        <v>2676</v>
      </c>
      <c r="D1396" t="s">
        <v>21</v>
      </c>
      <c r="F1396">
        <v>60</v>
      </c>
      <c r="G1396" t="s">
        <v>1419</v>
      </c>
      <c r="H1396" s="89">
        <v>46144</v>
      </c>
      <c r="I1396" s="89">
        <v>46146</v>
      </c>
      <c r="N1396" t="s">
        <v>2574</v>
      </c>
    </row>
    <row r="1397" spans="1:14" hidden="1" x14ac:dyDescent="0.25">
      <c r="A1397" t="s">
        <v>1320</v>
      </c>
      <c r="B1397" t="s">
        <v>1334</v>
      </c>
      <c r="C1397" t="s">
        <v>2677</v>
      </c>
      <c r="D1397" t="s">
        <v>15</v>
      </c>
      <c r="F1397">
        <v>192</v>
      </c>
      <c r="G1397">
        <v>4</v>
      </c>
      <c r="H1397" s="89">
        <v>46144</v>
      </c>
      <c r="I1397" s="89">
        <v>46149</v>
      </c>
      <c r="J1397" t="s">
        <v>2658</v>
      </c>
      <c r="N1397" t="s">
        <v>2574</v>
      </c>
    </row>
    <row r="1398" spans="1:14" hidden="1" x14ac:dyDescent="0.25">
      <c r="A1398" t="s">
        <v>1320</v>
      </c>
      <c r="B1398" t="s">
        <v>1334</v>
      </c>
      <c r="C1398" t="s">
        <v>2677</v>
      </c>
      <c r="D1398" t="s">
        <v>15</v>
      </c>
      <c r="F1398">
        <v>960</v>
      </c>
      <c r="G1398">
        <v>20</v>
      </c>
      <c r="H1398" s="89">
        <v>46144</v>
      </c>
      <c r="I1398" s="89">
        <v>46149</v>
      </c>
      <c r="J1398" t="s">
        <v>2678</v>
      </c>
      <c r="N1398" t="s">
        <v>2574</v>
      </c>
    </row>
    <row r="1399" spans="1:14" hidden="1" x14ac:dyDescent="0.25">
      <c r="A1399" t="s">
        <v>1313</v>
      </c>
      <c r="B1399" t="s">
        <v>1327</v>
      </c>
      <c r="C1399" t="s">
        <v>2677</v>
      </c>
      <c r="D1399" t="s">
        <v>15</v>
      </c>
      <c r="F1399">
        <v>240</v>
      </c>
      <c r="G1399">
        <v>5</v>
      </c>
      <c r="H1399" s="89">
        <v>46144</v>
      </c>
      <c r="I1399" s="89">
        <v>46147</v>
      </c>
      <c r="J1399" t="s">
        <v>2649</v>
      </c>
      <c r="N1399" t="s">
        <v>2574</v>
      </c>
    </row>
    <row r="1400" spans="1:14" hidden="1" x14ac:dyDescent="0.25">
      <c r="A1400" t="s">
        <v>1315</v>
      </c>
      <c r="B1400" t="s">
        <v>1329</v>
      </c>
      <c r="C1400" t="s">
        <v>2679</v>
      </c>
      <c r="D1400" t="s">
        <v>15</v>
      </c>
      <c r="F1400">
        <v>33</v>
      </c>
      <c r="G1400" t="s">
        <v>1419</v>
      </c>
      <c r="H1400" s="89">
        <v>46144</v>
      </c>
      <c r="I1400" s="89">
        <v>46146</v>
      </c>
      <c r="N1400" t="s">
        <v>2574</v>
      </c>
    </row>
    <row r="1401" spans="1:14" hidden="1" x14ac:dyDescent="0.25">
      <c r="A1401" t="s">
        <v>1316</v>
      </c>
      <c r="B1401" t="s">
        <v>1330</v>
      </c>
      <c r="C1401" t="s">
        <v>2679</v>
      </c>
      <c r="D1401" t="s">
        <v>15</v>
      </c>
      <c r="F1401">
        <v>95</v>
      </c>
      <c r="G1401" t="s">
        <v>1419</v>
      </c>
      <c r="H1401" s="89">
        <v>46144</v>
      </c>
      <c r="I1401" s="89">
        <v>46146</v>
      </c>
      <c r="N1401" t="s">
        <v>2574</v>
      </c>
    </row>
    <row r="1402" spans="1:14" hidden="1" x14ac:dyDescent="0.25">
      <c r="A1402" t="s">
        <v>1317</v>
      </c>
      <c r="B1402" t="s">
        <v>1331</v>
      </c>
      <c r="C1402" t="s">
        <v>2680</v>
      </c>
      <c r="D1402" t="s">
        <v>15</v>
      </c>
      <c r="F1402">
        <v>13</v>
      </c>
      <c r="G1402" t="s">
        <v>1419</v>
      </c>
      <c r="H1402" s="89">
        <v>46144</v>
      </c>
      <c r="I1402" s="89">
        <v>46146</v>
      </c>
      <c r="N1402" t="s">
        <v>2574</v>
      </c>
    </row>
    <row r="1403" spans="1:14" hidden="1" x14ac:dyDescent="0.25">
      <c r="A1403" t="s">
        <v>1318</v>
      </c>
      <c r="B1403" t="s">
        <v>1332</v>
      </c>
      <c r="C1403" t="s">
        <v>2681</v>
      </c>
      <c r="D1403" t="s">
        <v>15</v>
      </c>
      <c r="F1403">
        <v>48</v>
      </c>
      <c r="G1403" t="s">
        <v>1419</v>
      </c>
      <c r="H1403" s="89">
        <v>46144</v>
      </c>
      <c r="I1403" s="89">
        <v>46146</v>
      </c>
      <c r="N1403" t="s">
        <v>2574</v>
      </c>
    </row>
    <row r="1404" spans="1:14" hidden="1" x14ac:dyDescent="0.25">
      <c r="A1404" t="s">
        <v>1320</v>
      </c>
      <c r="B1404" t="s">
        <v>1334</v>
      </c>
      <c r="C1404" t="s">
        <v>2682</v>
      </c>
      <c r="D1404" t="s">
        <v>28</v>
      </c>
      <c r="F1404">
        <v>960</v>
      </c>
      <c r="G1404">
        <v>20</v>
      </c>
      <c r="H1404" s="89">
        <v>46110</v>
      </c>
      <c r="I1404" s="89">
        <v>46116</v>
      </c>
      <c r="J1404" t="s">
        <v>2683</v>
      </c>
      <c r="N1404" t="s">
        <v>2684</v>
      </c>
    </row>
    <row r="1405" spans="1:14" hidden="1" x14ac:dyDescent="0.25">
      <c r="A1405" t="s">
        <v>1315</v>
      </c>
      <c r="B1405" t="s">
        <v>1329</v>
      </c>
      <c r="C1405" t="s">
        <v>2682</v>
      </c>
      <c r="D1405" t="s">
        <v>28</v>
      </c>
      <c r="F1405">
        <v>151</v>
      </c>
      <c r="G1405">
        <v>20</v>
      </c>
      <c r="H1405" s="89">
        <v>46110</v>
      </c>
      <c r="I1405" s="89">
        <v>46112</v>
      </c>
      <c r="N1405" t="s">
        <v>2684</v>
      </c>
    </row>
    <row r="1406" spans="1:14" hidden="1" x14ac:dyDescent="0.25">
      <c r="A1406" t="s">
        <v>1316</v>
      </c>
      <c r="B1406" t="s">
        <v>1330</v>
      </c>
      <c r="C1406" t="s">
        <v>2685</v>
      </c>
      <c r="D1406" t="s">
        <v>28</v>
      </c>
      <c r="F1406">
        <v>18</v>
      </c>
      <c r="G1406" t="s">
        <v>1419</v>
      </c>
      <c r="H1406" s="89">
        <v>46110</v>
      </c>
      <c r="I1406" s="89">
        <v>46112</v>
      </c>
      <c r="N1406" t="s">
        <v>2684</v>
      </c>
    </row>
    <row r="1407" spans="1:14" hidden="1" x14ac:dyDescent="0.25">
      <c r="A1407" t="s">
        <v>1317</v>
      </c>
      <c r="B1407" t="s">
        <v>1331</v>
      </c>
      <c r="C1407" t="s">
        <v>2686</v>
      </c>
      <c r="D1407" t="s">
        <v>28</v>
      </c>
      <c r="F1407">
        <v>5</v>
      </c>
      <c r="G1407" t="s">
        <v>1419</v>
      </c>
      <c r="H1407" s="89">
        <v>46110</v>
      </c>
      <c r="I1407" s="89">
        <v>46112</v>
      </c>
      <c r="N1407" t="s">
        <v>2684</v>
      </c>
    </row>
    <row r="1408" spans="1:14" hidden="1" x14ac:dyDescent="0.25">
      <c r="A1408" t="s">
        <v>1318</v>
      </c>
      <c r="B1408" t="s">
        <v>1332</v>
      </c>
      <c r="C1408" t="s">
        <v>2687</v>
      </c>
      <c r="D1408" t="s">
        <v>28</v>
      </c>
      <c r="F1408">
        <v>71</v>
      </c>
      <c r="G1408" t="s">
        <v>1419</v>
      </c>
      <c r="H1408" s="89">
        <v>46110</v>
      </c>
      <c r="I1408" s="89">
        <v>46112</v>
      </c>
      <c r="N1408" t="s">
        <v>2684</v>
      </c>
    </row>
    <row r="1409" spans="1:14" hidden="1" x14ac:dyDescent="0.25">
      <c r="A1409" t="s">
        <v>1320</v>
      </c>
      <c r="B1409" t="s">
        <v>1334</v>
      </c>
      <c r="C1409" t="s">
        <v>2688</v>
      </c>
      <c r="D1409" t="s">
        <v>20</v>
      </c>
      <c r="F1409">
        <v>960</v>
      </c>
      <c r="G1409">
        <v>20</v>
      </c>
      <c r="H1409" s="89">
        <v>46111</v>
      </c>
      <c r="I1409" s="89">
        <v>46116</v>
      </c>
      <c r="J1409" t="s">
        <v>2689</v>
      </c>
      <c r="N1409" t="s">
        <v>2684</v>
      </c>
    </row>
    <row r="1410" spans="1:14" hidden="1" x14ac:dyDescent="0.25">
      <c r="A1410" t="s">
        <v>1313</v>
      </c>
      <c r="B1410" t="s">
        <v>1327</v>
      </c>
      <c r="C1410" t="s">
        <v>2688</v>
      </c>
      <c r="D1410" t="s">
        <v>20</v>
      </c>
      <c r="F1410">
        <v>528</v>
      </c>
      <c r="G1410">
        <v>11</v>
      </c>
      <c r="H1410" s="89">
        <v>46111</v>
      </c>
      <c r="I1410" s="89">
        <v>46113</v>
      </c>
      <c r="N1410" t="s">
        <v>2684</v>
      </c>
    </row>
    <row r="1411" spans="1:14" hidden="1" x14ac:dyDescent="0.25">
      <c r="A1411" t="s">
        <v>1315</v>
      </c>
      <c r="B1411" t="s">
        <v>1329</v>
      </c>
      <c r="C1411" t="s">
        <v>2688</v>
      </c>
      <c r="D1411" t="s">
        <v>20</v>
      </c>
      <c r="F1411">
        <v>83</v>
      </c>
      <c r="G1411" t="s">
        <v>1419</v>
      </c>
      <c r="H1411" s="89">
        <v>46111</v>
      </c>
      <c r="I1411" s="89">
        <v>46116</v>
      </c>
      <c r="N1411" t="s">
        <v>2684</v>
      </c>
    </row>
    <row r="1412" spans="1:14" hidden="1" x14ac:dyDescent="0.25">
      <c r="A1412" t="s">
        <v>1316</v>
      </c>
      <c r="B1412" t="s">
        <v>1330</v>
      </c>
      <c r="C1412" t="s">
        <v>2690</v>
      </c>
      <c r="D1412" t="s">
        <v>20</v>
      </c>
      <c r="F1412">
        <v>180</v>
      </c>
      <c r="G1412" t="s">
        <v>1419</v>
      </c>
      <c r="H1412" s="89">
        <v>46111</v>
      </c>
      <c r="I1412" s="89">
        <v>46113</v>
      </c>
      <c r="N1412" t="s">
        <v>2684</v>
      </c>
    </row>
    <row r="1413" spans="1:14" hidden="1" x14ac:dyDescent="0.25">
      <c r="A1413" t="s">
        <v>1317</v>
      </c>
      <c r="B1413" t="s">
        <v>1331</v>
      </c>
      <c r="C1413" t="s">
        <v>2691</v>
      </c>
      <c r="D1413" t="s">
        <v>20</v>
      </c>
      <c r="F1413">
        <v>6</v>
      </c>
      <c r="G1413" t="s">
        <v>1419</v>
      </c>
      <c r="H1413" s="89">
        <v>46111</v>
      </c>
      <c r="I1413" s="89">
        <v>46113</v>
      </c>
      <c r="N1413" t="s">
        <v>2684</v>
      </c>
    </row>
    <row r="1414" spans="1:14" hidden="1" x14ac:dyDescent="0.25">
      <c r="A1414" t="s">
        <v>1318</v>
      </c>
      <c r="B1414" t="s">
        <v>1332</v>
      </c>
      <c r="C1414" t="s">
        <v>2692</v>
      </c>
      <c r="D1414" t="s">
        <v>20</v>
      </c>
      <c r="F1414">
        <v>80</v>
      </c>
      <c r="G1414" t="s">
        <v>1419</v>
      </c>
      <c r="H1414" s="89">
        <v>46111</v>
      </c>
      <c r="I1414" s="89">
        <v>46113</v>
      </c>
      <c r="N1414" t="s">
        <v>2684</v>
      </c>
    </row>
    <row r="1415" spans="1:14" hidden="1" x14ac:dyDescent="0.25">
      <c r="A1415" t="s">
        <v>1320</v>
      </c>
      <c r="B1415" t="s">
        <v>1334</v>
      </c>
      <c r="C1415" t="s">
        <v>2693</v>
      </c>
      <c r="D1415" t="s">
        <v>21</v>
      </c>
      <c r="F1415">
        <v>960</v>
      </c>
      <c r="G1415">
        <v>20</v>
      </c>
      <c r="H1415" s="89">
        <v>46111</v>
      </c>
      <c r="I1415" s="89">
        <v>46118</v>
      </c>
      <c r="J1415" t="s">
        <v>2694</v>
      </c>
      <c r="N1415" t="s">
        <v>2684</v>
      </c>
    </row>
    <row r="1416" spans="1:14" hidden="1" x14ac:dyDescent="0.25">
      <c r="A1416" t="s">
        <v>1324</v>
      </c>
      <c r="B1416" t="s">
        <v>1338</v>
      </c>
      <c r="C1416" t="s">
        <v>2693</v>
      </c>
      <c r="D1416" t="s">
        <v>21</v>
      </c>
      <c r="F1416">
        <v>672</v>
      </c>
      <c r="G1416">
        <v>14</v>
      </c>
      <c r="H1416" s="89">
        <v>46111</v>
      </c>
      <c r="I1416" s="89">
        <v>46113</v>
      </c>
      <c r="J1416" t="s">
        <v>2694</v>
      </c>
      <c r="N1416" t="s">
        <v>2684</v>
      </c>
    </row>
    <row r="1417" spans="1:14" hidden="1" x14ac:dyDescent="0.25">
      <c r="A1417" t="s">
        <v>1313</v>
      </c>
      <c r="B1417" t="s">
        <v>1327</v>
      </c>
      <c r="C1417" t="s">
        <v>2693</v>
      </c>
      <c r="D1417" t="s">
        <v>21</v>
      </c>
      <c r="F1417">
        <v>192</v>
      </c>
      <c r="G1417">
        <v>4</v>
      </c>
      <c r="H1417" s="89">
        <v>46111</v>
      </c>
      <c r="I1417" s="89">
        <v>46116</v>
      </c>
      <c r="J1417" t="s">
        <v>2695</v>
      </c>
      <c r="N1417" t="s">
        <v>2684</v>
      </c>
    </row>
    <row r="1418" spans="1:14" hidden="1" x14ac:dyDescent="0.25">
      <c r="A1418" t="s">
        <v>1315</v>
      </c>
      <c r="B1418" t="s">
        <v>1329</v>
      </c>
      <c r="C1418" t="s">
        <v>2693</v>
      </c>
      <c r="D1418" t="s">
        <v>21</v>
      </c>
      <c r="F1418">
        <v>172</v>
      </c>
      <c r="G1418" t="s">
        <v>1419</v>
      </c>
      <c r="H1418" s="89">
        <v>46111</v>
      </c>
      <c r="I1418" s="89">
        <v>46116</v>
      </c>
      <c r="N1418" t="s">
        <v>2684</v>
      </c>
    </row>
    <row r="1419" spans="1:14" hidden="1" x14ac:dyDescent="0.25">
      <c r="A1419" t="s">
        <v>1316</v>
      </c>
      <c r="B1419" t="s">
        <v>1330</v>
      </c>
      <c r="C1419" t="s">
        <v>2696</v>
      </c>
      <c r="D1419" t="s">
        <v>21</v>
      </c>
      <c r="F1419">
        <v>80</v>
      </c>
      <c r="G1419" t="s">
        <v>1419</v>
      </c>
      <c r="H1419" s="89">
        <v>46111</v>
      </c>
      <c r="I1419" s="89">
        <v>46113</v>
      </c>
      <c r="N1419" t="s">
        <v>2684</v>
      </c>
    </row>
    <row r="1420" spans="1:14" hidden="1" x14ac:dyDescent="0.25">
      <c r="A1420" t="s">
        <v>1317</v>
      </c>
      <c r="B1420" t="s">
        <v>1331</v>
      </c>
      <c r="C1420" t="s">
        <v>2697</v>
      </c>
      <c r="D1420" t="s">
        <v>21</v>
      </c>
      <c r="F1420">
        <v>12</v>
      </c>
      <c r="G1420" t="s">
        <v>1419</v>
      </c>
      <c r="H1420" s="89">
        <v>46111</v>
      </c>
      <c r="I1420" s="89">
        <v>46113</v>
      </c>
      <c r="N1420" t="s">
        <v>2684</v>
      </c>
    </row>
    <row r="1421" spans="1:14" hidden="1" x14ac:dyDescent="0.25">
      <c r="A1421" t="s">
        <v>1318</v>
      </c>
      <c r="B1421" t="s">
        <v>1332</v>
      </c>
      <c r="C1421" t="s">
        <v>2698</v>
      </c>
      <c r="D1421" t="s">
        <v>21</v>
      </c>
      <c r="F1421">
        <v>40</v>
      </c>
      <c r="G1421" t="s">
        <v>1419</v>
      </c>
      <c r="H1421" s="89">
        <v>46111</v>
      </c>
      <c r="I1421" s="89">
        <v>46113</v>
      </c>
      <c r="N1421" t="s">
        <v>2684</v>
      </c>
    </row>
    <row r="1422" spans="1:14" hidden="1" x14ac:dyDescent="0.25">
      <c r="A1422" t="s">
        <v>1324</v>
      </c>
      <c r="B1422" t="s">
        <v>1338</v>
      </c>
      <c r="C1422" t="s">
        <v>2699</v>
      </c>
      <c r="D1422" t="s">
        <v>15</v>
      </c>
      <c r="F1422">
        <v>960</v>
      </c>
      <c r="G1422">
        <v>20</v>
      </c>
      <c r="H1422" s="89">
        <v>46111</v>
      </c>
      <c r="I1422" s="89">
        <v>46118</v>
      </c>
      <c r="J1422" t="s">
        <v>2700</v>
      </c>
      <c r="N1422" t="s">
        <v>2684</v>
      </c>
    </row>
    <row r="1423" spans="1:14" hidden="1" x14ac:dyDescent="0.25">
      <c r="A1423" t="s">
        <v>1314</v>
      </c>
      <c r="B1423" t="s">
        <v>1328</v>
      </c>
      <c r="C1423" t="s">
        <v>2699</v>
      </c>
      <c r="D1423" t="s">
        <v>15</v>
      </c>
      <c r="F1423">
        <v>336</v>
      </c>
      <c r="G1423">
        <v>7</v>
      </c>
      <c r="H1423" s="89">
        <v>46111</v>
      </c>
      <c r="I1423" s="89">
        <v>46116</v>
      </c>
      <c r="J1423" t="s">
        <v>2701</v>
      </c>
      <c r="N1423" t="s">
        <v>2684</v>
      </c>
    </row>
    <row r="1424" spans="1:14" hidden="1" x14ac:dyDescent="0.25">
      <c r="A1424" t="s">
        <v>1315</v>
      </c>
      <c r="B1424" t="s">
        <v>1329</v>
      </c>
      <c r="C1424" t="s">
        <v>2699</v>
      </c>
      <c r="D1424" t="s">
        <v>15</v>
      </c>
      <c r="F1424">
        <v>18</v>
      </c>
      <c r="G1424" t="s">
        <v>1419</v>
      </c>
      <c r="H1424" s="89">
        <v>46111</v>
      </c>
      <c r="I1424" s="89">
        <v>46116</v>
      </c>
      <c r="N1424" t="s">
        <v>2684</v>
      </c>
    </row>
    <row r="1425" spans="1:14" hidden="1" x14ac:dyDescent="0.25">
      <c r="A1425" t="s">
        <v>1316</v>
      </c>
      <c r="B1425" t="s">
        <v>1330</v>
      </c>
      <c r="C1425" t="s">
        <v>2702</v>
      </c>
      <c r="D1425" t="s">
        <v>15</v>
      </c>
      <c r="F1425">
        <v>70</v>
      </c>
      <c r="G1425" t="s">
        <v>1419</v>
      </c>
      <c r="H1425" s="89">
        <v>46111</v>
      </c>
      <c r="I1425" s="89">
        <v>46113</v>
      </c>
      <c r="N1425" t="s">
        <v>2684</v>
      </c>
    </row>
    <row r="1426" spans="1:14" hidden="1" x14ac:dyDescent="0.25">
      <c r="A1426" t="s">
        <v>1317</v>
      </c>
      <c r="B1426" t="s">
        <v>1331</v>
      </c>
      <c r="C1426" t="s">
        <v>2703</v>
      </c>
      <c r="D1426" t="s">
        <v>15</v>
      </c>
      <c r="F1426">
        <v>36</v>
      </c>
      <c r="G1426" t="s">
        <v>1419</v>
      </c>
      <c r="H1426" s="89">
        <v>46111</v>
      </c>
      <c r="I1426" s="89">
        <v>46113</v>
      </c>
      <c r="N1426" t="s">
        <v>2684</v>
      </c>
    </row>
    <row r="1427" spans="1:14" hidden="1" x14ac:dyDescent="0.25">
      <c r="A1427" t="s">
        <v>1318</v>
      </c>
      <c r="B1427" t="s">
        <v>1332</v>
      </c>
      <c r="C1427" t="s">
        <v>2704</v>
      </c>
      <c r="D1427" t="s">
        <v>15</v>
      </c>
      <c r="F1427">
        <v>45</v>
      </c>
      <c r="G1427" t="s">
        <v>1419</v>
      </c>
      <c r="H1427" s="89">
        <v>46111</v>
      </c>
      <c r="I1427" s="89">
        <v>46113</v>
      </c>
      <c r="N1427" t="s">
        <v>2684</v>
      </c>
    </row>
    <row r="1428" spans="1:14" hidden="1" x14ac:dyDescent="0.25">
      <c r="A1428" t="s">
        <v>1324</v>
      </c>
      <c r="B1428" t="s">
        <v>1338</v>
      </c>
      <c r="C1428" t="s">
        <v>2705</v>
      </c>
      <c r="D1428" t="s">
        <v>23</v>
      </c>
      <c r="F1428">
        <v>816</v>
      </c>
      <c r="G1428">
        <v>17</v>
      </c>
      <c r="H1428" s="89">
        <v>46111</v>
      </c>
      <c r="I1428" s="89">
        <v>46118</v>
      </c>
      <c r="J1428" t="s">
        <v>2700</v>
      </c>
      <c r="N1428" t="s">
        <v>2684</v>
      </c>
    </row>
    <row r="1429" spans="1:14" hidden="1" x14ac:dyDescent="0.25">
      <c r="A1429" t="s">
        <v>1324</v>
      </c>
      <c r="B1429" t="s">
        <v>1338</v>
      </c>
      <c r="C1429" t="s">
        <v>2706</v>
      </c>
      <c r="D1429" t="s">
        <v>23</v>
      </c>
      <c r="F1429">
        <v>960</v>
      </c>
      <c r="G1429">
        <v>20</v>
      </c>
      <c r="H1429" s="89">
        <v>46112</v>
      </c>
      <c r="I1429" s="89">
        <v>46119</v>
      </c>
      <c r="J1429" t="s">
        <v>2707</v>
      </c>
      <c r="N1429" t="s">
        <v>2684</v>
      </c>
    </row>
    <row r="1430" spans="1:14" hidden="1" x14ac:dyDescent="0.25">
      <c r="A1430" t="s">
        <v>1324</v>
      </c>
      <c r="B1430" t="s">
        <v>1338</v>
      </c>
      <c r="C1430" t="s">
        <v>2708</v>
      </c>
      <c r="D1430" t="s">
        <v>21</v>
      </c>
      <c r="F1430">
        <v>960</v>
      </c>
      <c r="G1430">
        <v>20</v>
      </c>
      <c r="H1430" s="89">
        <v>46112</v>
      </c>
      <c r="I1430" s="89">
        <v>46119</v>
      </c>
      <c r="J1430" t="s">
        <v>2707</v>
      </c>
      <c r="N1430" t="s">
        <v>2684</v>
      </c>
    </row>
    <row r="1431" spans="1:14" hidden="1" x14ac:dyDescent="0.25">
      <c r="A1431" t="s">
        <v>1313</v>
      </c>
      <c r="B1431" t="s">
        <v>1327</v>
      </c>
      <c r="C1431" t="s">
        <v>2708</v>
      </c>
      <c r="D1431" t="s">
        <v>21</v>
      </c>
      <c r="F1431">
        <v>576</v>
      </c>
      <c r="G1431">
        <v>12</v>
      </c>
      <c r="H1431" s="89">
        <v>46112</v>
      </c>
      <c r="I1431" s="89">
        <v>46117</v>
      </c>
      <c r="J1431" t="s">
        <v>2709</v>
      </c>
      <c r="N1431" t="s">
        <v>2684</v>
      </c>
    </row>
    <row r="1432" spans="1:14" hidden="1" x14ac:dyDescent="0.25">
      <c r="A1432" t="s">
        <v>1313</v>
      </c>
      <c r="B1432" t="s">
        <v>1327</v>
      </c>
      <c r="C1432" t="s">
        <v>2708</v>
      </c>
      <c r="D1432" t="s">
        <v>21</v>
      </c>
      <c r="F1432">
        <v>192</v>
      </c>
      <c r="G1432">
        <v>4</v>
      </c>
      <c r="H1432" s="89">
        <v>46112</v>
      </c>
      <c r="I1432" s="89">
        <v>46119</v>
      </c>
      <c r="J1432" t="s">
        <v>2710</v>
      </c>
      <c r="N1432" t="s">
        <v>2684</v>
      </c>
    </row>
    <row r="1433" spans="1:14" hidden="1" x14ac:dyDescent="0.25">
      <c r="A1433" t="s">
        <v>1315</v>
      </c>
      <c r="B1433" t="s">
        <v>1329</v>
      </c>
      <c r="C1433" t="s">
        <v>2708</v>
      </c>
      <c r="D1433" t="s">
        <v>21</v>
      </c>
      <c r="F1433">
        <v>121</v>
      </c>
      <c r="G1433" t="s">
        <v>1419</v>
      </c>
      <c r="H1433" s="89">
        <v>46112</v>
      </c>
      <c r="I1433" s="89">
        <v>46116</v>
      </c>
      <c r="N1433" t="s">
        <v>2684</v>
      </c>
    </row>
    <row r="1434" spans="1:14" hidden="1" x14ac:dyDescent="0.25">
      <c r="A1434" t="s">
        <v>1316</v>
      </c>
      <c r="B1434" t="s">
        <v>1330</v>
      </c>
      <c r="C1434" t="s">
        <v>2711</v>
      </c>
      <c r="D1434" t="s">
        <v>21</v>
      </c>
      <c r="F1434">
        <v>63</v>
      </c>
      <c r="G1434" t="s">
        <v>1419</v>
      </c>
      <c r="H1434" s="89">
        <v>46112</v>
      </c>
      <c r="I1434" s="89">
        <v>46114</v>
      </c>
      <c r="N1434" t="s">
        <v>2684</v>
      </c>
    </row>
    <row r="1435" spans="1:14" hidden="1" x14ac:dyDescent="0.25">
      <c r="A1435" t="s">
        <v>1317</v>
      </c>
      <c r="B1435" t="s">
        <v>1331</v>
      </c>
      <c r="C1435" t="s">
        <v>2712</v>
      </c>
      <c r="D1435" t="s">
        <v>21</v>
      </c>
      <c r="F1435">
        <v>9</v>
      </c>
      <c r="G1435" t="s">
        <v>1419</v>
      </c>
      <c r="H1435" s="89">
        <v>46112</v>
      </c>
      <c r="I1435" s="89">
        <v>46114</v>
      </c>
      <c r="N1435" t="s">
        <v>2684</v>
      </c>
    </row>
    <row r="1436" spans="1:14" hidden="1" x14ac:dyDescent="0.25">
      <c r="A1436" t="s">
        <v>1318</v>
      </c>
      <c r="B1436" t="s">
        <v>1332</v>
      </c>
      <c r="C1436" t="s">
        <v>2713</v>
      </c>
      <c r="D1436" t="s">
        <v>21</v>
      </c>
      <c r="F1436">
        <v>93</v>
      </c>
      <c r="G1436" t="s">
        <v>1419</v>
      </c>
      <c r="H1436" s="89">
        <v>46112</v>
      </c>
      <c r="I1436" s="89">
        <v>46114</v>
      </c>
      <c r="N1436" t="s">
        <v>2684</v>
      </c>
    </row>
    <row r="1437" spans="1:14" hidden="1" x14ac:dyDescent="0.25">
      <c r="A1437" t="s">
        <v>1321</v>
      </c>
      <c r="B1437" t="s">
        <v>1335</v>
      </c>
      <c r="C1437" t="s">
        <v>2714</v>
      </c>
      <c r="D1437" t="s">
        <v>32</v>
      </c>
      <c r="F1437">
        <v>144</v>
      </c>
      <c r="G1437">
        <v>3</v>
      </c>
      <c r="H1437" s="89">
        <v>46112</v>
      </c>
      <c r="I1437" s="89">
        <v>46118</v>
      </c>
      <c r="J1437" t="s">
        <v>2700</v>
      </c>
      <c r="N1437" t="s">
        <v>2684</v>
      </c>
    </row>
    <row r="1438" spans="1:14" hidden="1" x14ac:dyDescent="0.25">
      <c r="A1438" t="s">
        <v>1320</v>
      </c>
      <c r="B1438" t="s">
        <v>1334</v>
      </c>
      <c r="C1438" t="s">
        <v>2715</v>
      </c>
      <c r="D1438" t="s">
        <v>15</v>
      </c>
      <c r="F1438">
        <v>960</v>
      </c>
      <c r="G1438">
        <v>20</v>
      </c>
      <c r="H1438" s="89">
        <v>46112</v>
      </c>
      <c r="I1438" s="89">
        <v>46118</v>
      </c>
      <c r="J1438" t="s">
        <v>2716</v>
      </c>
      <c r="N1438" t="s">
        <v>2684</v>
      </c>
    </row>
    <row r="1439" spans="1:14" hidden="1" x14ac:dyDescent="0.25">
      <c r="A1439" t="s">
        <v>1313</v>
      </c>
      <c r="B1439" t="s">
        <v>1327</v>
      </c>
      <c r="C1439" t="s">
        <v>2715</v>
      </c>
      <c r="D1439" t="s">
        <v>15</v>
      </c>
      <c r="F1439">
        <v>463</v>
      </c>
      <c r="G1439">
        <v>9.6458333333333339</v>
      </c>
      <c r="H1439" s="89">
        <v>46112</v>
      </c>
      <c r="I1439" s="89">
        <v>46117</v>
      </c>
      <c r="J1439" t="s">
        <v>2709</v>
      </c>
      <c r="N1439" t="s">
        <v>2684</v>
      </c>
    </row>
    <row r="1440" spans="1:14" hidden="1" x14ac:dyDescent="0.25">
      <c r="A1440" t="s">
        <v>1316</v>
      </c>
      <c r="B1440" t="s">
        <v>1330</v>
      </c>
      <c r="C1440" t="s">
        <v>2717</v>
      </c>
      <c r="D1440" t="s">
        <v>15</v>
      </c>
      <c r="F1440">
        <v>101</v>
      </c>
      <c r="G1440" t="s">
        <v>1419</v>
      </c>
      <c r="H1440" s="89">
        <v>46112</v>
      </c>
      <c r="I1440" s="89">
        <v>46114</v>
      </c>
      <c r="N1440" t="s">
        <v>2684</v>
      </c>
    </row>
    <row r="1441" spans="1:14" hidden="1" x14ac:dyDescent="0.25">
      <c r="A1441" t="s">
        <v>1317</v>
      </c>
      <c r="B1441" t="s">
        <v>1331</v>
      </c>
      <c r="C1441" t="s">
        <v>2718</v>
      </c>
      <c r="D1441" t="s">
        <v>15</v>
      </c>
      <c r="F1441">
        <v>29</v>
      </c>
      <c r="G1441" t="s">
        <v>1419</v>
      </c>
      <c r="H1441" s="89">
        <v>46112</v>
      </c>
      <c r="I1441" s="89">
        <v>46114</v>
      </c>
      <c r="N1441" t="s">
        <v>2684</v>
      </c>
    </row>
    <row r="1442" spans="1:14" hidden="1" x14ac:dyDescent="0.25">
      <c r="A1442" t="s">
        <v>1318</v>
      </c>
      <c r="B1442" t="s">
        <v>1332</v>
      </c>
      <c r="C1442" t="s">
        <v>2719</v>
      </c>
      <c r="D1442" t="s">
        <v>15</v>
      </c>
      <c r="F1442">
        <v>42</v>
      </c>
      <c r="G1442" t="s">
        <v>1419</v>
      </c>
      <c r="H1442" s="89">
        <v>46112</v>
      </c>
      <c r="I1442" s="89">
        <v>46114</v>
      </c>
      <c r="N1442" t="s">
        <v>2684</v>
      </c>
    </row>
    <row r="1443" spans="1:14" hidden="1" x14ac:dyDescent="0.25">
      <c r="A1443" t="s">
        <v>1325</v>
      </c>
      <c r="B1443" t="s">
        <v>1339</v>
      </c>
      <c r="C1443" t="s">
        <v>2714</v>
      </c>
      <c r="D1443" t="s">
        <v>32</v>
      </c>
      <c r="F1443">
        <v>336</v>
      </c>
      <c r="G1443">
        <v>7</v>
      </c>
      <c r="H1443" s="89">
        <v>46112</v>
      </c>
      <c r="I1443" s="89">
        <v>46114</v>
      </c>
      <c r="N1443" t="s">
        <v>2684</v>
      </c>
    </row>
    <row r="1444" spans="1:14" hidden="1" x14ac:dyDescent="0.25">
      <c r="A1444" t="s">
        <v>1313</v>
      </c>
      <c r="B1444" t="s">
        <v>1327</v>
      </c>
      <c r="C1444" t="s">
        <v>2720</v>
      </c>
      <c r="D1444" t="s">
        <v>20</v>
      </c>
      <c r="F1444">
        <v>624</v>
      </c>
      <c r="G1444">
        <v>13</v>
      </c>
      <c r="H1444" s="89">
        <v>46112</v>
      </c>
      <c r="I1444" s="89">
        <v>46116</v>
      </c>
      <c r="J1444" t="s">
        <v>2695</v>
      </c>
      <c r="N1444" t="s">
        <v>2684</v>
      </c>
    </row>
    <row r="1445" spans="1:14" hidden="1" x14ac:dyDescent="0.25">
      <c r="A1445" t="s">
        <v>1313</v>
      </c>
      <c r="B1445" t="s">
        <v>1327</v>
      </c>
      <c r="C1445" t="s">
        <v>2720</v>
      </c>
      <c r="D1445" t="s">
        <v>20</v>
      </c>
      <c r="F1445">
        <v>768</v>
      </c>
      <c r="G1445">
        <v>16</v>
      </c>
      <c r="H1445" s="89">
        <v>46112</v>
      </c>
      <c r="I1445" s="89">
        <v>46119</v>
      </c>
      <c r="J1445" t="s">
        <v>2710</v>
      </c>
      <c r="N1445" t="s">
        <v>2684</v>
      </c>
    </row>
    <row r="1446" spans="1:14" hidden="1" x14ac:dyDescent="0.25">
      <c r="A1446" t="s">
        <v>1313</v>
      </c>
      <c r="B1446" t="s">
        <v>1327</v>
      </c>
      <c r="C1446" t="s">
        <v>2720</v>
      </c>
      <c r="D1446" t="s">
        <v>20</v>
      </c>
      <c r="H1446" s="89">
        <v>46112</v>
      </c>
      <c r="I1446" s="89">
        <v>46113</v>
      </c>
      <c r="N1446" t="s">
        <v>2684</v>
      </c>
    </row>
    <row r="1447" spans="1:14" hidden="1" x14ac:dyDescent="0.25">
      <c r="A1447" t="s">
        <v>1316</v>
      </c>
      <c r="B1447" t="s">
        <v>1330</v>
      </c>
      <c r="C1447" t="s">
        <v>2721</v>
      </c>
      <c r="D1447" t="s">
        <v>20</v>
      </c>
      <c r="F1447">
        <v>174</v>
      </c>
      <c r="G1447" t="s">
        <v>1419</v>
      </c>
      <c r="H1447" s="89">
        <v>46112</v>
      </c>
      <c r="I1447" s="89">
        <v>46114</v>
      </c>
      <c r="N1447" t="s">
        <v>2684</v>
      </c>
    </row>
    <row r="1448" spans="1:14" hidden="1" x14ac:dyDescent="0.25">
      <c r="A1448" t="s">
        <v>1317</v>
      </c>
      <c r="B1448" t="s">
        <v>1331</v>
      </c>
      <c r="C1448" t="s">
        <v>2722</v>
      </c>
      <c r="D1448" t="s">
        <v>20</v>
      </c>
      <c r="F1448">
        <v>22</v>
      </c>
      <c r="G1448" t="s">
        <v>1419</v>
      </c>
      <c r="H1448" s="89">
        <v>46112</v>
      </c>
      <c r="I1448" s="89">
        <v>46114</v>
      </c>
      <c r="N1448" t="s">
        <v>2684</v>
      </c>
    </row>
    <row r="1449" spans="1:14" hidden="1" x14ac:dyDescent="0.25">
      <c r="A1449" t="s">
        <v>1318</v>
      </c>
      <c r="B1449" t="s">
        <v>1332</v>
      </c>
      <c r="C1449" t="s">
        <v>2723</v>
      </c>
      <c r="D1449" t="s">
        <v>20</v>
      </c>
      <c r="F1449">
        <v>72</v>
      </c>
      <c r="G1449" t="s">
        <v>1419</v>
      </c>
      <c r="H1449" s="89">
        <v>46112</v>
      </c>
      <c r="I1449" s="89">
        <v>46114</v>
      </c>
      <c r="N1449" t="s">
        <v>2684</v>
      </c>
    </row>
    <row r="1450" spans="1:14" hidden="1" x14ac:dyDescent="0.25">
      <c r="A1450" t="s">
        <v>1324</v>
      </c>
      <c r="B1450" t="s">
        <v>1338</v>
      </c>
      <c r="C1450" t="s">
        <v>2724</v>
      </c>
      <c r="D1450" t="s">
        <v>152</v>
      </c>
      <c r="F1450">
        <v>624</v>
      </c>
      <c r="G1450">
        <v>13</v>
      </c>
      <c r="H1450" s="89">
        <v>46113</v>
      </c>
      <c r="I1450" s="89">
        <v>46121</v>
      </c>
      <c r="J1450" t="s">
        <v>2725</v>
      </c>
      <c r="N1450" t="s">
        <v>2684</v>
      </c>
    </row>
    <row r="1451" spans="1:14" hidden="1" x14ac:dyDescent="0.25">
      <c r="A1451" t="s">
        <v>1321</v>
      </c>
      <c r="B1451" t="s">
        <v>1335</v>
      </c>
      <c r="C1451" t="s">
        <v>2726</v>
      </c>
      <c r="D1451" t="s">
        <v>32</v>
      </c>
      <c r="F1451">
        <v>144</v>
      </c>
      <c r="G1451">
        <v>3</v>
      </c>
      <c r="H1451" s="89">
        <v>46113</v>
      </c>
      <c r="I1451" s="89">
        <v>46122</v>
      </c>
      <c r="J1451" t="s">
        <v>2727</v>
      </c>
      <c r="N1451" t="s">
        <v>2684</v>
      </c>
    </row>
    <row r="1452" spans="1:14" hidden="1" x14ac:dyDescent="0.25">
      <c r="A1452" t="s">
        <v>1325</v>
      </c>
      <c r="B1452" t="s">
        <v>1339</v>
      </c>
      <c r="C1452" t="s">
        <v>2726</v>
      </c>
      <c r="D1452" t="s">
        <v>32</v>
      </c>
      <c r="F1452">
        <v>48</v>
      </c>
      <c r="G1452">
        <v>1</v>
      </c>
      <c r="H1452" s="89">
        <v>46113</v>
      </c>
      <c r="I1452" s="89">
        <v>46117</v>
      </c>
      <c r="N1452" t="s">
        <v>2684</v>
      </c>
    </row>
    <row r="1453" spans="1:14" hidden="1" x14ac:dyDescent="0.25">
      <c r="A1453" t="s">
        <v>1320</v>
      </c>
      <c r="B1453" t="s">
        <v>1334</v>
      </c>
      <c r="C1453" t="s">
        <v>2728</v>
      </c>
      <c r="D1453" t="s">
        <v>20</v>
      </c>
      <c r="F1453">
        <v>960</v>
      </c>
      <c r="G1453">
        <v>20</v>
      </c>
      <c r="H1453" s="89">
        <v>46113</v>
      </c>
      <c r="I1453" s="89">
        <v>46120</v>
      </c>
      <c r="J1453" t="s">
        <v>2729</v>
      </c>
      <c r="N1453" t="s">
        <v>2684</v>
      </c>
    </row>
    <row r="1454" spans="1:14" hidden="1" x14ac:dyDescent="0.25">
      <c r="A1454" t="s">
        <v>1313</v>
      </c>
      <c r="B1454" t="s">
        <v>1327</v>
      </c>
      <c r="C1454" t="s">
        <v>2728</v>
      </c>
      <c r="D1454" t="s">
        <v>20</v>
      </c>
      <c r="F1454">
        <v>187</v>
      </c>
      <c r="G1454">
        <v>3.8958333333333335</v>
      </c>
      <c r="H1454" s="89">
        <v>46113</v>
      </c>
      <c r="I1454" s="89">
        <v>46119</v>
      </c>
      <c r="J1454" t="s">
        <v>2710</v>
      </c>
      <c r="N1454" t="s">
        <v>2684</v>
      </c>
    </row>
    <row r="1455" spans="1:14" hidden="1" x14ac:dyDescent="0.25">
      <c r="A1455" t="s">
        <v>1315</v>
      </c>
      <c r="B1455" t="s">
        <v>1329</v>
      </c>
      <c r="C1455" t="s">
        <v>2728</v>
      </c>
      <c r="D1455" t="s">
        <v>20</v>
      </c>
      <c r="F1455">
        <v>5</v>
      </c>
      <c r="G1455">
        <v>0.10416666666666669</v>
      </c>
      <c r="H1455" s="89">
        <v>46113</v>
      </c>
      <c r="I1455" s="89">
        <v>46117</v>
      </c>
      <c r="N1455" t="s">
        <v>2684</v>
      </c>
    </row>
    <row r="1456" spans="1:14" hidden="1" x14ac:dyDescent="0.25">
      <c r="A1456" t="s">
        <v>1316</v>
      </c>
      <c r="B1456" t="s">
        <v>1330</v>
      </c>
      <c r="C1456" t="s">
        <v>2730</v>
      </c>
      <c r="D1456" t="s">
        <v>20</v>
      </c>
      <c r="F1456">
        <v>208</v>
      </c>
      <c r="G1456" t="s">
        <v>1419</v>
      </c>
      <c r="H1456" s="89">
        <v>46113</v>
      </c>
      <c r="I1456" s="89">
        <v>46115</v>
      </c>
      <c r="N1456" t="s">
        <v>2684</v>
      </c>
    </row>
    <row r="1457" spans="1:14" hidden="1" x14ac:dyDescent="0.25">
      <c r="A1457" t="s">
        <v>1317</v>
      </c>
      <c r="B1457" t="s">
        <v>1331</v>
      </c>
      <c r="C1457" t="s">
        <v>2731</v>
      </c>
      <c r="D1457" t="s">
        <v>20</v>
      </c>
      <c r="F1457">
        <v>7</v>
      </c>
      <c r="G1457" t="s">
        <v>1419</v>
      </c>
      <c r="H1457" s="89">
        <v>46113</v>
      </c>
      <c r="I1457" s="89">
        <v>46115</v>
      </c>
      <c r="N1457" t="s">
        <v>2684</v>
      </c>
    </row>
    <row r="1458" spans="1:14" hidden="1" x14ac:dyDescent="0.25">
      <c r="A1458" t="s">
        <v>1318</v>
      </c>
      <c r="B1458" t="s">
        <v>1332</v>
      </c>
      <c r="C1458" t="s">
        <v>2732</v>
      </c>
      <c r="D1458" t="s">
        <v>20</v>
      </c>
      <c r="F1458">
        <v>85</v>
      </c>
      <c r="G1458" t="s">
        <v>1419</v>
      </c>
      <c r="H1458" s="89">
        <v>46113</v>
      </c>
      <c r="I1458" s="89">
        <v>46115</v>
      </c>
      <c r="N1458" t="s">
        <v>2684</v>
      </c>
    </row>
    <row r="1459" spans="1:14" hidden="1" x14ac:dyDescent="0.25">
      <c r="A1459" t="s">
        <v>1313</v>
      </c>
      <c r="B1459" t="s">
        <v>1327</v>
      </c>
      <c r="C1459" t="s">
        <v>2733</v>
      </c>
      <c r="D1459" t="s">
        <v>15</v>
      </c>
      <c r="F1459">
        <v>17</v>
      </c>
      <c r="G1459">
        <v>0.35416666666666669</v>
      </c>
      <c r="H1459" s="89">
        <v>46113</v>
      </c>
      <c r="I1459" s="89">
        <v>46117</v>
      </c>
      <c r="J1459" t="s">
        <v>2709</v>
      </c>
      <c r="N1459" t="s">
        <v>2684</v>
      </c>
    </row>
    <row r="1460" spans="1:14" hidden="1" x14ac:dyDescent="0.25">
      <c r="A1460" t="s">
        <v>1320</v>
      </c>
      <c r="B1460" t="s">
        <v>1334</v>
      </c>
      <c r="C1460" t="s">
        <v>2733</v>
      </c>
      <c r="D1460" t="s">
        <v>15</v>
      </c>
      <c r="F1460">
        <v>960</v>
      </c>
      <c r="G1460">
        <v>20</v>
      </c>
      <c r="H1460" s="89">
        <v>46113</v>
      </c>
      <c r="I1460" s="89">
        <v>46120</v>
      </c>
      <c r="J1460" t="s">
        <v>2734</v>
      </c>
      <c r="N1460" t="s">
        <v>2684</v>
      </c>
    </row>
    <row r="1461" spans="1:14" hidden="1" x14ac:dyDescent="0.25">
      <c r="A1461" t="s">
        <v>1313</v>
      </c>
      <c r="B1461" t="s">
        <v>1327</v>
      </c>
      <c r="C1461" t="s">
        <v>2733</v>
      </c>
      <c r="D1461" t="s">
        <v>15</v>
      </c>
      <c r="F1461">
        <v>192</v>
      </c>
      <c r="G1461">
        <v>4</v>
      </c>
      <c r="H1461" s="89">
        <v>46113</v>
      </c>
      <c r="I1461" s="89">
        <v>46119</v>
      </c>
      <c r="J1461" t="s">
        <v>2735</v>
      </c>
      <c r="N1461" t="s">
        <v>2684</v>
      </c>
    </row>
    <row r="1462" spans="1:14" hidden="1" x14ac:dyDescent="0.25">
      <c r="A1462" t="s">
        <v>1313</v>
      </c>
      <c r="B1462" t="s">
        <v>1327</v>
      </c>
      <c r="C1462" t="s">
        <v>2733</v>
      </c>
      <c r="D1462" t="s">
        <v>15</v>
      </c>
      <c r="F1462">
        <v>240</v>
      </c>
      <c r="G1462">
        <v>5</v>
      </c>
      <c r="H1462" s="89">
        <v>46113</v>
      </c>
      <c r="I1462" s="89">
        <v>46118</v>
      </c>
      <c r="J1462" t="s">
        <v>2736</v>
      </c>
      <c r="N1462" t="s">
        <v>2684</v>
      </c>
    </row>
    <row r="1463" spans="1:14" hidden="1" x14ac:dyDescent="0.25">
      <c r="A1463" t="s">
        <v>1314</v>
      </c>
      <c r="B1463" t="s">
        <v>1328</v>
      </c>
      <c r="C1463" t="s">
        <v>2733</v>
      </c>
      <c r="D1463" t="s">
        <v>15</v>
      </c>
      <c r="F1463">
        <v>144</v>
      </c>
      <c r="G1463">
        <v>3</v>
      </c>
      <c r="H1463" s="89">
        <v>46113</v>
      </c>
      <c r="I1463" s="89">
        <v>46118</v>
      </c>
      <c r="J1463" t="s">
        <v>2737</v>
      </c>
      <c r="N1463" t="s">
        <v>2684</v>
      </c>
    </row>
    <row r="1464" spans="1:14" hidden="1" x14ac:dyDescent="0.25">
      <c r="A1464" t="s">
        <v>1314</v>
      </c>
      <c r="B1464" t="s">
        <v>1328</v>
      </c>
      <c r="C1464" t="s">
        <v>2733</v>
      </c>
      <c r="D1464" t="s">
        <v>15</v>
      </c>
      <c r="F1464">
        <v>336</v>
      </c>
      <c r="G1464">
        <v>7</v>
      </c>
      <c r="H1464" s="89">
        <v>46113</v>
      </c>
      <c r="I1464" s="89">
        <v>46119</v>
      </c>
      <c r="J1464" t="s">
        <v>2738</v>
      </c>
      <c r="N1464" t="s">
        <v>2684</v>
      </c>
    </row>
    <row r="1465" spans="1:14" hidden="1" x14ac:dyDescent="0.25">
      <c r="A1465" t="s">
        <v>1315</v>
      </c>
      <c r="B1465" t="s">
        <v>1329</v>
      </c>
      <c r="C1465" t="s">
        <v>2733</v>
      </c>
      <c r="D1465" t="s">
        <v>15</v>
      </c>
      <c r="F1465">
        <v>5</v>
      </c>
      <c r="G1465" t="s">
        <v>1419</v>
      </c>
      <c r="H1465" s="89">
        <v>46113</v>
      </c>
      <c r="I1465" s="89">
        <v>46116</v>
      </c>
      <c r="N1465" t="s">
        <v>2684</v>
      </c>
    </row>
    <row r="1466" spans="1:14" hidden="1" x14ac:dyDescent="0.25">
      <c r="A1466" t="s">
        <v>1316</v>
      </c>
      <c r="B1466" t="s">
        <v>1330</v>
      </c>
      <c r="C1466" t="s">
        <v>2739</v>
      </c>
      <c r="D1466" t="s">
        <v>15</v>
      </c>
      <c r="F1466">
        <v>137</v>
      </c>
      <c r="G1466" t="s">
        <v>1419</v>
      </c>
      <c r="H1466" s="89">
        <v>46113</v>
      </c>
      <c r="I1466" s="89">
        <v>46115</v>
      </c>
      <c r="N1466" t="s">
        <v>2684</v>
      </c>
    </row>
    <row r="1467" spans="1:14" hidden="1" x14ac:dyDescent="0.25">
      <c r="A1467" t="s">
        <v>1317</v>
      </c>
      <c r="B1467" t="s">
        <v>1331</v>
      </c>
      <c r="C1467" t="s">
        <v>2740</v>
      </c>
      <c r="D1467" t="s">
        <v>15</v>
      </c>
      <c r="F1467">
        <v>49</v>
      </c>
      <c r="G1467" t="s">
        <v>1419</v>
      </c>
      <c r="H1467" s="89">
        <v>46113</v>
      </c>
      <c r="I1467" s="89">
        <v>46115</v>
      </c>
      <c r="N1467" t="s">
        <v>2684</v>
      </c>
    </row>
    <row r="1468" spans="1:14" hidden="1" x14ac:dyDescent="0.25">
      <c r="A1468" t="s">
        <v>1318</v>
      </c>
      <c r="B1468" t="s">
        <v>1332</v>
      </c>
      <c r="C1468" t="s">
        <v>2741</v>
      </c>
      <c r="D1468" t="s">
        <v>15</v>
      </c>
      <c r="F1468">
        <v>57</v>
      </c>
      <c r="G1468" t="s">
        <v>1419</v>
      </c>
      <c r="H1468" s="89">
        <v>46113</v>
      </c>
      <c r="I1468" s="89">
        <v>46115</v>
      </c>
      <c r="N1468" t="s">
        <v>2684</v>
      </c>
    </row>
    <row r="1469" spans="1:14" hidden="1" x14ac:dyDescent="0.25">
      <c r="A1469" t="s">
        <v>1313</v>
      </c>
      <c r="B1469" t="s">
        <v>1327</v>
      </c>
      <c r="C1469" t="s">
        <v>2742</v>
      </c>
      <c r="D1469" t="s">
        <v>21</v>
      </c>
      <c r="F1469">
        <v>96</v>
      </c>
      <c r="G1469">
        <v>2</v>
      </c>
      <c r="H1469" s="89">
        <v>46113</v>
      </c>
      <c r="I1469" s="89">
        <v>46117</v>
      </c>
      <c r="J1469" t="s">
        <v>2709</v>
      </c>
      <c r="N1469" t="s">
        <v>2684</v>
      </c>
    </row>
    <row r="1470" spans="1:14" hidden="1" x14ac:dyDescent="0.25">
      <c r="A1470" t="s">
        <v>1566</v>
      </c>
      <c r="B1470" t="s">
        <v>1567</v>
      </c>
      <c r="C1470" t="s">
        <v>2742</v>
      </c>
      <c r="D1470" t="s">
        <v>21</v>
      </c>
      <c r="F1470">
        <v>5</v>
      </c>
      <c r="G1470">
        <v>0.10416666666666669</v>
      </c>
      <c r="H1470" s="89">
        <v>46113</v>
      </c>
      <c r="I1470" s="89">
        <v>46119</v>
      </c>
      <c r="J1470" t="s">
        <v>2743</v>
      </c>
      <c r="N1470" t="s">
        <v>2684</v>
      </c>
    </row>
    <row r="1471" spans="1:14" hidden="1" x14ac:dyDescent="0.25">
      <c r="A1471" t="s">
        <v>1566</v>
      </c>
      <c r="B1471" t="s">
        <v>1567</v>
      </c>
      <c r="C1471" t="s">
        <v>2742</v>
      </c>
      <c r="D1471" t="s">
        <v>21</v>
      </c>
      <c r="F1471">
        <v>5</v>
      </c>
      <c r="G1471">
        <v>0.10416666666666669</v>
      </c>
      <c r="H1471" s="89">
        <v>46113</v>
      </c>
      <c r="I1471" s="89">
        <v>46118</v>
      </c>
      <c r="J1471" t="s">
        <v>2737</v>
      </c>
      <c r="N1471" t="s">
        <v>2684</v>
      </c>
    </row>
    <row r="1472" spans="1:14" hidden="1" x14ac:dyDescent="0.25">
      <c r="A1472" t="s">
        <v>1313</v>
      </c>
      <c r="B1472" t="s">
        <v>1327</v>
      </c>
      <c r="C1472" t="s">
        <v>2742</v>
      </c>
      <c r="D1472" t="s">
        <v>21</v>
      </c>
      <c r="F1472">
        <v>763</v>
      </c>
      <c r="G1472">
        <v>15.895833333333334</v>
      </c>
      <c r="H1472" s="89">
        <v>46113</v>
      </c>
      <c r="I1472" s="89">
        <v>46118</v>
      </c>
      <c r="J1472" t="s">
        <v>2736</v>
      </c>
      <c r="N1472" t="s">
        <v>2684</v>
      </c>
    </row>
    <row r="1473" spans="1:14" hidden="1" x14ac:dyDescent="0.25">
      <c r="A1473" t="s">
        <v>1320</v>
      </c>
      <c r="B1473" t="s">
        <v>1334</v>
      </c>
      <c r="C1473" t="s">
        <v>2742</v>
      </c>
      <c r="D1473" t="s">
        <v>21</v>
      </c>
      <c r="F1473">
        <v>960</v>
      </c>
      <c r="G1473">
        <v>20</v>
      </c>
      <c r="H1473" s="89">
        <v>46113</v>
      </c>
      <c r="I1473" s="89">
        <v>46121</v>
      </c>
      <c r="J1473" t="s">
        <v>2744</v>
      </c>
      <c r="N1473" t="s">
        <v>2684</v>
      </c>
    </row>
    <row r="1474" spans="1:14" hidden="1" x14ac:dyDescent="0.25">
      <c r="A1474" t="s">
        <v>1313</v>
      </c>
      <c r="B1474" t="s">
        <v>1327</v>
      </c>
      <c r="C1474" t="s">
        <v>2742</v>
      </c>
      <c r="D1474" t="s">
        <v>21</v>
      </c>
      <c r="F1474">
        <v>144</v>
      </c>
      <c r="G1474">
        <v>3</v>
      </c>
      <c r="H1474" s="89">
        <v>46113</v>
      </c>
      <c r="I1474" s="89">
        <v>46117</v>
      </c>
      <c r="J1474" t="s">
        <v>2745</v>
      </c>
      <c r="N1474" t="s">
        <v>2684</v>
      </c>
    </row>
    <row r="1475" spans="1:14" hidden="1" x14ac:dyDescent="0.25">
      <c r="A1475" t="s">
        <v>1315</v>
      </c>
      <c r="B1475" t="s">
        <v>1329</v>
      </c>
      <c r="C1475" t="s">
        <v>2742</v>
      </c>
      <c r="D1475" t="s">
        <v>21</v>
      </c>
      <c r="F1475">
        <v>79</v>
      </c>
      <c r="G1475" t="s">
        <v>1419</v>
      </c>
      <c r="H1475" s="89">
        <v>46113</v>
      </c>
      <c r="I1475" s="89">
        <v>46116</v>
      </c>
      <c r="N1475" t="s">
        <v>2684</v>
      </c>
    </row>
    <row r="1476" spans="1:14" hidden="1" x14ac:dyDescent="0.25">
      <c r="A1476" t="s">
        <v>1316</v>
      </c>
      <c r="B1476" t="s">
        <v>1330</v>
      </c>
      <c r="C1476" t="s">
        <v>2746</v>
      </c>
      <c r="D1476" t="s">
        <v>21</v>
      </c>
      <c r="F1476">
        <v>91</v>
      </c>
      <c r="G1476" t="s">
        <v>1419</v>
      </c>
      <c r="H1476" s="89">
        <v>46113</v>
      </c>
      <c r="I1476" s="89">
        <v>46115</v>
      </c>
      <c r="N1476" t="s">
        <v>2684</v>
      </c>
    </row>
    <row r="1477" spans="1:14" hidden="1" x14ac:dyDescent="0.25">
      <c r="A1477" t="s">
        <v>1317</v>
      </c>
      <c r="B1477" t="s">
        <v>1331</v>
      </c>
      <c r="C1477" t="s">
        <v>2747</v>
      </c>
      <c r="D1477" t="s">
        <v>21</v>
      </c>
      <c r="F1477">
        <v>10</v>
      </c>
      <c r="G1477" t="s">
        <v>1419</v>
      </c>
      <c r="H1477" s="89">
        <v>46113</v>
      </c>
      <c r="I1477" s="89">
        <v>46115</v>
      </c>
      <c r="N1477" t="s">
        <v>2684</v>
      </c>
    </row>
    <row r="1478" spans="1:14" hidden="1" x14ac:dyDescent="0.25">
      <c r="A1478" t="s">
        <v>1318</v>
      </c>
      <c r="B1478" t="s">
        <v>1332</v>
      </c>
      <c r="C1478" t="s">
        <v>2748</v>
      </c>
      <c r="D1478" t="s">
        <v>21</v>
      </c>
      <c r="F1478">
        <v>97</v>
      </c>
      <c r="G1478" t="s">
        <v>1419</v>
      </c>
      <c r="H1478" s="89">
        <v>46113</v>
      </c>
      <c r="I1478" s="89">
        <v>46115</v>
      </c>
      <c r="N1478" t="s">
        <v>2684</v>
      </c>
    </row>
    <row r="1479" spans="1:14" hidden="1" x14ac:dyDescent="0.25">
      <c r="A1479" t="s">
        <v>1324</v>
      </c>
      <c r="B1479" t="s">
        <v>1338</v>
      </c>
      <c r="C1479" t="s">
        <v>2749</v>
      </c>
      <c r="D1479" t="s">
        <v>23</v>
      </c>
      <c r="F1479">
        <v>960</v>
      </c>
      <c r="G1479">
        <v>20</v>
      </c>
      <c r="H1479" s="89">
        <v>46113</v>
      </c>
      <c r="I1479" s="89">
        <v>46122</v>
      </c>
      <c r="J1479" t="s">
        <v>2727</v>
      </c>
      <c r="N1479" t="s">
        <v>2684</v>
      </c>
    </row>
    <row r="1480" spans="1:14" hidden="1" x14ac:dyDescent="0.25">
      <c r="A1480" t="s">
        <v>1313</v>
      </c>
      <c r="B1480" t="s">
        <v>1327</v>
      </c>
      <c r="C1480" t="s">
        <v>2750</v>
      </c>
      <c r="D1480" t="s">
        <v>15</v>
      </c>
      <c r="F1480">
        <v>288</v>
      </c>
      <c r="G1480">
        <v>6</v>
      </c>
      <c r="H1480" s="89">
        <v>46114</v>
      </c>
      <c r="I1480" s="89">
        <v>46119</v>
      </c>
      <c r="J1480" t="s">
        <v>2735</v>
      </c>
      <c r="N1480" t="s">
        <v>2684</v>
      </c>
    </row>
    <row r="1481" spans="1:14" hidden="1" x14ac:dyDescent="0.25">
      <c r="A1481" t="s">
        <v>1324</v>
      </c>
      <c r="B1481" t="s">
        <v>1338</v>
      </c>
      <c r="C1481" t="s">
        <v>2750</v>
      </c>
      <c r="D1481" t="s">
        <v>15</v>
      </c>
      <c r="F1481">
        <v>816</v>
      </c>
      <c r="G1481">
        <v>17</v>
      </c>
      <c r="H1481" s="89">
        <v>46114</v>
      </c>
      <c r="I1481" s="89">
        <v>46122</v>
      </c>
      <c r="J1481" t="s">
        <v>2727</v>
      </c>
      <c r="N1481" t="s">
        <v>2684</v>
      </c>
    </row>
    <row r="1482" spans="1:14" hidden="1" x14ac:dyDescent="0.25">
      <c r="A1482" t="s">
        <v>1315</v>
      </c>
      <c r="B1482" t="s">
        <v>1329</v>
      </c>
      <c r="C1482" t="s">
        <v>2733</v>
      </c>
      <c r="D1482" t="s">
        <v>15</v>
      </c>
      <c r="F1482">
        <v>47</v>
      </c>
      <c r="G1482" t="s">
        <v>1419</v>
      </c>
      <c r="H1482" s="89">
        <v>46114</v>
      </c>
      <c r="I1482" s="89">
        <v>46116</v>
      </c>
      <c r="N1482" t="s">
        <v>2684</v>
      </c>
    </row>
    <row r="1483" spans="1:14" hidden="1" x14ac:dyDescent="0.25">
      <c r="A1483" t="s">
        <v>1316</v>
      </c>
      <c r="B1483" t="s">
        <v>1330</v>
      </c>
      <c r="C1483" t="s">
        <v>2751</v>
      </c>
      <c r="D1483" t="s">
        <v>15</v>
      </c>
      <c r="F1483">
        <v>90</v>
      </c>
      <c r="G1483" t="s">
        <v>1419</v>
      </c>
      <c r="H1483" s="89">
        <v>46114</v>
      </c>
      <c r="I1483" s="89">
        <v>46116</v>
      </c>
      <c r="N1483" t="s">
        <v>2684</v>
      </c>
    </row>
    <row r="1484" spans="1:14" hidden="1" x14ac:dyDescent="0.25">
      <c r="A1484" t="s">
        <v>1317</v>
      </c>
      <c r="B1484" t="s">
        <v>1331</v>
      </c>
      <c r="C1484" t="s">
        <v>2752</v>
      </c>
      <c r="D1484" t="s">
        <v>15</v>
      </c>
      <c r="F1484">
        <v>43</v>
      </c>
      <c r="G1484" t="s">
        <v>1419</v>
      </c>
      <c r="H1484" s="89">
        <v>46114</v>
      </c>
      <c r="I1484" s="89">
        <v>46116</v>
      </c>
      <c r="N1484" t="s">
        <v>2684</v>
      </c>
    </row>
    <row r="1485" spans="1:14" hidden="1" x14ac:dyDescent="0.25">
      <c r="A1485" t="s">
        <v>1318</v>
      </c>
      <c r="B1485" t="s">
        <v>1332</v>
      </c>
      <c r="C1485" t="s">
        <v>2753</v>
      </c>
      <c r="D1485" t="s">
        <v>15</v>
      </c>
      <c r="F1485">
        <v>49</v>
      </c>
      <c r="G1485" t="s">
        <v>1419</v>
      </c>
      <c r="H1485" s="89">
        <v>46114</v>
      </c>
      <c r="I1485" s="89">
        <v>46116</v>
      </c>
      <c r="N1485" t="s">
        <v>2684</v>
      </c>
    </row>
    <row r="1486" spans="1:14" hidden="1" x14ac:dyDescent="0.25">
      <c r="A1486" t="s">
        <v>1320</v>
      </c>
      <c r="B1486" t="s">
        <v>1334</v>
      </c>
      <c r="C1486" t="s">
        <v>2754</v>
      </c>
      <c r="D1486" t="s">
        <v>28</v>
      </c>
      <c r="F1486">
        <v>960</v>
      </c>
      <c r="G1486">
        <v>20</v>
      </c>
      <c r="H1486" s="89">
        <v>46114</v>
      </c>
      <c r="I1486" s="89">
        <v>46121</v>
      </c>
      <c r="J1486" t="s">
        <v>2755</v>
      </c>
      <c r="N1486" t="s">
        <v>2684</v>
      </c>
    </row>
    <row r="1487" spans="1:14" hidden="1" x14ac:dyDescent="0.25">
      <c r="A1487" t="s">
        <v>1315</v>
      </c>
      <c r="B1487" t="s">
        <v>1329</v>
      </c>
      <c r="C1487" t="s">
        <v>2754</v>
      </c>
      <c r="D1487" t="s">
        <v>28</v>
      </c>
      <c r="F1487">
        <v>6</v>
      </c>
      <c r="G1487">
        <v>20</v>
      </c>
      <c r="H1487" s="89">
        <v>46114</v>
      </c>
      <c r="I1487" s="89">
        <v>46116</v>
      </c>
      <c r="N1487" t="s">
        <v>2684</v>
      </c>
    </row>
    <row r="1488" spans="1:14" hidden="1" x14ac:dyDescent="0.25">
      <c r="A1488" t="s">
        <v>1316</v>
      </c>
      <c r="B1488" t="s">
        <v>1330</v>
      </c>
      <c r="C1488" t="s">
        <v>2756</v>
      </c>
      <c r="D1488" t="s">
        <v>28</v>
      </c>
      <c r="F1488">
        <v>38</v>
      </c>
      <c r="G1488" t="s">
        <v>1419</v>
      </c>
      <c r="H1488" s="89">
        <v>46114</v>
      </c>
      <c r="I1488" s="89">
        <v>46116</v>
      </c>
      <c r="N1488" t="s">
        <v>2684</v>
      </c>
    </row>
    <row r="1489" spans="1:14" hidden="1" x14ac:dyDescent="0.25">
      <c r="A1489" t="s">
        <v>1317</v>
      </c>
      <c r="B1489" t="s">
        <v>1331</v>
      </c>
      <c r="C1489" t="s">
        <v>2757</v>
      </c>
      <c r="D1489" t="s">
        <v>28</v>
      </c>
      <c r="F1489">
        <v>2</v>
      </c>
      <c r="G1489" t="s">
        <v>1419</v>
      </c>
      <c r="H1489" s="89">
        <v>46114</v>
      </c>
      <c r="I1489" s="89">
        <v>46116</v>
      </c>
      <c r="N1489" t="s">
        <v>2684</v>
      </c>
    </row>
    <row r="1490" spans="1:14" hidden="1" x14ac:dyDescent="0.25">
      <c r="A1490" t="s">
        <v>1318</v>
      </c>
      <c r="B1490" t="s">
        <v>1332</v>
      </c>
      <c r="C1490" t="s">
        <v>2758</v>
      </c>
      <c r="D1490" t="s">
        <v>28</v>
      </c>
      <c r="F1490">
        <v>21</v>
      </c>
      <c r="G1490" t="s">
        <v>1419</v>
      </c>
      <c r="H1490" s="89">
        <v>46114</v>
      </c>
      <c r="I1490" s="89">
        <v>46116</v>
      </c>
      <c r="N1490" t="s">
        <v>2684</v>
      </c>
    </row>
    <row r="1491" spans="1:14" hidden="1" x14ac:dyDescent="0.25">
      <c r="A1491" t="s">
        <v>1324</v>
      </c>
      <c r="B1491" t="s">
        <v>1338</v>
      </c>
      <c r="C1491" t="s">
        <v>2759</v>
      </c>
      <c r="D1491" t="s">
        <v>118</v>
      </c>
      <c r="F1491">
        <v>336</v>
      </c>
      <c r="G1491">
        <v>7</v>
      </c>
      <c r="H1491" s="89">
        <v>46114</v>
      </c>
      <c r="I1491" s="89">
        <v>46121</v>
      </c>
      <c r="J1491" t="s">
        <v>2725</v>
      </c>
      <c r="N1491" t="s">
        <v>2684</v>
      </c>
    </row>
    <row r="1492" spans="1:14" hidden="1" x14ac:dyDescent="0.25">
      <c r="A1492" t="s">
        <v>1313</v>
      </c>
      <c r="B1492" t="s">
        <v>1327</v>
      </c>
      <c r="C1492" t="s">
        <v>2760</v>
      </c>
      <c r="D1492" t="s">
        <v>20</v>
      </c>
      <c r="F1492">
        <v>1008</v>
      </c>
      <c r="G1492">
        <v>21</v>
      </c>
      <c r="H1492" s="89">
        <v>46114</v>
      </c>
      <c r="I1492" s="89">
        <v>46117</v>
      </c>
      <c r="J1492" t="s">
        <v>2745</v>
      </c>
      <c r="N1492" t="s">
        <v>2684</v>
      </c>
    </row>
    <row r="1493" spans="1:14" hidden="1" x14ac:dyDescent="0.25">
      <c r="A1493" t="s">
        <v>1315</v>
      </c>
      <c r="B1493" t="s">
        <v>1329</v>
      </c>
      <c r="C1493" t="s">
        <v>2688</v>
      </c>
      <c r="D1493" t="s">
        <v>20</v>
      </c>
      <c r="F1493">
        <v>6</v>
      </c>
      <c r="G1493" t="s">
        <v>1419</v>
      </c>
      <c r="H1493" s="89">
        <v>46114</v>
      </c>
      <c r="I1493" s="89">
        <v>46116</v>
      </c>
      <c r="N1493" t="s">
        <v>2684</v>
      </c>
    </row>
    <row r="1494" spans="1:14" hidden="1" x14ac:dyDescent="0.25">
      <c r="A1494" t="s">
        <v>1316</v>
      </c>
      <c r="B1494" t="s">
        <v>1330</v>
      </c>
      <c r="C1494" t="s">
        <v>2761</v>
      </c>
      <c r="D1494" t="s">
        <v>20</v>
      </c>
      <c r="F1494">
        <v>142</v>
      </c>
      <c r="G1494" t="s">
        <v>1419</v>
      </c>
      <c r="H1494" s="89">
        <v>46114</v>
      </c>
      <c r="I1494" s="89">
        <v>46116</v>
      </c>
      <c r="N1494" t="s">
        <v>2684</v>
      </c>
    </row>
    <row r="1495" spans="1:14" hidden="1" x14ac:dyDescent="0.25">
      <c r="A1495" t="s">
        <v>1317</v>
      </c>
      <c r="B1495" t="s">
        <v>1331</v>
      </c>
      <c r="C1495" t="s">
        <v>2762</v>
      </c>
      <c r="D1495" t="s">
        <v>20</v>
      </c>
      <c r="F1495">
        <v>8</v>
      </c>
      <c r="G1495" t="s">
        <v>1419</v>
      </c>
      <c r="H1495" s="89">
        <v>46114</v>
      </c>
      <c r="I1495" s="89">
        <v>46116</v>
      </c>
      <c r="N1495" t="s">
        <v>2684</v>
      </c>
    </row>
    <row r="1496" spans="1:14" hidden="1" x14ac:dyDescent="0.25">
      <c r="A1496" t="s">
        <v>1318</v>
      </c>
      <c r="B1496" t="s">
        <v>1332</v>
      </c>
      <c r="C1496" t="s">
        <v>2763</v>
      </c>
      <c r="D1496" t="s">
        <v>20</v>
      </c>
      <c r="F1496">
        <v>46</v>
      </c>
      <c r="G1496" t="s">
        <v>1419</v>
      </c>
      <c r="H1496" s="89">
        <v>46114</v>
      </c>
      <c r="I1496" s="89">
        <v>46116</v>
      </c>
      <c r="N1496" t="s">
        <v>2684</v>
      </c>
    </row>
    <row r="1497" spans="1:14" hidden="1" x14ac:dyDescent="0.25">
      <c r="A1497" t="s">
        <v>1323</v>
      </c>
      <c r="B1497" t="s">
        <v>1337</v>
      </c>
      <c r="C1497" t="s">
        <v>2764</v>
      </c>
      <c r="D1497" t="s">
        <v>20</v>
      </c>
      <c r="F1497">
        <v>756</v>
      </c>
      <c r="G1497">
        <v>14</v>
      </c>
      <c r="H1497" s="89">
        <v>46132</v>
      </c>
      <c r="I1497" s="89">
        <v>46135</v>
      </c>
      <c r="J1497" t="s">
        <v>2765</v>
      </c>
      <c r="N1497" t="s">
        <v>2766</v>
      </c>
    </row>
    <row r="1498" spans="1:14" hidden="1" x14ac:dyDescent="0.25">
      <c r="A1498" t="s">
        <v>1322</v>
      </c>
      <c r="B1498" t="s">
        <v>1336</v>
      </c>
      <c r="C1498" t="s">
        <v>2764</v>
      </c>
      <c r="D1498" t="s">
        <v>20</v>
      </c>
      <c r="F1498">
        <v>324</v>
      </c>
      <c r="G1498">
        <v>6</v>
      </c>
      <c r="H1498" s="89">
        <v>46132</v>
      </c>
      <c r="I1498" s="89">
        <v>46135</v>
      </c>
      <c r="J1498" t="s">
        <v>2765</v>
      </c>
      <c r="N1498" t="s">
        <v>2766</v>
      </c>
    </row>
    <row r="1499" spans="1:14" hidden="1" x14ac:dyDescent="0.25">
      <c r="A1499" t="s">
        <v>1313</v>
      </c>
      <c r="B1499" t="s">
        <v>1327</v>
      </c>
      <c r="C1499" t="s">
        <v>2764</v>
      </c>
      <c r="D1499" t="s">
        <v>20</v>
      </c>
      <c r="F1499">
        <v>336</v>
      </c>
      <c r="G1499">
        <v>7</v>
      </c>
      <c r="H1499" s="89">
        <v>46132</v>
      </c>
      <c r="I1499" s="89">
        <v>46135</v>
      </c>
      <c r="J1499" t="s">
        <v>2767</v>
      </c>
      <c r="N1499" t="s">
        <v>2766</v>
      </c>
    </row>
    <row r="1500" spans="1:14" hidden="1" x14ac:dyDescent="0.25">
      <c r="A1500" t="s">
        <v>1315</v>
      </c>
      <c r="B1500" t="s">
        <v>1329</v>
      </c>
      <c r="C1500" t="s">
        <v>2764</v>
      </c>
      <c r="D1500" t="s">
        <v>20</v>
      </c>
      <c r="F1500">
        <v>7</v>
      </c>
      <c r="G1500" t="s">
        <v>1419</v>
      </c>
      <c r="H1500" s="89">
        <v>46132</v>
      </c>
      <c r="I1500" s="89">
        <v>46135</v>
      </c>
      <c r="N1500" t="s">
        <v>2766</v>
      </c>
    </row>
    <row r="1501" spans="1:14" hidden="1" x14ac:dyDescent="0.25">
      <c r="A1501" t="s">
        <v>1316</v>
      </c>
      <c r="B1501" t="s">
        <v>1330</v>
      </c>
      <c r="C1501" t="s">
        <v>2768</v>
      </c>
      <c r="D1501" t="s">
        <v>20</v>
      </c>
      <c r="F1501">
        <v>92</v>
      </c>
      <c r="G1501" t="s">
        <v>1419</v>
      </c>
      <c r="H1501" s="89">
        <v>46132</v>
      </c>
      <c r="I1501" s="89">
        <v>46134</v>
      </c>
      <c r="N1501" t="s">
        <v>2766</v>
      </c>
    </row>
    <row r="1502" spans="1:14" hidden="1" x14ac:dyDescent="0.25">
      <c r="A1502" t="s">
        <v>1317</v>
      </c>
      <c r="B1502" t="s">
        <v>1331</v>
      </c>
      <c r="C1502" t="s">
        <v>2769</v>
      </c>
      <c r="D1502" t="s">
        <v>20</v>
      </c>
      <c r="F1502">
        <v>4</v>
      </c>
      <c r="G1502" t="s">
        <v>1419</v>
      </c>
      <c r="H1502" s="89">
        <v>46132</v>
      </c>
      <c r="I1502" s="89">
        <v>46134</v>
      </c>
      <c r="N1502" t="s">
        <v>2766</v>
      </c>
    </row>
    <row r="1503" spans="1:14" hidden="1" x14ac:dyDescent="0.25">
      <c r="A1503" t="s">
        <v>1318</v>
      </c>
      <c r="B1503" t="s">
        <v>1332</v>
      </c>
      <c r="C1503" t="s">
        <v>2770</v>
      </c>
      <c r="D1503" t="s">
        <v>20</v>
      </c>
      <c r="F1503">
        <v>67</v>
      </c>
      <c r="G1503" t="s">
        <v>1419</v>
      </c>
      <c r="H1503" s="89">
        <v>46132</v>
      </c>
      <c r="I1503" s="89">
        <v>46134</v>
      </c>
      <c r="N1503" t="s">
        <v>2766</v>
      </c>
    </row>
    <row r="1504" spans="1:14" hidden="1" x14ac:dyDescent="0.25">
      <c r="A1504" t="s">
        <v>1313</v>
      </c>
      <c r="B1504" t="s">
        <v>1327</v>
      </c>
      <c r="C1504" t="s">
        <v>2771</v>
      </c>
      <c r="D1504" t="s">
        <v>129</v>
      </c>
      <c r="F1504">
        <v>960</v>
      </c>
      <c r="G1504">
        <v>20</v>
      </c>
      <c r="H1504" s="89">
        <v>46132</v>
      </c>
      <c r="I1504" s="89">
        <v>46136</v>
      </c>
      <c r="J1504" t="s">
        <v>2772</v>
      </c>
      <c r="N1504" t="s">
        <v>2766</v>
      </c>
    </row>
    <row r="1505" spans="1:14" hidden="1" x14ac:dyDescent="0.25">
      <c r="A1505" t="s">
        <v>1324</v>
      </c>
      <c r="B1505" t="s">
        <v>1338</v>
      </c>
      <c r="C1505" t="s">
        <v>2773</v>
      </c>
      <c r="D1505" t="s">
        <v>15</v>
      </c>
      <c r="F1505">
        <v>960</v>
      </c>
      <c r="G1505">
        <v>20</v>
      </c>
      <c r="H1505" s="89">
        <v>46132</v>
      </c>
      <c r="I1505" s="89">
        <v>46139</v>
      </c>
      <c r="J1505" t="s">
        <v>2774</v>
      </c>
      <c r="N1505" t="s">
        <v>2766</v>
      </c>
    </row>
    <row r="1506" spans="1:14" hidden="1" x14ac:dyDescent="0.25">
      <c r="A1506" t="s">
        <v>1314</v>
      </c>
      <c r="B1506" t="s">
        <v>1328</v>
      </c>
      <c r="C1506" t="s">
        <v>2773</v>
      </c>
      <c r="D1506" t="s">
        <v>15</v>
      </c>
      <c r="F1506">
        <v>314</v>
      </c>
      <c r="G1506">
        <v>6.541666666666667</v>
      </c>
      <c r="H1506" s="89">
        <v>46132</v>
      </c>
      <c r="I1506" s="89">
        <v>46135</v>
      </c>
      <c r="J1506" t="s">
        <v>2775</v>
      </c>
      <c r="N1506" t="s">
        <v>2766</v>
      </c>
    </row>
    <row r="1507" spans="1:14" hidden="1" x14ac:dyDescent="0.25">
      <c r="A1507" t="s">
        <v>1313</v>
      </c>
      <c r="B1507" t="s">
        <v>1327</v>
      </c>
      <c r="C1507" t="s">
        <v>2773</v>
      </c>
      <c r="D1507" t="s">
        <v>15</v>
      </c>
      <c r="F1507">
        <v>144</v>
      </c>
      <c r="G1507">
        <v>3</v>
      </c>
      <c r="H1507" s="89">
        <v>46132</v>
      </c>
      <c r="I1507" s="89">
        <v>46136</v>
      </c>
      <c r="J1507" t="s">
        <v>2772</v>
      </c>
      <c r="N1507" t="s">
        <v>2766</v>
      </c>
    </row>
    <row r="1508" spans="1:14" hidden="1" x14ac:dyDescent="0.25">
      <c r="A1508" t="s">
        <v>1319</v>
      </c>
      <c r="B1508" t="s">
        <v>1333</v>
      </c>
      <c r="C1508" t="s">
        <v>2773</v>
      </c>
      <c r="D1508" t="s">
        <v>15</v>
      </c>
      <c r="F1508">
        <v>48</v>
      </c>
      <c r="G1508">
        <v>1</v>
      </c>
      <c r="H1508" s="89">
        <v>46132</v>
      </c>
      <c r="I1508" s="89">
        <v>46136</v>
      </c>
      <c r="J1508" t="s">
        <v>2772</v>
      </c>
      <c r="N1508" t="s">
        <v>2766</v>
      </c>
    </row>
    <row r="1509" spans="1:14" hidden="1" x14ac:dyDescent="0.25">
      <c r="A1509" t="s">
        <v>1316</v>
      </c>
      <c r="B1509" t="s">
        <v>1330</v>
      </c>
      <c r="C1509" t="s">
        <v>2776</v>
      </c>
      <c r="D1509" t="s">
        <v>15</v>
      </c>
      <c r="F1509">
        <v>70</v>
      </c>
      <c r="G1509" t="s">
        <v>1419</v>
      </c>
      <c r="H1509" s="89">
        <v>46132</v>
      </c>
      <c r="I1509" s="89">
        <v>46134</v>
      </c>
      <c r="N1509" t="s">
        <v>2766</v>
      </c>
    </row>
    <row r="1510" spans="1:14" hidden="1" x14ac:dyDescent="0.25">
      <c r="A1510" t="s">
        <v>1317</v>
      </c>
      <c r="B1510" t="s">
        <v>1331</v>
      </c>
      <c r="C1510" t="s">
        <v>2777</v>
      </c>
      <c r="D1510" t="s">
        <v>15</v>
      </c>
      <c r="F1510">
        <v>26</v>
      </c>
      <c r="G1510" t="s">
        <v>1419</v>
      </c>
      <c r="H1510" s="89">
        <v>46132</v>
      </c>
      <c r="I1510" s="89">
        <v>46134</v>
      </c>
      <c r="N1510" t="s">
        <v>2766</v>
      </c>
    </row>
    <row r="1511" spans="1:14" hidden="1" x14ac:dyDescent="0.25">
      <c r="A1511" t="s">
        <v>1318</v>
      </c>
      <c r="B1511" t="s">
        <v>1332</v>
      </c>
      <c r="C1511" t="s">
        <v>2778</v>
      </c>
      <c r="D1511" t="s">
        <v>15</v>
      </c>
      <c r="F1511">
        <v>38</v>
      </c>
      <c r="G1511" t="s">
        <v>1419</v>
      </c>
      <c r="H1511" s="89">
        <v>46132</v>
      </c>
      <c r="I1511" s="89">
        <v>46134</v>
      </c>
      <c r="N1511" t="s">
        <v>2766</v>
      </c>
    </row>
    <row r="1512" spans="1:14" hidden="1" x14ac:dyDescent="0.25">
      <c r="A1512" t="s">
        <v>1320</v>
      </c>
      <c r="B1512" t="s">
        <v>1334</v>
      </c>
      <c r="C1512" t="s">
        <v>2779</v>
      </c>
      <c r="D1512" t="s">
        <v>103</v>
      </c>
      <c r="F1512">
        <v>960</v>
      </c>
      <c r="G1512">
        <v>20</v>
      </c>
      <c r="H1512" s="89">
        <v>46132</v>
      </c>
      <c r="I1512" s="89">
        <v>46136</v>
      </c>
      <c r="J1512" t="s">
        <v>2780</v>
      </c>
      <c r="N1512" t="s">
        <v>2766</v>
      </c>
    </row>
    <row r="1513" spans="1:14" hidden="1" x14ac:dyDescent="0.25">
      <c r="A1513" t="s">
        <v>1320</v>
      </c>
      <c r="B1513" t="s">
        <v>1334</v>
      </c>
      <c r="C1513" t="s">
        <v>2781</v>
      </c>
      <c r="D1513" t="s">
        <v>118</v>
      </c>
      <c r="F1513">
        <v>960</v>
      </c>
      <c r="G1513">
        <v>20</v>
      </c>
      <c r="H1513" s="89">
        <v>46132</v>
      </c>
      <c r="I1513" s="89">
        <v>46137</v>
      </c>
      <c r="J1513" t="s">
        <v>2782</v>
      </c>
      <c r="N1513" t="s">
        <v>2766</v>
      </c>
    </row>
    <row r="1514" spans="1:14" hidden="1" x14ac:dyDescent="0.25">
      <c r="A1514" t="s">
        <v>1320</v>
      </c>
      <c r="B1514" t="s">
        <v>1334</v>
      </c>
      <c r="C1514" t="s">
        <v>2783</v>
      </c>
      <c r="D1514" t="s">
        <v>21</v>
      </c>
      <c r="F1514">
        <v>960</v>
      </c>
      <c r="G1514">
        <v>20</v>
      </c>
      <c r="H1514" s="89">
        <v>46132</v>
      </c>
      <c r="I1514" s="89">
        <v>46136</v>
      </c>
      <c r="J1514" t="s">
        <v>2784</v>
      </c>
      <c r="N1514" t="s">
        <v>2766</v>
      </c>
    </row>
    <row r="1515" spans="1:14" hidden="1" x14ac:dyDescent="0.25">
      <c r="A1515" t="s">
        <v>1313</v>
      </c>
      <c r="B1515" t="s">
        <v>1327</v>
      </c>
      <c r="C1515" t="s">
        <v>2783</v>
      </c>
      <c r="D1515" t="s">
        <v>21</v>
      </c>
      <c r="F1515">
        <v>144</v>
      </c>
      <c r="G1515">
        <v>3</v>
      </c>
      <c r="H1515" s="89">
        <v>46132</v>
      </c>
      <c r="I1515" s="89">
        <v>46136</v>
      </c>
      <c r="N1515" t="s">
        <v>2766</v>
      </c>
    </row>
    <row r="1516" spans="1:14" hidden="1" x14ac:dyDescent="0.25">
      <c r="A1516" t="s">
        <v>1315</v>
      </c>
      <c r="B1516" t="s">
        <v>1329</v>
      </c>
      <c r="C1516" t="s">
        <v>2783</v>
      </c>
      <c r="D1516" t="s">
        <v>21</v>
      </c>
      <c r="F1516">
        <v>158</v>
      </c>
      <c r="G1516" t="s">
        <v>1419</v>
      </c>
      <c r="H1516" s="89">
        <v>46132</v>
      </c>
      <c r="I1516" s="89">
        <v>46135</v>
      </c>
      <c r="N1516" t="s">
        <v>2766</v>
      </c>
    </row>
    <row r="1517" spans="1:14" hidden="1" x14ac:dyDescent="0.25">
      <c r="A1517" t="s">
        <v>1316</v>
      </c>
      <c r="B1517" t="s">
        <v>1330</v>
      </c>
      <c r="C1517" t="s">
        <v>2785</v>
      </c>
      <c r="D1517" t="s">
        <v>21</v>
      </c>
      <c r="F1517">
        <v>19</v>
      </c>
      <c r="G1517" t="s">
        <v>1419</v>
      </c>
      <c r="H1517" s="89">
        <v>46132</v>
      </c>
      <c r="I1517" s="89">
        <v>46134</v>
      </c>
      <c r="N1517" t="s">
        <v>2766</v>
      </c>
    </row>
    <row r="1518" spans="1:14" hidden="1" x14ac:dyDescent="0.25">
      <c r="A1518" t="s">
        <v>1317</v>
      </c>
      <c r="B1518" t="s">
        <v>1331</v>
      </c>
      <c r="C1518" t="s">
        <v>2786</v>
      </c>
      <c r="D1518" t="s">
        <v>21</v>
      </c>
      <c r="F1518">
        <v>8</v>
      </c>
      <c r="G1518" t="s">
        <v>1419</v>
      </c>
      <c r="H1518" s="89">
        <v>46132</v>
      </c>
      <c r="I1518" s="89">
        <v>46134</v>
      </c>
      <c r="N1518" t="s">
        <v>2766</v>
      </c>
    </row>
    <row r="1519" spans="1:14" hidden="1" x14ac:dyDescent="0.25">
      <c r="A1519" t="s">
        <v>1318</v>
      </c>
      <c r="B1519" t="s">
        <v>1332</v>
      </c>
      <c r="C1519" t="s">
        <v>2787</v>
      </c>
      <c r="D1519" t="s">
        <v>21</v>
      </c>
      <c r="F1519">
        <v>82</v>
      </c>
      <c r="G1519" t="s">
        <v>1419</v>
      </c>
      <c r="H1519" s="89">
        <v>46132</v>
      </c>
      <c r="I1519" s="89">
        <v>46134</v>
      </c>
      <c r="N1519" t="s">
        <v>2766</v>
      </c>
    </row>
    <row r="1520" spans="1:14" hidden="1" x14ac:dyDescent="0.25">
      <c r="A1520" t="s">
        <v>1324</v>
      </c>
      <c r="B1520" t="s">
        <v>1338</v>
      </c>
      <c r="C1520" t="s">
        <v>2788</v>
      </c>
      <c r="D1520" t="s">
        <v>13</v>
      </c>
      <c r="F1520">
        <v>384</v>
      </c>
      <c r="G1520">
        <v>8</v>
      </c>
      <c r="H1520" s="89">
        <v>46132</v>
      </c>
      <c r="I1520" s="89">
        <v>46139</v>
      </c>
      <c r="J1520" t="s">
        <v>2774</v>
      </c>
      <c r="N1520" t="s">
        <v>2766</v>
      </c>
    </row>
    <row r="1521" spans="1:14" hidden="1" x14ac:dyDescent="0.25">
      <c r="A1521" t="s">
        <v>1324</v>
      </c>
      <c r="B1521" t="s">
        <v>1338</v>
      </c>
      <c r="C1521" t="s">
        <v>2789</v>
      </c>
      <c r="D1521" t="s">
        <v>152</v>
      </c>
      <c r="F1521">
        <v>576</v>
      </c>
      <c r="G1521">
        <v>12</v>
      </c>
      <c r="H1521" s="89">
        <v>46133</v>
      </c>
      <c r="I1521" s="89">
        <v>46139</v>
      </c>
      <c r="J1521" t="s">
        <v>2774</v>
      </c>
      <c r="N1521" t="s">
        <v>2766</v>
      </c>
    </row>
    <row r="1522" spans="1:14" hidden="1" x14ac:dyDescent="0.25">
      <c r="A1522" t="s">
        <v>1313</v>
      </c>
      <c r="B1522" t="s">
        <v>1327</v>
      </c>
      <c r="C1522" t="s">
        <v>2790</v>
      </c>
      <c r="D1522" t="s">
        <v>20</v>
      </c>
      <c r="F1522">
        <v>192</v>
      </c>
      <c r="G1522">
        <v>4</v>
      </c>
      <c r="H1522" s="89">
        <v>46133</v>
      </c>
      <c r="I1522" s="89">
        <v>46135</v>
      </c>
      <c r="J1522" t="s">
        <v>2791</v>
      </c>
      <c r="N1522" t="s">
        <v>2766</v>
      </c>
    </row>
    <row r="1523" spans="1:14" hidden="1" x14ac:dyDescent="0.25">
      <c r="A1523" t="s">
        <v>1313</v>
      </c>
      <c r="B1523" t="s">
        <v>1327</v>
      </c>
      <c r="C1523" t="s">
        <v>2790</v>
      </c>
      <c r="D1523" t="s">
        <v>20</v>
      </c>
      <c r="F1523">
        <v>336</v>
      </c>
      <c r="G1523">
        <v>7</v>
      </c>
      <c r="H1523" s="89">
        <v>46133</v>
      </c>
      <c r="I1523" s="89">
        <v>46138</v>
      </c>
      <c r="J1523" t="s">
        <v>2792</v>
      </c>
      <c r="N1523" t="s">
        <v>2766</v>
      </c>
    </row>
    <row r="1524" spans="1:14" hidden="1" x14ac:dyDescent="0.25">
      <c r="A1524" t="s">
        <v>1315</v>
      </c>
      <c r="B1524" t="s">
        <v>1329</v>
      </c>
      <c r="C1524" t="s">
        <v>2790</v>
      </c>
      <c r="D1524" t="s">
        <v>20</v>
      </c>
      <c r="F1524">
        <v>19</v>
      </c>
      <c r="G1524" t="s">
        <v>1419</v>
      </c>
      <c r="H1524" s="89">
        <v>46133</v>
      </c>
      <c r="I1524" s="89">
        <v>46135</v>
      </c>
      <c r="N1524" t="s">
        <v>2766</v>
      </c>
    </row>
    <row r="1525" spans="1:14" hidden="1" x14ac:dyDescent="0.25">
      <c r="A1525" t="s">
        <v>1316</v>
      </c>
      <c r="B1525" t="s">
        <v>1330</v>
      </c>
      <c r="C1525" t="s">
        <v>2793</v>
      </c>
      <c r="D1525" t="s">
        <v>20</v>
      </c>
      <c r="F1525">
        <v>128</v>
      </c>
      <c r="G1525" t="s">
        <v>1419</v>
      </c>
      <c r="H1525" s="89">
        <v>46133</v>
      </c>
      <c r="I1525" s="89">
        <v>46135</v>
      </c>
      <c r="N1525" t="s">
        <v>2766</v>
      </c>
    </row>
    <row r="1526" spans="1:14" hidden="1" x14ac:dyDescent="0.25">
      <c r="A1526" t="s">
        <v>1317</v>
      </c>
      <c r="B1526" t="s">
        <v>1331</v>
      </c>
      <c r="C1526" t="s">
        <v>2794</v>
      </c>
      <c r="D1526" t="s">
        <v>20</v>
      </c>
      <c r="F1526">
        <v>6</v>
      </c>
      <c r="G1526" t="s">
        <v>1419</v>
      </c>
      <c r="H1526" s="89">
        <v>46133</v>
      </c>
      <c r="I1526" s="89">
        <v>46135</v>
      </c>
      <c r="N1526" t="s">
        <v>2766</v>
      </c>
    </row>
    <row r="1527" spans="1:14" hidden="1" x14ac:dyDescent="0.25">
      <c r="A1527" t="s">
        <v>1318</v>
      </c>
      <c r="B1527" t="s">
        <v>1332</v>
      </c>
      <c r="C1527" t="s">
        <v>2795</v>
      </c>
      <c r="D1527" t="s">
        <v>20</v>
      </c>
      <c r="F1527">
        <v>87</v>
      </c>
      <c r="G1527" t="s">
        <v>1419</v>
      </c>
      <c r="H1527" s="89">
        <v>46133</v>
      </c>
      <c r="I1527" s="89">
        <v>46135</v>
      </c>
      <c r="N1527" t="s">
        <v>2766</v>
      </c>
    </row>
    <row r="1528" spans="1:14" hidden="1" x14ac:dyDescent="0.25">
      <c r="A1528" t="s">
        <v>1320</v>
      </c>
      <c r="B1528" t="s">
        <v>1334</v>
      </c>
      <c r="C1528" t="s">
        <v>2796</v>
      </c>
      <c r="D1528" t="s">
        <v>15</v>
      </c>
      <c r="F1528">
        <v>960</v>
      </c>
      <c r="G1528">
        <v>20</v>
      </c>
      <c r="H1528" s="89">
        <v>46133</v>
      </c>
      <c r="I1528" s="89">
        <v>46137</v>
      </c>
      <c r="J1528" t="s">
        <v>2797</v>
      </c>
      <c r="N1528" t="s">
        <v>2766</v>
      </c>
    </row>
    <row r="1529" spans="1:14" hidden="1" x14ac:dyDescent="0.25">
      <c r="A1529" t="s">
        <v>1313</v>
      </c>
      <c r="B1529" t="s">
        <v>1327</v>
      </c>
      <c r="C1529" t="s">
        <v>2796</v>
      </c>
      <c r="D1529" t="s">
        <v>15</v>
      </c>
      <c r="F1529">
        <v>288</v>
      </c>
      <c r="G1529">
        <v>6</v>
      </c>
      <c r="H1529" s="89">
        <v>46133</v>
      </c>
      <c r="I1529" s="89">
        <v>46135</v>
      </c>
      <c r="J1529" t="s">
        <v>2767</v>
      </c>
      <c r="N1529" t="s">
        <v>2766</v>
      </c>
    </row>
    <row r="1530" spans="1:14" hidden="1" x14ac:dyDescent="0.25">
      <c r="A1530" t="s">
        <v>1314</v>
      </c>
      <c r="B1530" t="s">
        <v>1328</v>
      </c>
      <c r="C1530" t="s">
        <v>2796</v>
      </c>
      <c r="D1530" t="s">
        <v>15</v>
      </c>
      <c r="F1530">
        <v>22</v>
      </c>
      <c r="G1530">
        <v>0.45833333333333326</v>
      </c>
      <c r="H1530" s="89">
        <v>46133</v>
      </c>
      <c r="I1530" s="89">
        <v>46135</v>
      </c>
      <c r="J1530" t="s">
        <v>2775</v>
      </c>
      <c r="N1530" t="s">
        <v>2766</v>
      </c>
    </row>
    <row r="1531" spans="1:14" hidden="1" x14ac:dyDescent="0.25">
      <c r="A1531" t="s">
        <v>1314</v>
      </c>
      <c r="B1531" t="s">
        <v>1328</v>
      </c>
      <c r="C1531" t="s">
        <v>2796</v>
      </c>
      <c r="D1531" t="s">
        <v>15</v>
      </c>
      <c r="F1531">
        <v>240</v>
      </c>
      <c r="G1531">
        <v>5</v>
      </c>
      <c r="H1531" s="89">
        <v>46133</v>
      </c>
      <c r="I1531" s="89">
        <v>46138</v>
      </c>
      <c r="J1531" t="s">
        <v>2798</v>
      </c>
      <c r="N1531" t="s">
        <v>2766</v>
      </c>
    </row>
    <row r="1532" spans="1:14" hidden="1" x14ac:dyDescent="0.25">
      <c r="A1532" t="s">
        <v>1315</v>
      </c>
      <c r="B1532" t="s">
        <v>1329</v>
      </c>
      <c r="C1532" t="s">
        <v>2796</v>
      </c>
      <c r="D1532" t="s">
        <v>15</v>
      </c>
      <c r="F1532">
        <v>32</v>
      </c>
      <c r="G1532" t="s">
        <v>1419</v>
      </c>
      <c r="H1532" s="89">
        <v>46133</v>
      </c>
      <c r="I1532" s="89">
        <v>46135</v>
      </c>
      <c r="N1532" t="s">
        <v>2766</v>
      </c>
    </row>
    <row r="1533" spans="1:14" hidden="1" x14ac:dyDescent="0.25">
      <c r="A1533" t="s">
        <v>1316</v>
      </c>
      <c r="B1533" t="s">
        <v>1330</v>
      </c>
      <c r="C1533" t="s">
        <v>2799</v>
      </c>
      <c r="D1533" t="s">
        <v>15</v>
      </c>
      <c r="F1533">
        <v>59</v>
      </c>
      <c r="G1533" t="s">
        <v>1419</v>
      </c>
      <c r="H1533" s="89">
        <v>46133</v>
      </c>
      <c r="I1533" s="89">
        <v>46135</v>
      </c>
      <c r="N1533" t="s">
        <v>2766</v>
      </c>
    </row>
    <row r="1534" spans="1:14" hidden="1" x14ac:dyDescent="0.25">
      <c r="A1534" t="s">
        <v>1317</v>
      </c>
      <c r="B1534" t="s">
        <v>1331</v>
      </c>
      <c r="C1534" t="s">
        <v>2800</v>
      </c>
      <c r="D1534" t="s">
        <v>15</v>
      </c>
      <c r="F1534">
        <v>12</v>
      </c>
      <c r="G1534" t="s">
        <v>1419</v>
      </c>
      <c r="H1534" s="89">
        <v>46133</v>
      </c>
      <c r="I1534" s="89">
        <v>46135</v>
      </c>
      <c r="N1534" t="s">
        <v>2766</v>
      </c>
    </row>
    <row r="1535" spans="1:14" hidden="1" x14ac:dyDescent="0.25">
      <c r="A1535" t="s">
        <v>1318</v>
      </c>
      <c r="B1535" t="s">
        <v>1332</v>
      </c>
      <c r="C1535" t="s">
        <v>2801</v>
      </c>
      <c r="D1535" t="s">
        <v>15</v>
      </c>
      <c r="F1535">
        <v>37</v>
      </c>
      <c r="G1535" t="s">
        <v>1419</v>
      </c>
      <c r="H1535" s="89">
        <v>46133</v>
      </c>
      <c r="I1535" s="89">
        <v>46135</v>
      </c>
      <c r="N1535" t="s">
        <v>2766</v>
      </c>
    </row>
    <row r="1536" spans="1:14" hidden="1" x14ac:dyDescent="0.25">
      <c r="A1536" t="s">
        <v>1320</v>
      </c>
      <c r="B1536" t="s">
        <v>1334</v>
      </c>
      <c r="C1536" t="s">
        <v>2802</v>
      </c>
      <c r="D1536" t="s">
        <v>21</v>
      </c>
      <c r="F1536">
        <v>960</v>
      </c>
      <c r="G1536">
        <v>20</v>
      </c>
      <c r="H1536" s="89">
        <v>46133</v>
      </c>
      <c r="I1536" s="89">
        <v>46137</v>
      </c>
      <c r="J1536" t="s">
        <v>2803</v>
      </c>
      <c r="N1536" t="s">
        <v>2766</v>
      </c>
    </row>
    <row r="1537" spans="1:14" hidden="1" x14ac:dyDescent="0.25">
      <c r="A1537" t="s">
        <v>1313</v>
      </c>
      <c r="B1537" t="s">
        <v>1327</v>
      </c>
      <c r="C1537" t="s">
        <v>2802</v>
      </c>
      <c r="D1537" t="s">
        <v>21</v>
      </c>
      <c r="F1537">
        <v>96</v>
      </c>
      <c r="G1537">
        <v>2</v>
      </c>
      <c r="H1537" s="89">
        <v>46133</v>
      </c>
      <c r="I1537" s="89">
        <v>46136</v>
      </c>
      <c r="N1537" t="s">
        <v>2766</v>
      </c>
    </row>
    <row r="1538" spans="1:14" hidden="1" x14ac:dyDescent="0.25">
      <c r="A1538" t="s">
        <v>1315</v>
      </c>
      <c r="B1538" t="s">
        <v>1329</v>
      </c>
      <c r="C1538" t="s">
        <v>2802</v>
      </c>
      <c r="D1538" t="s">
        <v>21</v>
      </c>
      <c r="F1538">
        <v>48</v>
      </c>
      <c r="G1538" t="s">
        <v>1419</v>
      </c>
      <c r="H1538" s="89">
        <v>46133</v>
      </c>
      <c r="I1538" s="89">
        <v>46135</v>
      </c>
      <c r="N1538" t="s">
        <v>2766</v>
      </c>
    </row>
    <row r="1539" spans="1:14" hidden="1" x14ac:dyDescent="0.25">
      <c r="A1539" t="s">
        <v>1316</v>
      </c>
      <c r="B1539" t="s">
        <v>1330</v>
      </c>
      <c r="C1539" t="s">
        <v>2804</v>
      </c>
      <c r="D1539" t="s">
        <v>21</v>
      </c>
      <c r="F1539">
        <v>39</v>
      </c>
      <c r="G1539" t="s">
        <v>1419</v>
      </c>
      <c r="H1539" s="89">
        <v>46133</v>
      </c>
      <c r="I1539" s="89">
        <v>46135</v>
      </c>
      <c r="N1539" t="s">
        <v>2766</v>
      </c>
    </row>
    <row r="1540" spans="1:14" hidden="1" x14ac:dyDescent="0.25">
      <c r="A1540" t="s">
        <v>1317</v>
      </c>
      <c r="B1540" t="s">
        <v>1331</v>
      </c>
      <c r="C1540" t="s">
        <v>2805</v>
      </c>
      <c r="D1540" t="s">
        <v>21</v>
      </c>
      <c r="F1540">
        <v>10</v>
      </c>
      <c r="G1540" t="s">
        <v>1419</v>
      </c>
      <c r="H1540" s="89">
        <v>46133</v>
      </c>
      <c r="I1540" s="89">
        <v>46135</v>
      </c>
      <c r="N1540" t="s">
        <v>2766</v>
      </c>
    </row>
    <row r="1541" spans="1:14" hidden="1" x14ac:dyDescent="0.25">
      <c r="A1541" t="s">
        <v>1318</v>
      </c>
      <c r="B1541" t="s">
        <v>1332</v>
      </c>
      <c r="C1541" t="s">
        <v>2806</v>
      </c>
      <c r="D1541" t="s">
        <v>21</v>
      </c>
      <c r="F1541">
        <v>75</v>
      </c>
      <c r="G1541" t="s">
        <v>1419</v>
      </c>
      <c r="H1541" s="89">
        <v>46133</v>
      </c>
      <c r="I1541" s="89">
        <v>46135</v>
      </c>
      <c r="N1541" t="s">
        <v>2766</v>
      </c>
    </row>
    <row r="1542" spans="1:14" hidden="1" x14ac:dyDescent="0.25">
      <c r="A1542" t="s">
        <v>1320</v>
      </c>
      <c r="B1542" t="s">
        <v>1334</v>
      </c>
      <c r="C1542" t="s">
        <v>2807</v>
      </c>
      <c r="D1542" t="s">
        <v>23</v>
      </c>
      <c r="H1542" s="89">
        <v>46133</v>
      </c>
      <c r="I1542" s="89">
        <v>46137</v>
      </c>
      <c r="N1542" t="s">
        <v>2766</v>
      </c>
    </row>
    <row r="1543" spans="1:14" hidden="1" x14ac:dyDescent="0.25">
      <c r="A1543" t="s">
        <v>1324</v>
      </c>
      <c r="B1543" t="s">
        <v>1338</v>
      </c>
      <c r="C1543" t="s">
        <v>2808</v>
      </c>
      <c r="D1543" t="s">
        <v>21</v>
      </c>
      <c r="F1543">
        <v>864</v>
      </c>
      <c r="G1543">
        <v>18</v>
      </c>
      <c r="H1543" s="89">
        <v>46134</v>
      </c>
      <c r="I1543" s="89">
        <v>46139</v>
      </c>
      <c r="J1543" t="s">
        <v>2809</v>
      </c>
      <c r="N1543" t="s">
        <v>2766</v>
      </c>
    </row>
    <row r="1544" spans="1:14" hidden="1" x14ac:dyDescent="0.25">
      <c r="A1544" t="s">
        <v>1313</v>
      </c>
      <c r="B1544" t="s">
        <v>1327</v>
      </c>
      <c r="C1544" t="s">
        <v>2808</v>
      </c>
      <c r="D1544" t="s">
        <v>21</v>
      </c>
      <c r="F1544">
        <v>144</v>
      </c>
      <c r="G1544">
        <v>3</v>
      </c>
      <c r="H1544" s="89">
        <v>46134</v>
      </c>
      <c r="I1544" s="89">
        <v>46136</v>
      </c>
      <c r="N1544" t="s">
        <v>2766</v>
      </c>
    </row>
    <row r="1545" spans="1:14" hidden="1" x14ac:dyDescent="0.25">
      <c r="A1545" t="s">
        <v>1315</v>
      </c>
      <c r="B1545" t="s">
        <v>1329</v>
      </c>
      <c r="C1545" t="s">
        <v>2808</v>
      </c>
      <c r="D1545" t="s">
        <v>21</v>
      </c>
      <c r="F1545">
        <v>160</v>
      </c>
      <c r="G1545" t="s">
        <v>1419</v>
      </c>
      <c r="H1545" s="89">
        <v>46134</v>
      </c>
      <c r="I1545" s="89">
        <v>46135</v>
      </c>
      <c r="N1545" t="s">
        <v>2766</v>
      </c>
    </row>
    <row r="1546" spans="1:14" hidden="1" x14ac:dyDescent="0.25">
      <c r="A1546" t="s">
        <v>1316</v>
      </c>
      <c r="B1546" t="s">
        <v>1330</v>
      </c>
      <c r="C1546" t="s">
        <v>2810</v>
      </c>
      <c r="D1546" t="s">
        <v>21</v>
      </c>
      <c r="F1546">
        <v>46</v>
      </c>
      <c r="G1546" t="s">
        <v>1419</v>
      </c>
      <c r="H1546" s="89">
        <v>46134</v>
      </c>
      <c r="I1546" s="89">
        <v>46136</v>
      </c>
      <c r="N1546" t="s">
        <v>2766</v>
      </c>
    </row>
    <row r="1547" spans="1:14" hidden="1" x14ac:dyDescent="0.25">
      <c r="A1547" t="s">
        <v>1317</v>
      </c>
      <c r="B1547" t="s">
        <v>1331</v>
      </c>
      <c r="C1547" t="s">
        <v>2811</v>
      </c>
      <c r="D1547" t="s">
        <v>21</v>
      </c>
      <c r="F1547">
        <v>9</v>
      </c>
      <c r="G1547" t="s">
        <v>1419</v>
      </c>
      <c r="H1547" s="89">
        <v>46134</v>
      </c>
      <c r="I1547" s="89">
        <v>46136</v>
      </c>
      <c r="N1547" t="s">
        <v>2766</v>
      </c>
    </row>
    <row r="1548" spans="1:14" hidden="1" x14ac:dyDescent="0.25">
      <c r="A1548" t="s">
        <v>1318</v>
      </c>
      <c r="B1548" t="s">
        <v>1332</v>
      </c>
      <c r="C1548" t="s">
        <v>2812</v>
      </c>
      <c r="D1548" t="s">
        <v>21</v>
      </c>
      <c r="F1548">
        <v>73</v>
      </c>
      <c r="G1548" t="s">
        <v>1419</v>
      </c>
      <c r="H1548" s="89">
        <v>46134</v>
      </c>
      <c r="I1548" s="89">
        <v>46136</v>
      </c>
      <c r="N1548" t="s">
        <v>2766</v>
      </c>
    </row>
    <row r="1549" spans="1:14" hidden="1" x14ac:dyDescent="0.25">
      <c r="A1549" t="s">
        <v>1324</v>
      </c>
      <c r="B1549" t="s">
        <v>1338</v>
      </c>
      <c r="C1549" t="s">
        <v>2813</v>
      </c>
      <c r="D1549" t="s">
        <v>23</v>
      </c>
      <c r="F1549">
        <v>960</v>
      </c>
      <c r="G1549">
        <v>20</v>
      </c>
      <c r="H1549" s="89">
        <v>46134</v>
      </c>
      <c r="I1549" s="89">
        <v>46139</v>
      </c>
      <c r="J1549" t="s">
        <v>2809</v>
      </c>
      <c r="N1549" t="s">
        <v>2766</v>
      </c>
    </row>
    <row r="1550" spans="1:14" hidden="1" x14ac:dyDescent="0.25">
      <c r="A1550" t="s">
        <v>1313</v>
      </c>
      <c r="B1550" t="s">
        <v>1327</v>
      </c>
      <c r="C1550" t="s">
        <v>2814</v>
      </c>
      <c r="D1550" t="s">
        <v>20</v>
      </c>
      <c r="F1550">
        <v>528</v>
      </c>
      <c r="G1550">
        <v>11</v>
      </c>
      <c r="H1550" s="89">
        <v>46134</v>
      </c>
      <c r="I1550" s="89">
        <v>46138</v>
      </c>
      <c r="J1550" t="s">
        <v>2792</v>
      </c>
      <c r="N1550" t="s">
        <v>2766</v>
      </c>
    </row>
    <row r="1551" spans="1:14" hidden="1" x14ac:dyDescent="0.25">
      <c r="A1551" t="s">
        <v>1313</v>
      </c>
      <c r="B1551" t="s">
        <v>1327</v>
      </c>
      <c r="C1551" t="s">
        <v>2814</v>
      </c>
      <c r="D1551" t="s">
        <v>20</v>
      </c>
      <c r="F1551">
        <v>864</v>
      </c>
      <c r="G1551">
        <v>18</v>
      </c>
      <c r="H1551" s="89">
        <v>46134</v>
      </c>
      <c r="I1551" s="89">
        <v>46139</v>
      </c>
      <c r="J1551" t="s">
        <v>2815</v>
      </c>
      <c r="N1551" t="s">
        <v>2766</v>
      </c>
    </row>
    <row r="1552" spans="1:14" hidden="1" x14ac:dyDescent="0.25">
      <c r="A1552" t="s">
        <v>1315</v>
      </c>
      <c r="B1552" t="s">
        <v>1329</v>
      </c>
      <c r="C1552" t="s">
        <v>2814</v>
      </c>
      <c r="D1552" t="s">
        <v>20</v>
      </c>
      <c r="F1552">
        <v>2</v>
      </c>
      <c r="G1552" t="s">
        <v>1419</v>
      </c>
      <c r="H1552" s="89">
        <v>46134</v>
      </c>
      <c r="I1552" s="89">
        <v>46135</v>
      </c>
      <c r="N1552" t="s">
        <v>2766</v>
      </c>
    </row>
    <row r="1553" spans="1:14" hidden="1" x14ac:dyDescent="0.25">
      <c r="A1553" t="s">
        <v>1316</v>
      </c>
      <c r="B1553" t="s">
        <v>1330</v>
      </c>
      <c r="C1553" t="s">
        <v>2816</v>
      </c>
      <c r="D1553" t="s">
        <v>20</v>
      </c>
      <c r="F1553">
        <v>154</v>
      </c>
      <c r="G1553" t="s">
        <v>1419</v>
      </c>
      <c r="H1553" s="89">
        <v>46134</v>
      </c>
      <c r="I1553" s="89">
        <v>46136</v>
      </c>
      <c r="N1553" t="s">
        <v>2766</v>
      </c>
    </row>
    <row r="1554" spans="1:14" hidden="1" x14ac:dyDescent="0.25">
      <c r="A1554" t="s">
        <v>1317</v>
      </c>
      <c r="B1554" t="s">
        <v>1331</v>
      </c>
      <c r="C1554" t="s">
        <v>2817</v>
      </c>
      <c r="D1554" t="s">
        <v>20</v>
      </c>
      <c r="F1554">
        <v>4</v>
      </c>
      <c r="G1554" t="s">
        <v>1419</v>
      </c>
      <c r="H1554" s="89">
        <v>46134</v>
      </c>
      <c r="I1554" s="89">
        <v>46136</v>
      </c>
      <c r="N1554" t="s">
        <v>2766</v>
      </c>
    </row>
    <row r="1555" spans="1:14" hidden="1" x14ac:dyDescent="0.25">
      <c r="A1555" t="s">
        <v>1318</v>
      </c>
      <c r="B1555" t="s">
        <v>1332</v>
      </c>
      <c r="C1555" t="s">
        <v>2818</v>
      </c>
      <c r="D1555" t="s">
        <v>20</v>
      </c>
      <c r="F1555">
        <v>79</v>
      </c>
      <c r="G1555" t="s">
        <v>1419</v>
      </c>
      <c r="H1555" s="89">
        <v>46134</v>
      </c>
      <c r="I1555" s="89">
        <v>46136</v>
      </c>
      <c r="N1555" t="s">
        <v>2766</v>
      </c>
    </row>
    <row r="1556" spans="1:14" hidden="1" x14ac:dyDescent="0.25">
      <c r="A1556" t="s">
        <v>1320</v>
      </c>
      <c r="B1556" t="s">
        <v>1334</v>
      </c>
      <c r="C1556" t="s">
        <v>2819</v>
      </c>
      <c r="D1556" t="s">
        <v>15</v>
      </c>
      <c r="F1556">
        <v>960</v>
      </c>
      <c r="G1556">
        <v>20</v>
      </c>
      <c r="H1556" s="89">
        <v>46134</v>
      </c>
      <c r="I1556" s="89">
        <v>46137</v>
      </c>
      <c r="J1556" t="s">
        <v>2820</v>
      </c>
      <c r="N1556" t="s">
        <v>2766</v>
      </c>
    </row>
    <row r="1557" spans="1:14" hidden="1" x14ac:dyDescent="0.25">
      <c r="A1557" t="s">
        <v>1313</v>
      </c>
      <c r="B1557" t="s">
        <v>1327</v>
      </c>
      <c r="C1557" t="s">
        <v>2819</v>
      </c>
      <c r="D1557" t="s">
        <v>15</v>
      </c>
      <c r="F1557">
        <v>192</v>
      </c>
      <c r="G1557">
        <v>4</v>
      </c>
      <c r="H1557" s="89">
        <v>46134</v>
      </c>
      <c r="I1557" s="89">
        <v>46137</v>
      </c>
      <c r="J1557" t="s">
        <v>2767</v>
      </c>
      <c r="N1557" t="s">
        <v>2766</v>
      </c>
    </row>
    <row r="1558" spans="1:14" hidden="1" x14ac:dyDescent="0.25">
      <c r="A1558" t="s">
        <v>1314</v>
      </c>
      <c r="B1558" t="s">
        <v>1328</v>
      </c>
      <c r="C1558" t="s">
        <v>2819</v>
      </c>
      <c r="D1558" t="s">
        <v>15</v>
      </c>
      <c r="F1558">
        <v>48</v>
      </c>
      <c r="G1558">
        <v>1</v>
      </c>
      <c r="H1558" s="89">
        <v>46134</v>
      </c>
      <c r="I1558" s="89">
        <v>46138</v>
      </c>
      <c r="J1558" t="s">
        <v>2798</v>
      </c>
      <c r="N1558" t="s">
        <v>2766</v>
      </c>
    </row>
    <row r="1559" spans="1:14" hidden="1" x14ac:dyDescent="0.25">
      <c r="A1559" t="s">
        <v>1313</v>
      </c>
      <c r="B1559" t="s">
        <v>1327</v>
      </c>
      <c r="C1559" t="s">
        <v>2819</v>
      </c>
      <c r="D1559" t="s">
        <v>15</v>
      </c>
      <c r="F1559">
        <v>235</v>
      </c>
      <c r="G1559">
        <v>4.895833333333333</v>
      </c>
      <c r="H1559" s="89">
        <v>46134</v>
      </c>
      <c r="I1559" s="89">
        <v>46139</v>
      </c>
      <c r="N1559" t="s">
        <v>2766</v>
      </c>
    </row>
    <row r="1560" spans="1:14" hidden="1" x14ac:dyDescent="0.25">
      <c r="A1560" t="s">
        <v>1316</v>
      </c>
      <c r="B1560" t="s">
        <v>1330</v>
      </c>
      <c r="C1560" t="s">
        <v>2821</v>
      </c>
      <c r="D1560" t="s">
        <v>15</v>
      </c>
      <c r="F1560">
        <v>69</v>
      </c>
      <c r="G1560" t="s">
        <v>1419</v>
      </c>
      <c r="H1560" s="89">
        <v>46134</v>
      </c>
      <c r="I1560" s="89">
        <v>46136</v>
      </c>
      <c r="N1560" t="s">
        <v>2766</v>
      </c>
    </row>
    <row r="1561" spans="1:14" hidden="1" x14ac:dyDescent="0.25">
      <c r="A1561" t="s">
        <v>1317</v>
      </c>
      <c r="B1561" t="s">
        <v>1331</v>
      </c>
      <c r="C1561" t="s">
        <v>2822</v>
      </c>
      <c r="D1561" t="s">
        <v>15</v>
      </c>
      <c r="F1561">
        <v>20</v>
      </c>
      <c r="G1561" t="s">
        <v>1419</v>
      </c>
      <c r="H1561" s="89">
        <v>46134</v>
      </c>
      <c r="I1561" s="89">
        <v>46136</v>
      </c>
      <c r="N1561" t="s">
        <v>2766</v>
      </c>
    </row>
    <row r="1562" spans="1:14" hidden="1" x14ac:dyDescent="0.25">
      <c r="A1562" t="s">
        <v>1318</v>
      </c>
      <c r="B1562" t="s">
        <v>1332</v>
      </c>
      <c r="C1562" t="s">
        <v>2823</v>
      </c>
      <c r="D1562" t="s">
        <v>15</v>
      </c>
      <c r="F1562">
        <v>37</v>
      </c>
      <c r="G1562" t="s">
        <v>1419</v>
      </c>
      <c r="H1562" s="89">
        <v>46134</v>
      </c>
      <c r="I1562" s="89">
        <v>46136</v>
      </c>
      <c r="N1562" t="s">
        <v>2766</v>
      </c>
    </row>
    <row r="1563" spans="1:14" hidden="1" x14ac:dyDescent="0.25">
      <c r="A1563" t="s">
        <v>1326</v>
      </c>
      <c r="B1563" t="s">
        <v>1340</v>
      </c>
      <c r="C1563" t="s">
        <v>2824</v>
      </c>
      <c r="D1563" t="s">
        <v>32</v>
      </c>
      <c r="F1563">
        <v>1008</v>
      </c>
      <c r="G1563">
        <v>24</v>
      </c>
      <c r="H1563" s="89">
        <v>46134</v>
      </c>
      <c r="I1563" s="89">
        <v>46136</v>
      </c>
      <c r="J1563" t="s">
        <v>2825</v>
      </c>
      <c r="N1563" t="s">
        <v>2766</v>
      </c>
    </row>
    <row r="1564" spans="1:14" hidden="1" x14ac:dyDescent="0.25">
      <c r="A1564" t="s">
        <v>1321</v>
      </c>
      <c r="B1564" t="s">
        <v>1335</v>
      </c>
      <c r="C1564" t="s">
        <v>2826</v>
      </c>
      <c r="D1564" t="s">
        <v>138</v>
      </c>
      <c r="F1564">
        <v>96</v>
      </c>
      <c r="G1564">
        <v>2</v>
      </c>
      <c r="H1564" s="89">
        <v>46134</v>
      </c>
      <c r="I1564" s="89">
        <v>46139</v>
      </c>
      <c r="J1564" t="s">
        <v>2809</v>
      </c>
      <c r="N1564" t="s">
        <v>2766</v>
      </c>
    </row>
    <row r="1565" spans="1:14" hidden="1" x14ac:dyDescent="0.25">
      <c r="A1565" t="s">
        <v>1325</v>
      </c>
      <c r="B1565" t="s">
        <v>1339</v>
      </c>
      <c r="C1565" t="s">
        <v>2826</v>
      </c>
      <c r="D1565" t="s">
        <v>138</v>
      </c>
      <c r="F1565">
        <v>240</v>
      </c>
      <c r="G1565">
        <v>5</v>
      </c>
      <c r="H1565" s="89">
        <v>46134</v>
      </c>
      <c r="I1565" s="89">
        <v>46136</v>
      </c>
      <c r="N1565" t="s">
        <v>2766</v>
      </c>
    </row>
    <row r="1566" spans="1:14" hidden="1" x14ac:dyDescent="0.25">
      <c r="A1566" t="s">
        <v>1324</v>
      </c>
      <c r="B1566" t="s">
        <v>1338</v>
      </c>
      <c r="C1566" t="s">
        <v>2827</v>
      </c>
      <c r="D1566" t="s">
        <v>23</v>
      </c>
      <c r="F1566">
        <v>960</v>
      </c>
      <c r="G1566">
        <v>20</v>
      </c>
      <c r="H1566" s="89">
        <v>46135</v>
      </c>
      <c r="I1566" s="89">
        <v>46141</v>
      </c>
      <c r="J1566" t="s">
        <v>2828</v>
      </c>
      <c r="N1566" t="s">
        <v>2766</v>
      </c>
    </row>
    <row r="1567" spans="1:14" hidden="1" x14ac:dyDescent="0.25">
      <c r="A1567" t="s">
        <v>1313</v>
      </c>
      <c r="B1567" t="s">
        <v>1327</v>
      </c>
      <c r="C1567" t="s">
        <v>2829</v>
      </c>
      <c r="D1567" t="s">
        <v>105</v>
      </c>
      <c r="F1567">
        <v>155</v>
      </c>
      <c r="G1567">
        <v>3.2291666666666665</v>
      </c>
      <c r="H1567" s="89">
        <v>46135</v>
      </c>
      <c r="I1567" s="89">
        <v>46138</v>
      </c>
      <c r="J1567" t="s">
        <v>2830</v>
      </c>
      <c r="N1567" t="s">
        <v>2766</v>
      </c>
    </row>
    <row r="1568" spans="1:14" hidden="1" x14ac:dyDescent="0.25">
      <c r="A1568" t="s">
        <v>1313</v>
      </c>
      <c r="B1568" t="s">
        <v>1327</v>
      </c>
      <c r="C1568" t="s">
        <v>2831</v>
      </c>
      <c r="D1568" t="s">
        <v>20</v>
      </c>
      <c r="F1568">
        <v>240</v>
      </c>
      <c r="G1568">
        <v>5</v>
      </c>
      <c r="H1568" s="89">
        <v>46135</v>
      </c>
      <c r="I1568" s="89">
        <v>46139</v>
      </c>
      <c r="J1568" t="s">
        <v>2815</v>
      </c>
      <c r="N1568" t="s">
        <v>2766</v>
      </c>
    </row>
    <row r="1569" spans="1:14" hidden="1" x14ac:dyDescent="0.25">
      <c r="A1569" t="s">
        <v>1319</v>
      </c>
      <c r="B1569" t="s">
        <v>1333</v>
      </c>
      <c r="C1569" t="s">
        <v>2831</v>
      </c>
      <c r="D1569" t="s">
        <v>20</v>
      </c>
      <c r="F1569">
        <v>48</v>
      </c>
      <c r="G1569">
        <v>1</v>
      </c>
      <c r="H1569" s="89">
        <v>46135</v>
      </c>
      <c r="I1569" s="89">
        <v>46139</v>
      </c>
      <c r="J1569" t="s">
        <v>2815</v>
      </c>
      <c r="N1569" t="s">
        <v>2766</v>
      </c>
    </row>
    <row r="1570" spans="1:14" hidden="1" x14ac:dyDescent="0.25">
      <c r="A1570" t="s">
        <v>1320</v>
      </c>
      <c r="B1570" t="s">
        <v>1334</v>
      </c>
      <c r="C1570" t="s">
        <v>2831</v>
      </c>
      <c r="D1570" t="s">
        <v>20</v>
      </c>
      <c r="F1570">
        <v>960</v>
      </c>
      <c r="G1570">
        <v>20</v>
      </c>
      <c r="H1570" s="89">
        <v>46135</v>
      </c>
      <c r="I1570" s="89">
        <v>46139</v>
      </c>
      <c r="J1570" t="s">
        <v>2832</v>
      </c>
      <c r="N1570" t="s">
        <v>2766</v>
      </c>
    </row>
    <row r="1571" spans="1:14" hidden="1" x14ac:dyDescent="0.25">
      <c r="A1571" t="s">
        <v>1313</v>
      </c>
      <c r="B1571" t="s">
        <v>1327</v>
      </c>
      <c r="C1571" t="s">
        <v>2831</v>
      </c>
      <c r="D1571" t="s">
        <v>20</v>
      </c>
      <c r="F1571">
        <v>288</v>
      </c>
      <c r="G1571">
        <v>6</v>
      </c>
      <c r="H1571" s="89">
        <v>46135</v>
      </c>
      <c r="I1571" s="89">
        <v>46139</v>
      </c>
      <c r="N1571" t="s">
        <v>2766</v>
      </c>
    </row>
    <row r="1572" spans="1:14" hidden="1" x14ac:dyDescent="0.25">
      <c r="A1572" t="s">
        <v>1315</v>
      </c>
      <c r="B1572" t="s">
        <v>1329</v>
      </c>
      <c r="C1572" t="s">
        <v>2831</v>
      </c>
      <c r="D1572" t="s">
        <v>20</v>
      </c>
      <c r="F1572">
        <v>118</v>
      </c>
      <c r="G1572" t="s">
        <v>1419</v>
      </c>
      <c r="H1572" s="89">
        <v>46135</v>
      </c>
      <c r="I1572" s="89">
        <v>46135</v>
      </c>
      <c r="N1572" t="s">
        <v>2766</v>
      </c>
    </row>
    <row r="1573" spans="1:14" hidden="1" x14ac:dyDescent="0.25">
      <c r="A1573" t="s">
        <v>1316</v>
      </c>
      <c r="B1573" t="s">
        <v>1330</v>
      </c>
      <c r="C1573" t="s">
        <v>2833</v>
      </c>
      <c r="D1573" t="s">
        <v>20</v>
      </c>
      <c r="F1573">
        <v>220</v>
      </c>
      <c r="G1573" t="s">
        <v>1419</v>
      </c>
      <c r="H1573" s="89">
        <v>46135</v>
      </c>
      <c r="I1573" s="89">
        <v>46137</v>
      </c>
      <c r="N1573" t="s">
        <v>2766</v>
      </c>
    </row>
    <row r="1574" spans="1:14" hidden="1" x14ac:dyDescent="0.25">
      <c r="A1574" t="s">
        <v>1317</v>
      </c>
      <c r="B1574" t="s">
        <v>1331</v>
      </c>
      <c r="C1574" t="s">
        <v>2834</v>
      </c>
      <c r="D1574" t="s">
        <v>20</v>
      </c>
      <c r="F1574">
        <v>14</v>
      </c>
      <c r="G1574" t="s">
        <v>1419</v>
      </c>
      <c r="H1574" s="89">
        <v>46135</v>
      </c>
      <c r="I1574" s="89">
        <v>46137</v>
      </c>
      <c r="N1574" t="s">
        <v>2766</v>
      </c>
    </row>
    <row r="1575" spans="1:14" hidden="1" x14ac:dyDescent="0.25">
      <c r="A1575" t="s">
        <v>1318</v>
      </c>
      <c r="B1575" t="s">
        <v>1332</v>
      </c>
      <c r="C1575" t="s">
        <v>2835</v>
      </c>
      <c r="D1575" t="s">
        <v>20</v>
      </c>
      <c r="F1575">
        <v>104</v>
      </c>
      <c r="G1575" t="s">
        <v>1419</v>
      </c>
      <c r="H1575" s="89">
        <v>46135</v>
      </c>
      <c r="I1575" s="89">
        <v>46137</v>
      </c>
      <c r="N1575" t="s">
        <v>2766</v>
      </c>
    </row>
    <row r="1576" spans="1:14" hidden="1" x14ac:dyDescent="0.25">
      <c r="A1576" t="s">
        <v>1314</v>
      </c>
      <c r="B1576" t="s">
        <v>1328</v>
      </c>
      <c r="C1576" t="s">
        <v>2836</v>
      </c>
      <c r="D1576" t="s">
        <v>15</v>
      </c>
      <c r="F1576">
        <v>336</v>
      </c>
      <c r="G1576">
        <v>7</v>
      </c>
      <c r="H1576" s="89">
        <v>46135</v>
      </c>
      <c r="I1576" s="89">
        <v>46140</v>
      </c>
      <c r="J1576" t="s">
        <v>2837</v>
      </c>
      <c r="N1576" t="s">
        <v>2766</v>
      </c>
    </row>
    <row r="1577" spans="1:14" hidden="1" x14ac:dyDescent="0.25">
      <c r="A1577" t="s">
        <v>1313</v>
      </c>
      <c r="B1577" t="s">
        <v>1327</v>
      </c>
      <c r="C1577" t="s">
        <v>2836</v>
      </c>
      <c r="D1577" t="s">
        <v>15</v>
      </c>
      <c r="F1577">
        <v>480</v>
      </c>
      <c r="G1577">
        <v>10</v>
      </c>
      <c r="H1577" s="89">
        <v>46135</v>
      </c>
      <c r="I1577" s="89">
        <v>46140</v>
      </c>
      <c r="J1577" t="s">
        <v>2838</v>
      </c>
      <c r="N1577" t="s">
        <v>2766</v>
      </c>
    </row>
    <row r="1578" spans="1:14" hidden="1" x14ac:dyDescent="0.25">
      <c r="A1578" t="s">
        <v>1313</v>
      </c>
      <c r="B1578" t="s">
        <v>1327</v>
      </c>
      <c r="C1578" t="s">
        <v>2836</v>
      </c>
      <c r="D1578" t="s">
        <v>15</v>
      </c>
      <c r="F1578">
        <v>533</v>
      </c>
      <c r="G1578">
        <v>11.104166666666666</v>
      </c>
      <c r="H1578" s="89">
        <v>46135</v>
      </c>
      <c r="I1578" s="89">
        <v>46139</v>
      </c>
      <c r="N1578" t="s">
        <v>2766</v>
      </c>
    </row>
    <row r="1579" spans="1:14" hidden="1" x14ac:dyDescent="0.25">
      <c r="A1579" t="s">
        <v>1314</v>
      </c>
      <c r="B1579" t="s">
        <v>1328</v>
      </c>
      <c r="C1579" t="s">
        <v>2836</v>
      </c>
      <c r="D1579" t="s">
        <v>15</v>
      </c>
      <c r="F1579">
        <v>144</v>
      </c>
      <c r="G1579">
        <v>3</v>
      </c>
      <c r="H1579" s="89">
        <v>46135</v>
      </c>
      <c r="I1579" s="89">
        <v>46139</v>
      </c>
      <c r="N1579" t="s">
        <v>2766</v>
      </c>
    </row>
    <row r="1580" spans="1:14" hidden="1" x14ac:dyDescent="0.25">
      <c r="A1580" t="s">
        <v>1315</v>
      </c>
      <c r="B1580" t="s">
        <v>1329</v>
      </c>
      <c r="C1580" t="s">
        <v>2836</v>
      </c>
      <c r="D1580" t="s">
        <v>15</v>
      </c>
      <c r="F1580">
        <v>33</v>
      </c>
      <c r="G1580" t="s">
        <v>1419</v>
      </c>
      <c r="H1580" s="89">
        <v>46135</v>
      </c>
      <c r="I1580" s="89">
        <v>46138</v>
      </c>
      <c r="N1580" t="s">
        <v>2766</v>
      </c>
    </row>
    <row r="1581" spans="1:14" hidden="1" x14ac:dyDescent="0.25">
      <c r="A1581" t="s">
        <v>1316</v>
      </c>
      <c r="B1581" t="s">
        <v>1330</v>
      </c>
      <c r="C1581" t="s">
        <v>2839</v>
      </c>
      <c r="D1581" t="s">
        <v>15</v>
      </c>
      <c r="F1581">
        <v>1</v>
      </c>
      <c r="G1581" t="s">
        <v>1419</v>
      </c>
      <c r="H1581" s="89">
        <v>46135</v>
      </c>
      <c r="I1581" s="89">
        <v>46137</v>
      </c>
      <c r="N1581" t="s">
        <v>2766</v>
      </c>
    </row>
    <row r="1582" spans="1:14" hidden="1" x14ac:dyDescent="0.25">
      <c r="A1582" t="s">
        <v>1317</v>
      </c>
      <c r="B1582" t="s">
        <v>1331</v>
      </c>
      <c r="C1582" t="s">
        <v>2840</v>
      </c>
      <c r="D1582" t="s">
        <v>15</v>
      </c>
      <c r="F1582">
        <v>23</v>
      </c>
      <c r="G1582" t="s">
        <v>1419</v>
      </c>
      <c r="H1582" s="89">
        <v>46135</v>
      </c>
      <c r="I1582" s="89">
        <v>46137</v>
      </c>
      <c r="N1582" t="s">
        <v>2766</v>
      </c>
    </row>
    <row r="1583" spans="1:14" hidden="1" x14ac:dyDescent="0.25">
      <c r="A1583" t="s">
        <v>1318</v>
      </c>
      <c r="B1583" t="s">
        <v>1332</v>
      </c>
      <c r="C1583" t="s">
        <v>2841</v>
      </c>
      <c r="D1583" t="s">
        <v>15</v>
      </c>
      <c r="F1583">
        <v>23</v>
      </c>
      <c r="G1583" t="s">
        <v>1419</v>
      </c>
      <c r="H1583" s="89">
        <v>46135</v>
      </c>
      <c r="I1583" s="89">
        <v>46137</v>
      </c>
      <c r="N1583" t="s">
        <v>2766</v>
      </c>
    </row>
    <row r="1584" spans="1:14" hidden="1" x14ac:dyDescent="0.25">
      <c r="A1584" t="s">
        <v>1320</v>
      </c>
      <c r="B1584" t="s">
        <v>1334</v>
      </c>
      <c r="C1584" t="s">
        <v>2842</v>
      </c>
      <c r="D1584" t="s">
        <v>28</v>
      </c>
      <c r="F1584">
        <v>960</v>
      </c>
      <c r="G1584">
        <v>20</v>
      </c>
      <c r="H1584" s="89">
        <v>46135</v>
      </c>
      <c r="I1584" s="89">
        <v>46139</v>
      </c>
      <c r="J1584" t="s">
        <v>2843</v>
      </c>
      <c r="N1584" t="s">
        <v>2766</v>
      </c>
    </row>
    <row r="1585" spans="1:14" hidden="1" x14ac:dyDescent="0.25">
      <c r="A1585" t="s">
        <v>1313</v>
      </c>
      <c r="B1585" t="s">
        <v>1327</v>
      </c>
      <c r="C1585" t="s">
        <v>2842</v>
      </c>
      <c r="D1585" t="s">
        <v>28</v>
      </c>
      <c r="F1585">
        <v>336</v>
      </c>
      <c r="G1585">
        <v>7</v>
      </c>
      <c r="H1585" s="89">
        <v>46135</v>
      </c>
      <c r="I1585" s="89">
        <v>46140</v>
      </c>
      <c r="J1585" t="s">
        <v>2838</v>
      </c>
      <c r="N1585" t="s">
        <v>2766</v>
      </c>
    </row>
    <row r="1586" spans="1:14" hidden="1" x14ac:dyDescent="0.25">
      <c r="A1586" t="s">
        <v>1315</v>
      </c>
      <c r="B1586" t="s">
        <v>1329</v>
      </c>
      <c r="C1586" t="s">
        <v>2842</v>
      </c>
      <c r="D1586" t="s">
        <v>28</v>
      </c>
      <c r="F1586">
        <v>94</v>
      </c>
      <c r="G1586" t="s">
        <v>1419</v>
      </c>
      <c r="H1586" s="89">
        <v>46135</v>
      </c>
      <c r="I1586" s="89">
        <v>46137</v>
      </c>
      <c r="N1586" t="s">
        <v>2766</v>
      </c>
    </row>
    <row r="1587" spans="1:14" hidden="1" x14ac:dyDescent="0.25">
      <c r="A1587" t="s">
        <v>1316</v>
      </c>
      <c r="B1587" t="s">
        <v>1330</v>
      </c>
      <c r="C1587" t="s">
        <v>2844</v>
      </c>
      <c r="D1587" t="s">
        <v>28</v>
      </c>
      <c r="F1587">
        <v>3</v>
      </c>
      <c r="G1587" t="s">
        <v>1419</v>
      </c>
      <c r="H1587" s="89">
        <v>46135</v>
      </c>
      <c r="I1587" s="89">
        <v>46137</v>
      </c>
      <c r="N1587" t="s">
        <v>2766</v>
      </c>
    </row>
    <row r="1588" spans="1:14" hidden="1" x14ac:dyDescent="0.25">
      <c r="A1588" t="s">
        <v>1317</v>
      </c>
      <c r="B1588" t="s">
        <v>1331</v>
      </c>
      <c r="C1588" t="s">
        <v>2845</v>
      </c>
      <c r="D1588" t="s">
        <v>28</v>
      </c>
      <c r="F1588">
        <v>4</v>
      </c>
      <c r="G1588" t="s">
        <v>1419</v>
      </c>
      <c r="H1588" s="89">
        <v>46135</v>
      </c>
      <c r="I1588" s="89">
        <v>46137</v>
      </c>
      <c r="N1588" t="s">
        <v>2766</v>
      </c>
    </row>
    <row r="1589" spans="1:14" hidden="1" x14ac:dyDescent="0.25">
      <c r="A1589" t="s">
        <v>1318</v>
      </c>
      <c r="B1589" t="s">
        <v>1332</v>
      </c>
      <c r="C1589" t="s">
        <v>2846</v>
      </c>
      <c r="D1589" t="s">
        <v>28</v>
      </c>
      <c r="F1589">
        <v>65</v>
      </c>
      <c r="G1589" t="s">
        <v>1419</v>
      </c>
      <c r="H1589" s="89">
        <v>46135</v>
      </c>
      <c r="I1589" s="89">
        <v>46137</v>
      </c>
      <c r="N1589" t="s">
        <v>2766</v>
      </c>
    </row>
    <row r="1590" spans="1:14" hidden="1" x14ac:dyDescent="0.25">
      <c r="A1590" t="s">
        <v>1324</v>
      </c>
      <c r="B1590" t="s">
        <v>1338</v>
      </c>
      <c r="C1590" t="s">
        <v>2847</v>
      </c>
      <c r="D1590" t="s">
        <v>23</v>
      </c>
      <c r="F1590">
        <v>960</v>
      </c>
      <c r="G1590">
        <v>20</v>
      </c>
      <c r="H1590" s="89">
        <v>46136</v>
      </c>
      <c r="I1590" s="89">
        <v>46141</v>
      </c>
      <c r="J1590" t="s">
        <v>2828</v>
      </c>
      <c r="N1590" t="s">
        <v>2766</v>
      </c>
    </row>
    <row r="1591" spans="1:14" hidden="1" x14ac:dyDescent="0.25">
      <c r="A1591" t="s">
        <v>1321</v>
      </c>
      <c r="B1591" t="s">
        <v>1335</v>
      </c>
      <c r="C1591" t="s">
        <v>2848</v>
      </c>
      <c r="D1591" t="s">
        <v>138</v>
      </c>
      <c r="F1591">
        <v>144</v>
      </c>
      <c r="G1591">
        <v>3</v>
      </c>
      <c r="H1591" s="89">
        <v>46136</v>
      </c>
      <c r="I1591" s="89">
        <v>46143</v>
      </c>
      <c r="J1591" t="s">
        <v>2849</v>
      </c>
      <c r="N1591" t="s">
        <v>2766</v>
      </c>
    </row>
    <row r="1592" spans="1:14" hidden="1" x14ac:dyDescent="0.25">
      <c r="A1592" t="s">
        <v>1320</v>
      </c>
      <c r="B1592" t="s">
        <v>1334</v>
      </c>
      <c r="C1592" t="s">
        <v>2850</v>
      </c>
      <c r="D1592" t="s">
        <v>144</v>
      </c>
      <c r="F1592">
        <v>960</v>
      </c>
      <c r="G1592">
        <v>20</v>
      </c>
      <c r="H1592" s="89">
        <v>46136</v>
      </c>
      <c r="I1592" s="89">
        <v>46140</v>
      </c>
      <c r="J1592" t="s">
        <v>2851</v>
      </c>
      <c r="N1592" t="s">
        <v>2766</v>
      </c>
    </row>
    <row r="1593" spans="1:14" hidden="1" x14ac:dyDescent="0.25">
      <c r="A1593" t="s">
        <v>1313</v>
      </c>
      <c r="B1593" t="s">
        <v>1327</v>
      </c>
      <c r="C1593" t="s">
        <v>2852</v>
      </c>
      <c r="D1593" t="s">
        <v>20</v>
      </c>
      <c r="F1593">
        <v>1152</v>
      </c>
      <c r="G1593">
        <v>24</v>
      </c>
      <c r="H1593" s="89">
        <v>46136</v>
      </c>
      <c r="I1593" s="89">
        <v>46140</v>
      </c>
      <c r="N1593" t="s">
        <v>2766</v>
      </c>
    </row>
    <row r="1594" spans="1:14" hidden="1" x14ac:dyDescent="0.25">
      <c r="A1594" t="s">
        <v>1315</v>
      </c>
      <c r="B1594" t="s">
        <v>1329</v>
      </c>
      <c r="C1594" t="s">
        <v>2852</v>
      </c>
      <c r="D1594" t="s">
        <v>20</v>
      </c>
      <c r="F1594">
        <v>56</v>
      </c>
      <c r="G1594" t="s">
        <v>1419</v>
      </c>
      <c r="H1594" s="89">
        <v>46136</v>
      </c>
      <c r="I1594" s="89">
        <v>46138</v>
      </c>
      <c r="N1594" t="s">
        <v>2766</v>
      </c>
    </row>
    <row r="1595" spans="1:14" hidden="1" x14ac:dyDescent="0.25">
      <c r="A1595" t="s">
        <v>1316</v>
      </c>
      <c r="B1595" t="s">
        <v>1330</v>
      </c>
      <c r="C1595" t="s">
        <v>2853</v>
      </c>
      <c r="D1595" t="s">
        <v>20</v>
      </c>
      <c r="F1595">
        <v>157</v>
      </c>
      <c r="G1595" t="s">
        <v>1419</v>
      </c>
      <c r="H1595" s="89">
        <v>46136</v>
      </c>
      <c r="I1595" s="89">
        <v>46138</v>
      </c>
      <c r="N1595" t="s">
        <v>2766</v>
      </c>
    </row>
    <row r="1596" spans="1:14" hidden="1" x14ac:dyDescent="0.25">
      <c r="A1596" t="s">
        <v>1317</v>
      </c>
      <c r="B1596" t="s">
        <v>1331</v>
      </c>
      <c r="C1596" t="s">
        <v>2854</v>
      </c>
      <c r="D1596" t="s">
        <v>20</v>
      </c>
      <c r="F1596">
        <v>9</v>
      </c>
      <c r="G1596" t="s">
        <v>1419</v>
      </c>
      <c r="H1596" s="89">
        <v>46136</v>
      </c>
      <c r="I1596" s="89">
        <v>46138</v>
      </c>
      <c r="N1596" t="s">
        <v>2766</v>
      </c>
    </row>
    <row r="1597" spans="1:14" hidden="1" x14ac:dyDescent="0.25">
      <c r="A1597" t="s">
        <v>1318</v>
      </c>
      <c r="B1597" t="s">
        <v>1332</v>
      </c>
      <c r="C1597" t="s">
        <v>2855</v>
      </c>
      <c r="D1597" t="s">
        <v>20</v>
      </c>
      <c r="F1597">
        <v>53</v>
      </c>
      <c r="G1597" t="s">
        <v>1419</v>
      </c>
      <c r="H1597" s="89">
        <v>46136</v>
      </c>
      <c r="I1597" s="89">
        <v>46138</v>
      </c>
      <c r="N1597" t="s">
        <v>2766</v>
      </c>
    </row>
    <row r="1598" spans="1:14" hidden="1" x14ac:dyDescent="0.25">
      <c r="A1598" t="s">
        <v>1320</v>
      </c>
      <c r="B1598" t="s">
        <v>1334</v>
      </c>
      <c r="C1598" t="s">
        <v>2856</v>
      </c>
      <c r="D1598" t="s">
        <v>21</v>
      </c>
      <c r="F1598">
        <v>960</v>
      </c>
      <c r="G1598">
        <v>20</v>
      </c>
      <c r="H1598" s="89">
        <v>46136</v>
      </c>
      <c r="I1598" s="89">
        <v>46140</v>
      </c>
      <c r="J1598" t="s">
        <v>2857</v>
      </c>
      <c r="N1598" t="s">
        <v>2766</v>
      </c>
    </row>
    <row r="1599" spans="1:14" hidden="1" x14ac:dyDescent="0.25">
      <c r="A1599" t="s">
        <v>1324</v>
      </c>
      <c r="B1599" t="s">
        <v>1338</v>
      </c>
      <c r="C1599" t="s">
        <v>2856</v>
      </c>
      <c r="D1599" t="s">
        <v>21</v>
      </c>
      <c r="F1599">
        <v>336</v>
      </c>
      <c r="G1599">
        <v>7</v>
      </c>
      <c r="H1599" s="89">
        <v>46136</v>
      </c>
      <c r="I1599" s="89">
        <v>46143</v>
      </c>
      <c r="J1599" t="s">
        <v>2849</v>
      </c>
      <c r="N1599" t="s">
        <v>2766</v>
      </c>
    </row>
    <row r="1600" spans="1:14" hidden="1" x14ac:dyDescent="0.25">
      <c r="A1600" t="s">
        <v>1313</v>
      </c>
      <c r="B1600" t="s">
        <v>1327</v>
      </c>
      <c r="C1600" t="s">
        <v>2856</v>
      </c>
      <c r="D1600" t="s">
        <v>21</v>
      </c>
      <c r="F1600">
        <v>144</v>
      </c>
      <c r="G1600">
        <v>3</v>
      </c>
      <c r="H1600" s="89">
        <v>46136</v>
      </c>
      <c r="I1600" s="89">
        <v>46140</v>
      </c>
      <c r="N1600" t="s">
        <v>2766</v>
      </c>
    </row>
    <row r="1601" spans="1:14" hidden="1" x14ac:dyDescent="0.25">
      <c r="A1601" t="s">
        <v>1315</v>
      </c>
      <c r="B1601" t="s">
        <v>1329</v>
      </c>
      <c r="C1601" t="s">
        <v>2856</v>
      </c>
      <c r="D1601" t="s">
        <v>21</v>
      </c>
      <c r="F1601">
        <v>247</v>
      </c>
      <c r="G1601" t="s">
        <v>1419</v>
      </c>
      <c r="H1601" s="89">
        <v>46136</v>
      </c>
      <c r="I1601" s="89">
        <v>46137</v>
      </c>
      <c r="N1601" t="s">
        <v>2766</v>
      </c>
    </row>
    <row r="1602" spans="1:14" hidden="1" x14ac:dyDescent="0.25">
      <c r="A1602" t="s">
        <v>1316</v>
      </c>
      <c r="B1602" t="s">
        <v>1330</v>
      </c>
      <c r="C1602" t="s">
        <v>2858</v>
      </c>
      <c r="D1602" t="s">
        <v>21</v>
      </c>
      <c r="F1602">
        <v>58</v>
      </c>
      <c r="G1602" t="s">
        <v>1419</v>
      </c>
      <c r="H1602" s="89">
        <v>46136</v>
      </c>
      <c r="I1602" s="89">
        <v>46138</v>
      </c>
      <c r="N1602" t="s">
        <v>2766</v>
      </c>
    </row>
    <row r="1603" spans="1:14" hidden="1" x14ac:dyDescent="0.25">
      <c r="A1603" t="s">
        <v>1317</v>
      </c>
      <c r="B1603" t="s">
        <v>1331</v>
      </c>
      <c r="C1603" t="s">
        <v>2859</v>
      </c>
      <c r="D1603" t="s">
        <v>21</v>
      </c>
      <c r="F1603">
        <v>4</v>
      </c>
      <c r="G1603" t="s">
        <v>1419</v>
      </c>
      <c r="H1603" s="89">
        <v>46136</v>
      </c>
      <c r="I1603" s="89">
        <v>46138</v>
      </c>
      <c r="N1603" t="s">
        <v>2766</v>
      </c>
    </row>
    <row r="1604" spans="1:14" hidden="1" x14ac:dyDescent="0.25">
      <c r="A1604" t="s">
        <v>1318</v>
      </c>
      <c r="B1604" t="s">
        <v>1332</v>
      </c>
      <c r="C1604" t="s">
        <v>2860</v>
      </c>
      <c r="D1604" t="s">
        <v>21</v>
      </c>
      <c r="F1604">
        <v>111</v>
      </c>
      <c r="G1604" t="s">
        <v>1419</v>
      </c>
      <c r="H1604" s="89">
        <v>46136</v>
      </c>
      <c r="I1604" s="89">
        <v>46138</v>
      </c>
      <c r="N1604" t="s">
        <v>2766</v>
      </c>
    </row>
    <row r="1605" spans="1:14" hidden="1" x14ac:dyDescent="0.25">
      <c r="A1605" t="s">
        <v>1320</v>
      </c>
      <c r="B1605" t="s">
        <v>1334</v>
      </c>
      <c r="C1605" t="s">
        <v>2861</v>
      </c>
      <c r="D1605" t="s">
        <v>106</v>
      </c>
      <c r="F1605">
        <v>960</v>
      </c>
      <c r="G1605">
        <v>20</v>
      </c>
      <c r="H1605" s="89">
        <v>46136</v>
      </c>
      <c r="I1605" s="89">
        <v>46141</v>
      </c>
      <c r="J1605" t="s">
        <v>2862</v>
      </c>
      <c r="N1605" t="s">
        <v>2766</v>
      </c>
    </row>
    <row r="1606" spans="1:14" hidden="1" x14ac:dyDescent="0.25">
      <c r="A1606" t="s">
        <v>1320</v>
      </c>
      <c r="B1606" t="s">
        <v>1334</v>
      </c>
      <c r="C1606" t="s">
        <v>2863</v>
      </c>
      <c r="D1606" t="s">
        <v>15</v>
      </c>
      <c r="F1606">
        <v>960</v>
      </c>
      <c r="G1606">
        <v>20</v>
      </c>
      <c r="H1606" s="89">
        <v>46136</v>
      </c>
      <c r="I1606" s="89">
        <v>46141</v>
      </c>
      <c r="J1606" t="s">
        <v>2864</v>
      </c>
      <c r="N1606" t="s">
        <v>2766</v>
      </c>
    </row>
    <row r="1607" spans="1:14" hidden="1" x14ac:dyDescent="0.25">
      <c r="A1607" t="s">
        <v>1324</v>
      </c>
      <c r="B1607" t="s">
        <v>1338</v>
      </c>
      <c r="C1607" t="s">
        <v>2863</v>
      </c>
      <c r="D1607" t="s">
        <v>15</v>
      </c>
      <c r="F1607">
        <v>480</v>
      </c>
      <c r="G1607">
        <v>10</v>
      </c>
      <c r="H1607" s="89">
        <v>46136</v>
      </c>
      <c r="I1607" s="89">
        <v>46143</v>
      </c>
      <c r="J1607" t="s">
        <v>2849</v>
      </c>
      <c r="N1607" t="s">
        <v>2766</v>
      </c>
    </row>
    <row r="1608" spans="1:14" hidden="1" x14ac:dyDescent="0.25">
      <c r="A1608" t="s">
        <v>1313</v>
      </c>
      <c r="B1608" t="s">
        <v>1327</v>
      </c>
      <c r="C1608" t="s">
        <v>2863</v>
      </c>
      <c r="D1608" t="s">
        <v>15</v>
      </c>
      <c r="F1608">
        <v>96</v>
      </c>
      <c r="G1608">
        <v>2</v>
      </c>
      <c r="H1608" s="89">
        <v>46136</v>
      </c>
      <c r="I1608" s="89">
        <v>46141</v>
      </c>
      <c r="J1608" t="s">
        <v>2865</v>
      </c>
      <c r="N1608" t="s">
        <v>2766</v>
      </c>
    </row>
    <row r="1609" spans="1:14" hidden="1" x14ac:dyDescent="0.25">
      <c r="A1609" t="s">
        <v>1313</v>
      </c>
      <c r="B1609" t="s">
        <v>1327</v>
      </c>
      <c r="C1609" t="s">
        <v>2863</v>
      </c>
      <c r="D1609" t="s">
        <v>15</v>
      </c>
      <c r="F1609">
        <v>48</v>
      </c>
      <c r="G1609">
        <v>1</v>
      </c>
      <c r="H1609" s="89">
        <v>46136</v>
      </c>
      <c r="I1609" s="89">
        <v>46140</v>
      </c>
      <c r="N1609" t="s">
        <v>2766</v>
      </c>
    </row>
    <row r="1610" spans="1:14" hidden="1" x14ac:dyDescent="0.25">
      <c r="A1610" t="s">
        <v>1315</v>
      </c>
      <c r="B1610" t="s">
        <v>1329</v>
      </c>
      <c r="C1610" t="s">
        <v>2863</v>
      </c>
      <c r="D1610" t="s">
        <v>15</v>
      </c>
      <c r="F1610">
        <v>13</v>
      </c>
      <c r="G1610" t="s">
        <v>1419</v>
      </c>
      <c r="H1610" s="89">
        <v>46136</v>
      </c>
      <c r="I1610" s="89">
        <v>46138</v>
      </c>
      <c r="N1610" t="s">
        <v>2766</v>
      </c>
    </row>
    <row r="1611" spans="1:14" hidden="1" x14ac:dyDescent="0.25">
      <c r="A1611" t="s">
        <v>1316</v>
      </c>
      <c r="B1611" t="s">
        <v>1330</v>
      </c>
      <c r="C1611" t="s">
        <v>2866</v>
      </c>
      <c r="D1611" t="s">
        <v>15</v>
      </c>
      <c r="F1611">
        <v>93</v>
      </c>
      <c r="G1611" t="s">
        <v>1419</v>
      </c>
      <c r="H1611" s="89">
        <v>46136</v>
      </c>
      <c r="I1611" s="89">
        <v>46138</v>
      </c>
      <c r="N1611" t="s">
        <v>2766</v>
      </c>
    </row>
    <row r="1612" spans="1:14" hidden="1" x14ac:dyDescent="0.25">
      <c r="A1612" t="s">
        <v>1317</v>
      </c>
      <c r="B1612" t="s">
        <v>1331</v>
      </c>
      <c r="C1612" t="s">
        <v>2867</v>
      </c>
      <c r="D1612" t="s">
        <v>15</v>
      </c>
      <c r="F1612">
        <v>18</v>
      </c>
      <c r="G1612" t="s">
        <v>1419</v>
      </c>
      <c r="H1612" s="89">
        <v>46136</v>
      </c>
      <c r="I1612" s="89">
        <v>46138</v>
      </c>
      <c r="N1612" t="s">
        <v>2766</v>
      </c>
    </row>
    <row r="1613" spans="1:14" hidden="1" x14ac:dyDescent="0.25">
      <c r="A1613" t="s">
        <v>1318</v>
      </c>
      <c r="B1613" t="s">
        <v>1332</v>
      </c>
      <c r="C1613" t="s">
        <v>2868</v>
      </c>
      <c r="D1613" t="s">
        <v>15</v>
      </c>
      <c r="F1613">
        <v>39</v>
      </c>
      <c r="G1613" t="s">
        <v>1419</v>
      </c>
      <c r="H1613" s="89">
        <v>46136</v>
      </c>
      <c r="I1613" s="89">
        <v>46138</v>
      </c>
      <c r="N1613" t="s">
        <v>2766</v>
      </c>
    </row>
    <row r="1614" spans="1:14" hidden="1" x14ac:dyDescent="0.25">
      <c r="A1614" t="s">
        <v>1325</v>
      </c>
      <c r="B1614" t="s">
        <v>1339</v>
      </c>
      <c r="C1614" t="s">
        <v>2848</v>
      </c>
      <c r="D1614" t="s">
        <v>138</v>
      </c>
      <c r="F1614">
        <v>240</v>
      </c>
      <c r="G1614">
        <v>5</v>
      </c>
      <c r="H1614" s="89">
        <v>46136</v>
      </c>
      <c r="I1614" s="89">
        <v>46140</v>
      </c>
      <c r="N1614" t="s">
        <v>2766</v>
      </c>
    </row>
    <row r="1615" spans="1:14" hidden="1" x14ac:dyDescent="0.25">
      <c r="A1615" t="s">
        <v>1313</v>
      </c>
      <c r="B1615" t="s">
        <v>1327</v>
      </c>
      <c r="C1615" t="s">
        <v>2869</v>
      </c>
      <c r="D1615" t="s">
        <v>28</v>
      </c>
      <c r="F1615">
        <v>1056</v>
      </c>
      <c r="G1615">
        <v>22</v>
      </c>
      <c r="H1615" s="89">
        <v>46137</v>
      </c>
      <c r="I1615" s="89">
        <v>46141</v>
      </c>
      <c r="J1615" t="s">
        <v>2865</v>
      </c>
      <c r="N1615" t="s">
        <v>2766</v>
      </c>
    </row>
    <row r="1616" spans="1:14" hidden="1" x14ac:dyDescent="0.25">
      <c r="A1616" t="s">
        <v>1315</v>
      </c>
      <c r="B1616" t="s">
        <v>1329</v>
      </c>
      <c r="C1616" t="s">
        <v>2869</v>
      </c>
      <c r="D1616" t="s">
        <v>28</v>
      </c>
      <c r="F1616">
        <v>22</v>
      </c>
      <c r="G1616" t="s">
        <v>1419</v>
      </c>
      <c r="H1616" s="89">
        <v>46137</v>
      </c>
      <c r="I1616" s="89">
        <v>46139</v>
      </c>
      <c r="N1616" t="s">
        <v>2766</v>
      </c>
    </row>
    <row r="1617" spans="1:14" hidden="1" x14ac:dyDescent="0.25">
      <c r="A1617" t="s">
        <v>1316</v>
      </c>
      <c r="B1617" t="s">
        <v>1330</v>
      </c>
      <c r="C1617" t="s">
        <v>2870</v>
      </c>
      <c r="D1617" t="s">
        <v>28</v>
      </c>
      <c r="F1617">
        <v>49</v>
      </c>
      <c r="G1617" t="s">
        <v>1419</v>
      </c>
      <c r="H1617" s="89">
        <v>46137</v>
      </c>
      <c r="I1617" s="89">
        <v>46139</v>
      </c>
      <c r="N1617" t="s">
        <v>2766</v>
      </c>
    </row>
    <row r="1618" spans="1:14" hidden="1" x14ac:dyDescent="0.25">
      <c r="A1618" t="s">
        <v>1317</v>
      </c>
      <c r="B1618" t="s">
        <v>1331</v>
      </c>
      <c r="C1618" t="s">
        <v>2871</v>
      </c>
      <c r="D1618" t="s">
        <v>28</v>
      </c>
      <c r="F1618">
        <v>6</v>
      </c>
      <c r="G1618" t="s">
        <v>1419</v>
      </c>
      <c r="H1618" s="89">
        <v>46137</v>
      </c>
      <c r="I1618" s="89">
        <v>46139</v>
      </c>
      <c r="N1618" t="s">
        <v>2766</v>
      </c>
    </row>
    <row r="1619" spans="1:14" hidden="1" x14ac:dyDescent="0.25">
      <c r="A1619" t="s">
        <v>1318</v>
      </c>
      <c r="B1619" t="s">
        <v>1332</v>
      </c>
      <c r="C1619" t="s">
        <v>2872</v>
      </c>
      <c r="D1619" t="s">
        <v>28</v>
      </c>
      <c r="F1619">
        <v>42</v>
      </c>
      <c r="G1619" t="s">
        <v>1419</v>
      </c>
      <c r="H1619" s="89">
        <v>46137</v>
      </c>
      <c r="I1619" s="89">
        <v>46139</v>
      </c>
      <c r="N1619" t="s">
        <v>2766</v>
      </c>
    </row>
    <row r="1620" spans="1:14" hidden="1" x14ac:dyDescent="0.25">
      <c r="A1620" t="s">
        <v>1324</v>
      </c>
      <c r="B1620" t="s">
        <v>1338</v>
      </c>
      <c r="C1620" t="s">
        <v>2873</v>
      </c>
      <c r="D1620" t="s">
        <v>104</v>
      </c>
      <c r="F1620">
        <v>960</v>
      </c>
      <c r="G1620">
        <v>20</v>
      </c>
      <c r="H1620" s="89">
        <v>46137</v>
      </c>
      <c r="I1620" s="89">
        <v>46143</v>
      </c>
      <c r="J1620" t="s">
        <v>2849</v>
      </c>
      <c r="N1620" t="s">
        <v>2766</v>
      </c>
    </row>
    <row r="1621" spans="1:14" hidden="1" x14ac:dyDescent="0.25">
      <c r="A1621" t="s">
        <v>1320</v>
      </c>
      <c r="B1621" t="s">
        <v>1334</v>
      </c>
      <c r="C1621" t="s">
        <v>2874</v>
      </c>
      <c r="D1621" t="s">
        <v>103</v>
      </c>
      <c r="F1621">
        <v>960</v>
      </c>
      <c r="G1621">
        <v>20</v>
      </c>
      <c r="H1621" s="89">
        <v>46137</v>
      </c>
      <c r="I1621" s="89">
        <v>46142</v>
      </c>
      <c r="J1621" t="s">
        <v>2875</v>
      </c>
      <c r="N1621" t="s">
        <v>2766</v>
      </c>
    </row>
    <row r="1622" spans="1:14" hidden="1" x14ac:dyDescent="0.25">
      <c r="A1622" t="s">
        <v>1320</v>
      </c>
      <c r="B1622" t="s">
        <v>1334</v>
      </c>
      <c r="C1622" t="s">
        <v>2876</v>
      </c>
      <c r="D1622" t="s">
        <v>144</v>
      </c>
      <c r="F1622">
        <v>960</v>
      </c>
      <c r="G1622">
        <v>20</v>
      </c>
      <c r="H1622" s="89">
        <v>46137</v>
      </c>
      <c r="I1622" s="89">
        <v>46142</v>
      </c>
      <c r="J1622" t="s">
        <v>2877</v>
      </c>
      <c r="N1622" t="s">
        <v>2766</v>
      </c>
    </row>
    <row r="1623" spans="1:14" hidden="1" x14ac:dyDescent="0.25">
      <c r="A1623" t="s">
        <v>1320</v>
      </c>
      <c r="B1623" t="s">
        <v>1334</v>
      </c>
      <c r="C1623" t="s">
        <v>2878</v>
      </c>
      <c r="D1623" t="s">
        <v>13</v>
      </c>
      <c r="F1623">
        <v>960</v>
      </c>
      <c r="G1623">
        <v>20</v>
      </c>
      <c r="H1623" s="89">
        <v>46146</v>
      </c>
      <c r="I1623" s="89">
        <v>46150</v>
      </c>
      <c r="J1623" t="s">
        <v>2879</v>
      </c>
      <c r="N1623" t="s">
        <v>2880</v>
      </c>
    </row>
    <row r="1624" spans="1:14" hidden="1" x14ac:dyDescent="0.25">
      <c r="A1624" t="s">
        <v>1320</v>
      </c>
      <c r="B1624" t="s">
        <v>1334</v>
      </c>
      <c r="C1624" t="s">
        <v>2881</v>
      </c>
      <c r="D1624" t="s">
        <v>15</v>
      </c>
      <c r="F1624">
        <v>960</v>
      </c>
      <c r="G1624">
        <v>20</v>
      </c>
      <c r="H1624" s="89">
        <v>46146</v>
      </c>
      <c r="I1624" s="89">
        <v>46150</v>
      </c>
      <c r="J1624" t="s">
        <v>2882</v>
      </c>
      <c r="N1624" t="s">
        <v>2880</v>
      </c>
    </row>
    <row r="1625" spans="1:14" hidden="1" x14ac:dyDescent="0.25">
      <c r="A1625" t="s">
        <v>1313</v>
      </c>
      <c r="B1625" t="s">
        <v>1327</v>
      </c>
      <c r="C1625" t="s">
        <v>2881</v>
      </c>
      <c r="D1625" t="s">
        <v>15</v>
      </c>
      <c r="F1625">
        <v>96</v>
      </c>
      <c r="G1625">
        <v>8</v>
      </c>
      <c r="H1625" s="89">
        <v>46146</v>
      </c>
      <c r="I1625" s="89">
        <v>46148</v>
      </c>
      <c r="N1625" t="s">
        <v>2880</v>
      </c>
    </row>
    <row r="1626" spans="1:14" hidden="1" x14ac:dyDescent="0.25">
      <c r="A1626" t="s">
        <v>1315</v>
      </c>
      <c r="B1626" t="s">
        <v>1329</v>
      </c>
      <c r="C1626" t="s">
        <v>2881</v>
      </c>
      <c r="D1626" t="s">
        <v>15</v>
      </c>
      <c r="F1626">
        <v>17</v>
      </c>
      <c r="G1626" t="s">
        <v>1419</v>
      </c>
      <c r="H1626" s="89">
        <v>46146</v>
      </c>
      <c r="I1626" s="89">
        <v>46148</v>
      </c>
      <c r="N1626" t="s">
        <v>2880</v>
      </c>
    </row>
    <row r="1627" spans="1:14" hidden="1" x14ac:dyDescent="0.25">
      <c r="A1627" t="s">
        <v>1316</v>
      </c>
      <c r="B1627" t="s">
        <v>1330</v>
      </c>
      <c r="C1627" t="s">
        <v>2883</v>
      </c>
      <c r="D1627" t="s">
        <v>15</v>
      </c>
      <c r="F1627">
        <v>79</v>
      </c>
      <c r="G1627" t="s">
        <v>1419</v>
      </c>
      <c r="H1627" s="89">
        <v>46146</v>
      </c>
      <c r="I1627" s="89">
        <v>46148</v>
      </c>
      <c r="N1627" t="s">
        <v>2880</v>
      </c>
    </row>
    <row r="1628" spans="1:14" hidden="1" x14ac:dyDescent="0.25">
      <c r="A1628" t="s">
        <v>1317</v>
      </c>
      <c r="B1628" t="s">
        <v>1331</v>
      </c>
      <c r="C1628" t="s">
        <v>2884</v>
      </c>
      <c r="D1628" t="s">
        <v>15</v>
      </c>
      <c r="F1628">
        <v>12</v>
      </c>
      <c r="G1628" t="s">
        <v>1419</v>
      </c>
      <c r="H1628" s="89">
        <v>46146</v>
      </c>
      <c r="I1628" s="89">
        <v>46148</v>
      </c>
      <c r="N1628" t="s">
        <v>2880</v>
      </c>
    </row>
    <row r="1629" spans="1:14" hidden="1" x14ac:dyDescent="0.25">
      <c r="A1629" t="s">
        <v>1318</v>
      </c>
      <c r="B1629" t="s">
        <v>1332</v>
      </c>
      <c r="C1629" t="s">
        <v>2885</v>
      </c>
      <c r="D1629" t="s">
        <v>15</v>
      </c>
      <c r="F1629">
        <v>51</v>
      </c>
      <c r="G1629" t="s">
        <v>1419</v>
      </c>
      <c r="H1629" s="89">
        <v>46146</v>
      </c>
      <c r="I1629" s="89">
        <v>46148</v>
      </c>
      <c r="N1629" t="s">
        <v>2880</v>
      </c>
    </row>
    <row r="1630" spans="1:14" hidden="1" x14ac:dyDescent="0.25">
      <c r="A1630" t="s">
        <v>1313</v>
      </c>
      <c r="B1630" t="s">
        <v>1327</v>
      </c>
      <c r="C1630" t="s">
        <v>2886</v>
      </c>
      <c r="D1630" t="s">
        <v>21</v>
      </c>
      <c r="F1630">
        <v>1152</v>
      </c>
      <c r="G1630">
        <v>24</v>
      </c>
      <c r="H1630" s="89">
        <v>46146</v>
      </c>
      <c r="I1630" s="89">
        <v>46151</v>
      </c>
      <c r="J1630" t="s">
        <v>2887</v>
      </c>
      <c r="N1630" t="s">
        <v>2880</v>
      </c>
    </row>
    <row r="1631" spans="1:14" hidden="1" x14ac:dyDescent="0.25">
      <c r="A1631" t="s">
        <v>1315</v>
      </c>
      <c r="B1631" t="s">
        <v>1329</v>
      </c>
      <c r="C1631" t="s">
        <v>2886</v>
      </c>
      <c r="D1631" t="s">
        <v>21</v>
      </c>
      <c r="F1631">
        <v>80</v>
      </c>
      <c r="G1631" t="s">
        <v>1419</v>
      </c>
      <c r="H1631" s="89">
        <v>46146</v>
      </c>
      <c r="I1631" s="89">
        <v>46148</v>
      </c>
      <c r="N1631" t="s">
        <v>2880</v>
      </c>
    </row>
    <row r="1632" spans="1:14" hidden="1" x14ac:dyDescent="0.25">
      <c r="A1632" t="s">
        <v>1316</v>
      </c>
      <c r="B1632" t="s">
        <v>1330</v>
      </c>
      <c r="C1632" t="s">
        <v>2888</v>
      </c>
      <c r="D1632" t="s">
        <v>21</v>
      </c>
      <c r="F1632">
        <v>23</v>
      </c>
      <c r="G1632" t="s">
        <v>1419</v>
      </c>
      <c r="H1632" s="89">
        <v>46146</v>
      </c>
      <c r="I1632" s="89">
        <v>46148</v>
      </c>
      <c r="N1632" t="s">
        <v>2880</v>
      </c>
    </row>
    <row r="1633" spans="1:14" hidden="1" x14ac:dyDescent="0.25">
      <c r="A1633" t="s">
        <v>1317</v>
      </c>
      <c r="B1633" t="s">
        <v>1331</v>
      </c>
      <c r="C1633" t="s">
        <v>2889</v>
      </c>
      <c r="D1633" t="s">
        <v>21</v>
      </c>
      <c r="F1633">
        <v>10</v>
      </c>
      <c r="G1633" t="s">
        <v>1419</v>
      </c>
      <c r="H1633" s="89">
        <v>46146</v>
      </c>
      <c r="I1633" s="89">
        <v>46148</v>
      </c>
      <c r="N1633" t="s">
        <v>2880</v>
      </c>
    </row>
    <row r="1634" spans="1:14" hidden="1" x14ac:dyDescent="0.25">
      <c r="A1634" t="s">
        <v>1318</v>
      </c>
      <c r="B1634" t="s">
        <v>1332</v>
      </c>
      <c r="C1634" t="s">
        <v>2890</v>
      </c>
      <c r="D1634" t="s">
        <v>21</v>
      </c>
      <c r="F1634">
        <v>53</v>
      </c>
      <c r="G1634" t="s">
        <v>1419</v>
      </c>
      <c r="H1634" s="89">
        <v>46146</v>
      </c>
      <c r="I1634" s="89">
        <v>46148</v>
      </c>
      <c r="N1634" t="s">
        <v>2880</v>
      </c>
    </row>
    <row r="1635" spans="1:14" hidden="1" x14ac:dyDescent="0.25">
      <c r="A1635" t="s">
        <v>1313</v>
      </c>
      <c r="B1635" t="s">
        <v>1327</v>
      </c>
      <c r="C1635" t="s">
        <v>2891</v>
      </c>
      <c r="D1635" t="s">
        <v>20</v>
      </c>
      <c r="F1635">
        <v>1104</v>
      </c>
      <c r="G1635">
        <v>23</v>
      </c>
      <c r="H1635" s="89">
        <v>46146</v>
      </c>
      <c r="I1635" s="89">
        <v>46150</v>
      </c>
      <c r="J1635" t="s">
        <v>2892</v>
      </c>
      <c r="N1635" t="s">
        <v>2880</v>
      </c>
    </row>
    <row r="1636" spans="1:14" hidden="1" x14ac:dyDescent="0.25">
      <c r="A1636" t="s">
        <v>1319</v>
      </c>
      <c r="B1636" t="s">
        <v>1333</v>
      </c>
      <c r="C1636" t="s">
        <v>2891</v>
      </c>
      <c r="D1636" t="s">
        <v>20</v>
      </c>
      <c r="F1636">
        <v>48</v>
      </c>
      <c r="G1636">
        <v>1</v>
      </c>
      <c r="H1636" s="89">
        <v>46146</v>
      </c>
      <c r="I1636" s="89">
        <v>46150</v>
      </c>
      <c r="J1636" t="s">
        <v>2892</v>
      </c>
      <c r="N1636" t="s">
        <v>2880</v>
      </c>
    </row>
    <row r="1637" spans="1:14" hidden="1" x14ac:dyDescent="0.25">
      <c r="A1637" t="s">
        <v>1313</v>
      </c>
      <c r="B1637" t="s">
        <v>1327</v>
      </c>
      <c r="C1637" t="s">
        <v>2891</v>
      </c>
      <c r="D1637" t="s">
        <v>20</v>
      </c>
      <c r="F1637">
        <v>384</v>
      </c>
      <c r="G1637">
        <v>8</v>
      </c>
      <c r="H1637" s="89">
        <v>46146</v>
      </c>
      <c r="I1637" s="89">
        <v>46149</v>
      </c>
      <c r="N1637" t="s">
        <v>2880</v>
      </c>
    </row>
    <row r="1638" spans="1:14" hidden="1" x14ac:dyDescent="0.25">
      <c r="A1638" t="s">
        <v>1315</v>
      </c>
      <c r="B1638" t="s">
        <v>1329</v>
      </c>
      <c r="C1638" t="s">
        <v>2891</v>
      </c>
      <c r="D1638" t="s">
        <v>20</v>
      </c>
      <c r="F1638">
        <v>78</v>
      </c>
      <c r="G1638" t="s">
        <v>1419</v>
      </c>
      <c r="H1638" s="89">
        <v>46146</v>
      </c>
      <c r="I1638" s="89">
        <v>46148</v>
      </c>
      <c r="N1638" t="s">
        <v>2880</v>
      </c>
    </row>
    <row r="1639" spans="1:14" hidden="1" x14ac:dyDescent="0.25">
      <c r="A1639" t="s">
        <v>1316</v>
      </c>
      <c r="B1639" t="s">
        <v>1330</v>
      </c>
      <c r="C1639" t="s">
        <v>2893</v>
      </c>
      <c r="D1639" t="s">
        <v>20</v>
      </c>
      <c r="F1639">
        <v>278</v>
      </c>
      <c r="G1639" t="s">
        <v>1419</v>
      </c>
      <c r="H1639" s="89">
        <v>46146</v>
      </c>
      <c r="I1639" s="89">
        <v>46148</v>
      </c>
      <c r="N1639" t="s">
        <v>2880</v>
      </c>
    </row>
    <row r="1640" spans="1:14" hidden="1" x14ac:dyDescent="0.25">
      <c r="A1640" t="s">
        <v>1317</v>
      </c>
      <c r="B1640" t="s">
        <v>1331</v>
      </c>
      <c r="C1640" t="s">
        <v>2894</v>
      </c>
      <c r="D1640" t="s">
        <v>20</v>
      </c>
      <c r="F1640">
        <v>22</v>
      </c>
      <c r="G1640" t="s">
        <v>1419</v>
      </c>
      <c r="H1640" s="89">
        <v>46146</v>
      </c>
      <c r="I1640" s="89">
        <v>46148</v>
      </c>
      <c r="N1640" t="s">
        <v>2880</v>
      </c>
    </row>
    <row r="1641" spans="1:14" hidden="1" x14ac:dyDescent="0.25">
      <c r="A1641" t="s">
        <v>1318</v>
      </c>
      <c r="B1641" t="s">
        <v>1332</v>
      </c>
      <c r="C1641" t="s">
        <v>2895</v>
      </c>
      <c r="D1641" t="s">
        <v>20</v>
      </c>
      <c r="F1641">
        <v>94</v>
      </c>
      <c r="G1641" t="s">
        <v>1419</v>
      </c>
      <c r="H1641" s="89">
        <v>46146</v>
      </c>
      <c r="I1641" s="89">
        <v>46148</v>
      </c>
      <c r="N1641" t="s">
        <v>2880</v>
      </c>
    </row>
    <row r="1642" spans="1:14" hidden="1" x14ac:dyDescent="0.25">
      <c r="A1642" t="s">
        <v>1323</v>
      </c>
      <c r="B1642" t="s">
        <v>1337</v>
      </c>
      <c r="C1642" t="s">
        <v>2896</v>
      </c>
      <c r="D1642" t="s">
        <v>20</v>
      </c>
      <c r="F1642">
        <v>756</v>
      </c>
      <c r="G1642">
        <v>14</v>
      </c>
      <c r="H1642" s="89">
        <v>46147</v>
      </c>
      <c r="I1642" s="89">
        <v>46150</v>
      </c>
      <c r="J1642" t="s">
        <v>2897</v>
      </c>
      <c r="N1642" t="s">
        <v>2880</v>
      </c>
    </row>
    <row r="1643" spans="1:14" hidden="1" x14ac:dyDescent="0.25">
      <c r="A1643" t="s">
        <v>1322</v>
      </c>
      <c r="B1643" t="s">
        <v>1336</v>
      </c>
      <c r="C1643" t="s">
        <v>2896</v>
      </c>
      <c r="D1643" t="s">
        <v>20</v>
      </c>
      <c r="F1643">
        <v>324</v>
      </c>
      <c r="G1643">
        <v>6</v>
      </c>
      <c r="H1643" s="89">
        <v>46147</v>
      </c>
      <c r="I1643" s="89">
        <v>46150</v>
      </c>
      <c r="J1643" t="s">
        <v>2897</v>
      </c>
      <c r="N1643" t="s">
        <v>2880</v>
      </c>
    </row>
    <row r="1644" spans="1:14" hidden="1" x14ac:dyDescent="0.25">
      <c r="A1644" t="s">
        <v>1313</v>
      </c>
      <c r="B1644" t="s">
        <v>1327</v>
      </c>
      <c r="C1644" t="s">
        <v>2896</v>
      </c>
      <c r="D1644" t="s">
        <v>20</v>
      </c>
      <c r="F1644">
        <v>336</v>
      </c>
      <c r="G1644">
        <v>7</v>
      </c>
      <c r="H1644" s="89">
        <v>46147</v>
      </c>
      <c r="I1644" s="89">
        <v>46149</v>
      </c>
      <c r="N1644" t="s">
        <v>2880</v>
      </c>
    </row>
    <row r="1645" spans="1:14" hidden="1" x14ac:dyDescent="0.25">
      <c r="A1645" t="s">
        <v>1315</v>
      </c>
      <c r="B1645" t="s">
        <v>1329</v>
      </c>
      <c r="C1645" t="s">
        <v>2896</v>
      </c>
      <c r="D1645" t="s">
        <v>20</v>
      </c>
      <c r="F1645">
        <v>62</v>
      </c>
      <c r="G1645" t="s">
        <v>1419</v>
      </c>
      <c r="H1645" s="89">
        <v>46147</v>
      </c>
      <c r="I1645" s="89">
        <v>46149</v>
      </c>
      <c r="N1645" t="s">
        <v>2880</v>
      </c>
    </row>
    <row r="1646" spans="1:14" hidden="1" x14ac:dyDescent="0.25">
      <c r="A1646" t="s">
        <v>1316</v>
      </c>
      <c r="B1646" t="s">
        <v>1330</v>
      </c>
      <c r="C1646" t="s">
        <v>2898</v>
      </c>
      <c r="D1646" t="s">
        <v>20</v>
      </c>
      <c r="F1646">
        <v>106</v>
      </c>
      <c r="G1646" t="s">
        <v>1419</v>
      </c>
      <c r="H1646" s="89">
        <v>46147</v>
      </c>
      <c r="I1646" s="89">
        <v>46149</v>
      </c>
      <c r="N1646" t="s">
        <v>2880</v>
      </c>
    </row>
    <row r="1647" spans="1:14" hidden="1" x14ac:dyDescent="0.25">
      <c r="A1647" t="s">
        <v>1317</v>
      </c>
      <c r="B1647" t="s">
        <v>1331</v>
      </c>
      <c r="C1647" t="s">
        <v>2899</v>
      </c>
      <c r="D1647" t="s">
        <v>20</v>
      </c>
      <c r="F1647">
        <v>8</v>
      </c>
      <c r="G1647" t="s">
        <v>1419</v>
      </c>
      <c r="H1647" s="89">
        <v>46147</v>
      </c>
      <c r="I1647" s="89">
        <v>46149</v>
      </c>
      <c r="N1647" t="s">
        <v>2880</v>
      </c>
    </row>
    <row r="1648" spans="1:14" hidden="1" x14ac:dyDescent="0.25">
      <c r="A1648" t="s">
        <v>1318</v>
      </c>
      <c r="B1648" t="s">
        <v>1332</v>
      </c>
      <c r="C1648" t="s">
        <v>2900</v>
      </c>
      <c r="D1648" t="s">
        <v>20</v>
      </c>
      <c r="F1648">
        <v>66</v>
      </c>
      <c r="G1648" t="s">
        <v>1419</v>
      </c>
      <c r="H1648" s="89">
        <v>46147</v>
      </c>
      <c r="I1648" s="89">
        <v>46149</v>
      </c>
      <c r="N1648" t="s">
        <v>2880</v>
      </c>
    </row>
    <row r="1649" spans="1:14" hidden="1" x14ac:dyDescent="0.25">
      <c r="A1649" t="s">
        <v>1320</v>
      </c>
      <c r="B1649" t="s">
        <v>1334</v>
      </c>
      <c r="C1649" t="s">
        <v>2901</v>
      </c>
      <c r="D1649" t="s">
        <v>28</v>
      </c>
      <c r="F1649">
        <v>960</v>
      </c>
      <c r="G1649">
        <v>20</v>
      </c>
      <c r="H1649" s="89">
        <v>46147</v>
      </c>
      <c r="I1649" s="89">
        <v>46151</v>
      </c>
      <c r="J1649" t="s">
        <v>2902</v>
      </c>
      <c r="N1649" t="s">
        <v>2880</v>
      </c>
    </row>
    <row r="1650" spans="1:14" hidden="1" x14ac:dyDescent="0.25">
      <c r="A1650" t="s">
        <v>1313</v>
      </c>
      <c r="B1650" t="s">
        <v>1327</v>
      </c>
      <c r="C1650" t="s">
        <v>2901</v>
      </c>
      <c r="D1650" t="s">
        <v>28</v>
      </c>
      <c r="F1650">
        <v>96</v>
      </c>
      <c r="G1650">
        <v>2</v>
      </c>
      <c r="H1650" s="89">
        <v>46147</v>
      </c>
      <c r="I1650" s="89">
        <v>46149</v>
      </c>
      <c r="N1650" t="s">
        <v>2880</v>
      </c>
    </row>
    <row r="1651" spans="1:14" hidden="1" x14ac:dyDescent="0.25">
      <c r="A1651" t="s">
        <v>1324</v>
      </c>
      <c r="B1651" t="s">
        <v>1338</v>
      </c>
      <c r="C1651" t="s">
        <v>2901</v>
      </c>
      <c r="D1651" t="s">
        <v>28</v>
      </c>
      <c r="F1651">
        <v>480</v>
      </c>
      <c r="G1651">
        <v>10</v>
      </c>
      <c r="H1651" s="89">
        <v>46147</v>
      </c>
      <c r="I1651" s="89">
        <v>46149</v>
      </c>
      <c r="N1651" t="s">
        <v>2880</v>
      </c>
    </row>
    <row r="1652" spans="1:14" hidden="1" x14ac:dyDescent="0.25">
      <c r="A1652" t="s">
        <v>1315</v>
      </c>
      <c r="B1652" t="s">
        <v>1329</v>
      </c>
      <c r="C1652" t="s">
        <v>2901</v>
      </c>
      <c r="D1652" t="s">
        <v>28</v>
      </c>
      <c r="F1652">
        <v>124</v>
      </c>
      <c r="G1652" t="s">
        <v>1419</v>
      </c>
      <c r="H1652" s="89">
        <v>46147</v>
      </c>
      <c r="I1652" s="89">
        <v>46149</v>
      </c>
      <c r="N1652" t="s">
        <v>2880</v>
      </c>
    </row>
    <row r="1653" spans="1:14" hidden="1" x14ac:dyDescent="0.25">
      <c r="A1653" t="s">
        <v>1316</v>
      </c>
      <c r="B1653" t="s">
        <v>1330</v>
      </c>
      <c r="C1653" t="s">
        <v>2903</v>
      </c>
      <c r="D1653" t="s">
        <v>28</v>
      </c>
      <c r="F1653">
        <v>38</v>
      </c>
      <c r="G1653" t="s">
        <v>1419</v>
      </c>
      <c r="H1653" s="89">
        <v>46147</v>
      </c>
      <c r="I1653" s="89">
        <v>46149</v>
      </c>
      <c r="N1653" t="s">
        <v>2880</v>
      </c>
    </row>
    <row r="1654" spans="1:14" hidden="1" x14ac:dyDescent="0.25">
      <c r="A1654" t="s">
        <v>1317</v>
      </c>
      <c r="B1654" t="s">
        <v>1331</v>
      </c>
      <c r="C1654" t="s">
        <v>2904</v>
      </c>
      <c r="D1654" t="s">
        <v>28</v>
      </c>
      <c r="F1654">
        <v>6</v>
      </c>
      <c r="G1654" t="s">
        <v>1419</v>
      </c>
      <c r="H1654" s="89">
        <v>46147</v>
      </c>
      <c r="I1654" s="89">
        <v>46149</v>
      </c>
      <c r="N1654" t="s">
        <v>2880</v>
      </c>
    </row>
    <row r="1655" spans="1:14" hidden="1" x14ac:dyDescent="0.25">
      <c r="A1655" t="s">
        <v>1318</v>
      </c>
      <c r="B1655" t="s">
        <v>1332</v>
      </c>
      <c r="C1655" t="s">
        <v>2905</v>
      </c>
      <c r="D1655" t="s">
        <v>28</v>
      </c>
      <c r="F1655">
        <v>92</v>
      </c>
      <c r="G1655" t="s">
        <v>1419</v>
      </c>
      <c r="H1655" s="89">
        <v>46147</v>
      </c>
      <c r="I1655" s="89">
        <v>46149</v>
      </c>
      <c r="N1655" t="s">
        <v>2880</v>
      </c>
    </row>
    <row r="1656" spans="1:14" hidden="1" x14ac:dyDescent="0.25">
      <c r="A1656" t="s">
        <v>1320</v>
      </c>
      <c r="B1656" t="s">
        <v>1334</v>
      </c>
      <c r="C1656" t="s">
        <v>2906</v>
      </c>
      <c r="D1656" t="s">
        <v>15</v>
      </c>
      <c r="F1656">
        <v>960</v>
      </c>
      <c r="G1656">
        <v>20</v>
      </c>
      <c r="H1656" s="89">
        <v>46147</v>
      </c>
      <c r="I1656" s="89">
        <v>46151</v>
      </c>
      <c r="J1656" t="s">
        <v>2907</v>
      </c>
      <c r="N1656" t="s">
        <v>2880</v>
      </c>
    </row>
    <row r="1657" spans="1:14" hidden="1" x14ac:dyDescent="0.25">
      <c r="A1657" t="s">
        <v>1313</v>
      </c>
      <c r="B1657" t="s">
        <v>1327</v>
      </c>
      <c r="C1657" t="s">
        <v>2906</v>
      </c>
      <c r="D1657" t="s">
        <v>15</v>
      </c>
      <c r="F1657">
        <v>384</v>
      </c>
      <c r="G1657">
        <v>8</v>
      </c>
      <c r="H1657" s="89">
        <v>46147</v>
      </c>
      <c r="I1657" s="89">
        <v>46148</v>
      </c>
      <c r="N1657" t="s">
        <v>2880</v>
      </c>
    </row>
    <row r="1658" spans="1:14" hidden="1" x14ac:dyDescent="0.25">
      <c r="A1658" t="s">
        <v>1315</v>
      </c>
      <c r="B1658" t="s">
        <v>1329</v>
      </c>
      <c r="C1658" t="s">
        <v>2906</v>
      </c>
      <c r="D1658" t="s">
        <v>15</v>
      </c>
      <c r="F1658">
        <v>21</v>
      </c>
      <c r="G1658" t="s">
        <v>1419</v>
      </c>
      <c r="H1658" s="89">
        <v>46147</v>
      </c>
      <c r="I1658" s="89">
        <v>46149</v>
      </c>
      <c r="N1658" t="s">
        <v>2880</v>
      </c>
    </row>
    <row r="1659" spans="1:14" hidden="1" x14ac:dyDescent="0.25">
      <c r="A1659" t="s">
        <v>1316</v>
      </c>
      <c r="B1659" t="s">
        <v>1330</v>
      </c>
      <c r="C1659" t="s">
        <v>2908</v>
      </c>
      <c r="D1659" t="s">
        <v>15</v>
      </c>
      <c r="F1659">
        <v>70</v>
      </c>
      <c r="G1659" t="s">
        <v>1419</v>
      </c>
      <c r="H1659" s="89">
        <v>46147</v>
      </c>
      <c r="I1659" s="89">
        <v>46149</v>
      </c>
      <c r="N1659" t="s">
        <v>2880</v>
      </c>
    </row>
    <row r="1660" spans="1:14" hidden="1" x14ac:dyDescent="0.25">
      <c r="A1660" t="s">
        <v>1317</v>
      </c>
      <c r="B1660" t="s">
        <v>1331</v>
      </c>
      <c r="C1660" t="s">
        <v>2909</v>
      </c>
      <c r="D1660" t="s">
        <v>15</v>
      </c>
      <c r="F1660">
        <v>10</v>
      </c>
      <c r="G1660" t="s">
        <v>1419</v>
      </c>
      <c r="H1660" s="89">
        <v>46147</v>
      </c>
      <c r="I1660" s="89">
        <v>46149</v>
      </c>
      <c r="N1660" t="s">
        <v>2880</v>
      </c>
    </row>
    <row r="1661" spans="1:14" hidden="1" x14ac:dyDescent="0.25">
      <c r="A1661" t="s">
        <v>1318</v>
      </c>
      <c r="B1661" t="s">
        <v>1332</v>
      </c>
      <c r="C1661" t="s">
        <v>2910</v>
      </c>
      <c r="D1661" t="s">
        <v>15</v>
      </c>
      <c r="F1661">
        <v>42</v>
      </c>
      <c r="G1661" t="s">
        <v>1419</v>
      </c>
      <c r="H1661" s="89">
        <v>46147</v>
      </c>
      <c r="I1661" s="89">
        <v>46149</v>
      </c>
      <c r="N1661" t="s">
        <v>2880</v>
      </c>
    </row>
    <row r="1662" spans="1:14" hidden="1" x14ac:dyDescent="0.25">
      <c r="A1662" t="s">
        <v>1324</v>
      </c>
      <c r="B1662" t="s">
        <v>1338</v>
      </c>
      <c r="C1662" t="s">
        <v>2911</v>
      </c>
      <c r="D1662" t="s">
        <v>13</v>
      </c>
      <c r="F1662">
        <v>960</v>
      </c>
      <c r="G1662">
        <v>20</v>
      </c>
      <c r="H1662" s="89">
        <v>46147</v>
      </c>
      <c r="I1662" s="89">
        <v>46156</v>
      </c>
      <c r="J1662" t="s">
        <v>2912</v>
      </c>
      <c r="N1662" t="s">
        <v>2880</v>
      </c>
    </row>
    <row r="1663" spans="1:14" hidden="1" x14ac:dyDescent="0.25">
      <c r="A1663" t="s">
        <v>1324</v>
      </c>
      <c r="B1663" t="s">
        <v>1338</v>
      </c>
      <c r="C1663" t="s">
        <v>2913</v>
      </c>
      <c r="D1663" t="s">
        <v>23</v>
      </c>
      <c r="F1663">
        <v>960</v>
      </c>
      <c r="G1663">
        <v>20</v>
      </c>
      <c r="H1663" s="89">
        <v>46147</v>
      </c>
      <c r="I1663" s="89">
        <v>46156</v>
      </c>
      <c r="J1663" t="s">
        <v>2912</v>
      </c>
      <c r="N1663" t="s">
        <v>2880</v>
      </c>
    </row>
    <row r="1664" spans="1:14" hidden="1" x14ac:dyDescent="0.25">
      <c r="A1664" t="s">
        <v>1320</v>
      </c>
      <c r="B1664" t="s">
        <v>1334</v>
      </c>
      <c r="C1664" t="s">
        <v>2914</v>
      </c>
      <c r="D1664" t="s">
        <v>106</v>
      </c>
      <c r="F1664">
        <v>960</v>
      </c>
      <c r="G1664">
        <v>20</v>
      </c>
      <c r="H1664" s="89">
        <v>46147</v>
      </c>
      <c r="I1664" s="89">
        <v>46153</v>
      </c>
      <c r="J1664" t="s">
        <v>2915</v>
      </c>
      <c r="N1664" t="s">
        <v>2880</v>
      </c>
    </row>
    <row r="1665" spans="1:14" hidden="1" x14ac:dyDescent="0.25">
      <c r="A1665" t="s">
        <v>1325</v>
      </c>
      <c r="B1665" t="s">
        <v>1339</v>
      </c>
      <c r="C1665" t="s">
        <v>2916</v>
      </c>
      <c r="D1665" t="s">
        <v>138</v>
      </c>
      <c r="F1665">
        <v>192</v>
      </c>
      <c r="G1665">
        <v>4</v>
      </c>
      <c r="H1665" s="89">
        <v>46147</v>
      </c>
      <c r="I1665" s="89">
        <v>46150</v>
      </c>
      <c r="N1665" t="s">
        <v>2880</v>
      </c>
    </row>
    <row r="1666" spans="1:14" hidden="1" x14ac:dyDescent="0.25">
      <c r="A1666" t="s">
        <v>1320</v>
      </c>
      <c r="B1666" t="s">
        <v>1334</v>
      </c>
      <c r="C1666" t="s">
        <v>2917</v>
      </c>
      <c r="D1666" t="s">
        <v>21</v>
      </c>
      <c r="F1666">
        <v>960</v>
      </c>
      <c r="G1666">
        <v>20</v>
      </c>
      <c r="H1666" s="89">
        <v>46148</v>
      </c>
      <c r="I1666" s="89">
        <v>46153</v>
      </c>
      <c r="J1666" t="s">
        <v>2918</v>
      </c>
      <c r="N1666" t="s">
        <v>2880</v>
      </c>
    </row>
    <row r="1667" spans="1:14" hidden="1" x14ac:dyDescent="0.25">
      <c r="A1667" t="s">
        <v>1313</v>
      </c>
      <c r="B1667" t="s">
        <v>1327</v>
      </c>
      <c r="C1667" t="s">
        <v>2917</v>
      </c>
      <c r="D1667" t="s">
        <v>21</v>
      </c>
      <c r="F1667">
        <v>480</v>
      </c>
      <c r="G1667">
        <v>10</v>
      </c>
      <c r="H1667" s="89">
        <v>46148</v>
      </c>
      <c r="I1667" s="89">
        <v>46153</v>
      </c>
      <c r="J1667" t="s">
        <v>2919</v>
      </c>
      <c r="N1667" t="s">
        <v>2880</v>
      </c>
    </row>
    <row r="1668" spans="1:14" hidden="1" x14ac:dyDescent="0.25">
      <c r="A1668" t="s">
        <v>1315</v>
      </c>
      <c r="B1668" t="s">
        <v>1329</v>
      </c>
      <c r="C1668" t="s">
        <v>2917</v>
      </c>
      <c r="D1668" t="s">
        <v>21</v>
      </c>
      <c r="F1668">
        <v>96</v>
      </c>
      <c r="G1668" t="s">
        <v>1419</v>
      </c>
      <c r="H1668" s="89">
        <v>46148</v>
      </c>
      <c r="I1668" s="89">
        <v>46150</v>
      </c>
      <c r="N1668" t="s">
        <v>2880</v>
      </c>
    </row>
    <row r="1669" spans="1:14" hidden="1" x14ac:dyDescent="0.25">
      <c r="A1669" t="s">
        <v>1316</v>
      </c>
      <c r="B1669" t="s">
        <v>1330</v>
      </c>
      <c r="C1669" t="s">
        <v>2920</v>
      </c>
      <c r="D1669" t="s">
        <v>21</v>
      </c>
      <c r="F1669">
        <v>29</v>
      </c>
      <c r="G1669" t="s">
        <v>1419</v>
      </c>
      <c r="H1669" s="89">
        <v>46148</v>
      </c>
      <c r="I1669" s="89">
        <v>46150</v>
      </c>
      <c r="N1669" t="s">
        <v>2880</v>
      </c>
    </row>
    <row r="1670" spans="1:14" hidden="1" x14ac:dyDescent="0.25">
      <c r="A1670" t="s">
        <v>1317</v>
      </c>
      <c r="B1670" t="s">
        <v>1331</v>
      </c>
      <c r="C1670" t="s">
        <v>2921</v>
      </c>
      <c r="D1670" t="s">
        <v>21</v>
      </c>
      <c r="F1670">
        <v>10</v>
      </c>
      <c r="G1670" t="s">
        <v>1419</v>
      </c>
      <c r="H1670" s="89">
        <v>46148</v>
      </c>
      <c r="I1670" s="89">
        <v>46150</v>
      </c>
      <c r="N1670" t="s">
        <v>2880</v>
      </c>
    </row>
    <row r="1671" spans="1:14" hidden="1" x14ac:dyDescent="0.25">
      <c r="A1671" t="s">
        <v>1318</v>
      </c>
      <c r="B1671" t="s">
        <v>1332</v>
      </c>
      <c r="C1671" t="s">
        <v>2922</v>
      </c>
      <c r="D1671" t="s">
        <v>21</v>
      </c>
      <c r="F1671">
        <v>51</v>
      </c>
      <c r="G1671" t="s">
        <v>1419</v>
      </c>
      <c r="H1671" s="89">
        <v>46148</v>
      </c>
      <c r="I1671" s="89">
        <v>46150</v>
      </c>
      <c r="N1671" t="s">
        <v>2880</v>
      </c>
    </row>
    <row r="1672" spans="1:14" hidden="1" x14ac:dyDescent="0.25">
      <c r="A1672" t="s">
        <v>1324</v>
      </c>
      <c r="B1672" t="s">
        <v>1338</v>
      </c>
      <c r="C1672" t="s">
        <v>2923</v>
      </c>
      <c r="D1672" t="s">
        <v>23</v>
      </c>
      <c r="F1672">
        <v>960</v>
      </c>
      <c r="G1672">
        <v>20</v>
      </c>
      <c r="H1672" s="89">
        <v>46148</v>
      </c>
      <c r="I1672" s="89">
        <v>46154</v>
      </c>
      <c r="J1672" t="s">
        <v>2924</v>
      </c>
      <c r="N1672" t="s">
        <v>2880</v>
      </c>
    </row>
    <row r="1673" spans="1:14" hidden="1" x14ac:dyDescent="0.25">
      <c r="A1673" t="s">
        <v>1324</v>
      </c>
      <c r="B1673" t="s">
        <v>1338</v>
      </c>
      <c r="C1673" t="s">
        <v>2925</v>
      </c>
      <c r="D1673" t="s">
        <v>105</v>
      </c>
      <c r="F1673">
        <v>960</v>
      </c>
      <c r="G1673">
        <v>20</v>
      </c>
      <c r="H1673" s="89">
        <v>46148</v>
      </c>
      <c r="I1673" s="89">
        <v>46154</v>
      </c>
      <c r="J1673" t="s">
        <v>2924</v>
      </c>
      <c r="N1673" t="s">
        <v>2880</v>
      </c>
    </row>
    <row r="1674" spans="1:14" hidden="1" x14ac:dyDescent="0.25">
      <c r="A1674" t="s">
        <v>1314</v>
      </c>
      <c r="B1674" t="s">
        <v>1328</v>
      </c>
      <c r="C1674" t="s">
        <v>2926</v>
      </c>
      <c r="D1674" t="s">
        <v>15</v>
      </c>
      <c r="F1674">
        <v>288</v>
      </c>
      <c r="G1674">
        <v>6</v>
      </c>
      <c r="H1674" s="89">
        <v>46148</v>
      </c>
      <c r="I1674" s="89">
        <v>46152</v>
      </c>
      <c r="J1674" t="s">
        <v>2927</v>
      </c>
      <c r="N1674" t="s">
        <v>2880</v>
      </c>
    </row>
    <row r="1675" spans="1:14" hidden="1" x14ac:dyDescent="0.25">
      <c r="A1675" t="s">
        <v>1320</v>
      </c>
      <c r="B1675" t="s">
        <v>1334</v>
      </c>
      <c r="C1675" t="s">
        <v>2926</v>
      </c>
      <c r="D1675" t="s">
        <v>15</v>
      </c>
      <c r="F1675">
        <v>768</v>
      </c>
      <c r="G1675">
        <v>16</v>
      </c>
      <c r="H1675" s="89">
        <v>46148</v>
      </c>
      <c r="I1675" s="89">
        <v>46154</v>
      </c>
      <c r="J1675" t="s">
        <v>2928</v>
      </c>
      <c r="N1675" t="s">
        <v>2880</v>
      </c>
    </row>
    <row r="1676" spans="1:14" hidden="1" x14ac:dyDescent="0.25">
      <c r="A1676" t="s">
        <v>1320</v>
      </c>
      <c r="B1676" t="s">
        <v>1334</v>
      </c>
      <c r="C1676" t="s">
        <v>2926</v>
      </c>
      <c r="D1676" t="s">
        <v>15</v>
      </c>
      <c r="F1676">
        <v>192</v>
      </c>
      <c r="G1676">
        <v>4</v>
      </c>
      <c r="H1676" s="89">
        <v>46148</v>
      </c>
      <c r="I1676" s="89">
        <v>46153</v>
      </c>
      <c r="J1676" t="s">
        <v>2929</v>
      </c>
      <c r="N1676" t="s">
        <v>2880</v>
      </c>
    </row>
    <row r="1677" spans="1:14" hidden="1" x14ac:dyDescent="0.25">
      <c r="A1677" t="s">
        <v>1315</v>
      </c>
      <c r="B1677" t="s">
        <v>1329</v>
      </c>
      <c r="C1677" t="s">
        <v>2926</v>
      </c>
      <c r="D1677" t="s">
        <v>15</v>
      </c>
      <c r="F1677">
        <v>82</v>
      </c>
      <c r="G1677" t="s">
        <v>1419</v>
      </c>
      <c r="H1677" s="89">
        <v>46148</v>
      </c>
      <c r="I1677" s="89">
        <v>46150</v>
      </c>
      <c r="N1677" t="s">
        <v>2880</v>
      </c>
    </row>
    <row r="1678" spans="1:14" hidden="1" x14ac:dyDescent="0.25">
      <c r="A1678" t="s">
        <v>1316</v>
      </c>
      <c r="B1678" t="s">
        <v>1330</v>
      </c>
      <c r="C1678" t="s">
        <v>2930</v>
      </c>
      <c r="D1678" t="s">
        <v>15</v>
      </c>
      <c r="F1678">
        <v>132</v>
      </c>
      <c r="G1678" t="s">
        <v>1419</v>
      </c>
      <c r="H1678" s="89">
        <v>46148</v>
      </c>
      <c r="I1678" s="89">
        <v>46150</v>
      </c>
      <c r="N1678" t="s">
        <v>2880</v>
      </c>
    </row>
    <row r="1679" spans="1:14" hidden="1" x14ac:dyDescent="0.25">
      <c r="A1679" t="s">
        <v>1317</v>
      </c>
      <c r="B1679" t="s">
        <v>1331</v>
      </c>
      <c r="C1679" t="s">
        <v>2931</v>
      </c>
      <c r="D1679" t="s">
        <v>15</v>
      </c>
      <c r="F1679">
        <v>24</v>
      </c>
      <c r="G1679" t="s">
        <v>1419</v>
      </c>
      <c r="H1679" s="89">
        <v>46148</v>
      </c>
      <c r="I1679" s="89">
        <v>46150</v>
      </c>
      <c r="N1679" t="s">
        <v>2880</v>
      </c>
    </row>
    <row r="1680" spans="1:14" hidden="1" x14ac:dyDescent="0.25">
      <c r="A1680" t="s">
        <v>1318</v>
      </c>
      <c r="B1680" t="s">
        <v>1332</v>
      </c>
      <c r="C1680" t="s">
        <v>2932</v>
      </c>
      <c r="D1680" t="s">
        <v>15</v>
      </c>
      <c r="F1680">
        <v>50</v>
      </c>
      <c r="G1680" t="s">
        <v>1419</v>
      </c>
      <c r="H1680" s="89">
        <v>46148</v>
      </c>
      <c r="I1680" s="89">
        <v>46150</v>
      </c>
      <c r="N1680" t="s">
        <v>2880</v>
      </c>
    </row>
    <row r="1681" spans="1:14" hidden="1" x14ac:dyDescent="0.25">
      <c r="A1681" t="s">
        <v>1326</v>
      </c>
      <c r="B1681" t="s">
        <v>1340</v>
      </c>
      <c r="C1681" t="s">
        <v>2933</v>
      </c>
      <c r="D1681" t="s">
        <v>138</v>
      </c>
      <c r="F1681">
        <v>1008</v>
      </c>
      <c r="G1681">
        <v>24</v>
      </c>
      <c r="H1681" s="89">
        <v>46148</v>
      </c>
      <c r="I1681" s="89">
        <v>46154</v>
      </c>
      <c r="J1681" t="s">
        <v>2934</v>
      </c>
      <c r="N1681" t="s">
        <v>2880</v>
      </c>
    </row>
    <row r="1682" spans="1:14" hidden="1" x14ac:dyDescent="0.25">
      <c r="A1682" t="s">
        <v>1313</v>
      </c>
      <c r="B1682" t="s">
        <v>1327</v>
      </c>
      <c r="C1682" t="s">
        <v>2935</v>
      </c>
      <c r="D1682" t="s">
        <v>20</v>
      </c>
      <c r="F1682">
        <v>864</v>
      </c>
      <c r="G1682">
        <v>18</v>
      </c>
      <c r="H1682" s="89">
        <v>46148</v>
      </c>
      <c r="I1682" s="89">
        <v>46152</v>
      </c>
      <c r="J1682" t="s">
        <v>2936</v>
      </c>
      <c r="N1682" t="s">
        <v>2880</v>
      </c>
    </row>
    <row r="1683" spans="1:14" hidden="1" x14ac:dyDescent="0.25">
      <c r="A1683" t="s">
        <v>1313</v>
      </c>
      <c r="B1683" t="s">
        <v>1327</v>
      </c>
      <c r="C1683" t="s">
        <v>2935</v>
      </c>
      <c r="D1683" t="s">
        <v>20</v>
      </c>
      <c r="F1683">
        <v>672</v>
      </c>
      <c r="G1683">
        <v>14</v>
      </c>
      <c r="H1683" s="89">
        <v>46148</v>
      </c>
      <c r="I1683" s="89">
        <v>46153</v>
      </c>
      <c r="J1683" t="s">
        <v>2919</v>
      </c>
      <c r="N1683" t="s">
        <v>2880</v>
      </c>
    </row>
    <row r="1684" spans="1:14" hidden="1" x14ac:dyDescent="0.25">
      <c r="A1684" t="s">
        <v>1315</v>
      </c>
      <c r="B1684" t="s">
        <v>1329</v>
      </c>
      <c r="C1684" t="s">
        <v>2935</v>
      </c>
      <c r="D1684" t="s">
        <v>20</v>
      </c>
      <c r="F1684">
        <v>36</v>
      </c>
      <c r="G1684" t="s">
        <v>1419</v>
      </c>
      <c r="H1684" s="89">
        <v>46148</v>
      </c>
      <c r="I1684" s="89">
        <v>46150</v>
      </c>
      <c r="N1684" t="s">
        <v>2880</v>
      </c>
    </row>
    <row r="1685" spans="1:14" hidden="1" x14ac:dyDescent="0.25">
      <c r="A1685" t="s">
        <v>1316</v>
      </c>
      <c r="B1685" t="s">
        <v>1330</v>
      </c>
      <c r="C1685" t="s">
        <v>2937</v>
      </c>
      <c r="D1685" t="s">
        <v>20</v>
      </c>
      <c r="F1685">
        <v>195</v>
      </c>
      <c r="G1685" t="s">
        <v>1419</v>
      </c>
      <c r="H1685" s="89">
        <v>46148</v>
      </c>
      <c r="I1685" s="89">
        <v>46150</v>
      </c>
      <c r="N1685" t="s">
        <v>2880</v>
      </c>
    </row>
    <row r="1686" spans="1:14" hidden="1" x14ac:dyDescent="0.25">
      <c r="A1686" t="s">
        <v>1317</v>
      </c>
      <c r="B1686" t="s">
        <v>1331</v>
      </c>
      <c r="C1686" t="s">
        <v>2938</v>
      </c>
      <c r="D1686" t="s">
        <v>20</v>
      </c>
      <c r="F1686">
        <v>10</v>
      </c>
      <c r="G1686" t="s">
        <v>1419</v>
      </c>
      <c r="H1686" s="89">
        <v>46148</v>
      </c>
      <c r="I1686" s="89">
        <v>46150</v>
      </c>
      <c r="N1686" t="s">
        <v>2880</v>
      </c>
    </row>
    <row r="1687" spans="1:14" hidden="1" x14ac:dyDescent="0.25">
      <c r="A1687" t="s">
        <v>1318</v>
      </c>
      <c r="B1687" t="s">
        <v>1332</v>
      </c>
      <c r="C1687" t="s">
        <v>2939</v>
      </c>
      <c r="D1687" t="s">
        <v>20</v>
      </c>
      <c r="F1687">
        <v>81</v>
      </c>
      <c r="G1687" t="s">
        <v>1419</v>
      </c>
      <c r="H1687" s="89">
        <v>46148</v>
      </c>
      <c r="I1687" s="89">
        <v>46150</v>
      </c>
      <c r="N1687" t="s">
        <v>2880</v>
      </c>
    </row>
    <row r="1688" spans="1:14" hidden="1" x14ac:dyDescent="0.25">
      <c r="A1688" t="s">
        <v>1320</v>
      </c>
      <c r="B1688" t="s">
        <v>1334</v>
      </c>
      <c r="C1688" t="s">
        <v>2940</v>
      </c>
      <c r="D1688" t="s">
        <v>106</v>
      </c>
      <c r="F1688">
        <v>960</v>
      </c>
      <c r="G1688">
        <v>20</v>
      </c>
      <c r="H1688" s="89">
        <v>46149</v>
      </c>
      <c r="I1688" s="89">
        <v>46154</v>
      </c>
      <c r="J1688" t="s">
        <v>2941</v>
      </c>
      <c r="N1688" t="s">
        <v>2880</v>
      </c>
    </row>
    <row r="1689" spans="1:14" hidden="1" x14ac:dyDescent="0.25">
      <c r="A1689" t="s">
        <v>1324</v>
      </c>
      <c r="B1689" t="s">
        <v>1338</v>
      </c>
      <c r="C1689" t="s">
        <v>2942</v>
      </c>
      <c r="D1689" t="s">
        <v>23</v>
      </c>
      <c r="F1689">
        <v>960</v>
      </c>
      <c r="G1689">
        <v>20</v>
      </c>
      <c r="H1689" s="89">
        <v>46149</v>
      </c>
      <c r="I1689" s="89">
        <v>46156</v>
      </c>
      <c r="J1689" t="s">
        <v>2943</v>
      </c>
      <c r="N1689" t="s">
        <v>2880</v>
      </c>
    </row>
    <row r="1690" spans="1:14" hidden="1" x14ac:dyDescent="0.25">
      <c r="A1690" t="s">
        <v>1313</v>
      </c>
      <c r="B1690" t="s">
        <v>1327</v>
      </c>
      <c r="C1690" t="s">
        <v>2944</v>
      </c>
      <c r="D1690" t="s">
        <v>20</v>
      </c>
      <c r="F1690">
        <v>480</v>
      </c>
      <c r="G1690">
        <v>10</v>
      </c>
      <c r="H1690" s="89">
        <v>46149</v>
      </c>
      <c r="I1690" s="89">
        <v>46154</v>
      </c>
      <c r="J1690" t="s">
        <v>2945</v>
      </c>
      <c r="N1690" t="s">
        <v>2880</v>
      </c>
    </row>
    <row r="1691" spans="1:14" hidden="1" x14ac:dyDescent="0.25">
      <c r="A1691" t="s">
        <v>1320</v>
      </c>
      <c r="B1691" t="s">
        <v>1334</v>
      </c>
      <c r="C1691" t="s">
        <v>2944</v>
      </c>
      <c r="D1691" t="s">
        <v>20</v>
      </c>
      <c r="F1691">
        <v>192</v>
      </c>
      <c r="G1691">
        <v>4</v>
      </c>
      <c r="H1691" s="89">
        <v>46149</v>
      </c>
      <c r="I1691" s="89">
        <v>46154</v>
      </c>
      <c r="J1691" t="s">
        <v>2928</v>
      </c>
      <c r="N1691" t="s">
        <v>2880</v>
      </c>
    </row>
    <row r="1692" spans="1:14" hidden="1" x14ac:dyDescent="0.25">
      <c r="A1692" t="s">
        <v>1320</v>
      </c>
      <c r="B1692" t="s">
        <v>1334</v>
      </c>
      <c r="C1692" t="s">
        <v>2944</v>
      </c>
      <c r="D1692" t="s">
        <v>20</v>
      </c>
      <c r="F1692">
        <v>768</v>
      </c>
      <c r="G1692">
        <v>16</v>
      </c>
      <c r="H1692" s="89">
        <v>46149</v>
      </c>
      <c r="I1692" s="89">
        <v>46155</v>
      </c>
      <c r="J1692" t="s">
        <v>2946</v>
      </c>
      <c r="N1692" t="s">
        <v>2880</v>
      </c>
    </row>
    <row r="1693" spans="1:14" hidden="1" x14ac:dyDescent="0.25">
      <c r="A1693" t="s">
        <v>1315</v>
      </c>
      <c r="B1693" t="s">
        <v>1329</v>
      </c>
      <c r="C1693" t="s">
        <v>2944</v>
      </c>
      <c r="D1693" t="s">
        <v>20</v>
      </c>
      <c r="F1693">
        <v>60</v>
      </c>
      <c r="G1693" t="s">
        <v>1419</v>
      </c>
      <c r="H1693" s="89">
        <v>46149</v>
      </c>
      <c r="I1693" s="89">
        <v>46151</v>
      </c>
      <c r="N1693" t="s">
        <v>2880</v>
      </c>
    </row>
    <row r="1694" spans="1:14" hidden="1" x14ac:dyDescent="0.25">
      <c r="A1694" t="s">
        <v>1316</v>
      </c>
      <c r="B1694" t="s">
        <v>1330</v>
      </c>
      <c r="C1694" t="s">
        <v>2947</v>
      </c>
      <c r="D1694" t="s">
        <v>20</v>
      </c>
      <c r="F1694">
        <v>168</v>
      </c>
      <c r="G1694" t="s">
        <v>1419</v>
      </c>
      <c r="H1694" s="89">
        <v>46149</v>
      </c>
      <c r="I1694" s="89">
        <v>46151</v>
      </c>
      <c r="N1694" t="s">
        <v>2880</v>
      </c>
    </row>
    <row r="1695" spans="1:14" hidden="1" x14ac:dyDescent="0.25">
      <c r="A1695" t="s">
        <v>1317</v>
      </c>
      <c r="B1695" t="s">
        <v>1331</v>
      </c>
      <c r="C1695" t="s">
        <v>2948</v>
      </c>
      <c r="D1695" t="s">
        <v>20</v>
      </c>
      <c r="F1695">
        <v>3</v>
      </c>
      <c r="G1695" t="s">
        <v>1419</v>
      </c>
      <c r="H1695" s="89">
        <v>46149</v>
      </c>
      <c r="I1695" s="89">
        <v>46151</v>
      </c>
      <c r="N1695" t="s">
        <v>2880</v>
      </c>
    </row>
    <row r="1696" spans="1:14" hidden="1" x14ac:dyDescent="0.25">
      <c r="A1696" t="s">
        <v>1318</v>
      </c>
      <c r="B1696" t="s">
        <v>1332</v>
      </c>
      <c r="C1696" t="s">
        <v>2949</v>
      </c>
      <c r="D1696" t="s">
        <v>20</v>
      </c>
      <c r="F1696">
        <v>75</v>
      </c>
      <c r="G1696" t="s">
        <v>1419</v>
      </c>
      <c r="H1696" s="89">
        <v>46149</v>
      </c>
      <c r="I1696" s="89">
        <v>46151</v>
      </c>
      <c r="N1696" t="s">
        <v>2880</v>
      </c>
    </row>
    <row r="1697" spans="1:14" hidden="1" x14ac:dyDescent="0.25">
      <c r="A1697" t="s">
        <v>1313</v>
      </c>
      <c r="B1697" t="s">
        <v>1327</v>
      </c>
      <c r="C1697" t="s">
        <v>2950</v>
      </c>
      <c r="D1697" t="s">
        <v>15</v>
      </c>
      <c r="F1697">
        <v>480</v>
      </c>
      <c r="G1697">
        <v>10</v>
      </c>
      <c r="H1697" s="89">
        <v>46149</v>
      </c>
      <c r="I1697" s="89">
        <v>46155</v>
      </c>
      <c r="J1697" t="s">
        <v>2951</v>
      </c>
      <c r="N1697" t="s">
        <v>2880</v>
      </c>
    </row>
    <row r="1698" spans="1:14" hidden="1" x14ac:dyDescent="0.25">
      <c r="A1698" t="s">
        <v>1313</v>
      </c>
      <c r="B1698" t="s">
        <v>1327</v>
      </c>
      <c r="C1698" t="s">
        <v>2950</v>
      </c>
      <c r="D1698" t="s">
        <v>15</v>
      </c>
      <c r="F1698">
        <v>672</v>
      </c>
      <c r="G1698">
        <v>14</v>
      </c>
      <c r="H1698" s="89">
        <v>46149</v>
      </c>
      <c r="I1698" s="89">
        <v>46154</v>
      </c>
      <c r="J1698" t="s">
        <v>2945</v>
      </c>
      <c r="N1698" t="s">
        <v>2880</v>
      </c>
    </row>
    <row r="1699" spans="1:14" hidden="1" x14ac:dyDescent="0.25">
      <c r="A1699" t="s">
        <v>1315</v>
      </c>
      <c r="B1699" t="s">
        <v>1329</v>
      </c>
      <c r="C1699" t="s">
        <v>2950</v>
      </c>
      <c r="D1699" t="s">
        <v>15</v>
      </c>
      <c r="F1699">
        <v>30</v>
      </c>
      <c r="G1699" t="s">
        <v>1419</v>
      </c>
      <c r="H1699" s="89">
        <v>46149</v>
      </c>
      <c r="I1699" s="89">
        <v>46151</v>
      </c>
      <c r="N1699" t="s">
        <v>2880</v>
      </c>
    </row>
    <row r="1700" spans="1:14" hidden="1" x14ac:dyDescent="0.25">
      <c r="A1700" t="s">
        <v>1316</v>
      </c>
      <c r="B1700" t="s">
        <v>1330</v>
      </c>
      <c r="C1700" t="s">
        <v>2952</v>
      </c>
      <c r="D1700" t="s">
        <v>15</v>
      </c>
      <c r="F1700">
        <v>94</v>
      </c>
      <c r="G1700" t="s">
        <v>1419</v>
      </c>
      <c r="H1700" s="89">
        <v>46149</v>
      </c>
      <c r="I1700" s="89">
        <v>46151</v>
      </c>
      <c r="N1700" t="s">
        <v>2880</v>
      </c>
    </row>
    <row r="1701" spans="1:14" hidden="1" x14ac:dyDescent="0.25">
      <c r="A1701" t="s">
        <v>1317</v>
      </c>
      <c r="B1701" t="s">
        <v>1331</v>
      </c>
      <c r="C1701" t="s">
        <v>2953</v>
      </c>
      <c r="D1701" t="s">
        <v>15</v>
      </c>
      <c r="F1701">
        <v>22</v>
      </c>
      <c r="G1701" t="s">
        <v>1419</v>
      </c>
      <c r="H1701" s="89">
        <v>46149</v>
      </c>
      <c r="I1701" s="89">
        <v>46151</v>
      </c>
      <c r="N1701" t="s">
        <v>2880</v>
      </c>
    </row>
    <row r="1702" spans="1:14" hidden="1" x14ac:dyDescent="0.25">
      <c r="A1702" t="s">
        <v>1318</v>
      </c>
      <c r="B1702" t="s">
        <v>1332</v>
      </c>
      <c r="C1702" t="s">
        <v>2954</v>
      </c>
      <c r="D1702" t="s">
        <v>15</v>
      </c>
      <c r="F1702">
        <v>46</v>
      </c>
      <c r="G1702" t="s">
        <v>1419</v>
      </c>
      <c r="H1702" s="89">
        <v>46149</v>
      </c>
      <c r="I1702" s="89">
        <v>46151</v>
      </c>
      <c r="N1702" t="s">
        <v>2880</v>
      </c>
    </row>
    <row r="1703" spans="1:14" hidden="1" x14ac:dyDescent="0.25">
      <c r="A1703" t="s">
        <v>1324</v>
      </c>
      <c r="B1703" t="s">
        <v>1338</v>
      </c>
      <c r="C1703" t="s">
        <v>2955</v>
      </c>
      <c r="D1703" t="s">
        <v>21</v>
      </c>
      <c r="F1703">
        <v>960</v>
      </c>
      <c r="G1703">
        <v>20</v>
      </c>
      <c r="H1703" s="89">
        <v>46149</v>
      </c>
      <c r="I1703" s="89">
        <v>46156</v>
      </c>
      <c r="J1703" t="s">
        <v>2943</v>
      </c>
      <c r="N1703" t="s">
        <v>2880</v>
      </c>
    </row>
    <row r="1704" spans="1:14" hidden="1" x14ac:dyDescent="0.25">
      <c r="A1704" t="s">
        <v>1315</v>
      </c>
      <c r="B1704" t="s">
        <v>1329</v>
      </c>
      <c r="C1704" t="s">
        <v>2956</v>
      </c>
      <c r="D1704" t="s">
        <v>21</v>
      </c>
      <c r="F1704">
        <v>648</v>
      </c>
      <c r="G1704" t="s">
        <v>1419</v>
      </c>
      <c r="H1704" s="89">
        <v>46149</v>
      </c>
      <c r="I1704" s="89">
        <v>46151</v>
      </c>
      <c r="N1704" t="s">
        <v>2880</v>
      </c>
    </row>
    <row r="1705" spans="1:14" hidden="1" x14ac:dyDescent="0.25">
      <c r="A1705" t="s">
        <v>1316</v>
      </c>
      <c r="B1705" t="s">
        <v>1330</v>
      </c>
      <c r="C1705" t="s">
        <v>2956</v>
      </c>
      <c r="D1705" t="s">
        <v>21</v>
      </c>
      <c r="F1705">
        <v>34</v>
      </c>
      <c r="G1705" t="s">
        <v>1419</v>
      </c>
      <c r="H1705" s="89">
        <v>46149</v>
      </c>
      <c r="I1705" s="89">
        <v>46151</v>
      </c>
      <c r="N1705" t="s">
        <v>2880</v>
      </c>
    </row>
    <row r="1706" spans="1:14" hidden="1" x14ac:dyDescent="0.25">
      <c r="A1706" t="s">
        <v>1317</v>
      </c>
      <c r="B1706" t="s">
        <v>1331</v>
      </c>
      <c r="C1706" t="s">
        <v>2957</v>
      </c>
      <c r="D1706" t="s">
        <v>21</v>
      </c>
      <c r="F1706">
        <v>19</v>
      </c>
      <c r="G1706" t="s">
        <v>1419</v>
      </c>
      <c r="H1706" s="89">
        <v>46149</v>
      </c>
      <c r="I1706" s="89">
        <v>46151</v>
      </c>
      <c r="N1706" t="s">
        <v>2880</v>
      </c>
    </row>
    <row r="1707" spans="1:14" hidden="1" x14ac:dyDescent="0.25">
      <c r="A1707" t="s">
        <v>1318</v>
      </c>
      <c r="B1707" t="s">
        <v>1332</v>
      </c>
      <c r="C1707" t="s">
        <v>2958</v>
      </c>
      <c r="D1707" t="s">
        <v>21</v>
      </c>
      <c r="F1707">
        <v>79</v>
      </c>
      <c r="G1707" t="s">
        <v>1419</v>
      </c>
      <c r="H1707" s="89">
        <v>46149</v>
      </c>
      <c r="I1707" s="89">
        <v>46151</v>
      </c>
      <c r="N1707" t="s">
        <v>2880</v>
      </c>
    </row>
    <row r="1708" spans="1:14" hidden="1" x14ac:dyDescent="0.25">
      <c r="A1708" t="s">
        <v>1326</v>
      </c>
      <c r="B1708" t="s">
        <v>1340</v>
      </c>
      <c r="C1708" t="s">
        <v>2959</v>
      </c>
      <c r="D1708" t="s">
        <v>32</v>
      </c>
      <c r="F1708">
        <v>840</v>
      </c>
      <c r="G1708">
        <v>20</v>
      </c>
      <c r="H1708" s="89">
        <v>46150</v>
      </c>
      <c r="I1708" s="89">
        <v>46158</v>
      </c>
      <c r="J1708" t="s">
        <v>2960</v>
      </c>
      <c r="N1708" t="s">
        <v>2880</v>
      </c>
    </row>
    <row r="1709" spans="1:14" hidden="1" x14ac:dyDescent="0.25">
      <c r="A1709" t="s">
        <v>1320</v>
      </c>
      <c r="B1709" t="s">
        <v>1334</v>
      </c>
      <c r="C1709" t="s">
        <v>2961</v>
      </c>
      <c r="D1709" t="s">
        <v>71</v>
      </c>
      <c r="F1709">
        <v>960</v>
      </c>
      <c r="G1709">
        <v>20</v>
      </c>
      <c r="H1709" s="89">
        <v>46150</v>
      </c>
      <c r="I1709" s="89">
        <v>46155</v>
      </c>
      <c r="J1709" t="s">
        <v>2962</v>
      </c>
      <c r="N1709" t="s">
        <v>2880</v>
      </c>
    </row>
    <row r="1710" spans="1:14" hidden="1" x14ac:dyDescent="0.25">
      <c r="A1710" t="s">
        <v>1313</v>
      </c>
      <c r="B1710" t="s">
        <v>1327</v>
      </c>
      <c r="C1710" t="s">
        <v>2963</v>
      </c>
      <c r="D1710" t="s">
        <v>15</v>
      </c>
      <c r="F1710">
        <v>240</v>
      </c>
      <c r="G1710">
        <v>5</v>
      </c>
      <c r="H1710" s="89">
        <v>46150</v>
      </c>
      <c r="I1710" s="89">
        <v>46155</v>
      </c>
      <c r="J1710" t="s">
        <v>2951</v>
      </c>
      <c r="N1710" t="s">
        <v>2880</v>
      </c>
    </row>
    <row r="1711" spans="1:14" hidden="1" x14ac:dyDescent="0.25">
      <c r="A1711" t="s">
        <v>1313</v>
      </c>
      <c r="B1711" t="s">
        <v>1327</v>
      </c>
      <c r="C1711" t="s">
        <v>2963</v>
      </c>
      <c r="D1711" t="s">
        <v>15</v>
      </c>
      <c r="F1711">
        <v>48</v>
      </c>
      <c r="G1711">
        <v>1</v>
      </c>
      <c r="H1711" s="89">
        <v>46150</v>
      </c>
      <c r="I1711" s="89">
        <v>46156</v>
      </c>
      <c r="N1711" t="s">
        <v>2880</v>
      </c>
    </row>
    <row r="1712" spans="1:14" hidden="1" x14ac:dyDescent="0.25">
      <c r="A1712" t="s">
        <v>1313</v>
      </c>
      <c r="B1712" t="s">
        <v>1327</v>
      </c>
      <c r="C1712" t="s">
        <v>2963</v>
      </c>
      <c r="D1712" t="s">
        <v>15</v>
      </c>
      <c r="F1712">
        <v>864</v>
      </c>
      <c r="G1712">
        <v>18</v>
      </c>
      <c r="H1712" s="89">
        <v>46150</v>
      </c>
      <c r="I1712" s="89">
        <v>46154</v>
      </c>
      <c r="J1712" t="s">
        <v>2964</v>
      </c>
      <c r="N1712" t="s">
        <v>2880</v>
      </c>
    </row>
    <row r="1713" spans="1:14" hidden="1" x14ac:dyDescent="0.25">
      <c r="A1713" t="s">
        <v>1314</v>
      </c>
      <c r="B1713" t="s">
        <v>1328</v>
      </c>
      <c r="C1713" t="s">
        <v>2963</v>
      </c>
      <c r="D1713" t="s">
        <v>15</v>
      </c>
      <c r="F1713">
        <v>288</v>
      </c>
      <c r="G1713">
        <v>6</v>
      </c>
      <c r="H1713" s="89">
        <v>46150</v>
      </c>
      <c r="I1713" s="89">
        <v>46154</v>
      </c>
      <c r="J1713" t="s">
        <v>2965</v>
      </c>
      <c r="N1713" t="s">
        <v>2880</v>
      </c>
    </row>
    <row r="1714" spans="1:14" hidden="1" x14ac:dyDescent="0.25">
      <c r="A1714" t="s">
        <v>1315</v>
      </c>
      <c r="B1714" t="s">
        <v>1329</v>
      </c>
      <c r="C1714" t="s">
        <v>2963</v>
      </c>
      <c r="D1714" t="s">
        <v>15</v>
      </c>
      <c r="F1714">
        <v>47</v>
      </c>
      <c r="G1714" t="s">
        <v>1419</v>
      </c>
      <c r="H1714" s="89">
        <v>46150</v>
      </c>
      <c r="I1714" s="89">
        <v>46152</v>
      </c>
      <c r="N1714" t="s">
        <v>2880</v>
      </c>
    </row>
    <row r="1715" spans="1:14" hidden="1" x14ac:dyDescent="0.25">
      <c r="A1715" t="s">
        <v>1316</v>
      </c>
      <c r="B1715" t="s">
        <v>1330</v>
      </c>
      <c r="C1715" t="s">
        <v>2966</v>
      </c>
      <c r="D1715" t="s">
        <v>15</v>
      </c>
      <c r="F1715">
        <v>53</v>
      </c>
      <c r="G1715" t="s">
        <v>1419</v>
      </c>
      <c r="H1715" s="89">
        <v>46150</v>
      </c>
      <c r="I1715" s="89">
        <v>46152</v>
      </c>
      <c r="N1715" t="s">
        <v>2880</v>
      </c>
    </row>
    <row r="1716" spans="1:14" hidden="1" x14ac:dyDescent="0.25">
      <c r="A1716" t="s">
        <v>1317</v>
      </c>
      <c r="B1716" t="s">
        <v>1331</v>
      </c>
      <c r="C1716" t="s">
        <v>2967</v>
      </c>
      <c r="D1716" t="s">
        <v>15</v>
      </c>
      <c r="F1716">
        <v>6</v>
      </c>
      <c r="G1716" t="s">
        <v>1419</v>
      </c>
      <c r="H1716" s="89">
        <v>46150</v>
      </c>
      <c r="I1716" s="89">
        <v>46152</v>
      </c>
      <c r="N1716" t="s">
        <v>2880</v>
      </c>
    </row>
    <row r="1717" spans="1:14" hidden="1" x14ac:dyDescent="0.25">
      <c r="A1717" t="s">
        <v>1318</v>
      </c>
      <c r="B1717" t="s">
        <v>1332</v>
      </c>
      <c r="C1717" t="s">
        <v>2968</v>
      </c>
      <c r="D1717" t="s">
        <v>15</v>
      </c>
      <c r="F1717">
        <v>33</v>
      </c>
      <c r="G1717" t="s">
        <v>1419</v>
      </c>
      <c r="H1717" s="89">
        <v>46150</v>
      </c>
      <c r="I1717" s="89">
        <v>46152</v>
      </c>
      <c r="N1717" t="s">
        <v>2880</v>
      </c>
    </row>
    <row r="1718" spans="1:14" hidden="1" x14ac:dyDescent="0.25">
      <c r="A1718" t="s">
        <v>1324</v>
      </c>
      <c r="B1718" t="s">
        <v>1338</v>
      </c>
      <c r="C1718" t="s">
        <v>2969</v>
      </c>
      <c r="D1718" t="s">
        <v>105</v>
      </c>
      <c r="F1718">
        <v>960</v>
      </c>
      <c r="G1718">
        <v>20</v>
      </c>
      <c r="H1718" s="89">
        <v>46150</v>
      </c>
      <c r="I1718" s="89">
        <v>46158</v>
      </c>
      <c r="J1718" t="s">
        <v>2970</v>
      </c>
      <c r="N1718" t="s">
        <v>2880</v>
      </c>
    </row>
    <row r="1719" spans="1:14" hidden="1" x14ac:dyDescent="0.25">
      <c r="A1719" t="s">
        <v>1320</v>
      </c>
      <c r="B1719" t="s">
        <v>1334</v>
      </c>
      <c r="C1719" t="s">
        <v>2971</v>
      </c>
      <c r="D1719" t="s">
        <v>21</v>
      </c>
      <c r="F1719">
        <v>192</v>
      </c>
      <c r="G1719">
        <v>4</v>
      </c>
      <c r="H1719" s="89">
        <v>46150</v>
      </c>
      <c r="I1719" s="89">
        <v>46155</v>
      </c>
      <c r="J1719" t="s">
        <v>2946</v>
      </c>
      <c r="N1719" t="s">
        <v>2880</v>
      </c>
    </row>
    <row r="1720" spans="1:14" hidden="1" x14ac:dyDescent="0.25">
      <c r="A1720" t="s">
        <v>1324</v>
      </c>
      <c r="B1720" t="s">
        <v>1338</v>
      </c>
      <c r="C1720" t="s">
        <v>2971</v>
      </c>
      <c r="D1720" t="s">
        <v>21</v>
      </c>
      <c r="F1720">
        <v>768</v>
      </c>
      <c r="G1720">
        <v>16</v>
      </c>
      <c r="H1720" s="89">
        <v>46150</v>
      </c>
      <c r="I1720" s="89">
        <v>46152</v>
      </c>
      <c r="N1720" t="s">
        <v>2880</v>
      </c>
    </row>
    <row r="1721" spans="1:14" hidden="1" x14ac:dyDescent="0.25">
      <c r="A1721" t="s">
        <v>1315</v>
      </c>
      <c r="B1721" t="s">
        <v>1329</v>
      </c>
      <c r="C1721" t="s">
        <v>2971</v>
      </c>
      <c r="D1721" t="s">
        <v>21</v>
      </c>
      <c r="F1721">
        <v>139</v>
      </c>
      <c r="G1721" t="s">
        <v>1419</v>
      </c>
      <c r="H1721" s="89">
        <v>46150</v>
      </c>
      <c r="I1721" s="89">
        <v>46152</v>
      </c>
      <c r="N1721" t="s">
        <v>2880</v>
      </c>
    </row>
    <row r="1722" spans="1:14" hidden="1" x14ac:dyDescent="0.25">
      <c r="A1722" t="s">
        <v>1316</v>
      </c>
      <c r="B1722" t="s">
        <v>1330</v>
      </c>
      <c r="C1722" t="s">
        <v>2972</v>
      </c>
      <c r="D1722" t="s">
        <v>21</v>
      </c>
      <c r="F1722">
        <v>36</v>
      </c>
      <c r="G1722" t="s">
        <v>1419</v>
      </c>
      <c r="H1722" s="89">
        <v>46150</v>
      </c>
      <c r="I1722" s="89">
        <v>46152</v>
      </c>
      <c r="N1722" t="s">
        <v>2880</v>
      </c>
    </row>
    <row r="1723" spans="1:14" hidden="1" x14ac:dyDescent="0.25">
      <c r="A1723" t="s">
        <v>1317</v>
      </c>
      <c r="B1723" t="s">
        <v>1331</v>
      </c>
      <c r="C1723" t="s">
        <v>2973</v>
      </c>
      <c r="D1723" t="s">
        <v>21</v>
      </c>
      <c r="F1723">
        <v>4</v>
      </c>
      <c r="G1723" t="s">
        <v>1419</v>
      </c>
      <c r="H1723" s="89">
        <v>46150</v>
      </c>
      <c r="I1723" s="89">
        <v>46152</v>
      </c>
      <c r="N1723" t="s">
        <v>2880</v>
      </c>
    </row>
    <row r="1724" spans="1:14" hidden="1" x14ac:dyDescent="0.25">
      <c r="A1724" t="s">
        <v>1318</v>
      </c>
      <c r="B1724" t="s">
        <v>1332</v>
      </c>
      <c r="C1724" t="s">
        <v>2974</v>
      </c>
      <c r="D1724" t="s">
        <v>21</v>
      </c>
      <c r="F1724">
        <v>38</v>
      </c>
      <c r="G1724" t="s">
        <v>1419</v>
      </c>
      <c r="H1724" s="89">
        <v>46150</v>
      </c>
      <c r="I1724" s="89">
        <v>46152</v>
      </c>
      <c r="N1724" t="s">
        <v>2880</v>
      </c>
    </row>
    <row r="1725" spans="1:14" hidden="1" x14ac:dyDescent="0.25">
      <c r="A1725" t="s">
        <v>1325</v>
      </c>
      <c r="B1725" t="s">
        <v>1339</v>
      </c>
      <c r="C1725" t="s">
        <v>2975</v>
      </c>
      <c r="D1725" t="s">
        <v>138</v>
      </c>
      <c r="F1725">
        <v>192</v>
      </c>
      <c r="G1725">
        <v>4</v>
      </c>
      <c r="H1725" s="89">
        <v>46150</v>
      </c>
      <c r="I1725" s="89">
        <v>46153</v>
      </c>
      <c r="N1725" t="s">
        <v>2880</v>
      </c>
    </row>
    <row r="1726" spans="1:14" hidden="1" x14ac:dyDescent="0.25">
      <c r="A1726" t="s">
        <v>1324</v>
      </c>
      <c r="B1726" t="s">
        <v>1338</v>
      </c>
      <c r="C1726" t="s">
        <v>2976</v>
      </c>
      <c r="D1726" t="s">
        <v>88</v>
      </c>
      <c r="F1726">
        <v>960</v>
      </c>
      <c r="G1726">
        <v>20</v>
      </c>
      <c r="H1726" s="89">
        <v>46151</v>
      </c>
      <c r="I1726" s="89">
        <v>46158</v>
      </c>
      <c r="J1726" t="s">
        <v>2970</v>
      </c>
      <c r="N1726" t="s">
        <v>2880</v>
      </c>
    </row>
    <row r="1727" spans="1:14" hidden="1" x14ac:dyDescent="0.25">
      <c r="A1727" t="s">
        <v>1320</v>
      </c>
      <c r="B1727" t="s">
        <v>1334</v>
      </c>
      <c r="C1727" t="s">
        <v>2977</v>
      </c>
      <c r="D1727" t="s">
        <v>28</v>
      </c>
      <c r="F1727">
        <v>960</v>
      </c>
      <c r="G1727">
        <v>20</v>
      </c>
      <c r="H1727" s="89">
        <v>46151</v>
      </c>
      <c r="I1727" s="89">
        <v>46156</v>
      </c>
      <c r="J1727" t="s">
        <v>2978</v>
      </c>
      <c r="N1727" t="s">
        <v>2880</v>
      </c>
    </row>
    <row r="1728" spans="1:14" hidden="1" x14ac:dyDescent="0.25">
      <c r="A1728" t="s">
        <v>1313</v>
      </c>
      <c r="B1728" t="s">
        <v>1327</v>
      </c>
      <c r="C1728" t="s">
        <v>2977</v>
      </c>
      <c r="D1728" t="s">
        <v>28</v>
      </c>
      <c r="F1728">
        <v>144</v>
      </c>
      <c r="G1728">
        <v>3</v>
      </c>
      <c r="H1728" s="89">
        <v>46151</v>
      </c>
      <c r="I1728" s="89">
        <v>46156</v>
      </c>
      <c r="N1728" t="s">
        <v>2880</v>
      </c>
    </row>
    <row r="1729" spans="1:14" hidden="1" x14ac:dyDescent="0.25">
      <c r="A1729" t="s">
        <v>1315</v>
      </c>
      <c r="B1729" t="s">
        <v>1329</v>
      </c>
      <c r="C1729" t="s">
        <v>2977</v>
      </c>
      <c r="D1729" t="s">
        <v>28</v>
      </c>
      <c r="F1729">
        <v>163</v>
      </c>
      <c r="G1729" t="s">
        <v>1419</v>
      </c>
      <c r="H1729" s="89">
        <v>46151</v>
      </c>
      <c r="I1729" s="89">
        <v>46154</v>
      </c>
      <c r="N1729" t="s">
        <v>2880</v>
      </c>
    </row>
    <row r="1730" spans="1:14" hidden="1" x14ac:dyDescent="0.25">
      <c r="A1730" t="s">
        <v>1316</v>
      </c>
      <c r="B1730" t="s">
        <v>1330</v>
      </c>
      <c r="C1730" t="s">
        <v>2979</v>
      </c>
      <c r="D1730" t="s">
        <v>28</v>
      </c>
      <c r="F1730">
        <v>20</v>
      </c>
      <c r="G1730" t="s">
        <v>1419</v>
      </c>
      <c r="H1730" s="89">
        <v>46151</v>
      </c>
      <c r="I1730" s="89">
        <v>46153</v>
      </c>
      <c r="N1730" t="s">
        <v>2880</v>
      </c>
    </row>
    <row r="1731" spans="1:14" hidden="1" x14ac:dyDescent="0.25">
      <c r="A1731" t="s">
        <v>1317</v>
      </c>
      <c r="B1731" t="s">
        <v>1331</v>
      </c>
      <c r="C1731" t="s">
        <v>2980</v>
      </c>
      <c r="D1731" t="s">
        <v>28</v>
      </c>
      <c r="F1731">
        <v>12</v>
      </c>
      <c r="G1731" t="s">
        <v>1419</v>
      </c>
      <c r="H1731" s="89">
        <v>46151</v>
      </c>
      <c r="I1731" s="89">
        <v>46153</v>
      </c>
      <c r="N1731" t="s">
        <v>2880</v>
      </c>
    </row>
    <row r="1732" spans="1:14" hidden="1" x14ac:dyDescent="0.25">
      <c r="A1732" t="s">
        <v>1318</v>
      </c>
      <c r="B1732" t="s">
        <v>1332</v>
      </c>
      <c r="C1732" t="s">
        <v>2981</v>
      </c>
      <c r="D1732" t="s">
        <v>28</v>
      </c>
      <c r="F1732">
        <v>70</v>
      </c>
      <c r="G1732" t="s">
        <v>1419</v>
      </c>
      <c r="H1732" s="89">
        <v>46151</v>
      </c>
      <c r="I1732" s="89">
        <v>46153</v>
      </c>
      <c r="N1732" t="s">
        <v>2880</v>
      </c>
    </row>
    <row r="1733" spans="1:14" hidden="1" x14ac:dyDescent="0.25">
      <c r="A1733" t="s">
        <v>1324</v>
      </c>
      <c r="B1733" t="s">
        <v>1338</v>
      </c>
      <c r="C1733" t="s">
        <v>2982</v>
      </c>
      <c r="D1733" t="s">
        <v>15</v>
      </c>
      <c r="F1733">
        <v>1104</v>
      </c>
      <c r="G1733">
        <v>23</v>
      </c>
      <c r="H1733" s="89">
        <v>46151</v>
      </c>
      <c r="I1733" s="89">
        <v>46156</v>
      </c>
      <c r="N1733" t="s">
        <v>2880</v>
      </c>
    </row>
    <row r="1734" spans="1:14" hidden="1" x14ac:dyDescent="0.25">
      <c r="A1734" t="s">
        <v>1315</v>
      </c>
      <c r="B1734" t="s">
        <v>1329</v>
      </c>
      <c r="C1734" t="s">
        <v>2982</v>
      </c>
      <c r="D1734" t="s">
        <v>15</v>
      </c>
      <c r="F1734">
        <v>70</v>
      </c>
      <c r="G1734" t="s">
        <v>1419</v>
      </c>
      <c r="H1734" s="89">
        <v>46151</v>
      </c>
      <c r="I1734" s="89">
        <v>46154</v>
      </c>
      <c r="N1734" t="s">
        <v>2880</v>
      </c>
    </row>
    <row r="1735" spans="1:14" hidden="1" x14ac:dyDescent="0.25">
      <c r="A1735" t="s">
        <v>1316</v>
      </c>
      <c r="B1735" t="s">
        <v>1330</v>
      </c>
      <c r="C1735" t="s">
        <v>2983</v>
      </c>
      <c r="D1735" t="s">
        <v>15</v>
      </c>
      <c r="F1735">
        <v>66</v>
      </c>
      <c r="G1735" t="s">
        <v>1419</v>
      </c>
      <c r="H1735" s="89">
        <v>46151</v>
      </c>
      <c r="I1735" s="89">
        <v>46153</v>
      </c>
      <c r="N1735" t="s">
        <v>2880</v>
      </c>
    </row>
    <row r="1736" spans="1:14" hidden="1" x14ac:dyDescent="0.25">
      <c r="A1736" t="s">
        <v>1317</v>
      </c>
      <c r="B1736" t="s">
        <v>1331</v>
      </c>
      <c r="C1736" t="s">
        <v>2984</v>
      </c>
      <c r="D1736" t="s">
        <v>15</v>
      </c>
      <c r="F1736">
        <v>10</v>
      </c>
      <c r="G1736" t="s">
        <v>1419</v>
      </c>
      <c r="H1736" s="89">
        <v>46151</v>
      </c>
      <c r="I1736" s="89">
        <v>46153</v>
      </c>
      <c r="N1736" t="s">
        <v>2880</v>
      </c>
    </row>
    <row r="1737" spans="1:14" hidden="1" x14ac:dyDescent="0.25">
      <c r="A1737" t="s">
        <v>1318</v>
      </c>
      <c r="B1737" t="s">
        <v>1332</v>
      </c>
      <c r="C1737" t="s">
        <v>2985</v>
      </c>
      <c r="D1737" t="s">
        <v>15</v>
      </c>
      <c r="F1737">
        <v>37</v>
      </c>
      <c r="G1737" t="s">
        <v>1419</v>
      </c>
      <c r="H1737" s="89">
        <v>46151</v>
      </c>
      <c r="I1737" s="89">
        <v>46153</v>
      </c>
      <c r="N1737" t="s">
        <v>2880</v>
      </c>
    </row>
    <row r="1738" spans="1:14" hidden="1" x14ac:dyDescent="0.25">
      <c r="A1738" t="s">
        <v>1320</v>
      </c>
      <c r="B1738" t="s">
        <v>1334</v>
      </c>
      <c r="C1738" t="s">
        <v>2986</v>
      </c>
      <c r="D1738" t="s">
        <v>13</v>
      </c>
      <c r="F1738">
        <v>480</v>
      </c>
      <c r="G1738">
        <v>10</v>
      </c>
      <c r="H1738" s="89">
        <v>46153</v>
      </c>
      <c r="I1738" s="89">
        <v>46157</v>
      </c>
      <c r="J1738" t="s">
        <v>2987</v>
      </c>
      <c r="N1738" t="s">
        <v>2988</v>
      </c>
    </row>
    <row r="1739" spans="1:14" hidden="1" x14ac:dyDescent="0.25">
      <c r="A1739" t="s">
        <v>1320</v>
      </c>
      <c r="B1739" t="s">
        <v>1334</v>
      </c>
      <c r="C1739" t="s">
        <v>2989</v>
      </c>
      <c r="D1739" t="s">
        <v>118</v>
      </c>
      <c r="F1739">
        <v>960</v>
      </c>
      <c r="G1739">
        <v>20</v>
      </c>
      <c r="H1739" s="89">
        <v>46153</v>
      </c>
      <c r="I1739" s="89">
        <v>46157</v>
      </c>
      <c r="J1739" t="s">
        <v>2990</v>
      </c>
      <c r="N1739" t="s">
        <v>2988</v>
      </c>
    </row>
    <row r="1740" spans="1:14" hidden="1" x14ac:dyDescent="0.25">
      <c r="A1740" t="s">
        <v>1326</v>
      </c>
      <c r="B1740" t="s">
        <v>1340</v>
      </c>
      <c r="C1740" t="s">
        <v>2991</v>
      </c>
      <c r="D1740" t="s">
        <v>138</v>
      </c>
      <c r="F1740">
        <v>846</v>
      </c>
      <c r="G1740">
        <v>20.142857142857142</v>
      </c>
      <c r="H1740" s="89">
        <v>46153</v>
      </c>
      <c r="I1740" s="89">
        <v>46161</v>
      </c>
      <c r="J1740" t="s">
        <v>2992</v>
      </c>
      <c r="N1740" t="s">
        <v>2988</v>
      </c>
    </row>
    <row r="1741" spans="1:14" hidden="1" x14ac:dyDescent="0.25">
      <c r="A1741" t="s">
        <v>1313</v>
      </c>
      <c r="B1741" t="s">
        <v>1327</v>
      </c>
      <c r="C1741" t="s">
        <v>2993</v>
      </c>
      <c r="D1741" t="s">
        <v>20</v>
      </c>
      <c r="F1741">
        <v>1104</v>
      </c>
      <c r="G1741">
        <v>23</v>
      </c>
      <c r="H1741" s="89">
        <v>46153</v>
      </c>
      <c r="I1741" s="89">
        <v>46157</v>
      </c>
      <c r="J1741" t="s">
        <v>2994</v>
      </c>
      <c r="N1741" t="s">
        <v>2988</v>
      </c>
    </row>
    <row r="1742" spans="1:14" hidden="1" x14ac:dyDescent="0.25">
      <c r="A1742" t="s">
        <v>1319</v>
      </c>
      <c r="B1742" t="s">
        <v>1333</v>
      </c>
      <c r="C1742" t="s">
        <v>2993</v>
      </c>
      <c r="D1742" t="s">
        <v>20</v>
      </c>
      <c r="F1742">
        <v>48</v>
      </c>
      <c r="G1742">
        <v>1</v>
      </c>
      <c r="H1742" s="89">
        <v>46153</v>
      </c>
      <c r="I1742" s="89">
        <v>46157</v>
      </c>
      <c r="J1742" t="s">
        <v>2994</v>
      </c>
      <c r="N1742" t="s">
        <v>2988</v>
      </c>
    </row>
    <row r="1743" spans="1:14" hidden="1" x14ac:dyDescent="0.25">
      <c r="A1743" t="s">
        <v>1315</v>
      </c>
      <c r="B1743" t="s">
        <v>1329</v>
      </c>
      <c r="C1743" t="s">
        <v>2993</v>
      </c>
      <c r="D1743" t="s">
        <v>20</v>
      </c>
      <c r="F1743">
        <v>67</v>
      </c>
      <c r="G1743" t="s">
        <v>1419</v>
      </c>
      <c r="H1743" s="89">
        <v>46153</v>
      </c>
      <c r="I1743" s="89">
        <v>46156</v>
      </c>
      <c r="N1743" t="s">
        <v>2988</v>
      </c>
    </row>
    <row r="1744" spans="1:14" hidden="1" x14ac:dyDescent="0.25">
      <c r="A1744" t="s">
        <v>1316</v>
      </c>
      <c r="B1744" t="s">
        <v>1330</v>
      </c>
      <c r="C1744" t="s">
        <v>2995</v>
      </c>
      <c r="D1744" t="s">
        <v>20</v>
      </c>
      <c r="F1744">
        <v>163</v>
      </c>
      <c r="G1744" t="s">
        <v>1419</v>
      </c>
      <c r="H1744" s="89">
        <v>46153</v>
      </c>
      <c r="I1744" s="89">
        <v>46155</v>
      </c>
      <c r="N1744" t="s">
        <v>2988</v>
      </c>
    </row>
    <row r="1745" spans="1:14" hidden="1" x14ac:dyDescent="0.25">
      <c r="A1745" t="s">
        <v>1317</v>
      </c>
      <c r="B1745" t="s">
        <v>1331</v>
      </c>
      <c r="C1745" t="s">
        <v>2996</v>
      </c>
      <c r="D1745" t="s">
        <v>20</v>
      </c>
      <c r="F1745">
        <v>8</v>
      </c>
      <c r="G1745" t="s">
        <v>1419</v>
      </c>
      <c r="H1745" s="89">
        <v>46153</v>
      </c>
      <c r="I1745" s="89">
        <v>46155</v>
      </c>
      <c r="N1745" t="s">
        <v>2988</v>
      </c>
    </row>
    <row r="1746" spans="1:14" hidden="1" x14ac:dyDescent="0.25">
      <c r="A1746" t="s">
        <v>1318</v>
      </c>
      <c r="B1746" t="s">
        <v>1332</v>
      </c>
      <c r="C1746" t="s">
        <v>2997</v>
      </c>
      <c r="D1746" t="s">
        <v>20</v>
      </c>
      <c r="F1746">
        <v>67</v>
      </c>
      <c r="G1746" t="s">
        <v>1419</v>
      </c>
      <c r="H1746" s="89">
        <v>46153</v>
      </c>
      <c r="I1746" s="89">
        <v>46155</v>
      </c>
      <c r="N1746" t="s">
        <v>2988</v>
      </c>
    </row>
    <row r="1747" spans="1:14" hidden="1" x14ac:dyDescent="0.25">
      <c r="A1747" t="s">
        <v>1313</v>
      </c>
      <c r="B1747" t="s">
        <v>1327</v>
      </c>
      <c r="C1747" t="s">
        <v>2998</v>
      </c>
      <c r="D1747" t="s">
        <v>21</v>
      </c>
      <c r="F1747">
        <v>480</v>
      </c>
      <c r="G1747">
        <v>10</v>
      </c>
      <c r="H1747" s="89">
        <v>46153</v>
      </c>
      <c r="I1747" s="89">
        <v>46156</v>
      </c>
      <c r="J1747" t="s">
        <v>2999</v>
      </c>
      <c r="N1747" t="s">
        <v>2988</v>
      </c>
    </row>
    <row r="1748" spans="1:14" hidden="1" x14ac:dyDescent="0.25">
      <c r="A1748" t="s">
        <v>1320</v>
      </c>
      <c r="B1748" t="s">
        <v>1334</v>
      </c>
      <c r="C1748" t="s">
        <v>2998</v>
      </c>
      <c r="D1748" t="s">
        <v>21</v>
      </c>
      <c r="F1748">
        <v>768</v>
      </c>
      <c r="G1748">
        <v>16</v>
      </c>
      <c r="H1748" s="89">
        <v>46153</v>
      </c>
      <c r="I1748" s="89">
        <v>46156</v>
      </c>
      <c r="J1748" t="s">
        <v>3000</v>
      </c>
      <c r="N1748" t="s">
        <v>2988</v>
      </c>
    </row>
    <row r="1749" spans="1:14" hidden="1" x14ac:dyDescent="0.25">
      <c r="A1749" t="s">
        <v>1315</v>
      </c>
      <c r="B1749" t="s">
        <v>1329</v>
      </c>
      <c r="C1749" t="s">
        <v>2998</v>
      </c>
      <c r="D1749" t="s">
        <v>21</v>
      </c>
      <c r="F1749">
        <v>160</v>
      </c>
      <c r="G1749" t="s">
        <v>1419</v>
      </c>
      <c r="H1749" s="89">
        <v>46153</v>
      </c>
      <c r="I1749" s="89">
        <v>46156</v>
      </c>
      <c r="N1749" t="s">
        <v>2988</v>
      </c>
    </row>
    <row r="1750" spans="1:14" hidden="1" x14ac:dyDescent="0.25">
      <c r="A1750" t="s">
        <v>1316</v>
      </c>
      <c r="B1750" t="s">
        <v>1330</v>
      </c>
      <c r="C1750" t="s">
        <v>3001</v>
      </c>
      <c r="D1750" t="s">
        <v>21</v>
      </c>
      <c r="F1750">
        <v>6</v>
      </c>
      <c r="G1750" t="s">
        <v>1419</v>
      </c>
      <c r="H1750" s="89">
        <v>46153</v>
      </c>
      <c r="I1750" s="89">
        <v>46155</v>
      </c>
      <c r="N1750" t="s">
        <v>2988</v>
      </c>
    </row>
    <row r="1751" spans="1:14" hidden="1" x14ac:dyDescent="0.25">
      <c r="A1751" t="s">
        <v>1317</v>
      </c>
      <c r="B1751" t="s">
        <v>1331</v>
      </c>
      <c r="C1751" t="s">
        <v>3002</v>
      </c>
      <c r="D1751" t="s">
        <v>21</v>
      </c>
      <c r="F1751">
        <v>9</v>
      </c>
      <c r="G1751" t="s">
        <v>1419</v>
      </c>
      <c r="H1751" s="89">
        <v>46153</v>
      </c>
      <c r="I1751" s="89">
        <v>46155</v>
      </c>
      <c r="N1751" t="s">
        <v>2988</v>
      </c>
    </row>
    <row r="1752" spans="1:14" hidden="1" x14ac:dyDescent="0.25">
      <c r="A1752" t="s">
        <v>1318</v>
      </c>
      <c r="B1752" t="s">
        <v>1332</v>
      </c>
      <c r="C1752" t="s">
        <v>3003</v>
      </c>
      <c r="D1752" t="s">
        <v>21</v>
      </c>
      <c r="F1752">
        <v>60</v>
      </c>
      <c r="G1752" t="s">
        <v>1419</v>
      </c>
      <c r="H1752" s="89">
        <v>46153</v>
      </c>
      <c r="I1752" s="89">
        <v>46155</v>
      </c>
      <c r="N1752" t="s">
        <v>2988</v>
      </c>
    </row>
    <row r="1753" spans="1:14" hidden="1" x14ac:dyDescent="0.25">
      <c r="A1753" t="s">
        <v>1320</v>
      </c>
      <c r="B1753" t="s">
        <v>1334</v>
      </c>
      <c r="C1753" t="s">
        <v>3004</v>
      </c>
      <c r="D1753" t="s">
        <v>15</v>
      </c>
      <c r="F1753">
        <v>480</v>
      </c>
      <c r="G1753">
        <v>10</v>
      </c>
      <c r="H1753" s="89">
        <v>46153</v>
      </c>
      <c r="I1753" s="89">
        <v>46157</v>
      </c>
      <c r="J1753" t="s">
        <v>2987</v>
      </c>
      <c r="N1753" t="s">
        <v>2988</v>
      </c>
    </row>
    <row r="1754" spans="1:14" hidden="1" x14ac:dyDescent="0.25">
      <c r="A1754" t="s">
        <v>1314</v>
      </c>
      <c r="B1754" t="s">
        <v>1328</v>
      </c>
      <c r="C1754" t="s">
        <v>3004</v>
      </c>
      <c r="D1754" t="s">
        <v>15</v>
      </c>
      <c r="F1754">
        <v>336</v>
      </c>
      <c r="G1754">
        <v>7</v>
      </c>
      <c r="H1754" s="89">
        <v>46153</v>
      </c>
      <c r="I1754" s="89">
        <v>46156</v>
      </c>
      <c r="J1754" t="s">
        <v>3005</v>
      </c>
      <c r="N1754" t="s">
        <v>2988</v>
      </c>
    </row>
    <row r="1755" spans="1:14" hidden="1" x14ac:dyDescent="0.25">
      <c r="A1755" t="s">
        <v>1313</v>
      </c>
      <c r="B1755" t="s">
        <v>1327</v>
      </c>
      <c r="C1755" t="s">
        <v>3004</v>
      </c>
      <c r="D1755" t="s">
        <v>15</v>
      </c>
      <c r="F1755">
        <v>336</v>
      </c>
      <c r="G1755">
        <v>7</v>
      </c>
      <c r="H1755" s="89">
        <v>46153</v>
      </c>
      <c r="I1755" s="89">
        <v>46156</v>
      </c>
      <c r="J1755" t="s">
        <v>2999</v>
      </c>
      <c r="N1755" t="s">
        <v>2988</v>
      </c>
    </row>
    <row r="1756" spans="1:14" hidden="1" x14ac:dyDescent="0.25">
      <c r="A1756" t="s">
        <v>1315</v>
      </c>
      <c r="B1756" t="s">
        <v>1329</v>
      </c>
      <c r="C1756" t="s">
        <v>3004</v>
      </c>
      <c r="D1756" t="s">
        <v>15</v>
      </c>
      <c r="F1756">
        <v>77</v>
      </c>
      <c r="G1756" t="s">
        <v>1419</v>
      </c>
      <c r="H1756" s="89">
        <v>46153</v>
      </c>
      <c r="I1756" s="89">
        <v>46156</v>
      </c>
      <c r="N1756" t="s">
        <v>2988</v>
      </c>
    </row>
    <row r="1757" spans="1:14" hidden="1" x14ac:dyDescent="0.25">
      <c r="A1757" t="s">
        <v>1316</v>
      </c>
      <c r="B1757" t="s">
        <v>1330</v>
      </c>
      <c r="C1757" t="s">
        <v>3006</v>
      </c>
      <c r="D1757" t="s">
        <v>15</v>
      </c>
      <c r="F1757">
        <v>72</v>
      </c>
      <c r="G1757" t="s">
        <v>1419</v>
      </c>
      <c r="H1757" s="89">
        <v>46153</v>
      </c>
      <c r="I1757" s="89">
        <v>46155</v>
      </c>
      <c r="N1757" t="s">
        <v>2988</v>
      </c>
    </row>
    <row r="1758" spans="1:14" hidden="1" x14ac:dyDescent="0.25">
      <c r="A1758" t="s">
        <v>1317</v>
      </c>
      <c r="B1758" t="s">
        <v>1331</v>
      </c>
      <c r="C1758" t="s">
        <v>3007</v>
      </c>
      <c r="D1758" t="s">
        <v>15</v>
      </c>
      <c r="F1758">
        <v>13</v>
      </c>
      <c r="G1758" t="s">
        <v>1419</v>
      </c>
      <c r="H1758" s="89">
        <v>46153</v>
      </c>
      <c r="I1758" s="89">
        <v>46155</v>
      </c>
      <c r="N1758" t="s">
        <v>2988</v>
      </c>
    </row>
    <row r="1759" spans="1:14" hidden="1" x14ac:dyDescent="0.25">
      <c r="A1759" t="s">
        <v>1318</v>
      </c>
      <c r="B1759" t="s">
        <v>1332</v>
      </c>
      <c r="C1759" t="s">
        <v>3008</v>
      </c>
      <c r="D1759" t="s">
        <v>15</v>
      </c>
      <c r="F1759">
        <v>41</v>
      </c>
      <c r="G1759" t="s">
        <v>1419</v>
      </c>
      <c r="H1759" s="89">
        <v>46153</v>
      </c>
      <c r="I1759" s="89">
        <v>46155</v>
      </c>
      <c r="N1759" t="s">
        <v>2988</v>
      </c>
    </row>
    <row r="1760" spans="1:14" hidden="1" x14ac:dyDescent="0.25">
      <c r="A1760" t="s">
        <v>1326</v>
      </c>
      <c r="B1760" t="s">
        <v>1340</v>
      </c>
      <c r="C1760" t="s">
        <v>3009</v>
      </c>
      <c r="D1760" t="s">
        <v>138</v>
      </c>
      <c r="F1760">
        <v>162</v>
      </c>
      <c r="G1760">
        <v>3.8571428571428577</v>
      </c>
      <c r="H1760" s="89">
        <v>46154</v>
      </c>
      <c r="I1760" s="89">
        <v>46161</v>
      </c>
      <c r="J1760" t="s">
        <v>2992</v>
      </c>
      <c r="N1760" t="s">
        <v>2988</v>
      </c>
    </row>
    <row r="1761" spans="1:14" hidden="1" x14ac:dyDescent="0.25">
      <c r="A1761" t="s">
        <v>1324</v>
      </c>
      <c r="B1761" t="s">
        <v>1338</v>
      </c>
      <c r="C1761" t="s">
        <v>3010</v>
      </c>
      <c r="D1761" t="s">
        <v>118</v>
      </c>
      <c r="F1761">
        <v>480</v>
      </c>
      <c r="G1761">
        <v>10</v>
      </c>
      <c r="H1761" s="89">
        <v>46154</v>
      </c>
      <c r="I1761" s="89">
        <v>46161</v>
      </c>
      <c r="J1761" t="s">
        <v>3011</v>
      </c>
      <c r="N1761" t="s">
        <v>2988</v>
      </c>
    </row>
    <row r="1762" spans="1:14" hidden="1" x14ac:dyDescent="0.25">
      <c r="A1762" t="s">
        <v>1324</v>
      </c>
      <c r="B1762" t="s">
        <v>1338</v>
      </c>
      <c r="C1762" t="s">
        <v>3012</v>
      </c>
      <c r="D1762" t="s">
        <v>23</v>
      </c>
      <c r="F1762">
        <v>960</v>
      </c>
      <c r="G1762">
        <v>20</v>
      </c>
      <c r="H1762" s="89">
        <v>46154</v>
      </c>
      <c r="I1762" s="89">
        <v>46161</v>
      </c>
      <c r="J1762" t="s">
        <v>3011</v>
      </c>
      <c r="N1762" t="s">
        <v>2988</v>
      </c>
    </row>
    <row r="1763" spans="1:14" hidden="1" x14ac:dyDescent="0.25">
      <c r="A1763" t="s">
        <v>1323</v>
      </c>
      <c r="B1763" t="s">
        <v>1337</v>
      </c>
      <c r="C1763" t="s">
        <v>3013</v>
      </c>
      <c r="D1763" t="s">
        <v>20</v>
      </c>
      <c r="F1763">
        <v>918</v>
      </c>
      <c r="G1763">
        <v>17</v>
      </c>
      <c r="H1763" s="89">
        <v>46154</v>
      </c>
      <c r="I1763" s="89">
        <v>46157</v>
      </c>
      <c r="J1763" t="s">
        <v>3014</v>
      </c>
      <c r="N1763" t="s">
        <v>2988</v>
      </c>
    </row>
    <row r="1764" spans="1:14" hidden="1" x14ac:dyDescent="0.25">
      <c r="A1764" t="s">
        <v>1322</v>
      </c>
      <c r="B1764" t="s">
        <v>1336</v>
      </c>
      <c r="C1764" t="s">
        <v>3013</v>
      </c>
      <c r="D1764" t="s">
        <v>20</v>
      </c>
      <c r="F1764">
        <v>162</v>
      </c>
      <c r="G1764">
        <v>3</v>
      </c>
      <c r="H1764" s="89">
        <v>46154</v>
      </c>
      <c r="I1764" s="89">
        <v>46157</v>
      </c>
      <c r="J1764" t="s">
        <v>3014</v>
      </c>
      <c r="N1764" t="s">
        <v>2988</v>
      </c>
    </row>
    <row r="1765" spans="1:14" hidden="1" x14ac:dyDescent="0.25">
      <c r="A1765" t="s">
        <v>1313</v>
      </c>
      <c r="B1765" t="s">
        <v>1327</v>
      </c>
      <c r="C1765" t="s">
        <v>3013</v>
      </c>
      <c r="D1765" t="s">
        <v>20</v>
      </c>
      <c r="F1765">
        <v>192</v>
      </c>
      <c r="G1765">
        <v>4</v>
      </c>
      <c r="H1765" s="89">
        <v>46154</v>
      </c>
      <c r="I1765" s="89">
        <v>46159</v>
      </c>
      <c r="J1765" t="s">
        <v>3015</v>
      </c>
      <c r="N1765" t="s">
        <v>2988</v>
      </c>
    </row>
    <row r="1766" spans="1:14" hidden="1" x14ac:dyDescent="0.25">
      <c r="A1766" t="s">
        <v>1315</v>
      </c>
      <c r="B1766" t="s">
        <v>1329</v>
      </c>
      <c r="C1766" t="s">
        <v>3013</v>
      </c>
      <c r="D1766" t="s">
        <v>20</v>
      </c>
      <c r="F1766">
        <v>6</v>
      </c>
      <c r="G1766" t="s">
        <v>1419</v>
      </c>
      <c r="H1766" s="89">
        <v>46154</v>
      </c>
      <c r="I1766" s="89">
        <v>46156</v>
      </c>
      <c r="N1766" t="s">
        <v>2988</v>
      </c>
    </row>
    <row r="1767" spans="1:14" hidden="1" x14ac:dyDescent="0.25">
      <c r="A1767" t="s">
        <v>1316</v>
      </c>
      <c r="B1767" t="s">
        <v>1330</v>
      </c>
      <c r="C1767" t="s">
        <v>3016</v>
      </c>
      <c r="D1767" t="s">
        <v>20</v>
      </c>
      <c r="F1767">
        <v>95</v>
      </c>
      <c r="G1767" t="s">
        <v>1419</v>
      </c>
      <c r="H1767" s="89">
        <v>46154</v>
      </c>
      <c r="I1767" s="89">
        <v>46156</v>
      </c>
      <c r="N1767" t="s">
        <v>2988</v>
      </c>
    </row>
    <row r="1768" spans="1:14" hidden="1" x14ac:dyDescent="0.25">
      <c r="A1768" t="s">
        <v>1317</v>
      </c>
      <c r="B1768" t="s">
        <v>1331</v>
      </c>
      <c r="C1768" t="s">
        <v>3017</v>
      </c>
      <c r="D1768" t="s">
        <v>20</v>
      </c>
      <c r="F1768">
        <v>1</v>
      </c>
      <c r="G1768" t="s">
        <v>1419</v>
      </c>
      <c r="H1768" s="89">
        <v>46154</v>
      </c>
      <c r="I1768" s="89">
        <v>46156</v>
      </c>
      <c r="N1768" t="s">
        <v>2988</v>
      </c>
    </row>
    <row r="1769" spans="1:14" hidden="1" x14ac:dyDescent="0.25">
      <c r="A1769" t="s">
        <v>1318</v>
      </c>
      <c r="B1769" t="s">
        <v>1332</v>
      </c>
      <c r="C1769" t="s">
        <v>3018</v>
      </c>
      <c r="D1769" t="s">
        <v>20</v>
      </c>
      <c r="F1769">
        <v>48</v>
      </c>
      <c r="G1769" t="s">
        <v>1419</v>
      </c>
      <c r="H1769" s="89">
        <v>46154</v>
      </c>
      <c r="I1769" s="89">
        <v>46156</v>
      </c>
      <c r="N1769" t="s">
        <v>2988</v>
      </c>
    </row>
    <row r="1770" spans="1:14" hidden="1" x14ac:dyDescent="0.25">
      <c r="A1770" t="s">
        <v>1320</v>
      </c>
      <c r="B1770" t="s">
        <v>1334</v>
      </c>
      <c r="C1770" t="s">
        <v>3019</v>
      </c>
      <c r="D1770" t="s">
        <v>21</v>
      </c>
      <c r="F1770">
        <v>192</v>
      </c>
      <c r="G1770">
        <v>4</v>
      </c>
      <c r="H1770" s="89">
        <v>46154</v>
      </c>
      <c r="I1770" s="89">
        <v>46156</v>
      </c>
      <c r="J1770" t="s">
        <v>3000</v>
      </c>
      <c r="N1770" t="s">
        <v>2988</v>
      </c>
    </row>
    <row r="1771" spans="1:14" hidden="1" x14ac:dyDescent="0.25">
      <c r="A1771" t="s">
        <v>1320</v>
      </c>
      <c r="B1771" t="s">
        <v>1334</v>
      </c>
      <c r="C1771" t="s">
        <v>3019</v>
      </c>
      <c r="D1771" t="s">
        <v>21</v>
      </c>
      <c r="F1771">
        <v>960</v>
      </c>
      <c r="G1771">
        <v>20</v>
      </c>
      <c r="H1771" s="89">
        <v>46154</v>
      </c>
      <c r="I1771" s="89">
        <v>46158</v>
      </c>
      <c r="J1771" t="s">
        <v>3020</v>
      </c>
      <c r="N1771" t="s">
        <v>2988</v>
      </c>
    </row>
    <row r="1772" spans="1:14" hidden="1" x14ac:dyDescent="0.25">
      <c r="A1772" t="s">
        <v>1313</v>
      </c>
      <c r="B1772" t="s">
        <v>1327</v>
      </c>
      <c r="C1772" t="s">
        <v>3019</v>
      </c>
      <c r="D1772" t="s">
        <v>21</v>
      </c>
      <c r="F1772">
        <v>480</v>
      </c>
      <c r="G1772">
        <v>10</v>
      </c>
      <c r="H1772" s="89">
        <v>46154</v>
      </c>
      <c r="I1772" s="89">
        <v>46158</v>
      </c>
      <c r="J1772" t="s">
        <v>3021</v>
      </c>
      <c r="N1772" t="s">
        <v>2988</v>
      </c>
    </row>
    <row r="1773" spans="1:14" hidden="1" x14ac:dyDescent="0.25">
      <c r="A1773" t="s">
        <v>1315</v>
      </c>
      <c r="B1773" t="s">
        <v>1329</v>
      </c>
      <c r="C1773" t="s">
        <v>3019</v>
      </c>
      <c r="D1773" t="s">
        <v>21</v>
      </c>
      <c r="F1773">
        <v>231</v>
      </c>
      <c r="G1773" t="s">
        <v>1419</v>
      </c>
      <c r="H1773" s="89">
        <v>46154</v>
      </c>
      <c r="I1773" s="89">
        <v>46156</v>
      </c>
      <c r="N1773" t="s">
        <v>2988</v>
      </c>
    </row>
    <row r="1774" spans="1:14" hidden="1" x14ac:dyDescent="0.25">
      <c r="A1774" t="s">
        <v>1316</v>
      </c>
      <c r="B1774" t="s">
        <v>1330</v>
      </c>
      <c r="C1774" t="s">
        <v>3022</v>
      </c>
      <c r="D1774" t="s">
        <v>21</v>
      </c>
      <c r="F1774">
        <v>57</v>
      </c>
      <c r="G1774" t="s">
        <v>1419</v>
      </c>
      <c r="H1774" s="89">
        <v>46154</v>
      </c>
      <c r="I1774" s="89">
        <v>46156</v>
      </c>
      <c r="N1774" t="s">
        <v>2988</v>
      </c>
    </row>
    <row r="1775" spans="1:14" hidden="1" x14ac:dyDescent="0.25">
      <c r="A1775" t="s">
        <v>1317</v>
      </c>
      <c r="B1775" t="s">
        <v>1331</v>
      </c>
      <c r="C1775" t="s">
        <v>3023</v>
      </c>
      <c r="D1775" t="s">
        <v>21</v>
      </c>
      <c r="F1775">
        <v>16</v>
      </c>
      <c r="G1775" t="s">
        <v>1419</v>
      </c>
      <c r="H1775" s="89">
        <v>46154</v>
      </c>
      <c r="I1775" s="89">
        <v>46156</v>
      </c>
      <c r="N1775" t="s">
        <v>2988</v>
      </c>
    </row>
    <row r="1776" spans="1:14" hidden="1" x14ac:dyDescent="0.25">
      <c r="A1776" t="s">
        <v>1318</v>
      </c>
      <c r="B1776" t="s">
        <v>1332</v>
      </c>
      <c r="C1776" t="s">
        <v>3024</v>
      </c>
      <c r="D1776" t="s">
        <v>21</v>
      </c>
      <c r="F1776">
        <v>137</v>
      </c>
      <c r="G1776" t="s">
        <v>1419</v>
      </c>
      <c r="H1776" s="89">
        <v>46154</v>
      </c>
      <c r="I1776" s="89">
        <v>46156</v>
      </c>
      <c r="N1776" t="s">
        <v>2988</v>
      </c>
    </row>
    <row r="1777" spans="1:14" hidden="1" x14ac:dyDescent="0.25">
      <c r="A1777" t="s">
        <v>1320</v>
      </c>
      <c r="B1777" t="s">
        <v>1334</v>
      </c>
      <c r="C1777" t="s">
        <v>3025</v>
      </c>
      <c r="D1777" t="s">
        <v>15</v>
      </c>
      <c r="F1777">
        <v>960</v>
      </c>
      <c r="G1777">
        <v>20</v>
      </c>
      <c r="H1777" s="89">
        <v>46154</v>
      </c>
      <c r="I1777" s="89">
        <v>46158</v>
      </c>
      <c r="J1777" t="s">
        <v>3026</v>
      </c>
      <c r="N1777" t="s">
        <v>2988</v>
      </c>
    </row>
    <row r="1778" spans="1:14" hidden="1" x14ac:dyDescent="0.25">
      <c r="A1778" t="s">
        <v>1313</v>
      </c>
      <c r="B1778" t="s">
        <v>1327</v>
      </c>
      <c r="C1778" t="s">
        <v>3025</v>
      </c>
      <c r="D1778" t="s">
        <v>15</v>
      </c>
      <c r="F1778">
        <v>672</v>
      </c>
      <c r="G1778">
        <v>14</v>
      </c>
      <c r="H1778" s="89">
        <v>46154</v>
      </c>
      <c r="I1778" s="89">
        <v>46158</v>
      </c>
      <c r="J1778" t="s">
        <v>3021</v>
      </c>
      <c r="N1778" t="s">
        <v>2988</v>
      </c>
    </row>
    <row r="1779" spans="1:14" hidden="1" x14ac:dyDescent="0.25">
      <c r="A1779" t="s">
        <v>1315</v>
      </c>
      <c r="B1779" t="s">
        <v>1329</v>
      </c>
      <c r="C1779" t="s">
        <v>3025</v>
      </c>
      <c r="D1779" t="s">
        <v>15</v>
      </c>
      <c r="F1779">
        <v>11</v>
      </c>
      <c r="G1779" t="s">
        <v>1419</v>
      </c>
      <c r="H1779" s="89">
        <v>46154</v>
      </c>
      <c r="I1779" s="89">
        <v>46156</v>
      </c>
      <c r="N1779" t="s">
        <v>2988</v>
      </c>
    </row>
    <row r="1780" spans="1:14" hidden="1" x14ac:dyDescent="0.25">
      <c r="A1780" t="s">
        <v>1316</v>
      </c>
      <c r="B1780" t="s">
        <v>1330</v>
      </c>
      <c r="C1780" t="s">
        <v>3027</v>
      </c>
      <c r="D1780" t="s">
        <v>15</v>
      </c>
      <c r="F1780">
        <v>93</v>
      </c>
      <c r="G1780" t="s">
        <v>1419</v>
      </c>
      <c r="H1780" s="89">
        <v>46154</v>
      </c>
      <c r="I1780" s="89">
        <v>46156</v>
      </c>
      <c r="N1780" t="s">
        <v>2988</v>
      </c>
    </row>
    <row r="1781" spans="1:14" hidden="1" x14ac:dyDescent="0.25">
      <c r="A1781" t="s">
        <v>1317</v>
      </c>
      <c r="B1781" t="s">
        <v>1331</v>
      </c>
      <c r="C1781" t="s">
        <v>3028</v>
      </c>
      <c r="D1781" t="s">
        <v>15</v>
      </c>
      <c r="F1781">
        <v>13</v>
      </c>
      <c r="G1781" t="s">
        <v>1419</v>
      </c>
      <c r="H1781" s="89">
        <v>46154</v>
      </c>
      <c r="I1781" s="89">
        <v>46156</v>
      </c>
      <c r="N1781" t="s">
        <v>2988</v>
      </c>
    </row>
    <row r="1782" spans="1:14" hidden="1" x14ac:dyDescent="0.25">
      <c r="A1782" t="s">
        <v>1318</v>
      </c>
      <c r="B1782" t="s">
        <v>1332</v>
      </c>
      <c r="C1782" t="s">
        <v>3029</v>
      </c>
      <c r="D1782" t="s">
        <v>15</v>
      </c>
      <c r="F1782">
        <v>47</v>
      </c>
      <c r="G1782" t="s">
        <v>1419</v>
      </c>
      <c r="H1782" s="89">
        <v>46154</v>
      </c>
      <c r="I1782" s="89">
        <v>46156</v>
      </c>
      <c r="N1782" t="s">
        <v>2988</v>
      </c>
    </row>
    <row r="1783" spans="1:14" hidden="1" x14ac:dyDescent="0.25">
      <c r="A1783" t="s">
        <v>1324</v>
      </c>
      <c r="B1783" t="s">
        <v>1338</v>
      </c>
      <c r="C1783" t="s">
        <v>3030</v>
      </c>
      <c r="D1783" t="s">
        <v>23</v>
      </c>
      <c r="F1783">
        <v>480</v>
      </c>
      <c r="G1783">
        <v>10</v>
      </c>
      <c r="H1783" s="89">
        <v>46155</v>
      </c>
      <c r="I1783" s="89">
        <v>46161</v>
      </c>
      <c r="J1783" t="s">
        <v>3011</v>
      </c>
      <c r="N1783" t="s">
        <v>2988</v>
      </c>
    </row>
    <row r="1784" spans="1:14" hidden="1" x14ac:dyDescent="0.25">
      <c r="A1784" t="s">
        <v>1320</v>
      </c>
      <c r="B1784" t="s">
        <v>1334</v>
      </c>
      <c r="C1784" t="s">
        <v>3030</v>
      </c>
      <c r="D1784" t="s">
        <v>23</v>
      </c>
      <c r="F1784">
        <v>480</v>
      </c>
      <c r="G1784">
        <v>10</v>
      </c>
      <c r="H1784" s="89">
        <v>46155</v>
      </c>
      <c r="I1784" s="89">
        <v>46160</v>
      </c>
      <c r="J1784" t="s">
        <v>3031</v>
      </c>
      <c r="N1784" t="s">
        <v>2988</v>
      </c>
    </row>
    <row r="1785" spans="1:14" hidden="1" x14ac:dyDescent="0.25">
      <c r="A1785" t="s">
        <v>1325</v>
      </c>
      <c r="B1785" t="s">
        <v>1339</v>
      </c>
      <c r="C1785" t="s">
        <v>3032</v>
      </c>
      <c r="D1785" t="s">
        <v>138</v>
      </c>
      <c r="F1785">
        <v>384</v>
      </c>
      <c r="G1785">
        <v>8</v>
      </c>
      <c r="H1785" s="89">
        <v>46155</v>
      </c>
      <c r="I1785" s="89">
        <v>46159</v>
      </c>
      <c r="N1785" t="s">
        <v>2988</v>
      </c>
    </row>
    <row r="1786" spans="1:14" hidden="1" x14ac:dyDescent="0.25">
      <c r="A1786" t="s">
        <v>1320</v>
      </c>
      <c r="B1786" t="s">
        <v>1334</v>
      </c>
      <c r="C1786" t="s">
        <v>3033</v>
      </c>
      <c r="D1786" t="s">
        <v>106</v>
      </c>
      <c r="F1786">
        <v>960</v>
      </c>
      <c r="G1786">
        <v>20</v>
      </c>
      <c r="H1786" s="89">
        <v>46155</v>
      </c>
      <c r="I1786" s="89">
        <v>46160</v>
      </c>
      <c r="J1786" t="s">
        <v>3034</v>
      </c>
      <c r="N1786" t="s">
        <v>2988</v>
      </c>
    </row>
    <row r="1787" spans="1:14" hidden="1" x14ac:dyDescent="0.25">
      <c r="A1787" t="s">
        <v>1324</v>
      </c>
      <c r="B1787" t="s">
        <v>1338</v>
      </c>
      <c r="C1787" t="s">
        <v>3035</v>
      </c>
      <c r="D1787" t="s">
        <v>28</v>
      </c>
      <c r="F1787">
        <v>480</v>
      </c>
      <c r="G1787">
        <v>20</v>
      </c>
      <c r="H1787" s="89">
        <v>46155</v>
      </c>
      <c r="I1787" s="89">
        <v>46161</v>
      </c>
      <c r="J1787" t="s">
        <v>3036</v>
      </c>
      <c r="N1787" t="s">
        <v>2988</v>
      </c>
    </row>
    <row r="1788" spans="1:14" hidden="1" x14ac:dyDescent="0.25">
      <c r="A1788" t="s">
        <v>1320</v>
      </c>
      <c r="B1788" t="s">
        <v>1334</v>
      </c>
      <c r="C1788" t="s">
        <v>3035</v>
      </c>
      <c r="D1788" t="s">
        <v>28</v>
      </c>
      <c r="F1788">
        <v>240</v>
      </c>
      <c r="G1788">
        <v>5</v>
      </c>
      <c r="H1788" s="89">
        <v>46155</v>
      </c>
      <c r="I1788" s="89">
        <v>46161</v>
      </c>
      <c r="J1788" t="s">
        <v>3037</v>
      </c>
      <c r="N1788" t="s">
        <v>2988</v>
      </c>
    </row>
    <row r="1789" spans="1:14" hidden="1" x14ac:dyDescent="0.25">
      <c r="A1789" t="s">
        <v>1315</v>
      </c>
      <c r="B1789" t="s">
        <v>1329</v>
      </c>
      <c r="C1789" t="s">
        <v>3035</v>
      </c>
      <c r="D1789" t="s">
        <v>28</v>
      </c>
      <c r="F1789">
        <v>179</v>
      </c>
      <c r="G1789" t="s">
        <v>1419</v>
      </c>
      <c r="H1789" s="89">
        <v>46155</v>
      </c>
      <c r="I1789" s="89">
        <v>46156</v>
      </c>
      <c r="N1789" t="s">
        <v>2988</v>
      </c>
    </row>
    <row r="1790" spans="1:14" hidden="1" x14ac:dyDescent="0.25">
      <c r="A1790" t="s">
        <v>1316</v>
      </c>
      <c r="B1790" t="s">
        <v>1330</v>
      </c>
      <c r="C1790" t="s">
        <v>3038</v>
      </c>
      <c r="D1790" t="s">
        <v>28</v>
      </c>
      <c r="F1790">
        <v>39</v>
      </c>
      <c r="G1790" t="s">
        <v>1419</v>
      </c>
      <c r="H1790" s="89">
        <v>46155</v>
      </c>
      <c r="I1790" s="89">
        <v>46157</v>
      </c>
      <c r="N1790" t="s">
        <v>2988</v>
      </c>
    </row>
    <row r="1791" spans="1:14" hidden="1" x14ac:dyDescent="0.25">
      <c r="A1791" t="s">
        <v>1317</v>
      </c>
      <c r="B1791" t="s">
        <v>1331</v>
      </c>
      <c r="C1791" t="s">
        <v>3039</v>
      </c>
      <c r="D1791" t="s">
        <v>28</v>
      </c>
      <c r="F1791">
        <v>0</v>
      </c>
      <c r="G1791" t="s">
        <v>1419</v>
      </c>
      <c r="H1791" s="89">
        <v>46155</v>
      </c>
      <c r="I1791" s="89">
        <v>46157</v>
      </c>
      <c r="N1791" t="s">
        <v>2988</v>
      </c>
    </row>
    <row r="1792" spans="1:14" hidden="1" x14ac:dyDescent="0.25">
      <c r="A1792" t="s">
        <v>1318</v>
      </c>
      <c r="B1792" t="s">
        <v>1332</v>
      </c>
      <c r="C1792" t="s">
        <v>3040</v>
      </c>
      <c r="D1792" t="s">
        <v>28</v>
      </c>
      <c r="F1792">
        <v>83</v>
      </c>
      <c r="G1792" t="s">
        <v>1419</v>
      </c>
      <c r="H1792" s="89">
        <v>46155</v>
      </c>
      <c r="I1792" s="89">
        <v>46157</v>
      </c>
      <c r="N1792" t="s">
        <v>2988</v>
      </c>
    </row>
    <row r="1793" spans="1:14" hidden="1" x14ac:dyDescent="0.25">
      <c r="A1793" t="s">
        <v>1324</v>
      </c>
      <c r="B1793" t="s">
        <v>1338</v>
      </c>
      <c r="C1793" t="s">
        <v>3041</v>
      </c>
      <c r="D1793" t="s">
        <v>15</v>
      </c>
      <c r="F1793">
        <v>960</v>
      </c>
      <c r="G1793">
        <v>20</v>
      </c>
      <c r="H1793" s="89">
        <v>46155</v>
      </c>
      <c r="I1793" s="89">
        <v>46161</v>
      </c>
      <c r="J1793" t="s">
        <v>3036</v>
      </c>
      <c r="N1793" t="s">
        <v>2988</v>
      </c>
    </row>
    <row r="1794" spans="1:14" hidden="1" x14ac:dyDescent="0.25">
      <c r="A1794" t="s">
        <v>1313</v>
      </c>
      <c r="B1794" t="s">
        <v>1327</v>
      </c>
      <c r="C1794" t="s">
        <v>3041</v>
      </c>
      <c r="D1794" t="s">
        <v>15</v>
      </c>
      <c r="F1794">
        <v>384</v>
      </c>
      <c r="G1794">
        <v>8</v>
      </c>
      <c r="H1794" s="89">
        <v>46155</v>
      </c>
      <c r="I1794" s="89">
        <v>46159</v>
      </c>
      <c r="J1794" t="s">
        <v>3015</v>
      </c>
      <c r="N1794" t="s">
        <v>2988</v>
      </c>
    </row>
    <row r="1795" spans="1:14" hidden="1" x14ac:dyDescent="0.25">
      <c r="A1795" t="s">
        <v>1314</v>
      </c>
      <c r="B1795" t="s">
        <v>1328</v>
      </c>
      <c r="C1795" t="s">
        <v>3041</v>
      </c>
      <c r="D1795" t="s">
        <v>15</v>
      </c>
      <c r="F1795">
        <v>288</v>
      </c>
      <c r="G1795">
        <v>6</v>
      </c>
      <c r="H1795" s="89">
        <v>46155</v>
      </c>
      <c r="I1795" s="89">
        <v>46159</v>
      </c>
      <c r="J1795" t="s">
        <v>3042</v>
      </c>
      <c r="N1795" t="s">
        <v>2988</v>
      </c>
    </row>
    <row r="1796" spans="1:14" hidden="1" x14ac:dyDescent="0.25">
      <c r="A1796" t="s">
        <v>1315</v>
      </c>
      <c r="B1796" t="s">
        <v>1329</v>
      </c>
      <c r="C1796" t="s">
        <v>3041</v>
      </c>
      <c r="D1796" t="s">
        <v>15</v>
      </c>
      <c r="F1796">
        <v>30</v>
      </c>
      <c r="G1796" t="s">
        <v>1419</v>
      </c>
      <c r="H1796" s="89">
        <v>46155</v>
      </c>
      <c r="I1796" s="89">
        <v>46156</v>
      </c>
      <c r="N1796" t="s">
        <v>2988</v>
      </c>
    </row>
    <row r="1797" spans="1:14" hidden="1" x14ac:dyDescent="0.25">
      <c r="A1797" t="s">
        <v>1316</v>
      </c>
      <c r="B1797" t="s">
        <v>1330</v>
      </c>
      <c r="C1797" t="s">
        <v>3043</v>
      </c>
      <c r="D1797" t="s">
        <v>15</v>
      </c>
      <c r="F1797">
        <v>94</v>
      </c>
      <c r="G1797" t="s">
        <v>1419</v>
      </c>
      <c r="H1797" s="89">
        <v>46155</v>
      </c>
      <c r="I1797" s="89">
        <v>46157</v>
      </c>
      <c r="N1797" t="s">
        <v>2988</v>
      </c>
    </row>
    <row r="1798" spans="1:14" hidden="1" x14ac:dyDescent="0.25">
      <c r="A1798" t="s">
        <v>1317</v>
      </c>
      <c r="B1798" t="s">
        <v>1331</v>
      </c>
      <c r="C1798" t="s">
        <v>3044</v>
      </c>
      <c r="D1798" t="s">
        <v>15</v>
      </c>
      <c r="F1798">
        <v>11</v>
      </c>
      <c r="G1798" t="s">
        <v>1419</v>
      </c>
      <c r="H1798" s="89">
        <v>46155</v>
      </c>
      <c r="I1798" s="89">
        <v>46157</v>
      </c>
      <c r="N1798" t="s">
        <v>2988</v>
      </c>
    </row>
    <row r="1799" spans="1:14" hidden="1" x14ac:dyDescent="0.25">
      <c r="A1799" t="s">
        <v>1318</v>
      </c>
      <c r="B1799" t="s">
        <v>1332</v>
      </c>
      <c r="C1799" t="s">
        <v>3045</v>
      </c>
      <c r="D1799" t="s">
        <v>15</v>
      </c>
      <c r="F1799">
        <v>45</v>
      </c>
      <c r="G1799" t="s">
        <v>1419</v>
      </c>
      <c r="H1799" s="89">
        <v>46155</v>
      </c>
      <c r="I1799" s="89">
        <v>46157</v>
      </c>
      <c r="N1799" t="s">
        <v>2988</v>
      </c>
    </row>
    <row r="1800" spans="1:14" hidden="1" x14ac:dyDescent="0.25">
      <c r="A1800" t="s">
        <v>1313</v>
      </c>
      <c r="B1800" t="s">
        <v>1327</v>
      </c>
      <c r="C1800" t="s">
        <v>3046</v>
      </c>
      <c r="D1800" t="s">
        <v>20</v>
      </c>
      <c r="F1800">
        <v>1104</v>
      </c>
      <c r="G1800">
        <v>23</v>
      </c>
      <c r="H1800" s="89">
        <v>46155</v>
      </c>
      <c r="I1800" s="89">
        <v>46160</v>
      </c>
      <c r="J1800" t="s">
        <v>3047</v>
      </c>
      <c r="N1800" t="s">
        <v>2988</v>
      </c>
    </row>
    <row r="1801" spans="1:14" hidden="1" x14ac:dyDescent="0.25">
      <c r="A1801" t="s">
        <v>1319</v>
      </c>
      <c r="B1801" t="s">
        <v>1333</v>
      </c>
      <c r="C1801" t="s">
        <v>3046</v>
      </c>
      <c r="D1801" t="s">
        <v>20</v>
      </c>
      <c r="F1801">
        <v>48</v>
      </c>
      <c r="G1801">
        <v>1</v>
      </c>
      <c r="H1801" s="89">
        <v>46155</v>
      </c>
      <c r="I1801" s="89">
        <v>46160</v>
      </c>
      <c r="J1801" t="s">
        <v>3047</v>
      </c>
      <c r="N1801" t="s">
        <v>2988</v>
      </c>
    </row>
    <row r="1802" spans="1:14" hidden="1" x14ac:dyDescent="0.25">
      <c r="A1802" t="s">
        <v>1313</v>
      </c>
      <c r="B1802" t="s">
        <v>1327</v>
      </c>
      <c r="C1802" t="s">
        <v>3046</v>
      </c>
      <c r="D1802" t="s">
        <v>20</v>
      </c>
      <c r="F1802">
        <v>288</v>
      </c>
      <c r="G1802">
        <v>6</v>
      </c>
      <c r="H1802" s="89">
        <v>46155</v>
      </c>
      <c r="I1802" s="89">
        <v>46159</v>
      </c>
      <c r="J1802" t="s">
        <v>3015</v>
      </c>
      <c r="N1802" t="s">
        <v>2988</v>
      </c>
    </row>
    <row r="1803" spans="1:14" hidden="1" x14ac:dyDescent="0.25">
      <c r="A1803" t="s">
        <v>1315</v>
      </c>
      <c r="B1803" t="s">
        <v>1329</v>
      </c>
      <c r="C1803" t="s">
        <v>3046</v>
      </c>
      <c r="D1803" t="s">
        <v>20</v>
      </c>
      <c r="F1803">
        <v>59</v>
      </c>
      <c r="G1803" t="s">
        <v>1419</v>
      </c>
      <c r="H1803" s="89">
        <v>46155</v>
      </c>
      <c r="I1803" s="89">
        <v>46156</v>
      </c>
      <c r="N1803" t="s">
        <v>2988</v>
      </c>
    </row>
    <row r="1804" spans="1:14" hidden="1" x14ac:dyDescent="0.25">
      <c r="A1804" t="s">
        <v>1316</v>
      </c>
      <c r="B1804" t="s">
        <v>1330</v>
      </c>
      <c r="C1804" t="s">
        <v>3048</v>
      </c>
      <c r="D1804" t="s">
        <v>20</v>
      </c>
      <c r="F1804">
        <v>142</v>
      </c>
      <c r="G1804" t="s">
        <v>1419</v>
      </c>
      <c r="H1804" s="89">
        <v>46155</v>
      </c>
      <c r="I1804" s="89">
        <v>46157</v>
      </c>
      <c r="N1804" t="s">
        <v>2988</v>
      </c>
    </row>
    <row r="1805" spans="1:14" hidden="1" x14ac:dyDescent="0.25">
      <c r="A1805" t="s">
        <v>1317</v>
      </c>
      <c r="B1805" t="s">
        <v>1331</v>
      </c>
      <c r="C1805" t="s">
        <v>3049</v>
      </c>
      <c r="D1805" t="s">
        <v>20</v>
      </c>
      <c r="F1805">
        <v>12</v>
      </c>
      <c r="G1805" t="s">
        <v>1419</v>
      </c>
      <c r="H1805" s="89">
        <v>46155</v>
      </c>
      <c r="I1805" s="89">
        <v>46157</v>
      </c>
      <c r="N1805" t="s">
        <v>2988</v>
      </c>
    </row>
    <row r="1806" spans="1:14" hidden="1" x14ac:dyDescent="0.25">
      <c r="A1806" t="s">
        <v>1318</v>
      </c>
      <c r="B1806" t="s">
        <v>1332</v>
      </c>
      <c r="C1806" t="s">
        <v>3050</v>
      </c>
      <c r="D1806" t="s">
        <v>20</v>
      </c>
      <c r="F1806">
        <v>78</v>
      </c>
      <c r="G1806" t="s">
        <v>1419</v>
      </c>
      <c r="H1806" s="89">
        <v>46155</v>
      </c>
      <c r="I1806" s="89">
        <v>46157</v>
      </c>
      <c r="N1806" t="s">
        <v>2988</v>
      </c>
    </row>
    <row r="1807" spans="1:14" hidden="1" x14ac:dyDescent="0.25">
      <c r="A1807" t="s">
        <v>1324</v>
      </c>
      <c r="B1807" t="s">
        <v>1338</v>
      </c>
      <c r="C1807" t="s">
        <v>3051</v>
      </c>
      <c r="D1807" t="s">
        <v>106</v>
      </c>
      <c r="F1807">
        <v>960</v>
      </c>
      <c r="G1807">
        <v>20</v>
      </c>
      <c r="H1807" s="89">
        <v>46156</v>
      </c>
      <c r="I1807" s="89">
        <v>46163</v>
      </c>
      <c r="J1807" t="s">
        <v>3052</v>
      </c>
      <c r="N1807" t="s">
        <v>2988</v>
      </c>
    </row>
    <row r="1808" spans="1:14" hidden="1" x14ac:dyDescent="0.25">
      <c r="A1808" t="s">
        <v>1313</v>
      </c>
      <c r="B1808" t="s">
        <v>1327</v>
      </c>
      <c r="C1808" t="s">
        <v>3053</v>
      </c>
      <c r="D1808" t="s">
        <v>20</v>
      </c>
      <c r="F1808">
        <v>192</v>
      </c>
      <c r="G1808">
        <v>4</v>
      </c>
      <c r="H1808" s="89">
        <v>46156</v>
      </c>
      <c r="I1808" s="89">
        <v>46160</v>
      </c>
      <c r="J1808" t="s">
        <v>3054</v>
      </c>
      <c r="N1808" t="s">
        <v>2988</v>
      </c>
    </row>
    <row r="1809" spans="1:14" hidden="1" x14ac:dyDescent="0.25">
      <c r="A1809" t="s">
        <v>1320</v>
      </c>
      <c r="B1809" t="s">
        <v>1334</v>
      </c>
      <c r="C1809" t="s">
        <v>3053</v>
      </c>
      <c r="D1809" t="s">
        <v>20</v>
      </c>
      <c r="F1809">
        <v>960</v>
      </c>
      <c r="G1809">
        <v>20</v>
      </c>
      <c r="H1809" s="89">
        <v>46156</v>
      </c>
      <c r="I1809" s="89">
        <v>46161</v>
      </c>
      <c r="J1809" t="s">
        <v>3055</v>
      </c>
      <c r="N1809" t="s">
        <v>2988</v>
      </c>
    </row>
    <row r="1810" spans="1:14" hidden="1" x14ac:dyDescent="0.25">
      <c r="A1810" t="s">
        <v>1315</v>
      </c>
      <c r="B1810" t="s">
        <v>1329</v>
      </c>
      <c r="C1810" t="s">
        <v>3053</v>
      </c>
      <c r="D1810" t="s">
        <v>20</v>
      </c>
      <c r="F1810">
        <v>78</v>
      </c>
      <c r="G1810" t="s">
        <v>1419</v>
      </c>
      <c r="H1810" s="89">
        <v>46156</v>
      </c>
      <c r="I1810" s="89">
        <v>46156</v>
      </c>
      <c r="N1810" t="s">
        <v>2988</v>
      </c>
    </row>
    <row r="1811" spans="1:14" hidden="1" x14ac:dyDescent="0.25">
      <c r="A1811" t="s">
        <v>1316</v>
      </c>
      <c r="B1811" t="s">
        <v>1330</v>
      </c>
      <c r="C1811" t="s">
        <v>3056</v>
      </c>
      <c r="D1811" t="s">
        <v>20</v>
      </c>
      <c r="F1811">
        <v>118</v>
      </c>
      <c r="G1811" t="s">
        <v>1419</v>
      </c>
      <c r="H1811" s="89">
        <v>46156</v>
      </c>
      <c r="I1811" s="89">
        <v>46158</v>
      </c>
      <c r="N1811" t="s">
        <v>2988</v>
      </c>
    </row>
    <row r="1812" spans="1:14" hidden="1" x14ac:dyDescent="0.25">
      <c r="A1812" t="s">
        <v>1317</v>
      </c>
      <c r="B1812" t="s">
        <v>1331</v>
      </c>
      <c r="C1812" t="s">
        <v>3057</v>
      </c>
      <c r="D1812" t="s">
        <v>20</v>
      </c>
      <c r="F1812">
        <v>10</v>
      </c>
      <c r="G1812" t="s">
        <v>1419</v>
      </c>
      <c r="H1812" s="89">
        <v>46156</v>
      </c>
      <c r="I1812" s="89">
        <v>46158</v>
      </c>
      <c r="N1812" t="s">
        <v>2988</v>
      </c>
    </row>
    <row r="1813" spans="1:14" hidden="1" x14ac:dyDescent="0.25">
      <c r="A1813" t="s">
        <v>1318</v>
      </c>
      <c r="B1813" t="s">
        <v>1332</v>
      </c>
      <c r="C1813" t="s">
        <v>3058</v>
      </c>
      <c r="D1813" t="s">
        <v>20</v>
      </c>
      <c r="F1813">
        <v>56</v>
      </c>
      <c r="G1813" t="s">
        <v>1419</v>
      </c>
      <c r="H1813" s="89">
        <v>46156</v>
      </c>
      <c r="I1813" s="89">
        <v>46158</v>
      </c>
      <c r="N1813" t="s">
        <v>2988</v>
      </c>
    </row>
    <row r="1814" spans="1:14" hidden="1" x14ac:dyDescent="0.25">
      <c r="A1814" t="s">
        <v>1320</v>
      </c>
      <c r="B1814" t="s">
        <v>1334</v>
      </c>
      <c r="C1814" t="s">
        <v>3059</v>
      </c>
      <c r="D1814" t="s">
        <v>15</v>
      </c>
      <c r="F1814">
        <v>480</v>
      </c>
      <c r="G1814">
        <v>10</v>
      </c>
      <c r="H1814" s="89">
        <v>46156</v>
      </c>
      <c r="I1814" s="89">
        <v>46160</v>
      </c>
      <c r="J1814" t="s">
        <v>3031</v>
      </c>
      <c r="N1814" t="s">
        <v>2988</v>
      </c>
    </row>
    <row r="1815" spans="1:14" hidden="1" x14ac:dyDescent="0.25">
      <c r="A1815" t="s">
        <v>1313</v>
      </c>
      <c r="B1815" t="s">
        <v>1327</v>
      </c>
      <c r="C1815" t="s">
        <v>3059</v>
      </c>
      <c r="D1815" t="s">
        <v>15</v>
      </c>
      <c r="F1815">
        <v>960</v>
      </c>
      <c r="G1815">
        <v>20</v>
      </c>
      <c r="H1815" s="89">
        <v>46156</v>
      </c>
      <c r="I1815" s="89">
        <v>46160</v>
      </c>
      <c r="J1815" t="s">
        <v>3054</v>
      </c>
      <c r="N1815" t="s">
        <v>2988</v>
      </c>
    </row>
    <row r="1816" spans="1:14" hidden="1" x14ac:dyDescent="0.25">
      <c r="A1816" t="s">
        <v>1315</v>
      </c>
      <c r="B1816" t="s">
        <v>1329</v>
      </c>
      <c r="C1816" t="s">
        <v>3059</v>
      </c>
      <c r="D1816" t="s">
        <v>15</v>
      </c>
      <c r="F1816">
        <v>36</v>
      </c>
      <c r="G1816" t="s">
        <v>1419</v>
      </c>
      <c r="H1816" s="89">
        <v>46156</v>
      </c>
      <c r="I1816" s="89">
        <v>46156</v>
      </c>
      <c r="N1816" t="s">
        <v>2988</v>
      </c>
    </row>
    <row r="1817" spans="1:14" hidden="1" x14ac:dyDescent="0.25">
      <c r="A1817" t="s">
        <v>1316</v>
      </c>
      <c r="B1817" t="s">
        <v>1330</v>
      </c>
      <c r="C1817" t="s">
        <v>3060</v>
      </c>
      <c r="D1817" t="s">
        <v>15</v>
      </c>
      <c r="F1817">
        <v>72</v>
      </c>
      <c r="G1817" t="s">
        <v>1419</v>
      </c>
      <c r="H1817" s="89">
        <v>46156</v>
      </c>
      <c r="I1817" s="89">
        <v>46158</v>
      </c>
      <c r="N1817" t="s">
        <v>2988</v>
      </c>
    </row>
    <row r="1818" spans="1:14" hidden="1" x14ac:dyDescent="0.25">
      <c r="A1818" t="s">
        <v>1317</v>
      </c>
      <c r="B1818" t="s">
        <v>1331</v>
      </c>
      <c r="C1818" t="s">
        <v>3061</v>
      </c>
      <c r="D1818" t="s">
        <v>15</v>
      </c>
      <c r="F1818">
        <v>13</v>
      </c>
      <c r="G1818" t="s">
        <v>1419</v>
      </c>
      <c r="H1818" s="89">
        <v>46156</v>
      </c>
      <c r="I1818" s="89">
        <v>46158</v>
      </c>
      <c r="N1818" t="s">
        <v>2988</v>
      </c>
    </row>
    <row r="1819" spans="1:14" hidden="1" x14ac:dyDescent="0.25">
      <c r="A1819" t="s">
        <v>1318</v>
      </c>
      <c r="B1819" t="s">
        <v>1332</v>
      </c>
      <c r="C1819" t="s">
        <v>3062</v>
      </c>
      <c r="D1819" t="s">
        <v>15</v>
      </c>
      <c r="F1819">
        <v>39</v>
      </c>
      <c r="G1819" t="s">
        <v>1419</v>
      </c>
      <c r="H1819" s="89">
        <v>46156</v>
      </c>
      <c r="I1819" s="89">
        <v>46158</v>
      </c>
      <c r="N1819" t="s">
        <v>2988</v>
      </c>
    </row>
    <row r="1820" spans="1:14" hidden="1" x14ac:dyDescent="0.25">
      <c r="A1820" t="s">
        <v>1320</v>
      </c>
      <c r="B1820" t="s">
        <v>1334</v>
      </c>
      <c r="C1820" t="s">
        <v>3063</v>
      </c>
      <c r="D1820" t="s">
        <v>21</v>
      </c>
      <c r="F1820">
        <v>720</v>
      </c>
      <c r="G1820">
        <v>15</v>
      </c>
      <c r="H1820" s="89">
        <v>46156</v>
      </c>
      <c r="I1820" s="89">
        <v>46161</v>
      </c>
      <c r="J1820" t="s">
        <v>3037</v>
      </c>
      <c r="N1820" t="s">
        <v>2988</v>
      </c>
    </row>
    <row r="1821" spans="1:14" hidden="1" x14ac:dyDescent="0.25">
      <c r="A1821" t="s">
        <v>1313</v>
      </c>
      <c r="B1821" t="s">
        <v>1327</v>
      </c>
      <c r="C1821" t="s">
        <v>3063</v>
      </c>
      <c r="D1821" t="s">
        <v>21</v>
      </c>
      <c r="F1821">
        <v>720</v>
      </c>
      <c r="G1821">
        <v>15</v>
      </c>
      <c r="H1821" s="89">
        <v>46156</v>
      </c>
      <c r="I1821" s="89">
        <v>46161</v>
      </c>
      <c r="J1821" t="s">
        <v>3064</v>
      </c>
      <c r="N1821" t="s">
        <v>2988</v>
      </c>
    </row>
    <row r="1822" spans="1:14" hidden="1" x14ac:dyDescent="0.25">
      <c r="A1822" t="s">
        <v>1315</v>
      </c>
      <c r="B1822" t="s">
        <v>1329</v>
      </c>
      <c r="C1822" t="s">
        <v>3063</v>
      </c>
      <c r="D1822" t="s">
        <v>21</v>
      </c>
      <c r="F1822">
        <v>218</v>
      </c>
      <c r="G1822" t="s">
        <v>1419</v>
      </c>
      <c r="H1822" s="89">
        <v>46156</v>
      </c>
      <c r="I1822" s="89">
        <v>46156</v>
      </c>
      <c r="N1822" t="s">
        <v>2988</v>
      </c>
    </row>
    <row r="1823" spans="1:14" hidden="1" x14ac:dyDescent="0.25">
      <c r="A1823" t="s">
        <v>1316</v>
      </c>
      <c r="B1823" t="s">
        <v>1330</v>
      </c>
      <c r="C1823" t="s">
        <v>3065</v>
      </c>
      <c r="D1823" t="s">
        <v>21</v>
      </c>
      <c r="F1823">
        <v>30</v>
      </c>
      <c r="G1823" t="s">
        <v>1419</v>
      </c>
      <c r="H1823" s="89">
        <v>46156</v>
      </c>
      <c r="I1823" s="89">
        <v>46158</v>
      </c>
      <c r="N1823" t="s">
        <v>2988</v>
      </c>
    </row>
    <row r="1824" spans="1:14" hidden="1" x14ac:dyDescent="0.25">
      <c r="A1824" t="s">
        <v>1317</v>
      </c>
      <c r="B1824" t="s">
        <v>1331</v>
      </c>
      <c r="C1824" t="s">
        <v>3066</v>
      </c>
      <c r="D1824" t="s">
        <v>21</v>
      </c>
      <c r="F1824">
        <v>15</v>
      </c>
      <c r="G1824" t="s">
        <v>1419</v>
      </c>
      <c r="H1824" s="89">
        <v>46156</v>
      </c>
      <c r="I1824" s="89">
        <v>46158</v>
      </c>
      <c r="N1824" t="s">
        <v>2988</v>
      </c>
    </row>
    <row r="1825" spans="1:14" hidden="1" x14ac:dyDescent="0.25">
      <c r="A1825" t="s">
        <v>1318</v>
      </c>
      <c r="B1825" t="s">
        <v>1332</v>
      </c>
      <c r="C1825" t="s">
        <v>3067</v>
      </c>
      <c r="D1825" t="s">
        <v>21</v>
      </c>
      <c r="F1825">
        <v>113</v>
      </c>
      <c r="G1825" t="s">
        <v>1419</v>
      </c>
      <c r="H1825" s="89">
        <v>46156</v>
      </c>
      <c r="I1825" s="89">
        <v>46158</v>
      </c>
      <c r="N1825" t="s">
        <v>2988</v>
      </c>
    </row>
    <row r="1826" spans="1:14" hidden="1" x14ac:dyDescent="0.25">
      <c r="A1826" t="s">
        <v>1324</v>
      </c>
      <c r="B1826" t="s">
        <v>1338</v>
      </c>
      <c r="C1826" t="s">
        <v>3068</v>
      </c>
      <c r="D1826" t="s">
        <v>23</v>
      </c>
      <c r="F1826">
        <v>960</v>
      </c>
      <c r="G1826">
        <v>20</v>
      </c>
      <c r="H1826" s="89">
        <v>46156</v>
      </c>
      <c r="I1826" s="89">
        <v>46163</v>
      </c>
      <c r="J1826" t="s">
        <v>3052</v>
      </c>
      <c r="N1826" t="s">
        <v>2988</v>
      </c>
    </row>
    <row r="1827" spans="1:14" hidden="1" x14ac:dyDescent="0.25">
      <c r="A1827" t="s">
        <v>1326</v>
      </c>
      <c r="B1827" t="s">
        <v>1340</v>
      </c>
      <c r="C1827" t="s">
        <v>3069</v>
      </c>
      <c r="D1827" t="s">
        <v>32</v>
      </c>
      <c r="F1827">
        <v>840</v>
      </c>
      <c r="G1827">
        <v>20</v>
      </c>
      <c r="H1827" s="89">
        <v>46157</v>
      </c>
      <c r="I1827" s="89">
        <v>46165</v>
      </c>
      <c r="J1827" t="s">
        <v>3070</v>
      </c>
      <c r="N1827" t="s">
        <v>2988</v>
      </c>
    </row>
    <row r="1828" spans="1:14" hidden="1" x14ac:dyDescent="0.25">
      <c r="A1828" t="s">
        <v>1320</v>
      </c>
      <c r="B1828" t="s">
        <v>1334</v>
      </c>
      <c r="C1828" t="s">
        <v>3071</v>
      </c>
      <c r="D1828" t="s">
        <v>71</v>
      </c>
      <c r="F1828">
        <v>960</v>
      </c>
      <c r="G1828">
        <v>20</v>
      </c>
      <c r="H1828" s="89">
        <v>46157</v>
      </c>
      <c r="I1828" s="89">
        <v>46163</v>
      </c>
      <c r="J1828" t="s">
        <v>3072</v>
      </c>
      <c r="N1828" t="s">
        <v>2988</v>
      </c>
    </row>
    <row r="1829" spans="1:14" hidden="1" x14ac:dyDescent="0.25">
      <c r="A1829" t="s">
        <v>1313</v>
      </c>
      <c r="B1829" t="s">
        <v>1327</v>
      </c>
      <c r="C1829" t="s">
        <v>3073</v>
      </c>
      <c r="D1829" t="s">
        <v>129</v>
      </c>
      <c r="F1829">
        <v>720</v>
      </c>
      <c r="G1829">
        <v>15</v>
      </c>
      <c r="H1829" s="89">
        <v>46157</v>
      </c>
      <c r="I1829" s="89">
        <v>46162</v>
      </c>
      <c r="J1829" t="s">
        <v>3074</v>
      </c>
      <c r="N1829" t="s">
        <v>2988</v>
      </c>
    </row>
    <row r="1830" spans="1:14" hidden="1" x14ac:dyDescent="0.25">
      <c r="A1830" t="s">
        <v>1320</v>
      </c>
      <c r="B1830" t="s">
        <v>1334</v>
      </c>
      <c r="C1830" t="s">
        <v>3075</v>
      </c>
      <c r="D1830" t="s">
        <v>15</v>
      </c>
      <c r="F1830">
        <v>960</v>
      </c>
      <c r="G1830">
        <v>20</v>
      </c>
      <c r="H1830" s="89">
        <v>46157</v>
      </c>
      <c r="I1830" s="89">
        <v>46162</v>
      </c>
      <c r="J1830" t="s">
        <v>3076</v>
      </c>
      <c r="N1830" t="s">
        <v>2988</v>
      </c>
    </row>
    <row r="1831" spans="1:14" hidden="1" x14ac:dyDescent="0.25">
      <c r="A1831" t="s">
        <v>1313</v>
      </c>
      <c r="B1831" t="s">
        <v>1327</v>
      </c>
      <c r="C1831" t="s">
        <v>3075</v>
      </c>
      <c r="D1831" t="s">
        <v>15</v>
      </c>
      <c r="F1831">
        <v>144</v>
      </c>
      <c r="G1831">
        <v>3</v>
      </c>
      <c r="H1831" s="89">
        <v>46157</v>
      </c>
      <c r="I1831" s="89">
        <v>46161</v>
      </c>
      <c r="J1831" t="s">
        <v>3064</v>
      </c>
      <c r="N1831" t="s">
        <v>2988</v>
      </c>
    </row>
    <row r="1832" spans="1:14" hidden="1" x14ac:dyDescent="0.25">
      <c r="A1832" t="s">
        <v>1313</v>
      </c>
      <c r="B1832" t="s">
        <v>1327</v>
      </c>
      <c r="C1832" t="s">
        <v>3075</v>
      </c>
      <c r="D1832" t="s">
        <v>15</v>
      </c>
      <c r="F1832">
        <v>144</v>
      </c>
      <c r="G1832">
        <v>3</v>
      </c>
      <c r="H1832" s="89">
        <v>46157</v>
      </c>
      <c r="I1832" s="89">
        <v>46159</v>
      </c>
      <c r="N1832" t="s">
        <v>2988</v>
      </c>
    </row>
    <row r="1833" spans="1:14" hidden="1" x14ac:dyDescent="0.25">
      <c r="A1833" t="s">
        <v>1315</v>
      </c>
      <c r="B1833" t="s">
        <v>1329</v>
      </c>
      <c r="C1833" t="s">
        <v>3075</v>
      </c>
      <c r="D1833" t="s">
        <v>15</v>
      </c>
      <c r="F1833">
        <v>48</v>
      </c>
      <c r="G1833" t="s">
        <v>1419</v>
      </c>
      <c r="H1833" s="89">
        <v>46157</v>
      </c>
      <c r="I1833" s="89">
        <v>46159</v>
      </c>
      <c r="N1833" t="s">
        <v>2988</v>
      </c>
    </row>
    <row r="1834" spans="1:14" hidden="1" x14ac:dyDescent="0.25">
      <c r="A1834" t="s">
        <v>1316</v>
      </c>
      <c r="B1834" t="s">
        <v>1330</v>
      </c>
      <c r="C1834" t="s">
        <v>3077</v>
      </c>
      <c r="D1834" t="s">
        <v>15</v>
      </c>
      <c r="F1834">
        <v>65</v>
      </c>
      <c r="G1834" t="s">
        <v>1419</v>
      </c>
      <c r="H1834" s="89">
        <v>46157</v>
      </c>
      <c r="I1834" s="89">
        <v>46159</v>
      </c>
      <c r="N1834" t="s">
        <v>2988</v>
      </c>
    </row>
    <row r="1835" spans="1:14" hidden="1" x14ac:dyDescent="0.25">
      <c r="A1835" t="s">
        <v>1317</v>
      </c>
      <c r="B1835" t="s">
        <v>1331</v>
      </c>
      <c r="C1835" t="s">
        <v>3078</v>
      </c>
      <c r="D1835" t="s">
        <v>15</v>
      </c>
      <c r="F1835">
        <v>15</v>
      </c>
      <c r="G1835" t="s">
        <v>1419</v>
      </c>
      <c r="H1835" s="89">
        <v>46157</v>
      </c>
      <c r="I1835" s="89">
        <v>46159</v>
      </c>
      <c r="N1835" t="s">
        <v>2988</v>
      </c>
    </row>
    <row r="1836" spans="1:14" hidden="1" x14ac:dyDescent="0.25">
      <c r="A1836" t="s">
        <v>1318</v>
      </c>
      <c r="B1836" t="s">
        <v>1332</v>
      </c>
      <c r="C1836" t="s">
        <v>3079</v>
      </c>
      <c r="D1836" t="s">
        <v>15</v>
      </c>
      <c r="F1836">
        <v>39</v>
      </c>
      <c r="G1836" t="s">
        <v>1419</v>
      </c>
      <c r="H1836" s="89">
        <v>46157</v>
      </c>
      <c r="I1836" s="89">
        <v>46159</v>
      </c>
      <c r="N1836" t="s">
        <v>2988</v>
      </c>
    </row>
    <row r="1837" spans="1:14" hidden="1" x14ac:dyDescent="0.25">
      <c r="A1837" t="s">
        <v>1320</v>
      </c>
      <c r="B1837" t="s">
        <v>1334</v>
      </c>
      <c r="C1837" t="s">
        <v>3080</v>
      </c>
      <c r="D1837" t="s">
        <v>21</v>
      </c>
      <c r="F1837">
        <v>960</v>
      </c>
      <c r="G1837">
        <v>20</v>
      </c>
      <c r="H1837" s="89">
        <v>46157</v>
      </c>
      <c r="I1837" s="89">
        <v>46162</v>
      </c>
      <c r="J1837" t="s">
        <v>3081</v>
      </c>
      <c r="N1837" t="s">
        <v>2988</v>
      </c>
    </row>
    <row r="1838" spans="1:14" hidden="1" x14ac:dyDescent="0.25">
      <c r="A1838" t="s">
        <v>1314</v>
      </c>
      <c r="B1838" t="s">
        <v>1328</v>
      </c>
      <c r="C1838" t="s">
        <v>3080</v>
      </c>
      <c r="D1838" t="s">
        <v>21</v>
      </c>
      <c r="F1838">
        <v>288</v>
      </c>
      <c r="G1838">
        <v>6</v>
      </c>
      <c r="H1838" s="89">
        <v>46157</v>
      </c>
      <c r="I1838" s="89">
        <v>46161</v>
      </c>
      <c r="J1838" t="s">
        <v>3082</v>
      </c>
      <c r="N1838" t="s">
        <v>2988</v>
      </c>
    </row>
    <row r="1839" spans="1:14" hidden="1" x14ac:dyDescent="0.25">
      <c r="A1839" t="s">
        <v>1315</v>
      </c>
      <c r="B1839" t="s">
        <v>1329</v>
      </c>
      <c r="C1839" t="s">
        <v>3080</v>
      </c>
      <c r="D1839" t="s">
        <v>21</v>
      </c>
      <c r="F1839">
        <v>96</v>
      </c>
      <c r="G1839" t="s">
        <v>1419</v>
      </c>
      <c r="H1839" s="89">
        <v>46157</v>
      </c>
      <c r="I1839" s="89">
        <v>46159</v>
      </c>
      <c r="N1839" t="s">
        <v>2988</v>
      </c>
    </row>
    <row r="1840" spans="1:14" hidden="1" x14ac:dyDescent="0.25">
      <c r="A1840" t="s">
        <v>1316</v>
      </c>
      <c r="B1840" t="s">
        <v>1330</v>
      </c>
      <c r="C1840" t="s">
        <v>3083</v>
      </c>
      <c r="D1840" t="s">
        <v>21</v>
      </c>
      <c r="F1840">
        <v>42</v>
      </c>
      <c r="G1840" t="s">
        <v>1419</v>
      </c>
      <c r="H1840" s="89">
        <v>46157</v>
      </c>
      <c r="I1840" s="89">
        <v>46159</v>
      </c>
      <c r="N1840" t="s">
        <v>2988</v>
      </c>
    </row>
    <row r="1841" spans="1:14" hidden="1" x14ac:dyDescent="0.25">
      <c r="A1841" t="s">
        <v>1317</v>
      </c>
      <c r="B1841" t="s">
        <v>1331</v>
      </c>
      <c r="C1841" t="s">
        <v>3084</v>
      </c>
      <c r="D1841" t="s">
        <v>21</v>
      </c>
      <c r="F1841">
        <v>14</v>
      </c>
      <c r="G1841" t="s">
        <v>1419</v>
      </c>
      <c r="H1841" s="89">
        <v>46157</v>
      </c>
      <c r="I1841" s="89">
        <v>46159</v>
      </c>
      <c r="N1841" t="s">
        <v>2988</v>
      </c>
    </row>
    <row r="1842" spans="1:14" hidden="1" x14ac:dyDescent="0.25">
      <c r="A1842" t="s">
        <v>1318</v>
      </c>
      <c r="B1842" t="s">
        <v>1332</v>
      </c>
      <c r="C1842" t="s">
        <v>3085</v>
      </c>
      <c r="D1842" t="s">
        <v>21</v>
      </c>
      <c r="F1842">
        <v>40</v>
      </c>
      <c r="G1842" t="s">
        <v>1419</v>
      </c>
      <c r="H1842" s="89">
        <v>46157</v>
      </c>
      <c r="I1842" s="89">
        <v>46159</v>
      </c>
      <c r="N1842" t="s">
        <v>2988</v>
      </c>
    </row>
    <row r="1843" spans="1:14" hidden="1" x14ac:dyDescent="0.25">
      <c r="A1843" t="s">
        <v>1324</v>
      </c>
      <c r="B1843" t="s">
        <v>1338</v>
      </c>
      <c r="C1843" t="s">
        <v>3086</v>
      </c>
      <c r="D1843" t="s">
        <v>20</v>
      </c>
      <c r="F1843">
        <v>1104</v>
      </c>
      <c r="G1843">
        <v>23</v>
      </c>
      <c r="H1843" s="89">
        <v>46157</v>
      </c>
      <c r="I1843" s="89">
        <v>46159</v>
      </c>
      <c r="N1843" t="s">
        <v>2988</v>
      </c>
    </row>
    <row r="1844" spans="1:14" hidden="1" x14ac:dyDescent="0.25">
      <c r="A1844" t="s">
        <v>1313</v>
      </c>
      <c r="B1844" t="s">
        <v>1327</v>
      </c>
      <c r="C1844" t="s">
        <v>3086</v>
      </c>
      <c r="D1844" t="s">
        <v>20</v>
      </c>
      <c r="F1844">
        <v>48</v>
      </c>
      <c r="G1844">
        <v>1</v>
      </c>
      <c r="H1844" s="89">
        <v>46157</v>
      </c>
      <c r="I1844" s="89">
        <v>46159</v>
      </c>
      <c r="N1844" t="s">
        <v>2988</v>
      </c>
    </row>
    <row r="1845" spans="1:14" hidden="1" x14ac:dyDescent="0.25">
      <c r="A1845" t="s">
        <v>1315</v>
      </c>
      <c r="B1845" t="s">
        <v>1329</v>
      </c>
      <c r="C1845" t="s">
        <v>3086</v>
      </c>
      <c r="D1845" t="s">
        <v>20</v>
      </c>
      <c r="F1845">
        <v>85</v>
      </c>
      <c r="G1845" t="s">
        <v>1419</v>
      </c>
      <c r="H1845" s="89">
        <v>46157</v>
      </c>
      <c r="I1845" s="89">
        <v>46159</v>
      </c>
      <c r="N1845" t="s">
        <v>2988</v>
      </c>
    </row>
    <row r="1846" spans="1:14" hidden="1" x14ac:dyDescent="0.25">
      <c r="A1846" t="s">
        <v>1316</v>
      </c>
      <c r="B1846" t="s">
        <v>1330</v>
      </c>
      <c r="C1846" t="s">
        <v>3087</v>
      </c>
      <c r="D1846" t="s">
        <v>20</v>
      </c>
      <c r="F1846">
        <v>83</v>
      </c>
      <c r="G1846" t="s">
        <v>1419</v>
      </c>
      <c r="H1846" s="89">
        <v>46157</v>
      </c>
      <c r="I1846" s="89">
        <v>46159</v>
      </c>
      <c r="N1846" t="s">
        <v>2988</v>
      </c>
    </row>
    <row r="1847" spans="1:14" hidden="1" x14ac:dyDescent="0.25">
      <c r="A1847" t="s">
        <v>1317</v>
      </c>
      <c r="B1847" t="s">
        <v>1331</v>
      </c>
      <c r="C1847" t="s">
        <v>3088</v>
      </c>
      <c r="D1847" t="s">
        <v>20</v>
      </c>
      <c r="F1847">
        <v>4</v>
      </c>
      <c r="G1847" t="s">
        <v>1419</v>
      </c>
      <c r="H1847" s="89">
        <v>46157</v>
      </c>
      <c r="I1847" s="89">
        <v>46159</v>
      </c>
      <c r="N1847" t="s">
        <v>2988</v>
      </c>
    </row>
    <row r="1848" spans="1:14" hidden="1" x14ac:dyDescent="0.25">
      <c r="A1848" t="s">
        <v>1318</v>
      </c>
      <c r="B1848" t="s">
        <v>1332</v>
      </c>
      <c r="C1848" t="s">
        <v>3089</v>
      </c>
      <c r="D1848" t="s">
        <v>20</v>
      </c>
      <c r="F1848">
        <v>54</v>
      </c>
      <c r="G1848" t="s">
        <v>1419</v>
      </c>
      <c r="H1848" s="89">
        <v>46157</v>
      </c>
      <c r="I1848" s="89">
        <v>46159</v>
      </c>
      <c r="N1848" t="s">
        <v>2988</v>
      </c>
    </row>
    <row r="1849" spans="1:14" hidden="1" x14ac:dyDescent="0.25">
      <c r="A1849" t="s">
        <v>1313</v>
      </c>
      <c r="B1849" t="s">
        <v>1327</v>
      </c>
      <c r="C1849" t="s">
        <v>3090</v>
      </c>
      <c r="D1849" t="s">
        <v>129</v>
      </c>
      <c r="F1849">
        <v>432</v>
      </c>
      <c r="G1849">
        <v>9</v>
      </c>
      <c r="H1849" s="89">
        <v>46158</v>
      </c>
      <c r="I1849" s="89">
        <v>46162</v>
      </c>
      <c r="J1849" t="s">
        <v>3074</v>
      </c>
      <c r="N1849" t="s">
        <v>2988</v>
      </c>
    </row>
    <row r="1850" spans="1:14" hidden="1" x14ac:dyDescent="0.25">
      <c r="A1850" t="s">
        <v>1324</v>
      </c>
      <c r="B1850" t="s">
        <v>1338</v>
      </c>
      <c r="C1850" t="s">
        <v>3091</v>
      </c>
      <c r="D1850" t="s">
        <v>88</v>
      </c>
      <c r="F1850">
        <v>960</v>
      </c>
      <c r="G1850">
        <v>20</v>
      </c>
      <c r="H1850" s="89">
        <v>46158</v>
      </c>
      <c r="I1850" s="89">
        <v>46165</v>
      </c>
      <c r="J1850" t="s">
        <v>3092</v>
      </c>
      <c r="N1850" t="s">
        <v>2988</v>
      </c>
    </row>
    <row r="1851" spans="1:14" hidden="1" x14ac:dyDescent="0.25">
      <c r="A1851" t="s">
        <v>1324</v>
      </c>
      <c r="B1851" t="s">
        <v>1338</v>
      </c>
      <c r="C1851" t="s">
        <v>3093</v>
      </c>
      <c r="D1851" t="s">
        <v>21</v>
      </c>
      <c r="F1851">
        <v>960</v>
      </c>
      <c r="G1851">
        <v>20</v>
      </c>
      <c r="H1851" s="89">
        <v>46158</v>
      </c>
      <c r="I1851" s="89">
        <v>46165</v>
      </c>
      <c r="J1851" t="s">
        <v>3092</v>
      </c>
      <c r="N1851" t="s">
        <v>2988</v>
      </c>
    </row>
    <row r="1852" spans="1:14" hidden="1" x14ac:dyDescent="0.25">
      <c r="A1852" t="s">
        <v>1315</v>
      </c>
      <c r="B1852" t="s">
        <v>1329</v>
      </c>
      <c r="C1852" t="s">
        <v>3093</v>
      </c>
      <c r="D1852" t="s">
        <v>21</v>
      </c>
      <c r="F1852">
        <v>165</v>
      </c>
      <c r="G1852" t="s">
        <v>1419</v>
      </c>
      <c r="H1852" s="89">
        <v>46158</v>
      </c>
      <c r="I1852" s="89">
        <v>46160</v>
      </c>
      <c r="N1852" t="s">
        <v>2988</v>
      </c>
    </row>
    <row r="1853" spans="1:14" hidden="1" x14ac:dyDescent="0.25">
      <c r="A1853" t="s">
        <v>1316</v>
      </c>
      <c r="B1853" t="s">
        <v>1330</v>
      </c>
      <c r="C1853" t="s">
        <v>3094</v>
      </c>
      <c r="D1853" t="s">
        <v>21</v>
      </c>
      <c r="F1853">
        <v>29</v>
      </c>
      <c r="G1853" t="s">
        <v>1419</v>
      </c>
      <c r="H1853" s="89">
        <v>46158</v>
      </c>
      <c r="I1853" s="89">
        <v>46160</v>
      </c>
      <c r="N1853" t="s">
        <v>2988</v>
      </c>
    </row>
    <row r="1854" spans="1:14" hidden="1" x14ac:dyDescent="0.25">
      <c r="A1854" t="s">
        <v>1317</v>
      </c>
      <c r="B1854" t="s">
        <v>1331</v>
      </c>
      <c r="C1854" t="s">
        <v>3095</v>
      </c>
      <c r="D1854" t="s">
        <v>21</v>
      </c>
      <c r="F1854">
        <v>14</v>
      </c>
      <c r="G1854" t="s">
        <v>1419</v>
      </c>
      <c r="H1854" s="89">
        <v>46158</v>
      </c>
      <c r="I1854" s="89">
        <v>46160</v>
      </c>
      <c r="N1854" t="s">
        <v>2988</v>
      </c>
    </row>
    <row r="1855" spans="1:14" hidden="1" x14ac:dyDescent="0.25">
      <c r="A1855" t="s">
        <v>1318</v>
      </c>
      <c r="B1855" t="s">
        <v>1332</v>
      </c>
      <c r="C1855" t="s">
        <v>3096</v>
      </c>
      <c r="D1855" t="s">
        <v>21</v>
      </c>
      <c r="F1855">
        <v>75</v>
      </c>
      <c r="G1855" t="s">
        <v>1419</v>
      </c>
      <c r="H1855" s="89">
        <v>46158</v>
      </c>
      <c r="I1855" s="89">
        <v>46160</v>
      </c>
      <c r="N1855" t="s">
        <v>2988</v>
      </c>
    </row>
    <row r="1856" spans="1:14" hidden="1" x14ac:dyDescent="0.25">
      <c r="A1856" t="s">
        <v>1320</v>
      </c>
      <c r="B1856" t="s">
        <v>1334</v>
      </c>
      <c r="C1856" t="s">
        <v>3097</v>
      </c>
      <c r="D1856" t="s">
        <v>13</v>
      </c>
      <c r="F1856">
        <v>960</v>
      </c>
      <c r="G1856">
        <v>20</v>
      </c>
      <c r="H1856" s="89">
        <v>46160</v>
      </c>
      <c r="I1856" s="89">
        <v>46163</v>
      </c>
      <c r="J1856" t="s">
        <v>3098</v>
      </c>
      <c r="N1856" t="s">
        <v>3099</v>
      </c>
    </row>
    <row r="1857" spans="1:14" hidden="1" x14ac:dyDescent="0.25">
      <c r="A1857" t="s">
        <v>1320</v>
      </c>
      <c r="B1857" t="s">
        <v>1334</v>
      </c>
      <c r="C1857" t="s">
        <v>3097</v>
      </c>
      <c r="D1857" t="s">
        <v>13</v>
      </c>
      <c r="F1857">
        <v>480</v>
      </c>
      <c r="G1857">
        <v>10</v>
      </c>
      <c r="H1857" s="89">
        <v>46160</v>
      </c>
      <c r="I1857" s="89">
        <v>46165</v>
      </c>
      <c r="J1857" t="s">
        <v>3100</v>
      </c>
      <c r="N1857" t="s">
        <v>3099</v>
      </c>
    </row>
    <row r="1858" spans="1:14" hidden="1" x14ac:dyDescent="0.25">
      <c r="A1858" t="s">
        <v>1313</v>
      </c>
      <c r="B1858" t="s">
        <v>1327</v>
      </c>
      <c r="C1858" t="s">
        <v>3101</v>
      </c>
      <c r="D1858" t="s">
        <v>20</v>
      </c>
      <c r="F1858">
        <v>1104</v>
      </c>
      <c r="G1858">
        <v>23</v>
      </c>
      <c r="H1858" s="89">
        <v>46160</v>
      </c>
      <c r="I1858" s="89">
        <v>46164</v>
      </c>
      <c r="J1858" t="s">
        <v>3102</v>
      </c>
      <c r="N1858" t="s">
        <v>3099</v>
      </c>
    </row>
    <row r="1859" spans="1:14" hidden="1" x14ac:dyDescent="0.25">
      <c r="A1859" t="s">
        <v>1319</v>
      </c>
      <c r="B1859" t="s">
        <v>1333</v>
      </c>
      <c r="C1859" t="s">
        <v>3101</v>
      </c>
      <c r="D1859" t="s">
        <v>20</v>
      </c>
      <c r="F1859">
        <v>48</v>
      </c>
      <c r="G1859">
        <v>1</v>
      </c>
      <c r="H1859" s="89">
        <v>46160</v>
      </c>
      <c r="I1859" s="89">
        <v>46164</v>
      </c>
      <c r="J1859" t="s">
        <v>3102</v>
      </c>
      <c r="N1859" t="s">
        <v>3099</v>
      </c>
    </row>
    <row r="1860" spans="1:14" hidden="1" x14ac:dyDescent="0.25">
      <c r="A1860" t="s">
        <v>1313</v>
      </c>
      <c r="B1860" t="s">
        <v>1327</v>
      </c>
      <c r="C1860" t="s">
        <v>3101</v>
      </c>
      <c r="D1860" t="s">
        <v>20</v>
      </c>
      <c r="F1860">
        <v>144</v>
      </c>
      <c r="G1860">
        <v>3</v>
      </c>
      <c r="H1860" s="89">
        <v>46160</v>
      </c>
      <c r="I1860" s="89">
        <v>46163</v>
      </c>
      <c r="J1860" t="s">
        <v>3103</v>
      </c>
      <c r="N1860" t="s">
        <v>3099</v>
      </c>
    </row>
    <row r="1861" spans="1:14" hidden="1" x14ac:dyDescent="0.25">
      <c r="A1861" t="s">
        <v>1315</v>
      </c>
      <c r="B1861" t="s">
        <v>1329</v>
      </c>
      <c r="C1861" t="s">
        <v>3101</v>
      </c>
      <c r="D1861" t="s">
        <v>20</v>
      </c>
      <c r="F1861">
        <v>141</v>
      </c>
      <c r="G1861" t="s">
        <v>1419</v>
      </c>
      <c r="H1861" s="89">
        <v>46160</v>
      </c>
      <c r="I1861" s="89">
        <v>46163</v>
      </c>
      <c r="N1861" t="s">
        <v>3099</v>
      </c>
    </row>
    <row r="1862" spans="1:14" hidden="1" x14ac:dyDescent="0.25">
      <c r="A1862" t="s">
        <v>1316</v>
      </c>
      <c r="B1862" t="s">
        <v>1330</v>
      </c>
      <c r="C1862" t="s">
        <v>3104</v>
      </c>
      <c r="D1862" t="s">
        <v>20</v>
      </c>
      <c r="F1862">
        <v>112</v>
      </c>
      <c r="G1862" t="s">
        <v>1419</v>
      </c>
      <c r="H1862" s="89">
        <v>46160</v>
      </c>
      <c r="I1862" s="89">
        <v>46162</v>
      </c>
      <c r="N1862" t="s">
        <v>3099</v>
      </c>
    </row>
    <row r="1863" spans="1:14" hidden="1" x14ac:dyDescent="0.25">
      <c r="A1863" t="s">
        <v>1317</v>
      </c>
      <c r="B1863" t="s">
        <v>1331</v>
      </c>
      <c r="C1863" t="s">
        <v>3105</v>
      </c>
      <c r="D1863" t="s">
        <v>20</v>
      </c>
      <c r="F1863">
        <v>12</v>
      </c>
      <c r="G1863" t="s">
        <v>1419</v>
      </c>
      <c r="H1863" s="89">
        <v>46160</v>
      </c>
      <c r="I1863" s="89">
        <v>46162</v>
      </c>
      <c r="N1863" t="s">
        <v>3099</v>
      </c>
    </row>
    <row r="1864" spans="1:14" hidden="1" x14ac:dyDescent="0.25">
      <c r="A1864" t="s">
        <v>1318</v>
      </c>
      <c r="B1864" t="s">
        <v>1332</v>
      </c>
      <c r="C1864" t="s">
        <v>3106</v>
      </c>
      <c r="D1864" t="s">
        <v>20</v>
      </c>
      <c r="F1864">
        <v>53</v>
      </c>
      <c r="G1864" t="s">
        <v>1419</v>
      </c>
      <c r="H1864" s="89">
        <v>46160</v>
      </c>
      <c r="I1864" s="89">
        <v>46162</v>
      </c>
      <c r="N1864" t="s">
        <v>3099</v>
      </c>
    </row>
    <row r="1865" spans="1:14" hidden="1" x14ac:dyDescent="0.25">
      <c r="A1865" t="s">
        <v>1320</v>
      </c>
      <c r="B1865" t="s">
        <v>1334</v>
      </c>
      <c r="C1865" t="s">
        <v>3107</v>
      </c>
      <c r="D1865" t="s">
        <v>28</v>
      </c>
      <c r="F1865">
        <v>960</v>
      </c>
      <c r="G1865">
        <v>20</v>
      </c>
      <c r="H1865" s="89">
        <v>46160</v>
      </c>
      <c r="I1865" s="89">
        <v>46164</v>
      </c>
      <c r="J1865" t="s">
        <v>3108</v>
      </c>
      <c r="N1865" t="s">
        <v>3099</v>
      </c>
    </row>
    <row r="1866" spans="1:14" hidden="1" x14ac:dyDescent="0.25">
      <c r="A1866" t="s">
        <v>1313</v>
      </c>
      <c r="B1866" t="s">
        <v>1327</v>
      </c>
      <c r="C1866" t="s">
        <v>3107</v>
      </c>
      <c r="D1866" t="s">
        <v>28</v>
      </c>
      <c r="F1866">
        <v>192</v>
      </c>
      <c r="G1866">
        <v>4</v>
      </c>
      <c r="H1866" s="89">
        <v>46160</v>
      </c>
      <c r="I1866" s="89">
        <v>46163</v>
      </c>
      <c r="J1866" t="s">
        <v>3103</v>
      </c>
      <c r="N1866" t="s">
        <v>3099</v>
      </c>
    </row>
    <row r="1867" spans="1:14" hidden="1" x14ac:dyDescent="0.25">
      <c r="A1867" t="s">
        <v>1315</v>
      </c>
      <c r="B1867" t="s">
        <v>1329</v>
      </c>
      <c r="C1867" t="s">
        <v>3107</v>
      </c>
      <c r="D1867" t="s">
        <v>28</v>
      </c>
      <c r="F1867">
        <v>144</v>
      </c>
      <c r="G1867" t="s">
        <v>1419</v>
      </c>
      <c r="H1867" s="89">
        <v>46160</v>
      </c>
      <c r="I1867" s="89">
        <v>46163</v>
      </c>
      <c r="N1867" t="s">
        <v>3099</v>
      </c>
    </row>
    <row r="1868" spans="1:14" hidden="1" x14ac:dyDescent="0.25">
      <c r="A1868" t="s">
        <v>1316</v>
      </c>
      <c r="B1868" t="s">
        <v>1330</v>
      </c>
      <c r="C1868" t="s">
        <v>3109</v>
      </c>
      <c r="D1868" t="s">
        <v>28</v>
      </c>
      <c r="F1868">
        <v>41</v>
      </c>
      <c r="G1868" t="s">
        <v>1419</v>
      </c>
      <c r="H1868" s="89">
        <v>46160</v>
      </c>
      <c r="I1868" s="89">
        <v>46162</v>
      </c>
      <c r="N1868" t="s">
        <v>3099</v>
      </c>
    </row>
    <row r="1869" spans="1:14" hidden="1" x14ac:dyDescent="0.25">
      <c r="A1869" t="s">
        <v>1317</v>
      </c>
      <c r="B1869" t="s">
        <v>1331</v>
      </c>
      <c r="C1869" t="s">
        <v>3110</v>
      </c>
      <c r="D1869" t="s">
        <v>28</v>
      </c>
      <c r="F1869">
        <v>4</v>
      </c>
      <c r="G1869" t="s">
        <v>1419</v>
      </c>
      <c r="H1869" s="89">
        <v>46160</v>
      </c>
      <c r="I1869" s="89">
        <v>46162</v>
      </c>
      <c r="N1869" t="s">
        <v>3099</v>
      </c>
    </row>
    <row r="1870" spans="1:14" hidden="1" x14ac:dyDescent="0.25">
      <c r="A1870" t="s">
        <v>1318</v>
      </c>
      <c r="B1870" t="s">
        <v>1332</v>
      </c>
      <c r="C1870" t="s">
        <v>3111</v>
      </c>
      <c r="D1870" t="s">
        <v>28</v>
      </c>
      <c r="F1870">
        <v>81</v>
      </c>
      <c r="G1870" t="s">
        <v>1419</v>
      </c>
      <c r="H1870" s="89">
        <v>46160</v>
      </c>
      <c r="I1870" s="89">
        <v>46162</v>
      </c>
      <c r="N1870" t="s">
        <v>3099</v>
      </c>
    </row>
    <row r="1871" spans="1:14" hidden="1" x14ac:dyDescent="0.25">
      <c r="A1871" t="s">
        <v>1314</v>
      </c>
      <c r="B1871" t="s">
        <v>1328</v>
      </c>
      <c r="C1871" t="s">
        <v>3112</v>
      </c>
      <c r="D1871" t="s">
        <v>15</v>
      </c>
      <c r="F1871">
        <v>336</v>
      </c>
      <c r="G1871">
        <v>7</v>
      </c>
      <c r="H1871" s="89">
        <v>46160</v>
      </c>
      <c r="I1871" s="89">
        <v>46163</v>
      </c>
      <c r="J1871" t="s">
        <v>3113</v>
      </c>
      <c r="N1871" t="s">
        <v>3099</v>
      </c>
    </row>
    <row r="1872" spans="1:14" hidden="1" x14ac:dyDescent="0.25">
      <c r="A1872" t="s">
        <v>1313</v>
      </c>
      <c r="B1872" t="s">
        <v>1327</v>
      </c>
      <c r="C1872" t="s">
        <v>3112</v>
      </c>
      <c r="D1872" t="s">
        <v>15</v>
      </c>
      <c r="F1872">
        <v>480</v>
      </c>
      <c r="G1872">
        <v>10</v>
      </c>
      <c r="H1872" s="89">
        <v>46160</v>
      </c>
      <c r="I1872" s="89">
        <v>46163</v>
      </c>
      <c r="J1872" t="s">
        <v>3103</v>
      </c>
      <c r="N1872" t="s">
        <v>3099</v>
      </c>
    </row>
    <row r="1873" spans="1:14" hidden="1" x14ac:dyDescent="0.25">
      <c r="A1873" t="s">
        <v>1320</v>
      </c>
      <c r="B1873" t="s">
        <v>1334</v>
      </c>
      <c r="C1873" t="s">
        <v>3112</v>
      </c>
      <c r="D1873" t="s">
        <v>15</v>
      </c>
      <c r="F1873">
        <v>480</v>
      </c>
      <c r="G1873">
        <v>10</v>
      </c>
      <c r="H1873" s="89">
        <v>46160</v>
      </c>
      <c r="I1873" s="89">
        <v>46164</v>
      </c>
      <c r="J1873" t="s">
        <v>3114</v>
      </c>
      <c r="N1873" t="s">
        <v>3099</v>
      </c>
    </row>
    <row r="1874" spans="1:14" hidden="1" x14ac:dyDescent="0.25">
      <c r="A1874" t="s">
        <v>1315</v>
      </c>
      <c r="B1874" t="s">
        <v>1329</v>
      </c>
      <c r="C1874" t="s">
        <v>3112</v>
      </c>
      <c r="D1874" t="s">
        <v>15</v>
      </c>
      <c r="F1874">
        <v>18</v>
      </c>
      <c r="G1874" t="s">
        <v>1419</v>
      </c>
      <c r="H1874" s="89">
        <v>46160</v>
      </c>
      <c r="I1874" s="89">
        <v>46163</v>
      </c>
      <c r="N1874" t="s">
        <v>3099</v>
      </c>
    </row>
    <row r="1875" spans="1:14" hidden="1" x14ac:dyDescent="0.25">
      <c r="A1875" t="s">
        <v>1316</v>
      </c>
      <c r="B1875" t="s">
        <v>1330</v>
      </c>
      <c r="C1875" t="s">
        <v>3115</v>
      </c>
      <c r="D1875" t="s">
        <v>15</v>
      </c>
      <c r="F1875">
        <v>74</v>
      </c>
      <c r="G1875" t="s">
        <v>1419</v>
      </c>
      <c r="H1875" s="89">
        <v>46160</v>
      </c>
      <c r="I1875" s="89">
        <v>46162</v>
      </c>
      <c r="N1875" t="s">
        <v>3099</v>
      </c>
    </row>
    <row r="1876" spans="1:14" hidden="1" x14ac:dyDescent="0.25">
      <c r="A1876" t="s">
        <v>1317</v>
      </c>
      <c r="B1876" t="s">
        <v>1331</v>
      </c>
      <c r="C1876" t="s">
        <v>3116</v>
      </c>
      <c r="D1876" t="s">
        <v>15</v>
      </c>
      <c r="F1876">
        <v>6</v>
      </c>
      <c r="G1876" t="s">
        <v>1419</v>
      </c>
      <c r="H1876" s="89">
        <v>46160</v>
      </c>
      <c r="I1876" s="89">
        <v>46162</v>
      </c>
      <c r="N1876" t="s">
        <v>3099</v>
      </c>
    </row>
    <row r="1877" spans="1:14" hidden="1" x14ac:dyDescent="0.25">
      <c r="A1877" t="s">
        <v>1318</v>
      </c>
      <c r="B1877" t="s">
        <v>1332</v>
      </c>
      <c r="C1877" t="s">
        <v>3117</v>
      </c>
      <c r="D1877" t="s">
        <v>15</v>
      </c>
      <c r="F1877">
        <v>28</v>
      </c>
      <c r="G1877" t="s">
        <v>1419</v>
      </c>
      <c r="H1877" s="89">
        <v>46160</v>
      </c>
      <c r="I1877" s="89">
        <v>46162</v>
      </c>
      <c r="N1877" t="s">
        <v>3099</v>
      </c>
    </row>
    <row r="1878" spans="1:14" hidden="1" x14ac:dyDescent="0.25">
      <c r="A1878" t="s">
        <v>1326</v>
      </c>
      <c r="B1878" t="s">
        <v>1340</v>
      </c>
      <c r="C1878" t="s">
        <v>3118</v>
      </c>
      <c r="D1878" t="s">
        <v>156</v>
      </c>
      <c r="F1878">
        <v>1008</v>
      </c>
      <c r="G1878">
        <v>24</v>
      </c>
      <c r="H1878" s="89">
        <v>46161</v>
      </c>
      <c r="I1878" s="89">
        <v>46168</v>
      </c>
      <c r="J1878" t="s">
        <v>3119</v>
      </c>
      <c r="N1878" t="s">
        <v>3099</v>
      </c>
    </row>
    <row r="1879" spans="1:14" hidden="1" x14ac:dyDescent="0.25">
      <c r="A1879" t="s">
        <v>1324</v>
      </c>
      <c r="B1879" t="s">
        <v>1338</v>
      </c>
      <c r="C1879" t="s">
        <v>3120</v>
      </c>
      <c r="D1879" t="s">
        <v>23</v>
      </c>
      <c r="F1879">
        <v>960</v>
      </c>
      <c r="G1879">
        <v>20</v>
      </c>
      <c r="H1879" s="89">
        <v>46161</v>
      </c>
      <c r="I1879" s="89">
        <v>46168</v>
      </c>
      <c r="J1879" t="s">
        <v>3121</v>
      </c>
      <c r="N1879" t="s">
        <v>3099</v>
      </c>
    </row>
    <row r="1880" spans="1:14" hidden="1" x14ac:dyDescent="0.25">
      <c r="A1880" t="s">
        <v>1320</v>
      </c>
      <c r="B1880" t="s">
        <v>1334</v>
      </c>
      <c r="C1880" t="s">
        <v>3122</v>
      </c>
      <c r="D1880" t="s">
        <v>13</v>
      </c>
      <c r="F1880">
        <v>480</v>
      </c>
      <c r="G1880">
        <v>10</v>
      </c>
      <c r="H1880" s="89">
        <v>46161</v>
      </c>
      <c r="I1880" s="89">
        <v>46165</v>
      </c>
      <c r="J1880" t="s">
        <v>3100</v>
      </c>
      <c r="N1880" t="s">
        <v>3099</v>
      </c>
    </row>
    <row r="1881" spans="1:14" hidden="1" x14ac:dyDescent="0.25">
      <c r="A1881" t="s">
        <v>1323</v>
      </c>
      <c r="B1881" t="s">
        <v>1337</v>
      </c>
      <c r="C1881" t="s">
        <v>3123</v>
      </c>
      <c r="D1881" t="s">
        <v>20</v>
      </c>
      <c r="F1881">
        <v>756</v>
      </c>
      <c r="G1881">
        <v>14</v>
      </c>
      <c r="H1881" s="89">
        <v>46161</v>
      </c>
      <c r="I1881" s="89">
        <v>46164</v>
      </c>
      <c r="J1881" t="s">
        <v>3124</v>
      </c>
      <c r="N1881" t="s">
        <v>3099</v>
      </c>
    </row>
    <row r="1882" spans="1:14" hidden="1" x14ac:dyDescent="0.25">
      <c r="A1882" t="s">
        <v>1322</v>
      </c>
      <c r="B1882" t="s">
        <v>1336</v>
      </c>
      <c r="C1882" t="s">
        <v>3123</v>
      </c>
      <c r="D1882" t="s">
        <v>20</v>
      </c>
      <c r="F1882">
        <v>324</v>
      </c>
      <c r="G1882">
        <v>6</v>
      </c>
      <c r="H1882" s="89">
        <v>46161</v>
      </c>
      <c r="I1882" s="89">
        <v>46164</v>
      </c>
      <c r="J1882" t="s">
        <v>3124</v>
      </c>
      <c r="N1882" t="s">
        <v>3099</v>
      </c>
    </row>
    <row r="1883" spans="1:14" hidden="1" x14ac:dyDescent="0.25">
      <c r="A1883" t="s">
        <v>1313</v>
      </c>
      <c r="B1883" t="s">
        <v>1327</v>
      </c>
      <c r="C1883" t="s">
        <v>3123</v>
      </c>
      <c r="D1883" t="s">
        <v>20</v>
      </c>
      <c r="F1883">
        <v>192</v>
      </c>
      <c r="G1883">
        <v>4</v>
      </c>
      <c r="H1883" s="89">
        <v>46161</v>
      </c>
      <c r="I1883" s="89">
        <v>46167</v>
      </c>
      <c r="J1883" t="s">
        <v>3125</v>
      </c>
      <c r="N1883" t="s">
        <v>3099</v>
      </c>
    </row>
    <row r="1884" spans="1:14" hidden="1" x14ac:dyDescent="0.25">
      <c r="A1884" t="s">
        <v>1315</v>
      </c>
      <c r="B1884" t="s">
        <v>1329</v>
      </c>
      <c r="C1884" t="s">
        <v>3123</v>
      </c>
      <c r="D1884" t="s">
        <v>20</v>
      </c>
      <c r="F1884">
        <v>3</v>
      </c>
      <c r="G1884" t="s">
        <v>1419</v>
      </c>
      <c r="H1884" s="89">
        <v>46161</v>
      </c>
      <c r="I1884" s="89">
        <v>46163</v>
      </c>
      <c r="N1884" t="s">
        <v>3099</v>
      </c>
    </row>
    <row r="1885" spans="1:14" hidden="1" x14ac:dyDescent="0.25">
      <c r="A1885" t="s">
        <v>1316</v>
      </c>
      <c r="B1885" t="s">
        <v>1330</v>
      </c>
      <c r="C1885" t="s">
        <v>3126</v>
      </c>
      <c r="D1885" t="s">
        <v>20</v>
      </c>
      <c r="F1885">
        <v>51</v>
      </c>
      <c r="G1885" t="s">
        <v>1419</v>
      </c>
      <c r="H1885" s="89">
        <v>46161</v>
      </c>
      <c r="I1885" s="89">
        <v>46163</v>
      </c>
      <c r="N1885" t="s">
        <v>3099</v>
      </c>
    </row>
    <row r="1886" spans="1:14" hidden="1" x14ac:dyDescent="0.25">
      <c r="A1886" t="s">
        <v>1317</v>
      </c>
      <c r="B1886" t="s">
        <v>1331</v>
      </c>
      <c r="C1886" t="s">
        <v>3127</v>
      </c>
      <c r="D1886" t="s">
        <v>20</v>
      </c>
      <c r="F1886">
        <v>4</v>
      </c>
      <c r="G1886" t="s">
        <v>1419</v>
      </c>
      <c r="H1886" s="89">
        <v>46161</v>
      </c>
      <c r="I1886" s="89">
        <v>46163</v>
      </c>
      <c r="N1886" t="s">
        <v>3099</v>
      </c>
    </row>
    <row r="1887" spans="1:14" hidden="1" x14ac:dyDescent="0.25">
      <c r="A1887" t="s">
        <v>1318</v>
      </c>
      <c r="B1887" t="s">
        <v>1332</v>
      </c>
      <c r="C1887" t="s">
        <v>3128</v>
      </c>
      <c r="D1887" t="s">
        <v>20</v>
      </c>
      <c r="F1887">
        <v>24</v>
      </c>
      <c r="G1887" t="s">
        <v>1419</v>
      </c>
      <c r="H1887" s="89">
        <v>46161</v>
      </c>
      <c r="I1887" s="89">
        <v>46163</v>
      </c>
      <c r="N1887" t="s">
        <v>3099</v>
      </c>
    </row>
    <row r="1888" spans="1:14" hidden="1" x14ac:dyDescent="0.25">
      <c r="A1888" t="s">
        <v>1320</v>
      </c>
      <c r="B1888" t="s">
        <v>1334</v>
      </c>
      <c r="C1888" t="s">
        <v>3129</v>
      </c>
      <c r="D1888" t="s">
        <v>21</v>
      </c>
      <c r="F1888">
        <v>960</v>
      </c>
      <c r="G1888">
        <v>20</v>
      </c>
      <c r="H1888" s="89">
        <v>46161</v>
      </c>
      <c r="I1888" s="89">
        <v>46165</v>
      </c>
      <c r="J1888" t="s">
        <v>3130</v>
      </c>
      <c r="N1888" t="s">
        <v>3099</v>
      </c>
    </row>
    <row r="1889" spans="1:14" hidden="1" x14ac:dyDescent="0.25">
      <c r="A1889" t="s">
        <v>1313</v>
      </c>
      <c r="B1889" t="s">
        <v>1327</v>
      </c>
      <c r="C1889" t="s">
        <v>3129</v>
      </c>
      <c r="D1889" t="s">
        <v>21</v>
      </c>
      <c r="F1889">
        <v>480</v>
      </c>
      <c r="G1889">
        <v>10</v>
      </c>
      <c r="H1889" s="89">
        <v>46161</v>
      </c>
      <c r="I1889" s="89">
        <v>46167</v>
      </c>
      <c r="J1889" t="s">
        <v>3125</v>
      </c>
      <c r="N1889" t="s">
        <v>3099</v>
      </c>
    </row>
    <row r="1890" spans="1:14" hidden="1" x14ac:dyDescent="0.25">
      <c r="A1890" t="s">
        <v>1313</v>
      </c>
      <c r="B1890" t="s">
        <v>1327</v>
      </c>
      <c r="C1890" t="s">
        <v>3129</v>
      </c>
      <c r="D1890" t="s">
        <v>21</v>
      </c>
      <c r="F1890">
        <v>48</v>
      </c>
      <c r="G1890">
        <v>1</v>
      </c>
      <c r="H1890" s="89">
        <v>46161</v>
      </c>
      <c r="I1890" s="89">
        <v>46166</v>
      </c>
      <c r="J1890" t="s">
        <v>3131</v>
      </c>
      <c r="N1890" t="s">
        <v>3099</v>
      </c>
    </row>
    <row r="1891" spans="1:14" hidden="1" x14ac:dyDescent="0.25">
      <c r="A1891" t="s">
        <v>1315</v>
      </c>
      <c r="B1891" t="s">
        <v>1329</v>
      </c>
      <c r="C1891" t="s">
        <v>3129</v>
      </c>
      <c r="D1891" t="s">
        <v>21</v>
      </c>
      <c r="F1891">
        <v>40</v>
      </c>
      <c r="G1891" t="s">
        <v>1419</v>
      </c>
      <c r="H1891" s="89">
        <v>46161</v>
      </c>
      <c r="I1891" s="89">
        <v>46163</v>
      </c>
      <c r="N1891" t="s">
        <v>3099</v>
      </c>
    </row>
    <row r="1892" spans="1:14" hidden="1" x14ac:dyDescent="0.25">
      <c r="A1892" t="s">
        <v>1316</v>
      </c>
      <c r="B1892" t="s">
        <v>1330</v>
      </c>
      <c r="C1892" t="s">
        <v>3132</v>
      </c>
      <c r="D1892" t="s">
        <v>21</v>
      </c>
      <c r="F1892">
        <v>58</v>
      </c>
      <c r="G1892" t="s">
        <v>1419</v>
      </c>
      <c r="H1892" s="89">
        <v>46161</v>
      </c>
      <c r="I1892" s="89">
        <v>46163</v>
      </c>
      <c r="N1892" t="s">
        <v>3099</v>
      </c>
    </row>
    <row r="1893" spans="1:14" hidden="1" x14ac:dyDescent="0.25">
      <c r="A1893" t="s">
        <v>1317</v>
      </c>
      <c r="B1893" t="s">
        <v>1331</v>
      </c>
      <c r="C1893" t="s">
        <v>3133</v>
      </c>
      <c r="D1893" t="s">
        <v>21</v>
      </c>
      <c r="F1893">
        <v>17</v>
      </c>
      <c r="G1893" t="s">
        <v>1419</v>
      </c>
      <c r="H1893" s="89">
        <v>46161</v>
      </c>
      <c r="I1893" s="89">
        <v>46163</v>
      </c>
      <c r="N1893" t="s">
        <v>3099</v>
      </c>
    </row>
    <row r="1894" spans="1:14" hidden="1" x14ac:dyDescent="0.25">
      <c r="A1894" t="s">
        <v>1318</v>
      </c>
      <c r="B1894" t="s">
        <v>1332</v>
      </c>
      <c r="C1894" t="s">
        <v>3134</v>
      </c>
      <c r="D1894" t="s">
        <v>21</v>
      </c>
      <c r="F1894">
        <v>7</v>
      </c>
      <c r="G1894" t="s">
        <v>1419</v>
      </c>
      <c r="H1894" s="89">
        <v>46161</v>
      </c>
      <c r="I1894" s="89">
        <v>46163</v>
      </c>
      <c r="N1894" t="s">
        <v>3099</v>
      </c>
    </row>
    <row r="1895" spans="1:14" hidden="1" x14ac:dyDescent="0.25">
      <c r="A1895" t="s">
        <v>1320</v>
      </c>
      <c r="B1895" t="s">
        <v>1334</v>
      </c>
      <c r="C1895" t="s">
        <v>3135</v>
      </c>
      <c r="D1895" t="s">
        <v>15</v>
      </c>
      <c r="F1895">
        <v>480</v>
      </c>
      <c r="G1895">
        <v>10</v>
      </c>
      <c r="H1895" s="89">
        <v>46161</v>
      </c>
      <c r="I1895" s="89">
        <v>46164</v>
      </c>
      <c r="J1895" t="s">
        <v>3114</v>
      </c>
      <c r="N1895" t="s">
        <v>3099</v>
      </c>
    </row>
    <row r="1896" spans="1:14" hidden="1" x14ac:dyDescent="0.25">
      <c r="A1896" t="s">
        <v>1313</v>
      </c>
      <c r="B1896" t="s">
        <v>1327</v>
      </c>
      <c r="C1896" t="s">
        <v>3135</v>
      </c>
      <c r="D1896" t="s">
        <v>15</v>
      </c>
      <c r="F1896">
        <v>1149</v>
      </c>
      <c r="G1896">
        <v>23.9375</v>
      </c>
      <c r="H1896" s="89">
        <v>46161</v>
      </c>
      <c r="I1896" s="89">
        <v>46165</v>
      </c>
      <c r="J1896" t="s">
        <v>3136</v>
      </c>
      <c r="N1896" t="s">
        <v>3099</v>
      </c>
    </row>
    <row r="1897" spans="1:14" hidden="1" x14ac:dyDescent="0.25">
      <c r="A1897" t="s">
        <v>1316</v>
      </c>
      <c r="B1897" t="s">
        <v>1330</v>
      </c>
      <c r="C1897" t="s">
        <v>3137</v>
      </c>
      <c r="D1897" t="s">
        <v>15</v>
      </c>
      <c r="F1897">
        <v>81</v>
      </c>
      <c r="G1897" t="s">
        <v>1419</v>
      </c>
      <c r="H1897" s="89">
        <v>46161</v>
      </c>
      <c r="I1897" s="89">
        <v>46163</v>
      </c>
      <c r="N1897" t="s">
        <v>3099</v>
      </c>
    </row>
    <row r="1898" spans="1:14" hidden="1" x14ac:dyDescent="0.25">
      <c r="A1898" t="s">
        <v>1317</v>
      </c>
      <c r="B1898" t="s">
        <v>1331</v>
      </c>
      <c r="C1898" t="s">
        <v>3138</v>
      </c>
      <c r="D1898" t="s">
        <v>15</v>
      </c>
      <c r="F1898">
        <v>22</v>
      </c>
      <c r="G1898" t="s">
        <v>1419</v>
      </c>
      <c r="H1898" s="89">
        <v>46161</v>
      </c>
      <c r="I1898" s="89">
        <v>46163</v>
      </c>
      <c r="N1898" t="s">
        <v>3099</v>
      </c>
    </row>
    <row r="1899" spans="1:14" hidden="1" x14ac:dyDescent="0.25">
      <c r="A1899" t="s">
        <v>1318</v>
      </c>
      <c r="B1899" t="s">
        <v>1332</v>
      </c>
      <c r="C1899" t="s">
        <v>3139</v>
      </c>
      <c r="D1899" t="s">
        <v>15</v>
      </c>
      <c r="F1899">
        <v>32</v>
      </c>
      <c r="G1899" t="s">
        <v>1419</v>
      </c>
      <c r="H1899" s="89">
        <v>46161</v>
      </c>
      <c r="I1899" s="89">
        <v>46163</v>
      </c>
      <c r="N1899" t="s">
        <v>3099</v>
      </c>
    </row>
    <row r="1900" spans="1:14" hidden="1" x14ac:dyDescent="0.25">
      <c r="A1900" t="s">
        <v>1324</v>
      </c>
      <c r="B1900" t="s">
        <v>1338</v>
      </c>
      <c r="C1900" t="s">
        <v>3140</v>
      </c>
      <c r="D1900" t="s">
        <v>158</v>
      </c>
      <c r="F1900">
        <v>960</v>
      </c>
      <c r="G1900">
        <v>20</v>
      </c>
      <c r="H1900" s="89">
        <v>46162</v>
      </c>
      <c r="I1900" s="89">
        <v>46168</v>
      </c>
      <c r="J1900" t="s">
        <v>3141</v>
      </c>
      <c r="N1900" t="s">
        <v>3099</v>
      </c>
    </row>
    <row r="1901" spans="1:14" hidden="1" x14ac:dyDescent="0.25">
      <c r="A1901" t="s">
        <v>1324</v>
      </c>
      <c r="B1901" t="s">
        <v>1338</v>
      </c>
      <c r="C1901" t="s">
        <v>3142</v>
      </c>
      <c r="D1901" t="s">
        <v>23</v>
      </c>
      <c r="F1901">
        <v>960</v>
      </c>
      <c r="G1901">
        <v>20</v>
      </c>
      <c r="H1901" s="89">
        <v>46162</v>
      </c>
      <c r="I1901" s="89">
        <v>46168</v>
      </c>
      <c r="J1901" t="s">
        <v>3121</v>
      </c>
      <c r="N1901" t="s">
        <v>3099</v>
      </c>
    </row>
    <row r="1902" spans="1:14" hidden="1" x14ac:dyDescent="0.25">
      <c r="A1902" t="s">
        <v>1325</v>
      </c>
      <c r="B1902" t="s">
        <v>1339</v>
      </c>
      <c r="C1902" t="s">
        <v>3143</v>
      </c>
      <c r="D1902" t="s">
        <v>138</v>
      </c>
      <c r="F1902">
        <v>384</v>
      </c>
      <c r="G1902">
        <v>8</v>
      </c>
      <c r="H1902" s="89">
        <v>46162</v>
      </c>
      <c r="I1902" s="89">
        <v>46164</v>
      </c>
      <c r="N1902" t="s">
        <v>3099</v>
      </c>
    </row>
    <row r="1903" spans="1:14" hidden="1" x14ac:dyDescent="0.25">
      <c r="A1903" t="s">
        <v>1320</v>
      </c>
      <c r="B1903" t="s">
        <v>1334</v>
      </c>
      <c r="C1903" t="s">
        <v>3144</v>
      </c>
      <c r="D1903" t="s">
        <v>106</v>
      </c>
      <c r="F1903">
        <v>960</v>
      </c>
      <c r="G1903">
        <v>20</v>
      </c>
      <c r="H1903" s="89">
        <v>46162</v>
      </c>
      <c r="I1903" s="89">
        <v>46168</v>
      </c>
      <c r="J1903" t="s">
        <v>3145</v>
      </c>
      <c r="N1903" t="s">
        <v>3099</v>
      </c>
    </row>
    <row r="1904" spans="1:14" hidden="1" x14ac:dyDescent="0.25">
      <c r="A1904" t="s">
        <v>1324</v>
      </c>
      <c r="B1904" t="s">
        <v>1338</v>
      </c>
      <c r="C1904" t="s">
        <v>3146</v>
      </c>
      <c r="D1904" t="s">
        <v>21</v>
      </c>
      <c r="F1904">
        <v>960</v>
      </c>
      <c r="G1904">
        <v>20</v>
      </c>
      <c r="H1904" s="89">
        <v>46162</v>
      </c>
      <c r="I1904" s="89">
        <v>46168</v>
      </c>
      <c r="J1904" t="s">
        <v>3141</v>
      </c>
      <c r="N1904" t="s">
        <v>3099</v>
      </c>
    </row>
    <row r="1905" spans="1:14" hidden="1" x14ac:dyDescent="0.25">
      <c r="A1905" t="s">
        <v>1313</v>
      </c>
      <c r="B1905" t="s">
        <v>1327</v>
      </c>
      <c r="C1905" t="s">
        <v>3146</v>
      </c>
      <c r="D1905" t="s">
        <v>21</v>
      </c>
      <c r="F1905">
        <v>528</v>
      </c>
      <c r="G1905">
        <v>11</v>
      </c>
      <c r="H1905" s="89">
        <v>46162</v>
      </c>
      <c r="I1905" s="89">
        <v>46166</v>
      </c>
      <c r="J1905" t="s">
        <v>3131</v>
      </c>
      <c r="N1905" t="s">
        <v>3099</v>
      </c>
    </row>
    <row r="1906" spans="1:14" hidden="1" x14ac:dyDescent="0.25">
      <c r="A1906" t="s">
        <v>1315</v>
      </c>
      <c r="B1906" t="s">
        <v>1329</v>
      </c>
      <c r="C1906" t="s">
        <v>3146</v>
      </c>
      <c r="D1906" t="s">
        <v>21</v>
      </c>
      <c r="F1906">
        <v>131</v>
      </c>
      <c r="G1906" t="s">
        <v>1419</v>
      </c>
      <c r="H1906" s="89">
        <v>46162</v>
      </c>
      <c r="I1906" s="89">
        <v>46163</v>
      </c>
      <c r="N1906" t="s">
        <v>3099</v>
      </c>
    </row>
    <row r="1907" spans="1:14" hidden="1" x14ac:dyDescent="0.25">
      <c r="A1907" t="s">
        <v>1316</v>
      </c>
      <c r="B1907" t="s">
        <v>1330</v>
      </c>
      <c r="C1907" t="s">
        <v>3147</v>
      </c>
      <c r="D1907" t="s">
        <v>21</v>
      </c>
      <c r="F1907">
        <v>23</v>
      </c>
      <c r="G1907" t="s">
        <v>1419</v>
      </c>
      <c r="H1907" s="89">
        <v>46162</v>
      </c>
      <c r="I1907" s="89">
        <v>46164</v>
      </c>
      <c r="N1907" t="s">
        <v>3099</v>
      </c>
    </row>
    <row r="1908" spans="1:14" hidden="1" x14ac:dyDescent="0.25">
      <c r="A1908" t="s">
        <v>1317</v>
      </c>
      <c r="B1908" t="s">
        <v>1331</v>
      </c>
      <c r="C1908" t="s">
        <v>3148</v>
      </c>
      <c r="D1908" t="s">
        <v>21</v>
      </c>
      <c r="F1908">
        <v>4</v>
      </c>
      <c r="G1908" t="s">
        <v>1419</v>
      </c>
      <c r="H1908" s="89">
        <v>46162</v>
      </c>
      <c r="I1908" s="89">
        <v>46164</v>
      </c>
      <c r="N1908" t="s">
        <v>3099</v>
      </c>
    </row>
    <row r="1909" spans="1:14" hidden="1" x14ac:dyDescent="0.25">
      <c r="A1909" t="s">
        <v>1318</v>
      </c>
      <c r="B1909" t="s">
        <v>1332</v>
      </c>
      <c r="C1909" t="s">
        <v>3149</v>
      </c>
      <c r="D1909" t="s">
        <v>21</v>
      </c>
      <c r="F1909">
        <v>86</v>
      </c>
      <c r="G1909" t="s">
        <v>1419</v>
      </c>
      <c r="H1909" s="89">
        <v>46162</v>
      </c>
      <c r="I1909" s="89">
        <v>46164</v>
      </c>
      <c r="N1909" t="s">
        <v>3099</v>
      </c>
    </row>
    <row r="1910" spans="1:14" hidden="1" x14ac:dyDescent="0.25">
      <c r="A1910" t="s">
        <v>1320</v>
      </c>
      <c r="B1910" t="s">
        <v>1334</v>
      </c>
      <c r="C1910" t="s">
        <v>3150</v>
      </c>
      <c r="D1910" t="s">
        <v>15</v>
      </c>
      <c r="F1910">
        <v>960</v>
      </c>
      <c r="G1910">
        <v>20</v>
      </c>
      <c r="H1910" s="89">
        <v>46162</v>
      </c>
      <c r="I1910" s="89">
        <v>46167</v>
      </c>
      <c r="J1910" t="s">
        <v>3151</v>
      </c>
      <c r="N1910" t="s">
        <v>3099</v>
      </c>
    </row>
    <row r="1911" spans="1:14" hidden="1" x14ac:dyDescent="0.25">
      <c r="A1911" t="s">
        <v>1313</v>
      </c>
      <c r="B1911" t="s">
        <v>1327</v>
      </c>
      <c r="C1911" t="s">
        <v>3150</v>
      </c>
      <c r="D1911" t="s">
        <v>15</v>
      </c>
      <c r="F1911">
        <v>3</v>
      </c>
      <c r="G1911">
        <v>6.25E-2</v>
      </c>
      <c r="H1911" s="89">
        <v>46162</v>
      </c>
      <c r="I1911" s="89">
        <v>46165</v>
      </c>
      <c r="J1911" t="s">
        <v>3136</v>
      </c>
      <c r="N1911" t="s">
        <v>3099</v>
      </c>
    </row>
    <row r="1912" spans="1:14" hidden="1" x14ac:dyDescent="0.25">
      <c r="A1912" t="s">
        <v>1313</v>
      </c>
      <c r="B1912" t="s">
        <v>1327</v>
      </c>
      <c r="C1912" t="s">
        <v>3150</v>
      </c>
      <c r="D1912" t="s">
        <v>15</v>
      </c>
      <c r="F1912">
        <v>288</v>
      </c>
      <c r="G1912">
        <v>6</v>
      </c>
      <c r="H1912" s="89">
        <v>46162</v>
      </c>
      <c r="I1912" s="89">
        <v>46166</v>
      </c>
      <c r="J1912" t="s">
        <v>3131</v>
      </c>
      <c r="N1912" t="s">
        <v>3099</v>
      </c>
    </row>
    <row r="1913" spans="1:14" hidden="1" x14ac:dyDescent="0.25">
      <c r="A1913" t="s">
        <v>1314</v>
      </c>
      <c r="B1913" t="s">
        <v>1328</v>
      </c>
      <c r="C1913" t="s">
        <v>3150</v>
      </c>
      <c r="D1913" t="s">
        <v>15</v>
      </c>
      <c r="F1913">
        <v>288</v>
      </c>
      <c r="G1913">
        <v>6</v>
      </c>
      <c r="H1913" s="89">
        <v>46162</v>
      </c>
      <c r="I1913" s="89">
        <v>46166</v>
      </c>
      <c r="J1913" t="s">
        <v>3152</v>
      </c>
      <c r="N1913" t="s">
        <v>3099</v>
      </c>
    </row>
    <row r="1914" spans="1:14" hidden="1" x14ac:dyDescent="0.25">
      <c r="A1914" t="s">
        <v>1315</v>
      </c>
      <c r="B1914" t="s">
        <v>1329</v>
      </c>
      <c r="C1914" t="s">
        <v>3150</v>
      </c>
      <c r="D1914" t="s">
        <v>15</v>
      </c>
      <c r="F1914">
        <v>26</v>
      </c>
      <c r="G1914" t="s">
        <v>1419</v>
      </c>
      <c r="H1914" s="89">
        <v>46162</v>
      </c>
      <c r="I1914" s="89">
        <v>46163</v>
      </c>
      <c r="N1914" t="s">
        <v>3099</v>
      </c>
    </row>
    <row r="1915" spans="1:14" hidden="1" x14ac:dyDescent="0.25">
      <c r="A1915" t="s">
        <v>1316</v>
      </c>
      <c r="B1915" t="s">
        <v>1330</v>
      </c>
      <c r="C1915" t="s">
        <v>3153</v>
      </c>
      <c r="D1915" t="s">
        <v>15</v>
      </c>
      <c r="F1915">
        <v>88</v>
      </c>
      <c r="G1915" t="s">
        <v>1419</v>
      </c>
      <c r="H1915" s="89">
        <v>46162</v>
      </c>
      <c r="I1915" s="89">
        <v>46164</v>
      </c>
      <c r="N1915" t="s">
        <v>3099</v>
      </c>
    </row>
    <row r="1916" spans="1:14" hidden="1" x14ac:dyDescent="0.25">
      <c r="A1916" t="s">
        <v>1317</v>
      </c>
      <c r="B1916" t="s">
        <v>1331</v>
      </c>
      <c r="C1916" t="s">
        <v>3154</v>
      </c>
      <c r="D1916" t="s">
        <v>15</v>
      </c>
      <c r="F1916">
        <v>19</v>
      </c>
      <c r="G1916" t="s">
        <v>1419</v>
      </c>
      <c r="H1916" s="89">
        <v>46162</v>
      </c>
      <c r="I1916" s="89">
        <v>46164</v>
      </c>
      <c r="N1916" t="s">
        <v>3099</v>
      </c>
    </row>
    <row r="1917" spans="1:14" hidden="1" x14ac:dyDescent="0.25">
      <c r="A1917" t="s">
        <v>1318</v>
      </c>
      <c r="B1917" t="s">
        <v>1332</v>
      </c>
      <c r="C1917" t="s">
        <v>3155</v>
      </c>
      <c r="D1917" t="s">
        <v>15</v>
      </c>
      <c r="F1917">
        <v>24</v>
      </c>
      <c r="G1917" t="s">
        <v>1419</v>
      </c>
      <c r="H1917" s="89">
        <v>46162</v>
      </c>
      <c r="I1917" s="89">
        <v>46164</v>
      </c>
      <c r="N1917" t="s">
        <v>3099</v>
      </c>
    </row>
    <row r="1918" spans="1:14" hidden="1" x14ac:dyDescent="0.25">
      <c r="A1918" t="s">
        <v>1320</v>
      </c>
      <c r="B1918" t="s">
        <v>1334</v>
      </c>
      <c r="C1918" t="s">
        <v>3156</v>
      </c>
      <c r="D1918" t="s">
        <v>20</v>
      </c>
      <c r="F1918">
        <v>960</v>
      </c>
      <c r="G1918">
        <v>20</v>
      </c>
      <c r="H1918" s="89">
        <v>46162</v>
      </c>
      <c r="I1918" s="89">
        <v>46167</v>
      </c>
      <c r="J1918" t="s">
        <v>3157</v>
      </c>
      <c r="N1918" t="s">
        <v>3099</v>
      </c>
    </row>
    <row r="1919" spans="1:14" hidden="1" x14ac:dyDescent="0.25">
      <c r="A1919" t="s">
        <v>1313</v>
      </c>
      <c r="B1919" t="s">
        <v>1327</v>
      </c>
      <c r="C1919" t="s">
        <v>3156</v>
      </c>
      <c r="D1919" t="s">
        <v>20</v>
      </c>
      <c r="F1919">
        <v>480</v>
      </c>
      <c r="G1919">
        <v>10</v>
      </c>
      <c r="H1919" s="89">
        <v>46162</v>
      </c>
      <c r="I1919" s="89">
        <v>46167</v>
      </c>
      <c r="J1919" t="s">
        <v>3125</v>
      </c>
      <c r="N1919" t="s">
        <v>3099</v>
      </c>
    </row>
    <row r="1920" spans="1:14" hidden="1" x14ac:dyDescent="0.25">
      <c r="A1920" t="s">
        <v>1315</v>
      </c>
      <c r="B1920" t="s">
        <v>1329</v>
      </c>
      <c r="C1920" t="s">
        <v>3156</v>
      </c>
      <c r="D1920" t="s">
        <v>20</v>
      </c>
      <c r="F1920">
        <v>178</v>
      </c>
      <c r="G1920" t="s">
        <v>1419</v>
      </c>
      <c r="H1920" s="89">
        <v>46162</v>
      </c>
      <c r="I1920" s="89">
        <v>46163</v>
      </c>
      <c r="N1920" t="s">
        <v>3099</v>
      </c>
    </row>
    <row r="1921" spans="1:14" hidden="1" x14ac:dyDescent="0.25">
      <c r="A1921" t="s">
        <v>1316</v>
      </c>
      <c r="B1921" t="s">
        <v>1330</v>
      </c>
      <c r="C1921" t="s">
        <v>3158</v>
      </c>
      <c r="D1921" t="s">
        <v>20</v>
      </c>
      <c r="F1921">
        <v>78</v>
      </c>
      <c r="G1921" t="s">
        <v>1419</v>
      </c>
      <c r="H1921" s="89">
        <v>46162</v>
      </c>
      <c r="I1921" s="89">
        <v>46164</v>
      </c>
      <c r="N1921" t="s">
        <v>3099</v>
      </c>
    </row>
    <row r="1922" spans="1:14" hidden="1" x14ac:dyDescent="0.25">
      <c r="A1922" t="s">
        <v>1317</v>
      </c>
      <c r="B1922" t="s">
        <v>1331</v>
      </c>
      <c r="C1922" t="s">
        <v>3159</v>
      </c>
      <c r="D1922" t="s">
        <v>20</v>
      </c>
      <c r="F1922">
        <v>4</v>
      </c>
      <c r="G1922" t="s">
        <v>1419</v>
      </c>
      <c r="H1922" s="89">
        <v>46162</v>
      </c>
      <c r="I1922" s="89">
        <v>46164</v>
      </c>
      <c r="N1922" t="s">
        <v>3099</v>
      </c>
    </row>
    <row r="1923" spans="1:14" hidden="1" x14ac:dyDescent="0.25">
      <c r="A1923" t="s">
        <v>1318</v>
      </c>
      <c r="B1923" t="s">
        <v>1332</v>
      </c>
      <c r="C1923" t="s">
        <v>3160</v>
      </c>
      <c r="D1923" t="s">
        <v>20</v>
      </c>
      <c r="F1923">
        <v>37</v>
      </c>
      <c r="G1923" t="s">
        <v>1419</v>
      </c>
      <c r="H1923" s="89">
        <v>46162</v>
      </c>
      <c r="I1923" s="89">
        <v>46164</v>
      </c>
      <c r="N1923" t="s">
        <v>3099</v>
      </c>
    </row>
    <row r="1924" spans="1:14" hidden="1" x14ac:dyDescent="0.25">
      <c r="A1924" t="s">
        <v>1324</v>
      </c>
      <c r="B1924" t="s">
        <v>1338</v>
      </c>
      <c r="C1924" t="s">
        <v>3161</v>
      </c>
      <c r="D1924" t="s">
        <v>23</v>
      </c>
      <c r="F1924">
        <v>960</v>
      </c>
      <c r="G1924">
        <v>20</v>
      </c>
      <c r="H1924" s="89">
        <v>46163</v>
      </c>
      <c r="I1924" s="89">
        <v>46170</v>
      </c>
      <c r="J1924" t="s">
        <v>3162</v>
      </c>
      <c r="N1924" t="s">
        <v>3099</v>
      </c>
    </row>
    <row r="1925" spans="1:14" hidden="1" x14ac:dyDescent="0.25">
      <c r="A1925" t="s">
        <v>1313</v>
      </c>
      <c r="B1925" t="s">
        <v>1327</v>
      </c>
      <c r="C1925" t="s">
        <v>3163</v>
      </c>
      <c r="D1925" t="s">
        <v>129</v>
      </c>
      <c r="F1925">
        <v>1152</v>
      </c>
      <c r="G1925">
        <v>24</v>
      </c>
      <c r="H1925" s="89">
        <v>46163</v>
      </c>
      <c r="I1925" s="89">
        <v>46168</v>
      </c>
      <c r="J1925" t="s">
        <v>3164</v>
      </c>
      <c r="N1925" t="s">
        <v>3099</v>
      </c>
    </row>
    <row r="1926" spans="1:14" hidden="1" x14ac:dyDescent="0.25">
      <c r="A1926" t="s">
        <v>1313</v>
      </c>
      <c r="B1926" t="s">
        <v>1327</v>
      </c>
      <c r="C1926" t="s">
        <v>3165</v>
      </c>
      <c r="D1926" t="s">
        <v>20</v>
      </c>
      <c r="F1926">
        <v>1104</v>
      </c>
      <c r="G1926">
        <v>23</v>
      </c>
      <c r="H1926" s="89">
        <v>46163</v>
      </c>
      <c r="I1926" s="89">
        <v>46167</v>
      </c>
      <c r="J1926" t="s">
        <v>3166</v>
      </c>
      <c r="N1926" t="s">
        <v>3099</v>
      </c>
    </row>
    <row r="1927" spans="1:14" hidden="1" x14ac:dyDescent="0.25">
      <c r="A1927" t="s">
        <v>1319</v>
      </c>
      <c r="B1927" t="s">
        <v>1333</v>
      </c>
      <c r="C1927" t="s">
        <v>3165</v>
      </c>
      <c r="D1927" t="s">
        <v>20</v>
      </c>
      <c r="F1927">
        <v>48</v>
      </c>
      <c r="G1927">
        <v>1</v>
      </c>
      <c r="H1927" s="89">
        <v>46163</v>
      </c>
      <c r="I1927" s="89">
        <v>46167</v>
      </c>
      <c r="J1927" t="s">
        <v>3166</v>
      </c>
      <c r="N1927" t="s">
        <v>3099</v>
      </c>
    </row>
    <row r="1928" spans="1:14" hidden="1" x14ac:dyDescent="0.25">
      <c r="A1928" t="s">
        <v>1315</v>
      </c>
      <c r="B1928" t="s">
        <v>1329</v>
      </c>
      <c r="C1928" t="s">
        <v>3165</v>
      </c>
      <c r="D1928" t="s">
        <v>20</v>
      </c>
      <c r="F1928">
        <v>138</v>
      </c>
      <c r="G1928" t="s">
        <v>1419</v>
      </c>
      <c r="H1928" s="89">
        <v>46163</v>
      </c>
      <c r="I1928" s="89">
        <v>46163</v>
      </c>
      <c r="N1928" t="s">
        <v>3099</v>
      </c>
    </row>
    <row r="1929" spans="1:14" hidden="1" x14ac:dyDescent="0.25">
      <c r="A1929" t="s">
        <v>1316</v>
      </c>
      <c r="B1929" t="s">
        <v>1330</v>
      </c>
      <c r="C1929" t="s">
        <v>3167</v>
      </c>
      <c r="D1929" t="s">
        <v>20</v>
      </c>
      <c r="F1929">
        <v>64</v>
      </c>
      <c r="G1929" t="s">
        <v>1419</v>
      </c>
      <c r="H1929" s="89">
        <v>46163</v>
      </c>
      <c r="I1929" s="89">
        <v>46165</v>
      </c>
      <c r="N1929" t="s">
        <v>3099</v>
      </c>
    </row>
    <row r="1930" spans="1:14" hidden="1" x14ac:dyDescent="0.25">
      <c r="A1930" t="s">
        <v>1317</v>
      </c>
      <c r="B1930" t="s">
        <v>1331</v>
      </c>
      <c r="C1930" t="s">
        <v>3168</v>
      </c>
      <c r="D1930" t="s">
        <v>20</v>
      </c>
      <c r="F1930">
        <v>7</v>
      </c>
      <c r="G1930" t="s">
        <v>1419</v>
      </c>
      <c r="H1930" s="89">
        <v>46163</v>
      </c>
      <c r="I1930" s="89">
        <v>46165</v>
      </c>
      <c r="N1930" t="s">
        <v>3099</v>
      </c>
    </row>
    <row r="1931" spans="1:14" hidden="1" x14ac:dyDescent="0.25">
      <c r="A1931" t="s">
        <v>1318</v>
      </c>
      <c r="B1931" t="s">
        <v>1332</v>
      </c>
      <c r="C1931" t="s">
        <v>3169</v>
      </c>
      <c r="D1931" t="s">
        <v>20</v>
      </c>
      <c r="F1931">
        <v>31</v>
      </c>
      <c r="G1931" t="s">
        <v>1419</v>
      </c>
      <c r="H1931" s="89">
        <v>46163</v>
      </c>
      <c r="I1931" s="89">
        <v>46165</v>
      </c>
      <c r="N1931" t="s">
        <v>3099</v>
      </c>
    </row>
    <row r="1932" spans="1:14" hidden="1" x14ac:dyDescent="0.25">
      <c r="A1932" t="s">
        <v>1324</v>
      </c>
      <c r="B1932" t="s">
        <v>1338</v>
      </c>
      <c r="C1932" t="s">
        <v>3170</v>
      </c>
      <c r="D1932" t="s">
        <v>21</v>
      </c>
      <c r="F1932">
        <v>960</v>
      </c>
      <c r="G1932">
        <v>20</v>
      </c>
      <c r="H1932" s="89">
        <v>46163</v>
      </c>
      <c r="I1932" s="89">
        <v>46170</v>
      </c>
      <c r="J1932" t="s">
        <v>3162</v>
      </c>
      <c r="N1932" t="s">
        <v>3099</v>
      </c>
    </row>
    <row r="1933" spans="1:14" hidden="1" x14ac:dyDescent="0.25">
      <c r="A1933" t="s">
        <v>1324</v>
      </c>
      <c r="B1933" t="s">
        <v>1338</v>
      </c>
      <c r="C1933" t="s">
        <v>3170</v>
      </c>
      <c r="D1933" t="s">
        <v>21</v>
      </c>
      <c r="F1933">
        <v>432</v>
      </c>
      <c r="G1933">
        <v>9</v>
      </c>
      <c r="H1933" s="89">
        <v>46163</v>
      </c>
      <c r="I1933" s="89">
        <v>46165</v>
      </c>
      <c r="N1933" t="s">
        <v>3099</v>
      </c>
    </row>
    <row r="1934" spans="1:14" hidden="1" x14ac:dyDescent="0.25">
      <c r="A1934" t="s">
        <v>1315</v>
      </c>
      <c r="B1934" t="s">
        <v>1329</v>
      </c>
      <c r="C1934" t="s">
        <v>3170</v>
      </c>
      <c r="D1934" t="s">
        <v>21</v>
      </c>
      <c r="F1934">
        <v>145</v>
      </c>
      <c r="G1934" t="s">
        <v>1419</v>
      </c>
      <c r="H1934" s="89">
        <v>46163</v>
      </c>
      <c r="I1934" s="89">
        <v>46163</v>
      </c>
      <c r="N1934" t="s">
        <v>3099</v>
      </c>
    </row>
    <row r="1935" spans="1:14" hidden="1" x14ac:dyDescent="0.25">
      <c r="A1935" t="s">
        <v>1316</v>
      </c>
      <c r="B1935" t="s">
        <v>1330</v>
      </c>
      <c r="C1935" t="s">
        <v>3171</v>
      </c>
      <c r="D1935" t="s">
        <v>21</v>
      </c>
      <c r="F1935">
        <v>18</v>
      </c>
      <c r="G1935" t="s">
        <v>1419</v>
      </c>
      <c r="H1935" s="89">
        <v>46163</v>
      </c>
      <c r="I1935" s="89">
        <v>46165</v>
      </c>
      <c r="N1935" t="s">
        <v>3099</v>
      </c>
    </row>
    <row r="1936" spans="1:14" hidden="1" x14ac:dyDescent="0.25">
      <c r="A1936" t="s">
        <v>1317</v>
      </c>
      <c r="B1936" t="s">
        <v>1331</v>
      </c>
      <c r="C1936" t="s">
        <v>3172</v>
      </c>
      <c r="D1936" t="s">
        <v>21</v>
      </c>
      <c r="F1936">
        <v>2</v>
      </c>
      <c r="G1936" t="s">
        <v>1419</v>
      </c>
      <c r="H1936" s="89">
        <v>46163</v>
      </c>
      <c r="I1936" s="89">
        <v>46165</v>
      </c>
      <c r="N1936" t="s">
        <v>3099</v>
      </c>
    </row>
    <row r="1937" spans="1:14" hidden="1" x14ac:dyDescent="0.25">
      <c r="A1937" t="s">
        <v>1318</v>
      </c>
      <c r="B1937" t="s">
        <v>1332</v>
      </c>
      <c r="C1937" t="s">
        <v>3173</v>
      </c>
      <c r="D1937" t="s">
        <v>21</v>
      </c>
      <c r="F1937">
        <v>86</v>
      </c>
      <c r="G1937" t="s">
        <v>1419</v>
      </c>
      <c r="H1937" s="89">
        <v>46163</v>
      </c>
      <c r="I1937" s="89">
        <v>46165</v>
      </c>
      <c r="N1937" t="s">
        <v>3099</v>
      </c>
    </row>
    <row r="1938" spans="1:14" hidden="1" x14ac:dyDescent="0.25">
      <c r="A1938" t="s">
        <v>1324</v>
      </c>
      <c r="B1938" t="s">
        <v>1338</v>
      </c>
      <c r="C1938" t="s">
        <v>3174</v>
      </c>
      <c r="D1938" t="s">
        <v>15</v>
      </c>
      <c r="F1938">
        <v>720</v>
      </c>
      <c r="G1938">
        <v>15</v>
      </c>
      <c r="H1938" s="89">
        <v>46163</v>
      </c>
      <c r="I1938" s="89">
        <v>46165</v>
      </c>
      <c r="N1938" t="s">
        <v>3099</v>
      </c>
    </row>
    <row r="1939" spans="1:14" hidden="1" x14ac:dyDescent="0.25">
      <c r="A1939" t="s">
        <v>1320</v>
      </c>
      <c r="B1939" t="s">
        <v>1334</v>
      </c>
      <c r="C1939" t="s">
        <v>3174</v>
      </c>
      <c r="D1939" t="s">
        <v>15</v>
      </c>
      <c r="F1939">
        <v>960</v>
      </c>
      <c r="G1939">
        <v>20</v>
      </c>
      <c r="H1939" s="89">
        <v>46163</v>
      </c>
      <c r="I1939" s="89">
        <v>46168</v>
      </c>
      <c r="J1939" t="s">
        <v>3175</v>
      </c>
      <c r="N1939" t="s">
        <v>3099</v>
      </c>
    </row>
    <row r="1940" spans="1:14" hidden="1" x14ac:dyDescent="0.25">
      <c r="A1940" t="s">
        <v>1315</v>
      </c>
      <c r="B1940" t="s">
        <v>1329</v>
      </c>
      <c r="C1940" t="s">
        <v>3174</v>
      </c>
      <c r="D1940" t="s">
        <v>15</v>
      </c>
      <c r="F1940">
        <v>3</v>
      </c>
      <c r="G1940" t="s">
        <v>1419</v>
      </c>
      <c r="H1940" s="89">
        <v>46163</v>
      </c>
      <c r="I1940" s="89">
        <v>46163</v>
      </c>
      <c r="N1940" t="s">
        <v>3099</v>
      </c>
    </row>
    <row r="1941" spans="1:14" hidden="1" x14ac:dyDescent="0.25">
      <c r="A1941" t="s">
        <v>1316</v>
      </c>
      <c r="B1941" t="s">
        <v>1330</v>
      </c>
      <c r="C1941" t="s">
        <v>3176</v>
      </c>
      <c r="D1941" t="s">
        <v>15</v>
      </c>
      <c r="F1941">
        <v>106</v>
      </c>
      <c r="G1941" t="s">
        <v>1419</v>
      </c>
      <c r="H1941" s="89">
        <v>46163</v>
      </c>
      <c r="I1941" s="89">
        <v>46165</v>
      </c>
      <c r="N1941" t="s">
        <v>3099</v>
      </c>
    </row>
    <row r="1942" spans="1:14" hidden="1" x14ac:dyDescent="0.25">
      <c r="A1942" t="s">
        <v>1317</v>
      </c>
      <c r="B1942" t="s">
        <v>1331</v>
      </c>
      <c r="C1942" t="s">
        <v>3177</v>
      </c>
      <c r="D1942" t="s">
        <v>15</v>
      </c>
      <c r="F1942">
        <v>19</v>
      </c>
      <c r="G1942" t="s">
        <v>1419</v>
      </c>
      <c r="H1942" s="89">
        <v>46163</v>
      </c>
      <c r="I1942" s="89">
        <v>46165</v>
      </c>
      <c r="N1942" t="s">
        <v>3099</v>
      </c>
    </row>
    <row r="1943" spans="1:14" hidden="1" x14ac:dyDescent="0.25">
      <c r="A1943" t="s">
        <v>1318</v>
      </c>
      <c r="B1943" t="s">
        <v>1332</v>
      </c>
      <c r="C1943" t="s">
        <v>3178</v>
      </c>
      <c r="D1943" t="s">
        <v>15</v>
      </c>
      <c r="F1943">
        <v>31</v>
      </c>
      <c r="G1943" t="s">
        <v>1419</v>
      </c>
      <c r="H1943" s="89">
        <v>46163</v>
      </c>
      <c r="I1943" s="89">
        <v>46165</v>
      </c>
      <c r="N1943" t="s">
        <v>3099</v>
      </c>
    </row>
    <row r="1944" spans="1:14" hidden="1" x14ac:dyDescent="0.25">
      <c r="A1944" t="s">
        <v>1326</v>
      </c>
      <c r="B1944" t="s">
        <v>1340</v>
      </c>
      <c r="C1944" t="s">
        <v>3179</v>
      </c>
      <c r="D1944" t="s">
        <v>32</v>
      </c>
      <c r="F1944">
        <v>840</v>
      </c>
      <c r="G1944">
        <v>20</v>
      </c>
      <c r="H1944" s="89">
        <v>46164</v>
      </c>
      <c r="I1944" s="89">
        <v>46172</v>
      </c>
      <c r="J1944" t="s">
        <v>3180</v>
      </c>
      <c r="N1944" t="s">
        <v>3099</v>
      </c>
    </row>
    <row r="1945" spans="1:14" hidden="1" x14ac:dyDescent="0.25">
      <c r="A1945" t="s">
        <v>1320</v>
      </c>
      <c r="B1945" t="s">
        <v>1334</v>
      </c>
      <c r="C1945" t="s">
        <v>3181</v>
      </c>
      <c r="D1945" t="s">
        <v>30</v>
      </c>
      <c r="F1945">
        <v>528</v>
      </c>
      <c r="G1945">
        <v>11</v>
      </c>
      <c r="H1945" s="89">
        <v>46164</v>
      </c>
      <c r="I1945" s="89">
        <v>46169</v>
      </c>
      <c r="J1945" t="s">
        <v>3182</v>
      </c>
      <c r="N1945" t="s">
        <v>3099</v>
      </c>
    </row>
    <row r="1946" spans="1:14" hidden="1" x14ac:dyDescent="0.25">
      <c r="A1946" t="s">
        <v>1320</v>
      </c>
      <c r="B1946" t="s">
        <v>1334</v>
      </c>
      <c r="C1946" t="s">
        <v>3183</v>
      </c>
      <c r="D1946" t="s">
        <v>23</v>
      </c>
      <c r="F1946">
        <v>960</v>
      </c>
      <c r="G1946">
        <v>20</v>
      </c>
      <c r="H1946" s="89">
        <v>46164</v>
      </c>
      <c r="I1946" s="89">
        <v>46169</v>
      </c>
      <c r="J1946" t="s">
        <v>3184</v>
      </c>
      <c r="N1946" t="s">
        <v>3099</v>
      </c>
    </row>
    <row r="1947" spans="1:14" hidden="1" x14ac:dyDescent="0.25">
      <c r="A1947" t="s">
        <v>1313</v>
      </c>
      <c r="B1947" t="s">
        <v>1327</v>
      </c>
      <c r="C1947" t="s">
        <v>3185</v>
      </c>
      <c r="D1947" t="s">
        <v>20</v>
      </c>
      <c r="F1947">
        <v>1152</v>
      </c>
      <c r="G1947">
        <v>24</v>
      </c>
      <c r="H1947" s="89">
        <v>46164</v>
      </c>
      <c r="I1947" s="89">
        <v>46169</v>
      </c>
      <c r="J1947" t="s">
        <v>3186</v>
      </c>
      <c r="N1947" t="s">
        <v>3099</v>
      </c>
    </row>
    <row r="1948" spans="1:14" hidden="1" x14ac:dyDescent="0.25">
      <c r="A1948" t="s">
        <v>1315</v>
      </c>
      <c r="B1948" t="s">
        <v>1329</v>
      </c>
      <c r="C1948" t="s">
        <v>3185</v>
      </c>
      <c r="D1948" t="s">
        <v>20</v>
      </c>
      <c r="F1948">
        <v>43</v>
      </c>
      <c r="G1948" t="s">
        <v>1419</v>
      </c>
      <c r="H1948" s="89">
        <v>46164</v>
      </c>
      <c r="I1948" s="89">
        <v>46166</v>
      </c>
      <c r="N1948" t="s">
        <v>3099</v>
      </c>
    </row>
    <row r="1949" spans="1:14" hidden="1" x14ac:dyDescent="0.25">
      <c r="A1949" t="s">
        <v>1316</v>
      </c>
      <c r="B1949" t="s">
        <v>1330</v>
      </c>
      <c r="C1949" t="s">
        <v>3187</v>
      </c>
      <c r="D1949" t="s">
        <v>20</v>
      </c>
      <c r="F1949">
        <v>29</v>
      </c>
      <c r="G1949" t="s">
        <v>1419</v>
      </c>
      <c r="H1949" s="89">
        <v>46164</v>
      </c>
      <c r="I1949" s="89">
        <v>46166</v>
      </c>
      <c r="N1949" t="s">
        <v>3099</v>
      </c>
    </row>
    <row r="1950" spans="1:14" hidden="1" x14ac:dyDescent="0.25">
      <c r="A1950" t="s">
        <v>1317</v>
      </c>
      <c r="B1950" t="s">
        <v>1331</v>
      </c>
      <c r="C1950" t="s">
        <v>3188</v>
      </c>
      <c r="D1950" t="s">
        <v>20</v>
      </c>
      <c r="F1950">
        <v>7</v>
      </c>
      <c r="G1950" t="s">
        <v>1419</v>
      </c>
      <c r="H1950" s="89">
        <v>46164</v>
      </c>
      <c r="I1950" s="89">
        <v>46166</v>
      </c>
      <c r="N1950" t="s">
        <v>3099</v>
      </c>
    </row>
    <row r="1951" spans="1:14" hidden="1" x14ac:dyDescent="0.25">
      <c r="A1951" t="s">
        <v>1318</v>
      </c>
      <c r="B1951" t="s">
        <v>1332</v>
      </c>
      <c r="C1951" t="s">
        <v>3189</v>
      </c>
      <c r="D1951" t="s">
        <v>20</v>
      </c>
      <c r="F1951">
        <v>16</v>
      </c>
      <c r="G1951" t="s">
        <v>1419</v>
      </c>
      <c r="H1951" s="89">
        <v>46164</v>
      </c>
      <c r="I1951" s="89">
        <v>46166</v>
      </c>
      <c r="N1951" t="s">
        <v>3099</v>
      </c>
    </row>
    <row r="1952" spans="1:14" hidden="1" x14ac:dyDescent="0.25">
      <c r="A1952" t="s">
        <v>1313</v>
      </c>
      <c r="B1952" t="s">
        <v>1327</v>
      </c>
      <c r="C1952" t="s">
        <v>3190</v>
      </c>
      <c r="D1952" t="s">
        <v>21</v>
      </c>
      <c r="F1952">
        <v>432</v>
      </c>
      <c r="G1952">
        <v>9</v>
      </c>
      <c r="H1952" s="89">
        <v>46164</v>
      </c>
      <c r="I1952" s="89">
        <v>46168</v>
      </c>
      <c r="J1952" t="s">
        <v>3191</v>
      </c>
      <c r="N1952" t="s">
        <v>3099</v>
      </c>
    </row>
    <row r="1953" spans="1:14" hidden="1" x14ac:dyDescent="0.25">
      <c r="A1953" t="s">
        <v>1320</v>
      </c>
      <c r="B1953" t="s">
        <v>1334</v>
      </c>
      <c r="C1953" t="s">
        <v>3190</v>
      </c>
      <c r="D1953" t="s">
        <v>21</v>
      </c>
      <c r="F1953">
        <v>960</v>
      </c>
      <c r="G1953">
        <v>20</v>
      </c>
      <c r="H1953" s="89">
        <v>46164</v>
      </c>
      <c r="I1953" s="89">
        <v>46170</v>
      </c>
      <c r="J1953" t="s">
        <v>3192</v>
      </c>
      <c r="N1953" t="s">
        <v>3099</v>
      </c>
    </row>
    <row r="1954" spans="1:14" hidden="1" x14ac:dyDescent="0.25">
      <c r="A1954" t="s">
        <v>1315</v>
      </c>
      <c r="B1954" t="s">
        <v>1329</v>
      </c>
      <c r="C1954" t="s">
        <v>3190</v>
      </c>
      <c r="D1954" t="s">
        <v>21</v>
      </c>
      <c r="F1954">
        <v>47</v>
      </c>
      <c r="G1954" t="s">
        <v>1419</v>
      </c>
      <c r="H1954" s="89">
        <v>46164</v>
      </c>
      <c r="I1954" s="89">
        <v>46166</v>
      </c>
      <c r="N1954" t="s">
        <v>3099</v>
      </c>
    </row>
    <row r="1955" spans="1:14" hidden="1" x14ac:dyDescent="0.25">
      <c r="A1955" t="s">
        <v>1316</v>
      </c>
      <c r="B1955" t="s">
        <v>1330</v>
      </c>
      <c r="C1955" t="s">
        <v>3193</v>
      </c>
      <c r="D1955" t="s">
        <v>21</v>
      </c>
      <c r="F1955">
        <v>9</v>
      </c>
      <c r="G1955" t="s">
        <v>1419</v>
      </c>
      <c r="H1955" s="89">
        <v>46164</v>
      </c>
      <c r="I1955" s="89">
        <v>46166</v>
      </c>
      <c r="N1955" t="s">
        <v>3099</v>
      </c>
    </row>
    <row r="1956" spans="1:14" hidden="1" x14ac:dyDescent="0.25">
      <c r="A1956" t="s">
        <v>1317</v>
      </c>
      <c r="B1956" t="s">
        <v>1331</v>
      </c>
      <c r="C1956" t="s">
        <v>3194</v>
      </c>
      <c r="D1956" t="s">
        <v>21</v>
      </c>
      <c r="F1956">
        <v>16</v>
      </c>
      <c r="G1956" t="s">
        <v>1419</v>
      </c>
      <c r="H1956" s="89">
        <v>46164</v>
      </c>
      <c r="I1956" s="89">
        <v>46166</v>
      </c>
      <c r="N1956" t="s">
        <v>3099</v>
      </c>
    </row>
    <row r="1957" spans="1:14" hidden="1" x14ac:dyDescent="0.25">
      <c r="A1957" t="s">
        <v>1318</v>
      </c>
      <c r="B1957" t="s">
        <v>1332</v>
      </c>
      <c r="C1957" t="s">
        <v>3195</v>
      </c>
      <c r="D1957" t="s">
        <v>21</v>
      </c>
      <c r="F1957">
        <v>76</v>
      </c>
      <c r="G1957" t="s">
        <v>1419</v>
      </c>
      <c r="H1957" s="89">
        <v>46164</v>
      </c>
      <c r="I1957" s="89">
        <v>46166</v>
      </c>
      <c r="N1957" t="s">
        <v>3099</v>
      </c>
    </row>
    <row r="1958" spans="1:14" hidden="1" x14ac:dyDescent="0.25">
      <c r="A1958" t="s">
        <v>1320</v>
      </c>
      <c r="B1958" t="s">
        <v>1334</v>
      </c>
      <c r="C1958" t="s">
        <v>3196</v>
      </c>
      <c r="D1958" t="s">
        <v>15</v>
      </c>
      <c r="F1958">
        <v>960</v>
      </c>
      <c r="G1958">
        <v>20</v>
      </c>
      <c r="H1958" s="89">
        <v>46164</v>
      </c>
      <c r="I1958" s="89">
        <v>46170</v>
      </c>
      <c r="J1958" t="s">
        <v>3197</v>
      </c>
      <c r="N1958" t="s">
        <v>3099</v>
      </c>
    </row>
    <row r="1959" spans="1:14" hidden="1" x14ac:dyDescent="0.25">
      <c r="A1959" t="s">
        <v>1313</v>
      </c>
      <c r="B1959" t="s">
        <v>1327</v>
      </c>
      <c r="C1959" t="s">
        <v>3196</v>
      </c>
      <c r="D1959" t="s">
        <v>15</v>
      </c>
      <c r="F1959">
        <v>432</v>
      </c>
      <c r="G1959">
        <v>9</v>
      </c>
      <c r="H1959" s="89">
        <v>46164</v>
      </c>
      <c r="I1959" s="89">
        <v>46168</v>
      </c>
      <c r="J1959" t="s">
        <v>3191</v>
      </c>
      <c r="N1959" t="s">
        <v>3099</v>
      </c>
    </row>
    <row r="1960" spans="1:14" hidden="1" x14ac:dyDescent="0.25">
      <c r="A1960" t="s">
        <v>1314</v>
      </c>
      <c r="B1960" t="s">
        <v>1328</v>
      </c>
      <c r="C1960" t="s">
        <v>3196</v>
      </c>
      <c r="D1960" t="s">
        <v>15</v>
      </c>
      <c r="F1960">
        <v>288</v>
      </c>
      <c r="G1960">
        <v>6</v>
      </c>
      <c r="H1960" s="89">
        <v>46164</v>
      </c>
      <c r="I1960" s="89">
        <v>46168</v>
      </c>
      <c r="J1960" t="s">
        <v>3198</v>
      </c>
      <c r="N1960" t="s">
        <v>3099</v>
      </c>
    </row>
    <row r="1961" spans="1:14" hidden="1" x14ac:dyDescent="0.25">
      <c r="A1961" t="s">
        <v>1315</v>
      </c>
      <c r="B1961" t="s">
        <v>1329</v>
      </c>
      <c r="C1961" t="s">
        <v>3196</v>
      </c>
      <c r="D1961" t="s">
        <v>15</v>
      </c>
      <c r="F1961">
        <v>31</v>
      </c>
      <c r="G1961" t="s">
        <v>1419</v>
      </c>
      <c r="H1961" s="89">
        <v>46164</v>
      </c>
      <c r="I1961" s="89">
        <v>46166</v>
      </c>
      <c r="N1961" t="s">
        <v>3099</v>
      </c>
    </row>
    <row r="1962" spans="1:14" hidden="1" x14ac:dyDescent="0.25">
      <c r="A1962" t="s">
        <v>1316</v>
      </c>
      <c r="B1962" t="s">
        <v>1330</v>
      </c>
      <c r="C1962" t="s">
        <v>3199</v>
      </c>
      <c r="D1962" t="s">
        <v>15</v>
      </c>
      <c r="F1962">
        <v>76</v>
      </c>
      <c r="G1962" t="s">
        <v>1419</v>
      </c>
      <c r="H1962" s="89">
        <v>46164</v>
      </c>
      <c r="I1962" s="89">
        <v>46166</v>
      </c>
      <c r="N1962" t="s">
        <v>3099</v>
      </c>
    </row>
    <row r="1963" spans="1:14" hidden="1" x14ac:dyDescent="0.25">
      <c r="A1963" t="s">
        <v>1317</v>
      </c>
      <c r="B1963" t="s">
        <v>1331</v>
      </c>
      <c r="C1963" t="s">
        <v>3200</v>
      </c>
      <c r="D1963" t="s">
        <v>15</v>
      </c>
      <c r="F1963">
        <v>18</v>
      </c>
      <c r="G1963" t="s">
        <v>1419</v>
      </c>
      <c r="H1963" s="89">
        <v>46164</v>
      </c>
      <c r="I1963" s="89">
        <v>46166</v>
      </c>
      <c r="N1963" t="s">
        <v>3099</v>
      </c>
    </row>
    <row r="1964" spans="1:14" hidden="1" x14ac:dyDescent="0.25">
      <c r="A1964" t="s">
        <v>1318</v>
      </c>
      <c r="B1964" t="s">
        <v>1332</v>
      </c>
      <c r="C1964" t="s">
        <v>3201</v>
      </c>
      <c r="D1964" t="s">
        <v>15</v>
      </c>
      <c r="F1964">
        <v>29</v>
      </c>
      <c r="G1964" t="s">
        <v>1419</v>
      </c>
      <c r="H1964" s="89">
        <v>46164</v>
      </c>
      <c r="I1964" s="89">
        <v>46166</v>
      </c>
      <c r="N1964" t="s">
        <v>3099</v>
      </c>
    </row>
    <row r="1965" spans="1:14" hidden="1" x14ac:dyDescent="0.25">
      <c r="A1965" t="s">
        <v>1320</v>
      </c>
      <c r="B1965" t="s">
        <v>1334</v>
      </c>
      <c r="C1965" t="s">
        <v>3202</v>
      </c>
      <c r="D1965" t="s">
        <v>30</v>
      </c>
      <c r="F1965">
        <v>432</v>
      </c>
      <c r="G1965">
        <v>9</v>
      </c>
      <c r="H1965" s="89">
        <v>46165</v>
      </c>
      <c r="I1965" s="89">
        <v>46169</v>
      </c>
      <c r="J1965" t="s">
        <v>3182</v>
      </c>
      <c r="N1965" t="s">
        <v>3099</v>
      </c>
    </row>
    <row r="1966" spans="1:14" hidden="1" x14ac:dyDescent="0.25">
      <c r="A1966" t="s">
        <v>1324</v>
      </c>
      <c r="B1966" t="s">
        <v>1338</v>
      </c>
      <c r="C1966" t="s">
        <v>3203</v>
      </c>
      <c r="D1966" t="s">
        <v>15</v>
      </c>
      <c r="F1966">
        <v>960</v>
      </c>
      <c r="G1966">
        <v>20</v>
      </c>
      <c r="H1966" s="89">
        <v>46165</v>
      </c>
      <c r="I1966" s="89">
        <v>46172</v>
      </c>
      <c r="J1966" t="s">
        <v>3204</v>
      </c>
      <c r="N1966" t="s">
        <v>3099</v>
      </c>
    </row>
    <row r="1967" spans="1:14" hidden="1" x14ac:dyDescent="0.25">
      <c r="A1967" t="s">
        <v>1315</v>
      </c>
      <c r="B1967" t="s">
        <v>1329</v>
      </c>
      <c r="C1967" t="s">
        <v>3203</v>
      </c>
      <c r="D1967" t="s">
        <v>15</v>
      </c>
      <c r="F1967">
        <v>110</v>
      </c>
      <c r="G1967" t="s">
        <v>1419</v>
      </c>
      <c r="H1967" s="89">
        <v>46165</v>
      </c>
      <c r="I1967" s="89">
        <v>46167</v>
      </c>
      <c r="N1967" t="s">
        <v>3099</v>
      </c>
    </row>
    <row r="1968" spans="1:14" hidden="1" x14ac:dyDescent="0.25">
      <c r="A1968" t="s">
        <v>1316</v>
      </c>
      <c r="B1968" t="s">
        <v>1330</v>
      </c>
      <c r="C1968" t="s">
        <v>3205</v>
      </c>
      <c r="D1968" t="s">
        <v>15</v>
      </c>
      <c r="F1968">
        <v>42</v>
      </c>
      <c r="G1968" t="s">
        <v>1419</v>
      </c>
      <c r="H1968" s="89">
        <v>46165</v>
      </c>
      <c r="I1968" s="89">
        <v>46167</v>
      </c>
      <c r="N1968" t="s">
        <v>3099</v>
      </c>
    </row>
    <row r="1969" spans="1:14" hidden="1" x14ac:dyDescent="0.25">
      <c r="A1969" t="s">
        <v>1317</v>
      </c>
      <c r="B1969" t="s">
        <v>1331</v>
      </c>
      <c r="C1969" t="s">
        <v>3206</v>
      </c>
      <c r="D1969" t="s">
        <v>15</v>
      </c>
      <c r="F1969">
        <v>16</v>
      </c>
      <c r="G1969" t="s">
        <v>1419</v>
      </c>
      <c r="H1969" s="89">
        <v>46165</v>
      </c>
      <c r="I1969" s="89">
        <v>46167</v>
      </c>
      <c r="N1969" t="s">
        <v>3099</v>
      </c>
    </row>
    <row r="1970" spans="1:14" hidden="1" x14ac:dyDescent="0.25">
      <c r="A1970" t="s">
        <v>1318</v>
      </c>
      <c r="B1970" t="s">
        <v>1332</v>
      </c>
      <c r="C1970" t="s">
        <v>3207</v>
      </c>
      <c r="D1970" t="s">
        <v>15</v>
      </c>
      <c r="F1970">
        <v>9</v>
      </c>
      <c r="G1970" t="s">
        <v>1419</v>
      </c>
      <c r="H1970" s="89">
        <v>46165</v>
      </c>
      <c r="I1970" s="89">
        <v>46167</v>
      </c>
      <c r="N1970" t="s">
        <v>3099</v>
      </c>
    </row>
    <row r="1971" spans="1:14" hidden="1" x14ac:dyDescent="0.25">
      <c r="A1971" t="s">
        <v>1324</v>
      </c>
      <c r="B1971" t="s">
        <v>1338</v>
      </c>
      <c r="C1971" t="s">
        <v>3208</v>
      </c>
      <c r="D1971" t="s">
        <v>28</v>
      </c>
      <c r="F1971">
        <v>960</v>
      </c>
      <c r="G1971">
        <v>20</v>
      </c>
      <c r="H1971" s="89">
        <v>46165</v>
      </c>
      <c r="I1971" s="89">
        <v>46172</v>
      </c>
      <c r="J1971" t="s">
        <v>3204</v>
      </c>
      <c r="N1971" t="s">
        <v>3099</v>
      </c>
    </row>
    <row r="1972" spans="1:14" hidden="1" x14ac:dyDescent="0.25">
      <c r="A1972" t="s">
        <v>1313</v>
      </c>
      <c r="B1972" t="s">
        <v>1327</v>
      </c>
      <c r="C1972" t="s">
        <v>3208</v>
      </c>
      <c r="D1972" t="s">
        <v>28</v>
      </c>
      <c r="F1972">
        <v>192</v>
      </c>
      <c r="G1972">
        <v>4</v>
      </c>
      <c r="H1972" s="89">
        <v>46165</v>
      </c>
      <c r="I1972" s="89">
        <v>46168</v>
      </c>
      <c r="N1972" t="s">
        <v>3099</v>
      </c>
    </row>
    <row r="1973" spans="1:14" hidden="1" x14ac:dyDescent="0.25">
      <c r="A1973" t="s">
        <v>1315</v>
      </c>
      <c r="B1973" t="s">
        <v>1329</v>
      </c>
      <c r="C1973" t="s">
        <v>3208</v>
      </c>
      <c r="D1973" t="s">
        <v>28</v>
      </c>
      <c r="F1973">
        <v>69</v>
      </c>
      <c r="G1973" t="s">
        <v>1419</v>
      </c>
      <c r="H1973" s="89">
        <v>46165</v>
      </c>
      <c r="I1973" s="89">
        <v>46167</v>
      </c>
      <c r="N1973" t="s">
        <v>3099</v>
      </c>
    </row>
    <row r="1974" spans="1:14" hidden="1" x14ac:dyDescent="0.25">
      <c r="A1974" t="s">
        <v>1316</v>
      </c>
      <c r="B1974" t="s">
        <v>1330</v>
      </c>
      <c r="C1974" t="s">
        <v>3209</v>
      </c>
      <c r="D1974" t="s">
        <v>28</v>
      </c>
      <c r="F1974">
        <v>25</v>
      </c>
      <c r="G1974" t="s">
        <v>1419</v>
      </c>
      <c r="H1974" s="89">
        <v>46165</v>
      </c>
      <c r="I1974" s="89">
        <v>46167</v>
      </c>
      <c r="N1974" t="s">
        <v>3099</v>
      </c>
    </row>
    <row r="1975" spans="1:14" hidden="1" x14ac:dyDescent="0.25">
      <c r="A1975" t="s">
        <v>1317</v>
      </c>
      <c r="B1975" t="s">
        <v>1331</v>
      </c>
      <c r="C1975" t="s">
        <v>3210</v>
      </c>
      <c r="D1975" t="s">
        <v>28</v>
      </c>
      <c r="F1975">
        <v>3</v>
      </c>
      <c r="G1975" t="s">
        <v>1419</v>
      </c>
      <c r="H1975" s="89">
        <v>46165</v>
      </c>
      <c r="I1975" s="89">
        <v>46167</v>
      </c>
      <c r="N1975" t="s">
        <v>3099</v>
      </c>
    </row>
    <row r="1976" spans="1:14" hidden="1" x14ac:dyDescent="0.25">
      <c r="A1976" t="s">
        <v>1318</v>
      </c>
      <c r="B1976" t="s">
        <v>1332</v>
      </c>
      <c r="C1976" t="s">
        <v>3211</v>
      </c>
      <c r="D1976" t="s">
        <v>28</v>
      </c>
      <c r="F1976">
        <v>62</v>
      </c>
      <c r="G1976" t="s">
        <v>1419</v>
      </c>
      <c r="H1976" s="89">
        <v>46165</v>
      </c>
      <c r="I1976" s="89">
        <v>46167</v>
      </c>
      <c r="N1976" t="s">
        <v>3099</v>
      </c>
    </row>
    <row r="1977" spans="1:14" hidden="1" x14ac:dyDescent="0.25">
      <c r="A1977" t="s">
        <v>1326</v>
      </c>
      <c r="B1977" t="s">
        <v>1340</v>
      </c>
      <c r="C1977" t="s">
        <v>3212</v>
      </c>
      <c r="D1977" t="s">
        <v>32</v>
      </c>
      <c r="F1977">
        <v>1008</v>
      </c>
      <c r="G1977">
        <v>24</v>
      </c>
      <c r="H1977" s="89">
        <v>46167</v>
      </c>
      <c r="I1977" s="89">
        <v>46175</v>
      </c>
      <c r="J1977" t="s">
        <v>3213</v>
      </c>
      <c r="N1977" t="s">
        <v>3214</v>
      </c>
    </row>
    <row r="1978" spans="1:14" hidden="1" x14ac:dyDescent="0.25">
      <c r="A1978" t="s">
        <v>1321</v>
      </c>
      <c r="B1978" t="s">
        <v>1335</v>
      </c>
      <c r="C1978" t="s">
        <v>3215</v>
      </c>
      <c r="D1978" t="s">
        <v>138</v>
      </c>
      <c r="F1978">
        <v>96</v>
      </c>
      <c r="G1978">
        <v>2</v>
      </c>
      <c r="H1978" s="89">
        <v>46167</v>
      </c>
      <c r="I1978" s="89">
        <v>46174</v>
      </c>
      <c r="J1978" t="s">
        <v>3216</v>
      </c>
      <c r="N1978" t="s">
        <v>3214</v>
      </c>
    </row>
    <row r="1979" spans="1:14" hidden="1" x14ac:dyDescent="0.25">
      <c r="A1979" t="s">
        <v>1325</v>
      </c>
      <c r="B1979" t="s">
        <v>1339</v>
      </c>
      <c r="C1979" t="s">
        <v>3215</v>
      </c>
      <c r="D1979" t="s">
        <v>138</v>
      </c>
      <c r="F1979">
        <v>384</v>
      </c>
      <c r="G1979">
        <v>8</v>
      </c>
      <c r="H1979" s="89">
        <v>46167</v>
      </c>
      <c r="I1979" s="89">
        <v>46169</v>
      </c>
      <c r="N1979" t="s">
        <v>3214</v>
      </c>
    </row>
    <row r="1980" spans="1:14" hidden="1" x14ac:dyDescent="0.25">
      <c r="A1980" t="s">
        <v>1313</v>
      </c>
      <c r="B1980" t="s">
        <v>1327</v>
      </c>
      <c r="C1980" t="s">
        <v>3217</v>
      </c>
      <c r="D1980" t="s">
        <v>20</v>
      </c>
      <c r="F1980">
        <v>1104</v>
      </c>
      <c r="G1980">
        <v>23</v>
      </c>
      <c r="H1980" s="89">
        <v>46167</v>
      </c>
      <c r="I1980" s="89">
        <v>46171</v>
      </c>
      <c r="J1980" t="s">
        <v>3218</v>
      </c>
      <c r="N1980" t="s">
        <v>3214</v>
      </c>
    </row>
    <row r="1981" spans="1:14" hidden="1" x14ac:dyDescent="0.25">
      <c r="A1981" t="s">
        <v>1319</v>
      </c>
      <c r="B1981" t="s">
        <v>1333</v>
      </c>
      <c r="C1981" t="s">
        <v>3217</v>
      </c>
      <c r="D1981" t="s">
        <v>20</v>
      </c>
      <c r="F1981">
        <v>48</v>
      </c>
      <c r="G1981">
        <v>1</v>
      </c>
      <c r="H1981" s="89">
        <v>46167</v>
      </c>
      <c r="I1981" s="89">
        <v>46171</v>
      </c>
      <c r="J1981" t="s">
        <v>3218</v>
      </c>
      <c r="N1981" t="s">
        <v>3214</v>
      </c>
    </row>
    <row r="1982" spans="1:14" hidden="1" x14ac:dyDescent="0.25">
      <c r="A1982" t="s">
        <v>1313</v>
      </c>
      <c r="B1982" t="s">
        <v>1327</v>
      </c>
      <c r="C1982" t="s">
        <v>3217</v>
      </c>
      <c r="D1982" t="s">
        <v>20</v>
      </c>
      <c r="F1982">
        <v>240</v>
      </c>
      <c r="G1982">
        <v>5</v>
      </c>
      <c r="H1982" s="89">
        <v>46167</v>
      </c>
      <c r="I1982" s="89">
        <v>46169</v>
      </c>
      <c r="N1982" t="s">
        <v>3214</v>
      </c>
    </row>
    <row r="1983" spans="1:14" hidden="1" x14ac:dyDescent="0.25">
      <c r="A1983" t="s">
        <v>1315</v>
      </c>
      <c r="B1983" t="s">
        <v>1329</v>
      </c>
      <c r="C1983" t="s">
        <v>3217</v>
      </c>
      <c r="D1983" t="s">
        <v>20</v>
      </c>
      <c r="F1983">
        <v>178</v>
      </c>
      <c r="G1983" t="s">
        <v>1419</v>
      </c>
      <c r="H1983" s="89">
        <v>46167</v>
      </c>
      <c r="I1983" s="89">
        <v>46169</v>
      </c>
      <c r="N1983" t="s">
        <v>3214</v>
      </c>
    </row>
    <row r="1984" spans="1:14" hidden="1" x14ac:dyDescent="0.25">
      <c r="A1984" t="s">
        <v>1316</v>
      </c>
      <c r="B1984" t="s">
        <v>1330</v>
      </c>
      <c r="C1984" t="s">
        <v>3219</v>
      </c>
      <c r="D1984" t="s">
        <v>20</v>
      </c>
      <c r="F1984">
        <v>83</v>
      </c>
      <c r="G1984" t="s">
        <v>1419</v>
      </c>
      <c r="H1984" s="89">
        <v>46167</v>
      </c>
      <c r="I1984" s="89">
        <v>46169</v>
      </c>
      <c r="N1984" t="s">
        <v>3214</v>
      </c>
    </row>
    <row r="1985" spans="1:14" hidden="1" x14ac:dyDescent="0.25">
      <c r="A1985" t="s">
        <v>1317</v>
      </c>
      <c r="B1985" t="s">
        <v>1331</v>
      </c>
      <c r="C1985" t="s">
        <v>3220</v>
      </c>
      <c r="D1985" t="s">
        <v>20</v>
      </c>
      <c r="F1985">
        <v>14</v>
      </c>
      <c r="G1985" t="s">
        <v>1419</v>
      </c>
      <c r="H1985" s="89">
        <v>46167</v>
      </c>
      <c r="I1985" s="89">
        <v>46169</v>
      </c>
      <c r="N1985" t="s">
        <v>3214</v>
      </c>
    </row>
    <row r="1986" spans="1:14" hidden="1" x14ac:dyDescent="0.25">
      <c r="A1986" t="s">
        <v>1318</v>
      </c>
      <c r="B1986" t="s">
        <v>1332</v>
      </c>
      <c r="C1986" t="s">
        <v>3221</v>
      </c>
      <c r="D1986" t="s">
        <v>20</v>
      </c>
      <c r="F1986">
        <v>42</v>
      </c>
      <c r="G1986" t="s">
        <v>1419</v>
      </c>
      <c r="H1986" s="89">
        <v>46167</v>
      </c>
      <c r="I1986" s="89">
        <v>46169</v>
      </c>
      <c r="N1986" t="s">
        <v>3214</v>
      </c>
    </row>
    <row r="1987" spans="1:14" hidden="1" x14ac:dyDescent="0.25">
      <c r="A1987" t="s">
        <v>1313</v>
      </c>
      <c r="B1987" t="s">
        <v>1327</v>
      </c>
      <c r="C1987" t="s">
        <v>3222</v>
      </c>
      <c r="D1987" t="s">
        <v>21</v>
      </c>
      <c r="F1987">
        <v>816</v>
      </c>
      <c r="G1987">
        <v>17</v>
      </c>
      <c r="H1987" s="89">
        <v>46167</v>
      </c>
      <c r="I1987" s="89">
        <v>46170</v>
      </c>
      <c r="J1987" t="s">
        <v>3223</v>
      </c>
      <c r="N1987" t="s">
        <v>3214</v>
      </c>
    </row>
    <row r="1988" spans="1:14" hidden="1" x14ac:dyDescent="0.25">
      <c r="A1988" t="s">
        <v>1314</v>
      </c>
      <c r="B1988" t="s">
        <v>1328</v>
      </c>
      <c r="C1988" t="s">
        <v>3222</v>
      </c>
      <c r="D1988" t="s">
        <v>21</v>
      </c>
      <c r="F1988">
        <v>336</v>
      </c>
      <c r="G1988">
        <v>7</v>
      </c>
      <c r="H1988" s="89">
        <v>46167</v>
      </c>
      <c r="I1988" s="89">
        <v>46170</v>
      </c>
      <c r="J1988" t="s">
        <v>3224</v>
      </c>
      <c r="N1988" t="s">
        <v>3214</v>
      </c>
    </row>
    <row r="1989" spans="1:14" hidden="1" x14ac:dyDescent="0.25">
      <c r="A1989" t="s">
        <v>1315</v>
      </c>
      <c r="B1989" t="s">
        <v>1329</v>
      </c>
      <c r="C1989" t="s">
        <v>3222</v>
      </c>
      <c r="D1989" t="s">
        <v>21</v>
      </c>
      <c r="F1989">
        <v>32</v>
      </c>
      <c r="G1989" t="s">
        <v>1419</v>
      </c>
      <c r="H1989" s="89">
        <v>46167</v>
      </c>
      <c r="I1989" s="89">
        <v>46169</v>
      </c>
      <c r="N1989" t="s">
        <v>3214</v>
      </c>
    </row>
    <row r="1990" spans="1:14" hidden="1" x14ac:dyDescent="0.25">
      <c r="A1990" t="s">
        <v>1316</v>
      </c>
      <c r="B1990" t="s">
        <v>1330</v>
      </c>
      <c r="C1990" t="s">
        <v>3225</v>
      </c>
      <c r="D1990" t="s">
        <v>21</v>
      </c>
      <c r="F1990">
        <v>51</v>
      </c>
      <c r="G1990" t="s">
        <v>1419</v>
      </c>
      <c r="H1990" s="89">
        <v>46167</v>
      </c>
      <c r="I1990" s="89">
        <v>46169</v>
      </c>
      <c r="N1990" t="s">
        <v>3214</v>
      </c>
    </row>
    <row r="1991" spans="1:14" hidden="1" x14ac:dyDescent="0.25">
      <c r="A1991" t="s">
        <v>1317</v>
      </c>
      <c r="B1991" t="s">
        <v>1331</v>
      </c>
      <c r="C1991" t="s">
        <v>3226</v>
      </c>
      <c r="D1991" t="s">
        <v>21</v>
      </c>
      <c r="F1991">
        <v>5</v>
      </c>
      <c r="G1991" t="s">
        <v>1419</v>
      </c>
      <c r="H1991" s="89">
        <v>46167</v>
      </c>
      <c r="I1991" s="89">
        <v>46169</v>
      </c>
      <c r="N1991" t="s">
        <v>3214</v>
      </c>
    </row>
    <row r="1992" spans="1:14" hidden="1" x14ac:dyDescent="0.25">
      <c r="A1992" t="s">
        <v>1318</v>
      </c>
      <c r="B1992" t="s">
        <v>1332</v>
      </c>
      <c r="C1992" t="s">
        <v>3227</v>
      </c>
      <c r="D1992" t="s">
        <v>21</v>
      </c>
      <c r="F1992">
        <v>52</v>
      </c>
      <c r="G1992" t="s">
        <v>1419</v>
      </c>
      <c r="H1992" s="89">
        <v>46167</v>
      </c>
      <c r="I1992" s="89">
        <v>46169</v>
      </c>
      <c r="N1992" t="s">
        <v>3214</v>
      </c>
    </row>
    <row r="1993" spans="1:14" hidden="1" x14ac:dyDescent="0.25">
      <c r="A1993" t="s">
        <v>1320</v>
      </c>
      <c r="B1993" t="s">
        <v>1334</v>
      </c>
      <c r="C1993" t="s">
        <v>3228</v>
      </c>
      <c r="D1993" t="s">
        <v>15</v>
      </c>
      <c r="F1993">
        <v>960</v>
      </c>
      <c r="G1993">
        <v>20</v>
      </c>
      <c r="H1993" s="89">
        <v>46167</v>
      </c>
      <c r="I1993" s="89">
        <v>46171</v>
      </c>
      <c r="J1993" t="s">
        <v>3229</v>
      </c>
      <c r="N1993" t="s">
        <v>3214</v>
      </c>
    </row>
    <row r="1994" spans="1:14" hidden="1" x14ac:dyDescent="0.25">
      <c r="A1994" t="s">
        <v>1313</v>
      </c>
      <c r="B1994" t="s">
        <v>1327</v>
      </c>
      <c r="C1994" t="s">
        <v>3228</v>
      </c>
      <c r="D1994" t="s">
        <v>15</v>
      </c>
      <c r="F1994">
        <v>480</v>
      </c>
      <c r="G1994">
        <v>10</v>
      </c>
      <c r="H1994" s="89">
        <v>46167</v>
      </c>
      <c r="I1994" s="89">
        <v>46174</v>
      </c>
      <c r="J1994" t="s">
        <v>3230</v>
      </c>
      <c r="N1994" t="s">
        <v>3214</v>
      </c>
    </row>
    <row r="1995" spans="1:14" hidden="1" x14ac:dyDescent="0.25">
      <c r="A1995" t="s">
        <v>1315</v>
      </c>
      <c r="B1995" t="s">
        <v>1329</v>
      </c>
      <c r="C1995" t="s">
        <v>3228</v>
      </c>
      <c r="D1995" t="s">
        <v>15</v>
      </c>
      <c r="F1995">
        <v>37</v>
      </c>
      <c r="G1995" t="s">
        <v>1419</v>
      </c>
      <c r="H1995" s="89">
        <v>46167</v>
      </c>
      <c r="I1995" s="89">
        <v>46169</v>
      </c>
      <c r="N1995" t="s">
        <v>3214</v>
      </c>
    </row>
    <row r="1996" spans="1:14" hidden="1" x14ac:dyDescent="0.25">
      <c r="A1996" t="s">
        <v>1316</v>
      </c>
      <c r="B1996" t="s">
        <v>1330</v>
      </c>
      <c r="C1996" t="s">
        <v>3231</v>
      </c>
      <c r="D1996" t="s">
        <v>15</v>
      </c>
      <c r="F1996">
        <v>97</v>
      </c>
      <c r="G1996" t="s">
        <v>1419</v>
      </c>
      <c r="H1996" s="89">
        <v>46167</v>
      </c>
      <c r="I1996" s="89">
        <v>46169</v>
      </c>
      <c r="N1996" t="s">
        <v>3214</v>
      </c>
    </row>
    <row r="1997" spans="1:14" hidden="1" x14ac:dyDescent="0.25">
      <c r="A1997" t="s">
        <v>1317</v>
      </c>
      <c r="B1997" t="s">
        <v>1331</v>
      </c>
      <c r="C1997" t="s">
        <v>3232</v>
      </c>
      <c r="D1997" t="s">
        <v>15</v>
      </c>
      <c r="F1997">
        <v>22</v>
      </c>
      <c r="G1997" t="s">
        <v>1419</v>
      </c>
      <c r="H1997" s="89">
        <v>46167</v>
      </c>
      <c r="I1997" s="89">
        <v>46169</v>
      </c>
      <c r="N1997" t="s">
        <v>3214</v>
      </c>
    </row>
    <row r="1998" spans="1:14" hidden="1" x14ac:dyDescent="0.25">
      <c r="A1998" t="s">
        <v>1318</v>
      </c>
      <c r="B1998" t="s">
        <v>1332</v>
      </c>
      <c r="C1998" t="s">
        <v>3233</v>
      </c>
      <c r="D1998" t="s">
        <v>15</v>
      </c>
      <c r="F1998">
        <v>28</v>
      </c>
      <c r="G1998" t="s">
        <v>1419</v>
      </c>
      <c r="H1998" s="89">
        <v>46167</v>
      </c>
      <c r="I1998" s="89">
        <v>46169</v>
      </c>
      <c r="N1998" t="s">
        <v>3214</v>
      </c>
    </row>
    <row r="1999" spans="1:14" hidden="1" x14ac:dyDescent="0.25">
      <c r="A1999" t="s">
        <v>1324</v>
      </c>
      <c r="B1999" t="s">
        <v>1338</v>
      </c>
      <c r="C1999" t="s">
        <v>3234</v>
      </c>
      <c r="D1999" t="s">
        <v>13</v>
      </c>
      <c r="F1999">
        <v>960</v>
      </c>
      <c r="G1999">
        <v>20</v>
      </c>
      <c r="H1999" s="89">
        <v>46168</v>
      </c>
      <c r="I1999" s="89">
        <v>46174</v>
      </c>
      <c r="J1999" t="s">
        <v>3216</v>
      </c>
      <c r="N1999" t="s">
        <v>3214</v>
      </c>
    </row>
    <row r="2000" spans="1:14" hidden="1" x14ac:dyDescent="0.25">
      <c r="A2000" t="s">
        <v>1324</v>
      </c>
      <c r="B2000" t="s">
        <v>1338</v>
      </c>
      <c r="C2000" t="s">
        <v>3235</v>
      </c>
      <c r="D2000" t="s">
        <v>23</v>
      </c>
      <c r="F2000">
        <v>864</v>
      </c>
      <c r="G2000">
        <v>18</v>
      </c>
      <c r="H2000" s="89">
        <v>46168</v>
      </c>
      <c r="I2000" s="89">
        <v>46174</v>
      </c>
      <c r="J2000" t="s">
        <v>3216</v>
      </c>
      <c r="N2000" t="s">
        <v>3214</v>
      </c>
    </row>
    <row r="2001" spans="1:14" hidden="1" x14ac:dyDescent="0.25">
      <c r="A2001" t="s">
        <v>1320</v>
      </c>
      <c r="B2001" t="s">
        <v>1334</v>
      </c>
      <c r="C2001" t="s">
        <v>3236</v>
      </c>
      <c r="D2001" t="s">
        <v>103</v>
      </c>
      <c r="F2001">
        <v>960</v>
      </c>
      <c r="G2001">
        <v>20</v>
      </c>
      <c r="H2001" s="89">
        <v>46168</v>
      </c>
      <c r="I2001" s="89">
        <v>46171</v>
      </c>
      <c r="J2001" t="s">
        <v>3237</v>
      </c>
      <c r="N2001" t="s">
        <v>3214</v>
      </c>
    </row>
    <row r="2002" spans="1:14" hidden="1" x14ac:dyDescent="0.25">
      <c r="A2002" t="s">
        <v>1320</v>
      </c>
      <c r="B2002" t="s">
        <v>1334</v>
      </c>
      <c r="C2002" t="s">
        <v>3238</v>
      </c>
      <c r="D2002" t="s">
        <v>118</v>
      </c>
      <c r="F2002">
        <v>480</v>
      </c>
      <c r="G2002">
        <v>10</v>
      </c>
      <c r="H2002" s="89">
        <v>46168</v>
      </c>
      <c r="I2002" s="89">
        <v>46174</v>
      </c>
      <c r="J2002" t="s">
        <v>3239</v>
      </c>
      <c r="N2002" t="s">
        <v>3214</v>
      </c>
    </row>
    <row r="2003" spans="1:14" hidden="1" x14ac:dyDescent="0.25">
      <c r="A2003" t="s">
        <v>1323</v>
      </c>
      <c r="B2003" t="s">
        <v>1337</v>
      </c>
      <c r="C2003" t="s">
        <v>3240</v>
      </c>
      <c r="D2003" t="s">
        <v>20</v>
      </c>
      <c r="F2003">
        <v>918</v>
      </c>
      <c r="G2003">
        <v>17</v>
      </c>
      <c r="H2003" s="89">
        <v>46168</v>
      </c>
      <c r="I2003" s="89">
        <v>46170</v>
      </c>
      <c r="J2003" t="s">
        <v>3241</v>
      </c>
      <c r="N2003" t="s">
        <v>3214</v>
      </c>
    </row>
    <row r="2004" spans="1:14" hidden="1" x14ac:dyDescent="0.25">
      <c r="A2004" t="s">
        <v>1322</v>
      </c>
      <c r="B2004" t="s">
        <v>1336</v>
      </c>
      <c r="C2004" t="s">
        <v>3240</v>
      </c>
      <c r="D2004" t="s">
        <v>20</v>
      </c>
      <c r="F2004">
        <v>162</v>
      </c>
      <c r="G2004">
        <v>3</v>
      </c>
      <c r="H2004" s="89">
        <v>46168</v>
      </c>
      <c r="I2004" s="89">
        <v>46170</v>
      </c>
      <c r="J2004" t="s">
        <v>3241</v>
      </c>
      <c r="N2004" t="s">
        <v>3214</v>
      </c>
    </row>
    <row r="2005" spans="1:14" hidden="1" x14ac:dyDescent="0.25">
      <c r="A2005" t="s">
        <v>1313</v>
      </c>
      <c r="B2005" t="s">
        <v>1327</v>
      </c>
      <c r="C2005" t="s">
        <v>3240</v>
      </c>
      <c r="D2005" t="s">
        <v>20</v>
      </c>
      <c r="F2005">
        <v>144</v>
      </c>
      <c r="G2005">
        <v>3</v>
      </c>
      <c r="H2005" s="89">
        <v>46168</v>
      </c>
      <c r="I2005" s="89">
        <v>46174</v>
      </c>
      <c r="J2005" t="s">
        <v>3230</v>
      </c>
      <c r="N2005" t="s">
        <v>3214</v>
      </c>
    </row>
    <row r="2006" spans="1:14" hidden="1" x14ac:dyDescent="0.25">
      <c r="A2006" t="s">
        <v>1313</v>
      </c>
      <c r="B2006" t="s">
        <v>1327</v>
      </c>
      <c r="C2006" t="s">
        <v>3240</v>
      </c>
      <c r="D2006" t="s">
        <v>20</v>
      </c>
      <c r="F2006">
        <v>48</v>
      </c>
      <c r="G2006">
        <v>1</v>
      </c>
      <c r="H2006" s="89">
        <v>46168</v>
      </c>
      <c r="I2006" s="89">
        <v>46170</v>
      </c>
      <c r="N2006" t="s">
        <v>3214</v>
      </c>
    </row>
    <row r="2007" spans="1:14" hidden="1" x14ac:dyDescent="0.25">
      <c r="A2007" t="s">
        <v>1316</v>
      </c>
      <c r="B2007" t="s">
        <v>1330</v>
      </c>
      <c r="C2007" t="s">
        <v>3242</v>
      </c>
      <c r="D2007" t="s">
        <v>20</v>
      </c>
      <c r="F2007">
        <v>56</v>
      </c>
      <c r="G2007" t="s">
        <v>1419</v>
      </c>
      <c r="H2007" s="89">
        <v>46168</v>
      </c>
      <c r="I2007" s="89">
        <v>46170</v>
      </c>
      <c r="N2007" t="s">
        <v>3214</v>
      </c>
    </row>
    <row r="2008" spans="1:14" hidden="1" x14ac:dyDescent="0.25">
      <c r="A2008" t="s">
        <v>1317</v>
      </c>
      <c r="B2008" t="s">
        <v>1331</v>
      </c>
      <c r="C2008" t="s">
        <v>3243</v>
      </c>
      <c r="D2008" t="s">
        <v>20</v>
      </c>
      <c r="F2008">
        <v>1</v>
      </c>
      <c r="G2008" t="s">
        <v>1419</v>
      </c>
      <c r="H2008" s="89">
        <v>46168</v>
      </c>
      <c r="I2008" s="89">
        <v>46170</v>
      </c>
      <c r="N2008" t="s">
        <v>3214</v>
      </c>
    </row>
    <row r="2009" spans="1:14" hidden="1" x14ac:dyDescent="0.25">
      <c r="A2009" t="s">
        <v>1318</v>
      </c>
      <c r="B2009" t="s">
        <v>1332</v>
      </c>
      <c r="C2009" t="s">
        <v>3244</v>
      </c>
      <c r="D2009" t="s">
        <v>20</v>
      </c>
      <c r="F2009">
        <v>30</v>
      </c>
      <c r="G2009" t="s">
        <v>1419</v>
      </c>
      <c r="H2009" s="89">
        <v>46168</v>
      </c>
      <c r="I2009" s="89">
        <v>46170</v>
      </c>
      <c r="N2009" t="s">
        <v>3214</v>
      </c>
    </row>
    <row r="2010" spans="1:14" hidden="1" x14ac:dyDescent="0.25">
      <c r="A2010" t="s">
        <v>1313</v>
      </c>
      <c r="B2010" t="s">
        <v>1327</v>
      </c>
      <c r="C2010" t="s">
        <v>3245</v>
      </c>
      <c r="D2010" t="s">
        <v>15</v>
      </c>
      <c r="F2010">
        <v>528</v>
      </c>
      <c r="G2010">
        <v>11</v>
      </c>
      <c r="H2010" s="89">
        <v>46168</v>
      </c>
      <c r="I2010" s="89">
        <v>46174</v>
      </c>
      <c r="J2010" t="s">
        <v>3230</v>
      </c>
      <c r="N2010" t="s">
        <v>3214</v>
      </c>
    </row>
    <row r="2011" spans="1:14" hidden="1" x14ac:dyDescent="0.25">
      <c r="A2011" t="s">
        <v>1313</v>
      </c>
      <c r="B2011" t="s">
        <v>1327</v>
      </c>
      <c r="C2011" t="s">
        <v>3245</v>
      </c>
      <c r="D2011" t="s">
        <v>15</v>
      </c>
      <c r="F2011">
        <v>864</v>
      </c>
      <c r="G2011">
        <v>18</v>
      </c>
      <c r="H2011" s="89">
        <v>46168</v>
      </c>
      <c r="I2011" s="89">
        <v>46173</v>
      </c>
      <c r="J2011" t="s">
        <v>3246</v>
      </c>
      <c r="N2011" t="s">
        <v>3214</v>
      </c>
    </row>
    <row r="2012" spans="1:14" hidden="1" x14ac:dyDescent="0.25">
      <c r="A2012" t="s">
        <v>1314</v>
      </c>
      <c r="B2012" t="s">
        <v>1328</v>
      </c>
      <c r="C2012" t="s">
        <v>3245</v>
      </c>
      <c r="D2012" t="s">
        <v>15</v>
      </c>
      <c r="F2012">
        <v>288</v>
      </c>
      <c r="G2012">
        <v>6</v>
      </c>
      <c r="H2012" s="89">
        <v>46168</v>
      </c>
      <c r="I2012" s="89">
        <v>46173</v>
      </c>
      <c r="J2012" t="s">
        <v>3247</v>
      </c>
      <c r="N2012" t="s">
        <v>3214</v>
      </c>
    </row>
    <row r="2013" spans="1:14" hidden="1" x14ac:dyDescent="0.25">
      <c r="A2013" t="s">
        <v>1313</v>
      </c>
      <c r="B2013" t="s">
        <v>1327</v>
      </c>
      <c r="C2013" t="s">
        <v>3245</v>
      </c>
      <c r="D2013" t="s">
        <v>15</v>
      </c>
      <c r="F2013">
        <v>48</v>
      </c>
      <c r="G2013">
        <v>1</v>
      </c>
      <c r="H2013" s="89">
        <v>46168</v>
      </c>
      <c r="I2013" s="89">
        <v>46170</v>
      </c>
      <c r="N2013" t="s">
        <v>3214</v>
      </c>
    </row>
    <row r="2014" spans="1:14" hidden="1" x14ac:dyDescent="0.25">
      <c r="A2014" t="s">
        <v>1315</v>
      </c>
      <c r="B2014" t="s">
        <v>1329</v>
      </c>
      <c r="C2014" t="s">
        <v>3245</v>
      </c>
      <c r="D2014" t="s">
        <v>15</v>
      </c>
      <c r="F2014">
        <v>29</v>
      </c>
      <c r="G2014" t="s">
        <v>1419</v>
      </c>
      <c r="H2014" s="89">
        <v>46168</v>
      </c>
      <c r="I2014" s="89">
        <v>46170</v>
      </c>
      <c r="N2014" t="s">
        <v>3214</v>
      </c>
    </row>
    <row r="2015" spans="1:14" hidden="1" x14ac:dyDescent="0.25">
      <c r="A2015" t="s">
        <v>1316</v>
      </c>
      <c r="B2015" t="s">
        <v>1330</v>
      </c>
      <c r="C2015" t="s">
        <v>3248</v>
      </c>
      <c r="D2015" t="s">
        <v>15</v>
      </c>
      <c r="F2015">
        <v>58</v>
      </c>
      <c r="G2015" t="s">
        <v>1419</v>
      </c>
      <c r="H2015" s="89">
        <v>46168</v>
      </c>
      <c r="I2015" s="89">
        <v>46170</v>
      </c>
      <c r="N2015" t="s">
        <v>3214</v>
      </c>
    </row>
    <row r="2016" spans="1:14" hidden="1" x14ac:dyDescent="0.25">
      <c r="A2016" t="s">
        <v>1317</v>
      </c>
      <c r="B2016" t="s">
        <v>1331</v>
      </c>
      <c r="C2016" t="s">
        <v>3249</v>
      </c>
      <c r="D2016" t="s">
        <v>15</v>
      </c>
      <c r="F2016">
        <v>19</v>
      </c>
      <c r="G2016" t="s">
        <v>1419</v>
      </c>
      <c r="H2016" s="89">
        <v>46168</v>
      </c>
      <c r="I2016" s="89">
        <v>46170</v>
      </c>
      <c r="N2016" t="s">
        <v>3214</v>
      </c>
    </row>
    <row r="2017" spans="1:14" hidden="1" x14ac:dyDescent="0.25">
      <c r="A2017" t="s">
        <v>1318</v>
      </c>
      <c r="B2017" t="s">
        <v>1332</v>
      </c>
      <c r="C2017" t="s">
        <v>3250</v>
      </c>
      <c r="D2017" t="s">
        <v>15</v>
      </c>
      <c r="F2017">
        <v>21</v>
      </c>
      <c r="G2017" t="s">
        <v>1419</v>
      </c>
      <c r="H2017" s="89">
        <v>46168</v>
      </c>
      <c r="I2017" s="89">
        <v>46170</v>
      </c>
      <c r="N2017" t="s">
        <v>3214</v>
      </c>
    </row>
    <row r="2018" spans="1:14" hidden="1" x14ac:dyDescent="0.25">
      <c r="A2018" t="s">
        <v>1313</v>
      </c>
      <c r="B2018" t="s">
        <v>1327</v>
      </c>
      <c r="C2018" t="s">
        <v>3251</v>
      </c>
      <c r="D2018" t="s">
        <v>28</v>
      </c>
      <c r="F2018">
        <v>1152</v>
      </c>
      <c r="G2018">
        <v>24</v>
      </c>
      <c r="H2018" s="89">
        <v>46168</v>
      </c>
      <c r="I2018" s="89">
        <v>46172</v>
      </c>
      <c r="J2018" t="s">
        <v>3252</v>
      </c>
      <c r="N2018" t="s">
        <v>3214</v>
      </c>
    </row>
    <row r="2019" spans="1:14" hidden="1" x14ac:dyDescent="0.25">
      <c r="A2019" t="s">
        <v>1324</v>
      </c>
      <c r="B2019" t="s">
        <v>1338</v>
      </c>
      <c r="C2019" t="s">
        <v>3251</v>
      </c>
      <c r="D2019" t="s">
        <v>28</v>
      </c>
      <c r="F2019">
        <v>384</v>
      </c>
      <c r="G2019">
        <v>8</v>
      </c>
      <c r="H2019" s="89">
        <v>46168</v>
      </c>
      <c r="I2019" s="89">
        <v>46172</v>
      </c>
      <c r="N2019" t="s">
        <v>3214</v>
      </c>
    </row>
    <row r="2020" spans="1:14" hidden="1" x14ac:dyDescent="0.25">
      <c r="A2020" t="s">
        <v>1315</v>
      </c>
      <c r="B2020" t="s">
        <v>1329</v>
      </c>
      <c r="C2020" t="s">
        <v>3251</v>
      </c>
      <c r="D2020" t="s">
        <v>28</v>
      </c>
      <c r="F2020">
        <v>48</v>
      </c>
      <c r="G2020" t="s">
        <v>1419</v>
      </c>
      <c r="H2020" s="89">
        <v>46168</v>
      </c>
      <c r="I2020" s="89">
        <v>46170</v>
      </c>
      <c r="N2020" t="s">
        <v>3214</v>
      </c>
    </row>
    <row r="2021" spans="1:14" hidden="1" x14ac:dyDescent="0.25">
      <c r="A2021" t="s">
        <v>1316</v>
      </c>
      <c r="B2021" t="s">
        <v>1330</v>
      </c>
      <c r="C2021" t="s">
        <v>3253</v>
      </c>
      <c r="D2021" t="s">
        <v>28</v>
      </c>
      <c r="F2021">
        <v>51</v>
      </c>
      <c r="G2021" t="s">
        <v>1419</v>
      </c>
      <c r="H2021" s="89">
        <v>46168</v>
      </c>
      <c r="I2021" s="89">
        <v>46170</v>
      </c>
      <c r="N2021" t="s">
        <v>3214</v>
      </c>
    </row>
    <row r="2022" spans="1:14" hidden="1" x14ac:dyDescent="0.25">
      <c r="A2022" t="s">
        <v>1317</v>
      </c>
      <c r="B2022" t="s">
        <v>1331</v>
      </c>
      <c r="C2022" t="s">
        <v>3254</v>
      </c>
      <c r="D2022" t="s">
        <v>28</v>
      </c>
      <c r="F2022">
        <v>0</v>
      </c>
      <c r="G2022" t="s">
        <v>1419</v>
      </c>
      <c r="H2022" s="89">
        <v>46168</v>
      </c>
      <c r="I2022" s="89">
        <v>46170</v>
      </c>
      <c r="N2022" t="s">
        <v>3214</v>
      </c>
    </row>
    <row r="2023" spans="1:14" hidden="1" x14ac:dyDescent="0.25">
      <c r="A2023" t="s">
        <v>1318</v>
      </c>
      <c r="B2023" t="s">
        <v>1332</v>
      </c>
      <c r="C2023" t="s">
        <v>3255</v>
      </c>
      <c r="D2023" t="s">
        <v>28</v>
      </c>
      <c r="F2023">
        <v>74</v>
      </c>
      <c r="G2023" t="s">
        <v>1419</v>
      </c>
      <c r="H2023" s="89">
        <v>46168</v>
      </c>
      <c r="I2023" s="89">
        <v>46170</v>
      </c>
      <c r="N2023" t="s">
        <v>3214</v>
      </c>
    </row>
    <row r="2024" spans="1:14" hidden="1" x14ac:dyDescent="0.25">
      <c r="A2024" t="s">
        <v>1313</v>
      </c>
      <c r="B2024" t="s">
        <v>1327</v>
      </c>
      <c r="C2024" t="s">
        <v>3256</v>
      </c>
      <c r="D2024" t="s">
        <v>23</v>
      </c>
      <c r="F2024">
        <v>960</v>
      </c>
      <c r="G2024">
        <v>20</v>
      </c>
      <c r="H2024" s="89">
        <v>46169</v>
      </c>
      <c r="I2024" s="89">
        <v>46172</v>
      </c>
      <c r="N2024" t="s">
        <v>3214</v>
      </c>
    </row>
    <row r="2025" spans="1:14" hidden="1" x14ac:dyDescent="0.25">
      <c r="A2025" t="s">
        <v>1320</v>
      </c>
      <c r="B2025" t="s">
        <v>1334</v>
      </c>
      <c r="C2025" t="s">
        <v>3257</v>
      </c>
      <c r="D2025" t="s">
        <v>13</v>
      </c>
      <c r="F2025">
        <v>480</v>
      </c>
      <c r="G2025">
        <v>10</v>
      </c>
      <c r="H2025" s="89">
        <v>46169</v>
      </c>
      <c r="I2025" s="89">
        <v>46174</v>
      </c>
      <c r="J2025" t="s">
        <v>3239</v>
      </c>
      <c r="N2025" t="s">
        <v>3214</v>
      </c>
    </row>
    <row r="2026" spans="1:14" hidden="1" x14ac:dyDescent="0.25">
      <c r="A2026" t="s">
        <v>1320</v>
      </c>
      <c r="B2026" t="s">
        <v>1334</v>
      </c>
      <c r="C2026" t="s">
        <v>3258</v>
      </c>
      <c r="D2026" t="s">
        <v>99</v>
      </c>
      <c r="F2026">
        <v>960</v>
      </c>
      <c r="G2026">
        <v>20</v>
      </c>
      <c r="H2026" s="89">
        <v>46169</v>
      </c>
      <c r="I2026" s="89">
        <v>46174</v>
      </c>
      <c r="J2026" t="s">
        <v>3259</v>
      </c>
      <c r="N2026" t="s">
        <v>3214</v>
      </c>
    </row>
    <row r="2027" spans="1:14" hidden="1" x14ac:dyDescent="0.25">
      <c r="A2027" t="s">
        <v>1313</v>
      </c>
      <c r="B2027" t="s">
        <v>1327</v>
      </c>
      <c r="C2027" t="s">
        <v>3260</v>
      </c>
      <c r="D2027" t="s">
        <v>15</v>
      </c>
      <c r="F2027">
        <v>1152</v>
      </c>
      <c r="G2027">
        <v>24</v>
      </c>
      <c r="H2027" s="89">
        <v>46169</v>
      </c>
      <c r="I2027" s="89">
        <v>46175</v>
      </c>
      <c r="J2027" t="s">
        <v>3261</v>
      </c>
      <c r="N2027" t="s">
        <v>3214</v>
      </c>
    </row>
    <row r="2028" spans="1:14" hidden="1" x14ac:dyDescent="0.25">
      <c r="A2028" t="s">
        <v>1313</v>
      </c>
      <c r="B2028" t="s">
        <v>1327</v>
      </c>
      <c r="C2028" t="s">
        <v>3260</v>
      </c>
      <c r="D2028" t="s">
        <v>15</v>
      </c>
      <c r="F2028">
        <v>480</v>
      </c>
      <c r="G2028">
        <v>10</v>
      </c>
      <c r="H2028" s="89">
        <v>46169</v>
      </c>
      <c r="I2028" s="89">
        <v>46175</v>
      </c>
      <c r="J2028" t="s">
        <v>3262</v>
      </c>
      <c r="N2028" t="s">
        <v>3214</v>
      </c>
    </row>
    <row r="2029" spans="1:14" hidden="1" x14ac:dyDescent="0.25">
      <c r="A2029" t="s">
        <v>1315</v>
      </c>
      <c r="B2029" t="s">
        <v>1329</v>
      </c>
      <c r="C2029" t="s">
        <v>3260</v>
      </c>
      <c r="D2029" t="s">
        <v>15</v>
      </c>
      <c r="F2029">
        <v>15</v>
      </c>
      <c r="G2029" t="s">
        <v>1419</v>
      </c>
      <c r="H2029" s="89">
        <v>46169</v>
      </c>
      <c r="I2029" s="89">
        <v>46170</v>
      </c>
      <c r="N2029" t="s">
        <v>3214</v>
      </c>
    </row>
    <row r="2030" spans="1:14" hidden="1" x14ac:dyDescent="0.25">
      <c r="A2030" t="s">
        <v>1316</v>
      </c>
      <c r="B2030" t="s">
        <v>1330</v>
      </c>
      <c r="C2030" t="s">
        <v>3263</v>
      </c>
      <c r="D2030" t="s">
        <v>15</v>
      </c>
      <c r="F2030">
        <v>59</v>
      </c>
      <c r="G2030" t="s">
        <v>1419</v>
      </c>
      <c r="H2030" s="89">
        <v>46169</v>
      </c>
      <c r="I2030" s="89">
        <v>46171</v>
      </c>
      <c r="N2030" t="s">
        <v>3214</v>
      </c>
    </row>
    <row r="2031" spans="1:14" hidden="1" x14ac:dyDescent="0.25">
      <c r="A2031" t="s">
        <v>1317</v>
      </c>
      <c r="B2031" t="s">
        <v>1331</v>
      </c>
      <c r="C2031" t="s">
        <v>3264</v>
      </c>
      <c r="D2031" t="s">
        <v>15</v>
      </c>
      <c r="F2031">
        <v>14</v>
      </c>
      <c r="G2031" t="s">
        <v>1419</v>
      </c>
      <c r="H2031" s="89">
        <v>46169</v>
      </c>
      <c r="I2031" s="89">
        <v>46171</v>
      </c>
      <c r="N2031" t="s">
        <v>3214</v>
      </c>
    </row>
    <row r="2032" spans="1:14" hidden="1" x14ac:dyDescent="0.25">
      <c r="A2032" t="s">
        <v>1318</v>
      </c>
      <c r="B2032" t="s">
        <v>1332</v>
      </c>
      <c r="C2032" t="s">
        <v>3265</v>
      </c>
      <c r="D2032" t="s">
        <v>15</v>
      </c>
      <c r="F2032">
        <v>27</v>
      </c>
      <c r="G2032" t="s">
        <v>1419</v>
      </c>
      <c r="H2032" s="89">
        <v>46169</v>
      </c>
      <c r="I2032" s="89">
        <v>46171</v>
      </c>
      <c r="N2032" t="s">
        <v>3214</v>
      </c>
    </row>
    <row r="2033" spans="1:14" hidden="1" x14ac:dyDescent="0.25">
      <c r="A2033" t="s">
        <v>1324</v>
      </c>
      <c r="B2033" t="s">
        <v>1338</v>
      </c>
      <c r="C2033" t="s">
        <v>3266</v>
      </c>
      <c r="D2033" t="s">
        <v>28</v>
      </c>
      <c r="F2033">
        <v>912</v>
      </c>
      <c r="G2033">
        <v>19</v>
      </c>
      <c r="H2033" s="89">
        <v>46169</v>
      </c>
      <c r="I2033" s="89">
        <v>46172</v>
      </c>
      <c r="N2033" t="s">
        <v>3214</v>
      </c>
    </row>
    <row r="2034" spans="1:14" hidden="1" x14ac:dyDescent="0.25">
      <c r="A2034" t="s">
        <v>1324</v>
      </c>
      <c r="B2034" t="s">
        <v>1338</v>
      </c>
      <c r="C2034" t="s">
        <v>3266</v>
      </c>
      <c r="D2034" t="s">
        <v>28</v>
      </c>
      <c r="F2034">
        <v>192</v>
      </c>
      <c r="G2034">
        <v>4</v>
      </c>
      <c r="H2034" s="89">
        <v>46169</v>
      </c>
      <c r="I2034" s="89">
        <v>46176</v>
      </c>
      <c r="J2034" t="s">
        <v>3267</v>
      </c>
      <c r="N2034" t="s">
        <v>3214</v>
      </c>
    </row>
    <row r="2035" spans="1:14" hidden="1" x14ac:dyDescent="0.25">
      <c r="A2035" t="s">
        <v>1313</v>
      </c>
      <c r="B2035" t="s">
        <v>1327</v>
      </c>
      <c r="C2035" t="s">
        <v>3266</v>
      </c>
      <c r="D2035" t="s">
        <v>28</v>
      </c>
      <c r="F2035">
        <v>384</v>
      </c>
      <c r="G2035">
        <v>8</v>
      </c>
      <c r="H2035" s="89">
        <v>46169</v>
      </c>
      <c r="I2035" s="89">
        <v>46175</v>
      </c>
      <c r="J2035" t="s">
        <v>3262</v>
      </c>
      <c r="N2035" t="s">
        <v>3214</v>
      </c>
    </row>
    <row r="2036" spans="1:14" hidden="1" x14ac:dyDescent="0.25">
      <c r="A2036" t="s">
        <v>1315</v>
      </c>
      <c r="B2036" t="s">
        <v>1329</v>
      </c>
      <c r="C2036" t="s">
        <v>3266</v>
      </c>
      <c r="D2036" t="s">
        <v>28</v>
      </c>
      <c r="F2036">
        <v>3</v>
      </c>
      <c r="G2036" t="s">
        <v>1419</v>
      </c>
      <c r="H2036" s="89">
        <v>46169</v>
      </c>
      <c r="I2036" s="89">
        <v>46171</v>
      </c>
      <c r="N2036" t="s">
        <v>3214</v>
      </c>
    </row>
    <row r="2037" spans="1:14" hidden="1" x14ac:dyDescent="0.25">
      <c r="A2037" t="s">
        <v>1316</v>
      </c>
      <c r="B2037" t="s">
        <v>1330</v>
      </c>
      <c r="C2037" t="s">
        <v>3268</v>
      </c>
      <c r="D2037" t="s">
        <v>28</v>
      </c>
      <c r="F2037">
        <v>39</v>
      </c>
      <c r="G2037" t="s">
        <v>1419</v>
      </c>
      <c r="H2037" s="89">
        <v>46169</v>
      </c>
      <c r="I2037" s="89">
        <v>46171</v>
      </c>
      <c r="N2037" t="s">
        <v>3214</v>
      </c>
    </row>
    <row r="2038" spans="1:14" hidden="1" x14ac:dyDescent="0.25">
      <c r="A2038" t="s">
        <v>1317</v>
      </c>
      <c r="B2038" t="s">
        <v>1331</v>
      </c>
      <c r="C2038" t="s">
        <v>3269</v>
      </c>
      <c r="D2038" t="s">
        <v>28</v>
      </c>
      <c r="F2038">
        <v>1</v>
      </c>
      <c r="G2038" t="s">
        <v>1419</v>
      </c>
      <c r="H2038" s="89">
        <v>46169</v>
      </c>
      <c r="I2038" s="89">
        <v>46171</v>
      </c>
      <c r="N2038" t="s">
        <v>3214</v>
      </c>
    </row>
    <row r="2039" spans="1:14" hidden="1" x14ac:dyDescent="0.25">
      <c r="A2039" t="s">
        <v>1318</v>
      </c>
      <c r="B2039" t="s">
        <v>1332</v>
      </c>
      <c r="C2039" t="s">
        <v>3270</v>
      </c>
      <c r="D2039" t="s">
        <v>28</v>
      </c>
      <c r="F2039">
        <v>61</v>
      </c>
      <c r="G2039" t="s">
        <v>1419</v>
      </c>
      <c r="H2039" s="89">
        <v>46169</v>
      </c>
      <c r="I2039" s="89">
        <v>46171</v>
      </c>
      <c r="N2039" t="s">
        <v>3214</v>
      </c>
    </row>
    <row r="2040" spans="1:14" hidden="1" x14ac:dyDescent="0.25">
      <c r="A2040" t="s">
        <v>1313</v>
      </c>
      <c r="B2040" t="s">
        <v>1327</v>
      </c>
      <c r="C2040" t="s">
        <v>3271</v>
      </c>
      <c r="D2040" t="s">
        <v>20</v>
      </c>
      <c r="F2040">
        <v>1104</v>
      </c>
      <c r="G2040">
        <v>23</v>
      </c>
      <c r="H2040" s="89">
        <v>46169</v>
      </c>
      <c r="I2040" s="89">
        <v>46174</v>
      </c>
      <c r="J2040" t="s">
        <v>3272</v>
      </c>
      <c r="N2040" t="s">
        <v>3214</v>
      </c>
    </row>
    <row r="2041" spans="1:14" hidden="1" x14ac:dyDescent="0.25">
      <c r="A2041" t="s">
        <v>1319</v>
      </c>
      <c r="B2041" t="s">
        <v>1333</v>
      </c>
      <c r="C2041" t="s">
        <v>3271</v>
      </c>
      <c r="D2041" t="s">
        <v>20</v>
      </c>
      <c r="F2041">
        <v>48</v>
      </c>
      <c r="G2041">
        <v>1</v>
      </c>
      <c r="H2041" s="89">
        <v>46169</v>
      </c>
      <c r="I2041" s="89">
        <v>46174</v>
      </c>
      <c r="J2041" t="s">
        <v>3272</v>
      </c>
      <c r="N2041" t="s">
        <v>3214</v>
      </c>
    </row>
    <row r="2042" spans="1:14" hidden="1" x14ac:dyDescent="0.25">
      <c r="A2042" t="s">
        <v>1313</v>
      </c>
      <c r="B2042" t="s">
        <v>1327</v>
      </c>
      <c r="C2042" t="s">
        <v>3271</v>
      </c>
      <c r="D2042" t="s">
        <v>20</v>
      </c>
      <c r="F2042">
        <v>336</v>
      </c>
      <c r="G2042">
        <v>7</v>
      </c>
      <c r="H2042" s="89">
        <v>46169</v>
      </c>
      <c r="I2042" s="89">
        <v>46171</v>
      </c>
      <c r="N2042" t="s">
        <v>3214</v>
      </c>
    </row>
    <row r="2043" spans="1:14" hidden="1" x14ac:dyDescent="0.25">
      <c r="A2043" t="s">
        <v>1315</v>
      </c>
      <c r="B2043" t="s">
        <v>1329</v>
      </c>
      <c r="C2043" t="s">
        <v>3271</v>
      </c>
      <c r="D2043" t="s">
        <v>20</v>
      </c>
      <c r="F2043">
        <v>14</v>
      </c>
      <c r="G2043" t="s">
        <v>1419</v>
      </c>
      <c r="H2043" s="89">
        <v>46169</v>
      </c>
      <c r="I2043" s="89">
        <v>46171</v>
      </c>
      <c r="N2043" t="s">
        <v>3214</v>
      </c>
    </row>
    <row r="2044" spans="1:14" hidden="1" x14ac:dyDescent="0.25">
      <c r="A2044" t="s">
        <v>1316</v>
      </c>
      <c r="B2044" t="s">
        <v>1330</v>
      </c>
      <c r="C2044" t="s">
        <v>3273</v>
      </c>
      <c r="D2044" t="s">
        <v>20</v>
      </c>
      <c r="F2044">
        <v>81</v>
      </c>
      <c r="G2044" t="s">
        <v>1419</v>
      </c>
      <c r="H2044" s="89">
        <v>46169</v>
      </c>
      <c r="I2044" s="89">
        <v>46171</v>
      </c>
      <c r="N2044" t="s">
        <v>3214</v>
      </c>
    </row>
    <row r="2045" spans="1:14" hidden="1" x14ac:dyDescent="0.25">
      <c r="A2045" t="s">
        <v>1317</v>
      </c>
      <c r="B2045" t="s">
        <v>1331</v>
      </c>
      <c r="C2045" t="s">
        <v>3274</v>
      </c>
      <c r="D2045" t="s">
        <v>20</v>
      </c>
      <c r="F2045">
        <v>9</v>
      </c>
      <c r="G2045" t="s">
        <v>1419</v>
      </c>
      <c r="H2045" s="89">
        <v>46169</v>
      </c>
      <c r="I2045" s="89">
        <v>46171</v>
      </c>
      <c r="N2045" t="s">
        <v>3214</v>
      </c>
    </row>
    <row r="2046" spans="1:14" hidden="1" x14ac:dyDescent="0.25">
      <c r="A2046" t="s">
        <v>1318</v>
      </c>
      <c r="B2046" t="s">
        <v>1332</v>
      </c>
      <c r="C2046" t="s">
        <v>3275</v>
      </c>
      <c r="D2046" t="s">
        <v>20</v>
      </c>
      <c r="F2046">
        <v>41</v>
      </c>
      <c r="G2046" t="s">
        <v>1419</v>
      </c>
      <c r="H2046" s="89">
        <v>46169</v>
      </c>
      <c r="I2046" s="89">
        <v>46171</v>
      </c>
      <c r="N2046" t="s">
        <v>3214</v>
      </c>
    </row>
    <row r="2047" spans="1:14" hidden="1" x14ac:dyDescent="0.25">
      <c r="A2047" t="s">
        <v>1324</v>
      </c>
      <c r="B2047" t="s">
        <v>1338</v>
      </c>
      <c r="C2047" t="s">
        <v>3276</v>
      </c>
      <c r="D2047" t="s">
        <v>23</v>
      </c>
      <c r="F2047">
        <v>960</v>
      </c>
      <c r="G2047">
        <v>20</v>
      </c>
      <c r="H2047" s="89">
        <v>46170</v>
      </c>
      <c r="I2047" s="89">
        <v>46176</v>
      </c>
      <c r="J2047" t="s">
        <v>3277</v>
      </c>
      <c r="N2047" t="s">
        <v>3214</v>
      </c>
    </row>
    <row r="2048" spans="1:14" hidden="1" x14ac:dyDescent="0.25">
      <c r="A2048" t="s">
        <v>1320</v>
      </c>
      <c r="B2048" t="s">
        <v>1334</v>
      </c>
      <c r="C2048" t="s">
        <v>3278</v>
      </c>
      <c r="D2048" t="s">
        <v>30</v>
      </c>
      <c r="F2048">
        <v>576</v>
      </c>
      <c r="G2048">
        <v>12</v>
      </c>
      <c r="H2048" s="89">
        <v>46170</v>
      </c>
      <c r="I2048" s="89">
        <v>46176</v>
      </c>
      <c r="J2048" t="s">
        <v>3279</v>
      </c>
      <c r="N2048" t="s">
        <v>3214</v>
      </c>
    </row>
    <row r="2049" spans="1:14" hidden="1" x14ac:dyDescent="0.25">
      <c r="A2049" t="s">
        <v>1320</v>
      </c>
      <c r="B2049" t="s">
        <v>1334</v>
      </c>
      <c r="C2049" t="s">
        <v>3280</v>
      </c>
      <c r="D2049" t="s">
        <v>15</v>
      </c>
      <c r="F2049">
        <v>240</v>
      </c>
      <c r="G2049">
        <v>5</v>
      </c>
      <c r="H2049" s="89">
        <v>46170</v>
      </c>
      <c r="I2049" s="89">
        <v>46175</v>
      </c>
      <c r="J2049" t="s">
        <v>3281</v>
      </c>
      <c r="N2049" t="s">
        <v>3214</v>
      </c>
    </row>
    <row r="2050" spans="1:14" hidden="1" x14ac:dyDescent="0.25">
      <c r="A2050" t="s">
        <v>1320</v>
      </c>
      <c r="B2050" t="s">
        <v>1334</v>
      </c>
      <c r="C2050" t="s">
        <v>3280</v>
      </c>
      <c r="D2050" t="s">
        <v>15</v>
      </c>
      <c r="F2050">
        <v>960</v>
      </c>
      <c r="G2050">
        <v>20</v>
      </c>
      <c r="H2050" s="89">
        <v>46170</v>
      </c>
      <c r="I2050" s="89">
        <v>46175</v>
      </c>
      <c r="J2050" t="s">
        <v>3282</v>
      </c>
      <c r="N2050" t="s">
        <v>3214</v>
      </c>
    </row>
    <row r="2051" spans="1:14" hidden="1" x14ac:dyDescent="0.25">
      <c r="A2051" t="s">
        <v>1313</v>
      </c>
      <c r="B2051" t="s">
        <v>1327</v>
      </c>
      <c r="C2051" t="s">
        <v>3280</v>
      </c>
      <c r="D2051" t="s">
        <v>15</v>
      </c>
      <c r="F2051">
        <v>96</v>
      </c>
      <c r="G2051">
        <v>2</v>
      </c>
      <c r="H2051" s="89">
        <v>46170</v>
      </c>
      <c r="I2051" s="89">
        <v>46176</v>
      </c>
      <c r="N2051" t="s">
        <v>3214</v>
      </c>
    </row>
    <row r="2052" spans="1:14" hidden="1" x14ac:dyDescent="0.25">
      <c r="A2052" t="s">
        <v>1315</v>
      </c>
      <c r="B2052" t="s">
        <v>1329</v>
      </c>
      <c r="C2052" t="s">
        <v>3280</v>
      </c>
      <c r="D2052" t="s">
        <v>15</v>
      </c>
      <c r="F2052">
        <v>44</v>
      </c>
      <c r="G2052" t="s">
        <v>1419</v>
      </c>
      <c r="H2052" s="89">
        <v>46170</v>
      </c>
      <c r="I2052" s="89">
        <v>46170</v>
      </c>
      <c r="N2052" t="s">
        <v>3214</v>
      </c>
    </row>
    <row r="2053" spans="1:14" hidden="1" x14ac:dyDescent="0.25">
      <c r="A2053" t="s">
        <v>1316</v>
      </c>
      <c r="B2053" t="s">
        <v>1330</v>
      </c>
      <c r="C2053" t="s">
        <v>3283</v>
      </c>
      <c r="D2053" t="s">
        <v>15</v>
      </c>
      <c r="F2053">
        <v>85</v>
      </c>
      <c r="G2053" t="s">
        <v>1419</v>
      </c>
      <c r="H2053" s="89">
        <v>46170</v>
      </c>
      <c r="I2053" s="89">
        <v>46172</v>
      </c>
      <c r="N2053" t="s">
        <v>3214</v>
      </c>
    </row>
    <row r="2054" spans="1:14" hidden="1" x14ac:dyDescent="0.25">
      <c r="A2054" t="s">
        <v>1317</v>
      </c>
      <c r="B2054" t="s">
        <v>1331</v>
      </c>
      <c r="C2054" t="s">
        <v>3284</v>
      </c>
      <c r="D2054" t="s">
        <v>15</v>
      </c>
      <c r="F2054">
        <v>36</v>
      </c>
      <c r="G2054" t="s">
        <v>1419</v>
      </c>
      <c r="H2054" s="89">
        <v>46170</v>
      </c>
      <c r="I2054" s="89">
        <v>46172</v>
      </c>
      <c r="N2054" t="s">
        <v>3214</v>
      </c>
    </row>
    <row r="2055" spans="1:14" hidden="1" x14ac:dyDescent="0.25">
      <c r="A2055" t="s">
        <v>1318</v>
      </c>
      <c r="B2055" t="s">
        <v>1332</v>
      </c>
      <c r="C2055" t="s">
        <v>3285</v>
      </c>
      <c r="D2055" t="s">
        <v>15</v>
      </c>
      <c r="F2055">
        <v>24</v>
      </c>
      <c r="G2055" t="s">
        <v>1419</v>
      </c>
      <c r="H2055" s="89">
        <v>46170</v>
      </c>
      <c r="I2055" s="89">
        <v>46172</v>
      </c>
      <c r="N2055" t="s">
        <v>3214</v>
      </c>
    </row>
    <row r="2056" spans="1:14" hidden="1" x14ac:dyDescent="0.25">
      <c r="A2056" t="s">
        <v>1313</v>
      </c>
      <c r="B2056" t="s">
        <v>1327</v>
      </c>
      <c r="C2056" t="s">
        <v>3286</v>
      </c>
      <c r="D2056" t="s">
        <v>20</v>
      </c>
      <c r="F2056">
        <v>1152</v>
      </c>
      <c r="G2056">
        <v>24</v>
      </c>
      <c r="H2056" s="89">
        <v>46170</v>
      </c>
      <c r="I2056" s="89">
        <v>46176</v>
      </c>
      <c r="J2056" t="s">
        <v>3287</v>
      </c>
      <c r="N2056" t="s">
        <v>3214</v>
      </c>
    </row>
    <row r="2057" spans="1:14" hidden="1" x14ac:dyDescent="0.25">
      <c r="A2057" t="s">
        <v>1315</v>
      </c>
      <c r="B2057" t="s">
        <v>1329</v>
      </c>
      <c r="C2057" t="s">
        <v>3286</v>
      </c>
      <c r="D2057" t="s">
        <v>20</v>
      </c>
      <c r="F2057">
        <v>90</v>
      </c>
      <c r="G2057" t="s">
        <v>1419</v>
      </c>
      <c r="H2057" s="89">
        <v>46170</v>
      </c>
      <c r="I2057" s="89">
        <v>46172</v>
      </c>
      <c r="N2057" t="s">
        <v>3214</v>
      </c>
    </row>
    <row r="2058" spans="1:14" hidden="1" x14ac:dyDescent="0.25">
      <c r="A2058" t="s">
        <v>1316</v>
      </c>
      <c r="B2058" t="s">
        <v>1330</v>
      </c>
      <c r="C2058" t="s">
        <v>3288</v>
      </c>
      <c r="D2058" t="s">
        <v>20</v>
      </c>
      <c r="F2058">
        <v>65</v>
      </c>
      <c r="G2058" t="s">
        <v>1419</v>
      </c>
      <c r="H2058" s="89">
        <v>46170</v>
      </c>
      <c r="I2058" s="89">
        <v>46172</v>
      </c>
      <c r="N2058" t="s">
        <v>3214</v>
      </c>
    </row>
    <row r="2059" spans="1:14" hidden="1" x14ac:dyDescent="0.25">
      <c r="A2059" t="s">
        <v>1317</v>
      </c>
      <c r="B2059" t="s">
        <v>1331</v>
      </c>
      <c r="C2059" t="s">
        <v>3289</v>
      </c>
      <c r="D2059" t="s">
        <v>20</v>
      </c>
      <c r="F2059">
        <v>11</v>
      </c>
      <c r="G2059" t="s">
        <v>1419</v>
      </c>
      <c r="H2059" s="89">
        <v>46170</v>
      </c>
      <c r="I2059" s="89">
        <v>46172</v>
      </c>
      <c r="N2059" t="s">
        <v>3214</v>
      </c>
    </row>
    <row r="2060" spans="1:14" hidden="1" x14ac:dyDescent="0.25">
      <c r="A2060" t="s">
        <v>1318</v>
      </c>
      <c r="B2060" t="s">
        <v>1332</v>
      </c>
      <c r="C2060" t="s">
        <v>3290</v>
      </c>
      <c r="D2060" t="s">
        <v>20</v>
      </c>
      <c r="F2060">
        <v>34</v>
      </c>
      <c r="G2060" t="s">
        <v>1419</v>
      </c>
      <c r="H2060" s="89">
        <v>46170</v>
      </c>
      <c r="I2060" s="89">
        <v>46172</v>
      </c>
      <c r="N2060" t="s">
        <v>3214</v>
      </c>
    </row>
    <row r="2061" spans="1:14" hidden="1" x14ac:dyDescent="0.25">
      <c r="A2061" t="s">
        <v>1320</v>
      </c>
      <c r="B2061" t="s">
        <v>1334</v>
      </c>
      <c r="C2061" t="s">
        <v>3291</v>
      </c>
      <c r="D2061" t="s">
        <v>21</v>
      </c>
      <c r="F2061">
        <v>720</v>
      </c>
      <c r="G2061">
        <v>15</v>
      </c>
      <c r="H2061" s="89">
        <v>46170</v>
      </c>
      <c r="I2061" s="89">
        <v>46175</v>
      </c>
      <c r="J2061" t="s">
        <v>3281</v>
      </c>
      <c r="N2061" t="s">
        <v>3214</v>
      </c>
    </row>
    <row r="2062" spans="1:14" hidden="1" x14ac:dyDescent="0.25">
      <c r="A2062" t="s">
        <v>1314</v>
      </c>
      <c r="B2062" t="s">
        <v>1328</v>
      </c>
      <c r="C2062" t="s">
        <v>3291</v>
      </c>
      <c r="D2062" t="s">
        <v>21</v>
      </c>
      <c r="F2062">
        <v>288</v>
      </c>
      <c r="G2062">
        <v>6</v>
      </c>
      <c r="H2062" s="89">
        <v>46170</v>
      </c>
      <c r="I2062" s="89">
        <v>46175</v>
      </c>
      <c r="J2062" t="s">
        <v>3292</v>
      </c>
      <c r="N2062" t="s">
        <v>3214</v>
      </c>
    </row>
    <row r="2063" spans="1:14" hidden="1" x14ac:dyDescent="0.25">
      <c r="A2063" t="s">
        <v>1324</v>
      </c>
      <c r="B2063" t="s">
        <v>1338</v>
      </c>
      <c r="C2063" t="s">
        <v>3291</v>
      </c>
      <c r="D2063" t="s">
        <v>21</v>
      </c>
      <c r="F2063">
        <v>768</v>
      </c>
      <c r="G2063">
        <v>16</v>
      </c>
      <c r="H2063" s="89">
        <v>46170</v>
      </c>
      <c r="I2063" s="89">
        <v>46176</v>
      </c>
      <c r="J2063" t="s">
        <v>3267</v>
      </c>
      <c r="N2063" t="s">
        <v>3214</v>
      </c>
    </row>
    <row r="2064" spans="1:14" hidden="1" x14ac:dyDescent="0.25">
      <c r="A2064" t="s">
        <v>1315</v>
      </c>
      <c r="B2064" t="s">
        <v>1329</v>
      </c>
      <c r="C2064" t="s">
        <v>3291</v>
      </c>
      <c r="D2064" t="s">
        <v>21</v>
      </c>
      <c r="F2064">
        <v>48</v>
      </c>
      <c r="G2064" t="s">
        <v>1419</v>
      </c>
      <c r="H2064" s="89">
        <v>46170</v>
      </c>
      <c r="I2064" s="89">
        <v>46172</v>
      </c>
      <c r="N2064" t="s">
        <v>3214</v>
      </c>
    </row>
    <row r="2065" spans="1:14" hidden="1" x14ac:dyDescent="0.25">
      <c r="A2065" t="s">
        <v>1316</v>
      </c>
      <c r="B2065" t="s">
        <v>1330</v>
      </c>
      <c r="C2065" t="s">
        <v>3293</v>
      </c>
      <c r="D2065" t="s">
        <v>21</v>
      </c>
      <c r="F2065">
        <v>26</v>
      </c>
      <c r="G2065" t="s">
        <v>1419</v>
      </c>
      <c r="H2065" s="89">
        <v>46170</v>
      </c>
      <c r="I2065" s="89">
        <v>46172</v>
      </c>
      <c r="N2065" t="s">
        <v>3214</v>
      </c>
    </row>
    <row r="2066" spans="1:14" hidden="1" x14ac:dyDescent="0.25">
      <c r="A2066" t="s">
        <v>1317</v>
      </c>
      <c r="B2066" t="s">
        <v>1331</v>
      </c>
      <c r="C2066" t="s">
        <v>3294</v>
      </c>
      <c r="D2066" t="s">
        <v>21</v>
      </c>
      <c r="F2066">
        <v>7</v>
      </c>
      <c r="G2066" t="s">
        <v>1419</v>
      </c>
      <c r="H2066" s="89">
        <v>46170</v>
      </c>
      <c r="I2066" s="89">
        <v>46172</v>
      </c>
      <c r="N2066" t="s">
        <v>3214</v>
      </c>
    </row>
    <row r="2067" spans="1:14" hidden="1" x14ac:dyDescent="0.25">
      <c r="A2067" t="s">
        <v>1318</v>
      </c>
      <c r="B2067" t="s">
        <v>1332</v>
      </c>
      <c r="C2067" t="s">
        <v>3295</v>
      </c>
      <c r="D2067" t="s">
        <v>21</v>
      </c>
      <c r="F2067">
        <v>72</v>
      </c>
      <c r="G2067" t="s">
        <v>1419</v>
      </c>
      <c r="H2067" s="89">
        <v>46170</v>
      </c>
      <c r="I2067" s="89">
        <v>46172</v>
      </c>
      <c r="N2067" t="s">
        <v>3214</v>
      </c>
    </row>
    <row r="2068" spans="1:14" hidden="1" x14ac:dyDescent="0.25">
      <c r="A2068" t="s">
        <v>1326</v>
      </c>
      <c r="B2068" t="s">
        <v>1340</v>
      </c>
      <c r="C2068" t="s">
        <v>3296</v>
      </c>
      <c r="D2068" t="s">
        <v>156</v>
      </c>
      <c r="F2068">
        <v>840</v>
      </c>
      <c r="G2068">
        <v>20</v>
      </c>
      <c r="H2068" s="89">
        <v>46171</v>
      </c>
      <c r="I2068" s="89">
        <v>46179</v>
      </c>
      <c r="J2068" t="s">
        <v>3297</v>
      </c>
      <c r="N2068" t="s">
        <v>3214</v>
      </c>
    </row>
    <row r="2069" spans="1:14" hidden="1" x14ac:dyDescent="0.25">
      <c r="A2069" t="s">
        <v>1320</v>
      </c>
      <c r="B2069" t="s">
        <v>1334</v>
      </c>
      <c r="C2069" t="s">
        <v>3298</v>
      </c>
      <c r="D2069" t="s">
        <v>23</v>
      </c>
      <c r="F2069">
        <v>960</v>
      </c>
      <c r="G2069">
        <v>20</v>
      </c>
      <c r="H2069" s="89">
        <v>46171</v>
      </c>
      <c r="I2069" s="89">
        <v>46177</v>
      </c>
      <c r="J2069" t="s">
        <v>3299</v>
      </c>
      <c r="N2069" t="s">
        <v>3214</v>
      </c>
    </row>
    <row r="2070" spans="1:14" hidden="1" x14ac:dyDescent="0.25">
      <c r="A2070" t="s">
        <v>1320</v>
      </c>
      <c r="B2070" t="s">
        <v>1334</v>
      </c>
      <c r="C2070" t="s">
        <v>3300</v>
      </c>
      <c r="D2070" t="s">
        <v>30</v>
      </c>
      <c r="F2070">
        <v>384</v>
      </c>
      <c r="G2070">
        <v>8</v>
      </c>
      <c r="H2070" s="89">
        <v>46171</v>
      </c>
      <c r="I2070" s="89">
        <v>46176</v>
      </c>
      <c r="J2070" t="s">
        <v>3279</v>
      </c>
      <c r="N2070" t="s">
        <v>3214</v>
      </c>
    </row>
    <row r="2071" spans="1:14" hidden="1" x14ac:dyDescent="0.25">
      <c r="A2071" t="s">
        <v>1320</v>
      </c>
      <c r="B2071" t="s">
        <v>1334</v>
      </c>
      <c r="C2071" t="s">
        <v>3301</v>
      </c>
      <c r="D2071" t="s">
        <v>20</v>
      </c>
      <c r="F2071">
        <v>960</v>
      </c>
      <c r="G2071">
        <v>20</v>
      </c>
      <c r="H2071" s="89">
        <v>46171</v>
      </c>
      <c r="I2071" s="89">
        <v>46177</v>
      </c>
      <c r="J2071" t="s">
        <v>3302</v>
      </c>
      <c r="N2071" t="s">
        <v>3214</v>
      </c>
    </row>
    <row r="2072" spans="1:14" hidden="1" x14ac:dyDescent="0.25">
      <c r="A2072" t="s">
        <v>1313</v>
      </c>
      <c r="B2072" t="s">
        <v>1327</v>
      </c>
      <c r="C2072" t="s">
        <v>3301</v>
      </c>
      <c r="D2072" t="s">
        <v>20</v>
      </c>
      <c r="F2072">
        <v>192</v>
      </c>
      <c r="G2072">
        <v>4</v>
      </c>
      <c r="H2072" s="89">
        <v>46171</v>
      </c>
      <c r="I2072" s="89">
        <v>46172</v>
      </c>
      <c r="N2072" t="s">
        <v>3214</v>
      </c>
    </row>
    <row r="2073" spans="1:14" hidden="1" x14ac:dyDescent="0.25">
      <c r="A2073" t="s">
        <v>1315</v>
      </c>
      <c r="B2073" t="s">
        <v>1329</v>
      </c>
      <c r="C2073" t="s">
        <v>3301</v>
      </c>
      <c r="D2073" t="s">
        <v>20</v>
      </c>
      <c r="F2073">
        <v>34</v>
      </c>
      <c r="G2073" t="s">
        <v>1419</v>
      </c>
      <c r="H2073" s="89">
        <v>46171</v>
      </c>
      <c r="I2073" s="89">
        <v>46173</v>
      </c>
      <c r="N2073" t="s">
        <v>3214</v>
      </c>
    </row>
    <row r="2074" spans="1:14" hidden="1" x14ac:dyDescent="0.25">
      <c r="A2074" t="s">
        <v>1316</v>
      </c>
      <c r="B2074" t="s">
        <v>1330</v>
      </c>
      <c r="C2074" t="s">
        <v>3303</v>
      </c>
      <c r="D2074" t="s">
        <v>20</v>
      </c>
      <c r="F2074">
        <v>72</v>
      </c>
      <c r="G2074" t="s">
        <v>1419</v>
      </c>
      <c r="H2074" s="89">
        <v>46171</v>
      </c>
      <c r="I2074" s="89">
        <v>46173</v>
      </c>
      <c r="N2074" t="s">
        <v>3214</v>
      </c>
    </row>
    <row r="2075" spans="1:14" hidden="1" x14ac:dyDescent="0.25">
      <c r="A2075" t="s">
        <v>1317</v>
      </c>
      <c r="B2075" t="s">
        <v>1331</v>
      </c>
      <c r="C2075" t="s">
        <v>3304</v>
      </c>
      <c r="D2075" t="s">
        <v>20</v>
      </c>
      <c r="F2075">
        <v>14</v>
      </c>
      <c r="G2075" t="s">
        <v>1419</v>
      </c>
      <c r="H2075" s="89">
        <v>46171</v>
      </c>
      <c r="I2075" s="89">
        <v>46173</v>
      </c>
      <c r="N2075" t="s">
        <v>3214</v>
      </c>
    </row>
    <row r="2076" spans="1:14" hidden="1" x14ac:dyDescent="0.25">
      <c r="A2076" t="s">
        <v>1318</v>
      </c>
      <c r="B2076" t="s">
        <v>1332</v>
      </c>
      <c r="C2076" t="s">
        <v>3305</v>
      </c>
      <c r="D2076" t="s">
        <v>20</v>
      </c>
      <c r="F2076">
        <v>24</v>
      </c>
      <c r="G2076" t="s">
        <v>1419</v>
      </c>
      <c r="H2076" s="89">
        <v>46171</v>
      </c>
      <c r="I2076" s="89">
        <v>46173</v>
      </c>
      <c r="N2076" t="s">
        <v>3214</v>
      </c>
    </row>
    <row r="2077" spans="1:14" hidden="1" x14ac:dyDescent="0.25">
      <c r="A2077" t="s">
        <v>1324</v>
      </c>
      <c r="B2077" t="s">
        <v>1338</v>
      </c>
      <c r="C2077" t="s">
        <v>3306</v>
      </c>
      <c r="D2077" t="s">
        <v>28</v>
      </c>
      <c r="F2077">
        <v>960</v>
      </c>
      <c r="G2077">
        <v>20</v>
      </c>
      <c r="H2077" s="89">
        <v>46171</v>
      </c>
      <c r="I2077" s="89">
        <v>46176</v>
      </c>
      <c r="J2077" t="s">
        <v>3277</v>
      </c>
      <c r="N2077" t="s">
        <v>3214</v>
      </c>
    </row>
    <row r="2078" spans="1:14" hidden="1" x14ac:dyDescent="0.25">
      <c r="A2078" t="s">
        <v>1324</v>
      </c>
      <c r="B2078" t="s">
        <v>1338</v>
      </c>
      <c r="C2078" t="s">
        <v>3306</v>
      </c>
      <c r="D2078" t="s">
        <v>28</v>
      </c>
      <c r="F2078">
        <v>480</v>
      </c>
      <c r="G2078">
        <v>10</v>
      </c>
      <c r="H2078" s="89">
        <v>46171</v>
      </c>
      <c r="I2078" s="89">
        <v>46179</v>
      </c>
      <c r="J2078" t="s">
        <v>3307</v>
      </c>
      <c r="N2078" t="s">
        <v>3214</v>
      </c>
    </row>
    <row r="2079" spans="1:14" hidden="1" x14ac:dyDescent="0.25">
      <c r="A2079" t="s">
        <v>1313</v>
      </c>
      <c r="B2079" t="s">
        <v>1327</v>
      </c>
      <c r="C2079" t="s">
        <v>3306</v>
      </c>
      <c r="D2079" t="s">
        <v>28</v>
      </c>
      <c r="F2079">
        <v>48</v>
      </c>
      <c r="G2079">
        <v>1</v>
      </c>
      <c r="H2079" s="89">
        <v>46171</v>
      </c>
      <c r="I2079" s="89">
        <v>46172</v>
      </c>
      <c r="N2079" t="s">
        <v>3214</v>
      </c>
    </row>
    <row r="2080" spans="1:14" hidden="1" x14ac:dyDescent="0.25">
      <c r="A2080" t="s">
        <v>1315</v>
      </c>
      <c r="B2080" t="s">
        <v>1329</v>
      </c>
      <c r="C2080" t="s">
        <v>3306</v>
      </c>
      <c r="D2080" t="s">
        <v>28</v>
      </c>
      <c r="F2080">
        <v>19</v>
      </c>
      <c r="G2080" t="s">
        <v>1419</v>
      </c>
      <c r="H2080" s="89">
        <v>46171</v>
      </c>
      <c r="I2080" s="89">
        <v>46173</v>
      </c>
      <c r="N2080" t="s">
        <v>3214</v>
      </c>
    </row>
    <row r="2081" spans="1:14" hidden="1" x14ac:dyDescent="0.25">
      <c r="A2081" t="s">
        <v>1316</v>
      </c>
      <c r="B2081" t="s">
        <v>1330</v>
      </c>
      <c r="C2081" t="s">
        <v>3308</v>
      </c>
      <c r="D2081" t="s">
        <v>28</v>
      </c>
      <c r="F2081">
        <v>26</v>
      </c>
      <c r="G2081" t="s">
        <v>1419</v>
      </c>
      <c r="H2081" s="89">
        <v>46171</v>
      </c>
      <c r="I2081" s="89">
        <v>46173</v>
      </c>
      <c r="N2081" t="s">
        <v>3214</v>
      </c>
    </row>
    <row r="2082" spans="1:14" hidden="1" x14ac:dyDescent="0.25">
      <c r="A2082" t="s">
        <v>1317</v>
      </c>
      <c r="B2082" t="s">
        <v>1331</v>
      </c>
      <c r="C2082" t="s">
        <v>3309</v>
      </c>
      <c r="D2082" t="s">
        <v>28</v>
      </c>
      <c r="F2082">
        <v>0</v>
      </c>
      <c r="G2082" t="s">
        <v>1419</v>
      </c>
      <c r="H2082" s="89">
        <v>46171</v>
      </c>
      <c r="I2082" s="89">
        <v>46173</v>
      </c>
      <c r="N2082" t="s">
        <v>3214</v>
      </c>
    </row>
    <row r="2083" spans="1:14" hidden="1" x14ac:dyDescent="0.25">
      <c r="A2083" t="s">
        <v>1318</v>
      </c>
      <c r="B2083" t="s">
        <v>1332</v>
      </c>
      <c r="C2083" t="s">
        <v>3310</v>
      </c>
      <c r="D2083" t="s">
        <v>28</v>
      </c>
      <c r="F2083">
        <v>40</v>
      </c>
      <c r="G2083" t="s">
        <v>1419</v>
      </c>
      <c r="H2083" s="89">
        <v>46171</v>
      </c>
      <c r="I2083" s="89">
        <v>46173</v>
      </c>
      <c r="N2083" t="s">
        <v>3214</v>
      </c>
    </row>
    <row r="2084" spans="1:14" hidden="1" x14ac:dyDescent="0.25">
      <c r="A2084" t="s">
        <v>1324</v>
      </c>
      <c r="B2084" t="s">
        <v>1338</v>
      </c>
      <c r="C2084" t="s">
        <v>3311</v>
      </c>
      <c r="D2084" t="s">
        <v>15</v>
      </c>
      <c r="F2084">
        <v>960</v>
      </c>
      <c r="G2084">
        <v>20</v>
      </c>
      <c r="H2084" s="89">
        <v>46172</v>
      </c>
      <c r="I2084" s="89">
        <v>46179</v>
      </c>
      <c r="J2084" t="s">
        <v>3307</v>
      </c>
      <c r="N2084" t="s">
        <v>3214</v>
      </c>
    </row>
    <row r="2085" spans="1:14" hidden="1" x14ac:dyDescent="0.25">
      <c r="A2085" t="s">
        <v>1313</v>
      </c>
      <c r="B2085" t="s">
        <v>1327</v>
      </c>
      <c r="C2085" t="s">
        <v>3311</v>
      </c>
      <c r="D2085" t="s">
        <v>15</v>
      </c>
      <c r="F2085">
        <v>144</v>
      </c>
      <c r="G2085">
        <v>3</v>
      </c>
      <c r="H2085" s="89">
        <v>46172</v>
      </c>
      <c r="I2085" s="89">
        <v>46177</v>
      </c>
      <c r="J2085" t="s">
        <v>3312</v>
      </c>
      <c r="N2085" t="s">
        <v>3214</v>
      </c>
    </row>
    <row r="2086" spans="1:14" hidden="1" x14ac:dyDescent="0.25">
      <c r="A2086" t="s">
        <v>1315</v>
      </c>
      <c r="B2086" t="s">
        <v>1329</v>
      </c>
      <c r="C2086" t="s">
        <v>3311</v>
      </c>
      <c r="D2086" t="s">
        <v>15</v>
      </c>
      <c r="F2086">
        <v>41</v>
      </c>
      <c r="G2086" t="s">
        <v>1419</v>
      </c>
      <c r="H2086" s="89">
        <v>46172</v>
      </c>
      <c r="I2086" s="89">
        <v>46174</v>
      </c>
      <c r="N2086" t="s">
        <v>3214</v>
      </c>
    </row>
    <row r="2087" spans="1:14" hidden="1" x14ac:dyDescent="0.25">
      <c r="A2087" t="s">
        <v>1316</v>
      </c>
      <c r="B2087" t="s">
        <v>1330</v>
      </c>
      <c r="C2087" t="s">
        <v>3313</v>
      </c>
      <c r="D2087" t="s">
        <v>15</v>
      </c>
      <c r="F2087">
        <v>49</v>
      </c>
      <c r="G2087" t="s">
        <v>1419</v>
      </c>
      <c r="H2087" s="89">
        <v>46172</v>
      </c>
      <c r="I2087" s="89">
        <v>46174</v>
      </c>
      <c r="N2087" t="s">
        <v>3214</v>
      </c>
    </row>
    <row r="2088" spans="1:14" hidden="1" x14ac:dyDescent="0.25">
      <c r="A2088" t="s">
        <v>1317</v>
      </c>
      <c r="B2088" t="s">
        <v>1331</v>
      </c>
      <c r="C2088" t="s">
        <v>3314</v>
      </c>
      <c r="D2088" t="s">
        <v>15</v>
      </c>
      <c r="F2088">
        <v>22</v>
      </c>
      <c r="G2088" t="s">
        <v>1419</v>
      </c>
      <c r="H2088" s="89">
        <v>46172</v>
      </c>
      <c r="I2088" s="89">
        <v>46174</v>
      </c>
      <c r="N2088" t="s">
        <v>3214</v>
      </c>
    </row>
    <row r="2089" spans="1:14" hidden="1" x14ac:dyDescent="0.25">
      <c r="A2089" t="s">
        <v>1318</v>
      </c>
      <c r="B2089" t="s">
        <v>1332</v>
      </c>
      <c r="C2089" t="s">
        <v>3315</v>
      </c>
      <c r="D2089" t="s">
        <v>15</v>
      </c>
      <c r="F2089">
        <v>24</v>
      </c>
      <c r="G2089" t="s">
        <v>1419</v>
      </c>
      <c r="H2089" s="89">
        <v>46172</v>
      </c>
      <c r="I2089" s="89">
        <v>46174</v>
      </c>
      <c r="N2089" t="s">
        <v>3214</v>
      </c>
    </row>
    <row r="2090" spans="1:14" hidden="1" x14ac:dyDescent="0.25">
      <c r="A2090" t="s">
        <v>1324</v>
      </c>
      <c r="B2090" t="s">
        <v>1338</v>
      </c>
      <c r="C2090" t="s">
        <v>3316</v>
      </c>
      <c r="D2090" t="s">
        <v>21</v>
      </c>
      <c r="F2090">
        <v>960</v>
      </c>
      <c r="G2090">
        <v>20</v>
      </c>
      <c r="H2090" s="89">
        <v>46172</v>
      </c>
      <c r="I2090" s="89">
        <v>46177</v>
      </c>
      <c r="J2090" t="s">
        <v>3317</v>
      </c>
      <c r="N2090" t="s">
        <v>3214</v>
      </c>
    </row>
    <row r="2091" spans="1:14" hidden="1" x14ac:dyDescent="0.25">
      <c r="A2091" t="s">
        <v>1324</v>
      </c>
      <c r="B2091" t="s">
        <v>1338</v>
      </c>
      <c r="C2091" t="s">
        <v>3316</v>
      </c>
      <c r="D2091" t="s">
        <v>21</v>
      </c>
      <c r="F2091">
        <v>480</v>
      </c>
      <c r="G2091">
        <v>10</v>
      </c>
      <c r="H2091" s="89">
        <v>46172</v>
      </c>
      <c r="I2091" s="89">
        <v>46179</v>
      </c>
      <c r="J2091" t="s">
        <v>3307</v>
      </c>
      <c r="N2091" t="s">
        <v>3214</v>
      </c>
    </row>
    <row r="2092" spans="1:14" hidden="1" x14ac:dyDescent="0.25">
      <c r="A2092" t="s">
        <v>1313</v>
      </c>
      <c r="B2092" t="s">
        <v>1327</v>
      </c>
      <c r="C2092" t="s">
        <v>3316</v>
      </c>
      <c r="D2092" t="s">
        <v>21</v>
      </c>
      <c r="F2092">
        <v>96</v>
      </c>
      <c r="G2092">
        <v>2</v>
      </c>
      <c r="H2092" s="89">
        <v>46172</v>
      </c>
      <c r="I2092" s="89">
        <v>46177</v>
      </c>
      <c r="N2092" t="s">
        <v>3214</v>
      </c>
    </row>
    <row r="2093" spans="1:14" hidden="1" x14ac:dyDescent="0.25">
      <c r="A2093" t="s">
        <v>1315</v>
      </c>
      <c r="B2093" t="s">
        <v>1329</v>
      </c>
      <c r="C2093" t="s">
        <v>3316</v>
      </c>
      <c r="D2093" t="s">
        <v>21</v>
      </c>
      <c r="F2093">
        <v>45</v>
      </c>
      <c r="G2093" t="s">
        <v>1419</v>
      </c>
      <c r="H2093" s="89">
        <v>46172</v>
      </c>
      <c r="I2093" s="89">
        <v>46174</v>
      </c>
      <c r="N2093" t="s">
        <v>3214</v>
      </c>
    </row>
    <row r="2094" spans="1:14" hidden="1" x14ac:dyDescent="0.25">
      <c r="A2094" t="s">
        <v>1316</v>
      </c>
      <c r="B2094" t="s">
        <v>1330</v>
      </c>
      <c r="C2094" t="s">
        <v>3318</v>
      </c>
      <c r="D2094" t="s">
        <v>21</v>
      </c>
      <c r="F2094">
        <v>17</v>
      </c>
      <c r="G2094" t="s">
        <v>1419</v>
      </c>
      <c r="H2094" s="89">
        <v>46172</v>
      </c>
      <c r="I2094" s="89">
        <v>46174</v>
      </c>
      <c r="N2094" t="s">
        <v>3214</v>
      </c>
    </row>
    <row r="2095" spans="1:14" hidden="1" x14ac:dyDescent="0.25">
      <c r="A2095" t="s">
        <v>1317</v>
      </c>
      <c r="B2095" t="s">
        <v>1331</v>
      </c>
      <c r="C2095" t="s">
        <v>3319</v>
      </c>
      <c r="D2095" t="s">
        <v>21</v>
      </c>
      <c r="F2095">
        <v>14</v>
      </c>
      <c r="G2095" t="s">
        <v>1419</v>
      </c>
      <c r="H2095" s="89">
        <v>46172</v>
      </c>
      <c r="I2095" s="89">
        <v>46174</v>
      </c>
      <c r="N2095" t="s">
        <v>3214</v>
      </c>
    </row>
    <row r="2096" spans="1:14" hidden="1" x14ac:dyDescent="0.25">
      <c r="A2096" t="s">
        <v>1318</v>
      </c>
      <c r="B2096" t="s">
        <v>1332</v>
      </c>
      <c r="C2096" t="s">
        <v>3320</v>
      </c>
      <c r="D2096" t="s">
        <v>21</v>
      </c>
      <c r="F2096">
        <v>79</v>
      </c>
      <c r="G2096" t="s">
        <v>1419</v>
      </c>
      <c r="H2096" s="89">
        <v>46172</v>
      </c>
      <c r="I2096" s="89">
        <v>46174</v>
      </c>
      <c r="N2096" t="s">
        <v>3214</v>
      </c>
    </row>
    <row r="2097" spans="1:14" hidden="1" x14ac:dyDescent="0.25">
      <c r="A2097" t="s">
        <v>1321</v>
      </c>
      <c r="B2097" t="s">
        <v>1335</v>
      </c>
      <c r="C2097" t="s">
        <v>3321</v>
      </c>
      <c r="D2097" t="s">
        <v>138</v>
      </c>
      <c r="F2097">
        <v>96</v>
      </c>
      <c r="G2097">
        <v>2</v>
      </c>
      <c r="H2097" s="89">
        <v>46174</v>
      </c>
      <c r="I2097" s="89">
        <v>46179</v>
      </c>
      <c r="J2097" t="s">
        <v>3322</v>
      </c>
      <c r="N2097" t="s">
        <v>3323</v>
      </c>
    </row>
    <row r="2098" spans="1:14" hidden="1" x14ac:dyDescent="0.25">
      <c r="A2098" t="s">
        <v>1321</v>
      </c>
      <c r="B2098" t="s">
        <v>1335</v>
      </c>
      <c r="C2098" t="s">
        <v>3321</v>
      </c>
      <c r="D2098" t="s">
        <v>138</v>
      </c>
      <c r="F2098">
        <v>144</v>
      </c>
      <c r="G2098">
        <v>3</v>
      </c>
      <c r="H2098" s="89">
        <v>46174</v>
      </c>
      <c r="I2098" s="89">
        <v>46181</v>
      </c>
      <c r="J2098" t="s">
        <v>3324</v>
      </c>
      <c r="N2098" t="s">
        <v>3323</v>
      </c>
    </row>
    <row r="2099" spans="1:14" hidden="1" x14ac:dyDescent="0.25">
      <c r="A2099" t="s">
        <v>1325</v>
      </c>
      <c r="B2099" t="s">
        <v>1339</v>
      </c>
      <c r="C2099" t="s">
        <v>3321</v>
      </c>
      <c r="D2099" t="s">
        <v>138</v>
      </c>
      <c r="F2099">
        <v>192</v>
      </c>
      <c r="G2099">
        <v>4</v>
      </c>
      <c r="H2099" s="89">
        <v>46174</v>
      </c>
      <c r="I2099" s="89">
        <v>46176</v>
      </c>
      <c r="N2099" t="s">
        <v>3323</v>
      </c>
    </row>
    <row r="2100" spans="1:14" hidden="1" x14ac:dyDescent="0.25">
      <c r="A2100" t="s">
        <v>1320</v>
      </c>
      <c r="B2100" t="s">
        <v>1334</v>
      </c>
      <c r="C2100" t="s">
        <v>3325</v>
      </c>
      <c r="D2100" t="s">
        <v>129</v>
      </c>
      <c r="F2100">
        <v>816</v>
      </c>
      <c r="G2100">
        <v>17</v>
      </c>
      <c r="H2100" s="89">
        <v>46174</v>
      </c>
      <c r="I2100" s="89">
        <v>46178</v>
      </c>
      <c r="J2100" t="s">
        <v>3326</v>
      </c>
      <c r="N2100" t="s">
        <v>3323</v>
      </c>
    </row>
    <row r="2101" spans="1:14" hidden="1" x14ac:dyDescent="0.25">
      <c r="A2101" t="s">
        <v>1320</v>
      </c>
      <c r="B2101" t="s">
        <v>1334</v>
      </c>
      <c r="C2101" t="s">
        <v>3327</v>
      </c>
      <c r="D2101" t="s">
        <v>21</v>
      </c>
      <c r="F2101">
        <v>144</v>
      </c>
      <c r="G2101">
        <v>3</v>
      </c>
      <c r="H2101" s="89">
        <v>46174</v>
      </c>
      <c r="I2101" s="89">
        <v>46178</v>
      </c>
      <c r="J2101" t="s">
        <v>3328</v>
      </c>
      <c r="N2101" t="s">
        <v>3323</v>
      </c>
    </row>
    <row r="2102" spans="1:14" hidden="1" x14ac:dyDescent="0.25">
      <c r="A2102" t="s">
        <v>1324</v>
      </c>
      <c r="B2102" t="s">
        <v>1338</v>
      </c>
      <c r="C2102" t="s">
        <v>3327</v>
      </c>
      <c r="D2102" t="s">
        <v>21</v>
      </c>
      <c r="F2102">
        <v>960</v>
      </c>
      <c r="G2102">
        <v>20</v>
      </c>
      <c r="H2102" s="89">
        <v>46174</v>
      </c>
      <c r="I2102" s="89">
        <v>46177</v>
      </c>
      <c r="J2102" t="s">
        <v>3317</v>
      </c>
      <c r="N2102" t="s">
        <v>3323</v>
      </c>
    </row>
    <row r="2103" spans="1:14" hidden="1" x14ac:dyDescent="0.25">
      <c r="A2103" t="s">
        <v>1324</v>
      </c>
      <c r="B2103" t="s">
        <v>1338</v>
      </c>
      <c r="C2103" t="s">
        <v>3327</v>
      </c>
      <c r="D2103" t="s">
        <v>21</v>
      </c>
      <c r="F2103">
        <v>480</v>
      </c>
      <c r="G2103">
        <v>10</v>
      </c>
      <c r="H2103" s="89">
        <v>46174</v>
      </c>
      <c r="I2103" s="89">
        <v>46179</v>
      </c>
      <c r="J2103" t="s">
        <v>3322</v>
      </c>
      <c r="N2103" t="s">
        <v>3323</v>
      </c>
    </row>
    <row r="2104" spans="1:14" hidden="1" x14ac:dyDescent="0.25">
      <c r="A2104" t="s">
        <v>1313</v>
      </c>
      <c r="B2104" t="s">
        <v>1327</v>
      </c>
      <c r="C2104" t="s">
        <v>3327</v>
      </c>
      <c r="D2104" t="s">
        <v>21</v>
      </c>
      <c r="F2104">
        <v>192</v>
      </c>
      <c r="G2104">
        <v>4</v>
      </c>
      <c r="H2104" s="89">
        <v>46174</v>
      </c>
      <c r="I2104" s="89">
        <v>46177</v>
      </c>
      <c r="J2104" t="s">
        <v>3312</v>
      </c>
      <c r="N2104" t="s">
        <v>3323</v>
      </c>
    </row>
    <row r="2105" spans="1:14" hidden="1" x14ac:dyDescent="0.25">
      <c r="A2105" t="s">
        <v>1315</v>
      </c>
      <c r="B2105" t="s">
        <v>1329</v>
      </c>
      <c r="C2105" t="s">
        <v>3327</v>
      </c>
      <c r="D2105" t="s">
        <v>21</v>
      </c>
      <c r="F2105">
        <v>12</v>
      </c>
      <c r="G2105" t="s">
        <v>1419</v>
      </c>
      <c r="H2105" s="89">
        <v>46174</v>
      </c>
      <c r="I2105" s="89">
        <v>46177</v>
      </c>
      <c r="N2105" t="s">
        <v>3323</v>
      </c>
    </row>
    <row r="2106" spans="1:14" hidden="1" x14ac:dyDescent="0.25">
      <c r="A2106" t="s">
        <v>1316</v>
      </c>
      <c r="B2106" t="s">
        <v>1330</v>
      </c>
      <c r="C2106" t="s">
        <v>3329</v>
      </c>
      <c r="D2106" t="s">
        <v>21</v>
      </c>
      <c r="F2106">
        <v>13</v>
      </c>
      <c r="G2106" t="s">
        <v>1419</v>
      </c>
      <c r="H2106" s="89">
        <v>46174</v>
      </c>
      <c r="I2106" s="89">
        <v>46176</v>
      </c>
      <c r="N2106" t="s">
        <v>3323</v>
      </c>
    </row>
    <row r="2107" spans="1:14" hidden="1" x14ac:dyDescent="0.25">
      <c r="A2107" t="s">
        <v>1317</v>
      </c>
      <c r="B2107" t="s">
        <v>1331</v>
      </c>
      <c r="C2107" t="s">
        <v>3330</v>
      </c>
      <c r="D2107" t="s">
        <v>21</v>
      </c>
      <c r="F2107">
        <v>12</v>
      </c>
      <c r="G2107" t="s">
        <v>1419</v>
      </c>
      <c r="H2107" s="89">
        <v>46174</v>
      </c>
      <c r="I2107" s="89">
        <v>46176</v>
      </c>
      <c r="N2107" t="s">
        <v>3323</v>
      </c>
    </row>
    <row r="2108" spans="1:14" hidden="1" x14ac:dyDescent="0.25">
      <c r="A2108" t="s">
        <v>1318</v>
      </c>
      <c r="B2108" t="s">
        <v>1332</v>
      </c>
      <c r="C2108" t="s">
        <v>3331</v>
      </c>
      <c r="D2108" t="s">
        <v>21</v>
      </c>
      <c r="F2108">
        <v>81</v>
      </c>
      <c r="G2108" t="s">
        <v>1419</v>
      </c>
      <c r="H2108" s="89">
        <v>46174</v>
      </c>
      <c r="I2108" s="89">
        <v>46176</v>
      </c>
      <c r="N2108" t="s">
        <v>3323</v>
      </c>
    </row>
    <row r="2109" spans="1:14" hidden="1" x14ac:dyDescent="0.25">
      <c r="A2109" t="s">
        <v>1324</v>
      </c>
      <c r="B2109" t="s">
        <v>1338</v>
      </c>
      <c r="C2109" t="s">
        <v>3332</v>
      </c>
      <c r="D2109" t="s">
        <v>23</v>
      </c>
      <c r="F2109">
        <v>960</v>
      </c>
      <c r="G2109">
        <v>20</v>
      </c>
      <c r="H2109" s="89">
        <v>46175</v>
      </c>
      <c r="I2109" s="89">
        <v>46181</v>
      </c>
      <c r="J2109" t="s">
        <v>3324</v>
      </c>
      <c r="N2109" t="s">
        <v>3323</v>
      </c>
    </row>
    <row r="2110" spans="1:14" hidden="1" x14ac:dyDescent="0.25">
      <c r="A2110" t="s">
        <v>1324</v>
      </c>
      <c r="B2110" t="s">
        <v>1338</v>
      </c>
      <c r="C2110" t="s">
        <v>3333</v>
      </c>
      <c r="D2110" t="s">
        <v>118</v>
      </c>
      <c r="F2110">
        <v>96</v>
      </c>
      <c r="G2110">
        <v>2</v>
      </c>
      <c r="H2110" s="89">
        <v>46175</v>
      </c>
      <c r="I2110" s="89">
        <v>46181</v>
      </c>
      <c r="J2110" t="s">
        <v>3324</v>
      </c>
      <c r="N2110" t="s">
        <v>3323</v>
      </c>
    </row>
    <row r="2111" spans="1:14" hidden="1" x14ac:dyDescent="0.25">
      <c r="A2111" t="s">
        <v>1324</v>
      </c>
      <c r="B2111" t="s">
        <v>1338</v>
      </c>
      <c r="C2111" t="s">
        <v>3333</v>
      </c>
      <c r="D2111" t="s">
        <v>118</v>
      </c>
      <c r="F2111">
        <v>864</v>
      </c>
      <c r="G2111">
        <v>18</v>
      </c>
      <c r="H2111" s="89">
        <v>46175</v>
      </c>
      <c r="I2111" s="89">
        <v>46179</v>
      </c>
      <c r="J2111" t="s">
        <v>3322</v>
      </c>
      <c r="N2111" t="s">
        <v>3323</v>
      </c>
    </row>
    <row r="2112" spans="1:14" hidden="1" x14ac:dyDescent="0.25">
      <c r="A2112" t="s">
        <v>1324</v>
      </c>
      <c r="B2112" t="s">
        <v>1338</v>
      </c>
      <c r="C2112" t="s">
        <v>3334</v>
      </c>
      <c r="D2112" t="s">
        <v>13</v>
      </c>
      <c r="F2112">
        <v>480</v>
      </c>
      <c r="G2112">
        <v>10</v>
      </c>
      <c r="H2112" s="89">
        <v>46175</v>
      </c>
      <c r="I2112" s="89">
        <v>46181</v>
      </c>
      <c r="J2112" t="s">
        <v>3324</v>
      </c>
      <c r="N2112" t="s">
        <v>3323</v>
      </c>
    </row>
    <row r="2113" spans="1:14" hidden="1" x14ac:dyDescent="0.25">
      <c r="A2113" t="s">
        <v>1320</v>
      </c>
      <c r="B2113" t="s">
        <v>1334</v>
      </c>
      <c r="C2113" t="s">
        <v>3335</v>
      </c>
      <c r="D2113" t="s">
        <v>129</v>
      </c>
      <c r="F2113">
        <v>144</v>
      </c>
      <c r="G2113">
        <v>3</v>
      </c>
      <c r="H2113" s="89">
        <v>46175</v>
      </c>
      <c r="I2113" s="89">
        <v>46178</v>
      </c>
      <c r="J2113" t="s">
        <v>3326</v>
      </c>
      <c r="N2113" t="s">
        <v>3323</v>
      </c>
    </row>
    <row r="2114" spans="1:14" hidden="1" x14ac:dyDescent="0.25">
      <c r="A2114" t="s">
        <v>1324</v>
      </c>
      <c r="B2114" t="s">
        <v>1338</v>
      </c>
      <c r="C2114" t="s">
        <v>3336</v>
      </c>
      <c r="D2114" t="s">
        <v>21</v>
      </c>
      <c r="F2114">
        <v>480</v>
      </c>
      <c r="G2114">
        <v>10</v>
      </c>
      <c r="H2114" s="89">
        <v>46175</v>
      </c>
      <c r="I2114" s="89">
        <v>46179</v>
      </c>
      <c r="J2114" t="s">
        <v>3322</v>
      </c>
      <c r="N2114" t="s">
        <v>3323</v>
      </c>
    </row>
    <row r="2115" spans="1:14" hidden="1" x14ac:dyDescent="0.25">
      <c r="A2115" t="s">
        <v>1324</v>
      </c>
      <c r="B2115" t="s">
        <v>1338</v>
      </c>
      <c r="C2115" t="s">
        <v>3336</v>
      </c>
      <c r="D2115" t="s">
        <v>21</v>
      </c>
      <c r="F2115">
        <v>240</v>
      </c>
      <c r="G2115">
        <v>5</v>
      </c>
      <c r="H2115" s="89">
        <v>46175</v>
      </c>
      <c r="I2115" s="89">
        <v>46181</v>
      </c>
      <c r="J2115" t="s">
        <v>3324</v>
      </c>
      <c r="N2115" t="s">
        <v>3323</v>
      </c>
    </row>
    <row r="2116" spans="1:14" hidden="1" x14ac:dyDescent="0.25">
      <c r="A2116" t="s">
        <v>1313</v>
      </c>
      <c r="B2116" t="s">
        <v>1327</v>
      </c>
      <c r="C2116" t="s">
        <v>3336</v>
      </c>
      <c r="D2116" t="s">
        <v>21</v>
      </c>
      <c r="F2116">
        <v>336</v>
      </c>
      <c r="G2116">
        <v>7</v>
      </c>
      <c r="H2116" s="89">
        <v>46175</v>
      </c>
      <c r="I2116" s="89">
        <v>46177</v>
      </c>
      <c r="J2116" t="s">
        <v>3312</v>
      </c>
      <c r="N2116" t="s">
        <v>3323</v>
      </c>
    </row>
    <row r="2117" spans="1:14" hidden="1" x14ac:dyDescent="0.25">
      <c r="A2117" t="s">
        <v>1314</v>
      </c>
      <c r="B2117" t="s">
        <v>1328</v>
      </c>
      <c r="C2117" t="s">
        <v>3336</v>
      </c>
      <c r="D2117" t="s">
        <v>21</v>
      </c>
      <c r="F2117">
        <v>288</v>
      </c>
      <c r="G2117">
        <v>6</v>
      </c>
      <c r="H2117" s="89">
        <v>46175</v>
      </c>
      <c r="I2117" s="89">
        <v>46177</v>
      </c>
      <c r="J2117" t="s">
        <v>3337</v>
      </c>
      <c r="N2117" t="s">
        <v>3323</v>
      </c>
    </row>
    <row r="2118" spans="1:14" hidden="1" x14ac:dyDescent="0.25">
      <c r="A2118" t="s">
        <v>1315</v>
      </c>
      <c r="B2118" t="s">
        <v>1329</v>
      </c>
      <c r="C2118" t="s">
        <v>3336</v>
      </c>
      <c r="D2118" t="s">
        <v>21</v>
      </c>
      <c r="F2118">
        <v>79</v>
      </c>
      <c r="G2118" t="s">
        <v>1419</v>
      </c>
      <c r="H2118" s="89">
        <v>46175</v>
      </c>
      <c r="I2118" s="89">
        <v>46177</v>
      </c>
      <c r="N2118" t="s">
        <v>3323</v>
      </c>
    </row>
    <row r="2119" spans="1:14" hidden="1" x14ac:dyDescent="0.25">
      <c r="A2119" t="s">
        <v>1316</v>
      </c>
      <c r="B2119" t="s">
        <v>1330</v>
      </c>
      <c r="C2119" t="s">
        <v>3338</v>
      </c>
      <c r="D2119" t="s">
        <v>21</v>
      </c>
      <c r="F2119">
        <v>13</v>
      </c>
      <c r="G2119" t="s">
        <v>1419</v>
      </c>
      <c r="H2119" s="89">
        <v>46175</v>
      </c>
      <c r="I2119" s="89">
        <v>46177</v>
      </c>
      <c r="N2119" t="s">
        <v>3323</v>
      </c>
    </row>
    <row r="2120" spans="1:14" hidden="1" x14ac:dyDescent="0.25">
      <c r="A2120" t="s">
        <v>1317</v>
      </c>
      <c r="B2120" t="s">
        <v>1331</v>
      </c>
      <c r="C2120" t="s">
        <v>3339</v>
      </c>
      <c r="D2120" t="s">
        <v>21</v>
      </c>
      <c r="F2120">
        <v>11</v>
      </c>
      <c r="G2120" t="s">
        <v>1419</v>
      </c>
      <c r="H2120" s="89">
        <v>46175</v>
      </c>
      <c r="I2120" s="89">
        <v>46177</v>
      </c>
      <c r="N2120" t="s">
        <v>3323</v>
      </c>
    </row>
    <row r="2121" spans="1:14" hidden="1" x14ac:dyDescent="0.25">
      <c r="A2121" t="s">
        <v>1318</v>
      </c>
      <c r="B2121" t="s">
        <v>1332</v>
      </c>
      <c r="C2121" t="s">
        <v>3340</v>
      </c>
      <c r="D2121" t="s">
        <v>21</v>
      </c>
      <c r="F2121">
        <v>68</v>
      </c>
      <c r="G2121" t="s">
        <v>1419</v>
      </c>
      <c r="H2121" s="89">
        <v>46175</v>
      </c>
      <c r="I2121" s="89">
        <v>46177</v>
      </c>
      <c r="N2121" t="s">
        <v>3323</v>
      </c>
    </row>
    <row r="2122" spans="1:14" hidden="1" x14ac:dyDescent="0.25">
      <c r="A2122" t="s">
        <v>1320</v>
      </c>
      <c r="B2122" t="s">
        <v>1334</v>
      </c>
      <c r="C2122" t="s">
        <v>3341</v>
      </c>
      <c r="D2122" t="s">
        <v>15</v>
      </c>
      <c r="F2122">
        <v>816</v>
      </c>
      <c r="G2122">
        <v>17</v>
      </c>
      <c r="H2122" s="89">
        <v>46175</v>
      </c>
      <c r="I2122" s="89">
        <v>46178</v>
      </c>
      <c r="J2122" t="s">
        <v>3328</v>
      </c>
      <c r="N2122" t="s">
        <v>3323</v>
      </c>
    </row>
    <row r="2123" spans="1:14" hidden="1" x14ac:dyDescent="0.25">
      <c r="A2123" t="s">
        <v>1320</v>
      </c>
      <c r="B2123" t="s">
        <v>1334</v>
      </c>
      <c r="C2123" t="s">
        <v>3341</v>
      </c>
      <c r="D2123" t="s">
        <v>15</v>
      </c>
      <c r="F2123">
        <v>48</v>
      </c>
      <c r="G2123">
        <v>1</v>
      </c>
      <c r="H2123" s="89">
        <v>46175</v>
      </c>
      <c r="I2123" s="89">
        <v>46181</v>
      </c>
      <c r="J2123" t="s">
        <v>3342</v>
      </c>
      <c r="N2123" t="s">
        <v>3323</v>
      </c>
    </row>
    <row r="2124" spans="1:14" hidden="1" x14ac:dyDescent="0.25">
      <c r="A2124" t="s">
        <v>1313</v>
      </c>
      <c r="B2124" t="s">
        <v>1327</v>
      </c>
      <c r="C2124" t="s">
        <v>3341</v>
      </c>
      <c r="D2124" t="s">
        <v>15</v>
      </c>
      <c r="F2124">
        <v>192</v>
      </c>
      <c r="G2124">
        <v>4</v>
      </c>
      <c r="H2124" s="89">
        <v>46175</v>
      </c>
      <c r="I2124" s="89">
        <v>46177</v>
      </c>
      <c r="J2124" t="s">
        <v>3312</v>
      </c>
      <c r="N2124" t="s">
        <v>3323</v>
      </c>
    </row>
    <row r="2125" spans="1:14" hidden="1" x14ac:dyDescent="0.25">
      <c r="A2125" t="s">
        <v>1313</v>
      </c>
      <c r="B2125" t="s">
        <v>1327</v>
      </c>
      <c r="C2125" t="s">
        <v>3341</v>
      </c>
      <c r="D2125" t="s">
        <v>15</v>
      </c>
      <c r="F2125">
        <v>240</v>
      </c>
      <c r="G2125">
        <v>5</v>
      </c>
      <c r="H2125" s="89">
        <v>46175</v>
      </c>
      <c r="I2125" s="89">
        <v>46179</v>
      </c>
      <c r="J2125" t="s">
        <v>3343</v>
      </c>
      <c r="N2125" t="s">
        <v>3323</v>
      </c>
    </row>
    <row r="2126" spans="1:14" hidden="1" x14ac:dyDescent="0.25">
      <c r="A2126" t="s">
        <v>1315</v>
      </c>
      <c r="B2126" t="s">
        <v>1329</v>
      </c>
      <c r="C2126" t="s">
        <v>3341</v>
      </c>
      <c r="D2126" t="s">
        <v>15</v>
      </c>
      <c r="F2126">
        <v>28</v>
      </c>
      <c r="G2126" t="s">
        <v>1419</v>
      </c>
      <c r="H2126" s="89">
        <v>46175</v>
      </c>
      <c r="I2126" s="89">
        <v>46177</v>
      </c>
      <c r="N2126" t="s">
        <v>3323</v>
      </c>
    </row>
    <row r="2127" spans="1:14" hidden="1" x14ac:dyDescent="0.25">
      <c r="A2127" t="s">
        <v>1316</v>
      </c>
      <c r="B2127" t="s">
        <v>1330</v>
      </c>
      <c r="C2127" t="s">
        <v>3344</v>
      </c>
      <c r="D2127" t="s">
        <v>15</v>
      </c>
      <c r="F2127">
        <v>56</v>
      </c>
      <c r="G2127" t="s">
        <v>1419</v>
      </c>
      <c r="H2127" s="89">
        <v>46175</v>
      </c>
      <c r="I2127" s="89">
        <v>46177</v>
      </c>
      <c r="N2127" t="s">
        <v>3323</v>
      </c>
    </row>
    <row r="2128" spans="1:14" hidden="1" x14ac:dyDescent="0.25">
      <c r="A2128" t="s">
        <v>1317</v>
      </c>
      <c r="B2128" t="s">
        <v>1331</v>
      </c>
      <c r="C2128" t="s">
        <v>3345</v>
      </c>
      <c r="D2128" t="s">
        <v>15</v>
      </c>
      <c r="F2128">
        <v>7</v>
      </c>
      <c r="G2128" t="s">
        <v>1419</v>
      </c>
      <c r="H2128" s="89">
        <v>46175</v>
      </c>
      <c r="I2128" s="89">
        <v>46177</v>
      </c>
      <c r="N2128" t="s">
        <v>3323</v>
      </c>
    </row>
    <row r="2129" spans="1:14" hidden="1" x14ac:dyDescent="0.25">
      <c r="A2129" t="s">
        <v>1318</v>
      </c>
      <c r="B2129" t="s">
        <v>1332</v>
      </c>
      <c r="C2129" t="s">
        <v>3346</v>
      </c>
      <c r="D2129" t="s">
        <v>15</v>
      </c>
      <c r="F2129">
        <v>25</v>
      </c>
      <c r="G2129" t="s">
        <v>1419</v>
      </c>
      <c r="H2129" s="89">
        <v>46175</v>
      </c>
      <c r="I2129" s="89">
        <v>46177</v>
      </c>
      <c r="N2129" t="s">
        <v>3323</v>
      </c>
    </row>
    <row r="2130" spans="1:14" hidden="1" x14ac:dyDescent="0.25">
      <c r="A2130" t="s">
        <v>1323</v>
      </c>
      <c r="B2130" t="s">
        <v>1337</v>
      </c>
      <c r="C2130" t="s">
        <v>3347</v>
      </c>
      <c r="D2130" t="s">
        <v>20</v>
      </c>
      <c r="F2130">
        <v>756</v>
      </c>
      <c r="G2130">
        <v>14</v>
      </c>
      <c r="H2130" s="89">
        <v>46175</v>
      </c>
      <c r="I2130" s="89">
        <v>46178</v>
      </c>
      <c r="J2130" t="s">
        <v>3348</v>
      </c>
      <c r="N2130" t="s">
        <v>3323</v>
      </c>
    </row>
    <row r="2131" spans="1:14" hidden="1" x14ac:dyDescent="0.25">
      <c r="A2131" t="s">
        <v>1322</v>
      </c>
      <c r="B2131" t="s">
        <v>1336</v>
      </c>
      <c r="C2131" t="s">
        <v>3347</v>
      </c>
      <c r="D2131" t="s">
        <v>20</v>
      </c>
      <c r="F2131">
        <v>324</v>
      </c>
      <c r="G2131">
        <v>6</v>
      </c>
      <c r="H2131" s="89">
        <v>46175</v>
      </c>
      <c r="I2131" s="89">
        <v>46178</v>
      </c>
      <c r="J2131" t="s">
        <v>3348</v>
      </c>
      <c r="N2131" t="s">
        <v>3323</v>
      </c>
    </row>
    <row r="2132" spans="1:14" hidden="1" x14ac:dyDescent="0.25">
      <c r="A2132" t="s">
        <v>1313</v>
      </c>
      <c r="B2132" t="s">
        <v>1327</v>
      </c>
      <c r="C2132" t="s">
        <v>3347</v>
      </c>
      <c r="D2132" t="s">
        <v>20</v>
      </c>
      <c r="F2132">
        <v>48</v>
      </c>
      <c r="G2132">
        <v>1</v>
      </c>
      <c r="H2132" s="89">
        <v>46175</v>
      </c>
      <c r="I2132" s="89">
        <v>46176</v>
      </c>
      <c r="N2132" t="s">
        <v>3323</v>
      </c>
    </row>
    <row r="2133" spans="1:14" hidden="1" x14ac:dyDescent="0.25">
      <c r="A2133" t="s">
        <v>1315</v>
      </c>
      <c r="B2133" t="s">
        <v>1329</v>
      </c>
      <c r="C2133" t="s">
        <v>3347</v>
      </c>
      <c r="D2133" t="s">
        <v>20</v>
      </c>
      <c r="F2133">
        <v>15</v>
      </c>
      <c r="G2133" t="s">
        <v>1419</v>
      </c>
      <c r="H2133" s="89">
        <v>46175</v>
      </c>
      <c r="I2133" s="89">
        <v>46177</v>
      </c>
      <c r="N2133" t="s">
        <v>3323</v>
      </c>
    </row>
    <row r="2134" spans="1:14" hidden="1" x14ac:dyDescent="0.25">
      <c r="A2134" t="s">
        <v>1316</v>
      </c>
      <c r="B2134" t="s">
        <v>1330</v>
      </c>
      <c r="C2134" t="s">
        <v>3349</v>
      </c>
      <c r="D2134" t="s">
        <v>20</v>
      </c>
      <c r="F2134">
        <v>53</v>
      </c>
      <c r="G2134" t="s">
        <v>1419</v>
      </c>
      <c r="H2134" s="89">
        <v>46175</v>
      </c>
      <c r="I2134" s="89">
        <v>46177</v>
      </c>
      <c r="N2134" t="s">
        <v>3323</v>
      </c>
    </row>
    <row r="2135" spans="1:14" hidden="1" x14ac:dyDescent="0.25">
      <c r="A2135" t="s">
        <v>1317</v>
      </c>
      <c r="B2135" t="s">
        <v>1331</v>
      </c>
      <c r="C2135" t="s">
        <v>3350</v>
      </c>
      <c r="D2135" t="s">
        <v>20</v>
      </c>
      <c r="F2135">
        <v>3</v>
      </c>
      <c r="G2135" t="s">
        <v>1419</v>
      </c>
      <c r="H2135" s="89">
        <v>46175</v>
      </c>
      <c r="I2135" s="89">
        <v>46177</v>
      </c>
      <c r="N2135" t="s">
        <v>3323</v>
      </c>
    </row>
    <row r="2136" spans="1:14" hidden="1" x14ac:dyDescent="0.25">
      <c r="A2136" t="s">
        <v>1318</v>
      </c>
      <c r="B2136" t="s">
        <v>1332</v>
      </c>
      <c r="C2136" t="s">
        <v>3351</v>
      </c>
      <c r="D2136" t="s">
        <v>20</v>
      </c>
      <c r="F2136">
        <v>17</v>
      </c>
      <c r="G2136" t="s">
        <v>1419</v>
      </c>
      <c r="H2136" s="89">
        <v>46175</v>
      </c>
      <c r="I2136" s="89">
        <v>46177</v>
      </c>
      <c r="N2136" t="s">
        <v>3323</v>
      </c>
    </row>
    <row r="2137" spans="1:14" hidden="1" x14ac:dyDescent="0.25">
      <c r="A2137" t="s">
        <v>1320</v>
      </c>
      <c r="B2137" t="s">
        <v>1334</v>
      </c>
      <c r="C2137" t="s">
        <v>3352</v>
      </c>
      <c r="D2137" t="s">
        <v>23</v>
      </c>
      <c r="F2137">
        <v>960</v>
      </c>
      <c r="G2137">
        <v>20</v>
      </c>
      <c r="H2137" s="89">
        <v>46176</v>
      </c>
      <c r="I2137" s="89">
        <v>46179</v>
      </c>
      <c r="J2137" t="s">
        <v>3353</v>
      </c>
      <c r="N2137" t="s">
        <v>3323</v>
      </c>
    </row>
    <row r="2138" spans="1:14" hidden="1" x14ac:dyDescent="0.25">
      <c r="A2138" t="s">
        <v>1324</v>
      </c>
      <c r="B2138" t="s">
        <v>1338</v>
      </c>
      <c r="C2138" t="s">
        <v>3354</v>
      </c>
      <c r="D2138" t="s">
        <v>13</v>
      </c>
      <c r="F2138">
        <v>480</v>
      </c>
      <c r="G2138">
        <v>10</v>
      </c>
      <c r="H2138" s="89">
        <v>46176</v>
      </c>
      <c r="I2138" s="89">
        <v>46183</v>
      </c>
      <c r="J2138" t="s">
        <v>3355</v>
      </c>
      <c r="N2138" t="s">
        <v>3323</v>
      </c>
    </row>
    <row r="2139" spans="1:14" hidden="1" x14ac:dyDescent="0.25">
      <c r="A2139" t="s">
        <v>1324</v>
      </c>
      <c r="B2139" t="s">
        <v>1338</v>
      </c>
      <c r="C2139" t="s">
        <v>3356</v>
      </c>
      <c r="D2139" t="s">
        <v>30</v>
      </c>
      <c r="F2139">
        <v>480</v>
      </c>
      <c r="G2139">
        <v>10</v>
      </c>
      <c r="H2139" s="89">
        <v>46176</v>
      </c>
      <c r="I2139" s="89">
        <v>46183</v>
      </c>
      <c r="J2139" t="s">
        <v>3355</v>
      </c>
      <c r="N2139" t="s">
        <v>3323</v>
      </c>
    </row>
    <row r="2140" spans="1:14" hidden="1" x14ac:dyDescent="0.25">
      <c r="A2140" t="s">
        <v>1320</v>
      </c>
      <c r="B2140" t="s">
        <v>1334</v>
      </c>
      <c r="C2140" t="s">
        <v>3357</v>
      </c>
      <c r="D2140" t="s">
        <v>99</v>
      </c>
      <c r="F2140">
        <v>960</v>
      </c>
      <c r="G2140">
        <v>20</v>
      </c>
      <c r="H2140" s="89">
        <v>46176</v>
      </c>
      <c r="I2140" s="89">
        <v>46181</v>
      </c>
      <c r="J2140" t="s">
        <v>3358</v>
      </c>
      <c r="N2140" t="s">
        <v>3323</v>
      </c>
    </row>
    <row r="2141" spans="1:14" hidden="1" x14ac:dyDescent="0.25">
      <c r="A2141" t="s">
        <v>1320</v>
      </c>
      <c r="B2141" t="s">
        <v>1334</v>
      </c>
      <c r="C2141" t="s">
        <v>3359</v>
      </c>
      <c r="D2141" t="s">
        <v>21</v>
      </c>
      <c r="F2141">
        <v>960</v>
      </c>
      <c r="G2141">
        <v>20</v>
      </c>
      <c r="H2141" s="89">
        <v>46176</v>
      </c>
      <c r="I2141" s="89">
        <v>46179</v>
      </c>
      <c r="J2141" t="s">
        <v>3360</v>
      </c>
      <c r="N2141" t="s">
        <v>3323</v>
      </c>
    </row>
    <row r="2142" spans="1:14" hidden="1" x14ac:dyDescent="0.25">
      <c r="A2142" t="s">
        <v>1314</v>
      </c>
      <c r="B2142" t="s">
        <v>1328</v>
      </c>
      <c r="C2142" t="s">
        <v>3359</v>
      </c>
      <c r="D2142" t="s">
        <v>21</v>
      </c>
      <c r="F2142">
        <v>288</v>
      </c>
      <c r="G2142">
        <v>6</v>
      </c>
      <c r="H2142" s="89">
        <v>46176</v>
      </c>
      <c r="I2142" s="89">
        <v>46180</v>
      </c>
      <c r="J2142" t="s">
        <v>3361</v>
      </c>
      <c r="N2142" t="s">
        <v>3323</v>
      </c>
    </row>
    <row r="2143" spans="1:14" hidden="1" x14ac:dyDescent="0.25">
      <c r="A2143" t="s">
        <v>1315</v>
      </c>
      <c r="B2143" t="s">
        <v>1329</v>
      </c>
      <c r="C2143" t="s">
        <v>3359</v>
      </c>
      <c r="D2143" t="s">
        <v>21</v>
      </c>
      <c r="F2143">
        <v>83</v>
      </c>
      <c r="G2143" t="s">
        <v>1419</v>
      </c>
      <c r="H2143" s="89">
        <v>46176</v>
      </c>
      <c r="I2143" s="89">
        <v>46178</v>
      </c>
      <c r="N2143" t="s">
        <v>3323</v>
      </c>
    </row>
    <row r="2144" spans="1:14" hidden="1" x14ac:dyDescent="0.25">
      <c r="A2144" t="s">
        <v>1316</v>
      </c>
      <c r="B2144" t="s">
        <v>1330</v>
      </c>
      <c r="C2144" t="s">
        <v>3362</v>
      </c>
      <c r="D2144" t="s">
        <v>21</v>
      </c>
      <c r="F2144">
        <v>15</v>
      </c>
      <c r="G2144" t="s">
        <v>1419</v>
      </c>
      <c r="H2144" s="89">
        <v>46176</v>
      </c>
      <c r="I2144" s="89">
        <v>46178</v>
      </c>
      <c r="N2144" t="s">
        <v>3323</v>
      </c>
    </row>
    <row r="2145" spans="1:14" hidden="1" x14ac:dyDescent="0.25">
      <c r="A2145" t="s">
        <v>1317</v>
      </c>
      <c r="B2145" t="s">
        <v>1331</v>
      </c>
      <c r="C2145" t="s">
        <v>3363</v>
      </c>
      <c r="D2145" t="s">
        <v>21</v>
      </c>
      <c r="F2145">
        <v>17</v>
      </c>
      <c r="G2145" t="s">
        <v>1419</v>
      </c>
      <c r="H2145" s="89">
        <v>46176</v>
      </c>
      <c r="I2145" s="89">
        <v>46178</v>
      </c>
      <c r="N2145" t="s">
        <v>3323</v>
      </c>
    </row>
    <row r="2146" spans="1:14" hidden="1" x14ac:dyDescent="0.25">
      <c r="A2146" t="s">
        <v>1318</v>
      </c>
      <c r="B2146" t="s">
        <v>1332</v>
      </c>
      <c r="C2146" t="s">
        <v>3364</v>
      </c>
      <c r="D2146" t="s">
        <v>21</v>
      </c>
      <c r="F2146">
        <v>67</v>
      </c>
      <c r="G2146" t="s">
        <v>1419</v>
      </c>
      <c r="H2146" s="89">
        <v>46176</v>
      </c>
      <c r="I2146" s="89">
        <v>46178</v>
      </c>
      <c r="N2146" t="s">
        <v>3323</v>
      </c>
    </row>
    <row r="2147" spans="1:14" hidden="1" x14ac:dyDescent="0.25">
      <c r="A2147" t="s">
        <v>1313</v>
      </c>
      <c r="B2147" t="s">
        <v>1327</v>
      </c>
      <c r="C2147" t="s">
        <v>3365</v>
      </c>
      <c r="D2147" t="s">
        <v>15</v>
      </c>
      <c r="F2147">
        <v>912</v>
      </c>
      <c r="G2147">
        <v>19</v>
      </c>
      <c r="H2147" s="89">
        <v>46176</v>
      </c>
      <c r="I2147" s="89">
        <v>46179</v>
      </c>
      <c r="J2147" t="s">
        <v>3343</v>
      </c>
      <c r="N2147" t="s">
        <v>3323</v>
      </c>
    </row>
    <row r="2148" spans="1:14" hidden="1" x14ac:dyDescent="0.25">
      <c r="A2148" t="s">
        <v>1320</v>
      </c>
      <c r="B2148" t="s">
        <v>1334</v>
      </c>
      <c r="C2148" t="s">
        <v>3365</v>
      </c>
      <c r="D2148" t="s">
        <v>15</v>
      </c>
      <c r="F2148">
        <v>432</v>
      </c>
      <c r="G2148">
        <v>9</v>
      </c>
      <c r="H2148" s="89">
        <v>46176</v>
      </c>
      <c r="I2148" s="89">
        <v>46181</v>
      </c>
      <c r="J2148" t="s">
        <v>3342</v>
      </c>
      <c r="N2148" t="s">
        <v>3323</v>
      </c>
    </row>
    <row r="2149" spans="1:14" hidden="1" x14ac:dyDescent="0.25">
      <c r="A2149" t="s">
        <v>1315</v>
      </c>
      <c r="B2149" t="s">
        <v>1329</v>
      </c>
      <c r="C2149" t="s">
        <v>3365</v>
      </c>
      <c r="D2149" t="s">
        <v>15</v>
      </c>
      <c r="F2149">
        <v>41</v>
      </c>
      <c r="G2149" t="s">
        <v>1419</v>
      </c>
      <c r="H2149" s="89">
        <v>46176</v>
      </c>
      <c r="I2149" s="89">
        <v>46178</v>
      </c>
      <c r="N2149" t="s">
        <v>3323</v>
      </c>
    </row>
    <row r="2150" spans="1:14" hidden="1" x14ac:dyDescent="0.25">
      <c r="A2150" t="s">
        <v>1316</v>
      </c>
      <c r="B2150" t="s">
        <v>1330</v>
      </c>
      <c r="C2150" t="s">
        <v>3366</v>
      </c>
      <c r="D2150" t="s">
        <v>15</v>
      </c>
      <c r="F2150">
        <v>60</v>
      </c>
      <c r="G2150" t="s">
        <v>1419</v>
      </c>
      <c r="H2150" s="89">
        <v>46176</v>
      </c>
      <c r="I2150" s="89">
        <v>46178</v>
      </c>
      <c r="N2150" t="s">
        <v>3323</v>
      </c>
    </row>
    <row r="2151" spans="1:14" hidden="1" x14ac:dyDescent="0.25">
      <c r="A2151" t="s">
        <v>1317</v>
      </c>
      <c r="B2151" t="s">
        <v>1331</v>
      </c>
      <c r="C2151" t="s">
        <v>3367</v>
      </c>
      <c r="D2151" t="s">
        <v>15</v>
      </c>
      <c r="F2151">
        <v>14</v>
      </c>
      <c r="G2151" t="s">
        <v>1419</v>
      </c>
      <c r="H2151" s="89">
        <v>46176</v>
      </c>
      <c r="I2151" s="89">
        <v>46178</v>
      </c>
      <c r="N2151" t="s">
        <v>3323</v>
      </c>
    </row>
    <row r="2152" spans="1:14" hidden="1" x14ac:dyDescent="0.25">
      <c r="A2152" t="s">
        <v>1318</v>
      </c>
      <c r="B2152" t="s">
        <v>1332</v>
      </c>
      <c r="C2152" t="s">
        <v>3368</v>
      </c>
      <c r="D2152" t="s">
        <v>15</v>
      </c>
      <c r="F2152">
        <v>24</v>
      </c>
      <c r="G2152" t="s">
        <v>1419</v>
      </c>
      <c r="H2152" s="89">
        <v>46176</v>
      </c>
      <c r="I2152" s="89">
        <v>46178</v>
      </c>
      <c r="N2152" t="s">
        <v>3323</v>
      </c>
    </row>
    <row r="2153" spans="1:14" hidden="1" x14ac:dyDescent="0.25">
      <c r="A2153" t="s">
        <v>1313</v>
      </c>
      <c r="B2153" t="s">
        <v>1327</v>
      </c>
      <c r="C2153" t="s">
        <v>3369</v>
      </c>
      <c r="D2153" t="s">
        <v>20</v>
      </c>
      <c r="F2153">
        <v>1104</v>
      </c>
      <c r="G2153">
        <v>23</v>
      </c>
      <c r="H2153" s="89">
        <v>46176</v>
      </c>
      <c r="I2153" s="89">
        <v>46181</v>
      </c>
      <c r="J2153" t="s">
        <v>3370</v>
      </c>
      <c r="N2153" t="s">
        <v>3323</v>
      </c>
    </row>
    <row r="2154" spans="1:14" hidden="1" x14ac:dyDescent="0.25">
      <c r="A2154" t="s">
        <v>1319</v>
      </c>
      <c r="B2154" t="s">
        <v>1333</v>
      </c>
      <c r="C2154" t="s">
        <v>3369</v>
      </c>
      <c r="D2154" t="s">
        <v>20</v>
      </c>
      <c r="F2154">
        <v>48</v>
      </c>
      <c r="G2154">
        <v>1</v>
      </c>
      <c r="H2154" s="89">
        <v>46176</v>
      </c>
      <c r="I2154" s="89">
        <v>46181</v>
      </c>
      <c r="J2154" t="s">
        <v>3370</v>
      </c>
      <c r="N2154" t="s">
        <v>3323</v>
      </c>
    </row>
    <row r="2155" spans="1:14" hidden="1" x14ac:dyDescent="0.25">
      <c r="A2155" t="s">
        <v>1313</v>
      </c>
      <c r="B2155" t="s">
        <v>1327</v>
      </c>
      <c r="C2155" t="s">
        <v>3369</v>
      </c>
      <c r="D2155" t="s">
        <v>20</v>
      </c>
      <c r="F2155">
        <v>144</v>
      </c>
      <c r="G2155">
        <v>3</v>
      </c>
      <c r="H2155" s="89">
        <v>46176</v>
      </c>
      <c r="I2155" s="89">
        <v>46178</v>
      </c>
      <c r="N2155" t="s">
        <v>3323</v>
      </c>
    </row>
    <row r="2156" spans="1:14" hidden="1" x14ac:dyDescent="0.25">
      <c r="A2156" t="s">
        <v>1315</v>
      </c>
      <c r="B2156" t="s">
        <v>1329</v>
      </c>
      <c r="C2156" t="s">
        <v>3369</v>
      </c>
      <c r="D2156" t="s">
        <v>20</v>
      </c>
      <c r="F2156">
        <v>80</v>
      </c>
      <c r="G2156" t="s">
        <v>1419</v>
      </c>
      <c r="H2156" s="89">
        <v>46176</v>
      </c>
      <c r="I2156" s="89">
        <v>46178</v>
      </c>
      <c r="N2156" t="s">
        <v>3323</v>
      </c>
    </row>
    <row r="2157" spans="1:14" hidden="1" x14ac:dyDescent="0.25">
      <c r="A2157" t="s">
        <v>1316</v>
      </c>
      <c r="B2157" t="s">
        <v>1330</v>
      </c>
      <c r="C2157" t="s">
        <v>3371</v>
      </c>
      <c r="D2157" t="s">
        <v>20</v>
      </c>
      <c r="F2157">
        <v>131</v>
      </c>
      <c r="G2157" t="s">
        <v>1419</v>
      </c>
      <c r="H2157" s="89">
        <v>46176</v>
      </c>
      <c r="I2157" s="89">
        <v>46178</v>
      </c>
      <c r="N2157" t="s">
        <v>3323</v>
      </c>
    </row>
    <row r="2158" spans="1:14" hidden="1" x14ac:dyDescent="0.25">
      <c r="A2158" t="s">
        <v>1317</v>
      </c>
      <c r="B2158" t="s">
        <v>1331</v>
      </c>
      <c r="C2158" t="s">
        <v>3372</v>
      </c>
      <c r="D2158" t="s">
        <v>20</v>
      </c>
      <c r="F2158">
        <v>14</v>
      </c>
      <c r="G2158" t="s">
        <v>1419</v>
      </c>
      <c r="H2158" s="89">
        <v>46176</v>
      </c>
      <c r="I2158" s="89">
        <v>46178</v>
      </c>
      <c r="N2158" t="s">
        <v>3323</v>
      </c>
    </row>
    <row r="2159" spans="1:14" hidden="1" x14ac:dyDescent="0.25">
      <c r="A2159" t="s">
        <v>1318</v>
      </c>
      <c r="B2159" t="s">
        <v>1332</v>
      </c>
      <c r="C2159" t="s">
        <v>3373</v>
      </c>
      <c r="D2159" t="s">
        <v>20</v>
      </c>
      <c r="F2159">
        <v>38</v>
      </c>
      <c r="G2159" t="s">
        <v>1419</v>
      </c>
      <c r="H2159" s="89">
        <v>46176</v>
      </c>
      <c r="I2159" s="89">
        <v>46178</v>
      </c>
      <c r="N2159" t="s">
        <v>3323</v>
      </c>
    </row>
    <row r="2160" spans="1:14" hidden="1" x14ac:dyDescent="0.25">
      <c r="A2160" t="s">
        <v>1324</v>
      </c>
      <c r="B2160" t="s">
        <v>1338</v>
      </c>
      <c r="C2160" t="s">
        <v>3374</v>
      </c>
      <c r="D2160" t="s">
        <v>23</v>
      </c>
      <c r="F2160">
        <v>960</v>
      </c>
      <c r="G2160">
        <v>20</v>
      </c>
      <c r="H2160" s="89">
        <v>46177</v>
      </c>
      <c r="I2160" s="89">
        <v>46183</v>
      </c>
      <c r="J2160" t="s">
        <v>3355</v>
      </c>
      <c r="N2160" t="s">
        <v>3323</v>
      </c>
    </row>
    <row r="2161" spans="1:14" hidden="1" x14ac:dyDescent="0.25">
      <c r="A2161" t="s">
        <v>1325</v>
      </c>
      <c r="B2161" t="s">
        <v>1339</v>
      </c>
      <c r="C2161" t="s">
        <v>3375</v>
      </c>
      <c r="D2161" t="s">
        <v>138</v>
      </c>
      <c r="F2161">
        <v>192</v>
      </c>
      <c r="G2161">
        <v>4</v>
      </c>
      <c r="H2161" s="89">
        <v>46177</v>
      </c>
      <c r="I2161" s="89">
        <v>46179</v>
      </c>
      <c r="N2161" t="s">
        <v>3323</v>
      </c>
    </row>
    <row r="2162" spans="1:14" hidden="1" x14ac:dyDescent="0.25">
      <c r="A2162" t="s">
        <v>1321</v>
      </c>
      <c r="B2162" t="s">
        <v>1335</v>
      </c>
      <c r="C2162" t="s">
        <v>3375</v>
      </c>
      <c r="D2162" t="s">
        <v>138</v>
      </c>
      <c r="F2162">
        <v>144</v>
      </c>
      <c r="G2162">
        <v>3</v>
      </c>
      <c r="H2162" s="89">
        <v>46177</v>
      </c>
      <c r="I2162" s="89">
        <v>46184</v>
      </c>
      <c r="J2162" t="s">
        <v>3376</v>
      </c>
      <c r="N2162" t="s">
        <v>3323</v>
      </c>
    </row>
    <row r="2163" spans="1:14" hidden="1" x14ac:dyDescent="0.25">
      <c r="A2163" t="s">
        <v>1320</v>
      </c>
      <c r="B2163" t="s">
        <v>1334</v>
      </c>
      <c r="C2163" t="s">
        <v>3377</v>
      </c>
      <c r="D2163" t="s">
        <v>30</v>
      </c>
      <c r="F2163">
        <v>480</v>
      </c>
      <c r="G2163">
        <v>10</v>
      </c>
      <c r="H2163" s="89">
        <v>46177</v>
      </c>
      <c r="I2163" s="89">
        <v>46181</v>
      </c>
      <c r="J2163" t="s">
        <v>3342</v>
      </c>
      <c r="N2163" t="s">
        <v>3323</v>
      </c>
    </row>
    <row r="2164" spans="1:14" hidden="1" x14ac:dyDescent="0.25">
      <c r="A2164" t="s">
        <v>1324</v>
      </c>
      <c r="B2164" t="s">
        <v>1338</v>
      </c>
      <c r="C2164" t="s">
        <v>3378</v>
      </c>
      <c r="D2164" t="s">
        <v>104</v>
      </c>
      <c r="F2164">
        <v>720</v>
      </c>
      <c r="G2164">
        <v>15</v>
      </c>
      <c r="H2164" s="89">
        <v>46177</v>
      </c>
      <c r="I2164" s="89">
        <v>46184</v>
      </c>
      <c r="J2164" t="s">
        <v>3376</v>
      </c>
      <c r="N2164" t="s">
        <v>3323</v>
      </c>
    </row>
    <row r="2165" spans="1:14" hidden="1" x14ac:dyDescent="0.25">
      <c r="A2165" t="s">
        <v>1324</v>
      </c>
      <c r="B2165" t="s">
        <v>1338</v>
      </c>
      <c r="C2165" t="s">
        <v>3379</v>
      </c>
      <c r="D2165" t="s">
        <v>105</v>
      </c>
      <c r="F2165">
        <v>240</v>
      </c>
      <c r="G2165">
        <v>5</v>
      </c>
      <c r="H2165" s="89">
        <v>46177</v>
      </c>
      <c r="I2165" s="89">
        <v>46184</v>
      </c>
      <c r="J2165" t="s">
        <v>3376</v>
      </c>
      <c r="N2165" t="s">
        <v>3323</v>
      </c>
    </row>
    <row r="2166" spans="1:14" hidden="1" x14ac:dyDescent="0.25">
      <c r="A2166" t="s">
        <v>1320</v>
      </c>
      <c r="B2166" t="s">
        <v>1334</v>
      </c>
      <c r="C2166" t="s">
        <v>3380</v>
      </c>
      <c r="D2166" t="s">
        <v>28</v>
      </c>
      <c r="F2166">
        <v>480</v>
      </c>
      <c r="G2166">
        <v>10</v>
      </c>
      <c r="H2166" s="89">
        <v>46177</v>
      </c>
      <c r="I2166" s="89">
        <v>46182</v>
      </c>
      <c r="J2166" t="s">
        <v>3381</v>
      </c>
      <c r="N2166" t="s">
        <v>3323</v>
      </c>
    </row>
    <row r="2167" spans="1:14" hidden="1" x14ac:dyDescent="0.25">
      <c r="A2167" t="s">
        <v>1320</v>
      </c>
      <c r="B2167" t="s">
        <v>1334</v>
      </c>
      <c r="C2167" t="s">
        <v>3380</v>
      </c>
      <c r="D2167" t="s">
        <v>28</v>
      </c>
      <c r="F2167">
        <v>240</v>
      </c>
      <c r="G2167">
        <v>5</v>
      </c>
      <c r="H2167" s="89">
        <v>46177</v>
      </c>
      <c r="I2167" s="89">
        <v>46183</v>
      </c>
      <c r="J2167" t="s">
        <v>3382</v>
      </c>
      <c r="N2167" t="s">
        <v>3323</v>
      </c>
    </row>
    <row r="2168" spans="1:14" hidden="1" x14ac:dyDescent="0.25">
      <c r="A2168" t="s">
        <v>1313</v>
      </c>
      <c r="B2168" t="s">
        <v>1327</v>
      </c>
      <c r="C2168" t="s">
        <v>3380</v>
      </c>
      <c r="D2168" t="s">
        <v>28</v>
      </c>
      <c r="F2168">
        <v>864</v>
      </c>
      <c r="G2168">
        <v>18</v>
      </c>
      <c r="H2168" s="89">
        <v>46177</v>
      </c>
      <c r="I2168" s="89">
        <v>46180</v>
      </c>
      <c r="J2168" t="s">
        <v>3383</v>
      </c>
      <c r="N2168" t="s">
        <v>3323</v>
      </c>
    </row>
    <row r="2169" spans="1:14" hidden="1" x14ac:dyDescent="0.25">
      <c r="A2169" t="s">
        <v>1315</v>
      </c>
      <c r="B2169" t="s">
        <v>1329</v>
      </c>
      <c r="C2169" t="s">
        <v>3380</v>
      </c>
      <c r="D2169" t="s">
        <v>28</v>
      </c>
      <c r="F2169">
        <v>85</v>
      </c>
      <c r="G2169" t="s">
        <v>1419</v>
      </c>
      <c r="H2169" s="89">
        <v>46177</v>
      </c>
      <c r="I2169" s="89">
        <v>46179</v>
      </c>
      <c r="N2169" t="s">
        <v>3323</v>
      </c>
    </row>
    <row r="2170" spans="1:14" hidden="1" x14ac:dyDescent="0.25">
      <c r="A2170" t="s">
        <v>1316</v>
      </c>
      <c r="B2170" t="s">
        <v>1330</v>
      </c>
      <c r="C2170" t="s">
        <v>3384</v>
      </c>
      <c r="D2170" t="s">
        <v>28</v>
      </c>
      <c r="F2170">
        <v>30</v>
      </c>
      <c r="G2170" t="s">
        <v>1419</v>
      </c>
      <c r="H2170" s="89">
        <v>46177</v>
      </c>
      <c r="I2170" s="89">
        <v>46179</v>
      </c>
      <c r="N2170" t="s">
        <v>3323</v>
      </c>
    </row>
    <row r="2171" spans="1:14" hidden="1" x14ac:dyDescent="0.25">
      <c r="A2171" t="s">
        <v>1317</v>
      </c>
      <c r="B2171" t="s">
        <v>1331</v>
      </c>
      <c r="C2171" t="s">
        <v>3385</v>
      </c>
      <c r="D2171" t="s">
        <v>28</v>
      </c>
      <c r="F2171">
        <v>5</v>
      </c>
      <c r="G2171" t="s">
        <v>1419</v>
      </c>
      <c r="H2171" s="89">
        <v>46177</v>
      </c>
      <c r="I2171" s="89">
        <v>46179</v>
      </c>
      <c r="N2171" t="s">
        <v>3323</v>
      </c>
    </row>
    <row r="2172" spans="1:14" hidden="1" x14ac:dyDescent="0.25">
      <c r="A2172" t="s">
        <v>1318</v>
      </c>
      <c r="B2172" t="s">
        <v>1332</v>
      </c>
      <c r="C2172" t="s">
        <v>3386</v>
      </c>
      <c r="D2172" t="s">
        <v>28</v>
      </c>
      <c r="F2172">
        <v>63</v>
      </c>
      <c r="G2172" t="s">
        <v>1419</v>
      </c>
      <c r="H2172" s="89">
        <v>46177</v>
      </c>
      <c r="I2172" s="89">
        <v>46179</v>
      </c>
      <c r="N2172" t="s">
        <v>3323</v>
      </c>
    </row>
    <row r="2173" spans="1:14" hidden="1" x14ac:dyDescent="0.25">
      <c r="A2173" t="s">
        <v>1320</v>
      </c>
      <c r="B2173" t="s">
        <v>1334</v>
      </c>
      <c r="C2173" t="s">
        <v>3387</v>
      </c>
      <c r="D2173" t="s">
        <v>15</v>
      </c>
      <c r="F2173">
        <v>480</v>
      </c>
      <c r="G2173">
        <v>10</v>
      </c>
      <c r="H2173" s="89">
        <v>46177</v>
      </c>
      <c r="I2173" s="89">
        <v>46182</v>
      </c>
      <c r="J2173" t="s">
        <v>3381</v>
      </c>
      <c r="N2173" t="s">
        <v>3323</v>
      </c>
    </row>
    <row r="2174" spans="1:14" hidden="1" x14ac:dyDescent="0.25">
      <c r="A2174" t="s">
        <v>1313</v>
      </c>
      <c r="B2174" t="s">
        <v>1327</v>
      </c>
      <c r="C2174" t="s">
        <v>3387</v>
      </c>
      <c r="D2174" t="s">
        <v>15</v>
      </c>
      <c r="F2174">
        <v>864</v>
      </c>
      <c r="G2174">
        <v>18</v>
      </c>
      <c r="H2174" s="89">
        <v>46177</v>
      </c>
      <c r="I2174" s="89">
        <v>46182</v>
      </c>
      <c r="J2174" t="s">
        <v>3388</v>
      </c>
      <c r="N2174" t="s">
        <v>3323</v>
      </c>
    </row>
    <row r="2175" spans="1:14" hidden="1" x14ac:dyDescent="0.25">
      <c r="A2175" t="s">
        <v>1315</v>
      </c>
      <c r="B2175" t="s">
        <v>1329</v>
      </c>
      <c r="C2175" t="s">
        <v>3387</v>
      </c>
      <c r="D2175" t="s">
        <v>15</v>
      </c>
      <c r="F2175">
        <v>59</v>
      </c>
      <c r="G2175" t="s">
        <v>1419</v>
      </c>
      <c r="H2175" s="89">
        <v>46177</v>
      </c>
      <c r="I2175" s="89">
        <v>46179</v>
      </c>
      <c r="N2175" t="s">
        <v>3323</v>
      </c>
    </row>
    <row r="2176" spans="1:14" hidden="1" x14ac:dyDescent="0.25">
      <c r="A2176" t="s">
        <v>1316</v>
      </c>
      <c r="B2176" t="s">
        <v>1330</v>
      </c>
      <c r="C2176" t="s">
        <v>3389</v>
      </c>
      <c r="D2176" t="s">
        <v>15</v>
      </c>
      <c r="F2176">
        <v>53</v>
      </c>
      <c r="G2176" t="s">
        <v>1419</v>
      </c>
      <c r="H2176" s="89">
        <v>46177</v>
      </c>
      <c r="I2176" s="89">
        <v>46179</v>
      </c>
      <c r="N2176" t="s">
        <v>3323</v>
      </c>
    </row>
    <row r="2177" spans="1:14" hidden="1" x14ac:dyDescent="0.25">
      <c r="A2177" t="s">
        <v>1317</v>
      </c>
      <c r="B2177" t="s">
        <v>1331</v>
      </c>
      <c r="C2177" t="s">
        <v>3390</v>
      </c>
      <c r="D2177" t="s">
        <v>15</v>
      </c>
      <c r="F2177">
        <v>3</v>
      </c>
      <c r="G2177" t="s">
        <v>1419</v>
      </c>
      <c r="H2177" s="89">
        <v>46177</v>
      </c>
      <c r="I2177" s="89">
        <v>46179</v>
      </c>
      <c r="N2177" t="s">
        <v>3323</v>
      </c>
    </row>
    <row r="2178" spans="1:14" hidden="1" x14ac:dyDescent="0.25">
      <c r="A2178" t="s">
        <v>1318</v>
      </c>
      <c r="B2178" t="s">
        <v>1332</v>
      </c>
      <c r="C2178" t="s">
        <v>3391</v>
      </c>
      <c r="D2178" t="s">
        <v>15</v>
      </c>
      <c r="F2178">
        <v>6</v>
      </c>
      <c r="G2178" t="s">
        <v>1419</v>
      </c>
      <c r="H2178" s="89">
        <v>46177</v>
      </c>
      <c r="I2178" s="89">
        <v>46179</v>
      </c>
      <c r="N2178" t="s">
        <v>3323</v>
      </c>
    </row>
    <row r="2179" spans="1:14" hidden="1" x14ac:dyDescent="0.25">
      <c r="A2179" t="s">
        <v>1313</v>
      </c>
      <c r="B2179" t="s">
        <v>1327</v>
      </c>
      <c r="C2179" t="s">
        <v>3392</v>
      </c>
      <c r="D2179" t="s">
        <v>20</v>
      </c>
      <c r="F2179">
        <v>1152</v>
      </c>
      <c r="G2179">
        <v>24</v>
      </c>
      <c r="H2179" s="89">
        <v>46177</v>
      </c>
      <c r="I2179" s="89">
        <v>46182</v>
      </c>
      <c r="J2179" t="s">
        <v>3393</v>
      </c>
      <c r="N2179" t="s">
        <v>3323</v>
      </c>
    </row>
    <row r="2180" spans="1:14" hidden="1" x14ac:dyDescent="0.25">
      <c r="A2180" t="s">
        <v>1313</v>
      </c>
      <c r="B2180" t="s">
        <v>1327</v>
      </c>
      <c r="C2180" t="s">
        <v>3392</v>
      </c>
      <c r="D2180" t="s">
        <v>20</v>
      </c>
      <c r="F2180">
        <v>144</v>
      </c>
      <c r="G2180">
        <v>3</v>
      </c>
      <c r="H2180" s="89">
        <v>46177</v>
      </c>
      <c r="I2180" s="89">
        <v>46179</v>
      </c>
      <c r="N2180" t="s">
        <v>3323</v>
      </c>
    </row>
    <row r="2181" spans="1:14" hidden="1" x14ac:dyDescent="0.25">
      <c r="A2181" t="s">
        <v>1315</v>
      </c>
      <c r="B2181" t="s">
        <v>1329</v>
      </c>
      <c r="C2181" t="s">
        <v>3392</v>
      </c>
      <c r="D2181" t="s">
        <v>20</v>
      </c>
      <c r="F2181">
        <v>88</v>
      </c>
      <c r="G2181" t="s">
        <v>1419</v>
      </c>
      <c r="H2181" s="89">
        <v>46177</v>
      </c>
      <c r="I2181" s="89">
        <v>46179</v>
      </c>
      <c r="N2181" t="s">
        <v>3323</v>
      </c>
    </row>
    <row r="2182" spans="1:14" hidden="1" x14ac:dyDescent="0.25">
      <c r="A2182" t="s">
        <v>1316</v>
      </c>
      <c r="B2182" t="s">
        <v>1330</v>
      </c>
      <c r="C2182" t="s">
        <v>3394</v>
      </c>
      <c r="D2182" t="s">
        <v>20</v>
      </c>
      <c r="F2182">
        <v>82</v>
      </c>
      <c r="G2182" t="s">
        <v>1419</v>
      </c>
      <c r="H2182" s="89">
        <v>46177</v>
      </c>
      <c r="I2182" s="89">
        <v>46179</v>
      </c>
      <c r="N2182" t="s">
        <v>3323</v>
      </c>
    </row>
    <row r="2183" spans="1:14" hidden="1" x14ac:dyDescent="0.25">
      <c r="A2183" t="s">
        <v>1317</v>
      </c>
      <c r="B2183" t="s">
        <v>1331</v>
      </c>
      <c r="C2183" t="s">
        <v>3395</v>
      </c>
      <c r="D2183" t="s">
        <v>20</v>
      </c>
      <c r="F2183">
        <v>8</v>
      </c>
      <c r="G2183" t="s">
        <v>1419</v>
      </c>
      <c r="H2183" s="89">
        <v>46177</v>
      </c>
      <c r="I2183" s="89">
        <v>46179</v>
      </c>
      <c r="N2183" t="s">
        <v>3323</v>
      </c>
    </row>
    <row r="2184" spans="1:14" hidden="1" x14ac:dyDescent="0.25">
      <c r="A2184" t="s">
        <v>1318</v>
      </c>
      <c r="B2184" t="s">
        <v>1332</v>
      </c>
      <c r="C2184" t="s">
        <v>3396</v>
      </c>
      <c r="D2184" t="s">
        <v>20</v>
      </c>
      <c r="F2184">
        <v>53</v>
      </c>
      <c r="G2184" t="s">
        <v>1419</v>
      </c>
      <c r="H2184" s="89">
        <v>46177</v>
      </c>
      <c r="I2184" s="89">
        <v>46179</v>
      </c>
      <c r="N2184" t="s">
        <v>3323</v>
      </c>
    </row>
    <row r="2185" spans="1:14" hidden="1" x14ac:dyDescent="0.25">
      <c r="A2185" t="s">
        <v>1324</v>
      </c>
      <c r="B2185" t="s">
        <v>1338</v>
      </c>
      <c r="C2185" t="s">
        <v>3397</v>
      </c>
      <c r="D2185" t="s">
        <v>104</v>
      </c>
      <c r="F2185">
        <v>480</v>
      </c>
      <c r="G2185">
        <v>10</v>
      </c>
      <c r="H2185" s="89">
        <v>46178</v>
      </c>
      <c r="I2185" s="89">
        <v>46184</v>
      </c>
      <c r="J2185" t="s">
        <v>3376</v>
      </c>
      <c r="N2185" t="s">
        <v>3323</v>
      </c>
    </row>
    <row r="2186" spans="1:14" hidden="1" x14ac:dyDescent="0.25">
      <c r="A2186" t="s">
        <v>1324</v>
      </c>
      <c r="B2186" t="s">
        <v>1338</v>
      </c>
      <c r="C2186" t="s">
        <v>3398</v>
      </c>
      <c r="D2186" t="s">
        <v>106</v>
      </c>
      <c r="F2186">
        <v>336</v>
      </c>
      <c r="G2186">
        <v>7</v>
      </c>
      <c r="H2186" s="89">
        <v>46178</v>
      </c>
      <c r="I2186" s="89">
        <v>46184</v>
      </c>
      <c r="J2186" t="s">
        <v>3376</v>
      </c>
      <c r="N2186" t="s">
        <v>3323</v>
      </c>
    </row>
    <row r="2187" spans="1:14" hidden="1" x14ac:dyDescent="0.25">
      <c r="A2187" t="s">
        <v>1324</v>
      </c>
      <c r="B2187" t="s">
        <v>1338</v>
      </c>
      <c r="C2187" t="s">
        <v>3399</v>
      </c>
      <c r="D2187" t="s">
        <v>150</v>
      </c>
      <c r="F2187">
        <v>960</v>
      </c>
      <c r="G2187">
        <v>20</v>
      </c>
      <c r="H2187" s="89">
        <v>46178</v>
      </c>
      <c r="I2187" s="89">
        <v>46185</v>
      </c>
      <c r="J2187" t="s">
        <v>3400</v>
      </c>
      <c r="N2187" t="s">
        <v>3323</v>
      </c>
    </row>
    <row r="2188" spans="1:14" hidden="1" x14ac:dyDescent="0.25">
      <c r="A2188" t="s">
        <v>1326</v>
      </c>
      <c r="B2188" t="s">
        <v>1340</v>
      </c>
      <c r="C2188" t="s">
        <v>3401</v>
      </c>
      <c r="D2188" t="s">
        <v>32</v>
      </c>
      <c r="F2188">
        <v>840</v>
      </c>
      <c r="G2188">
        <v>20</v>
      </c>
      <c r="H2188" s="89">
        <v>46178</v>
      </c>
      <c r="I2188" s="89">
        <v>46181</v>
      </c>
      <c r="N2188" t="s">
        <v>3323</v>
      </c>
    </row>
    <row r="2189" spans="1:14" hidden="1" x14ac:dyDescent="0.25">
      <c r="A2189" t="s">
        <v>1320</v>
      </c>
      <c r="B2189" t="s">
        <v>1334</v>
      </c>
      <c r="C2189" t="s">
        <v>3402</v>
      </c>
      <c r="D2189" t="s">
        <v>23</v>
      </c>
      <c r="F2189">
        <v>960</v>
      </c>
      <c r="G2189">
        <v>20</v>
      </c>
      <c r="H2189" s="89">
        <v>46178</v>
      </c>
      <c r="I2189" s="89">
        <v>46182</v>
      </c>
      <c r="J2189" t="s">
        <v>3403</v>
      </c>
      <c r="N2189" t="s">
        <v>3323</v>
      </c>
    </row>
    <row r="2190" spans="1:14" hidden="1" x14ac:dyDescent="0.25">
      <c r="A2190" t="s">
        <v>1320</v>
      </c>
      <c r="B2190" t="s">
        <v>1334</v>
      </c>
      <c r="C2190" t="s">
        <v>3404</v>
      </c>
      <c r="D2190" t="s">
        <v>20</v>
      </c>
      <c r="F2190">
        <v>960</v>
      </c>
      <c r="G2190">
        <v>20</v>
      </c>
      <c r="H2190" s="89">
        <v>46178</v>
      </c>
      <c r="I2190" s="89">
        <v>46184</v>
      </c>
      <c r="J2190" t="s">
        <v>3405</v>
      </c>
      <c r="N2190" t="s">
        <v>3323</v>
      </c>
    </row>
    <row r="2191" spans="1:14" hidden="1" x14ac:dyDescent="0.25">
      <c r="A2191" t="s">
        <v>1315</v>
      </c>
      <c r="B2191" t="s">
        <v>1329</v>
      </c>
      <c r="C2191" t="s">
        <v>3404</v>
      </c>
      <c r="D2191" t="s">
        <v>20</v>
      </c>
      <c r="F2191">
        <v>213</v>
      </c>
      <c r="G2191" t="s">
        <v>1419</v>
      </c>
      <c r="H2191" s="89">
        <v>46178</v>
      </c>
      <c r="I2191" s="89">
        <v>46180</v>
      </c>
      <c r="N2191" t="s">
        <v>3323</v>
      </c>
    </row>
    <row r="2192" spans="1:14" hidden="1" x14ac:dyDescent="0.25">
      <c r="A2192" t="s">
        <v>1316</v>
      </c>
      <c r="B2192" t="s">
        <v>1330</v>
      </c>
      <c r="C2192" t="s">
        <v>3406</v>
      </c>
      <c r="D2192" t="s">
        <v>20</v>
      </c>
      <c r="F2192">
        <v>102</v>
      </c>
      <c r="G2192" t="s">
        <v>1419</v>
      </c>
      <c r="H2192" s="89">
        <v>46178</v>
      </c>
      <c r="I2192" s="89">
        <v>46180</v>
      </c>
      <c r="N2192" t="s">
        <v>3323</v>
      </c>
    </row>
    <row r="2193" spans="1:14" hidden="1" x14ac:dyDescent="0.25">
      <c r="A2193" t="s">
        <v>1317</v>
      </c>
      <c r="B2193" t="s">
        <v>1331</v>
      </c>
      <c r="C2193" t="s">
        <v>3407</v>
      </c>
      <c r="D2193" t="s">
        <v>20</v>
      </c>
      <c r="F2193">
        <v>6</v>
      </c>
      <c r="G2193" t="s">
        <v>1419</v>
      </c>
      <c r="H2193" s="89">
        <v>46178</v>
      </c>
      <c r="I2193" s="89">
        <v>46180</v>
      </c>
      <c r="N2193" t="s">
        <v>3323</v>
      </c>
    </row>
    <row r="2194" spans="1:14" hidden="1" x14ac:dyDescent="0.25">
      <c r="A2194" t="s">
        <v>1318</v>
      </c>
      <c r="B2194" t="s">
        <v>1332</v>
      </c>
      <c r="C2194" t="s">
        <v>3408</v>
      </c>
      <c r="D2194" t="s">
        <v>20</v>
      </c>
      <c r="F2194">
        <v>57</v>
      </c>
      <c r="G2194" t="s">
        <v>1419</v>
      </c>
      <c r="H2194" s="89">
        <v>46178</v>
      </c>
      <c r="I2194" s="89">
        <v>46180</v>
      </c>
      <c r="N2194" t="s">
        <v>3323</v>
      </c>
    </row>
    <row r="2195" spans="1:14" hidden="1" x14ac:dyDescent="0.25">
      <c r="A2195" t="s">
        <v>1320</v>
      </c>
      <c r="B2195" t="s">
        <v>1334</v>
      </c>
      <c r="C2195" t="s">
        <v>3409</v>
      </c>
      <c r="D2195" t="s">
        <v>15</v>
      </c>
      <c r="F2195">
        <v>960</v>
      </c>
      <c r="G2195">
        <v>20</v>
      </c>
      <c r="H2195" s="89">
        <v>46178</v>
      </c>
      <c r="I2195" s="89">
        <v>46183</v>
      </c>
      <c r="J2195" t="s">
        <v>3410</v>
      </c>
      <c r="N2195" t="s">
        <v>3323</v>
      </c>
    </row>
    <row r="2196" spans="1:14" hidden="1" x14ac:dyDescent="0.25">
      <c r="A2196" t="s">
        <v>1314</v>
      </c>
      <c r="B2196" t="s">
        <v>1328</v>
      </c>
      <c r="C2196" t="s">
        <v>3409</v>
      </c>
      <c r="D2196" t="s">
        <v>15</v>
      </c>
      <c r="F2196">
        <v>288</v>
      </c>
      <c r="G2196">
        <v>6</v>
      </c>
      <c r="H2196" s="89">
        <v>46178</v>
      </c>
      <c r="I2196" s="89">
        <v>46182</v>
      </c>
      <c r="J2196" t="s">
        <v>3411</v>
      </c>
      <c r="N2196" t="s">
        <v>3323</v>
      </c>
    </row>
    <row r="2197" spans="1:14" hidden="1" x14ac:dyDescent="0.25">
      <c r="A2197" t="s">
        <v>1313</v>
      </c>
      <c r="B2197" t="s">
        <v>1327</v>
      </c>
      <c r="C2197" t="s">
        <v>3409</v>
      </c>
      <c r="D2197" t="s">
        <v>15</v>
      </c>
      <c r="F2197">
        <v>192</v>
      </c>
      <c r="G2197">
        <v>4</v>
      </c>
      <c r="H2197" s="89">
        <v>46178</v>
      </c>
      <c r="I2197" s="89">
        <v>46183</v>
      </c>
      <c r="J2197" t="s">
        <v>3412</v>
      </c>
      <c r="N2197" t="s">
        <v>3323</v>
      </c>
    </row>
    <row r="2198" spans="1:14" hidden="1" x14ac:dyDescent="0.25">
      <c r="A2198" t="s">
        <v>1315</v>
      </c>
      <c r="B2198" t="s">
        <v>1329</v>
      </c>
      <c r="C2198" t="s">
        <v>3409</v>
      </c>
      <c r="D2198" t="s">
        <v>15</v>
      </c>
      <c r="F2198">
        <v>21</v>
      </c>
      <c r="G2198" t="s">
        <v>1419</v>
      </c>
      <c r="H2198" s="89">
        <v>46178</v>
      </c>
      <c r="I2198" s="89">
        <v>46180</v>
      </c>
      <c r="N2198" t="s">
        <v>3323</v>
      </c>
    </row>
    <row r="2199" spans="1:14" hidden="1" x14ac:dyDescent="0.25">
      <c r="A2199" t="s">
        <v>1316</v>
      </c>
      <c r="B2199" t="s">
        <v>1330</v>
      </c>
      <c r="C2199" t="s">
        <v>3413</v>
      </c>
      <c r="D2199" t="s">
        <v>15</v>
      </c>
      <c r="F2199">
        <v>52</v>
      </c>
      <c r="G2199" t="s">
        <v>1419</v>
      </c>
      <c r="H2199" s="89">
        <v>46178</v>
      </c>
      <c r="I2199" s="89">
        <v>46180</v>
      </c>
      <c r="N2199" t="s">
        <v>3323</v>
      </c>
    </row>
    <row r="2200" spans="1:14" hidden="1" x14ac:dyDescent="0.25">
      <c r="A2200" t="s">
        <v>1317</v>
      </c>
      <c r="B2200" t="s">
        <v>1331</v>
      </c>
      <c r="C2200" t="s">
        <v>3414</v>
      </c>
      <c r="D2200" t="s">
        <v>15</v>
      </c>
      <c r="F2200">
        <v>7</v>
      </c>
      <c r="G2200" t="s">
        <v>1419</v>
      </c>
      <c r="H2200" s="89">
        <v>46178</v>
      </c>
      <c r="I2200" s="89">
        <v>46180</v>
      </c>
      <c r="N2200" t="s">
        <v>3323</v>
      </c>
    </row>
    <row r="2201" spans="1:14" hidden="1" x14ac:dyDescent="0.25">
      <c r="A2201" t="s">
        <v>1318</v>
      </c>
      <c r="B2201" t="s">
        <v>1332</v>
      </c>
      <c r="C2201" t="s">
        <v>3415</v>
      </c>
      <c r="D2201" t="s">
        <v>15</v>
      </c>
      <c r="F2201">
        <v>35</v>
      </c>
      <c r="G2201" t="s">
        <v>1419</v>
      </c>
      <c r="H2201" s="89">
        <v>46178</v>
      </c>
      <c r="I2201" s="89">
        <v>46180</v>
      </c>
      <c r="N2201" t="s">
        <v>3323</v>
      </c>
    </row>
    <row r="2202" spans="1:14" hidden="1" x14ac:dyDescent="0.25">
      <c r="A2202" t="s">
        <v>1320</v>
      </c>
      <c r="B2202" t="s">
        <v>1334</v>
      </c>
      <c r="C2202" t="s">
        <v>3416</v>
      </c>
      <c r="D2202" t="s">
        <v>21</v>
      </c>
      <c r="F2202">
        <v>720</v>
      </c>
      <c r="G2202">
        <v>15</v>
      </c>
      <c r="H2202" s="89">
        <v>46178</v>
      </c>
      <c r="I2202" s="89">
        <v>46183</v>
      </c>
      <c r="J2202" t="s">
        <v>3382</v>
      </c>
      <c r="N2202" t="s">
        <v>3323</v>
      </c>
    </row>
    <row r="2203" spans="1:14" hidden="1" x14ac:dyDescent="0.25">
      <c r="A2203" t="s">
        <v>1313</v>
      </c>
      <c r="B2203" t="s">
        <v>1327</v>
      </c>
      <c r="C2203" t="s">
        <v>3416</v>
      </c>
      <c r="D2203" t="s">
        <v>21</v>
      </c>
      <c r="F2203">
        <v>96</v>
      </c>
      <c r="G2203">
        <v>5</v>
      </c>
      <c r="H2203" s="89">
        <v>46178</v>
      </c>
      <c r="I2203" s="89">
        <v>46179</v>
      </c>
      <c r="N2203" t="s">
        <v>3323</v>
      </c>
    </row>
    <row r="2204" spans="1:14" hidden="1" x14ac:dyDescent="0.25">
      <c r="A2204" t="s">
        <v>1313</v>
      </c>
      <c r="B2204" t="s">
        <v>1327</v>
      </c>
      <c r="C2204" t="s">
        <v>3416</v>
      </c>
      <c r="D2204" t="s">
        <v>21</v>
      </c>
      <c r="F2204">
        <v>240</v>
      </c>
      <c r="G2204">
        <v>5</v>
      </c>
      <c r="H2204" s="89">
        <v>46178</v>
      </c>
      <c r="I2204" s="89">
        <v>46184</v>
      </c>
      <c r="J2204" t="s">
        <v>3417</v>
      </c>
      <c r="N2204" t="s">
        <v>3323</v>
      </c>
    </row>
    <row r="2205" spans="1:14" hidden="1" x14ac:dyDescent="0.25">
      <c r="A2205" t="s">
        <v>1315</v>
      </c>
      <c r="B2205" t="s">
        <v>1329</v>
      </c>
      <c r="C2205" t="s">
        <v>3416</v>
      </c>
      <c r="D2205" t="s">
        <v>21</v>
      </c>
      <c r="F2205">
        <v>44</v>
      </c>
      <c r="G2205" t="s">
        <v>1419</v>
      </c>
      <c r="H2205" s="89">
        <v>46178</v>
      </c>
      <c r="I2205" s="89">
        <v>46180</v>
      </c>
      <c r="N2205" t="s">
        <v>3323</v>
      </c>
    </row>
    <row r="2206" spans="1:14" hidden="1" x14ac:dyDescent="0.25">
      <c r="A2206" t="s">
        <v>1316</v>
      </c>
      <c r="B2206" t="s">
        <v>1330</v>
      </c>
      <c r="C2206" t="s">
        <v>3418</v>
      </c>
      <c r="D2206" t="s">
        <v>21</v>
      </c>
      <c r="F2206">
        <v>8</v>
      </c>
      <c r="G2206" t="s">
        <v>1419</v>
      </c>
      <c r="H2206" s="89">
        <v>46178</v>
      </c>
      <c r="I2206" s="89">
        <v>46180</v>
      </c>
      <c r="N2206" t="s">
        <v>3323</v>
      </c>
    </row>
    <row r="2207" spans="1:14" hidden="1" x14ac:dyDescent="0.25">
      <c r="A2207" t="s">
        <v>1317</v>
      </c>
      <c r="B2207" t="s">
        <v>1331</v>
      </c>
      <c r="C2207" t="s">
        <v>3419</v>
      </c>
      <c r="D2207" t="s">
        <v>21</v>
      </c>
      <c r="F2207">
        <v>11</v>
      </c>
      <c r="G2207" t="s">
        <v>1419</v>
      </c>
      <c r="H2207" s="89">
        <v>46178</v>
      </c>
      <c r="I2207" s="89">
        <v>46180</v>
      </c>
      <c r="N2207" t="s">
        <v>3323</v>
      </c>
    </row>
    <row r="2208" spans="1:14" hidden="1" x14ac:dyDescent="0.25">
      <c r="A2208" t="s">
        <v>1318</v>
      </c>
      <c r="B2208" t="s">
        <v>1332</v>
      </c>
      <c r="C2208" t="s">
        <v>3420</v>
      </c>
      <c r="D2208" t="s">
        <v>21</v>
      </c>
      <c r="F2208">
        <v>44</v>
      </c>
      <c r="G2208" t="s">
        <v>1419</v>
      </c>
      <c r="H2208" s="89">
        <v>46178</v>
      </c>
      <c r="I2208" s="89">
        <v>46180</v>
      </c>
      <c r="N2208" t="s">
        <v>3323</v>
      </c>
    </row>
    <row r="2209" spans="1:14" hidden="1" x14ac:dyDescent="0.25">
      <c r="A2209" t="s">
        <v>1313</v>
      </c>
      <c r="B2209" t="s">
        <v>1327</v>
      </c>
      <c r="C2209" t="s">
        <v>3421</v>
      </c>
      <c r="D2209" t="s">
        <v>152</v>
      </c>
      <c r="F2209">
        <v>336</v>
      </c>
      <c r="G2209">
        <v>7</v>
      </c>
      <c r="H2209" s="89">
        <v>46179</v>
      </c>
      <c r="I2209" s="89">
        <v>46183</v>
      </c>
      <c r="J2209" t="s">
        <v>3412</v>
      </c>
      <c r="N2209" t="s">
        <v>3323</v>
      </c>
    </row>
    <row r="2210" spans="1:14" hidden="1" x14ac:dyDescent="0.25">
      <c r="A2210" t="s">
        <v>1313</v>
      </c>
      <c r="B2210" t="s">
        <v>1327</v>
      </c>
      <c r="C2210" t="s">
        <v>3422</v>
      </c>
      <c r="D2210" t="s">
        <v>13</v>
      </c>
      <c r="F2210">
        <v>624</v>
      </c>
      <c r="G2210">
        <v>13</v>
      </c>
      <c r="H2210" s="89">
        <v>46179</v>
      </c>
      <c r="I2210" s="89">
        <v>46183</v>
      </c>
      <c r="J2210" t="s">
        <v>3412</v>
      </c>
      <c r="N2210" t="s">
        <v>3323</v>
      </c>
    </row>
    <row r="2211" spans="1:14" hidden="1" x14ac:dyDescent="0.25">
      <c r="A2211" t="s">
        <v>1324</v>
      </c>
      <c r="B2211" t="s">
        <v>1338</v>
      </c>
      <c r="C2211" t="s">
        <v>3423</v>
      </c>
      <c r="D2211" t="s">
        <v>150</v>
      </c>
      <c r="F2211">
        <v>960</v>
      </c>
      <c r="G2211">
        <v>20</v>
      </c>
      <c r="H2211" s="89">
        <v>46179</v>
      </c>
      <c r="I2211" s="89">
        <v>46185</v>
      </c>
      <c r="J2211" t="s">
        <v>3400</v>
      </c>
      <c r="N2211" t="s">
        <v>3323</v>
      </c>
    </row>
    <row r="2212" spans="1:14" hidden="1" x14ac:dyDescent="0.25">
      <c r="A2212" t="s">
        <v>1313</v>
      </c>
      <c r="B2212" t="s">
        <v>1327</v>
      </c>
      <c r="C2212" t="s">
        <v>3424</v>
      </c>
      <c r="D2212" t="s">
        <v>97</v>
      </c>
      <c r="F2212">
        <v>576</v>
      </c>
      <c r="G2212">
        <v>12</v>
      </c>
      <c r="H2212" s="89">
        <v>46179</v>
      </c>
      <c r="I2212" s="89">
        <v>46183</v>
      </c>
      <c r="J2212" t="s">
        <v>3425</v>
      </c>
      <c r="N2212" t="s">
        <v>3323</v>
      </c>
    </row>
    <row r="2213" spans="1:14" hidden="1" x14ac:dyDescent="0.25">
      <c r="A2213" t="s">
        <v>1313</v>
      </c>
      <c r="B2213" t="s">
        <v>1327</v>
      </c>
      <c r="C2213" t="s">
        <v>3426</v>
      </c>
      <c r="D2213" t="s">
        <v>88</v>
      </c>
      <c r="F2213">
        <v>576</v>
      </c>
      <c r="G2213">
        <v>12</v>
      </c>
      <c r="H2213" s="89">
        <v>46179</v>
      </c>
      <c r="I2213" s="89">
        <v>46183</v>
      </c>
      <c r="J2213" t="s">
        <v>3425</v>
      </c>
      <c r="N2213" t="s">
        <v>3323</v>
      </c>
    </row>
    <row r="2214" spans="1:14" hidden="1" x14ac:dyDescent="0.25">
      <c r="A2214" t="s">
        <v>1313</v>
      </c>
      <c r="B2214" t="s">
        <v>1327</v>
      </c>
      <c r="C2214" t="s">
        <v>3427</v>
      </c>
      <c r="D2214" t="s">
        <v>20</v>
      </c>
      <c r="F2214">
        <v>864</v>
      </c>
      <c r="G2214">
        <v>18</v>
      </c>
      <c r="H2214" s="89">
        <v>46179</v>
      </c>
      <c r="I2214" s="89">
        <v>46183</v>
      </c>
      <c r="J2214" t="s">
        <v>3428</v>
      </c>
      <c r="N2214" t="s">
        <v>3323</v>
      </c>
    </row>
    <row r="2215" spans="1:14" hidden="1" x14ac:dyDescent="0.25">
      <c r="A2215" t="s">
        <v>1315</v>
      </c>
      <c r="B2215" t="s">
        <v>1329</v>
      </c>
      <c r="C2215" t="s">
        <v>3427</v>
      </c>
      <c r="D2215" t="s">
        <v>20</v>
      </c>
      <c r="F2215">
        <v>162</v>
      </c>
      <c r="G2215" t="s">
        <v>1419</v>
      </c>
      <c r="H2215" s="89">
        <v>46179</v>
      </c>
      <c r="I2215" s="89">
        <v>46181</v>
      </c>
      <c r="N2215" t="s">
        <v>3323</v>
      </c>
    </row>
    <row r="2216" spans="1:14" hidden="1" x14ac:dyDescent="0.25">
      <c r="A2216" t="s">
        <v>1316</v>
      </c>
      <c r="B2216" t="s">
        <v>1330</v>
      </c>
      <c r="C2216" t="s">
        <v>3429</v>
      </c>
      <c r="D2216" t="s">
        <v>20</v>
      </c>
      <c r="F2216">
        <v>34</v>
      </c>
      <c r="G2216" t="s">
        <v>1419</v>
      </c>
      <c r="H2216" s="89">
        <v>46179</v>
      </c>
      <c r="I2216" s="89">
        <v>46181</v>
      </c>
      <c r="N2216" t="s">
        <v>3323</v>
      </c>
    </row>
    <row r="2217" spans="1:14" hidden="1" x14ac:dyDescent="0.25">
      <c r="A2217" t="s">
        <v>1317</v>
      </c>
      <c r="B2217" t="s">
        <v>1331</v>
      </c>
      <c r="C2217" t="s">
        <v>3430</v>
      </c>
      <c r="D2217" t="s">
        <v>20</v>
      </c>
      <c r="F2217">
        <v>6</v>
      </c>
      <c r="G2217" t="s">
        <v>1419</v>
      </c>
      <c r="H2217" s="89">
        <v>46179</v>
      </c>
      <c r="I2217" s="89">
        <v>46181</v>
      </c>
      <c r="N2217" t="s">
        <v>3323</v>
      </c>
    </row>
    <row r="2218" spans="1:14" hidden="1" x14ac:dyDescent="0.25">
      <c r="A2218" t="s">
        <v>1318</v>
      </c>
      <c r="B2218" t="s">
        <v>1332</v>
      </c>
      <c r="C2218" t="s">
        <v>3431</v>
      </c>
      <c r="D2218" t="s">
        <v>20</v>
      </c>
      <c r="F2218">
        <v>26</v>
      </c>
      <c r="G2218" t="s">
        <v>1419</v>
      </c>
      <c r="H2218" s="89">
        <v>46179</v>
      </c>
      <c r="I2218" s="89">
        <v>46181</v>
      </c>
      <c r="N2218" t="s">
        <v>3323</v>
      </c>
    </row>
    <row r="2219" spans="1:14" hidden="1" x14ac:dyDescent="0.25">
      <c r="A2219" t="s">
        <v>1320</v>
      </c>
      <c r="B2219" t="s">
        <v>1334</v>
      </c>
      <c r="C2219" t="s">
        <v>3432</v>
      </c>
      <c r="D2219" t="s">
        <v>15</v>
      </c>
      <c r="F2219">
        <v>960</v>
      </c>
      <c r="G2219">
        <v>20</v>
      </c>
      <c r="H2219" s="89">
        <v>46179</v>
      </c>
      <c r="I2219" s="89">
        <v>46184</v>
      </c>
      <c r="J2219" t="s">
        <v>3433</v>
      </c>
      <c r="N2219" t="s">
        <v>3323</v>
      </c>
    </row>
    <row r="2220" spans="1:14" hidden="1" x14ac:dyDescent="0.25">
      <c r="A2220" t="s">
        <v>1314</v>
      </c>
      <c r="B2220" t="s">
        <v>1328</v>
      </c>
      <c r="C2220" t="s">
        <v>3432</v>
      </c>
      <c r="D2220" t="s">
        <v>15</v>
      </c>
      <c r="F2220">
        <v>96</v>
      </c>
      <c r="G2220">
        <v>2</v>
      </c>
      <c r="H2220" s="89">
        <v>46179</v>
      </c>
      <c r="I2220" s="89">
        <v>46183</v>
      </c>
      <c r="J2220" t="s">
        <v>3434</v>
      </c>
      <c r="N2220" t="s">
        <v>3323</v>
      </c>
    </row>
    <row r="2221" spans="1:14" hidden="1" x14ac:dyDescent="0.25">
      <c r="A2221" t="s">
        <v>1313</v>
      </c>
      <c r="B2221" t="s">
        <v>1327</v>
      </c>
      <c r="C2221" t="s">
        <v>3432</v>
      </c>
      <c r="D2221" t="s">
        <v>15</v>
      </c>
      <c r="F2221">
        <v>192</v>
      </c>
      <c r="G2221" t="s">
        <v>1419</v>
      </c>
      <c r="H2221" s="89">
        <v>46179</v>
      </c>
      <c r="I2221" s="89">
        <v>46181</v>
      </c>
      <c r="N2221" t="s">
        <v>3323</v>
      </c>
    </row>
    <row r="2222" spans="1:14" hidden="1" x14ac:dyDescent="0.25">
      <c r="A2222" t="s">
        <v>1315</v>
      </c>
      <c r="B2222" t="s">
        <v>1329</v>
      </c>
      <c r="C2222" t="s">
        <v>3432</v>
      </c>
      <c r="D2222" t="s">
        <v>15</v>
      </c>
      <c r="F2222">
        <v>37</v>
      </c>
      <c r="G2222" t="s">
        <v>1419</v>
      </c>
      <c r="H2222" s="89">
        <v>46179</v>
      </c>
      <c r="I2222" s="89">
        <v>46181</v>
      </c>
      <c r="N2222" t="s">
        <v>3323</v>
      </c>
    </row>
    <row r="2223" spans="1:14" hidden="1" x14ac:dyDescent="0.25">
      <c r="A2223" t="s">
        <v>1316</v>
      </c>
      <c r="B2223" t="s">
        <v>1330</v>
      </c>
      <c r="C2223" t="s">
        <v>3435</v>
      </c>
      <c r="D2223" t="s">
        <v>15</v>
      </c>
      <c r="F2223">
        <v>56</v>
      </c>
      <c r="G2223" t="s">
        <v>1419</v>
      </c>
      <c r="H2223" s="89">
        <v>46179</v>
      </c>
      <c r="I2223" s="89">
        <v>46181</v>
      </c>
      <c r="N2223" t="s">
        <v>3323</v>
      </c>
    </row>
    <row r="2224" spans="1:14" hidden="1" x14ac:dyDescent="0.25">
      <c r="A2224" t="s">
        <v>1317</v>
      </c>
      <c r="B2224" t="s">
        <v>1331</v>
      </c>
      <c r="C2224" t="s">
        <v>3436</v>
      </c>
      <c r="D2224" t="s">
        <v>15</v>
      </c>
      <c r="F2224">
        <v>13</v>
      </c>
      <c r="G2224" t="s">
        <v>1419</v>
      </c>
      <c r="H2224" s="89">
        <v>46179</v>
      </c>
      <c r="I2224" s="89">
        <v>46181</v>
      </c>
      <c r="N2224" t="s">
        <v>3323</v>
      </c>
    </row>
    <row r="2225" spans="1:14" hidden="1" x14ac:dyDescent="0.25">
      <c r="A2225" t="s">
        <v>1318</v>
      </c>
      <c r="B2225" t="s">
        <v>1332</v>
      </c>
      <c r="C2225" t="s">
        <v>3437</v>
      </c>
      <c r="D2225" t="s">
        <v>15</v>
      </c>
      <c r="F2225">
        <v>32</v>
      </c>
      <c r="G2225" t="s">
        <v>1419</v>
      </c>
      <c r="H2225" s="89">
        <v>46179</v>
      </c>
      <c r="I2225" s="89">
        <v>46181</v>
      </c>
      <c r="N2225" t="s">
        <v>3323</v>
      </c>
    </row>
    <row r="2226" spans="1:14" hidden="1" x14ac:dyDescent="0.25">
      <c r="A2226" t="s">
        <v>1320</v>
      </c>
      <c r="B2226" t="s">
        <v>1334</v>
      </c>
      <c r="C2226" t="s">
        <v>3438</v>
      </c>
      <c r="D2226" t="s">
        <v>13</v>
      </c>
      <c r="F2226">
        <v>960</v>
      </c>
      <c r="G2226">
        <v>20</v>
      </c>
      <c r="H2226" s="89">
        <v>46181</v>
      </c>
      <c r="I2226" s="89">
        <v>46185</v>
      </c>
      <c r="J2226" t="s">
        <v>3439</v>
      </c>
      <c r="N2226" t="s">
        <v>3440</v>
      </c>
    </row>
    <row r="2227" spans="1:14" hidden="1" x14ac:dyDescent="0.25">
      <c r="A2227" t="s">
        <v>1313</v>
      </c>
      <c r="B2227" t="s">
        <v>1327</v>
      </c>
      <c r="C2227" t="s">
        <v>3441</v>
      </c>
      <c r="D2227" t="s">
        <v>20</v>
      </c>
      <c r="F2227">
        <v>1104</v>
      </c>
      <c r="G2227">
        <v>23</v>
      </c>
      <c r="H2227" s="89">
        <v>46181</v>
      </c>
      <c r="I2227" s="89">
        <v>46185</v>
      </c>
      <c r="J2227" t="s">
        <v>3442</v>
      </c>
      <c r="N2227" t="s">
        <v>3440</v>
      </c>
    </row>
    <row r="2228" spans="1:14" hidden="1" x14ac:dyDescent="0.25">
      <c r="A2228" t="s">
        <v>1319</v>
      </c>
      <c r="B2228" t="s">
        <v>1333</v>
      </c>
      <c r="C2228" t="s">
        <v>3441</v>
      </c>
      <c r="D2228" t="s">
        <v>20</v>
      </c>
      <c r="F2228">
        <v>48</v>
      </c>
      <c r="G2228">
        <v>1</v>
      </c>
      <c r="H2228" s="89">
        <v>46181</v>
      </c>
      <c r="I2228" s="89">
        <v>46185</v>
      </c>
      <c r="J2228" t="s">
        <v>3442</v>
      </c>
      <c r="N2228" t="s">
        <v>3440</v>
      </c>
    </row>
    <row r="2229" spans="1:14" hidden="1" x14ac:dyDescent="0.25">
      <c r="A2229" t="s">
        <v>1315</v>
      </c>
      <c r="B2229" t="s">
        <v>1329</v>
      </c>
      <c r="C2229" t="s">
        <v>3441</v>
      </c>
      <c r="D2229" t="s">
        <v>20</v>
      </c>
      <c r="F2229">
        <v>156</v>
      </c>
      <c r="G2229" t="s">
        <v>1419</v>
      </c>
      <c r="H2229" s="89">
        <v>46181</v>
      </c>
      <c r="I2229" s="89">
        <v>46186</v>
      </c>
      <c r="N2229" t="s">
        <v>3440</v>
      </c>
    </row>
    <row r="2230" spans="1:14" hidden="1" x14ac:dyDescent="0.25">
      <c r="A2230" t="s">
        <v>1316</v>
      </c>
      <c r="B2230" t="s">
        <v>1330</v>
      </c>
      <c r="C2230" t="s">
        <v>3443</v>
      </c>
      <c r="D2230" t="s">
        <v>20</v>
      </c>
      <c r="F2230">
        <v>78</v>
      </c>
      <c r="G2230" t="s">
        <v>1419</v>
      </c>
      <c r="H2230" s="89">
        <v>46181</v>
      </c>
      <c r="I2230" s="89">
        <v>46183</v>
      </c>
      <c r="N2230" t="s">
        <v>3440</v>
      </c>
    </row>
    <row r="2231" spans="1:14" hidden="1" x14ac:dyDescent="0.25">
      <c r="A2231" t="s">
        <v>1317</v>
      </c>
      <c r="B2231" t="s">
        <v>1331</v>
      </c>
      <c r="C2231" t="s">
        <v>3444</v>
      </c>
      <c r="D2231" t="s">
        <v>20</v>
      </c>
      <c r="F2231">
        <v>9</v>
      </c>
      <c r="G2231" t="s">
        <v>1419</v>
      </c>
      <c r="H2231" s="89">
        <v>46181</v>
      </c>
      <c r="I2231" s="89">
        <v>46183</v>
      </c>
      <c r="N2231" t="s">
        <v>3440</v>
      </c>
    </row>
    <row r="2232" spans="1:14" hidden="1" x14ac:dyDescent="0.25">
      <c r="A2232" t="s">
        <v>1318</v>
      </c>
      <c r="B2232" t="s">
        <v>1332</v>
      </c>
      <c r="C2232" t="s">
        <v>3445</v>
      </c>
      <c r="D2232" t="s">
        <v>20</v>
      </c>
      <c r="F2232">
        <v>52</v>
      </c>
      <c r="G2232" t="s">
        <v>1419</v>
      </c>
      <c r="H2232" s="89">
        <v>46181</v>
      </c>
      <c r="I2232" s="89">
        <v>46183</v>
      </c>
      <c r="N2232" t="s">
        <v>3440</v>
      </c>
    </row>
    <row r="2233" spans="1:14" hidden="1" x14ac:dyDescent="0.25">
      <c r="A2233" t="s">
        <v>1313</v>
      </c>
      <c r="B2233" t="s">
        <v>1327</v>
      </c>
      <c r="C2233" t="s">
        <v>3446</v>
      </c>
      <c r="D2233" t="s">
        <v>15</v>
      </c>
      <c r="F2233">
        <v>624</v>
      </c>
      <c r="G2233">
        <v>13</v>
      </c>
      <c r="H2233" s="89">
        <v>46181</v>
      </c>
      <c r="I2233" s="89">
        <v>46184</v>
      </c>
      <c r="J2233" t="s">
        <v>3417</v>
      </c>
      <c r="N2233" t="s">
        <v>3440</v>
      </c>
    </row>
    <row r="2234" spans="1:14" hidden="1" x14ac:dyDescent="0.25">
      <c r="A2234" t="s">
        <v>1313</v>
      </c>
      <c r="B2234" t="s">
        <v>1327</v>
      </c>
      <c r="C2234" t="s">
        <v>3446</v>
      </c>
      <c r="D2234" t="s">
        <v>15</v>
      </c>
      <c r="F2234">
        <v>336</v>
      </c>
      <c r="G2234">
        <v>7</v>
      </c>
      <c r="H2234" s="89">
        <v>46181</v>
      </c>
      <c r="I2234" s="89">
        <v>46186</v>
      </c>
      <c r="J2234" t="s">
        <v>3447</v>
      </c>
      <c r="N2234" t="s">
        <v>3440</v>
      </c>
    </row>
    <row r="2235" spans="1:14" hidden="1" x14ac:dyDescent="0.25">
      <c r="A2235" t="s">
        <v>1313</v>
      </c>
      <c r="B2235" t="s">
        <v>1327</v>
      </c>
      <c r="C2235" t="s">
        <v>3446</v>
      </c>
      <c r="D2235" t="s">
        <v>15</v>
      </c>
      <c r="F2235">
        <v>336</v>
      </c>
      <c r="G2235">
        <v>7</v>
      </c>
      <c r="H2235" s="89">
        <v>46181</v>
      </c>
      <c r="I2235" s="89">
        <v>46186</v>
      </c>
      <c r="J2235" t="s">
        <v>3448</v>
      </c>
      <c r="N2235" t="s">
        <v>3440</v>
      </c>
    </row>
    <row r="2236" spans="1:14" hidden="1" x14ac:dyDescent="0.25">
      <c r="A2236" t="s">
        <v>1314</v>
      </c>
      <c r="B2236" t="s">
        <v>1328</v>
      </c>
      <c r="C2236" t="s">
        <v>3446</v>
      </c>
      <c r="D2236" t="s">
        <v>15</v>
      </c>
      <c r="F2236">
        <v>288</v>
      </c>
      <c r="G2236">
        <v>6</v>
      </c>
      <c r="H2236" s="89">
        <v>46181</v>
      </c>
      <c r="I2236" s="89">
        <v>46184</v>
      </c>
      <c r="J2236" t="s">
        <v>3449</v>
      </c>
      <c r="N2236" t="s">
        <v>3440</v>
      </c>
    </row>
    <row r="2237" spans="1:14" hidden="1" x14ac:dyDescent="0.25">
      <c r="A2237" t="s">
        <v>1315</v>
      </c>
      <c r="B2237" t="s">
        <v>1329</v>
      </c>
      <c r="C2237" t="s">
        <v>3446</v>
      </c>
      <c r="D2237" t="s">
        <v>15</v>
      </c>
      <c r="F2237">
        <v>11</v>
      </c>
      <c r="G2237" t="s">
        <v>1419</v>
      </c>
      <c r="H2237" s="89">
        <v>46181</v>
      </c>
      <c r="I2237" s="89">
        <v>46186</v>
      </c>
      <c r="N2237" t="s">
        <v>3440</v>
      </c>
    </row>
    <row r="2238" spans="1:14" hidden="1" x14ac:dyDescent="0.25">
      <c r="A2238" t="s">
        <v>1316</v>
      </c>
      <c r="B2238" t="s">
        <v>1330</v>
      </c>
      <c r="C2238" t="s">
        <v>3450</v>
      </c>
      <c r="D2238" t="s">
        <v>15</v>
      </c>
      <c r="F2238">
        <v>59</v>
      </c>
      <c r="G2238" t="s">
        <v>1419</v>
      </c>
      <c r="H2238" s="89">
        <v>46181</v>
      </c>
      <c r="I2238" s="89">
        <v>46183</v>
      </c>
      <c r="N2238" t="s">
        <v>3440</v>
      </c>
    </row>
    <row r="2239" spans="1:14" hidden="1" x14ac:dyDescent="0.25">
      <c r="A2239" t="s">
        <v>1317</v>
      </c>
      <c r="B2239" t="s">
        <v>1331</v>
      </c>
      <c r="C2239" t="s">
        <v>3451</v>
      </c>
      <c r="D2239" t="s">
        <v>15</v>
      </c>
      <c r="F2239">
        <v>16</v>
      </c>
      <c r="G2239" t="s">
        <v>1419</v>
      </c>
      <c r="H2239" s="89">
        <v>46181</v>
      </c>
      <c r="I2239" s="89">
        <v>46183</v>
      </c>
      <c r="N2239" t="s">
        <v>3440</v>
      </c>
    </row>
    <row r="2240" spans="1:14" hidden="1" x14ac:dyDescent="0.25">
      <c r="A2240" t="s">
        <v>1318</v>
      </c>
      <c r="B2240" t="s">
        <v>1332</v>
      </c>
      <c r="C2240" t="s">
        <v>3452</v>
      </c>
      <c r="D2240" t="s">
        <v>15</v>
      </c>
      <c r="F2240">
        <v>35</v>
      </c>
      <c r="G2240" t="s">
        <v>1419</v>
      </c>
      <c r="H2240" s="89">
        <v>46181</v>
      </c>
      <c r="I2240" s="89">
        <v>46183</v>
      </c>
      <c r="N2240" t="s">
        <v>3440</v>
      </c>
    </row>
    <row r="2241" spans="1:14" hidden="1" x14ac:dyDescent="0.25">
      <c r="A2241" t="s">
        <v>1320</v>
      </c>
      <c r="B2241" t="s">
        <v>1334</v>
      </c>
      <c r="C2241" t="s">
        <v>3453</v>
      </c>
      <c r="D2241" t="s">
        <v>28</v>
      </c>
      <c r="F2241">
        <v>960</v>
      </c>
      <c r="G2241">
        <v>20</v>
      </c>
      <c r="H2241" s="89">
        <v>46181</v>
      </c>
      <c r="I2241" s="89">
        <v>46185</v>
      </c>
      <c r="J2241" t="s">
        <v>3454</v>
      </c>
      <c r="N2241" t="s">
        <v>3440</v>
      </c>
    </row>
    <row r="2242" spans="1:14" hidden="1" x14ac:dyDescent="0.25">
      <c r="A2242" t="s">
        <v>1313</v>
      </c>
      <c r="B2242" t="s">
        <v>1327</v>
      </c>
      <c r="C2242" t="s">
        <v>3453</v>
      </c>
      <c r="D2242" t="s">
        <v>28</v>
      </c>
      <c r="F2242">
        <v>288</v>
      </c>
      <c r="G2242">
        <v>6</v>
      </c>
      <c r="H2242" s="89">
        <v>46181</v>
      </c>
      <c r="I2242" s="89">
        <v>46186</v>
      </c>
      <c r="J2242" t="s">
        <v>3448</v>
      </c>
      <c r="N2242" t="s">
        <v>3440</v>
      </c>
    </row>
    <row r="2243" spans="1:14" hidden="1" x14ac:dyDescent="0.25">
      <c r="A2243" t="s">
        <v>1315</v>
      </c>
      <c r="B2243" t="s">
        <v>1329</v>
      </c>
      <c r="C2243" t="s">
        <v>3453</v>
      </c>
      <c r="D2243" t="s">
        <v>28</v>
      </c>
      <c r="F2243">
        <v>66</v>
      </c>
      <c r="G2243" t="s">
        <v>1419</v>
      </c>
      <c r="H2243" s="89">
        <v>46181</v>
      </c>
      <c r="I2243" s="89">
        <v>46186</v>
      </c>
      <c r="N2243" t="s">
        <v>3440</v>
      </c>
    </row>
    <row r="2244" spans="1:14" hidden="1" x14ac:dyDescent="0.25">
      <c r="A2244" t="s">
        <v>1316</v>
      </c>
      <c r="B2244" t="s">
        <v>1330</v>
      </c>
      <c r="C2244" t="s">
        <v>3455</v>
      </c>
      <c r="D2244" t="s">
        <v>28</v>
      </c>
      <c r="F2244">
        <v>9</v>
      </c>
      <c r="G2244" t="s">
        <v>1419</v>
      </c>
      <c r="H2244" s="89">
        <v>46181</v>
      </c>
      <c r="I2244" s="89">
        <v>46183</v>
      </c>
      <c r="N2244" t="s">
        <v>3440</v>
      </c>
    </row>
    <row r="2245" spans="1:14" hidden="1" x14ac:dyDescent="0.25">
      <c r="A2245" t="s">
        <v>1317</v>
      </c>
      <c r="B2245" t="s">
        <v>1331</v>
      </c>
      <c r="C2245" t="s">
        <v>3456</v>
      </c>
      <c r="D2245" t="s">
        <v>28</v>
      </c>
      <c r="F2245">
        <v>0</v>
      </c>
      <c r="G2245" t="s">
        <v>1419</v>
      </c>
      <c r="H2245" s="89">
        <v>46181</v>
      </c>
      <c r="I2245" s="89">
        <v>46183</v>
      </c>
      <c r="N2245" t="s">
        <v>3440</v>
      </c>
    </row>
    <row r="2246" spans="1:14" hidden="1" x14ac:dyDescent="0.25">
      <c r="A2246" t="s">
        <v>1318</v>
      </c>
      <c r="B2246" t="s">
        <v>1332</v>
      </c>
      <c r="C2246" t="s">
        <v>3457</v>
      </c>
      <c r="D2246" t="s">
        <v>28</v>
      </c>
      <c r="F2246">
        <v>52</v>
      </c>
      <c r="G2246" t="s">
        <v>1419</v>
      </c>
      <c r="H2246" s="89">
        <v>46181</v>
      </c>
      <c r="I2246" s="89">
        <v>46183</v>
      </c>
      <c r="N2246" t="s">
        <v>3440</v>
      </c>
    </row>
    <row r="2247" spans="1:14" hidden="1" x14ac:dyDescent="0.25">
      <c r="A2247" t="s">
        <v>1324</v>
      </c>
      <c r="B2247" t="s">
        <v>1338</v>
      </c>
      <c r="C2247" t="s">
        <v>3458</v>
      </c>
      <c r="D2247" t="s">
        <v>118</v>
      </c>
      <c r="F2247">
        <v>960</v>
      </c>
      <c r="G2247">
        <v>20</v>
      </c>
      <c r="H2247" s="89">
        <v>46182</v>
      </c>
      <c r="I2247" s="89">
        <v>46188</v>
      </c>
      <c r="J2247" t="s">
        <v>3459</v>
      </c>
      <c r="N2247" t="s">
        <v>3440</v>
      </c>
    </row>
    <row r="2248" spans="1:14" hidden="1" x14ac:dyDescent="0.25">
      <c r="A2248" t="s">
        <v>1320</v>
      </c>
      <c r="B2248" t="s">
        <v>1334</v>
      </c>
      <c r="C2248" t="s">
        <v>3460</v>
      </c>
      <c r="D2248" t="s">
        <v>23</v>
      </c>
      <c r="F2248">
        <v>960</v>
      </c>
      <c r="G2248">
        <v>20</v>
      </c>
      <c r="H2248" s="89">
        <v>46182</v>
      </c>
      <c r="I2248" s="89">
        <v>46186</v>
      </c>
      <c r="J2248" t="s">
        <v>3461</v>
      </c>
      <c r="N2248" t="s">
        <v>3440</v>
      </c>
    </row>
    <row r="2249" spans="1:14" hidden="1" x14ac:dyDescent="0.25">
      <c r="A2249" t="s">
        <v>1321</v>
      </c>
      <c r="B2249" t="s">
        <v>1335</v>
      </c>
      <c r="C2249" t="s">
        <v>3462</v>
      </c>
      <c r="D2249" t="s">
        <v>138</v>
      </c>
      <c r="F2249">
        <v>144</v>
      </c>
      <c r="G2249">
        <v>3</v>
      </c>
      <c r="H2249" s="89">
        <v>46182</v>
      </c>
      <c r="I2249" s="89">
        <v>46188</v>
      </c>
      <c r="J2249" t="s">
        <v>3459</v>
      </c>
      <c r="N2249" t="s">
        <v>3440</v>
      </c>
    </row>
    <row r="2250" spans="1:14" hidden="1" x14ac:dyDescent="0.25">
      <c r="A2250" t="s">
        <v>1320</v>
      </c>
      <c r="B2250" t="s">
        <v>1334</v>
      </c>
      <c r="C2250" t="s">
        <v>3463</v>
      </c>
      <c r="D2250" t="s">
        <v>15</v>
      </c>
      <c r="F2250">
        <v>960</v>
      </c>
      <c r="G2250">
        <v>20</v>
      </c>
      <c r="H2250" s="89">
        <v>46182</v>
      </c>
      <c r="I2250" s="89">
        <v>46186</v>
      </c>
      <c r="J2250" t="s">
        <v>3464</v>
      </c>
      <c r="N2250" t="s">
        <v>3440</v>
      </c>
    </row>
    <row r="2251" spans="1:14" hidden="1" x14ac:dyDescent="0.25">
      <c r="A2251" t="s">
        <v>1313</v>
      </c>
      <c r="B2251" t="s">
        <v>1327</v>
      </c>
      <c r="C2251" t="s">
        <v>3463</v>
      </c>
      <c r="D2251" t="s">
        <v>15</v>
      </c>
      <c r="F2251">
        <v>624</v>
      </c>
      <c r="G2251">
        <v>13</v>
      </c>
      <c r="H2251" s="89">
        <v>46182</v>
      </c>
      <c r="I2251" s="89">
        <v>46186</v>
      </c>
      <c r="J2251" t="s">
        <v>3447</v>
      </c>
      <c r="N2251" t="s">
        <v>3440</v>
      </c>
    </row>
    <row r="2252" spans="1:14" hidden="1" x14ac:dyDescent="0.25">
      <c r="A2252" t="s">
        <v>1319</v>
      </c>
      <c r="B2252" t="s">
        <v>1333</v>
      </c>
      <c r="C2252" t="s">
        <v>3463</v>
      </c>
      <c r="D2252" t="s">
        <v>15</v>
      </c>
      <c r="F2252">
        <v>48</v>
      </c>
      <c r="G2252">
        <v>1</v>
      </c>
      <c r="H2252" s="89">
        <v>46182</v>
      </c>
      <c r="I2252" s="89">
        <v>46186</v>
      </c>
      <c r="J2252" t="s">
        <v>3447</v>
      </c>
      <c r="N2252" t="s">
        <v>3440</v>
      </c>
    </row>
    <row r="2253" spans="1:14" hidden="1" x14ac:dyDescent="0.25">
      <c r="A2253" t="s">
        <v>1315</v>
      </c>
      <c r="B2253" t="s">
        <v>1329</v>
      </c>
      <c r="C2253" t="s">
        <v>3463</v>
      </c>
      <c r="D2253" t="s">
        <v>15</v>
      </c>
      <c r="F2253">
        <v>21</v>
      </c>
      <c r="G2253" t="s">
        <v>1419</v>
      </c>
      <c r="H2253" s="89">
        <v>46182</v>
      </c>
      <c r="I2253" s="89">
        <v>46186</v>
      </c>
      <c r="N2253" t="s">
        <v>3440</v>
      </c>
    </row>
    <row r="2254" spans="1:14" hidden="1" x14ac:dyDescent="0.25">
      <c r="A2254" t="s">
        <v>1316</v>
      </c>
      <c r="B2254" t="s">
        <v>1330</v>
      </c>
      <c r="C2254" t="s">
        <v>3465</v>
      </c>
      <c r="D2254" t="s">
        <v>15</v>
      </c>
      <c r="F2254">
        <v>78</v>
      </c>
      <c r="G2254" t="s">
        <v>1419</v>
      </c>
      <c r="H2254" s="89">
        <v>46182</v>
      </c>
      <c r="I2254" s="89">
        <v>46184</v>
      </c>
      <c r="N2254" t="s">
        <v>3440</v>
      </c>
    </row>
    <row r="2255" spans="1:14" hidden="1" x14ac:dyDescent="0.25">
      <c r="A2255" t="s">
        <v>1317</v>
      </c>
      <c r="B2255" t="s">
        <v>1331</v>
      </c>
      <c r="C2255" t="s">
        <v>3466</v>
      </c>
      <c r="D2255" t="s">
        <v>15</v>
      </c>
      <c r="F2255">
        <v>24</v>
      </c>
      <c r="G2255" t="s">
        <v>1419</v>
      </c>
      <c r="H2255" s="89">
        <v>46182</v>
      </c>
      <c r="I2255" s="89">
        <v>46184</v>
      </c>
      <c r="N2255" t="s">
        <v>3440</v>
      </c>
    </row>
    <row r="2256" spans="1:14" hidden="1" x14ac:dyDescent="0.25">
      <c r="A2256" t="s">
        <v>1318</v>
      </c>
      <c r="B2256" t="s">
        <v>1332</v>
      </c>
      <c r="C2256" t="s">
        <v>3467</v>
      </c>
      <c r="D2256" t="s">
        <v>15</v>
      </c>
      <c r="F2256">
        <v>35</v>
      </c>
      <c r="G2256" t="s">
        <v>1419</v>
      </c>
      <c r="H2256" s="89">
        <v>46182</v>
      </c>
      <c r="I2256" s="89">
        <v>46184</v>
      </c>
      <c r="N2256" t="s">
        <v>3440</v>
      </c>
    </row>
    <row r="2257" spans="1:14" hidden="1" x14ac:dyDescent="0.25">
      <c r="A2257" t="s">
        <v>1324</v>
      </c>
      <c r="B2257" t="s">
        <v>1338</v>
      </c>
      <c r="C2257" t="s">
        <v>3468</v>
      </c>
      <c r="D2257" t="s">
        <v>21</v>
      </c>
      <c r="F2257">
        <v>816</v>
      </c>
      <c r="G2257">
        <v>17</v>
      </c>
      <c r="H2257" s="89">
        <v>46182</v>
      </c>
      <c r="I2257" s="89">
        <v>46188</v>
      </c>
      <c r="J2257" t="s">
        <v>3459</v>
      </c>
      <c r="N2257" t="s">
        <v>3440</v>
      </c>
    </row>
    <row r="2258" spans="1:14" hidden="1" x14ac:dyDescent="0.25">
      <c r="A2258" t="s">
        <v>1313</v>
      </c>
      <c r="B2258" t="s">
        <v>1327</v>
      </c>
      <c r="C2258" t="s">
        <v>3468</v>
      </c>
      <c r="D2258" t="s">
        <v>21</v>
      </c>
      <c r="F2258">
        <v>432</v>
      </c>
      <c r="G2258">
        <v>9</v>
      </c>
      <c r="H2258" s="89">
        <v>46182</v>
      </c>
      <c r="I2258" s="89">
        <v>46186</v>
      </c>
      <c r="J2258" t="s">
        <v>3448</v>
      </c>
      <c r="N2258" t="s">
        <v>3440</v>
      </c>
    </row>
    <row r="2259" spans="1:14" hidden="1" x14ac:dyDescent="0.25">
      <c r="A2259" t="s">
        <v>1314</v>
      </c>
      <c r="B2259" t="s">
        <v>1328</v>
      </c>
      <c r="C2259" t="s">
        <v>3468</v>
      </c>
      <c r="D2259" t="s">
        <v>21</v>
      </c>
      <c r="F2259">
        <v>96</v>
      </c>
      <c r="G2259">
        <v>2</v>
      </c>
      <c r="H2259" s="89">
        <v>46182</v>
      </c>
      <c r="I2259" s="89">
        <v>46186</v>
      </c>
      <c r="J2259" t="s">
        <v>3469</v>
      </c>
      <c r="N2259" t="s">
        <v>3440</v>
      </c>
    </row>
    <row r="2260" spans="1:14" hidden="1" x14ac:dyDescent="0.25">
      <c r="A2260" t="s">
        <v>1315</v>
      </c>
      <c r="B2260" t="s">
        <v>1329</v>
      </c>
      <c r="C2260" t="s">
        <v>3468</v>
      </c>
      <c r="D2260" t="s">
        <v>21</v>
      </c>
      <c r="F2260">
        <v>126</v>
      </c>
      <c r="G2260" t="s">
        <v>1419</v>
      </c>
      <c r="H2260" s="89">
        <v>46182</v>
      </c>
      <c r="I2260" s="89">
        <v>46186</v>
      </c>
      <c r="N2260" t="s">
        <v>3440</v>
      </c>
    </row>
    <row r="2261" spans="1:14" hidden="1" x14ac:dyDescent="0.25">
      <c r="A2261" t="s">
        <v>1316</v>
      </c>
      <c r="B2261" t="s">
        <v>1330</v>
      </c>
      <c r="C2261" t="s">
        <v>3470</v>
      </c>
      <c r="D2261" t="s">
        <v>21</v>
      </c>
      <c r="F2261">
        <v>10</v>
      </c>
      <c r="G2261" t="s">
        <v>1419</v>
      </c>
      <c r="H2261" s="89">
        <v>46182</v>
      </c>
      <c r="I2261" s="89">
        <v>46184</v>
      </c>
      <c r="N2261" t="s">
        <v>3440</v>
      </c>
    </row>
    <row r="2262" spans="1:14" hidden="1" x14ac:dyDescent="0.25">
      <c r="A2262" t="s">
        <v>1317</v>
      </c>
      <c r="B2262" t="s">
        <v>1331</v>
      </c>
      <c r="C2262" t="s">
        <v>3471</v>
      </c>
      <c r="D2262" t="s">
        <v>21</v>
      </c>
      <c r="F2262">
        <v>8</v>
      </c>
      <c r="G2262" t="s">
        <v>1419</v>
      </c>
      <c r="H2262" s="89">
        <v>46182</v>
      </c>
      <c r="I2262" s="89">
        <v>46184</v>
      </c>
      <c r="N2262" t="s">
        <v>3440</v>
      </c>
    </row>
    <row r="2263" spans="1:14" hidden="1" x14ac:dyDescent="0.25">
      <c r="A2263" t="s">
        <v>1318</v>
      </c>
      <c r="B2263" t="s">
        <v>1332</v>
      </c>
      <c r="C2263" t="s">
        <v>3472</v>
      </c>
      <c r="D2263" t="s">
        <v>21</v>
      </c>
      <c r="F2263">
        <v>78</v>
      </c>
      <c r="G2263" t="s">
        <v>1419</v>
      </c>
      <c r="H2263" s="89">
        <v>46182</v>
      </c>
      <c r="I2263" s="89">
        <v>46184</v>
      </c>
      <c r="N2263" t="s">
        <v>3440</v>
      </c>
    </row>
    <row r="2264" spans="1:14" hidden="1" x14ac:dyDescent="0.25">
      <c r="A2264" t="s">
        <v>1323</v>
      </c>
      <c r="B2264" t="s">
        <v>1337</v>
      </c>
      <c r="C2264" t="s">
        <v>3473</v>
      </c>
      <c r="D2264" t="s">
        <v>20</v>
      </c>
      <c r="F2264">
        <v>918</v>
      </c>
      <c r="G2264">
        <v>17</v>
      </c>
      <c r="H2264" s="89">
        <v>46182</v>
      </c>
      <c r="I2264" s="89">
        <v>46185</v>
      </c>
      <c r="J2264" t="s">
        <v>3474</v>
      </c>
      <c r="N2264" t="s">
        <v>3440</v>
      </c>
    </row>
    <row r="2265" spans="1:14" hidden="1" x14ac:dyDescent="0.25">
      <c r="A2265" t="s">
        <v>1322</v>
      </c>
      <c r="B2265" t="s">
        <v>1336</v>
      </c>
      <c r="C2265" t="s">
        <v>3473</v>
      </c>
      <c r="D2265" t="s">
        <v>20</v>
      </c>
      <c r="F2265">
        <v>162</v>
      </c>
      <c r="G2265">
        <v>3</v>
      </c>
      <c r="H2265" s="89">
        <v>46182</v>
      </c>
      <c r="I2265" s="89">
        <v>46185</v>
      </c>
      <c r="J2265" t="s">
        <v>3474</v>
      </c>
      <c r="N2265" t="s">
        <v>3440</v>
      </c>
    </row>
    <row r="2266" spans="1:14" hidden="1" x14ac:dyDescent="0.25">
      <c r="A2266" t="s">
        <v>1315</v>
      </c>
      <c r="B2266" t="s">
        <v>1329</v>
      </c>
      <c r="C2266" t="s">
        <v>3473</v>
      </c>
      <c r="D2266" t="s">
        <v>20</v>
      </c>
      <c r="F2266">
        <v>108</v>
      </c>
      <c r="G2266" t="s">
        <v>1419</v>
      </c>
      <c r="H2266" s="89">
        <v>46182</v>
      </c>
      <c r="I2266" s="89">
        <v>46186</v>
      </c>
      <c r="N2266" t="s">
        <v>3440</v>
      </c>
    </row>
    <row r="2267" spans="1:14" hidden="1" x14ac:dyDescent="0.25">
      <c r="A2267" t="s">
        <v>1316</v>
      </c>
      <c r="B2267" t="s">
        <v>1330</v>
      </c>
      <c r="C2267" t="s">
        <v>3475</v>
      </c>
      <c r="D2267" t="s">
        <v>20</v>
      </c>
      <c r="F2267">
        <v>85</v>
      </c>
      <c r="G2267" t="s">
        <v>1419</v>
      </c>
      <c r="H2267" s="89">
        <v>46182</v>
      </c>
      <c r="I2267" s="89">
        <v>46184</v>
      </c>
      <c r="N2267" t="s">
        <v>3440</v>
      </c>
    </row>
    <row r="2268" spans="1:14" hidden="1" x14ac:dyDescent="0.25">
      <c r="A2268" t="s">
        <v>1317</v>
      </c>
      <c r="B2268" t="s">
        <v>1331</v>
      </c>
      <c r="C2268" t="s">
        <v>3476</v>
      </c>
      <c r="D2268" t="s">
        <v>20</v>
      </c>
      <c r="F2268">
        <v>7</v>
      </c>
      <c r="G2268" t="s">
        <v>1419</v>
      </c>
      <c r="H2268" s="89">
        <v>46182</v>
      </c>
      <c r="I2268" s="89">
        <v>46184</v>
      </c>
      <c r="N2268" t="s">
        <v>3440</v>
      </c>
    </row>
    <row r="2269" spans="1:14" hidden="1" x14ac:dyDescent="0.25">
      <c r="A2269" t="s">
        <v>1318</v>
      </c>
      <c r="B2269" t="s">
        <v>1332</v>
      </c>
      <c r="C2269" t="s">
        <v>3477</v>
      </c>
      <c r="D2269" t="s">
        <v>20</v>
      </c>
      <c r="F2269">
        <v>48</v>
      </c>
      <c r="G2269" t="s">
        <v>1419</v>
      </c>
      <c r="H2269" s="89">
        <v>46182</v>
      </c>
      <c r="I2269" s="89">
        <v>46184</v>
      </c>
      <c r="N2269" t="s">
        <v>3440</v>
      </c>
    </row>
    <row r="2270" spans="1:14" hidden="1" x14ac:dyDescent="0.25">
      <c r="A2270" t="s">
        <v>1324</v>
      </c>
      <c r="B2270" t="s">
        <v>1338</v>
      </c>
      <c r="C2270" t="s">
        <v>3478</v>
      </c>
      <c r="D2270" t="s">
        <v>23</v>
      </c>
      <c r="F2270">
        <v>960</v>
      </c>
      <c r="G2270">
        <v>20</v>
      </c>
      <c r="H2270" s="89">
        <v>46183</v>
      </c>
      <c r="I2270" s="89">
        <v>46190</v>
      </c>
      <c r="J2270" t="s">
        <v>3479</v>
      </c>
      <c r="N2270" t="s">
        <v>3440</v>
      </c>
    </row>
    <row r="2271" spans="1:14" hidden="1" x14ac:dyDescent="0.25">
      <c r="A2271" t="s">
        <v>1313</v>
      </c>
      <c r="B2271" t="s">
        <v>1327</v>
      </c>
      <c r="C2271" t="s">
        <v>3480</v>
      </c>
      <c r="D2271" t="s">
        <v>15</v>
      </c>
      <c r="F2271">
        <v>1152</v>
      </c>
      <c r="G2271">
        <v>24</v>
      </c>
      <c r="H2271" s="89">
        <v>46183</v>
      </c>
      <c r="I2271" s="89">
        <v>46186</v>
      </c>
      <c r="J2271" t="s">
        <v>3481</v>
      </c>
      <c r="N2271" t="s">
        <v>3440</v>
      </c>
    </row>
    <row r="2272" spans="1:14" hidden="1" x14ac:dyDescent="0.25">
      <c r="A2272" t="s">
        <v>1313</v>
      </c>
      <c r="B2272" t="s">
        <v>1327</v>
      </c>
      <c r="C2272" t="s">
        <v>3480</v>
      </c>
      <c r="D2272" t="s">
        <v>15</v>
      </c>
      <c r="F2272">
        <v>144</v>
      </c>
      <c r="G2272">
        <v>3</v>
      </c>
      <c r="H2272" s="89">
        <v>46183</v>
      </c>
      <c r="I2272" s="89">
        <v>46187</v>
      </c>
      <c r="J2272" t="s">
        <v>3482</v>
      </c>
      <c r="N2272" t="s">
        <v>3440</v>
      </c>
    </row>
    <row r="2273" spans="1:14" hidden="1" x14ac:dyDescent="0.25">
      <c r="A2273" t="s">
        <v>1314</v>
      </c>
      <c r="B2273" t="s">
        <v>1328</v>
      </c>
      <c r="C2273" t="s">
        <v>3480</v>
      </c>
      <c r="D2273" t="s">
        <v>15</v>
      </c>
      <c r="F2273">
        <v>288</v>
      </c>
      <c r="G2273">
        <v>6</v>
      </c>
      <c r="H2273" s="89">
        <v>46183</v>
      </c>
      <c r="I2273" s="89">
        <v>46187</v>
      </c>
      <c r="J2273" t="s">
        <v>3483</v>
      </c>
      <c r="N2273" t="s">
        <v>3440</v>
      </c>
    </row>
    <row r="2274" spans="1:14" hidden="1" x14ac:dyDescent="0.25">
      <c r="A2274" t="s">
        <v>1315</v>
      </c>
      <c r="B2274" t="s">
        <v>1329</v>
      </c>
      <c r="C2274" t="s">
        <v>3480</v>
      </c>
      <c r="D2274" t="s">
        <v>15</v>
      </c>
      <c r="F2274">
        <v>46</v>
      </c>
      <c r="G2274" t="s">
        <v>1419</v>
      </c>
      <c r="H2274" s="89">
        <v>46183</v>
      </c>
      <c r="I2274" s="89">
        <v>46185</v>
      </c>
      <c r="N2274" t="s">
        <v>3440</v>
      </c>
    </row>
    <row r="2275" spans="1:14" hidden="1" x14ac:dyDescent="0.25">
      <c r="A2275" t="s">
        <v>1316</v>
      </c>
      <c r="B2275" t="s">
        <v>1330</v>
      </c>
      <c r="C2275" t="s">
        <v>3484</v>
      </c>
      <c r="D2275" t="s">
        <v>15</v>
      </c>
      <c r="F2275">
        <v>54</v>
      </c>
      <c r="G2275" t="s">
        <v>1419</v>
      </c>
      <c r="H2275" s="89">
        <v>46183</v>
      </c>
      <c r="I2275" s="89">
        <v>46185</v>
      </c>
      <c r="N2275" t="s">
        <v>3440</v>
      </c>
    </row>
    <row r="2276" spans="1:14" hidden="1" x14ac:dyDescent="0.25">
      <c r="A2276" t="s">
        <v>1317</v>
      </c>
      <c r="B2276" t="s">
        <v>1331</v>
      </c>
      <c r="C2276" t="s">
        <v>3485</v>
      </c>
      <c r="D2276" t="s">
        <v>15</v>
      </c>
      <c r="F2276">
        <v>23</v>
      </c>
      <c r="G2276" t="s">
        <v>1419</v>
      </c>
      <c r="H2276" s="89">
        <v>46183</v>
      </c>
      <c r="I2276" s="89">
        <v>46185</v>
      </c>
      <c r="N2276" t="s">
        <v>3440</v>
      </c>
    </row>
    <row r="2277" spans="1:14" hidden="1" x14ac:dyDescent="0.25">
      <c r="A2277" t="s">
        <v>1318</v>
      </c>
      <c r="B2277" t="s">
        <v>1332</v>
      </c>
      <c r="C2277" t="s">
        <v>3486</v>
      </c>
      <c r="D2277" t="s">
        <v>15</v>
      </c>
      <c r="F2277">
        <v>32</v>
      </c>
      <c r="G2277" t="s">
        <v>1419</v>
      </c>
      <c r="H2277" s="89">
        <v>46183</v>
      </c>
      <c r="I2277" s="89">
        <v>46185</v>
      </c>
      <c r="N2277" t="s">
        <v>3440</v>
      </c>
    </row>
    <row r="2278" spans="1:14" hidden="1" x14ac:dyDescent="0.25">
      <c r="A2278" t="s">
        <v>1320</v>
      </c>
      <c r="B2278" t="s">
        <v>1334</v>
      </c>
      <c r="C2278" t="s">
        <v>3487</v>
      </c>
      <c r="D2278" t="s">
        <v>21</v>
      </c>
      <c r="F2278">
        <v>960</v>
      </c>
      <c r="G2278">
        <v>20</v>
      </c>
      <c r="H2278" s="89">
        <v>46183</v>
      </c>
      <c r="I2278" s="89">
        <v>46188</v>
      </c>
      <c r="J2278" t="s">
        <v>3488</v>
      </c>
      <c r="N2278" t="s">
        <v>3440</v>
      </c>
    </row>
    <row r="2279" spans="1:14" hidden="1" x14ac:dyDescent="0.25">
      <c r="A2279" t="s">
        <v>1313</v>
      </c>
      <c r="B2279" t="s">
        <v>1327</v>
      </c>
      <c r="C2279" t="s">
        <v>3487</v>
      </c>
      <c r="D2279" t="s">
        <v>21</v>
      </c>
      <c r="F2279">
        <v>384</v>
      </c>
      <c r="G2279">
        <v>8</v>
      </c>
      <c r="H2279" s="89">
        <v>46183</v>
      </c>
      <c r="I2279" s="89">
        <v>46187</v>
      </c>
      <c r="J2279" t="s">
        <v>3482</v>
      </c>
      <c r="N2279" t="s">
        <v>3440</v>
      </c>
    </row>
    <row r="2280" spans="1:14" hidden="1" x14ac:dyDescent="0.25">
      <c r="A2280" t="s">
        <v>1315</v>
      </c>
      <c r="B2280" t="s">
        <v>1329</v>
      </c>
      <c r="C2280" t="s">
        <v>3487</v>
      </c>
      <c r="D2280" t="s">
        <v>21</v>
      </c>
      <c r="F2280">
        <v>96</v>
      </c>
      <c r="G2280" t="s">
        <v>1419</v>
      </c>
      <c r="H2280" s="89">
        <v>46183</v>
      </c>
      <c r="I2280" s="89">
        <v>46185</v>
      </c>
      <c r="N2280" t="s">
        <v>3440</v>
      </c>
    </row>
    <row r="2281" spans="1:14" hidden="1" x14ac:dyDescent="0.25">
      <c r="A2281" t="s">
        <v>1316</v>
      </c>
      <c r="B2281" t="s">
        <v>1330</v>
      </c>
      <c r="C2281" t="s">
        <v>3489</v>
      </c>
      <c r="D2281" t="s">
        <v>21</v>
      </c>
      <c r="F2281">
        <v>43</v>
      </c>
      <c r="G2281" t="s">
        <v>1419</v>
      </c>
      <c r="H2281" s="89">
        <v>46183</v>
      </c>
      <c r="I2281" s="89">
        <v>46185</v>
      </c>
      <c r="N2281" t="s">
        <v>3440</v>
      </c>
    </row>
    <row r="2282" spans="1:14" hidden="1" x14ac:dyDescent="0.25">
      <c r="A2282" t="s">
        <v>1317</v>
      </c>
      <c r="B2282" t="s">
        <v>1331</v>
      </c>
      <c r="C2282" t="s">
        <v>3490</v>
      </c>
      <c r="D2282" t="s">
        <v>21</v>
      </c>
      <c r="F2282">
        <v>7</v>
      </c>
      <c r="G2282" t="s">
        <v>1419</v>
      </c>
      <c r="H2282" s="89">
        <v>46183</v>
      </c>
      <c r="I2282" s="89">
        <v>46185</v>
      </c>
      <c r="N2282" t="s">
        <v>3440</v>
      </c>
    </row>
    <row r="2283" spans="1:14" hidden="1" x14ac:dyDescent="0.25">
      <c r="A2283" t="s">
        <v>1318</v>
      </c>
      <c r="B2283" t="s">
        <v>1332</v>
      </c>
      <c r="C2283" t="s">
        <v>3491</v>
      </c>
      <c r="D2283" t="s">
        <v>21</v>
      </c>
      <c r="F2283">
        <v>72</v>
      </c>
      <c r="G2283" t="s">
        <v>1419</v>
      </c>
      <c r="H2283" s="89">
        <v>46183</v>
      </c>
      <c r="I2283" s="89">
        <v>46185</v>
      </c>
      <c r="N2283" t="s">
        <v>3440</v>
      </c>
    </row>
    <row r="2284" spans="1:14" hidden="1" x14ac:dyDescent="0.25">
      <c r="A2284" t="s">
        <v>1313</v>
      </c>
      <c r="B2284" t="s">
        <v>1327</v>
      </c>
      <c r="C2284" t="s">
        <v>3492</v>
      </c>
      <c r="D2284" t="s">
        <v>20</v>
      </c>
      <c r="F2284">
        <v>1104</v>
      </c>
      <c r="G2284">
        <v>23</v>
      </c>
      <c r="H2284" s="89">
        <v>46183</v>
      </c>
      <c r="I2284" s="89">
        <v>46188</v>
      </c>
      <c r="J2284" t="s">
        <v>3493</v>
      </c>
      <c r="N2284" t="s">
        <v>3440</v>
      </c>
    </row>
    <row r="2285" spans="1:14" hidden="1" x14ac:dyDescent="0.25">
      <c r="A2285" t="s">
        <v>1319</v>
      </c>
      <c r="B2285" t="s">
        <v>1333</v>
      </c>
      <c r="C2285" t="s">
        <v>3492</v>
      </c>
      <c r="D2285" t="s">
        <v>20</v>
      </c>
      <c r="F2285">
        <v>48</v>
      </c>
      <c r="G2285">
        <v>1</v>
      </c>
      <c r="H2285" s="89">
        <v>46183</v>
      </c>
      <c r="I2285" s="89">
        <v>46188</v>
      </c>
      <c r="J2285" t="s">
        <v>3493</v>
      </c>
      <c r="N2285" t="s">
        <v>3440</v>
      </c>
    </row>
    <row r="2286" spans="1:14" hidden="1" x14ac:dyDescent="0.25">
      <c r="A2286" t="s">
        <v>1315</v>
      </c>
      <c r="B2286" t="s">
        <v>1329</v>
      </c>
      <c r="C2286" t="s">
        <v>3492</v>
      </c>
      <c r="D2286" t="s">
        <v>20</v>
      </c>
      <c r="F2286">
        <v>156</v>
      </c>
      <c r="G2286" t="s">
        <v>1419</v>
      </c>
      <c r="H2286" s="89">
        <v>46183</v>
      </c>
      <c r="I2286" s="89">
        <v>46185</v>
      </c>
      <c r="N2286" t="s">
        <v>3440</v>
      </c>
    </row>
    <row r="2287" spans="1:14" hidden="1" x14ac:dyDescent="0.25">
      <c r="A2287" t="s">
        <v>1316</v>
      </c>
      <c r="B2287" t="s">
        <v>1330</v>
      </c>
      <c r="C2287" t="s">
        <v>3494</v>
      </c>
      <c r="D2287" t="s">
        <v>20</v>
      </c>
      <c r="F2287">
        <v>105</v>
      </c>
      <c r="G2287" t="s">
        <v>1419</v>
      </c>
      <c r="H2287" s="89">
        <v>46183</v>
      </c>
      <c r="I2287" s="89">
        <v>46185</v>
      </c>
      <c r="N2287" t="s">
        <v>3440</v>
      </c>
    </row>
    <row r="2288" spans="1:14" hidden="1" x14ac:dyDescent="0.25">
      <c r="A2288" t="s">
        <v>1317</v>
      </c>
      <c r="B2288" t="s">
        <v>1331</v>
      </c>
      <c r="C2288" t="s">
        <v>3495</v>
      </c>
      <c r="D2288" t="s">
        <v>20</v>
      </c>
      <c r="F2288">
        <v>6</v>
      </c>
      <c r="G2288" t="s">
        <v>1419</v>
      </c>
      <c r="H2288" s="89">
        <v>46183</v>
      </c>
      <c r="I2288" s="89">
        <v>46185</v>
      </c>
      <c r="N2288" t="s">
        <v>3440</v>
      </c>
    </row>
    <row r="2289" spans="1:14" hidden="1" x14ac:dyDescent="0.25">
      <c r="A2289" t="s">
        <v>1318</v>
      </c>
      <c r="B2289" t="s">
        <v>1332</v>
      </c>
      <c r="C2289" t="s">
        <v>3496</v>
      </c>
      <c r="D2289" t="s">
        <v>20</v>
      </c>
      <c r="F2289">
        <v>65</v>
      </c>
      <c r="G2289" t="s">
        <v>1419</v>
      </c>
      <c r="H2289" s="89">
        <v>46183</v>
      </c>
      <c r="I2289" s="89">
        <v>46185</v>
      </c>
      <c r="N2289" t="s">
        <v>3440</v>
      </c>
    </row>
    <row r="2290" spans="1:14" hidden="1" x14ac:dyDescent="0.25">
      <c r="A2290" t="s">
        <v>1324</v>
      </c>
      <c r="B2290" t="s">
        <v>1338</v>
      </c>
      <c r="C2290" t="s">
        <v>3497</v>
      </c>
      <c r="D2290" t="s">
        <v>23</v>
      </c>
      <c r="F2290">
        <v>960</v>
      </c>
      <c r="G2290">
        <v>20</v>
      </c>
      <c r="H2290" s="89">
        <v>46184</v>
      </c>
      <c r="I2290" s="89">
        <v>46190</v>
      </c>
      <c r="J2290" t="s">
        <v>3479</v>
      </c>
      <c r="N2290" t="s">
        <v>3440</v>
      </c>
    </row>
    <row r="2291" spans="1:14" hidden="1" x14ac:dyDescent="0.25">
      <c r="A2291" t="s">
        <v>1320</v>
      </c>
      <c r="B2291" t="s">
        <v>1334</v>
      </c>
      <c r="C2291" t="s">
        <v>3498</v>
      </c>
      <c r="D2291" t="s">
        <v>150</v>
      </c>
      <c r="F2291">
        <v>960</v>
      </c>
      <c r="G2291">
        <v>20</v>
      </c>
      <c r="H2291" s="89">
        <v>46184</v>
      </c>
      <c r="I2291" s="89">
        <v>46189</v>
      </c>
      <c r="J2291" t="s">
        <v>3499</v>
      </c>
      <c r="N2291" t="s">
        <v>3440</v>
      </c>
    </row>
    <row r="2292" spans="1:14" hidden="1" x14ac:dyDescent="0.25">
      <c r="A2292" t="s">
        <v>1320</v>
      </c>
      <c r="B2292" t="s">
        <v>1334</v>
      </c>
      <c r="C2292" t="s">
        <v>3500</v>
      </c>
      <c r="D2292" t="s">
        <v>21</v>
      </c>
      <c r="F2292">
        <v>960</v>
      </c>
      <c r="G2292">
        <v>20</v>
      </c>
      <c r="H2292" s="89">
        <v>46184</v>
      </c>
      <c r="I2292" s="89">
        <v>46188</v>
      </c>
      <c r="J2292" t="s">
        <v>3501</v>
      </c>
      <c r="N2292" t="s">
        <v>3440</v>
      </c>
    </row>
    <row r="2293" spans="1:14" hidden="1" x14ac:dyDescent="0.25">
      <c r="A2293" t="s">
        <v>1313</v>
      </c>
      <c r="B2293" t="s">
        <v>1327</v>
      </c>
      <c r="C2293" t="s">
        <v>3500</v>
      </c>
      <c r="D2293" t="s">
        <v>21</v>
      </c>
      <c r="F2293">
        <v>432</v>
      </c>
      <c r="G2293">
        <v>9</v>
      </c>
      <c r="H2293" s="89">
        <v>46184</v>
      </c>
      <c r="I2293" s="89">
        <v>46189</v>
      </c>
      <c r="J2293" t="s">
        <v>3502</v>
      </c>
      <c r="N2293" t="s">
        <v>3440</v>
      </c>
    </row>
    <row r="2294" spans="1:14" hidden="1" x14ac:dyDescent="0.25">
      <c r="A2294" t="s">
        <v>1315</v>
      </c>
      <c r="B2294" t="s">
        <v>1329</v>
      </c>
      <c r="C2294" t="s">
        <v>3500</v>
      </c>
      <c r="D2294" t="s">
        <v>21</v>
      </c>
      <c r="F2294">
        <v>26</v>
      </c>
      <c r="G2294" t="s">
        <v>1419</v>
      </c>
      <c r="H2294" s="89">
        <v>46184</v>
      </c>
      <c r="I2294" s="89">
        <v>46186</v>
      </c>
      <c r="N2294" t="s">
        <v>3440</v>
      </c>
    </row>
    <row r="2295" spans="1:14" hidden="1" x14ac:dyDescent="0.25">
      <c r="A2295" t="s">
        <v>1316</v>
      </c>
      <c r="B2295" t="s">
        <v>1330</v>
      </c>
      <c r="C2295" t="s">
        <v>3503</v>
      </c>
      <c r="D2295" t="s">
        <v>21</v>
      </c>
      <c r="F2295">
        <v>23</v>
      </c>
      <c r="G2295" t="s">
        <v>1419</v>
      </c>
      <c r="H2295" s="89">
        <v>46184</v>
      </c>
      <c r="I2295" s="89">
        <v>46186</v>
      </c>
      <c r="N2295" t="s">
        <v>3440</v>
      </c>
    </row>
    <row r="2296" spans="1:14" hidden="1" x14ac:dyDescent="0.25">
      <c r="A2296" t="s">
        <v>1317</v>
      </c>
      <c r="B2296" t="s">
        <v>1331</v>
      </c>
      <c r="C2296" t="s">
        <v>3504</v>
      </c>
      <c r="D2296" t="s">
        <v>21</v>
      </c>
      <c r="F2296">
        <v>9</v>
      </c>
      <c r="G2296" t="s">
        <v>1419</v>
      </c>
      <c r="H2296" s="89">
        <v>46184</v>
      </c>
      <c r="I2296" s="89">
        <v>46186</v>
      </c>
      <c r="N2296" t="s">
        <v>3440</v>
      </c>
    </row>
    <row r="2297" spans="1:14" hidden="1" x14ac:dyDescent="0.25">
      <c r="A2297" t="s">
        <v>1318</v>
      </c>
      <c r="B2297" t="s">
        <v>1332</v>
      </c>
      <c r="C2297" t="s">
        <v>3505</v>
      </c>
      <c r="D2297" t="s">
        <v>21</v>
      </c>
      <c r="F2297">
        <v>18</v>
      </c>
      <c r="G2297" t="s">
        <v>1419</v>
      </c>
      <c r="H2297" s="89">
        <v>46184</v>
      </c>
      <c r="I2297" s="89">
        <v>46186</v>
      </c>
      <c r="N2297" t="s">
        <v>3440</v>
      </c>
    </row>
    <row r="2298" spans="1:14" hidden="1" x14ac:dyDescent="0.25">
      <c r="A2298" t="s">
        <v>1313</v>
      </c>
      <c r="B2298" t="s">
        <v>1327</v>
      </c>
      <c r="C2298" t="s">
        <v>3506</v>
      </c>
      <c r="D2298" t="s">
        <v>15</v>
      </c>
      <c r="F2298">
        <v>336</v>
      </c>
      <c r="G2298">
        <v>7</v>
      </c>
      <c r="H2298" s="89">
        <v>46184</v>
      </c>
      <c r="I2298" s="89">
        <v>46187</v>
      </c>
      <c r="J2298" t="s">
        <v>3482</v>
      </c>
      <c r="N2298" t="s">
        <v>3440</v>
      </c>
    </row>
    <row r="2299" spans="1:14" hidden="1" x14ac:dyDescent="0.25">
      <c r="A2299" t="s">
        <v>1313</v>
      </c>
      <c r="B2299" t="s">
        <v>1327</v>
      </c>
      <c r="C2299" t="s">
        <v>3506</v>
      </c>
      <c r="D2299" t="s">
        <v>15</v>
      </c>
      <c r="F2299">
        <v>1056</v>
      </c>
      <c r="G2299">
        <v>22</v>
      </c>
      <c r="H2299" s="89">
        <v>46184</v>
      </c>
      <c r="I2299" s="89">
        <v>46188</v>
      </c>
      <c r="J2299" t="s">
        <v>3507</v>
      </c>
      <c r="N2299" t="s">
        <v>3440</v>
      </c>
    </row>
    <row r="2300" spans="1:14" hidden="1" x14ac:dyDescent="0.25">
      <c r="A2300" t="s">
        <v>1314</v>
      </c>
      <c r="B2300" t="s">
        <v>1328</v>
      </c>
      <c r="C2300" t="s">
        <v>3506</v>
      </c>
      <c r="D2300" t="s">
        <v>15</v>
      </c>
      <c r="F2300">
        <v>96</v>
      </c>
      <c r="G2300">
        <v>2</v>
      </c>
      <c r="H2300" s="89">
        <v>46184</v>
      </c>
      <c r="I2300" s="89">
        <v>46188</v>
      </c>
      <c r="J2300" t="s">
        <v>3508</v>
      </c>
      <c r="N2300" t="s">
        <v>3440</v>
      </c>
    </row>
    <row r="2301" spans="1:14" hidden="1" x14ac:dyDescent="0.25">
      <c r="A2301" t="s">
        <v>1315</v>
      </c>
      <c r="B2301" t="s">
        <v>1329</v>
      </c>
      <c r="C2301" t="s">
        <v>3506</v>
      </c>
      <c r="D2301" t="s">
        <v>15</v>
      </c>
      <c r="F2301">
        <v>26</v>
      </c>
      <c r="G2301" t="s">
        <v>1419</v>
      </c>
      <c r="H2301" s="89">
        <v>46184</v>
      </c>
      <c r="I2301" s="89">
        <v>46186</v>
      </c>
      <c r="N2301" t="s">
        <v>3440</v>
      </c>
    </row>
    <row r="2302" spans="1:14" hidden="1" x14ac:dyDescent="0.25">
      <c r="A2302" t="s">
        <v>1316</v>
      </c>
      <c r="B2302" t="s">
        <v>1330</v>
      </c>
      <c r="C2302" t="s">
        <v>3509</v>
      </c>
      <c r="D2302" t="s">
        <v>15</v>
      </c>
      <c r="F2302">
        <v>61</v>
      </c>
      <c r="G2302" t="s">
        <v>1419</v>
      </c>
      <c r="H2302" s="89">
        <v>46184</v>
      </c>
      <c r="I2302" s="89">
        <v>46186</v>
      </c>
      <c r="N2302" t="s">
        <v>3440</v>
      </c>
    </row>
    <row r="2303" spans="1:14" hidden="1" x14ac:dyDescent="0.25">
      <c r="A2303" t="s">
        <v>1317</v>
      </c>
      <c r="B2303" t="s">
        <v>1331</v>
      </c>
      <c r="C2303" t="s">
        <v>3510</v>
      </c>
      <c r="D2303" t="s">
        <v>15</v>
      </c>
      <c r="F2303">
        <v>22</v>
      </c>
      <c r="G2303" t="s">
        <v>1419</v>
      </c>
      <c r="H2303" s="89">
        <v>46184</v>
      </c>
      <c r="I2303" s="89">
        <v>46186</v>
      </c>
      <c r="N2303" t="s">
        <v>3440</v>
      </c>
    </row>
    <row r="2304" spans="1:14" hidden="1" x14ac:dyDescent="0.25">
      <c r="A2304" t="s">
        <v>1318</v>
      </c>
      <c r="B2304" t="s">
        <v>1332</v>
      </c>
      <c r="C2304" t="s">
        <v>3511</v>
      </c>
      <c r="D2304" t="s">
        <v>15</v>
      </c>
      <c r="F2304">
        <v>34</v>
      </c>
      <c r="G2304" t="s">
        <v>1419</v>
      </c>
      <c r="H2304" s="89">
        <v>46184</v>
      </c>
      <c r="I2304" s="89">
        <v>46186</v>
      </c>
      <c r="N2304" t="s">
        <v>3440</v>
      </c>
    </row>
    <row r="2305" spans="1:14" hidden="1" x14ac:dyDescent="0.25">
      <c r="A2305" t="s">
        <v>1313</v>
      </c>
      <c r="B2305" t="s">
        <v>1327</v>
      </c>
      <c r="C2305" t="s">
        <v>3512</v>
      </c>
      <c r="D2305" t="s">
        <v>20</v>
      </c>
      <c r="F2305">
        <v>1152</v>
      </c>
      <c r="G2305">
        <v>24</v>
      </c>
      <c r="H2305" s="89">
        <v>46184</v>
      </c>
      <c r="I2305" s="89">
        <v>46189</v>
      </c>
      <c r="J2305" t="s">
        <v>3513</v>
      </c>
      <c r="N2305" t="s">
        <v>3440</v>
      </c>
    </row>
    <row r="2306" spans="1:14" hidden="1" x14ac:dyDescent="0.25">
      <c r="A2306" t="s">
        <v>1315</v>
      </c>
      <c r="B2306" t="s">
        <v>1329</v>
      </c>
      <c r="C2306" t="s">
        <v>3512</v>
      </c>
      <c r="D2306" t="s">
        <v>20</v>
      </c>
      <c r="F2306">
        <v>117</v>
      </c>
      <c r="G2306" t="s">
        <v>1419</v>
      </c>
      <c r="H2306" s="89">
        <v>46184</v>
      </c>
      <c r="I2306" s="89">
        <v>46186</v>
      </c>
      <c r="N2306" t="s">
        <v>3440</v>
      </c>
    </row>
    <row r="2307" spans="1:14" hidden="1" x14ac:dyDescent="0.25">
      <c r="A2307" t="s">
        <v>1316</v>
      </c>
      <c r="B2307" t="s">
        <v>1330</v>
      </c>
      <c r="C2307" t="s">
        <v>3514</v>
      </c>
      <c r="D2307" t="s">
        <v>20</v>
      </c>
      <c r="F2307">
        <v>70</v>
      </c>
      <c r="G2307" t="s">
        <v>1419</v>
      </c>
      <c r="H2307" s="89">
        <v>46184</v>
      </c>
      <c r="I2307" s="89">
        <v>46186</v>
      </c>
      <c r="N2307" t="s">
        <v>3440</v>
      </c>
    </row>
    <row r="2308" spans="1:14" hidden="1" x14ac:dyDescent="0.25">
      <c r="A2308" t="s">
        <v>1317</v>
      </c>
      <c r="B2308" t="s">
        <v>1331</v>
      </c>
      <c r="C2308" t="s">
        <v>3515</v>
      </c>
      <c r="D2308" t="s">
        <v>20</v>
      </c>
      <c r="F2308">
        <v>6</v>
      </c>
      <c r="G2308" t="s">
        <v>1419</v>
      </c>
      <c r="H2308" s="89">
        <v>46184</v>
      </c>
      <c r="I2308" s="89">
        <v>46186</v>
      </c>
      <c r="N2308" t="s">
        <v>3440</v>
      </c>
    </row>
    <row r="2309" spans="1:14" hidden="1" x14ac:dyDescent="0.25">
      <c r="A2309" t="s">
        <v>1318</v>
      </c>
      <c r="B2309" t="s">
        <v>1332</v>
      </c>
      <c r="C2309" t="s">
        <v>3516</v>
      </c>
      <c r="D2309" t="s">
        <v>20</v>
      </c>
      <c r="F2309">
        <v>44</v>
      </c>
      <c r="G2309" t="s">
        <v>1419</v>
      </c>
      <c r="H2309" s="89">
        <v>46184</v>
      </c>
      <c r="I2309" s="89">
        <v>46186</v>
      </c>
      <c r="N2309" t="s">
        <v>3440</v>
      </c>
    </row>
    <row r="2310" spans="1:14" hidden="1" x14ac:dyDescent="0.25">
      <c r="A2310" t="s">
        <v>1325</v>
      </c>
      <c r="B2310" t="s">
        <v>1339</v>
      </c>
      <c r="C2310" t="s">
        <v>3517</v>
      </c>
      <c r="D2310" t="s">
        <v>32</v>
      </c>
      <c r="F2310">
        <v>840</v>
      </c>
      <c r="G2310">
        <v>20</v>
      </c>
      <c r="H2310" s="89">
        <v>46185</v>
      </c>
      <c r="I2310" s="89">
        <v>46189</v>
      </c>
      <c r="N2310" t="s">
        <v>3440</v>
      </c>
    </row>
    <row r="2311" spans="1:14" hidden="1" x14ac:dyDescent="0.25">
      <c r="A2311" t="s">
        <v>1324</v>
      </c>
      <c r="B2311" t="s">
        <v>1338</v>
      </c>
      <c r="C2311" t="s">
        <v>3518</v>
      </c>
      <c r="D2311" t="s">
        <v>23</v>
      </c>
      <c r="F2311">
        <v>960</v>
      </c>
      <c r="G2311">
        <v>20</v>
      </c>
      <c r="H2311" s="89">
        <v>46185</v>
      </c>
      <c r="I2311" s="89">
        <v>46193</v>
      </c>
      <c r="J2311" t="s">
        <v>3519</v>
      </c>
      <c r="N2311" t="s">
        <v>3440</v>
      </c>
    </row>
    <row r="2312" spans="1:14" hidden="1" x14ac:dyDescent="0.25">
      <c r="A2312" t="s">
        <v>1324</v>
      </c>
      <c r="B2312" t="s">
        <v>1338</v>
      </c>
      <c r="C2312" t="s">
        <v>3520</v>
      </c>
      <c r="D2312" t="s">
        <v>150</v>
      </c>
      <c r="F2312">
        <v>960</v>
      </c>
      <c r="G2312">
        <v>20</v>
      </c>
      <c r="H2312" s="89">
        <v>46185</v>
      </c>
      <c r="I2312" s="89">
        <v>46193</v>
      </c>
      <c r="J2312" t="s">
        <v>3519</v>
      </c>
      <c r="N2312" t="s">
        <v>3440</v>
      </c>
    </row>
    <row r="2313" spans="1:14" hidden="1" x14ac:dyDescent="0.25">
      <c r="A2313" t="s">
        <v>1320</v>
      </c>
      <c r="B2313" t="s">
        <v>1334</v>
      </c>
      <c r="C2313" t="s">
        <v>3521</v>
      </c>
      <c r="D2313" t="s">
        <v>28</v>
      </c>
      <c r="F2313">
        <v>960</v>
      </c>
      <c r="G2313">
        <v>20</v>
      </c>
      <c r="H2313" s="89">
        <v>46185</v>
      </c>
      <c r="I2313" s="89">
        <v>46189</v>
      </c>
      <c r="J2313" t="s">
        <v>3522</v>
      </c>
      <c r="N2313" t="s">
        <v>3440</v>
      </c>
    </row>
    <row r="2314" spans="1:14" hidden="1" x14ac:dyDescent="0.25">
      <c r="A2314" t="s">
        <v>1320</v>
      </c>
      <c r="B2314" t="s">
        <v>1334</v>
      </c>
      <c r="C2314" t="s">
        <v>3521</v>
      </c>
      <c r="D2314" t="s">
        <v>28</v>
      </c>
      <c r="F2314">
        <v>240</v>
      </c>
      <c r="G2314">
        <v>5</v>
      </c>
      <c r="H2314" s="89">
        <v>46185</v>
      </c>
      <c r="I2314" s="89">
        <v>46190</v>
      </c>
      <c r="J2314" t="s">
        <v>3523</v>
      </c>
      <c r="N2314" t="s">
        <v>3440</v>
      </c>
    </row>
    <row r="2315" spans="1:14" hidden="1" x14ac:dyDescent="0.25">
      <c r="A2315" t="s">
        <v>1313</v>
      </c>
      <c r="B2315" t="s">
        <v>1327</v>
      </c>
      <c r="C2315" t="s">
        <v>3521</v>
      </c>
      <c r="D2315" t="s">
        <v>28</v>
      </c>
      <c r="F2315">
        <v>384</v>
      </c>
      <c r="G2315">
        <v>8</v>
      </c>
      <c r="H2315" s="89">
        <v>46185</v>
      </c>
      <c r="I2315" s="89">
        <v>46191</v>
      </c>
      <c r="J2315" t="s">
        <v>3524</v>
      </c>
      <c r="N2315" t="s">
        <v>3440</v>
      </c>
    </row>
    <row r="2316" spans="1:14" hidden="1" x14ac:dyDescent="0.25">
      <c r="A2316" t="s">
        <v>1315</v>
      </c>
      <c r="B2316" t="s">
        <v>1329</v>
      </c>
      <c r="C2316" t="s">
        <v>3521</v>
      </c>
      <c r="D2316" t="s">
        <v>28</v>
      </c>
      <c r="F2316">
        <v>5</v>
      </c>
      <c r="G2316" t="s">
        <v>1419</v>
      </c>
      <c r="H2316" s="89">
        <v>46185</v>
      </c>
      <c r="I2316" s="89">
        <v>46187</v>
      </c>
      <c r="N2316" t="s">
        <v>3440</v>
      </c>
    </row>
    <row r="2317" spans="1:14" hidden="1" x14ac:dyDescent="0.25">
      <c r="A2317" t="s">
        <v>1316</v>
      </c>
      <c r="B2317" t="s">
        <v>1330</v>
      </c>
      <c r="C2317" t="s">
        <v>3525</v>
      </c>
      <c r="D2317" t="s">
        <v>28</v>
      </c>
      <c r="F2317">
        <v>30</v>
      </c>
      <c r="G2317" t="s">
        <v>1419</v>
      </c>
      <c r="H2317" s="89">
        <v>46185</v>
      </c>
      <c r="I2317" s="89">
        <v>46187</v>
      </c>
      <c r="N2317" t="s">
        <v>3440</v>
      </c>
    </row>
    <row r="2318" spans="1:14" hidden="1" x14ac:dyDescent="0.25">
      <c r="A2318" t="s">
        <v>1317</v>
      </c>
      <c r="B2318" t="s">
        <v>1331</v>
      </c>
      <c r="C2318" t="s">
        <v>3526</v>
      </c>
      <c r="D2318" t="s">
        <v>28</v>
      </c>
      <c r="F2318">
        <v>0</v>
      </c>
      <c r="G2318" t="s">
        <v>1419</v>
      </c>
      <c r="H2318" s="89">
        <v>46185</v>
      </c>
      <c r="I2318" s="89">
        <v>46187</v>
      </c>
      <c r="N2318" t="s">
        <v>3440</v>
      </c>
    </row>
    <row r="2319" spans="1:14" hidden="1" x14ac:dyDescent="0.25">
      <c r="A2319" t="s">
        <v>1318</v>
      </c>
      <c r="B2319" t="s">
        <v>1332</v>
      </c>
      <c r="C2319" t="s">
        <v>3527</v>
      </c>
      <c r="D2319" t="s">
        <v>28</v>
      </c>
      <c r="F2319">
        <v>77</v>
      </c>
      <c r="G2319" t="s">
        <v>1419</v>
      </c>
      <c r="H2319" s="89">
        <v>46185</v>
      </c>
      <c r="I2319" s="89">
        <v>46187</v>
      </c>
      <c r="N2319" t="s">
        <v>3440</v>
      </c>
    </row>
    <row r="2320" spans="1:14" hidden="1" x14ac:dyDescent="0.25">
      <c r="A2320" t="s">
        <v>1313</v>
      </c>
      <c r="B2320" t="s">
        <v>1327</v>
      </c>
      <c r="C2320" t="s">
        <v>3528</v>
      </c>
      <c r="D2320" t="s">
        <v>15</v>
      </c>
      <c r="F2320">
        <v>432</v>
      </c>
      <c r="G2320">
        <v>9</v>
      </c>
      <c r="H2320" s="89">
        <v>46185</v>
      </c>
      <c r="I2320" s="89">
        <v>46189</v>
      </c>
      <c r="J2320" t="s">
        <v>3502</v>
      </c>
      <c r="N2320" t="s">
        <v>3440</v>
      </c>
    </row>
    <row r="2321" spans="1:14" hidden="1" x14ac:dyDescent="0.25">
      <c r="A2321" t="s">
        <v>1314</v>
      </c>
      <c r="B2321" t="s">
        <v>1328</v>
      </c>
      <c r="C2321" t="s">
        <v>3528</v>
      </c>
      <c r="D2321" t="s">
        <v>15</v>
      </c>
      <c r="F2321">
        <v>288</v>
      </c>
      <c r="G2321">
        <v>6</v>
      </c>
      <c r="H2321" s="89">
        <v>46185</v>
      </c>
      <c r="I2321" s="89">
        <v>46189</v>
      </c>
      <c r="J2321" t="s">
        <v>3529</v>
      </c>
      <c r="N2321" t="s">
        <v>3440</v>
      </c>
    </row>
    <row r="2322" spans="1:14" hidden="1" x14ac:dyDescent="0.25">
      <c r="A2322" t="s">
        <v>1320</v>
      </c>
      <c r="B2322" t="s">
        <v>1334</v>
      </c>
      <c r="C2322" t="s">
        <v>3528</v>
      </c>
      <c r="D2322" t="s">
        <v>15</v>
      </c>
      <c r="F2322">
        <v>720</v>
      </c>
      <c r="G2322">
        <v>15</v>
      </c>
      <c r="H2322" s="89">
        <v>46185</v>
      </c>
      <c r="I2322" s="89">
        <v>46190</v>
      </c>
      <c r="J2322" t="s">
        <v>3523</v>
      </c>
      <c r="N2322" t="s">
        <v>3440</v>
      </c>
    </row>
    <row r="2323" spans="1:14" hidden="1" x14ac:dyDescent="0.25">
      <c r="A2323" t="s">
        <v>1315</v>
      </c>
      <c r="B2323" t="s">
        <v>1329</v>
      </c>
      <c r="C2323" t="s">
        <v>3528</v>
      </c>
      <c r="D2323" t="s">
        <v>15</v>
      </c>
      <c r="F2323">
        <v>9</v>
      </c>
      <c r="G2323" t="s">
        <v>1419</v>
      </c>
      <c r="H2323" s="89">
        <v>46185</v>
      </c>
      <c r="I2323" s="89">
        <v>46187</v>
      </c>
      <c r="N2323" t="s">
        <v>3440</v>
      </c>
    </row>
    <row r="2324" spans="1:14" hidden="1" x14ac:dyDescent="0.25">
      <c r="A2324" t="s">
        <v>1316</v>
      </c>
      <c r="B2324" t="s">
        <v>1330</v>
      </c>
      <c r="C2324" t="s">
        <v>3530</v>
      </c>
      <c r="D2324" t="s">
        <v>15</v>
      </c>
      <c r="F2324">
        <v>40</v>
      </c>
      <c r="G2324" t="s">
        <v>1419</v>
      </c>
      <c r="H2324" s="89">
        <v>46185</v>
      </c>
      <c r="I2324" s="89">
        <v>46187</v>
      </c>
      <c r="N2324" t="s">
        <v>3440</v>
      </c>
    </row>
    <row r="2325" spans="1:14" hidden="1" x14ac:dyDescent="0.25">
      <c r="A2325" t="s">
        <v>1317</v>
      </c>
      <c r="B2325" t="s">
        <v>1331</v>
      </c>
      <c r="C2325" t="s">
        <v>3531</v>
      </c>
      <c r="D2325" t="s">
        <v>15</v>
      </c>
      <c r="F2325">
        <v>15</v>
      </c>
      <c r="G2325" t="s">
        <v>1419</v>
      </c>
      <c r="H2325" s="89">
        <v>46185</v>
      </c>
      <c r="I2325" s="89">
        <v>46187</v>
      </c>
      <c r="N2325" t="s">
        <v>3440</v>
      </c>
    </row>
    <row r="2326" spans="1:14" hidden="1" x14ac:dyDescent="0.25">
      <c r="A2326" t="s">
        <v>1318</v>
      </c>
      <c r="B2326" t="s">
        <v>1332</v>
      </c>
      <c r="C2326" t="s">
        <v>3532</v>
      </c>
      <c r="D2326" t="s">
        <v>15</v>
      </c>
      <c r="F2326">
        <v>35</v>
      </c>
      <c r="G2326" t="s">
        <v>1419</v>
      </c>
      <c r="H2326" s="89">
        <v>46185</v>
      </c>
      <c r="I2326" s="89">
        <v>46187</v>
      </c>
      <c r="N2326" t="s">
        <v>3440</v>
      </c>
    </row>
    <row r="2327" spans="1:14" hidden="1" x14ac:dyDescent="0.25">
      <c r="A2327" t="s">
        <v>1313</v>
      </c>
      <c r="B2327" t="s">
        <v>1327</v>
      </c>
      <c r="C2327" t="s">
        <v>3533</v>
      </c>
      <c r="D2327" t="s">
        <v>20</v>
      </c>
      <c r="F2327">
        <v>1056</v>
      </c>
      <c r="G2327">
        <v>22</v>
      </c>
      <c r="H2327" s="89">
        <v>46185</v>
      </c>
      <c r="I2327" s="89">
        <v>46190</v>
      </c>
      <c r="J2327" t="s">
        <v>3534</v>
      </c>
      <c r="N2327" t="s">
        <v>3440</v>
      </c>
    </row>
    <row r="2328" spans="1:14" hidden="1" x14ac:dyDescent="0.25">
      <c r="A2328" t="s">
        <v>1315</v>
      </c>
      <c r="B2328" t="s">
        <v>1329</v>
      </c>
      <c r="C2328" t="s">
        <v>3533</v>
      </c>
      <c r="D2328" t="s">
        <v>20</v>
      </c>
      <c r="F2328">
        <v>70</v>
      </c>
      <c r="G2328" t="s">
        <v>1419</v>
      </c>
      <c r="H2328" s="89">
        <v>46185</v>
      </c>
      <c r="I2328" s="89">
        <v>46187</v>
      </c>
      <c r="N2328" t="s">
        <v>3440</v>
      </c>
    </row>
    <row r="2329" spans="1:14" hidden="1" x14ac:dyDescent="0.25">
      <c r="A2329" t="s">
        <v>1316</v>
      </c>
      <c r="B2329" t="s">
        <v>1330</v>
      </c>
      <c r="C2329" t="s">
        <v>3535</v>
      </c>
      <c r="D2329" t="s">
        <v>20</v>
      </c>
      <c r="F2329">
        <v>102</v>
      </c>
      <c r="G2329" t="s">
        <v>1419</v>
      </c>
      <c r="H2329" s="89">
        <v>46185</v>
      </c>
      <c r="I2329" s="89">
        <v>46187</v>
      </c>
      <c r="N2329" t="s">
        <v>3440</v>
      </c>
    </row>
    <row r="2330" spans="1:14" hidden="1" x14ac:dyDescent="0.25">
      <c r="A2330" t="s">
        <v>1317</v>
      </c>
      <c r="B2330" t="s">
        <v>1331</v>
      </c>
      <c r="C2330" t="s">
        <v>3536</v>
      </c>
      <c r="D2330" t="s">
        <v>20</v>
      </c>
      <c r="F2330">
        <v>23</v>
      </c>
      <c r="G2330" t="s">
        <v>1419</v>
      </c>
      <c r="H2330" s="89">
        <v>46185</v>
      </c>
      <c r="I2330" s="89">
        <v>46187</v>
      </c>
      <c r="N2330" t="s">
        <v>3440</v>
      </c>
    </row>
    <row r="2331" spans="1:14" hidden="1" x14ac:dyDescent="0.25">
      <c r="A2331" t="s">
        <v>1318</v>
      </c>
      <c r="B2331" t="s">
        <v>1332</v>
      </c>
      <c r="C2331" t="s">
        <v>3537</v>
      </c>
      <c r="D2331" t="s">
        <v>20</v>
      </c>
      <c r="F2331">
        <v>55</v>
      </c>
      <c r="G2331" t="s">
        <v>1419</v>
      </c>
      <c r="H2331" s="89">
        <v>46185</v>
      </c>
      <c r="I2331" s="89">
        <v>46187</v>
      </c>
      <c r="N2331" t="s">
        <v>3440</v>
      </c>
    </row>
    <row r="2332" spans="1:14" hidden="1" x14ac:dyDescent="0.25">
      <c r="A2332" t="s">
        <v>1320</v>
      </c>
      <c r="B2332" t="s">
        <v>1334</v>
      </c>
      <c r="C2332" t="s">
        <v>3538</v>
      </c>
      <c r="D2332" t="s">
        <v>104</v>
      </c>
      <c r="F2332">
        <v>576</v>
      </c>
      <c r="G2332">
        <v>12</v>
      </c>
      <c r="H2332" s="89">
        <v>46186</v>
      </c>
      <c r="I2332" s="89">
        <v>46190</v>
      </c>
      <c r="J2332" t="s">
        <v>3539</v>
      </c>
      <c r="N2332" t="s">
        <v>3440</v>
      </c>
    </row>
    <row r="2333" spans="1:14" hidden="1" x14ac:dyDescent="0.25">
      <c r="A2333" t="s">
        <v>1320</v>
      </c>
      <c r="B2333" t="s">
        <v>1334</v>
      </c>
      <c r="C2333" t="s">
        <v>3540</v>
      </c>
      <c r="D2333" t="s">
        <v>106</v>
      </c>
      <c r="F2333">
        <v>384</v>
      </c>
      <c r="G2333">
        <v>8</v>
      </c>
      <c r="H2333" s="89">
        <v>46186</v>
      </c>
      <c r="I2333" s="89">
        <v>46190</v>
      </c>
      <c r="J2333" t="s">
        <v>3539</v>
      </c>
      <c r="N2333" t="s">
        <v>3440</v>
      </c>
    </row>
    <row r="2334" spans="1:14" hidden="1" x14ac:dyDescent="0.25">
      <c r="A2334" t="s">
        <v>1324</v>
      </c>
      <c r="B2334" t="s">
        <v>1338</v>
      </c>
      <c r="C2334" t="s">
        <v>3541</v>
      </c>
      <c r="D2334" t="s">
        <v>21</v>
      </c>
      <c r="F2334">
        <v>960</v>
      </c>
      <c r="G2334">
        <v>20</v>
      </c>
      <c r="H2334" s="89">
        <v>46186</v>
      </c>
      <c r="I2334" s="89">
        <v>46195</v>
      </c>
      <c r="J2334" t="s">
        <v>3542</v>
      </c>
      <c r="N2334" t="s">
        <v>3440</v>
      </c>
    </row>
    <row r="2335" spans="1:14" hidden="1" x14ac:dyDescent="0.25">
      <c r="A2335" t="s">
        <v>1314</v>
      </c>
      <c r="B2335" t="s">
        <v>1328</v>
      </c>
      <c r="C2335" t="s">
        <v>3541</v>
      </c>
      <c r="D2335" t="s">
        <v>21</v>
      </c>
      <c r="F2335">
        <v>96</v>
      </c>
      <c r="G2335">
        <v>2</v>
      </c>
      <c r="H2335" s="89">
        <v>46186</v>
      </c>
      <c r="I2335" s="89">
        <v>46190</v>
      </c>
      <c r="J2335" t="s">
        <v>3543</v>
      </c>
      <c r="N2335" t="s">
        <v>3440</v>
      </c>
    </row>
    <row r="2336" spans="1:14" hidden="1" x14ac:dyDescent="0.25">
      <c r="A2336" t="s">
        <v>1315</v>
      </c>
      <c r="B2336" t="s">
        <v>1329</v>
      </c>
      <c r="C2336" t="s">
        <v>3541</v>
      </c>
      <c r="D2336" t="s">
        <v>21</v>
      </c>
      <c r="F2336">
        <v>135</v>
      </c>
      <c r="G2336" t="s">
        <v>1419</v>
      </c>
      <c r="H2336" s="89">
        <v>46186</v>
      </c>
      <c r="I2336" s="89">
        <v>46188</v>
      </c>
      <c r="N2336" t="s">
        <v>3440</v>
      </c>
    </row>
    <row r="2337" spans="1:14" hidden="1" x14ac:dyDescent="0.25">
      <c r="A2337" t="s">
        <v>1316</v>
      </c>
      <c r="B2337" t="s">
        <v>1330</v>
      </c>
      <c r="C2337" t="s">
        <v>3544</v>
      </c>
      <c r="D2337" t="s">
        <v>21</v>
      </c>
      <c r="F2337">
        <v>17</v>
      </c>
      <c r="G2337" t="s">
        <v>1419</v>
      </c>
      <c r="H2337" s="89">
        <v>46186</v>
      </c>
      <c r="I2337" s="89">
        <v>46188</v>
      </c>
      <c r="N2337" t="s">
        <v>3440</v>
      </c>
    </row>
    <row r="2338" spans="1:14" hidden="1" x14ac:dyDescent="0.25">
      <c r="A2338" t="s">
        <v>1317</v>
      </c>
      <c r="B2338" t="s">
        <v>1331</v>
      </c>
      <c r="C2338" t="s">
        <v>3545</v>
      </c>
      <c r="D2338" t="s">
        <v>21</v>
      </c>
      <c r="F2338">
        <v>12</v>
      </c>
      <c r="G2338" t="s">
        <v>1419</v>
      </c>
      <c r="H2338" s="89">
        <v>46186</v>
      </c>
      <c r="I2338" s="89">
        <v>46188</v>
      </c>
      <c r="N2338" t="s">
        <v>3440</v>
      </c>
    </row>
    <row r="2339" spans="1:14" hidden="1" x14ac:dyDescent="0.25">
      <c r="A2339" t="s">
        <v>1318</v>
      </c>
      <c r="B2339" t="s">
        <v>1332</v>
      </c>
      <c r="C2339" t="s">
        <v>3546</v>
      </c>
      <c r="D2339" t="s">
        <v>21</v>
      </c>
      <c r="F2339">
        <v>58</v>
      </c>
      <c r="G2339" t="s">
        <v>1419</v>
      </c>
      <c r="H2339" s="89">
        <v>46186</v>
      </c>
      <c r="I2339" s="89">
        <v>46188</v>
      </c>
      <c r="N2339" t="s">
        <v>3440</v>
      </c>
    </row>
    <row r="2340" spans="1:14" hidden="1" x14ac:dyDescent="0.25">
      <c r="B2340" t="s">
        <v>3547</v>
      </c>
      <c r="C2340" t="s">
        <v>1655</v>
      </c>
      <c r="D2340" t="s">
        <v>1656</v>
      </c>
      <c r="H2340" s="89">
        <v>6</v>
      </c>
      <c r="I2340" s="89">
        <v>5</v>
      </c>
      <c r="N2340" t="s">
        <v>3440</v>
      </c>
    </row>
    <row r="2341" spans="1:14" hidden="1" x14ac:dyDescent="0.25">
      <c r="A2341" t="s">
        <v>1324</v>
      </c>
      <c r="B2341" t="s">
        <v>1338</v>
      </c>
      <c r="C2341" t="s">
        <v>3548</v>
      </c>
      <c r="D2341" t="s">
        <v>13</v>
      </c>
      <c r="F2341">
        <v>960</v>
      </c>
      <c r="G2341">
        <v>20</v>
      </c>
      <c r="H2341" s="89">
        <v>46188</v>
      </c>
      <c r="I2341" s="89">
        <v>46195</v>
      </c>
      <c r="J2341" t="s">
        <v>3549</v>
      </c>
      <c r="N2341" t="s">
        <v>3550</v>
      </c>
    </row>
    <row r="2342" spans="1:14" hidden="1" x14ac:dyDescent="0.25">
      <c r="A2342" t="s">
        <v>1320</v>
      </c>
      <c r="B2342" t="s">
        <v>1334</v>
      </c>
      <c r="C2342" t="s">
        <v>3551</v>
      </c>
      <c r="D2342" t="s">
        <v>15</v>
      </c>
      <c r="F2342">
        <v>960</v>
      </c>
      <c r="G2342">
        <v>20</v>
      </c>
      <c r="H2342" s="89">
        <v>46188</v>
      </c>
      <c r="I2342" s="89">
        <v>46191</v>
      </c>
      <c r="J2342" t="s">
        <v>3552</v>
      </c>
      <c r="N2342" t="s">
        <v>3550</v>
      </c>
    </row>
    <row r="2343" spans="1:14" hidden="1" x14ac:dyDescent="0.25">
      <c r="A2343" t="s">
        <v>1314</v>
      </c>
      <c r="B2343" t="s">
        <v>1328</v>
      </c>
      <c r="C2343" t="s">
        <v>3551</v>
      </c>
      <c r="D2343" t="s">
        <v>15</v>
      </c>
      <c r="F2343">
        <v>288</v>
      </c>
      <c r="G2343">
        <v>6</v>
      </c>
      <c r="H2343" s="89">
        <v>46188</v>
      </c>
      <c r="I2343" s="89">
        <v>46191</v>
      </c>
      <c r="J2343" t="s">
        <v>3553</v>
      </c>
      <c r="N2343" t="s">
        <v>3550</v>
      </c>
    </row>
    <row r="2344" spans="1:14" hidden="1" x14ac:dyDescent="0.25">
      <c r="A2344" t="s">
        <v>1313</v>
      </c>
      <c r="B2344" t="s">
        <v>1327</v>
      </c>
      <c r="C2344" t="s">
        <v>3551</v>
      </c>
      <c r="D2344" t="s">
        <v>15</v>
      </c>
      <c r="F2344">
        <v>288</v>
      </c>
      <c r="G2344">
        <v>6</v>
      </c>
      <c r="H2344" s="89">
        <v>46188</v>
      </c>
      <c r="I2344" s="89">
        <v>46191</v>
      </c>
      <c r="J2344" t="s">
        <v>3524</v>
      </c>
      <c r="N2344" t="s">
        <v>3550</v>
      </c>
    </row>
    <row r="2345" spans="1:14" hidden="1" x14ac:dyDescent="0.25">
      <c r="A2345" t="s">
        <v>1315</v>
      </c>
      <c r="B2345" t="s">
        <v>1329</v>
      </c>
      <c r="C2345" t="s">
        <v>3551</v>
      </c>
      <c r="D2345" t="s">
        <v>15</v>
      </c>
      <c r="F2345">
        <v>8</v>
      </c>
      <c r="G2345" t="s">
        <v>1419</v>
      </c>
      <c r="H2345" s="89">
        <v>46188</v>
      </c>
      <c r="I2345" s="89">
        <v>46191</v>
      </c>
      <c r="J2345" t="s">
        <v>3549</v>
      </c>
      <c r="N2345" t="s">
        <v>3550</v>
      </c>
    </row>
    <row r="2346" spans="1:14" hidden="1" x14ac:dyDescent="0.25">
      <c r="A2346" t="s">
        <v>1316</v>
      </c>
      <c r="B2346" t="s">
        <v>1330</v>
      </c>
      <c r="C2346" t="s">
        <v>3554</v>
      </c>
      <c r="D2346" t="s">
        <v>15</v>
      </c>
      <c r="F2346">
        <v>82</v>
      </c>
      <c r="G2346" t="s">
        <v>1419</v>
      </c>
      <c r="H2346" s="89">
        <v>46188</v>
      </c>
      <c r="I2346" s="89">
        <v>46190</v>
      </c>
      <c r="J2346" t="s">
        <v>3549</v>
      </c>
      <c r="N2346" t="s">
        <v>3550</v>
      </c>
    </row>
    <row r="2347" spans="1:14" hidden="1" x14ac:dyDescent="0.25">
      <c r="A2347" t="s">
        <v>1317</v>
      </c>
      <c r="B2347" t="s">
        <v>1331</v>
      </c>
      <c r="C2347" t="s">
        <v>3555</v>
      </c>
      <c r="D2347" t="s">
        <v>15</v>
      </c>
      <c r="F2347">
        <v>24</v>
      </c>
      <c r="G2347" t="s">
        <v>1419</v>
      </c>
      <c r="H2347" s="89">
        <v>46188</v>
      </c>
      <c r="I2347" s="89">
        <v>46190</v>
      </c>
      <c r="J2347" t="s">
        <v>3549</v>
      </c>
      <c r="N2347" t="s">
        <v>3550</v>
      </c>
    </row>
    <row r="2348" spans="1:14" hidden="1" x14ac:dyDescent="0.25">
      <c r="A2348" t="s">
        <v>1318</v>
      </c>
      <c r="B2348" t="s">
        <v>1332</v>
      </c>
      <c r="C2348" t="s">
        <v>3556</v>
      </c>
      <c r="D2348" t="s">
        <v>15</v>
      </c>
      <c r="F2348">
        <v>17</v>
      </c>
      <c r="G2348" t="s">
        <v>1419</v>
      </c>
      <c r="H2348" s="89">
        <v>46188</v>
      </c>
      <c r="I2348" s="89">
        <v>46190</v>
      </c>
      <c r="J2348" t="s">
        <v>3549</v>
      </c>
      <c r="N2348" t="s">
        <v>3550</v>
      </c>
    </row>
    <row r="2349" spans="1:14" hidden="1" x14ac:dyDescent="0.25">
      <c r="A2349" t="s">
        <v>1313</v>
      </c>
      <c r="B2349" t="s">
        <v>1327</v>
      </c>
      <c r="C2349" t="s">
        <v>3557</v>
      </c>
      <c r="D2349" t="s">
        <v>20</v>
      </c>
      <c r="F2349">
        <v>192</v>
      </c>
      <c r="G2349">
        <v>4</v>
      </c>
      <c r="H2349" s="89">
        <v>46188</v>
      </c>
      <c r="I2349" s="89">
        <v>46191</v>
      </c>
      <c r="J2349" t="s">
        <v>3524</v>
      </c>
      <c r="N2349" t="s">
        <v>3550</v>
      </c>
    </row>
    <row r="2350" spans="1:14" hidden="1" x14ac:dyDescent="0.25">
      <c r="A2350" t="s">
        <v>1313</v>
      </c>
      <c r="B2350" t="s">
        <v>1327</v>
      </c>
      <c r="C2350" t="s">
        <v>3557</v>
      </c>
      <c r="D2350" t="s">
        <v>20</v>
      </c>
      <c r="F2350">
        <v>48</v>
      </c>
      <c r="G2350">
        <v>1</v>
      </c>
      <c r="H2350" s="89">
        <v>46188</v>
      </c>
      <c r="I2350" s="89">
        <v>46193</v>
      </c>
      <c r="J2350" t="s">
        <v>3558</v>
      </c>
      <c r="N2350" t="s">
        <v>3550</v>
      </c>
    </row>
    <row r="2351" spans="1:14" hidden="1" x14ac:dyDescent="0.25">
      <c r="A2351" t="s">
        <v>1320</v>
      </c>
      <c r="B2351" t="s">
        <v>1334</v>
      </c>
      <c r="C2351" t="s">
        <v>3557</v>
      </c>
      <c r="D2351" t="s">
        <v>20</v>
      </c>
      <c r="F2351">
        <v>960</v>
      </c>
      <c r="G2351">
        <v>20</v>
      </c>
      <c r="H2351" s="89">
        <v>46188</v>
      </c>
      <c r="I2351" s="89">
        <v>46191</v>
      </c>
      <c r="J2351" t="s">
        <v>3559</v>
      </c>
      <c r="N2351" t="s">
        <v>3550</v>
      </c>
    </row>
    <row r="2352" spans="1:14" hidden="1" x14ac:dyDescent="0.25">
      <c r="A2352" t="s">
        <v>1315</v>
      </c>
      <c r="B2352" t="s">
        <v>1329</v>
      </c>
      <c r="C2352" t="s">
        <v>3557</v>
      </c>
      <c r="D2352" t="s">
        <v>20</v>
      </c>
      <c r="F2352">
        <v>5</v>
      </c>
      <c r="G2352" t="s">
        <v>1419</v>
      </c>
      <c r="H2352" s="89">
        <v>46188</v>
      </c>
      <c r="I2352" s="89">
        <v>46191</v>
      </c>
      <c r="J2352" t="s">
        <v>3549</v>
      </c>
      <c r="N2352" t="s">
        <v>3550</v>
      </c>
    </row>
    <row r="2353" spans="1:14" hidden="1" x14ac:dyDescent="0.25">
      <c r="A2353" t="s">
        <v>1316</v>
      </c>
      <c r="B2353" t="s">
        <v>1330</v>
      </c>
      <c r="C2353" t="s">
        <v>3560</v>
      </c>
      <c r="D2353" t="s">
        <v>20</v>
      </c>
      <c r="F2353">
        <v>76</v>
      </c>
      <c r="G2353" t="s">
        <v>1419</v>
      </c>
      <c r="H2353" s="89">
        <v>46188</v>
      </c>
      <c r="I2353" s="89">
        <v>46190</v>
      </c>
      <c r="J2353" t="s">
        <v>3549</v>
      </c>
      <c r="N2353" t="s">
        <v>3550</v>
      </c>
    </row>
    <row r="2354" spans="1:14" hidden="1" x14ac:dyDescent="0.25">
      <c r="A2354" t="s">
        <v>1317</v>
      </c>
      <c r="B2354" t="s">
        <v>1331</v>
      </c>
      <c r="C2354" t="s">
        <v>3561</v>
      </c>
      <c r="D2354" t="s">
        <v>20</v>
      </c>
      <c r="F2354">
        <v>10</v>
      </c>
      <c r="G2354" t="s">
        <v>1419</v>
      </c>
      <c r="H2354" s="89">
        <v>46188</v>
      </c>
      <c r="I2354" s="89">
        <v>46190</v>
      </c>
      <c r="J2354" t="s">
        <v>3549</v>
      </c>
      <c r="N2354" t="s">
        <v>3550</v>
      </c>
    </row>
    <row r="2355" spans="1:14" hidden="1" x14ac:dyDescent="0.25">
      <c r="A2355" t="s">
        <v>1318</v>
      </c>
      <c r="B2355" t="s">
        <v>1332</v>
      </c>
      <c r="C2355" t="s">
        <v>3562</v>
      </c>
      <c r="D2355" t="s">
        <v>20</v>
      </c>
      <c r="F2355">
        <v>64</v>
      </c>
      <c r="G2355" t="s">
        <v>1419</v>
      </c>
      <c r="H2355" s="89">
        <v>46188</v>
      </c>
      <c r="I2355" s="89">
        <v>46190</v>
      </c>
      <c r="J2355" t="s">
        <v>3549</v>
      </c>
      <c r="N2355" t="s">
        <v>3550</v>
      </c>
    </row>
    <row r="2356" spans="1:14" hidden="1" x14ac:dyDescent="0.25">
      <c r="A2356" t="s">
        <v>1320</v>
      </c>
      <c r="B2356" t="s">
        <v>1334</v>
      </c>
      <c r="C2356" t="s">
        <v>3563</v>
      </c>
      <c r="D2356" t="s">
        <v>118</v>
      </c>
      <c r="F2356">
        <v>960</v>
      </c>
      <c r="G2356">
        <v>20</v>
      </c>
      <c r="H2356" s="89">
        <v>46189</v>
      </c>
      <c r="I2356" s="89">
        <v>46192</v>
      </c>
      <c r="J2356" t="s">
        <v>3564</v>
      </c>
      <c r="N2356" t="s">
        <v>3550</v>
      </c>
    </row>
    <row r="2357" spans="1:14" hidden="1" x14ac:dyDescent="0.25">
      <c r="A2357" t="s">
        <v>1324</v>
      </c>
      <c r="B2357" t="s">
        <v>1338</v>
      </c>
      <c r="C2357" t="s">
        <v>3565</v>
      </c>
      <c r="D2357" t="s">
        <v>106</v>
      </c>
      <c r="F2357">
        <v>960</v>
      </c>
      <c r="G2357">
        <v>20</v>
      </c>
      <c r="H2357" s="89">
        <v>46189</v>
      </c>
      <c r="I2357" s="89">
        <v>46195</v>
      </c>
      <c r="J2357" t="s">
        <v>3566</v>
      </c>
      <c r="N2357" t="s">
        <v>3550</v>
      </c>
    </row>
    <row r="2358" spans="1:14" hidden="1" x14ac:dyDescent="0.25">
      <c r="A2358" t="s">
        <v>1324</v>
      </c>
      <c r="B2358" t="s">
        <v>1338</v>
      </c>
      <c r="C2358" t="s">
        <v>3567</v>
      </c>
      <c r="D2358" t="s">
        <v>23</v>
      </c>
      <c r="F2358">
        <v>960</v>
      </c>
      <c r="G2358">
        <v>20</v>
      </c>
      <c r="H2358" s="89">
        <v>46189</v>
      </c>
      <c r="I2358" s="89">
        <v>46195</v>
      </c>
      <c r="J2358" t="s">
        <v>3566</v>
      </c>
      <c r="N2358" t="s">
        <v>3550</v>
      </c>
    </row>
    <row r="2359" spans="1:14" hidden="1" x14ac:dyDescent="0.25">
      <c r="A2359" t="s">
        <v>1313</v>
      </c>
      <c r="B2359" t="s">
        <v>1327</v>
      </c>
      <c r="C2359" t="s">
        <v>3568</v>
      </c>
      <c r="D2359" t="s">
        <v>21</v>
      </c>
      <c r="F2359">
        <v>1056</v>
      </c>
      <c r="G2359">
        <v>22</v>
      </c>
      <c r="H2359" s="89">
        <v>46189</v>
      </c>
      <c r="I2359" s="89">
        <v>46192</v>
      </c>
      <c r="J2359" t="s">
        <v>3569</v>
      </c>
      <c r="N2359" t="s">
        <v>3550</v>
      </c>
    </row>
    <row r="2360" spans="1:14" hidden="1" x14ac:dyDescent="0.25">
      <c r="A2360" t="s">
        <v>1314</v>
      </c>
      <c r="B2360" t="s">
        <v>1328</v>
      </c>
      <c r="C2360" t="s">
        <v>3568</v>
      </c>
      <c r="D2360" t="s">
        <v>21</v>
      </c>
      <c r="F2360">
        <v>96</v>
      </c>
      <c r="G2360">
        <v>2</v>
      </c>
      <c r="H2360" s="89">
        <v>46189</v>
      </c>
      <c r="I2360" s="89">
        <v>46192</v>
      </c>
      <c r="J2360" t="s">
        <v>3570</v>
      </c>
      <c r="N2360" t="s">
        <v>3550</v>
      </c>
    </row>
    <row r="2361" spans="1:14" hidden="1" x14ac:dyDescent="0.25">
      <c r="A2361" t="s">
        <v>1320</v>
      </c>
      <c r="B2361" t="s">
        <v>1334</v>
      </c>
      <c r="C2361" t="s">
        <v>3568</v>
      </c>
      <c r="D2361" t="s">
        <v>21</v>
      </c>
      <c r="F2361">
        <v>432</v>
      </c>
      <c r="G2361">
        <v>9</v>
      </c>
      <c r="H2361" s="89">
        <v>46189</v>
      </c>
      <c r="I2361" s="89">
        <v>46193</v>
      </c>
      <c r="J2361" t="s">
        <v>3571</v>
      </c>
      <c r="N2361" t="s">
        <v>3550</v>
      </c>
    </row>
    <row r="2362" spans="1:14" hidden="1" x14ac:dyDescent="0.25">
      <c r="A2362" t="s">
        <v>1315</v>
      </c>
      <c r="B2362" t="s">
        <v>1329</v>
      </c>
      <c r="C2362" t="s">
        <v>3568</v>
      </c>
      <c r="D2362" t="s">
        <v>21</v>
      </c>
      <c r="F2362">
        <v>48</v>
      </c>
      <c r="G2362" t="s">
        <v>1419</v>
      </c>
      <c r="H2362" s="89">
        <v>46189</v>
      </c>
      <c r="I2362" s="89">
        <v>46191</v>
      </c>
      <c r="J2362" t="s">
        <v>3549</v>
      </c>
      <c r="N2362" t="s">
        <v>3550</v>
      </c>
    </row>
    <row r="2363" spans="1:14" hidden="1" x14ac:dyDescent="0.25">
      <c r="A2363" t="s">
        <v>1316</v>
      </c>
      <c r="B2363" t="s">
        <v>1330</v>
      </c>
      <c r="C2363" t="s">
        <v>3572</v>
      </c>
      <c r="D2363" t="s">
        <v>21</v>
      </c>
      <c r="F2363">
        <v>35</v>
      </c>
      <c r="G2363" t="s">
        <v>1419</v>
      </c>
      <c r="H2363" s="89">
        <v>46189</v>
      </c>
      <c r="I2363" s="89">
        <v>46191</v>
      </c>
      <c r="J2363" t="s">
        <v>3549</v>
      </c>
      <c r="N2363" t="s">
        <v>3550</v>
      </c>
    </row>
    <row r="2364" spans="1:14" hidden="1" x14ac:dyDescent="0.25">
      <c r="A2364" t="s">
        <v>1317</v>
      </c>
      <c r="B2364" t="s">
        <v>1331</v>
      </c>
      <c r="C2364" t="s">
        <v>3573</v>
      </c>
      <c r="D2364" t="s">
        <v>21</v>
      </c>
      <c r="F2364">
        <v>5</v>
      </c>
      <c r="G2364" t="s">
        <v>1419</v>
      </c>
      <c r="H2364" s="89">
        <v>46189</v>
      </c>
      <c r="I2364" s="89">
        <v>46191</v>
      </c>
      <c r="J2364" t="s">
        <v>3549</v>
      </c>
      <c r="N2364" t="s">
        <v>3550</v>
      </c>
    </row>
    <row r="2365" spans="1:14" hidden="1" x14ac:dyDescent="0.25">
      <c r="A2365" t="s">
        <v>1318</v>
      </c>
      <c r="B2365" t="s">
        <v>1332</v>
      </c>
      <c r="C2365" t="s">
        <v>3574</v>
      </c>
      <c r="D2365" t="s">
        <v>21</v>
      </c>
      <c r="F2365">
        <v>79</v>
      </c>
      <c r="G2365" t="s">
        <v>1419</v>
      </c>
      <c r="H2365" s="89">
        <v>46189</v>
      </c>
      <c r="I2365" s="89">
        <v>46191</v>
      </c>
      <c r="J2365" t="s">
        <v>3549</v>
      </c>
      <c r="N2365" t="s">
        <v>3550</v>
      </c>
    </row>
    <row r="2366" spans="1:14" hidden="1" x14ac:dyDescent="0.25">
      <c r="A2366" t="s">
        <v>1323</v>
      </c>
      <c r="B2366" t="s">
        <v>1337</v>
      </c>
      <c r="C2366" t="s">
        <v>3575</v>
      </c>
      <c r="D2366" t="s">
        <v>20</v>
      </c>
      <c r="F2366">
        <v>756</v>
      </c>
      <c r="G2366">
        <v>14</v>
      </c>
      <c r="H2366" s="89">
        <v>46189</v>
      </c>
      <c r="I2366" s="89">
        <v>46193</v>
      </c>
      <c r="J2366" t="s">
        <v>3576</v>
      </c>
      <c r="N2366" t="s">
        <v>3550</v>
      </c>
    </row>
    <row r="2367" spans="1:14" hidden="1" x14ac:dyDescent="0.25">
      <c r="A2367" t="s">
        <v>1322</v>
      </c>
      <c r="B2367" t="s">
        <v>1336</v>
      </c>
      <c r="C2367" t="s">
        <v>3575</v>
      </c>
      <c r="D2367" t="s">
        <v>20</v>
      </c>
      <c r="F2367">
        <v>324</v>
      </c>
      <c r="G2367">
        <v>6</v>
      </c>
      <c r="H2367" s="89">
        <v>46189</v>
      </c>
      <c r="I2367" s="89">
        <v>46193</v>
      </c>
      <c r="J2367" t="s">
        <v>3576</v>
      </c>
      <c r="N2367" t="s">
        <v>3550</v>
      </c>
    </row>
    <row r="2368" spans="1:14" hidden="1" x14ac:dyDescent="0.25">
      <c r="A2368" t="s">
        <v>1313</v>
      </c>
      <c r="B2368" t="s">
        <v>1327</v>
      </c>
      <c r="C2368" t="s">
        <v>3575</v>
      </c>
      <c r="D2368" t="s">
        <v>20</v>
      </c>
      <c r="F2368">
        <v>144</v>
      </c>
      <c r="G2368">
        <v>3</v>
      </c>
      <c r="H2368" s="89">
        <v>46189</v>
      </c>
      <c r="I2368" s="89">
        <v>46193</v>
      </c>
      <c r="J2368" t="s">
        <v>3558</v>
      </c>
      <c r="N2368" t="s">
        <v>3550</v>
      </c>
    </row>
    <row r="2369" spans="1:14" hidden="1" x14ac:dyDescent="0.25">
      <c r="A2369" t="s">
        <v>1316</v>
      </c>
      <c r="B2369" t="s">
        <v>1330</v>
      </c>
      <c r="C2369" t="s">
        <v>3577</v>
      </c>
      <c r="D2369" t="s">
        <v>20</v>
      </c>
      <c r="F2369">
        <v>69</v>
      </c>
      <c r="G2369" t="s">
        <v>1419</v>
      </c>
      <c r="H2369" s="89">
        <v>46189</v>
      </c>
      <c r="I2369" s="89">
        <v>46191</v>
      </c>
      <c r="J2369" t="s">
        <v>3549</v>
      </c>
      <c r="N2369" t="s">
        <v>3550</v>
      </c>
    </row>
    <row r="2370" spans="1:14" hidden="1" x14ac:dyDescent="0.25">
      <c r="A2370" t="s">
        <v>1317</v>
      </c>
      <c r="B2370" t="s">
        <v>1331</v>
      </c>
      <c r="C2370" t="s">
        <v>3578</v>
      </c>
      <c r="D2370" t="s">
        <v>20</v>
      </c>
      <c r="F2370">
        <v>7</v>
      </c>
      <c r="G2370" t="s">
        <v>1419</v>
      </c>
      <c r="H2370" s="89">
        <v>46189</v>
      </c>
      <c r="I2370" s="89">
        <v>46191</v>
      </c>
      <c r="J2370" t="s">
        <v>3549</v>
      </c>
      <c r="N2370" t="s">
        <v>3550</v>
      </c>
    </row>
    <row r="2371" spans="1:14" hidden="1" x14ac:dyDescent="0.25">
      <c r="A2371" t="s">
        <v>1318</v>
      </c>
      <c r="B2371" t="s">
        <v>1332</v>
      </c>
      <c r="C2371" t="s">
        <v>3579</v>
      </c>
      <c r="D2371" t="s">
        <v>20</v>
      </c>
      <c r="F2371">
        <v>41</v>
      </c>
      <c r="G2371" t="s">
        <v>1419</v>
      </c>
      <c r="H2371" s="89">
        <v>46189</v>
      </c>
      <c r="I2371" s="89">
        <v>46191</v>
      </c>
      <c r="J2371" t="s">
        <v>3549</v>
      </c>
      <c r="N2371" t="s">
        <v>3550</v>
      </c>
    </row>
    <row r="2372" spans="1:14" hidden="1" x14ac:dyDescent="0.25">
      <c r="A2372" t="s">
        <v>1320</v>
      </c>
      <c r="B2372" t="s">
        <v>1334</v>
      </c>
      <c r="C2372" t="s">
        <v>3580</v>
      </c>
      <c r="D2372" t="s">
        <v>15</v>
      </c>
      <c r="F2372">
        <v>960</v>
      </c>
      <c r="G2372">
        <v>20</v>
      </c>
      <c r="H2372" s="89">
        <v>46189</v>
      </c>
      <c r="I2372" s="89">
        <v>46192</v>
      </c>
      <c r="J2372" t="s">
        <v>3581</v>
      </c>
      <c r="N2372" t="s">
        <v>3550</v>
      </c>
    </row>
    <row r="2373" spans="1:14" hidden="1" x14ac:dyDescent="0.25">
      <c r="A2373" t="s">
        <v>1320</v>
      </c>
      <c r="B2373" t="s">
        <v>1334</v>
      </c>
      <c r="C2373" t="s">
        <v>3580</v>
      </c>
      <c r="D2373" t="s">
        <v>15</v>
      </c>
      <c r="F2373">
        <v>240</v>
      </c>
      <c r="G2373">
        <v>5</v>
      </c>
      <c r="H2373" s="89">
        <v>46189</v>
      </c>
      <c r="I2373" s="89">
        <v>46193</v>
      </c>
      <c r="J2373" t="s">
        <v>3582</v>
      </c>
      <c r="N2373" t="s">
        <v>3550</v>
      </c>
    </row>
    <row r="2374" spans="1:14" hidden="1" x14ac:dyDescent="0.25">
      <c r="A2374" t="s">
        <v>1313</v>
      </c>
      <c r="B2374" t="s">
        <v>1327</v>
      </c>
      <c r="C2374" t="s">
        <v>3580</v>
      </c>
      <c r="D2374" t="s">
        <v>15</v>
      </c>
      <c r="F2374">
        <v>480</v>
      </c>
      <c r="G2374">
        <v>10</v>
      </c>
      <c r="H2374" s="89">
        <v>46189</v>
      </c>
      <c r="I2374" s="89">
        <v>46193</v>
      </c>
      <c r="J2374" t="s">
        <v>3558</v>
      </c>
      <c r="N2374" t="s">
        <v>3550</v>
      </c>
    </row>
    <row r="2375" spans="1:14" hidden="1" x14ac:dyDescent="0.25">
      <c r="A2375" t="s">
        <v>1315</v>
      </c>
      <c r="B2375" t="s">
        <v>1329</v>
      </c>
      <c r="C2375" t="s">
        <v>3580</v>
      </c>
      <c r="D2375" t="s">
        <v>15</v>
      </c>
      <c r="F2375">
        <v>41</v>
      </c>
      <c r="G2375" t="s">
        <v>1419</v>
      </c>
      <c r="H2375" s="89">
        <v>46189</v>
      </c>
      <c r="I2375" s="89">
        <v>46191</v>
      </c>
      <c r="J2375" t="s">
        <v>3549</v>
      </c>
      <c r="N2375" t="s">
        <v>3550</v>
      </c>
    </row>
    <row r="2376" spans="1:14" hidden="1" x14ac:dyDescent="0.25">
      <c r="A2376" t="s">
        <v>1318</v>
      </c>
      <c r="B2376" t="s">
        <v>1332</v>
      </c>
      <c r="C2376" t="s">
        <v>3583</v>
      </c>
      <c r="D2376" t="s">
        <v>15</v>
      </c>
      <c r="F2376">
        <v>7</v>
      </c>
      <c r="G2376" t="s">
        <v>1419</v>
      </c>
      <c r="H2376" s="89">
        <v>46189</v>
      </c>
      <c r="I2376" s="89">
        <v>46191</v>
      </c>
      <c r="J2376" t="s">
        <v>3549</v>
      </c>
      <c r="N2376" t="s">
        <v>3550</v>
      </c>
    </row>
    <row r="2377" spans="1:14" hidden="1" x14ac:dyDescent="0.25">
      <c r="A2377" t="s">
        <v>1316</v>
      </c>
      <c r="B2377" t="s">
        <v>1330</v>
      </c>
      <c r="C2377" t="s">
        <v>3584</v>
      </c>
      <c r="D2377" t="s">
        <v>15</v>
      </c>
      <c r="F2377">
        <v>85</v>
      </c>
      <c r="G2377" t="s">
        <v>1419</v>
      </c>
      <c r="H2377" s="89">
        <v>46189</v>
      </c>
      <c r="I2377" s="89">
        <v>46191</v>
      </c>
      <c r="J2377" t="s">
        <v>3549</v>
      </c>
      <c r="N2377" t="s">
        <v>3550</v>
      </c>
    </row>
    <row r="2378" spans="1:14" hidden="1" x14ac:dyDescent="0.25">
      <c r="A2378" t="s">
        <v>1317</v>
      </c>
      <c r="B2378" t="s">
        <v>1331</v>
      </c>
      <c r="C2378" t="s">
        <v>3585</v>
      </c>
      <c r="D2378" t="s">
        <v>15</v>
      </c>
      <c r="F2378">
        <v>20</v>
      </c>
      <c r="G2378" t="s">
        <v>1419</v>
      </c>
      <c r="H2378" s="89">
        <v>46189</v>
      </c>
      <c r="I2378" s="89">
        <v>46191</v>
      </c>
      <c r="J2378" t="s">
        <v>3549</v>
      </c>
      <c r="N2378" t="s">
        <v>3550</v>
      </c>
    </row>
    <row r="2379" spans="1:14" hidden="1" x14ac:dyDescent="0.25">
      <c r="A2379" t="s">
        <v>1320</v>
      </c>
      <c r="B2379" t="s">
        <v>1334</v>
      </c>
      <c r="C2379" t="s">
        <v>3586</v>
      </c>
      <c r="D2379" t="s">
        <v>23</v>
      </c>
      <c r="F2379">
        <v>960</v>
      </c>
      <c r="G2379">
        <v>20</v>
      </c>
      <c r="H2379" s="89">
        <v>46190</v>
      </c>
      <c r="I2379" s="89">
        <v>46193</v>
      </c>
      <c r="J2379" t="s">
        <v>3587</v>
      </c>
      <c r="N2379" t="s">
        <v>3550</v>
      </c>
    </row>
    <row r="2380" spans="1:14" hidden="1" x14ac:dyDescent="0.25">
      <c r="A2380" t="s">
        <v>1326</v>
      </c>
      <c r="B2380" t="s">
        <v>1340</v>
      </c>
      <c r="C2380" t="s">
        <v>3588</v>
      </c>
      <c r="D2380" t="s">
        <v>32</v>
      </c>
      <c r="F2380">
        <v>840</v>
      </c>
      <c r="G2380">
        <v>20</v>
      </c>
      <c r="H2380" s="89">
        <v>46190</v>
      </c>
      <c r="I2380" s="89">
        <v>46196</v>
      </c>
      <c r="J2380" t="s">
        <v>3589</v>
      </c>
      <c r="N2380" t="s">
        <v>3550</v>
      </c>
    </row>
    <row r="2381" spans="1:14" hidden="1" x14ac:dyDescent="0.25">
      <c r="A2381" t="s">
        <v>1320</v>
      </c>
      <c r="B2381" t="s">
        <v>1334</v>
      </c>
      <c r="C2381" t="s">
        <v>3590</v>
      </c>
      <c r="D2381" t="s">
        <v>21</v>
      </c>
      <c r="F2381">
        <v>960</v>
      </c>
      <c r="G2381">
        <v>20</v>
      </c>
      <c r="H2381" s="89">
        <v>46190</v>
      </c>
      <c r="I2381" s="89">
        <v>46193</v>
      </c>
      <c r="J2381" t="s">
        <v>3591</v>
      </c>
      <c r="N2381" t="s">
        <v>3550</v>
      </c>
    </row>
    <row r="2382" spans="1:14" hidden="1" x14ac:dyDescent="0.25">
      <c r="A2382" t="s">
        <v>1320</v>
      </c>
      <c r="B2382" t="s">
        <v>1334</v>
      </c>
      <c r="C2382" t="s">
        <v>3590</v>
      </c>
      <c r="D2382" t="s">
        <v>21</v>
      </c>
      <c r="F2382">
        <v>528</v>
      </c>
      <c r="G2382">
        <v>11</v>
      </c>
      <c r="H2382" s="89">
        <v>46190</v>
      </c>
      <c r="I2382" s="89">
        <v>46193</v>
      </c>
      <c r="J2382" t="s">
        <v>3571</v>
      </c>
      <c r="N2382" t="s">
        <v>3550</v>
      </c>
    </row>
    <row r="2383" spans="1:14" hidden="1" x14ac:dyDescent="0.25">
      <c r="A2383" t="s">
        <v>1315</v>
      </c>
      <c r="B2383" t="s">
        <v>1329</v>
      </c>
      <c r="C2383" t="s">
        <v>3590</v>
      </c>
      <c r="D2383" t="s">
        <v>21</v>
      </c>
      <c r="F2383">
        <v>131</v>
      </c>
      <c r="G2383" t="s">
        <v>1419</v>
      </c>
      <c r="H2383" s="89">
        <v>46190</v>
      </c>
      <c r="I2383" s="89">
        <v>46191</v>
      </c>
      <c r="J2383" t="s">
        <v>3549</v>
      </c>
      <c r="N2383" t="s">
        <v>3550</v>
      </c>
    </row>
    <row r="2384" spans="1:14" hidden="1" x14ac:dyDescent="0.25">
      <c r="A2384" t="s">
        <v>1316</v>
      </c>
      <c r="B2384" t="s">
        <v>1330</v>
      </c>
      <c r="C2384" t="s">
        <v>3592</v>
      </c>
      <c r="D2384" t="s">
        <v>21</v>
      </c>
      <c r="F2384">
        <v>20</v>
      </c>
      <c r="G2384" t="s">
        <v>1419</v>
      </c>
      <c r="H2384" s="89">
        <v>46190</v>
      </c>
      <c r="I2384" s="89">
        <v>46192</v>
      </c>
      <c r="J2384" t="s">
        <v>3549</v>
      </c>
      <c r="N2384" t="s">
        <v>3550</v>
      </c>
    </row>
    <row r="2385" spans="1:14" hidden="1" x14ac:dyDescent="0.25">
      <c r="A2385" t="s">
        <v>1317</v>
      </c>
      <c r="B2385" t="s">
        <v>1331</v>
      </c>
      <c r="C2385" t="s">
        <v>3593</v>
      </c>
      <c r="D2385" t="s">
        <v>21</v>
      </c>
      <c r="F2385">
        <v>16</v>
      </c>
      <c r="G2385" t="s">
        <v>1419</v>
      </c>
      <c r="H2385" s="89">
        <v>46190</v>
      </c>
      <c r="I2385" s="89">
        <v>46192</v>
      </c>
      <c r="J2385" t="s">
        <v>3549</v>
      </c>
      <c r="N2385" t="s">
        <v>3550</v>
      </c>
    </row>
    <row r="2386" spans="1:14" hidden="1" x14ac:dyDescent="0.25">
      <c r="A2386" t="s">
        <v>1318</v>
      </c>
      <c r="B2386" t="s">
        <v>1332</v>
      </c>
      <c r="C2386" t="s">
        <v>3594</v>
      </c>
      <c r="D2386" t="s">
        <v>21</v>
      </c>
      <c r="F2386">
        <v>55</v>
      </c>
      <c r="G2386" t="s">
        <v>1419</v>
      </c>
      <c r="H2386" s="89">
        <v>46190</v>
      </c>
      <c r="I2386" s="89">
        <v>46192</v>
      </c>
      <c r="J2386" t="s">
        <v>3549</v>
      </c>
      <c r="N2386" t="s">
        <v>3550</v>
      </c>
    </row>
    <row r="2387" spans="1:14" hidden="1" x14ac:dyDescent="0.25">
      <c r="A2387" t="s">
        <v>1313</v>
      </c>
      <c r="B2387" t="s">
        <v>1327</v>
      </c>
      <c r="C2387" t="s">
        <v>3595</v>
      </c>
      <c r="D2387" t="s">
        <v>20</v>
      </c>
      <c r="F2387">
        <v>480</v>
      </c>
      <c r="G2387">
        <v>10</v>
      </c>
      <c r="H2387" s="89">
        <v>46190</v>
      </c>
      <c r="I2387" s="89">
        <v>46193</v>
      </c>
      <c r="J2387" t="s">
        <v>3558</v>
      </c>
      <c r="N2387" t="s">
        <v>3550</v>
      </c>
    </row>
    <row r="2388" spans="1:14" hidden="1" x14ac:dyDescent="0.25">
      <c r="A2388" t="s">
        <v>1313</v>
      </c>
      <c r="B2388" t="s">
        <v>1327</v>
      </c>
      <c r="C2388" t="s">
        <v>3595</v>
      </c>
      <c r="D2388" t="s">
        <v>20</v>
      </c>
      <c r="F2388">
        <v>480</v>
      </c>
      <c r="G2388">
        <v>10</v>
      </c>
      <c r="H2388" s="89">
        <v>46190</v>
      </c>
      <c r="I2388" s="89">
        <v>46194</v>
      </c>
      <c r="J2388" t="s">
        <v>3596</v>
      </c>
      <c r="N2388" t="s">
        <v>3550</v>
      </c>
    </row>
    <row r="2389" spans="1:14" hidden="1" x14ac:dyDescent="0.25">
      <c r="A2389" t="s">
        <v>1315</v>
      </c>
      <c r="B2389" t="s">
        <v>1329</v>
      </c>
      <c r="C2389" t="s">
        <v>3595</v>
      </c>
      <c r="D2389" t="s">
        <v>20</v>
      </c>
      <c r="F2389">
        <v>62</v>
      </c>
      <c r="G2389" t="s">
        <v>1419</v>
      </c>
      <c r="H2389" s="89">
        <v>46190</v>
      </c>
      <c r="I2389" s="89">
        <v>46192</v>
      </c>
      <c r="J2389" t="s">
        <v>3549</v>
      </c>
      <c r="N2389" t="s">
        <v>3550</v>
      </c>
    </row>
    <row r="2390" spans="1:14" hidden="1" x14ac:dyDescent="0.25">
      <c r="A2390" t="s">
        <v>1316</v>
      </c>
      <c r="B2390" t="s">
        <v>1330</v>
      </c>
      <c r="C2390" t="s">
        <v>3597</v>
      </c>
      <c r="D2390" t="s">
        <v>20</v>
      </c>
      <c r="F2390">
        <v>78</v>
      </c>
      <c r="G2390" t="s">
        <v>1419</v>
      </c>
      <c r="H2390" s="89">
        <v>46190</v>
      </c>
      <c r="I2390" s="89">
        <v>46192</v>
      </c>
      <c r="J2390" t="s">
        <v>3549</v>
      </c>
      <c r="N2390" t="s">
        <v>3550</v>
      </c>
    </row>
    <row r="2391" spans="1:14" hidden="1" x14ac:dyDescent="0.25">
      <c r="A2391" t="s">
        <v>1317</v>
      </c>
      <c r="B2391" t="s">
        <v>1331</v>
      </c>
      <c r="C2391" t="s">
        <v>3598</v>
      </c>
      <c r="D2391" t="s">
        <v>20</v>
      </c>
      <c r="F2391">
        <v>7</v>
      </c>
      <c r="G2391" t="s">
        <v>1419</v>
      </c>
      <c r="H2391" s="89">
        <v>46190</v>
      </c>
      <c r="I2391" s="89">
        <v>46192</v>
      </c>
      <c r="J2391" t="s">
        <v>3549</v>
      </c>
      <c r="N2391" t="s">
        <v>3550</v>
      </c>
    </row>
    <row r="2392" spans="1:14" hidden="1" x14ac:dyDescent="0.25">
      <c r="A2392" t="s">
        <v>1318</v>
      </c>
      <c r="B2392" t="s">
        <v>1332</v>
      </c>
      <c r="C2392" t="s">
        <v>3599</v>
      </c>
      <c r="D2392" t="s">
        <v>20</v>
      </c>
      <c r="F2392">
        <v>49</v>
      </c>
      <c r="G2392" t="s">
        <v>1419</v>
      </c>
      <c r="H2392" s="89">
        <v>46190</v>
      </c>
      <c r="I2392" s="89">
        <v>46192</v>
      </c>
      <c r="J2392" t="s">
        <v>3549</v>
      </c>
      <c r="N2392" t="s">
        <v>3550</v>
      </c>
    </row>
    <row r="2393" spans="1:14" hidden="1" x14ac:dyDescent="0.25">
      <c r="A2393" t="s">
        <v>1313</v>
      </c>
      <c r="B2393" t="s">
        <v>1327</v>
      </c>
      <c r="C2393" t="s">
        <v>3600</v>
      </c>
      <c r="D2393" t="s">
        <v>15</v>
      </c>
      <c r="F2393">
        <v>144</v>
      </c>
      <c r="G2393">
        <v>3</v>
      </c>
      <c r="H2393" s="89">
        <v>46190</v>
      </c>
      <c r="I2393" s="89">
        <v>46194</v>
      </c>
      <c r="J2393" t="s">
        <v>3596</v>
      </c>
      <c r="N2393" t="s">
        <v>3550</v>
      </c>
    </row>
    <row r="2394" spans="1:14" hidden="1" x14ac:dyDescent="0.25">
      <c r="A2394" t="s">
        <v>1320</v>
      </c>
      <c r="B2394" t="s">
        <v>1334</v>
      </c>
      <c r="C2394" t="s">
        <v>3600</v>
      </c>
      <c r="D2394" t="s">
        <v>15</v>
      </c>
      <c r="F2394">
        <v>720</v>
      </c>
      <c r="G2394">
        <v>15</v>
      </c>
      <c r="H2394" s="89">
        <v>46190</v>
      </c>
      <c r="I2394" s="89">
        <v>46193</v>
      </c>
      <c r="J2394" t="s">
        <v>3582</v>
      </c>
      <c r="N2394" t="s">
        <v>3550</v>
      </c>
    </row>
    <row r="2395" spans="1:14" hidden="1" x14ac:dyDescent="0.25">
      <c r="A2395" t="s">
        <v>1320</v>
      </c>
      <c r="B2395" t="s">
        <v>1334</v>
      </c>
      <c r="C2395" t="s">
        <v>3600</v>
      </c>
      <c r="D2395" t="s">
        <v>15</v>
      </c>
      <c r="F2395">
        <v>480</v>
      </c>
      <c r="G2395">
        <v>10</v>
      </c>
      <c r="H2395" s="89">
        <v>46190</v>
      </c>
      <c r="I2395" s="89">
        <v>46195</v>
      </c>
      <c r="J2395" t="s">
        <v>3601</v>
      </c>
      <c r="N2395" t="s">
        <v>3550</v>
      </c>
    </row>
    <row r="2396" spans="1:14" hidden="1" x14ac:dyDescent="0.25">
      <c r="A2396" t="s">
        <v>1314</v>
      </c>
      <c r="B2396" t="s">
        <v>1328</v>
      </c>
      <c r="C2396" t="s">
        <v>3600</v>
      </c>
      <c r="D2396" t="s">
        <v>15</v>
      </c>
      <c r="F2396">
        <v>288</v>
      </c>
      <c r="G2396">
        <v>6</v>
      </c>
      <c r="H2396" s="89">
        <v>46190</v>
      </c>
      <c r="I2396" s="89">
        <v>46194</v>
      </c>
      <c r="J2396" t="s">
        <v>3602</v>
      </c>
      <c r="N2396" t="s">
        <v>3550</v>
      </c>
    </row>
    <row r="2397" spans="1:14" hidden="1" x14ac:dyDescent="0.25">
      <c r="A2397" t="s">
        <v>1315</v>
      </c>
      <c r="B2397" t="s">
        <v>1329</v>
      </c>
      <c r="C2397" t="s">
        <v>3600</v>
      </c>
      <c r="D2397" t="s">
        <v>15</v>
      </c>
      <c r="F2397">
        <v>15</v>
      </c>
      <c r="G2397" t="s">
        <v>1419</v>
      </c>
      <c r="H2397" s="89">
        <v>46190</v>
      </c>
      <c r="I2397" s="89">
        <v>46192</v>
      </c>
      <c r="J2397" t="s">
        <v>3549</v>
      </c>
      <c r="N2397" t="s">
        <v>3550</v>
      </c>
    </row>
    <row r="2398" spans="1:14" hidden="1" x14ac:dyDescent="0.25">
      <c r="A2398" t="s">
        <v>1316</v>
      </c>
      <c r="B2398" t="s">
        <v>1330</v>
      </c>
      <c r="C2398" t="s">
        <v>3603</v>
      </c>
      <c r="D2398" t="s">
        <v>15</v>
      </c>
      <c r="F2398">
        <v>82</v>
      </c>
      <c r="G2398" t="s">
        <v>1419</v>
      </c>
      <c r="H2398" s="89">
        <v>46190</v>
      </c>
      <c r="I2398" s="89">
        <v>46192</v>
      </c>
      <c r="J2398" t="s">
        <v>3549</v>
      </c>
      <c r="N2398" t="s">
        <v>3550</v>
      </c>
    </row>
    <row r="2399" spans="1:14" hidden="1" x14ac:dyDescent="0.25">
      <c r="A2399" t="s">
        <v>1317</v>
      </c>
      <c r="B2399" t="s">
        <v>1331</v>
      </c>
      <c r="C2399" t="s">
        <v>3604</v>
      </c>
      <c r="D2399" t="s">
        <v>15</v>
      </c>
      <c r="F2399">
        <v>25</v>
      </c>
      <c r="G2399" t="s">
        <v>1419</v>
      </c>
      <c r="H2399" s="89">
        <v>46190</v>
      </c>
      <c r="I2399" s="89">
        <v>46192</v>
      </c>
      <c r="J2399" t="s">
        <v>3549</v>
      </c>
      <c r="N2399" t="s">
        <v>3550</v>
      </c>
    </row>
    <row r="2400" spans="1:14" hidden="1" x14ac:dyDescent="0.25">
      <c r="A2400" t="s">
        <v>1318</v>
      </c>
      <c r="B2400" t="s">
        <v>1332</v>
      </c>
      <c r="C2400" t="s">
        <v>3605</v>
      </c>
      <c r="D2400" t="s">
        <v>15</v>
      </c>
      <c r="F2400">
        <v>33</v>
      </c>
      <c r="G2400" t="s">
        <v>1419</v>
      </c>
      <c r="H2400" s="89">
        <v>46190</v>
      </c>
      <c r="I2400" s="89">
        <v>46192</v>
      </c>
      <c r="J2400" t="s">
        <v>3549</v>
      </c>
      <c r="N2400" t="s">
        <v>3550</v>
      </c>
    </row>
    <row r="2401" spans="1:14" hidden="1" x14ac:dyDescent="0.25">
      <c r="A2401" t="s">
        <v>1320</v>
      </c>
      <c r="B2401" t="s">
        <v>1334</v>
      </c>
      <c r="C2401" t="s">
        <v>3606</v>
      </c>
      <c r="D2401" t="s">
        <v>23</v>
      </c>
      <c r="F2401">
        <v>960</v>
      </c>
      <c r="G2401">
        <v>20</v>
      </c>
      <c r="H2401" s="89">
        <v>46191</v>
      </c>
      <c r="I2401" s="89">
        <v>46195</v>
      </c>
      <c r="J2401" t="s">
        <v>3607</v>
      </c>
      <c r="N2401" t="s">
        <v>3550</v>
      </c>
    </row>
    <row r="2402" spans="1:14" hidden="1" x14ac:dyDescent="0.25">
      <c r="A2402" t="s">
        <v>1320</v>
      </c>
      <c r="B2402" t="s">
        <v>1334</v>
      </c>
      <c r="C2402" t="s">
        <v>3608</v>
      </c>
      <c r="D2402" t="s">
        <v>15</v>
      </c>
      <c r="F2402">
        <v>480</v>
      </c>
      <c r="G2402">
        <v>10</v>
      </c>
      <c r="H2402" s="89">
        <v>46191</v>
      </c>
      <c r="I2402" s="89">
        <v>46195</v>
      </c>
      <c r="J2402" t="s">
        <v>3601</v>
      </c>
      <c r="N2402" t="s">
        <v>3550</v>
      </c>
    </row>
    <row r="2403" spans="1:14" hidden="1" x14ac:dyDescent="0.25">
      <c r="A2403" t="s">
        <v>1320</v>
      </c>
      <c r="B2403" t="s">
        <v>1334</v>
      </c>
      <c r="C2403" t="s">
        <v>3608</v>
      </c>
      <c r="D2403" t="s">
        <v>15</v>
      </c>
      <c r="F2403">
        <v>480</v>
      </c>
      <c r="G2403">
        <v>10</v>
      </c>
      <c r="H2403" s="89">
        <v>46191</v>
      </c>
      <c r="I2403" s="89">
        <v>46196</v>
      </c>
      <c r="J2403" t="s">
        <v>3609</v>
      </c>
      <c r="N2403" t="s">
        <v>3550</v>
      </c>
    </row>
    <row r="2404" spans="1:14" hidden="1" x14ac:dyDescent="0.25">
      <c r="A2404" t="s">
        <v>1314</v>
      </c>
      <c r="B2404" t="s">
        <v>1328</v>
      </c>
      <c r="C2404" t="s">
        <v>3608</v>
      </c>
      <c r="D2404" t="s">
        <v>15</v>
      </c>
      <c r="F2404">
        <v>96</v>
      </c>
      <c r="G2404">
        <v>2</v>
      </c>
      <c r="H2404" s="89">
        <v>46191</v>
      </c>
      <c r="I2404" s="89">
        <v>46195</v>
      </c>
      <c r="J2404" t="s">
        <v>3610</v>
      </c>
      <c r="N2404" t="s">
        <v>3550</v>
      </c>
    </row>
    <row r="2405" spans="1:14" hidden="1" x14ac:dyDescent="0.25">
      <c r="A2405" t="s">
        <v>1313</v>
      </c>
      <c r="B2405" t="s">
        <v>1327</v>
      </c>
      <c r="C2405" t="s">
        <v>3608</v>
      </c>
      <c r="D2405" t="s">
        <v>15</v>
      </c>
      <c r="F2405">
        <v>192</v>
      </c>
      <c r="G2405">
        <v>4</v>
      </c>
      <c r="H2405" s="89">
        <v>46191</v>
      </c>
      <c r="I2405" s="89">
        <v>46196</v>
      </c>
      <c r="J2405" t="s">
        <v>3611</v>
      </c>
      <c r="N2405" t="s">
        <v>3550</v>
      </c>
    </row>
    <row r="2406" spans="1:14" hidden="1" x14ac:dyDescent="0.25">
      <c r="A2406" t="s">
        <v>1314</v>
      </c>
      <c r="B2406" t="s">
        <v>1328</v>
      </c>
      <c r="C2406" t="s">
        <v>3608</v>
      </c>
      <c r="D2406" t="s">
        <v>15</v>
      </c>
      <c r="F2406">
        <v>288</v>
      </c>
      <c r="G2406">
        <v>6</v>
      </c>
      <c r="H2406" s="89">
        <v>46191</v>
      </c>
      <c r="I2406" s="89">
        <v>46196</v>
      </c>
      <c r="J2406" t="s">
        <v>3612</v>
      </c>
      <c r="N2406" t="s">
        <v>3550</v>
      </c>
    </row>
    <row r="2407" spans="1:14" hidden="1" x14ac:dyDescent="0.25">
      <c r="A2407" t="s">
        <v>1315</v>
      </c>
      <c r="B2407" t="s">
        <v>1329</v>
      </c>
      <c r="C2407" t="s">
        <v>3608</v>
      </c>
      <c r="D2407" t="s">
        <v>15</v>
      </c>
      <c r="F2407">
        <v>10</v>
      </c>
      <c r="G2407" t="s">
        <v>1419</v>
      </c>
      <c r="H2407" s="89">
        <v>46191</v>
      </c>
      <c r="I2407" s="89">
        <v>46193</v>
      </c>
      <c r="J2407" t="s">
        <v>3549</v>
      </c>
      <c r="N2407" t="s">
        <v>3550</v>
      </c>
    </row>
    <row r="2408" spans="1:14" hidden="1" x14ac:dyDescent="0.25">
      <c r="A2408" t="s">
        <v>1316</v>
      </c>
      <c r="B2408" t="s">
        <v>1330</v>
      </c>
      <c r="C2408" t="s">
        <v>3613</v>
      </c>
      <c r="D2408" t="s">
        <v>15</v>
      </c>
      <c r="F2408">
        <v>84</v>
      </c>
      <c r="G2408" t="s">
        <v>1419</v>
      </c>
      <c r="H2408" s="89">
        <v>46191</v>
      </c>
      <c r="I2408" s="89">
        <v>46193</v>
      </c>
      <c r="J2408" t="s">
        <v>3549</v>
      </c>
      <c r="N2408" t="s">
        <v>3550</v>
      </c>
    </row>
    <row r="2409" spans="1:14" hidden="1" x14ac:dyDescent="0.25">
      <c r="A2409" t="s">
        <v>1317</v>
      </c>
      <c r="B2409" t="s">
        <v>1331</v>
      </c>
      <c r="C2409" t="s">
        <v>3614</v>
      </c>
      <c r="D2409" t="s">
        <v>15</v>
      </c>
      <c r="F2409">
        <v>15</v>
      </c>
      <c r="G2409" t="s">
        <v>1419</v>
      </c>
      <c r="H2409" s="89">
        <v>46191</v>
      </c>
      <c r="I2409" s="89">
        <v>46193</v>
      </c>
      <c r="J2409" t="s">
        <v>3549</v>
      </c>
      <c r="N2409" t="s">
        <v>3550</v>
      </c>
    </row>
    <row r="2410" spans="1:14" hidden="1" x14ac:dyDescent="0.25">
      <c r="A2410" t="s">
        <v>1318</v>
      </c>
      <c r="B2410" t="s">
        <v>1332</v>
      </c>
      <c r="C2410" t="s">
        <v>3615</v>
      </c>
      <c r="D2410" t="s">
        <v>15</v>
      </c>
      <c r="F2410">
        <v>30</v>
      </c>
      <c r="G2410" t="s">
        <v>1419</v>
      </c>
      <c r="H2410" s="89">
        <v>46191</v>
      </c>
      <c r="I2410" s="89">
        <v>46193</v>
      </c>
      <c r="J2410" t="s">
        <v>3549</v>
      </c>
      <c r="N2410" t="s">
        <v>3550</v>
      </c>
    </row>
    <row r="2411" spans="1:14" hidden="1" x14ac:dyDescent="0.25">
      <c r="A2411" t="s">
        <v>1313</v>
      </c>
      <c r="B2411" t="s">
        <v>1327</v>
      </c>
      <c r="C2411" t="s">
        <v>3616</v>
      </c>
      <c r="D2411" t="s">
        <v>20</v>
      </c>
      <c r="H2411" s="89">
        <v>46191</v>
      </c>
      <c r="I2411" s="89">
        <v>46195</v>
      </c>
      <c r="J2411" t="s">
        <v>3617</v>
      </c>
      <c r="N2411" t="s">
        <v>3550</v>
      </c>
    </row>
    <row r="2412" spans="1:14" hidden="1" x14ac:dyDescent="0.25">
      <c r="A2412" t="s">
        <v>1319</v>
      </c>
      <c r="B2412" t="s">
        <v>1333</v>
      </c>
      <c r="C2412" t="s">
        <v>3616</v>
      </c>
      <c r="D2412" t="s">
        <v>20</v>
      </c>
      <c r="H2412" s="89">
        <v>46191</v>
      </c>
      <c r="I2412" s="89">
        <v>46195</v>
      </c>
      <c r="J2412" t="s">
        <v>3617</v>
      </c>
      <c r="N2412" t="s">
        <v>3550</v>
      </c>
    </row>
    <row r="2413" spans="1:14" hidden="1" x14ac:dyDescent="0.25">
      <c r="A2413" t="s">
        <v>1313</v>
      </c>
      <c r="B2413" t="s">
        <v>1327</v>
      </c>
      <c r="C2413" t="s">
        <v>3616</v>
      </c>
      <c r="D2413" t="s">
        <v>20</v>
      </c>
      <c r="F2413">
        <v>1056</v>
      </c>
      <c r="G2413">
        <v>22</v>
      </c>
      <c r="H2413" s="89">
        <v>46191</v>
      </c>
      <c r="I2413" s="89">
        <v>46195</v>
      </c>
      <c r="J2413" t="s">
        <v>3618</v>
      </c>
      <c r="N2413" t="s">
        <v>3550</v>
      </c>
    </row>
    <row r="2414" spans="1:14" hidden="1" x14ac:dyDescent="0.25">
      <c r="A2414" t="s">
        <v>1315</v>
      </c>
      <c r="B2414" t="s">
        <v>1329</v>
      </c>
      <c r="C2414" t="s">
        <v>3616</v>
      </c>
      <c r="D2414" t="s">
        <v>20</v>
      </c>
      <c r="F2414">
        <v>83</v>
      </c>
      <c r="G2414" t="s">
        <v>1419</v>
      </c>
      <c r="H2414" s="89">
        <v>46191</v>
      </c>
      <c r="I2414" s="89">
        <v>46193</v>
      </c>
      <c r="J2414" t="s">
        <v>3549</v>
      </c>
      <c r="N2414" t="s">
        <v>3550</v>
      </c>
    </row>
    <row r="2415" spans="1:14" hidden="1" x14ac:dyDescent="0.25">
      <c r="A2415" t="s">
        <v>1316</v>
      </c>
      <c r="B2415" t="s">
        <v>1330</v>
      </c>
      <c r="C2415" t="s">
        <v>3619</v>
      </c>
      <c r="D2415" t="s">
        <v>20</v>
      </c>
      <c r="F2415">
        <v>85</v>
      </c>
      <c r="G2415" t="s">
        <v>1419</v>
      </c>
      <c r="H2415" s="89">
        <v>46191</v>
      </c>
      <c r="I2415" s="89">
        <v>46193</v>
      </c>
      <c r="J2415" t="s">
        <v>3549</v>
      </c>
      <c r="N2415" t="s">
        <v>3550</v>
      </c>
    </row>
    <row r="2416" spans="1:14" hidden="1" x14ac:dyDescent="0.25">
      <c r="A2416" t="s">
        <v>1317</v>
      </c>
      <c r="B2416" t="s">
        <v>1331</v>
      </c>
      <c r="C2416" t="s">
        <v>3620</v>
      </c>
      <c r="D2416" t="s">
        <v>20</v>
      </c>
      <c r="F2416">
        <v>7</v>
      </c>
      <c r="G2416" t="s">
        <v>1419</v>
      </c>
      <c r="H2416" s="89">
        <v>46191</v>
      </c>
      <c r="I2416" s="89">
        <v>46193</v>
      </c>
      <c r="J2416" t="s">
        <v>3549</v>
      </c>
      <c r="N2416" t="s">
        <v>3550</v>
      </c>
    </row>
    <row r="2417" spans="1:14" hidden="1" x14ac:dyDescent="0.25">
      <c r="A2417" t="s">
        <v>1318</v>
      </c>
      <c r="B2417" t="s">
        <v>1332</v>
      </c>
      <c r="C2417" t="s">
        <v>3621</v>
      </c>
      <c r="D2417" t="s">
        <v>20</v>
      </c>
      <c r="F2417">
        <v>45</v>
      </c>
      <c r="G2417" t="s">
        <v>1419</v>
      </c>
      <c r="H2417" s="89">
        <v>46191</v>
      </c>
      <c r="I2417" s="89">
        <v>46193</v>
      </c>
      <c r="J2417" t="s">
        <v>3549</v>
      </c>
      <c r="N2417" t="s">
        <v>3550</v>
      </c>
    </row>
    <row r="2418" spans="1:14" hidden="1" x14ac:dyDescent="0.25">
      <c r="A2418" t="s">
        <v>1324</v>
      </c>
      <c r="B2418" t="s">
        <v>1338</v>
      </c>
      <c r="C2418" t="s">
        <v>3622</v>
      </c>
      <c r="D2418" t="s">
        <v>21</v>
      </c>
      <c r="F2418">
        <v>960</v>
      </c>
      <c r="G2418">
        <v>20</v>
      </c>
      <c r="H2418" s="89">
        <v>46191</v>
      </c>
      <c r="I2418" s="89">
        <v>46197</v>
      </c>
      <c r="J2418" t="s">
        <v>3623</v>
      </c>
      <c r="N2418" t="s">
        <v>3550</v>
      </c>
    </row>
    <row r="2419" spans="1:14" hidden="1" x14ac:dyDescent="0.25">
      <c r="A2419" t="s">
        <v>1313</v>
      </c>
      <c r="B2419" t="s">
        <v>1327</v>
      </c>
      <c r="C2419" t="s">
        <v>3622</v>
      </c>
      <c r="D2419" t="s">
        <v>21</v>
      </c>
      <c r="F2419">
        <v>672</v>
      </c>
      <c r="G2419">
        <v>14</v>
      </c>
      <c r="H2419" s="89">
        <v>46191</v>
      </c>
      <c r="I2419" s="89">
        <v>46196</v>
      </c>
      <c r="J2419" t="s">
        <v>3611</v>
      </c>
      <c r="N2419" t="s">
        <v>3550</v>
      </c>
    </row>
    <row r="2420" spans="1:14" hidden="1" x14ac:dyDescent="0.25">
      <c r="A2420" t="s">
        <v>1313</v>
      </c>
      <c r="B2420" t="s">
        <v>1327</v>
      </c>
      <c r="C2420" t="s">
        <v>3622</v>
      </c>
      <c r="D2420" t="s">
        <v>21</v>
      </c>
      <c r="F2420">
        <v>48</v>
      </c>
      <c r="G2420">
        <v>1</v>
      </c>
      <c r="H2420" s="89">
        <v>46191</v>
      </c>
      <c r="I2420" s="89">
        <v>46197</v>
      </c>
      <c r="J2420" t="s">
        <v>3624</v>
      </c>
      <c r="N2420" t="s">
        <v>3550</v>
      </c>
    </row>
    <row r="2421" spans="1:14" hidden="1" x14ac:dyDescent="0.25">
      <c r="A2421" t="s">
        <v>1315</v>
      </c>
      <c r="B2421" t="s">
        <v>1329</v>
      </c>
      <c r="C2421" t="s">
        <v>3622</v>
      </c>
      <c r="D2421" t="s">
        <v>21</v>
      </c>
      <c r="F2421">
        <v>13</v>
      </c>
      <c r="G2421" t="s">
        <v>1419</v>
      </c>
      <c r="H2421" s="89">
        <v>46191</v>
      </c>
      <c r="I2421" s="89">
        <v>46193</v>
      </c>
      <c r="J2421" t="s">
        <v>3549</v>
      </c>
      <c r="N2421" t="s">
        <v>3550</v>
      </c>
    </row>
    <row r="2422" spans="1:14" hidden="1" x14ac:dyDescent="0.25">
      <c r="A2422" t="s">
        <v>1316</v>
      </c>
      <c r="B2422" t="s">
        <v>1330</v>
      </c>
      <c r="C2422" t="s">
        <v>3625</v>
      </c>
      <c r="D2422" t="s">
        <v>21</v>
      </c>
      <c r="F2422">
        <v>65</v>
      </c>
      <c r="G2422" t="s">
        <v>1419</v>
      </c>
      <c r="H2422" s="89">
        <v>46191</v>
      </c>
      <c r="I2422" s="89">
        <v>46193</v>
      </c>
      <c r="J2422" t="s">
        <v>3549</v>
      </c>
      <c r="N2422" t="s">
        <v>3550</v>
      </c>
    </row>
    <row r="2423" spans="1:14" hidden="1" x14ac:dyDescent="0.25">
      <c r="A2423" t="s">
        <v>1317</v>
      </c>
      <c r="B2423" t="s">
        <v>1331</v>
      </c>
      <c r="C2423" t="s">
        <v>3626</v>
      </c>
      <c r="D2423" t="s">
        <v>21</v>
      </c>
      <c r="F2423">
        <v>25</v>
      </c>
      <c r="G2423" t="s">
        <v>1419</v>
      </c>
      <c r="H2423" s="89">
        <v>46191</v>
      </c>
      <c r="I2423" s="89">
        <v>46193</v>
      </c>
      <c r="J2423" t="s">
        <v>3549</v>
      </c>
      <c r="N2423" t="s">
        <v>3550</v>
      </c>
    </row>
    <row r="2424" spans="1:14" hidden="1" x14ac:dyDescent="0.25">
      <c r="A2424" t="s">
        <v>1318</v>
      </c>
      <c r="B2424" t="s">
        <v>1332</v>
      </c>
      <c r="C2424" t="s">
        <v>3627</v>
      </c>
      <c r="D2424" t="s">
        <v>21</v>
      </c>
      <c r="F2424">
        <v>67</v>
      </c>
      <c r="G2424" t="s">
        <v>1419</v>
      </c>
      <c r="H2424" s="89">
        <v>46191</v>
      </c>
      <c r="I2424" s="89">
        <v>46193</v>
      </c>
      <c r="J2424" t="s">
        <v>3549</v>
      </c>
      <c r="N2424" t="s">
        <v>3550</v>
      </c>
    </row>
    <row r="2425" spans="1:14" hidden="1" x14ac:dyDescent="0.25">
      <c r="A2425" t="s">
        <v>1324</v>
      </c>
      <c r="B2425" t="s">
        <v>1338</v>
      </c>
      <c r="C2425" t="s">
        <v>3628</v>
      </c>
      <c r="D2425" t="s">
        <v>150</v>
      </c>
      <c r="F2425">
        <v>960</v>
      </c>
      <c r="G2425">
        <v>20</v>
      </c>
      <c r="H2425" s="89">
        <v>46191</v>
      </c>
      <c r="I2425" s="89">
        <v>46197</v>
      </c>
      <c r="J2425" t="s">
        <v>3623</v>
      </c>
      <c r="N2425" t="s">
        <v>3550</v>
      </c>
    </row>
    <row r="2426" spans="1:14" hidden="1" x14ac:dyDescent="0.25">
      <c r="A2426" t="s">
        <v>1324</v>
      </c>
      <c r="B2426" t="s">
        <v>1338</v>
      </c>
      <c r="C2426" t="s">
        <v>3629</v>
      </c>
      <c r="D2426" t="s">
        <v>150</v>
      </c>
      <c r="F2426">
        <v>960</v>
      </c>
      <c r="G2426">
        <v>20</v>
      </c>
      <c r="H2426" s="89">
        <v>46192</v>
      </c>
      <c r="I2426" s="89">
        <v>46200</v>
      </c>
      <c r="J2426" t="s">
        <v>3549</v>
      </c>
      <c r="N2426" t="s">
        <v>3550</v>
      </c>
    </row>
    <row r="2427" spans="1:14" hidden="1" x14ac:dyDescent="0.25">
      <c r="A2427" t="s">
        <v>1324</v>
      </c>
      <c r="B2427" t="s">
        <v>1338</v>
      </c>
      <c r="C2427" t="s">
        <v>3630</v>
      </c>
      <c r="D2427" t="s">
        <v>72</v>
      </c>
      <c r="F2427">
        <v>720</v>
      </c>
      <c r="G2427">
        <v>15</v>
      </c>
      <c r="H2427" s="89">
        <v>46192</v>
      </c>
      <c r="I2427" s="89">
        <v>46200</v>
      </c>
      <c r="J2427" t="s">
        <v>3549</v>
      </c>
      <c r="N2427" t="s">
        <v>3550</v>
      </c>
    </row>
    <row r="2428" spans="1:14" hidden="1" x14ac:dyDescent="0.25">
      <c r="A2428" t="s">
        <v>1313</v>
      </c>
      <c r="B2428" t="s">
        <v>1327</v>
      </c>
      <c r="C2428" t="s">
        <v>3631</v>
      </c>
      <c r="D2428" t="s">
        <v>20</v>
      </c>
      <c r="H2428" s="89">
        <v>46192</v>
      </c>
      <c r="I2428" s="89">
        <v>46196</v>
      </c>
      <c r="J2428" t="s">
        <v>3632</v>
      </c>
      <c r="N2428" t="s">
        <v>3550</v>
      </c>
    </row>
    <row r="2429" spans="1:14" hidden="1" x14ac:dyDescent="0.25">
      <c r="A2429" t="s">
        <v>1313</v>
      </c>
      <c r="B2429" t="s">
        <v>1327</v>
      </c>
      <c r="C2429" t="s">
        <v>3631</v>
      </c>
      <c r="D2429" t="s">
        <v>20</v>
      </c>
      <c r="F2429">
        <v>1104</v>
      </c>
      <c r="G2429">
        <v>23</v>
      </c>
      <c r="H2429" s="89">
        <v>46192</v>
      </c>
      <c r="I2429" s="89">
        <v>46197</v>
      </c>
      <c r="J2429" t="s">
        <v>3624</v>
      </c>
      <c r="N2429" t="s">
        <v>3550</v>
      </c>
    </row>
    <row r="2430" spans="1:14" hidden="1" x14ac:dyDescent="0.25">
      <c r="A2430" t="s">
        <v>1315</v>
      </c>
      <c r="B2430" t="s">
        <v>1329</v>
      </c>
      <c r="C2430" t="s">
        <v>3631</v>
      </c>
      <c r="D2430" t="s">
        <v>20</v>
      </c>
      <c r="F2430">
        <v>40</v>
      </c>
      <c r="G2430" t="s">
        <v>1419</v>
      </c>
      <c r="H2430" s="89">
        <v>46192</v>
      </c>
      <c r="I2430" s="89">
        <v>46194</v>
      </c>
      <c r="J2430" t="s">
        <v>3549</v>
      </c>
      <c r="N2430" t="s">
        <v>3550</v>
      </c>
    </row>
    <row r="2431" spans="1:14" hidden="1" x14ac:dyDescent="0.25">
      <c r="A2431" t="s">
        <v>1316</v>
      </c>
      <c r="B2431" t="s">
        <v>1330</v>
      </c>
      <c r="C2431" t="s">
        <v>3633</v>
      </c>
      <c r="D2431" t="s">
        <v>20</v>
      </c>
      <c r="F2431">
        <v>57</v>
      </c>
      <c r="G2431" t="s">
        <v>1419</v>
      </c>
      <c r="H2431" s="89">
        <v>46192</v>
      </c>
      <c r="I2431" s="89">
        <v>46194</v>
      </c>
      <c r="J2431" t="s">
        <v>3549</v>
      </c>
      <c r="N2431" t="s">
        <v>3550</v>
      </c>
    </row>
    <row r="2432" spans="1:14" hidden="1" x14ac:dyDescent="0.25">
      <c r="A2432" t="s">
        <v>1317</v>
      </c>
      <c r="B2432" t="s">
        <v>1331</v>
      </c>
      <c r="C2432" t="s">
        <v>3634</v>
      </c>
      <c r="D2432" t="s">
        <v>20</v>
      </c>
      <c r="F2432">
        <v>3</v>
      </c>
      <c r="G2432" t="s">
        <v>1419</v>
      </c>
      <c r="H2432" s="89">
        <v>46192</v>
      </c>
      <c r="I2432" s="89">
        <v>46194</v>
      </c>
      <c r="J2432" t="s">
        <v>3549</v>
      </c>
      <c r="N2432" t="s">
        <v>3550</v>
      </c>
    </row>
    <row r="2433" spans="1:14" hidden="1" x14ac:dyDescent="0.25">
      <c r="A2433" t="s">
        <v>1318</v>
      </c>
      <c r="B2433" t="s">
        <v>1332</v>
      </c>
      <c r="C2433" t="s">
        <v>3635</v>
      </c>
      <c r="D2433" t="s">
        <v>20</v>
      </c>
      <c r="F2433">
        <v>41</v>
      </c>
      <c r="G2433" t="s">
        <v>1419</v>
      </c>
      <c r="H2433" s="89">
        <v>46192</v>
      </c>
      <c r="I2433" s="89">
        <v>46194</v>
      </c>
      <c r="J2433" t="s">
        <v>3549</v>
      </c>
      <c r="N2433" t="s">
        <v>3550</v>
      </c>
    </row>
    <row r="2434" spans="1:14" hidden="1" x14ac:dyDescent="0.25">
      <c r="A2434" t="s">
        <v>1320</v>
      </c>
      <c r="B2434" t="s">
        <v>1334</v>
      </c>
      <c r="C2434" t="s">
        <v>3636</v>
      </c>
      <c r="D2434" t="s">
        <v>15</v>
      </c>
      <c r="F2434">
        <v>960</v>
      </c>
      <c r="G2434">
        <v>20</v>
      </c>
      <c r="H2434" s="89">
        <v>46192</v>
      </c>
      <c r="I2434" s="89">
        <v>46196</v>
      </c>
      <c r="J2434" t="s">
        <v>3637</v>
      </c>
      <c r="N2434" t="s">
        <v>3550</v>
      </c>
    </row>
    <row r="2435" spans="1:14" hidden="1" x14ac:dyDescent="0.25">
      <c r="A2435" t="s">
        <v>1320</v>
      </c>
      <c r="B2435" t="s">
        <v>1334</v>
      </c>
      <c r="C2435" t="s">
        <v>3636</v>
      </c>
      <c r="D2435" t="s">
        <v>15</v>
      </c>
      <c r="F2435">
        <v>480</v>
      </c>
      <c r="G2435">
        <v>10</v>
      </c>
      <c r="H2435" s="89">
        <v>46192</v>
      </c>
      <c r="I2435" s="89">
        <v>46196</v>
      </c>
      <c r="J2435" t="s">
        <v>3609</v>
      </c>
      <c r="N2435" t="s">
        <v>3550</v>
      </c>
    </row>
    <row r="2436" spans="1:14" hidden="1" x14ac:dyDescent="0.25">
      <c r="A2436" t="s">
        <v>1314</v>
      </c>
      <c r="B2436" t="s">
        <v>1328</v>
      </c>
      <c r="C2436" t="s">
        <v>3636</v>
      </c>
      <c r="D2436" t="s">
        <v>15</v>
      </c>
      <c r="F2436">
        <v>96</v>
      </c>
      <c r="G2436">
        <v>2</v>
      </c>
      <c r="H2436" s="89">
        <v>46192</v>
      </c>
      <c r="I2436" s="89">
        <v>46197</v>
      </c>
      <c r="J2436" t="s">
        <v>3638</v>
      </c>
      <c r="N2436" t="s">
        <v>3550</v>
      </c>
    </row>
    <row r="2437" spans="1:14" hidden="1" x14ac:dyDescent="0.25">
      <c r="A2437" t="s">
        <v>1313</v>
      </c>
      <c r="B2437" t="s">
        <v>1327</v>
      </c>
      <c r="C2437" t="s">
        <v>3636</v>
      </c>
      <c r="D2437" t="s">
        <v>15</v>
      </c>
      <c r="F2437">
        <v>240</v>
      </c>
      <c r="G2437">
        <v>5</v>
      </c>
      <c r="H2437" s="89">
        <v>46192</v>
      </c>
      <c r="I2437" s="89">
        <v>46198</v>
      </c>
      <c r="J2437" t="s">
        <v>3639</v>
      </c>
      <c r="N2437" t="s">
        <v>3550</v>
      </c>
    </row>
    <row r="2438" spans="1:14" hidden="1" x14ac:dyDescent="0.25">
      <c r="A2438" t="s">
        <v>1315</v>
      </c>
      <c r="B2438" t="s">
        <v>1329</v>
      </c>
      <c r="C2438" t="s">
        <v>3636</v>
      </c>
      <c r="D2438" t="s">
        <v>15</v>
      </c>
      <c r="F2438">
        <v>26</v>
      </c>
      <c r="G2438" t="s">
        <v>1419</v>
      </c>
      <c r="H2438" s="89">
        <v>46192</v>
      </c>
      <c r="I2438" s="89">
        <v>46194</v>
      </c>
      <c r="J2438" t="s">
        <v>3549</v>
      </c>
      <c r="N2438" t="s">
        <v>3550</v>
      </c>
    </row>
    <row r="2439" spans="1:14" hidden="1" x14ac:dyDescent="0.25">
      <c r="A2439" t="s">
        <v>1316</v>
      </c>
      <c r="B2439" t="s">
        <v>1330</v>
      </c>
      <c r="C2439" t="s">
        <v>3640</v>
      </c>
      <c r="D2439" t="s">
        <v>15</v>
      </c>
      <c r="F2439">
        <v>99</v>
      </c>
      <c r="G2439" t="s">
        <v>1419</v>
      </c>
      <c r="H2439" s="89">
        <v>46192</v>
      </c>
      <c r="I2439" s="89">
        <v>46194</v>
      </c>
      <c r="J2439" t="s">
        <v>3549</v>
      </c>
      <c r="N2439" t="s">
        <v>3550</v>
      </c>
    </row>
    <row r="2440" spans="1:14" hidden="1" x14ac:dyDescent="0.25">
      <c r="A2440" t="s">
        <v>1317</v>
      </c>
      <c r="B2440" t="s">
        <v>1331</v>
      </c>
      <c r="C2440" t="s">
        <v>3641</v>
      </c>
      <c r="D2440" t="s">
        <v>15</v>
      </c>
      <c r="F2440">
        <v>32</v>
      </c>
      <c r="G2440" t="s">
        <v>1419</v>
      </c>
      <c r="H2440" s="89">
        <v>46192</v>
      </c>
      <c r="I2440" s="89">
        <v>46194</v>
      </c>
      <c r="J2440" t="s">
        <v>3549</v>
      </c>
      <c r="N2440" t="s">
        <v>3550</v>
      </c>
    </row>
    <row r="2441" spans="1:14" hidden="1" x14ac:dyDescent="0.25">
      <c r="A2441" t="s">
        <v>1318</v>
      </c>
      <c r="B2441" t="s">
        <v>1332</v>
      </c>
      <c r="C2441" t="s">
        <v>3642</v>
      </c>
      <c r="D2441" t="s">
        <v>15</v>
      </c>
      <c r="F2441">
        <v>48</v>
      </c>
      <c r="G2441" t="s">
        <v>1419</v>
      </c>
      <c r="H2441" s="89">
        <v>46192</v>
      </c>
      <c r="I2441" s="89">
        <v>46194</v>
      </c>
      <c r="J2441" t="s">
        <v>3549</v>
      </c>
      <c r="N2441" t="s">
        <v>3550</v>
      </c>
    </row>
    <row r="2442" spans="1:14" hidden="1" x14ac:dyDescent="0.25">
      <c r="A2442" t="s">
        <v>1320</v>
      </c>
      <c r="B2442" t="s">
        <v>1334</v>
      </c>
      <c r="C2442" t="s">
        <v>3643</v>
      </c>
      <c r="D2442" t="s">
        <v>28</v>
      </c>
      <c r="F2442">
        <v>960</v>
      </c>
      <c r="G2442">
        <v>20</v>
      </c>
      <c r="H2442" s="89">
        <v>46192</v>
      </c>
      <c r="I2442" s="89">
        <v>46197</v>
      </c>
      <c r="J2442" t="s">
        <v>3644</v>
      </c>
      <c r="N2442" t="s">
        <v>3550</v>
      </c>
    </row>
    <row r="2443" spans="1:14" hidden="1" x14ac:dyDescent="0.25">
      <c r="A2443" t="s">
        <v>1320</v>
      </c>
      <c r="B2443" t="s">
        <v>1334</v>
      </c>
      <c r="C2443" t="s">
        <v>3643</v>
      </c>
      <c r="D2443" t="s">
        <v>28</v>
      </c>
      <c r="F2443">
        <v>384</v>
      </c>
      <c r="G2443">
        <v>8</v>
      </c>
      <c r="H2443" s="89">
        <v>46192</v>
      </c>
      <c r="I2443" s="89">
        <v>46197</v>
      </c>
      <c r="J2443" t="s">
        <v>3645</v>
      </c>
      <c r="N2443" t="s">
        <v>3550</v>
      </c>
    </row>
    <row r="2444" spans="1:14" hidden="1" x14ac:dyDescent="0.25">
      <c r="A2444" t="s">
        <v>1313</v>
      </c>
      <c r="B2444" t="s">
        <v>1327</v>
      </c>
      <c r="C2444" t="s">
        <v>3643</v>
      </c>
      <c r="D2444" t="s">
        <v>28</v>
      </c>
      <c r="F2444">
        <v>144</v>
      </c>
      <c r="G2444">
        <v>3</v>
      </c>
      <c r="H2444" s="89">
        <v>46192</v>
      </c>
      <c r="I2444" s="89">
        <v>46198</v>
      </c>
      <c r="J2444" t="s">
        <v>3639</v>
      </c>
      <c r="N2444" t="s">
        <v>3550</v>
      </c>
    </row>
    <row r="2445" spans="1:14" hidden="1" x14ac:dyDescent="0.25">
      <c r="A2445" t="s">
        <v>1315</v>
      </c>
      <c r="B2445" t="s">
        <v>1329</v>
      </c>
      <c r="C2445" t="s">
        <v>3643</v>
      </c>
      <c r="D2445" t="s">
        <v>28</v>
      </c>
      <c r="F2445">
        <v>26</v>
      </c>
      <c r="G2445" t="s">
        <v>1419</v>
      </c>
      <c r="H2445" s="89">
        <v>46192</v>
      </c>
      <c r="I2445" s="89">
        <v>46194</v>
      </c>
      <c r="J2445" t="s">
        <v>3549</v>
      </c>
      <c r="N2445" t="s">
        <v>3550</v>
      </c>
    </row>
    <row r="2446" spans="1:14" hidden="1" x14ac:dyDescent="0.25">
      <c r="A2446" t="s">
        <v>1316</v>
      </c>
      <c r="B2446" t="s">
        <v>1330</v>
      </c>
      <c r="C2446" t="s">
        <v>3646</v>
      </c>
      <c r="D2446" t="s">
        <v>28</v>
      </c>
      <c r="F2446">
        <v>27</v>
      </c>
      <c r="G2446" t="s">
        <v>1419</v>
      </c>
      <c r="H2446" s="89">
        <v>46192</v>
      </c>
      <c r="I2446" s="89">
        <v>46194</v>
      </c>
      <c r="J2446" t="s">
        <v>3549</v>
      </c>
      <c r="N2446" t="s">
        <v>3550</v>
      </c>
    </row>
    <row r="2447" spans="1:14" hidden="1" x14ac:dyDescent="0.25">
      <c r="A2447" t="s">
        <v>1317</v>
      </c>
      <c r="B2447" t="s">
        <v>1331</v>
      </c>
      <c r="C2447" t="s">
        <v>3647</v>
      </c>
      <c r="D2447" t="s">
        <v>28</v>
      </c>
      <c r="F2447">
        <v>7</v>
      </c>
      <c r="G2447" t="s">
        <v>1419</v>
      </c>
      <c r="H2447" s="89">
        <v>46192</v>
      </c>
      <c r="I2447" s="89">
        <v>46194</v>
      </c>
      <c r="J2447" t="s">
        <v>3549</v>
      </c>
      <c r="N2447" t="s">
        <v>3550</v>
      </c>
    </row>
    <row r="2448" spans="1:14" hidden="1" x14ac:dyDescent="0.25">
      <c r="A2448" t="s">
        <v>1318</v>
      </c>
      <c r="B2448" t="s">
        <v>1332</v>
      </c>
      <c r="C2448" t="s">
        <v>3648</v>
      </c>
      <c r="D2448" t="s">
        <v>28</v>
      </c>
      <c r="F2448">
        <v>62</v>
      </c>
      <c r="G2448" t="s">
        <v>1419</v>
      </c>
      <c r="H2448" s="89">
        <v>46192</v>
      </c>
      <c r="I2448" s="89">
        <v>46194</v>
      </c>
      <c r="J2448" t="s">
        <v>3549</v>
      </c>
      <c r="N2448" t="s">
        <v>3550</v>
      </c>
    </row>
    <row r="2449" spans="1:14" hidden="1" x14ac:dyDescent="0.25">
      <c r="A2449" t="s">
        <v>1324</v>
      </c>
      <c r="B2449" t="s">
        <v>1338</v>
      </c>
      <c r="C2449" t="s">
        <v>3649</v>
      </c>
      <c r="D2449" t="s">
        <v>72</v>
      </c>
      <c r="F2449">
        <v>240</v>
      </c>
      <c r="G2449">
        <v>5</v>
      </c>
      <c r="H2449" s="89">
        <v>46193</v>
      </c>
      <c r="I2449" s="89">
        <v>46200</v>
      </c>
      <c r="J2449" t="s">
        <v>3549</v>
      </c>
      <c r="N2449" t="s">
        <v>3550</v>
      </c>
    </row>
    <row r="2450" spans="1:14" hidden="1" x14ac:dyDescent="0.25">
      <c r="A2450" t="s">
        <v>1320</v>
      </c>
      <c r="B2450" t="s">
        <v>1334</v>
      </c>
      <c r="C2450" t="s">
        <v>3650</v>
      </c>
      <c r="D2450" t="s">
        <v>104</v>
      </c>
      <c r="F2450">
        <v>960</v>
      </c>
      <c r="G2450">
        <v>20</v>
      </c>
      <c r="H2450" s="89">
        <v>46193</v>
      </c>
      <c r="I2450" s="89">
        <v>46198</v>
      </c>
      <c r="J2450" t="s">
        <v>3651</v>
      </c>
      <c r="N2450" t="s">
        <v>3550</v>
      </c>
    </row>
    <row r="2451" spans="1:14" hidden="1" x14ac:dyDescent="0.25">
      <c r="A2451" t="s">
        <v>1313</v>
      </c>
      <c r="B2451" t="s">
        <v>1327</v>
      </c>
      <c r="C2451" t="s">
        <v>3652</v>
      </c>
      <c r="D2451" t="s">
        <v>15</v>
      </c>
      <c r="F2451">
        <v>1056</v>
      </c>
      <c r="G2451">
        <v>22</v>
      </c>
      <c r="H2451" s="89">
        <v>46193</v>
      </c>
      <c r="I2451" s="89">
        <v>46197</v>
      </c>
      <c r="J2451" t="s">
        <v>3653</v>
      </c>
      <c r="N2451" t="s">
        <v>3550</v>
      </c>
    </row>
    <row r="2452" spans="1:14" hidden="1" x14ac:dyDescent="0.25">
      <c r="A2452" t="s">
        <v>1320</v>
      </c>
      <c r="B2452" t="s">
        <v>1334</v>
      </c>
      <c r="C2452" t="s">
        <v>3652</v>
      </c>
      <c r="D2452" t="s">
        <v>15</v>
      </c>
      <c r="F2452">
        <v>288</v>
      </c>
      <c r="G2452">
        <v>6</v>
      </c>
      <c r="H2452" s="89">
        <v>46193</v>
      </c>
      <c r="I2452" s="89">
        <v>46197</v>
      </c>
      <c r="J2452" t="s">
        <v>3645</v>
      </c>
      <c r="N2452" t="s">
        <v>3550</v>
      </c>
    </row>
    <row r="2453" spans="1:14" hidden="1" x14ac:dyDescent="0.25">
      <c r="A2453" t="s">
        <v>1315</v>
      </c>
      <c r="B2453" t="s">
        <v>1329</v>
      </c>
      <c r="C2453" t="s">
        <v>3652</v>
      </c>
      <c r="D2453" t="s">
        <v>15</v>
      </c>
      <c r="F2453">
        <v>11</v>
      </c>
      <c r="G2453" t="s">
        <v>1419</v>
      </c>
      <c r="H2453" s="89">
        <v>46193</v>
      </c>
      <c r="I2453" s="89">
        <v>46195</v>
      </c>
      <c r="J2453" t="s">
        <v>3549</v>
      </c>
      <c r="N2453" t="s">
        <v>3550</v>
      </c>
    </row>
    <row r="2454" spans="1:14" hidden="1" x14ac:dyDescent="0.25">
      <c r="A2454" t="s">
        <v>1316</v>
      </c>
      <c r="B2454" t="s">
        <v>1330</v>
      </c>
      <c r="C2454" t="s">
        <v>3654</v>
      </c>
      <c r="D2454" t="s">
        <v>15</v>
      </c>
      <c r="F2454">
        <v>86</v>
      </c>
      <c r="G2454" t="s">
        <v>1419</v>
      </c>
      <c r="H2454" s="89">
        <v>46193</v>
      </c>
      <c r="I2454" s="89">
        <v>46195</v>
      </c>
      <c r="J2454" t="s">
        <v>3549</v>
      </c>
      <c r="N2454" t="s">
        <v>3550</v>
      </c>
    </row>
    <row r="2455" spans="1:14" hidden="1" x14ac:dyDescent="0.25">
      <c r="A2455" t="s">
        <v>1317</v>
      </c>
      <c r="B2455" t="s">
        <v>1331</v>
      </c>
      <c r="C2455" t="s">
        <v>3655</v>
      </c>
      <c r="D2455" t="s">
        <v>15</v>
      </c>
      <c r="F2455">
        <v>22</v>
      </c>
      <c r="G2455" t="s">
        <v>1419</v>
      </c>
      <c r="H2455" s="89">
        <v>46193</v>
      </c>
      <c r="I2455" s="89">
        <v>46195</v>
      </c>
      <c r="J2455" t="s">
        <v>3549</v>
      </c>
      <c r="N2455" t="s">
        <v>3550</v>
      </c>
    </row>
    <row r="2456" spans="1:14" hidden="1" x14ac:dyDescent="0.25">
      <c r="A2456" t="s">
        <v>1318</v>
      </c>
      <c r="B2456" t="s">
        <v>1332</v>
      </c>
      <c r="C2456" t="s">
        <v>3656</v>
      </c>
      <c r="D2456" t="s">
        <v>15</v>
      </c>
      <c r="F2456">
        <v>38</v>
      </c>
      <c r="G2456" t="s">
        <v>1419</v>
      </c>
      <c r="H2456" s="89">
        <v>46193</v>
      </c>
      <c r="I2456" s="89">
        <v>46195</v>
      </c>
      <c r="J2456" t="s">
        <v>3549</v>
      </c>
      <c r="N2456" t="s">
        <v>3550</v>
      </c>
    </row>
    <row r="2457" spans="1:14" hidden="1" x14ac:dyDescent="0.25">
      <c r="A2457" t="s">
        <v>1320</v>
      </c>
      <c r="B2457" t="s">
        <v>1334</v>
      </c>
      <c r="C2457" t="s">
        <v>3657</v>
      </c>
      <c r="D2457" t="s">
        <v>28</v>
      </c>
      <c r="F2457">
        <v>960</v>
      </c>
      <c r="G2457">
        <v>20</v>
      </c>
      <c r="H2457" s="89">
        <v>46193</v>
      </c>
      <c r="I2457" s="89">
        <v>46198</v>
      </c>
      <c r="J2457" t="s">
        <v>3658</v>
      </c>
      <c r="N2457" t="s">
        <v>3550</v>
      </c>
    </row>
    <row r="2458" spans="1:14" hidden="1" x14ac:dyDescent="0.25">
      <c r="A2458" t="s">
        <v>1320</v>
      </c>
      <c r="B2458" t="s">
        <v>1334</v>
      </c>
      <c r="C2458" t="s">
        <v>3657</v>
      </c>
      <c r="D2458" t="s">
        <v>28</v>
      </c>
      <c r="F2458">
        <v>288</v>
      </c>
      <c r="G2458">
        <v>6</v>
      </c>
      <c r="H2458" s="89">
        <v>46193</v>
      </c>
      <c r="I2458" s="89">
        <v>46197</v>
      </c>
      <c r="J2458" t="s">
        <v>3645</v>
      </c>
      <c r="N2458" t="s">
        <v>3550</v>
      </c>
    </row>
    <row r="2459" spans="1:14" hidden="1" x14ac:dyDescent="0.25">
      <c r="A2459" t="s">
        <v>1313</v>
      </c>
      <c r="B2459" t="s">
        <v>1327</v>
      </c>
      <c r="C2459" t="s">
        <v>3657</v>
      </c>
      <c r="D2459" t="s">
        <v>28</v>
      </c>
      <c r="F2459">
        <v>192</v>
      </c>
      <c r="G2459">
        <v>4</v>
      </c>
      <c r="H2459" s="89">
        <v>46193</v>
      </c>
      <c r="I2459" s="89">
        <v>46198</v>
      </c>
      <c r="J2459" t="s">
        <v>3639</v>
      </c>
      <c r="N2459" t="s">
        <v>3550</v>
      </c>
    </row>
    <row r="2460" spans="1:14" hidden="1" x14ac:dyDescent="0.25">
      <c r="A2460" t="s">
        <v>1315</v>
      </c>
      <c r="B2460" t="s">
        <v>1329</v>
      </c>
      <c r="C2460" t="s">
        <v>3657</v>
      </c>
      <c r="D2460" t="s">
        <v>28</v>
      </c>
      <c r="F2460">
        <v>30</v>
      </c>
      <c r="G2460" t="s">
        <v>1419</v>
      </c>
      <c r="H2460" s="89">
        <v>46193</v>
      </c>
      <c r="I2460" s="89">
        <v>46195</v>
      </c>
      <c r="J2460" t="s">
        <v>3549</v>
      </c>
      <c r="N2460" t="s">
        <v>3550</v>
      </c>
    </row>
    <row r="2461" spans="1:14" hidden="1" x14ac:dyDescent="0.25">
      <c r="A2461" t="s">
        <v>1316</v>
      </c>
      <c r="B2461" t="s">
        <v>1330</v>
      </c>
      <c r="C2461" t="s">
        <v>3659</v>
      </c>
      <c r="D2461" t="s">
        <v>28</v>
      </c>
      <c r="F2461">
        <v>43</v>
      </c>
      <c r="G2461" t="s">
        <v>1419</v>
      </c>
      <c r="H2461" s="89">
        <v>46193</v>
      </c>
      <c r="I2461" s="89">
        <v>46195</v>
      </c>
      <c r="J2461" t="s">
        <v>3549</v>
      </c>
      <c r="N2461" t="s">
        <v>3550</v>
      </c>
    </row>
    <row r="2462" spans="1:14" hidden="1" x14ac:dyDescent="0.25">
      <c r="A2462" t="s">
        <v>1317</v>
      </c>
      <c r="B2462" t="s">
        <v>1331</v>
      </c>
      <c r="C2462" t="s">
        <v>3660</v>
      </c>
      <c r="D2462" t="s">
        <v>28</v>
      </c>
      <c r="F2462">
        <v>7</v>
      </c>
      <c r="G2462" t="s">
        <v>1419</v>
      </c>
      <c r="H2462" s="89">
        <v>46193</v>
      </c>
      <c r="I2462" s="89">
        <v>46195</v>
      </c>
      <c r="J2462" t="s">
        <v>3549</v>
      </c>
      <c r="N2462" t="s">
        <v>3550</v>
      </c>
    </row>
    <row r="2463" spans="1:14" hidden="1" x14ac:dyDescent="0.25">
      <c r="A2463" t="s">
        <v>1318</v>
      </c>
      <c r="B2463" t="s">
        <v>1332</v>
      </c>
      <c r="C2463" t="s">
        <v>3661</v>
      </c>
      <c r="D2463" t="s">
        <v>28</v>
      </c>
      <c r="F2463">
        <v>45</v>
      </c>
      <c r="G2463" t="s">
        <v>1419</v>
      </c>
      <c r="H2463" s="89">
        <v>46193</v>
      </c>
      <c r="I2463" s="89">
        <v>46195</v>
      </c>
      <c r="J2463" t="s">
        <v>3549</v>
      </c>
      <c r="N2463" t="s">
        <v>3550</v>
      </c>
    </row>
    <row r="2464" spans="1:14" hidden="1" x14ac:dyDescent="0.25">
      <c r="B2464" t="s">
        <v>3662</v>
      </c>
      <c r="C2464" t="s">
        <v>1655</v>
      </c>
      <c r="H2464" s="89">
        <v>5</v>
      </c>
      <c r="I2464" s="89">
        <v>5</v>
      </c>
      <c r="J2464" t="s">
        <v>3549</v>
      </c>
      <c r="N2464" t="s">
        <v>3550</v>
      </c>
    </row>
    <row r="2465" spans="1:14" hidden="1" x14ac:dyDescent="0.25">
      <c r="A2465" t="s">
        <v>1324</v>
      </c>
      <c r="B2465" t="s">
        <v>1338</v>
      </c>
      <c r="C2465" t="s">
        <v>3663</v>
      </c>
      <c r="D2465" t="s">
        <v>13</v>
      </c>
      <c r="F2465">
        <v>960</v>
      </c>
      <c r="G2465">
        <v>20</v>
      </c>
      <c r="H2465" s="89">
        <v>46195</v>
      </c>
      <c r="I2465" s="89">
        <v>46202</v>
      </c>
      <c r="J2465" t="s">
        <v>3664</v>
      </c>
      <c r="N2465" t="s">
        <v>3665</v>
      </c>
    </row>
    <row r="2466" spans="1:14" hidden="1" x14ac:dyDescent="0.25">
      <c r="A2466" t="s">
        <v>1320</v>
      </c>
      <c r="B2466" t="s">
        <v>1334</v>
      </c>
      <c r="C2466" t="s">
        <v>3666</v>
      </c>
      <c r="D2466" t="s">
        <v>21</v>
      </c>
      <c r="F2466">
        <v>960</v>
      </c>
      <c r="G2466">
        <v>20</v>
      </c>
      <c r="H2466" s="89">
        <v>46195</v>
      </c>
      <c r="I2466" s="89">
        <v>46199</v>
      </c>
      <c r="J2466" t="s">
        <v>3667</v>
      </c>
      <c r="N2466" t="s">
        <v>3665</v>
      </c>
    </row>
    <row r="2467" spans="1:14" hidden="1" x14ac:dyDescent="0.25">
      <c r="A2467" t="s">
        <v>1313</v>
      </c>
      <c r="B2467" t="s">
        <v>1327</v>
      </c>
      <c r="C2467" t="s">
        <v>3666</v>
      </c>
      <c r="D2467" t="s">
        <v>21</v>
      </c>
      <c r="F2467">
        <v>384</v>
      </c>
      <c r="G2467">
        <v>8</v>
      </c>
      <c r="H2467" s="89">
        <v>46195</v>
      </c>
      <c r="I2467" s="89">
        <v>46199</v>
      </c>
      <c r="J2467" t="s">
        <v>3668</v>
      </c>
      <c r="N2467" t="s">
        <v>3665</v>
      </c>
    </row>
    <row r="2468" spans="1:14" hidden="1" x14ac:dyDescent="0.25">
      <c r="A2468" t="s">
        <v>1314</v>
      </c>
      <c r="B2468" t="s">
        <v>1328</v>
      </c>
      <c r="C2468" t="s">
        <v>3666</v>
      </c>
      <c r="D2468" t="s">
        <v>21</v>
      </c>
      <c r="F2468">
        <v>96</v>
      </c>
      <c r="G2468">
        <v>2</v>
      </c>
      <c r="H2468" s="89">
        <v>46195</v>
      </c>
      <c r="I2468" s="89">
        <v>46199</v>
      </c>
      <c r="J2468" t="s">
        <v>3669</v>
      </c>
      <c r="N2468" t="s">
        <v>3665</v>
      </c>
    </row>
    <row r="2469" spans="1:14" hidden="1" x14ac:dyDescent="0.25">
      <c r="A2469" t="s">
        <v>1315</v>
      </c>
      <c r="B2469" t="s">
        <v>1329</v>
      </c>
      <c r="C2469" t="s">
        <v>3666</v>
      </c>
      <c r="D2469" t="s">
        <v>21</v>
      </c>
      <c r="F2469">
        <v>37</v>
      </c>
      <c r="G2469" t="s">
        <v>1419</v>
      </c>
      <c r="H2469" s="89">
        <v>46195</v>
      </c>
      <c r="I2469" s="89">
        <v>46197</v>
      </c>
      <c r="J2469" t="s">
        <v>3549</v>
      </c>
      <c r="N2469" t="s">
        <v>3665</v>
      </c>
    </row>
    <row r="2470" spans="1:14" hidden="1" x14ac:dyDescent="0.25">
      <c r="A2470" t="s">
        <v>1316</v>
      </c>
      <c r="B2470" t="s">
        <v>1330</v>
      </c>
      <c r="C2470" t="s">
        <v>3670</v>
      </c>
      <c r="D2470" t="s">
        <v>21</v>
      </c>
      <c r="F2470">
        <v>12</v>
      </c>
      <c r="G2470" t="s">
        <v>1419</v>
      </c>
      <c r="H2470" s="89">
        <v>46195</v>
      </c>
      <c r="I2470" s="89">
        <v>46197</v>
      </c>
      <c r="J2470" t="s">
        <v>3549</v>
      </c>
      <c r="N2470" t="s">
        <v>3665</v>
      </c>
    </row>
    <row r="2471" spans="1:14" hidden="1" x14ac:dyDescent="0.25">
      <c r="A2471" t="s">
        <v>1317</v>
      </c>
      <c r="B2471" t="s">
        <v>1331</v>
      </c>
      <c r="C2471" t="s">
        <v>3671</v>
      </c>
      <c r="D2471" t="s">
        <v>21</v>
      </c>
      <c r="F2471">
        <v>11</v>
      </c>
      <c r="G2471" t="s">
        <v>1419</v>
      </c>
      <c r="H2471" s="89">
        <v>46195</v>
      </c>
      <c r="I2471" s="89">
        <v>46197</v>
      </c>
      <c r="J2471" t="s">
        <v>3549</v>
      </c>
      <c r="N2471" t="s">
        <v>3665</v>
      </c>
    </row>
    <row r="2472" spans="1:14" hidden="1" x14ac:dyDescent="0.25">
      <c r="A2472" t="s">
        <v>1318</v>
      </c>
      <c r="B2472" t="s">
        <v>1332</v>
      </c>
      <c r="C2472" t="s">
        <v>3672</v>
      </c>
      <c r="D2472" t="s">
        <v>21</v>
      </c>
      <c r="F2472">
        <v>65</v>
      </c>
      <c r="G2472" t="s">
        <v>1419</v>
      </c>
      <c r="H2472" s="89">
        <v>46195</v>
      </c>
      <c r="I2472" s="89">
        <v>46197</v>
      </c>
      <c r="J2472" t="s">
        <v>3549</v>
      </c>
      <c r="N2472" t="s">
        <v>3665</v>
      </c>
    </row>
    <row r="2473" spans="1:14" hidden="1" x14ac:dyDescent="0.25">
      <c r="A2473" t="s">
        <v>1320</v>
      </c>
      <c r="B2473" t="s">
        <v>1334</v>
      </c>
      <c r="C2473" t="s">
        <v>3673</v>
      </c>
      <c r="D2473" t="s">
        <v>15</v>
      </c>
      <c r="F2473">
        <v>960</v>
      </c>
      <c r="G2473">
        <v>20</v>
      </c>
      <c r="H2473" s="89">
        <v>46195</v>
      </c>
      <c r="I2473" s="89">
        <v>46199</v>
      </c>
      <c r="J2473" t="s">
        <v>3674</v>
      </c>
      <c r="N2473" t="s">
        <v>3665</v>
      </c>
    </row>
    <row r="2474" spans="1:14" hidden="1" x14ac:dyDescent="0.25">
      <c r="A2474" t="s">
        <v>1313</v>
      </c>
      <c r="B2474" t="s">
        <v>1327</v>
      </c>
      <c r="C2474" t="s">
        <v>3673</v>
      </c>
      <c r="D2474" t="s">
        <v>15</v>
      </c>
      <c r="F2474">
        <v>288</v>
      </c>
      <c r="G2474">
        <v>6</v>
      </c>
      <c r="H2474" s="89">
        <v>46195</v>
      </c>
      <c r="I2474" s="89">
        <v>46198</v>
      </c>
      <c r="J2474" t="s">
        <v>3639</v>
      </c>
      <c r="N2474" t="s">
        <v>3665</v>
      </c>
    </row>
    <row r="2475" spans="1:14" hidden="1" x14ac:dyDescent="0.25">
      <c r="A2475" t="s">
        <v>1314</v>
      </c>
      <c r="B2475" t="s">
        <v>1328</v>
      </c>
      <c r="C2475" t="s">
        <v>3673</v>
      </c>
      <c r="D2475" t="s">
        <v>15</v>
      </c>
      <c r="F2475">
        <v>288</v>
      </c>
      <c r="G2475">
        <v>6</v>
      </c>
      <c r="H2475" s="89">
        <v>46195</v>
      </c>
      <c r="I2475" s="89">
        <v>46198</v>
      </c>
      <c r="J2475" t="s">
        <v>3675</v>
      </c>
      <c r="N2475" t="s">
        <v>3665</v>
      </c>
    </row>
    <row r="2476" spans="1:14" hidden="1" x14ac:dyDescent="0.25">
      <c r="A2476" t="s">
        <v>1313</v>
      </c>
      <c r="B2476" t="s">
        <v>1327</v>
      </c>
      <c r="C2476" t="s">
        <v>3673</v>
      </c>
      <c r="D2476" t="s">
        <v>15</v>
      </c>
      <c r="F2476">
        <v>48</v>
      </c>
      <c r="G2476">
        <v>1</v>
      </c>
      <c r="H2476" s="89">
        <v>46195</v>
      </c>
      <c r="I2476" s="89">
        <v>46199</v>
      </c>
      <c r="J2476" t="s">
        <v>3668</v>
      </c>
      <c r="N2476" t="s">
        <v>3665</v>
      </c>
    </row>
    <row r="2477" spans="1:14" hidden="1" x14ac:dyDescent="0.25">
      <c r="A2477" t="s">
        <v>1315</v>
      </c>
      <c r="B2477" t="s">
        <v>1329</v>
      </c>
      <c r="C2477" t="s">
        <v>3673</v>
      </c>
      <c r="D2477" t="s">
        <v>15</v>
      </c>
      <c r="F2477">
        <v>6</v>
      </c>
      <c r="G2477" t="s">
        <v>1419</v>
      </c>
      <c r="H2477" s="89">
        <v>46195</v>
      </c>
      <c r="I2477" s="89">
        <v>46197</v>
      </c>
      <c r="J2477" t="s">
        <v>3549</v>
      </c>
      <c r="N2477" t="s">
        <v>3665</v>
      </c>
    </row>
    <row r="2478" spans="1:14" hidden="1" x14ac:dyDescent="0.25">
      <c r="A2478" t="s">
        <v>1316</v>
      </c>
      <c r="B2478" t="s">
        <v>1330</v>
      </c>
      <c r="C2478" t="s">
        <v>3676</v>
      </c>
      <c r="D2478" t="s">
        <v>15</v>
      </c>
      <c r="F2478">
        <v>98</v>
      </c>
      <c r="G2478" t="s">
        <v>1419</v>
      </c>
      <c r="H2478" s="89">
        <v>46195</v>
      </c>
      <c r="I2478" s="89">
        <v>46197</v>
      </c>
      <c r="J2478" t="s">
        <v>3549</v>
      </c>
      <c r="N2478" t="s">
        <v>3665</v>
      </c>
    </row>
    <row r="2479" spans="1:14" hidden="1" x14ac:dyDescent="0.25">
      <c r="A2479" t="s">
        <v>1317</v>
      </c>
      <c r="B2479" t="s">
        <v>1331</v>
      </c>
      <c r="C2479" t="s">
        <v>3677</v>
      </c>
      <c r="D2479" t="s">
        <v>15</v>
      </c>
      <c r="F2479">
        <v>22</v>
      </c>
      <c r="G2479" t="s">
        <v>1419</v>
      </c>
      <c r="H2479" s="89">
        <v>46195</v>
      </c>
      <c r="I2479" s="89">
        <v>46197</v>
      </c>
      <c r="J2479" t="s">
        <v>3549</v>
      </c>
      <c r="N2479" t="s">
        <v>3665</v>
      </c>
    </row>
    <row r="2480" spans="1:14" hidden="1" x14ac:dyDescent="0.25">
      <c r="A2480" t="s">
        <v>1318</v>
      </c>
      <c r="B2480" t="s">
        <v>1332</v>
      </c>
      <c r="C2480" t="s">
        <v>3678</v>
      </c>
      <c r="D2480" t="s">
        <v>15</v>
      </c>
      <c r="F2480">
        <v>39</v>
      </c>
      <c r="G2480" t="s">
        <v>1419</v>
      </c>
      <c r="H2480" s="89">
        <v>46195</v>
      </c>
      <c r="I2480" s="89">
        <v>46197</v>
      </c>
      <c r="J2480" t="s">
        <v>3549</v>
      </c>
      <c r="N2480" t="s">
        <v>3665</v>
      </c>
    </row>
    <row r="2481" spans="1:14" hidden="1" x14ac:dyDescent="0.25">
      <c r="A2481" t="s">
        <v>1323</v>
      </c>
      <c r="B2481" t="s">
        <v>1337</v>
      </c>
      <c r="C2481" t="s">
        <v>3679</v>
      </c>
      <c r="D2481" t="s">
        <v>20</v>
      </c>
      <c r="F2481">
        <v>918</v>
      </c>
      <c r="G2481">
        <v>17</v>
      </c>
      <c r="H2481" s="89">
        <v>46195</v>
      </c>
      <c r="I2481" s="89">
        <v>46199</v>
      </c>
      <c r="J2481" t="s">
        <v>3680</v>
      </c>
      <c r="N2481" t="s">
        <v>3665</v>
      </c>
    </row>
    <row r="2482" spans="1:14" hidden="1" x14ac:dyDescent="0.25">
      <c r="A2482" t="s">
        <v>1322</v>
      </c>
      <c r="B2482" t="s">
        <v>1336</v>
      </c>
      <c r="C2482" t="s">
        <v>3679</v>
      </c>
      <c r="D2482" t="s">
        <v>20</v>
      </c>
      <c r="F2482">
        <v>162</v>
      </c>
      <c r="G2482">
        <v>3</v>
      </c>
      <c r="H2482" s="89">
        <v>46195</v>
      </c>
      <c r="I2482" s="89">
        <v>46199</v>
      </c>
      <c r="J2482" t="s">
        <v>3680</v>
      </c>
      <c r="N2482" t="s">
        <v>3665</v>
      </c>
    </row>
    <row r="2483" spans="1:14" hidden="1" x14ac:dyDescent="0.25">
      <c r="A2483" t="s">
        <v>1313</v>
      </c>
      <c r="B2483" t="s">
        <v>1327</v>
      </c>
      <c r="C2483" t="s">
        <v>3679</v>
      </c>
      <c r="D2483" t="s">
        <v>20</v>
      </c>
      <c r="F2483">
        <v>24</v>
      </c>
      <c r="G2483">
        <v>0.5</v>
      </c>
      <c r="H2483" s="89">
        <v>46195</v>
      </c>
      <c r="I2483" s="89">
        <v>46199</v>
      </c>
      <c r="J2483" t="s">
        <v>3668</v>
      </c>
      <c r="N2483" t="s">
        <v>3665</v>
      </c>
    </row>
    <row r="2484" spans="1:14" hidden="1" x14ac:dyDescent="0.25">
      <c r="A2484" t="s">
        <v>1316</v>
      </c>
      <c r="B2484" t="s">
        <v>1330</v>
      </c>
      <c r="C2484" t="s">
        <v>3681</v>
      </c>
      <c r="D2484" t="s">
        <v>20</v>
      </c>
      <c r="F2484">
        <v>79</v>
      </c>
      <c r="G2484" t="s">
        <v>1419</v>
      </c>
      <c r="H2484" s="89">
        <v>46195</v>
      </c>
      <c r="I2484" s="89">
        <v>46197</v>
      </c>
      <c r="J2484" t="s">
        <v>3549</v>
      </c>
      <c r="N2484" t="s">
        <v>3665</v>
      </c>
    </row>
    <row r="2485" spans="1:14" hidden="1" x14ac:dyDescent="0.25">
      <c r="A2485" t="s">
        <v>1317</v>
      </c>
      <c r="B2485" t="s">
        <v>1331</v>
      </c>
      <c r="C2485" t="s">
        <v>3682</v>
      </c>
      <c r="D2485" t="s">
        <v>20</v>
      </c>
      <c r="F2485">
        <v>6</v>
      </c>
      <c r="G2485" t="s">
        <v>1419</v>
      </c>
      <c r="H2485" s="89">
        <v>46195</v>
      </c>
      <c r="I2485" s="89">
        <v>46197</v>
      </c>
      <c r="J2485" t="s">
        <v>3549</v>
      </c>
      <c r="N2485" t="s">
        <v>3665</v>
      </c>
    </row>
    <row r="2486" spans="1:14" hidden="1" x14ac:dyDescent="0.25">
      <c r="A2486" t="s">
        <v>1318</v>
      </c>
      <c r="B2486" t="s">
        <v>1332</v>
      </c>
      <c r="C2486" t="s">
        <v>3683</v>
      </c>
      <c r="D2486" t="s">
        <v>20</v>
      </c>
      <c r="F2486">
        <v>43</v>
      </c>
      <c r="G2486" t="s">
        <v>1419</v>
      </c>
      <c r="H2486" s="89">
        <v>46195</v>
      </c>
      <c r="I2486" s="89">
        <v>46197</v>
      </c>
      <c r="J2486" t="s">
        <v>3549</v>
      </c>
      <c r="N2486" t="s">
        <v>3665</v>
      </c>
    </row>
    <row r="2487" spans="1:14" hidden="1" x14ac:dyDescent="0.25">
      <c r="A2487" t="s">
        <v>1324</v>
      </c>
      <c r="B2487" t="s">
        <v>1338</v>
      </c>
      <c r="C2487" t="s">
        <v>3684</v>
      </c>
      <c r="D2487" t="s">
        <v>118</v>
      </c>
      <c r="F2487">
        <v>576</v>
      </c>
      <c r="G2487">
        <v>12</v>
      </c>
      <c r="H2487" s="89">
        <v>46196</v>
      </c>
      <c r="I2487" s="89">
        <v>46202</v>
      </c>
      <c r="J2487" t="s">
        <v>3664</v>
      </c>
      <c r="N2487" t="s">
        <v>3665</v>
      </c>
    </row>
    <row r="2488" spans="1:14" hidden="1" x14ac:dyDescent="0.25">
      <c r="A2488" t="s">
        <v>1324</v>
      </c>
      <c r="B2488" t="s">
        <v>1338</v>
      </c>
      <c r="C2488" t="s">
        <v>3685</v>
      </c>
      <c r="D2488" t="s">
        <v>152</v>
      </c>
      <c r="F2488">
        <v>384</v>
      </c>
      <c r="G2488">
        <v>8</v>
      </c>
      <c r="H2488" s="89">
        <v>46196</v>
      </c>
      <c r="I2488" s="89">
        <v>46202</v>
      </c>
      <c r="J2488" t="s">
        <v>3686</v>
      </c>
      <c r="N2488" t="s">
        <v>3665</v>
      </c>
    </row>
    <row r="2489" spans="1:14" hidden="1" x14ac:dyDescent="0.25">
      <c r="A2489" t="s">
        <v>1326</v>
      </c>
      <c r="B2489" t="s">
        <v>1340</v>
      </c>
      <c r="C2489" t="s">
        <v>3687</v>
      </c>
      <c r="D2489" t="s">
        <v>32</v>
      </c>
      <c r="F2489">
        <v>840</v>
      </c>
      <c r="G2489">
        <v>20</v>
      </c>
      <c r="H2489" s="89">
        <v>46196</v>
      </c>
      <c r="I2489" s="89">
        <v>46203</v>
      </c>
      <c r="J2489" t="s">
        <v>3688</v>
      </c>
      <c r="N2489" t="s">
        <v>3665</v>
      </c>
    </row>
    <row r="2490" spans="1:14" hidden="1" x14ac:dyDescent="0.25">
      <c r="A2490" t="s">
        <v>1320</v>
      </c>
      <c r="B2490" t="s">
        <v>1334</v>
      </c>
      <c r="C2490" t="s">
        <v>3689</v>
      </c>
      <c r="D2490" t="s">
        <v>23</v>
      </c>
      <c r="F2490">
        <v>960</v>
      </c>
      <c r="G2490">
        <v>20</v>
      </c>
      <c r="H2490" s="89">
        <v>46196</v>
      </c>
      <c r="I2490" s="89">
        <v>46200</v>
      </c>
      <c r="J2490" t="s">
        <v>3690</v>
      </c>
      <c r="N2490" t="s">
        <v>3665</v>
      </c>
    </row>
    <row r="2491" spans="1:14" hidden="1" x14ac:dyDescent="0.25">
      <c r="A2491" t="s">
        <v>1321</v>
      </c>
      <c r="B2491" t="s">
        <v>1335</v>
      </c>
      <c r="C2491" t="s">
        <v>3691</v>
      </c>
      <c r="D2491" t="s">
        <v>159</v>
      </c>
      <c r="F2491">
        <v>144</v>
      </c>
      <c r="G2491">
        <v>3</v>
      </c>
      <c r="H2491" s="89">
        <v>46196</v>
      </c>
      <c r="I2491" s="89">
        <v>46202</v>
      </c>
      <c r="J2491" t="s">
        <v>3664</v>
      </c>
      <c r="N2491" t="s">
        <v>3665</v>
      </c>
    </row>
    <row r="2492" spans="1:14" hidden="1" x14ac:dyDescent="0.25">
      <c r="A2492" t="s">
        <v>1321</v>
      </c>
      <c r="B2492" t="s">
        <v>1335</v>
      </c>
      <c r="C2492" t="s">
        <v>3691</v>
      </c>
      <c r="D2492" t="s">
        <v>159</v>
      </c>
      <c r="F2492">
        <v>96</v>
      </c>
      <c r="G2492">
        <v>2</v>
      </c>
      <c r="H2492" s="89">
        <v>46196</v>
      </c>
      <c r="I2492" s="89">
        <v>46202</v>
      </c>
      <c r="J2492" t="s">
        <v>3686</v>
      </c>
      <c r="N2492" t="s">
        <v>3665</v>
      </c>
    </row>
    <row r="2493" spans="1:14" hidden="1" x14ac:dyDescent="0.25">
      <c r="A2493" t="s">
        <v>1325</v>
      </c>
      <c r="B2493" t="s">
        <v>1339</v>
      </c>
      <c r="C2493" t="s">
        <v>3691</v>
      </c>
      <c r="D2493" t="s">
        <v>159</v>
      </c>
      <c r="F2493">
        <v>192</v>
      </c>
      <c r="G2493">
        <v>4</v>
      </c>
      <c r="H2493" s="89">
        <v>46196</v>
      </c>
      <c r="I2493" s="89">
        <v>46197</v>
      </c>
      <c r="J2493" t="s">
        <v>3549</v>
      </c>
      <c r="N2493" t="s">
        <v>3665</v>
      </c>
    </row>
    <row r="2494" spans="1:14" hidden="1" x14ac:dyDescent="0.25">
      <c r="A2494" t="s">
        <v>1324</v>
      </c>
      <c r="B2494" t="s">
        <v>1338</v>
      </c>
      <c r="C2494" t="s">
        <v>3692</v>
      </c>
      <c r="D2494" t="s">
        <v>28</v>
      </c>
      <c r="F2494">
        <v>864</v>
      </c>
      <c r="G2494">
        <v>18</v>
      </c>
      <c r="H2494" s="89">
        <v>46196</v>
      </c>
      <c r="I2494" s="89">
        <v>46202</v>
      </c>
      <c r="J2494" t="s">
        <v>3686</v>
      </c>
      <c r="N2494" t="s">
        <v>3665</v>
      </c>
    </row>
    <row r="2495" spans="1:14" hidden="1" x14ac:dyDescent="0.25">
      <c r="A2495" t="s">
        <v>1313</v>
      </c>
      <c r="B2495" t="s">
        <v>1327</v>
      </c>
      <c r="C2495" t="s">
        <v>3692</v>
      </c>
      <c r="D2495" t="s">
        <v>28</v>
      </c>
      <c r="F2495">
        <v>96</v>
      </c>
      <c r="G2495">
        <v>1.5</v>
      </c>
      <c r="H2495" s="89">
        <v>46196</v>
      </c>
      <c r="I2495" s="89">
        <v>46199</v>
      </c>
      <c r="J2495" t="s">
        <v>3668</v>
      </c>
      <c r="N2495" t="s">
        <v>3665</v>
      </c>
    </row>
    <row r="2496" spans="1:14" hidden="1" x14ac:dyDescent="0.25">
      <c r="A2496" t="s">
        <v>1315</v>
      </c>
      <c r="B2496" t="s">
        <v>1329</v>
      </c>
      <c r="C2496" t="s">
        <v>3692</v>
      </c>
      <c r="D2496" t="s">
        <v>28</v>
      </c>
      <c r="F2496">
        <v>13</v>
      </c>
      <c r="G2496" t="s">
        <v>1419</v>
      </c>
      <c r="H2496" s="89">
        <v>46196</v>
      </c>
      <c r="I2496" s="89">
        <v>46198</v>
      </c>
      <c r="J2496" t="s">
        <v>3549</v>
      </c>
      <c r="N2496" t="s">
        <v>3665</v>
      </c>
    </row>
    <row r="2497" spans="1:14" hidden="1" x14ac:dyDescent="0.25">
      <c r="A2497" t="s">
        <v>1316</v>
      </c>
      <c r="B2497" t="s">
        <v>1330</v>
      </c>
      <c r="C2497" t="s">
        <v>3693</v>
      </c>
      <c r="D2497" t="s">
        <v>28</v>
      </c>
      <c r="F2497">
        <v>9</v>
      </c>
      <c r="G2497" t="s">
        <v>1419</v>
      </c>
      <c r="H2497" s="89">
        <v>46196</v>
      </c>
      <c r="I2497" s="89">
        <v>46198</v>
      </c>
      <c r="J2497" t="s">
        <v>3549</v>
      </c>
      <c r="N2497" t="s">
        <v>3665</v>
      </c>
    </row>
    <row r="2498" spans="1:14" hidden="1" x14ac:dyDescent="0.25">
      <c r="A2498" t="s">
        <v>1317</v>
      </c>
      <c r="B2498" t="s">
        <v>1331</v>
      </c>
      <c r="C2498" t="s">
        <v>3694</v>
      </c>
      <c r="D2498" t="s">
        <v>28</v>
      </c>
      <c r="F2498">
        <v>1</v>
      </c>
      <c r="G2498" t="s">
        <v>1419</v>
      </c>
      <c r="H2498" s="89">
        <v>46196</v>
      </c>
      <c r="I2498" s="89">
        <v>46198</v>
      </c>
      <c r="J2498" t="s">
        <v>3549</v>
      </c>
      <c r="N2498" t="s">
        <v>3665</v>
      </c>
    </row>
    <row r="2499" spans="1:14" hidden="1" x14ac:dyDescent="0.25">
      <c r="A2499" t="s">
        <v>1318</v>
      </c>
      <c r="B2499" t="s">
        <v>1332</v>
      </c>
      <c r="C2499" t="s">
        <v>3695</v>
      </c>
      <c r="D2499" t="s">
        <v>28</v>
      </c>
      <c r="F2499">
        <v>46</v>
      </c>
      <c r="G2499" t="s">
        <v>1419</v>
      </c>
      <c r="H2499" s="89">
        <v>46196</v>
      </c>
      <c r="I2499" s="89">
        <v>46198</v>
      </c>
      <c r="J2499" t="s">
        <v>3549</v>
      </c>
      <c r="N2499" t="s">
        <v>3665</v>
      </c>
    </row>
    <row r="2500" spans="1:14" hidden="1" x14ac:dyDescent="0.25">
      <c r="A2500" t="s">
        <v>1313</v>
      </c>
      <c r="B2500" t="s">
        <v>1327</v>
      </c>
      <c r="C2500" t="s">
        <v>3696</v>
      </c>
      <c r="D2500" t="s">
        <v>20</v>
      </c>
      <c r="H2500" s="89">
        <v>46196</v>
      </c>
      <c r="I2500" s="89">
        <v>46200</v>
      </c>
      <c r="J2500" t="s">
        <v>3697</v>
      </c>
      <c r="N2500" t="s">
        <v>3665</v>
      </c>
    </row>
    <row r="2501" spans="1:14" hidden="1" x14ac:dyDescent="0.25">
      <c r="A2501" t="s">
        <v>1319</v>
      </c>
      <c r="B2501" t="s">
        <v>1333</v>
      </c>
      <c r="C2501" t="s">
        <v>3696</v>
      </c>
      <c r="D2501" t="s">
        <v>20</v>
      </c>
      <c r="H2501" s="89">
        <v>46196</v>
      </c>
      <c r="I2501" s="89">
        <v>46200</v>
      </c>
      <c r="J2501" t="s">
        <v>3697</v>
      </c>
      <c r="N2501" t="s">
        <v>3665</v>
      </c>
    </row>
    <row r="2502" spans="1:14" hidden="1" x14ac:dyDescent="0.25">
      <c r="A2502" t="s">
        <v>1313</v>
      </c>
      <c r="B2502" t="s">
        <v>1327</v>
      </c>
      <c r="C2502" t="s">
        <v>3696</v>
      </c>
      <c r="D2502" t="s">
        <v>20</v>
      </c>
      <c r="F2502">
        <v>48</v>
      </c>
      <c r="G2502">
        <v>1</v>
      </c>
      <c r="H2502" s="89">
        <v>46196</v>
      </c>
      <c r="I2502" s="89">
        <v>46199</v>
      </c>
      <c r="J2502" t="s">
        <v>3668</v>
      </c>
      <c r="N2502" t="s">
        <v>3665</v>
      </c>
    </row>
    <row r="2503" spans="1:14" hidden="1" x14ac:dyDescent="0.25">
      <c r="A2503" t="s">
        <v>1566</v>
      </c>
      <c r="B2503" t="s">
        <v>1567</v>
      </c>
      <c r="C2503" t="s">
        <v>3696</v>
      </c>
      <c r="D2503" t="s">
        <v>20</v>
      </c>
      <c r="F2503">
        <v>5</v>
      </c>
      <c r="G2503">
        <v>0.10416666666666669</v>
      </c>
      <c r="H2503" s="89">
        <v>46196</v>
      </c>
      <c r="I2503" s="89">
        <v>46201</v>
      </c>
      <c r="J2503" t="s">
        <v>3698</v>
      </c>
      <c r="N2503" t="s">
        <v>3665</v>
      </c>
    </row>
    <row r="2504" spans="1:14" hidden="1" x14ac:dyDescent="0.25">
      <c r="A2504" t="s">
        <v>1313</v>
      </c>
      <c r="B2504" t="s">
        <v>1327</v>
      </c>
      <c r="C2504" t="s">
        <v>3696</v>
      </c>
      <c r="D2504" t="s">
        <v>20</v>
      </c>
      <c r="F2504">
        <v>1147</v>
      </c>
      <c r="G2504">
        <v>23.895833333333332</v>
      </c>
      <c r="H2504" s="89">
        <v>46196</v>
      </c>
      <c r="I2504" s="89">
        <v>46201</v>
      </c>
      <c r="J2504" t="s">
        <v>3699</v>
      </c>
      <c r="N2504" t="s">
        <v>3665</v>
      </c>
    </row>
    <row r="2505" spans="1:14" hidden="1" x14ac:dyDescent="0.25">
      <c r="A2505" t="s">
        <v>1315</v>
      </c>
      <c r="B2505" t="s">
        <v>1329</v>
      </c>
      <c r="C2505" t="s">
        <v>3696</v>
      </c>
      <c r="D2505" t="s">
        <v>20</v>
      </c>
      <c r="F2505">
        <v>55</v>
      </c>
      <c r="G2505" t="s">
        <v>1419</v>
      </c>
      <c r="H2505" s="89">
        <v>46196</v>
      </c>
      <c r="I2505" s="89">
        <v>46198</v>
      </c>
      <c r="J2505" t="s">
        <v>3549</v>
      </c>
      <c r="N2505" t="s">
        <v>3665</v>
      </c>
    </row>
    <row r="2506" spans="1:14" hidden="1" x14ac:dyDescent="0.25">
      <c r="A2506" t="s">
        <v>1316</v>
      </c>
      <c r="B2506" t="s">
        <v>1330</v>
      </c>
      <c r="C2506" t="s">
        <v>3700</v>
      </c>
      <c r="D2506" t="s">
        <v>20</v>
      </c>
      <c r="F2506">
        <v>79</v>
      </c>
      <c r="G2506" t="s">
        <v>1419</v>
      </c>
      <c r="H2506" s="89">
        <v>46196</v>
      </c>
      <c r="I2506" s="89">
        <v>46198</v>
      </c>
      <c r="J2506" t="s">
        <v>3549</v>
      </c>
      <c r="N2506" t="s">
        <v>3665</v>
      </c>
    </row>
    <row r="2507" spans="1:14" hidden="1" x14ac:dyDescent="0.25">
      <c r="A2507" t="s">
        <v>1317</v>
      </c>
      <c r="B2507" t="s">
        <v>1331</v>
      </c>
      <c r="C2507" t="s">
        <v>3701</v>
      </c>
      <c r="D2507" t="s">
        <v>20</v>
      </c>
      <c r="F2507">
        <v>4</v>
      </c>
      <c r="G2507" t="s">
        <v>1419</v>
      </c>
      <c r="H2507" s="89">
        <v>46196</v>
      </c>
      <c r="I2507" s="89">
        <v>46198</v>
      </c>
      <c r="J2507" t="s">
        <v>3549</v>
      </c>
      <c r="N2507" t="s">
        <v>3665</v>
      </c>
    </row>
    <row r="2508" spans="1:14" hidden="1" x14ac:dyDescent="0.25">
      <c r="A2508" t="s">
        <v>1318</v>
      </c>
      <c r="B2508" t="s">
        <v>1332</v>
      </c>
      <c r="C2508" t="s">
        <v>3702</v>
      </c>
      <c r="D2508" t="s">
        <v>20</v>
      </c>
      <c r="F2508">
        <v>50</v>
      </c>
      <c r="G2508" t="s">
        <v>1419</v>
      </c>
      <c r="H2508" s="89">
        <v>46196</v>
      </c>
      <c r="I2508" s="89">
        <v>46198</v>
      </c>
      <c r="J2508" t="s">
        <v>3549</v>
      </c>
      <c r="N2508" t="s">
        <v>3665</v>
      </c>
    </row>
    <row r="2509" spans="1:14" hidden="1" x14ac:dyDescent="0.25">
      <c r="A2509" t="s">
        <v>1324</v>
      </c>
      <c r="B2509" t="s">
        <v>1338</v>
      </c>
      <c r="C2509" t="s">
        <v>3703</v>
      </c>
      <c r="D2509" t="s">
        <v>15</v>
      </c>
      <c r="F2509">
        <v>240</v>
      </c>
      <c r="G2509">
        <v>5</v>
      </c>
      <c r="H2509" s="89">
        <v>46196</v>
      </c>
      <c r="I2509" s="89">
        <v>46202</v>
      </c>
      <c r="J2509" t="s">
        <v>3664</v>
      </c>
      <c r="N2509" t="s">
        <v>3665</v>
      </c>
    </row>
    <row r="2510" spans="1:14" hidden="1" x14ac:dyDescent="0.25">
      <c r="A2510" t="s">
        <v>1313</v>
      </c>
      <c r="B2510" t="s">
        <v>1327</v>
      </c>
      <c r="C2510" t="s">
        <v>3703</v>
      </c>
      <c r="D2510" t="s">
        <v>15</v>
      </c>
      <c r="F2510">
        <v>240</v>
      </c>
      <c r="G2510">
        <v>5</v>
      </c>
      <c r="H2510" s="89">
        <v>46196</v>
      </c>
      <c r="I2510" s="89">
        <v>46199</v>
      </c>
      <c r="J2510" t="s">
        <v>3668</v>
      </c>
      <c r="N2510" t="s">
        <v>3665</v>
      </c>
    </row>
    <row r="2511" spans="1:14" hidden="1" x14ac:dyDescent="0.25">
      <c r="A2511" t="s">
        <v>1313</v>
      </c>
      <c r="B2511" t="s">
        <v>1327</v>
      </c>
      <c r="C2511" t="s">
        <v>3703</v>
      </c>
      <c r="D2511" t="s">
        <v>15</v>
      </c>
      <c r="F2511">
        <v>1152</v>
      </c>
      <c r="G2511">
        <v>24</v>
      </c>
      <c r="H2511" s="89">
        <v>46196</v>
      </c>
      <c r="I2511" s="89">
        <v>46200</v>
      </c>
      <c r="J2511" t="s">
        <v>3704</v>
      </c>
      <c r="N2511" t="s">
        <v>3665</v>
      </c>
    </row>
    <row r="2512" spans="1:14" hidden="1" x14ac:dyDescent="0.25">
      <c r="A2512" t="s">
        <v>1313</v>
      </c>
      <c r="B2512" t="s">
        <v>1327</v>
      </c>
      <c r="C2512" t="s">
        <v>3703</v>
      </c>
      <c r="D2512" t="s">
        <v>15</v>
      </c>
      <c r="F2512">
        <v>48</v>
      </c>
      <c r="G2512">
        <v>1</v>
      </c>
      <c r="H2512" s="89">
        <v>46196</v>
      </c>
      <c r="I2512" s="89">
        <v>46201</v>
      </c>
      <c r="J2512" t="s">
        <v>3705</v>
      </c>
      <c r="N2512" t="s">
        <v>3665</v>
      </c>
    </row>
    <row r="2513" spans="1:14" hidden="1" x14ac:dyDescent="0.25">
      <c r="A2513" t="s">
        <v>1315</v>
      </c>
      <c r="B2513" t="s">
        <v>1329</v>
      </c>
      <c r="C2513" t="s">
        <v>3703</v>
      </c>
      <c r="D2513" t="s">
        <v>15</v>
      </c>
      <c r="F2513">
        <v>19</v>
      </c>
      <c r="G2513" t="s">
        <v>1419</v>
      </c>
      <c r="H2513" s="89">
        <v>46196</v>
      </c>
      <c r="I2513" s="89">
        <v>46198</v>
      </c>
      <c r="J2513" t="s">
        <v>3549</v>
      </c>
      <c r="N2513" t="s">
        <v>3665</v>
      </c>
    </row>
    <row r="2514" spans="1:14" hidden="1" x14ac:dyDescent="0.25">
      <c r="A2514" t="s">
        <v>1316</v>
      </c>
      <c r="B2514" t="s">
        <v>1330</v>
      </c>
      <c r="C2514" t="s">
        <v>3706</v>
      </c>
      <c r="D2514" t="s">
        <v>15</v>
      </c>
      <c r="F2514">
        <v>70</v>
      </c>
      <c r="G2514" t="s">
        <v>1419</v>
      </c>
      <c r="H2514" s="89">
        <v>46196</v>
      </c>
      <c r="I2514" s="89">
        <v>46198</v>
      </c>
      <c r="J2514" t="s">
        <v>3549</v>
      </c>
      <c r="N2514" t="s">
        <v>3665</v>
      </c>
    </row>
    <row r="2515" spans="1:14" hidden="1" x14ac:dyDescent="0.25">
      <c r="A2515" t="s">
        <v>1317</v>
      </c>
      <c r="B2515" t="s">
        <v>1331</v>
      </c>
      <c r="C2515" t="s">
        <v>3707</v>
      </c>
      <c r="D2515" t="s">
        <v>15</v>
      </c>
      <c r="F2515">
        <v>28</v>
      </c>
      <c r="G2515" t="s">
        <v>1419</v>
      </c>
      <c r="H2515" s="89">
        <v>46196</v>
      </c>
      <c r="I2515" s="89">
        <v>46198</v>
      </c>
      <c r="J2515" t="s">
        <v>3549</v>
      </c>
      <c r="N2515" t="s">
        <v>3665</v>
      </c>
    </row>
    <row r="2516" spans="1:14" hidden="1" x14ac:dyDescent="0.25">
      <c r="A2516" t="s">
        <v>1318</v>
      </c>
      <c r="B2516" t="s">
        <v>1332</v>
      </c>
      <c r="C2516" t="s">
        <v>3708</v>
      </c>
      <c r="D2516" t="s">
        <v>15</v>
      </c>
      <c r="F2516">
        <v>37</v>
      </c>
      <c r="G2516" t="s">
        <v>1419</v>
      </c>
      <c r="H2516" s="89">
        <v>46196</v>
      </c>
      <c r="I2516" s="89">
        <v>46198</v>
      </c>
      <c r="J2516" t="s">
        <v>3549</v>
      </c>
      <c r="N2516" t="s">
        <v>3665</v>
      </c>
    </row>
    <row r="2517" spans="1:14" hidden="1" x14ac:dyDescent="0.25">
      <c r="A2517" t="s">
        <v>1320</v>
      </c>
      <c r="B2517" t="s">
        <v>1334</v>
      </c>
      <c r="C2517" t="s">
        <v>3709</v>
      </c>
      <c r="D2517" t="s">
        <v>150</v>
      </c>
      <c r="F2517">
        <v>960</v>
      </c>
      <c r="G2517">
        <v>20</v>
      </c>
      <c r="H2517" s="89">
        <v>46197</v>
      </c>
      <c r="I2517" s="89">
        <v>46200</v>
      </c>
      <c r="J2517" t="s">
        <v>3710</v>
      </c>
      <c r="N2517" t="s">
        <v>3665</v>
      </c>
    </row>
    <row r="2518" spans="1:14" hidden="1" x14ac:dyDescent="0.25">
      <c r="A2518" t="s">
        <v>1320</v>
      </c>
      <c r="B2518" t="s">
        <v>1334</v>
      </c>
      <c r="C2518" t="s">
        <v>3711</v>
      </c>
      <c r="D2518" t="s">
        <v>23</v>
      </c>
      <c r="F2518">
        <v>960</v>
      </c>
      <c r="G2518">
        <v>20</v>
      </c>
      <c r="H2518" s="89">
        <v>46197</v>
      </c>
      <c r="I2518" s="89">
        <v>46202</v>
      </c>
      <c r="J2518" t="s">
        <v>3712</v>
      </c>
      <c r="N2518" t="s">
        <v>3665</v>
      </c>
    </row>
    <row r="2519" spans="1:14" hidden="1" x14ac:dyDescent="0.25">
      <c r="A2519" t="s">
        <v>1324</v>
      </c>
      <c r="B2519" t="s">
        <v>1338</v>
      </c>
      <c r="C2519" t="s">
        <v>3713</v>
      </c>
      <c r="D2519" t="s">
        <v>15</v>
      </c>
      <c r="F2519">
        <v>288</v>
      </c>
      <c r="G2519">
        <v>6</v>
      </c>
      <c r="H2519" s="89">
        <v>46197</v>
      </c>
      <c r="I2519" s="89">
        <v>46202</v>
      </c>
      <c r="J2519" t="s">
        <v>3686</v>
      </c>
      <c r="N2519" t="s">
        <v>3665</v>
      </c>
    </row>
    <row r="2520" spans="1:14" hidden="1" x14ac:dyDescent="0.25">
      <c r="A2520" t="s">
        <v>1314</v>
      </c>
      <c r="B2520" t="s">
        <v>1328</v>
      </c>
      <c r="C2520" t="s">
        <v>3713</v>
      </c>
      <c r="D2520" t="s">
        <v>15</v>
      </c>
      <c r="F2520">
        <v>288</v>
      </c>
      <c r="G2520">
        <v>6</v>
      </c>
      <c r="H2520" s="89">
        <v>46197</v>
      </c>
      <c r="I2520" s="89">
        <v>46201</v>
      </c>
      <c r="J2520" t="s">
        <v>3714</v>
      </c>
      <c r="N2520" t="s">
        <v>3665</v>
      </c>
    </row>
    <row r="2521" spans="1:14" hidden="1" x14ac:dyDescent="0.25">
      <c r="A2521" t="s">
        <v>1313</v>
      </c>
      <c r="B2521" t="s">
        <v>1327</v>
      </c>
      <c r="C2521" t="s">
        <v>3713</v>
      </c>
      <c r="D2521" t="s">
        <v>15</v>
      </c>
      <c r="F2521">
        <v>816</v>
      </c>
      <c r="G2521">
        <v>17</v>
      </c>
      <c r="H2521" s="89">
        <v>46197</v>
      </c>
      <c r="I2521" s="89">
        <v>46201</v>
      </c>
      <c r="J2521" t="s">
        <v>3705</v>
      </c>
      <c r="N2521" t="s">
        <v>3665</v>
      </c>
    </row>
    <row r="2522" spans="1:14" hidden="1" x14ac:dyDescent="0.25">
      <c r="A2522" t="s">
        <v>1314</v>
      </c>
      <c r="B2522" t="s">
        <v>1328</v>
      </c>
      <c r="C2522" t="s">
        <v>3713</v>
      </c>
      <c r="D2522" t="s">
        <v>15</v>
      </c>
      <c r="F2522">
        <v>96</v>
      </c>
      <c r="G2522">
        <v>2</v>
      </c>
      <c r="H2522" s="89">
        <v>46197</v>
      </c>
      <c r="I2522" s="89">
        <v>46202</v>
      </c>
      <c r="J2522" t="s">
        <v>3715</v>
      </c>
      <c r="N2522" t="s">
        <v>3665</v>
      </c>
    </row>
    <row r="2523" spans="1:14" hidden="1" x14ac:dyDescent="0.25">
      <c r="A2523" t="s">
        <v>1566</v>
      </c>
      <c r="B2523" t="s">
        <v>1567</v>
      </c>
      <c r="C2523" t="s">
        <v>3713</v>
      </c>
      <c r="D2523" t="s">
        <v>15</v>
      </c>
      <c r="F2523">
        <v>5</v>
      </c>
      <c r="G2523">
        <v>0.10416666666666669</v>
      </c>
      <c r="H2523" s="89">
        <v>46197</v>
      </c>
      <c r="I2523" s="89">
        <v>46202</v>
      </c>
      <c r="J2523" t="s">
        <v>3715</v>
      </c>
      <c r="N2523" t="s">
        <v>3665</v>
      </c>
    </row>
    <row r="2524" spans="1:14" hidden="1" x14ac:dyDescent="0.25">
      <c r="A2524" t="s">
        <v>1315</v>
      </c>
      <c r="B2524" t="s">
        <v>1329</v>
      </c>
      <c r="C2524" t="s">
        <v>3713</v>
      </c>
      <c r="D2524" t="s">
        <v>15</v>
      </c>
      <c r="F2524">
        <v>16</v>
      </c>
      <c r="G2524" t="s">
        <v>1419</v>
      </c>
      <c r="H2524" s="89">
        <v>46197</v>
      </c>
      <c r="I2524" s="89">
        <v>46199</v>
      </c>
      <c r="J2524" t="s">
        <v>3549</v>
      </c>
      <c r="N2524" t="s">
        <v>3665</v>
      </c>
    </row>
    <row r="2525" spans="1:14" hidden="1" x14ac:dyDescent="0.25">
      <c r="A2525" t="s">
        <v>1316</v>
      </c>
      <c r="B2525" t="s">
        <v>1330</v>
      </c>
      <c r="C2525" t="s">
        <v>3716</v>
      </c>
      <c r="D2525" t="s">
        <v>15</v>
      </c>
      <c r="F2525">
        <v>55</v>
      </c>
      <c r="G2525" t="s">
        <v>1419</v>
      </c>
      <c r="H2525" s="89">
        <v>46197</v>
      </c>
      <c r="I2525" s="89">
        <v>46199</v>
      </c>
      <c r="J2525" t="s">
        <v>3549</v>
      </c>
      <c r="N2525" t="s">
        <v>3665</v>
      </c>
    </row>
    <row r="2526" spans="1:14" hidden="1" x14ac:dyDescent="0.25">
      <c r="A2526" t="s">
        <v>1317</v>
      </c>
      <c r="B2526" t="s">
        <v>1331</v>
      </c>
      <c r="C2526" t="s">
        <v>3717</v>
      </c>
      <c r="D2526" t="s">
        <v>15</v>
      </c>
      <c r="F2526">
        <v>31</v>
      </c>
      <c r="G2526" t="s">
        <v>1419</v>
      </c>
      <c r="H2526" s="89">
        <v>46197</v>
      </c>
      <c r="I2526" s="89">
        <v>46199</v>
      </c>
      <c r="J2526" t="s">
        <v>3549</v>
      </c>
      <c r="N2526" t="s">
        <v>3665</v>
      </c>
    </row>
    <row r="2527" spans="1:14" hidden="1" x14ac:dyDescent="0.25">
      <c r="A2527" t="s">
        <v>1318</v>
      </c>
      <c r="B2527" t="s">
        <v>1332</v>
      </c>
      <c r="C2527" t="s">
        <v>3718</v>
      </c>
      <c r="D2527" t="s">
        <v>15</v>
      </c>
      <c r="F2527">
        <v>26</v>
      </c>
      <c r="G2527" t="s">
        <v>1419</v>
      </c>
      <c r="H2527" s="89">
        <v>46197</v>
      </c>
      <c r="I2527" s="89">
        <v>46199</v>
      </c>
      <c r="J2527" t="s">
        <v>3549</v>
      </c>
      <c r="N2527" t="s">
        <v>3665</v>
      </c>
    </row>
    <row r="2528" spans="1:14" hidden="1" x14ac:dyDescent="0.25">
      <c r="A2528" t="s">
        <v>1313</v>
      </c>
      <c r="B2528" t="s">
        <v>1327</v>
      </c>
      <c r="C2528" t="s">
        <v>3719</v>
      </c>
      <c r="D2528" t="s">
        <v>20</v>
      </c>
      <c r="F2528">
        <v>1051</v>
      </c>
      <c r="G2528">
        <v>21.895833333333332</v>
      </c>
      <c r="H2528" s="89">
        <v>46197</v>
      </c>
      <c r="I2528" s="89">
        <v>46202</v>
      </c>
      <c r="J2528" t="s">
        <v>3720</v>
      </c>
      <c r="N2528" t="s">
        <v>3665</v>
      </c>
    </row>
    <row r="2529" spans="1:14" hidden="1" x14ac:dyDescent="0.25">
      <c r="A2529" t="s">
        <v>1315</v>
      </c>
      <c r="B2529" t="s">
        <v>1329</v>
      </c>
      <c r="C2529" t="s">
        <v>3719</v>
      </c>
      <c r="D2529" t="s">
        <v>20</v>
      </c>
      <c r="F2529">
        <v>53</v>
      </c>
      <c r="G2529" t="s">
        <v>1419</v>
      </c>
      <c r="H2529" s="89">
        <v>46197</v>
      </c>
      <c r="I2529" s="89">
        <v>46202</v>
      </c>
      <c r="J2529" t="s">
        <v>3549</v>
      </c>
      <c r="N2529" t="s">
        <v>3665</v>
      </c>
    </row>
    <row r="2530" spans="1:14" hidden="1" x14ac:dyDescent="0.25">
      <c r="A2530" t="s">
        <v>1316</v>
      </c>
      <c r="B2530" t="s">
        <v>1330</v>
      </c>
      <c r="C2530" t="s">
        <v>3721</v>
      </c>
      <c r="D2530" t="s">
        <v>20</v>
      </c>
      <c r="F2530">
        <v>82</v>
      </c>
      <c r="G2530" t="s">
        <v>1419</v>
      </c>
      <c r="H2530" s="89">
        <v>46197</v>
      </c>
      <c r="I2530" s="89">
        <v>46199</v>
      </c>
      <c r="J2530" t="s">
        <v>3549</v>
      </c>
      <c r="N2530" t="s">
        <v>3665</v>
      </c>
    </row>
    <row r="2531" spans="1:14" hidden="1" x14ac:dyDescent="0.25">
      <c r="A2531" t="s">
        <v>1317</v>
      </c>
      <c r="B2531" t="s">
        <v>1331</v>
      </c>
      <c r="C2531" t="s">
        <v>3722</v>
      </c>
      <c r="D2531" t="s">
        <v>20</v>
      </c>
      <c r="F2531">
        <v>7</v>
      </c>
      <c r="G2531" t="s">
        <v>1419</v>
      </c>
      <c r="H2531" s="89">
        <v>46197</v>
      </c>
      <c r="I2531" s="89">
        <v>46199</v>
      </c>
      <c r="J2531" t="s">
        <v>3549</v>
      </c>
      <c r="N2531" t="s">
        <v>3665</v>
      </c>
    </row>
    <row r="2532" spans="1:14" hidden="1" x14ac:dyDescent="0.25">
      <c r="A2532" t="s">
        <v>1318</v>
      </c>
      <c r="B2532" t="s">
        <v>1332</v>
      </c>
      <c r="C2532" t="s">
        <v>3723</v>
      </c>
      <c r="D2532" t="s">
        <v>20</v>
      </c>
      <c r="F2532">
        <v>49</v>
      </c>
      <c r="G2532" t="s">
        <v>1419</v>
      </c>
      <c r="H2532" s="89">
        <v>46197</v>
      </c>
      <c r="I2532" s="89">
        <v>46199</v>
      </c>
      <c r="J2532" t="s">
        <v>3549</v>
      </c>
      <c r="N2532" t="s">
        <v>3665</v>
      </c>
    </row>
    <row r="2533" spans="1:14" hidden="1" x14ac:dyDescent="0.25">
      <c r="A2533" t="s">
        <v>1320</v>
      </c>
      <c r="B2533" t="s">
        <v>1334</v>
      </c>
      <c r="C2533" t="s">
        <v>3724</v>
      </c>
      <c r="D2533" t="s">
        <v>21</v>
      </c>
      <c r="F2533">
        <v>960</v>
      </c>
      <c r="G2533">
        <v>20</v>
      </c>
      <c r="H2533" s="89">
        <v>46197</v>
      </c>
      <c r="I2533" s="89">
        <v>46202</v>
      </c>
      <c r="J2533" t="s">
        <v>3725</v>
      </c>
      <c r="N2533" t="s">
        <v>3665</v>
      </c>
    </row>
    <row r="2534" spans="1:14" hidden="1" x14ac:dyDescent="0.25">
      <c r="A2534" t="s">
        <v>1313</v>
      </c>
      <c r="B2534" t="s">
        <v>1327</v>
      </c>
      <c r="C2534" t="s">
        <v>3724</v>
      </c>
      <c r="D2534" t="s">
        <v>21</v>
      </c>
      <c r="F2534">
        <v>720</v>
      </c>
      <c r="G2534">
        <v>15</v>
      </c>
      <c r="H2534" s="89">
        <v>46197</v>
      </c>
      <c r="I2534" s="89">
        <v>46202</v>
      </c>
      <c r="J2534" t="s">
        <v>3726</v>
      </c>
      <c r="N2534" t="s">
        <v>3665</v>
      </c>
    </row>
    <row r="2535" spans="1:14" hidden="1" x14ac:dyDescent="0.25">
      <c r="A2535" t="s">
        <v>1315</v>
      </c>
      <c r="B2535" t="s">
        <v>1329</v>
      </c>
      <c r="C2535" t="s">
        <v>3724</v>
      </c>
      <c r="D2535" t="s">
        <v>21</v>
      </c>
      <c r="F2535">
        <v>47</v>
      </c>
      <c r="G2535" t="s">
        <v>1419</v>
      </c>
      <c r="H2535" s="89">
        <v>46197</v>
      </c>
      <c r="I2535" s="89">
        <v>46199</v>
      </c>
      <c r="J2535" t="s">
        <v>3549</v>
      </c>
      <c r="N2535" t="s">
        <v>3665</v>
      </c>
    </row>
    <row r="2536" spans="1:14" hidden="1" x14ac:dyDescent="0.25">
      <c r="A2536" t="s">
        <v>1316</v>
      </c>
      <c r="B2536" t="s">
        <v>1330</v>
      </c>
      <c r="C2536" t="s">
        <v>3727</v>
      </c>
      <c r="D2536" t="s">
        <v>21</v>
      </c>
      <c r="F2536">
        <v>19</v>
      </c>
      <c r="G2536" t="s">
        <v>1419</v>
      </c>
      <c r="H2536" s="89">
        <v>46197</v>
      </c>
      <c r="I2536" s="89">
        <v>46199</v>
      </c>
      <c r="J2536" t="s">
        <v>3549</v>
      </c>
      <c r="N2536" t="s">
        <v>3665</v>
      </c>
    </row>
    <row r="2537" spans="1:14" hidden="1" x14ac:dyDescent="0.25">
      <c r="A2537" t="s">
        <v>1317</v>
      </c>
      <c r="B2537" t="s">
        <v>1331</v>
      </c>
      <c r="C2537" t="s">
        <v>3728</v>
      </c>
      <c r="D2537" t="s">
        <v>21</v>
      </c>
      <c r="F2537">
        <v>4</v>
      </c>
      <c r="G2537" t="s">
        <v>1419</v>
      </c>
      <c r="H2537" s="89">
        <v>46197</v>
      </c>
      <c r="I2537" s="89">
        <v>46199</v>
      </c>
      <c r="J2537" t="s">
        <v>3549</v>
      </c>
      <c r="N2537" t="s">
        <v>3665</v>
      </c>
    </row>
    <row r="2538" spans="1:14" hidden="1" x14ac:dyDescent="0.25">
      <c r="A2538" t="s">
        <v>1318</v>
      </c>
      <c r="B2538" t="s">
        <v>1332</v>
      </c>
      <c r="C2538" t="s">
        <v>3729</v>
      </c>
      <c r="D2538" t="s">
        <v>21</v>
      </c>
      <c r="F2538">
        <v>79</v>
      </c>
      <c r="G2538" t="s">
        <v>1419</v>
      </c>
      <c r="H2538" s="89">
        <v>46197</v>
      </c>
      <c r="I2538" s="89">
        <v>46199</v>
      </c>
      <c r="J2538" t="s">
        <v>3549</v>
      </c>
      <c r="N2538" t="s">
        <v>3665</v>
      </c>
    </row>
    <row r="2539" spans="1:14" hidden="1" x14ac:dyDescent="0.25">
      <c r="A2539" t="s">
        <v>1324</v>
      </c>
      <c r="B2539" t="s">
        <v>1338</v>
      </c>
      <c r="C2539" t="s">
        <v>3730</v>
      </c>
      <c r="D2539" t="s">
        <v>23</v>
      </c>
      <c r="F2539">
        <v>960</v>
      </c>
      <c r="G2539">
        <v>20</v>
      </c>
      <c r="H2539" s="89">
        <v>46198</v>
      </c>
      <c r="I2539" s="89">
        <v>46204</v>
      </c>
      <c r="J2539" t="s">
        <v>3731</v>
      </c>
      <c r="N2539" t="s">
        <v>3665</v>
      </c>
    </row>
    <row r="2540" spans="1:14" hidden="1" x14ac:dyDescent="0.25">
      <c r="A2540" t="s">
        <v>1320</v>
      </c>
      <c r="B2540" t="s">
        <v>1334</v>
      </c>
      <c r="C2540" t="s">
        <v>3732</v>
      </c>
      <c r="D2540" t="s">
        <v>150</v>
      </c>
      <c r="F2540">
        <v>960</v>
      </c>
      <c r="G2540">
        <v>20</v>
      </c>
      <c r="H2540" s="89">
        <v>46198</v>
      </c>
      <c r="I2540" s="89">
        <v>46204</v>
      </c>
      <c r="J2540" t="s">
        <v>3733</v>
      </c>
      <c r="N2540" t="s">
        <v>3665</v>
      </c>
    </row>
    <row r="2541" spans="1:14" hidden="1" x14ac:dyDescent="0.25">
      <c r="A2541" t="s">
        <v>1320</v>
      </c>
      <c r="B2541" t="s">
        <v>1334</v>
      </c>
      <c r="C2541" t="s">
        <v>3734</v>
      </c>
      <c r="D2541" t="s">
        <v>30</v>
      </c>
      <c r="F2541">
        <v>576</v>
      </c>
      <c r="G2541">
        <v>12</v>
      </c>
      <c r="H2541" s="89">
        <v>46198</v>
      </c>
      <c r="I2541" s="89">
        <v>46203</v>
      </c>
      <c r="J2541" t="s">
        <v>3735</v>
      </c>
      <c r="N2541" t="s">
        <v>3665</v>
      </c>
    </row>
    <row r="2542" spans="1:14" hidden="1" x14ac:dyDescent="0.25">
      <c r="A2542" t="s">
        <v>1324</v>
      </c>
      <c r="B2542" t="s">
        <v>1338</v>
      </c>
      <c r="C2542" t="s">
        <v>3736</v>
      </c>
      <c r="D2542" t="s">
        <v>103</v>
      </c>
      <c r="F2542">
        <v>960</v>
      </c>
      <c r="G2542">
        <v>20</v>
      </c>
      <c r="H2542" s="89">
        <v>46198</v>
      </c>
      <c r="I2542" s="89">
        <v>46204</v>
      </c>
      <c r="J2542" t="s">
        <v>3731</v>
      </c>
      <c r="N2542" t="s">
        <v>3665</v>
      </c>
    </row>
    <row r="2543" spans="1:14" hidden="1" x14ac:dyDescent="0.25">
      <c r="A2543" t="s">
        <v>1320</v>
      </c>
      <c r="B2543" t="s">
        <v>1334</v>
      </c>
      <c r="C2543" t="s">
        <v>3737</v>
      </c>
      <c r="D2543" t="s">
        <v>21</v>
      </c>
      <c r="F2543">
        <v>960</v>
      </c>
      <c r="G2543">
        <v>20</v>
      </c>
      <c r="H2543" s="89">
        <v>46198</v>
      </c>
      <c r="I2543" s="89">
        <v>46203</v>
      </c>
      <c r="J2543" t="s">
        <v>3738</v>
      </c>
      <c r="N2543" t="s">
        <v>3665</v>
      </c>
    </row>
    <row r="2544" spans="1:14" hidden="1" x14ac:dyDescent="0.25">
      <c r="A2544" t="s">
        <v>1314</v>
      </c>
      <c r="B2544" t="s">
        <v>1328</v>
      </c>
      <c r="C2544" t="s">
        <v>3737</v>
      </c>
      <c r="D2544" t="s">
        <v>21</v>
      </c>
      <c r="F2544">
        <v>96</v>
      </c>
      <c r="G2544">
        <v>2</v>
      </c>
      <c r="H2544" s="89">
        <v>46198</v>
      </c>
      <c r="I2544" s="89">
        <v>46202</v>
      </c>
      <c r="J2544" t="s">
        <v>3739</v>
      </c>
      <c r="N2544" t="s">
        <v>3665</v>
      </c>
    </row>
    <row r="2545" spans="1:14" hidden="1" x14ac:dyDescent="0.25">
      <c r="A2545" t="s">
        <v>1313</v>
      </c>
      <c r="B2545" t="s">
        <v>1327</v>
      </c>
      <c r="C2545" t="s">
        <v>3737</v>
      </c>
      <c r="D2545" t="s">
        <v>21</v>
      </c>
      <c r="F2545">
        <v>336</v>
      </c>
      <c r="G2545">
        <v>7</v>
      </c>
      <c r="H2545" s="89">
        <v>46198</v>
      </c>
      <c r="I2545" s="89">
        <v>46202</v>
      </c>
      <c r="J2545" t="s">
        <v>3726</v>
      </c>
      <c r="N2545" t="s">
        <v>3665</v>
      </c>
    </row>
    <row r="2546" spans="1:14" hidden="1" x14ac:dyDescent="0.25">
      <c r="A2546" t="s">
        <v>1315</v>
      </c>
      <c r="B2546" t="s">
        <v>1329</v>
      </c>
      <c r="C2546" t="s">
        <v>3737</v>
      </c>
      <c r="D2546" t="s">
        <v>21</v>
      </c>
      <c r="F2546">
        <v>78</v>
      </c>
      <c r="G2546" t="s">
        <v>1419</v>
      </c>
      <c r="H2546" s="89">
        <v>46198</v>
      </c>
      <c r="I2546" s="89">
        <v>46200</v>
      </c>
      <c r="J2546" t="s">
        <v>3549</v>
      </c>
      <c r="N2546" t="s">
        <v>3665</v>
      </c>
    </row>
    <row r="2547" spans="1:14" hidden="1" x14ac:dyDescent="0.25">
      <c r="A2547" t="s">
        <v>1316</v>
      </c>
      <c r="B2547" t="s">
        <v>1330</v>
      </c>
      <c r="C2547" t="s">
        <v>3740</v>
      </c>
      <c r="D2547" t="s">
        <v>21</v>
      </c>
      <c r="F2547">
        <v>12</v>
      </c>
      <c r="G2547" t="s">
        <v>1419</v>
      </c>
      <c r="H2547" s="89">
        <v>46198</v>
      </c>
      <c r="I2547" s="89">
        <v>46200</v>
      </c>
      <c r="J2547" t="s">
        <v>3549</v>
      </c>
      <c r="N2547" t="s">
        <v>3665</v>
      </c>
    </row>
    <row r="2548" spans="1:14" hidden="1" x14ac:dyDescent="0.25">
      <c r="A2548" t="s">
        <v>1317</v>
      </c>
      <c r="B2548" t="s">
        <v>1331</v>
      </c>
      <c r="C2548" t="s">
        <v>3741</v>
      </c>
      <c r="D2548" t="s">
        <v>21</v>
      </c>
      <c r="F2548">
        <v>15</v>
      </c>
      <c r="G2548" t="s">
        <v>1419</v>
      </c>
      <c r="H2548" s="89">
        <v>46198</v>
      </c>
      <c r="I2548" s="89">
        <v>46200</v>
      </c>
      <c r="J2548" t="s">
        <v>3549</v>
      </c>
      <c r="N2548" t="s">
        <v>3665</v>
      </c>
    </row>
    <row r="2549" spans="1:14" hidden="1" x14ac:dyDescent="0.25">
      <c r="A2549" t="s">
        <v>1318</v>
      </c>
      <c r="B2549" t="s">
        <v>1332</v>
      </c>
      <c r="C2549" t="s">
        <v>3742</v>
      </c>
      <c r="D2549" t="s">
        <v>21</v>
      </c>
      <c r="F2549">
        <v>59</v>
      </c>
      <c r="G2549" t="s">
        <v>1419</v>
      </c>
      <c r="H2549" s="89">
        <v>46198</v>
      </c>
      <c r="I2549" s="89">
        <v>46200</v>
      </c>
      <c r="J2549" t="s">
        <v>3549</v>
      </c>
      <c r="N2549" t="s">
        <v>3665</v>
      </c>
    </row>
    <row r="2550" spans="1:14" hidden="1" x14ac:dyDescent="0.25">
      <c r="A2550" t="s">
        <v>1313</v>
      </c>
      <c r="B2550" t="s">
        <v>1327</v>
      </c>
      <c r="C2550" t="s">
        <v>3743</v>
      </c>
      <c r="D2550" t="s">
        <v>20</v>
      </c>
      <c r="F2550">
        <v>912</v>
      </c>
      <c r="G2550">
        <v>19</v>
      </c>
      <c r="H2550" s="89">
        <v>46198</v>
      </c>
      <c r="I2550" s="89">
        <v>46204</v>
      </c>
      <c r="J2550" t="s">
        <v>3744</v>
      </c>
      <c r="N2550" t="s">
        <v>3665</v>
      </c>
    </row>
    <row r="2551" spans="1:14" hidden="1" x14ac:dyDescent="0.25">
      <c r="A2551" t="s">
        <v>1315</v>
      </c>
      <c r="B2551" t="s">
        <v>1329</v>
      </c>
      <c r="C2551" t="s">
        <v>3743</v>
      </c>
      <c r="D2551" t="s">
        <v>20</v>
      </c>
      <c r="F2551">
        <v>21</v>
      </c>
      <c r="G2551" t="s">
        <v>1419</v>
      </c>
      <c r="H2551" s="89">
        <v>46198</v>
      </c>
      <c r="I2551" s="89">
        <v>46200</v>
      </c>
      <c r="J2551" t="s">
        <v>3549</v>
      </c>
      <c r="N2551" t="s">
        <v>3665</v>
      </c>
    </row>
    <row r="2552" spans="1:14" hidden="1" x14ac:dyDescent="0.25">
      <c r="A2552" t="s">
        <v>1316</v>
      </c>
      <c r="B2552" t="s">
        <v>1330</v>
      </c>
      <c r="C2552" t="s">
        <v>3745</v>
      </c>
      <c r="D2552" t="s">
        <v>20</v>
      </c>
      <c r="F2552">
        <v>56</v>
      </c>
      <c r="G2552" t="s">
        <v>1419</v>
      </c>
      <c r="H2552" s="89">
        <v>46198</v>
      </c>
      <c r="I2552" s="89">
        <v>46200</v>
      </c>
      <c r="J2552" t="s">
        <v>3549</v>
      </c>
      <c r="N2552" t="s">
        <v>3665</v>
      </c>
    </row>
    <row r="2553" spans="1:14" hidden="1" x14ac:dyDescent="0.25">
      <c r="A2553" t="s">
        <v>1317</v>
      </c>
      <c r="B2553" t="s">
        <v>1331</v>
      </c>
      <c r="C2553" t="s">
        <v>3746</v>
      </c>
      <c r="D2553" t="s">
        <v>20</v>
      </c>
      <c r="F2553">
        <v>1</v>
      </c>
      <c r="G2553" t="s">
        <v>1419</v>
      </c>
      <c r="H2553" s="89">
        <v>46198</v>
      </c>
      <c r="I2553" s="89">
        <v>46200</v>
      </c>
      <c r="J2553" t="s">
        <v>3549</v>
      </c>
      <c r="N2553" t="s">
        <v>3665</v>
      </c>
    </row>
    <row r="2554" spans="1:14" hidden="1" x14ac:dyDescent="0.25">
      <c r="A2554" t="s">
        <v>1318</v>
      </c>
      <c r="B2554" t="s">
        <v>1332</v>
      </c>
      <c r="C2554" t="s">
        <v>3747</v>
      </c>
      <c r="D2554" t="s">
        <v>20</v>
      </c>
      <c r="F2554">
        <v>38</v>
      </c>
      <c r="G2554" t="s">
        <v>1419</v>
      </c>
      <c r="H2554" s="89">
        <v>46198</v>
      </c>
      <c r="I2554" s="89">
        <v>46200</v>
      </c>
      <c r="J2554" t="s">
        <v>3549</v>
      </c>
      <c r="N2554" t="s">
        <v>3665</v>
      </c>
    </row>
    <row r="2555" spans="1:14" hidden="1" x14ac:dyDescent="0.25">
      <c r="A2555" t="s">
        <v>1314</v>
      </c>
      <c r="B2555" t="s">
        <v>1328</v>
      </c>
      <c r="C2555" t="s">
        <v>3748</v>
      </c>
      <c r="D2555" t="s">
        <v>15</v>
      </c>
      <c r="F2555">
        <v>288</v>
      </c>
      <c r="G2555">
        <v>6</v>
      </c>
      <c r="H2555" s="89">
        <v>46198</v>
      </c>
      <c r="I2555" s="89">
        <v>46203</v>
      </c>
      <c r="J2555" t="s">
        <v>3749</v>
      </c>
      <c r="N2555" t="s">
        <v>3665</v>
      </c>
    </row>
    <row r="2556" spans="1:14" hidden="1" x14ac:dyDescent="0.25">
      <c r="A2556" t="s">
        <v>1313</v>
      </c>
      <c r="B2556" t="s">
        <v>1327</v>
      </c>
      <c r="C2556" t="s">
        <v>3748</v>
      </c>
      <c r="D2556" t="s">
        <v>15</v>
      </c>
      <c r="F2556">
        <v>864</v>
      </c>
      <c r="G2556">
        <v>18</v>
      </c>
      <c r="H2556" s="89">
        <v>46198</v>
      </c>
      <c r="I2556" s="89">
        <v>46203</v>
      </c>
      <c r="J2556" t="s">
        <v>3750</v>
      </c>
      <c r="N2556" t="s">
        <v>3665</v>
      </c>
    </row>
    <row r="2557" spans="1:14" hidden="1" x14ac:dyDescent="0.25">
      <c r="A2557" t="s">
        <v>1313</v>
      </c>
      <c r="B2557" t="s">
        <v>1327</v>
      </c>
      <c r="C2557" t="s">
        <v>3748</v>
      </c>
      <c r="D2557" t="s">
        <v>15</v>
      </c>
      <c r="F2557">
        <v>240</v>
      </c>
      <c r="G2557">
        <v>5</v>
      </c>
      <c r="H2557" s="89">
        <v>46198</v>
      </c>
      <c r="I2557" s="89">
        <v>46204</v>
      </c>
      <c r="J2557" t="s">
        <v>3751</v>
      </c>
      <c r="N2557" t="s">
        <v>3665</v>
      </c>
    </row>
    <row r="2558" spans="1:14" hidden="1" x14ac:dyDescent="0.25">
      <c r="A2558" t="s">
        <v>1315</v>
      </c>
      <c r="B2558" t="s">
        <v>1329</v>
      </c>
      <c r="C2558" t="s">
        <v>3748</v>
      </c>
      <c r="D2558" t="s">
        <v>15</v>
      </c>
      <c r="F2558">
        <v>43</v>
      </c>
      <c r="G2558" t="s">
        <v>1419</v>
      </c>
      <c r="H2558" s="89">
        <v>46198</v>
      </c>
      <c r="I2558" s="89">
        <v>46200</v>
      </c>
      <c r="J2558" t="s">
        <v>3549</v>
      </c>
      <c r="N2558" t="s">
        <v>3665</v>
      </c>
    </row>
    <row r="2559" spans="1:14" hidden="1" x14ac:dyDescent="0.25">
      <c r="A2559" t="s">
        <v>1316</v>
      </c>
      <c r="B2559" t="s">
        <v>1330</v>
      </c>
      <c r="C2559" t="s">
        <v>3752</v>
      </c>
      <c r="D2559" t="s">
        <v>15</v>
      </c>
      <c r="F2559">
        <v>47</v>
      </c>
      <c r="G2559" t="s">
        <v>1419</v>
      </c>
      <c r="H2559" s="89">
        <v>46198</v>
      </c>
      <c r="I2559" s="89">
        <v>46200</v>
      </c>
      <c r="J2559" t="s">
        <v>3549</v>
      </c>
      <c r="N2559" t="s">
        <v>3665</v>
      </c>
    </row>
    <row r="2560" spans="1:14" hidden="1" x14ac:dyDescent="0.25">
      <c r="A2560" t="s">
        <v>1317</v>
      </c>
      <c r="B2560" t="s">
        <v>1331</v>
      </c>
      <c r="C2560" t="s">
        <v>3753</v>
      </c>
      <c r="D2560" t="s">
        <v>15</v>
      </c>
      <c r="F2560">
        <v>30</v>
      </c>
      <c r="G2560" t="s">
        <v>1419</v>
      </c>
      <c r="H2560" s="89">
        <v>46198</v>
      </c>
      <c r="I2560" s="89">
        <v>46200</v>
      </c>
      <c r="J2560" t="s">
        <v>3549</v>
      </c>
      <c r="N2560" t="s">
        <v>3665</v>
      </c>
    </row>
    <row r="2561" spans="1:14" hidden="1" x14ac:dyDescent="0.25">
      <c r="A2561" t="s">
        <v>1318</v>
      </c>
      <c r="B2561" t="s">
        <v>1332</v>
      </c>
      <c r="C2561" t="s">
        <v>3754</v>
      </c>
      <c r="D2561" t="s">
        <v>15</v>
      </c>
      <c r="F2561">
        <v>27</v>
      </c>
      <c r="G2561" t="s">
        <v>1419</v>
      </c>
      <c r="H2561" s="89">
        <v>46198</v>
      </c>
      <c r="I2561" s="89">
        <v>46200</v>
      </c>
      <c r="J2561" t="s">
        <v>3549</v>
      </c>
      <c r="N2561" t="s">
        <v>3665</v>
      </c>
    </row>
    <row r="2562" spans="1:14" hidden="1" x14ac:dyDescent="0.25">
      <c r="A2562" t="s">
        <v>1324</v>
      </c>
      <c r="B2562" t="s">
        <v>1338</v>
      </c>
      <c r="C2562" t="s">
        <v>3755</v>
      </c>
      <c r="D2562" t="s">
        <v>138</v>
      </c>
      <c r="H2562" s="89">
        <v>46199</v>
      </c>
      <c r="I2562" s="89">
        <v>46207</v>
      </c>
      <c r="J2562" t="s">
        <v>3756</v>
      </c>
      <c r="N2562" t="s">
        <v>3665</v>
      </c>
    </row>
    <row r="2563" spans="1:14" hidden="1" x14ac:dyDescent="0.25">
      <c r="A2563" t="s">
        <v>1313</v>
      </c>
      <c r="B2563" t="s">
        <v>1327</v>
      </c>
      <c r="C2563" t="s">
        <v>3757</v>
      </c>
      <c r="D2563" t="s">
        <v>15</v>
      </c>
      <c r="H2563" s="89">
        <v>46199</v>
      </c>
      <c r="I2563" s="89">
        <v>46203</v>
      </c>
      <c r="J2563" t="s">
        <v>3758</v>
      </c>
      <c r="N2563" t="s">
        <v>3665</v>
      </c>
    </row>
    <row r="2564" spans="1:14" hidden="1" x14ac:dyDescent="0.25">
      <c r="A2564" t="s">
        <v>1320</v>
      </c>
      <c r="B2564" t="s">
        <v>1334</v>
      </c>
      <c r="C2564" t="s">
        <v>3759</v>
      </c>
      <c r="D2564" t="s">
        <v>150</v>
      </c>
      <c r="F2564">
        <v>960</v>
      </c>
      <c r="G2564">
        <v>20</v>
      </c>
      <c r="H2564" s="89">
        <v>46199</v>
      </c>
      <c r="I2564" s="89">
        <v>46205</v>
      </c>
      <c r="J2564" t="s">
        <v>3760</v>
      </c>
      <c r="N2564" t="s">
        <v>3665</v>
      </c>
    </row>
    <row r="2565" spans="1:14" hidden="1" x14ac:dyDescent="0.25">
      <c r="A2565" t="s">
        <v>1325</v>
      </c>
      <c r="B2565" t="s">
        <v>1339</v>
      </c>
      <c r="C2565" t="s">
        <v>3755</v>
      </c>
      <c r="D2565" t="s">
        <v>138</v>
      </c>
      <c r="F2565">
        <v>384</v>
      </c>
      <c r="G2565">
        <v>8</v>
      </c>
      <c r="H2565" s="89">
        <v>46199</v>
      </c>
      <c r="I2565" s="89">
        <v>46200</v>
      </c>
      <c r="J2565" t="s">
        <v>3549</v>
      </c>
      <c r="N2565" t="s">
        <v>3665</v>
      </c>
    </row>
    <row r="2566" spans="1:14" hidden="1" x14ac:dyDescent="0.25">
      <c r="A2566" t="s">
        <v>1313</v>
      </c>
      <c r="B2566" t="s">
        <v>1327</v>
      </c>
      <c r="C2566" t="s">
        <v>3761</v>
      </c>
      <c r="D2566" t="s">
        <v>147</v>
      </c>
      <c r="F2566">
        <v>624</v>
      </c>
      <c r="G2566">
        <v>13</v>
      </c>
      <c r="H2566" s="89">
        <v>46199</v>
      </c>
      <c r="I2566" s="89">
        <v>46206</v>
      </c>
      <c r="J2566" t="s">
        <v>3762</v>
      </c>
      <c r="N2566" t="s">
        <v>3665</v>
      </c>
    </row>
    <row r="2567" spans="1:14" hidden="1" x14ac:dyDescent="0.25">
      <c r="A2567" t="s">
        <v>1313</v>
      </c>
      <c r="B2567" t="s">
        <v>1327</v>
      </c>
      <c r="C2567" t="s">
        <v>3763</v>
      </c>
      <c r="D2567" t="s">
        <v>152</v>
      </c>
      <c r="F2567">
        <v>480</v>
      </c>
      <c r="G2567">
        <v>10</v>
      </c>
      <c r="H2567" s="89">
        <v>46199</v>
      </c>
      <c r="I2567" s="89">
        <v>46206</v>
      </c>
      <c r="J2567" t="s">
        <v>3762</v>
      </c>
      <c r="N2567" t="s">
        <v>3665</v>
      </c>
    </row>
    <row r="2568" spans="1:14" hidden="1" x14ac:dyDescent="0.25">
      <c r="A2568" t="s">
        <v>1319</v>
      </c>
      <c r="B2568" t="s">
        <v>1333</v>
      </c>
      <c r="C2568" t="s">
        <v>3763</v>
      </c>
      <c r="D2568" t="s">
        <v>152</v>
      </c>
      <c r="F2568">
        <v>48</v>
      </c>
      <c r="G2568">
        <v>1</v>
      </c>
      <c r="H2568" s="89">
        <v>46199</v>
      </c>
      <c r="I2568" s="89">
        <v>46206</v>
      </c>
      <c r="J2568" t="s">
        <v>3762</v>
      </c>
      <c r="N2568" t="s">
        <v>3665</v>
      </c>
    </row>
    <row r="2569" spans="1:14" hidden="1" x14ac:dyDescent="0.25">
      <c r="A2569" t="s">
        <v>1320</v>
      </c>
      <c r="B2569" t="s">
        <v>1334</v>
      </c>
      <c r="C2569" t="s">
        <v>3764</v>
      </c>
      <c r="D2569" t="s">
        <v>30</v>
      </c>
      <c r="F2569">
        <v>384</v>
      </c>
      <c r="G2569">
        <v>8</v>
      </c>
      <c r="H2569" s="89">
        <v>46199</v>
      </c>
      <c r="I2569" s="89">
        <v>46203</v>
      </c>
      <c r="J2569" t="s">
        <v>3735</v>
      </c>
      <c r="N2569" t="s">
        <v>3665</v>
      </c>
    </row>
    <row r="2570" spans="1:14" hidden="1" x14ac:dyDescent="0.25">
      <c r="A2570" t="s">
        <v>1320</v>
      </c>
      <c r="B2570" t="s">
        <v>1334</v>
      </c>
      <c r="C2570" t="s">
        <v>3765</v>
      </c>
      <c r="D2570" t="s">
        <v>93</v>
      </c>
      <c r="F2570">
        <v>960</v>
      </c>
      <c r="G2570">
        <v>20</v>
      </c>
      <c r="H2570" s="89">
        <v>46199</v>
      </c>
      <c r="I2570" s="89">
        <v>46205</v>
      </c>
      <c r="J2570" t="s">
        <v>3766</v>
      </c>
      <c r="N2570" t="s">
        <v>3665</v>
      </c>
    </row>
    <row r="2571" spans="1:14" hidden="1" x14ac:dyDescent="0.25">
      <c r="A2571" t="s">
        <v>1320</v>
      </c>
      <c r="B2571" t="s">
        <v>1334</v>
      </c>
      <c r="C2571" t="s">
        <v>3767</v>
      </c>
      <c r="D2571" t="s">
        <v>28</v>
      </c>
      <c r="F2571">
        <v>960</v>
      </c>
      <c r="G2571">
        <v>20</v>
      </c>
      <c r="H2571" s="89">
        <v>46199</v>
      </c>
      <c r="I2571" s="89">
        <v>46204</v>
      </c>
      <c r="J2571" t="s">
        <v>3768</v>
      </c>
      <c r="N2571" t="s">
        <v>3665</v>
      </c>
    </row>
    <row r="2572" spans="1:14" hidden="1" x14ac:dyDescent="0.25">
      <c r="A2572" t="s">
        <v>1315</v>
      </c>
      <c r="B2572" t="s">
        <v>1329</v>
      </c>
      <c r="C2572" t="s">
        <v>3767</v>
      </c>
      <c r="D2572" t="s">
        <v>28</v>
      </c>
      <c r="F2572">
        <v>119</v>
      </c>
      <c r="G2572" t="s">
        <v>1419</v>
      </c>
      <c r="H2572" s="89">
        <v>46199</v>
      </c>
      <c r="I2572" s="89">
        <v>46201</v>
      </c>
      <c r="J2572" t="s">
        <v>3549</v>
      </c>
      <c r="N2572" t="s">
        <v>3665</v>
      </c>
    </row>
    <row r="2573" spans="1:14" hidden="1" x14ac:dyDescent="0.25">
      <c r="A2573" t="s">
        <v>1316</v>
      </c>
      <c r="B2573" t="s">
        <v>1330</v>
      </c>
      <c r="C2573" t="s">
        <v>3769</v>
      </c>
      <c r="D2573" t="s">
        <v>28</v>
      </c>
      <c r="F2573">
        <v>15</v>
      </c>
      <c r="G2573" t="s">
        <v>1419</v>
      </c>
      <c r="H2573" s="89">
        <v>46199</v>
      </c>
      <c r="I2573" s="89">
        <v>46201</v>
      </c>
      <c r="J2573" t="s">
        <v>3549</v>
      </c>
      <c r="N2573" t="s">
        <v>3665</v>
      </c>
    </row>
    <row r="2574" spans="1:14" hidden="1" x14ac:dyDescent="0.25">
      <c r="A2574" t="s">
        <v>1317</v>
      </c>
      <c r="B2574" t="s">
        <v>1331</v>
      </c>
      <c r="C2574" t="s">
        <v>3770</v>
      </c>
      <c r="D2574" t="s">
        <v>28</v>
      </c>
      <c r="F2574">
        <v>15</v>
      </c>
      <c r="G2574" t="s">
        <v>1419</v>
      </c>
      <c r="H2574" s="89">
        <v>46199</v>
      </c>
      <c r="I2574" s="89">
        <v>46201</v>
      </c>
      <c r="J2574" t="s">
        <v>3549</v>
      </c>
      <c r="N2574" t="s">
        <v>3665</v>
      </c>
    </row>
    <row r="2575" spans="1:14" hidden="1" x14ac:dyDescent="0.25">
      <c r="A2575" t="s">
        <v>1318</v>
      </c>
      <c r="B2575" t="s">
        <v>1332</v>
      </c>
      <c r="C2575" t="s">
        <v>3771</v>
      </c>
      <c r="D2575" t="s">
        <v>28</v>
      </c>
      <c r="F2575">
        <v>48</v>
      </c>
      <c r="G2575" t="s">
        <v>1419</v>
      </c>
      <c r="H2575" s="89">
        <v>46199</v>
      </c>
      <c r="I2575" s="89">
        <v>46201</v>
      </c>
      <c r="J2575" t="s">
        <v>3549</v>
      </c>
      <c r="N2575" t="s">
        <v>3665</v>
      </c>
    </row>
    <row r="2576" spans="1:14" hidden="1" x14ac:dyDescent="0.25">
      <c r="A2576" t="s">
        <v>1313</v>
      </c>
      <c r="B2576" t="s">
        <v>1327</v>
      </c>
      <c r="C2576" t="s">
        <v>3772</v>
      </c>
      <c r="D2576" t="s">
        <v>20</v>
      </c>
      <c r="F2576">
        <v>1056</v>
      </c>
      <c r="G2576">
        <v>22</v>
      </c>
      <c r="H2576" s="89">
        <v>46199</v>
      </c>
      <c r="I2576" s="89">
        <v>46204</v>
      </c>
      <c r="J2576" t="s">
        <v>3773</v>
      </c>
      <c r="N2576" t="s">
        <v>3665</v>
      </c>
    </row>
    <row r="2577" spans="1:14" hidden="1" x14ac:dyDescent="0.25">
      <c r="A2577" t="s">
        <v>1315</v>
      </c>
      <c r="B2577" t="s">
        <v>1329</v>
      </c>
      <c r="C2577" t="s">
        <v>3772</v>
      </c>
      <c r="D2577" t="s">
        <v>20</v>
      </c>
      <c r="F2577">
        <v>63</v>
      </c>
      <c r="G2577" t="s">
        <v>1419</v>
      </c>
      <c r="H2577" s="89">
        <v>46199</v>
      </c>
      <c r="I2577" s="89">
        <v>46201</v>
      </c>
      <c r="J2577" t="s">
        <v>3549</v>
      </c>
      <c r="N2577" t="s">
        <v>3665</v>
      </c>
    </row>
    <row r="2578" spans="1:14" hidden="1" x14ac:dyDescent="0.25">
      <c r="A2578" t="s">
        <v>1316</v>
      </c>
      <c r="B2578" t="s">
        <v>1330</v>
      </c>
      <c r="C2578" t="s">
        <v>3774</v>
      </c>
      <c r="D2578" t="s">
        <v>20</v>
      </c>
      <c r="F2578">
        <v>98</v>
      </c>
      <c r="G2578" t="s">
        <v>1419</v>
      </c>
      <c r="H2578" s="89">
        <v>46199</v>
      </c>
      <c r="I2578" s="89">
        <v>46201</v>
      </c>
      <c r="J2578" t="s">
        <v>3549</v>
      </c>
      <c r="N2578" t="s">
        <v>3665</v>
      </c>
    </row>
    <row r="2579" spans="1:14" hidden="1" x14ac:dyDescent="0.25">
      <c r="A2579" t="s">
        <v>1317</v>
      </c>
      <c r="B2579" t="s">
        <v>1331</v>
      </c>
      <c r="C2579" t="s">
        <v>3775</v>
      </c>
      <c r="D2579" t="s">
        <v>20</v>
      </c>
      <c r="F2579">
        <v>20</v>
      </c>
      <c r="G2579" t="s">
        <v>1419</v>
      </c>
      <c r="H2579" s="89">
        <v>46199</v>
      </c>
      <c r="I2579" s="89">
        <v>46201</v>
      </c>
      <c r="J2579" t="s">
        <v>3549</v>
      </c>
      <c r="N2579" t="s">
        <v>3665</v>
      </c>
    </row>
    <row r="2580" spans="1:14" hidden="1" x14ac:dyDescent="0.25">
      <c r="A2580" t="s">
        <v>1318</v>
      </c>
      <c r="B2580" t="s">
        <v>1332</v>
      </c>
      <c r="C2580" t="s">
        <v>3776</v>
      </c>
      <c r="D2580" t="s">
        <v>20</v>
      </c>
      <c r="F2580">
        <v>49</v>
      </c>
      <c r="G2580" t="s">
        <v>1419</v>
      </c>
      <c r="H2580" s="89">
        <v>46199</v>
      </c>
      <c r="I2580" s="89">
        <v>46201</v>
      </c>
      <c r="J2580" t="s">
        <v>3549</v>
      </c>
      <c r="N2580" t="s">
        <v>3665</v>
      </c>
    </row>
    <row r="2581" spans="1:14" hidden="1" x14ac:dyDescent="0.25">
      <c r="A2581" t="s">
        <v>1320</v>
      </c>
      <c r="B2581" t="s">
        <v>1334</v>
      </c>
      <c r="C2581" t="s">
        <v>3757</v>
      </c>
      <c r="D2581" t="s">
        <v>15</v>
      </c>
      <c r="F2581">
        <v>960</v>
      </c>
      <c r="G2581">
        <v>20</v>
      </c>
      <c r="H2581" s="89">
        <v>46199</v>
      </c>
      <c r="I2581" s="89">
        <v>46206</v>
      </c>
      <c r="J2581" t="s">
        <v>3777</v>
      </c>
      <c r="N2581" t="s">
        <v>3665</v>
      </c>
    </row>
    <row r="2582" spans="1:14" hidden="1" x14ac:dyDescent="0.25">
      <c r="A2582" t="s">
        <v>1314</v>
      </c>
      <c r="B2582" t="s">
        <v>1328</v>
      </c>
      <c r="C2582" t="s">
        <v>3757</v>
      </c>
      <c r="D2582" t="s">
        <v>15</v>
      </c>
      <c r="F2582">
        <v>96</v>
      </c>
      <c r="G2582">
        <v>2</v>
      </c>
      <c r="H2582" s="89">
        <v>46199</v>
      </c>
      <c r="I2582" s="89">
        <v>46204</v>
      </c>
      <c r="J2582" t="s">
        <v>3778</v>
      </c>
      <c r="N2582" t="s">
        <v>3665</v>
      </c>
    </row>
    <row r="2583" spans="1:14" hidden="1" x14ac:dyDescent="0.25">
      <c r="A2583" t="s">
        <v>1314</v>
      </c>
      <c r="B2583" t="s">
        <v>1328</v>
      </c>
      <c r="C2583" t="s">
        <v>3757</v>
      </c>
      <c r="D2583" t="s">
        <v>15</v>
      </c>
      <c r="F2583">
        <v>96</v>
      </c>
      <c r="G2583">
        <v>2</v>
      </c>
      <c r="H2583" s="89">
        <v>46199</v>
      </c>
      <c r="I2583" s="89">
        <v>46204</v>
      </c>
      <c r="J2583" t="s">
        <v>3779</v>
      </c>
      <c r="N2583" t="s">
        <v>3665</v>
      </c>
    </row>
    <row r="2584" spans="1:14" hidden="1" x14ac:dyDescent="0.25">
      <c r="A2584" t="s">
        <v>1313</v>
      </c>
      <c r="B2584" t="s">
        <v>1327</v>
      </c>
      <c r="C2584" t="s">
        <v>3757</v>
      </c>
      <c r="D2584" t="s">
        <v>15</v>
      </c>
      <c r="F2584">
        <v>432</v>
      </c>
      <c r="G2584">
        <v>9</v>
      </c>
      <c r="H2584" s="89">
        <v>46199</v>
      </c>
      <c r="I2584" s="89">
        <v>46204</v>
      </c>
      <c r="J2584" t="s">
        <v>3751</v>
      </c>
      <c r="N2584" t="s">
        <v>3665</v>
      </c>
    </row>
    <row r="2585" spans="1:14" hidden="1" x14ac:dyDescent="0.25">
      <c r="A2585" t="s">
        <v>1315</v>
      </c>
      <c r="B2585" t="s">
        <v>1329</v>
      </c>
      <c r="C2585" t="s">
        <v>3757</v>
      </c>
      <c r="D2585" t="s">
        <v>15</v>
      </c>
      <c r="F2585">
        <v>23</v>
      </c>
      <c r="G2585" t="s">
        <v>1419</v>
      </c>
      <c r="H2585" s="89">
        <v>46199</v>
      </c>
      <c r="I2585" s="89">
        <v>46201</v>
      </c>
      <c r="J2585" t="s">
        <v>3549</v>
      </c>
      <c r="N2585" t="s">
        <v>3665</v>
      </c>
    </row>
    <row r="2586" spans="1:14" hidden="1" x14ac:dyDescent="0.25">
      <c r="A2586" t="s">
        <v>1316</v>
      </c>
      <c r="B2586" t="s">
        <v>1330</v>
      </c>
      <c r="C2586" t="s">
        <v>3780</v>
      </c>
      <c r="D2586" t="s">
        <v>15</v>
      </c>
      <c r="F2586">
        <v>58</v>
      </c>
      <c r="G2586" t="s">
        <v>1419</v>
      </c>
      <c r="H2586" s="89">
        <v>46199</v>
      </c>
      <c r="I2586" s="89">
        <v>46201</v>
      </c>
      <c r="J2586" t="s">
        <v>3549</v>
      </c>
      <c r="N2586" t="s">
        <v>3665</v>
      </c>
    </row>
    <row r="2587" spans="1:14" hidden="1" x14ac:dyDescent="0.25">
      <c r="A2587" t="s">
        <v>1317</v>
      </c>
      <c r="B2587" t="s">
        <v>1331</v>
      </c>
      <c r="C2587" t="s">
        <v>3781</v>
      </c>
      <c r="D2587" t="s">
        <v>15</v>
      </c>
      <c r="F2587">
        <v>21</v>
      </c>
      <c r="G2587" t="s">
        <v>1419</v>
      </c>
      <c r="H2587" s="89">
        <v>46199</v>
      </c>
      <c r="I2587" s="89">
        <v>46201</v>
      </c>
      <c r="J2587" t="s">
        <v>3549</v>
      </c>
      <c r="N2587" t="s">
        <v>3665</v>
      </c>
    </row>
    <row r="2588" spans="1:14" hidden="1" x14ac:dyDescent="0.25">
      <c r="A2588" t="s">
        <v>1318</v>
      </c>
      <c r="B2588" t="s">
        <v>1332</v>
      </c>
      <c r="C2588" t="s">
        <v>3782</v>
      </c>
      <c r="D2588" t="s">
        <v>15</v>
      </c>
      <c r="F2588">
        <v>43</v>
      </c>
      <c r="G2588" t="s">
        <v>1419</v>
      </c>
      <c r="H2588" s="89">
        <v>46199</v>
      </c>
      <c r="I2588" s="89">
        <v>46201</v>
      </c>
      <c r="J2588" t="s">
        <v>3549</v>
      </c>
      <c r="N2588" t="s">
        <v>3665</v>
      </c>
    </row>
    <row r="2589" spans="1:14" hidden="1" x14ac:dyDescent="0.25">
      <c r="A2589" t="s">
        <v>1324</v>
      </c>
      <c r="B2589" t="s">
        <v>1338</v>
      </c>
      <c r="C2589" t="s">
        <v>3783</v>
      </c>
      <c r="D2589" t="s">
        <v>15</v>
      </c>
      <c r="H2589" s="89">
        <v>46200</v>
      </c>
      <c r="I2589" s="89">
        <v>46207</v>
      </c>
      <c r="J2589" t="s">
        <v>3756</v>
      </c>
      <c r="N2589" t="s">
        <v>3665</v>
      </c>
    </row>
    <row r="2590" spans="1:14" hidden="1" x14ac:dyDescent="0.25">
      <c r="A2590" t="s">
        <v>1324</v>
      </c>
      <c r="B2590" t="s">
        <v>1338</v>
      </c>
      <c r="C2590" t="s">
        <v>3784</v>
      </c>
      <c r="D2590" t="s">
        <v>23</v>
      </c>
      <c r="F2590">
        <v>960</v>
      </c>
      <c r="G2590">
        <v>20</v>
      </c>
      <c r="H2590" s="89">
        <v>46200</v>
      </c>
      <c r="I2590" s="89">
        <v>46205</v>
      </c>
      <c r="J2590" t="s">
        <v>3785</v>
      </c>
      <c r="N2590" t="s">
        <v>3665</v>
      </c>
    </row>
    <row r="2591" spans="1:14" hidden="1" x14ac:dyDescent="0.25">
      <c r="A2591" t="s">
        <v>1324</v>
      </c>
      <c r="B2591" t="s">
        <v>1338</v>
      </c>
      <c r="C2591" t="s">
        <v>3786</v>
      </c>
      <c r="D2591" t="s">
        <v>93</v>
      </c>
      <c r="F2591">
        <v>480</v>
      </c>
      <c r="G2591">
        <v>10</v>
      </c>
      <c r="H2591" s="89">
        <v>46200</v>
      </c>
      <c r="I2591" s="89">
        <v>46207</v>
      </c>
      <c r="J2591" t="s">
        <v>3756</v>
      </c>
      <c r="N2591" t="s">
        <v>3665</v>
      </c>
    </row>
    <row r="2592" spans="1:14" hidden="1" x14ac:dyDescent="0.25">
      <c r="A2592" t="s">
        <v>1324</v>
      </c>
      <c r="B2592" t="s">
        <v>1338</v>
      </c>
      <c r="C2592" t="s">
        <v>3787</v>
      </c>
      <c r="D2592" t="s">
        <v>92</v>
      </c>
      <c r="F2592">
        <v>480</v>
      </c>
      <c r="G2592">
        <v>10</v>
      </c>
      <c r="H2592" s="89">
        <v>46200</v>
      </c>
      <c r="I2592" s="89">
        <v>46207</v>
      </c>
      <c r="J2592" t="s">
        <v>3756</v>
      </c>
      <c r="N2592" t="s">
        <v>3665</v>
      </c>
    </row>
    <row r="2593" spans="1:14" hidden="1" x14ac:dyDescent="0.25">
      <c r="A2593" t="s">
        <v>1313</v>
      </c>
      <c r="B2593" t="s">
        <v>1327</v>
      </c>
      <c r="C2593" t="s">
        <v>3788</v>
      </c>
      <c r="D2593" t="s">
        <v>3789</v>
      </c>
      <c r="F2593">
        <v>1152</v>
      </c>
      <c r="G2593">
        <v>24</v>
      </c>
      <c r="H2593" s="89">
        <v>46200</v>
      </c>
      <c r="I2593" s="89">
        <v>46207</v>
      </c>
      <c r="J2593" t="s">
        <v>3790</v>
      </c>
      <c r="N2593" t="s">
        <v>3665</v>
      </c>
    </row>
    <row r="2594" spans="1:14" hidden="1" x14ac:dyDescent="0.25">
      <c r="A2594" t="s">
        <v>1324</v>
      </c>
      <c r="B2594" t="s">
        <v>1338</v>
      </c>
      <c r="C2594" t="s">
        <v>3791</v>
      </c>
      <c r="D2594" t="s">
        <v>21</v>
      </c>
      <c r="F2594">
        <v>192</v>
      </c>
      <c r="G2594">
        <v>4</v>
      </c>
      <c r="H2594" s="89">
        <v>46200</v>
      </c>
      <c r="I2594" s="89">
        <v>46205</v>
      </c>
      <c r="J2594" t="s">
        <v>3785</v>
      </c>
      <c r="N2594" t="s">
        <v>3665</v>
      </c>
    </row>
    <row r="2595" spans="1:14" hidden="1" x14ac:dyDescent="0.25">
      <c r="A2595" t="s">
        <v>1313</v>
      </c>
      <c r="B2595" t="s">
        <v>1327</v>
      </c>
      <c r="C2595" t="s">
        <v>3791</v>
      </c>
      <c r="D2595" t="s">
        <v>21</v>
      </c>
      <c r="F2595">
        <v>384</v>
      </c>
      <c r="G2595">
        <v>8</v>
      </c>
      <c r="H2595" s="89">
        <v>46200</v>
      </c>
      <c r="I2595" s="89">
        <v>46204</v>
      </c>
      <c r="J2595" t="s">
        <v>3751</v>
      </c>
      <c r="N2595" t="s">
        <v>3665</v>
      </c>
    </row>
    <row r="2596" spans="1:14" hidden="1" x14ac:dyDescent="0.25">
      <c r="A2596" t="s">
        <v>1313</v>
      </c>
      <c r="B2596" t="s">
        <v>1327</v>
      </c>
      <c r="C2596" t="s">
        <v>3791</v>
      </c>
      <c r="D2596" t="s">
        <v>21</v>
      </c>
      <c r="F2596">
        <v>240</v>
      </c>
      <c r="G2596">
        <v>5</v>
      </c>
      <c r="H2596" s="89">
        <v>46200</v>
      </c>
      <c r="I2596" s="89">
        <v>46204</v>
      </c>
      <c r="J2596" t="s">
        <v>3744</v>
      </c>
      <c r="N2596" t="s">
        <v>3665</v>
      </c>
    </row>
    <row r="2597" spans="1:14" hidden="1" x14ac:dyDescent="0.25">
      <c r="A2597" t="s">
        <v>1313</v>
      </c>
      <c r="B2597" t="s">
        <v>1327</v>
      </c>
      <c r="C2597" t="s">
        <v>3791</v>
      </c>
      <c r="D2597" t="s">
        <v>21</v>
      </c>
      <c r="F2597">
        <v>144</v>
      </c>
      <c r="G2597">
        <v>3</v>
      </c>
      <c r="H2597" s="89">
        <v>46200</v>
      </c>
      <c r="I2597" s="89">
        <v>46205</v>
      </c>
      <c r="J2597" t="s">
        <v>3792</v>
      </c>
      <c r="N2597" t="s">
        <v>3665</v>
      </c>
    </row>
    <row r="2598" spans="1:14" hidden="1" x14ac:dyDescent="0.25">
      <c r="A2598" t="s">
        <v>1315</v>
      </c>
      <c r="B2598" t="s">
        <v>1329</v>
      </c>
      <c r="C2598" t="s">
        <v>3791</v>
      </c>
      <c r="D2598" t="s">
        <v>21</v>
      </c>
      <c r="F2598">
        <v>46</v>
      </c>
      <c r="G2598" t="s">
        <v>1419</v>
      </c>
      <c r="H2598" s="89">
        <v>46200</v>
      </c>
      <c r="I2598" s="89">
        <v>46202</v>
      </c>
      <c r="J2598" t="s">
        <v>3549</v>
      </c>
      <c r="N2598" t="s">
        <v>3665</v>
      </c>
    </row>
    <row r="2599" spans="1:14" hidden="1" x14ac:dyDescent="0.25">
      <c r="A2599" t="s">
        <v>1316</v>
      </c>
      <c r="B2599" t="s">
        <v>1330</v>
      </c>
      <c r="C2599" t="s">
        <v>3793</v>
      </c>
      <c r="D2599" t="s">
        <v>21</v>
      </c>
      <c r="F2599">
        <v>23</v>
      </c>
      <c r="G2599" t="s">
        <v>1419</v>
      </c>
      <c r="H2599" s="89">
        <v>46200</v>
      </c>
      <c r="I2599" s="89">
        <v>46202</v>
      </c>
      <c r="J2599" t="s">
        <v>3549</v>
      </c>
      <c r="N2599" t="s">
        <v>3665</v>
      </c>
    </row>
    <row r="2600" spans="1:14" hidden="1" x14ac:dyDescent="0.25">
      <c r="A2600" t="s">
        <v>1317</v>
      </c>
      <c r="B2600" t="s">
        <v>1331</v>
      </c>
      <c r="C2600" t="s">
        <v>3794</v>
      </c>
      <c r="D2600" t="s">
        <v>21</v>
      </c>
      <c r="F2600">
        <v>24</v>
      </c>
      <c r="G2600" t="s">
        <v>1419</v>
      </c>
      <c r="H2600" s="89">
        <v>46200</v>
      </c>
      <c r="I2600" s="89">
        <v>46202</v>
      </c>
      <c r="J2600" t="s">
        <v>3549</v>
      </c>
      <c r="N2600" t="s">
        <v>3665</v>
      </c>
    </row>
    <row r="2601" spans="1:14" hidden="1" x14ac:dyDescent="0.25">
      <c r="A2601" t="s">
        <v>1318</v>
      </c>
      <c r="B2601" t="s">
        <v>1332</v>
      </c>
      <c r="C2601" t="s">
        <v>3795</v>
      </c>
      <c r="D2601" t="s">
        <v>21</v>
      </c>
      <c r="F2601">
        <v>41</v>
      </c>
      <c r="G2601" t="s">
        <v>1419</v>
      </c>
      <c r="H2601" s="89">
        <v>46200</v>
      </c>
      <c r="I2601" s="89">
        <v>46202</v>
      </c>
      <c r="J2601" t="s">
        <v>3549</v>
      </c>
      <c r="N2601" t="s">
        <v>3665</v>
      </c>
    </row>
    <row r="2602" spans="1:14" hidden="1" x14ac:dyDescent="0.25">
      <c r="A2602" t="s">
        <v>1313</v>
      </c>
      <c r="B2602" t="s">
        <v>1327</v>
      </c>
      <c r="C2602" t="s">
        <v>3783</v>
      </c>
      <c r="D2602" t="s">
        <v>15</v>
      </c>
      <c r="F2602">
        <v>144</v>
      </c>
      <c r="G2602">
        <v>3</v>
      </c>
      <c r="H2602" s="89">
        <v>46200</v>
      </c>
      <c r="I2602" s="89">
        <v>46205</v>
      </c>
      <c r="J2602" t="s">
        <v>3792</v>
      </c>
      <c r="N2602" t="s">
        <v>3665</v>
      </c>
    </row>
    <row r="2603" spans="1:14" hidden="1" x14ac:dyDescent="0.25">
      <c r="A2603" t="s">
        <v>1315</v>
      </c>
      <c r="B2603" t="s">
        <v>1329</v>
      </c>
      <c r="C2603" t="s">
        <v>3783</v>
      </c>
      <c r="D2603" t="s">
        <v>15</v>
      </c>
      <c r="F2603">
        <v>7</v>
      </c>
      <c r="G2603" t="s">
        <v>1419</v>
      </c>
      <c r="H2603" s="89">
        <v>46200</v>
      </c>
      <c r="I2603" s="89">
        <v>46202</v>
      </c>
      <c r="J2603" t="s">
        <v>3549</v>
      </c>
      <c r="N2603" t="s">
        <v>3665</v>
      </c>
    </row>
    <row r="2604" spans="1:14" hidden="1" x14ac:dyDescent="0.25">
      <c r="A2604" t="s">
        <v>1316</v>
      </c>
      <c r="B2604" t="s">
        <v>1330</v>
      </c>
      <c r="C2604" t="s">
        <v>3796</v>
      </c>
      <c r="D2604" t="s">
        <v>15</v>
      </c>
      <c r="F2604">
        <v>50</v>
      </c>
      <c r="G2604" t="s">
        <v>1419</v>
      </c>
      <c r="H2604" s="89">
        <v>46200</v>
      </c>
      <c r="I2604" s="89">
        <v>46202</v>
      </c>
      <c r="J2604" t="s">
        <v>3549</v>
      </c>
      <c r="N2604" t="s">
        <v>3665</v>
      </c>
    </row>
    <row r="2605" spans="1:14" hidden="1" x14ac:dyDescent="0.25">
      <c r="A2605" t="s">
        <v>1317</v>
      </c>
      <c r="B2605" t="s">
        <v>1331</v>
      </c>
      <c r="C2605" t="s">
        <v>3797</v>
      </c>
      <c r="D2605" t="s">
        <v>15</v>
      </c>
      <c r="F2605">
        <v>21</v>
      </c>
      <c r="G2605" t="s">
        <v>1419</v>
      </c>
      <c r="H2605" s="89">
        <v>46200</v>
      </c>
      <c r="I2605" s="89">
        <v>46202</v>
      </c>
      <c r="J2605" t="s">
        <v>3549</v>
      </c>
      <c r="N2605" t="s">
        <v>3665</v>
      </c>
    </row>
    <row r="2606" spans="1:14" hidden="1" x14ac:dyDescent="0.25">
      <c r="A2606" t="s">
        <v>1318</v>
      </c>
      <c r="B2606" t="s">
        <v>1332</v>
      </c>
      <c r="C2606" t="s">
        <v>3798</v>
      </c>
      <c r="D2606" t="s">
        <v>15</v>
      </c>
      <c r="F2606">
        <v>26</v>
      </c>
      <c r="G2606" t="s">
        <v>1419</v>
      </c>
      <c r="H2606" s="89">
        <v>46200</v>
      </c>
      <c r="I2606" s="89">
        <v>46202</v>
      </c>
      <c r="J2606" t="s">
        <v>3549</v>
      </c>
      <c r="N2606" t="s">
        <v>3665</v>
      </c>
    </row>
    <row r="2607" spans="1:14" hidden="1" x14ac:dyDescent="0.25">
      <c r="A2607" t="s">
        <v>1324</v>
      </c>
      <c r="B2607" t="s">
        <v>1338</v>
      </c>
      <c r="C2607" t="s">
        <v>3799</v>
      </c>
      <c r="D2607" t="s">
        <v>23</v>
      </c>
      <c r="F2607">
        <v>960</v>
      </c>
      <c r="G2607">
        <v>20</v>
      </c>
      <c r="H2607" s="89">
        <v>46202</v>
      </c>
      <c r="I2607" s="89">
        <v>46207</v>
      </c>
      <c r="J2607" t="s">
        <v>3800</v>
      </c>
      <c r="N2607" t="s">
        <v>3801</v>
      </c>
    </row>
    <row r="2608" spans="1:14" hidden="1" x14ac:dyDescent="0.25">
      <c r="A2608" t="s">
        <v>1321</v>
      </c>
      <c r="B2608" t="s">
        <v>1335</v>
      </c>
      <c r="C2608" t="s">
        <v>3802</v>
      </c>
      <c r="D2608" t="s">
        <v>159</v>
      </c>
      <c r="F2608">
        <v>144</v>
      </c>
      <c r="G2608">
        <v>3</v>
      </c>
      <c r="H2608" s="89">
        <v>46202</v>
      </c>
      <c r="I2608" s="89">
        <v>46209</v>
      </c>
      <c r="J2608" t="s">
        <v>3803</v>
      </c>
      <c r="N2608" t="s">
        <v>3801</v>
      </c>
    </row>
    <row r="2609" spans="1:14" hidden="1" x14ac:dyDescent="0.25">
      <c r="A2609" t="s">
        <v>1321</v>
      </c>
      <c r="B2609" t="s">
        <v>1335</v>
      </c>
      <c r="C2609" t="s">
        <v>3802</v>
      </c>
      <c r="D2609" t="s">
        <v>159</v>
      </c>
      <c r="F2609">
        <v>96</v>
      </c>
      <c r="G2609">
        <v>2</v>
      </c>
      <c r="H2609" s="89">
        <v>46202</v>
      </c>
      <c r="I2609" s="89">
        <v>46207</v>
      </c>
      <c r="J2609" t="s">
        <v>3800</v>
      </c>
      <c r="N2609" t="s">
        <v>3801</v>
      </c>
    </row>
    <row r="2610" spans="1:14" hidden="1" x14ac:dyDescent="0.25">
      <c r="A2610" t="s">
        <v>1325</v>
      </c>
      <c r="B2610" t="s">
        <v>1339</v>
      </c>
      <c r="C2610" t="s">
        <v>3802</v>
      </c>
      <c r="D2610" t="s">
        <v>159</v>
      </c>
      <c r="F2610">
        <v>192</v>
      </c>
      <c r="G2610">
        <v>4</v>
      </c>
      <c r="H2610" s="89">
        <v>46202</v>
      </c>
      <c r="I2610" s="89">
        <v>46204</v>
      </c>
      <c r="J2610" t="s">
        <v>3549</v>
      </c>
      <c r="N2610" t="s">
        <v>3801</v>
      </c>
    </row>
    <row r="2611" spans="1:14" hidden="1" x14ac:dyDescent="0.25">
      <c r="A2611" t="s">
        <v>1320</v>
      </c>
      <c r="B2611" t="s">
        <v>1334</v>
      </c>
      <c r="C2611" t="s">
        <v>3804</v>
      </c>
      <c r="D2611" t="s">
        <v>20</v>
      </c>
      <c r="F2611">
        <v>960</v>
      </c>
      <c r="G2611">
        <v>20</v>
      </c>
      <c r="H2611" s="89">
        <v>46202</v>
      </c>
      <c r="I2611" s="89">
        <v>46206</v>
      </c>
      <c r="J2611" t="s">
        <v>3805</v>
      </c>
      <c r="N2611" t="s">
        <v>3801</v>
      </c>
    </row>
    <row r="2612" spans="1:14" hidden="1" x14ac:dyDescent="0.25">
      <c r="A2612" t="s">
        <v>1313</v>
      </c>
      <c r="B2612" t="s">
        <v>1327</v>
      </c>
      <c r="C2612" t="s">
        <v>3804</v>
      </c>
      <c r="D2612" t="s">
        <v>20</v>
      </c>
      <c r="F2612">
        <v>336</v>
      </c>
      <c r="G2612">
        <v>7</v>
      </c>
      <c r="H2612" s="89">
        <v>46202</v>
      </c>
      <c r="I2612" s="89">
        <v>46205</v>
      </c>
      <c r="J2612" t="s">
        <v>3792</v>
      </c>
      <c r="N2612" t="s">
        <v>3801</v>
      </c>
    </row>
    <row r="2613" spans="1:14" hidden="1" x14ac:dyDescent="0.25">
      <c r="A2613" t="s">
        <v>1313</v>
      </c>
      <c r="B2613" t="s">
        <v>1327</v>
      </c>
      <c r="C2613" t="s">
        <v>3804</v>
      </c>
      <c r="D2613" t="s">
        <v>20</v>
      </c>
      <c r="F2613">
        <v>48</v>
      </c>
      <c r="G2613">
        <v>1</v>
      </c>
      <c r="H2613" s="89">
        <v>46202</v>
      </c>
      <c r="I2613" s="89">
        <v>46208</v>
      </c>
      <c r="J2613" t="s">
        <v>3806</v>
      </c>
      <c r="N2613" t="s">
        <v>3801</v>
      </c>
    </row>
    <row r="2614" spans="1:14" hidden="1" x14ac:dyDescent="0.25">
      <c r="A2614" t="s">
        <v>1315</v>
      </c>
      <c r="B2614" t="s">
        <v>1329</v>
      </c>
      <c r="C2614" t="s">
        <v>3804</v>
      </c>
      <c r="D2614" t="s">
        <v>20</v>
      </c>
      <c r="F2614">
        <v>21</v>
      </c>
      <c r="G2614" t="s">
        <v>1419</v>
      </c>
      <c r="H2614" s="89">
        <v>46202</v>
      </c>
      <c r="I2614" s="89">
        <v>46204</v>
      </c>
      <c r="J2614" t="s">
        <v>3549</v>
      </c>
      <c r="N2614" t="s">
        <v>3801</v>
      </c>
    </row>
    <row r="2615" spans="1:14" hidden="1" x14ac:dyDescent="0.25">
      <c r="A2615" t="s">
        <v>1316</v>
      </c>
      <c r="B2615" t="s">
        <v>1330</v>
      </c>
      <c r="C2615" t="s">
        <v>3807</v>
      </c>
      <c r="D2615" t="s">
        <v>20</v>
      </c>
      <c r="F2615">
        <v>152</v>
      </c>
      <c r="G2615" t="s">
        <v>1419</v>
      </c>
      <c r="H2615" s="89">
        <v>46202</v>
      </c>
      <c r="I2615" s="89">
        <v>46204</v>
      </c>
      <c r="J2615" t="s">
        <v>3549</v>
      </c>
      <c r="N2615" t="s">
        <v>3801</v>
      </c>
    </row>
    <row r="2616" spans="1:14" hidden="1" x14ac:dyDescent="0.25">
      <c r="A2616" t="s">
        <v>1317</v>
      </c>
      <c r="B2616" t="s">
        <v>1331</v>
      </c>
      <c r="C2616" t="s">
        <v>3804</v>
      </c>
      <c r="D2616" t="s">
        <v>20</v>
      </c>
      <c r="F2616">
        <v>14</v>
      </c>
      <c r="G2616" t="s">
        <v>1419</v>
      </c>
      <c r="H2616" s="89">
        <v>46202</v>
      </c>
      <c r="I2616" s="89">
        <v>46204</v>
      </c>
      <c r="J2616" t="s">
        <v>3549</v>
      </c>
      <c r="N2616" t="s">
        <v>3801</v>
      </c>
    </row>
    <row r="2617" spans="1:14" hidden="1" x14ac:dyDescent="0.25">
      <c r="A2617" t="s">
        <v>1318</v>
      </c>
      <c r="B2617" t="s">
        <v>1332</v>
      </c>
      <c r="C2617" t="s">
        <v>3808</v>
      </c>
      <c r="D2617" t="s">
        <v>20</v>
      </c>
      <c r="F2617">
        <v>71</v>
      </c>
      <c r="G2617" t="s">
        <v>1419</v>
      </c>
      <c r="H2617" s="89">
        <v>46202</v>
      </c>
      <c r="I2617" s="89">
        <v>46204</v>
      </c>
      <c r="J2617" t="s">
        <v>3549</v>
      </c>
      <c r="N2617" t="s">
        <v>3801</v>
      </c>
    </row>
    <row r="2618" spans="1:14" hidden="1" x14ac:dyDescent="0.25">
      <c r="A2618" t="s">
        <v>1314</v>
      </c>
      <c r="B2618" t="s">
        <v>1328</v>
      </c>
      <c r="C2618" t="s">
        <v>3809</v>
      </c>
      <c r="D2618" t="s">
        <v>15</v>
      </c>
      <c r="F2618">
        <v>288</v>
      </c>
      <c r="G2618">
        <v>6</v>
      </c>
      <c r="H2618" s="89">
        <v>46202</v>
      </c>
      <c r="I2618" s="89">
        <v>46205</v>
      </c>
      <c r="J2618" t="s">
        <v>3810</v>
      </c>
      <c r="N2618" t="s">
        <v>3801</v>
      </c>
    </row>
    <row r="2619" spans="1:14" hidden="1" x14ac:dyDescent="0.25">
      <c r="A2619" t="s">
        <v>1313</v>
      </c>
      <c r="B2619" t="s">
        <v>1327</v>
      </c>
      <c r="C2619" t="s">
        <v>3809</v>
      </c>
      <c r="D2619" t="s">
        <v>15</v>
      </c>
      <c r="F2619">
        <v>144</v>
      </c>
      <c r="G2619">
        <v>3</v>
      </c>
      <c r="H2619" s="89">
        <v>46202</v>
      </c>
      <c r="I2619" s="89">
        <v>46205</v>
      </c>
      <c r="J2619" t="s">
        <v>3792</v>
      </c>
      <c r="N2619" t="s">
        <v>3801</v>
      </c>
    </row>
    <row r="2620" spans="1:14" hidden="1" x14ac:dyDescent="0.25">
      <c r="A2620" t="s">
        <v>1324</v>
      </c>
      <c r="B2620" t="s">
        <v>1338</v>
      </c>
      <c r="C2620" t="s">
        <v>3809</v>
      </c>
      <c r="D2620" t="s">
        <v>15</v>
      </c>
      <c r="F2620">
        <v>864</v>
      </c>
      <c r="G2620">
        <v>18</v>
      </c>
      <c r="H2620" s="89">
        <v>46202</v>
      </c>
      <c r="I2620" s="89">
        <v>46207</v>
      </c>
      <c r="J2620" t="s">
        <v>3800</v>
      </c>
      <c r="N2620" t="s">
        <v>3801</v>
      </c>
    </row>
    <row r="2621" spans="1:14" hidden="1" x14ac:dyDescent="0.25">
      <c r="A2621" t="s">
        <v>1315</v>
      </c>
      <c r="B2621" t="s">
        <v>1329</v>
      </c>
      <c r="C2621" t="s">
        <v>3809</v>
      </c>
      <c r="D2621" t="s">
        <v>15</v>
      </c>
      <c r="F2621">
        <v>1</v>
      </c>
      <c r="G2621" t="s">
        <v>1419</v>
      </c>
      <c r="H2621" s="89">
        <v>46202</v>
      </c>
      <c r="I2621" s="89">
        <v>46204</v>
      </c>
      <c r="J2621" t="s">
        <v>3549</v>
      </c>
      <c r="N2621" t="s">
        <v>3801</v>
      </c>
    </row>
    <row r="2622" spans="1:14" hidden="1" x14ac:dyDescent="0.25">
      <c r="A2622" t="s">
        <v>1316</v>
      </c>
      <c r="B2622" t="s">
        <v>1330</v>
      </c>
      <c r="C2622" t="s">
        <v>3811</v>
      </c>
      <c r="D2622" t="s">
        <v>15</v>
      </c>
      <c r="F2622">
        <v>84</v>
      </c>
      <c r="G2622" t="s">
        <v>1419</v>
      </c>
      <c r="H2622" s="89">
        <v>46202</v>
      </c>
      <c r="I2622" s="89">
        <v>46204</v>
      </c>
      <c r="J2622" t="s">
        <v>3549</v>
      </c>
      <c r="N2622" t="s">
        <v>3801</v>
      </c>
    </row>
    <row r="2623" spans="1:14" hidden="1" x14ac:dyDescent="0.25">
      <c r="A2623" t="s">
        <v>1317</v>
      </c>
      <c r="B2623" t="s">
        <v>1331</v>
      </c>
      <c r="C2623" t="s">
        <v>3809</v>
      </c>
      <c r="D2623" t="s">
        <v>15</v>
      </c>
      <c r="F2623">
        <v>24</v>
      </c>
      <c r="G2623" t="s">
        <v>1419</v>
      </c>
      <c r="H2623" s="89">
        <v>46202</v>
      </c>
      <c r="I2623" s="89">
        <v>46204</v>
      </c>
      <c r="J2623" t="s">
        <v>3549</v>
      </c>
      <c r="N2623" t="s">
        <v>3801</v>
      </c>
    </row>
    <row r="2624" spans="1:14" hidden="1" x14ac:dyDescent="0.25">
      <c r="A2624" t="s">
        <v>1318</v>
      </c>
      <c r="B2624" t="s">
        <v>1332</v>
      </c>
      <c r="C2624" t="s">
        <v>3812</v>
      </c>
      <c r="D2624" t="s">
        <v>15</v>
      </c>
      <c r="F2624">
        <v>31</v>
      </c>
      <c r="G2624" t="s">
        <v>1419</v>
      </c>
      <c r="H2624" s="89">
        <v>46202</v>
      </c>
      <c r="I2624" s="89">
        <v>46204</v>
      </c>
      <c r="J2624" t="s">
        <v>3549</v>
      </c>
      <c r="N2624" t="s">
        <v>3801</v>
      </c>
    </row>
    <row r="2625" spans="1:14" hidden="1" x14ac:dyDescent="0.25">
      <c r="A2625" t="s">
        <v>1324</v>
      </c>
      <c r="B2625" t="s">
        <v>1338</v>
      </c>
      <c r="C2625" t="s">
        <v>3813</v>
      </c>
      <c r="D2625" t="s">
        <v>23</v>
      </c>
      <c r="F2625">
        <v>384</v>
      </c>
      <c r="G2625">
        <v>8</v>
      </c>
      <c r="H2625" s="89">
        <v>46203</v>
      </c>
      <c r="I2625" s="89">
        <v>46209</v>
      </c>
      <c r="J2625" t="s">
        <v>3803</v>
      </c>
      <c r="N2625" t="s">
        <v>3801</v>
      </c>
    </row>
    <row r="2626" spans="1:14" hidden="1" x14ac:dyDescent="0.25">
      <c r="A2626" t="s">
        <v>1324</v>
      </c>
      <c r="B2626" t="s">
        <v>1338</v>
      </c>
      <c r="C2626" t="s">
        <v>3814</v>
      </c>
      <c r="D2626" t="s">
        <v>13</v>
      </c>
      <c r="F2626">
        <v>576</v>
      </c>
      <c r="G2626">
        <v>12</v>
      </c>
      <c r="H2626" s="89">
        <v>46203</v>
      </c>
      <c r="I2626" s="89">
        <v>46209</v>
      </c>
      <c r="J2626" t="s">
        <v>3815</v>
      </c>
      <c r="N2626" t="s">
        <v>3801</v>
      </c>
    </row>
    <row r="2627" spans="1:14" hidden="1" x14ac:dyDescent="0.25">
      <c r="A2627" t="s">
        <v>1324</v>
      </c>
      <c r="B2627" t="s">
        <v>1338</v>
      </c>
      <c r="C2627" t="s">
        <v>3816</v>
      </c>
      <c r="D2627" t="s">
        <v>152</v>
      </c>
      <c r="F2627">
        <v>384</v>
      </c>
      <c r="G2627">
        <v>8</v>
      </c>
      <c r="H2627" s="89">
        <v>46203</v>
      </c>
      <c r="I2627" s="89">
        <v>46209</v>
      </c>
      <c r="J2627" t="s">
        <v>3815</v>
      </c>
      <c r="N2627" t="s">
        <v>3801</v>
      </c>
    </row>
    <row r="2628" spans="1:14" hidden="1" x14ac:dyDescent="0.25">
      <c r="A2628" t="s">
        <v>1324</v>
      </c>
      <c r="B2628" t="s">
        <v>1338</v>
      </c>
      <c r="C2628" t="s">
        <v>3817</v>
      </c>
      <c r="D2628" t="s">
        <v>150</v>
      </c>
      <c r="F2628">
        <v>960</v>
      </c>
      <c r="G2628">
        <v>20</v>
      </c>
      <c r="H2628" s="89">
        <v>46203</v>
      </c>
      <c r="I2628" s="89">
        <v>46209</v>
      </c>
      <c r="J2628" t="s">
        <v>3815</v>
      </c>
      <c r="N2628" t="s">
        <v>3801</v>
      </c>
    </row>
    <row r="2629" spans="1:14" hidden="1" x14ac:dyDescent="0.25">
      <c r="A2629" t="s">
        <v>1566</v>
      </c>
      <c r="B2629" t="s">
        <v>1567</v>
      </c>
      <c r="C2629" t="s">
        <v>3818</v>
      </c>
      <c r="D2629" t="s">
        <v>15</v>
      </c>
      <c r="F2629">
        <v>5</v>
      </c>
      <c r="G2629">
        <v>0.10416666666666669</v>
      </c>
      <c r="H2629" s="89">
        <v>46203</v>
      </c>
      <c r="I2629" s="89">
        <v>46208</v>
      </c>
      <c r="J2629" t="s">
        <v>3819</v>
      </c>
      <c r="N2629" t="s">
        <v>3801</v>
      </c>
    </row>
    <row r="2630" spans="1:14" hidden="1" x14ac:dyDescent="0.25">
      <c r="A2630" t="s">
        <v>1313</v>
      </c>
      <c r="B2630" t="s">
        <v>1327</v>
      </c>
      <c r="C2630" t="s">
        <v>3818</v>
      </c>
      <c r="D2630" t="s">
        <v>15</v>
      </c>
      <c r="F2630">
        <v>955</v>
      </c>
      <c r="G2630">
        <v>19.895833333333332</v>
      </c>
      <c r="H2630" s="89">
        <v>46203</v>
      </c>
      <c r="I2630" s="89">
        <v>46208</v>
      </c>
      <c r="J2630" t="s">
        <v>3806</v>
      </c>
      <c r="N2630" t="s">
        <v>3801</v>
      </c>
    </row>
    <row r="2631" spans="1:14" hidden="1" x14ac:dyDescent="0.25">
      <c r="A2631" t="s">
        <v>1313</v>
      </c>
      <c r="B2631" t="s">
        <v>1327</v>
      </c>
      <c r="C2631" t="s">
        <v>3818</v>
      </c>
      <c r="D2631" t="s">
        <v>15</v>
      </c>
      <c r="F2631">
        <v>96</v>
      </c>
      <c r="G2631">
        <v>2</v>
      </c>
      <c r="H2631" s="89">
        <v>46203</v>
      </c>
      <c r="I2631" s="89">
        <v>46205</v>
      </c>
      <c r="J2631" t="s">
        <v>3792</v>
      </c>
      <c r="N2631" t="s">
        <v>3801</v>
      </c>
    </row>
    <row r="2632" spans="1:14" hidden="1" x14ac:dyDescent="0.25">
      <c r="A2632" t="s">
        <v>1320</v>
      </c>
      <c r="B2632" t="s">
        <v>1334</v>
      </c>
      <c r="C2632" t="s">
        <v>3818</v>
      </c>
      <c r="D2632" t="s">
        <v>15</v>
      </c>
      <c r="F2632">
        <v>240</v>
      </c>
      <c r="G2632">
        <v>5</v>
      </c>
      <c r="H2632" s="89">
        <v>46203</v>
      </c>
      <c r="I2632" s="89">
        <v>46207</v>
      </c>
      <c r="J2632" t="s">
        <v>3820</v>
      </c>
      <c r="N2632" t="s">
        <v>3801</v>
      </c>
    </row>
    <row r="2633" spans="1:14" hidden="1" x14ac:dyDescent="0.25">
      <c r="A2633" t="s">
        <v>1315</v>
      </c>
      <c r="B2633" t="s">
        <v>1329</v>
      </c>
      <c r="C2633" t="s">
        <v>3818</v>
      </c>
      <c r="D2633" t="s">
        <v>15</v>
      </c>
      <c r="F2633">
        <v>22</v>
      </c>
      <c r="G2633" t="s">
        <v>1419</v>
      </c>
      <c r="H2633" s="89">
        <v>46203</v>
      </c>
      <c r="I2633" s="89">
        <v>46205</v>
      </c>
      <c r="J2633" t="s">
        <v>3549</v>
      </c>
      <c r="N2633" t="s">
        <v>3801</v>
      </c>
    </row>
    <row r="2634" spans="1:14" hidden="1" x14ac:dyDescent="0.25">
      <c r="A2634" t="s">
        <v>1316</v>
      </c>
      <c r="B2634" t="s">
        <v>1330</v>
      </c>
      <c r="C2634" t="s">
        <v>3821</v>
      </c>
      <c r="D2634" t="s">
        <v>15</v>
      </c>
      <c r="F2634">
        <v>56</v>
      </c>
      <c r="G2634" t="s">
        <v>1419</v>
      </c>
      <c r="H2634" s="89">
        <v>46203</v>
      </c>
      <c r="I2634" s="89">
        <v>46205</v>
      </c>
      <c r="J2634" t="s">
        <v>3549</v>
      </c>
      <c r="N2634" t="s">
        <v>3801</v>
      </c>
    </row>
    <row r="2635" spans="1:14" hidden="1" x14ac:dyDescent="0.25">
      <c r="A2635" t="s">
        <v>1317</v>
      </c>
      <c r="B2635" t="s">
        <v>1331</v>
      </c>
      <c r="C2635" t="s">
        <v>3818</v>
      </c>
      <c r="D2635" t="s">
        <v>15</v>
      </c>
      <c r="F2635">
        <v>23</v>
      </c>
      <c r="G2635" t="s">
        <v>1419</v>
      </c>
      <c r="H2635" s="89">
        <v>46203</v>
      </c>
      <c r="I2635" s="89">
        <v>46205</v>
      </c>
      <c r="J2635" t="s">
        <v>3549</v>
      </c>
      <c r="N2635" t="s">
        <v>3801</v>
      </c>
    </row>
    <row r="2636" spans="1:14" hidden="1" x14ac:dyDescent="0.25">
      <c r="A2636" t="s">
        <v>1318</v>
      </c>
      <c r="B2636" t="s">
        <v>1332</v>
      </c>
      <c r="C2636" t="s">
        <v>3822</v>
      </c>
      <c r="D2636" t="s">
        <v>15</v>
      </c>
      <c r="F2636">
        <v>25</v>
      </c>
      <c r="G2636" t="s">
        <v>1419</v>
      </c>
      <c r="H2636" s="89">
        <v>46203</v>
      </c>
      <c r="I2636" s="89">
        <v>46205</v>
      </c>
      <c r="J2636" t="s">
        <v>3549</v>
      </c>
      <c r="N2636" t="s">
        <v>3801</v>
      </c>
    </row>
    <row r="2637" spans="1:14" hidden="1" x14ac:dyDescent="0.25">
      <c r="A2637" t="s">
        <v>1324</v>
      </c>
      <c r="B2637" t="s">
        <v>1338</v>
      </c>
      <c r="C2637" t="s">
        <v>3823</v>
      </c>
      <c r="D2637" t="s">
        <v>28</v>
      </c>
      <c r="F2637">
        <v>576</v>
      </c>
      <c r="G2637">
        <v>12</v>
      </c>
      <c r="H2637" s="89">
        <v>46203</v>
      </c>
      <c r="I2637" s="89">
        <v>46209</v>
      </c>
      <c r="J2637" t="s">
        <v>3803</v>
      </c>
      <c r="N2637" t="s">
        <v>3801</v>
      </c>
    </row>
    <row r="2638" spans="1:14" hidden="1" x14ac:dyDescent="0.25">
      <c r="A2638" t="s">
        <v>1320</v>
      </c>
      <c r="B2638" t="s">
        <v>1334</v>
      </c>
      <c r="C2638" t="s">
        <v>3823</v>
      </c>
      <c r="D2638" t="s">
        <v>28</v>
      </c>
      <c r="F2638">
        <v>336</v>
      </c>
      <c r="G2638">
        <v>7</v>
      </c>
      <c r="H2638" s="89">
        <v>46203</v>
      </c>
      <c r="I2638" s="89">
        <v>46207</v>
      </c>
      <c r="J2638" t="s">
        <v>3820</v>
      </c>
      <c r="N2638" t="s">
        <v>3801</v>
      </c>
    </row>
    <row r="2639" spans="1:14" hidden="1" x14ac:dyDescent="0.25">
      <c r="A2639" t="s">
        <v>1315</v>
      </c>
      <c r="B2639" t="s">
        <v>1329</v>
      </c>
      <c r="C2639" t="s">
        <v>3823</v>
      </c>
      <c r="D2639" t="s">
        <v>28</v>
      </c>
      <c r="F2639">
        <v>137</v>
      </c>
      <c r="G2639" t="s">
        <v>1419</v>
      </c>
      <c r="H2639" s="89">
        <v>46203</v>
      </c>
      <c r="I2639" s="89">
        <v>46205</v>
      </c>
      <c r="J2639" t="s">
        <v>3549</v>
      </c>
      <c r="N2639" t="s">
        <v>3801</v>
      </c>
    </row>
    <row r="2640" spans="1:14" hidden="1" x14ac:dyDescent="0.25">
      <c r="A2640" t="s">
        <v>1316</v>
      </c>
      <c r="B2640" t="s">
        <v>1330</v>
      </c>
      <c r="C2640" t="s">
        <v>3824</v>
      </c>
      <c r="D2640" t="s">
        <v>28</v>
      </c>
      <c r="F2640">
        <v>16</v>
      </c>
      <c r="G2640" t="s">
        <v>1419</v>
      </c>
      <c r="H2640" s="89">
        <v>46203</v>
      </c>
      <c r="I2640" s="89">
        <v>46205</v>
      </c>
      <c r="J2640" t="s">
        <v>3549</v>
      </c>
      <c r="N2640" t="s">
        <v>3801</v>
      </c>
    </row>
    <row r="2641" spans="1:14" hidden="1" x14ac:dyDescent="0.25">
      <c r="A2641" t="s">
        <v>1317</v>
      </c>
      <c r="B2641" t="s">
        <v>1331</v>
      </c>
      <c r="C2641" t="s">
        <v>3823</v>
      </c>
      <c r="D2641" t="s">
        <v>28</v>
      </c>
      <c r="F2641">
        <v>24</v>
      </c>
      <c r="G2641" t="s">
        <v>1419</v>
      </c>
      <c r="H2641" s="89">
        <v>46203</v>
      </c>
      <c r="I2641" s="89">
        <v>46205</v>
      </c>
      <c r="J2641" t="s">
        <v>3549</v>
      </c>
      <c r="N2641" t="s">
        <v>3801</v>
      </c>
    </row>
    <row r="2642" spans="1:14" hidden="1" x14ac:dyDescent="0.25">
      <c r="A2642" t="s">
        <v>1318</v>
      </c>
      <c r="B2642" t="s">
        <v>1332</v>
      </c>
      <c r="C2642" t="s">
        <v>3825</v>
      </c>
      <c r="D2642" t="s">
        <v>28</v>
      </c>
      <c r="F2642">
        <v>62</v>
      </c>
      <c r="G2642" t="s">
        <v>1419</v>
      </c>
      <c r="H2642" s="89">
        <v>46203</v>
      </c>
      <c r="I2642" s="89">
        <v>46205</v>
      </c>
      <c r="J2642" t="s">
        <v>3549</v>
      </c>
      <c r="N2642" t="s">
        <v>3801</v>
      </c>
    </row>
    <row r="2643" spans="1:14" hidden="1" x14ac:dyDescent="0.25">
      <c r="A2643" t="s">
        <v>1323</v>
      </c>
      <c r="B2643" t="s">
        <v>1337</v>
      </c>
      <c r="C2643" t="s">
        <v>3826</v>
      </c>
      <c r="D2643" t="s">
        <v>20</v>
      </c>
      <c r="F2643">
        <v>756</v>
      </c>
      <c r="G2643">
        <v>14</v>
      </c>
      <c r="H2643" s="89">
        <v>46203</v>
      </c>
      <c r="I2643" s="89">
        <v>46207</v>
      </c>
      <c r="J2643" t="s">
        <v>3827</v>
      </c>
      <c r="N2643" t="s">
        <v>3801</v>
      </c>
    </row>
    <row r="2644" spans="1:14" hidden="1" x14ac:dyDescent="0.25">
      <c r="A2644" t="s">
        <v>1322</v>
      </c>
      <c r="B2644" t="s">
        <v>1336</v>
      </c>
      <c r="C2644" t="s">
        <v>3826</v>
      </c>
      <c r="D2644" t="s">
        <v>20</v>
      </c>
      <c r="F2644">
        <v>324</v>
      </c>
      <c r="G2644">
        <v>6</v>
      </c>
      <c r="H2644" s="89">
        <v>46203</v>
      </c>
      <c r="I2644" s="89">
        <v>46207</v>
      </c>
      <c r="J2644" t="s">
        <v>3827</v>
      </c>
      <c r="N2644" t="s">
        <v>3801</v>
      </c>
    </row>
    <row r="2645" spans="1:14" hidden="1" x14ac:dyDescent="0.25">
      <c r="A2645" t="s">
        <v>1315</v>
      </c>
      <c r="B2645" t="s">
        <v>1329</v>
      </c>
      <c r="C2645" t="s">
        <v>3826</v>
      </c>
      <c r="D2645" t="s">
        <v>20</v>
      </c>
      <c r="F2645">
        <v>31</v>
      </c>
      <c r="G2645" t="s">
        <v>1419</v>
      </c>
      <c r="H2645" s="89">
        <v>46203</v>
      </c>
      <c r="I2645" s="89">
        <v>46205</v>
      </c>
      <c r="J2645" t="s">
        <v>3549</v>
      </c>
      <c r="N2645" t="s">
        <v>3801</v>
      </c>
    </row>
    <row r="2646" spans="1:14" hidden="1" x14ac:dyDescent="0.25">
      <c r="A2646" t="s">
        <v>1316</v>
      </c>
      <c r="B2646" t="s">
        <v>1330</v>
      </c>
      <c r="C2646" t="s">
        <v>3828</v>
      </c>
      <c r="D2646" t="s">
        <v>20</v>
      </c>
      <c r="F2646">
        <v>72</v>
      </c>
      <c r="G2646" t="s">
        <v>1419</v>
      </c>
      <c r="H2646" s="89">
        <v>46203</v>
      </c>
      <c r="I2646" s="89">
        <v>46205</v>
      </c>
      <c r="J2646" t="s">
        <v>3549</v>
      </c>
      <c r="N2646" t="s">
        <v>3801</v>
      </c>
    </row>
    <row r="2647" spans="1:14" hidden="1" x14ac:dyDescent="0.25">
      <c r="A2647" t="s">
        <v>1317</v>
      </c>
      <c r="B2647" t="s">
        <v>1331</v>
      </c>
      <c r="C2647" t="s">
        <v>3826</v>
      </c>
      <c r="D2647" t="s">
        <v>20</v>
      </c>
      <c r="F2647">
        <v>7</v>
      </c>
      <c r="G2647" t="s">
        <v>1419</v>
      </c>
      <c r="H2647" s="89">
        <v>46203</v>
      </c>
      <c r="I2647" s="89">
        <v>46205</v>
      </c>
      <c r="J2647" t="s">
        <v>3549</v>
      </c>
      <c r="N2647" t="s">
        <v>3801</v>
      </c>
    </row>
    <row r="2648" spans="1:14" hidden="1" x14ac:dyDescent="0.25">
      <c r="A2648" t="s">
        <v>1318</v>
      </c>
      <c r="B2648" t="s">
        <v>1332</v>
      </c>
      <c r="C2648" t="s">
        <v>3829</v>
      </c>
      <c r="D2648" t="s">
        <v>20</v>
      </c>
      <c r="F2648">
        <v>54</v>
      </c>
      <c r="G2648" t="s">
        <v>1419</v>
      </c>
      <c r="H2648" s="89">
        <v>46203</v>
      </c>
      <c r="I2648" s="89">
        <v>46205</v>
      </c>
      <c r="J2648" t="s">
        <v>3549</v>
      </c>
      <c r="N2648" t="s">
        <v>3801</v>
      </c>
    </row>
    <row r="2649" spans="1:14" hidden="1" x14ac:dyDescent="0.25">
      <c r="A2649" t="s">
        <v>1320</v>
      </c>
      <c r="B2649" t="s">
        <v>1334</v>
      </c>
      <c r="C2649" t="s">
        <v>3830</v>
      </c>
      <c r="D2649" t="s">
        <v>23</v>
      </c>
      <c r="F2649">
        <v>960</v>
      </c>
      <c r="G2649">
        <v>20</v>
      </c>
      <c r="H2649" s="89">
        <v>46204</v>
      </c>
      <c r="I2649" s="89">
        <v>46209</v>
      </c>
      <c r="J2649" t="s">
        <v>3831</v>
      </c>
      <c r="N2649" t="s">
        <v>3801</v>
      </c>
    </row>
    <row r="2650" spans="1:14" hidden="1" x14ac:dyDescent="0.25">
      <c r="A2650" t="s">
        <v>1313</v>
      </c>
      <c r="B2650" t="s">
        <v>1327</v>
      </c>
      <c r="C2650" t="s">
        <v>3832</v>
      </c>
      <c r="D2650" t="s">
        <v>150</v>
      </c>
      <c r="F2650">
        <v>1056</v>
      </c>
      <c r="G2650">
        <v>22</v>
      </c>
      <c r="H2650" s="89">
        <v>46204</v>
      </c>
      <c r="I2650" s="89">
        <v>46209</v>
      </c>
      <c r="J2650" t="s">
        <v>3833</v>
      </c>
      <c r="N2650" t="s">
        <v>3801</v>
      </c>
    </row>
    <row r="2651" spans="1:14" hidden="1" x14ac:dyDescent="0.25">
      <c r="A2651" t="s">
        <v>1320</v>
      </c>
      <c r="B2651" t="s">
        <v>1334</v>
      </c>
      <c r="C2651" t="s">
        <v>3834</v>
      </c>
      <c r="D2651" t="s">
        <v>13</v>
      </c>
      <c r="F2651">
        <v>960</v>
      </c>
      <c r="G2651">
        <v>20</v>
      </c>
      <c r="H2651" s="89">
        <v>46204</v>
      </c>
      <c r="I2651" s="89">
        <v>46209</v>
      </c>
      <c r="J2651" t="s">
        <v>3835</v>
      </c>
      <c r="N2651" t="s">
        <v>3801</v>
      </c>
    </row>
    <row r="2652" spans="1:14" hidden="1" x14ac:dyDescent="0.25">
      <c r="A2652" t="s">
        <v>1320</v>
      </c>
      <c r="B2652" t="s">
        <v>1334</v>
      </c>
      <c r="C2652" t="s">
        <v>3836</v>
      </c>
      <c r="D2652" t="s">
        <v>21</v>
      </c>
      <c r="F2652">
        <v>960</v>
      </c>
      <c r="G2652">
        <v>20</v>
      </c>
      <c r="H2652" s="89">
        <v>46204</v>
      </c>
      <c r="I2652" s="89">
        <v>46207</v>
      </c>
      <c r="J2652" t="s">
        <v>3837</v>
      </c>
      <c r="N2652" t="s">
        <v>3801</v>
      </c>
    </row>
    <row r="2653" spans="1:14" hidden="1" x14ac:dyDescent="0.25">
      <c r="A2653" t="s">
        <v>1313</v>
      </c>
      <c r="B2653" t="s">
        <v>1327</v>
      </c>
      <c r="C2653" t="s">
        <v>3836</v>
      </c>
      <c r="D2653" t="s">
        <v>21</v>
      </c>
      <c r="F2653">
        <v>432</v>
      </c>
      <c r="G2653">
        <v>9</v>
      </c>
      <c r="H2653" s="89">
        <v>46204</v>
      </c>
      <c r="I2653" s="89">
        <v>46210</v>
      </c>
      <c r="J2653" t="s">
        <v>3838</v>
      </c>
      <c r="N2653" t="s">
        <v>3801</v>
      </c>
    </row>
    <row r="2654" spans="1:14" hidden="1" x14ac:dyDescent="0.25">
      <c r="A2654" t="s">
        <v>1315</v>
      </c>
      <c r="B2654" t="s">
        <v>1329</v>
      </c>
      <c r="C2654" t="s">
        <v>3836</v>
      </c>
      <c r="D2654" t="s">
        <v>21</v>
      </c>
      <c r="F2654">
        <v>36</v>
      </c>
      <c r="G2654" t="s">
        <v>1419</v>
      </c>
      <c r="H2654" s="89">
        <v>46204</v>
      </c>
      <c r="I2654" s="89">
        <v>46206</v>
      </c>
      <c r="J2654" t="s">
        <v>3549</v>
      </c>
      <c r="N2654" t="s">
        <v>3801</v>
      </c>
    </row>
    <row r="2655" spans="1:14" hidden="1" x14ac:dyDescent="0.25">
      <c r="A2655" t="s">
        <v>1316</v>
      </c>
      <c r="B2655" t="s">
        <v>1330</v>
      </c>
      <c r="C2655" t="s">
        <v>3839</v>
      </c>
      <c r="D2655" t="s">
        <v>21</v>
      </c>
      <c r="F2655">
        <v>21</v>
      </c>
      <c r="G2655" t="s">
        <v>1419</v>
      </c>
      <c r="H2655" s="89">
        <v>46204</v>
      </c>
      <c r="I2655" s="89">
        <v>46206</v>
      </c>
      <c r="J2655" t="s">
        <v>3549</v>
      </c>
      <c r="N2655" t="s">
        <v>3801</v>
      </c>
    </row>
    <row r="2656" spans="1:14" hidden="1" x14ac:dyDescent="0.25">
      <c r="A2656" t="s">
        <v>1317</v>
      </c>
      <c r="B2656" t="s">
        <v>1331</v>
      </c>
      <c r="C2656" t="s">
        <v>3836</v>
      </c>
      <c r="D2656" t="s">
        <v>21</v>
      </c>
      <c r="F2656">
        <v>26</v>
      </c>
      <c r="G2656" t="s">
        <v>1419</v>
      </c>
      <c r="H2656" s="89">
        <v>46204</v>
      </c>
      <c r="I2656" s="89">
        <v>46206</v>
      </c>
      <c r="J2656" t="s">
        <v>3549</v>
      </c>
      <c r="N2656" t="s">
        <v>3801</v>
      </c>
    </row>
    <row r="2657" spans="1:14" hidden="1" x14ac:dyDescent="0.25">
      <c r="A2657" t="s">
        <v>1318</v>
      </c>
      <c r="B2657" t="s">
        <v>1332</v>
      </c>
      <c r="C2657" t="s">
        <v>3840</v>
      </c>
      <c r="D2657" t="s">
        <v>21</v>
      </c>
      <c r="F2657">
        <v>71</v>
      </c>
      <c r="G2657" t="s">
        <v>1419</v>
      </c>
      <c r="H2657" s="89">
        <v>46204</v>
      </c>
      <c r="I2657" s="89">
        <v>46206</v>
      </c>
      <c r="J2657" t="s">
        <v>3549</v>
      </c>
      <c r="N2657" t="s">
        <v>3801</v>
      </c>
    </row>
    <row r="2658" spans="1:14" hidden="1" x14ac:dyDescent="0.25">
      <c r="A2658" t="s">
        <v>1320</v>
      </c>
      <c r="B2658" t="s">
        <v>1334</v>
      </c>
      <c r="C2658" t="s">
        <v>3841</v>
      </c>
      <c r="D2658" t="s">
        <v>15</v>
      </c>
      <c r="F2658">
        <v>384</v>
      </c>
      <c r="G2658">
        <v>8</v>
      </c>
      <c r="H2658" s="89">
        <v>46204</v>
      </c>
      <c r="I2658" s="89">
        <v>46207</v>
      </c>
      <c r="J2658" t="s">
        <v>3820</v>
      </c>
      <c r="N2658" t="s">
        <v>3801</v>
      </c>
    </row>
    <row r="2659" spans="1:14" hidden="1" x14ac:dyDescent="0.25">
      <c r="A2659" t="s">
        <v>1313</v>
      </c>
      <c r="B2659" t="s">
        <v>1327</v>
      </c>
      <c r="C2659" t="s">
        <v>3841</v>
      </c>
      <c r="D2659" t="s">
        <v>15</v>
      </c>
      <c r="F2659">
        <v>144</v>
      </c>
      <c r="G2659">
        <v>3</v>
      </c>
      <c r="H2659" s="89">
        <v>46204</v>
      </c>
      <c r="I2659" s="89">
        <v>46208</v>
      </c>
      <c r="J2659" t="s">
        <v>3806</v>
      </c>
      <c r="N2659" t="s">
        <v>3801</v>
      </c>
    </row>
    <row r="2660" spans="1:14" hidden="1" x14ac:dyDescent="0.25">
      <c r="A2660" t="s">
        <v>1313</v>
      </c>
      <c r="B2660" t="s">
        <v>1327</v>
      </c>
      <c r="C2660" t="s">
        <v>3841</v>
      </c>
      <c r="D2660" t="s">
        <v>15</v>
      </c>
      <c r="F2660">
        <v>912</v>
      </c>
      <c r="G2660">
        <v>19</v>
      </c>
      <c r="H2660" s="89">
        <v>46204</v>
      </c>
      <c r="I2660" s="89">
        <v>46209</v>
      </c>
      <c r="J2660" t="s">
        <v>3842</v>
      </c>
      <c r="N2660" t="s">
        <v>3801</v>
      </c>
    </row>
    <row r="2661" spans="1:14" hidden="1" x14ac:dyDescent="0.25">
      <c r="A2661" t="s">
        <v>1315</v>
      </c>
      <c r="B2661" t="s">
        <v>1329</v>
      </c>
      <c r="C2661" t="s">
        <v>3841</v>
      </c>
      <c r="D2661" t="s">
        <v>15</v>
      </c>
      <c r="F2661">
        <v>12</v>
      </c>
      <c r="G2661" t="s">
        <v>1419</v>
      </c>
      <c r="H2661" s="89">
        <v>46204</v>
      </c>
      <c r="I2661" s="89">
        <v>46206</v>
      </c>
      <c r="J2661" t="s">
        <v>3549</v>
      </c>
      <c r="N2661" t="s">
        <v>3801</v>
      </c>
    </row>
    <row r="2662" spans="1:14" hidden="1" x14ac:dyDescent="0.25">
      <c r="A2662" t="s">
        <v>1316</v>
      </c>
      <c r="B2662" t="s">
        <v>1330</v>
      </c>
      <c r="C2662" t="s">
        <v>3843</v>
      </c>
      <c r="D2662" t="s">
        <v>15</v>
      </c>
      <c r="F2662">
        <v>73</v>
      </c>
      <c r="G2662" t="s">
        <v>1419</v>
      </c>
      <c r="H2662" s="89">
        <v>46204</v>
      </c>
      <c r="I2662" s="89">
        <v>46206</v>
      </c>
      <c r="J2662" t="s">
        <v>3549</v>
      </c>
      <c r="N2662" t="s">
        <v>3801</v>
      </c>
    </row>
    <row r="2663" spans="1:14" hidden="1" x14ac:dyDescent="0.25">
      <c r="A2663" t="s">
        <v>1317</v>
      </c>
      <c r="B2663" t="s">
        <v>1331</v>
      </c>
      <c r="C2663" t="s">
        <v>3841</v>
      </c>
      <c r="D2663" t="s">
        <v>15</v>
      </c>
      <c r="F2663">
        <v>15</v>
      </c>
      <c r="G2663" t="s">
        <v>1419</v>
      </c>
      <c r="H2663" s="89">
        <v>46204</v>
      </c>
      <c r="I2663" s="89">
        <v>46206</v>
      </c>
      <c r="J2663" t="s">
        <v>3549</v>
      </c>
      <c r="N2663" t="s">
        <v>3801</v>
      </c>
    </row>
    <row r="2664" spans="1:14" hidden="1" x14ac:dyDescent="0.25">
      <c r="A2664" t="s">
        <v>1318</v>
      </c>
      <c r="B2664" t="s">
        <v>1332</v>
      </c>
      <c r="C2664" t="s">
        <v>3844</v>
      </c>
      <c r="D2664" t="s">
        <v>15</v>
      </c>
      <c r="F2664">
        <v>36</v>
      </c>
      <c r="G2664" t="s">
        <v>1419</v>
      </c>
      <c r="H2664" s="89">
        <v>46204</v>
      </c>
      <c r="I2664" s="89">
        <v>46206</v>
      </c>
      <c r="J2664" t="s">
        <v>3549</v>
      </c>
      <c r="N2664" t="s">
        <v>3801</v>
      </c>
    </row>
    <row r="2665" spans="1:14" hidden="1" x14ac:dyDescent="0.25">
      <c r="A2665" t="s">
        <v>1320</v>
      </c>
      <c r="B2665" t="s">
        <v>1334</v>
      </c>
      <c r="C2665" t="s">
        <v>3845</v>
      </c>
      <c r="D2665" t="s">
        <v>20</v>
      </c>
      <c r="F2665">
        <v>960</v>
      </c>
      <c r="G2665">
        <v>20</v>
      </c>
      <c r="H2665" s="89">
        <v>46204</v>
      </c>
      <c r="I2665" s="89">
        <v>46210</v>
      </c>
      <c r="J2665" t="s">
        <v>3846</v>
      </c>
      <c r="N2665" t="s">
        <v>3801</v>
      </c>
    </row>
    <row r="2666" spans="1:14" hidden="1" x14ac:dyDescent="0.25">
      <c r="A2666" t="s">
        <v>1315</v>
      </c>
      <c r="B2666" t="s">
        <v>1329</v>
      </c>
      <c r="C2666" t="s">
        <v>3845</v>
      </c>
      <c r="D2666" t="s">
        <v>20</v>
      </c>
      <c r="F2666">
        <v>162</v>
      </c>
      <c r="G2666" t="s">
        <v>1419</v>
      </c>
      <c r="H2666" s="89">
        <v>46204</v>
      </c>
      <c r="I2666" s="89">
        <v>46206</v>
      </c>
      <c r="J2666" t="s">
        <v>3549</v>
      </c>
      <c r="N2666" t="s">
        <v>3801</v>
      </c>
    </row>
    <row r="2667" spans="1:14" hidden="1" x14ac:dyDescent="0.25">
      <c r="A2667" t="s">
        <v>1316</v>
      </c>
      <c r="B2667" t="s">
        <v>1330</v>
      </c>
      <c r="C2667" t="s">
        <v>3847</v>
      </c>
      <c r="D2667" t="s">
        <v>20</v>
      </c>
      <c r="F2667">
        <v>83</v>
      </c>
      <c r="G2667" t="s">
        <v>1419</v>
      </c>
      <c r="H2667" s="89">
        <v>46204</v>
      </c>
      <c r="I2667" s="89">
        <v>46206</v>
      </c>
      <c r="J2667" t="s">
        <v>3549</v>
      </c>
      <c r="N2667" t="s">
        <v>3801</v>
      </c>
    </row>
    <row r="2668" spans="1:14" hidden="1" x14ac:dyDescent="0.25">
      <c r="A2668" t="s">
        <v>1317</v>
      </c>
      <c r="B2668" t="s">
        <v>1331</v>
      </c>
      <c r="C2668" t="s">
        <v>3845</v>
      </c>
      <c r="D2668" t="s">
        <v>20</v>
      </c>
      <c r="F2668">
        <v>2</v>
      </c>
      <c r="G2668" t="s">
        <v>1419</v>
      </c>
      <c r="H2668" s="89">
        <v>46204</v>
      </c>
      <c r="I2668" s="89">
        <v>46206</v>
      </c>
      <c r="J2668" t="s">
        <v>3549</v>
      </c>
      <c r="N2668" t="s">
        <v>3801</v>
      </c>
    </row>
    <row r="2669" spans="1:14" hidden="1" x14ac:dyDescent="0.25">
      <c r="A2669" t="s">
        <v>1318</v>
      </c>
      <c r="B2669" t="s">
        <v>1332</v>
      </c>
      <c r="C2669" t="s">
        <v>3848</v>
      </c>
      <c r="D2669" t="s">
        <v>20</v>
      </c>
      <c r="F2669">
        <v>45</v>
      </c>
      <c r="G2669" t="s">
        <v>1419</v>
      </c>
      <c r="H2669" s="89">
        <v>46204</v>
      </c>
      <c r="I2669" s="89">
        <v>46206</v>
      </c>
      <c r="J2669" t="s">
        <v>3549</v>
      </c>
      <c r="N2669" t="s">
        <v>3801</v>
      </c>
    </row>
    <row r="2670" spans="1:14" hidden="1" x14ac:dyDescent="0.25">
      <c r="A2670" t="s">
        <v>1325</v>
      </c>
      <c r="B2670" t="s">
        <v>1339</v>
      </c>
      <c r="C2670" t="s">
        <v>3849</v>
      </c>
      <c r="D2670" t="s">
        <v>159</v>
      </c>
      <c r="F2670">
        <v>384</v>
      </c>
      <c r="G2670">
        <v>8</v>
      </c>
      <c r="H2670" s="89">
        <v>46205</v>
      </c>
      <c r="I2670" s="89">
        <v>46208</v>
      </c>
      <c r="J2670" t="s">
        <v>3549</v>
      </c>
      <c r="N2670" t="s">
        <v>3801</v>
      </c>
    </row>
    <row r="2671" spans="1:14" hidden="1" x14ac:dyDescent="0.25">
      <c r="A2671" t="s">
        <v>1320</v>
      </c>
      <c r="B2671" t="s">
        <v>1334</v>
      </c>
      <c r="C2671" t="s">
        <v>3850</v>
      </c>
      <c r="D2671" t="s">
        <v>30</v>
      </c>
      <c r="F2671">
        <v>576</v>
      </c>
      <c r="G2671">
        <v>12</v>
      </c>
      <c r="H2671" s="89">
        <v>46205</v>
      </c>
      <c r="I2671" s="89">
        <v>46212</v>
      </c>
      <c r="J2671" t="s">
        <v>3851</v>
      </c>
      <c r="N2671" t="s">
        <v>3801</v>
      </c>
    </row>
    <row r="2672" spans="1:14" hidden="1" x14ac:dyDescent="0.25">
      <c r="A2672" t="s">
        <v>1313</v>
      </c>
      <c r="B2672" t="s">
        <v>1327</v>
      </c>
      <c r="C2672" t="s">
        <v>3852</v>
      </c>
      <c r="D2672" t="s">
        <v>20</v>
      </c>
      <c r="F2672">
        <v>864</v>
      </c>
      <c r="G2672">
        <v>18</v>
      </c>
      <c r="H2672" s="89">
        <v>46205</v>
      </c>
      <c r="I2672" s="89">
        <v>46208</v>
      </c>
      <c r="J2672" t="s">
        <v>3853</v>
      </c>
      <c r="N2672" t="s">
        <v>3801</v>
      </c>
    </row>
    <row r="2673" spans="1:14" hidden="1" x14ac:dyDescent="0.25">
      <c r="A2673" t="s">
        <v>1313</v>
      </c>
      <c r="B2673" t="s">
        <v>1327</v>
      </c>
      <c r="C2673" t="s">
        <v>3852</v>
      </c>
      <c r="D2673" t="s">
        <v>20</v>
      </c>
      <c r="F2673">
        <v>139</v>
      </c>
      <c r="G2673">
        <v>2.8958333333333335</v>
      </c>
      <c r="H2673" s="89">
        <v>46205</v>
      </c>
      <c r="I2673" s="89">
        <v>46209</v>
      </c>
      <c r="J2673" t="s">
        <v>3842</v>
      </c>
      <c r="N2673" t="s">
        <v>3801</v>
      </c>
    </row>
    <row r="2674" spans="1:14" hidden="1" x14ac:dyDescent="0.25">
      <c r="A2674" t="s">
        <v>1566</v>
      </c>
      <c r="B2674" t="s">
        <v>1567</v>
      </c>
      <c r="C2674" t="s">
        <v>3852</v>
      </c>
      <c r="D2674" t="s">
        <v>20</v>
      </c>
      <c r="F2674">
        <v>5</v>
      </c>
      <c r="G2674">
        <v>0.10416666666666669</v>
      </c>
      <c r="H2674" s="89">
        <v>46205</v>
      </c>
      <c r="I2674" s="89">
        <v>46209</v>
      </c>
      <c r="J2674" t="s">
        <v>3854</v>
      </c>
      <c r="N2674" t="s">
        <v>3801</v>
      </c>
    </row>
    <row r="2675" spans="1:14" hidden="1" x14ac:dyDescent="0.25">
      <c r="A2675" t="s">
        <v>1313</v>
      </c>
      <c r="B2675" t="s">
        <v>1327</v>
      </c>
      <c r="C2675" t="s">
        <v>3852</v>
      </c>
      <c r="D2675" t="s">
        <v>20</v>
      </c>
      <c r="F2675">
        <v>96</v>
      </c>
      <c r="G2675">
        <v>2</v>
      </c>
      <c r="H2675" s="89">
        <v>46205</v>
      </c>
      <c r="I2675" s="89">
        <v>46211</v>
      </c>
      <c r="J2675" t="s">
        <v>3855</v>
      </c>
      <c r="N2675" t="s">
        <v>3801</v>
      </c>
    </row>
    <row r="2676" spans="1:14" hidden="1" x14ac:dyDescent="0.25">
      <c r="A2676" t="s">
        <v>1315</v>
      </c>
      <c r="B2676" t="s">
        <v>1329</v>
      </c>
      <c r="C2676" t="s">
        <v>3852</v>
      </c>
      <c r="D2676" t="s">
        <v>20</v>
      </c>
      <c r="F2676">
        <v>110</v>
      </c>
      <c r="G2676" t="s">
        <v>1419</v>
      </c>
      <c r="H2676" s="89">
        <v>46205</v>
      </c>
      <c r="I2676" s="89">
        <v>46207</v>
      </c>
      <c r="J2676" t="s">
        <v>3549</v>
      </c>
      <c r="N2676" t="s">
        <v>3801</v>
      </c>
    </row>
    <row r="2677" spans="1:14" hidden="1" x14ac:dyDescent="0.25">
      <c r="A2677" t="s">
        <v>1316</v>
      </c>
      <c r="B2677" t="s">
        <v>1330</v>
      </c>
      <c r="C2677" t="s">
        <v>3856</v>
      </c>
      <c r="D2677" t="s">
        <v>20</v>
      </c>
      <c r="F2677">
        <v>91</v>
      </c>
      <c r="G2677" t="s">
        <v>1419</v>
      </c>
      <c r="H2677" s="89">
        <v>46205</v>
      </c>
      <c r="I2677" s="89">
        <v>46207</v>
      </c>
      <c r="J2677" t="s">
        <v>3549</v>
      </c>
      <c r="N2677" t="s">
        <v>3801</v>
      </c>
    </row>
    <row r="2678" spans="1:14" hidden="1" x14ac:dyDescent="0.25">
      <c r="A2678" t="s">
        <v>1317</v>
      </c>
      <c r="B2678" t="s">
        <v>1331</v>
      </c>
      <c r="C2678" t="s">
        <v>3852</v>
      </c>
      <c r="D2678" t="s">
        <v>20</v>
      </c>
      <c r="F2678">
        <v>27</v>
      </c>
      <c r="G2678" t="s">
        <v>1419</v>
      </c>
      <c r="H2678" s="89">
        <v>46205</v>
      </c>
      <c r="I2678" s="89">
        <v>46207</v>
      </c>
      <c r="J2678" t="s">
        <v>3549</v>
      </c>
      <c r="N2678" t="s">
        <v>3801</v>
      </c>
    </row>
    <row r="2679" spans="1:14" hidden="1" x14ac:dyDescent="0.25">
      <c r="A2679" t="s">
        <v>1318</v>
      </c>
      <c r="B2679" t="s">
        <v>1332</v>
      </c>
      <c r="C2679" t="s">
        <v>3857</v>
      </c>
      <c r="D2679" t="s">
        <v>20</v>
      </c>
      <c r="F2679">
        <v>57</v>
      </c>
      <c r="G2679" t="s">
        <v>1419</v>
      </c>
      <c r="H2679" s="89">
        <v>46205</v>
      </c>
      <c r="I2679" s="89">
        <v>46207</v>
      </c>
      <c r="J2679" t="s">
        <v>3549</v>
      </c>
      <c r="N2679" t="s">
        <v>3801</v>
      </c>
    </row>
    <row r="2680" spans="1:14" hidden="1" x14ac:dyDescent="0.25">
      <c r="A2680" t="s">
        <v>1314</v>
      </c>
      <c r="B2680" t="s">
        <v>1328</v>
      </c>
      <c r="C2680" t="s">
        <v>3858</v>
      </c>
      <c r="D2680" t="s">
        <v>15</v>
      </c>
      <c r="F2680">
        <v>288</v>
      </c>
      <c r="G2680">
        <v>6</v>
      </c>
      <c r="H2680" s="89">
        <v>46205</v>
      </c>
      <c r="I2680" s="89">
        <v>46208</v>
      </c>
      <c r="J2680" t="s">
        <v>3859</v>
      </c>
      <c r="N2680" t="s">
        <v>3801</v>
      </c>
    </row>
    <row r="2681" spans="1:14" hidden="1" x14ac:dyDescent="0.25">
      <c r="A2681" t="s">
        <v>1314</v>
      </c>
      <c r="B2681" t="s">
        <v>1328</v>
      </c>
      <c r="C2681" t="s">
        <v>3858</v>
      </c>
      <c r="D2681" t="s">
        <v>15</v>
      </c>
      <c r="F2681">
        <v>96</v>
      </c>
      <c r="G2681">
        <v>2</v>
      </c>
      <c r="H2681" s="89">
        <v>46205</v>
      </c>
      <c r="I2681" s="89">
        <v>46209</v>
      </c>
      <c r="J2681" t="s">
        <v>3854</v>
      </c>
      <c r="N2681" t="s">
        <v>3801</v>
      </c>
    </row>
    <row r="2682" spans="1:14" hidden="1" x14ac:dyDescent="0.25">
      <c r="A2682" t="s">
        <v>1320</v>
      </c>
      <c r="B2682" t="s">
        <v>1334</v>
      </c>
      <c r="C2682" t="s">
        <v>3858</v>
      </c>
      <c r="D2682" t="s">
        <v>15</v>
      </c>
      <c r="F2682">
        <v>960</v>
      </c>
      <c r="G2682">
        <v>20</v>
      </c>
      <c r="H2682" s="89">
        <v>46205</v>
      </c>
      <c r="I2682" s="89">
        <v>46211</v>
      </c>
      <c r="J2682" t="s">
        <v>3860</v>
      </c>
      <c r="N2682" t="s">
        <v>3801</v>
      </c>
    </row>
    <row r="2683" spans="1:14" hidden="1" x14ac:dyDescent="0.25">
      <c r="A2683" t="s">
        <v>1314</v>
      </c>
      <c r="B2683" t="s">
        <v>1328</v>
      </c>
      <c r="C2683" t="s">
        <v>3858</v>
      </c>
      <c r="D2683" t="s">
        <v>15</v>
      </c>
      <c r="F2683">
        <v>48</v>
      </c>
      <c r="G2683">
        <v>1</v>
      </c>
      <c r="H2683" s="89">
        <v>46205</v>
      </c>
      <c r="I2683" s="89">
        <v>46209</v>
      </c>
      <c r="J2683" t="s">
        <v>3833</v>
      </c>
      <c r="N2683" t="s">
        <v>3801</v>
      </c>
    </row>
    <row r="2684" spans="1:14" hidden="1" x14ac:dyDescent="0.25">
      <c r="A2684" t="s">
        <v>1313</v>
      </c>
      <c r="B2684" t="s">
        <v>1327</v>
      </c>
      <c r="C2684" t="s">
        <v>3858</v>
      </c>
      <c r="D2684" t="s">
        <v>15</v>
      </c>
      <c r="F2684">
        <v>48</v>
      </c>
      <c r="G2684">
        <v>1</v>
      </c>
      <c r="H2684" s="89">
        <v>46205</v>
      </c>
      <c r="I2684" s="89">
        <v>46209</v>
      </c>
      <c r="J2684" t="s">
        <v>3833</v>
      </c>
      <c r="N2684" t="s">
        <v>3801</v>
      </c>
    </row>
    <row r="2685" spans="1:14" hidden="1" x14ac:dyDescent="0.25">
      <c r="A2685" t="s">
        <v>1315</v>
      </c>
      <c r="B2685" t="s">
        <v>1329</v>
      </c>
      <c r="C2685" t="s">
        <v>3858</v>
      </c>
      <c r="D2685" t="s">
        <v>15</v>
      </c>
      <c r="F2685">
        <v>10</v>
      </c>
      <c r="G2685" t="s">
        <v>1419</v>
      </c>
      <c r="H2685" s="89">
        <v>46205</v>
      </c>
      <c r="I2685" s="89">
        <v>46207</v>
      </c>
      <c r="J2685" t="s">
        <v>3549</v>
      </c>
      <c r="N2685" t="s">
        <v>3801</v>
      </c>
    </row>
    <row r="2686" spans="1:14" hidden="1" x14ac:dyDescent="0.25">
      <c r="A2686" t="s">
        <v>1316</v>
      </c>
      <c r="B2686" t="s">
        <v>1330</v>
      </c>
      <c r="C2686" t="s">
        <v>3861</v>
      </c>
      <c r="D2686" t="s">
        <v>15</v>
      </c>
      <c r="F2686">
        <v>70</v>
      </c>
      <c r="G2686" t="s">
        <v>1419</v>
      </c>
      <c r="H2686" s="89">
        <v>46205</v>
      </c>
      <c r="I2686" s="89">
        <v>46207</v>
      </c>
      <c r="J2686" t="s">
        <v>3549</v>
      </c>
      <c r="N2686" t="s">
        <v>3801</v>
      </c>
    </row>
    <row r="2687" spans="1:14" hidden="1" x14ac:dyDescent="0.25">
      <c r="A2687" t="s">
        <v>1317</v>
      </c>
      <c r="B2687" t="s">
        <v>1331</v>
      </c>
      <c r="C2687" t="s">
        <v>3858</v>
      </c>
      <c r="D2687" t="s">
        <v>15</v>
      </c>
      <c r="F2687">
        <v>19</v>
      </c>
      <c r="G2687" t="s">
        <v>1419</v>
      </c>
      <c r="H2687" s="89">
        <v>46205</v>
      </c>
      <c r="I2687" s="89">
        <v>46207</v>
      </c>
      <c r="J2687" t="s">
        <v>3549</v>
      </c>
      <c r="N2687" t="s">
        <v>3801</v>
      </c>
    </row>
    <row r="2688" spans="1:14" hidden="1" x14ac:dyDescent="0.25">
      <c r="A2688" t="s">
        <v>1318</v>
      </c>
      <c r="B2688" t="s">
        <v>1332</v>
      </c>
      <c r="C2688" t="s">
        <v>3862</v>
      </c>
      <c r="D2688" t="s">
        <v>15</v>
      </c>
      <c r="F2688">
        <v>24</v>
      </c>
      <c r="G2688" t="s">
        <v>1419</v>
      </c>
      <c r="H2688" s="89">
        <v>46205</v>
      </c>
      <c r="I2688" s="89">
        <v>46207</v>
      </c>
      <c r="J2688" t="s">
        <v>3549</v>
      </c>
      <c r="N2688" t="s">
        <v>3801</v>
      </c>
    </row>
    <row r="2689" spans="1:14" hidden="1" x14ac:dyDescent="0.25">
      <c r="A2689" t="s">
        <v>1320</v>
      </c>
      <c r="B2689" t="s">
        <v>1334</v>
      </c>
      <c r="C2689" t="s">
        <v>3863</v>
      </c>
      <c r="D2689" t="s">
        <v>21</v>
      </c>
      <c r="F2689">
        <v>960</v>
      </c>
      <c r="G2689">
        <v>20</v>
      </c>
      <c r="H2689" s="89">
        <v>46205</v>
      </c>
      <c r="I2689" s="89">
        <v>46210</v>
      </c>
      <c r="J2689" t="s">
        <v>3864</v>
      </c>
      <c r="N2689" t="s">
        <v>3801</v>
      </c>
    </row>
    <row r="2690" spans="1:14" hidden="1" x14ac:dyDescent="0.25">
      <c r="A2690" t="s">
        <v>1313</v>
      </c>
      <c r="B2690" t="s">
        <v>1327</v>
      </c>
      <c r="C2690" t="s">
        <v>3863</v>
      </c>
      <c r="D2690" t="s">
        <v>21</v>
      </c>
      <c r="F2690">
        <v>432</v>
      </c>
      <c r="G2690">
        <v>9</v>
      </c>
      <c r="H2690" s="89">
        <v>46205</v>
      </c>
      <c r="I2690" s="89">
        <v>46210</v>
      </c>
      <c r="J2690" t="s">
        <v>3838</v>
      </c>
      <c r="N2690" t="s">
        <v>3801</v>
      </c>
    </row>
    <row r="2691" spans="1:14" hidden="1" x14ac:dyDescent="0.25">
      <c r="A2691" t="s">
        <v>1315</v>
      </c>
      <c r="B2691" t="s">
        <v>1329</v>
      </c>
      <c r="C2691" t="s">
        <v>3863</v>
      </c>
      <c r="D2691" t="s">
        <v>21</v>
      </c>
      <c r="F2691">
        <v>34</v>
      </c>
      <c r="G2691" t="s">
        <v>1419</v>
      </c>
      <c r="H2691" s="89">
        <v>46205</v>
      </c>
      <c r="I2691" s="89">
        <v>46207</v>
      </c>
      <c r="J2691" t="s">
        <v>3549</v>
      </c>
      <c r="N2691" t="s">
        <v>3801</v>
      </c>
    </row>
    <row r="2692" spans="1:14" hidden="1" x14ac:dyDescent="0.25">
      <c r="A2692" t="s">
        <v>1316</v>
      </c>
      <c r="B2692" t="s">
        <v>1330</v>
      </c>
      <c r="C2692" t="s">
        <v>3865</v>
      </c>
      <c r="D2692" t="s">
        <v>21</v>
      </c>
      <c r="F2692">
        <v>47</v>
      </c>
      <c r="G2692" t="s">
        <v>1419</v>
      </c>
      <c r="H2692" s="89">
        <v>46205</v>
      </c>
      <c r="I2692" s="89">
        <v>46207</v>
      </c>
      <c r="J2692" t="s">
        <v>3549</v>
      </c>
      <c r="N2692" t="s">
        <v>3801</v>
      </c>
    </row>
    <row r="2693" spans="1:14" hidden="1" x14ac:dyDescent="0.25">
      <c r="A2693" t="s">
        <v>1317</v>
      </c>
      <c r="B2693" t="s">
        <v>1331</v>
      </c>
      <c r="C2693" t="s">
        <v>3863</v>
      </c>
      <c r="D2693" t="s">
        <v>21</v>
      </c>
      <c r="F2693">
        <v>22</v>
      </c>
      <c r="G2693" t="s">
        <v>1419</v>
      </c>
      <c r="H2693" s="89">
        <v>46205</v>
      </c>
      <c r="I2693" s="89">
        <v>46207</v>
      </c>
      <c r="J2693" t="s">
        <v>3549</v>
      </c>
      <c r="N2693" t="s">
        <v>3801</v>
      </c>
    </row>
    <row r="2694" spans="1:14" hidden="1" x14ac:dyDescent="0.25">
      <c r="A2694" t="s">
        <v>1318</v>
      </c>
      <c r="B2694" t="s">
        <v>1332</v>
      </c>
      <c r="C2694" t="s">
        <v>3866</v>
      </c>
      <c r="D2694" t="s">
        <v>21</v>
      </c>
      <c r="F2694">
        <v>75</v>
      </c>
      <c r="G2694" t="s">
        <v>1419</v>
      </c>
      <c r="H2694" s="89">
        <v>46205</v>
      </c>
      <c r="I2694" s="89">
        <v>46207</v>
      </c>
      <c r="J2694" t="s">
        <v>3549</v>
      </c>
      <c r="N2694" t="s">
        <v>3801</v>
      </c>
    </row>
    <row r="2695" spans="1:14" hidden="1" x14ac:dyDescent="0.25">
      <c r="A2695" t="s">
        <v>1324</v>
      </c>
      <c r="B2695" t="s">
        <v>1338</v>
      </c>
      <c r="C2695" t="s">
        <v>3867</v>
      </c>
      <c r="D2695" t="s">
        <v>23</v>
      </c>
      <c r="F2695">
        <v>960</v>
      </c>
      <c r="G2695">
        <v>20</v>
      </c>
      <c r="H2695" s="89">
        <v>46206</v>
      </c>
      <c r="I2695" s="89">
        <v>46212</v>
      </c>
      <c r="J2695" t="s">
        <v>3868</v>
      </c>
      <c r="N2695" t="s">
        <v>3801</v>
      </c>
    </row>
    <row r="2696" spans="1:14" hidden="1" x14ac:dyDescent="0.25">
      <c r="A2696" t="s">
        <v>1326</v>
      </c>
      <c r="B2696" t="s">
        <v>1340</v>
      </c>
      <c r="C2696" t="s">
        <v>3869</v>
      </c>
      <c r="D2696" t="s">
        <v>32</v>
      </c>
      <c r="F2696">
        <v>840</v>
      </c>
      <c r="G2696">
        <v>20</v>
      </c>
      <c r="H2696" s="89">
        <v>46206</v>
      </c>
      <c r="I2696" s="89">
        <v>46210</v>
      </c>
      <c r="J2696" t="s">
        <v>3870</v>
      </c>
      <c r="N2696" t="s">
        <v>3801</v>
      </c>
    </row>
    <row r="2697" spans="1:14" hidden="1" x14ac:dyDescent="0.25">
      <c r="A2697" t="s">
        <v>1320</v>
      </c>
      <c r="B2697" t="s">
        <v>1334</v>
      </c>
      <c r="C2697" t="s">
        <v>3871</v>
      </c>
      <c r="D2697" t="s">
        <v>97</v>
      </c>
      <c r="F2697">
        <v>480</v>
      </c>
      <c r="G2697">
        <v>10</v>
      </c>
      <c r="H2697" s="89">
        <v>46206</v>
      </c>
      <c r="I2697" s="89">
        <v>46212</v>
      </c>
      <c r="J2697" t="s">
        <v>3872</v>
      </c>
      <c r="N2697" t="s">
        <v>3801</v>
      </c>
    </row>
    <row r="2698" spans="1:14" hidden="1" x14ac:dyDescent="0.25">
      <c r="A2698" t="s">
        <v>1324</v>
      </c>
      <c r="B2698" t="s">
        <v>1338</v>
      </c>
      <c r="C2698" t="s">
        <v>3873</v>
      </c>
      <c r="D2698" t="s">
        <v>88</v>
      </c>
      <c r="F2698">
        <v>480</v>
      </c>
      <c r="G2698">
        <v>10</v>
      </c>
      <c r="H2698" s="89">
        <v>46206</v>
      </c>
      <c r="I2698" s="89">
        <v>46213</v>
      </c>
      <c r="J2698" t="s">
        <v>3874</v>
      </c>
      <c r="N2698" t="s">
        <v>3801</v>
      </c>
    </row>
    <row r="2699" spans="1:14" hidden="1" x14ac:dyDescent="0.25">
      <c r="A2699" t="s">
        <v>1320</v>
      </c>
      <c r="B2699" t="s">
        <v>1334</v>
      </c>
      <c r="C2699" t="s">
        <v>3875</v>
      </c>
      <c r="D2699" t="s">
        <v>30</v>
      </c>
      <c r="F2699">
        <v>384</v>
      </c>
      <c r="G2699">
        <v>8</v>
      </c>
      <c r="H2699" s="89">
        <v>46206</v>
      </c>
      <c r="I2699" s="89">
        <v>46212</v>
      </c>
      <c r="J2699" t="s">
        <v>3851</v>
      </c>
      <c r="N2699" t="s">
        <v>3801</v>
      </c>
    </row>
    <row r="2700" spans="1:14" hidden="1" x14ac:dyDescent="0.25">
      <c r="A2700" t="s">
        <v>1314</v>
      </c>
      <c r="B2700" t="s">
        <v>1328</v>
      </c>
      <c r="C2700" t="s">
        <v>3876</v>
      </c>
      <c r="D2700" t="s">
        <v>15</v>
      </c>
      <c r="F2700">
        <v>288</v>
      </c>
      <c r="G2700">
        <v>6</v>
      </c>
      <c r="H2700" s="89">
        <v>46206</v>
      </c>
      <c r="I2700" s="89">
        <v>46210</v>
      </c>
      <c r="J2700" t="s">
        <v>3877</v>
      </c>
      <c r="N2700" t="s">
        <v>3801</v>
      </c>
    </row>
    <row r="2701" spans="1:14" hidden="1" x14ac:dyDescent="0.25">
      <c r="A2701" t="s">
        <v>1313</v>
      </c>
      <c r="B2701" t="s">
        <v>1327</v>
      </c>
      <c r="C2701" t="s">
        <v>3876</v>
      </c>
      <c r="D2701" t="s">
        <v>15</v>
      </c>
      <c r="F2701">
        <v>96</v>
      </c>
      <c r="G2701">
        <v>2</v>
      </c>
      <c r="H2701" s="89">
        <v>46206</v>
      </c>
      <c r="I2701" s="89">
        <v>46211</v>
      </c>
      <c r="J2701" t="s">
        <v>3855</v>
      </c>
      <c r="N2701" t="s">
        <v>3801</v>
      </c>
    </row>
    <row r="2702" spans="1:14" hidden="1" x14ac:dyDescent="0.25">
      <c r="A2702" t="s">
        <v>1324</v>
      </c>
      <c r="B2702" t="s">
        <v>1338</v>
      </c>
      <c r="C2702" t="s">
        <v>3876</v>
      </c>
      <c r="D2702" t="s">
        <v>15</v>
      </c>
      <c r="F2702">
        <v>960</v>
      </c>
      <c r="G2702">
        <v>20</v>
      </c>
      <c r="H2702" s="89">
        <v>46206</v>
      </c>
      <c r="I2702" s="89">
        <v>46212</v>
      </c>
      <c r="J2702" t="s">
        <v>3868</v>
      </c>
      <c r="N2702" t="s">
        <v>3801</v>
      </c>
    </row>
    <row r="2703" spans="1:14" hidden="1" x14ac:dyDescent="0.25">
      <c r="A2703" t="s">
        <v>1320</v>
      </c>
      <c r="B2703" t="s">
        <v>1334</v>
      </c>
      <c r="C2703" t="s">
        <v>3876</v>
      </c>
      <c r="D2703" t="s">
        <v>15</v>
      </c>
      <c r="F2703">
        <v>48</v>
      </c>
      <c r="G2703">
        <v>1</v>
      </c>
      <c r="H2703" s="89">
        <v>46206</v>
      </c>
      <c r="I2703" s="89">
        <v>46211</v>
      </c>
      <c r="J2703" t="s">
        <v>3878</v>
      </c>
      <c r="N2703" t="s">
        <v>3801</v>
      </c>
    </row>
    <row r="2704" spans="1:14" hidden="1" x14ac:dyDescent="0.25">
      <c r="A2704" t="s">
        <v>1315</v>
      </c>
      <c r="B2704" t="s">
        <v>1329</v>
      </c>
      <c r="C2704" t="s">
        <v>3876</v>
      </c>
      <c r="D2704" t="s">
        <v>15</v>
      </c>
      <c r="F2704">
        <v>27</v>
      </c>
      <c r="G2704" t="s">
        <v>1419</v>
      </c>
      <c r="H2704" s="89">
        <v>46206</v>
      </c>
      <c r="I2704" s="89">
        <v>46208</v>
      </c>
      <c r="J2704" t="s">
        <v>3549</v>
      </c>
      <c r="N2704" t="s">
        <v>3801</v>
      </c>
    </row>
    <row r="2705" spans="1:14" hidden="1" x14ac:dyDescent="0.25">
      <c r="A2705" t="s">
        <v>1316</v>
      </c>
      <c r="B2705" t="s">
        <v>1330</v>
      </c>
      <c r="C2705" t="s">
        <v>3879</v>
      </c>
      <c r="D2705" t="s">
        <v>15</v>
      </c>
      <c r="F2705">
        <v>89</v>
      </c>
      <c r="G2705" t="s">
        <v>1419</v>
      </c>
      <c r="H2705" s="89">
        <v>46206</v>
      </c>
      <c r="I2705" s="89">
        <v>46208</v>
      </c>
      <c r="J2705" t="s">
        <v>3549</v>
      </c>
      <c r="N2705" t="s">
        <v>3801</v>
      </c>
    </row>
    <row r="2706" spans="1:14" hidden="1" x14ac:dyDescent="0.25">
      <c r="A2706" t="s">
        <v>1317</v>
      </c>
      <c r="B2706" t="s">
        <v>1331</v>
      </c>
      <c r="C2706" t="s">
        <v>3876</v>
      </c>
      <c r="D2706" t="s">
        <v>15</v>
      </c>
      <c r="F2706">
        <v>35</v>
      </c>
      <c r="G2706" t="s">
        <v>1419</v>
      </c>
      <c r="H2706" s="89">
        <v>46206</v>
      </c>
      <c r="I2706" s="89">
        <v>46208</v>
      </c>
      <c r="J2706" t="s">
        <v>3549</v>
      </c>
      <c r="N2706" t="s">
        <v>3801</v>
      </c>
    </row>
    <row r="2707" spans="1:14" hidden="1" x14ac:dyDescent="0.25">
      <c r="A2707" t="s">
        <v>1318</v>
      </c>
      <c r="B2707" t="s">
        <v>1332</v>
      </c>
      <c r="C2707" t="s">
        <v>3880</v>
      </c>
      <c r="D2707" t="s">
        <v>15</v>
      </c>
      <c r="F2707">
        <v>21</v>
      </c>
      <c r="G2707" t="s">
        <v>1419</v>
      </c>
      <c r="H2707" s="89">
        <v>46206</v>
      </c>
      <c r="I2707" s="89">
        <v>46208</v>
      </c>
      <c r="J2707" t="s">
        <v>3549</v>
      </c>
      <c r="N2707" t="s">
        <v>3801</v>
      </c>
    </row>
    <row r="2708" spans="1:14" hidden="1" x14ac:dyDescent="0.25">
      <c r="A2708" t="s">
        <v>1313</v>
      </c>
      <c r="B2708" t="s">
        <v>1327</v>
      </c>
      <c r="C2708" t="s">
        <v>3881</v>
      </c>
      <c r="D2708" t="s">
        <v>21</v>
      </c>
      <c r="F2708">
        <v>1104</v>
      </c>
      <c r="G2708">
        <v>23</v>
      </c>
      <c r="H2708" s="89">
        <v>46206</v>
      </c>
      <c r="I2708" s="89">
        <v>46211</v>
      </c>
      <c r="J2708" t="s">
        <v>3882</v>
      </c>
      <c r="N2708" t="s">
        <v>3801</v>
      </c>
    </row>
    <row r="2709" spans="1:14" hidden="1" x14ac:dyDescent="0.25">
      <c r="A2709" t="s">
        <v>1314</v>
      </c>
      <c r="B2709" t="s">
        <v>1328</v>
      </c>
      <c r="C2709" t="s">
        <v>3881</v>
      </c>
      <c r="D2709" t="s">
        <v>21</v>
      </c>
      <c r="F2709">
        <v>48</v>
      </c>
      <c r="G2709">
        <v>1</v>
      </c>
      <c r="H2709" s="89">
        <v>46206</v>
      </c>
      <c r="I2709" s="89">
        <v>46211</v>
      </c>
      <c r="J2709" t="s">
        <v>3882</v>
      </c>
      <c r="N2709" t="s">
        <v>3801</v>
      </c>
    </row>
    <row r="2710" spans="1:14" hidden="1" x14ac:dyDescent="0.25">
      <c r="A2710" t="s">
        <v>1313</v>
      </c>
      <c r="B2710" t="s">
        <v>1327</v>
      </c>
      <c r="C2710" t="s">
        <v>3881</v>
      </c>
      <c r="D2710" t="s">
        <v>21</v>
      </c>
      <c r="F2710">
        <v>144</v>
      </c>
      <c r="G2710">
        <v>3</v>
      </c>
      <c r="H2710" s="89">
        <v>46206</v>
      </c>
      <c r="I2710" s="89">
        <v>46212</v>
      </c>
      <c r="J2710" t="s">
        <v>3883</v>
      </c>
      <c r="N2710" t="s">
        <v>3801</v>
      </c>
    </row>
    <row r="2711" spans="1:14" hidden="1" x14ac:dyDescent="0.25">
      <c r="A2711" t="s">
        <v>1315</v>
      </c>
      <c r="B2711" t="s">
        <v>1329</v>
      </c>
      <c r="C2711" t="s">
        <v>3881</v>
      </c>
      <c r="D2711" t="s">
        <v>21</v>
      </c>
      <c r="F2711">
        <v>37</v>
      </c>
      <c r="G2711" t="s">
        <v>1419</v>
      </c>
      <c r="H2711" s="89">
        <v>46206</v>
      </c>
      <c r="I2711" s="89">
        <v>46208</v>
      </c>
      <c r="J2711" t="s">
        <v>3549</v>
      </c>
      <c r="N2711" t="s">
        <v>3801</v>
      </c>
    </row>
    <row r="2712" spans="1:14" hidden="1" x14ac:dyDescent="0.25">
      <c r="A2712" t="s">
        <v>1316</v>
      </c>
      <c r="B2712" t="s">
        <v>1330</v>
      </c>
      <c r="C2712" t="s">
        <v>3884</v>
      </c>
      <c r="D2712" t="s">
        <v>21</v>
      </c>
      <c r="F2712">
        <v>48</v>
      </c>
      <c r="G2712" t="s">
        <v>1419</v>
      </c>
      <c r="H2712" s="89">
        <v>46206</v>
      </c>
      <c r="I2712" s="89">
        <v>46208</v>
      </c>
      <c r="J2712" t="s">
        <v>3549</v>
      </c>
      <c r="N2712" t="s">
        <v>3801</v>
      </c>
    </row>
    <row r="2713" spans="1:14" hidden="1" x14ac:dyDescent="0.25">
      <c r="A2713" t="s">
        <v>1317</v>
      </c>
      <c r="B2713" t="s">
        <v>1331</v>
      </c>
      <c r="C2713" t="s">
        <v>3881</v>
      </c>
      <c r="D2713" t="s">
        <v>21</v>
      </c>
      <c r="F2713">
        <v>34</v>
      </c>
      <c r="G2713" t="s">
        <v>1419</v>
      </c>
      <c r="H2713" s="89">
        <v>46206</v>
      </c>
      <c r="I2713" s="89">
        <v>46208</v>
      </c>
      <c r="J2713" t="s">
        <v>3549</v>
      </c>
      <c r="N2713" t="s">
        <v>3801</v>
      </c>
    </row>
    <row r="2714" spans="1:14" hidden="1" x14ac:dyDescent="0.25">
      <c r="A2714" t="s">
        <v>1318</v>
      </c>
      <c r="B2714" t="s">
        <v>1332</v>
      </c>
      <c r="C2714" t="s">
        <v>3885</v>
      </c>
      <c r="D2714" t="s">
        <v>21</v>
      </c>
      <c r="F2714">
        <v>49</v>
      </c>
      <c r="G2714" t="s">
        <v>1419</v>
      </c>
      <c r="H2714" s="89">
        <v>46206</v>
      </c>
      <c r="I2714" s="89">
        <v>46208</v>
      </c>
      <c r="J2714" t="s">
        <v>3549</v>
      </c>
      <c r="N2714" t="s">
        <v>3801</v>
      </c>
    </row>
    <row r="2715" spans="1:14" hidden="1" x14ac:dyDescent="0.25">
      <c r="A2715" t="s">
        <v>1313</v>
      </c>
      <c r="B2715" t="s">
        <v>1327</v>
      </c>
      <c r="C2715" t="s">
        <v>3886</v>
      </c>
      <c r="D2715" t="s">
        <v>20</v>
      </c>
      <c r="F2715">
        <v>960</v>
      </c>
      <c r="G2715">
        <v>20</v>
      </c>
      <c r="H2715" s="89">
        <v>46206</v>
      </c>
      <c r="I2715" s="89">
        <v>46211</v>
      </c>
      <c r="J2715" t="s">
        <v>3855</v>
      </c>
      <c r="N2715" t="s">
        <v>3801</v>
      </c>
    </row>
    <row r="2716" spans="1:14" hidden="1" x14ac:dyDescent="0.25">
      <c r="A2716" t="s">
        <v>1315</v>
      </c>
      <c r="B2716" t="s">
        <v>1329</v>
      </c>
      <c r="C2716" t="s">
        <v>3886</v>
      </c>
      <c r="D2716" t="s">
        <v>20</v>
      </c>
      <c r="F2716">
        <v>82</v>
      </c>
      <c r="G2716" t="s">
        <v>1419</v>
      </c>
      <c r="H2716" s="89">
        <v>46206</v>
      </c>
      <c r="I2716" s="89">
        <v>46208</v>
      </c>
      <c r="J2716" t="s">
        <v>3549</v>
      </c>
      <c r="N2716" t="s">
        <v>3801</v>
      </c>
    </row>
    <row r="2717" spans="1:14" hidden="1" x14ac:dyDescent="0.25">
      <c r="A2717" t="s">
        <v>1316</v>
      </c>
      <c r="B2717" t="s">
        <v>1330</v>
      </c>
      <c r="C2717" t="s">
        <v>3887</v>
      </c>
      <c r="D2717" t="s">
        <v>20</v>
      </c>
      <c r="F2717">
        <v>79</v>
      </c>
      <c r="G2717" t="s">
        <v>1419</v>
      </c>
      <c r="H2717" s="89">
        <v>46206</v>
      </c>
      <c r="I2717" s="89">
        <v>46208</v>
      </c>
      <c r="J2717" t="s">
        <v>3549</v>
      </c>
      <c r="N2717" t="s">
        <v>3801</v>
      </c>
    </row>
    <row r="2718" spans="1:14" hidden="1" x14ac:dyDescent="0.25">
      <c r="A2718" t="s">
        <v>1317</v>
      </c>
      <c r="B2718" t="s">
        <v>1331</v>
      </c>
      <c r="C2718" t="s">
        <v>3886</v>
      </c>
      <c r="D2718" t="s">
        <v>20</v>
      </c>
      <c r="F2718">
        <v>13</v>
      </c>
      <c r="G2718" t="s">
        <v>1419</v>
      </c>
      <c r="H2718" s="89">
        <v>46206</v>
      </c>
      <c r="I2718" s="89">
        <v>46208</v>
      </c>
      <c r="J2718" t="s">
        <v>3549</v>
      </c>
      <c r="N2718" t="s">
        <v>3801</v>
      </c>
    </row>
    <row r="2719" spans="1:14" hidden="1" x14ac:dyDescent="0.25">
      <c r="A2719" t="s">
        <v>1318</v>
      </c>
      <c r="B2719" t="s">
        <v>1332</v>
      </c>
      <c r="C2719" t="s">
        <v>3888</v>
      </c>
      <c r="D2719" t="s">
        <v>20</v>
      </c>
      <c r="F2719">
        <v>29</v>
      </c>
      <c r="G2719" t="s">
        <v>1419</v>
      </c>
      <c r="H2719" s="89">
        <v>46206</v>
      </c>
      <c r="I2719" s="89">
        <v>46208</v>
      </c>
      <c r="J2719" t="s">
        <v>3549</v>
      </c>
      <c r="N2719" t="s">
        <v>3801</v>
      </c>
    </row>
    <row r="2720" spans="1:14" hidden="1" x14ac:dyDescent="0.25">
      <c r="A2720" t="s">
        <v>1324</v>
      </c>
      <c r="B2720" t="s">
        <v>1338</v>
      </c>
      <c r="C2720" t="s">
        <v>3889</v>
      </c>
      <c r="D2720" t="s">
        <v>92</v>
      </c>
      <c r="F2720">
        <v>816</v>
      </c>
      <c r="G2720">
        <v>17</v>
      </c>
      <c r="H2720" s="89">
        <v>46207</v>
      </c>
      <c r="I2720" s="89">
        <v>46214</v>
      </c>
      <c r="J2720" t="s">
        <v>3890</v>
      </c>
      <c r="N2720" t="s">
        <v>3801</v>
      </c>
    </row>
    <row r="2721" spans="1:14" hidden="1" x14ac:dyDescent="0.25">
      <c r="A2721" t="s">
        <v>1324</v>
      </c>
      <c r="B2721" t="s">
        <v>1338</v>
      </c>
      <c r="C2721" t="s">
        <v>3891</v>
      </c>
      <c r="D2721" t="s">
        <v>93</v>
      </c>
      <c r="F2721">
        <v>480</v>
      </c>
      <c r="G2721">
        <v>10</v>
      </c>
      <c r="H2721" s="89">
        <v>46207</v>
      </c>
      <c r="I2721" s="89">
        <v>46214</v>
      </c>
      <c r="J2721" t="s">
        <v>3890</v>
      </c>
      <c r="N2721" t="s">
        <v>3801</v>
      </c>
    </row>
    <row r="2722" spans="1:14" hidden="1" x14ac:dyDescent="0.25">
      <c r="A2722" t="s">
        <v>1320</v>
      </c>
      <c r="B2722" t="s">
        <v>1334</v>
      </c>
      <c r="C2722" t="s">
        <v>3892</v>
      </c>
      <c r="D2722" t="s">
        <v>97</v>
      </c>
      <c r="F2722">
        <v>480</v>
      </c>
      <c r="G2722">
        <v>10</v>
      </c>
      <c r="H2722" s="89">
        <v>46207</v>
      </c>
      <c r="I2722" s="89">
        <v>46212</v>
      </c>
      <c r="J2722" t="s">
        <v>3872</v>
      </c>
      <c r="N2722" t="s">
        <v>3801</v>
      </c>
    </row>
    <row r="2723" spans="1:14" hidden="1" x14ac:dyDescent="0.25">
      <c r="A2723" t="s">
        <v>1324</v>
      </c>
      <c r="B2723" t="s">
        <v>1338</v>
      </c>
      <c r="C2723" t="s">
        <v>3893</v>
      </c>
      <c r="D2723" t="s">
        <v>88</v>
      </c>
      <c r="F2723">
        <v>480</v>
      </c>
      <c r="G2723">
        <v>10</v>
      </c>
      <c r="H2723" s="89">
        <v>46207</v>
      </c>
      <c r="I2723" s="89">
        <v>46213</v>
      </c>
      <c r="J2723" t="s">
        <v>3874</v>
      </c>
      <c r="N2723" t="s">
        <v>3801</v>
      </c>
    </row>
    <row r="2724" spans="1:14" hidden="1" x14ac:dyDescent="0.25">
      <c r="A2724" t="s">
        <v>1320</v>
      </c>
      <c r="B2724" t="s">
        <v>1334</v>
      </c>
      <c r="C2724" t="s">
        <v>3894</v>
      </c>
      <c r="D2724" t="s">
        <v>15</v>
      </c>
      <c r="F2724">
        <v>912</v>
      </c>
      <c r="G2724">
        <v>19</v>
      </c>
      <c r="H2724" s="89">
        <v>46207</v>
      </c>
      <c r="I2724" s="89">
        <v>46211</v>
      </c>
      <c r="J2724" t="s">
        <v>3878</v>
      </c>
      <c r="N2724" t="s">
        <v>3801</v>
      </c>
    </row>
    <row r="2725" spans="1:14" hidden="1" x14ac:dyDescent="0.25">
      <c r="A2725" t="s">
        <v>1313</v>
      </c>
      <c r="B2725" t="s">
        <v>1327</v>
      </c>
      <c r="C2725" t="s">
        <v>3894</v>
      </c>
      <c r="D2725" t="s">
        <v>15</v>
      </c>
      <c r="F2725">
        <v>240</v>
      </c>
      <c r="G2725">
        <v>5</v>
      </c>
      <c r="H2725" s="89">
        <v>46207</v>
      </c>
      <c r="I2725" s="89">
        <v>46212</v>
      </c>
      <c r="J2725" t="s">
        <v>3883</v>
      </c>
      <c r="N2725" t="s">
        <v>3801</v>
      </c>
    </row>
    <row r="2726" spans="1:14" hidden="1" x14ac:dyDescent="0.25">
      <c r="A2726" t="s">
        <v>1315</v>
      </c>
      <c r="B2726" t="s">
        <v>1329</v>
      </c>
      <c r="C2726" t="s">
        <v>3894</v>
      </c>
      <c r="D2726" t="s">
        <v>15</v>
      </c>
      <c r="F2726">
        <v>11</v>
      </c>
      <c r="G2726" t="s">
        <v>1419</v>
      </c>
      <c r="H2726" s="89">
        <v>46207</v>
      </c>
      <c r="I2726" s="89">
        <v>46209</v>
      </c>
      <c r="J2726" t="s">
        <v>3549</v>
      </c>
      <c r="N2726" t="s">
        <v>3801</v>
      </c>
    </row>
    <row r="2727" spans="1:14" hidden="1" x14ac:dyDescent="0.25">
      <c r="A2727" t="s">
        <v>1316</v>
      </c>
      <c r="B2727" t="s">
        <v>1330</v>
      </c>
      <c r="C2727" t="s">
        <v>3895</v>
      </c>
      <c r="D2727" t="s">
        <v>15</v>
      </c>
      <c r="F2727">
        <v>49</v>
      </c>
      <c r="G2727" t="s">
        <v>1419</v>
      </c>
      <c r="H2727" s="89">
        <v>46207</v>
      </c>
      <c r="I2727" s="89">
        <v>46209</v>
      </c>
      <c r="J2727" t="s">
        <v>3549</v>
      </c>
      <c r="N2727" t="s">
        <v>3801</v>
      </c>
    </row>
    <row r="2728" spans="1:14" hidden="1" x14ac:dyDescent="0.25">
      <c r="A2728" t="s">
        <v>1317</v>
      </c>
      <c r="B2728" t="s">
        <v>1331</v>
      </c>
      <c r="C2728" t="s">
        <v>3894</v>
      </c>
      <c r="D2728" t="s">
        <v>15</v>
      </c>
      <c r="F2728">
        <v>27</v>
      </c>
      <c r="G2728" t="s">
        <v>1419</v>
      </c>
      <c r="H2728" s="89">
        <v>46207</v>
      </c>
      <c r="I2728" s="89">
        <v>46209</v>
      </c>
      <c r="J2728" t="s">
        <v>3549</v>
      </c>
      <c r="N2728" t="s">
        <v>3801</v>
      </c>
    </row>
    <row r="2729" spans="1:14" hidden="1" x14ac:dyDescent="0.25">
      <c r="A2729" t="s">
        <v>1318</v>
      </c>
      <c r="B2729" t="s">
        <v>1332</v>
      </c>
      <c r="C2729" t="s">
        <v>3896</v>
      </c>
      <c r="D2729" t="s">
        <v>15</v>
      </c>
      <c r="F2729">
        <v>34</v>
      </c>
      <c r="G2729" t="s">
        <v>1419</v>
      </c>
      <c r="H2729" s="89">
        <v>46207</v>
      </c>
      <c r="I2729" s="89">
        <v>46209</v>
      </c>
      <c r="J2729" t="s">
        <v>3549</v>
      </c>
      <c r="N2729" t="s">
        <v>3801</v>
      </c>
    </row>
    <row r="2730" spans="1:14" hidden="1" x14ac:dyDescent="0.25">
      <c r="A2730" t="s">
        <v>1324</v>
      </c>
      <c r="B2730" t="s">
        <v>1338</v>
      </c>
      <c r="C2730" t="s">
        <v>3897</v>
      </c>
      <c r="D2730" t="s">
        <v>21</v>
      </c>
      <c r="F2730">
        <v>960</v>
      </c>
      <c r="G2730">
        <v>20</v>
      </c>
      <c r="H2730" s="89">
        <v>46207</v>
      </c>
      <c r="I2730" s="89">
        <v>46213</v>
      </c>
      <c r="J2730" t="s">
        <v>3874</v>
      </c>
      <c r="N2730" t="s">
        <v>3801</v>
      </c>
    </row>
    <row r="2731" spans="1:14" hidden="1" x14ac:dyDescent="0.25">
      <c r="A2731" t="s">
        <v>1315</v>
      </c>
      <c r="B2731" t="s">
        <v>1329</v>
      </c>
      <c r="C2731" t="s">
        <v>3897</v>
      </c>
      <c r="D2731" t="s">
        <v>21</v>
      </c>
      <c r="F2731">
        <v>94</v>
      </c>
      <c r="G2731" t="s">
        <v>1419</v>
      </c>
      <c r="H2731" s="89">
        <v>46207</v>
      </c>
      <c r="I2731" s="89">
        <v>46209</v>
      </c>
      <c r="J2731" t="s">
        <v>3549</v>
      </c>
      <c r="N2731" t="s">
        <v>3801</v>
      </c>
    </row>
    <row r="2732" spans="1:14" hidden="1" x14ac:dyDescent="0.25">
      <c r="A2732" t="s">
        <v>1316</v>
      </c>
      <c r="B2732" t="s">
        <v>1330</v>
      </c>
      <c r="C2732" t="s">
        <v>3898</v>
      </c>
      <c r="D2732" t="s">
        <v>21</v>
      </c>
      <c r="F2732">
        <v>42</v>
      </c>
      <c r="G2732" t="s">
        <v>1419</v>
      </c>
      <c r="H2732" s="89">
        <v>46207</v>
      </c>
      <c r="I2732" s="89">
        <v>46209</v>
      </c>
      <c r="J2732" t="s">
        <v>3549</v>
      </c>
      <c r="N2732" t="s">
        <v>3801</v>
      </c>
    </row>
    <row r="2733" spans="1:14" hidden="1" x14ac:dyDescent="0.25">
      <c r="A2733" t="s">
        <v>1317</v>
      </c>
      <c r="B2733" t="s">
        <v>1331</v>
      </c>
      <c r="C2733" t="s">
        <v>3899</v>
      </c>
      <c r="D2733" t="s">
        <v>21</v>
      </c>
      <c r="F2733">
        <v>21</v>
      </c>
      <c r="G2733" t="s">
        <v>1419</v>
      </c>
      <c r="H2733" s="89">
        <v>46207</v>
      </c>
      <c r="I2733" s="89">
        <v>46209</v>
      </c>
      <c r="J2733" t="s">
        <v>3549</v>
      </c>
      <c r="N2733" t="s">
        <v>3801</v>
      </c>
    </row>
    <row r="2734" spans="1:14" hidden="1" x14ac:dyDescent="0.25">
      <c r="A2734" t="s">
        <v>1318</v>
      </c>
      <c r="B2734" t="s">
        <v>1332</v>
      </c>
      <c r="C2734" t="s">
        <v>3900</v>
      </c>
      <c r="D2734" t="s">
        <v>21</v>
      </c>
      <c r="F2734">
        <v>59</v>
      </c>
      <c r="G2734" t="s">
        <v>1419</v>
      </c>
      <c r="H2734" s="89">
        <v>46207</v>
      </c>
      <c r="I2734" s="89">
        <v>46209</v>
      </c>
      <c r="J2734" t="s">
        <v>3549</v>
      </c>
      <c r="N2734" t="s">
        <v>3801</v>
      </c>
    </row>
    <row r="2735" spans="1:14" hidden="1" x14ac:dyDescent="0.25">
      <c r="A2735" t="s">
        <v>1320</v>
      </c>
      <c r="B2735" t="s">
        <v>1334</v>
      </c>
      <c r="C2735" t="s">
        <v>3901</v>
      </c>
      <c r="D2735" t="s">
        <v>13</v>
      </c>
      <c r="F2735">
        <v>960</v>
      </c>
      <c r="G2735">
        <v>20</v>
      </c>
      <c r="H2735" s="89">
        <v>46209</v>
      </c>
      <c r="I2735" s="89">
        <v>46213</v>
      </c>
      <c r="J2735" t="s">
        <v>3902</v>
      </c>
      <c r="N2735" t="s">
        <v>3903</v>
      </c>
    </row>
    <row r="2736" spans="1:14" hidden="1" x14ac:dyDescent="0.25">
      <c r="A2736" t="s">
        <v>1320</v>
      </c>
      <c r="B2736" t="s">
        <v>1334</v>
      </c>
      <c r="C2736" t="s">
        <v>3904</v>
      </c>
      <c r="D2736" t="s">
        <v>15</v>
      </c>
      <c r="F2736">
        <v>960</v>
      </c>
      <c r="G2736">
        <v>20</v>
      </c>
      <c r="H2736" s="89">
        <v>46209</v>
      </c>
      <c r="I2736" s="89">
        <v>46213</v>
      </c>
      <c r="J2736" t="s">
        <v>3905</v>
      </c>
      <c r="N2736" t="s">
        <v>3903</v>
      </c>
    </row>
    <row r="2737" spans="1:14" hidden="1" x14ac:dyDescent="0.25">
      <c r="A2737" t="s">
        <v>1313</v>
      </c>
      <c r="B2737" t="s">
        <v>1327</v>
      </c>
      <c r="C2737" t="s">
        <v>3904</v>
      </c>
      <c r="D2737" t="s">
        <v>15</v>
      </c>
      <c r="F2737">
        <v>192</v>
      </c>
      <c r="G2737">
        <v>4</v>
      </c>
      <c r="H2737" s="89">
        <v>46209</v>
      </c>
      <c r="I2737" s="89">
        <v>46212</v>
      </c>
      <c r="J2737" t="s">
        <v>3883</v>
      </c>
      <c r="N2737" t="s">
        <v>3903</v>
      </c>
    </row>
    <row r="2738" spans="1:14" hidden="1" x14ac:dyDescent="0.25">
      <c r="A2738" t="s">
        <v>1315</v>
      </c>
      <c r="B2738" t="s">
        <v>1329</v>
      </c>
      <c r="C2738" t="s">
        <v>3904</v>
      </c>
      <c r="D2738" t="s">
        <v>15</v>
      </c>
      <c r="F2738">
        <v>5</v>
      </c>
      <c r="G2738" t="s">
        <v>1419</v>
      </c>
      <c r="H2738" s="89">
        <v>46209</v>
      </c>
      <c r="I2738" s="89">
        <v>46213</v>
      </c>
      <c r="J2738" t="s">
        <v>3549</v>
      </c>
      <c r="N2738" t="s">
        <v>3903</v>
      </c>
    </row>
    <row r="2739" spans="1:14" hidden="1" x14ac:dyDescent="0.25">
      <c r="A2739" t="s">
        <v>1316</v>
      </c>
      <c r="B2739" t="s">
        <v>1330</v>
      </c>
      <c r="C2739" t="s">
        <v>3906</v>
      </c>
      <c r="D2739" t="s">
        <v>15</v>
      </c>
      <c r="F2739">
        <v>43</v>
      </c>
      <c r="G2739" t="s">
        <v>1419</v>
      </c>
      <c r="H2739" s="89">
        <v>46209</v>
      </c>
      <c r="I2739" s="89">
        <v>46211</v>
      </c>
      <c r="J2739" t="s">
        <v>3549</v>
      </c>
      <c r="N2739" t="s">
        <v>3903</v>
      </c>
    </row>
    <row r="2740" spans="1:14" hidden="1" x14ac:dyDescent="0.25">
      <c r="A2740" t="s">
        <v>1317</v>
      </c>
      <c r="B2740" t="s">
        <v>1331</v>
      </c>
      <c r="C2740" t="s">
        <v>3907</v>
      </c>
      <c r="D2740" t="s">
        <v>15</v>
      </c>
      <c r="F2740">
        <v>26</v>
      </c>
      <c r="G2740" t="s">
        <v>1419</v>
      </c>
      <c r="H2740" s="89">
        <v>46209</v>
      </c>
      <c r="I2740" s="89">
        <v>46211</v>
      </c>
      <c r="J2740" t="s">
        <v>3549</v>
      </c>
      <c r="N2740" t="s">
        <v>3903</v>
      </c>
    </row>
    <row r="2741" spans="1:14" hidden="1" x14ac:dyDescent="0.25">
      <c r="A2741" t="s">
        <v>1318</v>
      </c>
      <c r="B2741" t="s">
        <v>1332</v>
      </c>
      <c r="C2741" t="s">
        <v>3908</v>
      </c>
      <c r="D2741" t="s">
        <v>15</v>
      </c>
      <c r="F2741">
        <v>26</v>
      </c>
      <c r="G2741" t="s">
        <v>1419</v>
      </c>
      <c r="H2741" s="89">
        <v>46209</v>
      </c>
      <c r="I2741" s="89">
        <v>46211</v>
      </c>
      <c r="J2741" t="s">
        <v>3549</v>
      </c>
      <c r="N2741" t="s">
        <v>3903</v>
      </c>
    </row>
    <row r="2742" spans="1:14" hidden="1" x14ac:dyDescent="0.25">
      <c r="A2742" t="s">
        <v>1313</v>
      </c>
      <c r="B2742" t="s">
        <v>1327</v>
      </c>
      <c r="C2742" t="s">
        <v>3909</v>
      </c>
      <c r="D2742" t="s">
        <v>28</v>
      </c>
      <c r="F2742">
        <v>960</v>
      </c>
      <c r="G2742">
        <v>20</v>
      </c>
      <c r="H2742" s="89">
        <v>46209</v>
      </c>
      <c r="I2742" s="89">
        <v>46213</v>
      </c>
      <c r="J2742" t="s">
        <v>3910</v>
      </c>
      <c r="N2742" t="s">
        <v>3903</v>
      </c>
    </row>
    <row r="2743" spans="1:14" hidden="1" x14ac:dyDescent="0.25">
      <c r="A2743" t="s">
        <v>1319</v>
      </c>
      <c r="B2743" t="s">
        <v>1333</v>
      </c>
      <c r="C2743" t="s">
        <v>3909</v>
      </c>
      <c r="D2743" t="s">
        <v>28</v>
      </c>
      <c r="F2743">
        <v>42</v>
      </c>
      <c r="G2743">
        <v>1</v>
      </c>
      <c r="H2743" s="89">
        <v>46209</v>
      </c>
      <c r="I2743" s="89">
        <v>46213</v>
      </c>
      <c r="J2743" t="s">
        <v>3910</v>
      </c>
      <c r="N2743" t="s">
        <v>3903</v>
      </c>
    </row>
    <row r="2744" spans="1:14" hidden="1" x14ac:dyDescent="0.25">
      <c r="A2744" t="s">
        <v>1315</v>
      </c>
      <c r="B2744" t="s">
        <v>1329</v>
      </c>
      <c r="C2744" t="s">
        <v>3909</v>
      </c>
      <c r="D2744" t="s">
        <v>28</v>
      </c>
      <c r="F2744">
        <v>98</v>
      </c>
      <c r="G2744" t="s">
        <v>1419</v>
      </c>
      <c r="H2744" s="89">
        <v>46209</v>
      </c>
      <c r="I2744" s="89">
        <v>46213</v>
      </c>
      <c r="J2744" t="s">
        <v>3549</v>
      </c>
      <c r="N2744" t="s">
        <v>3903</v>
      </c>
    </row>
    <row r="2745" spans="1:14" hidden="1" x14ac:dyDescent="0.25">
      <c r="A2745" t="s">
        <v>1316</v>
      </c>
      <c r="B2745" t="s">
        <v>1330</v>
      </c>
      <c r="C2745" t="s">
        <v>3911</v>
      </c>
      <c r="D2745" t="s">
        <v>28</v>
      </c>
      <c r="F2745">
        <v>19</v>
      </c>
      <c r="G2745" t="s">
        <v>1419</v>
      </c>
      <c r="H2745" s="89">
        <v>46209</v>
      </c>
      <c r="I2745" s="89">
        <v>46211</v>
      </c>
      <c r="J2745" t="s">
        <v>3549</v>
      </c>
      <c r="N2745" t="s">
        <v>3903</v>
      </c>
    </row>
    <row r="2746" spans="1:14" hidden="1" x14ac:dyDescent="0.25">
      <c r="A2746" t="s">
        <v>1317</v>
      </c>
      <c r="B2746" t="s">
        <v>1331</v>
      </c>
      <c r="C2746" t="s">
        <v>3912</v>
      </c>
      <c r="D2746" t="s">
        <v>28</v>
      </c>
      <c r="F2746">
        <v>7</v>
      </c>
      <c r="G2746" t="s">
        <v>1419</v>
      </c>
      <c r="H2746" s="89">
        <v>46209</v>
      </c>
      <c r="I2746" s="89">
        <v>46211</v>
      </c>
      <c r="J2746" t="s">
        <v>3549</v>
      </c>
      <c r="N2746" t="s">
        <v>3903</v>
      </c>
    </row>
    <row r="2747" spans="1:14" hidden="1" x14ac:dyDescent="0.25">
      <c r="A2747" t="s">
        <v>1318</v>
      </c>
      <c r="B2747" t="s">
        <v>1332</v>
      </c>
      <c r="C2747" t="s">
        <v>3913</v>
      </c>
      <c r="D2747" t="s">
        <v>28</v>
      </c>
      <c r="F2747">
        <v>48</v>
      </c>
      <c r="G2747" t="s">
        <v>1419</v>
      </c>
      <c r="H2747" s="89">
        <v>46209</v>
      </c>
      <c r="I2747" s="89">
        <v>46211</v>
      </c>
      <c r="J2747" t="s">
        <v>3549</v>
      </c>
      <c r="N2747" t="s">
        <v>3903</v>
      </c>
    </row>
    <row r="2748" spans="1:14" hidden="1" x14ac:dyDescent="0.25">
      <c r="A2748" t="s">
        <v>1324</v>
      </c>
      <c r="B2748" t="s">
        <v>1338</v>
      </c>
      <c r="C2748" t="s">
        <v>3914</v>
      </c>
      <c r="D2748" t="s">
        <v>23</v>
      </c>
      <c r="F2748">
        <v>960</v>
      </c>
      <c r="G2748">
        <v>20</v>
      </c>
      <c r="H2748" s="89">
        <v>46210</v>
      </c>
      <c r="I2748" s="89">
        <v>46216</v>
      </c>
      <c r="J2748" t="s">
        <v>3915</v>
      </c>
      <c r="N2748" t="s">
        <v>3903</v>
      </c>
    </row>
    <row r="2749" spans="1:14" hidden="1" x14ac:dyDescent="0.25">
      <c r="A2749" t="s">
        <v>1324</v>
      </c>
      <c r="B2749" t="s">
        <v>1338</v>
      </c>
      <c r="C2749" t="s">
        <v>3916</v>
      </c>
      <c r="D2749" t="s">
        <v>118</v>
      </c>
      <c r="F2749">
        <v>480</v>
      </c>
      <c r="G2749">
        <v>10</v>
      </c>
      <c r="H2749" s="89">
        <v>46210</v>
      </c>
      <c r="I2749" s="89">
        <v>46216</v>
      </c>
      <c r="J2749" t="s">
        <v>3915</v>
      </c>
      <c r="N2749" t="s">
        <v>3903</v>
      </c>
    </row>
    <row r="2750" spans="1:14" hidden="1" x14ac:dyDescent="0.25">
      <c r="A2750" t="s">
        <v>1324</v>
      </c>
      <c r="B2750" t="s">
        <v>1338</v>
      </c>
      <c r="C2750" t="s">
        <v>3917</v>
      </c>
      <c r="D2750" t="s">
        <v>147</v>
      </c>
      <c r="F2750">
        <v>480</v>
      </c>
      <c r="G2750">
        <v>10</v>
      </c>
      <c r="H2750" s="89">
        <v>46210</v>
      </c>
      <c r="I2750" s="89">
        <v>46216</v>
      </c>
      <c r="J2750" t="s">
        <v>3915</v>
      </c>
      <c r="N2750" t="s">
        <v>3903</v>
      </c>
    </row>
    <row r="2751" spans="1:14" hidden="1" x14ac:dyDescent="0.25">
      <c r="A2751" t="s">
        <v>1325</v>
      </c>
      <c r="B2751" t="s">
        <v>1339</v>
      </c>
      <c r="C2751" t="s">
        <v>3918</v>
      </c>
      <c r="D2751" t="s">
        <v>159</v>
      </c>
      <c r="F2751">
        <v>288</v>
      </c>
      <c r="G2751">
        <v>6</v>
      </c>
      <c r="H2751" s="89">
        <v>46210</v>
      </c>
      <c r="I2751" s="89">
        <v>46212</v>
      </c>
      <c r="J2751" t="s">
        <v>3549</v>
      </c>
      <c r="N2751" t="s">
        <v>3903</v>
      </c>
    </row>
    <row r="2752" spans="1:14" hidden="1" x14ac:dyDescent="0.25">
      <c r="A2752" t="s">
        <v>1320</v>
      </c>
      <c r="B2752" t="s">
        <v>1334</v>
      </c>
      <c r="C2752" t="s">
        <v>3919</v>
      </c>
      <c r="D2752" t="s">
        <v>15</v>
      </c>
      <c r="F2752">
        <v>960</v>
      </c>
      <c r="G2752">
        <v>20</v>
      </c>
      <c r="H2752" s="89">
        <v>46210</v>
      </c>
      <c r="I2752" s="89">
        <v>46214</v>
      </c>
      <c r="J2752" t="s">
        <v>3920</v>
      </c>
      <c r="N2752" t="s">
        <v>3903</v>
      </c>
    </row>
    <row r="2753" spans="1:14" hidden="1" x14ac:dyDescent="0.25">
      <c r="A2753" t="s">
        <v>1314</v>
      </c>
      <c r="B2753" t="s">
        <v>1328</v>
      </c>
      <c r="C2753" t="s">
        <v>3919</v>
      </c>
      <c r="D2753" t="s">
        <v>15</v>
      </c>
      <c r="F2753">
        <v>288</v>
      </c>
      <c r="G2753">
        <v>6</v>
      </c>
      <c r="H2753" s="89">
        <v>46210</v>
      </c>
      <c r="I2753" s="89">
        <v>46212</v>
      </c>
      <c r="J2753" t="s">
        <v>3921</v>
      </c>
      <c r="N2753" t="s">
        <v>3903</v>
      </c>
    </row>
    <row r="2754" spans="1:14" hidden="1" x14ac:dyDescent="0.25">
      <c r="A2754" t="s">
        <v>1315</v>
      </c>
      <c r="B2754" t="s">
        <v>1329</v>
      </c>
      <c r="C2754" t="s">
        <v>3919</v>
      </c>
      <c r="D2754" t="s">
        <v>15</v>
      </c>
      <c r="F2754">
        <v>4</v>
      </c>
      <c r="G2754" t="s">
        <v>1419</v>
      </c>
      <c r="H2754" s="89">
        <v>46210</v>
      </c>
      <c r="I2754" s="89">
        <v>46212</v>
      </c>
      <c r="J2754" t="s">
        <v>3549</v>
      </c>
      <c r="N2754" t="s">
        <v>3903</v>
      </c>
    </row>
    <row r="2755" spans="1:14" hidden="1" x14ac:dyDescent="0.25">
      <c r="A2755" t="s">
        <v>1316</v>
      </c>
      <c r="B2755" t="s">
        <v>1330</v>
      </c>
      <c r="C2755" t="s">
        <v>3922</v>
      </c>
      <c r="D2755" t="s">
        <v>15</v>
      </c>
      <c r="F2755">
        <v>70</v>
      </c>
      <c r="G2755" t="s">
        <v>1419</v>
      </c>
      <c r="H2755" s="89">
        <v>46210</v>
      </c>
      <c r="I2755" s="89">
        <v>46212</v>
      </c>
      <c r="J2755" t="s">
        <v>3549</v>
      </c>
      <c r="N2755" t="s">
        <v>3903</v>
      </c>
    </row>
    <row r="2756" spans="1:14" hidden="1" x14ac:dyDescent="0.25">
      <c r="A2756" t="s">
        <v>1317</v>
      </c>
      <c r="B2756" t="s">
        <v>1331</v>
      </c>
      <c r="C2756" t="s">
        <v>3923</v>
      </c>
      <c r="D2756" t="s">
        <v>15</v>
      </c>
      <c r="F2756">
        <v>69</v>
      </c>
      <c r="G2756" t="s">
        <v>1419</v>
      </c>
      <c r="H2756" s="89">
        <v>46210</v>
      </c>
      <c r="I2756" s="89">
        <v>46212</v>
      </c>
      <c r="J2756" t="s">
        <v>3549</v>
      </c>
      <c r="N2756" t="s">
        <v>3903</v>
      </c>
    </row>
    <row r="2757" spans="1:14" hidden="1" x14ac:dyDescent="0.25">
      <c r="A2757" t="s">
        <v>1318</v>
      </c>
      <c r="B2757" t="s">
        <v>1332</v>
      </c>
      <c r="C2757" t="s">
        <v>3924</v>
      </c>
      <c r="D2757" t="s">
        <v>15</v>
      </c>
      <c r="F2757">
        <v>26</v>
      </c>
      <c r="G2757" t="s">
        <v>1419</v>
      </c>
      <c r="H2757" s="89">
        <v>46210</v>
      </c>
      <c r="I2757" s="89">
        <v>46212</v>
      </c>
      <c r="J2757" t="s">
        <v>3549</v>
      </c>
      <c r="N2757" t="s">
        <v>3903</v>
      </c>
    </row>
    <row r="2758" spans="1:14" hidden="1" x14ac:dyDescent="0.25">
      <c r="A2758" t="s">
        <v>1323</v>
      </c>
      <c r="B2758" t="s">
        <v>1337</v>
      </c>
      <c r="C2758" t="s">
        <v>3925</v>
      </c>
      <c r="D2758" t="s">
        <v>20</v>
      </c>
      <c r="F2758">
        <v>918</v>
      </c>
      <c r="G2758">
        <v>17</v>
      </c>
      <c r="H2758" s="89">
        <v>46210</v>
      </c>
      <c r="I2758" s="89">
        <v>46213</v>
      </c>
      <c r="J2758" t="s">
        <v>3926</v>
      </c>
      <c r="N2758" t="s">
        <v>3903</v>
      </c>
    </row>
    <row r="2759" spans="1:14" hidden="1" x14ac:dyDescent="0.25">
      <c r="A2759" t="s">
        <v>1322</v>
      </c>
      <c r="B2759" t="s">
        <v>1336</v>
      </c>
      <c r="C2759" t="s">
        <v>3925</v>
      </c>
      <c r="D2759" t="s">
        <v>20</v>
      </c>
      <c r="F2759">
        <v>162</v>
      </c>
      <c r="G2759">
        <v>3</v>
      </c>
      <c r="H2759" s="89">
        <v>46210</v>
      </c>
      <c r="I2759" s="89">
        <v>46213</v>
      </c>
      <c r="J2759" t="s">
        <v>3926</v>
      </c>
      <c r="N2759" t="s">
        <v>3903</v>
      </c>
    </row>
    <row r="2760" spans="1:14" hidden="1" x14ac:dyDescent="0.25">
      <c r="A2760" t="s">
        <v>1315</v>
      </c>
      <c r="B2760" t="s">
        <v>1329</v>
      </c>
      <c r="C2760" t="s">
        <v>3925</v>
      </c>
      <c r="D2760" t="s">
        <v>20</v>
      </c>
      <c r="F2760">
        <v>98</v>
      </c>
      <c r="G2760" t="s">
        <v>1419</v>
      </c>
      <c r="H2760" s="89">
        <v>46210</v>
      </c>
      <c r="I2760" s="89">
        <v>46212</v>
      </c>
      <c r="J2760" t="s">
        <v>3549</v>
      </c>
      <c r="N2760" t="s">
        <v>3903</v>
      </c>
    </row>
    <row r="2761" spans="1:14" hidden="1" x14ac:dyDescent="0.25">
      <c r="A2761" t="s">
        <v>1316</v>
      </c>
      <c r="B2761" t="s">
        <v>1330</v>
      </c>
      <c r="C2761" t="s">
        <v>3927</v>
      </c>
      <c r="D2761" t="s">
        <v>20</v>
      </c>
      <c r="F2761">
        <v>44</v>
      </c>
      <c r="G2761" t="s">
        <v>1419</v>
      </c>
      <c r="H2761" s="89">
        <v>46210</v>
      </c>
      <c r="I2761" s="89">
        <v>46212</v>
      </c>
      <c r="J2761" t="s">
        <v>3549</v>
      </c>
      <c r="N2761" t="s">
        <v>3903</v>
      </c>
    </row>
    <row r="2762" spans="1:14" hidden="1" x14ac:dyDescent="0.25">
      <c r="A2762" t="s">
        <v>1317</v>
      </c>
      <c r="B2762" t="s">
        <v>1331</v>
      </c>
      <c r="C2762" t="s">
        <v>3928</v>
      </c>
      <c r="D2762" t="s">
        <v>20</v>
      </c>
      <c r="F2762">
        <v>9</v>
      </c>
      <c r="G2762" t="s">
        <v>1419</v>
      </c>
      <c r="H2762" s="89">
        <v>46210</v>
      </c>
      <c r="I2762" s="89">
        <v>46212</v>
      </c>
      <c r="J2762" t="s">
        <v>3549</v>
      </c>
      <c r="N2762" t="s">
        <v>3903</v>
      </c>
    </row>
    <row r="2763" spans="1:14" hidden="1" x14ac:dyDescent="0.25">
      <c r="A2763" t="s">
        <v>1318</v>
      </c>
      <c r="B2763" t="s">
        <v>1332</v>
      </c>
      <c r="C2763" t="s">
        <v>3929</v>
      </c>
      <c r="D2763" t="s">
        <v>20</v>
      </c>
      <c r="F2763">
        <v>27</v>
      </c>
      <c r="G2763" t="s">
        <v>1419</v>
      </c>
      <c r="H2763" s="89">
        <v>46210</v>
      </c>
      <c r="I2763" s="89">
        <v>46212</v>
      </c>
      <c r="J2763" t="s">
        <v>3549</v>
      </c>
      <c r="N2763" t="s">
        <v>3903</v>
      </c>
    </row>
    <row r="2764" spans="1:14" hidden="1" x14ac:dyDescent="0.25">
      <c r="A2764" t="s">
        <v>1313</v>
      </c>
      <c r="B2764" t="s">
        <v>1327</v>
      </c>
      <c r="C2764" t="s">
        <v>3930</v>
      </c>
      <c r="D2764" t="s">
        <v>21</v>
      </c>
      <c r="F2764">
        <v>288</v>
      </c>
      <c r="G2764">
        <v>6</v>
      </c>
      <c r="H2764" s="89">
        <v>46210</v>
      </c>
      <c r="I2764" s="89">
        <v>46212</v>
      </c>
      <c r="J2764" t="s">
        <v>3883</v>
      </c>
      <c r="N2764" t="s">
        <v>3903</v>
      </c>
    </row>
    <row r="2765" spans="1:14" hidden="1" x14ac:dyDescent="0.25">
      <c r="A2765" t="s">
        <v>1320</v>
      </c>
      <c r="B2765" t="s">
        <v>1334</v>
      </c>
      <c r="C2765" t="s">
        <v>3930</v>
      </c>
      <c r="D2765" t="s">
        <v>21</v>
      </c>
      <c r="F2765">
        <v>960</v>
      </c>
      <c r="G2765">
        <v>20</v>
      </c>
      <c r="H2765" s="89">
        <v>46210</v>
      </c>
      <c r="I2765" s="89">
        <v>46214</v>
      </c>
      <c r="J2765" t="s">
        <v>3931</v>
      </c>
      <c r="N2765" t="s">
        <v>3903</v>
      </c>
    </row>
    <row r="2766" spans="1:14" hidden="1" x14ac:dyDescent="0.25">
      <c r="A2766" t="s">
        <v>1315</v>
      </c>
      <c r="B2766" t="s">
        <v>1329</v>
      </c>
      <c r="C2766" t="s">
        <v>3930</v>
      </c>
      <c r="D2766" t="s">
        <v>21</v>
      </c>
      <c r="F2766">
        <v>66</v>
      </c>
      <c r="G2766" t="s">
        <v>1419</v>
      </c>
      <c r="H2766" s="89">
        <v>46210</v>
      </c>
      <c r="I2766" s="89">
        <v>46213</v>
      </c>
      <c r="J2766" t="s">
        <v>3549</v>
      </c>
      <c r="N2766" t="s">
        <v>3903</v>
      </c>
    </row>
    <row r="2767" spans="1:14" hidden="1" x14ac:dyDescent="0.25">
      <c r="A2767" t="s">
        <v>1316</v>
      </c>
      <c r="B2767" t="s">
        <v>1330</v>
      </c>
      <c r="C2767" t="s">
        <v>3932</v>
      </c>
      <c r="D2767" t="s">
        <v>21</v>
      </c>
      <c r="F2767">
        <v>22</v>
      </c>
      <c r="G2767" t="s">
        <v>1419</v>
      </c>
      <c r="H2767" s="89">
        <v>46210</v>
      </c>
      <c r="I2767" s="89">
        <v>46212</v>
      </c>
      <c r="J2767" t="s">
        <v>3549</v>
      </c>
      <c r="N2767" t="s">
        <v>3903</v>
      </c>
    </row>
    <row r="2768" spans="1:14" hidden="1" x14ac:dyDescent="0.25">
      <c r="A2768" t="s">
        <v>1317</v>
      </c>
      <c r="B2768" t="s">
        <v>1331</v>
      </c>
      <c r="C2768" t="s">
        <v>3933</v>
      </c>
      <c r="D2768" t="s">
        <v>21</v>
      </c>
      <c r="F2768">
        <v>20</v>
      </c>
      <c r="G2768" t="s">
        <v>1419</v>
      </c>
      <c r="H2768" s="89">
        <v>46210</v>
      </c>
      <c r="I2768" s="89">
        <v>46212</v>
      </c>
      <c r="J2768" t="s">
        <v>3549</v>
      </c>
      <c r="N2768" t="s">
        <v>3903</v>
      </c>
    </row>
    <row r="2769" spans="1:14" hidden="1" x14ac:dyDescent="0.25">
      <c r="A2769" t="s">
        <v>1318</v>
      </c>
      <c r="B2769" t="s">
        <v>1332</v>
      </c>
      <c r="C2769" t="s">
        <v>3934</v>
      </c>
      <c r="D2769" t="s">
        <v>21</v>
      </c>
      <c r="F2769">
        <v>63</v>
      </c>
      <c r="G2769" t="s">
        <v>1419</v>
      </c>
      <c r="H2769" s="89">
        <v>46210</v>
      </c>
      <c r="I2769" s="89">
        <v>46212</v>
      </c>
      <c r="J2769" t="s">
        <v>3549</v>
      </c>
      <c r="N2769" t="s">
        <v>3903</v>
      </c>
    </row>
    <row r="2770" spans="1:14" hidden="1" x14ac:dyDescent="0.25">
      <c r="A2770" t="s">
        <v>1313</v>
      </c>
      <c r="B2770" t="s">
        <v>1327</v>
      </c>
      <c r="C2770" t="s">
        <v>3935</v>
      </c>
      <c r="D2770" t="s">
        <v>97</v>
      </c>
      <c r="F2770">
        <v>864</v>
      </c>
      <c r="G2770">
        <v>18</v>
      </c>
      <c r="H2770" s="89">
        <v>46211</v>
      </c>
      <c r="I2770" s="89">
        <v>46216</v>
      </c>
      <c r="J2770" t="s">
        <v>3936</v>
      </c>
      <c r="N2770" t="s">
        <v>3903</v>
      </c>
    </row>
    <row r="2771" spans="1:14" hidden="1" x14ac:dyDescent="0.25">
      <c r="A2771" t="s">
        <v>1313</v>
      </c>
      <c r="B2771" t="s">
        <v>1327</v>
      </c>
      <c r="C2771" t="s">
        <v>3937</v>
      </c>
      <c r="D2771" t="s">
        <v>20</v>
      </c>
      <c r="F2771">
        <v>1056</v>
      </c>
      <c r="G2771">
        <v>22</v>
      </c>
      <c r="H2771" s="89">
        <v>46211</v>
      </c>
      <c r="I2771" s="89">
        <v>46216</v>
      </c>
      <c r="J2771" t="s">
        <v>3938</v>
      </c>
      <c r="N2771" t="s">
        <v>3903</v>
      </c>
    </row>
    <row r="2772" spans="1:14" hidden="1" x14ac:dyDescent="0.25">
      <c r="A2772" t="s">
        <v>1315</v>
      </c>
      <c r="B2772" t="s">
        <v>1329</v>
      </c>
      <c r="C2772" t="s">
        <v>3937</v>
      </c>
      <c r="D2772" t="s">
        <v>20</v>
      </c>
      <c r="F2772">
        <v>105</v>
      </c>
      <c r="G2772" t="s">
        <v>1419</v>
      </c>
      <c r="H2772" s="89">
        <v>46211</v>
      </c>
      <c r="I2772" s="89">
        <v>46213</v>
      </c>
      <c r="J2772" t="s">
        <v>3549</v>
      </c>
      <c r="N2772" t="s">
        <v>3903</v>
      </c>
    </row>
    <row r="2773" spans="1:14" hidden="1" x14ac:dyDescent="0.25">
      <c r="A2773" t="s">
        <v>1316</v>
      </c>
      <c r="B2773" t="s">
        <v>1330</v>
      </c>
      <c r="C2773" t="s">
        <v>3939</v>
      </c>
      <c r="D2773" t="s">
        <v>20</v>
      </c>
      <c r="F2773">
        <v>110</v>
      </c>
      <c r="G2773" t="s">
        <v>1419</v>
      </c>
      <c r="H2773" s="89">
        <v>46211</v>
      </c>
      <c r="I2773" s="89">
        <v>46213</v>
      </c>
      <c r="J2773" t="s">
        <v>3549</v>
      </c>
      <c r="N2773" t="s">
        <v>3903</v>
      </c>
    </row>
    <row r="2774" spans="1:14" hidden="1" x14ac:dyDescent="0.25">
      <c r="A2774" t="s">
        <v>1317</v>
      </c>
      <c r="B2774" t="s">
        <v>1331</v>
      </c>
      <c r="C2774" t="s">
        <v>3940</v>
      </c>
      <c r="D2774" t="s">
        <v>20</v>
      </c>
      <c r="F2774">
        <v>3</v>
      </c>
      <c r="G2774" t="s">
        <v>1419</v>
      </c>
      <c r="H2774" s="89">
        <v>46211</v>
      </c>
      <c r="I2774" s="89">
        <v>46213</v>
      </c>
      <c r="J2774" t="s">
        <v>3549</v>
      </c>
      <c r="N2774" t="s">
        <v>3903</v>
      </c>
    </row>
    <row r="2775" spans="1:14" hidden="1" x14ac:dyDescent="0.25">
      <c r="A2775" t="s">
        <v>1318</v>
      </c>
      <c r="B2775" t="s">
        <v>1332</v>
      </c>
      <c r="C2775" t="s">
        <v>3941</v>
      </c>
      <c r="D2775" t="s">
        <v>20</v>
      </c>
      <c r="F2775">
        <v>30</v>
      </c>
      <c r="G2775" t="s">
        <v>1419</v>
      </c>
      <c r="H2775" s="89">
        <v>46211</v>
      </c>
      <c r="I2775" s="89">
        <v>46213</v>
      </c>
      <c r="J2775" t="s">
        <v>3549</v>
      </c>
      <c r="N2775" t="s">
        <v>3903</v>
      </c>
    </row>
    <row r="2776" spans="1:14" hidden="1" x14ac:dyDescent="0.25">
      <c r="A2776" t="s">
        <v>1313</v>
      </c>
      <c r="B2776" t="s">
        <v>1327</v>
      </c>
      <c r="C2776" t="s">
        <v>3942</v>
      </c>
      <c r="D2776" t="s">
        <v>21</v>
      </c>
      <c r="F2776">
        <v>912</v>
      </c>
      <c r="G2776">
        <v>19</v>
      </c>
      <c r="H2776" s="89">
        <v>46211</v>
      </c>
      <c r="I2776" s="89">
        <v>46215</v>
      </c>
      <c r="J2776" t="s">
        <v>3943</v>
      </c>
      <c r="N2776" t="s">
        <v>3903</v>
      </c>
    </row>
    <row r="2777" spans="1:14" hidden="1" x14ac:dyDescent="0.25">
      <c r="A2777" t="s">
        <v>1314</v>
      </c>
      <c r="B2777" t="s">
        <v>1328</v>
      </c>
      <c r="C2777" t="s">
        <v>3942</v>
      </c>
      <c r="D2777" t="s">
        <v>21</v>
      </c>
      <c r="F2777">
        <v>240</v>
      </c>
      <c r="G2777">
        <v>5</v>
      </c>
      <c r="H2777" s="89">
        <v>46211</v>
      </c>
      <c r="I2777" s="89">
        <v>46215</v>
      </c>
      <c r="J2777" t="s">
        <v>3944</v>
      </c>
      <c r="N2777" t="s">
        <v>3903</v>
      </c>
    </row>
    <row r="2778" spans="1:14" hidden="1" x14ac:dyDescent="0.25">
      <c r="A2778" t="s">
        <v>1315</v>
      </c>
      <c r="B2778" t="s">
        <v>1329</v>
      </c>
      <c r="C2778" t="s">
        <v>3942</v>
      </c>
      <c r="D2778" t="s">
        <v>21</v>
      </c>
      <c r="F2778">
        <v>28</v>
      </c>
      <c r="G2778" t="s">
        <v>1419</v>
      </c>
      <c r="H2778" s="89">
        <v>46211</v>
      </c>
      <c r="I2778" s="89">
        <v>46213</v>
      </c>
      <c r="J2778" t="s">
        <v>3549</v>
      </c>
      <c r="N2778" t="s">
        <v>3903</v>
      </c>
    </row>
    <row r="2779" spans="1:14" hidden="1" x14ac:dyDescent="0.25">
      <c r="A2779" t="s">
        <v>1316</v>
      </c>
      <c r="B2779" t="s">
        <v>1330</v>
      </c>
      <c r="C2779" t="s">
        <v>3945</v>
      </c>
      <c r="D2779" t="s">
        <v>21</v>
      </c>
      <c r="F2779">
        <v>10</v>
      </c>
      <c r="G2779" t="s">
        <v>1419</v>
      </c>
      <c r="H2779" s="89">
        <v>46211</v>
      </c>
      <c r="I2779" s="89">
        <v>46213</v>
      </c>
      <c r="J2779" t="s">
        <v>3549</v>
      </c>
      <c r="N2779" t="s">
        <v>3903</v>
      </c>
    </row>
    <row r="2780" spans="1:14" hidden="1" x14ac:dyDescent="0.25">
      <c r="A2780" t="s">
        <v>1317</v>
      </c>
      <c r="B2780" t="s">
        <v>1331</v>
      </c>
      <c r="C2780" t="s">
        <v>3946</v>
      </c>
      <c r="D2780" t="s">
        <v>21</v>
      </c>
      <c r="F2780">
        <v>13</v>
      </c>
      <c r="G2780" t="s">
        <v>1419</v>
      </c>
      <c r="H2780" s="89">
        <v>46211</v>
      </c>
      <c r="I2780" s="89">
        <v>46213</v>
      </c>
      <c r="J2780" t="s">
        <v>3549</v>
      </c>
      <c r="N2780" t="s">
        <v>3903</v>
      </c>
    </row>
    <row r="2781" spans="1:14" hidden="1" x14ac:dyDescent="0.25">
      <c r="A2781" t="s">
        <v>1318</v>
      </c>
      <c r="B2781" t="s">
        <v>1332</v>
      </c>
      <c r="C2781" t="s">
        <v>3947</v>
      </c>
      <c r="D2781" t="s">
        <v>21</v>
      </c>
      <c r="F2781">
        <v>46</v>
      </c>
      <c r="G2781" t="s">
        <v>1419</v>
      </c>
      <c r="H2781" s="89">
        <v>46211</v>
      </c>
      <c r="I2781" s="89">
        <v>46213</v>
      </c>
      <c r="J2781" t="s">
        <v>3549</v>
      </c>
      <c r="N2781" t="s">
        <v>3903</v>
      </c>
    </row>
    <row r="2782" spans="1:14" hidden="1" x14ac:dyDescent="0.25">
      <c r="A2782" t="s">
        <v>1320</v>
      </c>
      <c r="B2782" t="s">
        <v>1334</v>
      </c>
      <c r="C2782" t="s">
        <v>3948</v>
      </c>
      <c r="D2782" t="s">
        <v>15</v>
      </c>
      <c r="F2782">
        <v>960</v>
      </c>
      <c r="G2782">
        <v>20</v>
      </c>
      <c r="H2782" s="89">
        <v>46211</v>
      </c>
      <c r="I2782" s="89">
        <v>46216</v>
      </c>
      <c r="J2782" t="s">
        <v>3949</v>
      </c>
      <c r="N2782" t="s">
        <v>3903</v>
      </c>
    </row>
    <row r="2783" spans="1:14" hidden="1" x14ac:dyDescent="0.25">
      <c r="A2783" t="s">
        <v>1314</v>
      </c>
      <c r="B2783" t="s">
        <v>1328</v>
      </c>
      <c r="C2783" t="s">
        <v>3948</v>
      </c>
      <c r="D2783" t="s">
        <v>15</v>
      </c>
      <c r="F2783">
        <v>96</v>
      </c>
      <c r="G2783">
        <v>2</v>
      </c>
      <c r="H2783" s="89">
        <v>46211</v>
      </c>
      <c r="I2783" s="89">
        <v>46216</v>
      </c>
      <c r="J2783" t="s">
        <v>3938</v>
      </c>
      <c r="N2783" t="s">
        <v>3903</v>
      </c>
    </row>
    <row r="2784" spans="1:14" hidden="1" x14ac:dyDescent="0.25">
      <c r="A2784" t="s">
        <v>1313</v>
      </c>
      <c r="B2784" t="s">
        <v>1327</v>
      </c>
      <c r="C2784" t="s">
        <v>3948</v>
      </c>
      <c r="D2784" t="s">
        <v>15</v>
      </c>
      <c r="F2784">
        <v>30</v>
      </c>
      <c r="G2784">
        <v>0.625</v>
      </c>
      <c r="H2784" s="89">
        <v>46211</v>
      </c>
      <c r="I2784" s="89">
        <v>46216</v>
      </c>
      <c r="J2784" t="s">
        <v>3936</v>
      </c>
      <c r="N2784" t="s">
        <v>3903</v>
      </c>
    </row>
    <row r="2785" spans="1:14" hidden="1" x14ac:dyDescent="0.25">
      <c r="A2785" t="s">
        <v>1319</v>
      </c>
      <c r="B2785" t="s">
        <v>1333</v>
      </c>
      <c r="C2785" t="s">
        <v>3948</v>
      </c>
      <c r="D2785" t="s">
        <v>15</v>
      </c>
      <c r="F2785">
        <v>66</v>
      </c>
      <c r="G2785">
        <v>1.375</v>
      </c>
      <c r="H2785" s="89">
        <v>46211</v>
      </c>
      <c r="I2785" s="89">
        <v>46216</v>
      </c>
      <c r="J2785" t="s">
        <v>3936</v>
      </c>
      <c r="N2785" t="s">
        <v>3903</v>
      </c>
    </row>
    <row r="2786" spans="1:14" hidden="1" x14ac:dyDescent="0.25">
      <c r="A2786" t="s">
        <v>1313</v>
      </c>
      <c r="B2786" t="s">
        <v>1327</v>
      </c>
      <c r="C2786" t="s">
        <v>3948</v>
      </c>
      <c r="D2786" t="s">
        <v>15</v>
      </c>
      <c r="F2786">
        <v>48</v>
      </c>
      <c r="G2786">
        <v>1</v>
      </c>
      <c r="H2786" s="89">
        <v>46211</v>
      </c>
      <c r="I2786" s="89">
        <v>46218</v>
      </c>
      <c r="J2786" t="s">
        <v>3950</v>
      </c>
      <c r="N2786" t="s">
        <v>3903</v>
      </c>
    </row>
    <row r="2787" spans="1:14" hidden="1" x14ac:dyDescent="0.25">
      <c r="A2787" t="s">
        <v>1315</v>
      </c>
      <c r="B2787" t="s">
        <v>1329</v>
      </c>
      <c r="C2787" t="s">
        <v>3948</v>
      </c>
      <c r="D2787" t="s">
        <v>15</v>
      </c>
      <c r="F2787">
        <v>26</v>
      </c>
      <c r="G2787" t="s">
        <v>1419</v>
      </c>
      <c r="H2787" s="89">
        <v>46211</v>
      </c>
      <c r="I2787" s="89">
        <v>46213</v>
      </c>
      <c r="J2787" t="s">
        <v>3549</v>
      </c>
      <c r="N2787" t="s">
        <v>3903</v>
      </c>
    </row>
    <row r="2788" spans="1:14" hidden="1" x14ac:dyDescent="0.25">
      <c r="A2788" t="s">
        <v>1316</v>
      </c>
      <c r="B2788" t="s">
        <v>1330</v>
      </c>
      <c r="C2788" t="s">
        <v>3951</v>
      </c>
      <c r="D2788" t="s">
        <v>15</v>
      </c>
      <c r="F2788">
        <v>92</v>
      </c>
      <c r="G2788" t="s">
        <v>1419</v>
      </c>
      <c r="H2788" s="89">
        <v>46211</v>
      </c>
      <c r="I2788" s="89">
        <v>46213</v>
      </c>
      <c r="J2788" t="s">
        <v>3549</v>
      </c>
      <c r="N2788" t="s">
        <v>3903</v>
      </c>
    </row>
    <row r="2789" spans="1:14" hidden="1" x14ac:dyDescent="0.25">
      <c r="A2789" t="s">
        <v>1317</v>
      </c>
      <c r="B2789" t="s">
        <v>1331</v>
      </c>
      <c r="C2789" t="s">
        <v>3952</v>
      </c>
      <c r="D2789" t="s">
        <v>15</v>
      </c>
      <c r="F2789">
        <v>54</v>
      </c>
      <c r="G2789" t="s">
        <v>1419</v>
      </c>
      <c r="H2789" s="89">
        <v>46211</v>
      </c>
      <c r="I2789" s="89">
        <v>46213</v>
      </c>
      <c r="J2789" t="s">
        <v>3549</v>
      </c>
      <c r="N2789" t="s">
        <v>3903</v>
      </c>
    </row>
    <row r="2790" spans="1:14" hidden="1" x14ac:dyDescent="0.25">
      <c r="A2790" t="s">
        <v>1318</v>
      </c>
      <c r="B2790" t="s">
        <v>1332</v>
      </c>
      <c r="C2790" t="s">
        <v>3953</v>
      </c>
      <c r="D2790" t="s">
        <v>15</v>
      </c>
      <c r="F2790">
        <v>16</v>
      </c>
      <c r="G2790" t="s">
        <v>1419</v>
      </c>
      <c r="H2790" s="89">
        <v>46211</v>
      </c>
      <c r="I2790" s="89">
        <v>46213</v>
      </c>
      <c r="J2790" t="s">
        <v>3549</v>
      </c>
      <c r="N2790" t="s">
        <v>3903</v>
      </c>
    </row>
    <row r="2791" spans="1:14" hidden="1" x14ac:dyDescent="0.25">
      <c r="A2791" t="s">
        <v>1320</v>
      </c>
      <c r="B2791" t="s">
        <v>1334</v>
      </c>
      <c r="C2791" t="s">
        <v>3954</v>
      </c>
      <c r="D2791" t="s">
        <v>30</v>
      </c>
      <c r="F2791">
        <v>480</v>
      </c>
      <c r="G2791">
        <v>10</v>
      </c>
      <c r="H2791" s="89">
        <v>46212</v>
      </c>
      <c r="I2791" s="89">
        <v>46216</v>
      </c>
      <c r="J2791" t="s">
        <v>3955</v>
      </c>
      <c r="N2791" t="s">
        <v>3903</v>
      </c>
    </row>
    <row r="2792" spans="1:14" hidden="1" x14ac:dyDescent="0.25">
      <c r="A2792" t="s">
        <v>1320</v>
      </c>
      <c r="B2792" t="s">
        <v>1334</v>
      </c>
      <c r="C2792" t="s">
        <v>3956</v>
      </c>
      <c r="D2792" t="s">
        <v>119</v>
      </c>
      <c r="F2792">
        <v>480</v>
      </c>
      <c r="G2792">
        <v>10</v>
      </c>
      <c r="H2792" s="89">
        <v>46212</v>
      </c>
      <c r="I2792" s="89">
        <v>46216</v>
      </c>
      <c r="J2792" t="s">
        <v>3955</v>
      </c>
      <c r="N2792" t="s">
        <v>3903</v>
      </c>
    </row>
    <row r="2793" spans="1:14" hidden="1" x14ac:dyDescent="0.25">
      <c r="A2793" t="s">
        <v>1325</v>
      </c>
      <c r="B2793" t="s">
        <v>1339</v>
      </c>
      <c r="C2793" t="s">
        <v>3957</v>
      </c>
      <c r="D2793" t="s">
        <v>159</v>
      </c>
      <c r="F2793">
        <v>288</v>
      </c>
      <c r="G2793">
        <v>6</v>
      </c>
      <c r="H2793" s="89">
        <v>46212</v>
      </c>
      <c r="I2793" s="89">
        <v>46215</v>
      </c>
      <c r="J2793" t="s">
        <v>3549</v>
      </c>
      <c r="N2793" t="s">
        <v>3903</v>
      </c>
    </row>
    <row r="2794" spans="1:14" hidden="1" x14ac:dyDescent="0.25">
      <c r="A2794" t="s">
        <v>1320</v>
      </c>
      <c r="B2794" t="s">
        <v>1334</v>
      </c>
      <c r="C2794" t="s">
        <v>3958</v>
      </c>
      <c r="D2794" t="s">
        <v>150</v>
      </c>
      <c r="F2794">
        <v>960</v>
      </c>
      <c r="G2794">
        <v>20</v>
      </c>
      <c r="H2794" s="89">
        <v>46212</v>
      </c>
      <c r="I2794" s="89">
        <v>46216</v>
      </c>
      <c r="J2794" t="s">
        <v>3959</v>
      </c>
      <c r="N2794" t="s">
        <v>3903</v>
      </c>
    </row>
    <row r="2795" spans="1:14" hidden="1" x14ac:dyDescent="0.25">
      <c r="A2795" t="s">
        <v>1324</v>
      </c>
      <c r="B2795" t="s">
        <v>1338</v>
      </c>
      <c r="C2795" t="s">
        <v>3960</v>
      </c>
      <c r="D2795" t="s">
        <v>23</v>
      </c>
      <c r="F2795">
        <v>960</v>
      </c>
      <c r="G2795">
        <v>20</v>
      </c>
      <c r="H2795" s="89">
        <v>46212</v>
      </c>
      <c r="I2795" s="89">
        <v>46218</v>
      </c>
      <c r="J2795" t="s">
        <v>3961</v>
      </c>
      <c r="N2795" t="s">
        <v>3903</v>
      </c>
    </row>
    <row r="2796" spans="1:14" hidden="1" x14ac:dyDescent="0.25">
      <c r="A2796" t="s">
        <v>1324</v>
      </c>
      <c r="B2796" t="s">
        <v>1338</v>
      </c>
      <c r="C2796" t="s">
        <v>3962</v>
      </c>
      <c r="D2796" t="s">
        <v>21</v>
      </c>
      <c r="F2796">
        <v>960</v>
      </c>
      <c r="G2796">
        <v>20</v>
      </c>
      <c r="H2796" s="89">
        <v>46212</v>
      </c>
      <c r="I2796" s="89">
        <v>46218</v>
      </c>
      <c r="J2796" t="s">
        <v>3961</v>
      </c>
      <c r="N2796" t="s">
        <v>3903</v>
      </c>
    </row>
    <row r="2797" spans="1:14" hidden="1" x14ac:dyDescent="0.25">
      <c r="A2797" t="s">
        <v>1315</v>
      </c>
      <c r="B2797" t="s">
        <v>1329</v>
      </c>
      <c r="C2797" t="s">
        <v>3962</v>
      </c>
      <c r="D2797" t="s">
        <v>21</v>
      </c>
      <c r="F2797">
        <v>91</v>
      </c>
      <c r="G2797" t="s">
        <v>1419</v>
      </c>
      <c r="H2797" s="89">
        <v>46212</v>
      </c>
      <c r="I2797" s="89">
        <v>46213</v>
      </c>
      <c r="J2797" t="s">
        <v>3549</v>
      </c>
      <c r="N2797" t="s">
        <v>3903</v>
      </c>
    </row>
    <row r="2798" spans="1:14" hidden="1" x14ac:dyDescent="0.25">
      <c r="A2798" t="s">
        <v>1316</v>
      </c>
      <c r="B2798" t="s">
        <v>1330</v>
      </c>
      <c r="C2798" t="s">
        <v>3963</v>
      </c>
      <c r="D2798" t="s">
        <v>21</v>
      </c>
      <c r="F2798">
        <v>14</v>
      </c>
      <c r="G2798" t="s">
        <v>1419</v>
      </c>
      <c r="H2798" s="89">
        <v>46212</v>
      </c>
      <c r="I2798" s="89">
        <v>46214</v>
      </c>
      <c r="J2798" t="s">
        <v>3549</v>
      </c>
      <c r="N2798" t="s">
        <v>3903</v>
      </c>
    </row>
    <row r="2799" spans="1:14" hidden="1" x14ac:dyDescent="0.25">
      <c r="A2799" t="s">
        <v>1317</v>
      </c>
      <c r="B2799" t="s">
        <v>1331</v>
      </c>
      <c r="C2799" t="s">
        <v>3964</v>
      </c>
      <c r="D2799" t="s">
        <v>21</v>
      </c>
      <c r="F2799">
        <v>23</v>
      </c>
      <c r="G2799" t="s">
        <v>1419</v>
      </c>
      <c r="H2799" s="89">
        <v>46212</v>
      </c>
      <c r="I2799" s="89">
        <v>46214</v>
      </c>
      <c r="J2799" t="s">
        <v>3549</v>
      </c>
      <c r="N2799" t="s">
        <v>3903</v>
      </c>
    </row>
    <row r="2800" spans="1:14" hidden="1" x14ac:dyDescent="0.25">
      <c r="A2800" t="s">
        <v>1318</v>
      </c>
      <c r="B2800" t="s">
        <v>1332</v>
      </c>
      <c r="C2800" t="s">
        <v>3965</v>
      </c>
      <c r="D2800" t="s">
        <v>21</v>
      </c>
      <c r="F2800">
        <v>44</v>
      </c>
      <c r="G2800" t="s">
        <v>1419</v>
      </c>
      <c r="H2800" s="89">
        <v>46212</v>
      </c>
      <c r="I2800" s="89">
        <v>46214</v>
      </c>
      <c r="J2800" t="s">
        <v>3549</v>
      </c>
      <c r="N2800" t="s">
        <v>3903</v>
      </c>
    </row>
    <row r="2801" spans="1:14" hidden="1" x14ac:dyDescent="0.25">
      <c r="A2801" t="s">
        <v>1313</v>
      </c>
      <c r="B2801" t="s">
        <v>1327</v>
      </c>
      <c r="C2801" t="s">
        <v>3966</v>
      </c>
      <c r="D2801" t="s">
        <v>15</v>
      </c>
      <c r="F2801">
        <v>912</v>
      </c>
      <c r="G2801">
        <v>19</v>
      </c>
      <c r="H2801" s="89">
        <v>46212</v>
      </c>
      <c r="I2801" s="89">
        <v>46218</v>
      </c>
      <c r="J2801" t="s">
        <v>3950</v>
      </c>
      <c r="N2801" t="s">
        <v>3903</v>
      </c>
    </row>
    <row r="2802" spans="1:14" hidden="1" x14ac:dyDescent="0.25">
      <c r="A2802" t="s">
        <v>1314</v>
      </c>
      <c r="B2802" t="s">
        <v>1328</v>
      </c>
      <c r="C2802" t="s">
        <v>3966</v>
      </c>
      <c r="D2802" t="s">
        <v>15</v>
      </c>
      <c r="F2802">
        <v>288</v>
      </c>
      <c r="G2802">
        <v>6</v>
      </c>
      <c r="H2802" s="89">
        <v>46212</v>
      </c>
      <c r="I2802" s="89">
        <v>46217</v>
      </c>
      <c r="J2802" t="s">
        <v>3967</v>
      </c>
      <c r="N2802" t="s">
        <v>3903</v>
      </c>
    </row>
    <row r="2803" spans="1:14" hidden="1" x14ac:dyDescent="0.25">
      <c r="A2803" t="s">
        <v>1315</v>
      </c>
      <c r="B2803" t="s">
        <v>1329</v>
      </c>
      <c r="C2803" t="s">
        <v>3966</v>
      </c>
      <c r="D2803" t="s">
        <v>15</v>
      </c>
      <c r="F2803">
        <v>8</v>
      </c>
      <c r="G2803" t="s">
        <v>1419</v>
      </c>
      <c r="H2803" s="89">
        <v>46212</v>
      </c>
      <c r="I2803" s="89">
        <v>46214</v>
      </c>
      <c r="J2803" t="s">
        <v>3549</v>
      </c>
      <c r="N2803" t="s">
        <v>3903</v>
      </c>
    </row>
    <row r="2804" spans="1:14" hidden="1" x14ac:dyDescent="0.25">
      <c r="A2804" t="s">
        <v>1316</v>
      </c>
      <c r="B2804" t="s">
        <v>1330</v>
      </c>
      <c r="C2804" t="s">
        <v>3968</v>
      </c>
      <c r="D2804" t="s">
        <v>15</v>
      </c>
      <c r="F2804">
        <v>57</v>
      </c>
      <c r="G2804" t="s">
        <v>1419</v>
      </c>
      <c r="H2804" s="89">
        <v>46212</v>
      </c>
      <c r="I2804" s="89">
        <v>46214</v>
      </c>
      <c r="J2804" t="s">
        <v>3549</v>
      </c>
      <c r="N2804" t="s">
        <v>3903</v>
      </c>
    </row>
    <row r="2805" spans="1:14" hidden="1" x14ac:dyDescent="0.25">
      <c r="A2805" t="s">
        <v>1317</v>
      </c>
      <c r="B2805" t="s">
        <v>1331</v>
      </c>
      <c r="C2805" t="s">
        <v>3969</v>
      </c>
      <c r="D2805" t="s">
        <v>15</v>
      </c>
      <c r="F2805">
        <v>43</v>
      </c>
      <c r="G2805" t="s">
        <v>1419</v>
      </c>
      <c r="H2805" s="89">
        <v>46212</v>
      </c>
      <c r="I2805" s="89">
        <v>46214</v>
      </c>
      <c r="J2805" t="s">
        <v>3549</v>
      </c>
      <c r="N2805" t="s">
        <v>3903</v>
      </c>
    </row>
    <row r="2806" spans="1:14" hidden="1" x14ac:dyDescent="0.25">
      <c r="A2806" t="s">
        <v>1318</v>
      </c>
      <c r="B2806" t="s">
        <v>1332</v>
      </c>
      <c r="C2806" t="s">
        <v>3970</v>
      </c>
      <c r="D2806" t="s">
        <v>15</v>
      </c>
      <c r="F2806">
        <v>16</v>
      </c>
      <c r="G2806" t="s">
        <v>1419</v>
      </c>
      <c r="H2806" s="89">
        <v>46212</v>
      </c>
      <c r="I2806" s="89">
        <v>46214</v>
      </c>
      <c r="J2806" t="s">
        <v>3549</v>
      </c>
      <c r="N2806" t="s">
        <v>3903</v>
      </c>
    </row>
    <row r="2807" spans="1:14" hidden="1" x14ac:dyDescent="0.25">
      <c r="A2807" t="s">
        <v>1320</v>
      </c>
      <c r="B2807" t="s">
        <v>1334</v>
      </c>
      <c r="C2807" t="s">
        <v>3971</v>
      </c>
      <c r="D2807" t="s">
        <v>20</v>
      </c>
      <c r="F2807">
        <v>960</v>
      </c>
      <c r="G2807">
        <v>20</v>
      </c>
      <c r="H2807" s="89">
        <v>46212</v>
      </c>
      <c r="I2807" s="89">
        <v>46216</v>
      </c>
      <c r="J2807" t="s">
        <v>3972</v>
      </c>
      <c r="N2807" t="s">
        <v>3903</v>
      </c>
    </row>
    <row r="2808" spans="1:14" hidden="1" x14ac:dyDescent="0.25">
      <c r="A2808" t="s">
        <v>1315</v>
      </c>
      <c r="B2808" t="s">
        <v>1329</v>
      </c>
      <c r="C2808" t="s">
        <v>3971</v>
      </c>
      <c r="D2808" t="s">
        <v>20</v>
      </c>
      <c r="F2808">
        <v>125</v>
      </c>
      <c r="G2808" t="s">
        <v>1419</v>
      </c>
      <c r="H2808" s="89">
        <v>46212</v>
      </c>
      <c r="I2808" s="89">
        <v>46214</v>
      </c>
      <c r="J2808" t="s">
        <v>3549</v>
      </c>
      <c r="N2808" t="s">
        <v>3903</v>
      </c>
    </row>
    <row r="2809" spans="1:14" hidden="1" x14ac:dyDescent="0.25">
      <c r="A2809" t="s">
        <v>1325</v>
      </c>
      <c r="B2809" t="s">
        <v>1339</v>
      </c>
      <c r="C2809" t="s">
        <v>3971</v>
      </c>
      <c r="D2809" t="s">
        <v>20</v>
      </c>
      <c r="F2809">
        <v>96</v>
      </c>
      <c r="G2809">
        <v>2</v>
      </c>
      <c r="H2809" s="89">
        <v>46212</v>
      </c>
      <c r="I2809" s="89">
        <v>46215</v>
      </c>
      <c r="J2809" t="s">
        <v>3549</v>
      </c>
      <c r="N2809" t="s">
        <v>3903</v>
      </c>
    </row>
    <row r="2810" spans="1:14" hidden="1" x14ac:dyDescent="0.25">
      <c r="A2810" t="s">
        <v>1316</v>
      </c>
      <c r="B2810" t="s">
        <v>1330</v>
      </c>
      <c r="C2810" t="s">
        <v>3973</v>
      </c>
      <c r="D2810" t="s">
        <v>20</v>
      </c>
      <c r="F2810">
        <v>85</v>
      </c>
      <c r="G2810" t="s">
        <v>1419</v>
      </c>
      <c r="H2810" s="89">
        <v>46212</v>
      </c>
      <c r="I2810" s="89">
        <v>46214</v>
      </c>
      <c r="J2810" t="s">
        <v>3549</v>
      </c>
      <c r="N2810" t="s">
        <v>3903</v>
      </c>
    </row>
    <row r="2811" spans="1:14" hidden="1" x14ac:dyDescent="0.25">
      <c r="A2811" t="s">
        <v>1317</v>
      </c>
      <c r="B2811" t="s">
        <v>1331</v>
      </c>
      <c r="C2811" t="s">
        <v>3974</v>
      </c>
      <c r="D2811" t="s">
        <v>20</v>
      </c>
      <c r="F2811">
        <v>19</v>
      </c>
      <c r="G2811" t="s">
        <v>1419</v>
      </c>
      <c r="H2811" s="89">
        <v>46212</v>
      </c>
      <c r="I2811" s="89">
        <v>46214</v>
      </c>
      <c r="J2811" t="s">
        <v>3549</v>
      </c>
      <c r="N2811" t="s">
        <v>3903</v>
      </c>
    </row>
    <row r="2812" spans="1:14" hidden="1" x14ac:dyDescent="0.25">
      <c r="A2812" t="s">
        <v>1318</v>
      </c>
      <c r="B2812" t="s">
        <v>1332</v>
      </c>
      <c r="C2812" t="s">
        <v>3975</v>
      </c>
      <c r="D2812" t="s">
        <v>20</v>
      </c>
      <c r="F2812">
        <v>47</v>
      </c>
      <c r="G2812" t="s">
        <v>1419</v>
      </c>
      <c r="H2812" s="89">
        <v>46212</v>
      </c>
      <c r="I2812" s="89">
        <v>46214</v>
      </c>
      <c r="J2812" t="s">
        <v>3549</v>
      </c>
      <c r="N2812" t="s">
        <v>3903</v>
      </c>
    </row>
    <row r="2813" spans="1:14" hidden="1" x14ac:dyDescent="0.25">
      <c r="A2813" t="s">
        <v>1326</v>
      </c>
      <c r="B2813" t="s">
        <v>1340</v>
      </c>
      <c r="C2813" t="s">
        <v>3976</v>
      </c>
      <c r="D2813" t="s">
        <v>32</v>
      </c>
      <c r="F2813">
        <v>840</v>
      </c>
      <c r="G2813">
        <v>20</v>
      </c>
      <c r="H2813" s="89">
        <v>46213</v>
      </c>
      <c r="I2813" s="89">
        <v>46217</v>
      </c>
      <c r="J2813" t="s">
        <v>3977</v>
      </c>
      <c r="N2813" t="s">
        <v>3903</v>
      </c>
    </row>
    <row r="2814" spans="1:14" hidden="1" x14ac:dyDescent="0.25">
      <c r="A2814" t="s">
        <v>1320</v>
      </c>
      <c r="B2814" t="s">
        <v>1334</v>
      </c>
      <c r="C2814" t="s">
        <v>3978</v>
      </c>
      <c r="D2814" t="s">
        <v>30</v>
      </c>
      <c r="F2814">
        <v>480</v>
      </c>
      <c r="G2814">
        <v>10</v>
      </c>
      <c r="H2814" s="89">
        <v>46213</v>
      </c>
      <c r="I2814" s="89">
        <v>46217</v>
      </c>
      <c r="J2814" t="s">
        <v>3979</v>
      </c>
      <c r="N2814" t="s">
        <v>3903</v>
      </c>
    </row>
    <row r="2815" spans="1:14" hidden="1" x14ac:dyDescent="0.25">
      <c r="A2815" t="s">
        <v>1320</v>
      </c>
      <c r="B2815" t="s">
        <v>1334</v>
      </c>
      <c r="C2815" t="s">
        <v>3980</v>
      </c>
      <c r="D2815" t="s">
        <v>119</v>
      </c>
      <c r="F2815">
        <v>480</v>
      </c>
      <c r="G2815">
        <v>10</v>
      </c>
      <c r="H2815" s="89">
        <v>46213</v>
      </c>
      <c r="I2815" s="89">
        <v>46217</v>
      </c>
      <c r="J2815" t="s">
        <v>3979</v>
      </c>
      <c r="N2815" t="s">
        <v>3903</v>
      </c>
    </row>
    <row r="2816" spans="1:14" hidden="1" x14ac:dyDescent="0.25">
      <c r="A2816" t="s">
        <v>1324</v>
      </c>
      <c r="B2816" t="s">
        <v>1338</v>
      </c>
      <c r="C2816" t="s">
        <v>3981</v>
      </c>
      <c r="D2816" t="s">
        <v>23</v>
      </c>
      <c r="F2816">
        <v>960</v>
      </c>
      <c r="G2816">
        <v>20</v>
      </c>
      <c r="H2816" s="89">
        <v>46213</v>
      </c>
      <c r="I2816" s="89">
        <v>46221</v>
      </c>
      <c r="J2816" t="s">
        <v>3982</v>
      </c>
      <c r="N2816" t="s">
        <v>3903</v>
      </c>
    </row>
    <row r="2817" spans="1:14" hidden="1" x14ac:dyDescent="0.25">
      <c r="A2817" t="s">
        <v>1320</v>
      </c>
      <c r="B2817" t="s">
        <v>1334</v>
      </c>
      <c r="C2817" t="s">
        <v>3983</v>
      </c>
      <c r="D2817" t="s">
        <v>150</v>
      </c>
      <c r="F2817">
        <v>960</v>
      </c>
      <c r="G2817">
        <v>20</v>
      </c>
      <c r="H2817" s="89">
        <v>46213</v>
      </c>
      <c r="I2817" s="89">
        <v>46219</v>
      </c>
      <c r="J2817" t="s">
        <v>3984</v>
      </c>
      <c r="N2817" t="s">
        <v>3903</v>
      </c>
    </row>
    <row r="2818" spans="1:14" hidden="1" x14ac:dyDescent="0.25">
      <c r="A2818" t="s">
        <v>1313</v>
      </c>
      <c r="B2818" t="s">
        <v>1327</v>
      </c>
      <c r="C2818" t="s">
        <v>3983</v>
      </c>
      <c r="D2818" t="s">
        <v>150</v>
      </c>
      <c r="F2818">
        <v>192</v>
      </c>
      <c r="G2818">
        <v>4</v>
      </c>
      <c r="H2818" s="89">
        <v>46213</v>
      </c>
      <c r="I2818" s="89">
        <v>46218</v>
      </c>
      <c r="J2818" t="s">
        <v>3950</v>
      </c>
      <c r="N2818" t="s">
        <v>3903</v>
      </c>
    </row>
    <row r="2819" spans="1:14" hidden="1" x14ac:dyDescent="0.25">
      <c r="A2819" t="s">
        <v>1320</v>
      </c>
      <c r="B2819" t="s">
        <v>1334</v>
      </c>
      <c r="C2819" t="s">
        <v>3985</v>
      </c>
      <c r="D2819" t="s">
        <v>92</v>
      </c>
      <c r="F2819">
        <v>960</v>
      </c>
      <c r="G2819">
        <v>20</v>
      </c>
      <c r="H2819" s="89">
        <v>46213</v>
      </c>
      <c r="I2819" s="89">
        <v>46218</v>
      </c>
      <c r="J2819" t="s">
        <v>3986</v>
      </c>
      <c r="N2819" t="s">
        <v>3903</v>
      </c>
    </row>
    <row r="2820" spans="1:14" hidden="1" x14ac:dyDescent="0.25">
      <c r="A2820" t="s">
        <v>1320</v>
      </c>
      <c r="B2820" t="s">
        <v>1334</v>
      </c>
      <c r="C2820" t="s">
        <v>3987</v>
      </c>
      <c r="D2820" t="s">
        <v>94</v>
      </c>
      <c r="F2820">
        <v>960</v>
      </c>
      <c r="G2820">
        <v>20</v>
      </c>
      <c r="H2820" s="89">
        <v>46213</v>
      </c>
      <c r="I2820" s="89">
        <v>46219</v>
      </c>
      <c r="J2820" t="s">
        <v>3988</v>
      </c>
      <c r="N2820" t="s">
        <v>3903</v>
      </c>
    </row>
    <row r="2821" spans="1:14" hidden="1" x14ac:dyDescent="0.25">
      <c r="A2821" t="s">
        <v>1316</v>
      </c>
      <c r="B2821" t="s">
        <v>1330</v>
      </c>
      <c r="C2821" t="s">
        <v>3989</v>
      </c>
      <c r="D2821" t="s">
        <v>28</v>
      </c>
      <c r="F2821">
        <v>12</v>
      </c>
      <c r="G2821" t="s">
        <v>1419</v>
      </c>
      <c r="H2821" s="89">
        <v>46213</v>
      </c>
      <c r="I2821" s="89">
        <v>46215</v>
      </c>
      <c r="J2821" t="s">
        <v>3549</v>
      </c>
      <c r="N2821" t="s">
        <v>3903</v>
      </c>
    </row>
    <row r="2822" spans="1:14" hidden="1" x14ac:dyDescent="0.25">
      <c r="A2822" t="s">
        <v>1315</v>
      </c>
      <c r="B2822" t="s">
        <v>1329</v>
      </c>
      <c r="C2822" t="s">
        <v>3990</v>
      </c>
      <c r="D2822" t="s">
        <v>20</v>
      </c>
      <c r="F2822">
        <v>80</v>
      </c>
      <c r="G2822" t="s">
        <v>1419</v>
      </c>
      <c r="H2822" s="89">
        <v>46213</v>
      </c>
      <c r="I2822" s="89">
        <v>46215</v>
      </c>
      <c r="J2822" t="s">
        <v>3549</v>
      </c>
      <c r="N2822" t="s">
        <v>3903</v>
      </c>
    </row>
    <row r="2823" spans="1:14" hidden="1" x14ac:dyDescent="0.25">
      <c r="A2823" t="s">
        <v>1325</v>
      </c>
      <c r="B2823" t="s">
        <v>1339</v>
      </c>
      <c r="C2823" t="s">
        <v>3990</v>
      </c>
      <c r="D2823" t="s">
        <v>20</v>
      </c>
      <c r="F2823">
        <v>48</v>
      </c>
      <c r="G2823">
        <v>1</v>
      </c>
      <c r="H2823" s="89">
        <v>46213</v>
      </c>
      <c r="I2823" s="89">
        <v>46215</v>
      </c>
      <c r="J2823" t="s">
        <v>3549</v>
      </c>
      <c r="N2823" t="s">
        <v>3903</v>
      </c>
    </row>
    <row r="2824" spans="1:14" hidden="1" x14ac:dyDescent="0.25">
      <c r="A2824" t="s">
        <v>1316</v>
      </c>
      <c r="B2824" t="s">
        <v>1330</v>
      </c>
      <c r="C2824" t="s">
        <v>3991</v>
      </c>
      <c r="D2824" t="s">
        <v>20</v>
      </c>
      <c r="F2824">
        <v>93</v>
      </c>
      <c r="G2824" t="s">
        <v>1419</v>
      </c>
      <c r="H2824" s="89">
        <v>46213</v>
      </c>
      <c r="I2824" s="89">
        <v>46215</v>
      </c>
      <c r="J2824" t="s">
        <v>3549</v>
      </c>
      <c r="N2824" t="s">
        <v>3903</v>
      </c>
    </row>
    <row r="2825" spans="1:14" hidden="1" x14ac:dyDescent="0.25">
      <c r="A2825" t="s">
        <v>1317</v>
      </c>
      <c r="B2825" t="s">
        <v>1331</v>
      </c>
      <c r="C2825" t="s">
        <v>3992</v>
      </c>
      <c r="D2825" t="s">
        <v>20</v>
      </c>
      <c r="F2825">
        <v>7</v>
      </c>
      <c r="G2825" t="s">
        <v>1419</v>
      </c>
      <c r="H2825" s="89">
        <v>46213</v>
      </c>
      <c r="I2825" s="89">
        <v>46215</v>
      </c>
      <c r="J2825" t="s">
        <v>3549</v>
      </c>
      <c r="N2825" t="s">
        <v>3903</v>
      </c>
    </row>
    <row r="2826" spans="1:14" hidden="1" x14ac:dyDescent="0.25">
      <c r="A2826" t="s">
        <v>1318</v>
      </c>
      <c r="B2826" t="s">
        <v>1332</v>
      </c>
      <c r="C2826" t="s">
        <v>3993</v>
      </c>
      <c r="D2826" t="s">
        <v>20</v>
      </c>
      <c r="F2826">
        <v>37</v>
      </c>
      <c r="G2826" t="s">
        <v>1419</v>
      </c>
      <c r="H2826" s="89">
        <v>46213</v>
      </c>
      <c r="I2826" s="89">
        <v>46215</v>
      </c>
      <c r="J2826" t="s">
        <v>3549</v>
      </c>
      <c r="N2826" t="s">
        <v>3903</v>
      </c>
    </row>
    <row r="2827" spans="1:14" hidden="1" x14ac:dyDescent="0.25">
      <c r="A2827" t="s">
        <v>1313</v>
      </c>
      <c r="B2827" t="s">
        <v>1327</v>
      </c>
      <c r="C2827" t="s">
        <v>3994</v>
      </c>
      <c r="D2827" t="s">
        <v>15</v>
      </c>
      <c r="F2827">
        <v>864</v>
      </c>
      <c r="G2827">
        <v>20</v>
      </c>
      <c r="H2827" s="89">
        <v>46213</v>
      </c>
      <c r="I2827" s="89">
        <v>46217</v>
      </c>
      <c r="J2827" t="s">
        <v>3995</v>
      </c>
      <c r="N2827" t="s">
        <v>3903</v>
      </c>
    </row>
    <row r="2828" spans="1:14" hidden="1" x14ac:dyDescent="0.25">
      <c r="A2828" t="s">
        <v>1313</v>
      </c>
      <c r="B2828" t="s">
        <v>1327</v>
      </c>
      <c r="C2828" t="s">
        <v>3994</v>
      </c>
      <c r="D2828" t="s">
        <v>15</v>
      </c>
      <c r="F2828">
        <v>240</v>
      </c>
      <c r="G2828">
        <v>5</v>
      </c>
      <c r="H2828" s="89">
        <v>46213</v>
      </c>
      <c r="I2828" s="89">
        <v>46219</v>
      </c>
      <c r="J2828" t="s">
        <v>3996</v>
      </c>
      <c r="N2828" t="s">
        <v>3903</v>
      </c>
    </row>
    <row r="2829" spans="1:14" hidden="1" x14ac:dyDescent="0.25">
      <c r="A2829" t="s">
        <v>1315</v>
      </c>
      <c r="B2829" t="s">
        <v>1329</v>
      </c>
      <c r="C2829" t="s">
        <v>3994</v>
      </c>
      <c r="D2829" t="s">
        <v>15</v>
      </c>
      <c r="F2829">
        <v>32</v>
      </c>
      <c r="G2829" t="s">
        <v>1419</v>
      </c>
      <c r="H2829" s="89">
        <v>46213</v>
      </c>
      <c r="I2829" s="89">
        <v>46215</v>
      </c>
      <c r="J2829" t="s">
        <v>3549</v>
      </c>
      <c r="N2829" t="s">
        <v>3903</v>
      </c>
    </row>
    <row r="2830" spans="1:14" hidden="1" x14ac:dyDescent="0.25">
      <c r="A2830" t="s">
        <v>1316</v>
      </c>
      <c r="B2830" t="s">
        <v>1330</v>
      </c>
      <c r="C2830" t="s">
        <v>3997</v>
      </c>
      <c r="D2830" t="s">
        <v>15</v>
      </c>
      <c r="F2830">
        <v>28</v>
      </c>
      <c r="G2830" t="s">
        <v>1419</v>
      </c>
      <c r="H2830" s="89">
        <v>46213</v>
      </c>
      <c r="I2830" s="89">
        <v>46215</v>
      </c>
      <c r="J2830" t="s">
        <v>3549</v>
      </c>
      <c r="N2830" t="s">
        <v>3903</v>
      </c>
    </row>
    <row r="2831" spans="1:14" hidden="1" x14ac:dyDescent="0.25">
      <c r="A2831" t="s">
        <v>1317</v>
      </c>
      <c r="B2831" t="s">
        <v>1331</v>
      </c>
      <c r="C2831" t="s">
        <v>3998</v>
      </c>
      <c r="D2831" t="s">
        <v>15</v>
      </c>
      <c r="F2831">
        <v>23</v>
      </c>
      <c r="G2831" t="s">
        <v>1419</v>
      </c>
      <c r="H2831" s="89">
        <v>46213</v>
      </c>
      <c r="I2831" s="89">
        <v>46215</v>
      </c>
      <c r="J2831" t="s">
        <v>3549</v>
      </c>
      <c r="N2831" t="s">
        <v>3903</v>
      </c>
    </row>
    <row r="2832" spans="1:14" hidden="1" x14ac:dyDescent="0.25">
      <c r="A2832" t="s">
        <v>1318</v>
      </c>
      <c r="B2832" t="s">
        <v>1332</v>
      </c>
      <c r="C2832" t="s">
        <v>3999</v>
      </c>
      <c r="D2832" t="s">
        <v>15</v>
      </c>
      <c r="F2832">
        <v>12</v>
      </c>
      <c r="G2832" t="s">
        <v>1419</v>
      </c>
      <c r="H2832" s="89">
        <v>46213</v>
      </c>
      <c r="I2832" s="89">
        <v>46215</v>
      </c>
      <c r="J2832" t="s">
        <v>3549</v>
      </c>
      <c r="N2832" t="s">
        <v>3903</v>
      </c>
    </row>
    <row r="2833" spans="1:14" hidden="1" x14ac:dyDescent="0.25">
      <c r="A2833" t="s">
        <v>1320</v>
      </c>
      <c r="B2833" t="s">
        <v>1334</v>
      </c>
      <c r="C2833" t="s">
        <v>4000</v>
      </c>
      <c r="D2833" t="s">
        <v>28</v>
      </c>
      <c r="F2833">
        <v>960</v>
      </c>
      <c r="G2833">
        <v>20</v>
      </c>
      <c r="H2833" s="89">
        <v>46213</v>
      </c>
      <c r="I2833" s="89">
        <v>46218</v>
      </c>
      <c r="J2833" t="s">
        <v>4001</v>
      </c>
      <c r="N2833" t="s">
        <v>3903</v>
      </c>
    </row>
    <row r="2834" spans="1:14" hidden="1" x14ac:dyDescent="0.25">
      <c r="A2834" t="s">
        <v>1315</v>
      </c>
      <c r="B2834" t="s">
        <v>1329</v>
      </c>
      <c r="C2834" t="s">
        <v>4000</v>
      </c>
      <c r="D2834" t="s">
        <v>28</v>
      </c>
      <c r="F2834">
        <v>96</v>
      </c>
      <c r="G2834" t="s">
        <v>1419</v>
      </c>
      <c r="H2834" s="89">
        <v>46213</v>
      </c>
      <c r="I2834" s="89">
        <v>46215</v>
      </c>
      <c r="J2834" t="s">
        <v>3549</v>
      </c>
      <c r="N2834" t="s">
        <v>3903</v>
      </c>
    </row>
    <row r="2835" spans="1:14" hidden="1" x14ac:dyDescent="0.25">
      <c r="A2835" t="s">
        <v>1318</v>
      </c>
      <c r="B2835" t="s">
        <v>1332</v>
      </c>
      <c r="C2835" t="s">
        <v>4002</v>
      </c>
      <c r="D2835" t="s">
        <v>28</v>
      </c>
      <c r="F2835">
        <v>40</v>
      </c>
      <c r="G2835" t="s">
        <v>1419</v>
      </c>
      <c r="H2835" s="89">
        <v>46213</v>
      </c>
      <c r="I2835" s="89">
        <v>46215</v>
      </c>
      <c r="J2835" t="s">
        <v>3549</v>
      </c>
      <c r="N2835" t="s">
        <v>3903</v>
      </c>
    </row>
    <row r="2836" spans="1:14" hidden="1" x14ac:dyDescent="0.25">
      <c r="A2836" t="s">
        <v>1324</v>
      </c>
      <c r="B2836" t="s">
        <v>1338</v>
      </c>
      <c r="C2836" t="s">
        <v>4003</v>
      </c>
      <c r="D2836" t="s">
        <v>147</v>
      </c>
      <c r="F2836">
        <v>480</v>
      </c>
      <c r="G2836">
        <v>10</v>
      </c>
      <c r="H2836" s="89">
        <v>46214</v>
      </c>
      <c r="I2836" s="89">
        <v>46221</v>
      </c>
      <c r="J2836" t="s">
        <v>3982</v>
      </c>
      <c r="N2836" t="s">
        <v>3903</v>
      </c>
    </row>
    <row r="2837" spans="1:14" hidden="1" x14ac:dyDescent="0.25">
      <c r="A2837" t="s">
        <v>1324</v>
      </c>
      <c r="B2837" t="s">
        <v>1338</v>
      </c>
      <c r="C2837" t="s">
        <v>4004</v>
      </c>
      <c r="D2837" t="s">
        <v>13</v>
      </c>
      <c r="F2837">
        <v>480</v>
      </c>
      <c r="G2837">
        <v>10</v>
      </c>
      <c r="H2837" s="89">
        <v>46214</v>
      </c>
      <c r="I2837" s="89">
        <v>46221</v>
      </c>
      <c r="J2837" t="s">
        <v>3982</v>
      </c>
      <c r="N2837" t="s">
        <v>3903</v>
      </c>
    </row>
    <row r="2838" spans="1:14" hidden="1" x14ac:dyDescent="0.25">
      <c r="A2838" t="s">
        <v>1313</v>
      </c>
      <c r="B2838" t="s">
        <v>1327</v>
      </c>
      <c r="C2838" t="s">
        <v>4005</v>
      </c>
      <c r="D2838" t="s">
        <v>15</v>
      </c>
      <c r="F2838">
        <v>912</v>
      </c>
      <c r="G2838">
        <v>19</v>
      </c>
      <c r="H2838" s="89">
        <v>46214</v>
      </c>
      <c r="I2838" s="89">
        <v>46219</v>
      </c>
      <c r="J2838" t="s">
        <v>3996</v>
      </c>
      <c r="N2838" t="s">
        <v>3903</v>
      </c>
    </row>
    <row r="2839" spans="1:14" hidden="1" x14ac:dyDescent="0.25">
      <c r="A2839" t="s">
        <v>1314</v>
      </c>
      <c r="B2839" t="s">
        <v>1328</v>
      </c>
      <c r="C2839" t="s">
        <v>4005</v>
      </c>
      <c r="D2839" t="s">
        <v>15</v>
      </c>
      <c r="F2839">
        <v>240</v>
      </c>
      <c r="G2839">
        <v>5</v>
      </c>
      <c r="H2839" s="89">
        <v>46214</v>
      </c>
      <c r="I2839" s="89">
        <v>46219</v>
      </c>
      <c r="J2839" t="s">
        <v>4006</v>
      </c>
      <c r="N2839" t="s">
        <v>3903</v>
      </c>
    </row>
    <row r="2840" spans="1:14" hidden="1" x14ac:dyDescent="0.25">
      <c r="A2840" t="s">
        <v>1315</v>
      </c>
      <c r="B2840" t="s">
        <v>1329</v>
      </c>
      <c r="C2840" t="s">
        <v>4005</v>
      </c>
      <c r="D2840" t="s">
        <v>15</v>
      </c>
      <c r="F2840">
        <v>21</v>
      </c>
      <c r="G2840" t="s">
        <v>1419</v>
      </c>
      <c r="H2840" s="89">
        <v>46214</v>
      </c>
      <c r="I2840" s="89">
        <v>46216</v>
      </c>
      <c r="J2840" t="s">
        <v>3549</v>
      </c>
      <c r="N2840" t="s">
        <v>3903</v>
      </c>
    </row>
    <row r="2841" spans="1:14" hidden="1" x14ac:dyDescent="0.25">
      <c r="A2841" t="s">
        <v>1316</v>
      </c>
      <c r="B2841" t="s">
        <v>1330</v>
      </c>
      <c r="C2841" t="s">
        <v>4007</v>
      </c>
      <c r="D2841" t="s">
        <v>15</v>
      </c>
      <c r="F2841">
        <v>37</v>
      </c>
      <c r="G2841" t="s">
        <v>1419</v>
      </c>
      <c r="H2841" s="89">
        <v>46214</v>
      </c>
      <c r="I2841" s="89">
        <v>46216</v>
      </c>
      <c r="J2841" t="s">
        <v>3549</v>
      </c>
      <c r="N2841" t="s">
        <v>3903</v>
      </c>
    </row>
    <row r="2842" spans="1:14" hidden="1" x14ac:dyDescent="0.25">
      <c r="A2842" t="s">
        <v>1317</v>
      </c>
      <c r="B2842" t="s">
        <v>1331</v>
      </c>
      <c r="C2842" t="s">
        <v>4008</v>
      </c>
      <c r="D2842" t="s">
        <v>15</v>
      </c>
      <c r="F2842">
        <v>33</v>
      </c>
      <c r="G2842" t="s">
        <v>1419</v>
      </c>
      <c r="H2842" s="89">
        <v>46214</v>
      </c>
      <c r="I2842" s="89">
        <v>46216</v>
      </c>
      <c r="J2842" t="s">
        <v>3549</v>
      </c>
      <c r="N2842" t="s">
        <v>3903</v>
      </c>
    </row>
    <row r="2843" spans="1:14" hidden="1" x14ac:dyDescent="0.25">
      <c r="A2843" t="s">
        <v>1318</v>
      </c>
      <c r="B2843" t="s">
        <v>1332</v>
      </c>
      <c r="C2843" t="s">
        <v>4009</v>
      </c>
      <c r="D2843" t="s">
        <v>15</v>
      </c>
      <c r="F2843">
        <v>13</v>
      </c>
      <c r="G2843" t="s">
        <v>1419</v>
      </c>
      <c r="H2843" s="89">
        <v>46214</v>
      </c>
      <c r="I2843" s="89">
        <v>46216</v>
      </c>
      <c r="J2843" t="s">
        <v>3549</v>
      </c>
      <c r="N2843" t="s">
        <v>3903</v>
      </c>
    </row>
    <row r="2844" spans="1:14" hidden="1" x14ac:dyDescent="0.25">
      <c r="A2844" t="s">
        <v>1320</v>
      </c>
      <c r="B2844" t="s">
        <v>1334</v>
      </c>
      <c r="C2844" t="s">
        <v>3990</v>
      </c>
      <c r="D2844" t="s">
        <v>20</v>
      </c>
      <c r="F2844">
        <v>960</v>
      </c>
      <c r="G2844">
        <v>20</v>
      </c>
      <c r="H2844" s="89">
        <v>46213</v>
      </c>
      <c r="I2844" s="89">
        <v>46217</v>
      </c>
      <c r="J2844" t="s">
        <v>4010</v>
      </c>
      <c r="N2844" t="s">
        <v>3903</v>
      </c>
    </row>
    <row r="2845" spans="1:14" hidden="1" x14ac:dyDescent="0.25">
      <c r="A2845" t="s">
        <v>1317</v>
      </c>
      <c r="B2845" t="s">
        <v>1331</v>
      </c>
      <c r="C2845" t="s">
        <v>4011</v>
      </c>
      <c r="D2845" t="s">
        <v>28</v>
      </c>
      <c r="F2845">
        <v>19</v>
      </c>
      <c r="G2845" t="s">
        <v>1419</v>
      </c>
      <c r="H2845" s="89">
        <v>46213</v>
      </c>
      <c r="I2845" s="89">
        <v>46215</v>
      </c>
      <c r="J2845" t="s">
        <v>3549</v>
      </c>
      <c r="N2845" t="s">
        <v>3903</v>
      </c>
    </row>
    <row r="2846" spans="1:14" hidden="1" x14ac:dyDescent="0.25">
      <c r="A2846" t="s">
        <v>1313</v>
      </c>
      <c r="B2846" t="s">
        <v>1327</v>
      </c>
      <c r="C2846" t="s">
        <v>4012</v>
      </c>
      <c r="D2846" t="s">
        <v>15</v>
      </c>
      <c r="F2846">
        <v>240</v>
      </c>
      <c r="G2846">
        <v>5</v>
      </c>
      <c r="H2846" s="89">
        <v>46216</v>
      </c>
      <c r="I2846" s="89">
        <v>46220</v>
      </c>
      <c r="J2846" t="s">
        <v>4013</v>
      </c>
      <c r="N2846" t="s">
        <v>4014</v>
      </c>
    </row>
    <row r="2847" spans="1:14" hidden="1" x14ac:dyDescent="0.25">
      <c r="A2847" t="s">
        <v>1314</v>
      </c>
      <c r="B2847" t="s">
        <v>1328</v>
      </c>
      <c r="C2847" t="s">
        <v>4012</v>
      </c>
      <c r="D2847" t="s">
        <v>15</v>
      </c>
      <c r="F2847">
        <v>48</v>
      </c>
      <c r="G2847">
        <v>1</v>
      </c>
      <c r="H2847" s="89">
        <v>46216</v>
      </c>
      <c r="I2847" s="89">
        <v>46220</v>
      </c>
      <c r="J2847" t="s">
        <v>4013</v>
      </c>
      <c r="N2847" t="s">
        <v>4014</v>
      </c>
    </row>
    <row r="2848" spans="1:14" hidden="1" x14ac:dyDescent="0.25">
      <c r="A2848" t="s">
        <v>1313</v>
      </c>
      <c r="B2848" t="s">
        <v>1327</v>
      </c>
      <c r="C2848" t="s">
        <v>4015</v>
      </c>
      <c r="D2848" t="s">
        <v>21</v>
      </c>
      <c r="F2848">
        <v>864</v>
      </c>
      <c r="G2848">
        <v>18</v>
      </c>
      <c r="H2848" s="89">
        <v>46216</v>
      </c>
      <c r="I2848" s="89">
        <v>46220</v>
      </c>
      <c r="J2848" t="s">
        <v>4013</v>
      </c>
      <c r="N2848" t="s">
        <v>4014</v>
      </c>
    </row>
    <row r="2849" spans="1:14" hidden="1" x14ac:dyDescent="0.25">
      <c r="A2849" t="s">
        <v>1313</v>
      </c>
      <c r="B2849" t="s">
        <v>1327</v>
      </c>
      <c r="C2849" t="s">
        <v>4012</v>
      </c>
      <c r="D2849" t="s">
        <v>15</v>
      </c>
      <c r="F2849">
        <v>912</v>
      </c>
      <c r="G2849">
        <v>19</v>
      </c>
      <c r="H2849" s="89">
        <v>46216</v>
      </c>
      <c r="I2849" s="89">
        <v>46219</v>
      </c>
      <c r="J2849" t="s">
        <v>4016</v>
      </c>
      <c r="N2849" t="s">
        <v>4014</v>
      </c>
    </row>
    <row r="2850" spans="1:14" hidden="1" x14ac:dyDescent="0.25">
      <c r="A2850" t="s">
        <v>1320</v>
      </c>
      <c r="B2850" t="s">
        <v>1334</v>
      </c>
      <c r="C2850" t="s">
        <v>4015</v>
      </c>
      <c r="D2850" t="s">
        <v>21</v>
      </c>
      <c r="F2850">
        <v>480</v>
      </c>
      <c r="G2850">
        <v>10</v>
      </c>
      <c r="H2850" s="89">
        <v>46216</v>
      </c>
      <c r="I2850" s="89">
        <v>46220</v>
      </c>
      <c r="J2850" t="s">
        <v>4017</v>
      </c>
      <c r="N2850" t="s">
        <v>4014</v>
      </c>
    </row>
    <row r="2851" spans="1:14" hidden="1" x14ac:dyDescent="0.25">
      <c r="A2851" t="s">
        <v>1320</v>
      </c>
      <c r="B2851" t="s">
        <v>1334</v>
      </c>
      <c r="C2851" t="s">
        <v>4018</v>
      </c>
      <c r="D2851" t="s">
        <v>147</v>
      </c>
      <c r="F2851">
        <v>960</v>
      </c>
      <c r="G2851">
        <v>20</v>
      </c>
      <c r="H2851" s="89">
        <v>46216</v>
      </c>
      <c r="I2851" s="89">
        <v>46220</v>
      </c>
      <c r="J2851" t="s">
        <v>4019</v>
      </c>
      <c r="N2851" t="s">
        <v>4014</v>
      </c>
    </row>
    <row r="2852" spans="1:14" hidden="1" x14ac:dyDescent="0.25">
      <c r="A2852" t="s">
        <v>1320</v>
      </c>
      <c r="B2852" t="s">
        <v>1334</v>
      </c>
      <c r="C2852" t="s">
        <v>4020</v>
      </c>
      <c r="D2852" t="s">
        <v>13</v>
      </c>
      <c r="F2852">
        <v>480</v>
      </c>
      <c r="G2852">
        <v>10</v>
      </c>
      <c r="H2852" s="89">
        <v>46216</v>
      </c>
      <c r="I2852" s="89">
        <v>46220</v>
      </c>
      <c r="J2852" t="s">
        <v>4017</v>
      </c>
      <c r="N2852" t="s">
        <v>4014</v>
      </c>
    </row>
    <row r="2853" spans="1:14" hidden="1" x14ac:dyDescent="0.25">
      <c r="A2853" t="s">
        <v>1315</v>
      </c>
      <c r="B2853" t="s">
        <v>1329</v>
      </c>
      <c r="C2853" t="s">
        <v>4012</v>
      </c>
      <c r="D2853" t="s">
        <v>15</v>
      </c>
      <c r="F2853">
        <v>10</v>
      </c>
      <c r="G2853" t="s">
        <v>1419</v>
      </c>
      <c r="H2853" s="89">
        <v>46216</v>
      </c>
      <c r="I2853" s="89">
        <v>46218</v>
      </c>
      <c r="J2853" t="s">
        <v>3549</v>
      </c>
      <c r="N2853" t="s">
        <v>4014</v>
      </c>
    </row>
    <row r="2854" spans="1:14" hidden="1" x14ac:dyDescent="0.25">
      <c r="A2854" t="s">
        <v>1316</v>
      </c>
      <c r="B2854" t="s">
        <v>1330</v>
      </c>
      <c r="C2854" t="s">
        <v>4021</v>
      </c>
      <c r="D2854" t="s">
        <v>15</v>
      </c>
      <c r="F2854">
        <v>48</v>
      </c>
      <c r="G2854" t="s">
        <v>1419</v>
      </c>
      <c r="H2854" s="89">
        <v>46216</v>
      </c>
      <c r="I2854" s="89">
        <v>46218</v>
      </c>
      <c r="J2854" t="s">
        <v>3549</v>
      </c>
      <c r="N2854" t="s">
        <v>4014</v>
      </c>
    </row>
    <row r="2855" spans="1:14" hidden="1" x14ac:dyDescent="0.25">
      <c r="A2855" t="s">
        <v>1317</v>
      </c>
      <c r="B2855" t="s">
        <v>1331</v>
      </c>
      <c r="C2855" t="s">
        <v>4022</v>
      </c>
      <c r="D2855" t="s">
        <v>15</v>
      </c>
      <c r="F2855">
        <v>42</v>
      </c>
      <c r="G2855" t="s">
        <v>1419</v>
      </c>
      <c r="H2855" s="89">
        <v>46216</v>
      </c>
      <c r="I2855" s="89">
        <v>46218</v>
      </c>
      <c r="J2855" t="s">
        <v>3549</v>
      </c>
      <c r="N2855" t="s">
        <v>4014</v>
      </c>
    </row>
    <row r="2856" spans="1:14" hidden="1" x14ac:dyDescent="0.25">
      <c r="A2856" t="s">
        <v>1318</v>
      </c>
      <c r="B2856" t="s">
        <v>1332</v>
      </c>
      <c r="C2856" t="s">
        <v>4023</v>
      </c>
      <c r="D2856" t="s">
        <v>15</v>
      </c>
      <c r="F2856">
        <v>14</v>
      </c>
      <c r="G2856" t="s">
        <v>1419</v>
      </c>
      <c r="H2856" s="89">
        <v>46216</v>
      </c>
      <c r="I2856" s="89">
        <v>46218</v>
      </c>
      <c r="J2856" t="s">
        <v>3549</v>
      </c>
      <c r="N2856" t="s">
        <v>4014</v>
      </c>
    </row>
    <row r="2857" spans="1:14" hidden="1" x14ac:dyDescent="0.25">
      <c r="A2857" t="s">
        <v>1315</v>
      </c>
      <c r="B2857" t="s">
        <v>1329</v>
      </c>
      <c r="C2857" t="s">
        <v>4015</v>
      </c>
      <c r="D2857" t="s">
        <v>21</v>
      </c>
      <c r="F2857">
        <v>71</v>
      </c>
      <c r="G2857" t="s">
        <v>1419</v>
      </c>
      <c r="H2857" s="89">
        <v>46216</v>
      </c>
      <c r="I2857" s="89">
        <v>46218</v>
      </c>
      <c r="J2857" t="s">
        <v>3549</v>
      </c>
      <c r="N2857" t="s">
        <v>4014</v>
      </c>
    </row>
    <row r="2858" spans="1:14" hidden="1" x14ac:dyDescent="0.25">
      <c r="A2858" t="s">
        <v>1316</v>
      </c>
      <c r="B2858" t="s">
        <v>1330</v>
      </c>
      <c r="C2858" t="s">
        <v>4024</v>
      </c>
      <c r="D2858" t="s">
        <v>21</v>
      </c>
      <c r="F2858">
        <v>56</v>
      </c>
      <c r="G2858" t="s">
        <v>1419</v>
      </c>
      <c r="H2858" s="89">
        <v>46216</v>
      </c>
      <c r="I2858" s="89">
        <v>46218</v>
      </c>
      <c r="J2858" t="s">
        <v>3549</v>
      </c>
      <c r="N2858" t="s">
        <v>4014</v>
      </c>
    </row>
    <row r="2859" spans="1:14" hidden="1" x14ac:dyDescent="0.25">
      <c r="A2859" t="s">
        <v>1317</v>
      </c>
      <c r="B2859" t="s">
        <v>1331</v>
      </c>
      <c r="C2859" t="s">
        <v>4025</v>
      </c>
      <c r="D2859" t="s">
        <v>21</v>
      </c>
      <c r="F2859">
        <v>16</v>
      </c>
      <c r="G2859" t="s">
        <v>1419</v>
      </c>
      <c r="H2859" s="89">
        <v>46216</v>
      </c>
      <c r="I2859" s="89">
        <v>46218</v>
      </c>
      <c r="J2859" t="s">
        <v>3549</v>
      </c>
      <c r="N2859" t="s">
        <v>4014</v>
      </c>
    </row>
    <row r="2860" spans="1:14" hidden="1" x14ac:dyDescent="0.25">
      <c r="A2860" t="s">
        <v>1318</v>
      </c>
      <c r="B2860" t="s">
        <v>1332</v>
      </c>
      <c r="C2860" t="s">
        <v>4026</v>
      </c>
      <c r="D2860" t="s">
        <v>21</v>
      </c>
      <c r="F2860">
        <v>56</v>
      </c>
      <c r="G2860" t="s">
        <v>1419</v>
      </c>
      <c r="H2860" s="89">
        <v>46216</v>
      </c>
      <c r="I2860" s="89">
        <v>46218</v>
      </c>
      <c r="J2860" t="s">
        <v>3549</v>
      </c>
      <c r="N2860" t="s">
        <v>4014</v>
      </c>
    </row>
    <row r="2861" spans="1:14" hidden="1" x14ac:dyDescent="0.25">
      <c r="A2861" t="s">
        <v>1314</v>
      </c>
      <c r="B2861" t="s">
        <v>1328</v>
      </c>
      <c r="C2861" t="s">
        <v>4027</v>
      </c>
      <c r="D2861" t="s">
        <v>15</v>
      </c>
      <c r="F2861">
        <v>144</v>
      </c>
      <c r="G2861">
        <v>3</v>
      </c>
      <c r="H2861" s="89">
        <v>46217</v>
      </c>
      <c r="I2861" s="89">
        <v>46222</v>
      </c>
      <c r="J2861" t="s">
        <v>4028</v>
      </c>
      <c r="N2861" t="s">
        <v>4014</v>
      </c>
    </row>
    <row r="2862" spans="1:14" hidden="1" x14ac:dyDescent="0.25">
      <c r="A2862" t="s">
        <v>1324</v>
      </c>
      <c r="B2862" t="s">
        <v>1338</v>
      </c>
      <c r="C2862" t="s">
        <v>4029</v>
      </c>
      <c r="D2862" t="s">
        <v>28</v>
      </c>
      <c r="F2862">
        <v>960</v>
      </c>
      <c r="G2862">
        <v>20</v>
      </c>
      <c r="H2862" s="89">
        <v>46217</v>
      </c>
      <c r="I2862" s="89">
        <v>46223</v>
      </c>
      <c r="J2862" t="s">
        <v>4030</v>
      </c>
      <c r="N2862" t="s">
        <v>4014</v>
      </c>
    </row>
    <row r="2863" spans="1:14" hidden="1" x14ac:dyDescent="0.25">
      <c r="A2863" t="s">
        <v>1324</v>
      </c>
      <c r="B2863" t="s">
        <v>1338</v>
      </c>
      <c r="C2863" t="s">
        <v>4031</v>
      </c>
      <c r="D2863" t="s">
        <v>23</v>
      </c>
      <c r="F2863">
        <v>960</v>
      </c>
      <c r="G2863">
        <v>20</v>
      </c>
      <c r="H2863" s="89">
        <v>46217</v>
      </c>
      <c r="I2863" s="89">
        <v>46223</v>
      </c>
      <c r="J2863" t="s">
        <v>4030</v>
      </c>
      <c r="N2863" t="s">
        <v>4014</v>
      </c>
    </row>
    <row r="2864" spans="1:14" hidden="1" x14ac:dyDescent="0.25">
      <c r="A2864" t="s">
        <v>1322</v>
      </c>
      <c r="B2864" t="s">
        <v>1336</v>
      </c>
      <c r="C2864" t="s">
        <v>4032</v>
      </c>
      <c r="D2864" t="s">
        <v>20</v>
      </c>
      <c r="F2864">
        <v>324</v>
      </c>
      <c r="G2864">
        <v>6</v>
      </c>
      <c r="H2864" s="89">
        <v>46217</v>
      </c>
      <c r="I2864" s="89">
        <v>46221</v>
      </c>
      <c r="J2864" t="s">
        <v>4033</v>
      </c>
      <c r="N2864" t="s">
        <v>4014</v>
      </c>
    </row>
    <row r="2865" spans="1:14" hidden="1" x14ac:dyDescent="0.25">
      <c r="A2865" t="s">
        <v>1323</v>
      </c>
      <c r="B2865" t="s">
        <v>1337</v>
      </c>
      <c r="C2865" t="s">
        <v>4032</v>
      </c>
      <c r="D2865" t="s">
        <v>20</v>
      </c>
      <c r="F2865">
        <v>756</v>
      </c>
      <c r="G2865">
        <v>14</v>
      </c>
      <c r="H2865" s="89">
        <v>46217</v>
      </c>
      <c r="I2865" s="89">
        <v>46221</v>
      </c>
      <c r="J2865" t="s">
        <v>4033</v>
      </c>
      <c r="N2865" t="s">
        <v>4014</v>
      </c>
    </row>
    <row r="2866" spans="1:14" hidden="1" x14ac:dyDescent="0.25">
      <c r="A2866" t="s">
        <v>1320</v>
      </c>
      <c r="B2866" t="s">
        <v>1334</v>
      </c>
      <c r="C2866" t="s">
        <v>4027</v>
      </c>
      <c r="D2866" t="s">
        <v>15</v>
      </c>
      <c r="F2866">
        <v>480</v>
      </c>
      <c r="G2866">
        <v>10</v>
      </c>
      <c r="H2866" s="89">
        <v>46217</v>
      </c>
      <c r="I2866" s="89">
        <v>46221</v>
      </c>
      <c r="J2866" t="s">
        <v>4034</v>
      </c>
      <c r="N2866" t="s">
        <v>4014</v>
      </c>
    </row>
    <row r="2867" spans="1:14" hidden="1" x14ac:dyDescent="0.25">
      <c r="A2867" t="s">
        <v>1320</v>
      </c>
      <c r="B2867" t="s">
        <v>1334</v>
      </c>
      <c r="C2867" t="s">
        <v>4035</v>
      </c>
      <c r="D2867" t="s">
        <v>13</v>
      </c>
      <c r="F2867">
        <v>480</v>
      </c>
      <c r="G2867">
        <v>10</v>
      </c>
      <c r="H2867" s="89">
        <v>46217</v>
      </c>
      <c r="I2867" s="89">
        <v>46221</v>
      </c>
      <c r="J2867" t="s">
        <v>4036</v>
      </c>
      <c r="N2867" t="s">
        <v>4014</v>
      </c>
    </row>
    <row r="2868" spans="1:14" hidden="1" x14ac:dyDescent="0.25">
      <c r="A2868" t="s">
        <v>1315</v>
      </c>
      <c r="B2868" t="s">
        <v>1329</v>
      </c>
      <c r="C2868" t="s">
        <v>4032</v>
      </c>
      <c r="D2868" t="s">
        <v>20</v>
      </c>
      <c r="F2868">
        <v>100</v>
      </c>
      <c r="G2868" t="s">
        <v>1419</v>
      </c>
      <c r="H2868" s="89">
        <v>46217</v>
      </c>
      <c r="I2868" s="89">
        <v>46219</v>
      </c>
      <c r="J2868" t="s">
        <v>3549</v>
      </c>
      <c r="N2868" t="s">
        <v>4014</v>
      </c>
    </row>
    <row r="2869" spans="1:14" hidden="1" x14ac:dyDescent="0.25">
      <c r="A2869" t="s">
        <v>1316</v>
      </c>
      <c r="B2869" t="s">
        <v>1330</v>
      </c>
      <c r="C2869" t="s">
        <v>4037</v>
      </c>
      <c r="D2869" t="s">
        <v>20</v>
      </c>
      <c r="F2869">
        <v>133</v>
      </c>
      <c r="G2869" t="s">
        <v>1419</v>
      </c>
      <c r="H2869" s="89">
        <v>46217</v>
      </c>
      <c r="I2869" s="89">
        <v>46219</v>
      </c>
      <c r="J2869" t="s">
        <v>3549</v>
      </c>
      <c r="N2869" t="s">
        <v>4014</v>
      </c>
    </row>
    <row r="2870" spans="1:14" hidden="1" x14ac:dyDescent="0.25">
      <c r="A2870" t="s">
        <v>1317</v>
      </c>
      <c r="B2870" t="s">
        <v>1331</v>
      </c>
      <c r="C2870" t="s">
        <v>4038</v>
      </c>
      <c r="D2870" t="s">
        <v>20</v>
      </c>
      <c r="F2870">
        <v>16</v>
      </c>
      <c r="G2870" t="s">
        <v>1419</v>
      </c>
      <c r="H2870" s="89">
        <v>46217</v>
      </c>
      <c r="I2870" s="89">
        <v>46219</v>
      </c>
      <c r="J2870" t="s">
        <v>3549</v>
      </c>
      <c r="N2870" t="s">
        <v>4014</v>
      </c>
    </row>
    <row r="2871" spans="1:14" hidden="1" x14ac:dyDescent="0.25">
      <c r="A2871" t="s">
        <v>1318</v>
      </c>
      <c r="B2871" t="s">
        <v>1332</v>
      </c>
      <c r="C2871" t="s">
        <v>4039</v>
      </c>
      <c r="D2871" t="s">
        <v>20</v>
      </c>
      <c r="F2871">
        <v>47</v>
      </c>
      <c r="G2871" t="s">
        <v>1419</v>
      </c>
      <c r="H2871" s="89">
        <v>46217</v>
      </c>
      <c r="I2871" s="89">
        <v>46219</v>
      </c>
      <c r="J2871" t="s">
        <v>3549</v>
      </c>
      <c r="N2871" t="s">
        <v>4014</v>
      </c>
    </row>
    <row r="2872" spans="1:14" hidden="1" x14ac:dyDescent="0.25">
      <c r="A2872" t="s">
        <v>1315</v>
      </c>
      <c r="B2872" t="s">
        <v>1329</v>
      </c>
      <c r="C2872" t="s">
        <v>4029</v>
      </c>
      <c r="D2872" t="s">
        <v>28</v>
      </c>
      <c r="F2872">
        <v>132</v>
      </c>
      <c r="G2872" t="s">
        <v>1419</v>
      </c>
      <c r="H2872" s="89">
        <v>46217</v>
      </c>
      <c r="I2872" s="89">
        <v>46219</v>
      </c>
      <c r="J2872" t="s">
        <v>3549</v>
      </c>
      <c r="N2872" t="s">
        <v>4014</v>
      </c>
    </row>
    <row r="2873" spans="1:14" hidden="1" x14ac:dyDescent="0.25">
      <c r="A2873" t="s">
        <v>1316</v>
      </c>
      <c r="B2873" t="s">
        <v>1330</v>
      </c>
      <c r="C2873" t="s">
        <v>4040</v>
      </c>
      <c r="D2873" t="s">
        <v>28</v>
      </c>
      <c r="F2873">
        <v>13</v>
      </c>
      <c r="G2873" t="s">
        <v>1419</v>
      </c>
      <c r="H2873" s="89">
        <v>46217</v>
      </c>
      <c r="I2873" s="89">
        <v>46219</v>
      </c>
      <c r="J2873" t="s">
        <v>3549</v>
      </c>
      <c r="N2873" t="s">
        <v>4014</v>
      </c>
    </row>
    <row r="2874" spans="1:14" hidden="1" x14ac:dyDescent="0.25">
      <c r="A2874" t="s">
        <v>1317</v>
      </c>
      <c r="B2874" t="s">
        <v>1331</v>
      </c>
      <c r="C2874" t="s">
        <v>4041</v>
      </c>
      <c r="D2874" t="s">
        <v>28</v>
      </c>
      <c r="F2874">
        <v>21</v>
      </c>
      <c r="G2874" t="s">
        <v>1419</v>
      </c>
      <c r="H2874" s="89">
        <v>46217</v>
      </c>
      <c r="I2874" s="89">
        <v>46219</v>
      </c>
      <c r="J2874" t="s">
        <v>3549</v>
      </c>
      <c r="N2874" t="s">
        <v>4014</v>
      </c>
    </row>
    <row r="2875" spans="1:14" hidden="1" x14ac:dyDescent="0.25">
      <c r="A2875" t="s">
        <v>1318</v>
      </c>
      <c r="B2875" t="s">
        <v>1332</v>
      </c>
      <c r="C2875" t="s">
        <v>4042</v>
      </c>
      <c r="D2875" t="s">
        <v>28</v>
      </c>
      <c r="F2875">
        <v>55</v>
      </c>
      <c r="G2875" t="s">
        <v>1419</v>
      </c>
      <c r="H2875" s="89">
        <v>46217</v>
      </c>
      <c r="I2875" s="89">
        <v>46219</v>
      </c>
      <c r="J2875" t="s">
        <v>3549</v>
      </c>
      <c r="N2875" t="s">
        <v>4014</v>
      </c>
    </row>
    <row r="2876" spans="1:14" hidden="1" x14ac:dyDescent="0.25">
      <c r="A2876" t="s">
        <v>1315</v>
      </c>
      <c r="B2876" t="s">
        <v>1329</v>
      </c>
      <c r="C2876" t="s">
        <v>4027</v>
      </c>
      <c r="D2876" t="s">
        <v>15</v>
      </c>
      <c r="F2876">
        <v>2</v>
      </c>
      <c r="G2876" t="s">
        <v>1419</v>
      </c>
      <c r="H2876" s="89">
        <v>46217</v>
      </c>
      <c r="I2876" s="89">
        <v>46219</v>
      </c>
      <c r="J2876" t="s">
        <v>3549</v>
      </c>
      <c r="N2876" t="s">
        <v>4014</v>
      </c>
    </row>
    <row r="2877" spans="1:14" hidden="1" x14ac:dyDescent="0.25">
      <c r="A2877" t="s">
        <v>1316</v>
      </c>
      <c r="B2877" t="s">
        <v>1330</v>
      </c>
      <c r="C2877" t="s">
        <v>4043</v>
      </c>
      <c r="D2877" t="s">
        <v>15</v>
      </c>
      <c r="F2877">
        <v>78</v>
      </c>
      <c r="G2877" t="s">
        <v>1419</v>
      </c>
      <c r="H2877" s="89">
        <v>46217</v>
      </c>
      <c r="I2877" s="89">
        <v>46219</v>
      </c>
      <c r="J2877" t="s">
        <v>3549</v>
      </c>
      <c r="N2877" t="s">
        <v>4014</v>
      </c>
    </row>
    <row r="2878" spans="1:14" hidden="1" x14ac:dyDescent="0.25">
      <c r="A2878" t="s">
        <v>1317</v>
      </c>
      <c r="B2878" t="s">
        <v>1331</v>
      </c>
      <c r="C2878" t="s">
        <v>4044</v>
      </c>
      <c r="D2878" t="s">
        <v>15</v>
      </c>
      <c r="F2878">
        <v>75</v>
      </c>
      <c r="G2878" t="s">
        <v>1419</v>
      </c>
      <c r="H2878" s="89">
        <v>46217</v>
      </c>
      <c r="I2878" s="89">
        <v>46219</v>
      </c>
      <c r="J2878" t="s">
        <v>3549</v>
      </c>
      <c r="N2878" t="s">
        <v>4014</v>
      </c>
    </row>
    <row r="2879" spans="1:14" hidden="1" x14ac:dyDescent="0.25">
      <c r="A2879" t="s">
        <v>1318</v>
      </c>
      <c r="B2879" t="s">
        <v>1332</v>
      </c>
      <c r="C2879" t="s">
        <v>4045</v>
      </c>
      <c r="D2879" t="s">
        <v>15</v>
      </c>
      <c r="F2879">
        <v>33</v>
      </c>
      <c r="G2879" t="s">
        <v>1419</v>
      </c>
      <c r="H2879" s="89">
        <v>46217</v>
      </c>
      <c r="I2879" s="89">
        <v>46219</v>
      </c>
      <c r="J2879" t="s">
        <v>3549</v>
      </c>
      <c r="N2879" t="s">
        <v>4014</v>
      </c>
    </row>
    <row r="2880" spans="1:14" hidden="1" x14ac:dyDescent="0.25">
      <c r="A2880" t="s">
        <v>1325</v>
      </c>
      <c r="B2880" t="s">
        <v>1339</v>
      </c>
      <c r="C2880" t="s">
        <v>4046</v>
      </c>
      <c r="D2880" t="s">
        <v>159</v>
      </c>
      <c r="F2880">
        <v>384</v>
      </c>
      <c r="G2880">
        <v>8</v>
      </c>
      <c r="H2880" s="89">
        <v>46217</v>
      </c>
      <c r="I2880" s="89">
        <v>46219</v>
      </c>
      <c r="J2880" t="s">
        <v>3549</v>
      </c>
      <c r="N2880" t="s">
        <v>4014</v>
      </c>
    </row>
    <row r="2881" spans="1:14" hidden="1" x14ac:dyDescent="0.25">
      <c r="A2881" t="s">
        <v>1313</v>
      </c>
      <c r="B2881" t="s">
        <v>1327</v>
      </c>
      <c r="C2881" t="s">
        <v>4047</v>
      </c>
      <c r="D2881" t="s">
        <v>21</v>
      </c>
      <c r="F2881">
        <v>1056</v>
      </c>
      <c r="G2881">
        <v>22</v>
      </c>
      <c r="H2881" s="89">
        <v>46218</v>
      </c>
      <c r="I2881" s="89">
        <v>46223</v>
      </c>
      <c r="J2881" t="s">
        <v>4048</v>
      </c>
      <c r="N2881" t="s">
        <v>4014</v>
      </c>
    </row>
    <row r="2882" spans="1:14" hidden="1" x14ac:dyDescent="0.25">
      <c r="A2882" t="s">
        <v>1314</v>
      </c>
      <c r="B2882" t="s">
        <v>1328</v>
      </c>
      <c r="C2882" t="s">
        <v>4047</v>
      </c>
      <c r="D2882" t="s">
        <v>21</v>
      </c>
      <c r="F2882">
        <v>96</v>
      </c>
      <c r="G2882">
        <v>2</v>
      </c>
      <c r="H2882" s="89">
        <v>46218</v>
      </c>
      <c r="I2882" s="89">
        <v>46223</v>
      </c>
      <c r="J2882" t="s">
        <v>4048</v>
      </c>
      <c r="N2882" t="s">
        <v>4014</v>
      </c>
    </row>
    <row r="2883" spans="1:14" hidden="1" x14ac:dyDescent="0.25">
      <c r="A2883" t="s">
        <v>1314</v>
      </c>
      <c r="B2883" t="s">
        <v>1328</v>
      </c>
      <c r="C2883" t="s">
        <v>4049</v>
      </c>
      <c r="D2883" t="s">
        <v>15</v>
      </c>
      <c r="F2883">
        <v>48</v>
      </c>
      <c r="G2883">
        <v>1</v>
      </c>
      <c r="H2883" s="89">
        <v>46218</v>
      </c>
      <c r="I2883" s="89">
        <v>46222</v>
      </c>
      <c r="J2883" t="s">
        <v>4028</v>
      </c>
      <c r="N2883" t="s">
        <v>4014</v>
      </c>
    </row>
    <row r="2884" spans="1:14" hidden="1" x14ac:dyDescent="0.25">
      <c r="A2884" t="s">
        <v>1313</v>
      </c>
      <c r="B2884" t="s">
        <v>1327</v>
      </c>
      <c r="C2884" t="s">
        <v>4049</v>
      </c>
      <c r="D2884" t="s">
        <v>15</v>
      </c>
      <c r="F2884">
        <v>912</v>
      </c>
      <c r="G2884">
        <v>19</v>
      </c>
      <c r="H2884" s="89">
        <v>46218</v>
      </c>
      <c r="I2884" s="89">
        <v>46222</v>
      </c>
      <c r="J2884" t="s">
        <v>4050</v>
      </c>
      <c r="N2884" t="s">
        <v>4014</v>
      </c>
    </row>
    <row r="2885" spans="1:14" hidden="1" x14ac:dyDescent="0.25">
      <c r="A2885" t="s">
        <v>1313</v>
      </c>
      <c r="B2885" t="s">
        <v>1327</v>
      </c>
      <c r="C2885" t="s">
        <v>4049</v>
      </c>
      <c r="D2885" t="s">
        <v>15</v>
      </c>
      <c r="F2885">
        <v>48</v>
      </c>
      <c r="G2885">
        <v>1</v>
      </c>
      <c r="H2885" s="89">
        <v>46218</v>
      </c>
      <c r="I2885" s="89">
        <v>46224</v>
      </c>
      <c r="J2885" t="s">
        <v>4051</v>
      </c>
      <c r="N2885" t="s">
        <v>4014</v>
      </c>
    </row>
    <row r="2886" spans="1:14" hidden="1" x14ac:dyDescent="0.25">
      <c r="A2886" t="s">
        <v>1320</v>
      </c>
      <c r="B2886" t="s">
        <v>1334</v>
      </c>
      <c r="C2886" t="s">
        <v>4052</v>
      </c>
      <c r="D2886" t="s">
        <v>20</v>
      </c>
      <c r="F2886">
        <v>480</v>
      </c>
      <c r="G2886">
        <v>10.375</v>
      </c>
      <c r="H2886" s="89">
        <v>46218</v>
      </c>
      <c r="I2886" s="89">
        <v>46223</v>
      </c>
      <c r="J2886" t="s">
        <v>4053</v>
      </c>
      <c r="N2886" t="s">
        <v>4014</v>
      </c>
    </row>
    <row r="2887" spans="1:14" hidden="1" x14ac:dyDescent="0.25">
      <c r="A2887" t="s">
        <v>1320</v>
      </c>
      <c r="B2887" t="s">
        <v>1334</v>
      </c>
      <c r="C2887" t="s">
        <v>4052</v>
      </c>
      <c r="D2887" t="s">
        <v>20</v>
      </c>
      <c r="F2887">
        <v>480</v>
      </c>
      <c r="G2887">
        <v>10</v>
      </c>
      <c r="H2887" s="89">
        <v>46218</v>
      </c>
      <c r="I2887" s="89">
        <v>46221</v>
      </c>
      <c r="J2887" t="s">
        <v>4036</v>
      </c>
      <c r="N2887" t="s">
        <v>4014</v>
      </c>
    </row>
    <row r="2888" spans="1:14" hidden="1" x14ac:dyDescent="0.25">
      <c r="A2888" t="s">
        <v>1320</v>
      </c>
      <c r="B2888" t="s">
        <v>1334</v>
      </c>
      <c r="C2888" t="s">
        <v>4049</v>
      </c>
      <c r="D2888" t="s">
        <v>15</v>
      </c>
      <c r="F2888">
        <v>18</v>
      </c>
      <c r="G2888">
        <v>0.375</v>
      </c>
      <c r="H2888" s="89">
        <v>46218</v>
      </c>
      <c r="I2888" s="89">
        <v>46221</v>
      </c>
      <c r="J2888" t="s">
        <v>4034</v>
      </c>
      <c r="N2888" t="s">
        <v>4014</v>
      </c>
    </row>
    <row r="2889" spans="1:14" hidden="1" x14ac:dyDescent="0.25">
      <c r="A2889" t="s">
        <v>1320</v>
      </c>
      <c r="B2889" t="s">
        <v>1334</v>
      </c>
      <c r="C2889" t="s">
        <v>4054</v>
      </c>
      <c r="D2889" t="s">
        <v>23</v>
      </c>
      <c r="F2889">
        <v>960</v>
      </c>
      <c r="G2889">
        <v>20</v>
      </c>
      <c r="H2889" s="89">
        <v>46218</v>
      </c>
      <c r="I2889" s="89">
        <v>46223</v>
      </c>
      <c r="J2889" t="s">
        <v>4055</v>
      </c>
      <c r="N2889" t="s">
        <v>4014</v>
      </c>
    </row>
    <row r="2890" spans="1:14" hidden="1" x14ac:dyDescent="0.25">
      <c r="A2890" t="s">
        <v>1315</v>
      </c>
      <c r="B2890" t="s">
        <v>1329</v>
      </c>
      <c r="C2890" t="s">
        <v>4047</v>
      </c>
      <c r="D2890" t="s">
        <v>21</v>
      </c>
      <c r="F2890">
        <v>43</v>
      </c>
      <c r="G2890" t="s">
        <v>1419</v>
      </c>
      <c r="H2890" s="89">
        <v>46218</v>
      </c>
      <c r="I2890" s="89">
        <v>46220</v>
      </c>
      <c r="J2890" t="s">
        <v>3549</v>
      </c>
      <c r="N2890" t="s">
        <v>4014</v>
      </c>
    </row>
    <row r="2891" spans="1:14" hidden="1" x14ac:dyDescent="0.25">
      <c r="A2891" t="s">
        <v>1316</v>
      </c>
      <c r="B2891" t="s">
        <v>1330</v>
      </c>
      <c r="C2891" t="s">
        <v>4056</v>
      </c>
      <c r="D2891" t="s">
        <v>21</v>
      </c>
      <c r="F2891">
        <v>13</v>
      </c>
      <c r="G2891" t="s">
        <v>1419</v>
      </c>
      <c r="H2891" s="89">
        <v>46218</v>
      </c>
      <c r="I2891" s="89">
        <v>46220</v>
      </c>
      <c r="J2891" t="s">
        <v>3549</v>
      </c>
      <c r="N2891" t="s">
        <v>4014</v>
      </c>
    </row>
    <row r="2892" spans="1:14" hidden="1" x14ac:dyDescent="0.25">
      <c r="A2892" t="s">
        <v>1317</v>
      </c>
      <c r="B2892" t="s">
        <v>1331</v>
      </c>
      <c r="C2892" t="s">
        <v>4057</v>
      </c>
      <c r="D2892" t="s">
        <v>21</v>
      </c>
      <c r="F2892">
        <v>14</v>
      </c>
      <c r="G2892" t="s">
        <v>1419</v>
      </c>
      <c r="H2892" s="89">
        <v>46218</v>
      </c>
      <c r="I2892" s="89">
        <v>46220</v>
      </c>
      <c r="J2892" t="s">
        <v>3549</v>
      </c>
      <c r="N2892" t="s">
        <v>4014</v>
      </c>
    </row>
    <row r="2893" spans="1:14" hidden="1" x14ac:dyDescent="0.25">
      <c r="A2893" t="s">
        <v>1318</v>
      </c>
      <c r="B2893" t="s">
        <v>1332</v>
      </c>
      <c r="C2893" t="s">
        <v>4058</v>
      </c>
      <c r="D2893" t="s">
        <v>21</v>
      </c>
      <c r="F2893">
        <v>53</v>
      </c>
      <c r="G2893" t="s">
        <v>1419</v>
      </c>
      <c r="H2893" s="89">
        <v>46218</v>
      </c>
      <c r="I2893" s="89">
        <v>46220</v>
      </c>
      <c r="J2893" t="s">
        <v>3549</v>
      </c>
      <c r="N2893" t="s">
        <v>4014</v>
      </c>
    </row>
    <row r="2894" spans="1:14" hidden="1" x14ac:dyDescent="0.25">
      <c r="A2894" t="s">
        <v>1316</v>
      </c>
      <c r="B2894" t="s">
        <v>1330</v>
      </c>
      <c r="C2894" t="s">
        <v>4059</v>
      </c>
      <c r="D2894" t="s">
        <v>20</v>
      </c>
      <c r="F2894">
        <v>118</v>
      </c>
      <c r="G2894" t="s">
        <v>1419</v>
      </c>
      <c r="H2894" s="89">
        <v>46218</v>
      </c>
      <c r="I2894" s="89">
        <v>46220</v>
      </c>
      <c r="J2894" t="s">
        <v>3549</v>
      </c>
      <c r="N2894" t="s">
        <v>4014</v>
      </c>
    </row>
    <row r="2895" spans="1:14" hidden="1" x14ac:dyDescent="0.25">
      <c r="A2895" t="s">
        <v>1317</v>
      </c>
      <c r="B2895" t="s">
        <v>1331</v>
      </c>
      <c r="C2895" t="s">
        <v>4060</v>
      </c>
      <c r="D2895" t="s">
        <v>20</v>
      </c>
      <c r="F2895">
        <v>15</v>
      </c>
      <c r="G2895" t="s">
        <v>1419</v>
      </c>
      <c r="H2895" s="89">
        <v>46218</v>
      </c>
      <c r="I2895" s="89">
        <v>46220</v>
      </c>
      <c r="J2895" t="s">
        <v>3549</v>
      </c>
      <c r="N2895" t="s">
        <v>4014</v>
      </c>
    </row>
    <row r="2896" spans="1:14" hidden="1" x14ac:dyDescent="0.25">
      <c r="A2896" t="s">
        <v>1318</v>
      </c>
      <c r="B2896" t="s">
        <v>1332</v>
      </c>
      <c r="C2896" t="s">
        <v>4061</v>
      </c>
      <c r="D2896" t="s">
        <v>20</v>
      </c>
      <c r="F2896">
        <v>41</v>
      </c>
      <c r="G2896" t="s">
        <v>1419</v>
      </c>
      <c r="H2896" s="89">
        <v>46218</v>
      </c>
      <c r="I2896" s="89">
        <v>46220</v>
      </c>
      <c r="J2896" t="s">
        <v>3549</v>
      </c>
      <c r="N2896" t="s">
        <v>4014</v>
      </c>
    </row>
    <row r="2897" spans="1:14" hidden="1" x14ac:dyDescent="0.25">
      <c r="A2897" t="s">
        <v>1315</v>
      </c>
      <c r="B2897" t="s">
        <v>1329</v>
      </c>
      <c r="C2897" t="s">
        <v>4052</v>
      </c>
      <c r="D2897" t="s">
        <v>20</v>
      </c>
      <c r="F2897">
        <v>216</v>
      </c>
      <c r="G2897" t="s">
        <v>1419</v>
      </c>
      <c r="H2897" s="89">
        <v>46218</v>
      </c>
      <c r="I2897" s="89">
        <v>46220</v>
      </c>
      <c r="J2897" t="s">
        <v>3549</v>
      </c>
      <c r="N2897" t="s">
        <v>4014</v>
      </c>
    </row>
    <row r="2898" spans="1:14" hidden="1" x14ac:dyDescent="0.25">
      <c r="A2898" t="s">
        <v>1316</v>
      </c>
      <c r="B2898" t="s">
        <v>1330</v>
      </c>
      <c r="C2898" t="s">
        <v>4062</v>
      </c>
      <c r="D2898" t="s">
        <v>15</v>
      </c>
      <c r="F2898">
        <v>41</v>
      </c>
      <c r="G2898" t="s">
        <v>1419</v>
      </c>
      <c r="H2898" s="89">
        <v>46218</v>
      </c>
      <c r="I2898" s="89">
        <v>46220</v>
      </c>
      <c r="J2898" t="s">
        <v>3549</v>
      </c>
      <c r="N2898" t="s">
        <v>4014</v>
      </c>
    </row>
    <row r="2899" spans="1:14" hidden="1" x14ac:dyDescent="0.25">
      <c r="A2899" t="s">
        <v>1317</v>
      </c>
      <c r="B2899" t="s">
        <v>1331</v>
      </c>
      <c r="C2899" t="s">
        <v>4063</v>
      </c>
      <c r="D2899" t="s">
        <v>15</v>
      </c>
      <c r="F2899">
        <v>48</v>
      </c>
      <c r="G2899" t="s">
        <v>1419</v>
      </c>
      <c r="H2899" s="89">
        <v>46218</v>
      </c>
      <c r="I2899" s="89">
        <v>46220</v>
      </c>
      <c r="J2899" t="s">
        <v>3549</v>
      </c>
      <c r="N2899" t="s">
        <v>4014</v>
      </c>
    </row>
    <row r="2900" spans="1:14" hidden="1" x14ac:dyDescent="0.25">
      <c r="A2900" t="s">
        <v>1318</v>
      </c>
      <c r="B2900" t="s">
        <v>1332</v>
      </c>
      <c r="C2900" t="s">
        <v>4064</v>
      </c>
      <c r="D2900" t="s">
        <v>15</v>
      </c>
      <c r="F2900">
        <v>14</v>
      </c>
      <c r="G2900" t="s">
        <v>1419</v>
      </c>
      <c r="H2900" s="89">
        <v>46218</v>
      </c>
      <c r="I2900" s="89">
        <v>46220</v>
      </c>
      <c r="J2900" t="s">
        <v>3549</v>
      </c>
      <c r="N2900" t="s">
        <v>4014</v>
      </c>
    </row>
    <row r="2901" spans="1:14" hidden="1" x14ac:dyDescent="0.25">
      <c r="A2901" t="s">
        <v>1313</v>
      </c>
      <c r="B2901" t="s">
        <v>1327</v>
      </c>
      <c r="C2901" t="s">
        <v>4065</v>
      </c>
      <c r="D2901" t="s">
        <v>15</v>
      </c>
      <c r="F2901">
        <v>864</v>
      </c>
      <c r="G2901">
        <v>18</v>
      </c>
      <c r="H2901" s="89">
        <v>46219</v>
      </c>
      <c r="I2901" s="89">
        <v>46224</v>
      </c>
      <c r="J2901" t="s">
        <v>4051</v>
      </c>
      <c r="N2901" t="s">
        <v>4014</v>
      </c>
    </row>
    <row r="2902" spans="1:14" hidden="1" x14ac:dyDescent="0.25">
      <c r="A2902" t="s">
        <v>1313</v>
      </c>
      <c r="B2902" t="s">
        <v>1327</v>
      </c>
      <c r="C2902" t="s">
        <v>4065</v>
      </c>
      <c r="D2902" t="s">
        <v>15</v>
      </c>
      <c r="F2902">
        <v>96</v>
      </c>
      <c r="G2902">
        <v>2</v>
      </c>
      <c r="H2902" s="89">
        <v>46219</v>
      </c>
      <c r="I2902" s="89">
        <v>46225</v>
      </c>
      <c r="J2902" t="s">
        <v>4066</v>
      </c>
      <c r="N2902" t="s">
        <v>4014</v>
      </c>
    </row>
    <row r="2903" spans="1:14" hidden="1" x14ac:dyDescent="0.25">
      <c r="A2903" t="s">
        <v>1324</v>
      </c>
      <c r="B2903" t="s">
        <v>1338</v>
      </c>
      <c r="C2903" t="s">
        <v>4067</v>
      </c>
      <c r="D2903" t="s">
        <v>28</v>
      </c>
      <c r="F2903">
        <v>864</v>
      </c>
      <c r="G2903">
        <v>18</v>
      </c>
      <c r="H2903" s="89">
        <v>46219</v>
      </c>
      <c r="I2903" s="89">
        <v>46226</v>
      </c>
      <c r="J2903" t="s">
        <v>4068</v>
      </c>
      <c r="N2903" t="s">
        <v>4014</v>
      </c>
    </row>
    <row r="2904" spans="1:14" hidden="1" x14ac:dyDescent="0.25">
      <c r="A2904" t="s">
        <v>1313</v>
      </c>
      <c r="B2904" t="s">
        <v>1327</v>
      </c>
      <c r="C2904" t="s">
        <v>4067</v>
      </c>
      <c r="D2904" t="s">
        <v>28</v>
      </c>
      <c r="F2904">
        <v>192</v>
      </c>
      <c r="G2904">
        <v>4</v>
      </c>
      <c r="H2904" s="89">
        <v>46219</v>
      </c>
      <c r="I2904" s="89">
        <v>46225</v>
      </c>
      <c r="J2904" t="s">
        <v>4066</v>
      </c>
      <c r="N2904" t="s">
        <v>4014</v>
      </c>
    </row>
    <row r="2905" spans="1:14" hidden="1" x14ac:dyDescent="0.25">
      <c r="A2905" t="s">
        <v>1315</v>
      </c>
      <c r="B2905" t="s">
        <v>1329</v>
      </c>
      <c r="C2905" t="s">
        <v>4067</v>
      </c>
      <c r="D2905" t="s">
        <v>28</v>
      </c>
      <c r="F2905">
        <v>28</v>
      </c>
      <c r="G2905" t="s">
        <v>1419</v>
      </c>
      <c r="H2905" s="89">
        <v>46219</v>
      </c>
      <c r="I2905" s="89">
        <v>46221</v>
      </c>
      <c r="J2905" t="s">
        <v>3549</v>
      </c>
      <c r="N2905" t="s">
        <v>4014</v>
      </c>
    </row>
    <row r="2906" spans="1:14" hidden="1" x14ac:dyDescent="0.25">
      <c r="A2906" t="s">
        <v>1324</v>
      </c>
      <c r="B2906" t="s">
        <v>1338</v>
      </c>
      <c r="C2906" t="s">
        <v>4069</v>
      </c>
      <c r="D2906" t="s">
        <v>23</v>
      </c>
      <c r="F2906">
        <v>960</v>
      </c>
      <c r="G2906">
        <v>20</v>
      </c>
      <c r="H2906" s="89">
        <v>46219</v>
      </c>
      <c r="I2906" s="89">
        <v>46226</v>
      </c>
      <c r="J2906" t="s">
        <v>4068</v>
      </c>
      <c r="N2906" t="s">
        <v>4014</v>
      </c>
    </row>
    <row r="2907" spans="1:14" hidden="1" x14ac:dyDescent="0.25">
      <c r="A2907" t="s">
        <v>1320</v>
      </c>
      <c r="B2907" t="s">
        <v>1334</v>
      </c>
      <c r="C2907" t="s">
        <v>4070</v>
      </c>
      <c r="D2907" t="s">
        <v>20</v>
      </c>
      <c r="F2907">
        <v>480</v>
      </c>
      <c r="G2907">
        <v>10</v>
      </c>
      <c r="H2907" s="89">
        <v>46219</v>
      </c>
      <c r="I2907" s="89">
        <v>46224</v>
      </c>
      <c r="J2907" t="s">
        <v>4071</v>
      </c>
      <c r="N2907" t="s">
        <v>4014</v>
      </c>
    </row>
    <row r="2908" spans="1:14" hidden="1" x14ac:dyDescent="0.25">
      <c r="A2908" t="s">
        <v>1315</v>
      </c>
      <c r="B2908" t="s">
        <v>1329</v>
      </c>
      <c r="C2908" t="s">
        <v>4070</v>
      </c>
      <c r="D2908" t="s">
        <v>20</v>
      </c>
      <c r="F2908">
        <v>238</v>
      </c>
      <c r="G2908" t="s">
        <v>1419</v>
      </c>
      <c r="H2908" s="89">
        <v>46219</v>
      </c>
      <c r="I2908" s="89">
        <v>46221</v>
      </c>
      <c r="J2908" t="s">
        <v>3549</v>
      </c>
      <c r="N2908" t="s">
        <v>4014</v>
      </c>
    </row>
    <row r="2909" spans="1:14" hidden="1" x14ac:dyDescent="0.25">
      <c r="A2909" t="s">
        <v>1320</v>
      </c>
      <c r="B2909" t="s">
        <v>1334</v>
      </c>
      <c r="C2909" t="s">
        <v>4072</v>
      </c>
      <c r="D2909" t="s">
        <v>30</v>
      </c>
      <c r="F2909">
        <v>480</v>
      </c>
      <c r="G2909">
        <v>10</v>
      </c>
      <c r="H2909" s="89">
        <v>46219</v>
      </c>
      <c r="I2909" s="89">
        <v>46223</v>
      </c>
      <c r="J2909" t="s">
        <v>4053</v>
      </c>
      <c r="N2909" t="s">
        <v>4014</v>
      </c>
    </row>
    <row r="2910" spans="1:14" hidden="1" x14ac:dyDescent="0.25">
      <c r="A2910" t="s">
        <v>1320</v>
      </c>
      <c r="B2910" t="s">
        <v>1334</v>
      </c>
      <c r="C2910" t="s">
        <v>4072</v>
      </c>
      <c r="D2910" t="s">
        <v>30</v>
      </c>
      <c r="F2910">
        <v>48</v>
      </c>
      <c r="G2910">
        <v>1</v>
      </c>
      <c r="H2910" s="89">
        <v>46219</v>
      </c>
      <c r="I2910" s="89">
        <v>46225</v>
      </c>
      <c r="J2910" t="s">
        <v>4073</v>
      </c>
      <c r="N2910" t="s">
        <v>4014</v>
      </c>
    </row>
    <row r="2911" spans="1:14" hidden="1" x14ac:dyDescent="0.25">
      <c r="A2911" t="s">
        <v>1320</v>
      </c>
      <c r="B2911" t="s">
        <v>1334</v>
      </c>
      <c r="C2911" t="s">
        <v>4074</v>
      </c>
      <c r="D2911" t="s">
        <v>119</v>
      </c>
      <c r="F2911">
        <v>960</v>
      </c>
      <c r="G2911">
        <v>20</v>
      </c>
      <c r="H2911" s="89">
        <v>46219</v>
      </c>
      <c r="I2911" s="89">
        <v>46224</v>
      </c>
      <c r="J2911" t="s">
        <v>4075</v>
      </c>
      <c r="N2911" t="s">
        <v>4014</v>
      </c>
    </row>
    <row r="2912" spans="1:14" hidden="1" x14ac:dyDescent="0.25">
      <c r="A2912" t="s">
        <v>1315</v>
      </c>
      <c r="B2912" t="s">
        <v>1329</v>
      </c>
      <c r="C2912" t="s">
        <v>4065</v>
      </c>
      <c r="D2912" t="s">
        <v>15</v>
      </c>
      <c r="F2912">
        <v>3</v>
      </c>
      <c r="G2912" t="s">
        <v>1419</v>
      </c>
      <c r="H2912" s="89">
        <v>46219</v>
      </c>
      <c r="I2912" s="89">
        <v>46221</v>
      </c>
      <c r="J2912" t="s">
        <v>3549</v>
      </c>
      <c r="N2912" t="s">
        <v>4014</v>
      </c>
    </row>
    <row r="2913" spans="1:14" hidden="1" x14ac:dyDescent="0.25">
      <c r="A2913" t="s">
        <v>1316</v>
      </c>
      <c r="B2913" t="s">
        <v>1330</v>
      </c>
      <c r="C2913" t="s">
        <v>4076</v>
      </c>
      <c r="D2913" t="s">
        <v>20</v>
      </c>
      <c r="F2913">
        <v>115</v>
      </c>
      <c r="G2913" t="s">
        <v>1419</v>
      </c>
      <c r="H2913" s="89">
        <v>46219</v>
      </c>
      <c r="I2913" s="89">
        <v>46221</v>
      </c>
      <c r="J2913" t="s">
        <v>3549</v>
      </c>
      <c r="N2913" t="s">
        <v>4014</v>
      </c>
    </row>
    <row r="2914" spans="1:14" hidden="1" x14ac:dyDescent="0.25">
      <c r="A2914" t="s">
        <v>1317</v>
      </c>
      <c r="B2914" t="s">
        <v>1331</v>
      </c>
      <c r="C2914" t="s">
        <v>4077</v>
      </c>
      <c r="D2914" t="s">
        <v>20</v>
      </c>
      <c r="F2914">
        <v>14</v>
      </c>
      <c r="G2914" t="s">
        <v>1419</v>
      </c>
      <c r="H2914" s="89">
        <v>46219</v>
      </c>
      <c r="I2914" s="89">
        <v>46221</v>
      </c>
      <c r="J2914" t="s">
        <v>3549</v>
      </c>
      <c r="N2914" t="s">
        <v>4014</v>
      </c>
    </row>
    <row r="2915" spans="1:14" hidden="1" x14ac:dyDescent="0.25">
      <c r="A2915" t="s">
        <v>1318</v>
      </c>
      <c r="B2915" t="s">
        <v>1332</v>
      </c>
      <c r="C2915" t="s">
        <v>4078</v>
      </c>
      <c r="D2915" t="s">
        <v>20</v>
      </c>
      <c r="F2915">
        <v>50</v>
      </c>
      <c r="G2915" t="s">
        <v>1419</v>
      </c>
      <c r="H2915" s="89">
        <v>46219</v>
      </c>
      <c r="I2915" s="89">
        <v>46221</v>
      </c>
      <c r="J2915" t="s">
        <v>3549</v>
      </c>
      <c r="N2915" t="s">
        <v>4014</v>
      </c>
    </row>
    <row r="2916" spans="1:14" hidden="1" x14ac:dyDescent="0.25">
      <c r="A2916" t="s">
        <v>1316</v>
      </c>
      <c r="B2916" t="s">
        <v>1330</v>
      </c>
      <c r="C2916" t="s">
        <v>4079</v>
      </c>
      <c r="D2916" t="s">
        <v>15</v>
      </c>
      <c r="F2916">
        <v>26</v>
      </c>
      <c r="G2916" t="s">
        <v>1419</v>
      </c>
      <c r="H2916" s="89">
        <v>46219</v>
      </c>
      <c r="I2916" s="89">
        <v>46221</v>
      </c>
      <c r="J2916" t="s">
        <v>3549</v>
      </c>
      <c r="N2916" t="s">
        <v>4014</v>
      </c>
    </row>
    <row r="2917" spans="1:14" hidden="1" x14ac:dyDescent="0.25">
      <c r="A2917" t="s">
        <v>1317</v>
      </c>
      <c r="B2917" t="s">
        <v>1331</v>
      </c>
      <c r="C2917" t="s">
        <v>4080</v>
      </c>
      <c r="D2917" t="s">
        <v>15</v>
      </c>
      <c r="F2917">
        <v>33</v>
      </c>
      <c r="G2917" t="s">
        <v>1419</v>
      </c>
      <c r="H2917" s="89">
        <v>46219</v>
      </c>
      <c r="I2917" s="89">
        <v>46221</v>
      </c>
      <c r="J2917" t="s">
        <v>3549</v>
      </c>
      <c r="N2917" t="s">
        <v>4014</v>
      </c>
    </row>
    <row r="2918" spans="1:14" hidden="1" x14ac:dyDescent="0.25">
      <c r="A2918" t="s">
        <v>1318</v>
      </c>
      <c r="B2918" t="s">
        <v>1332</v>
      </c>
      <c r="C2918" t="s">
        <v>4081</v>
      </c>
      <c r="D2918" t="s">
        <v>15</v>
      </c>
      <c r="F2918">
        <v>13</v>
      </c>
      <c r="G2918" t="s">
        <v>1419</v>
      </c>
      <c r="H2918" s="89">
        <v>46219</v>
      </c>
      <c r="I2918" s="89">
        <v>46221</v>
      </c>
      <c r="J2918" t="s">
        <v>3549</v>
      </c>
      <c r="N2918" t="s">
        <v>4014</v>
      </c>
    </row>
    <row r="2919" spans="1:14" hidden="1" x14ac:dyDescent="0.25">
      <c r="A2919" t="s">
        <v>1316</v>
      </c>
      <c r="B2919" t="s">
        <v>1330</v>
      </c>
      <c r="C2919" t="s">
        <v>4082</v>
      </c>
      <c r="D2919" t="s">
        <v>28</v>
      </c>
      <c r="F2919">
        <v>30</v>
      </c>
      <c r="G2919" t="s">
        <v>1419</v>
      </c>
      <c r="H2919" s="89">
        <v>46219</v>
      </c>
      <c r="I2919" s="89">
        <v>46220</v>
      </c>
      <c r="J2919" t="s">
        <v>3549</v>
      </c>
      <c r="N2919" t="s">
        <v>4014</v>
      </c>
    </row>
    <row r="2920" spans="1:14" hidden="1" x14ac:dyDescent="0.25">
      <c r="A2920" t="s">
        <v>1317</v>
      </c>
      <c r="B2920" t="s">
        <v>1331</v>
      </c>
      <c r="C2920" t="s">
        <v>4083</v>
      </c>
      <c r="D2920" t="s">
        <v>28</v>
      </c>
      <c r="F2920">
        <v>8</v>
      </c>
      <c r="G2920" t="s">
        <v>1419</v>
      </c>
      <c r="H2920" s="89">
        <v>46219</v>
      </c>
      <c r="I2920" s="89">
        <v>46220</v>
      </c>
      <c r="J2920" t="s">
        <v>3549</v>
      </c>
      <c r="N2920" t="s">
        <v>4014</v>
      </c>
    </row>
    <row r="2921" spans="1:14" hidden="1" x14ac:dyDescent="0.25">
      <c r="A2921" t="s">
        <v>1318</v>
      </c>
      <c r="B2921" t="s">
        <v>1332</v>
      </c>
      <c r="C2921" t="s">
        <v>4084</v>
      </c>
      <c r="D2921" t="s">
        <v>28</v>
      </c>
      <c r="F2921">
        <v>37</v>
      </c>
      <c r="G2921" t="s">
        <v>1419</v>
      </c>
      <c r="H2921" s="89">
        <v>46219</v>
      </c>
      <c r="I2921" s="89">
        <v>46220</v>
      </c>
      <c r="J2921" t="s">
        <v>3549</v>
      </c>
      <c r="N2921" t="s">
        <v>4014</v>
      </c>
    </row>
    <row r="2922" spans="1:14" hidden="1" x14ac:dyDescent="0.25">
      <c r="A2922" t="s">
        <v>1313</v>
      </c>
      <c r="B2922" t="s">
        <v>1327</v>
      </c>
      <c r="C2922" t="s">
        <v>4085</v>
      </c>
      <c r="D2922" t="s">
        <v>20</v>
      </c>
      <c r="F2922">
        <v>1104</v>
      </c>
      <c r="G2922">
        <v>23</v>
      </c>
      <c r="H2922" s="89">
        <v>46220</v>
      </c>
      <c r="I2922" s="89">
        <v>46225</v>
      </c>
      <c r="J2922" t="s">
        <v>4086</v>
      </c>
      <c r="N2922" t="s">
        <v>4014</v>
      </c>
    </row>
    <row r="2923" spans="1:14" hidden="1" x14ac:dyDescent="0.25">
      <c r="A2923" t="s">
        <v>1314</v>
      </c>
      <c r="B2923" t="s">
        <v>1328</v>
      </c>
      <c r="C2923" t="s">
        <v>4087</v>
      </c>
      <c r="D2923" t="s">
        <v>15</v>
      </c>
      <c r="F2923">
        <v>240</v>
      </c>
      <c r="G2923">
        <v>5</v>
      </c>
      <c r="H2923" s="89">
        <v>46220</v>
      </c>
      <c r="I2923" s="89">
        <v>46224</v>
      </c>
      <c r="J2923" t="s">
        <v>4088</v>
      </c>
      <c r="N2923" t="s">
        <v>4014</v>
      </c>
    </row>
    <row r="2924" spans="1:14" hidden="1" x14ac:dyDescent="0.25">
      <c r="A2924" t="s">
        <v>1313</v>
      </c>
      <c r="B2924" t="s">
        <v>1327</v>
      </c>
      <c r="C2924" t="s">
        <v>4087</v>
      </c>
      <c r="D2924" t="s">
        <v>15</v>
      </c>
      <c r="F2924">
        <v>48</v>
      </c>
      <c r="G2924">
        <v>1</v>
      </c>
      <c r="H2924" s="89">
        <v>46220</v>
      </c>
      <c r="I2924" s="89">
        <v>46225</v>
      </c>
      <c r="J2924" t="s">
        <v>4066</v>
      </c>
      <c r="N2924" t="s">
        <v>4014</v>
      </c>
    </row>
    <row r="2925" spans="1:14" hidden="1" x14ac:dyDescent="0.25">
      <c r="A2925" t="s">
        <v>1313</v>
      </c>
      <c r="B2925" t="s">
        <v>1327</v>
      </c>
      <c r="C2925" t="s">
        <v>4087</v>
      </c>
      <c r="D2925" t="s">
        <v>15</v>
      </c>
      <c r="F2925">
        <v>192</v>
      </c>
      <c r="G2925">
        <v>4</v>
      </c>
      <c r="H2925" s="89">
        <v>46220</v>
      </c>
      <c r="I2925" s="89">
        <v>46225</v>
      </c>
      <c r="J2925" t="s">
        <v>4089</v>
      </c>
      <c r="N2925" t="s">
        <v>4014</v>
      </c>
    </row>
    <row r="2926" spans="1:14" hidden="1" x14ac:dyDescent="0.25">
      <c r="A2926" t="s">
        <v>1324</v>
      </c>
      <c r="B2926" t="s">
        <v>1338</v>
      </c>
      <c r="C2926" t="s">
        <v>4087</v>
      </c>
      <c r="D2926" t="s">
        <v>15</v>
      </c>
      <c r="F2926">
        <v>546</v>
      </c>
      <c r="G2926">
        <v>13</v>
      </c>
      <c r="H2926" s="89">
        <v>46220</v>
      </c>
      <c r="I2926" s="89">
        <v>46224</v>
      </c>
      <c r="J2926" t="s">
        <v>3549</v>
      </c>
      <c r="N2926" t="s">
        <v>4014</v>
      </c>
    </row>
    <row r="2927" spans="1:14" hidden="1" x14ac:dyDescent="0.25">
      <c r="A2927" t="s">
        <v>1324</v>
      </c>
      <c r="B2927" t="s">
        <v>1338</v>
      </c>
      <c r="C2927" t="s">
        <v>4090</v>
      </c>
      <c r="D2927" t="s">
        <v>88</v>
      </c>
      <c r="F2927">
        <v>588</v>
      </c>
      <c r="G2927">
        <v>14</v>
      </c>
      <c r="H2927" s="89">
        <v>46220</v>
      </c>
      <c r="I2927" s="89">
        <v>46224</v>
      </c>
      <c r="J2927" t="s">
        <v>3549</v>
      </c>
      <c r="N2927" t="s">
        <v>4014</v>
      </c>
    </row>
    <row r="2928" spans="1:14" hidden="1" x14ac:dyDescent="0.25">
      <c r="A2928" t="s">
        <v>1321</v>
      </c>
      <c r="B2928" t="s">
        <v>1335</v>
      </c>
      <c r="C2928" t="s">
        <v>4091</v>
      </c>
      <c r="D2928" t="s">
        <v>159</v>
      </c>
      <c r="F2928">
        <v>144</v>
      </c>
      <c r="G2928">
        <v>3</v>
      </c>
      <c r="H2928" s="89">
        <v>46220</v>
      </c>
      <c r="I2928" s="89">
        <v>46228</v>
      </c>
      <c r="J2928" t="s">
        <v>4092</v>
      </c>
      <c r="N2928" t="s">
        <v>4014</v>
      </c>
    </row>
    <row r="2929" spans="1:14" hidden="1" x14ac:dyDescent="0.25">
      <c r="A2929" t="s">
        <v>1321</v>
      </c>
      <c r="B2929" t="s">
        <v>1335</v>
      </c>
      <c r="C2929" t="s">
        <v>4091</v>
      </c>
      <c r="D2929" t="s">
        <v>159</v>
      </c>
      <c r="F2929">
        <v>96</v>
      </c>
      <c r="G2929">
        <v>2</v>
      </c>
      <c r="H2929" s="89">
        <v>46220</v>
      </c>
      <c r="I2929" s="89">
        <v>46226</v>
      </c>
      <c r="J2929" t="s">
        <v>4068</v>
      </c>
      <c r="N2929" t="s">
        <v>4014</v>
      </c>
    </row>
    <row r="2930" spans="1:14" hidden="1" x14ac:dyDescent="0.25">
      <c r="A2930" t="s">
        <v>1324</v>
      </c>
      <c r="B2930" t="s">
        <v>1338</v>
      </c>
      <c r="C2930" t="s">
        <v>4093</v>
      </c>
      <c r="D2930" t="s">
        <v>104</v>
      </c>
      <c r="F2930">
        <v>840</v>
      </c>
      <c r="G2930">
        <v>20</v>
      </c>
      <c r="H2930" s="89">
        <v>46220</v>
      </c>
      <c r="I2930" s="89">
        <v>46225</v>
      </c>
      <c r="J2930" t="s">
        <v>3549</v>
      </c>
      <c r="N2930" t="s">
        <v>4014</v>
      </c>
    </row>
    <row r="2931" spans="1:14" hidden="1" x14ac:dyDescent="0.25">
      <c r="A2931" t="s">
        <v>1320</v>
      </c>
      <c r="B2931" t="s">
        <v>1334</v>
      </c>
      <c r="C2931" t="s">
        <v>4094</v>
      </c>
      <c r="D2931" t="s">
        <v>21</v>
      </c>
      <c r="F2931">
        <v>960</v>
      </c>
      <c r="G2931">
        <v>20</v>
      </c>
      <c r="H2931" s="89">
        <v>46220</v>
      </c>
      <c r="I2931" s="89">
        <v>46226</v>
      </c>
      <c r="J2931" t="s">
        <v>4095</v>
      </c>
      <c r="N2931" t="s">
        <v>4014</v>
      </c>
    </row>
    <row r="2932" spans="1:14" hidden="1" x14ac:dyDescent="0.25">
      <c r="A2932" t="s">
        <v>1320</v>
      </c>
      <c r="B2932" t="s">
        <v>1334</v>
      </c>
      <c r="C2932" t="s">
        <v>4094</v>
      </c>
      <c r="D2932" t="s">
        <v>21</v>
      </c>
      <c r="F2932">
        <v>336</v>
      </c>
      <c r="G2932">
        <v>7</v>
      </c>
      <c r="H2932" s="89">
        <v>46220</v>
      </c>
      <c r="I2932" s="89">
        <v>46225</v>
      </c>
      <c r="J2932" t="s">
        <v>4073</v>
      </c>
      <c r="N2932" t="s">
        <v>4014</v>
      </c>
    </row>
    <row r="2933" spans="1:14" hidden="1" x14ac:dyDescent="0.25">
      <c r="A2933" t="s">
        <v>1320</v>
      </c>
      <c r="B2933" t="s">
        <v>1334</v>
      </c>
      <c r="C2933" t="s">
        <v>4096</v>
      </c>
      <c r="D2933" t="s">
        <v>144</v>
      </c>
      <c r="F2933">
        <v>960</v>
      </c>
      <c r="G2933">
        <v>20</v>
      </c>
      <c r="H2933" s="89">
        <v>46220</v>
      </c>
      <c r="I2933" s="89">
        <v>46225</v>
      </c>
      <c r="J2933" t="s">
        <v>4097</v>
      </c>
      <c r="N2933" t="s">
        <v>4014</v>
      </c>
    </row>
    <row r="2934" spans="1:14" hidden="1" x14ac:dyDescent="0.25">
      <c r="A2934" t="s">
        <v>1320</v>
      </c>
      <c r="B2934" t="s">
        <v>1334</v>
      </c>
      <c r="C2934" t="s">
        <v>4098</v>
      </c>
      <c r="D2934" t="s">
        <v>30</v>
      </c>
      <c r="F2934">
        <v>432</v>
      </c>
      <c r="G2934">
        <v>9</v>
      </c>
      <c r="H2934" s="89">
        <v>46220</v>
      </c>
      <c r="I2934" s="89">
        <v>46225</v>
      </c>
      <c r="J2934" t="s">
        <v>4073</v>
      </c>
      <c r="N2934" t="s">
        <v>4014</v>
      </c>
    </row>
    <row r="2935" spans="1:14" hidden="1" x14ac:dyDescent="0.25">
      <c r="A2935" t="s">
        <v>1326</v>
      </c>
      <c r="B2935" t="s">
        <v>1340</v>
      </c>
      <c r="C2935" t="s">
        <v>4099</v>
      </c>
      <c r="D2935" t="s">
        <v>32</v>
      </c>
      <c r="F2935">
        <v>840</v>
      </c>
      <c r="G2935">
        <v>20</v>
      </c>
      <c r="H2935" s="89">
        <v>46220</v>
      </c>
      <c r="I2935" s="89">
        <v>46224</v>
      </c>
      <c r="J2935" t="s">
        <v>4100</v>
      </c>
      <c r="N2935" t="s">
        <v>4014</v>
      </c>
    </row>
    <row r="2936" spans="1:14" hidden="1" x14ac:dyDescent="0.25">
      <c r="A2936" t="s">
        <v>1315</v>
      </c>
      <c r="B2936" t="s">
        <v>1329</v>
      </c>
      <c r="C2936" t="s">
        <v>4094</v>
      </c>
      <c r="D2936" t="s">
        <v>21</v>
      </c>
      <c r="F2936">
        <v>149</v>
      </c>
      <c r="G2936" t="s">
        <v>1419</v>
      </c>
      <c r="H2936" s="89">
        <v>46220</v>
      </c>
      <c r="I2936" s="89">
        <v>46222</v>
      </c>
      <c r="J2936" t="s">
        <v>3549</v>
      </c>
      <c r="N2936" t="s">
        <v>4014</v>
      </c>
    </row>
    <row r="2937" spans="1:14" hidden="1" x14ac:dyDescent="0.25">
      <c r="A2937" t="s">
        <v>1316</v>
      </c>
      <c r="B2937" t="s">
        <v>1330</v>
      </c>
      <c r="C2937" t="s">
        <v>4101</v>
      </c>
      <c r="D2937" t="s">
        <v>21</v>
      </c>
      <c r="F2937">
        <v>19</v>
      </c>
      <c r="G2937" t="s">
        <v>1419</v>
      </c>
      <c r="H2937" s="89">
        <v>46220</v>
      </c>
      <c r="I2937" s="89">
        <v>46222</v>
      </c>
      <c r="J2937" t="s">
        <v>3549</v>
      </c>
      <c r="N2937" t="s">
        <v>4014</v>
      </c>
    </row>
    <row r="2938" spans="1:14" hidden="1" x14ac:dyDescent="0.25">
      <c r="A2938" t="s">
        <v>1317</v>
      </c>
      <c r="B2938" t="s">
        <v>1331</v>
      </c>
      <c r="C2938" t="s">
        <v>4102</v>
      </c>
      <c r="D2938" t="s">
        <v>21</v>
      </c>
      <c r="F2938">
        <v>33</v>
      </c>
      <c r="G2938" t="s">
        <v>1419</v>
      </c>
      <c r="H2938" s="89">
        <v>46220</v>
      </c>
      <c r="I2938" s="89">
        <v>46222</v>
      </c>
      <c r="J2938" t="s">
        <v>3549</v>
      </c>
      <c r="N2938" t="s">
        <v>4014</v>
      </c>
    </row>
    <row r="2939" spans="1:14" hidden="1" x14ac:dyDescent="0.25">
      <c r="A2939" t="s">
        <v>1318</v>
      </c>
      <c r="B2939" t="s">
        <v>1332</v>
      </c>
      <c r="C2939" t="s">
        <v>4103</v>
      </c>
      <c r="D2939" t="s">
        <v>21</v>
      </c>
      <c r="F2939">
        <v>69</v>
      </c>
      <c r="G2939" t="s">
        <v>1419</v>
      </c>
      <c r="H2939" s="89">
        <v>46220</v>
      </c>
      <c r="I2939" s="89">
        <v>46222</v>
      </c>
      <c r="J2939" t="s">
        <v>3549</v>
      </c>
      <c r="N2939" t="s">
        <v>4014</v>
      </c>
    </row>
    <row r="2940" spans="1:14" hidden="1" x14ac:dyDescent="0.25">
      <c r="A2940" t="s">
        <v>1315</v>
      </c>
      <c r="B2940" t="s">
        <v>1329</v>
      </c>
      <c r="C2940" t="s">
        <v>4087</v>
      </c>
      <c r="D2940" t="s">
        <v>15</v>
      </c>
      <c r="F2940">
        <v>10</v>
      </c>
      <c r="G2940" t="s">
        <v>1419</v>
      </c>
      <c r="H2940" s="89">
        <v>46220</v>
      </c>
      <c r="I2940" s="89">
        <v>46222</v>
      </c>
      <c r="J2940" t="s">
        <v>3549</v>
      </c>
      <c r="N2940" t="s">
        <v>4014</v>
      </c>
    </row>
    <row r="2941" spans="1:14" hidden="1" x14ac:dyDescent="0.25">
      <c r="A2941" t="s">
        <v>1316</v>
      </c>
      <c r="B2941" t="s">
        <v>1330</v>
      </c>
      <c r="C2941" t="s">
        <v>4104</v>
      </c>
      <c r="D2941" t="s">
        <v>15</v>
      </c>
      <c r="F2941">
        <v>34</v>
      </c>
      <c r="G2941" t="s">
        <v>1419</v>
      </c>
      <c r="H2941" s="89">
        <v>46220</v>
      </c>
      <c r="I2941" s="89">
        <v>46220</v>
      </c>
      <c r="J2941" t="s">
        <v>3549</v>
      </c>
      <c r="N2941" t="s">
        <v>4014</v>
      </c>
    </row>
    <row r="2942" spans="1:14" hidden="1" x14ac:dyDescent="0.25">
      <c r="A2942" t="s">
        <v>1317</v>
      </c>
      <c r="B2942" t="s">
        <v>1331</v>
      </c>
      <c r="C2942" t="s">
        <v>4105</v>
      </c>
      <c r="D2942" t="s">
        <v>15</v>
      </c>
      <c r="F2942">
        <v>36</v>
      </c>
      <c r="G2942" t="s">
        <v>1419</v>
      </c>
      <c r="H2942" s="89">
        <v>46220</v>
      </c>
      <c r="I2942" s="89">
        <v>46220</v>
      </c>
      <c r="J2942" t="s">
        <v>3549</v>
      </c>
      <c r="N2942" t="s">
        <v>4014</v>
      </c>
    </row>
    <row r="2943" spans="1:14" hidden="1" x14ac:dyDescent="0.25">
      <c r="A2943" t="s">
        <v>1318</v>
      </c>
      <c r="B2943" t="s">
        <v>1332</v>
      </c>
      <c r="C2943" t="s">
        <v>4106</v>
      </c>
      <c r="D2943" t="s">
        <v>15</v>
      </c>
      <c r="F2943">
        <v>11</v>
      </c>
      <c r="G2943" t="s">
        <v>1419</v>
      </c>
      <c r="H2943" s="89">
        <v>46220</v>
      </c>
      <c r="I2943" s="89">
        <v>46220</v>
      </c>
      <c r="J2943" t="s">
        <v>3549</v>
      </c>
      <c r="N2943" t="s">
        <v>4014</v>
      </c>
    </row>
    <row r="2944" spans="1:14" hidden="1" x14ac:dyDescent="0.25">
      <c r="A2944" t="s">
        <v>1315</v>
      </c>
      <c r="B2944" t="s">
        <v>1329</v>
      </c>
      <c r="C2944" t="s">
        <v>4085</v>
      </c>
      <c r="D2944" t="s">
        <v>20</v>
      </c>
      <c r="F2944">
        <v>77</v>
      </c>
      <c r="G2944" t="s">
        <v>1419</v>
      </c>
      <c r="H2944" s="89">
        <v>46220</v>
      </c>
      <c r="I2944" s="89">
        <v>46222</v>
      </c>
      <c r="J2944" t="s">
        <v>3549</v>
      </c>
      <c r="N2944" t="s">
        <v>4014</v>
      </c>
    </row>
    <row r="2945" spans="1:14" hidden="1" x14ac:dyDescent="0.25">
      <c r="A2945" t="s">
        <v>1325</v>
      </c>
      <c r="B2945" t="s">
        <v>1339</v>
      </c>
      <c r="C2945" t="s">
        <v>4085</v>
      </c>
      <c r="D2945" t="s">
        <v>20</v>
      </c>
      <c r="F2945">
        <v>144</v>
      </c>
      <c r="G2945">
        <v>3</v>
      </c>
      <c r="H2945" s="89">
        <v>46220</v>
      </c>
      <c r="I2945" s="89">
        <v>46223</v>
      </c>
      <c r="J2945" t="s">
        <v>3549</v>
      </c>
      <c r="N2945" t="s">
        <v>4014</v>
      </c>
    </row>
    <row r="2946" spans="1:14" hidden="1" x14ac:dyDescent="0.25">
      <c r="A2946" t="s">
        <v>1316</v>
      </c>
      <c r="B2946" t="s">
        <v>1330</v>
      </c>
      <c r="C2946" t="s">
        <v>4107</v>
      </c>
      <c r="D2946" t="s">
        <v>20</v>
      </c>
      <c r="F2946">
        <v>82</v>
      </c>
      <c r="G2946" t="s">
        <v>1419</v>
      </c>
      <c r="H2946" s="89">
        <v>46220</v>
      </c>
      <c r="I2946" s="89">
        <v>46222</v>
      </c>
      <c r="J2946" t="s">
        <v>3549</v>
      </c>
      <c r="N2946" t="s">
        <v>4014</v>
      </c>
    </row>
    <row r="2947" spans="1:14" hidden="1" x14ac:dyDescent="0.25">
      <c r="A2947" t="s">
        <v>1317</v>
      </c>
      <c r="B2947" t="s">
        <v>1331</v>
      </c>
      <c r="C2947" t="s">
        <v>4108</v>
      </c>
      <c r="D2947" t="s">
        <v>20</v>
      </c>
      <c r="F2947">
        <v>11</v>
      </c>
      <c r="G2947" t="s">
        <v>1419</v>
      </c>
      <c r="H2947" s="89">
        <v>46220</v>
      </c>
      <c r="I2947" s="89">
        <v>46222</v>
      </c>
      <c r="J2947" t="s">
        <v>3549</v>
      </c>
      <c r="N2947" t="s">
        <v>4014</v>
      </c>
    </row>
    <row r="2948" spans="1:14" hidden="1" x14ac:dyDescent="0.25">
      <c r="A2948" t="s">
        <v>1318</v>
      </c>
      <c r="B2948" t="s">
        <v>1332</v>
      </c>
      <c r="C2948" t="s">
        <v>4109</v>
      </c>
      <c r="D2948" t="s">
        <v>20</v>
      </c>
      <c r="F2948">
        <v>41</v>
      </c>
      <c r="G2948" t="s">
        <v>1419</v>
      </c>
      <c r="H2948" s="89">
        <v>46220</v>
      </c>
      <c r="I2948" s="89">
        <v>46222</v>
      </c>
      <c r="J2948" t="s">
        <v>3549</v>
      </c>
      <c r="N2948" t="s">
        <v>4014</v>
      </c>
    </row>
    <row r="2949" spans="1:14" hidden="1" x14ac:dyDescent="0.25">
      <c r="A2949" t="s">
        <v>1325</v>
      </c>
      <c r="B2949" t="s">
        <v>1339</v>
      </c>
      <c r="C2949" t="s">
        <v>4091</v>
      </c>
      <c r="D2949" t="s">
        <v>159</v>
      </c>
      <c r="F2949">
        <v>288</v>
      </c>
      <c r="G2949">
        <v>6</v>
      </c>
      <c r="H2949" s="89">
        <v>46220</v>
      </c>
      <c r="I2949" s="89">
        <v>46223</v>
      </c>
      <c r="J2949" t="s">
        <v>3549</v>
      </c>
      <c r="N2949" t="s">
        <v>4014</v>
      </c>
    </row>
    <row r="2950" spans="1:14" hidden="1" x14ac:dyDescent="0.25">
      <c r="A2950" t="s">
        <v>1313</v>
      </c>
      <c r="B2950" t="s">
        <v>1327</v>
      </c>
      <c r="C2950" t="s">
        <v>4110</v>
      </c>
      <c r="D2950" t="s">
        <v>114</v>
      </c>
      <c r="F2950">
        <v>960</v>
      </c>
      <c r="G2950">
        <v>20</v>
      </c>
      <c r="H2950" s="89">
        <v>46221</v>
      </c>
      <c r="I2950" s="89">
        <v>46225</v>
      </c>
      <c r="J2950" t="s">
        <v>4089</v>
      </c>
      <c r="N2950" t="s">
        <v>4014</v>
      </c>
    </row>
    <row r="2951" spans="1:14" hidden="1" x14ac:dyDescent="0.25">
      <c r="A2951" t="s">
        <v>1324</v>
      </c>
      <c r="B2951" t="s">
        <v>1338</v>
      </c>
      <c r="C2951" t="s">
        <v>4110</v>
      </c>
      <c r="D2951" t="s">
        <v>114</v>
      </c>
      <c r="F2951">
        <v>294</v>
      </c>
      <c r="G2951">
        <v>7</v>
      </c>
      <c r="H2951" s="89">
        <v>46221</v>
      </c>
      <c r="I2951" s="89">
        <v>46225</v>
      </c>
      <c r="J2951" t="s">
        <v>3549</v>
      </c>
      <c r="N2951" t="s">
        <v>4014</v>
      </c>
    </row>
    <row r="2952" spans="1:14" hidden="1" x14ac:dyDescent="0.25">
      <c r="A2952" t="s">
        <v>1313</v>
      </c>
      <c r="B2952" t="s">
        <v>1327</v>
      </c>
      <c r="C2952" t="s">
        <v>4111</v>
      </c>
      <c r="D2952" t="s">
        <v>88</v>
      </c>
      <c r="F2952">
        <v>546</v>
      </c>
      <c r="G2952">
        <v>11.375</v>
      </c>
      <c r="H2952" s="89">
        <v>46221</v>
      </c>
      <c r="I2952" s="89">
        <v>46225</v>
      </c>
      <c r="J2952" t="s">
        <v>4066</v>
      </c>
      <c r="N2952" t="s">
        <v>4014</v>
      </c>
    </row>
    <row r="2953" spans="1:14" hidden="1" x14ac:dyDescent="0.25">
      <c r="A2953" t="s">
        <v>1324</v>
      </c>
      <c r="B2953" t="s">
        <v>1338</v>
      </c>
      <c r="C2953" t="s">
        <v>4112</v>
      </c>
      <c r="D2953" t="s">
        <v>144</v>
      </c>
      <c r="F2953">
        <v>816</v>
      </c>
      <c r="G2953">
        <v>17</v>
      </c>
      <c r="H2953" s="89">
        <v>46221</v>
      </c>
      <c r="I2953" s="89">
        <v>46228</v>
      </c>
      <c r="J2953" t="s">
        <v>4092</v>
      </c>
      <c r="N2953" t="s">
        <v>4014</v>
      </c>
    </row>
    <row r="2954" spans="1:14" hidden="1" x14ac:dyDescent="0.25">
      <c r="A2954" t="s">
        <v>1320</v>
      </c>
      <c r="B2954" t="s">
        <v>1334</v>
      </c>
      <c r="C2954" t="s">
        <v>4112</v>
      </c>
      <c r="D2954" t="s">
        <v>144</v>
      </c>
      <c r="F2954">
        <v>144</v>
      </c>
      <c r="G2954">
        <v>3</v>
      </c>
      <c r="H2954" s="89">
        <v>46221</v>
      </c>
      <c r="I2954" s="89">
        <v>46225</v>
      </c>
      <c r="J2954" t="s">
        <v>4073</v>
      </c>
      <c r="N2954" t="s">
        <v>4014</v>
      </c>
    </row>
    <row r="2955" spans="1:14" hidden="1" x14ac:dyDescent="0.25">
      <c r="A2955" t="s">
        <v>1324</v>
      </c>
      <c r="B2955" t="s">
        <v>1338</v>
      </c>
      <c r="C2955" t="s">
        <v>4113</v>
      </c>
      <c r="D2955" t="s">
        <v>118</v>
      </c>
      <c r="F2955">
        <v>480</v>
      </c>
      <c r="G2955">
        <v>10</v>
      </c>
      <c r="H2955" s="89">
        <v>46221</v>
      </c>
      <c r="I2955" s="89">
        <v>46228</v>
      </c>
      <c r="J2955" t="s">
        <v>4092</v>
      </c>
      <c r="N2955" t="s">
        <v>4014</v>
      </c>
    </row>
    <row r="2956" spans="1:14" hidden="1" x14ac:dyDescent="0.25">
      <c r="A2956" t="s">
        <v>1324</v>
      </c>
      <c r="B2956" t="s">
        <v>1338</v>
      </c>
      <c r="C2956" t="s">
        <v>4114</v>
      </c>
      <c r="D2956" t="s">
        <v>147</v>
      </c>
      <c r="F2956">
        <v>480</v>
      </c>
      <c r="G2956">
        <v>10</v>
      </c>
      <c r="H2956" s="89">
        <v>46221</v>
      </c>
      <c r="I2956" s="89">
        <v>46228</v>
      </c>
      <c r="J2956" t="s">
        <v>4092</v>
      </c>
      <c r="N2956" t="s">
        <v>4014</v>
      </c>
    </row>
    <row r="2957" spans="1:14" hidden="1" x14ac:dyDescent="0.25">
      <c r="A2957" t="s">
        <v>1314</v>
      </c>
      <c r="B2957" t="s">
        <v>1328</v>
      </c>
      <c r="C2957" t="s">
        <v>4115</v>
      </c>
      <c r="D2957" t="s">
        <v>21</v>
      </c>
      <c r="F2957">
        <v>48</v>
      </c>
      <c r="G2957">
        <v>1</v>
      </c>
      <c r="H2957" s="89">
        <v>46221</v>
      </c>
      <c r="I2957" s="89">
        <v>46225</v>
      </c>
      <c r="J2957" t="s">
        <v>4086</v>
      </c>
      <c r="N2957" t="s">
        <v>4014</v>
      </c>
    </row>
    <row r="2958" spans="1:14" hidden="1" x14ac:dyDescent="0.25">
      <c r="A2958" t="s">
        <v>1313</v>
      </c>
      <c r="B2958" t="s">
        <v>1327</v>
      </c>
      <c r="C2958" t="s">
        <v>4115</v>
      </c>
      <c r="D2958" t="s">
        <v>21</v>
      </c>
      <c r="F2958">
        <v>270</v>
      </c>
      <c r="G2958">
        <v>5.625</v>
      </c>
      <c r="H2958" s="89">
        <v>46221</v>
      </c>
      <c r="I2958" s="89">
        <v>46225</v>
      </c>
      <c r="J2958" t="s">
        <v>4066</v>
      </c>
      <c r="N2958" t="s">
        <v>4014</v>
      </c>
    </row>
    <row r="2959" spans="1:14" hidden="1" x14ac:dyDescent="0.25">
      <c r="A2959" t="s">
        <v>1313</v>
      </c>
      <c r="B2959" t="s">
        <v>1327</v>
      </c>
      <c r="C2959" t="s">
        <v>4115</v>
      </c>
      <c r="D2959" t="s">
        <v>21</v>
      </c>
      <c r="F2959">
        <v>419</v>
      </c>
      <c r="G2959">
        <v>8.7291666666666661</v>
      </c>
      <c r="H2959" s="89">
        <v>46221</v>
      </c>
      <c r="I2959" s="89">
        <v>46226</v>
      </c>
      <c r="J2959" t="s">
        <v>4116</v>
      </c>
      <c r="N2959" t="s">
        <v>4014</v>
      </c>
    </row>
    <row r="2960" spans="1:14" hidden="1" x14ac:dyDescent="0.25">
      <c r="A2960" t="s">
        <v>1314</v>
      </c>
      <c r="B2960" t="s">
        <v>1328</v>
      </c>
      <c r="C2960" t="s">
        <v>4115</v>
      </c>
      <c r="D2960" t="s">
        <v>21</v>
      </c>
      <c r="F2960">
        <v>240</v>
      </c>
      <c r="G2960">
        <v>5</v>
      </c>
      <c r="H2960" s="89">
        <v>46221</v>
      </c>
      <c r="I2960" s="89">
        <v>46226</v>
      </c>
      <c r="J2960" t="s">
        <v>4117</v>
      </c>
      <c r="N2960" t="s">
        <v>4014</v>
      </c>
    </row>
    <row r="2961" spans="1:14" hidden="1" x14ac:dyDescent="0.25">
      <c r="A2961" t="s">
        <v>1314</v>
      </c>
      <c r="B2961" t="s">
        <v>1328</v>
      </c>
      <c r="C2961" t="s">
        <v>4115</v>
      </c>
      <c r="D2961" t="s">
        <v>21</v>
      </c>
      <c r="F2961">
        <v>48</v>
      </c>
      <c r="G2961">
        <v>1</v>
      </c>
      <c r="H2961" s="89">
        <v>46221</v>
      </c>
      <c r="I2961" s="89">
        <v>46227</v>
      </c>
      <c r="J2961" t="s">
        <v>4118</v>
      </c>
      <c r="N2961" t="s">
        <v>4014</v>
      </c>
    </row>
    <row r="2962" spans="1:14" hidden="1" x14ac:dyDescent="0.25">
      <c r="A2962" t="s">
        <v>1316</v>
      </c>
      <c r="B2962" t="s">
        <v>1330</v>
      </c>
      <c r="C2962" t="s">
        <v>4119</v>
      </c>
      <c r="D2962" t="s">
        <v>21</v>
      </c>
      <c r="F2962">
        <v>4</v>
      </c>
      <c r="G2962" t="s">
        <v>1419</v>
      </c>
      <c r="H2962" s="89">
        <v>46221</v>
      </c>
      <c r="I2962" s="89">
        <v>46220</v>
      </c>
      <c r="J2962" t="s">
        <v>3549</v>
      </c>
      <c r="N2962" t="s">
        <v>4014</v>
      </c>
    </row>
    <row r="2963" spans="1:14" hidden="1" x14ac:dyDescent="0.25">
      <c r="A2963" t="s">
        <v>1317</v>
      </c>
      <c r="B2963" t="s">
        <v>1331</v>
      </c>
      <c r="C2963" t="s">
        <v>4120</v>
      </c>
      <c r="D2963" t="s">
        <v>21</v>
      </c>
      <c r="F2963">
        <v>8</v>
      </c>
      <c r="G2963" t="s">
        <v>1419</v>
      </c>
      <c r="H2963" s="89">
        <v>46221</v>
      </c>
      <c r="I2963" s="89">
        <v>46220</v>
      </c>
      <c r="J2963" t="s">
        <v>3549</v>
      </c>
      <c r="N2963" t="s">
        <v>4014</v>
      </c>
    </row>
    <row r="2964" spans="1:14" hidden="1" x14ac:dyDescent="0.25">
      <c r="A2964" t="s">
        <v>1318</v>
      </c>
      <c r="B2964" t="s">
        <v>1332</v>
      </c>
      <c r="C2964" t="s">
        <v>4121</v>
      </c>
      <c r="D2964" t="s">
        <v>21</v>
      </c>
      <c r="F2964">
        <v>40</v>
      </c>
      <c r="G2964" t="s">
        <v>1419</v>
      </c>
      <c r="H2964" s="89">
        <v>46221</v>
      </c>
      <c r="I2964" s="89">
        <v>46220</v>
      </c>
      <c r="J2964" t="s">
        <v>3549</v>
      </c>
      <c r="N2964" t="s">
        <v>4014</v>
      </c>
    </row>
    <row r="2965" spans="1:14" hidden="1" x14ac:dyDescent="0.25">
      <c r="A2965" t="s">
        <v>1320</v>
      </c>
      <c r="B2965" t="s">
        <v>1334</v>
      </c>
      <c r="C2965" t="s">
        <v>4122</v>
      </c>
      <c r="D2965" t="s">
        <v>152</v>
      </c>
      <c r="F2965">
        <v>960</v>
      </c>
      <c r="G2965">
        <v>20</v>
      </c>
      <c r="H2965" s="89">
        <v>46223</v>
      </c>
      <c r="I2965" s="89">
        <v>46226</v>
      </c>
      <c r="J2965" t="s">
        <v>4073</v>
      </c>
      <c r="N2965" t="s">
        <v>4123</v>
      </c>
    </row>
    <row r="2966" spans="1:14" hidden="1" x14ac:dyDescent="0.25">
      <c r="A2966" t="s">
        <v>1320</v>
      </c>
      <c r="B2966" t="s">
        <v>1334</v>
      </c>
      <c r="C2966" t="s">
        <v>4124</v>
      </c>
      <c r="D2966" t="s">
        <v>144</v>
      </c>
      <c r="F2966">
        <v>960</v>
      </c>
      <c r="G2966">
        <v>20</v>
      </c>
      <c r="H2966" s="89">
        <v>46223</v>
      </c>
      <c r="I2966" s="89">
        <v>46227</v>
      </c>
      <c r="J2966" t="s">
        <v>4125</v>
      </c>
      <c r="N2966" t="s">
        <v>4123</v>
      </c>
    </row>
    <row r="2967" spans="1:14" hidden="1" x14ac:dyDescent="0.25">
      <c r="A2967" t="s">
        <v>1320</v>
      </c>
      <c r="B2967" t="s">
        <v>1334</v>
      </c>
      <c r="C2967" t="s">
        <v>4126</v>
      </c>
      <c r="D2967" t="s">
        <v>13</v>
      </c>
      <c r="F2967">
        <v>480</v>
      </c>
      <c r="G2967">
        <v>10</v>
      </c>
      <c r="H2967" s="89">
        <v>46223</v>
      </c>
      <c r="I2967" s="89">
        <v>46227</v>
      </c>
      <c r="J2967" t="s">
        <v>4127</v>
      </c>
      <c r="N2967" t="s">
        <v>4123</v>
      </c>
    </row>
    <row r="2968" spans="1:14" hidden="1" x14ac:dyDescent="0.25">
      <c r="A2968" t="s">
        <v>1319</v>
      </c>
      <c r="B2968" t="s">
        <v>1333</v>
      </c>
      <c r="C2968" t="s">
        <v>4128</v>
      </c>
      <c r="D2968" t="s">
        <v>28</v>
      </c>
      <c r="F2968">
        <v>60</v>
      </c>
      <c r="G2968">
        <v>1.25</v>
      </c>
      <c r="H2968" s="89">
        <v>46223</v>
      </c>
      <c r="I2968" s="89">
        <v>46227</v>
      </c>
      <c r="J2968" t="s">
        <v>4129</v>
      </c>
      <c r="N2968" t="s">
        <v>4123</v>
      </c>
    </row>
    <row r="2969" spans="1:14" hidden="1" x14ac:dyDescent="0.25">
      <c r="A2969" t="s">
        <v>1313</v>
      </c>
      <c r="B2969" t="s">
        <v>1327</v>
      </c>
      <c r="C2969" t="s">
        <v>4128</v>
      </c>
      <c r="D2969" t="s">
        <v>28</v>
      </c>
      <c r="F2969">
        <v>900</v>
      </c>
      <c r="G2969">
        <v>18.75</v>
      </c>
      <c r="H2969" s="89">
        <v>46223</v>
      </c>
      <c r="I2969" s="89">
        <v>46227</v>
      </c>
      <c r="J2969" t="s">
        <v>4129</v>
      </c>
      <c r="N2969" t="s">
        <v>4123</v>
      </c>
    </row>
    <row r="2970" spans="1:14" hidden="1" x14ac:dyDescent="0.25">
      <c r="A2970" t="s">
        <v>1315</v>
      </c>
      <c r="B2970" t="s">
        <v>1329</v>
      </c>
      <c r="C2970" t="s">
        <v>4128</v>
      </c>
      <c r="D2970" t="s">
        <v>28</v>
      </c>
      <c r="F2970">
        <v>25</v>
      </c>
      <c r="G2970" t="s">
        <v>1419</v>
      </c>
      <c r="H2970" s="89">
        <v>46223</v>
      </c>
      <c r="I2970" s="89">
        <v>46227</v>
      </c>
      <c r="J2970" t="s">
        <v>4130</v>
      </c>
      <c r="N2970" t="s">
        <v>4123</v>
      </c>
    </row>
    <row r="2971" spans="1:14" hidden="1" x14ac:dyDescent="0.25">
      <c r="A2971" t="s">
        <v>1316</v>
      </c>
      <c r="B2971" t="s">
        <v>1330</v>
      </c>
      <c r="C2971" t="s">
        <v>4131</v>
      </c>
      <c r="D2971" t="s">
        <v>28</v>
      </c>
      <c r="F2971">
        <v>27</v>
      </c>
      <c r="G2971" t="s">
        <v>1419</v>
      </c>
      <c r="H2971" s="89">
        <v>46223</v>
      </c>
      <c r="I2971" s="89">
        <v>46225</v>
      </c>
      <c r="J2971" t="s">
        <v>4132</v>
      </c>
      <c r="N2971" t="s">
        <v>4123</v>
      </c>
    </row>
    <row r="2972" spans="1:14" hidden="1" x14ac:dyDescent="0.25">
      <c r="A2972" t="s">
        <v>1317</v>
      </c>
      <c r="B2972" t="s">
        <v>1331</v>
      </c>
      <c r="C2972" t="s">
        <v>4133</v>
      </c>
      <c r="D2972" t="s">
        <v>28</v>
      </c>
      <c r="F2972">
        <v>4</v>
      </c>
      <c r="G2972" t="s">
        <v>1419</v>
      </c>
      <c r="H2972" s="89">
        <v>46223</v>
      </c>
      <c r="I2972" s="89">
        <v>46225</v>
      </c>
      <c r="J2972" t="s">
        <v>3549</v>
      </c>
      <c r="N2972" t="s">
        <v>4123</v>
      </c>
    </row>
    <row r="2973" spans="1:14" hidden="1" x14ac:dyDescent="0.25">
      <c r="A2973" t="s">
        <v>1318</v>
      </c>
      <c r="B2973" t="s">
        <v>1332</v>
      </c>
      <c r="C2973" t="s">
        <v>4134</v>
      </c>
      <c r="D2973" t="s">
        <v>28</v>
      </c>
      <c r="F2973">
        <v>32</v>
      </c>
      <c r="G2973" t="s">
        <v>1419</v>
      </c>
      <c r="H2973" s="89">
        <v>46223</v>
      </c>
      <c r="I2973" s="89">
        <v>46225</v>
      </c>
      <c r="J2973" t="s">
        <v>4132</v>
      </c>
      <c r="N2973" t="s">
        <v>4123</v>
      </c>
    </row>
    <row r="2974" spans="1:14" hidden="1" x14ac:dyDescent="0.25">
      <c r="A2974" t="s">
        <v>1313</v>
      </c>
      <c r="B2974" t="s">
        <v>1327</v>
      </c>
      <c r="C2974" t="s">
        <v>4135</v>
      </c>
      <c r="D2974" t="s">
        <v>20</v>
      </c>
      <c r="F2974">
        <v>1104</v>
      </c>
      <c r="G2974">
        <v>23</v>
      </c>
      <c r="H2974" s="89">
        <v>46223</v>
      </c>
      <c r="I2974" s="89">
        <v>46227</v>
      </c>
      <c r="J2974" t="s">
        <v>4118</v>
      </c>
      <c r="N2974" t="s">
        <v>4123</v>
      </c>
    </row>
    <row r="2975" spans="1:14" hidden="1" x14ac:dyDescent="0.25">
      <c r="A2975" t="s">
        <v>1315</v>
      </c>
      <c r="B2975" t="s">
        <v>1329</v>
      </c>
      <c r="C2975" t="s">
        <v>4135</v>
      </c>
      <c r="D2975" t="s">
        <v>20</v>
      </c>
      <c r="F2975">
        <v>71</v>
      </c>
      <c r="G2975" t="s">
        <v>1419</v>
      </c>
      <c r="H2975" s="89">
        <v>46223</v>
      </c>
      <c r="I2975" s="89">
        <v>46227</v>
      </c>
      <c r="J2975" t="s">
        <v>4130</v>
      </c>
      <c r="N2975" t="s">
        <v>4123</v>
      </c>
    </row>
    <row r="2976" spans="1:14" hidden="1" x14ac:dyDescent="0.25">
      <c r="A2976" t="s">
        <v>1316</v>
      </c>
      <c r="B2976" t="s">
        <v>1330</v>
      </c>
      <c r="C2976" t="s">
        <v>4136</v>
      </c>
      <c r="D2976" t="s">
        <v>20</v>
      </c>
      <c r="F2976">
        <v>108</v>
      </c>
      <c r="G2976" t="s">
        <v>1419</v>
      </c>
      <c r="H2976" s="89">
        <v>46223</v>
      </c>
      <c r="I2976" s="89">
        <v>46225</v>
      </c>
      <c r="J2976" t="s">
        <v>4132</v>
      </c>
      <c r="N2976" t="s">
        <v>4123</v>
      </c>
    </row>
    <row r="2977" spans="1:14" hidden="1" x14ac:dyDescent="0.25">
      <c r="A2977" t="s">
        <v>1317</v>
      </c>
      <c r="B2977" t="s">
        <v>1331</v>
      </c>
      <c r="C2977" t="s">
        <v>4137</v>
      </c>
      <c r="D2977" t="s">
        <v>20</v>
      </c>
      <c r="F2977">
        <v>27</v>
      </c>
      <c r="G2977" t="s">
        <v>1419</v>
      </c>
      <c r="H2977" s="89">
        <v>46223</v>
      </c>
      <c r="I2977" s="89">
        <v>46225</v>
      </c>
      <c r="J2977" t="s">
        <v>3549</v>
      </c>
      <c r="N2977" t="s">
        <v>4123</v>
      </c>
    </row>
    <row r="2978" spans="1:14" hidden="1" x14ac:dyDescent="0.25">
      <c r="A2978" t="s">
        <v>1318</v>
      </c>
      <c r="B2978" t="s">
        <v>1332</v>
      </c>
      <c r="C2978" t="s">
        <v>4138</v>
      </c>
      <c r="D2978" t="s">
        <v>20</v>
      </c>
      <c r="F2978">
        <v>44</v>
      </c>
      <c r="G2978" t="s">
        <v>1419</v>
      </c>
      <c r="H2978" s="89">
        <v>46223</v>
      </c>
      <c r="I2978" s="89">
        <v>46225</v>
      </c>
      <c r="J2978" t="s">
        <v>4132</v>
      </c>
      <c r="N2978" t="s">
        <v>4123</v>
      </c>
    </row>
    <row r="2979" spans="1:14" hidden="1" x14ac:dyDescent="0.25">
      <c r="A2979" t="s">
        <v>1324</v>
      </c>
      <c r="B2979" t="s">
        <v>1338</v>
      </c>
      <c r="C2979" t="s">
        <v>4139</v>
      </c>
      <c r="D2979" t="s">
        <v>23</v>
      </c>
      <c r="F2979">
        <v>960</v>
      </c>
      <c r="G2979">
        <v>20</v>
      </c>
      <c r="H2979" s="89">
        <v>46224</v>
      </c>
      <c r="I2979" s="89">
        <v>46230</v>
      </c>
      <c r="J2979" t="s">
        <v>4140</v>
      </c>
      <c r="N2979" t="s">
        <v>4123</v>
      </c>
    </row>
    <row r="2980" spans="1:14" hidden="1" x14ac:dyDescent="0.25">
      <c r="A2980" t="s">
        <v>1320</v>
      </c>
      <c r="B2980" t="s">
        <v>1334</v>
      </c>
      <c r="C2980" t="s">
        <v>4141</v>
      </c>
      <c r="D2980" t="s">
        <v>152</v>
      </c>
      <c r="F2980">
        <v>480</v>
      </c>
      <c r="G2980">
        <v>10</v>
      </c>
      <c r="H2980" s="89">
        <v>46224</v>
      </c>
      <c r="I2980" s="89">
        <v>46227</v>
      </c>
      <c r="J2980" t="s">
        <v>4127</v>
      </c>
      <c r="N2980" t="s">
        <v>4123</v>
      </c>
    </row>
    <row r="2981" spans="1:14" hidden="1" x14ac:dyDescent="0.25">
      <c r="A2981" t="s">
        <v>1325</v>
      </c>
      <c r="B2981" t="s">
        <v>1339</v>
      </c>
      <c r="C2981" t="s">
        <v>4142</v>
      </c>
      <c r="D2981" t="s">
        <v>159</v>
      </c>
      <c r="F2981">
        <v>384</v>
      </c>
      <c r="G2981">
        <v>8</v>
      </c>
      <c r="H2981" s="89">
        <v>46224</v>
      </c>
      <c r="I2981" s="89">
        <v>46226</v>
      </c>
      <c r="J2981" t="s">
        <v>4143</v>
      </c>
      <c r="N2981" t="s">
        <v>4123</v>
      </c>
    </row>
    <row r="2982" spans="1:14" hidden="1" x14ac:dyDescent="0.25">
      <c r="A2982" t="s">
        <v>1314</v>
      </c>
      <c r="B2982" t="s">
        <v>1328</v>
      </c>
      <c r="C2982" t="s">
        <v>4144</v>
      </c>
      <c r="D2982" t="s">
        <v>21</v>
      </c>
      <c r="F2982">
        <v>48</v>
      </c>
      <c r="G2982">
        <v>1</v>
      </c>
      <c r="H2982" s="89">
        <v>46224</v>
      </c>
      <c r="I2982" s="89">
        <v>46226</v>
      </c>
      <c r="J2982" t="s">
        <v>4117</v>
      </c>
      <c r="N2982" t="s">
        <v>4123</v>
      </c>
    </row>
    <row r="2983" spans="1:14" hidden="1" x14ac:dyDescent="0.25">
      <c r="A2983" t="s">
        <v>1313</v>
      </c>
      <c r="B2983" t="s">
        <v>1327</v>
      </c>
      <c r="C2983" t="s">
        <v>4144</v>
      </c>
      <c r="D2983" t="s">
        <v>21</v>
      </c>
      <c r="F2983">
        <v>445</v>
      </c>
      <c r="G2983">
        <v>9.2708333333333339</v>
      </c>
      <c r="H2983" s="89">
        <v>46224</v>
      </c>
      <c r="I2983" s="89">
        <v>46226</v>
      </c>
      <c r="J2983" t="s">
        <v>4116</v>
      </c>
      <c r="N2983" t="s">
        <v>4123</v>
      </c>
    </row>
    <row r="2984" spans="1:14" hidden="1" x14ac:dyDescent="0.25">
      <c r="A2984" t="s">
        <v>1324</v>
      </c>
      <c r="B2984" t="s">
        <v>1338</v>
      </c>
      <c r="C2984" t="s">
        <v>4144</v>
      </c>
      <c r="D2984" t="s">
        <v>21</v>
      </c>
      <c r="F2984">
        <v>960</v>
      </c>
      <c r="G2984">
        <v>20</v>
      </c>
      <c r="H2984" s="89">
        <v>46224</v>
      </c>
      <c r="I2984" s="89">
        <v>46230</v>
      </c>
      <c r="J2984" t="s">
        <v>4140</v>
      </c>
      <c r="N2984" t="s">
        <v>4123</v>
      </c>
    </row>
    <row r="2985" spans="1:14" hidden="1" x14ac:dyDescent="0.25">
      <c r="A2985" t="s">
        <v>1315</v>
      </c>
      <c r="B2985" t="s">
        <v>1329</v>
      </c>
      <c r="C2985" t="s">
        <v>4144</v>
      </c>
      <c r="D2985" t="s">
        <v>21</v>
      </c>
      <c r="F2985">
        <v>58</v>
      </c>
      <c r="G2985" t="s">
        <v>1419</v>
      </c>
      <c r="H2985" s="89">
        <v>46224</v>
      </c>
      <c r="I2985" s="89">
        <v>46227</v>
      </c>
      <c r="J2985" t="s">
        <v>4130</v>
      </c>
      <c r="N2985" t="s">
        <v>4123</v>
      </c>
    </row>
    <row r="2986" spans="1:14" hidden="1" x14ac:dyDescent="0.25">
      <c r="A2986" t="s">
        <v>1316</v>
      </c>
      <c r="B2986" t="s">
        <v>1330</v>
      </c>
      <c r="C2986" t="s">
        <v>4145</v>
      </c>
      <c r="D2986" t="s">
        <v>21</v>
      </c>
      <c r="F2986">
        <v>13</v>
      </c>
      <c r="G2986" t="s">
        <v>1419</v>
      </c>
      <c r="H2986" s="89">
        <v>46224</v>
      </c>
      <c r="I2986" s="89">
        <v>46226</v>
      </c>
      <c r="J2986" t="s">
        <v>4146</v>
      </c>
      <c r="N2986" t="s">
        <v>4123</v>
      </c>
    </row>
    <row r="2987" spans="1:14" hidden="1" x14ac:dyDescent="0.25">
      <c r="A2987" t="s">
        <v>1317</v>
      </c>
      <c r="B2987" t="s">
        <v>1331</v>
      </c>
      <c r="C2987" t="s">
        <v>4147</v>
      </c>
      <c r="D2987" t="s">
        <v>21</v>
      </c>
      <c r="F2987">
        <v>13</v>
      </c>
      <c r="G2987" t="s">
        <v>1419</v>
      </c>
      <c r="H2987" s="89">
        <v>46224</v>
      </c>
      <c r="I2987" s="89">
        <v>46226</v>
      </c>
      <c r="J2987" t="s">
        <v>4146</v>
      </c>
      <c r="N2987" t="s">
        <v>4123</v>
      </c>
    </row>
    <row r="2988" spans="1:14" hidden="1" x14ac:dyDescent="0.25">
      <c r="A2988" t="s">
        <v>1318</v>
      </c>
      <c r="B2988" t="s">
        <v>1332</v>
      </c>
      <c r="C2988" t="s">
        <v>4148</v>
      </c>
      <c r="D2988" t="s">
        <v>21</v>
      </c>
      <c r="F2988">
        <v>77</v>
      </c>
      <c r="G2988" t="s">
        <v>1419</v>
      </c>
      <c r="H2988" s="89">
        <v>46224</v>
      </c>
      <c r="I2988" s="89">
        <v>46226</v>
      </c>
      <c r="J2988" t="s">
        <v>4146</v>
      </c>
      <c r="N2988" t="s">
        <v>4123</v>
      </c>
    </row>
    <row r="2989" spans="1:14" hidden="1" x14ac:dyDescent="0.25">
      <c r="A2989" t="s">
        <v>1313</v>
      </c>
      <c r="B2989" t="s">
        <v>1327</v>
      </c>
      <c r="C2989" t="s">
        <v>4149</v>
      </c>
      <c r="D2989" t="s">
        <v>15</v>
      </c>
      <c r="F2989">
        <v>912</v>
      </c>
      <c r="G2989">
        <v>19</v>
      </c>
      <c r="H2989" s="89">
        <v>46224</v>
      </c>
      <c r="I2989" s="89">
        <v>46228</v>
      </c>
      <c r="J2989" t="s">
        <v>4150</v>
      </c>
      <c r="N2989" t="s">
        <v>4123</v>
      </c>
    </row>
    <row r="2990" spans="1:14" hidden="1" x14ac:dyDescent="0.25">
      <c r="A2990" t="s">
        <v>1313</v>
      </c>
      <c r="B2990" t="s">
        <v>1327</v>
      </c>
      <c r="C2990" t="s">
        <v>4149</v>
      </c>
      <c r="D2990" t="s">
        <v>15</v>
      </c>
      <c r="F2990">
        <v>48</v>
      </c>
      <c r="G2990">
        <v>1</v>
      </c>
      <c r="H2990" s="89">
        <v>46224</v>
      </c>
      <c r="I2990" s="89">
        <v>46226</v>
      </c>
      <c r="J2990" t="s">
        <v>4151</v>
      </c>
      <c r="N2990" t="s">
        <v>4123</v>
      </c>
    </row>
    <row r="2991" spans="1:14" hidden="1" x14ac:dyDescent="0.25">
      <c r="A2991" t="s">
        <v>1315</v>
      </c>
      <c r="B2991" t="s">
        <v>1329</v>
      </c>
      <c r="C2991" t="s">
        <v>4149</v>
      </c>
      <c r="D2991" t="s">
        <v>15</v>
      </c>
      <c r="F2991">
        <v>13</v>
      </c>
      <c r="G2991" t="s">
        <v>1419</v>
      </c>
      <c r="H2991" s="89">
        <v>46224</v>
      </c>
      <c r="I2991" s="89">
        <v>46227</v>
      </c>
      <c r="J2991" t="s">
        <v>4130</v>
      </c>
      <c r="N2991" t="s">
        <v>4123</v>
      </c>
    </row>
    <row r="2992" spans="1:14" hidden="1" x14ac:dyDescent="0.25">
      <c r="A2992" t="s">
        <v>1316</v>
      </c>
      <c r="B2992" t="s">
        <v>1330</v>
      </c>
      <c r="C2992" t="s">
        <v>4152</v>
      </c>
      <c r="D2992" t="s">
        <v>15</v>
      </c>
      <c r="F2992">
        <v>34</v>
      </c>
      <c r="G2992" t="s">
        <v>1419</v>
      </c>
      <c r="H2992" s="89">
        <v>46224</v>
      </c>
      <c r="I2992" s="89">
        <v>46226</v>
      </c>
      <c r="J2992" t="s">
        <v>4146</v>
      </c>
      <c r="N2992" t="s">
        <v>4123</v>
      </c>
    </row>
    <row r="2993" spans="1:14" hidden="1" x14ac:dyDescent="0.25">
      <c r="A2993" t="s">
        <v>1317</v>
      </c>
      <c r="B2993" t="s">
        <v>1331</v>
      </c>
      <c r="C2993" t="s">
        <v>4153</v>
      </c>
      <c r="D2993" t="s">
        <v>15</v>
      </c>
      <c r="F2993">
        <v>36</v>
      </c>
      <c r="G2993" t="s">
        <v>1419</v>
      </c>
      <c r="H2993" s="89">
        <v>46224</v>
      </c>
      <c r="I2993" s="89">
        <v>46226</v>
      </c>
      <c r="J2993" t="s">
        <v>4146</v>
      </c>
      <c r="N2993" t="s">
        <v>4123</v>
      </c>
    </row>
    <row r="2994" spans="1:14" hidden="1" x14ac:dyDescent="0.25">
      <c r="A2994" t="s">
        <v>1318</v>
      </c>
      <c r="B2994" t="s">
        <v>1332</v>
      </c>
      <c r="C2994" t="s">
        <v>4154</v>
      </c>
      <c r="D2994" t="s">
        <v>15</v>
      </c>
      <c r="F2994">
        <v>16</v>
      </c>
      <c r="G2994" t="s">
        <v>1419</v>
      </c>
      <c r="H2994" s="89">
        <v>46224</v>
      </c>
      <c r="I2994" s="89">
        <v>46226</v>
      </c>
      <c r="J2994" t="s">
        <v>4146</v>
      </c>
      <c r="N2994" t="s">
        <v>4123</v>
      </c>
    </row>
    <row r="2995" spans="1:14" hidden="1" x14ac:dyDescent="0.25">
      <c r="A2995" t="s">
        <v>1323</v>
      </c>
      <c r="B2995" t="s">
        <v>1337</v>
      </c>
      <c r="C2995" t="s">
        <v>4155</v>
      </c>
      <c r="D2995" t="s">
        <v>20</v>
      </c>
      <c r="F2995">
        <v>918</v>
      </c>
      <c r="G2995">
        <v>17</v>
      </c>
      <c r="H2995" s="89">
        <v>46224</v>
      </c>
      <c r="I2995" s="89">
        <v>46228</v>
      </c>
      <c r="J2995" t="s">
        <v>4156</v>
      </c>
      <c r="N2995" t="s">
        <v>4123</v>
      </c>
    </row>
    <row r="2996" spans="1:14" hidden="1" x14ac:dyDescent="0.25">
      <c r="A2996" t="s">
        <v>1322</v>
      </c>
      <c r="B2996" t="s">
        <v>1336</v>
      </c>
      <c r="C2996" t="s">
        <v>4155</v>
      </c>
      <c r="D2996" t="s">
        <v>20</v>
      </c>
      <c r="F2996">
        <v>162</v>
      </c>
      <c r="G2996">
        <v>3</v>
      </c>
      <c r="H2996" s="89">
        <v>46224</v>
      </c>
      <c r="I2996" s="89">
        <v>46228</v>
      </c>
      <c r="J2996" t="s">
        <v>4156</v>
      </c>
      <c r="N2996" t="s">
        <v>4123</v>
      </c>
    </row>
    <row r="2997" spans="1:14" hidden="1" x14ac:dyDescent="0.25">
      <c r="A2997" t="s">
        <v>1315</v>
      </c>
      <c r="B2997" t="s">
        <v>1329</v>
      </c>
      <c r="C2997" t="s">
        <v>4155</v>
      </c>
      <c r="D2997" t="s">
        <v>20</v>
      </c>
      <c r="F2997">
        <v>116</v>
      </c>
      <c r="G2997" t="s">
        <v>1419</v>
      </c>
      <c r="H2997" s="89">
        <v>46224</v>
      </c>
      <c r="I2997" s="89">
        <v>46227</v>
      </c>
      <c r="J2997" t="s">
        <v>4130</v>
      </c>
      <c r="N2997" t="s">
        <v>4123</v>
      </c>
    </row>
    <row r="2998" spans="1:14" hidden="1" x14ac:dyDescent="0.25">
      <c r="A2998" t="s">
        <v>1316</v>
      </c>
      <c r="B2998" t="s">
        <v>1330</v>
      </c>
      <c r="C2998" t="s">
        <v>4157</v>
      </c>
      <c r="D2998" t="s">
        <v>20</v>
      </c>
      <c r="F2998">
        <v>134</v>
      </c>
      <c r="G2998" t="s">
        <v>1419</v>
      </c>
      <c r="H2998" s="89">
        <v>46224</v>
      </c>
      <c r="I2998" s="89">
        <v>46226</v>
      </c>
      <c r="J2998" t="s">
        <v>4146</v>
      </c>
      <c r="N2998" t="s">
        <v>4123</v>
      </c>
    </row>
    <row r="2999" spans="1:14" hidden="1" x14ac:dyDescent="0.25">
      <c r="A2999" t="s">
        <v>1317</v>
      </c>
      <c r="B2999" t="s">
        <v>1331</v>
      </c>
      <c r="C2999" t="s">
        <v>4158</v>
      </c>
      <c r="D2999" t="s">
        <v>20</v>
      </c>
      <c r="F2999">
        <v>20</v>
      </c>
      <c r="G2999" t="s">
        <v>1419</v>
      </c>
      <c r="H2999" s="89">
        <v>46224</v>
      </c>
      <c r="I2999" s="89">
        <v>46226</v>
      </c>
      <c r="J2999" t="s">
        <v>4146</v>
      </c>
      <c r="N2999" t="s">
        <v>4123</v>
      </c>
    </row>
    <row r="3000" spans="1:14" hidden="1" x14ac:dyDescent="0.25">
      <c r="A3000" t="s">
        <v>1318</v>
      </c>
      <c r="B3000" t="s">
        <v>1332</v>
      </c>
      <c r="C3000" t="s">
        <v>4159</v>
      </c>
      <c r="D3000" t="s">
        <v>20</v>
      </c>
      <c r="F3000">
        <v>35</v>
      </c>
      <c r="G3000" t="s">
        <v>1419</v>
      </c>
      <c r="H3000" s="89">
        <v>46224</v>
      </c>
      <c r="I3000" s="89">
        <v>46226</v>
      </c>
      <c r="J3000" t="s">
        <v>4146</v>
      </c>
      <c r="N3000" t="s">
        <v>4123</v>
      </c>
    </row>
    <row r="3001" spans="1:14" hidden="1" x14ac:dyDescent="0.25">
      <c r="A3001" t="s">
        <v>1324</v>
      </c>
      <c r="B3001" t="s">
        <v>1338</v>
      </c>
      <c r="C3001" t="s">
        <v>4160</v>
      </c>
      <c r="D3001" t="s">
        <v>119</v>
      </c>
      <c r="F3001">
        <v>960</v>
      </c>
      <c r="G3001">
        <v>20</v>
      </c>
      <c r="H3001" s="89">
        <v>46225</v>
      </c>
      <c r="I3001" s="89">
        <v>46230</v>
      </c>
      <c r="J3001" t="s">
        <v>4161</v>
      </c>
      <c r="N3001" t="s">
        <v>4123</v>
      </c>
    </row>
    <row r="3002" spans="1:14" hidden="1" x14ac:dyDescent="0.25">
      <c r="A3002" t="s">
        <v>1324</v>
      </c>
      <c r="B3002" t="s">
        <v>1338</v>
      </c>
      <c r="C3002" t="s">
        <v>4162</v>
      </c>
      <c r="D3002" t="s">
        <v>23</v>
      </c>
      <c r="F3002">
        <v>960</v>
      </c>
      <c r="G3002">
        <v>20</v>
      </c>
      <c r="H3002" s="89">
        <v>46225</v>
      </c>
      <c r="I3002" s="89">
        <v>46232</v>
      </c>
      <c r="J3002" t="s">
        <v>4163</v>
      </c>
      <c r="N3002" t="s">
        <v>4123</v>
      </c>
    </row>
    <row r="3003" spans="1:14" hidden="1" x14ac:dyDescent="0.25">
      <c r="A3003" t="s">
        <v>1314</v>
      </c>
      <c r="B3003" t="s">
        <v>1328</v>
      </c>
      <c r="C3003" t="s">
        <v>4164</v>
      </c>
      <c r="D3003" t="s">
        <v>15</v>
      </c>
      <c r="F3003">
        <v>240</v>
      </c>
      <c r="G3003">
        <v>5</v>
      </c>
      <c r="H3003" s="89">
        <v>46225</v>
      </c>
      <c r="I3003" s="89">
        <v>46228</v>
      </c>
      <c r="J3003" t="s">
        <v>4165</v>
      </c>
      <c r="N3003" t="s">
        <v>4123</v>
      </c>
    </row>
    <row r="3004" spans="1:14" hidden="1" x14ac:dyDescent="0.25">
      <c r="A3004" t="s">
        <v>1320</v>
      </c>
      <c r="B3004" t="s">
        <v>1334</v>
      </c>
      <c r="C3004" t="s">
        <v>4164</v>
      </c>
      <c r="D3004" t="s">
        <v>15</v>
      </c>
      <c r="F3004">
        <v>960</v>
      </c>
      <c r="G3004">
        <v>20</v>
      </c>
      <c r="H3004" s="89">
        <v>46225</v>
      </c>
      <c r="I3004" s="89">
        <v>46230</v>
      </c>
      <c r="J3004" t="s">
        <v>4166</v>
      </c>
      <c r="N3004" t="s">
        <v>4123</v>
      </c>
    </row>
    <row r="3005" spans="1:14" hidden="1" x14ac:dyDescent="0.25">
      <c r="A3005" t="s">
        <v>1315</v>
      </c>
      <c r="B3005" t="s">
        <v>1329</v>
      </c>
      <c r="C3005" t="s">
        <v>4164</v>
      </c>
      <c r="D3005" t="s">
        <v>15</v>
      </c>
      <c r="F3005">
        <v>16</v>
      </c>
      <c r="G3005" t="s">
        <v>1419</v>
      </c>
      <c r="H3005" s="89">
        <v>46225</v>
      </c>
      <c r="I3005" s="89">
        <v>46227</v>
      </c>
      <c r="J3005" t="s">
        <v>4130</v>
      </c>
      <c r="N3005" t="s">
        <v>4123</v>
      </c>
    </row>
    <row r="3006" spans="1:14" hidden="1" x14ac:dyDescent="0.25">
      <c r="A3006" t="s">
        <v>1316</v>
      </c>
      <c r="B3006" t="s">
        <v>1330</v>
      </c>
      <c r="C3006" t="s">
        <v>4167</v>
      </c>
      <c r="D3006" t="s">
        <v>15</v>
      </c>
      <c r="F3006">
        <v>51</v>
      </c>
      <c r="G3006" t="s">
        <v>1419</v>
      </c>
      <c r="H3006" s="89">
        <v>46225</v>
      </c>
      <c r="I3006" s="89">
        <v>46227</v>
      </c>
      <c r="J3006" t="s">
        <v>4168</v>
      </c>
      <c r="N3006" t="s">
        <v>4123</v>
      </c>
    </row>
    <row r="3007" spans="1:14" hidden="1" x14ac:dyDescent="0.25">
      <c r="A3007" t="s">
        <v>1317</v>
      </c>
      <c r="B3007" t="s">
        <v>1331</v>
      </c>
      <c r="C3007" t="s">
        <v>4169</v>
      </c>
      <c r="D3007" t="s">
        <v>15</v>
      </c>
      <c r="F3007">
        <v>47</v>
      </c>
      <c r="G3007" t="s">
        <v>1419</v>
      </c>
      <c r="H3007" s="89">
        <v>46225</v>
      </c>
      <c r="I3007" s="89">
        <v>46227</v>
      </c>
      <c r="J3007" t="s">
        <v>4168</v>
      </c>
      <c r="N3007" t="s">
        <v>4123</v>
      </c>
    </row>
    <row r="3008" spans="1:14" hidden="1" x14ac:dyDescent="0.25">
      <c r="A3008" t="s">
        <v>1318</v>
      </c>
      <c r="B3008" t="s">
        <v>1332</v>
      </c>
      <c r="C3008" t="s">
        <v>4170</v>
      </c>
      <c r="D3008" t="s">
        <v>15</v>
      </c>
      <c r="F3008">
        <v>24</v>
      </c>
      <c r="G3008" t="s">
        <v>1419</v>
      </c>
      <c r="H3008" s="89">
        <v>46225</v>
      </c>
      <c r="I3008" s="89">
        <v>46227</v>
      </c>
      <c r="J3008" t="s">
        <v>4168</v>
      </c>
      <c r="N3008" t="s">
        <v>4123</v>
      </c>
    </row>
    <row r="3009" spans="1:14" hidden="1" x14ac:dyDescent="0.25">
      <c r="A3009" t="s">
        <v>1324</v>
      </c>
      <c r="B3009" t="s">
        <v>1338</v>
      </c>
      <c r="C3009" t="s">
        <v>4171</v>
      </c>
      <c r="D3009" t="s">
        <v>21</v>
      </c>
      <c r="F3009">
        <v>960</v>
      </c>
      <c r="G3009">
        <v>20</v>
      </c>
      <c r="H3009" s="89">
        <v>46225</v>
      </c>
      <c r="I3009" s="89">
        <v>46230</v>
      </c>
      <c r="J3009" t="s">
        <v>4161</v>
      </c>
      <c r="N3009" t="s">
        <v>4123</v>
      </c>
    </row>
    <row r="3010" spans="1:14" hidden="1" x14ac:dyDescent="0.25">
      <c r="A3010" t="s">
        <v>1315</v>
      </c>
      <c r="B3010" t="s">
        <v>1329</v>
      </c>
      <c r="C3010" t="s">
        <v>4171</v>
      </c>
      <c r="D3010" t="s">
        <v>21</v>
      </c>
      <c r="F3010">
        <v>139</v>
      </c>
      <c r="G3010" t="s">
        <v>1419</v>
      </c>
      <c r="H3010" s="89">
        <v>46225</v>
      </c>
      <c r="I3010" s="89">
        <v>46227</v>
      </c>
      <c r="J3010" t="s">
        <v>4130</v>
      </c>
      <c r="N3010" t="s">
        <v>4123</v>
      </c>
    </row>
    <row r="3011" spans="1:14" hidden="1" x14ac:dyDescent="0.25">
      <c r="A3011" t="s">
        <v>1316</v>
      </c>
      <c r="B3011" t="s">
        <v>1330</v>
      </c>
      <c r="C3011" t="s">
        <v>4172</v>
      </c>
      <c r="D3011" t="s">
        <v>21</v>
      </c>
      <c r="F3011">
        <v>13</v>
      </c>
      <c r="G3011" t="s">
        <v>1419</v>
      </c>
      <c r="H3011" s="89">
        <v>46225</v>
      </c>
      <c r="I3011" s="89">
        <v>46227</v>
      </c>
      <c r="J3011" t="s">
        <v>4168</v>
      </c>
      <c r="N3011" t="s">
        <v>4123</v>
      </c>
    </row>
    <row r="3012" spans="1:14" hidden="1" x14ac:dyDescent="0.25">
      <c r="A3012" t="s">
        <v>1317</v>
      </c>
      <c r="B3012" t="s">
        <v>1331</v>
      </c>
      <c r="C3012" t="s">
        <v>4173</v>
      </c>
      <c r="D3012" t="s">
        <v>21</v>
      </c>
      <c r="F3012">
        <v>4</v>
      </c>
      <c r="G3012" t="s">
        <v>1419</v>
      </c>
      <c r="H3012" s="89">
        <v>46225</v>
      </c>
      <c r="I3012" s="89">
        <v>46227</v>
      </c>
      <c r="J3012" t="s">
        <v>4168</v>
      </c>
      <c r="N3012" t="s">
        <v>4123</v>
      </c>
    </row>
    <row r="3013" spans="1:14" hidden="1" x14ac:dyDescent="0.25">
      <c r="A3013" t="s">
        <v>1318</v>
      </c>
      <c r="B3013" t="s">
        <v>1332</v>
      </c>
      <c r="C3013" t="s">
        <v>4174</v>
      </c>
      <c r="D3013" t="s">
        <v>21</v>
      </c>
      <c r="F3013">
        <v>60</v>
      </c>
      <c r="G3013" t="s">
        <v>1419</v>
      </c>
      <c r="H3013" s="89">
        <v>46225</v>
      </c>
      <c r="I3013" s="89">
        <v>46227</v>
      </c>
      <c r="J3013" t="s">
        <v>4168</v>
      </c>
      <c r="N3013" t="s">
        <v>4123</v>
      </c>
    </row>
    <row r="3014" spans="1:14" hidden="1" x14ac:dyDescent="0.25">
      <c r="A3014" t="s">
        <v>1319</v>
      </c>
      <c r="B3014" t="s">
        <v>1333</v>
      </c>
      <c r="C3014" t="s">
        <v>4175</v>
      </c>
      <c r="D3014" t="s">
        <v>20</v>
      </c>
      <c r="F3014">
        <v>66</v>
      </c>
      <c r="G3014">
        <v>1.375</v>
      </c>
      <c r="H3014" s="89">
        <v>46225</v>
      </c>
      <c r="I3014" s="89">
        <v>46230</v>
      </c>
      <c r="J3014" t="s">
        <v>4176</v>
      </c>
      <c r="N3014" t="s">
        <v>4123</v>
      </c>
    </row>
    <row r="3015" spans="1:14" hidden="1" x14ac:dyDescent="0.25">
      <c r="A3015" t="s">
        <v>1313</v>
      </c>
      <c r="B3015" t="s">
        <v>1327</v>
      </c>
      <c r="C3015" t="s">
        <v>4175</v>
      </c>
      <c r="D3015" t="s">
        <v>20</v>
      </c>
      <c r="F3015">
        <v>30</v>
      </c>
      <c r="G3015">
        <v>0.625</v>
      </c>
      <c r="H3015" s="89">
        <v>46225</v>
      </c>
      <c r="I3015" s="89">
        <v>46230</v>
      </c>
      <c r="J3015" t="s">
        <v>4176</v>
      </c>
      <c r="N3015" t="s">
        <v>4123</v>
      </c>
    </row>
    <row r="3016" spans="1:14" hidden="1" x14ac:dyDescent="0.25">
      <c r="A3016" t="s">
        <v>1320</v>
      </c>
      <c r="B3016" t="s">
        <v>1334</v>
      </c>
      <c r="C3016" t="s">
        <v>4175</v>
      </c>
      <c r="D3016" t="s">
        <v>20</v>
      </c>
      <c r="F3016">
        <v>960</v>
      </c>
      <c r="G3016">
        <v>20</v>
      </c>
      <c r="H3016" s="89">
        <v>46225</v>
      </c>
      <c r="I3016" s="89">
        <v>46230</v>
      </c>
      <c r="J3016" t="s">
        <v>4177</v>
      </c>
      <c r="N3016" t="s">
        <v>4123</v>
      </c>
    </row>
    <row r="3017" spans="1:14" hidden="1" x14ac:dyDescent="0.25">
      <c r="A3017" t="s">
        <v>1315</v>
      </c>
      <c r="B3017" t="s">
        <v>1329</v>
      </c>
      <c r="C3017" t="s">
        <v>4175</v>
      </c>
      <c r="D3017" t="s">
        <v>20</v>
      </c>
      <c r="F3017">
        <v>140</v>
      </c>
      <c r="G3017" t="s">
        <v>1419</v>
      </c>
      <c r="H3017" s="89">
        <v>46225</v>
      </c>
      <c r="I3017" s="89">
        <v>46227</v>
      </c>
      <c r="J3017" t="s">
        <v>4130</v>
      </c>
      <c r="N3017" t="s">
        <v>4123</v>
      </c>
    </row>
    <row r="3018" spans="1:14" hidden="1" x14ac:dyDescent="0.25">
      <c r="A3018" t="s">
        <v>1316</v>
      </c>
      <c r="B3018" t="s">
        <v>1330</v>
      </c>
      <c r="C3018" t="s">
        <v>4178</v>
      </c>
      <c r="D3018" t="s">
        <v>20</v>
      </c>
      <c r="F3018">
        <v>87</v>
      </c>
      <c r="G3018" t="s">
        <v>1419</v>
      </c>
      <c r="H3018" s="89">
        <v>46225</v>
      </c>
      <c r="I3018" s="89">
        <v>46227</v>
      </c>
      <c r="J3018" t="s">
        <v>4168</v>
      </c>
      <c r="N3018" t="s">
        <v>4123</v>
      </c>
    </row>
    <row r="3019" spans="1:14" hidden="1" x14ac:dyDescent="0.25">
      <c r="A3019" t="s">
        <v>1317</v>
      </c>
      <c r="B3019" t="s">
        <v>1331</v>
      </c>
      <c r="C3019" t="s">
        <v>4179</v>
      </c>
      <c r="D3019" t="s">
        <v>20</v>
      </c>
      <c r="F3019">
        <v>20</v>
      </c>
      <c r="G3019" t="s">
        <v>1419</v>
      </c>
      <c r="H3019" s="89">
        <v>46225</v>
      </c>
      <c r="I3019" s="89">
        <v>46227</v>
      </c>
      <c r="J3019" t="s">
        <v>4168</v>
      </c>
      <c r="N3019" t="s">
        <v>4123</v>
      </c>
    </row>
    <row r="3020" spans="1:14" hidden="1" x14ac:dyDescent="0.25">
      <c r="A3020" t="s">
        <v>1318</v>
      </c>
      <c r="B3020" t="s">
        <v>1332</v>
      </c>
      <c r="C3020" t="s">
        <v>4180</v>
      </c>
      <c r="D3020" t="s">
        <v>20</v>
      </c>
      <c r="F3020">
        <v>55</v>
      </c>
      <c r="G3020" t="s">
        <v>1419</v>
      </c>
      <c r="H3020" s="89">
        <v>46225</v>
      </c>
      <c r="I3020" s="89">
        <v>46227</v>
      </c>
      <c r="J3020" t="s">
        <v>4168</v>
      </c>
      <c r="N3020" t="s">
        <v>4123</v>
      </c>
    </row>
    <row r="3021" spans="1:14" hidden="1" x14ac:dyDescent="0.25">
      <c r="A3021" t="s">
        <v>1324</v>
      </c>
      <c r="B3021" t="s">
        <v>1338</v>
      </c>
      <c r="C3021" t="s">
        <v>4181</v>
      </c>
      <c r="D3021" t="s">
        <v>23</v>
      </c>
      <c r="F3021">
        <v>672</v>
      </c>
      <c r="G3021">
        <v>14</v>
      </c>
      <c r="H3021" s="89">
        <v>46226</v>
      </c>
      <c r="I3021" s="89">
        <v>46232</v>
      </c>
      <c r="J3021" t="s">
        <v>4163</v>
      </c>
      <c r="N3021" t="s">
        <v>4123</v>
      </c>
    </row>
    <row r="3022" spans="1:14" hidden="1" x14ac:dyDescent="0.25">
      <c r="A3022" t="s">
        <v>1320</v>
      </c>
      <c r="B3022" t="s">
        <v>1334</v>
      </c>
      <c r="C3022" t="s">
        <v>4182</v>
      </c>
      <c r="D3022" t="s">
        <v>150</v>
      </c>
      <c r="F3022">
        <v>960</v>
      </c>
      <c r="G3022">
        <v>20</v>
      </c>
      <c r="H3022" s="89">
        <v>46226</v>
      </c>
      <c r="I3022" s="89">
        <v>46231</v>
      </c>
      <c r="J3022" t="s">
        <v>4183</v>
      </c>
      <c r="N3022" t="s">
        <v>4123</v>
      </c>
    </row>
    <row r="3023" spans="1:14" hidden="1" x14ac:dyDescent="0.25">
      <c r="A3023" t="s">
        <v>1320</v>
      </c>
      <c r="B3023" t="s">
        <v>1334</v>
      </c>
      <c r="C3023" t="s">
        <v>4184</v>
      </c>
      <c r="D3023" t="s">
        <v>30</v>
      </c>
      <c r="F3023">
        <v>576</v>
      </c>
      <c r="G3023">
        <v>12</v>
      </c>
      <c r="H3023" s="89">
        <v>46226</v>
      </c>
      <c r="I3023" s="89">
        <v>46231</v>
      </c>
      <c r="J3023" t="s">
        <v>4185</v>
      </c>
      <c r="N3023" t="s">
        <v>4123</v>
      </c>
    </row>
    <row r="3024" spans="1:14" hidden="1" x14ac:dyDescent="0.25">
      <c r="A3024" t="s">
        <v>1313</v>
      </c>
      <c r="B3024" t="s">
        <v>1327</v>
      </c>
      <c r="C3024" t="s">
        <v>4186</v>
      </c>
      <c r="D3024" t="s">
        <v>20</v>
      </c>
      <c r="F3024">
        <v>960</v>
      </c>
      <c r="G3024">
        <v>20</v>
      </c>
      <c r="H3024" s="89">
        <v>46226</v>
      </c>
      <c r="I3024" s="89">
        <v>46230</v>
      </c>
      <c r="J3024" t="s">
        <v>4176</v>
      </c>
      <c r="N3024" t="s">
        <v>4123</v>
      </c>
    </row>
    <row r="3025" spans="1:14" hidden="1" x14ac:dyDescent="0.25">
      <c r="A3025" t="s">
        <v>1313</v>
      </c>
      <c r="B3025" t="s">
        <v>1327</v>
      </c>
      <c r="C3025" t="s">
        <v>4186</v>
      </c>
      <c r="D3025" t="s">
        <v>20</v>
      </c>
      <c r="F3025">
        <v>192</v>
      </c>
      <c r="G3025">
        <v>4</v>
      </c>
      <c r="H3025" s="89">
        <v>46226</v>
      </c>
      <c r="I3025" s="89">
        <v>46230</v>
      </c>
      <c r="J3025" t="s">
        <v>4187</v>
      </c>
      <c r="N3025" t="s">
        <v>4123</v>
      </c>
    </row>
    <row r="3026" spans="1:14" hidden="1" x14ac:dyDescent="0.25">
      <c r="A3026" t="s">
        <v>1315</v>
      </c>
      <c r="B3026" t="s">
        <v>1329</v>
      </c>
      <c r="C3026" t="s">
        <v>4186</v>
      </c>
      <c r="D3026" t="s">
        <v>20</v>
      </c>
      <c r="F3026">
        <v>118</v>
      </c>
      <c r="G3026" t="s">
        <v>1419</v>
      </c>
      <c r="H3026" s="89">
        <v>46226</v>
      </c>
      <c r="I3026" s="89">
        <v>46227</v>
      </c>
      <c r="J3026" t="s">
        <v>4130</v>
      </c>
      <c r="N3026" t="s">
        <v>4123</v>
      </c>
    </row>
    <row r="3027" spans="1:14" hidden="1" x14ac:dyDescent="0.25">
      <c r="A3027" t="s">
        <v>1316</v>
      </c>
      <c r="B3027" t="s">
        <v>1330</v>
      </c>
      <c r="C3027" t="s">
        <v>4188</v>
      </c>
      <c r="D3027" t="s">
        <v>20</v>
      </c>
      <c r="F3027">
        <v>147</v>
      </c>
      <c r="G3027" t="s">
        <v>1419</v>
      </c>
      <c r="H3027" s="89">
        <v>46226</v>
      </c>
      <c r="I3027" s="89">
        <v>46228</v>
      </c>
      <c r="J3027" t="s">
        <v>4189</v>
      </c>
      <c r="N3027" t="s">
        <v>4123</v>
      </c>
    </row>
    <row r="3028" spans="1:14" hidden="1" x14ac:dyDescent="0.25">
      <c r="A3028" t="s">
        <v>1317</v>
      </c>
      <c r="B3028" t="s">
        <v>1331</v>
      </c>
      <c r="C3028" t="s">
        <v>4190</v>
      </c>
      <c r="D3028" t="s">
        <v>20</v>
      </c>
      <c r="F3028">
        <v>20</v>
      </c>
      <c r="G3028" t="s">
        <v>1419</v>
      </c>
      <c r="H3028" s="89">
        <v>46226</v>
      </c>
      <c r="I3028" s="89">
        <v>46228</v>
      </c>
      <c r="J3028" t="s">
        <v>4191</v>
      </c>
      <c r="N3028" t="s">
        <v>4123</v>
      </c>
    </row>
    <row r="3029" spans="1:14" hidden="1" x14ac:dyDescent="0.25">
      <c r="A3029" t="s">
        <v>1318</v>
      </c>
      <c r="B3029" t="s">
        <v>1332</v>
      </c>
      <c r="C3029" t="s">
        <v>4192</v>
      </c>
      <c r="D3029" t="s">
        <v>20</v>
      </c>
      <c r="F3029">
        <v>39</v>
      </c>
      <c r="G3029" t="s">
        <v>1419</v>
      </c>
      <c r="H3029" s="89">
        <v>46226</v>
      </c>
      <c r="I3029" s="89">
        <v>46228</v>
      </c>
      <c r="J3029" t="s">
        <v>4189</v>
      </c>
      <c r="N3029" t="s">
        <v>4123</v>
      </c>
    </row>
    <row r="3030" spans="1:14" hidden="1" x14ac:dyDescent="0.25">
      <c r="A3030" t="s">
        <v>1324</v>
      </c>
      <c r="B3030" t="s">
        <v>1338</v>
      </c>
      <c r="C3030" t="s">
        <v>4193</v>
      </c>
      <c r="D3030" t="s">
        <v>15</v>
      </c>
      <c r="F3030">
        <v>288</v>
      </c>
      <c r="G3030">
        <v>6</v>
      </c>
      <c r="H3030" s="89">
        <v>46226</v>
      </c>
      <c r="I3030" s="89">
        <v>46232</v>
      </c>
      <c r="J3030" t="s">
        <v>4163</v>
      </c>
      <c r="N3030" t="s">
        <v>4123</v>
      </c>
    </row>
    <row r="3031" spans="1:14" hidden="1" x14ac:dyDescent="0.25">
      <c r="A3031" t="s">
        <v>1313</v>
      </c>
      <c r="B3031" t="s">
        <v>1327</v>
      </c>
      <c r="C3031" t="s">
        <v>4193</v>
      </c>
      <c r="D3031" t="s">
        <v>15</v>
      </c>
      <c r="F3031">
        <v>864</v>
      </c>
      <c r="G3031">
        <v>18</v>
      </c>
      <c r="H3031" s="89">
        <v>46226</v>
      </c>
      <c r="I3031" s="89">
        <v>46230</v>
      </c>
      <c r="J3031" t="s">
        <v>4187</v>
      </c>
      <c r="N3031" t="s">
        <v>4123</v>
      </c>
    </row>
    <row r="3032" spans="1:14" hidden="1" x14ac:dyDescent="0.25">
      <c r="A3032" t="s">
        <v>1314</v>
      </c>
      <c r="B3032" t="s">
        <v>1328</v>
      </c>
      <c r="C3032" t="s">
        <v>4193</v>
      </c>
      <c r="D3032" t="s">
        <v>15</v>
      </c>
      <c r="F3032">
        <v>96</v>
      </c>
      <c r="G3032">
        <v>2</v>
      </c>
      <c r="H3032" s="89">
        <v>46226</v>
      </c>
      <c r="I3032" s="89">
        <v>46230</v>
      </c>
      <c r="J3032" t="s">
        <v>4194</v>
      </c>
      <c r="N3032" t="s">
        <v>4123</v>
      </c>
    </row>
    <row r="3033" spans="1:14" hidden="1" x14ac:dyDescent="0.25">
      <c r="A3033" t="s">
        <v>1315</v>
      </c>
      <c r="B3033" t="s">
        <v>1329</v>
      </c>
      <c r="C3033" t="s">
        <v>4193</v>
      </c>
      <c r="D3033" t="s">
        <v>15</v>
      </c>
      <c r="F3033">
        <v>13</v>
      </c>
      <c r="G3033" t="s">
        <v>1419</v>
      </c>
      <c r="H3033" s="89">
        <v>46226</v>
      </c>
      <c r="I3033" s="89">
        <v>46227</v>
      </c>
      <c r="J3033" t="s">
        <v>4195</v>
      </c>
      <c r="N3033" t="s">
        <v>4123</v>
      </c>
    </row>
    <row r="3034" spans="1:14" hidden="1" x14ac:dyDescent="0.25">
      <c r="A3034" t="s">
        <v>1316</v>
      </c>
      <c r="B3034" t="s">
        <v>1330</v>
      </c>
      <c r="C3034" t="s">
        <v>4196</v>
      </c>
      <c r="D3034" t="s">
        <v>15</v>
      </c>
      <c r="F3034">
        <v>46</v>
      </c>
      <c r="G3034" t="s">
        <v>1419</v>
      </c>
      <c r="H3034" s="89">
        <v>46226</v>
      </c>
      <c r="I3034" s="89">
        <v>46228</v>
      </c>
      <c r="J3034" t="s">
        <v>4189</v>
      </c>
      <c r="N3034" t="s">
        <v>4123</v>
      </c>
    </row>
    <row r="3035" spans="1:14" hidden="1" x14ac:dyDescent="0.25">
      <c r="A3035" t="s">
        <v>1317</v>
      </c>
      <c r="B3035" t="s">
        <v>1331</v>
      </c>
      <c r="C3035" t="s">
        <v>4197</v>
      </c>
      <c r="D3035" t="s">
        <v>15</v>
      </c>
      <c r="F3035">
        <v>39</v>
      </c>
      <c r="G3035" t="s">
        <v>1419</v>
      </c>
      <c r="H3035" s="89">
        <v>46226</v>
      </c>
      <c r="I3035" s="89">
        <v>46228</v>
      </c>
      <c r="J3035" t="s">
        <v>4191</v>
      </c>
      <c r="N3035" t="s">
        <v>4123</v>
      </c>
    </row>
    <row r="3036" spans="1:14" hidden="1" x14ac:dyDescent="0.25">
      <c r="A3036" t="s">
        <v>1318</v>
      </c>
      <c r="B3036" t="s">
        <v>1332</v>
      </c>
      <c r="C3036" t="s">
        <v>4198</v>
      </c>
      <c r="D3036" t="s">
        <v>15</v>
      </c>
      <c r="F3036">
        <v>23</v>
      </c>
      <c r="G3036" t="s">
        <v>1419</v>
      </c>
      <c r="H3036" s="89">
        <v>46226</v>
      </c>
      <c r="I3036" s="89">
        <v>46228</v>
      </c>
      <c r="J3036" t="s">
        <v>4189</v>
      </c>
      <c r="N3036" t="s">
        <v>4123</v>
      </c>
    </row>
    <row r="3037" spans="1:14" hidden="1" x14ac:dyDescent="0.25">
      <c r="A3037" t="s">
        <v>1313</v>
      </c>
      <c r="B3037" t="s">
        <v>1327</v>
      </c>
      <c r="C3037" t="s">
        <v>4199</v>
      </c>
      <c r="D3037" t="s">
        <v>28</v>
      </c>
      <c r="F3037">
        <v>864</v>
      </c>
      <c r="G3037">
        <v>18</v>
      </c>
      <c r="H3037" s="89">
        <v>46226</v>
      </c>
      <c r="I3037" s="89">
        <v>46230</v>
      </c>
      <c r="J3037" t="s">
        <v>4200</v>
      </c>
      <c r="N3037" t="s">
        <v>4123</v>
      </c>
    </row>
    <row r="3038" spans="1:14" hidden="1" x14ac:dyDescent="0.25">
      <c r="A3038" t="s">
        <v>1315</v>
      </c>
      <c r="B3038" t="s">
        <v>1329</v>
      </c>
      <c r="C3038" t="s">
        <v>4199</v>
      </c>
      <c r="D3038" t="s">
        <v>28</v>
      </c>
      <c r="F3038">
        <v>123</v>
      </c>
      <c r="G3038" t="s">
        <v>1419</v>
      </c>
      <c r="H3038" s="89">
        <v>46226</v>
      </c>
      <c r="I3038" s="89">
        <v>46227</v>
      </c>
      <c r="J3038" t="s">
        <v>4130</v>
      </c>
      <c r="N3038" t="s">
        <v>4123</v>
      </c>
    </row>
    <row r="3039" spans="1:14" hidden="1" x14ac:dyDescent="0.25">
      <c r="A3039" t="s">
        <v>1316</v>
      </c>
      <c r="B3039" t="s">
        <v>1330</v>
      </c>
      <c r="C3039" t="s">
        <v>4201</v>
      </c>
      <c r="D3039" t="s">
        <v>28</v>
      </c>
      <c r="F3039">
        <v>15</v>
      </c>
      <c r="G3039" t="s">
        <v>1419</v>
      </c>
      <c r="H3039" s="89">
        <v>46226</v>
      </c>
      <c r="I3039" s="89">
        <v>46228</v>
      </c>
      <c r="J3039" t="s">
        <v>4189</v>
      </c>
      <c r="N3039" t="s">
        <v>4123</v>
      </c>
    </row>
    <row r="3040" spans="1:14" hidden="1" x14ac:dyDescent="0.25">
      <c r="A3040" t="s">
        <v>1317</v>
      </c>
      <c r="B3040" t="s">
        <v>1331</v>
      </c>
      <c r="C3040" t="s">
        <v>4202</v>
      </c>
      <c r="D3040" t="s">
        <v>28</v>
      </c>
      <c r="F3040">
        <v>6</v>
      </c>
      <c r="G3040" t="s">
        <v>1419</v>
      </c>
      <c r="H3040" s="89">
        <v>46226</v>
      </c>
      <c r="I3040" s="89">
        <v>46228</v>
      </c>
      <c r="J3040" t="s">
        <v>4191</v>
      </c>
      <c r="N3040" t="s">
        <v>4123</v>
      </c>
    </row>
    <row r="3041" spans="1:14" hidden="1" x14ac:dyDescent="0.25">
      <c r="A3041" t="s">
        <v>1318</v>
      </c>
      <c r="B3041" t="s">
        <v>1332</v>
      </c>
      <c r="C3041" t="s">
        <v>4203</v>
      </c>
      <c r="D3041" t="s">
        <v>28</v>
      </c>
      <c r="F3041">
        <v>42</v>
      </c>
      <c r="G3041" t="s">
        <v>1419</v>
      </c>
      <c r="H3041" s="89">
        <v>46226</v>
      </c>
      <c r="I3041" s="89">
        <v>46228</v>
      </c>
      <c r="J3041" t="s">
        <v>4189</v>
      </c>
      <c r="N3041" t="s">
        <v>4123</v>
      </c>
    </row>
    <row r="3042" spans="1:14" hidden="1" x14ac:dyDescent="0.25">
      <c r="A3042" t="s">
        <v>1321</v>
      </c>
      <c r="B3042" t="s">
        <v>1335</v>
      </c>
      <c r="C3042" t="s">
        <v>4204</v>
      </c>
      <c r="D3042" t="s">
        <v>159</v>
      </c>
      <c r="F3042">
        <v>144</v>
      </c>
      <c r="G3042">
        <v>3</v>
      </c>
      <c r="H3042" s="89">
        <v>46227</v>
      </c>
      <c r="I3042" s="89">
        <v>46234</v>
      </c>
      <c r="J3042" t="s">
        <v>4205</v>
      </c>
      <c r="N3042" t="s">
        <v>4123</v>
      </c>
    </row>
    <row r="3043" spans="1:14" hidden="1" x14ac:dyDescent="0.25">
      <c r="A3043" t="s">
        <v>1321</v>
      </c>
      <c r="B3043" t="s">
        <v>1335</v>
      </c>
      <c r="C3043" t="s">
        <v>4204</v>
      </c>
      <c r="D3043" t="s">
        <v>159</v>
      </c>
      <c r="F3043">
        <v>96</v>
      </c>
      <c r="G3043">
        <v>2</v>
      </c>
      <c r="H3043" s="89">
        <v>46227</v>
      </c>
      <c r="I3043" s="89">
        <v>46235</v>
      </c>
      <c r="J3043" t="s">
        <v>4206</v>
      </c>
      <c r="N3043" t="s">
        <v>4123</v>
      </c>
    </row>
    <row r="3044" spans="1:14" hidden="1" x14ac:dyDescent="0.25">
      <c r="A3044" t="s">
        <v>1326</v>
      </c>
      <c r="B3044" t="s">
        <v>1340</v>
      </c>
      <c r="C3044" t="s">
        <v>4207</v>
      </c>
      <c r="D3044" t="s">
        <v>32</v>
      </c>
      <c r="F3044">
        <v>840</v>
      </c>
      <c r="G3044">
        <v>20</v>
      </c>
      <c r="H3044" s="89">
        <v>46227</v>
      </c>
      <c r="I3044" s="89">
        <v>46231</v>
      </c>
      <c r="J3044" t="s">
        <v>4208</v>
      </c>
      <c r="N3044" t="s">
        <v>4123</v>
      </c>
    </row>
    <row r="3045" spans="1:14" hidden="1" x14ac:dyDescent="0.25">
      <c r="A3045" t="s">
        <v>1320</v>
      </c>
      <c r="B3045" t="s">
        <v>1334</v>
      </c>
      <c r="C3045" t="s">
        <v>4209</v>
      </c>
      <c r="D3045" t="s">
        <v>30</v>
      </c>
      <c r="F3045">
        <v>384</v>
      </c>
      <c r="G3045">
        <v>8</v>
      </c>
      <c r="H3045" s="89">
        <v>46227</v>
      </c>
      <c r="I3045" s="89">
        <v>46231</v>
      </c>
      <c r="J3045" t="s">
        <v>4185</v>
      </c>
      <c r="N3045" t="s">
        <v>4123</v>
      </c>
    </row>
    <row r="3046" spans="1:14" hidden="1" x14ac:dyDescent="0.25">
      <c r="A3046" t="s">
        <v>1325</v>
      </c>
      <c r="B3046" t="s">
        <v>1339</v>
      </c>
      <c r="C3046" t="s">
        <v>4204</v>
      </c>
      <c r="D3046" t="s">
        <v>159</v>
      </c>
      <c r="F3046">
        <v>288</v>
      </c>
      <c r="G3046">
        <v>6</v>
      </c>
      <c r="H3046" s="89">
        <v>46227</v>
      </c>
      <c r="I3046" s="89">
        <v>46231</v>
      </c>
      <c r="J3046" t="s">
        <v>4210</v>
      </c>
      <c r="N3046" t="s">
        <v>4123</v>
      </c>
    </row>
    <row r="3047" spans="1:14" hidden="1" x14ac:dyDescent="0.25">
      <c r="A3047" t="s">
        <v>1324</v>
      </c>
      <c r="B3047" t="s">
        <v>1338</v>
      </c>
      <c r="C3047" t="s">
        <v>4211</v>
      </c>
      <c r="D3047" t="s">
        <v>118</v>
      </c>
      <c r="F3047">
        <v>336</v>
      </c>
      <c r="G3047">
        <v>7</v>
      </c>
      <c r="H3047" s="89">
        <v>46227</v>
      </c>
      <c r="I3047" s="89">
        <v>46234</v>
      </c>
      <c r="J3047" t="s">
        <v>4205</v>
      </c>
      <c r="N3047" t="s">
        <v>4123</v>
      </c>
    </row>
    <row r="3048" spans="1:14" hidden="1" x14ac:dyDescent="0.25">
      <c r="A3048" t="s">
        <v>1320</v>
      </c>
      <c r="B3048" t="s">
        <v>1334</v>
      </c>
      <c r="C3048" t="s">
        <v>4212</v>
      </c>
      <c r="D3048" t="s">
        <v>150</v>
      </c>
      <c r="F3048">
        <v>864</v>
      </c>
      <c r="G3048">
        <v>18</v>
      </c>
      <c r="H3048" s="89">
        <v>46227</v>
      </c>
      <c r="I3048" s="89">
        <v>46232</v>
      </c>
      <c r="J3048" t="s">
        <v>4213</v>
      </c>
      <c r="N3048" t="s">
        <v>4123</v>
      </c>
    </row>
    <row r="3049" spans="1:14" hidden="1" x14ac:dyDescent="0.25">
      <c r="A3049" t="s">
        <v>1320</v>
      </c>
      <c r="B3049" t="s">
        <v>1334</v>
      </c>
      <c r="C3049" t="s">
        <v>4214</v>
      </c>
      <c r="D3049" t="s">
        <v>104</v>
      </c>
      <c r="F3049">
        <v>960</v>
      </c>
      <c r="G3049">
        <v>20</v>
      </c>
      <c r="H3049" s="89">
        <v>46227</v>
      </c>
      <c r="I3049" s="89">
        <v>46232</v>
      </c>
      <c r="J3049" t="s">
        <v>4215</v>
      </c>
      <c r="N3049" t="s">
        <v>4123</v>
      </c>
    </row>
    <row r="3050" spans="1:14" hidden="1" x14ac:dyDescent="0.25">
      <c r="A3050" t="s">
        <v>1314</v>
      </c>
      <c r="B3050" t="s">
        <v>1328</v>
      </c>
      <c r="C3050" t="s">
        <v>4216</v>
      </c>
      <c r="D3050" t="s">
        <v>15</v>
      </c>
      <c r="F3050">
        <v>288</v>
      </c>
      <c r="G3050">
        <v>6</v>
      </c>
      <c r="H3050" s="89">
        <v>46227</v>
      </c>
      <c r="I3050" s="89">
        <v>46230</v>
      </c>
      <c r="J3050" t="s">
        <v>4217</v>
      </c>
      <c r="N3050" t="s">
        <v>4123</v>
      </c>
    </row>
    <row r="3051" spans="1:14" hidden="1" x14ac:dyDescent="0.25">
      <c r="A3051" t="s">
        <v>1324</v>
      </c>
      <c r="B3051" t="s">
        <v>1338</v>
      </c>
      <c r="C3051" t="s">
        <v>4216</v>
      </c>
      <c r="D3051" t="s">
        <v>15</v>
      </c>
      <c r="F3051">
        <v>624</v>
      </c>
      <c r="G3051">
        <v>13</v>
      </c>
      <c r="H3051" s="89">
        <v>46227</v>
      </c>
      <c r="I3051" s="89">
        <v>46234</v>
      </c>
      <c r="J3051" t="s">
        <v>4205</v>
      </c>
      <c r="N3051" t="s">
        <v>4123</v>
      </c>
    </row>
    <row r="3052" spans="1:14" hidden="1" x14ac:dyDescent="0.25">
      <c r="A3052" t="s">
        <v>1315</v>
      </c>
      <c r="B3052" t="s">
        <v>1329</v>
      </c>
      <c r="C3052" t="s">
        <v>4216</v>
      </c>
      <c r="D3052" t="s">
        <v>15</v>
      </c>
      <c r="F3052">
        <v>16</v>
      </c>
      <c r="G3052" t="s">
        <v>1419</v>
      </c>
      <c r="H3052" s="89">
        <v>46227</v>
      </c>
      <c r="I3052" s="89">
        <v>46227</v>
      </c>
      <c r="J3052" t="s">
        <v>4195</v>
      </c>
      <c r="N3052" t="s">
        <v>4123</v>
      </c>
    </row>
    <row r="3053" spans="1:14" hidden="1" x14ac:dyDescent="0.25">
      <c r="A3053" t="s">
        <v>1313</v>
      </c>
      <c r="B3053" t="s">
        <v>1327</v>
      </c>
      <c r="C3053" t="s">
        <v>4216</v>
      </c>
      <c r="D3053" t="s">
        <v>15</v>
      </c>
      <c r="F3053">
        <v>48</v>
      </c>
      <c r="G3053">
        <v>1</v>
      </c>
      <c r="H3053" s="89">
        <v>46227</v>
      </c>
      <c r="I3053" s="89">
        <v>46232</v>
      </c>
      <c r="J3053" t="s">
        <v>4218</v>
      </c>
      <c r="N3053" t="s">
        <v>4123</v>
      </c>
    </row>
    <row r="3054" spans="1:14" hidden="1" x14ac:dyDescent="0.25">
      <c r="A3054" t="s">
        <v>1316</v>
      </c>
      <c r="B3054" t="s">
        <v>1330</v>
      </c>
      <c r="C3054" t="s">
        <v>4219</v>
      </c>
      <c r="D3054" t="s">
        <v>15</v>
      </c>
      <c r="F3054">
        <v>38</v>
      </c>
      <c r="G3054" t="s">
        <v>1419</v>
      </c>
      <c r="H3054" s="89">
        <v>46227</v>
      </c>
      <c r="I3054" s="89">
        <v>46229</v>
      </c>
      <c r="J3054" t="s">
        <v>4220</v>
      </c>
      <c r="N3054" t="s">
        <v>4123</v>
      </c>
    </row>
    <row r="3055" spans="1:14" hidden="1" x14ac:dyDescent="0.25">
      <c r="A3055" t="s">
        <v>1317</v>
      </c>
      <c r="B3055" t="s">
        <v>1331</v>
      </c>
      <c r="C3055" t="s">
        <v>4221</v>
      </c>
      <c r="D3055" t="s">
        <v>15</v>
      </c>
      <c r="F3055">
        <v>31</v>
      </c>
      <c r="G3055" t="s">
        <v>1419</v>
      </c>
      <c r="H3055" s="89">
        <v>46227</v>
      </c>
      <c r="I3055" s="89">
        <v>46229</v>
      </c>
      <c r="J3055" t="s">
        <v>3549</v>
      </c>
      <c r="N3055" t="s">
        <v>4123</v>
      </c>
    </row>
    <row r="3056" spans="1:14" hidden="1" x14ac:dyDescent="0.25">
      <c r="A3056" t="s">
        <v>1318</v>
      </c>
      <c r="B3056" t="s">
        <v>1332</v>
      </c>
      <c r="C3056" t="s">
        <v>4222</v>
      </c>
      <c r="D3056" t="s">
        <v>15</v>
      </c>
      <c r="F3056">
        <v>18</v>
      </c>
      <c r="G3056" t="s">
        <v>1419</v>
      </c>
      <c r="H3056" s="89">
        <v>46227</v>
      </c>
      <c r="I3056" s="89">
        <v>46229</v>
      </c>
      <c r="J3056" t="s">
        <v>4220</v>
      </c>
      <c r="N3056" t="s">
        <v>4123</v>
      </c>
    </row>
    <row r="3057" spans="1:14" hidden="1" x14ac:dyDescent="0.25">
      <c r="A3057" t="s">
        <v>1314</v>
      </c>
      <c r="B3057" t="s">
        <v>1328</v>
      </c>
      <c r="C3057" t="s">
        <v>4223</v>
      </c>
      <c r="D3057" t="s">
        <v>21</v>
      </c>
      <c r="F3057">
        <v>240</v>
      </c>
      <c r="G3057">
        <v>5</v>
      </c>
      <c r="H3057" s="89">
        <v>46227</v>
      </c>
      <c r="I3057" s="89">
        <v>46232</v>
      </c>
      <c r="J3057" t="s">
        <v>4224</v>
      </c>
      <c r="N3057" t="s">
        <v>4123</v>
      </c>
    </row>
    <row r="3058" spans="1:14" hidden="1" x14ac:dyDescent="0.25">
      <c r="A3058" t="s">
        <v>1313</v>
      </c>
      <c r="B3058" t="s">
        <v>1327</v>
      </c>
      <c r="C3058" t="s">
        <v>4223</v>
      </c>
      <c r="D3058" t="s">
        <v>21</v>
      </c>
      <c r="F3058">
        <v>912</v>
      </c>
      <c r="G3058">
        <v>19</v>
      </c>
      <c r="H3058" s="89">
        <v>46227</v>
      </c>
      <c r="I3058" s="89">
        <v>46232</v>
      </c>
      <c r="J3058" t="s">
        <v>4225</v>
      </c>
      <c r="N3058" t="s">
        <v>4123</v>
      </c>
    </row>
    <row r="3059" spans="1:14" hidden="1" x14ac:dyDescent="0.25">
      <c r="A3059" t="s">
        <v>1315</v>
      </c>
      <c r="B3059" t="s">
        <v>1329</v>
      </c>
      <c r="C3059" t="s">
        <v>4223</v>
      </c>
      <c r="D3059" t="s">
        <v>21</v>
      </c>
      <c r="F3059">
        <v>56</v>
      </c>
      <c r="G3059" t="s">
        <v>1419</v>
      </c>
      <c r="H3059" s="89">
        <v>46227</v>
      </c>
      <c r="I3059" s="89">
        <v>46227</v>
      </c>
      <c r="J3059" t="s">
        <v>4130</v>
      </c>
      <c r="N3059" t="s">
        <v>4123</v>
      </c>
    </row>
    <row r="3060" spans="1:14" hidden="1" x14ac:dyDescent="0.25">
      <c r="A3060" t="s">
        <v>1316</v>
      </c>
      <c r="B3060" t="s">
        <v>1330</v>
      </c>
      <c r="C3060" t="s">
        <v>4226</v>
      </c>
      <c r="D3060" t="s">
        <v>21</v>
      </c>
      <c r="F3060">
        <v>9</v>
      </c>
      <c r="G3060" t="s">
        <v>1419</v>
      </c>
      <c r="H3060" s="89">
        <v>46227</v>
      </c>
      <c r="I3060" s="89">
        <v>46229</v>
      </c>
      <c r="J3060" t="s">
        <v>4220</v>
      </c>
      <c r="N3060" t="s">
        <v>4123</v>
      </c>
    </row>
    <row r="3061" spans="1:14" hidden="1" x14ac:dyDescent="0.25">
      <c r="A3061" t="s">
        <v>1317</v>
      </c>
      <c r="B3061" t="s">
        <v>1331</v>
      </c>
      <c r="C3061" t="s">
        <v>4227</v>
      </c>
      <c r="D3061" t="s">
        <v>21</v>
      </c>
      <c r="F3061">
        <v>12</v>
      </c>
      <c r="G3061" t="s">
        <v>1419</v>
      </c>
      <c r="H3061" s="89">
        <v>46227</v>
      </c>
      <c r="I3061" s="89">
        <v>46229</v>
      </c>
      <c r="J3061" t="s">
        <v>3549</v>
      </c>
      <c r="N3061" t="s">
        <v>4123</v>
      </c>
    </row>
    <row r="3062" spans="1:14" hidden="1" x14ac:dyDescent="0.25">
      <c r="A3062" t="s">
        <v>1318</v>
      </c>
      <c r="B3062" t="s">
        <v>1332</v>
      </c>
      <c r="C3062" t="s">
        <v>4228</v>
      </c>
      <c r="D3062" t="s">
        <v>21</v>
      </c>
      <c r="F3062">
        <v>51</v>
      </c>
      <c r="G3062" t="s">
        <v>1419</v>
      </c>
      <c r="H3062" s="89">
        <v>46227</v>
      </c>
      <c r="I3062" s="89">
        <v>46229</v>
      </c>
      <c r="J3062" t="s">
        <v>4220</v>
      </c>
      <c r="N3062" t="s">
        <v>4123</v>
      </c>
    </row>
    <row r="3063" spans="1:14" hidden="1" x14ac:dyDescent="0.25">
      <c r="A3063" t="s">
        <v>1324</v>
      </c>
      <c r="B3063" t="s">
        <v>1338</v>
      </c>
      <c r="C3063" t="s">
        <v>4229</v>
      </c>
      <c r="D3063" t="s">
        <v>114</v>
      </c>
      <c r="F3063">
        <v>1152</v>
      </c>
      <c r="G3063">
        <v>24</v>
      </c>
      <c r="H3063" s="89">
        <v>46228</v>
      </c>
      <c r="I3063" s="89">
        <v>46235</v>
      </c>
      <c r="J3063" t="s">
        <v>4230</v>
      </c>
      <c r="N3063" t="s">
        <v>4123</v>
      </c>
    </row>
    <row r="3064" spans="1:14" hidden="1" x14ac:dyDescent="0.25">
      <c r="A3064" t="s">
        <v>1324</v>
      </c>
      <c r="B3064" t="s">
        <v>1338</v>
      </c>
      <c r="C3064" t="s">
        <v>4231</v>
      </c>
      <c r="D3064" t="s">
        <v>13</v>
      </c>
      <c r="F3064">
        <v>960</v>
      </c>
      <c r="G3064">
        <v>20</v>
      </c>
      <c r="H3064" s="89">
        <v>46228</v>
      </c>
      <c r="I3064" s="89">
        <v>46235</v>
      </c>
      <c r="J3064" t="s">
        <v>4206</v>
      </c>
      <c r="N3064" t="s">
        <v>4123</v>
      </c>
    </row>
    <row r="3065" spans="1:14" hidden="1" x14ac:dyDescent="0.25">
      <c r="A3065" t="s">
        <v>1324</v>
      </c>
      <c r="B3065" t="s">
        <v>1338</v>
      </c>
      <c r="C3065" t="s">
        <v>4232</v>
      </c>
      <c r="D3065" t="s">
        <v>150</v>
      </c>
      <c r="F3065">
        <v>864</v>
      </c>
      <c r="G3065">
        <v>18</v>
      </c>
      <c r="H3065" s="89">
        <v>46228</v>
      </c>
      <c r="I3065" s="89">
        <v>46235</v>
      </c>
      <c r="J3065" t="s">
        <v>4206</v>
      </c>
      <c r="N3065" t="s">
        <v>4123</v>
      </c>
    </row>
    <row r="3066" spans="1:14" hidden="1" x14ac:dyDescent="0.25">
      <c r="A3066" t="s">
        <v>1313</v>
      </c>
      <c r="B3066" t="s">
        <v>1327</v>
      </c>
      <c r="C3066" t="s">
        <v>4232</v>
      </c>
      <c r="D3066" t="s">
        <v>150</v>
      </c>
      <c r="F3066">
        <v>96</v>
      </c>
      <c r="G3066">
        <v>2</v>
      </c>
      <c r="H3066" s="89">
        <v>46228</v>
      </c>
      <c r="I3066" s="89">
        <v>46234</v>
      </c>
      <c r="J3066" t="s">
        <v>4233</v>
      </c>
      <c r="N3066" t="s">
        <v>4123</v>
      </c>
    </row>
    <row r="3067" spans="1:14" hidden="1" x14ac:dyDescent="0.25">
      <c r="A3067" t="s">
        <v>1320</v>
      </c>
      <c r="B3067" t="s">
        <v>1334</v>
      </c>
      <c r="C3067" t="s">
        <v>4234</v>
      </c>
      <c r="D3067" t="s">
        <v>88</v>
      </c>
      <c r="F3067">
        <v>960</v>
      </c>
      <c r="G3067">
        <v>20</v>
      </c>
      <c r="H3067" s="89">
        <v>46228</v>
      </c>
      <c r="I3067" s="89">
        <v>46233</v>
      </c>
      <c r="J3067" t="s">
        <v>4235</v>
      </c>
      <c r="N3067" t="s">
        <v>4123</v>
      </c>
    </row>
    <row r="3068" spans="1:14" hidden="1" x14ac:dyDescent="0.25">
      <c r="A3068" t="s">
        <v>1320</v>
      </c>
      <c r="B3068" t="s">
        <v>1334</v>
      </c>
      <c r="C3068" t="s">
        <v>4232</v>
      </c>
      <c r="D3068" t="s">
        <v>150</v>
      </c>
      <c r="F3068">
        <v>96</v>
      </c>
      <c r="G3068">
        <v>2</v>
      </c>
      <c r="H3068" s="89">
        <v>46228</v>
      </c>
      <c r="I3068" s="89">
        <v>46232</v>
      </c>
      <c r="J3068" t="s">
        <v>4215</v>
      </c>
      <c r="N3068" t="s">
        <v>4123</v>
      </c>
    </row>
    <row r="3069" spans="1:14" hidden="1" x14ac:dyDescent="0.25">
      <c r="A3069" t="s">
        <v>1313</v>
      </c>
      <c r="B3069" t="s">
        <v>1327</v>
      </c>
      <c r="C3069" t="s">
        <v>4236</v>
      </c>
      <c r="D3069" t="s">
        <v>21</v>
      </c>
      <c r="F3069">
        <v>1152</v>
      </c>
      <c r="G3069">
        <v>24</v>
      </c>
      <c r="H3069" s="89">
        <v>46228</v>
      </c>
      <c r="I3069" s="89">
        <v>46232</v>
      </c>
      <c r="J3069" t="s">
        <v>4237</v>
      </c>
      <c r="N3069" t="s">
        <v>4123</v>
      </c>
    </row>
    <row r="3070" spans="1:14" hidden="1" x14ac:dyDescent="0.25">
      <c r="A3070" t="s">
        <v>1315</v>
      </c>
      <c r="B3070" t="s">
        <v>1329</v>
      </c>
      <c r="C3070" t="s">
        <v>4236</v>
      </c>
      <c r="D3070" t="s">
        <v>21</v>
      </c>
      <c r="F3070">
        <v>50</v>
      </c>
      <c r="G3070" t="s">
        <v>1419</v>
      </c>
      <c r="H3070" s="89">
        <v>46228</v>
      </c>
      <c r="I3070" s="89">
        <v>46230</v>
      </c>
      <c r="J3070" t="s">
        <v>4238</v>
      </c>
      <c r="N3070" t="s">
        <v>4123</v>
      </c>
    </row>
    <row r="3071" spans="1:14" hidden="1" x14ac:dyDescent="0.25">
      <c r="A3071" t="s">
        <v>1316</v>
      </c>
      <c r="B3071" t="s">
        <v>1330</v>
      </c>
      <c r="C3071" t="s">
        <v>4239</v>
      </c>
      <c r="D3071" t="s">
        <v>21</v>
      </c>
      <c r="F3071">
        <v>44</v>
      </c>
      <c r="G3071" t="s">
        <v>1419</v>
      </c>
      <c r="H3071" s="89">
        <v>46228</v>
      </c>
      <c r="I3071" s="89">
        <v>46230</v>
      </c>
      <c r="J3071" t="s">
        <v>4240</v>
      </c>
      <c r="N3071" t="s">
        <v>4123</v>
      </c>
    </row>
    <row r="3072" spans="1:14" hidden="1" x14ac:dyDescent="0.25">
      <c r="A3072" t="s">
        <v>1317</v>
      </c>
      <c r="B3072" t="s">
        <v>1331</v>
      </c>
      <c r="C3072" t="s">
        <v>4241</v>
      </c>
      <c r="D3072" t="s">
        <v>21</v>
      </c>
      <c r="F3072">
        <v>23</v>
      </c>
      <c r="G3072" t="s">
        <v>1419</v>
      </c>
      <c r="H3072" s="89">
        <v>46228</v>
      </c>
      <c r="I3072" s="89">
        <v>46230</v>
      </c>
      <c r="J3072" t="s">
        <v>4242</v>
      </c>
      <c r="N3072" t="s">
        <v>4123</v>
      </c>
    </row>
    <row r="3073" spans="1:14" hidden="1" x14ac:dyDescent="0.25">
      <c r="A3073" t="s">
        <v>1318</v>
      </c>
      <c r="B3073" t="s">
        <v>1332</v>
      </c>
      <c r="C3073" t="s">
        <v>4243</v>
      </c>
      <c r="D3073" t="s">
        <v>21</v>
      </c>
      <c r="F3073">
        <v>49</v>
      </c>
      <c r="G3073" t="s">
        <v>1419</v>
      </c>
      <c r="H3073" s="89">
        <v>46228</v>
      </c>
      <c r="I3073" s="89">
        <v>46230</v>
      </c>
      <c r="J3073" t="s">
        <v>4240</v>
      </c>
      <c r="N3073" t="s">
        <v>4123</v>
      </c>
    </row>
    <row r="3074" spans="1:14" hidden="1" x14ac:dyDescent="0.25">
      <c r="A3074" t="s">
        <v>1314</v>
      </c>
      <c r="B3074" t="s">
        <v>1328</v>
      </c>
      <c r="C3074" t="s">
        <v>4244</v>
      </c>
      <c r="D3074" t="s">
        <v>15</v>
      </c>
      <c r="F3074">
        <v>96</v>
      </c>
      <c r="G3074">
        <v>2</v>
      </c>
      <c r="H3074" s="89">
        <v>46228</v>
      </c>
      <c r="I3074" s="89">
        <v>46232</v>
      </c>
      <c r="J3074" t="s">
        <v>4218</v>
      </c>
      <c r="N3074" t="s">
        <v>4123</v>
      </c>
    </row>
    <row r="3075" spans="1:14" hidden="1" x14ac:dyDescent="0.25">
      <c r="A3075" t="s">
        <v>1313</v>
      </c>
      <c r="B3075" t="s">
        <v>1327</v>
      </c>
      <c r="C3075" t="s">
        <v>4244</v>
      </c>
      <c r="D3075" t="s">
        <v>15</v>
      </c>
      <c r="F3075">
        <v>1008</v>
      </c>
      <c r="G3075">
        <v>21</v>
      </c>
      <c r="H3075" s="89">
        <v>46228</v>
      </c>
      <c r="I3075" s="89">
        <v>46232</v>
      </c>
      <c r="J3075" t="s">
        <v>4218</v>
      </c>
      <c r="N3075" t="s">
        <v>4123</v>
      </c>
    </row>
    <row r="3076" spans="1:14" hidden="1" x14ac:dyDescent="0.25">
      <c r="A3076" t="s">
        <v>1313</v>
      </c>
      <c r="B3076" t="s">
        <v>1327</v>
      </c>
      <c r="C3076" t="s">
        <v>4244</v>
      </c>
      <c r="D3076" t="s">
        <v>15</v>
      </c>
      <c r="F3076">
        <v>48</v>
      </c>
      <c r="G3076">
        <v>1</v>
      </c>
      <c r="H3076" s="89">
        <v>46228</v>
      </c>
      <c r="I3076" s="89">
        <v>46234</v>
      </c>
      <c r="J3076" t="s">
        <v>4233</v>
      </c>
      <c r="N3076" t="s">
        <v>4123</v>
      </c>
    </row>
    <row r="3077" spans="1:14" hidden="1" x14ac:dyDescent="0.25">
      <c r="A3077" t="s">
        <v>1315</v>
      </c>
      <c r="B3077" t="s">
        <v>1329</v>
      </c>
      <c r="C3077" t="s">
        <v>4244</v>
      </c>
      <c r="D3077" t="s">
        <v>15</v>
      </c>
      <c r="F3077">
        <v>6</v>
      </c>
      <c r="G3077" t="s">
        <v>1419</v>
      </c>
      <c r="H3077" s="89">
        <v>46228</v>
      </c>
      <c r="I3077" s="89">
        <v>46230</v>
      </c>
      <c r="J3077" t="s">
        <v>4238</v>
      </c>
      <c r="N3077" t="s">
        <v>4123</v>
      </c>
    </row>
    <row r="3078" spans="1:14" hidden="1" x14ac:dyDescent="0.25">
      <c r="A3078" t="s">
        <v>1316</v>
      </c>
      <c r="B3078" t="s">
        <v>1330</v>
      </c>
      <c r="C3078" t="s">
        <v>4245</v>
      </c>
      <c r="D3078" t="s">
        <v>15</v>
      </c>
      <c r="F3078">
        <v>21</v>
      </c>
      <c r="G3078" t="s">
        <v>1419</v>
      </c>
      <c r="H3078" s="89">
        <v>46228</v>
      </c>
      <c r="I3078" s="89">
        <v>46230</v>
      </c>
      <c r="J3078" t="s">
        <v>4240</v>
      </c>
      <c r="N3078" t="s">
        <v>4123</v>
      </c>
    </row>
    <row r="3079" spans="1:14" hidden="1" x14ac:dyDescent="0.25">
      <c r="A3079" t="s">
        <v>1317</v>
      </c>
      <c r="B3079" t="s">
        <v>1331</v>
      </c>
      <c r="C3079" t="s">
        <v>4246</v>
      </c>
      <c r="D3079" t="s">
        <v>15</v>
      </c>
      <c r="F3079">
        <v>26</v>
      </c>
      <c r="G3079" t="s">
        <v>1419</v>
      </c>
      <c r="H3079" s="89">
        <v>46228</v>
      </c>
      <c r="I3079" s="89">
        <v>46230</v>
      </c>
      <c r="J3079" t="s">
        <v>4242</v>
      </c>
      <c r="N3079" t="s">
        <v>4123</v>
      </c>
    </row>
    <row r="3080" spans="1:14" hidden="1" x14ac:dyDescent="0.25">
      <c r="A3080" t="s">
        <v>1318</v>
      </c>
      <c r="B3080" t="s">
        <v>1332</v>
      </c>
      <c r="C3080" t="s">
        <v>4247</v>
      </c>
      <c r="D3080" t="s">
        <v>15</v>
      </c>
      <c r="F3080">
        <v>25</v>
      </c>
      <c r="G3080" t="s">
        <v>1419</v>
      </c>
      <c r="H3080" s="89">
        <v>46228</v>
      </c>
      <c r="I3080" s="89">
        <v>46230</v>
      </c>
      <c r="J3080" t="s">
        <v>4240</v>
      </c>
      <c r="N3080" t="s">
        <v>4123</v>
      </c>
    </row>
    <row r="3081" spans="1:14" hidden="1" x14ac:dyDescent="0.25">
      <c r="A3081" t="s">
        <v>1324</v>
      </c>
      <c r="B3081" t="s">
        <v>1338</v>
      </c>
      <c r="C3081" t="s">
        <v>4248</v>
      </c>
      <c r="D3081" t="s">
        <v>13</v>
      </c>
      <c r="F3081">
        <v>720</v>
      </c>
      <c r="G3081">
        <v>15</v>
      </c>
      <c r="H3081" s="89">
        <v>46230</v>
      </c>
      <c r="I3081" s="89">
        <v>46237</v>
      </c>
      <c r="J3081" t="s">
        <v>4249</v>
      </c>
      <c r="N3081" t="s">
        <v>4250</v>
      </c>
    </row>
    <row r="3082" spans="1:14" hidden="1" x14ac:dyDescent="0.25">
      <c r="A3082" t="s">
        <v>1320</v>
      </c>
      <c r="B3082" t="s">
        <v>1334</v>
      </c>
      <c r="C3082" t="s">
        <v>4251</v>
      </c>
      <c r="D3082" t="s">
        <v>147</v>
      </c>
      <c r="F3082">
        <v>960</v>
      </c>
      <c r="G3082">
        <v>20</v>
      </c>
      <c r="H3082" s="89">
        <v>46230</v>
      </c>
      <c r="I3082" s="89">
        <v>46233</v>
      </c>
      <c r="J3082" t="s">
        <v>4235</v>
      </c>
      <c r="N3082" t="s">
        <v>4250</v>
      </c>
    </row>
    <row r="3083" spans="1:14" hidden="1" x14ac:dyDescent="0.25">
      <c r="A3083" t="s">
        <v>1313</v>
      </c>
      <c r="B3083" t="s">
        <v>1327</v>
      </c>
      <c r="C3083" t="s">
        <v>4252</v>
      </c>
      <c r="D3083" t="s">
        <v>15</v>
      </c>
      <c r="F3083">
        <v>756</v>
      </c>
      <c r="G3083">
        <v>16.75</v>
      </c>
      <c r="H3083" s="89">
        <v>46230</v>
      </c>
      <c r="I3083" s="89">
        <v>46234</v>
      </c>
      <c r="J3083" t="s">
        <v>4233</v>
      </c>
      <c r="N3083" t="s">
        <v>4250</v>
      </c>
    </row>
    <row r="3084" spans="1:14" hidden="1" x14ac:dyDescent="0.25">
      <c r="A3084" t="s">
        <v>1319</v>
      </c>
      <c r="B3084" t="s">
        <v>1333</v>
      </c>
      <c r="C3084" t="s">
        <v>4252</v>
      </c>
      <c r="D3084" t="s">
        <v>15</v>
      </c>
      <c r="F3084">
        <v>60</v>
      </c>
      <c r="G3084">
        <v>1.25</v>
      </c>
      <c r="H3084" s="89">
        <v>46230</v>
      </c>
      <c r="I3084" s="89">
        <v>46234</v>
      </c>
      <c r="J3084" t="s">
        <v>4233</v>
      </c>
      <c r="N3084" t="s">
        <v>4250</v>
      </c>
    </row>
    <row r="3085" spans="1:14" hidden="1" x14ac:dyDescent="0.25">
      <c r="A3085" t="s">
        <v>1314</v>
      </c>
      <c r="B3085" t="s">
        <v>1328</v>
      </c>
      <c r="C3085" t="s">
        <v>4252</v>
      </c>
      <c r="D3085" t="s">
        <v>15</v>
      </c>
      <c r="F3085">
        <v>48</v>
      </c>
      <c r="G3085">
        <v>1</v>
      </c>
      <c r="H3085" s="89">
        <v>46230</v>
      </c>
      <c r="I3085" s="89">
        <v>46234</v>
      </c>
      <c r="J3085" t="s">
        <v>4253</v>
      </c>
      <c r="N3085" t="s">
        <v>4250</v>
      </c>
    </row>
    <row r="3086" spans="1:14" hidden="1" x14ac:dyDescent="0.25">
      <c r="A3086" t="s">
        <v>1315</v>
      </c>
      <c r="B3086" t="s">
        <v>1329</v>
      </c>
      <c r="C3086" t="s">
        <v>4252</v>
      </c>
      <c r="D3086" t="s">
        <v>15</v>
      </c>
      <c r="F3086">
        <v>30</v>
      </c>
      <c r="G3086" t="s">
        <v>1419</v>
      </c>
      <c r="H3086" s="89">
        <v>46230</v>
      </c>
      <c r="I3086" s="89">
        <v>46232</v>
      </c>
      <c r="J3086" t="s">
        <v>3549</v>
      </c>
      <c r="N3086" t="s">
        <v>4250</v>
      </c>
    </row>
    <row r="3087" spans="1:14" hidden="1" x14ac:dyDescent="0.25">
      <c r="A3087" t="s">
        <v>1313</v>
      </c>
      <c r="B3087" t="s">
        <v>1327</v>
      </c>
      <c r="C3087" t="s">
        <v>4252</v>
      </c>
      <c r="D3087" t="s">
        <v>15</v>
      </c>
      <c r="F3087">
        <v>240</v>
      </c>
      <c r="G3087">
        <v>5</v>
      </c>
      <c r="H3087" s="89">
        <v>46230</v>
      </c>
      <c r="I3087" s="89">
        <v>46234</v>
      </c>
      <c r="J3087" t="s">
        <v>4253</v>
      </c>
      <c r="N3087" t="s">
        <v>4250</v>
      </c>
    </row>
    <row r="3088" spans="1:14" hidden="1" x14ac:dyDescent="0.25">
      <c r="A3088" t="s">
        <v>1316</v>
      </c>
      <c r="B3088" t="s">
        <v>1330</v>
      </c>
      <c r="C3088" t="s">
        <v>4254</v>
      </c>
      <c r="D3088" t="s">
        <v>15</v>
      </c>
      <c r="F3088">
        <v>34</v>
      </c>
      <c r="G3088" t="s">
        <v>1419</v>
      </c>
      <c r="H3088" s="89">
        <v>46230</v>
      </c>
      <c r="I3088" s="89">
        <v>46232</v>
      </c>
      <c r="J3088" t="s">
        <v>3549</v>
      </c>
      <c r="N3088" t="s">
        <v>4250</v>
      </c>
    </row>
    <row r="3089" spans="1:14" hidden="1" x14ac:dyDescent="0.25">
      <c r="A3089" t="s">
        <v>1317</v>
      </c>
      <c r="B3089" t="s">
        <v>1331</v>
      </c>
      <c r="C3089" t="s">
        <v>4255</v>
      </c>
      <c r="D3089" t="s">
        <v>15</v>
      </c>
      <c r="F3089">
        <v>30</v>
      </c>
      <c r="G3089" t="s">
        <v>1419</v>
      </c>
      <c r="H3089" s="89">
        <v>46230</v>
      </c>
      <c r="I3089" s="89">
        <v>46232</v>
      </c>
      <c r="J3089" t="s">
        <v>3549</v>
      </c>
      <c r="N3089" t="s">
        <v>4250</v>
      </c>
    </row>
    <row r="3090" spans="1:14" hidden="1" x14ac:dyDescent="0.25">
      <c r="A3090" t="s">
        <v>1318</v>
      </c>
      <c r="B3090" t="s">
        <v>1332</v>
      </c>
      <c r="C3090" t="s">
        <v>4256</v>
      </c>
      <c r="D3090" t="s">
        <v>15</v>
      </c>
      <c r="F3090">
        <v>22</v>
      </c>
      <c r="G3090" t="s">
        <v>1419</v>
      </c>
      <c r="H3090" s="89">
        <v>46230</v>
      </c>
      <c r="I3090" s="89">
        <v>46232</v>
      </c>
      <c r="J3090" t="s">
        <v>3549</v>
      </c>
      <c r="N3090" t="s">
        <v>4250</v>
      </c>
    </row>
    <row r="3091" spans="1:14" hidden="1" x14ac:dyDescent="0.25">
      <c r="A3091" t="s">
        <v>1324</v>
      </c>
      <c r="B3091" t="s">
        <v>1338</v>
      </c>
      <c r="C3091" t="s">
        <v>4257</v>
      </c>
      <c r="D3091" t="s">
        <v>28</v>
      </c>
      <c r="F3091">
        <v>816</v>
      </c>
      <c r="G3091">
        <v>17</v>
      </c>
      <c r="H3091" s="89">
        <v>46230</v>
      </c>
      <c r="I3091" s="89">
        <v>46237</v>
      </c>
      <c r="J3091" t="s">
        <v>4249</v>
      </c>
      <c r="N3091" t="s">
        <v>4250</v>
      </c>
    </row>
    <row r="3092" spans="1:14" hidden="1" x14ac:dyDescent="0.25">
      <c r="A3092" t="s">
        <v>1315</v>
      </c>
      <c r="B3092" t="s">
        <v>1329</v>
      </c>
      <c r="C3092" t="s">
        <v>4257</v>
      </c>
      <c r="D3092" t="s">
        <v>28</v>
      </c>
      <c r="F3092">
        <v>111</v>
      </c>
      <c r="G3092" t="s">
        <v>1419</v>
      </c>
      <c r="H3092" s="89">
        <v>46230</v>
      </c>
      <c r="I3092" s="89">
        <v>46232</v>
      </c>
      <c r="J3092" t="s">
        <v>3549</v>
      </c>
      <c r="N3092" t="s">
        <v>4250</v>
      </c>
    </row>
    <row r="3093" spans="1:14" hidden="1" x14ac:dyDescent="0.25">
      <c r="A3093" t="s">
        <v>1316</v>
      </c>
      <c r="B3093" t="s">
        <v>1330</v>
      </c>
      <c r="C3093" t="s">
        <v>4258</v>
      </c>
      <c r="D3093" t="s">
        <v>28</v>
      </c>
      <c r="F3093">
        <v>49</v>
      </c>
      <c r="G3093" t="s">
        <v>1419</v>
      </c>
      <c r="H3093" s="89">
        <v>46230</v>
      </c>
      <c r="I3093" s="89">
        <v>46232</v>
      </c>
      <c r="J3093" t="s">
        <v>3549</v>
      </c>
      <c r="N3093" t="s">
        <v>4250</v>
      </c>
    </row>
    <row r="3094" spans="1:14" hidden="1" x14ac:dyDescent="0.25">
      <c r="A3094" t="s">
        <v>1317</v>
      </c>
      <c r="B3094" t="s">
        <v>1331</v>
      </c>
      <c r="C3094" t="s">
        <v>4259</v>
      </c>
      <c r="D3094" t="s">
        <v>28</v>
      </c>
      <c r="F3094">
        <v>20</v>
      </c>
      <c r="G3094" t="s">
        <v>1419</v>
      </c>
      <c r="H3094" s="89">
        <v>46230</v>
      </c>
      <c r="I3094" s="89">
        <v>46232</v>
      </c>
      <c r="J3094" t="s">
        <v>3549</v>
      </c>
      <c r="N3094" t="s">
        <v>4250</v>
      </c>
    </row>
    <row r="3095" spans="1:14" hidden="1" x14ac:dyDescent="0.25">
      <c r="A3095" t="s">
        <v>1318</v>
      </c>
      <c r="B3095" t="s">
        <v>1332</v>
      </c>
      <c r="C3095" t="s">
        <v>4260</v>
      </c>
      <c r="D3095" t="s">
        <v>28</v>
      </c>
      <c r="F3095">
        <v>43</v>
      </c>
      <c r="G3095" t="s">
        <v>1419</v>
      </c>
      <c r="H3095" s="89">
        <v>46230</v>
      </c>
      <c r="I3095" s="89">
        <v>46232</v>
      </c>
      <c r="J3095" t="s">
        <v>3549</v>
      </c>
      <c r="N3095" t="s">
        <v>4250</v>
      </c>
    </row>
    <row r="3096" spans="1:14" hidden="1" x14ac:dyDescent="0.25">
      <c r="A3096" t="s">
        <v>1320</v>
      </c>
      <c r="B3096" t="s">
        <v>1334</v>
      </c>
      <c r="C3096" t="s">
        <v>4261</v>
      </c>
      <c r="D3096" t="s">
        <v>20</v>
      </c>
      <c r="F3096">
        <v>960</v>
      </c>
      <c r="G3096">
        <v>20</v>
      </c>
      <c r="H3096" s="89">
        <v>46230</v>
      </c>
      <c r="I3096" s="89">
        <v>46234</v>
      </c>
      <c r="J3096" t="s">
        <v>4262</v>
      </c>
      <c r="N3096" t="s">
        <v>4250</v>
      </c>
    </row>
    <row r="3097" spans="1:14" hidden="1" x14ac:dyDescent="0.25">
      <c r="A3097" t="s">
        <v>1315</v>
      </c>
      <c r="B3097" t="s">
        <v>1329</v>
      </c>
      <c r="C3097" t="s">
        <v>4261</v>
      </c>
      <c r="D3097" t="s">
        <v>20</v>
      </c>
      <c r="F3097">
        <v>184</v>
      </c>
      <c r="G3097" t="s">
        <v>1419</v>
      </c>
      <c r="H3097" s="89">
        <v>46230</v>
      </c>
      <c r="I3097" s="89">
        <v>46232</v>
      </c>
      <c r="J3097" t="s">
        <v>3549</v>
      </c>
      <c r="N3097" t="s">
        <v>4250</v>
      </c>
    </row>
    <row r="3098" spans="1:14" hidden="1" x14ac:dyDescent="0.25">
      <c r="A3098" t="s">
        <v>1316</v>
      </c>
      <c r="B3098" t="s">
        <v>1330</v>
      </c>
      <c r="C3098" t="s">
        <v>4263</v>
      </c>
      <c r="D3098" t="s">
        <v>20</v>
      </c>
      <c r="F3098">
        <v>228</v>
      </c>
      <c r="G3098" t="s">
        <v>1419</v>
      </c>
      <c r="H3098" s="89">
        <v>46230</v>
      </c>
      <c r="I3098" s="89">
        <v>46232</v>
      </c>
      <c r="J3098" t="s">
        <v>3549</v>
      </c>
      <c r="N3098" t="s">
        <v>4250</v>
      </c>
    </row>
    <row r="3099" spans="1:14" hidden="1" x14ac:dyDescent="0.25">
      <c r="A3099" t="s">
        <v>1317</v>
      </c>
      <c r="B3099" t="s">
        <v>1331</v>
      </c>
      <c r="C3099" t="s">
        <v>4264</v>
      </c>
      <c r="D3099" t="s">
        <v>20</v>
      </c>
      <c r="F3099">
        <v>28</v>
      </c>
      <c r="G3099" t="s">
        <v>1419</v>
      </c>
      <c r="H3099" s="89">
        <v>46230</v>
      </c>
      <c r="I3099" s="89">
        <v>46232</v>
      </c>
      <c r="J3099" t="s">
        <v>3549</v>
      </c>
      <c r="N3099" t="s">
        <v>4250</v>
      </c>
    </row>
    <row r="3100" spans="1:14" hidden="1" x14ac:dyDescent="0.25">
      <c r="A3100" t="s">
        <v>1318</v>
      </c>
      <c r="B3100" t="s">
        <v>1332</v>
      </c>
      <c r="C3100" t="s">
        <v>4265</v>
      </c>
      <c r="D3100" t="s">
        <v>20</v>
      </c>
      <c r="F3100">
        <v>69</v>
      </c>
      <c r="G3100" t="s">
        <v>1419</v>
      </c>
      <c r="H3100" s="89">
        <v>46230</v>
      </c>
      <c r="I3100" s="89">
        <v>46232</v>
      </c>
      <c r="J3100" t="s">
        <v>3549</v>
      </c>
      <c r="N3100" t="s">
        <v>4250</v>
      </c>
    </row>
    <row r="3101" spans="1:14" hidden="1" x14ac:dyDescent="0.25">
      <c r="A3101" t="s">
        <v>1324</v>
      </c>
      <c r="B3101" t="s">
        <v>1338</v>
      </c>
      <c r="C3101" t="s">
        <v>4266</v>
      </c>
      <c r="D3101" t="s">
        <v>152</v>
      </c>
      <c r="F3101">
        <v>240</v>
      </c>
      <c r="G3101">
        <v>5</v>
      </c>
      <c r="H3101" s="89">
        <v>46231</v>
      </c>
      <c r="I3101" s="89">
        <v>46237</v>
      </c>
      <c r="J3101" t="s">
        <v>4249</v>
      </c>
      <c r="N3101" t="s">
        <v>4250</v>
      </c>
    </row>
    <row r="3102" spans="1:14" hidden="1" x14ac:dyDescent="0.25">
      <c r="A3102" t="s">
        <v>1320</v>
      </c>
      <c r="B3102" t="s">
        <v>1334</v>
      </c>
      <c r="C3102" t="s">
        <v>4267</v>
      </c>
      <c r="D3102" t="s">
        <v>23</v>
      </c>
      <c r="F3102">
        <v>960</v>
      </c>
      <c r="G3102">
        <v>20</v>
      </c>
      <c r="H3102" s="89">
        <v>46231</v>
      </c>
      <c r="I3102" s="89">
        <v>46235</v>
      </c>
      <c r="J3102" t="s">
        <v>4268</v>
      </c>
      <c r="N3102" t="s">
        <v>4250</v>
      </c>
    </row>
    <row r="3103" spans="1:14" hidden="1" x14ac:dyDescent="0.25">
      <c r="A3103" t="s">
        <v>1320</v>
      </c>
      <c r="B3103" t="s">
        <v>1334</v>
      </c>
      <c r="C3103" t="s">
        <v>4269</v>
      </c>
      <c r="D3103" t="s">
        <v>150</v>
      </c>
      <c r="F3103">
        <v>960</v>
      </c>
      <c r="G3103">
        <v>20</v>
      </c>
      <c r="H3103" s="89">
        <v>46231</v>
      </c>
      <c r="I3103" s="89">
        <v>46234</v>
      </c>
      <c r="J3103" t="s">
        <v>4270</v>
      </c>
      <c r="N3103" t="s">
        <v>4250</v>
      </c>
    </row>
    <row r="3104" spans="1:14" hidden="1" x14ac:dyDescent="0.25">
      <c r="A3104" t="s">
        <v>1313</v>
      </c>
      <c r="B3104" t="s">
        <v>1327</v>
      </c>
      <c r="C3104" t="s">
        <v>4271</v>
      </c>
      <c r="D3104" t="s">
        <v>15</v>
      </c>
      <c r="F3104">
        <v>864</v>
      </c>
      <c r="G3104">
        <v>18</v>
      </c>
      <c r="H3104" s="89">
        <v>46231</v>
      </c>
      <c r="I3104" s="89">
        <v>46234</v>
      </c>
      <c r="J3104" t="s">
        <v>4253</v>
      </c>
      <c r="N3104" t="s">
        <v>4250</v>
      </c>
    </row>
    <row r="3105" spans="1:14" hidden="1" x14ac:dyDescent="0.25">
      <c r="A3105" t="s">
        <v>1314</v>
      </c>
      <c r="B3105" t="s">
        <v>1328</v>
      </c>
      <c r="C3105" t="s">
        <v>4271</v>
      </c>
      <c r="D3105" t="s">
        <v>15</v>
      </c>
      <c r="F3105">
        <v>240</v>
      </c>
      <c r="G3105">
        <v>5</v>
      </c>
      <c r="H3105" s="89">
        <v>46231</v>
      </c>
      <c r="I3105" s="89">
        <v>46235</v>
      </c>
      <c r="J3105" t="s">
        <v>4272</v>
      </c>
      <c r="N3105" t="s">
        <v>4250</v>
      </c>
    </row>
    <row r="3106" spans="1:14" hidden="1" x14ac:dyDescent="0.25">
      <c r="A3106" t="s">
        <v>1313</v>
      </c>
      <c r="B3106" t="s">
        <v>1327</v>
      </c>
      <c r="C3106" t="s">
        <v>4271</v>
      </c>
      <c r="D3106" t="s">
        <v>15</v>
      </c>
      <c r="F3106">
        <v>48</v>
      </c>
      <c r="G3106">
        <v>1</v>
      </c>
      <c r="H3106" s="89">
        <v>46231</v>
      </c>
      <c r="I3106" s="89">
        <v>46235</v>
      </c>
      <c r="J3106" t="s">
        <v>4273</v>
      </c>
      <c r="N3106" t="s">
        <v>4250</v>
      </c>
    </row>
    <row r="3107" spans="1:14" hidden="1" x14ac:dyDescent="0.25">
      <c r="A3107" t="s">
        <v>1315</v>
      </c>
      <c r="B3107" t="s">
        <v>1329</v>
      </c>
      <c r="C3107" t="s">
        <v>4271</v>
      </c>
      <c r="D3107" t="s">
        <v>15</v>
      </c>
      <c r="F3107">
        <v>2</v>
      </c>
      <c r="G3107" t="s">
        <v>1419</v>
      </c>
      <c r="H3107" s="89">
        <v>46231</v>
      </c>
      <c r="I3107" s="89">
        <v>46233</v>
      </c>
      <c r="J3107" t="s">
        <v>3549</v>
      </c>
      <c r="N3107" t="s">
        <v>4250</v>
      </c>
    </row>
    <row r="3108" spans="1:14" hidden="1" x14ac:dyDescent="0.25">
      <c r="A3108" t="s">
        <v>1316</v>
      </c>
      <c r="B3108" t="s">
        <v>1330</v>
      </c>
      <c r="C3108" t="s">
        <v>4274</v>
      </c>
      <c r="D3108" t="s">
        <v>15</v>
      </c>
      <c r="F3108">
        <v>43</v>
      </c>
      <c r="G3108" t="s">
        <v>1419</v>
      </c>
      <c r="H3108" s="89">
        <v>46231</v>
      </c>
      <c r="I3108" s="89">
        <v>46233</v>
      </c>
      <c r="J3108" t="s">
        <v>3549</v>
      </c>
      <c r="N3108" t="s">
        <v>4250</v>
      </c>
    </row>
    <row r="3109" spans="1:14" hidden="1" x14ac:dyDescent="0.25">
      <c r="A3109" t="s">
        <v>1317</v>
      </c>
      <c r="B3109" t="s">
        <v>1331</v>
      </c>
      <c r="C3109" t="s">
        <v>4275</v>
      </c>
      <c r="D3109" t="s">
        <v>15</v>
      </c>
      <c r="F3109">
        <v>41</v>
      </c>
      <c r="G3109" t="s">
        <v>1419</v>
      </c>
      <c r="H3109" s="89">
        <v>46231</v>
      </c>
      <c r="I3109" s="89">
        <v>46233</v>
      </c>
      <c r="J3109" t="s">
        <v>3549</v>
      </c>
      <c r="N3109" t="s">
        <v>4250</v>
      </c>
    </row>
    <row r="3110" spans="1:14" hidden="1" x14ac:dyDescent="0.25">
      <c r="A3110" t="s">
        <v>1318</v>
      </c>
      <c r="B3110" t="s">
        <v>1332</v>
      </c>
      <c r="C3110" t="s">
        <v>4276</v>
      </c>
      <c r="D3110" t="s">
        <v>15</v>
      </c>
      <c r="F3110">
        <v>30</v>
      </c>
      <c r="G3110" t="s">
        <v>1419</v>
      </c>
      <c r="H3110" s="89">
        <v>46231</v>
      </c>
      <c r="I3110" s="89">
        <v>46233</v>
      </c>
      <c r="J3110" t="s">
        <v>3549</v>
      </c>
      <c r="N3110" t="s">
        <v>4250</v>
      </c>
    </row>
    <row r="3111" spans="1:14" hidden="1" x14ac:dyDescent="0.25">
      <c r="A3111" t="s">
        <v>1322</v>
      </c>
      <c r="B3111" t="s">
        <v>1336</v>
      </c>
      <c r="C3111" t="s">
        <v>4277</v>
      </c>
      <c r="D3111" t="s">
        <v>20</v>
      </c>
      <c r="F3111">
        <v>324</v>
      </c>
      <c r="G3111">
        <v>6</v>
      </c>
      <c r="H3111" s="89">
        <v>46231</v>
      </c>
      <c r="I3111" s="89">
        <v>46235</v>
      </c>
      <c r="J3111" t="s">
        <v>4278</v>
      </c>
      <c r="N3111" t="s">
        <v>4250</v>
      </c>
    </row>
    <row r="3112" spans="1:14" hidden="1" x14ac:dyDescent="0.25">
      <c r="A3112" t="s">
        <v>1323</v>
      </c>
      <c r="B3112" t="s">
        <v>1337</v>
      </c>
      <c r="C3112" t="s">
        <v>4277</v>
      </c>
      <c r="D3112" t="s">
        <v>20</v>
      </c>
      <c r="F3112">
        <v>756</v>
      </c>
      <c r="G3112">
        <v>14</v>
      </c>
      <c r="H3112" s="89">
        <v>46231</v>
      </c>
      <c r="I3112" s="89">
        <v>46235</v>
      </c>
      <c r="J3112" t="s">
        <v>4278</v>
      </c>
      <c r="N3112" t="s">
        <v>4250</v>
      </c>
    </row>
    <row r="3113" spans="1:14" hidden="1" x14ac:dyDescent="0.25">
      <c r="A3113" t="s">
        <v>1313</v>
      </c>
      <c r="B3113" t="s">
        <v>1327</v>
      </c>
      <c r="C3113" t="s">
        <v>4277</v>
      </c>
      <c r="D3113" t="s">
        <v>20</v>
      </c>
      <c r="F3113">
        <v>144</v>
      </c>
      <c r="G3113">
        <v>3</v>
      </c>
      <c r="H3113" s="89">
        <v>46231</v>
      </c>
      <c r="I3113" s="89">
        <v>46233</v>
      </c>
      <c r="J3113" t="s">
        <v>3549</v>
      </c>
      <c r="N3113" t="s">
        <v>4250</v>
      </c>
    </row>
    <row r="3114" spans="1:14" hidden="1" x14ac:dyDescent="0.25">
      <c r="A3114" t="s">
        <v>1315</v>
      </c>
      <c r="B3114" t="s">
        <v>1329</v>
      </c>
      <c r="C3114" t="s">
        <v>4277</v>
      </c>
      <c r="D3114" t="s">
        <v>20</v>
      </c>
      <c r="F3114">
        <v>21</v>
      </c>
      <c r="G3114" t="s">
        <v>1419</v>
      </c>
      <c r="H3114" s="89">
        <v>46231</v>
      </c>
      <c r="I3114" s="89">
        <v>46233</v>
      </c>
      <c r="J3114" t="s">
        <v>3549</v>
      </c>
      <c r="N3114" t="s">
        <v>4250</v>
      </c>
    </row>
    <row r="3115" spans="1:14" hidden="1" x14ac:dyDescent="0.25">
      <c r="A3115" t="s">
        <v>1316</v>
      </c>
      <c r="B3115" t="s">
        <v>1330</v>
      </c>
      <c r="C3115" t="s">
        <v>4279</v>
      </c>
      <c r="D3115" t="s">
        <v>20</v>
      </c>
      <c r="F3115">
        <v>155</v>
      </c>
      <c r="G3115" t="s">
        <v>1419</v>
      </c>
      <c r="H3115" s="89">
        <v>46231</v>
      </c>
      <c r="I3115" s="89">
        <v>46233</v>
      </c>
      <c r="J3115" t="s">
        <v>3549</v>
      </c>
      <c r="N3115" t="s">
        <v>4250</v>
      </c>
    </row>
    <row r="3116" spans="1:14" hidden="1" x14ac:dyDescent="0.25">
      <c r="A3116" t="s">
        <v>1317</v>
      </c>
      <c r="B3116" t="s">
        <v>1331</v>
      </c>
      <c r="C3116" t="s">
        <v>4280</v>
      </c>
      <c r="D3116" t="s">
        <v>20</v>
      </c>
      <c r="F3116">
        <v>20</v>
      </c>
      <c r="G3116" t="s">
        <v>1419</v>
      </c>
      <c r="H3116" s="89">
        <v>46231</v>
      </c>
      <c r="I3116" s="89">
        <v>46233</v>
      </c>
      <c r="J3116" t="s">
        <v>3549</v>
      </c>
      <c r="N3116" t="s">
        <v>4250</v>
      </c>
    </row>
    <row r="3117" spans="1:14" hidden="1" x14ac:dyDescent="0.25">
      <c r="A3117" t="s">
        <v>1318</v>
      </c>
      <c r="B3117" t="s">
        <v>1332</v>
      </c>
      <c r="C3117" t="s">
        <v>4281</v>
      </c>
      <c r="D3117" t="s">
        <v>20</v>
      </c>
      <c r="F3117">
        <v>76</v>
      </c>
      <c r="G3117" t="s">
        <v>1419</v>
      </c>
      <c r="H3117" s="89">
        <v>46231</v>
      </c>
      <c r="I3117" s="89">
        <v>46233</v>
      </c>
      <c r="J3117" t="s">
        <v>3549</v>
      </c>
      <c r="N3117" t="s">
        <v>4250</v>
      </c>
    </row>
    <row r="3118" spans="1:14" hidden="1" x14ac:dyDescent="0.25">
      <c r="A3118" t="s">
        <v>1320</v>
      </c>
      <c r="B3118" t="s">
        <v>1334</v>
      </c>
      <c r="C3118" t="s">
        <v>4282</v>
      </c>
      <c r="D3118" t="s">
        <v>21</v>
      </c>
      <c r="F3118">
        <v>960</v>
      </c>
      <c r="G3118">
        <v>20</v>
      </c>
      <c r="H3118" s="89">
        <v>46231</v>
      </c>
      <c r="I3118" s="89">
        <v>46235</v>
      </c>
      <c r="J3118" t="s">
        <v>4283</v>
      </c>
      <c r="N3118" t="s">
        <v>4250</v>
      </c>
    </row>
    <row r="3119" spans="1:14" hidden="1" x14ac:dyDescent="0.25">
      <c r="A3119" t="s">
        <v>1313</v>
      </c>
      <c r="B3119" t="s">
        <v>1327</v>
      </c>
      <c r="C3119" t="s">
        <v>4282</v>
      </c>
      <c r="D3119" t="s">
        <v>21</v>
      </c>
      <c r="F3119">
        <v>576</v>
      </c>
      <c r="G3119">
        <v>12</v>
      </c>
      <c r="H3119" s="89">
        <v>46231</v>
      </c>
      <c r="I3119" s="89">
        <v>46233</v>
      </c>
      <c r="J3119" t="s">
        <v>3549</v>
      </c>
      <c r="N3119" t="s">
        <v>4250</v>
      </c>
    </row>
    <row r="3120" spans="1:14" hidden="1" x14ac:dyDescent="0.25">
      <c r="A3120" t="s">
        <v>1315</v>
      </c>
      <c r="B3120" t="s">
        <v>1329</v>
      </c>
      <c r="C3120" t="s">
        <v>4282</v>
      </c>
      <c r="D3120" t="s">
        <v>21</v>
      </c>
      <c r="F3120">
        <v>50</v>
      </c>
      <c r="G3120" t="s">
        <v>1419</v>
      </c>
      <c r="H3120" s="89">
        <v>46231</v>
      </c>
      <c r="I3120" s="89">
        <v>46233</v>
      </c>
      <c r="J3120" t="s">
        <v>3549</v>
      </c>
      <c r="N3120" t="s">
        <v>4250</v>
      </c>
    </row>
    <row r="3121" spans="1:14" hidden="1" x14ac:dyDescent="0.25">
      <c r="A3121" t="s">
        <v>1316</v>
      </c>
      <c r="B3121" t="s">
        <v>1330</v>
      </c>
      <c r="C3121" t="s">
        <v>4284</v>
      </c>
      <c r="D3121" t="s">
        <v>21</v>
      </c>
      <c r="F3121">
        <v>30</v>
      </c>
      <c r="G3121" t="s">
        <v>1419</v>
      </c>
      <c r="H3121" s="89">
        <v>46231</v>
      </c>
      <c r="I3121" s="89">
        <v>46233</v>
      </c>
      <c r="J3121" t="s">
        <v>3549</v>
      </c>
      <c r="N3121" t="s">
        <v>4250</v>
      </c>
    </row>
    <row r="3122" spans="1:14" hidden="1" x14ac:dyDescent="0.25">
      <c r="A3122" t="s">
        <v>1317</v>
      </c>
      <c r="B3122" t="s">
        <v>1331</v>
      </c>
      <c r="C3122" t="s">
        <v>4285</v>
      </c>
      <c r="D3122" t="s">
        <v>21</v>
      </c>
      <c r="F3122">
        <v>14</v>
      </c>
      <c r="G3122" t="s">
        <v>1419</v>
      </c>
      <c r="H3122" s="89">
        <v>46231</v>
      </c>
      <c r="I3122" s="89">
        <v>46233</v>
      </c>
      <c r="J3122" t="s">
        <v>3549</v>
      </c>
      <c r="N3122" t="s">
        <v>4250</v>
      </c>
    </row>
    <row r="3123" spans="1:14" hidden="1" x14ac:dyDescent="0.25">
      <c r="A3123" t="s">
        <v>1318</v>
      </c>
      <c r="B3123" t="s">
        <v>1332</v>
      </c>
      <c r="C3123" t="s">
        <v>4286</v>
      </c>
      <c r="D3123" t="s">
        <v>21</v>
      </c>
      <c r="F3123">
        <v>72</v>
      </c>
      <c r="G3123" t="s">
        <v>1419</v>
      </c>
      <c r="H3123" s="89">
        <v>46231</v>
      </c>
      <c r="I3123" s="89">
        <v>46233</v>
      </c>
      <c r="J3123" t="s">
        <v>3549</v>
      </c>
      <c r="N3123" t="s">
        <v>4250</v>
      </c>
    </row>
    <row r="3124" spans="1:14" hidden="1" x14ac:dyDescent="0.25">
      <c r="A3124" t="s">
        <v>1320</v>
      </c>
      <c r="B3124" t="s">
        <v>1334</v>
      </c>
      <c r="C3124" t="s">
        <v>4287</v>
      </c>
      <c r="D3124" t="s">
        <v>23</v>
      </c>
      <c r="F3124">
        <v>720</v>
      </c>
      <c r="G3124">
        <v>15</v>
      </c>
      <c r="H3124" s="89">
        <v>46232</v>
      </c>
      <c r="I3124" s="89">
        <v>46237</v>
      </c>
      <c r="J3124" t="s">
        <v>4288</v>
      </c>
      <c r="N3124" t="s">
        <v>4250</v>
      </c>
    </row>
    <row r="3125" spans="1:14" hidden="1" x14ac:dyDescent="0.25">
      <c r="A3125" t="s">
        <v>1321</v>
      </c>
      <c r="B3125" t="s">
        <v>1335</v>
      </c>
      <c r="C3125" t="s">
        <v>4289</v>
      </c>
      <c r="D3125" t="s">
        <v>4290</v>
      </c>
      <c r="F3125">
        <v>144</v>
      </c>
      <c r="G3125">
        <v>3</v>
      </c>
      <c r="H3125" s="89">
        <v>46232</v>
      </c>
      <c r="I3125" s="89">
        <v>46237</v>
      </c>
      <c r="J3125" t="s">
        <v>4249</v>
      </c>
      <c r="N3125" t="s">
        <v>4250</v>
      </c>
    </row>
    <row r="3126" spans="1:14" hidden="1" x14ac:dyDescent="0.25">
      <c r="A3126" t="s">
        <v>1321</v>
      </c>
      <c r="B3126" t="s">
        <v>1335</v>
      </c>
      <c r="C3126" t="s">
        <v>4289</v>
      </c>
      <c r="D3126" t="s">
        <v>4290</v>
      </c>
      <c r="F3126">
        <v>96</v>
      </c>
      <c r="G3126">
        <v>2</v>
      </c>
      <c r="H3126" s="89">
        <v>46232</v>
      </c>
      <c r="I3126" s="89">
        <v>46234</v>
      </c>
      <c r="J3126" t="s">
        <v>3549</v>
      </c>
      <c r="N3126" t="s">
        <v>4250</v>
      </c>
    </row>
    <row r="3127" spans="1:14" hidden="1" x14ac:dyDescent="0.25">
      <c r="A3127" t="s">
        <v>1324</v>
      </c>
      <c r="B3127" t="s">
        <v>1338</v>
      </c>
      <c r="C3127" t="s">
        <v>4291</v>
      </c>
      <c r="D3127" t="s">
        <v>119</v>
      </c>
      <c r="F3127">
        <v>960</v>
      </c>
      <c r="G3127">
        <v>20</v>
      </c>
      <c r="H3127" s="89">
        <v>46232</v>
      </c>
      <c r="I3127" s="89">
        <v>46237</v>
      </c>
      <c r="J3127" t="s">
        <v>4292</v>
      </c>
      <c r="N3127" t="s">
        <v>4250</v>
      </c>
    </row>
    <row r="3128" spans="1:14" hidden="1" x14ac:dyDescent="0.25">
      <c r="A3128" t="s">
        <v>1313</v>
      </c>
      <c r="B3128" t="s">
        <v>1327</v>
      </c>
      <c r="C3128" t="s">
        <v>4293</v>
      </c>
      <c r="D3128" t="s">
        <v>20</v>
      </c>
      <c r="F3128">
        <v>1056</v>
      </c>
      <c r="G3128">
        <v>22</v>
      </c>
      <c r="H3128" s="89">
        <v>46232</v>
      </c>
      <c r="I3128" s="89">
        <v>46237</v>
      </c>
      <c r="J3128" t="s">
        <v>4294</v>
      </c>
      <c r="N3128" t="s">
        <v>4250</v>
      </c>
    </row>
    <row r="3129" spans="1:14" hidden="1" x14ac:dyDescent="0.25">
      <c r="A3129" t="s">
        <v>1313</v>
      </c>
      <c r="B3129" t="s">
        <v>1327</v>
      </c>
      <c r="C3129" t="s">
        <v>4293</v>
      </c>
      <c r="D3129" t="s">
        <v>20</v>
      </c>
      <c r="F3129">
        <v>48</v>
      </c>
      <c r="G3129">
        <v>3</v>
      </c>
      <c r="H3129" s="89">
        <v>46232</v>
      </c>
      <c r="I3129" s="89">
        <v>46234</v>
      </c>
      <c r="J3129" t="s">
        <v>3549</v>
      </c>
      <c r="N3129" t="s">
        <v>4250</v>
      </c>
    </row>
    <row r="3130" spans="1:14" hidden="1" x14ac:dyDescent="0.25">
      <c r="A3130" t="s">
        <v>1315</v>
      </c>
      <c r="B3130" t="s">
        <v>1329</v>
      </c>
      <c r="C3130" t="s">
        <v>4293</v>
      </c>
      <c r="D3130" t="s">
        <v>20</v>
      </c>
      <c r="F3130">
        <v>35</v>
      </c>
      <c r="G3130" t="s">
        <v>1419</v>
      </c>
      <c r="H3130" s="89">
        <v>46232</v>
      </c>
      <c r="I3130" s="89">
        <v>46234</v>
      </c>
      <c r="J3130" t="s">
        <v>3549</v>
      </c>
      <c r="N3130" t="s">
        <v>4250</v>
      </c>
    </row>
    <row r="3131" spans="1:14" hidden="1" x14ac:dyDescent="0.25">
      <c r="A3131" t="s">
        <v>1316</v>
      </c>
      <c r="B3131" t="s">
        <v>1330</v>
      </c>
      <c r="C3131" t="s">
        <v>4295</v>
      </c>
      <c r="D3131" t="s">
        <v>20</v>
      </c>
      <c r="F3131">
        <v>233</v>
      </c>
      <c r="G3131" t="s">
        <v>1419</v>
      </c>
      <c r="H3131" s="89">
        <v>46232</v>
      </c>
      <c r="I3131" s="89">
        <v>46234</v>
      </c>
      <c r="J3131" t="s">
        <v>3549</v>
      </c>
      <c r="N3131" t="s">
        <v>4250</v>
      </c>
    </row>
    <row r="3132" spans="1:14" hidden="1" x14ac:dyDescent="0.25">
      <c r="A3132" t="s">
        <v>1317</v>
      </c>
      <c r="B3132" t="s">
        <v>1331</v>
      </c>
      <c r="C3132" t="s">
        <v>4296</v>
      </c>
      <c r="D3132" t="s">
        <v>20</v>
      </c>
      <c r="F3132">
        <v>59</v>
      </c>
      <c r="G3132" t="s">
        <v>1419</v>
      </c>
      <c r="H3132" s="89">
        <v>46232</v>
      </c>
      <c r="I3132" s="89">
        <v>46234</v>
      </c>
      <c r="J3132" t="s">
        <v>3549</v>
      </c>
      <c r="N3132" t="s">
        <v>4250</v>
      </c>
    </row>
    <row r="3133" spans="1:14" hidden="1" x14ac:dyDescent="0.25">
      <c r="A3133" t="s">
        <v>1318</v>
      </c>
      <c r="B3133" t="s">
        <v>1332</v>
      </c>
      <c r="C3133" t="s">
        <v>4297</v>
      </c>
      <c r="D3133" t="s">
        <v>20</v>
      </c>
      <c r="F3133">
        <v>75</v>
      </c>
      <c r="G3133" t="s">
        <v>1419</v>
      </c>
      <c r="H3133" s="89">
        <v>46232</v>
      </c>
      <c r="I3133" s="89">
        <v>46234</v>
      </c>
      <c r="J3133" t="s">
        <v>3549</v>
      </c>
      <c r="N3133" t="s">
        <v>4250</v>
      </c>
    </row>
    <row r="3134" spans="1:14" hidden="1" x14ac:dyDescent="0.25">
      <c r="A3134" t="s">
        <v>1313</v>
      </c>
      <c r="B3134" t="s">
        <v>1327</v>
      </c>
      <c r="C3134" t="s">
        <v>4298</v>
      </c>
      <c r="D3134" t="s">
        <v>15</v>
      </c>
      <c r="F3134">
        <v>864</v>
      </c>
      <c r="G3134">
        <v>18</v>
      </c>
      <c r="H3134" s="89">
        <v>46232</v>
      </c>
      <c r="I3134" s="89">
        <v>46235</v>
      </c>
      <c r="J3134" t="s">
        <v>4273</v>
      </c>
      <c r="N3134" t="s">
        <v>4250</v>
      </c>
    </row>
    <row r="3135" spans="1:14" hidden="1" x14ac:dyDescent="0.25">
      <c r="A3135" t="s">
        <v>1313</v>
      </c>
      <c r="B3135" t="s">
        <v>1327</v>
      </c>
      <c r="C3135" t="s">
        <v>4298</v>
      </c>
      <c r="D3135" t="s">
        <v>15</v>
      </c>
      <c r="F3135">
        <v>288</v>
      </c>
      <c r="G3135">
        <v>6</v>
      </c>
      <c r="H3135" s="89">
        <v>46232</v>
      </c>
      <c r="I3135" s="89">
        <v>46234</v>
      </c>
      <c r="J3135" t="s">
        <v>3549</v>
      </c>
      <c r="N3135" t="s">
        <v>4250</v>
      </c>
    </row>
    <row r="3136" spans="1:14" hidden="1" x14ac:dyDescent="0.25">
      <c r="A3136" t="s">
        <v>1315</v>
      </c>
      <c r="B3136" t="s">
        <v>1329</v>
      </c>
      <c r="C3136" t="s">
        <v>4298</v>
      </c>
      <c r="D3136" t="s">
        <v>15</v>
      </c>
      <c r="F3136">
        <v>34</v>
      </c>
      <c r="G3136" t="s">
        <v>1419</v>
      </c>
      <c r="H3136" s="89">
        <v>46232</v>
      </c>
      <c r="I3136" s="89">
        <v>46234</v>
      </c>
      <c r="J3136" t="s">
        <v>3549</v>
      </c>
      <c r="N3136" t="s">
        <v>4250</v>
      </c>
    </row>
    <row r="3137" spans="1:14" hidden="1" x14ac:dyDescent="0.25">
      <c r="A3137" t="s">
        <v>1316</v>
      </c>
      <c r="B3137" t="s">
        <v>1330</v>
      </c>
      <c r="C3137" t="s">
        <v>4299</v>
      </c>
      <c r="D3137" t="s">
        <v>15</v>
      </c>
      <c r="F3137">
        <v>44</v>
      </c>
      <c r="G3137" t="s">
        <v>1419</v>
      </c>
      <c r="H3137" s="89">
        <v>46232</v>
      </c>
      <c r="I3137" s="89">
        <v>46234</v>
      </c>
      <c r="J3137" t="s">
        <v>3549</v>
      </c>
      <c r="N3137" t="s">
        <v>4250</v>
      </c>
    </row>
    <row r="3138" spans="1:14" hidden="1" x14ac:dyDescent="0.25">
      <c r="A3138" t="s">
        <v>1317</v>
      </c>
      <c r="B3138" t="s">
        <v>1331</v>
      </c>
      <c r="C3138" t="s">
        <v>4300</v>
      </c>
      <c r="D3138" t="s">
        <v>15</v>
      </c>
      <c r="F3138">
        <v>52</v>
      </c>
      <c r="G3138" t="s">
        <v>1419</v>
      </c>
      <c r="H3138" s="89">
        <v>46232</v>
      </c>
      <c r="I3138" s="89">
        <v>46234</v>
      </c>
      <c r="J3138" t="s">
        <v>3549</v>
      </c>
      <c r="N3138" t="s">
        <v>4250</v>
      </c>
    </row>
    <row r="3139" spans="1:14" hidden="1" x14ac:dyDescent="0.25">
      <c r="A3139" t="s">
        <v>1318</v>
      </c>
      <c r="B3139" t="s">
        <v>1332</v>
      </c>
      <c r="C3139" t="s">
        <v>4301</v>
      </c>
      <c r="D3139" t="s">
        <v>15</v>
      </c>
      <c r="F3139">
        <v>20</v>
      </c>
      <c r="G3139" t="s">
        <v>1419</v>
      </c>
      <c r="H3139" s="89">
        <v>46232</v>
      </c>
      <c r="I3139" s="89">
        <v>46234</v>
      </c>
      <c r="J3139" t="s">
        <v>3549</v>
      </c>
      <c r="N3139" t="s">
        <v>4250</v>
      </c>
    </row>
    <row r="3140" spans="1:14" hidden="1" x14ac:dyDescent="0.25">
      <c r="A3140" t="s">
        <v>1324</v>
      </c>
      <c r="B3140" t="s">
        <v>1338</v>
      </c>
      <c r="C3140" t="s">
        <v>4302</v>
      </c>
      <c r="D3140" t="s">
        <v>21</v>
      </c>
      <c r="F3140">
        <v>960</v>
      </c>
      <c r="G3140">
        <v>20</v>
      </c>
      <c r="H3140" s="89">
        <v>46232</v>
      </c>
      <c r="I3140" s="89">
        <v>46237</v>
      </c>
      <c r="J3140" t="s">
        <v>4292</v>
      </c>
      <c r="N3140" t="s">
        <v>4250</v>
      </c>
    </row>
    <row r="3141" spans="1:14" hidden="1" x14ac:dyDescent="0.25">
      <c r="A3141" t="s">
        <v>1324</v>
      </c>
      <c r="B3141" t="s">
        <v>1338</v>
      </c>
      <c r="C3141" t="s">
        <v>4302</v>
      </c>
      <c r="D3141" t="s">
        <v>21</v>
      </c>
      <c r="F3141">
        <v>48</v>
      </c>
      <c r="G3141">
        <v>1</v>
      </c>
      <c r="H3141" s="89">
        <v>46232</v>
      </c>
      <c r="I3141" s="89">
        <v>46239</v>
      </c>
      <c r="J3141" t="s">
        <v>4303</v>
      </c>
      <c r="N3141" t="s">
        <v>4250</v>
      </c>
    </row>
    <row r="3142" spans="1:14" hidden="1" x14ac:dyDescent="0.25">
      <c r="A3142" t="s">
        <v>1313</v>
      </c>
      <c r="B3142" t="s">
        <v>1327</v>
      </c>
      <c r="C3142" t="s">
        <v>4302</v>
      </c>
      <c r="D3142" t="s">
        <v>21</v>
      </c>
      <c r="F3142">
        <v>384</v>
      </c>
      <c r="G3142">
        <v>8</v>
      </c>
      <c r="H3142" s="89">
        <v>46232</v>
      </c>
      <c r="I3142" s="89">
        <v>46234</v>
      </c>
      <c r="J3142" t="s">
        <v>3549</v>
      </c>
      <c r="N3142" t="s">
        <v>4250</v>
      </c>
    </row>
    <row r="3143" spans="1:14" hidden="1" x14ac:dyDescent="0.25">
      <c r="A3143" t="s">
        <v>1315</v>
      </c>
      <c r="B3143" t="s">
        <v>1329</v>
      </c>
      <c r="C3143" t="s">
        <v>4302</v>
      </c>
      <c r="D3143" t="s">
        <v>21</v>
      </c>
      <c r="F3143">
        <v>28</v>
      </c>
      <c r="G3143" t="s">
        <v>1419</v>
      </c>
      <c r="H3143" s="89">
        <v>46232</v>
      </c>
      <c r="I3143" s="89">
        <v>46234</v>
      </c>
      <c r="J3143" t="s">
        <v>3549</v>
      </c>
      <c r="N3143" t="s">
        <v>4250</v>
      </c>
    </row>
    <row r="3144" spans="1:14" hidden="1" x14ac:dyDescent="0.25">
      <c r="A3144" t="s">
        <v>1316</v>
      </c>
      <c r="B3144" t="s">
        <v>1330</v>
      </c>
      <c r="C3144" t="s">
        <v>4304</v>
      </c>
      <c r="D3144" t="s">
        <v>21</v>
      </c>
      <c r="F3144">
        <v>19</v>
      </c>
      <c r="G3144" t="s">
        <v>1419</v>
      </c>
      <c r="H3144" s="89">
        <v>46232</v>
      </c>
      <c r="I3144" s="89">
        <v>46234</v>
      </c>
      <c r="J3144" t="s">
        <v>3549</v>
      </c>
      <c r="N3144" t="s">
        <v>4250</v>
      </c>
    </row>
    <row r="3145" spans="1:14" hidden="1" x14ac:dyDescent="0.25">
      <c r="A3145" t="s">
        <v>1317</v>
      </c>
      <c r="B3145" t="s">
        <v>1331</v>
      </c>
      <c r="C3145" t="s">
        <v>4305</v>
      </c>
      <c r="D3145" t="s">
        <v>21</v>
      </c>
      <c r="F3145">
        <v>15</v>
      </c>
      <c r="G3145" t="s">
        <v>1419</v>
      </c>
      <c r="H3145" s="89">
        <v>46232</v>
      </c>
      <c r="I3145" s="89">
        <v>46234</v>
      </c>
      <c r="J3145" t="s">
        <v>3549</v>
      </c>
      <c r="N3145" t="s">
        <v>4250</v>
      </c>
    </row>
    <row r="3146" spans="1:14" hidden="1" x14ac:dyDescent="0.25">
      <c r="A3146" t="s">
        <v>1318</v>
      </c>
      <c r="B3146" t="s">
        <v>1332</v>
      </c>
      <c r="C3146" t="s">
        <v>4306</v>
      </c>
      <c r="D3146" t="s">
        <v>21</v>
      </c>
      <c r="F3146">
        <v>85</v>
      </c>
      <c r="G3146" t="s">
        <v>1419</v>
      </c>
      <c r="H3146" s="89">
        <v>46232</v>
      </c>
      <c r="I3146" s="89">
        <v>46234</v>
      </c>
      <c r="J3146" t="s">
        <v>3549</v>
      </c>
      <c r="N3146" t="s">
        <v>4250</v>
      </c>
    </row>
    <row r="3147" spans="1:14" hidden="1" x14ac:dyDescent="0.25">
      <c r="A3147" t="s">
        <v>1320</v>
      </c>
      <c r="B3147" t="s">
        <v>1334</v>
      </c>
      <c r="C3147" t="s">
        <v>4307</v>
      </c>
      <c r="D3147" t="s">
        <v>23</v>
      </c>
      <c r="F3147">
        <v>480</v>
      </c>
      <c r="G3147">
        <v>10</v>
      </c>
      <c r="H3147" s="89">
        <v>46233</v>
      </c>
      <c r="I3147" s="89">
        <v>46237</v>
      </c>
      <c r="J3147" t="s">
        <v>4288</v>
      </c>
      <c r="N3147" t="s">
        <v>4250</v>
      </c>
    </row>
    <row r="3148" spans="1:14" hidden="1" x14ac:dyDescent="0.25">
      <c r="A3148" t="s">
        <v>1320</v>
      </c>
      <c r="B3148" t="s">
        <v>1334</v>
      </c>
      <c r="C3148" t="s">
        <v>4307</v>
      </c>
      <c r="D3148" t="s">
        <v>23</v>
      </c>
      <c r="F3148">
        <v>240</v>
      </c>
      <c r="G3148">
        <v>5</v>
      </c>
      <c r="H3148" s="89">
        <v>46233</v>
      </c>
      <c r="I3148" s="89">
        <v>46237</v>
      </c>
      <c r="J3148" t="s">
        <v>4308</v>
      </c>
      <c r="N3148" t="s">
        <v>4250</v>
      </c>
    </row>
    <row r="3149" spans="1:14" hidden="1" x14ac:dyDescent="0.25">
      <c r="A3149" t="s">
        <v>1324</v>
      </c>
      <c r="B3149" t="s">
        <v>1338</v>
      </c>
      <c r="C3149" t="s">
        <v>4309</v>
      </c>
      <c r="D3149" t="s">
        <v>150</v>
      </c>
      <c r="F3149">
        <v>960</v>
      </c>
      <c r="G3149">
        <v>20</v>
      </c>
      <c r="H3149" s="89">
        <v>46233</v>
      </c>
      <c r="I3149" s="89">
        <v>46239</v>
      </c>
      <c r="J3149" t="s">
        <v>4303</v>
      </c>
      <c r="N3149" t="s">
        <v>4250</v>
      </c>
    </row>
    <row r="3150" spans="1:14" hidden="1" x14ac:dyDescent="0.25">
      <c r="A3150" t="s">
        <v>1320</v>
      </c>
      <c r="B3150" t="s">
        <v>1334</v>
      </c>
      <c r="C3150" t="s">
        <v>4310</v>
      </c>
      <c r="D3150" t="s">
        <v>30</v>
      </c>
      <c r="F3150">
        <v>480</v>
      </c>
      <c r="G3150">
        <v>10</v>
      </c>
      <c r="H3150" s="89">
        <v>46233</v>
      </c>
      <c r="I3150" s="89">
        <v>46237</v>
      </c>
      <c r="J3150" t="s">
        <v>4308</v>
      </c>
      <c r="N3150" t="s">
        <v>4250</v>
      </c>
    </row>
    <row r="3151" spans="1:14" hidden="1" x14ac:dyDescent="0.25">
      <c r="A3151" t="s">
        <v>1320</v>
      </c>
      <c r="B3151" t="s">
        <v>1334</v>
      </c>
      <c r="C3151" t="s">
        <v>4310</v>
      </c>
      <c r="D3151" t="s">
        <v>30</v>
      </c>
      <c r="F3151">
        <v>96</v>
      </c>
      <c r="G3151">
        <v>2</v>
      </c>
      <c r="H3151" s="89">
        <v>46233</v>
      </c>
      <c r="I3151" s="89">
        <v>46239</v>
      </c>
      <c r="J3151" t="s">
        <v>4311</v>
      </c>
      <c r="N3151" t="s">
        <v>4250</v>
      </c>
    </row>
    <row r="3152" spans="1:14" hidden="1" x14ac:dyDescent="0.25">
      <c r="A3152" t="s">
        <v>1313</v>
      </c>
      <c r="B3152" t="s">
        <v>1327</v>
      </c>
      <c r="C3152" t="s">
        <v>4312</v>
      </c>
      <c r="D3152" t="s">
        <v>4313</v>
      </c>
      <c r="F3152">
        <v>1152</v>
      </c>
      <c r="G3152">
        <v>24</v>
      </c>
      <c r="H3152" s="89">
        <v>46233</v>
      </c>
      <c r="I3152" s="89">
        <v>46239</v>
      </c>
      <c r="J3152" t="s">
        <v>4314</v>
      </c>
      <c r="N3152" t="s">
        <v>4250</v>
      </c>
    </row>
    <row r="3153" spans="1:14" hidden="1" x14ac:dyDescent="0.25">
      <c r="A3153" t="s">
        <v>1313</v>
      </c>
      <c r="B3153" t="s">
        <v>1327</v>
      </c>
      <c r="C3153" t="s">
        <v>4315</v>
      </c>
      <c r="D3153" t="s">
        <v>15</v>
      </c>
      <c r="F3153">
        <v>864</v>
      </c>
      <c r="G3153">
        <v>18</v>
      </c>
      <c r="H3153" s="89">
        <v>46233</v>
      </c>
      <c r="I3153" s="89">
        <v>46238</v>
      </c>
      <c r="J3153" t="s">
        <v>4316</v>
      </c>
      <c r="N3153" t="s">
        <v>4250</v>
      </c>
    </row>
    <row r="3154" spans="1:14" hidden="1" x14ac:dyDescent="0.25">
      <c r="A3154" t="s">
        <v>1313</v>
      </c>
      <c r="B3154" t="s">
        <v>1327</v>
      </c>
      <c r="C3154" t="s">
        <v>4315</v>
      </c>
      <c r="D3154" t="s">
        <v>15</v>
      </c>
      <c r="F3154">
        <v>144</v>
      </c>
      <c r="G3154">
        <v>3</v>
      </c>
      <c r="H3154" s="89">
        <v>46233</v>
      </c>
      <c r="I3154" s="89">
        <v>46237</v>
      </c>
      <c r="J3154" t="s">
        <v>4317</v>
      </c>
      <c r="N3154" t="s">
        <v>4250</v>
      </c>
    </row>
    <row r="3155" spans="1:14" hidden="1" x14ac:dyDescent="0.25">
      <c r="A3155" t="s">
        <v>1314</v>
      </c>
      <c r="B3155" t="s">
        <v>1328</v>
      </c>
      <c r="C3155" t="s">
        <v>4315</v>
      </c>
      <c r="D3155" t="s">
        <v>15</v>
      </c>
      <c r="F3155">
        <v>96</v>
      </c>
      <c r="G3155">
        <v>2</v>
      </c>
      <c r="H3155" s="89">
        <v>46233</v>
      </c>
      <c r="I3155" s="89">
        <v>46237</v>
      </c>
      <c r="J3155" t="s">
        <v>4294</v>
      </c>
      <c r="N3155" t="s">
        <v>4250</v>
      </c>
    </row>
    <row r="3156" spans="1:14" hidden="1" x14ac:dyDescent="0.25">
      <c r="A3156" t="s">
        <v>1314</v>
      </c>
      <c r="B3156" t="s">
        <v>1328</v>
      </c>
      <c r="C3156" t="s">
        <v>4315</v>
      </c>
      <c r="D3156" t="s">
        <v>15</v>
      </c>
      <c r="F3156">
        <v>240</v>
      </c>
      <c r="G3156">
        <v>5</v>
      </c>
      <c r="H3156" s="89">
        <v>46233</v>
      </c>
      <c r="I3156" s="89">
        <v>46237</v>
      </c>
      <c r="J3156" t="s">
        <v>4318</v>
      </c>
      <c r="N3156" t="s">
        <v>4250</v>
      </c>
    </row>
    <row r="3157" spans="1:14" hidden="1" x14ac:dyDescent="0.25">
      <c r="A3157" t="s">
        <v>1315</v>
      </c>
      <c r="B3157" t="s">
        <v>1329</v>
      </c>
      <c r="C3157" t="s">
        <v>4315</v>
      </c>
      <c r="D3157" t="s">
        <v>15</v>
      </c>
      <c r="F3157">
        <v>5</v>
      </c>
      <c r="G3157" t="s">
        <v>1419</v>
      </c>
      <c r="H3157" s="89">
        <v>46233</v>
      </c>
      <c r="I3157" s="89">
        <v>46235</v>
      </c>
      <c r="J3157" t="s">
        <v>3549</v>
      </c>
      <c r="N3157" t="s">
        <v>4250</v>
      </c>
    </row>
    <row r="3158" spans="1:14" hidden="1" x14ac:dyDescent="0.25">
      <c r="A3158" t="s">
        <v>1316</v>
      </c>
      <c r="B3158" t="s">
        <v>1330</v>
      </c>
      <c r="C3158" t="s">
        <v>4319</v>
      </c>
      <c r="D3158" t="s">
        <v>15</v>
      </c>
      <c r="F3158">
        <v>38</v>
      </c>
      <c r="G3158" t="s">
        <v>1419</v>
      </c>
      <c r="H3158" s="89">
        <v>46233</v>
      </c>
      <c r="I3158" s="89">
        <v>46235</v>
      </c>
      <c r="J3158" t="s">
        <v>3549</v>
      </c>
      <c r="N3158" t="s">
        <v>4250</v>
      </c>
    </row>
    <row r="3159" spans="1:14" hidden="1" x14ac:dyDescent="0.25">
      <c r="A3159" t="s">
        <v>1317</v>
      </c>
      <c r="B3159" t="s">
        <v>1331</v>
      </c>
      <c r="C3159" t="s">
        <v>4320</v>
      </c>
      <c r="D3159" t="s">
        <v>15</v>
      </c>
      <c r="F3159">
        <v>53</v>
      </c>
      <c r="G3159" t="s">
        <v>1419</v>
      </c>
      <c r="H3159" s="89">
        <v>46233</v>
      </c>
      <c r="I3159" s="89">
        <v>46235</v>
      </c>
      <c r="J3159" t="s">
        <v>3549</v>
      </c>
      <c r="N3159" t="s">
        <v>4250</v>
      </c>
    </row>
    <row r="3160" spans="1:14" hidden="1" x14ac:dyDescent="0.25">
      <c r="A3160" t="s">
        <v>1318</v>
      </c>
      <c r="B3160" t="s">
        <v>1332</v>
      </c>
      <c r="C3160" t="s">
        <v>4321</v>
      </c>
      <c r="D3160" t="s">
        <v>15</v>
      </c>
      <c r="F3160">
        <v>25</v>
      </c>
      <c r="G3160" t="s">
        <v>1419</v>
      </c>
      <c r="H3160" s="89">
        <v>46233</v>
      </c>
      <c r="I3160" s="89">
        <v>46235</v>
      </c>
      <c r="J3160" t="s">
        <v>3549</v>
      </c>
      <c r="N3160" t="s">
        <v>4250</v>
      </c>
    </row>
    <row r="3161" spans="1:14" hidden="1" x14ac:dyDescent="0.25">
      <c r="A3161" t="s">
        <v>1313</v>
      </c>
      <c r="B3161" t="s">
        <v>1327</v>
      </c>
      <c r="C3161" t="s">
        <v>4322</v>
      </c>
      <c r="D3161" t="s">
        <v>20</v>
      </c>
      <c r="F3161">
        <v>768</v>
      </c>
      <c r="G3161">
        <v>16</v>
      </c>
      <c r="H3161" s="89">
        <v>46233</v>
      </c>
      <c r="I3161" s="89">
        <v>46237</v>
      </c>
      <c r="J3161" t="s">
        <v>4317</v>
      </c>
      <c r="N3161" t="s">
        <v>4250</v>
      </c>
    </row>
    <row r="3162" spans="1:14" hidden="1" x14ac:dyDescent="0.25">
      <c r="A3162" t="s">
        <v>1325</v>
      </c>
      <c r="B3162" t="s">
        <v>1339</v>
      </c>
      <c r="C3162" t="s">
        <v>4322</v>
      </c>
      <c r="D3162" t="s">
        <v>20</v>
      </c>
      <c r="F3162">
        <v>96</v>
      </c>
      <c r="G3162">
        <v>2</v>
      </c>
      <c r="H3162" s="89">
        <v>46233</v>
      </c>
      <c r="I3162" s="89">
        <v>46233</v>
      </c>
      <c r="J3162" t="s">
        <v>3549</v>
      </c>
      <c r="N3162" t="s">
        <v>4250</v>
      </c>
    </row>
    <row r="3163" spans="1:14" hidden="1" x14ac:dyDescent="0.25">
      <c r="A3163" t="s">
        <v>1313</v>
      </c>
      <c r="B3163" t="s">
        <v>1327</v>
      </c>
      <c r="C3163" t="s">
        <v>4322</v>
      </c>
      <c r="D3163" t="s">
        <v>20</v>
      </c>
      <c r="F3163">
        <v>48</v>
      </c>
      <c r="G3163">
        <v>1</v>
      </c>
      <c r="H3163" s="89">
        <v>46233</v>
      </c>
      <c r="I3163" s="89">
        <v>46239</v>
      </c>
      <c r="J3163" t="s">
        <v>3549</v>
      </c>
      <c r="N3163" t="s">
        <v>4250</v>
      </c>
    </row>
    <row r="3164" spans="1:14" hidden="1" x14ac:dyDescent="0.25">
      <c r="A3164" t="s">
        <v>1315</v>
      </c>
      <c r="B3164" t="s">
        <v>1329</v>
      </c>
      <c r="C3164" t="s">
        <v>4322</v>
      </c>
      <c r="D3164" t="s">
        <v>20</v>
      </c>
      <c r="F3164">
        <v>30</v>
      </c>
      <c r="G3164" t="s">
        <v>1419</v>
      </c>
      <c r="H3164" s="89">
        <v>46233</v>
      </c>
      <c r="I3164" s="89">
        <v>46235</v>
      </c>
      <c r="J3164" t="s">
        <v>3549</v>
      </c>
      <c r="N3164" t="s">
        <v>4250</v>
      </c>
    </row>
    <row r="3165" spans="1:14" hidden="1" x14ac:dyDescent="0.25">
      <c r="A3165" t="s">
        <v>1316</v>
      </c>
      <c r="B3165" t="s">
        <v>1330</v>
      </c>
      <c r="C3165" t="s">
        <v>4323</v>
      </c>
      <c r="D3165" t="s">
        <v>20</v>
      </c>
      <c r="F3165">
        <v>232</v>
      </c>
      <c r="G3165" t="s">
        <v>1419</v>
      </c>
      <c r="H3165" s="89">
        <v>46233</v>
      </c>
      <c r="I3165" s="89">
        <v>46235</v>
      </c>
      <c r="J3165" t="s">
        <v>3549</v>
      </c>
      <c r="N3165" t="s">
        <v>4250</v>
      </c>
    </row>
    <row r="3166" spans="1:14" hidden="1" x14ac:dyDescent="0.25">
      <c r="A3166" t="s">
        <v>1317</v>
      </c>
      <c r="B3166" t="s">
        <v>1331</v>
      </c>
      <c r="C3166" t="s">
        <v>4324</v>
      </c>
      <c r="D3166" t="s">
        <v>20</v>
      </c>
      <c r="F3166">
        <v>15</v>
      </c>
      <c r="G3166" t="s">
        <v>1419</v>
      </c>
      <c r="H3166" s="89">
        <v>46233</v>
      </c>
      <c r="I3166" s="89">
        <v>46235</v>
      </c>
      <c r="J3166" t="s">
        <v>3549</v>
      </c>
      <c r="N3166" t="s">
        <v>4250</v>
      </c>
    </row>
    <row r="3167" spans="1:14" hidden="1" x14ac:dyDescent="0.25">
      <c r="A3167" t="s">
        <v>1318</v>
      </c>
      <c r="B3167" t="s">
        <v>1332</v>
      </c>
      <c r="C3167" t="s">
        <v>4325</v>
      </c>
      <c r="D3167" t="s">
        <v>20</v>
      </c>
      <c r="F3167">
        <v>48</v>
      </c>
      <c r="G3167" t="s">
        <v>1419</v>
      </c>
      <c r="H3167" s="89">
        <v>46233</v>
      </c>
      <c r="I3167" s="89">
        <v>46235</v>
      </c>
      <c r="J3167" t="s">
        <v>3549</v>
      </c>
      <c r="N3167" t="s">
        <v>4250</v>
      </c>
    </row>
    <row r="3168" spans="1:14" hidden="1" x14ac:dyDescent="0.25">
      <c r="A3168" t="s">
        <v>1324</v>
      </c>
      <c r="B3168" t="s">
        <v>1338</v>
      </c>
      <c r="C3168" t="s">
        <v>4326</v>
      </c>
      <c r="D3168" t="s">
        <v>28</v>
      </c>
      <c r="F3168">
        <v>912</v>
      </c>
      <c r="G3168">
        <v>19</v>
      </c>
      <c r="H3168" s="89">
        <v>46233</v>
      </c>
      <c r="I3168" s="89">
        <v>46239</v>
      </c>
      <c r="J3168" t="s">
        <v>4303</v>
      </c>
      <c r="N3168" t="s">
        <v>4250</v>
      </c>
    </row>
    <row r="3169" spans="1:14" hidden="1" x14ac:dyDescent="0.25">
      <c r="A3169" t="s">
        <v>1324</v>
      </c>
      <c r="B3169" t="s">
        <v>1338</v>
      </c>
      <c r="C3169" t="s">
        <v>4326</v>
      </c>
      <c r="D3169" t="s">
        <v>28</v>
      </c>
      <c r="F3169">
        <v>48</v>
      </c>
      <c r="G3169">
        <v>1</v>
      </c>
      <c r="H3169" s="89">
        <v>46233</v>
      </c>
      <c r="I3169" s="89">
        <v>46239</v>
      </c>
      <c r="J3169" t="s">
        <v>3549</v>
      </c>
      <c r="N3169" t="s">
        <v>4250</v>
      </c>
    </row>
    <row r="3170" spans="1:14" hidden="1" x14ac:dyDescent="0.25">
      <c r="A3170" t="s">
        <v>1315</v>
      </c>
      <c r="B3170" t="s">
        <v>1329</v>
      </c>
      <c r="C3170" t="s">
        <v>4326</v>
      </c>
      <c r="D3170" t="s">
        <v>28</v>
      </c>
      <c r="F3170">
        <v>161</v>
      </c>
      <c r="G3170" t="s">
        <v>1419</v>
      </c>
      <c r="H3170" s="89">
        <v>46233</v>
      </c>
      <c r="I3170" s="89">
        <v>46235</v>
      </c>
      <c r="J3170" t="s">
        <v>3549</v>
      </c>
      <c r="N3170" t="s">
        <v>4250</v>
      </c>
    </row>
    <row r="3171" spans="1:14" hidden="1" x14ac:dyDescent="0.25">
      <c r="A3171" t="s">
        <v>1316</v>
      </c>
      <c r="B3171" t="s">
        <v>1330</v>
      </c>
      <c r="C3171" t="s">
        <v>4327</v>
      </c>
      <c r="D3171" t="s">
        <v>28</v>
      </c>
      <c r="F3171">
        <v>30</v>
      </c>
      <c r="G3171" t="s">
        <v>1419</v>
      </c>
      <c r="H3171" s="89">
        <v>46233</v>
      </c>
      <c r="I3171" s="89">
        <v>46235</v>
      </c>
      <c r="J3171" t="s">
        <v>3549</v>
      </c>
      <c r="N3171" t="s">
        <v>4250</v>
      </c>
    </row>
    <row r="3172" spans="1:14" hidden="1" x14ac:dyDescent="0.25">
      <c r="A3172" t="s">
        <v>1317</v>
      </c>
      <c r="B3172" t="s">
        <v>1331</v>
      </c>
      <c r="C3172" t="s">
        <v>4328</v>
      </c>
      <c r="D3172" t="s">
        <v>28</v>
      </c>
      <c r="F3172">
        <v>26</v>
      </c>
      <c r="G3172" t="s">
        <v>1419</v>
      </c>
      <c r="H3172" s="89">
        <v>46233</v>
      </c>
      <c r="I3172" s="89">
        <v>46235</v>
      </c>
      <c r="J3172" t="s">
        <v>3549</v>
      </c>
      <c r="N3172" t="s">
        <v>4250</v>
      </c>
    </row>
    <row r="3173" spans="1:14" hidden="1" x14ac:dyDescent="0.25">
      <c r="A3173" t="s">
        <v>1318</v>
      </c>
      <c r="B3173" t="s">
        <v>1332</v>
      </c>
      <c r="C3173" t="s">
        <v>4329</v>
      </c>
      <c r="D3173" t="s">
        <v>28</v>
      </c>
      <c r="F3173">
        <v>56</v>
      </c>
      <c r="G3173" t="s">
        <v>1419</v>
      </c>
      <c r="H3173" s="89">
        <v>46233</v>
      </c>
      <c r="I3173" s="89">
        <v>46235</v>
      </c>
      <c r="J3173" t="s">
        <v>3549</v>
      </c>
      <c r="N3173" t="s">
        <v>4250</v>
      </c>
    </row>
    <row r="3174" spans="1:14" hidden="1" x14ac:dyDescent="0.25">
      <c r="A3174" t="s">
        <v>1321</v>
      </c>
      <c r="B3174" t="s">
        <v>1335</v>
      </c>
      <c r="C3174" t="s">
        <v>4330</v>
      </c>
      <c r="D3174" t="s">
        <v>27</v>
      </c>
      <c r="F3174">
        <v>144</v>
      </c>
      <c r="G3174">
        <v>3</v>
      </c>
      <c r="H3174" s="89">
        <v>46234</v>
      </c>
      <c r="I3174" s="89">
        <v>46242</v>
      </c>
      <c r="J3174" t="s">
        <v>4331</v>
      </c>
      <c r="N3174" t="s">
        <v>4250</v>
      </c>
    </row>
    <row r="3175" spans="1:14" hidden="1" x14ac:dyDescent="0.25">
      <c r="A3175" t="s">
        <v>1325</v>
      </c>
      <c r="B3175" t="s">
        <v>1339</v>
      </c>
      <c r="C3175" t="s">
        <v>4330</v>
      </c>
      <c r="D3175" t="s">
        <v>27</v>
      </c>
      <c r="F3175">
        <v>336</v>
      </c>
      <c r="G3175">
        <v>7</v>
      </c>
      <c r="H3175" s="89">
        <v>46234</v>
      </c>
      <c r="I3175" s="89">
        <v>46237</v>
      </c>
      <c r="J3175" t="s">
        <v>3549</v>
      </c>
      <c r="N3175" t="s">
        <v>4250</v>
      </c>
    </row>
    <row r="3176" spans="1:14" hidden="1" x14ac:dyDescent="0.25">
      <c r="A3176" t="s">
        <v>1320</v>
      </c>
      <c r="B3176" t="s">
        <v>1334</v>
      </c>
      <c r="C3176" t="s">
        <v>4332</v>
      </c>
      <c r="D3176" t="s">
        <v>13</v>
      </c>
      <c r="F3176">
        <v>960</v>
      </c>
      <c r="G3176">
        <v>20</v>
      </c>
      <c r="H3176" s="89">
        <v>46234</v>
      </c>
      <c r="I3176" s="89">
        <v>46239</v>
      </c>
      <c r="J3176" t="s">
        <v>4311</v>
      </c>
      <c r="N3176" t="s">
        <v>4250</v>
      </c>
    </row>
    <row r="3177" spans="1:14" hidden="1" x14ac:dyDescent="0.25">
      <c r="A3177" t="s">
        <v>1320</v>
      </c>
      <c r="B3177" t="s">
        <v>1334</v>
      </c>
      <c r="C3177" t="s">
        <v>4332</v>
      </c>
      <c r="D3177" t="s">
        <v>13</v>
      </c>
      <c r="F3177">
        <v>720</v>
      </c>
      <c r="G3177">
        <v>15</v>
      </c>
      <c r="H3177" s="89">
        <v>46234</v>
      </c>
      <c r="I3177" s="89">
        <v>46240</v>
      </c>
      <c r="J3177" t="s">
        <v>4333</v>
      </c>
      <c r="N3177" t="s">
        <v>4250</v>
      </c>
    </row>
    <row r="3178" spans="1:14" hidden="1" x14ac:dyDescent="0.25">
      <c r="A3178" t="s">
        <v>1326</v>
      </c>
      <c r="B3178" t="s">
        <v>1340</v>
      </c>
      <c r="C3178" t="s">
        <v>4334</v>
      </c>
      <c r="D3178" t="s">
        <v>32</v>
      </c>
      <c r="F3178">
        <v>840</v>
      </c>
      <c r="G3178">
        <v>20</v>
      </c>
      <c r="H3178" s="89">
        <v>46234</v>
      </c>
      <c r="I3178" s="89">
        <v>46238</v>
      </c>
      <c r="J3178" t="s">
        <v>4335</v>
      </c>
      <c r="N3178" t="s">
        <v>4250</v>
      </c>
    </row>
    <row r="3179" spans="1:14" hidden="1" x14ac:dyDescent="0.25">
      <c r="A3179" t="s">
        <v>1320</v>
      </c>
      <c r="B3179" t="s">
        <v>1334</v>
      </c>
      <c r="C3179" t="s">
        <v>4336</v>
      </c>
      <c r="D3179" t="s">
        <v>30</v>
      </c>
      <c r="F3179">
        <v>384</v>
      </c>
      <c r="G3179">
        <v>8</v>
      </c>
      <c r="H3179" s="89">
        <v>46234</v>
      </c>
      <c r="I3179" s="89">
        <v>46239</v>
      </c>
      <c r="J3179" t="s">
        <v>4337</v>
      </c>
      <c r="N3179" t="s">
        <v>4250</v>
      </c>
    </row>
    <row r="3180" spans="1:14" hidden="1" x14ac:dyDescent="0.25">
      <c r="A3180" t="s">
        <v>1320</v>
      </c>
      <c r="B3180" t="s">
        <v>1334</v>
      </c>
      <c r="C3180" t="s">
        <v>4338</v>
      </c>
      <c r="D3180" t="s">
        <v>97</v>
      </c>
      <c r="F3180">
        <v>576</v>
      </c>
      <c r="G3180">
        <v>12</v>
      </c>
      <c r="H3180" s="89">
        <v>46234</v>
      </c>
      <c r="I3180" s="89">
        <v>46240</v>
      </c>
      <c r="J3180" t="s">
        <v>4339</v>
      </c>
      <c r="N3180" t="s">
        <v>4250</v>
      </c>
    </row>
    <row r="3181" spans="1:14" hidden="1" x14ac:dyDescent="0.25">
      <c r="A3181" t="s">
        <v>1320</v>
      </c>
      <c r="B3181" t="s">
        <v>1334</v>
      </c>
      <c r="C3181" t="s">
        <v>4340</v>
      </c>
      <c r="D3181" t="s">
        <v>21</v>
      </c>
      <c r="F3181">
        <v>480</v>
      </c>
      <c r="G3181">
        <v>10</v>
      </c>
      <c r="H3181" s="89">
        <v>46234</v>
      </c>
      <c r="I3181" s="89">
        <v>46239</v>
      </c>
      <c r="J3181" t="s">
        <v>4337</v>
      </c>
      <c r="N3181" t="s">
        <v>4250</v>
      </c>
    </row>
    <row r="3182" spans="1:14" hidden="1" x14ac:dyDescent="0.25">
      <c r="A3182" t="s">
        <v>1313</v>
      </c>
      <c r="B3182" t="s">
        <v>1327</v>
      </c>
      <c r="C3182" t="s">
        <v>4340</v>
      </c>
      <c r="D3182" t="s">
        <v>21</v>
      </c>
      <c r="F3182">
        <v>912</v>
      </c>
      <c r="G3182">
        <v>19</v>
      </c>
      <c r="H3182" s="89">
        <v>46234</v>
      </c>
      <c r="I3182" s="89">
        <v>46240</v>
      </c>
      <c r="J3182" t="s">
        <v>4341</v>
      </c>
      <c r="N3182" t="s">
        <v>4250</v>
      </c>
    </row>
    <row r="3183" spans="1:14" hidden="1" x14ac:dyDescent="0.25">
      <c r="A3183" t="s">
        <v>1315</v>
      </c>
      <c r="B3183" t="s">
        <v>1329</v>
      </c>
      <c r="C3183" t="s">
        <v>4340</v>
      </c>
      <c r="D3183" t="s">
        <v>21</v>
      </c>
      <c r="F3183">
        <v>105</v>
      </c>
      <c r="G3183" t="s">
        <v>1419</v>
      </c>
      <c r="H3183" s="89">
        <v>46234</v>
      </c>
      <c r="I3183" s="89">
        <v>46236</v>
      </c>
      <c r="J3183" t="s">
        <v>3549</v>
      </c>
      <c r="N3183" t="s">
        <v>4250</v>
      </c>
    </row>
    <row r="3184" spans="1:14" hidden="1" x14ac:dyDescent="0.25">
      <c r="A3184" t="s">
        <v>1316</v>
      </c>
      <c r="B3184" t="s">
        <v>1330</v>
      </c>
      <c r="C3184" t="s">
        <v>4342</v>
      </c>
      <c r="D3184" t="s">
        <v>21</v>
      </c>
      <c r="F3184">
        <v>19</v>
      </c>
      <c r="G3184" t="s">
        <v>1419</v>
      </c>
      <c r="H3184" s="89">
        <v>46234</v>
      </c>
      <c r="I3184" s="89">
        <v>46236</v>
      </c>
      <c r="J3184" t="s">
        <v>3549</v>
      </c>
      <c r="N3184" t="s">
        <v>4250</v>
      </c>
    </row>
    <row r="3185" spans="1:14" hidden="1" x14ac:dyDescent="0.25">
      <c r="A3185" t="s">
        <v>1317</v>
      </c>
      <c r="B3185" t="s">
        <v>1331</v>
      </c>
      <c r="C3185" t="s">
        <v>4343</v>
      </c>
      <c r="D3185" t="s">
        <v>21</v>
      </c>
      <c r="F3185">
        <v>13</v>
      </c>
      <c r="G3185" t="s">
        <v>1419</v>
      </c>
      <c r="H3185" s="89">
        <v>46234</v>
      </c>
      <c r="I3185" s="89">
        <v>46236</v>
      </c>
      <c r="J3185" t="s">
        <v>3549</v>
      </c>
      <c r="N3185" t="s">
        <v>4250</v>
      </c>
    </row>
    <row r="3186" spans="1:14" hidden="1" x14ac:dyDescent="0.25">
      <c r="A3186" t="s">
        <v>1318</v>
      </c>
      <c r="B3186" t="s">
        <v>1332</v>
      </c>
      <c r="C3186" t="s">
        <v>4344</v>
      </c>
      <c r="D3186" t="s">
        <v>21</v>
      </c>
      <c r="F3186">
        <v>72</v>
      </c>
      <c r="G3186" t="s">
        <v>1419</v>
      </c>
      <c r="H3186" s="89">
        <v>46234</v>
      </c>
      <c r="I3186" s="89">
        <v>46236</v>
      </c>
      <c r="J3186" t="s">
        <v>3549</v>
      </c>
      <c r="N3186" t="s">
        <v>4250</v>
      </c>
    </row>
    <row r="3187" spans="1:14" hidden="1" x14ac:dyDescent="0.25">
      <c r="A3187" t="s">
        <v>1313</v>
      </c>
      <c r="B3187" t="s">
        <v>1327</v>
      </c>
      <c r="C3187" t="s">
        <v>4345</v>
      </c>
      <c r="D3187" t="s">
        <v>20</v>
      </c>
      <c r="F3187">
        <v>1104</v>
      </c>
      <c r="G3187">
        <v>23</v>
      </c>
      <c r="H3187" s="89">
        <v>46234</v>
      </c>
      <c r="I3187" s="89">
        <v>46239</v>
      </c>
      <c r="J3187" t="s">
        <v>3549</v>
      </c>
      <c r="N3187" t="s">
        <v>4250</v>
      </c>
    </row>
    <row r="3188" spans="1:14" hidden="1" x14ac:dyDescent="0.25">
      <c r="A3188" t="s">
        <v>1315</v>
      </c>
      <c r="B3188" t="s">
        <v>1329</v>
      </c>
      <c r="C3188" t="s">
        <v>4345</v>
      </c>
      <c r="D3188" t="s">
        <v>20</v>
      </c>
      <c r="F3188">
        <v>33</v>
      </c>
      <c r="G3188" t="s">
        <v>1419</v>
      </c>
      <c r="H3188" s="89">
        <v>46234</v>
      </c>
      <c r="I3188" s="89">
        <v>46236</v>
      </c>
      <c r="J3188" t="s">
        <v>3549</v>
      </c>
      <c r="N3188" t="s">
        <v>4250</v>
      </c>
    </row>
    <row r="3189" spans="1:14" hidden="1" x14ac:dyDescent="0.25">
      <c r="A3189" t="s">
        <v>1316</v>
      </c>
      <c r="B3189" t="s">
        <v>1330</v>
      </c>
      <c r="C3189" t="s">
        <v>4346</v>
      </c>
      <c r="D3189" t="s">
        <v>20</v>
      </c>
      <c r="F3189">
        <v>274</v>
      </c>
      <c r="G3189" t="s">
        <v>1419</v>
      </c>
      <c r="H3189" s="89">
        <v>46234</v>
      </c>
      <c r="I3189" s="89">
        <v>46236</v>
      </c>
      <c r="J3189" t="s">
        <v>3549</v>
      </c>
      <c r="N3189" t="s">
        <v>4250</v>
      </c>
    </row>
    <row r="3190" spans="1:14" hidden="1" x14ac:dyDescent="0.25">
      <c r="A3190" t="s">
        <v>1317</v>
      </c>
      <c r="B3190" t="s">
        <v>1331</v>
      </c>
      <c r="C3190" t="s">
        <v>4347</v>
      </c>
      <c r="D3190" t="s">
        <v>20</v>
      </c>
      <c r="F3190">
        <v>81</v>
      </c>
      <c r="G3190" t="s">
        <v>1419</v>
      </c>
      <c r="H3190" s="89">
        <v>46234</v>
      </c>
      <c r="I3190" s="89">
        <v>46236</v>
      </c>
      <c r="J3190" t="s">
        <v>3549</v>
      </c>
      <c r="N3190" t="s">
        <v>4250</v>
      </c>
    </row>
    <row r="3191" spans="1:14" hidden="1" x14ac:dyDescent="0.25">
      <c r="A3191" t="s">
        <v>1318</v>
      </c>
      <c r="B3191" t="s">
        <v>1332</v>
      </c>
      <c r="C3191" t="s">
        <v>4348</v>
      </c>
      <c r="D3191" t="s">
        <v>20</v>
      </c>
      <c r="F3191">
        <v>74</v>
      </c>
      <c r="G3191" t="s">
        <v>1419</v>
      </c>
      <c r="H3191" s="89">
        <v>46234</v>
      </c>
      <c r="I3191" s="89">
        <v>46236</v>
      </c>
      <c r="J3191" t="s">
        <v>3549</v>
      </c>
      <c r="N3191" t="s">
        <v>4250</v>
      </c>
    </row>
    <row r="3192" spans="1:14" hidden="1" x14ac:dyDescent="0.25">
      <c r="A3192" t="s">
        <v>1313</v>
      </c>
      <c r="B3192" t="s">
        <v>1327</v>
      </c>
      <c r="C3192" t="s">
        <v>4349</v>
      </c>
      <c r="D3192" t="s">
        <v>15</v>
      </c>
      <c r="F3192">
        <v>288</v>
      </c>
      <c r="G3192">
        <v>6</v>
      </c>
      <c r="H3192" s="89">
        <v>46234</v>
      </c>
      <c r="I3192" s="89">
        <v>46238</v>
      </c>
      <c r="J3192" t="s">
        <v>4316</v>
      </c>
      <c r="N3192" t="s">
        <v>4250</v>
      </c>
    </row>
    <row r="3193" spans="1:14" hidden="1" x14ac:dyDescent="0.25">
      <c r="A3193" t="s">
        <v>1314</v>
      </c>
      <c r="B3193" t="s">
        <v>1328</v>
      </c>
      <c r="C3193" t="s">
        <v>4349</v>
      </c>
      <c r="D3193" t="s">
        <v>15</v>
      </c>
      <c r="F3193">
        <v>48</v>
      </c>
      <c r="G3193">
        <v>1</v>
      </c>
      <c r="H3193" s="89">
        <v>46234</v>
      </c>
      <c r="I3193" s="89">
        <v>46239</v>
      </c>
      <c r="J3193" t="s">
        <v>3549</v>
      </c>
      <c r="N3193" t="s">
        <v>4250</v>
      </c>
    </row>
    <row r="3194" spans="1:14" hidden="1" x14ac:dyDescent="0.25">
      <c r="A3194" t="s">
        <v>1314</v>
      </c>
      <c r="B3194" t="s">
        <v>1328</v>
      </c>
      <c r="C3194" t="s">
        <v>4349</v>
      </c>
      <c r="D3194" t="s">
        <v>15</v>
      </c>
      <c r="F3194">
        <v>240</v>
      </c>
      <c r="G3194">
        <v>5</v>
      </c>
      <c r="H3194" s="89">
        <v>46234</v>
      </c>
      <c r="I3194" s="89">
        <v>46240</v>
      </c>
      <c r="J3194" t="s">
        <v>4350</v>
      </c>
      <c r="N3194" t="s">
        <v>4250</v>
      </c>
    </row>
    <row r="3195" spans="1:14" hidden="1" x14ac:dyDescent="0.25">
      <c r="A3195" t="s">
        <v>1313</v>
      </c>
      <c r="B3195" t="s">
        <v>1327</v>
      </c>
      <c r="C3195" t="s">
        <v>4349</v>
      </c>
      <c r="D3195" t="s">
        <v>15</v>
      </c>
      <c r="F3195">
        <v>576</v>
      </c>
      <c r="G3195">
        <v>12</v>
      </c>
      <c r="H3195" s="89">
        <v>46234</v>
      </c>
      <c r="I3195" s="89">
        <v>46241</v>
      </c>
      <c r="J3195" t="s">
        <v>4351</v>
      </c>
      <c r="N3195" t="s">
        <v>4250</v>
      </c>
    </row>
    <row r="3196" spans="1:14" hidden="1" x14ac:dyDescent="0.25">
      <c r="A3196" t="s">
        <v>1316</v>
      </c>
      <c r="B3196" t="s">
        <v>1330</v>
      </c>
      <c r="C3196" t="s">
        <v>4352</v>
      </c>
      <c r="D3196" t="s">
        <v>15</v>
      </c>
      <c r="F3196">
        <v>33</v>
      </c>
      <c r="G3196" t="s">
        <v>1419</v>
      </c>
      <c r="H3196" s="89">
        <v>46234</v>
      </c>
      <c r="I3196" s="89">
        <v>46236</v>
      </c>
      <c r="J3196" t="s">
        <v>3549</v>
      </c>
      <c r="N3196" t="s">
        <v>4250</v>
      </c>
    </row>
    <row r="3197" spans="1:14" hidden="1" x14ac:dyDescent="0.25">
      <c r="A3197" t="s">
        <v>1317</v>
      </c>
      <c r="B3197" t="s">
        <v>1331</v>
      </c>
      <c r="C3197" t="s">
        <v>4353</v>
      </c>
      <c r="D3197" t="s">
        <v>15</v>
      </c>
      <c r="F3197">
        <v>60</v>
      </c>
      <c r="G3197" t="s">
        <v>1419</v>
      </c>
      <c r="H3197" s="89">
        <v>46234</v>
      </c>
      <c r="I3197" s="89">
        <v>46236</v>
      </c>
      <c r="J3197" t="s">
        <v>3549</v>
      </c>
      <c r="N3197" t="s">
        <v>4250</v>
      </c>
    </row>
    <row r="3198" spans="1:14" hidden="1" x14ac:dyDescent="0.25">
      <c r="A3198" t="s">
        <v>1318</v>
      </c>
      <c r="B3198" t="s">
        <v>1332</v>
      </c>
      <c r="C3198" t="s">
        <v>4354</v>
      </c>
      <c r="D3198" t="s">
        <v>15</v>
      </c>
      <c r="F3198">
        <v>21</v>
      </c>
      <c r="G3198" t="s">
        <v>1419</v>
      </c>
      <c r="H3198" s="89">
        <v>46234</v>
      </c>
      <c r="I3198" s="89">
        <v>46236</v>
      </c>
      <c r="J3198" t="s">
        <v>3549</v>
      </c>
      <c r="N3198" t="s">
        <v>4250</v>
      </c>
    </row>
    <row r="3199" spans="1:14" hidden="1" x14ac:dyDescent="0.25">
      <c r="A3199" t="s">
        <v>1324</v>
      </c>
      <c r="B3199" t="s">
        <v>1338</v>
      </c>
      <c r="C3199" t="s">
        <v>4355</v>
      </c>
      <c r="D3199" t="s">
        <v>113</v>
      </c>
      <c r="F3199">
        <v>960</v>
      </c>
      <c r="G3199">
        <v>20</v>
      </c>
      <c r="H3199" s="89">
        <v>46235</v>
      </c>
      <c r="I3199" s="89">
        <v>46242</v>
      </c>
      <c r="J3199" t="s">
        <v>4331</v>
      </c>
      <c r="N3199" t="s">
        <v>4250</v>
      </c>
    </row>
    <row r="3200" spans="1:14" hidden="1" x14ac:dyDescent="0.25">
      <c r="A3200" t="s">
        <v>1324</v>
      </c>
      <c r="B3200" t="s">
        <v>1338</v>
      </c>
      <c r="C3200" t="s">
        <v>4356</v>
      </c>
      <c r="D3200" t="s">
        <v>24</v>
      </c>
      <c r="F3200">
        <v>816</v>
      </c>
      <c r="G3200">
        <v>17</v>
      </c>
      <c r="H3200" s="89">
        <v>46235</v>
      </c>
      <c r="I3200" s="89">
        <v>46242</v>
      </c>
      <c r="J3200" t="s">
        <v>4331</v>
      </c>
      <c r="N3200" t="s">
        <v>4250</v>
      </c>
    </row>
    <row r="3201" spans="1:14" hidden="1" x14ac:dyDescent="0.25">
      <c r="A3201" t="s">
        <v>1320</v>
      </c>
      <c r="B3201" t="s">
        <v>1334</v>
      </c>
      <c r="C3201" t="s">
        <v>4357</v>
      </c>
      <c r="D3201" t="s">
        <v>152</v>
      </c>
      <c r="F3201">
        <v>240</v>
      </c>
      <c r="G3201">
        <v>5</v>
      </c>
      <c r="H3201" s="89">
        <v>46235</v>
      </c>
      <c r="I3201" s="89">
        <v>46240</v>
      </c>
      <c r="J3201" t="s">
        <v>4339</v>
      </c>
      <c r="N3201" t="s">
        <v>4250</v>
      </c>
    </row>
    <row r="3202" spans="1:14" hidden="1" x14ac:dyDescent="0.25">
      <c r="A3202" t="s">
        <v>1320</v>
      </c>
      <c r="B3202" t="s">
        <v>1334</v>
      </c>
      <c r="C3202" t="s">
        <v>4358</v>
      </c>
      <c r="D3202" t="s">
        <v>97</v>
      </c>
      <c r="F3202">
        <v>384</v>
      </c>
      <c r="G3202">
        <v>8</v>
      </c>
      <c r="H3202" s="89">
        <v>46235</v>
      </c>
      <c r="I3202" s="89">
        <v>46240</v>
      </c>
      <c r="J3202" t="s">
        <v>4339</v>
      </c>
      <c r="N3202" t="s">
        <v>4250</v>
      </c>
    </row>
    <row r="3203" spans="1:14" hidden="1" x14ac:dyDescent="0.25">
      <c r="A3203" t="s">
        <v>1324</v>
      </c>
      <c r="B3203" t="s">
        <v>1338</v>
      </c>
      <c r="C3203" t="s">
        <v>4359</v>
      </c>
      <c r="D3203" t="s">
        <v>13</v>
      </c>
      <c r="F3203">
        <v>960</v>
      </c>
      <c r="G3203">
        <v>20</v>
      </c>
      <c r="H3203" s="89">
        <v>46237</v>
      </c>
      <c r="I3203" s="89">
        <v>46244</v>
      </c>
      <c r="J3203" t="s">
        <v>4360</v>
      </c>
      <c r="N3203" t="s">
        <v>4361</v>
      </c>
    </row>
    <row r="3204" spans="1:14" hidden="1" x14ac:dyDescent="0.25">
      <c r="A3204" t="s">
        <v>1320</v>
      </c>
      <c r="B3204" t="s">
        <v>1334</v>
      </c>
      <c r="C3204" t="s">
        <v>4359</v>
      </c>
      <c r="D3204" t="s">
        <v>13</v>
      </c>
      <c r="F3204">
        <v>480</v>
      </c>
      <c r="G3204">
        <v>10</v>
      </c>
      <c r="H3204" s="89">
        <v>46237</v>
      </c>
      <c r="I3204" s="89">
        <v>46242</v>
      </c>
      <c r="J3204" t="s">
        <v>4362</v>
      </c>
      <c r="N3204" t="s">
        <v>4361</v>
      </c>
    </row>
    <row r="3205" spans="1:14" hidden="1" x14ac:dyDescent="0.25">
      <c r="A3205" t="s">
        <v>1319</v>
      </c>
      <c r="B3205" t="s">
        <v>1333</v>
      </c>
      <c r="C3205" t="s">
        <v>4363</v>
      </c>
      <c r="D3205" t="s">
        <v>15</v>
      </c>
      <c r="F3205">
        <v>60</v>
      </c>
      <c r="G3205">
        <v>1.25</v>
      </c>
      <c r="H3205" s="89">
        <v>46237</v>
      </c>
      <c r="I3205" s="89">
        <v>46241</v>
      </c>
      <c r="J3205" t="s">
        <v>4351</v>
      </c>
      <c r="N3205" t="s">
        <v>4361</v>
      </c>
    </row>
    <row r="3206" spans="1:14" hidden="1" x14ac:dyDescent="0.25">
      <c r="A3206" t="s">
        <v>1313</v>
      </c>
      <c r="B3206" t="s">
        <v>1327</v>
      </c>
      <c r="C3206" t="s">
        <v>4363</v>
      </c>
      <c r="D3206" t="s">
        <v>15</v>
      </c>
      <c r="F3206">
        <v>36</v>
      </c>
      <c r="G3206">
        <v>0.75</v>
      </c>
      <c r="H3206" s="89">
        <v>46237</v>
      </c>
      <c r="I3206" s="89">
        <v>46241</v>
      </c>
      <c r="J3206" t="s">
        <v>4351</v>
      </c>
      <c r="N3206" t="s">
        <v>4361</v>
      </c>
    </row>
    <row r="3207" spans="1:14" hidden="1" x14ac:dyDescent="0.25">
      <c r="A3207" t="s">
        <v>1314</v>
      </c>
      <c r="B3207" t="s">
        <v>1328</v>
      </c>
      <c r="C3207" t="s">
        <v>4363</v>
      </c>
      <c r="D3207" t="s">
        <v>15</v>
      </c>
      <c r="F3207">
        <v>48</v>
      </c>
      <c r="G3207">
        <v>1</v>
      </c>
      <c r="H3207" s="89">
        <v>46237</v>
      </c>
      <c r="I3207" s="89">
        <v>46241</v>
      </c>
      <c r="J3207" t="s">
        <v>4364</v>
      </c>
      <c r="N3207" t="s">
        <v>4361</v>
      </c>
    </row>
    <row r="3208" spans="1:14" hidden="1" x14ac:dyDescent="0.25">
      <c r="A3208" t="s">
        <v>1313</v>
      </c>
      <c r="B3208" t="s">
        <v>1327</v>
      </c>
      <c r="C3208" t="s">
        <v>4363</v>
      </c>
      <c r="D3208" t="s">
        <v>15</v>
      </c>
      <c r="F3208">
        <v>1104</v>
      </c>
      <c r="G3208">
        <v>23</v>
      </c>
      <c r="H3208" s="89">
        <v>46237</v>
      </c>
      <c r="I3208" s="89">
        <v>46241</v>
      </c>
      <c r="J3208" t="s">
        <v>4364</v>
      </c>
      <c r="N3208" t="s">
        <v>4361</v>
      </c>
    </row>
    <row r="3209" spans="1:14" hidden="1" x14ac:dyDescent="0.25">
      <c r="A3209" t="s">
        <v>1315</v>
      </c>
      <c r="B3209" t="s">
        <v>1329</v>
      </c>
      <c r="C3209" t="s">
        <v>4363</v>
      </c>
      <c r="D3209" t="s">
        <v>15</v>
      </c>
      <c r="F3209">
        <v>37</v>
      </c>
      <c r="G3209" t="s">
        <v>1419</v>
      </c>
      <c r="H3209" s="89">
        <v>46237</v>
      </c>
      <c r="I3209" s="89">
        <v>46242</v>
      </c>
      <c r="J3209" t="s">
        <v>3549</v>
      </c>
      <c r="N3209" t="s">
        <v>4361</v>
      </c>
    </row>
    <row r="3210" spans="1:14" hidden="1" x14ac:dyDescent="0.25">
      <c r="A3210" t="s">
        <v>1316</v>
      </c>
      <c r="B3210" t="s">
        <v>1330</v>
      </c>
      <c r="C3210" t="s">
        <v>4365</v>
      </c>
      <c r="D3210" t="s">
        <v>15</v>
      </c>
      <c r="F3210">
        <v>42</v>
      </c>
      <c r="G3210" t="s">
        <v>1419</v>
      </c>
      <c r="H3210" s="89">
        <v>46237</v>
      </c>
      <c r="I3210" s="89">
        <v>46239</v>
      </c>
      <c r="J3210" t="s">
        <v>3549</v>
      </c>
      <c r="N3210" t="s">
        <v>4361</v>
      </c>
    </row>
    <row r="3211" spans="1:14" hidden="1" x14ac:dyDescent="0.25">
      <c r="A3211" t="s">
        <v>1317</v>
      </c>
      <c r="B3211" t="s">
        <v>1331</v>
      </c>
      <c r="C3211" t="s">
        <v>4366</v>
      </c>
      <c r="D3211" t="s">
        <v>15</v>
      </c>
      <c r="F3211">
        <v>56</v>
      </c>
      <c r="G3211" t="s">
        <v>1419</v>
      </c>
      <c r="H3211" s="89">
        <v>46237</v>
      </c>
      <c r="I3211" s="89">
        <v>46239</v>
      </c>
      <c r="J3211" t="s">
        <v>3549</v>
      </c>
      <c r="N3211" t="s">
        <v>4361</v>
      </c>
    </row>
    <row r="3212" spans="1:14" hidden="1" x14ac:dyDescent="0.25">
      <c r="A3212" t="s">
        <v>1318</v>
      </c>
      <c r="B3212" t="s">
        <v>1332</v>
      </c>
      <c r="C3212" t="s">
        <v>4367</v>
      </c>
      <c r="D3212" t="s">
        <v>15</v>
      </c>
      <c r="F3212">
        <v>33</v>
      </c>
      <c r="G3212" t="s">
        <v>1419</v>
      </c>
      <c r="H3212" s="89">
        <v>46237</v>
      </c>
      <c r="I3212" s="89">
        <v>46239</v>
      </c>
      <c r="J3212" t="s">
        <v>3549</v>
      </c>
      <c r="N3212" t="s">
        <v>4361</v>
      </c>
    </row>
    <row r="3213" spans="1:14" hidden="1" x14ac:dyDescent="0.25">
      <c r="A3213" t="s">
        <v>1320</v>
      </c>
      <c r="B3213" t="s">
        <v>1334</v>
      </c>
      <c r="C3213" t="s">
        <v>4368</v>
      </c>
      <c r="D3213" t="s">
        <v>20</v>
      </c>
      <c r="F3213">
        <v>960</v>
      </c>
      <c r="G3213">
        <v>20</v>
      </c>
      <c r="H3213" s="89">
        <v>46237</v>
      </c>
      <c r="I3213" s="89">
        <v>46241</v>
      </c>
      <c r="J3213" t="s">
        <v>4369</v>
      </c>
      <c r="N3213" t="s">
        <v>4361</v>
      </c>
    </row>
    <row r="3214" spans="1:14" hidden="1" x14ac:dyDescent="0.25">
      <c r="A3214" t="s">
        <v>1313</v>
      </c>
      <c r="B3214" t="s">
        <v>1327</v>
      </c>
      <c r="C3214" t="s">
        <v>4368</v>
      </c>
      <c r="D3214" t="s">
        <v>20</v>
      </c>
      <c r="F3214">
        <v>192</v>
      </c>
      <c r="G3214">
        <v>4</v>
      </c>
      <c r="H3214" s="89">
        <v>46237</v>
      </c>
      <c r="I3214" s="89">
        <v>46242</v>
      </c>
      <c r="J3214" t="s">
        <v>3549</v>
      </c>
      <c r="N3214" t="s">
        <v>4361</v>
      </c>
    </row>
    <row r="3215" spans="1:14" hidden="1" x14ac:dyDescent="0.25">
      <c r="A3215" t="s">
        <v>1315</v>
      </c>
      <c r="B3215" t="s">
        <v>1329</v>
      </c>
      <c r="C3215" t="s">
        <v>4368</v>
      </c>
      <c r="D3215" t="s">
        <v>20</v>
      </c>
      <c r="F3215">
        <v>46</v>
      </c>
      <c r="G3215" t="s">
        <v>1419</v>
      </c>
      <c r="H3215" s="89">
        <v>46237</v>
      </c>
      <c r="I3215" s="89">
        <v>46242</v>
      </c>
      <c r="J3215" t="s">
        <v>3549</v>
      </c>
      <c r="N3215" t="s">
        <v>4361</v>
      </c>
    </row>
    <row r="3216" spans="1:14" hidden="1" x14ac:dyDescent="0.25">
      <c r="A3216" t="s">
        <v>1316</v>
      </c>
      <c r="B3216" t="s">
        <v>1330</v>
      </c>
      <c r="C3216" t="s">
        <v>4370</v>
      </c>
      <c r="D3216" t="s">
        <v>20</v>
      </c>
      <c r="F3216">
        <v>199</v>
      </c>
      <c r="G3216" t="s">
        <v>1419</v>
      </c>
      <c r="H3216" s="89">
        <v>46237</v>
      </c>
      <c r="I3216" s="89">
        <v>46239</v>
      </c>
      <c r="J3216" t="s">
        <v>3549</v>
      </c>
      <c r="N3216" t="s">
        <v>4361</v>
      </c>
    </row>
    <row r="3217" spans="1:14" hidden="1" x14ac:dyDescent="0.25">
      <c r="A3217" t="s">
        <v>1317</v>
      </c>
      <c r="B3217" t="s">
        <v>1331</v>
      </c>
      <c r="C3217" t="s">
        <v>4371</v>
      </c>
      <c r="D3217" t="s">
        <v>20</v>
      </c>
      <c r="F3217">
        <v>51</v>
      </c>
      <c r="G3217" t="s">
        <v>1419</v>
      </c>
      <c r="H3217" s="89">
        <v>46237</v>
      </c>
      <c r="I3217" s="89">
        <v>46239</v>
      </c>
      <c r="J3217" t="s">
        <v>3549</v>
      </c>
      <c r="N3217" t="s">
        <v>4361</v>
      </c>
    </row>
    <row r="3218" spans="1:14" hidden="1" x14ac:dyDescent="0.25">
      <c r="A3218" t="s">
        <v>1318</v>
      </c>
      <c r="B3218" t="s">
        <v>1332</v>
      </c>
      <c r="C3218" t="s">
        <v>4372</v>
      </c>
      <c r="D3218" t="s">
        <v>20</v>
      </c>
      <c r="F3218">
        <v>68</v>
      </c>
      <c r="G3218" t="s">
        <v>1419</v>
      </c>
      <c r="H3218" s="89">
        <v>46237</v>
      </c>
      <c r="I3218" s="89">
        <v>46239</v>
      </c>
      <c r="J3218" t="s">
        <v>3549</v>
      </c>
      <c r="N3218" t="s">
        <v>4361</v>
      </c>
    </row>
    <row r="3219" spans="1:14" hidden="1" x14ac:dyDescent="0.25">
      <c r="A3219" t="s">
        <v>1320</v>
      </c>
      <c r="B3219" t="s">
        <v>1334</v>
      </c>
      <c r="C3219" t="s">
        <v>4373</v>
      </c>
      <c r="D3219" t="s">
        <v>21</v>
      </c>
      <c r="F3219">
        <v>960</v>
      </c>
      <c r="G3219">
        <v>20</v>
      </c>
      <c r="H3219" s="89">
        <v>46237</v>
      </c>
      <c r="I3219" s="89">
        <v>46241</v>
      </c>
      <c r="J3219" t="s">
        <v>4374</v>
      </c>
      <c r="N3219" t="s">
        <v>4361</v>
      </c>
    </row>
    <row r="3220" spans="1:14" hidden="1" x14ac:dyDescent="0.25">
      <c r="A3220" t="s">
        <v>1313</v>
      </c>
      <c r="B3220" t="s">
        <v>1327</v>
      </c>
      <c r="C3220" t="s">
        <v>4373</v>
      </c>
      <c r="D3220" t="s">
        <v>21</v>
      </c>
      <c r="F3220">
        <v>288</v>
      </c>
      <c r="G3220">
        <v>6</v>
      </c>
      <c r="H3220" s="89">
        <v>46237</v>
      </c>
      <c r="I3220" s="89">
        <v>46241</v>
      </c>
      <c r="J3220" t="s">
        <v>4351</v>
      </c>
      <c r="N3220" t="s">
        <v>4361</v>
      </c>
    </row>
    <row r="3221" spans="1:14" hidden="1" x14ac:dyDescent="0.25">
      <c r="A3221" t="s">
        <v>1315</v>
      </c>
      <c r="B3221" t="s">
        <v>1329</v>
      </c>
      <c r="C3221" t="s">
        <v>4373</v>
      </c>
      <c r="D3221" t="s">
        <v>21</v>
      </c>
      <c r="F3221">
        <v>136</v>
      </c>
      <c r="G3221" t="s">
        <v>1419</v>
      </c>
      <c r="H3221" s="89">
        <v>46237</v>
      </c>
      <c r="I3221" s="89">
        <v>46242</v>
      </c>
      <c r="J3221" t="s">
        <v>3549</v>
      </c>
      <c r="N3221" t="s">
        <v>4361</v>
      </c>
    </row>
    <row r="3222" spans="1:14" hidden="1" x14ac:dyDescent="0.25">
      <c r="A3222" t="s">
        <v>1316</v>
      </c>
      <c r="B3222" t="s">
        <v>1330</v>
      </c>
      <c r="C3222" t="s">
        <v>4375</v>
      </c>
      <c r="D3222" t="s">
        <v>21</v>
      </c>
      <c r="F3222">
        <v>33</v>
      </c>
      <c r="G3222" t="s">
        <v>1419</v>
      </c>
      <c r="H3222" s="89">
        <v>46237</v>
      </c>
      <c r="I3222" s="89">
        <v>46239</v>
      </c>
      <c r="J3222" t="s">
        <v>3549</v>
      </c>
      <c r="N3222" t="s">
        <v>4361</v>
      </c>
    </row>
    <row r="3223" spans="1:14" hidden="1" x14ac:dyDescent="0.25">
      <c r="A3223" t="s">
        <v>1317</v>
      </c>
      <c r="B3223" t="s">
        <v>1331</v>
      </c>
      <c r="C3223" t="s">
        <v>4376</v>
      </c>
      <c r="D3223" t="s">
        <v>21</v>
      </c>
      <c r="F3223">
        <v>11</v>
      </c>
      <c r="G3223" t="s">
        <v>1419</v>
      </c>
      <c r="H3223" s="89">
        <v>46237</v>
      </c>
      <c r="I3223" s="89">
        <v>46239</v>
      </c>
      <c r="J3223" t="s">
        <v>3549</v>
      </c>
      <c r="N3223" t="s">
        <v>4361</v>
      </c>
    </row>
    <row r="3224" spans="1:14" hidden="1" x14ac:dyDescent="0.25">
      <c r="A3224" t="s">
        <v>1318</v>
      </c>
      <c r="B3224" t="s">
        <v>1332</v>
      </c>
      <c r="C3224" t="s">
        <v>4377</v>
      </c>
      <c r="D3224" t="s">
        <v>21</v>
      </c>
      <c r="F3224">
        <v>74</v>
      </c>
      <c r="G3224" t="s">
        <v>1419</v>
      </c>
      <c r="H3224" s="89">
        <v>46237</v>
      </c>
      <c r="I3224" s="89">
        <v>46239</v>
      </c>
      <c r="J3224" t="s">
        <v>3549</v>
      </c>
      <c r="N3224" t="s">
        <v>4361</v>
      </c>
    </row>
    <row r="3225" spans="1:14" hidden="1" x14ac:dyDescent="0.25">
      <c r="A3225" t="s">
        <v>1324</v>
      </c>
      <c r="B3225" t="s">
        <v>1338</v>
      </c>
      <c r="C3225" t="s">
        <v>4378</v>
      </c>
      <c r="D3225" t="s">
        <v>150</v>
      </c>
      <c r="F3225">
        <v>1152</v>
      </c>
      <c r="G3225">
        <v>24</v>
      </c>
      <c r="H3225" s="89">
        <v>46238</v>
      </c>
      <c r="I3225" s="89">
        <v>46244</v>
      </c>
      <c r="J3225" t="s">
        <v>4379</v>
      </c>
      <c r="N3225" t="s">
        <v>4361</v>
      </c>
    </row>
    <row r="3226" spans="1:14" hidden="1" x14ac:dyDescent="0.25">
      <c r="A3226" t="s">
        <v>1321</v>
      </c>
      <c r="B3226" t="s">
        <v>1335</v>
      </c>
      <c r="C3226" t="s">
        <v>4380</v>
      </c>
      <c r="D3226" t="s">
        <v>32</v>
      </c>
      <c r="F3226">
        <v>144</v>
      </c>
      <c r="G3226">
        <v>3</v>
      </c>
      <c r="H3226" s="89">
        <v>46238</v>
      </c>
      <c r="I3226" s="89">
        <v>46245</v>
      </c>
      <c r="J3226" t="s">
        <v>4379</v>
      </c>
      <c r="N3226" t="s">
        <v>4361</v>
      </c>
    </row>
    <row r="3227" spans="1:14" hidden="1" x14ac:dyDescent="0.25">
      <c r="A3227" t="s">
        <v>1321</v>
      </c>
      <c r="B3227" t="s">
        <v>1335</v>
      </c>
      <c r="C3227" t="s">
        <v>4380</v>
      </c>
      <c r="D3227" t="s">
        <v>32</v>
      </c>
      <c r="F3227">
        <v>96</v>
      </c>
      <c r="G3227">
        <v>2</v>
      </c>
      <c r="H3227" s="89">
        <v>46238</v>
      </c>
      <c r="I3227" s="89">
        <v>46244</v>
      </c>
      <c r="J3227" t="s">
        <v>4360</v>
      </c>
      <c r="N3227" t="s">
        <v>4361</v>
      </c>
    </row>
    <row r="3228" spans="1:14" hidden="1" x14ac:dyDescent="0.25">
      <c r="A3228" t="s">
        <v>1320</v>
      </c>
      <c r="B3228" t="s">
        <v>1334</v>
      </c>
      <c r="C3228" t="s">
        <v>4381</v>
      </c>
      <c r="D3228" t="s">
        <v>152</v>
      </c>
      <c r="F3228">
        <v>480</v>
      </c>
      <c r="G3228">
        <v>10</v>
      </c>
      <c r="H3228" s="89">
        <v>46238</v>
      </c>
      <c r="I3228" s="89">
        <v>46242</v>
      </c>
      <c r="J3228" t="s">
        <v>4362</v>
      </c>
      <c r="N3228" t="s">
        <v>4361</v>
      </c>
    </row>
    <row r="3229" spans="1:14" hidden="1" x14ac:dyDescent="0.25">
      <c r="A3229" t="s">
        <v>1325</v>
      </c>
      <c r="B3229" t="s">
        <v>1339</v>
      </c>
      <c r="C3229" t="s">
        <v>4380</v>
      </c>
      <c r="D3229" t="s">
        <v>32</v>
      </c>
      <c r="F3229">
        <v>336</v>
      </c>
      <c r="G3229">
        <v>7</v>
      </c>
      <c r="H3229" s="89">
        <v>46238</v>
      </c>
      <c r="I3229" s="89">
        <v>46241</v>
      </c>
      <c r="J3229" t="s">
        <v>3549</v>
      </c>
      <c r="N3229" t="s">
        <v>4361</v>
      </c>
    </row>
    <row r="3230" spans="1:14" hidden="1" x14ac:dyDescent="0.25">
      <c r="A3230" t="s">
        <v>1313</v>
      </c>
      <c r="B3230" t="s">
        <v>1327</v>
      </c>
      <c r="C3230" t="s">
        <v>4382</v>
      </c>
      <c r="D3230" t="s">
        <v>15</v>
      </c>
      <c r="F3230">
        <v>1152</v>
      </c>
      <c r="G3230">
        <v>24</v>
      </c>
      <c r="H3230" s="89">
        <v>46238</v>
      </c>
      <c r="I3230" s="89">
        <v>46242</v>
      </c>
      <c r="J3230" t="s">
        <v>4383</v>
      </c>
      <c r="N3230" t="s">
        <v>4361</v>
      </c>
    </row>
    <row r="3231" spans="1:14" hidden="1" x14ac:dyDescent="0.25">
      <c r="A3231" t="s">
        <v>1314</v>
      </c>
      <c r="B3231" t="s">
        <v>1328</v>
      </c>
      <c r="C3231" t="s">
        <v>4382</v>
      </c>
      <c r="D3231" t="s">
        <v>15</v>
      </c>
      <c r="F3231">
        <v>240</v>
      </c>
      <c r="G3231">
        <v>5</v>
      </c>
      <c r="H3231" s="89">
        <v>46238</v>
      </c>
      <c r="I3231" s="89">
        <v>46242</v>
      </c>
      <c r="J3231" t="s">
        <v>4384</v>
      </c>
      <c r="N3231" t="s">
        <v>4361</v>
      </c>
    </row>
    <row r="3232" spans="1:14" hidden="1" x14ac:dyDescent="0.25">
      <c r="A3232" t="s">
        <v>1314</v>
      </c>
      <c r="B3232" t="s">
        <v>1328</v>
      </c>
      <c r="C3232" t="s">
        <v>4382</v>
      </c>
      <c r="D3232" t="s">
        <v>15</v>
      </c>
      <c r="F3232">
        <v>48</v>
      </c>
      <c r="G3232">
        <v>1</v>
      </c>
      <c r="H3232" s="89">
        <v>46238</v>
      </c>
      <c r="I3232" s="89">
        <v>46244</v>
      </c>
      <c r="J3232" t="s">
        <v>4385</v>
      </c>
      <c r="N3232" t="s">
        <v>4361</v>
      </c>
    </row>
    <row r="3233" spans="1:14" hidden="1" x14ac:dyDescent="0.25">
      <c r="A3233" t="s">
        <v>1313</v>
      </c>
      <c r="B3233" t="s">
        <v>1327</v>
      </c>
      <c r="C3233" t="s">
        <v>4382</v>
      </c>
      <c r="D3233" t="s">
        <v>15</v>
      </c>
      <c r="F3233">
        <v>192</v>
      </c>
      <c r="G3233">
        <v>4</v>
      </c>
      <c r="H3233" s="89">
        <v>46238</v>
      </c>
      <c r="I3233" s="89">
        <v>46242</v>
      </c>
      <c r="J3233" t="s">
        <v>4386</v>
      </c>
      <c r="N3233" t="s">
        <v>4361</v>
      </c>
    </row>
    <row r="3234" spans="1:14" hidden="1" x14ac:dyDescent="0.25">
      <c r="A3234" t="s">
        <v>1315</v>
      </c>
      <c r="B3234" t="s">
        <v>1329</v>
      </c>
      <c r="C3234" t="s">
        <v>4382</v>
      </c>
      <c r="D3234" t="s">
        <v>15</v>
      </c>
      <c r="F3234">
        <v>15</v>
      </c>
      <c r="G3234" t="s">
        <v>1419</v>
      </c>
      <c r="H3234" s="89">
        <v>46238</v>
      </c>
      <c r="I3234" s="89">
        <v>46242</v>
      </c>
      <c r="J3234" t="s">
        <v>3549</v>
      </c>
      <c r="N3234" t="s">
        <v>4361</v>
      </c>
    </row>
    <row r="3235" spans="1:14" hidden="1" x14ac:dyDescent="0.25">
      <c r="A3235" t="s">
        <v>1316</v>
      </c>
      <c r="B3235" t="s">
        <v>1330</v>
      </c>
      <c r="C3235" t="s">
        <v>4387</v>
      </c>
      <c r="D3235" t="s">
        <v>15</v>
      </c>
      <c r="F3235">
        <v>69</v>
      </c>
      <c r="G3235" t="s">
        <v>1419</v>
      </c>
      <c r="H3235" s="89">
        <v>46238</v>
      </c>
      <c r="I3235" s="89">
        <v>46240</v>
      </c>
      <c r="J3235" t="s">
        <v>3549</v>
      </c>
      <c r="N3235" t="s">
        <v>4361</v>
      </c>
    </row>
    <row r="3236" spans="1:14" hidden="1" x14ac:dyDescent="0.25">
      <c r="A3236" t="s">
        <v>1317</v>
      </c>
      <c r="B3236" t="s">
        <v>1331</v>
      </c>
      <c r="C3236" t="s">
        <v>4388</v>
      </c>
      <c r="D3236" t="s">
        <v>15</v>
      </c>
      <c r="F3236">
        <v>102</v>
      </c>
      <c r="G3236" t="s">
        <v>1419</v>
      </c>
      <c r="H3236" s="89">
        <v>46238</v>
      </c>
      <c r="I3236" s="89">
        <v>46240</v>
      </c>
      <c r="J3236" t="s">
        <v>3549</v>
      </c>
      <c r="N3236" t="s">
        <v>4361</v>
      </c>
    </row>
    <row r="3237" spans="1:14" hidden="1" x14ac:dyDescent="0.25">
      <c r="A3237" t="s">
        <v>1318</v>
      </c>
      <c r="B3237" t="s">
        <v>1332</v>
      </c>
      <c r="C3237" t="s">
        <v>4389</v>
      </c>
      <c r="D3237" t="s">
        <v>15</v>
      </c>
      <c r="F3237">
        <v>51</v>
      </c>
      <c r="G3237" t="s">
        <v>1419</v>
      </c>
      <c r="H3237" s="89">
        <v>46238</v>
      </c>
      <c r="I3237" s="89">
        <v>46240</v>
      </c>
      <c r="J3237" t="s">
        <v>3549</v>
      </c>
      <c r="N3237" t="s">
        <v>4361</v>
      </c>
    </row>
    <row r="3238" spans="1:14" hidden="1" x14ac:dyDescent="0.25">
      <c r="A3238" t="s">
        <v>1324</v>
      </c>
      <c r="B3238" t="s">
        <v>1338</v>
      </c>
      <c r="C3238" t="s">
        <v>4390</v>
      </c>
      <c r="D3238" t="s">
        <v>28</v>
      </c>
      <c r="F3238">
        <v>864</v>
      </c>
      <c r="G3238">
        <v>18</v>
      </c>
      <c r="H3238" s="89">
        <v>46238</v>
      </c>
      <c r="I3238" s="89">
        <v>46244</v>
      </c>
      <c r="J3238" t="s">
        <v>4360</v>
      </c>
      <c r="N3238" t="s">
        <v>4361</v>
      </c>
    </row>
    <row r="3239" spans="1:14" hidden="1" x14ac:dyDescent="0.25">
      <c r="A3239" t="s">
        <v>1313</v>
      </c>
      <c r="B3239" t="s">
        <v>1327</v>
      </c>
      <c r="C3239" t="s">
        <v>4390</v>
      </c>
      <c r="D3239" t="s">
        <v>28</v>
      </c>
      <c r="F3239">
        <v>48</v>
      </c>
      <c r="G3239">
        <v>1</v>
      </c>
      <c r="H3239" s="89">
        <v>46238</v>
      </c>
      <c r="I3239" s="89">
        <v>46242</v>
      </c>
      <c r="J3239" t="s">
        <v>3549</v>
      </c>
      <c r="N3239" t="s">
        <v>4361</v>
      </c>
    </row>
    <row r="3240" spans="1:14" hidden="1" x14ac:dyDescent="0.25">
      <c r="A3240" t="s">
        <v>1315</v>
      </c>
      <c r="B3240" t="s">
        <v>1329</v>
      </c>
      <c r="C3240" t="s">
        <v>4390</v>
      </c>
      <c r="D3240" t="s">
        <v>28</v>
      </c>
      <c r="F3240">
        <v>171</v>
      </c>
      <c r="G3240" t="s">
        <v>1419</v>
      </c>
      <c r="H3240" s="89">
        <v>46238</v>
      </c>
      <c r="I3240" s="89">
        <v>46242</v>
      </c>
      <c r="J3240" t="s">
        <v>3549</v>
      </c>
      <c r="N3240" t="s">
        <v>4361</v>
      </c>
    </row>
    <row r="3241" spans="1:14" hidden="1" x14ac:dyDescent="0.25">
      <c r="A3241" t="s">
        <v>1316</v>
      </c>
      <c r="B3241" t="s">
        <v>1330</v>
      </c>
      <c r="C3241" t="s">
        <v>4391</v>
      </c>
      <c r="D3241" t="s">
        <v>28</v>
      </c>
      <c r="F3241">
        <v>19</v>
      </c>
      <c r="G3241" t="s">
        <v>1419</v>
      </c>
      <c r="H3241" s="89">
        <v>46238</v>
      </c>
      <c r="I3241" s="89">
        <v>46240</v>
      </c>
      <c r="J3241" t="s">
        <v>3549</v>
      </c>
      <c r="N3241" t="s">
        <v>4361</v>
      </c>
    </row>
    <row r="3242" spans="1:14" hidden="1" x14ac:dyDescent="0.25">
      <c r="A3242" t="s">
        <v>1317</v>
      </c>
      <c r="B3242" t="s">
        <v>1331</v>
      </c>
      <c r="C3242" t="s">
        <v>4392</v>
      </c>
      <c r="D3242" t="s">
        <v>28</v>
      </c>
      <c r="F3242">
        <v>3</v>
      </c>
      <c r="G3242" t="s">
        <v>1419</v>
      </c>
      <c r="H3242" s="89">
        <v>46238</v>
      </c>
      <c r="I3242" s="89">
        <v>46240</v>
      </c>
      <c r="J3242" t="s">
        <v>3549</v>
      </c>
      <c r="N3242" t="s">
        <v>4361</v>
      </c>
    </row>
    <row r="3243" spans="1:14" hidden="1" x14ac:dyDescent="0.25">
      <c r="A3243" t="s">
        <v>1318</v>
      </c>
      <c r="B3243" t="s">
        <v>1332</v>
      </c>
      <c r="C3243" t="s">
        <v>4393</v>
      </c>
      <c r="D3243" t="s">
        <v>28</v>
      </c>
      <c r="F3243">
        <v>36</v>
      </c>
      <c r="G3243" t="s">
        <v>1419</v>
      </c>
      <c r="H3243" s="89">
        <v>46238</v>
      </c>
      <c r="I3243" s="89">
        <v>46240</v>
      </c>
      <c r="J3243" t="s">
        <v>3549</v>
      </c>
      <c r="N3243" t="s">
        <v>4361</v>
      </c>
    </row>
    <row r="3244" spans="1:14" hidden="1" x14ac:dyDescent="0.25">
      <c r="A3244" t="s">
        <v>1323</v>
      </c>
      <c r="B3244" t="s">
        <v>1337</v>
      </c>
      <c r="C3244" t="s">
        <v>4394</v>
      </c>
      <c r="D3244" t="s">
        <v>20</v>
      </c>
      <c r="F3244">
        <v>918</v>
      </c>
      <c r="G3244">
        <v>17</v>
      </c>
      <c r="H3244" s="89">
        <v>46238</v>
      </c>
      <c r="I3244" s="89">
        <v>46242</v>
      </c>
      <c r="J3244" t="s">
        <v>4395</v>
      </c>
      <c r="N3244" t="s">
        <v>4361</v>
      </c>
    </row>
    <row r="3245" spans="1:14" hidden="1" x14ac:dyDescent="0.25">
      <c r="A3245" t="s">
        <v>1322</v>
      </c>
      <c r="B3245" t="s">
        <v>1336</v>
      </c>
      <c r="C3245" t="s">
        <v>4394</v>
      </c>
      <c r="D3245" t="s">
        <v>20</v>
      </c>
      <c r="F3245">
        <v>162</v>
      </c>
      <c r="G3245">
        <v>3</v>
      </c>
      <c r="H3245" s="89">
        <v>46238</v>
      </c>
      <c r="I3245" s="89">
        <v>46242</v>
      </c>
      <c r="J3245" t="s">
        <v>4395</v>
      </c>
      <c r="N3245" t="s">
        <v>4361</v>
      </c>
    </row>
    <row r="3246" spans="1:14" hidden="1" x14ac:dyDescent="0.25">
      <c r="A3246" t="s">
        <v>1313</v>
      </c>
      <c r="B3246" t="s">
        <v>1327</v>
      </c>
      <c r="C3246" t="s">
        <v>4394</v>
      </c>
      <c r="D3246" t="s">
        <v>20</v>
      </c>
      <c r="F3246">
        <v>144</v>
      </c>
      <c r="G3246">
        <v>3</v>
      </c>
      <c r="H3246" s="89">
        <v>46238</v>
      </c>
      <c r="I3246" s="89">
        <v>46242</v>
      </c>
      <c r="J3246" t="s">
        <v>3549</v>
      </c>
      <c r="N3246" t="s">
        <v>4361</v>
      </c>
    </row>
    <row r="3247" spans="1:14" hidden="1" x14ac:dyDescent="0.25">
      <c r="A3247" t="s">
        <v>1315</v>
      </c>
      <c r="B3247" t="s">
        <v>1329</v>
      </c>
      <c r="C3247" t="s">
        <v>4394</v>
      </c>
      <c r="D3247" t="s">
        <v>20</v>
      </c>
      <c r="F3247">
        <v>3</v>
      </c>
      <c r="G3247" t="s">
        <v>1419</v>
      </c>
      <c r="H3247" s="89">
        <v>46238</v>
      </c>
      <c r="I3247" s="89">
        <v>46242</v>
      </c>
      <c r="J3247" t="s">
        <v>3549</v>
      </c>
      <c r="N3247" t="s">
        <v>4361</v>
      </c>
    </row>
    <row r="3248" spans="1:14" hidden="1" x14ac:dyDescent="0.25">
      <c r="A3248" t="s">
        <v>1316</v>
      </c>
      <c r="B3248" t="s">
        <v>1330</v>
      </c>
      <c r="C3248" t="s">
        <v>4396</v>
      </c>
      <c r="D3248" t="s">
        <v>20</v>
      </c>
      <c r="F3248">
        <v>85</v>
      </c>
      <c r="G3248" t="s">
        <v>1419</v>
      </c>
      <c r="H3248" s="89">
        <v>46238</v>
      </c>
      <c r="I3248" s="89">
        <v>46240</v>
      </c>
      <c r="J3248" t="s">
        <v>3549</v>
      </c>
      <c r="N3248" t="s">
        <v>4361</v>
      </c>
    </row>
    <row r="3249" spans="1:14" hidden="1" x14ac:dyDescent="0.25">
      <c r="A3249" t="s">
        <v>1317</v>
      </c>
      <c r="B3249" t="s">
        <v>1331</v>
      </c>
      <c r="C3249" t="s">
        <v>4397</v>
      </c>
      <c r="D3249" t="s">
        <v>20</v>
      </c>
      <c r="F3249">
        <v>9</v>
      </c>
      <c r="G3249" t="s">
        <v>1419</v>
      </c>
      <c r="H3249" s="89">
        <v>46238</v>
      </c>
      <c r="I3249" s="89">
        <v>46240</v>
      </c>
      <c r="J3249" t="s">
        <v>3549</v>
      </c>
      <c r="N3249" t="s">
        <v>4361</v>
      </c>
    </row>
    <row r="3250" spans="1:14" hidden="1" x14ac:dyDescent="0.25">
      <c r="A3250" t="s">
        <v>1318</v>
      </c>
      <c r="B3250" t="s">
        <v>1332</v>
      </c>
      <c r="C3250" t="s">
        <v>4398</v>
      </c>
      <c r="D3250" t="s">
        <v>20</v>
      </c>
      <c r="F3250">
        <v>49</v>
      </c>
      <c r="G3250" t="s">
        <v>1419</v>
      </c>
      <c r="H3250" s="89">
        <v>46238</v>
      </c>
      <c r="I3250" s="89">
        <v>46240</v>
      </c>
      <c r="J3250" t="s">
        <v>3549</v>
      </c>
      <c r="N3250" t="s">
        <v>4361</v>
      </c>
    </row>
    <row r="3251" spans="1:14" hidden="1" x14ac:dyDescent="0.25">
      <c r="A3251" t="s">
        <v>1324</v>
      </c>
      <c r="B3251" t="s">
        <v>1338</v>
      </c>
      <c r="C3251" t="s">
        <v>4399</v>
      </c>
      <c r="D3251" t="s">
        <v>119</v>
      </c>
      <c r="F3251">
        <v>960</v>
      </c>
      <c r="G3251">
        <v>20</v>
      </c>
      <c r="H3251" s="89">
        <v>46239</v>
      </c>
      <c r="I3251" s="89">
        <v>46246</v>
      </c>
      <c r="J3251" t="s">
        <v>4400</v>
      </c>
      <c r="N3251" t="s">
        <v>4361</v>
      </c>
    </row>
    <row r="3252" spans="1:14" hidden="1" x14ac:dyDescent="0.25">
      <c r="A3252" t="s">
        <v>1320</v>
      </c>
      <c r="B3252" t="s">
        <v>1334</v>
      </c>
      <c r="C3252" t="s">
        <v>4401</v>
      </c>
      <c r="D3252" t="s">
        <v>150</v>
      </c>
      <c r="F3252">
        <v>960</v>
      </c>
      <c r="G3252">
        <v>20</v>
      </c>
      <c r="H3252" s="89">
        <v>46239</v>
      </c>
      <c r="I3252" s="89">
        <v>46242</v>
      </c>
      <c r="J3252" t="s">
        <v>4402</v>
      </c>
      <c r="N3252" t="s">
        <v>4361</v>
      </c>
    </row>
    <row r="3253" spans="1:14" hidden="1" x14ac:dyDescent="0.25">
      <c r="A3253" t="s">
        <v>1324</v>
      </c>
      <c r="B3253" t="s">
        <v>1338</v>
      </c>
      <c r="C3253" t="s">
        <v>4403</v>
      </c>
      <c r="D3253" t="s">
        <v>23</v>
      </c>
      <c r="F3253">
        <v>816</v>
      </c>
      <c r="G3253">
        <v>17</v>
      </c>
      <c r="H3253" s="89">
        <v>46239</v>
      </c>
      <c r="I3253" s="89">
        <v>46245</v>
      </c>
      <c r="J3253" t="s">
        <v>4379</v>
      </c>
      <c r="N3253" t="s">
        <v>4361</v>
      </c>
    </row>
    <row r="3254" spans="1:14" hidden="1" x14ac:dyDescent="0.25">
      <c r="A3254" t="s">
        <v>1313</v>
      </c>
      <c r="B3254" t="s">
        <v>1327</v>
      </c>
      <c r="C3254" t="s">
        <v>4404</v>
      </c>
      <c r="D3254" t="s">
        <v>15</v>
      </c>
      <c r="F3254">
        <v>720</v>
      </c>
      <c r="G3254">
        <v>15</v>
      </c>
      <c r="H3254" s="89">
        <v>46239</v>
      </c>
      <c r="I3254" s="89">
        <v>46242</v>
      </c>
      <c r="J3254" t="s">
        <v>4386</v>
      </c>
      <c r="N3254" t="s">
        <v>4361</v>
      </c>
    </row>
    <row r="3255" spans="1:14" hidden="1" x14ac:dyDescent="0.25">
      <c r="A3255" t="s">
        <v>1313</v>
      </c>
      <c r="B3255" t="s">
        <v>1327</v>
      </c>
      <c r="C3255" t="s">
        <v>4404</v>
      </c>
      <c r="D3255" t="s">
        <v>15</v>
      </c>
      <c r="F3255">
        <v>48</v>
      </c>
      <c r="G3255">
        <v>1</v>
      </c>
      <c r="H3255" s="89">
        <v>46239</v>
      </c>
      <c r="I3255" s="89">
        <v>46241</v>
      </c>
      <c r="J3255" t="s">
        <v>3549</v>
      </c>
      <c r="N3255" t="s">
        <v>4361</v>
      </c>
    </row>
    <row r="3256" spans="1:14" hidden="1" x14ac:dyDescent="0.25">
      <c r="A3256" t="s">
        <v>1315</v>
      </c>
      <c r="B3256" t="s">
        <v>1329</v>
      </c>
      <c r="C3256" t="s">
        <v>4404</v>
      </c>
      <c r="D3256" t="s">
        <v>15</v>
      </c>
      <c r="F3256">
        <v>43</v>
      </c>
      <c r="G3256" t="s">
        <v>1419</v>
      </c>
      <c r="H3256" s="89">
        <v>46239</v>
      </c>
      <c r="I3256" s="89">
        <v>46242</v>
      </c>
      <c r="J3256" t="s">
        <v>3549</v>
      </c>
      <c r="N3256" t="s">
        <v>4361</v>
      </c>
    </row>
    <row r="3257" spans="1:14" hidden="1" x14ac:dyDescent="0.25">
      <c r="A3257" t="s">
        <v>1316</v>
      </c>
      <c r="B3257" t="s">
        <v>1330</v>
      </c>
      <c r="C3257" t="s">
        <v>4405</v>
      </c>
      <c r="D3257" t="s">
        <v>15</v>
      </c>
      <c r="F3257">
        <v>58</v>
      </c>
      <c r="G3257" t="s">
        <v>1419</v>
      </c>
      <c r="H3257" s="89">
        <v>46239</v>
      </c>
      <c r="I3257" s="89">
        <v>46241</v>
      </c>
      <c r="J3257" t="s">
        <v>3549</v>
      </c>
      <c r="N3257" t="s">
        <v>4361</v>
      </c>
    </row>
    <row r="3258" spans="1:14" hidden="1" x14ac:dyDescent="0.25">
      <c r="A3258" t="s">
        <v>1317</v>
      </c>
      <c r="B3258" t="s">
        <v>1331</v>
      </c>
      <c r="C3258" t="s">
        <v>4406</v>
      </c>
      <c r="D3258" t="s">
        <v>15</v>
      </c>
      <c r="F3258">
        <v>85</v>
      </c>
      <c r="G3258" t="s">
        <v>1419</v>
      </c>
      <c r="H3258" s="89">
        <v>46239</v>
      </c>
      <c r="I3258" s="89">
        <v>46241</v>
      </c>
      <c r="J3258" t="s">
        <v>3549</v>
      </c>
      <c r="N3258" t="s">
        <v>4361</v>
      </c>
    </row>
    <row r="3259" spans="1:14" hidden="1" x14ac:dyDescent="0.25">
      <c r="A3259" t="s">
        <v>1318</v>
      </c>
      <c r="B3259" t="s">
        <v>1332</v>
      </c>
      <c r="C3259" t="s">
        <v>4407</v>
      </c>
      <c r="D3259" t="s">
        <v>15</v>
      </c>
      <c r="F3259">
        <v>45</v>
      </c>
      <c r="G3259" t="s">
        <v>1419</v>
      </c>
      <c r="H3259" s="89">
        <v>46239</v>
      </c>
      <c r="I3259" s="89">
        <v>46241</v>
      </c>
      <c r="J3259" t="s">
        <v>3549</v>
      </c>
      <c r="N3259" t="s">
        <v>4361</v>
      </c>
    </row>
    <row r="3260" spans="1:14" hidden="1" x14ac:dyDescent="0.25">
      <c r="A3260" t="s">
        <v>1324</v>
      </c>
      <c r="B3260" t="s">
        <v>1338</v>
      </c>
      <c r="C3260" t="s">
        <v>4408</v>
      </c>
      <c r="D3260" t="s">
        <v>21</v>
      </c>
      <c r="F3260">
        <v>960</v>
      </c>
      <c r="G3260">
        <v>20</v>
      </c>
      <c r="H3260" s="89">
        <v>46238</v>
      </c>
      <c r="I3260" s="89">
        <v>46245</v>
      </c>
      <c r="J3260" t="s">
        <v>4379</v>
      </c>
      <c r="N3260" t="s">
        <v>4361</v>
      </c>
    </row>
    <row r="3261" spans="1:14" hidden="1" x14ac:dyDescent="0.25">
      <c r="A3261" t="s">
        <v>1313</v>
      </c>
      <c r="B3261" t="s">
        <v>1327</v>
      </c>
      <c r="C3261" t="s">
        <v>4409</v>
      </c>
      <c r="D3261" t="s">
        <v>21</v>
      </c>
      <c r="F3261">
        <v>192</v>
      </c>
      <c r="G3261">
        <v>4</v>
      </c>
      <c r="H3261" s="89">
        <v>46239</v>
      </c>
      <c r="I3261" s="89">
        <v>46242</v>
      </c>
      <c r="J3261" t="s">
        <v>3549</v>
      </c>
      <c r="N3261" t="s">
        <v>4361</v>
      </c>
    </row>
    <row r="3262" spans="1:14" hidden="1" x14ac:dyDescent="0.25">
      <c r="A3262" t="s">
        <v>1315</v>
      </c>
      <c r="B3262" t="s">
        <v>1329</v>
      </c>
      <c r="C3262" t="s">
        <v>4409</v>
      </c>
      <c r="D3262" t="s">
        <v>21</v>
      </c>
      <c r="F3262">
        <v>74</v>
      </c>
      <c r="G3262" t="s">
        <v>1419</v>
      </c>
      <c r="H3262" s="89">
        <v>46239</v>
      </c>
      <c r="I3262" s="89">
        <v>46242</v>
      </c>
      <c r="J3262" t="s">
        <v>3549</v>
      </c>
      <c r="N3262" t="s">
        <v>4361</v>
      </c>
    </row>
    <row r="3263" spans="1:14" hidden="1" x14ac:dyDescent="0.25">
      <c r="A3263" t="s">
        <v>1316</v>
      </c>
      <c r="B3263" t="s">
        <v>1330</v>
      </c>
      <c r="C3263" t="s">
        <v>4410</v>
      </c>
      <c r="D3263" t="s">
        <v>21</v>
      </c>
      <c r="F3263">
        <v>44</v>
      </c>
      <c r="G3263" t="s">
        <v>1419</v>
      </c>
      <c r="H3263" s="89">
        <v>46239</v>
      </c>
      <c r="I3263" s="89">
        <v>46241</v>
      </c>
      <c r="J3263" t="s">
        <v>3549</v>
      </c>
      <c r="N3263" t="s">
        <v>4361</v>
      </c>
    </row>
    <row r="3264" spans="1:14" hidden="1" x14ac:dyDescent="0.25">
      <c r="A3264" t="s">
        <v>1317</v>
      </c>
      <c r="B3264" t="s">
        <v>1331</v>
      </c>
      <c r="C3264" t="s">
        <v>4411</v>
      </c>
      <c r="D3264" t="s">
        <v>21</v>
      </c>
      <c r="F3264">
        <v>26</v>
      </c>
      <c r="G3264" t="s">
        <v>1419</v>
      </c>
      <c r="H3264" s="89">
        <v>46239</v>
      </c>
      <c r="I3264" s="89">
        <v>46241</v>
      </c>
      <c r="J3264" t="s">
        <v>3549</v>
      </c>
      <c r="N3264" t="s">
        <v>4361</v>
      </c>
    </row>
    <row r="3265" spans="1:14" hidden="1" x14ac:dyDescent="0.25">
      <c r="A3265" t="s">
        <v>1318</v>
      </c>
      <c r="B3265" t="s">
        <v>1332</v>
      </c>
      <c r="C3265" t="s">
        <v>4412</v>
      </c>
      <c r="D3265" t="s">
        <v>21</v>
      </c>
      <c r="F3265">
        <v>78</v>
      </c>
      <c r="G3265" t="s">
        <v>1419</v>
      </c>
      <c r="H3265" s="89">
        <v>46239</v>
      </c>
      <c r="I3265" s="89">
        <v>46241</v>
      </c>
      <c r="J3265" t="s">
        <v>3549</v>
      </c>
      <c r="N3265" t="s">
        <v>4361</v>
      </c>
    </row>
    <row r="3266" spans="1:14" hidden="1" x14ac:dyDescent="0.25">
      <c r="A3266" t="s">
        <v>1313</v>
      </c>
      <c r="B3266" t="s">
        <v>1327</v>
      </c>
      <c r="C3266" t="s">
        <v>4413</v>
      </c>
      <c r="D3266" t="s">
        <v>20</v>
      </c>
      <c r="F3266">
        <v>990</v>
      </c>
      <c r="G3266">
        <v>20.625</v>
      </c>
      <c r="H3266" s="89">
        <v>46239</v>
      </c>
      <c r="I3266" s="89">
        <v>46244</v>
      </c>
      <c r="J3266" t="s">
        <v>4414</v>
      </c>
      <c r="N3266" t="s">
        <v>4361</v>
      </c>
    </row>
    <row r="3267" spans="1:14" hidden="1" x14ac:dyDescent="0.25">
      <c r="A3267" t="s">
        <v>1319</v>
      </c>
      <c r="B3267" t="s">
        <v>1333</v>
      </c>
      <c r="C3267" t="s">
        <v>4413</v>
      </c>
      <c r="D3267" t="s">
        <v>20</v>
      </c>
      <c r="F3267">
        <v>66</v>
      </c>
      <c r="G3267">
        <v>1.375</v>
      </c>
      <c r="H3267" s="89">
        <v>46239</v>
      </c>
      <c r="I3267" s="89">
        <v>46244</v>
      </c>
      <c r="J3267" t="s">
        <v>4414</v>
      </c>
      <c r="N3267" t="s">
        <v>4361</v>
      </c>
    </row>
    <row r="3268" spans="1:14" hidden="1" x14ac:dyDescent="0.25">
      <c r="A3268" t="s">
        <v>1313</v>
      </c>
      <c r="B3268" t="s">
        <v>1327</v>
      </c>
      <c r="C3268" t="s">
        <v>4413</v>
      </c>
      <c r="D3268" t="s">
        <v>20</v>
      </c>
      <c r="F3268">
        <v>192</v>
      </c>
      <c r="G3268">
        <v>4</v>
      </c>
      <c r="H3268" s="89">
        <v>46239</v>
      </c>
      <c r="I3268" s="89">
        <v>46242</v>
      </c>
      <c r="J3268" t="s">
        <v>3549</v>
      </c>
      <c r="N3268" t="s">
        <v>4361</v>
      </c>
    </row>
    <row r="3269" spans="1:14" hidden="1" x14ac:dyDescent="0.25">
      <c r="A3269" t="s">
        <v>1315</v>
      </c>
      <c r="B3269" t="s">
        <v>1329</v>
      </c>
      <c r="C3269" t="s">
        <v>4413</v>
      </c>
      <c r="D3269" t="s">
        <v>20</v>
      </c>
      <c r="F3269">
        <v>14</v>
      </c>
      <c r="G3269" t="s">
        <v>1419</v>
      </c>
      <c r="H3269" s="89">
        <v>46239</v>
      </c>
      <c r="I3269" s="89">
        <v>46242</v>
      </c>
      <c r="J3269" t="s">
        <v>3549</v>
      </c>
      <c r="N3269" t="s">
        <v>4361</v>
      </c>
    </row>
    <row r="3270" spans="1:14" hidden="1" x14ac:dyDescent="0.25">
      <c r="A3270" t="s">
        <v>1316</v>
      </c>
      <c r="B3270" t="s">
        <v>1330</v>
      </c>
      <c r="C3270" t="s">
        <v>4415</v>
      </c>
      <c r="D3270" t="s">
        <v>20</v>
      </c>
      <c r="F3270">
        <v>133</v>
      </c>
      <c r="G3270" t="s">
        <v>1419</v>
      </c>
      <c r="H3270" s="89">
        <v>46239</v>
      </c>
      <c r="I3270" s="89">
        <v>46241</v>
      </c>
      <c r="J3270" t="s">
        <v>3549</v>
      </c>
      <c r="N3270" t="s">
        <v>4361</v>
      </c>
    </row>
    <row r="3271" spans="1:14" hidden="1" x14ac:dyDescent="0.25">
      <c r="A3271" t="s">
        <v>1317</v>
      </c>
      <c r="B3271" t="s">
        <v>1331</v>
      </c>
      <c r="C3271" t="s">
        <v>4416</v>
      </c>
      <c r="D3271" t="s">
        <v>20</v>
      </c>
      <c r="F3271">
        <v>21</v>
      </c>
      <c r="G3271" t="s">
        <v>1419</v>
      </c>
      <c r="H3271" s="89">
        <v>46239</v>
      </c>
      <c r="I3271" s="89">
        <v>46241</v>
      </c>
      <c r="J3271" t="s">
        <v>3549</v>
      </c>
      <c r="N3271" t="s">
        <v>4361</v>
      </c>
    </row>
    <row r="3272" spans="1:14" hidden="1" x14ac:dyDescent="0.25">
      <c r="A3272" t="s">
        <v>1318</v>
      </c>
      <c r="B3272" t="s">
        <v>1332</v>
      </c>
      <c r="C3272" t="s">
        <v>4417</v>
      </c>
      <c r="D3272" t="s">
        <v>20</v>
      </c>
      <c r="F3272">
        <v>73</v>
      </c>
      <c r="G3272" t="s">
        <v>1419</v>
      </c>
      <c r="H3272" s="89">
        <v>46239</v>
      </c>
      <c r="I3272" s="89">
        <v>46241</v>
      </c>
      <c r="J3272" t="s">
        <v>3549</v>
      </c>
      <c r="N3272" t="s">
        <v>4361</v>
      </c>
    </row>
    <row r="3273" spans="1:14" hidden="1" x14ac:dyDescent="0.25">
      <c r="A3273" t="s">
        <v>1320</v>
      </c>
      <c r="B3273" t="s">
        <v>1334</v>
      </c>
      <c r="C3273" t="s">
        <v>4418</v>
      </c>
      <c r="D3273" t="s">
        <v>23</v>
      </c>
      <c r="F3273">
        <v>960</v>
      </c>
      <c r="G3273">
        <v>20</v>
      </c>
      <c r="H3273" s="89">
        <v>46240</v>
      </c>
      <c r="I3273" s="89">
        <v>46244</v>
      </c>
      <c r="J3273" t="s">
        <v>4419</v>
      </c>
      <c r="N3273" t="s">
        <v>4361</v>
      </c>
    </row>
    <row r="3274" spans="1:14" hidden="1" x14ac:dyDescent="0.25">
      <c r="A3274" t="s">
        <v>1320</v>
      </c>
      <c r="B3274" t="s">
        <v>1334</v>
      </c>
      <c r="C3274" t="s">
        <v>4420</v>
      </c>
      <c r="D3274" t="s">
        <v>150</v>
      </c>
      <c r="F3274">
        <v>960</v>
      </c>
      <c r="G3274">
        <v>20</v>
      </c>
      <c r="H3274" s="89">
        <v>46240</v>
      </c>
      <c r="I3274" s="89">
        <v>46244</v>
      </c>
      <c r="J3274" t="s">
        <v>4421</v>
      </c>
      <c r="N3274" t="s">
        <v>4361</v>
      </c>
    </row>
    <row r="3275" spans="1:14" hidden="1" x14ac:dyDescent="0.25">
      <c r="A3275" t="s">
        <v>1320</v>
      </c>
      <c r="B3275" t="s">
        <v>1334</v>
      </c>
      <c r="C3275" t="s">
        <v>4422</v>
      </c>
      <c r="D3275" t="s">
        <v>4313</v>
      </c>
      <c r="F3275">
        <v>960</v>
      </c>
      <c r="G3275">
        <v>20</v>
      </c>
      <c r="H3275" s="89">
        <v>46240</v>
      </c>
      <c r="I3275" s="89">
        <v>46245</v>
      </c>
      <c r="J3275" t="s">
        <v>4423</v>
      </c>
      <c r="N3275" t="s">
        <v>4361</v>
      </c>
    </row>
    <row r="3276" spans="1:14" hidden="1" x14ac:dyDescent="0.25">
      <c r="A3276" t="s">
        <v>1320</v>
      </c>
      <c r="B3276" t="s">
        <v>1334</v>
      </c>
      <c r="C3276" t="s">
        <v>4422</v>
      </c>
      <c r="D3276" t="s">
        <v>4313</v>
      </c>
      <c r="F3276">
        <v>624</v>
      </c>
      <c r="G3276">
        <v>13</v>
      </c>
      <c r="H3276" s="89">
        <v>46240</v>
      </c>
      <c r="I3276" s="89">
        <v>46246</v>
      </c>
      <c r="J3276" t="s">
        <v>4424</v>
      </c>
      <c r="N3276" t="s">
        <v>4361</v>
      </c>
    </row>
    <row r="3277" spans="1:14" hidden="1" x14ac:dyDescent="0.25">
      <c r="A3277" t="s">
        <v>1324</v>
      </c>
      <c r="B3277" t="s">
        <v>1338</v>
      </c>
      <c r="C3277" t="s">
        <v>4425</v>
      </c>
      <c r="D3277" t="s">
        <v>21</v>
      </c>
      <c r="F3277">
        <v>960</v>
      </c>
      <c r="G3277">
        <v>20</v>
      </c>
      <c r="H3277" s="89">
        <v>46240</v>
      </c>
      <c r="I3277" s="89">
        <v>46246</v>
      </c>
      <c r="J3277" t="s">
        <v>4400</v>
      </c>
      <c r="N3277" t="s">
        <v>4361</v>
      </c>
    </row>
    <row r="3278" spans="1:14" hidden="1" x14ac:dyDescent="0.25">
      <c r="A3278" t="s">
        <v>1313</v>
      </c>
      <c r="B3278" t="s">
        <v>1327</v>
      </c>
      <c r="C3278" t="s">
        <v>4425</v>
      </c>
      <c r="D3278" t="s">
        <v>21</v>
      </c>
      <c r="F3278">
        <v>528</v>
      </c>
      <c r="G3278">
        <v>11</v>
      </c>
      <c r="H3278" s="89">
        <v>46240</v>
      </c>
      <c r="I3278" s="89">
        <v>46242</v>
      </c>
      <c r="J3278" t="s">
        <v>3549</v>
      </c>
      <c r="N3278" t="s">
        <v>4361</v>
      </c>
    </row>
    <row r="3279" spans="1:14" hidden="1" x14ac:dyDescent="0.25">
      <c r="A3279" t="s">
        <v>1315</v>
      </c>
      <c r="B3279" t="s">
        <v>1329</v>
      </c>
      <c r="C3279" t="s">
        <v>4425</v>
      </c>
      <c r="D3279" t="s">
        <v>21</v>
      </c>
      <c r="F3279">
        <v>149</v>
      </c>
      <c r="G3279" t="s">
        <v>1419</v>
      </c>
      <c r="H3279" s="89">
        <v>46240</v>
      </c>
      <c r="I3279" s="89">
        <v>46242</v>
      </c>
      <c r="J3279" t="s">
        <v>3549</v>
      </c>
      <c r="N3279" t="s">
        <v>4361</v>
      </c>
    </row>
    <row r="3280" spans="1:14" hidden="1" x14ac:dyDescent="0.25">
      <c r="A3280" t="s">
        <v>1316</v>
      </c>
      <c r="B3280" t="s">
        <v>1330</v>
      </c>
      <c r="C3280" t="s">
        <v>4426</v>
      </c>
      <c r="D3280" t="s">
        <v>21</v>
      </c>
      <c r="F3280">
        <v>36</v>
      </c>
      <c r="G3280" t="s">
        <v>1419</v>
      </c>
      <c r="H3280" s="89">
        <v>46240</v>
      </c>
      <c r="I3280" s="89">
        <v>46242</v>
      </c>
      <c r="J3280" t="s">
        <v>3549</v>
      </c>
      <c r="N3280" t="s">
        <v>4361</v>
      </c>
    </row>
    <row r="3281" spans="1:14" hidden="1" x14ac:dyDescent="0.25">
      <c r="A3281" t="s">
        <v>1317</v>
      </c>
      <c r="B3281" t="s">
        <v>1331</v>
      </c>
      <c r="C3281" t="s">
        <v>4427</v>
      </c>
      <c r="D3281" t="s">
        <v>21</v>
      </c>
      <c r="F3281">
        <v>16</v>
      </c>
      <c r="G3281" t="s">
        <v>1419</v>
      </c>
      <c r="H3281" s="89">
        <v>46240</v>
      </c>
      <c r="I3281" s="89">
        <v>46242</v>
      </c>
      <c r="J3281" t="s">
        <v>3549</v>
      </c>
      <c r="N3281" t="s">
        <v>4361</v>
      </c>
    </row>
    <row r="3282" spans="1:14" hidden="1" x14ac:dyDescent="0.25">
      <c r="A3282" t="s">
        <v>1318</v>
      </c>
      <c r="B3282" t="s">
        <v>1332</v>
      </c>
      <c r="C3282" t="s">
        <v>4428</v>
      </c>
      <c r="D3282" t="s">
        <v>21</v>
      </c>
      <c r="F3282">
        <v>72</v>
      </c>
      <c r="G3282" t="s">
        <v>1419</v>
      </c>
      <c r="H3282" s="89">
        <v>46240</v>
      </c>
      <c r="I3282" s="89">
        <v>46242</v>
      </c>
      <c r="J3282" t="s">
        <v>3549</v>
      </c>
      <c r="N3282" t="s">
        <v>4361</v>
      </c>
    </row>
    <row r="3283" spans="1:14" hidden="1" x14ac:dyDescent="0.25">
      <c r="A3283" t="s">
        <v>1313</v>
      </c>
      <c r="B3283" t="s">
        <v>1327</v>
      </c>
      <c r="C3283" t="s">
        <v>4429</v>
      </c>
      <c r="D3283" t="s">
        <v>15</v>
      </c>
      <c r="F3283">
        <v>912</v>
      </c>
      <c r="G3283">
        <v>19</v>
      </c>
      <c r="H3283" s="89">
        <v>46240</v>
      </c>
      <c r="I3283" s="89">
        <v>46244</v>
      </c>
      <c r="J3283" t="s">
        <v>4430</v>
      </c>
      <c r="N3283" t="s">
        <v>4361</v>
      </c>
    </row>
    <row r="3284" spans="1:14" hidden="1" x14ac:dyDescent="0.25">
      <c r="A3284" t="s">
        <v>1314</v>
      </c>
      <c r="B3284" t="s">
        <v>1328</v>
      </c>
      <c r="C3284" t="s">
        <v>4429</v>
      </c>
      <c r="D3284" t="s">
        <v>15</v>
      </c>
      <c r="F3284">
        <v>192</v>
      </c>
      <c r="G3284">
        <v>4</v>
      </c>
      <c r="H3284" s="89">
        <v>46240</v>
      </c>
      <c r="I3284" s="89">
        <v>46244</v>
      </c>
      <c r="J3284" t="s">
        <v>4385</v>
      </c>
      <c r="N3284" t="s">
        <v>4361</v>
      </c>
    </row>
    <row r="3285" spans="1:14" hidden="1" x14ac:dyDescent="0.25">
      <c r="A3285" t="s">
        <v>1313</v>
      </c>
      <c r="B3285" t="s">
        <v>1327</v>
      </c>
      <c r="C3285" t="s">
        <v>4429</v>
      </c>
      <c r="D3285" t="s">
        <v>15</v>
      </c>
      <c r="F3285">
        <v>96</v>
      </c>
      <c r="G3285">
        <v>2</v>
      </c>
      <c r="H3285" s="89">
        <v>46240</v>
      </c>
      <c r="I3285" s="89">
        <v>46246</v>
      </c>
      <c r="J3285" t="s">
        <v>4431</v>
      </c>
      <c r="N3285" t="s">
        <v>4361</v>
      </c>
    </row>
    <row r="3286" spans="1:14" hidden="1" x14ac:dyDescent="0.25">
      <c r="A3286" t="s">
        <v>1315</v>
      </c>
      <c r="B3286" t="s">
        <v>1329</v>
      </c>
      <c r="C3286" t="s">
        <v>4429</v>
      </c>
      <c r="D3286" t="s">
        <v>15</v>
      </c>
      <c r="F3286">
        <v>32</v>
      </c>
      <c r="G3286" t="s">
        <v>1419</v>
      </c>
      <c r="H3286" s="89">
        <v>46240</v>
      </c>
      <c r="I3286" s="89">
        <v>46242</v>
      </c>
      <c r="J3286" t="s">
        <v>3549</v>
      </c>
      <c r="N3286" t="s">
        <v>4361</v>
      </c>
    </row>
    <row r="3287" spans="1:14" hidden="1" x14ac:dyDescent="0.25">
      <c r="A3287" t="s">
        <v>1316</v>
      </c>
      <c r="B3287" t="s">
        <v>1330</v>
      </c>
      <c r="C3287" t="s">
        <v>4432</v>
      </c>
      <c r="D3287" t="s">
        <v>15</v>
      </c>
      <c r="F3287">
        <v>32</v>
      </c>
      <c r="G3287" t="s">
        <v>1419</v>
      </c>
      <c r="H3287" s="89">
        <v>46240</v>
      </c>
      <c r="I3287" s="89">
        <v>46242</v>
      </c>
      <c r="J3287" t="s">
        <v>3549</v>
      </c>
      <c r="N3287" t="s">
        <v>4361</v>
      </c>
    </row>
    <row r="3288" spans="1:14" hidden="1" x14ac:dyDescent="0.25">
      <c r="A3288" t="s">
        <v>1317</v>
      </c>
      <c r="B3288" t="s">
        <v>1331</v>
      </c>
      <c r="C3288" t="s">
        <v>4433</v>
      </c>
      <c r="D3288" t="s">
        <v>15</v>
      </c>
      <c r="F3288">
        <v>13</v>
      </c>
      <c r="G3288" t="s">
        <v>1419</v>
      </c>
      <c r="H3288" s="89">
        <v>46240</v>
      </c>
      <c r="I3288" s="89">
        <v>46242</v>
      </c>
      <c r="J3288" t="s">
        <v>3549</v>
      </c>
      <c r="N3288" t="s">
        <v>4361</v>
      </c>
    </row>
    <row r="3289" spans="1:14" hidden="1" x14ac:dyDescent="0.25">
      <c r="A3289" t="s">
        <v>1318</v>
      </c>
      <c r="B3289" t="s">
        <v>1332</v>
      </c>
      <c r="C3289" t="s">
        <v>4434</v>
      </c>
      <c r="D3289" t="s">
        <v>15</v>
      </c>
      <c r="F3289">
        <v>35</v>
      </c>
      <c r="G3289" t="s">
        <v>1419</v>
      </c>
      <c r="H3289" s="89">
        <v>46240</v>
      </c>
      <c r="I3289" s="89">
        <v>46242</v>
      </c>
      <c r="J3289" t="s">
        <v>3549</v>
      </c>
      <c r="N3289" t="s">
        <v>4361</v>
      </c>
    </row>
    <row r="3290" spans="1:14" hidden="1" x14ac:dyDescent="0.25">
      <c r="A3290" t="s">
        <v>1313</v>
      </c>
      <c r="B3290" t="s">
        <v>1327</v>
      </c>
      <c r="C3290" t="s">
        <v>4435</v>
      </c>
      <c r="D3290" t="s">
        <v>20</v>
      </c>
      <c r="F3290">
        <v>1056</v>
      </c>
      <c r="G3290">
        <v>22</v>
      </c>
      <c r="H3290" s="89">
        <v>46240</v>
      </c>
      <c r="I3290" s="89">
        <v>46244</v>
      </c>
      <c r="J3290" t="s">
        <v>4436</v>
      </c>
      <c r="N3290" t="s">
        <v>4361</v>
      </c>
    </row>
    <row r="3291" spans="1:14" hidden="1" x14ac:dyDescent="0.25">
      <c r="A3291" t="s">
        <v>1313</v>
      </c>
      <c r="B3291" t="s">
        <v>1327</v>
      </c>
      <c r="C3291" t="s">
        <v>4435</v>
      </c>
      <c r="D3291" t="s">
        <v>20</v>
      </c>
      <c r="F3291">
        <v>96</v>
      </c>
      <c r="G3291">
        <v>2</v>
      </c>
      <c r="H3291" s="89">
        <v>46240</v>
      </c>
      <c r="I3291" s="89">
        <v>46242</v>
      </c>
      <c r="J3291" t="s">
        <v>3549</v>
      </c>
      <c r="N3291" t="s">
        <v>4361</v>
      </c>
    </row>
    <row r="3292" spans="1:14" hidden="1" x14ac:dyDescent="0.25">
      <c r="A3292" t="s">
        <v>1315</v>
      </c>
      <c r="B3292" t="s">
        <v>1329</v>
      </c>
      <c r="C3292" t="s">
        <v>4435</v>
      </c>
      <c r="D3292" t="s">
        <v>20</v>
      </c>
      <c r="F3292">
        <v>21</v>
      </c>
      <c r="G3292" t="s">
        <v>1419</v>
      </c>
      <c r="H3292" s="89">
        <v>46240</v>
      </c>
      <c r="I3292" s="89">
        <v>46242</v>
      </c>
      <c r="J3292" t="s">
        <v>3549</v>
      </c>
      <c r="N3292" t="s">
        <v>4361</v>
      </c>
    </row>
    <row r="3293" spans="1:14" hidden="1" x14ac:dyDescent="0.25">
      <c r="A3293" t="s">
        <v>1325</v>
      </c>
      <c r="B3293" t="s">
        <v>1339</v>
      </c>
      <c r="C3293" t="s">
        <v>4435</v>
      </c>
      <c r="D3293" t="s">
        <v>20</v>
      </c>
      <c r="F3293">
        <v>144</v>
      </c>
      <c r="G3293">
        <v>3</v>
      </c>
      <c r="H3293" s="89">
        <v>46240</v>
      </c>
      <c r="I3293" s="89">
        <v>46242</v>
      </c>
      <c r="J3293" t="s">
        <v>3549</v>
      </c>
      <c r="N3293" t="s">
        <v>4361</v>
      </c>
    </row>
    <row r="3294" spans="1:14" hidden="1" x14ac:dyDescent="0.25">
      <c r="A3294" t="s">
        <v>1316</v>
      </c>
      <c r="B3294" t="s">
        <v>1330</v>
      </c>
      <c r="C3294" t="s">
        <v>4437</v>
      </c>
      <c r="D3294" t="s">
        <v>20</v>
      </c>
      <c r="F3294">
        <v>148</v>
      </c>
      <c r="G3294" t="s">
        <v>1419</v>
      </c>
      <c r="H3294" s="89">
        <v>46240</v>
      </c>
      <c r="I3294" s="89">
        <v>46242</v>
      </c>
      <c r="J3294" t="s">
        <v>3549</v>
      </c>
      <c r="N3294" t="s">
        <v>4361</v>
      </c>
    </row>
    <row r="3295" spans="1:14" hidden="1" x14ac:dyDescent="0.25">
      <c r="A3295" t="s">
        <v>1317</v>
      </c>
      <c r="B3295" t="s">
        <v>1331</v>
      </c>
      <c r="C3295" t="s">
        <v>4438</v>
      </c>
      <c r="D3295" t="s">
        <v>20</v>
      </c>
      <c r="F3295">
        <v>65</v>
      </c>
      <c r="G3295" t="s">
        <v>1419</v>
      </c>
      <c r="H3295" s="89">
        <v>46240</v>
      </c>
      <c r="I3295" s="89">
        <v>46242</v>
      </c>
      <c r="J3295" t="s">
        <v>3549</v>
      </c>
      <c r="N3295" t="s">
        <v>4361</v>
      </c>
    </row>
    <row r="3296" spans="1:14" hidden="1" x14ac:dyDescent="0.25">
      <c r="A3296" t="s">
        <v>1318</v>
      </c>
      <c r="B3296" t="s">
        <v>1332</v>
      </c>
      <c r="C3296" t="s">
        <v>4439</v>
      </c>
      <c r="D3296" t="s">
        <v>20</v>
      </c>
      <c r="F3296">
        <v>78</v>
      </c>
      <c r="G3296" t="s">
        <v>1419</v>
      </c>
      <c r="H3296" s="89">
        <v>46240</v>
      </c>
      <c r="I3296" s="89">
        <v>46242</v>
      </c>
      <c r="J3296" t="s">
        <v>3549</v>
      </c>
      <c r="N3296" t="s">
        <v>4361</v>
      </c>
    </row>
    <row r="3297" spans="1:14" hidden="1" x14ac:dyDescent="0.25">
      <c r="A3297" t="s">
        <v>1320</v>
      </c>
      <c r="B3297" t="s">
        <v>1334</v>
      </c>
      <c r="C3297" t="s">
        <v>4440</v>
      </c>
      <c r="D3297" t="s">
        <v>23</v>
      </c>
      <c r="F3297">
        <v>960</v>
      </c>
      <c r="G3297">
        <v>20</v>
      </c>
      <c r="H3297" s="89">
        <v>46241</v>
      </c>
      <c r="I3297" s="89">
        <v>46245</v>
      </c>
      <c r="J3297" t="s">
        <v>4441</v>
      </c>
      <c r="N3297" t="s">
        <v>4361</v>
      </c>
    </row>
    <row r="3298" spans="1:14" hidden="1" x14ac:dyDescent="0.25">
      <c r="A3298" t="s">
        <v>1326</v>
      </c>
      <c r="B3298" t="s">
        <v>1340</v>
      </c>
      <c r="C3298" t="s">
        <v>4442</v>
      </c>
      <c r="D3298" t="s">
        <v>32</v>
      </c>
      <c r="F3298">
        <v>840</v>
      </c>
      <c r="G3298">
        <v>20</v>
      </c>
      <c r="H3298" s="89">
        <v>46241</v>
      </c>
      <c r="I3298" s="89">
        <v>46245</v>
      </c>
      <c r="J3298" t="s">
        <v>4443</v>
      </c>
      <c r="N3298" t="s">
        <v>4361</v>
      </c>
    </row>
    <row r="3299" spans="1:14" hidden="1" x14ac:dyDescent="0.25">
      <c r="A3299" t="s">
        <v>1324</v>
      </c>
      <c r="B3299" t="s">
        <v>1338</v>
      </c>
      <c r="C3299" t="s">
        <v>4444</v>
      </c>
      <c r="D3299" t="s">
        <v>118</v>
      </c>
      <c r="F3299">
        <v>960</v>
      </c>
      <c r="G3299">
        <v>20</v>
      </c>
      <c r="H3299" s="89">
        <v>46241</v>
      </c>
      <c r="I3299" s="89">
        <v>46249</v>
      </c>
      <c r="J3299" t="s">
        <v>4445</v>
      </c>
      <c r="N3299" t="s">
        <v>4361</v>
      </c>
    </row>
    <row r="3300" spans="1:14" hidden="1" x14ac:dyDescent="0.25">
      <c r="A3300" t="s">
        <v>1320</v>
      </c>
      <c r="B3300" t="s">
        <v>1334</v>
      </c>
      <c r="C3300" t="s">
        <v>4446</v>
      </c>
      <c r="D3300" t="s">
        <v>4313</v>
      </c>
      <c r="F3300">
        <v>336</v>
      </c>
      <c r="G3300">
        <v>7</v>
      </c>
      <c r="H3300" s="89">
        <v>46241</v>
      </c>
      <c r="I3300" s="89">
        <v>46246</v>
      </c>
      <c r="J3300" t="s">
        <v>4424</v>
      </c>
      <c r="N3300" t="s">
        <v>4361</v>
      </c>
    </row>
    <row r="3301" spans="1:14" hidden="1" x14ac:dyDescent="0.25">
      <c r="A3301" t="s">
        <v>1321</v>
      </c>
      <c r="B3301" t="s">
        <v>1335</v>
      </c>
      <c r="C3301" t="s">
        <v>4447</v>
      </c>
      <c r="D3301" t="s">
        <v>27</v>
      </c>
      <c r="F3301">
        <v>144</v>
      </c>
      <c r="G3301">
        <v>3</v>
      </c>
      <c r="H3301" s="89">
        <v>46241</v>
      </c>
      <c r="I3301" s="89">
        <v>46249</v>
      </c>
      <c r="J3301" t="s">
        <v>4445</v>
      </c>
      <c r="N3301" t="s">
        <v>4361</v>
      </c>
    </row>
    <row r="3302" spans="1:14" hidden="1" x14ac:dyDescent="0.25">
      <c r="A3302" t="s">
        <v>1325</v>
      </c>
      <c r="B3302" t="s">
        <v>1339</v>
      </c>
      <c r="C3302" t="s">
        <v>4447</v>
      </c>
      <c r="D3302" t="s">
        <v>27</v>
      </c>
      <c r="F3302">
        <v>336</v>
      </c>
      <c r="G3302">
        <v>7</v>
      </c>
      <c r="H3302" s="89">
        <v>46241</v>
      </c>
      <c r="I3302" s="89">
        <v>46244</v>
      </c>
      <c r="J3302" t="s">
        <v>3549</v>
      </c>
      <c r="N3302" t="s">
        <v>4361</v>
      </c>
    </row>
    <row r="3303" spans="1:14" hidden="1" x14ac:dyDescent="0.25">
      <c r="A3303" t="s">
        <v>1320</v>
      </c>
      <c r="B3303" t="s">
        <v>1334</v>
      </c>
      <c r="C3303" t="s">
        <v>4448</v>
      </c>
      <c r="D3303" t="s">
        <v>20</v>
      </c>
      <c r="F3303">
        <v>816</v>
      </c>
      <c r="G3303">
        <v>17</v>
      </c>
      <c r="H3303" s="89">
        <v>46241</v>
      </c>
      <c r="I3303" s="89">
        <v>46247</v>
      </c>
      <c r="J3303" t="s">
        <v>4449</v>
      </c>
      <c r="N3303" t="s">
        <v>4361</v>
      </c>
    </row>
    <row r="3304" spans="1:14" hidden="1" x14ac:dyDescent="0.25">
      <c r="A3304" t="s">
        <v>1313</v>
      </c>
      <c r="B3304" t="s">
        <v>1327</v>
      </c>
      <c r="C3304" t="s">
        <v>4448</v>
      </c>
      <c r="D3304" t="s">
        <v>20</v>
      </c>
      <c r="F3304">
        <v>144</v>
      </c>
      <c r="G3304">
        <v>3</v>
      </c>
      <c r="H3304" s="89">
        <v>46241</v>
      </c>
      <c r="I3304" s="89">
        <v>46242</v>
      </c>
      <c r="J3304" t="s">
        <v>3549</v>
      </c>
      <c r="N3304" t="s">
        <v>4361</v>
      </c>
    </row>
    <row r="3305" spans="1:14" hidden="1" x14ac:dyDescent="0.25">
      <c r="A3305" t="s">
        <v>1315</v>
      </c>
      <c r="B3305" t="s">
        <v>1329</v>
      </c>
      <c r="C3305" t="s">
        <v>4448</v>
      </c>
      <c r="D3305" t="s">
        <v>20</v>
      </c>
      <c r="F3305">
        <v>30</v>
      </c>
      <c r="G3305" t="s">
        <v>1419</v>
      </c>
      <c r="H3305" s="89">
        <v>46241</v>
      </c>
      <c r="I3305" s="89">
        <v>46242</v>
      </c>
      <c r="J3305" t="s">
        <v>3549</v>
      </c>
      <c r="N3305" t="s">
        <v>4361</v>
      </c>
    </row>
    <row r="3306" spans="1:14" hidden="1" x14ac:dyDescent="0.25">
      <c r="A3306" t="s">
        <v>1325</v>
      </c>
      <c r="B3306" t="s">
        <v>1339</v>
      </c>
      <c r="C3306" t="s">
        <v>4448</v>
      </c>
      <c r="D3306" t="s">
        <v>20</v>
      </c>
      <c r="F3306">
        <v>96</v>
      </c>
      <c r="G3306">
        <v>2</v>
      </c>
      <c r="H3306" s="89">
        <v>46241</v>
      </c>
      <c r="I3306" s="89">
        <v>46243</v>
      </c>
      <c r="J3306" t="s">
        <v>3549</v>
      </c>
      <c r="N3306" t="s">
        <v>4361</v>
      </c>
    </row>
    <row r="3307" spans="1:14" hidden="1" x14ac:dyDescent="0.25">
      <c r="A3307" t="s">
        <v>1316</v>
      </c>
      <c r="B3307" t="s">
        <v>1330</v>
      </c>
      <c r="C3307" t="s">
        <v>4450</v>
      </c>
      <c r="D3307" t="s">
        <v>20</v>
      </c>
      <c r="F3307">
        <v>98</v>
      </c>
      <c r="G3307" t="s">
        <v>1419</v>
      </c>
      <c r="H3307" s="89">
        <v>46241</v>
      </c>
      <c r="I3307" s="89">
        <v>46243</v>
      </c>
      <c r="J3307" t="s">
        <v>3549</v>
      </c>
      <c r="N3307" t="s">
        <v>4361</v>
      </c>
    </row>
    <row r="3308" spans="1:14" hidden="1" x14ac:dyDescent="0.25">
      <c r="A3308" t="s">
        <v>1317</v>
      </c>
      <c r="B3308" t="s">
        <v>1331</v>
      </c>
      <c r="C3308" t="s">
        <v>4451</v>
      </c>
      <c r="D3308" t="s">
        <v>20</v>
      </c>
      <c r="F3308">
        <v>30</v>
      </c>
      <c r="G3308" t="s">
        <v>1419</v>
      </c>
      <c r="H3308" s="89">
        <v>46241</v>
      </c>
      <c r="I3308" s="89">
        <v>46243</v>
      </c>
      <c r="J3308" t="s">
        <v>3549</v>
      </c>
      <c r="N3308" t="s">
        <v>4361</v>
      </c>
    </row>
    <row r="3309" spans="1:14" hidden="1" x14ac:dyDescent="0.25">
      <c r="A3309" t="s">
        <v>1318</v>
      </c>
      <c r="B3309" t="s">
        <v>1332</v>
      </c>
      <c r="C3309" t="s">
        <v>4452</v>
      </c>
      <c r="D3309" t="s">
        <v>20</v>
      </c>
      <c r="F3309">
        <v>72</v>
      </c>
      <c r="G3309" t="s">
        <v>1419</v>
      </c>
      <c r="H3309" s="89">
        <v>46241</v>
      </c>
      <c r="I3309" s="89">
        <v>46243</v>
      </c>
      <c r="J3309" t="s">
        <v>3549</v>
      </c>
      <c r="N3309" t="s">
        <v>4361</v>
      </c>
    </row>
    <row r="3310" spans="1:14" hidden="1" x14ac:dyDescent="0.25">
      <c r="A3310" t="s">
        <v>1320</v>
      </c>
      <c r="B3310" t="s">
        <v>1334</v>
      </c>
      <c r="C3310" t="s">
        <v>4453</v>
      </c>
      <c r="D3310" t="s">
        <v>28</v>
      </c>
      <c r="F3310">
        <v>960</v>
      </c>
      <c r="G3310">
        <v>20</v>
      </c>
      <c r="H3310" s="89">
        <v>46241</v>
      </c>
      <c r="I3310" s="89">
        <v>46246</v>
      </c>
      <c r="J3310" t="s">
        <v>4454</v>
      </c>
      <c r="N3310" t="s">
        <v>4361</v>
      </c>
    </row>
    <row r="3311" spans="1:14" hidden="1" x14ac:dyDescent="0.25">
      <c r="A3311" t="s">
        <v>1315</v>
      </c>
      <c r="B3311" t="s">
        <v>1329</v>
      </c>
      <c r="C3311" t="s">
        <v>4453</v>
      </c>
      <c r="D3311" t="s">
        <v>28</v>
      </c>
      <c r="F3311">
        <v>101</v>
      </c>
      <c r="G3311" t="s">
        <v>1419</v>
      </c>
      <c r="H3311" s="89">
        <v>46241</v>
      </c>
      <c r="I3311" s="89">
        <v>46242</v>
      </c>
      <c r="J3311" t="s">
        <v>3549</v>
      </c>
      <c r="N3311" t="s">
        <v>4361</v>
      </c>
    </row>
    <row r="3312" spans="1:14" hidden="1" x14ac:dyDescent="0.25">
      <c r="A3312" t="s">
        <v>1316</v>
      </c>
      <c r="B3312" t="s">
        <v>1330</v>
      </c>
      <c r="C3312" t="s">
        <v>4453</v>
      </c>
      <c r="D3312" t="s">
        <v>28</v>
      </c>
      <c r="F3312">
        <v>30</v>
      </c>
      <c r="G3312" t="s">
        <v>1419</v>
      </c>
      <c r="H3312" s="89">
        <v>46241</v>
      </c>
      <c r="I3312" s="89">
        <v>46243</v>
      </c>
      <c r="J3312" t="s">
        <v>3549</v>
      </c>
      <c r="N3312" t="s">
        <v>4361</v>
      </c>
    </row>
    <row r="3313" spans="1:14" hidden="1" x14ac:dyDescent="0.25">
      <c r="A3313" t="s">
        <v>1317</v>
      </c>
      <c r="B3313" t="s">
        <v>1331</v>
      </c>
      <c r="C3313" t="s">
        <v>4455</v>
      </c>
      <c r="D3313" t="s">
        <v>28</v>
      </c>
      <c r="F3313">
        <v>9</v>
      </c>
      <c r="G3313" t="s">
        <v>1419</v>
      </c>
      <c r="H3313" s="89">
        <v>46241</v>
      </c>
      <c r="I3313" s="89">
        <v>46243</v>
      </c>
      <c r="J3313" t="s">
        <v>3549</v>
      </c>
      <c r="N3313" t="s">
        <v>4361</v>
      </c>
    </row>
    <row r="3314" spans="1:14" hidden="1" x14ac:dyDescent="0.25">
      <c r="A3314" t="s">
        <v>1318</v>
      </c>
      <c r="B3314" t="s">
        <v>1332</v>
      </c>
      <c r="C3314" t="s">
        <v>4456</v>
      </c>
      <c r="D3314" t="s">
        <v>28</v>
      </c>
      <c r="F3314">
        <v>35</v>
      </c>
      <c r="G3314" t="s">
        <v>1419</v>
      </c>
      <c r="H3314" s="89">
        <v>46241</v>
      </c>
      <c r="I3314" s="89">
        <v>46243</v>
      </c>
      <c r="J3314" t="s">
        <v>3549</v>
      </c>
      <c r="N3314" t="s">
        <v>4361</v>
      </c>
    </row>
    <row r="3315" spans="1:14" hidden="1" x14ac:dyDescent="0.25">
      <c r="A3315" t="s">
        <v>1313</v>
      </c>
      <c r="B3315" t="s">
        <v>1327</v>
      </c>
      <c r="C3315" t="s">
        <v>4457</v>
      </c>
      <c r="D3315" t="s">
        <v>15</v>
      </c>
      <c r="F3315">
        <v>960</v>
      </c>
      <c r="G3315">
        <v>20</v>
      </c>
      <c r="H3315" s="89">
        <v>46241</v>
      </c>
      <c r="I3315" s="89">
        <v>46246</v>
      </c>
      <c r="J3315" t="s">
        <v>4431</v>
      </c>
      <c r="N3315" t="s">
        <v>4361</v>
      </c>
    </row>
    <row r="3316" spans="1:14" hidden="1" x14ac:dyDescent="0.25">
      <c r="A3316" t="s">
        <v>1313</v>
      </c>
      <c r="B3316" t="s">
        <v>1327</v>
      </c>
      <c r="C3316" t="s">
        <v>4457</v>
      </c>
      <c r="D3316" t="s">
        <v>15</v>
      </c>
      <c r="F3316">
        <v>48</v>
      </c>
      <c r="G3316">
        <v>1</v>
      </c>
      <c r="H3316" s="89">
        <v>46241</v>
      </c>
      <c r="I3316" s="89">
        <v>46243</v>
      </c>
      <c r="N3316" t="s">
        <v>4361</v>
      </c>
    </row>
    <row r="3317" spans="1:14" hidden="1" x14ac:dyDescent="0.25">
      <c r="A3317" t="s">
        <v>1314</v>
      </c>
      <c r="B3317" t="s">
        <v>1328</v>
      </c>
      <c r="C3317" t="s">
        <v>4457</v>
      </c>
      <c r="D3317" t="s">
        <v>15</v>
      </c>
      <c r="F3317">
        <v>96</v>
      </c>
      <c r="G3317">
        <v>2</v>
      </c>
      <c r="H3317" s="89">
        <v>46241</v>
      </c>
      <c r="I3317" s="89">
        <v>46244</v>
      </c>
      <c r="J3317" t="s">
        <v>4436</v>
      </c>
      <c r="N3317" t="s">
        <v>4361</v>
      </c>
    </row>
    <row r="3318" spans="1:14" hidden="1" x14ac:dyDescent="0.25">
      <c r="A3318" t="s">
        <v>1313</v>
      </c>
      <c r="B3318" t="s">
        <v>1327</v>
      </c>
      <c r="C3318" t="s">
        <v>4457</v>
      </c>
      <c r="D3318" t="s">
        <v>15</v>
      </c>
      <c r="F3318">
        <v>432</v>
      </c>
      <c r="G3318">
        <v>9</v>
      </c>
      <c r="H3318" s="89">
        <v>46241</v>
      </c>
      <c r="I3318" s="89">
        <v>46247</v>
      </c>
      <c r="J3318" t="s">
        <v>4458</v>
      </c>
      <c r="N3318" t="s">
        <v>4361</v>
      </c>
    </row>
    <row r="3319" spans="1:14" hidden="1" x14ac:dyDescent="0.25">
      <c r="A3319" t="s">
        <v>1315</v>
      </c>
      <c r="B3319" t="s">
        <v>1329</v>
      </c>
      <c r="C3319" t="s">
        <v>4457</v>
      </c>
      <c r="D3319" t="s">
        <v>15</v>
      </c>
      <c r="F3319">
        <v>79</v>
      </c>
      <c r="G3319" t="s">
        <v>1419</v>
      </c>
      <c r="H3319" s="89">
        <v>46241</v>
      </c>
      <c r="I3319" s="89">
        <v>46242</v>
      </c>
      <c r="J3319" t="s">
        <v>3549</v>
      </c>
      <c r="N3319" t="s">
        <v>4361</v>
      </c>
    </row>
    <row r="3320" spans="1:14" hidden="1" x14ac:dyDescent="0.25">
      <c r="A3320" t="s">
        <v>1316</v>
      </c>
      <c r="B3320" t="s">
        <v>1330</v>
      </c>
      <c r="C3320" t="s">
        <v>4459</v>
      </c>
      <c r="D3320" t="s">
        <v>15</v>
      </c>
      <c r="F3320">
        <v>33</v>
      </c>
      <c r="G3320" t="s">
        <v>1419</v>
      </c>
      <c r="H3320" s="89">
        <v>46241</v>
      </c>
      <c r="I3320" s="89">
        <v>46243</v>
      </c>
      <c r="J3320" t="s">
        <v>3549</v>
      </c>
      <c r="N3320" t="s">
        <v>4361</v>
      </c>
    </row>
    <row r="3321" spans="1:14" hidden="1" x14ac:dyDescent="0.25">
      <c r="A3321" t="s">
        <v>1317</v>
      </c>
      <c r="B3321" t="s">
        <v>1331</v>
      </c>
      <c r="C3321" t="s">
        <v>4460</v>
      </c>
      <c r="D3321" t="s">
        <v>15</v>
      </c>
      <c r="F3321">
        <v>75</v>
      </c>
      <c r="G3321" t="s">
        <v>1419</v>
      </c>
      <c r="H3321" s="89">
        <v>46241</v>
      </c>
      <c r="I3321" s="89">
        <v>46243</v>
      </c>
      <c r="J3321" t="s">
        <v>3549</v>
      </c>
      <c r="N3321" t="s">
        <v>4361</v>
      </c>
    </row>
    <row r="3322" spans="1:14" hidden="1" x14ac:dyDescent="0.25">
      <c r="A3322" t="s">
        <v>1318</v>
      </c>
      <c r="B3322" t="s">
        <v>1332</v>
      </c>
      <c r="C3322" t="s">
        <v>4461</v>
      </c>
      <c r="D3322" t="s">
        <v>15</v>
      </c>
      <c r="F3322">
        <v>36</v>
      </c>
      <c r="G3322" t="s">
        <v>1419</v>
      </c>
      <c r="H3322" s="89">
        <v>46241</v>
      </c>
      <c r="I3322" s="89">
        <v>46243</v>
      </c>
      <c r="J3322" t="s">
        <v>3549</v>
      </c>
      <c r="N3322" t="s">
        <v>4361</v>
      </c>
    </row>
    <row r="3323" spans="1:14" hidden="1" x14ac:dyDescent="0.25">
      <c r="A3323" t="s">
        <v>1324</v>
      </c>
      <c r="B3323" t="s">
        <v>1338</v>
      </c>
      <c r="C3323" t="s">
        <v>4462</v>
      </c>
      <c r="D3323" t="s">
        <v>88</v>
      </c>
      <c r="F3323">
        <v>816</v>
      </c>
      <c r="G3323">
        <v>17</v>
      </c>
      <c r="H3323" s="89">
        <v>46242</v>
      </c>
      <c r="I3323" s="89">
        <v>46249</v>
      </c>
      <c r="J3323" t="s">
        <v>4445</v>
      </c>
      <c r="N3323" t="s">
        <v>4361</v>
      </c>
    </row>
    <row r="3324" spans="1:14" hidden="1" x14ac:dyDescent="0.25">
      <c r="A3324" t="s">
        <v>1320</v>
      </c>
      <c r="B3324" t="s">
        <v>1334</v>
      </c>
      <c r="C3324" t="s">
        <v>4462</v>
      </c>
      <c r="D3324" t="s">
        <v>88</v>
      </c>
      <c r="F3324">
        <v>144</v>
      </c>
      <c r="G3324">
        <v>3</v>
      </c>
      <c r="H3324" s="89">
        <v>46242</v>
      </c>
      <c r="I3324" s="89">
        <v>46247</v>
      </c>
      <c r="J3324" t="s">
        <v>4449</v>
      </c>
      <c r="N3324" t="s">
        <v>4361</v>
      </c>
    </row>
    <row r="3325" spans="1:14" hidden="1" x14ac:dyDescent="0.25">
      <c r="A3325" t="s">
        <v>1314</v>
      </c>
      <c r="B3325" t="s">
        <v>1328</v>
      </c>
      <c r="C3325" t="s">
        <v>4463</v>
      </c>
      <c r="D3325" t="s">
        <v>21</v>
      </c>
      <c r="F3325">
        <v>96</v>
      </c>
      <c r="G3325">
        <v>2</v>
      </c>
      <c r="H3325" s="89">
        <v>46242</v>
      </c>
      <c r="I3325" s="89">
        <v>46246</v>
      </c>
      <c r="J3325" t="s">
        <v>4431</v>
      </c>
      <c r="N3325" t="s">
        <v>4361</v>
      </c>
    </row>
    <row r="3326" spans="1:14" hidden="1" x14ac:dyDescent="0.25">
      <c r="A3326" t="s">
        <v>1313</v>
      </c>
      <c r="B3326" t="s">
        <v>1327</v>
      </c>
      <c r="C3326" t="s">
        <v>4463</v>
      </c>
      <c r="D3326" t="s">
        <v>21</v>
      </c>
      <c r="F3326">
        <v>960</v>
      </c>
      <c r="G3326">
        <v>20</v>
      </c>
      <c r="H3326" s="89">
        <v>46242</v>
      </c>
      <c r="I3326" s="89">
        <v>46248</v>
      </c>
      <c r="J3326" t="s">
        <v>4464</v>
      </c>
      <c r="N3326" t="s">
        <v>4361</v>
      </c>
    </row>
    <row r="3327" spans="1:14" hidden="1" x14ac:dyDescent="0.25">
      <c r="A3327" t="s">
        <v>1315</v>
      </c>
      <c r="B3327" t="s">
        <v>1329</v>
      </c>
      <c r="C3327" t="s">
        <v>4463</v>
      </c>
      <c r="D3327" t="s">
        <v>21</v>
      </c>
      <c r="F3327">
        <v>122</v>
      </c>
      <c r="G3327" t="s">
        <v>1419</v>
      </c>
      <c r="H3327" s="89">
        <v>46242</v>
      </c>
      <c r="I3327" s="89">
        <v>46242</v>
      </c>
      <c r="J3327" t="s">
        <v>3549</v>
      </c>
      <c r="N3327" t="s">
        <v>4361</v>
      </c>
    </row>
    <row r="3328" spans="1:14" hidden="1" x14ac:dyDescent="0.25">
      <c r="A3328" t="s">
        <v>1316</v>
      </c>
      <c r="B3328" t="s">
        <v>1330</v>
      </c>
      <c r="C3328" t="s">
        <v>4465</v>
      </c>
      <c r="D3328" t="s">
        <v>21</v>
      </c>
      <c r="F3328">
        <v>34</v>
      </c>
      <c r="G3328" t="s">
        <v>1419</v>
      </c>
      <c r="H3328" s="89">
        <v>46242</v>
      </c>
      <c r="I3328" s="89">
        <v>46244</v>
      </c>
      <c r="J3328" t="s">
        <v>3549</v>
      </c>
      <c r="N3328" t="s">
        <v>4361</v>
      </c>
    </row>
    <row r="3329" spans="1:14" hidden="1" x14ac:dyDescent="0.25">
      <c r="A3329" t="s">
        <v>1317</v>
      </c>
      <c r="B3329" t="s">
        <v>1331</v>
      </c>
      <c r="C3329" t="s">
        <v>4466</v>
      </c>
      <c r="D3329" t="s">
        <v>21</v>
      </c>
      <c r="F3329">
        <v>1</v>
      </c>
      <c r="G3329" t="s">
        <v>1419</v>
      </c>
      <c r="H3329" s="89">
        <v>46242</v>
      </c>
      <c r="I3329" s="89">
        <v>46244</v>
      </c>
      <c r="J3329" t="s">
        <v>3549</v>
      </c>
      <c r="N3329" t="s">
        <v>4361</v>
      </c>
    </row>
    <row r="3330" spans="1:14" hidden="1" x14ac:dyDescent="0.25">
      <c r="A3330" t="s">
        <v>1318</v>
      </c>
      <c r="B3330" t="s">
        <v>1332</v>
      </c>
      <c r="C3330" t="s">
        <v>4467</v>
      </c>
      <c r="D3330" t="s">
        <v>21</v>
      </c>
      <c r="F3330">
        <v>46</v>
      </c>
      <c r="G3330" t="s">
        <v>1419</v>
      </c>
      <c r="H3330" s="89">
        <v>46242</v>
      </c>
      <c r="I3330" s="89">
        <v>46244</v>
      </c>
      <c r="J3330" t="s">
        <v>3549</v>
      </c>
      <c r="N3330" t="s">
        <v>4361</v>
      </c>
    </row>
    <row r="3331" spans="1:14" hidden="1" x14ac:dyDescent="0.25">
      <c r="A3331" t="s">
        <v>1320</v>
      </c>
      <c r="B3331" t="s">
        <v>1334</v>
      </c>
      <c r="C3331" t="s">
        <v>4468</v>
      </c>
      <c r="D3331" t="s">
        <v>23</v>
      </c>
      <c r="E3331" t="s">
        <v>14</v>
      </c>
      <c r="F3331">
        <v>960</v>
      </c>
      <c r="G3331">
        <v>20</v>
      </c>
      <c r="H3331" s="89">
        <v>46251</v>
      </c>
      <c r="I3331" s="89">
        <v>46255</v>
      </c>
      <c r="J3331" t="s">
        <v>4469</v>
      </c>
      <c r="K3331" t="s">
        <v>4470</v>
      </c>
      <c r="L3331">
        <v>1</v>
      </c>
      <c r="M3331" t="s">
        <v>4471</v>
      </c>
      <c r="N3331" t="s">
        <v>4472</v>
      </c>
    </row>
    <row r="3332" spans="1:14" hidden="1" x14ac:dyDescent="0.25">
      <c r="A3332" t="s">
        <v>1320</v>
      </c>
      <c r="B3332" t="s">
        <v>1334</v>
      </c>
      <c r="C3332" t="s">
        <v>4473</v>
      </c>
      <c r="D3332" t="s">
        <v>13</v>
      </c>
      <c r="E3332" t="s">
        <v>14</v>
      </c>
      <c r="F3332">
        <v>960</v>
      </c>
      <c r="G3332">
        <v>20</v>
      </c>
      <c r="H3332" s="89">
        <v>46251</v>
      </c>
      <c r="I3332" s="89">
        <v>46256</v>
      </c>
      <c r="J3332" t="s">
        <v>4474</v>
      </c>
      <c r="K3332" t="s">
        <v>4475</v>
      </c>
      <c r="L3332">
        <v>1</v>
      </c>
      <c r="M3332" t="s">
        <v>4476</v>
      </c>
      <c r="N3332" t="s">
        <v>4472</v>
      </c>
    </row>
    <row r="3333" spans="1:14" hidden="1" x14ac:dyDescent="0.25">
      <c r="A3333" t="s">
        <v>1320</v>
      </c>
      <c r="B3333" t="s">
        <v>1334</v>
      </c>
      <c r="C3333" t="s">
        <v>4473</v>
      </c>
      <c r="D3333" t="s">
        <v>13</v>
      </c>
      <c r="E3333" t="s">
        <v>14</v>
      </c>
      <c r="F3333">
        <v>480</v>
      </c>
      <c r="G3333">
        <v>10</v>
      </c>
      <c r="H3333" s="89">
        <v>46251</v>
      </c>
      <c r="I3333" s="89">
        <v>46256</v>
      </c>
      <c r="J3333" t="s">
        <v>4477</v>
      </c>
      <c r="K3333" t="s">
        <v>4478</v>
      </c>
      <c r="L3333">
        <v>1</v>
      </c>
      <c r="M3333" t="s">
        <v>4479</v>
      </c>
      <c r="N3333" t="s">
        <v>4472</v>
      </c>
    </row>
    <row r="3334" spans="1:14" hidden="1" x14ac:dyDescent="0.25">
      <c r="A3334" t="s">
        <v>1313</v>
      </c>
      <c r="B3334" t="s">
        <v>1327</v>
      </c>
      <c r="C3334" t="s">
        <v>4480</v>
      </c>
      <c r="D3334" t="s">
        <v>28</v>
      </c>
      <c r="E3334" t="s">
        <v>22</v>
      </c>
      <c r="F3334">
        <v>960</v>
      </c>
      <c r="G3334">
        <v>20</v>
      </c>
      <c r="H3334" s="89">
        <v>46251</v>
      </c>
      <c r="I3334" s="89">
        <v>46256</v>
      </c>
      <c r="J3334" t="s">
        <v>4481</v>
      </c>
      <c r="K3334" t="s">
        <v>4482</v>
      </c>
      <c r="L3334">
        <v>1</v>
      </c>
      <c r="M3334" t="s">
        <v>4483</v>
      </c>
      <c r="N3334" t="s">
        <v>4472</v>
      </c>
    </row>
    <row r="3335" spans="1:14" hidden="1" x14ac:dyDescent="0.25">
      <c r="A3335" t="s">
        <v>1313</v>
      </c>
      <c r="B3335" t="s">
        <v>1327</v>
      </c>
      <c r="C3335" t="s">
        <v>4484</v>
      </c>
      <c r="D3335" t="s">
        <v>15</v>
      </c>
      <c r="E3335" t="s">
        <v>17</v>
      </c>
      <c r="F3335">
        <v>48</v>
      </c>
      <c r="G3335">
        <v>1</v>
      </c>
      <c r="H3335" s="89">
        <v>46251</v>
      </c>
      <c r="I3335" s="89">
        <v>46256</v>
      </c>
      <c r="J3335" t="s">
        <v>4485</v>
      </c>
      <c r="K3335" t="s">
        <v>4486</v>
      </c>
      <c r="L3335">
        <v>1</v>
      </c>
      <c r="M3335" t="s">
        <v>4487</v>
      </c>
      <c r="N3335" t="s">
        <v>4472</v>
      </c>
    </row>
    <row r="3336" spans="1:14" hidden="1" x14ac:dyDescent="0.25">
      <c r="A3336" t="s">
        <v>1313</v>
      </c>
      <c r="B3336" t="s">
        <v>1327</v>
      </c>
      <c r="C3336" t="s">
        <v>4484</v>
      </c>
      <c r="D3336" t="s">
        <v>15</v>
      </c>
      <c r="E3336" t="s">
        <v>22</v>
      </c>
      <c r="F3336">
        <v>192</v>
      </c>
      <c r="G3336">
        <v>4</v>
      </c>
      <c r="H3336" s="89">
        <v>46251</v>
      </c>
      <c r="I3336" s="89">
        <v>46256</v>
      </c>
      <c r="J3336" t="s">
        <v>4481</v>
      </c>
      <c r="K3336" t="s">
        <v>4488</v>
      </c>
      <c r="L3336">
        <v>1</v>
      </c>
      <c r="M3336" t="s">
        <v>4489</v>
      </c>
      <c r="N3336" t="s">
        <v>4472</v>
      </c>
    </row>
    <row r="3337" spans="1:14" hidden="1" x14ac:dyDescent="0.25">
      <c r="A3337" t="s">
        <v>1313</v>
      </c>
      <c r="B3337" t="s">
        <v>1327</v>
      </c>
      <c r="C3337" t="s">
        <v>4484</v>
      </c>
      <c r="D3337" t="s">
        <v>15</v>
      </c>
      <c r="E3337" t="s">
        <v>16</v>
      </c>
      <c r="F3337">
        <v>768</v>
      </c>
      <c r="G3337">
        <v>16</v>
      </c>
      <c r="H3337" s="89">
        <v>46251</v>
      </c>
      <c r="I3337" s="89">
        <v>46256</v>
      </c>
      <c r="J3337" t="s">
        <v>4490</v>
      </c>
      <c r="K3337" t="s">
        <v>4491</v>
      </c>
      <c r="L3337">
        <v>1</v>
      </c>
      <c r="M3337" t="s">
        <v>4492</v>
      </c>
      <c r="N3337" t="s">
        <v>4472</v>
      </c>
    </row>
    <row r="3338" spans="1:14" hidden="1" x14ac:dyDescent="0.25">
      <c r="A3338" t="s">
        <v>1315</v>
      </c>
      <c r="B3338" t="s">
        <v>1329</v>
      </c>
      <c r="C3338" t="s">
        <v>4484</v>
      </c>
      <c r="D3338" t="s">
        <v>15</v>
      </c>
      <c r="E3338" t="s">
        <v>19</v>
      </c>
      <c r="F3338">
        <v>19</v>
      </c>
      <c r="G3338" t="s">
        <v>1419</v>
      </c>
      <c r="H3338" s="89">
        <v>46251</v>
      </c>
      <c r="I3338" s="89">
        <v>46255</v>
      </c>
      <c r="J3338" t="s">
        <v>1656</v>
      </c>
      <c r="K3338" t="s">
        <v>4493</v>
      </c>
      <c r="L3338">
        <v>1</v>
      </c>
      <c r="M3338" t="s">
        <v>4494</v>
      </c>
      <c r="N3338" t="s">
        <v>4472</v>
      </c>
    </row>
    <row r="3339" spans="1:14" hidden="1" x14ac:dyDescent="0.25">
      <c r="A3339" t="s">
        <v>1314</v>
      </c>
      <c r="B3339" t="s">
        <v>1328</v>
      </c>
      <c r="C3339" t="s">
        <v>4484</v>
      </c>
      <c r="D3339" t="s">
        <v>15</v>
      </c>
      <c r="E3339" t="s">
        <v>16</v>
      </c>
      <c r="F3339">
        <v>240</v>
      </c>
      <c r="G3339">
        <v>5</v>
      </c>
      <c r="H3339" s="89">
        <v>46251</v>
      </c>
      <c r="I3339" s="89">
        <v>46256</v>
      </c>
      <c r="J3339" t="s">
        <v>4495</v>
      </c>
      <c r="K3339" t="s">
        <v>4496</v>
      </c>
      <c r="L3339">
        <v>1</v>
      </c>
      <c r="M3339" t="s">
        <v>4497</v>
      </c>
      <c r="N3339" t="s">
        <v>4472</v>
      </c>
    </row>
    <row r="3340" spans="1:14" hidden="1" x14ac:dyDescent="0.25">
      <c r="A3340" t="s">
        <v>1319</v>
      </c>
      <c r="B3340" t="s">
        <v>1333</v>
      </c>
      <c r="C3340" t="s">
        <v>4498</v>
      </c>
      <c r="D3340" t="s">
        <v>20</v>
      </c>
      <c r="E3340" t="s">
        <v>17</v>
      </c>
      <c r="F3340">
        <v>60</v>
      </c>
      <c r="G3340">
        <v>1.25</v>
      </c>
      <c r="H3340" s="89">
        <v>46251</v>
      </c>
      <c r="I3340" s="89">
        <v>46255</v>
      </c>
      <c r="J3340" t="s">
        <v>4499</v>
      </c>
      <c r="K3340" t="s">
        <v>4500</v>
      </c>
      <c r="L3340">
        <v>1</v>
      </c>
      <c r="M3340" t="s">
        <v>4501</v>
      </c>
      <c r="N3340" t="s">
        <v>4472</v>
      </c>
    </row>
    <row r="3341" spans="1:14" hidden="1" x14ac:dyDescent="0.25">
      <c r="A3341" t="s">
        <v>1313</v>
      </c>
      <c r="B3341" t="s">
        <v>1327</v>
      </c>
      <c r="C3341" t="s">
        <v>4498</v>
      </c>
      <c r="D3341" t="s">
        <v>20</v>
      </c>
      <c r="E3341" t="s">
        <v>17</v>
      </c>
      <c r="F3341">
        <v>900</v>
      </c>
      <c r="G3341">
        <v>18.75</v>
      </c>
      <c r="H3341" s="89">
        <v>46251</v>
      </c>
      <c r="I3341" s="89">
        <v>46255</v>
      </c>
      <c r="J3341" t="s">
        <v>4499</v>
      </c>
      <c r="K3341" t="s">
        <v>4502</v>
      </c>
      <c r="L3341">
        <v>1</v>
      </c>
      <c r="M3341" t="s">
        <v>4503</v>
      </c>
      <c r="N3341" t="s">
        <v>4472</v>
      </c>
    </row>
    <row r="3342" spans="1:14" hidden="1" x14ac:dyDescent="0.25">
      <c r="A3342" t="s">
        <v>1313</v>
      </c>
      <c r="B3342" t="s">
        <v>1327</v>
      </c>
      <c r="C3342" t="s">
        <v>4498</v>
      </c>
      <c r="D3342" t="s">
        <v>20</v>
      </c>
      <c r="E3342" t="s">
        <v>19</v>
      </c>
      <c r="F3342">
        <v>144</v>
      </c>
      <c r="G3342">
        <v>3</v>
      </c>
      <c r="H3342" s="89">
        <v>46251</v>
      </c>
      <c r="I3342" s="89">
        <v>46255</v>
      </c>
      <c r="J3342" t="s">
        <v>1656</v>
      </c>
      <c r="K3342" t="s">
        <v>4504</v>
      </c>
      <c r="L3342">
        <v>1</v>
      </c>
      <c r="M3342" t="s">
        <v>4505</v>
      </c>
      <c r="N3342" t="s">
        <v>4472</v>
      </c>
    </row>
    <row r="3343" spans="1:14" hidden="1" x14ac:dyDescent="0.25">
      <c r="A3343" t="s">
        <v>1315</v>
      </c>
      <c r="B3343" t="s">
        <v>1329</v>
      </c>
      <c r="C3343" t="s">
        <v>4498</v>
      </c>
      <c r="D3343" t="s">
        <v>20</v>
      </c>
      <c r="E3343" t="s">
        <v>19</v>
      </c>
      <c r="F3343">
        <v>46</v>
      </c>
      <c r="G3343" t="s">
        <v>1419</v>
      </c>
      <c r="H3343" s="89">
        <v>46251</v>
      </c>
      <c r="I3343" s="89">
        <v>46255</v>
      </c>
      <c r="J3343" t="s">
        <v>1656</v>
      </c>
      <c r="K3343" t="s">
        <v>4506</v>
      </c>
      <c r="L3343">
        <v>1</v>
      </c>
      <c r="M3343" t="s">
        <v>4507</v>
      </c>
      <c r="N3343" t="s">
        <v>4472</v>
      </c>
    </row>
    <row r="3344" spans="1:14" hidden="1" x14ac:dyDescent="0.25">
      <c r="A3344" t="s">
        <v>1316</v>
      </c>
      <c r="B3344" t="s">
        <v>1330</v>
      </c>
      <c r="C3344" t="s">
        <v>4508</v>
      </c>
      <c r="D3344" t="s">
        <v>20</v>
      </c>
      <c r="E3344" t="s">
        <v>19</v>
      </c>
      <c r="F3344">
        <v>124</v>
      </c>
      <c r="G3344" t="s">
        <v>1419</v>
      </c>
      <c r="H3344" s="89">
        <v>46251</v>
      </c>
      <c r="I3344" s="89">
        <v>46255</v>
      </c>
      <c r="J3344" t="s">
        <v>1656</v>
      </c>
      <c r="K3344" t="s">
        <v>4509</v>
      </c>
      <c r="L3344">
        <v>1</v>
      </c>
      <c r="M3344" t="s">
        <v>4510</v>
      </c>
      <c r="N3344" t="s">
        <v>4472</v>
      </c>
    </row>
    <row r="3345" spans="1:14" hidden="1" x14ac:dyDescent="0.25">
      <c r="A3345" t="s">
        <v>1317</v>
      </c>
      <c r="B3345" t="s">
        <v>1331</v>
      </c>
      <c r="C3345" t="s">
        <v>4511</v>
      </c>
      <c r="D3345" t="s">
        <v>20</v>
      </c>
      <c r="E3345" t="s">
        <v>19</v>
      </c>
      <c r="F3345">
        <v>22</v>
      </c>
      <c r="G3345" t="s">
        <v>1419</v>
      </c>
      <c r="H3345" s="89">
        <v>46251</v>
      </c>
      <c r="I3345" s="89">
        <v>46255</v>
      </c>
      <c r="J3345" t="s">
        <v>1656</v>
      </c>
      <c r="K3345" t="s">
        <v>4512</v>
      </c>
      <c r="L3345">
        <v>1</v>
      </c>
      <c r="M3345" t="s">
        <v>4513</v>
      </c>
      <c r="N3345" t="s">
        <v>4472</v>
      </c>
    </row>
    <row r="3346" spans="1:14" hidden="1" x14ac:dyDescent="0.25">
      <c r="A3346" t="s">
        <v>1318</v>
      </c>
      <c r="B3346" t="s">
        <v>1332</v>
      </c>
      <c r="C3346" t="s">
        <v>4514</v>
      </c>
      <c r="D3346" t="s">
        <v>20</v>
      </c>
      <c r="E3346" t="s">
        <v>19</v>
      </c>
      <c r="F3346">
        <v>63</v>
      </c>
      <c r="G3346" t="s">
        <v>1419</v>
      </c>
      <c r="H3346" s="89">
        <v>46251</v>
      </c>
      <c r="I3346" s="89">
        <v>46255</v>
      </c>
      <c r="J3346" t="s">
        <v>1656</v>
      </c>
      <c r="K3346" t="s">
        <v>4515</v>
      </c>
      <c r="L3346">
        <v>1</v>
      </c>
      <c r="M3346" t="s">
        <v>4516</v>
      </c>
      <c r="N3346" t="s">
        <v>4472</v>
      </c>
    </row>
    <row r="3347" spans="1:14" hidden="1" x14ac:dyDescent="0.25">
      <c r="A3347" t="s">
        <v>1315</v>
      </c>
      <c r="B3347" t="s">
        <v>1329</v>
      </c>
      <c r="C3347" t="s">
        <v>4480</v>
      </c>
      <c r="D3347" t="s">
        <v>28</v>
      </c>
      <c r="E3347" t="s">
        <v>19</v>
      </c>
      <c r="F3347">
        <v>50</v>
      </c>
      <c r="G3347" t="s">
        <v>1419</v>
      </c>
      <c r="H3347" s="89">
        <v>46251</v>
      </c>
      <c r="I3347" s="89">
        <v>46255</v>
      </c>
      <c r="J3347" t="s">
        <v>1656</v>
      </c>
      <c r="K3347" t="s">
        <v>4517</v>
      </c>
      <c r="L3347">
        <v>1</v>
      </c>
      <c r="M3347" t="s">
        <v>4518</v>
      </c>
      <c r="N3347" t="s">
        <v>4472</v>
      </c>
    </row>
    <row r="3348" spans="1:14" hidden="1" x14ac:dyDescent="0.25">
      <c r="A3348" t="s">
        <v>1316</v>
      </c>
      <c r="B3348" t="s">
        <v>1330</v>
      </c>
      <c r="C3348" t="s">
        <v>4519</v>
      </c>
      <c r="D3348" t="s">
        <v>28</v>
      </c>
      <c r="E3348" t="s">
        <v>19</v>
      </c>
      <c r="F3348">
        <v>19</v>
      </c>
      <c r="G3348" t="s">
        <v>1419</v>
      </c>
      <c r="H3348" s="89">
        <v>46251</v>
      </c>
      <c r="I3348" s="89">
        <v>46255</v>
      </c>
      <c r="J3348" t="s">
        <v>1656</v>
      </c>
      <c r="K3348" t="s">
        <v>4520</v>
      </c>
      <c r="L3348">
        <v>1</v>
      </c>
      <c r="M3348" t="s">
        <v>4521</v>
      </c>
      <c r="N3348" t="s">
        <v>4472</v>
      </c>
    </row>
    <row r="3349" spans="1:14" hidden="1" x14ac:dyDescent="0.25">
      <c r="A3349" t="s">
        <v>1317</v>
      </c>
      <c r="B3349" t="s">
        <v>1331</v>
      </c>
      <c r="C3349" t="s">
        <v>4522</v>
      </c>
      <c r="D3349" t="s">
        <v>28</v>
      </c>
      <c r="E3349" t="s">
        <v>19</v>
      </c>
      <c r="F3349">
        <v>11</v>
      </c>
      <c r="G3349" t="s">
        <v>1419</v>
      </c>
      <c r="H3349" s="89">
        <v>46251</v>
      </c>
      <c r="I3349" s="89">
        <v>46255</v>
      </c>
      <c r="J3349" t="s">
        <v>1656</v>
      </c>
      <c r="K3349" t="s">
        <v>4523</v>
      </c>
      <c r="L3349">
        <v>1</v>
      </c>
      <c r="M3349" t="s">
        <v>4524</v>
      </c>
      <c r="N3349" t="s">
        <v>4472</v>
      </c>
    </row>
    <row r="3350" spans="1:14" hidden="1" x14ac:dyDescent="0.25">
      <c r="A3350" t="s">
        <v>1318</v>
      </c>
      <c r="B3350" t="s">
        <v>1332</v>
      </c>
      <c r="C3350" t="s">
        <v>4525</v>
      </c>
      <c r="D3350" t="s">
        <v>28</v>
      </c>
      <c r="E3350" t="s">
        <v>19</v>
      </c>
      <c r="F3350">
        <v>22</v>
      </c>
      <c r="G3350" t="s">
        <v>1419</v>
      </c>
      <c r="H3350" s="89">
        <v>46251</v>
      </c>
      <c r="I3350" s="89">
        <v>46255</v>
      </c>
      <c r="J3350" t="s">
        <v>1656</v>
      </c>
      <c r="K3350" t="s">
        <v>4526</v>
      </c>
      <c r="L3350">
        <v>1</v>
      </c>
      <c r="M3350" t="s">
        <v>4527</v>
      </c>
      <c r="N3350" t="s">
        <v>4472</v>
      </c>
    </row>
    <row r="3351" spans="1:14" hidden="1" x14ac:dyDescent="0.25">
      <c r="A3351" t="s">
        <v>1316</v>
      </c>
      <c r="B3351" t="s">
        <v>1330</v>
      </c>
      <c r="C3351" t="s">
        <v>4528</v>
      </c>
      <c r="D3351" t="s">
        <v>15</v>
      </c>
      <c r="E3351" t="s">
        <v>19</v>
      </c>
      <c r="F3351">
        <v>56</v>
      </c>
      <c r="G3351" t="s">
        <v>1419</v>
      </c>
      <c r="H3351" s="89">
        <v>46251</v>
      </c>
      <c r="I3351" s="89">
        <v>46255</v>
      </c>
      <c r="J3351" t="s">
        <v>1656</v>
      </c>
      <c r="K3351" t="s">
        <v>4529</v>
      </c>
      <c r="L3351">
        <v>1</v>
      </c>
      <c r="M3351" t="s">
        <v>4530</v>
      </c>
      <c r="N3351" t="s">
        <v>4472</v>
      </c>
    </row>
    <row r="3352" spans="1:14" hidden="1" x14ac:dyDescent="0.25">
      <c r="A3352" t="s">
        <v>1317</v>
      </c>
      <c r="B3352" t="s">
        <v>1331</v>
      </c>
      <c r="C3352" t="s">
        <v>4531</v>
      </c>
      <c r="D3352" t="s">
        <v>15</v>
      </c>
      <c r="E3352" t="s">
        <v>19</v>
      </c>
      <c r="F3352">
        <v>132</v>
      </c>
      <c r="G3352" t="s">
        <v>1419</v>
      </c>
      <c r="H3352" s="89">
        <v>46251</v>
      </c>
      <c r="I3352" s="89">
        <v>46255</v>
      </c>
      <c r="J3352" t="s">
        <v>1656</v>
      </c>
      <c r="K3352" t="s">
        <v>4532</v>
      </c>
      <c r="L3352">
        <v>1</v>
      </c>
      <c r="M3352" t="s">
        <v>4533</v>
      </c>
      <c r="N3352" t="s">
        <v>4472</v>
      </c>
    </row>
    <row r="3353" spans="1:14" hidden="1" x14ac:dyDescent="0.25">
      <c r="A3353" t="s">
        <v>1318</v>
      </c>
      <c r="B3353" t="s">
        <v>1332</v>
      </c>
      <c r="C3353" t="s">
        <v>4534</v>
      </c>
      <c r="D3353" t="s">
        <v>15</v>
      </c>
      <c r="E3353" t="s">
        <v>19</v>
      </c>
      <c r="F3353">
        <v>23</v>
      </c>
      <c r="G3353" t="s">
        <v>1419</v>
      </c>
      <c r="H3353" s="89">
        <v>46251</v>
      </c>
      <c r="I3353" s="89">
        <v>46255</v>
      </c>
      <c r="J3353" t="s">
        <v>1656</v>
      </c>
      <c r="K3353" t="s">
        <v>4535</v>
      </c>
      <c r="L3353">
        <v>1</v>
      </c>
      <c r="M3353" t="s">
        <v>4536</v>
      </c>
      <c r="N3353" t="s">
        <v>4472</v>
      </c>
    </row>
    <row r="3354" spans="1:14" hidden="1" x14ac:dyDescent="0.25">
      <c r="A3354" t="s">
        <v>1319</v>
      </c>
      <c r="B3354" t="s">
        <v>1333</v>
      </c>
      <c r="C3354" t="s">
        <v>4537</v>
      </c>
      <c r="D3354" t="s">
        <v>15</v>
      </c>
      <c r="E3354" t="s">
        <v>17</v>
      </c>
      <c r="F3354">
        <v>48</v>
      </c>
      <c r="G3354">
        <v>1</v>
      </c>
      <c r="H3354" s="89">
        <v>46252</v>
      </c>
      <c r="I3354" s="89">
        <v>46256</v>
      </c>
      <c r="J3354" t="s">
        <v>4485</v>
      </c>
      <c r="K3354" t="s">
        <v>4538</v>
      </c>
      <c r="L3354">
        <v>1</v>
      </c>
      <c r="M3354" t="s">
        <v>4539</v>
      </c>
      <c r="N3354" t="s">
        <v>4472</v>
      </c>
    </row>
    <row r="3355" spans="1:14" hidden="1" x14ac:dyDescent="0.25">
      <c r="A3355" t="s">
        <v>1313</v>
      </c>
      <c r="B3355" t="s">
        <v>1327</v>
      </c>
      <c r="C3355" t="s">
        <v>4537</v>
      </c>
      <c r="D3355" t="s">
        <v>15</v>
      </c>
      <c r="E3355" t="s">
        <v>17</v>
      </c>
      <c r="F3355">
        <v>1056</v>
      </c>
      <c r="G3355">
        <v>22</v>
      </c>
      <c r="H3355" s="89">
        <v>46252</v>
      </c>
      <c r="I3355" s="89">
        <v>46256</v>
      </c>
      <c r="J3355" t="s">
        <v>4485</v>
      </c>
      <c r="K3355" t="s">
        <v>4540</v>
      </c>
      <c r="L3355">
        <v>1</v>
      </c>
      <c r="M3355" t="s">
        <v>4541</v>
      </c>
      <c r="N3355" t="s">
        <v>4472</v>
      </c>
    </row>
    <row r="3356" spans="1:14" hidden="1" x14ac:dyDescent="0.25">
      <c r="A3356" t="s">
        <v>1313</v>
      </c>
      <c r="B3356" t="s">
        <v>1327</v>
      </c>
      <c r="C3356" t="s">
        <v>4537</v>
      </c>
      <c r="D3356" t="s">
        <v>15</v>
      </c>
      <c r="E3356" t="s">
        <v>17</v>
      </c>
      <c r="F3356">
        <v>48</v>
      </c>
      <c r="G3356">
        <v>1</v>
      </c>
      <c r="H3356" s="89">
        <v>46252</v>
      </c>
      <c r="I3356" s="89">
        <v>46258</v>
      </c>
      <c r="J3356" t="s">
        <v>4542</v>
      </c>
      <c r="K3356" t="s">
        <v>4543</v>
      </c>
      <c r="L3356">
        <v>1</v>
      </c>
      <c r="M3356" t="s">
        <v>4544</v>
      </c>
      <c r="N3356" t="s">
        <v>4472</v>
      </c>
    </row>
    <row r="3357" spans="1:14" hidden="1" x14ac:dyDescent="0.25">
      <c r="A3357" t="s">
        <v>1313</v>
      </c>
      <c r="B3357" t="s">
        <v>1327</v>
      </c>
      <c r="C3357" t="s">
        <v>4537</v>
      </c>
      <c r="D3357" t="s">
        <v>15</v>
      </c>
      <c r="E3357" t="s">
        <v>16</v>
      </c>
      <c r="F3357">
        <v>144</v>
      </c>
      <c r="G3357">
        <v>3</v>
      </c>
      <c r="H3357" s="89">
        <v>46252</v>
      </c>
      <c r="I3357" s="89">
        <v>46256</v>
      </c>
      <c r="J3357" t="s">
        <v>4490</v>
      </c>
      <c r="K3357" t="s">
        <v>4545</v>
      </c>
      <c r="L3357">
        <v>1</v>
      </c>
      <c r="M3357" t="s">
        <v>4546</v>
      </c>
      <c r="N3357" t="s">
        <v>4472</v>
      </c>
    </row>
    <row r="3358" spans="1:14" hidden="1" x14ac:dyDescent="0.25">
      <c r="A3358" t="s">
        <v>1324</v>
      </c>
      <c r="B3358" t="s">
        <v>1338</v>
      </c>
      <c r="C3358" t="s">
        <v>4547</v>
      </c>
      <c r="D3358" t="s">
        <v>23</v>
      </c>
      <c r="E3358" t="s">
        <v>65</v>
      </c>
      <c r="F3358">
        <v>960</v>
      </c>
      <c r="G3358">
        <v>20</v>
      </c>
      <c r="H3358" s="89">
        <v>46252</v>
      </c>
      <c r="I3358" s="89">
        <v>46259</v>
      </c>
      <c r="J3358" t="s">
        <v>4548</v>
      </c>
      <c r="K3358" t="s">
        <v>4549</v>
      </c>
      <c r="L3358">
        <v>1</v>
      </c>
      <c r="M3358" t="s">
        <v>4550</v>
      </c>
      <c r="N3358" t="s">
        <v>4472</v>
      </c>
    </row>
    <row r="3359" spans="1:14" hidden="1" x14ac:dyDescent="0.25">
      <c r="A3359" t="s">
        <v>1323</v>
      </c>
      <c r="B3359" t="s">
        <v>1337</v>
      </c>
      <c r="C3359" t="s">
        <v>4551</v>
      </c>
      <c r="D3359" t="s">
        <v>20</v>
      </c>
      <c r="E3359" t="s">
        <v>26</v>
      </c>
      <c r="F3359">
        <v>918</v>
      </c>
      <c r="G3359">
        <v>17</v>
      </c>
      <c r="H3359" s="89">
        <v>46252</v>
      </c>
      <c r="I3359" s="89">
        <v>46258</v>
      </c>
      <c r="J3359" t="s">
        <v>4552</v>
      </c>
      <c r="K3359" t="s">
        <v>4553</v>
      </c>
      <c r="L3359">
        <v>1</v>
      </c>
      <c r="M3359" t="s">
        <v>4554</v>
      </c>
      <c r="N3359" t="s">
        <v>4472</v>
      </c>
    </row>
    <row r="3360" spans="1:14" hidden="1" x14ac:dyDescent="0.25">
      <c r="A3360" t="s">
        <v>1322</v>
      </c>
      <c r="B3360" t="s">
        <v>1336</v>
      </c>
      <c r="C3360" t="s">
        <v>4551</v>
      </c>
      <c r="D3360" t="s">
        <v>20</v>
      </c>
      <c r="E3360" t="s">
        <v>26</v>
      </c>
      <c r="F3360">
        <v>162</v>
      </c>
      <c r="G3360">
        <v>3</v>
      </c>
      <c r="H3360" s="89">
        <v>46252</v>
      </c>
      <c r="I3360" s="89">
        <v>46258</v>
      </c>
      <c r="J3360" t="s">
        <v>4552</v>
      </c>
      <c r="K3360" t="s">
        <v>4555</v>
      </c>
      <c r="L3360">
        <v>1</v>
      </c>
      <c r="M3360" t="s">
        <v>4556</v>
      </c>
      <c r="N3360" t="s">
        <v>4472</v>
      </c>
    </row>
    <row r="3361" spans="1:14" hidden="1" x14ac:dyDescent="0.25">
      <c r="A3361" t="s">
        <v>1313</v>
      </c>
      <c r="B3361" t="s">
        <v>1327</v>
      </c>
      <c r="C3361" t="s">
        <v>4551</v>
      </c>
      <c r="D3361" t="s">
        <v>20</v>
      </c>
      <c r="E3361" t="s">
        <v>19</v>
      </c>
      <c r="F3361">
        <v>96</v>
      </c>
      <c r="G3361">
        <v>2</v>
      </c>
      <c r="H3361" s="89">
        <v>46252</v>
      </c>
      <c r="I3361" s="89">
        <v>46255</v>
      </c>
      <c r="J3361" t="s">
        <v>1656</v>
      </c>
      <c r="K3361" t="s">
        <v>4557</v>
      </c>
      <c r="L3361">
        <v>1</v>
      </c>
      <c r="M3361" t="s">
        <v>4558</v>
      </c>
      <c r="N3361" t="s">
        <v>4472</v>
      </c>
    </row>
    <row r="3362" spans="1:14" hidden="1" x14ac:dyDescent="0.25">
      <c r="A3362" t="s">
        <v>1320</v>
      </c>
      <c r="B3362" t="s">
        <v>1334</v>
      </c>
      <c r="C3362" t="s">
        <v>4559</v>
      </c>
      <c r="D3362" t="s">
        <v>152</v>
      </c>
      <c r="E3362" t="s">
        <v>14</v>
      </c>
      <c r="F3362">
        <v>480</v>
      </c>
      <c r="G3362">
        <v>10</v>
      </c>
      <c r="H3362" s="89">
        <v>46252</v>
      </c>
      <c r="I3362" s="89">
        <v>46256</v>
      </c>
      <c r="J3362" t="s">
        <v>4477</v>
      </c>
      <c r="K3362" t="s">
        <v>4560</v>
      </c>
      <c r="L3362">
        <v>1</v>
      </c>
      <c r="M3362" t="s">
        <v>4561</v>
      </c>
      <c r="N3362" t="s">
        <v>4472</v>
      </c>
    </row>
    <row r="3363" spans="1:14" hidden="1" x14ac:dyDescent="0.25">
      <c r="A3363" t="s">
        <v>1320</v>
      </c>
      <c r="B3363" t="s">
        <v>1334</v>
      </c>
      <c r="C3363" t="s">
        <v>4562</v>
      </c>
      <c r="D3363" t="s">
        <v>21</v>
      </c>
      <c r="E3363" t="s">
        <v>14</v>
      </c>
      <c r="F3363">
        <v>960</v>
      </c>
      <c r="G3363">
        <v>20</v>
      </c>
      <c r="H3363" s="89">
        <v>46252</v>
      </c>
      <c r="I3363" s="89">
        <v>46258</v>
      </c>
      <c r="J3363" t="s">
        <v>4563</v>
      </c>
      <c r="K3363" t="s">
        <v>4564</v>
      </c>
      <c r="L3363">
        <v>1</v>
      </c>
      <c r="M3363" t="s">
        <v>4565</v>
      </c>
      <c r="N3363" t="s">
        <v>4472</v>
      </c>
    </row>
    <row r="3364" spans="1:14" hidden="1" x14ac:dyDescent="0.25">
      <c r="A3364" t="s">
        <v>1315</v>
      </c>
      <c r="B3364" t="s">
        <v>1329</v>
      </c>
      <c r="C3364" t="s">
        <v>4537</v>
      </c>
      <c r="D3364" t="s">
        <v>15</v>
      </c>
      <c r="E3364" t="s">
        <v>19</v>
      </c>
      <c r="F3364">
        <v>7</v>
      </c>
      <c r="G3364" t="s">
        <v>1419</v>
      </c>
      <c r="H3364" s="89">
        <v>46252</v>
      </c>
      <c r="I3364" s="89">
        <v>46255</v>
      </c>
      <c r="J3364" t="s">
        <v>1656</v>
      </c>
      <c r="K3364" t="s">
        <v>4566</v>
      </c>
      <c r="L3364">
        <v>1</v>
      </c>
      <c r="M3364" t="s">
        <v>4567</v>
      </c>
      <c r="N3364" t="s">
        <v>4472</v>
      </c>
    </row>
    <row r="3365" spans="1:14" hidden="1" x14ac:dyDescent="0.25">
      <c r="A3365" t="s">
        <v>1316</v>
      </c>
      <c r="B3365" t="s">
        <v>1330</v>
      </c>
      <c r="C3365" t="s">
        <v>4568</v>
      </c>
      <c r="D3365" t="s">
        <v>15</v>
      </c>
      <c r="E3365" t="s">
        <v>19</v>
      </c>
      <c r="F3365">
        <v>62</v>
      </c>
      <c r="G3365" t="s">
        <v>1419</v>
      </c>
      <c r="H3365" s="89">
        <v>46252</v>
      </c>
      <c r="I3365" s="89">
        <v>46255</v>
      </c>
      <c r="J3365" t="s">
        <v>1656</v>
      </c>
      <c r="K3365" t="s">
        <v>4569</v>
      </c>
      <c r="L3365">
        <v>1</v>
      </c>
      <c r="M3365" t="s">
        <v>4570</v>
      </c>
      <c r="N3365" t="s">
        <v>4472</v>
      </c>
    </row>
    <row r="3366" spans="1:14" hidden="1" x14ac:dyDescent="0.25">
      <c r="A3366" t="s">
        <v>1317</v>
      </c>
      <c r="B3366" t="s">
        <v>1331</v>
      </c>
      <c r="C3366" t="s">
        <v>4571</v>
      </c>
      <c r="D3366" t="s">
        <v>15</v>
      </c>
      <c r="E3366" t="s">
        <v>19</v>
      </c>
      <c r="F3366">
        <v>85</v>
      </c>
      <c r="G3366" t="s">
        <v>1419</v>
      </c>
      <c r="H3366" s="89">
        <v>46252</v>
      </c>
      <c r="I3366" s="89">
        <v>46255</v>
      </c>
      <c r="J3366" t="s">
        <v>1656</v>
      </c>
      <c r="K3366" t="s">
        <v>4572</v>
      </c>
      <c r="L3366">
        <v>1</v>
      </c>
      <c r="M3366" t="s">
        <v>4573</v>
      </c>
      <c r="N3366" t="s">
        <v>4472</v>
      </c>
    </row>
    <row r="3367" spans="1:14" hidden="1" x14ac:dyDescent="0.25">
      <c r="A3367" t="s">
        <v>1318</v>
      </c>
      <c r="B3367" t="s">
        <v>1332</v>
      </c>
      <c r="C3367" t="s">
        <v>4574</v>
      </c>
      <c r="D3367" t="s">
        <v>15</v>
      </c>
      <c r="E3367" t="s">
        <v>19</v>
      </c>
      <c r="F3367">
        <v>36</v>
      </c>
      <c r="G3367" t="s">
        <v>1419</v>
      </c>
      <c r="H3367" s="89">
        <v>46252</v>
      </c>
      <c r="I3367" s="89">
        <v>46255</v>
      </c>
      <c r="J3367" t="s">
        <v>1656</v>
      </c>
      <c r="K3367" t="s">
        <v>4575</v>
      </c>
      <c r="L3367">
        <v>1</v>
      </c>
      <c r="M3367" t="s">
        <v>4576</v>
      </c>
      <c r="N3367" t="s">
        <v>4472</v>
      </c>
    </row>
    <row r="3368" spans="1:14" hidden="1" x14ac:dyDescent="0.25">
      <c r="A3368" t="s">
        <v>1316</v>
      </c>
      <c r="B3368" t="s">
        <v>1330</v>
      </c>
      <c r="C3368" t="s">
        <v>4577</v>
      </c>
      <c r="D3368" t="s">
        <v>20</v>
      </c>
      <c r="E3368" t="s">
        <v>19</v>
      </c>
      <c r="F3368">
        <v>60</v>
      </c>
      <c r="G3368" t="s">
        <v>1419</v>
      </c>
      <c r="H3368" s="89">
        <v>46252</v>
      </c>
      <c r="I3368" s="89">
        <v>46255</v>
      </c>
      <c r="J3368" t="s">
        <v>1656</v>
      </c>
      <c r="K3368" t="s">
        <v>4578</v>
      </c>
      <c r="L3368">
        <v>1</v>
      </c>
      <c r="M3368" t="s">
        <v>4579</v>
      </c>
      <c r="N3368" t="s">
        <v>4472</v>
      </c>
    </row>
    <row r="3369" spans="1:14" hidden="1" x14ac:dyDescent="0.25">
      <c r="A3369" t="s">
        <v>1317</v>
      </c>
      <c r="B3369" t="s">
        <v>1331</v>
      </c>
      <c r="C3369" t="s">
        <v>4580</v>
      </c>
      <c r="D3369" t="s">
        <v>20</v>
      </c>
      <c r="E3369" t="s">
        <v>19</v>
      </c>
      <c r="F3369">
        <v>8</v>
      </c>
      <c r="G3369" t="s">
        <v>1419</v>
      </c>
      <c r="H3369" s="89">
        <v>46252</v>
      </c>
      <c r="I3369" s="89">
        <v>46255</v>
      </c>
      <c r="J3369" t="s">
        <v>1656</v>
      </c>
      <c r="K3369" t="s">
        <v>4581</v>
      </c>
      <c r="L3369">
        <v>1</v>
      </c>
      <c r="M3369" t="s">
        <v>4582</v>
      </c>
      <c r="N3369" t="s">
        <v>4472</v>
      </c>
    </row>
    <row r="3370" spans="1:14" hidden="1" x14ac:dyDescent="0.25">
      <c r="A3370" t="s">
        <v>1318</v>
      </c>
      <c r="B3370" t="s">
        <v>1332</v>
      </c>
      <c r="C3370" t="s">
        <v>4583</v>
      </c>
      <c r="D3370" t="s">
        <v>20</v>
      </c>
      <c r="E3370" t="s">
        <v>19</v>
      </c>
      <c r="F3370">
        <v>47</v>
      </c>
      <c r="G3370" t="s">
        <v>1419</v>
      </c>
      <c r="H3370" s="89">
        <v>46252</v>
      </c>
      <c r="I3370" s="89">
        <v>46255</v>
      </c>
      <c r="J3370" t="s">
        <v>1656</v>
      </c>
      <c r="K3370" t="s">
        <v>4584</v>
      </c>
      <c r="L3370">
        <v>1</v>
      </c>
      <c r="M3370" t="s">
        <v>4585</v>
      </c>
      <c r="N3370" t="s">
        <v>4472</v>
      </c>
    </row>
    <row r="3371" spans="1:14" hidden="1" x14ac:dyDescent="0.25">
      <c r="A3371" t="s">
        <v>1315</v>
      </c>
      <c r="B3371" t="s">
        <v>1329</v>
      </c>
      <c r="C3371" t="s">
        <v>4562</v>
      </c>
      <c r="D3371" t="s">
        <v>21</v>
      </c>
      <c r="E3371" t="s">
        <v>19</v>
      </c>
      <c r="F3371">
        <v>58</v>
      </c>
      <c r="G3371" t="s">
        <v>1419</v>
      </c>
      <c r="H3371" s="89">
        <v>46252</v>
      </c>
      <c r="I3371" s="89">
        <v>46255</v>
      </c>
      <c r="J3371" t="s">
        <v>1656</v>
      </c>
      <c r="K3371" t="s">
        <v>4586</v>
      </c>
      <c r="L3371">
        <v>1</v>
      </c>
      <c r="M3371" t="s">
        <v>4587</v>
      </c>
      <c r="N3371" t="s">
        <v>4472</v>
      </c>
    </row>
    <row r="3372" spans="1:14" hidden="1" x14ac:dyDescent="0.25">
      <c r="A3372" t="s">
        <v>1316</v>
      </c>
      <c r="B3372" t="s">
        <v>1330</v>
      </c>
      <c r="C3372" t="s">
        <v>4588</v>
      </c>
      <c r="D3372" t="s">
        <v>21</v>
      </c>
      <c r="E3372" t="s">
        <v>19</v>
      </c>
      <c r="F3372">
        <v>37</v>
      </c>
      <c r="G3372" t="s">
        <v>1419</v>
      </c>
      <c r="H3372" s="89">
        <v>46252</v>
      </c>
      <c r="I3372" s="89">
        <v>46255</v>
      </c>
      <c r="J3372" t="s">
        <v>1656</v>
      </c>
      <c r="K3372" t="s">
        <v>4589</v>
      </c>
      <c r="L3372">
        <v>1</v>
      </c>
      <c r="M3372" t="s">
        <v>4590</v>
      </c>
      <c r="N3372" t="s">
        <v>4472</v>
      </c>
    </row>
    <row r="3373" spans="1:14" hidden="1" x14ac:dyDescent="0.25">
      <c r="A3373" t="s">
        <v>1317</v>
      </c>
      <c r="B3373" t="s">
        <v>1331</v>
      </c>
      <c r="C3373" t="s">
        <v>4591</v>
      </c>
      <c r="D3373" t="s">
        <v>21</v>
      </c>
      <c r="E3373" t="s">
        <v>19</v>
      </c>
      <c r="F3373">
        <v>27</v>
      </c>
      <c r="G3373" t="s">
        <v>1419</v>
      </c>
      <c r="H3373" s="89">
        <v>46252</v>
      </c>
      <c r="I3373" s="89">
        <v>46255</v>
      </c>
      <c r="J3373" t="s">
        <v>1656</v>
      </c>
      <c r="K3373" t="s">
        <v>4592</v>
      </c>
      <c r="L3373">
        <v>1</v>
      </c>
      <c r="M3373" t="s">
        <v>4593</v>
      </c>
      <c r="N3373" t="s">
        <v>4472</v>
      </c>
    </row>
    <row r="3374" spans="1:14" hidden="1" x14ac:dyDescent="0.25">
      <c r="A3374" t="s">
        <v>1318</v>
      </c>
      <c r="B3374" t="s">
        <v>1332</v>
      </c>
      <c r="C3374" t="s">
        <v>4594</v>
      </c>
      <c r="D3374" t="s">
        <v>21</v>
      </c>
      <c r="E3374" t="s">
        <v>19</v>
      </c>
      <c r="F3374">
        <v>60</v>
      </c>
      <c r="G3374" t="s">
        <v>1419</v>
      </c>
      <c r="H3374" s="89">
        <v>46252</v>
      </c>
      <c r="I3374" s="89">
        <v>46255</v>
      </c>
      <c r="J3374" t="s">
        <v>1656</v>
      </c>
      <c r="K3374" t="s">
        <v>4595</v>
      </c>
      <c r="L3374">
        <v>1</v>
      </c>
      <c r="M3374" t="s">
        <v>4596</v>
      </c>
      <c r="N3374" t="s">
        <v>4472</v>
      </c>
    </row>
    <row r="3375" spans="1:14" hidden="1" x14ac:dyDescent="0.25">
      <c r="A3375" t="s">
        <v>1313</v>
      </c>
      <c r="B3375" t="s">
        <v>1327</v>
      </c>
      <c r="C3375" t="s">
        <v>4562</v>
      </c>
      <c r="D3375" t="s">
        <v>21</v>
      </c>
      <c r="E3375" t="s">
        <v>19</v>
      </c>
      <c r="F3375">
        <v>240</v>
      </c>
      <c r="G3375">
        <v>5</v>
      </c>
      <c r="H3375" s="89">
        <v>46252</v>
      </c>
      <c r="I3375" s="89">
        <v>46255</v>
      </c>
      <c r="J3375" t="s">
        <v>1656</v>
      </c>
      <c r="K3375" t="s">
        <v>4597</v>
      </c>
      <c r="L3375">
        <v>1</v>
      </c>
      <c r="M3375" t="s">
        <v>4598</v>
      </c>
      <c r="N3375" t="s">
        <v>4472</v>
      </c>
    </row>
    <row r="3376" spans="1:14" hidden="1" x14ac:dyDescent="0.25">
      <c r="A3376" t="s">
        <v>1313</v>
      </c>
      <c r="B3376" t="s">
        <v>1327</v>
      </c>
      <c r="C3376" t="s">
        <v>4562</v>
      </c>
      <c r="D3376" t="s">
        <v>21</v>
      </c>
      <c r="E3376" t="s">
        <v>19</v>
      </c>
      <c r="F3376">
        <v>384</v>
      </c>
      <c r="G3376">
        <v>8</v>
      </c>
      <c r="H3376" s="89">
        <v>46252</v>
      </c>
      <c r="I3376" s="89">
        <v>46255</v>
      </c>
      <c r="J3376" t="s">
        <v>1656</v>
      </c>
      <c r="K3376" t="s">
        <v>4597</v>
      </c>
      <c r="L3376">
        <v>2</v>
      </c>
      <c r="M3376" t="s">
        <v>4599</v>
      </c>
      <c r="N3376" t="s">
        <v>4472</v>
      </c>
    </row>
    <row r="3377" spans="1:14" hidden="1" x14ac:dyDescent="0.25">
      <c r="A3377" t="s">
        <v>1313</v>
      </c>
      <c r="B3377" t="s">
        <v>1327</v>
      </c>
      <c r="C3377" t="s">
        <v>4600</v>
      </c>
      <c r="D3377" t="s">
        <v>15</v>
      </c>
      <c r="E3377" t="s">
        <v>17</v>
      </c>
      <c r="F3377">
        <v>1182</v>
      </c>
      <c r="G3377">
        <v>24.625</v>
      </c>
      <c r="H3377" s="89">
        <v>46253</v>
      </c>
      <c r="I3377" s="89">
        <v>46258</v>
      </c>
      <c r="J3377" t="s">
        <v>4542</v>
      </c>
      <c r="K3377" t="s">
        <v>4601</v>
      </c>
      <c r="L3377">
        <v>1</v>
      </c>
      <c r="M3377" t="s">
        <v>4602</v>
      </c>
      <c r="N3377" t="s">
        <v>4472</v>
      </c>
    </row>
    <row r="3378" spans="1:14" hidden="1" x14ac:dyDescent="0.25">
      <c r="A3378" t="s">
        <v>1319</v>
      </c>
      <c r="B3378" t="s">
        <v>1333</v>
      </c>
      <c r="C3378" t="s">
        <v>4600</v>
      </c>
      <c r="D3378" t="s">
        <v>15</v>
      </c>
      <c r="E3378" t="s">
        <v>17</v>
      </c>
      <c r="F3378">
        <v>66</v>
      </c>
      <c r="G3378">
        <v>1.375</v>
      </c>
      <c r="H3378" s="89">
        <v>46253</v>
      </c>
      <c r="I3378" s="89">
        <v>46258</v>
      </c>
      <c r="J3378" t="s">
        <v>4542</v>
      </c>
      <c r="K3378" t="s">
        <v>4603</v>
      </c>
      <c r="L3378">
        <v>1</v>
      </c>
      <c r="M3378" t="s">
        <v>4604</v>
      </c>
      <c r="N3378" t="s">
        <v>4472</v>
      </c>
    </row>
    <row r="3379" spans="1:14" hidden="1" x14ac:dyDescent="0.25">
      <c r="A3379" t="s">
        <v>1313</v>
      </c>
      <c r="B3379" t="s">
        <v>1327</v>
      </c>
      <c r="C3379" t="s">
        <v>4605</v>
      </c>
      <c r="D3379" t="s">
        <v>20</v>
      </c>
      <c r="E3379" t="s">
        <v>22</v>
      </c>
      <c r="F3379">
        <v>1152</v>
      </c>
      <c r="G3379">
        <v>24</v>
      </c>
      <c r="H3379" s="89">
        <v>46253</v>
      </c>
      <c r="I3379" s="89">
        <v>46257</v>
      </c>
      <c r="J3379" t="s">
        <v>4606</v>
      </c>
      <c r="K3379" t="s">
        <v>4607</v>
      </c>
      <c r="L3379">
        <v>1</v>
      </c>
      <c r="M3379" t="s">
        <v>4608</v>
      </c>
      <c r="N3379" t="s">
        <v>4472</v>
      </c>
    </row>
    <row r="3380" spans="1:14" hidden="1" x14ac:dyDescent="0.25">
      <c r="A3380" t="s">
        <v>1321</v>
      </c>
      <c r="B3380" t="s">
        <v>1335</v>
      </c>
      <c r="C3380" t="s">
        <v>4609</v>
      </c>
      <c r="D3380" t="s">
        <v>27</v>
      </c>
      <c r="E3380" t="s">
        <v>65</v>
      </c>
      <c r="F3380">
        <v>144</v>
      </c>
      <c r="G3380">
        <v>3</v>
      </c>
      <c r="H3380" s="89">
        <v>46253</v>
      </c>
      <c r="I3380" s="89">
        <v>46259</v>
      </c>
      <c r="J3380" t="s">
        <v>4548</v>
      </c>
      <c r="K3380" t="s">
        <v>4610</v>
      </c>
      <c r="L3380">
        <v>1</v>
      </c>
      <c r="M3380" t="s">
        <v>4611</v>
      </c>
      <c r="N3380" t="s">
        <v>4472</v>
      </c>
    </row>
    <row r="3381" spans="1:14" hidden="1" x14ac:dyDescent="0.25">
      <c r="A3381" t="s">
        <v>1324</v>
      </c>
      <c r="B3381" t="s">
        <v>1338</v>
      </c>
      <c r="C3381" t="s">
        <v>4612</v>
      </c>
      <c r="D3381" t="s">
        <v>21</v>
      </c>
      <c r="E3381" t="s">
        <v>65</v>
      </c>
      <c r="F3381">
        <v>816</v>
      </c>
      <c r="G3381">
        <v>17</v>
      </c>
      <c r="H3381" s="89">
        <v>46253</v>
      </c>
      <c r="I3381" s="89">
        <v>46259</v>
      </c>
      <c r="J3381" t="s">
        <v>4548</v>
      </c>
      <c r="K3381" t="s">
        <v>4613</v>
      </c>
      <c r="L3381">
        <v>1</v>
      </c>
      <c r="M3381" t="s">
        <v>4614</v>
      </c>
      <c r="N3381" t="s">
        <v>4472</v>
      </c>
    </row>
    <row r="3382" spans="1:14" hidden="1" x14ac:dyDescent="0.25">
      <c r="A3382" t="s">
        <v>1324</v>
      </c>
      <c r="B3382" t="s">
        <v>1338</v>
      </c>
      <c r="C3382" t="s">
        <v>4615</v>
      </c>
      <c r="D3382" t="s">
        <v>23</v>
      </c>
      <c r="E3382" t="s">
        <v>65</v>
      </c>
      <c r="F3382">
        <v>960</v>
      </c>
      <c r="G3382">
        <v>20</v>
      </c>
      <c r="H3382" s="89">
        <v>46253</v>
      </c>
      <c r="I3382" s="89">
        <v>46260</v>
      </c>
      <c r="J3382" t="s">
        <v>4616</v>
      </c>
      <c r="K3382" t="s">
        <v>4617</v>
      </c>
      <c r="L3382">
        <v>1</v>
      </c>
      <c r="M3382" t="s">
        <v>4618</v>
      </c>
      <c r="N3382" t="s">
        <v>4472</v>
      </c>
    </row>
    <row r="3383" spans="1:14" hidden="1" x14ac:dyDescent="0.25">
      <c r="A3383" t="s">
        <v>1320</v>
      </c>
      <c r="B3383" t="s">
        <v>1334</v>
      </c>
      <c r="C3383" t="s">
        <v>4619</v>
      </c>
      <c r="D3383" t="s">
        <v>150</v>
      </c>
      <c r="E3383" t="s">
        <v>14</v>
      </c>
      <c r="F3383">
        <v>960</v>
      </c>
      <c r="G3383">
        <v>20</v>
      </c>
      <c r="H3383" s="89">
        <v>46253</v>
      </c>
      <c r="I3383" s="89">
        <v>46258</v>
      </c>
      <c r="J3383" t="s">
        <v>4620</v>
      </c>
      <c r="K3383" t="s">
        <v>4621</v>
      </c>
      <c r="L3383">
        <v>1</v>
      </c>
      <c r="M3383" t="s">
        <v>4622</v>
      </c>
      <c r="N3383" t="s">
        <v>4472</v>
      </c>
    </row>
    <row r="3384" spans="1:14" hidden="1" x14ac:dyDescent="0.25">
      <c r="A3384" t="s">
        <v>1313</v>
      </c>
      <c r="B3384" t="s">
        <v>1327</v>
      </c>
      <c r="C3384" t="s">
        <v>4600</v>
      </c>
      <c r="D3384" t="s">
        <v>15</v>
      </c>
      <c r="E3384" t="s">
        <v>19</v>
      </c>
      <c r="F3384">
        <v>48</v>
      </c>
      <c r="G3384">
        <v>1</v>
      </c>
      <c r="H3384" s="89">
        <v>46253</v>
      </c>
      <c r="I3384" s="89">
        <v>46255</v>
      </c>
      <c r="J3384" t="s">
        <v>1656</v>
      </c>
      <c r="K3384" t="s">
        <v>4623</v>
      </c>
      <c r="L3384">
        <v>1</v>
      </c>
      <c r="M3384" t="s">
        <v>4624</v>
      </c>
      <c r="N3384" t="s">
        <v>4472</v>
      </c>
    </row>
    <row r="3385" spans="1:14" hidden="1" x14ac:dyDescent="0.25">
      <c r="A3385" t="s">
        <v>1315</v>
      </c>
      <c r="B3385" t="s">
        <v>1329</v>
      </c>
      <c r="C3385" t="s">
        <v>4600</v>
      </c>
      <c r="D3385" t="s">
        <v>15</v>
      </c>
      <c r="E3385" t="s">
        <v>19</v>
      </c>
      <c r="F3385">
        <v>5</v>
      </c>
      <c r="G3385" t="s">
        <v>1419</v>
      </c>
      <c r="H3385" s="89">
        <v>46253</v>
      </c>
      <c r="I3385" s="89">
        <v>46255</v>
      </c>
      <c r="J3385" t="s">
        <v>1656</v>
      </c>
      <c r="K3385" t="s">
        <v>4625</v>
      </c>
      <c r="L3385">
        <v>1</v>
      </c>
      <c r="M3385" t="s">
        <v>4626</v>
      </c>
      <c r="N3385" t="s">
        <v>4472</v>
      </c>
    </row>
    <row r="3386" spans="1:14" hidden="1" x14ac:dyDescent="0.25">
      <c r="A3386" t="s">
        <v>1316</v>
      </c>
      <c r="B3386" t="s">
        <v>1330</v>
      </c>
      <c r="C3386" t="s">
        <v>4627</v>
      </c>
      <c r="D3386" t="s">
        <v>15</v>
      </c>
      <c r="E3386" t="s">
        <v>19</v>
      </c>
      <c r="F3386">
        <v>48</v>
      </c>
      <c r="G3386" t="s">
        <v>1419</v>
      </c>
      <c r="H3386" s="89">
        <v>46253</v>
      </c>
      <c r="I3386" s="89">
        <v>46255</v>
      </c>
      <c r="J3386" t="s">
        <v>1656</v>
      </c>
      <c r="K3386" t="s">
        <v>4628</v>
      </c>
      <c r="L3386">
        <v>1</v>
      </c>
      <c r="M3386" t="s">
        <v>4629</v>
      </c>
      <c r="N3386" t="s">
        <v>4472</v>
      </c>
    </row>
    <row r="3387" spans="1:14" hidden="1" x14ac:dyDescent="0.25">
      <c r="A3387" t="s">
        <v>1317</v>
      </c>
      <c r="B3387" t="s">
        <v>1331</v>
      </c>
      <c r="C3387" t="s">
        <v>4630</v>
      </c>
      <c r="D3387" t="s">
        <v>15</v>
      </c>
      <c r="E3387" t="s">
        <v>19</v>
      </c>
      <c r="F3387">
        <v>88</v>
      </c>
      <c r="G3387" t="s">
        <v>1419</v>
      </c>
      <c r="H3387" s="89">
        <v>46253</v>
      </c>
      <c r="I3387" s="89">
        <v>46255</v>
      </c>
      <c r="J3387" t="s">
        <v>1656</v>
      </c>
      <c r="K3387" t="s">
        <v>4631</v>
      </c>
      <c r="L3387">
        <v>1</v>
      </c>
      <c r="M3387" t="s">
        <v>4632</v>
      </c>
      <c r="N3387" t="s">
        <v>4472</v>
      </c>
    </row>
    <row r="3388" spans="1:14" hidden="1" x14ac:dyDescent="0.25">
      <c r="A3388" t="s">
        <v>1318</v>
      </c>
      <c r="B3388" t="s">
        <v>1332</v>
      </c>
      <c r="C3388" t="s">
        <v>4633</v>
      </c>
      <c r="D3388" t="s">
        <v>15</v>
      </c>
      <c r="E3388" t="s">
        <v>19</v>
      </c>
      <c r="F3388">
        <v>28</v>
      </c>
      <c r="G3388" t="s">
        <v>1419</v>
      </c>
      <c r="H3388" s="89">
        <v>46253</v>
      </c>
      <c r="I3388" s="89">
        <v>46255</v>
      </c>
      <c r="J3388" t="s">
        <v>1656</v>
      </c>
      <c r="K3388" t="s">
        <v>4634</v>
      </c>
      <c r="L3388">
        <v>1</v>
      </c>
      <c r="M3388" t="s">
        <v>4635</v>
      </c>
      <c r="N3388" t="s">
        <v>4472</v>
      </c>
    </row>
    <row r="3389" spans="1:14" hidden="1" x14ac:dyDescent="0.25">
      <c r="A3389" t="s">
        <v>1313</v>
      </c>
      <c r="B3389" t="s">
        <v>1327</v>
      </c>
      <c r="C3389" t="s">
        <v>4605</v>
      </c>
      <c r="D3389" t="s">
        <v>20</v>
      </c>
      <c r="E3389" t="s">
        <v>19</v>
      </c>
      <c r="F3389">
        <v>48</v>
      </c>
      <c r="G3389">
        <v>1</v>
      </c>
      <c r="H3389" s="89">
        <v>46253</v>
      </c>
      <c r="I3389" s="89">
        <v>46255</v>
      </c>
      <c r="J3389" t="s">
        <v>1656</v>
      </c>
      <c r="K3389" t="s">
        <v>4636</v>
      </c>
      <c r="L3389">
        <v>1</v>
      </c>
      <c r="M3389" t="s">
        <v>4637</v>
      </c>
      <c r="N3389" t="s">
        <v>4472</v>
      </c>
    </row>
    <row r="3390" spans="1:14" hidden="1" x14ac:dyDescent="0.25">
      <c r="A3390" t="s">
        <v>1315</v>
      </c>
      <c r="B3390" t="s">
        <v>1329</v>
      </c>
      <c r="C3390" t="s">
        <v>4605</v>
      </c>
      <c r="D3390" t="s">
        <v>20</v>
      </c>
      <c r="E3390" t="s">
        <v>19</v>
      </c>
      <c r="F3390">
        <v>18</v>
      </c>
      <c r="G3390" t="s">
        <v>1419</v>
      </c>
      <c r="H3390" s="89">
        <v>46253</v>
      </c>
      <c r="I3390" s="89">
        <v>46255</v>
      </c>
      <c r="J3390" t="s">
        <v>1656</v>
      </c>
      <c r="K3390" t="s">
        <v>4638</v>
      </c>
      <c r="L3390">
        <v>1</v>
      </c>
      <c r="M3390" t="s">
        <v>4639</v>
      </c>
      <c r="N3390" t="s">
        <v>4472</v>
      </c>
    </row>
    <row r="3391" spans="1:14" hidden="1" x14ac:dyDescent="0.25">
      <c r="A3391" t="s">
        <v>1316</v>
      </c>
      <c r="B3391" t="s">
        <v>1330</v>
      </c>
      <c r="C3391" t="s">
        <v>4640</v>
      </c>
      <c r="D3391" t="s">
        <v>20</v>
      </c>
      <c r="E3391" t="s">
        <v>19</v>
      </c>
      <c r="F3391">
        <v>92</v>
      </c>
      <c r="G3391" t="s">
        <v>1419</v>
      </c>
      <c r="H3391" s="89">
        <v>46253</v>
      </c>
      <c r="I3391" s="89">
        <v>46255</v>
      </c>
      <c r="J3391" t="s">
        <v>1656</v>
      </c>
      <c r="K3391" t="s">
        <v>4641</v>
      </c>
      <c r="L3391">
        <v>1</v>
      </c>
      <c r="M3391" t="s">
        <v>4642</v>
      </c>
      <c r="N3391" t="s">
        <v>4472</v>
      </c>
    </row>
    <row r="3392" spans="1:14" hidden="1" x14ac:dyDescent="0.25">
      <c r="A3392" t="s">
        <v>1317</v>
      </c>
      <c r="B3392" t="s">
        <v>1331</v>
      </c>
      <c r="C3392" t="s">
        <v>4643</v>
      </c>
      <c r="D3392" t="s">
        <v>20</v>
      </c>
      <c r="E3392" t="s">
        <v>19</v>
      </c>
      <c r="F3392">
        <v>10</v>
      </c>
      <c r="G3392" t="s">
        <v>1419</v>
      </c>
      <c r="H3392" s="89">
        <v>46253</v>
      </c>
      <c r="I3392" s="89">
        <v>46255</v>
      </c>
      <c r="J3392" t="s">
        <v>1656</v>
      </c>
      <c r="K3392" t="s">
        <v>4644</v>
      </c>
      <c r="L3392">
        <v>1</v>
      </c>
      <c r="M3392" t="s">
        <v>4645</v>
      </c>
      <c r="N3392" t="s">
        <v>4472</v>
      </c>
    </row>
    <row r="3393" spans="1:14" hidden="1" x14ac:dyDescent="0.25">
      <c r="A3393" t="s">
        <v>1318</v>
      </c>
      <c r="B3393" t="s">
        <v>1332</v>
      </c>
      <c r="C3393" t="s">
        <v>4646</v>
      </c>
      <c r="D3393" t="s">
        <v>20</v>
      </c>
      <c r="E3393" t="s">
        <v>19</v>
      </c>
      <c r="F3393">
        <v>49</v>
      </c>
      <c r="G3393" t="s">
        <v>1419</v>
      </c>
      <c r="H3393" s="89">
        <v>46253</v>
      </c>
      <c r="I3393" s="89">
        <v>46255</v>
      </c>
      <c r="J3393" t="s">
        <v>1656</v>
      </c>
      <c r="K3393" t="s">
        <v>4647</v>
      </c>
      <c r="L3393">
        <v>1</v>
      </c>
      <c r="M3393" t="s">
        <v>4648</v>
      </c>
      <c r="N3393" t="s">
        <v>4472</v>
      </c>
    </row>
    <row r="3394" spans="1:14" hidden="1" x14ac:dyDescent="0.25">
      <c r="A3394" t="s">
        <v>1315</v>
      </c>
      <c r="B3394" t="s">
        <v>1329</v>
      </c>
      <c r="C3394" t="s">
        <v>4612</v>
      </c>
      <c r="D3394" t="s">
        <v>21</v>
      </c>
      <c r="E3394" t="s">
        <v>19</v>
      </c>
      <c r="F3394">
        <v>93</v>
      </c>
      <c r="G3394" t="s">
        <v>1419</v>
      </c>
      <c r="H3394" s="89">
        <v>46253</v>
      </c>
      <c r="I3394" s="89">
        <v>46255</v>
      </c>
      <c r="J3394" t="s">
        <v>1656</v>
      </c>
      <c r="K3394" t="s">
        <v>4649</v>
      </c>
      <c r="L3394">
        <v>1</v>
      </c>
      <c r="M3394" t="s">
        <v>4650</v>
      </c>
      <c r="N3394" t="s">
        <v>4472</v>
      </c>
    </row>
    <row r="3395" spans="1:14" hidden="1" x14ac:dyDescent="0.25">
      <c r="A3395" t="s">
        <v>1315</v>
      </c>
      <c r="B3395" t="s">
        <v>1329</v>
      </c>
      <c r="C3395" t="s">
        <v>4612</v>
      </c>
      <c r="D3395" t="s">
        <v>21</v>
      </c>
      <c r="E3395" t="s">
        <v>19</v>
      </c>
      <c r="F3395">
        <v>11</v>
      </c>
      <c r="G3395" t="s">
        <v>1419</v>
      </c>
      <c r="H3395" s="89">
        <v>46253</v>
      </c>
      <c r="I3395" s="89">
        <v>46255</v>
      </c>
      <c r="J3395" t="s">
        <v>1656</v>
      </c>
      <c r="K3395" t="s">
        <v>4649</v>
      </c>
      <c r="L3395">
        <v>2</v>
      </c>
      <c r="M3395" t="s">
        <v>4651</v>
      </c>
      <c r="N3395" t="s">
        <v>4472</v>
      </c>
    </row>
    <row r="3396" spans="1:14" hidden="1" x14ac:dyDescent="0.25">
      <c r="A3396" t="s">
        <v>1316</v>
      </c>
      <c r="B3396" t="s">
        <v>1330</v>
      </c>
      <c r="C3396" t="s">
        <v>4652</v>
      </c>
      <c r="D3396" t="s">
        <v>21</v>
      </c>
      <c r="E3396" t="s">
        <v>19</v>
      </c>
      <c r="F3396">
        <v>27</v>
      </c>
      <c r="G3396" t="s">
        <v>1419</v>
      </c>
      <c r="H3396" s="89">
        <v>46253</v>
      </c>
      <c r="I3396" s="89">
        <v>46255</v>
      </c>
      <c r="J3396" t="s">
        <v>1656</v>
      </c>
      <c r="K3396" t="s">
        <v>4653</v>
      </c>
      <c r="L3396">
        <v>1</v>
      </c>
      <c r="M3396" t="s">
        <v>4654</v>
      </c>
      <c r="N3396" t="s">
        <v>4472</v>
      </c>
    </row>
    <row r="3397" spans="1:14" hidden="1" x14ac:dyDescent="0.25">
      <c r="A3397" t="s">
        <v>1317</v>
      </c>
      <c r="B3397" t="s">
        <v>1331</v>
      </c>
      <c r="C3397" t="s">
        <v>4655</v>
      </c>
      <c r="D3397" t="s">
        <v>21</v>
      </c>
      <c r="E3397" t="s">
        <v>19</v>
      </c>
      <c r="F3397">
        <v>10</v>
      </c>
      <c r="G3397" t="s">
        <v>1419</v>
      </c>
      <c r="H3397" s="89">
        <v>46253</v>
      </c>
      <c r="I3397" s="89">
        <v>46255</v>
      </c>
      <c r="J3397" t="s">
        <v>1656</v>
      </c>
      <c r="K3397" t="s">
        <v>4656</v>
      </c>
      <c r="L3397">
        <v>1</v>
      </c>
      <c r="M3397" t="s">
        <v>4657</v>
      </c>
      <c r="N3397" t="s">
        <v>4472</v>
      </c>
    </row>
    <row r="3398" spans="1:14" hidden="1" x14ac:dyDescent="0.25">
      <c r="A3398" t="s">
        <v>1318</v>
      </c>
      <c r="B3398" t="s">
        <v>1332</v>
      </c>
      <c r="C3398" t="s">
        <v>4658</v>
      </c>
      <c r="D3398" t="s">
        <v>21</v>
      </c>
      <c r="E3398" t="s">
        <v>19</v>
      </c>
      <c r="F3398">
        <v>39</v>
      </c>
      <c r="G3398" t="s">
        <v>1419</v>
      </c>
      <c r="H3398" s="89">
        <v>46253</v>
      </c>
      <c r="I3398" s="89">
        <v>46255</v>
      </c>
      <c r="J3398" t="s">
        <v>1656</v>
      </c>
      <c r="K3398" t="s">
        <v>4659</v>
      </c>
      <c r="L3398">
        <v>1</v>
      </c>
      <c r="M3398" t="s">
        <v>4660</v>
      </c>
      <c r="N3398" t="s">
        <v>4472</v>
      </c>
    </row>
    <row r="3399" spans="1:14" hidden="1" x14ac:dyDescent="0.25">
      <c r="A3399" t="s">
        <v>1325</v>
      </c>
      <c r="B3399" t="s">
        <v>1339</v>
      </c>
      <c r="C3399" t="s">
        <v>4609</v>
      </c>
      <c r="D3399" t="s">
        <v>27</v>
      </c>
      <c r="E3399" t="s">
        <v>19</v>
      </c>
      <c r="F3399">
        <v>336</v>
      </c>
      <c r="G3399">
        <v>7</v>
      </c>
      <c r="H3399" s="89">
        <v>46253</v>
      </c>
      <c r="I3399" s="89">
        <v>46255</v>
      </c>
      <c r="J3399" t="s">
        <v>1656</v>
      </c>
      <c r="K3399" t="s">
        <v>4661</v>
      </c>
      <c r="L3399">
        <v>1</v>
      </c>
      <c r="M3399" t="s">
        <v>4662</v>
      </c>
      <c r="N3399" t="s">
        <v>4472</v>
      </c>
    </row>
    <row r="3400" spans="1:14" hidden="1" x14ac:dyDescent="0.25">
      <c r="A3400" t="s">
        <v>1313</v>
      </c>
      <c r="B3400" t="s">
        <v>1327</v>
      </c>
      <c r="C3400" t="s">
        <v>4612</v>
      </c>
      <c r="D3400" t="s">
        <v>21</v>
      </c>
      <c r="E3400" t="s">
        <v>31</v>
      </c>
      <c r="F3400">
        <v>480</v>
      </c>
      <c r="G3400">
        <v>10</v>
      </c>
      <c r="H3400" s="89">
        <v>46253</v>
      </c>
      <c r="I3400" s="89">
        <v>46258</v>
      </c>
      <c r="J3400" t="s">
        <v>4663</v>
      </c>
      <c r="K3400" t="s">
        <v>4664</v>
      </c>
      <c r="L3400">
        <v>1</v>
      </c>
      <c r="M3400" t="s">
        <v>4665</v>
      </c>
      <c r="N3400" t="s">
        <v>4472</v>
      </c>
    </row>
    <row r="3401" spans="1:14" hidden="1" x14ac:dyDescent="0.25">
      <c r="A3401" t="s">
        <v>1313</v>
      </c>
      <c r="B3401" t="s">
        <v>1327</v>
      </c>
      <c r="C3401" t="s">
        <v>4666</v>
      </c>
      <c r="D3401" t="s">
        <v>4313</v>
      </c>
      <c r="E3401" t="s">
        <v>22</v>
      </c>
      <c r="F3401">
        <v>1152</v>
      </c>
      <c r="G3401">
        <v>24</v>
      </c>
      <c r="H3401" s="89">
        <v>46254</v>
      </c>
      <c r="I3401" s="89">
        <v>46258</v>
      </c>
      <c r="J3401" t="s">
        <v>4667</v>
      </c>
      <c r="K3401" t="s">
        <v>4668</v>
      </c>
      <c r="L3401">
        <v>1</v>
      </c>
      <c r="M3401" t="s">
        <v>4669</v>
      </c>
      <c r="N3401" t="s">
        <v>4472</v>
      </c>
    </row>
    <row r="3402" spans="1:14" hidden="1" x14ac:dyDescent="0.25">
      <c r="A3402" t="s">
        <v>1320</v>
      </c>
      <c r="B3402" t="s">
        <v>1334</v>
      </c>
      <c r="C3402" t="s">
        <v>4670</v>
      </c>
      <c r="D3402" t="s">
        <v>30</v>
      </c>
      <c r="E3402" t="s">
        <v>14</v>
      </c>
      <c r="F3402">
        <v>480</v>
      </c>
      <c r="G3402">
        <v>10</v>
      </c>
      <c r="H3402" s="89">
        <v>46254</v>
      </c>
      <c r="I3402" s="89">
        <v>46259</v>
      </c>
      <c r="J3402" t="s">
        <v>4671</v>
      </c>
      <c r="K3402" t="s">
        <v>4672</v>
      </c>
      <c r="L3402">
        <v>1</v>
      </c>
      <c r="M3402" t="s">
        <v>4673</v>
      </c>
      <c r="N3402" t="s">
        <v>4472</v>
      </c>
    </row>
    <row r="3403" spans="1:14" hidden="1" x14ac:dyDescent="0.25">
      <c r="A3403" t="s">
        <v>1324</v>
      </c>
      <c r="B3403" t="s">
        <v>1338</v>
      </c>
      <c r="C3403" t="s">
        <v>4674</v>
      </c>
      <c r="D3403" t="s">
        <v>23</v>
      </c>
      <c r="E3403" t="s">
        <v>25</v>
      </c>
      <c r="F3403">
        <v>960</v>
      </c>
      <c r="G3403">
        <v>20</v>
      </c>
      <c r="H3403" s="89">
        <v>46254</v>
      </c>
      <c r="I3403" s="89">
        <v>46260</v>
      </c>
      <c r="J3403" t="s">
        <v>4675</v>
      </c>
      <c r="K3403" t="s">
        <v>4676</v>
      </c>
      <c r="L3403">
        <v>1</v>
      </c>
      <c r="M3403" t="s">
        <v>4677</v>
      </c>
      <c r="N3403" t="s">
        <v>4472</v>
      </c>
    </row>
    <row r="3404" spans="1:14" hidden="1" x14ac:dyDescent="0.25">
      <c r="A3404" t="s">
        <v>1313</v>
      </c>
      <c r="B3404" t="s">
        <v>1327</v>
      </c>
      <c r="C3404" t="s">
        <v>4678</v>
      </c>
      <c r="D3404" t="s">
        <v>119</v>
      </c>
      <c r="E3404" t="s">
        <v>16</v>
      </c>
      <c r="F3404">
        <v>912</v>
      </c>
      <c r="G3404">
        <v>19</v>
      </c>
      <c r="H3404" s="89">
        <v>46254</v>
      </c>
      <c r="I3404" s="89">
        <v>46258</v>
      </c>
      <c r="J3404" t="s">
        <v>4679</v>
      </c>
      <c r="K3404" t="s">
        <v>4680</v>
      </c>
      <c r="L3404">
        <v>1</v>
      </c>
      <c r="M3404" t="s">
        <v>4681</v>
      </c>
      <c r="N3404" t="s">
        <v>4472</v>
      </c>
    </row>
    <row r="3405" spans="1:14" hidden="1" x14ac:dyDescent="0.25">
      <c r="A3405" t="s">
        <v>1324</v>
      </c>
      <c r="B3405" t="s">
        <v>1338</v>
      </c>
      <c r="C3405" t="s">
        <v>4682</v>
      </c>
      <c r="D3405" t="s">
        <v>150</v>
      </c>
      <c r="E3405" t="s">
        <v>65</v>
      </c>
      <c r="F3405">
        <v>960</v>
      </c>
      <c r="G3405">
        <v>20</v>
      </c>
      <c r="H3405" s="89">
        <v>46254</v>
      </c>
      <c r="I3405" s="89">
        <v>46260</v>
      </c>
      <c r="J3405" t="s">
        <v>4616</v>
      </c>
      <c r="K3405" t="s">
        <v>4683</v>
      </c>
      <c r="L3405">
        <v>1</v>
      </c>
      <c r="M3405" t="s">
        <v>4684</v>
      </c>
      <c r="N3405" t="s">
        <v>4472</v>
      </c>
    </row>
    <row r="3406" spans="1:14" hidden="1" x14ac:dyDescent="0.25">
      <c r="A3406" t="s">
        <v>1319</v>
      </c>
      <c r="B3406" t="s">
        <v>1333</v>
      </c>
      <c r="C3406" t="s">
        <v>4685</v>
      </c>
      <c r="D3406" t="s">
        <v>21</v>
      </c>
      <c r="E3406" t="s">
        <v>31</v>
      </c>
      <c r="F3406">
        <v>5</v>
      </c>
      <c r="G3406">
        <v>0.10416666666666669</v>
      </c>
      <c r="H3406" s="89">
        <v>46254</v>
      </c>
      <c r="I3406" s="89">
        <v>46258</v>
      </c>
      <c r="J3406" t="s">
        <v>4686</v>
      </c>
      <c r="K3406" t="s">
        <v>4687</v>
      </c>
      <c r="L3406">
        <v>1</v>
      </c>
      <c r="M3406" t="s">
        <v>4688</v>
      </c>
      <c r="N3406" t="s">
        <v>4472</v>
      </c>
    </row>
    <row r="3407" spans="1:14" hidden="1" x14ac:dyDescent="0.25">
      <c r="A3407" t="s">
        <v>1314</v>
      </c>
      <c r="B3407" t="s">
        <v>1328</v>
      </c>
      <c r="C3407" t="s">
        <v>4685</v>
      </c>
      <c r="D3407" t="s">
        <v>21</v>
      </c>
      <c r="E3407" t="s">
        <v>31</v>
      </c>
      <c r="F3407">
        <v>96</v>
      </c>
      <c r="G3407">
        <v>2</v>
      </c>
      <c r="H3407" s="89">
        <v>46254</v>
      </c>
      <c r="I3407" s="89">
        <v>46258</v>
      </c>
      <c r="J3407" t="s">
        <v>4689</v>
      </c>
      <c r="K3407" t="s">
        <v>4690</v>
      </c>
      <c r="L3407">
        <v>1</v>
      </c>
      <c r="M3407" t="s">
        <v>4691</v>
      </c>
      <c r="N3407" t="s">
        <v>4472</v>
      </c>
    </row>
    <row r="3408" spans="1:14" hidden="1" x14ac:dyDescent="0.25">
      <c r="A3408" t="s">
        <v>1313</v>
      </c>
      <c r="B3408" t="s">
        <v>1327</v>
      </c>
      <c r="C3408" t="s">
        <v>4685</v>
      </c>
      <c r="D3408" t="s">
        <v>21</v>
      </c>
      <c r="E3408" t="s">
        <v>31</v>
      </c>
      <c r="F3408">
        <v>571</v>
      </c>
      <c r="G3408">
        <v>11.895833333333334</v>
      </c>
      <c r="H3408" s="89">
        <v>46254</v>
      </c>
      <c r="I3408" s="89">
        <v>46258</v>
      </c>
      <c r="J3408" t="s">
        <v>4663</v>
      </c>
      <c r="K3408" t="s">
        <v>4692</v>
      </c>
      <c r="L3408">
        <v>1</v>
      </c>
      <c r="M3408" t="s">
        <v>4693</v>
      </c>
      <c r="N3408" t="s">
        <v>4472</v>
      </c>
    </row>
    <row r="3409" spans="1:14" hidden="1" x14ac:dyDescent="0.25">
      <c r="A3409" t="s">
        <v>1313</v>
      </c>
      <c r="B3409" t="s">
        <v>1327</v>
      </c>
      <c r="C3409" t="s">
        <v>4685</v>
      </c>
      <c r="D3409" t="s">
        <v>21</v>
      </c>
      <c r="E3409" t="s">
        <v>18</v>
      </c>
      <c r="F3409">
        <v>144</v>
      </c>
      <c r="G3409">
        <v>3</v>
      </c>
      <c r="H3409" s="89">
        <v>46254</v>
      </c>
      <c r="I3409" s="89">
        <v>46260</v>
      </c>
      <c r="J3409" t="s">
        <v>4694</v>
      </c>
      <c r="K3409" t="s">
        <v>4695</v>
      </c>
      <c r="L3409">
        <v>1</v>
      </c>
      <c r="M3409" t="s">
        <v>4696</v>
      </c>
      <c r="N3409" t="s">
        <v>4472</v>
      </c>
    </row>
    <row r="3410" spans="1:14" hidden="1" x14ac:dyDescent="0.25">
      <c r="A3410" t="s">
        <v>1324</v>
      </c>
      <c r="B3410" t="s">
        <v>1338</v>
      </c>
      <c r="C3410" t="s">
        <v>4685</v>
      </c>
      <c r="D3410" t="s">
        <v>21</v>
      </c>
      <c r="E3410" t="s">
        <v>19</v>
      </c>
      <c r="F3410">
        <v>384</v>
      </c>
      <c r="G3410">
        <v>8</v>
      </c>
      <c r="H3410" s="89">
        <v>46254</v>
      </c>
      <c r="I3410" s="89">
        <v>46255</v>
      </c>
      <c r="J3410" t="s">
        <v>1656</v>
      </c>
      <c r="K3410" t="s">
        <v>4697</v>
      </c>
      <c r="L3410">
        <v>1</v>
      </c>
      <c r="M3410" t="s">
        <v>4698</v>
      </c>
      <c r="N3410" t="s">
        <v>4472</v>
      </c>
    </row>
    <row r="3411" spans="1:14" hidden="1" x14ac:dyDescent="0.25">
      <c r="A3411" t="s">
        <v>1324</v>
      </c>
      <c r="B3411" t="s">
        <v>1338</v>
      </c>
      <c r="C3411" t="s">
        <v>4685</v>
      </c>
      <c r="D3411" t="s">
        <v>21</v>
      </c>
      <c r="E3411" t="s">
        <v>19</v>
      </c>
      <c r="F3411">
        <v>96</v>
      </c>
      <c r="G3411">
        <v>2</v>
      </c>
      <c r="H3411" s="89">
        <v>46254</v>
      </c>
      <c r="I3411" s="89">
        <v>46255</v>
      </c>
      <c r="J3411" t="s">
        <v>1656</v>
      </c>
      <c r="K3411" t="s">
        <v>4697</v>
      </c>
      <c r="L3411">
        <v>2</v>
      </c>
      <c r="M3411" t="s">
        <v>4699</v>
      </c>
      <c r="N3411" t="s">
        <v>4472</v>
      </c>
    </row>
    <row r="3412" spans="1:14" hidden="1" x14ac:dyDescent="0.25">
      <c r="A3412" t="s">
        <v>1315</v>
      </c>
      <c r="B3412" t="s">
        <v>1329</v>
      </c>
      <c r="C3412" t="s">
        <v>4685</v>
      </c>
      <c r="D3412" t="s">
        <v>21</v>
      </c>
      <c r="E3412" t="s">
        <v>19</v>
      </c>
      <c r="F3412">
        <v>48</v>
      </c>
      <c r="G3412" t="s">
        <v>1419</v>
      </c>
      <c r="H3412" s="89">
        <v>46254</v>
      </c>
      <c r="I3412" s="89">
        <v>46255</v>
      </c>
      <c r="J3412" t="s">
        <v>1656</v>
      </c>
      <c r="K3412" t="s">
        <v>4700</v>
      </c>
      <c r="L3412">
        <v>1</v>
      </c>
      <c r="M3412" t="s">
        <v>4701</v>
      </c>
      <c r="N3412" t="s">
        <v>4472</v>
      </c>
    </row>
    <row r="3413" spans="1:14" hidden="1" x14ac:dyDescent="0.25">
      <c r="A3413" t="s">
        <v>1316</v>
      </c>
      <c r="B3413" t="s">
        <v>1330</v>
      </c>
      <c r="C3413" t="s">
        <v>4588</v>
      </c>
      <c r="D3413" t="s">
        <v>21</v>
      </c>
      <c r="E3413" t="s">
        <v>19</v>
      </c>
      <c r="F3413">
        <v>30</v>
      </c>
      <c r="G3413" t="s">
        <v>1419</v>
      </c>
      <c r="H3413" s="89">
        <v>46254</v>
      </c>
      <c r="I3413" s="89">
        <v>46255</v>
      </c>
      <c r="J3413" t="s">
        <v>1656</v>
      </c>
      <c r="K3413" t="s">
        <v>4702</v>
      </c>
      <c r="L3413">
        <v>1</v>
      </c>
      <c r="M3413" t="s">
        <v>4703</v>
      </c>
      <c r="N3413" t="s">
        <v>4472</v>
      </c>
    </row>
    <row r="3414" spans="1:14" hidden="1" x14ac:dyDescent="0.25">
      <c r="A3414" t="s">
        <v>1317</v>
      </c>
      <c r="B3414" t="s">
        <v>1331</v>
      </c>
      <c r="C3414" t="s">
        <v>4591</v>
      </c>
      <c r="D3414" t="s">
        <v>21</v>
      </c>
      <c r="E3414" t="s">
        <v>19</v>
      </c>
      <c r="F3414">
        <v>15</v>
      </c>
      <c r="G3414" t="s">
        <v>1419</v>
      </c>
      <c r="H3414" s="89">
        <v>46254</v>
      </c>
      <c r="I3414" s="89">
        <v>46255</v>
      </c>
      <c r="J3414" t="s">
        <v>1656</v>
      </c>
      <c r="K3414" t="s">
        <v>4704</v>
      </c>
      <c r="L3414">
        <v>1</v>
      </c>
      <c r="M3414" t="s">
        <v>4705</v>
      </c>
      <c r="N3414" t="s">
        <v>4472</v>
      </c>
    </row>
    <row r="3415" spans="1:14" hidden="1" x14ac:dyDescent="0.25">
      <c r="A3415" t="s">
        <v>1318</v>
      </c>
      <c r="B3415" t="s">
        <v>1332</v>
      </c>
      <c r="C3415" t="s">
        <v>4594</v>
      </c>
      <c r="D3415" t="s">
        <v>21</v>
      </c>
      <c r="E3415" t="s">
        <v>19</v>
      </c>
      <c r="F3415">
        <v>40</v>
      </c>
      <c r="G3415" t="s">
        <v>1419</v>
      </c>
      <c r="H3415" s="89">
        <v>46254</v>
      </c>
      <c r="I3415" s="89">
        <v>46255</v>
      </c>
      <c r="J3415" t="s">
        <v>1656</v>
      </c>
      <c r="K3415" t="s">
        <v>4706</v>
      </c>
      <c r="L3415">
        <v>1</v>
      </c>
      <c r="M3415" t="s">
        <v>4707</v>
      </c>
      <c r="N3415" t="s">
        <v>4472</v>
      </c>
    </row>
    <row r="3416" spans="1:14" hidden="1" x14ac:dyDescent="0.25">
      <c r="A3416" t="s">
        <v>1313</v>
      </c>
      <c r="B3416" t="s">
        <v>1327</v>
      </c>
      <c r="C3416" t="s">
        <v>4708</v>
      </c>
      <c r="D3416" t="s">
        <v>20</v>
      </c>
      <c r="E3416" t="s">
        <v>18</v>
      </c>
      <c r="F3416">
        <v>1056</v>
      </c>
      <c r="G3416">
        <v>22</v>
      </c>
      <c r="H3416" s="89">
        <v>46254</v>
      </c>
      <c r="I3416" s="89">
        <v>46258</v>
      </c>
      <c r="J3416" t="s">
        <v>4709</v>
      </c>
      <c r="K3416" t="s">
        <v>4710</v>
      </c>
      <c r="L3416">
        <v>1</v>
      </c>
      <c r="M3416" t="s">
        <v>4711</v>
      </c>
      <c r="N3416" t="s">
        <v>4472</v>
      </c>
    </row>
    <row r="3417" spans="1:14" hidden="1" x14ac:dyDescent="0.25">
      <c r="A3417" t="s">
        <v>1325</v>
      </c>
      <c r="B3417" t="s">
        <v>1339</v>
      </c>
      <c r="C3417" t="s">
        <v>4708</v>
      </c>
      <c r="D3417" t="s">
        <v>20</v>
      </c>
      <c r="E3417" t="s">
        <v>19</v>
      </c>
      <c r="F3417">
        <v>144</v>
      </c>
      <c r="G3417">
        <v>3</v>
      </c>
      <c r="H3417" s="89">
        <v>46254</v>
      </c>
      <c r="I3417" s="89">
        <v>46255</v>
      </c>
      <c r="J3417" t="s">
        <v>1656</v>
      </c>
      <c r="K3417" t="s">
        <v>4712</v>
      </c>
      <c r="L3417">
        <v>1</v>
      </c>
      <c r="M3417" t="s">
        <v>4713</v>
      </c>
      <c r="N3417" t="s">
        <v>4472</v>
      </c>
    </row>
    <row r="3418" spans="1:14" hidden="1" x14ac:dyDescent="0.25">
      <c r="A3418" t="s">
        <v>1313</v>
      </c>
      <c r="B3418" t="s">
        <v>1327</v>
      </c>
      <c r="C3418" t="s">
        <v>4708</v>
      </c>
      <c r="D3418" t="s">
        <v>20</v>
      </c>
      <c r="E3418" t="s">
        <v>19</v>
      </c>
      <c r="F3418">
        <v>48</v>
      </c>
      <c r="G3418">
        <v>1</v>
      </c>
      <c r="H3418" s="89">
        <v>46254</v>
      </c>
      <c r="I3418" s="89">
        <v>46255</v>
      </c>
      <c r="J3418" t="s">
        <v>1656</v>
      </c>
      <c r="K3418" t="s">
        <v>4714</v>
      </c>
      <c r="L3418">
        <v>1</v>
      </c>
      <c r="M3418" t="s">
        <v>4715</v>
      </c>
      <c r="N3418" t="s">
        <v>4472</v>
      </c>
    </row>
    <row r="3419" spans="1:14" hidden="1" x14ac:dyDescent="0.25">
      <c r="A3419" t="s">
        <v>1315</v>
      </c>
      <c r="B3419" t="s">
        <v>1329</v>
      </c>
      <c r="C3419" t="s">
        <v>4708</v>
      </c>
      <c r="D3419" t="s">
        <v>20</v>
      </c>
      <c r="E3419" t="s">
        <v>19</v>
      </c>
      <c r="F3419">
        <v>18</v>
      </c>
      <c r="G3419" t="s">
        <v>1419</v>
      </c>
      <c r="H3419" s="89">
        <v>46254</v>
      </c>
      <c r="I3419" s="89">
        <v>46255</v>
      </c>
      <c r="J3419" t="s">
        <v>1656</v>
      </c>
      <c r="K3419" t="s">
        <v>4716</v>
      </c>
      <c r="L3419">
        <v>1</v>
      </c>
      <c r="M3419" t="s">
        <v>4717</v>
      </c>
      <c r="N3419" t="s">
        <v>4472</v>
      </c>
    </row>
    <row r="3420" spans="1:14" hidden="1" x14ac:dyDescent="0.25">
      <c r="A3420" t="s">
        <v>1316</v>
      </c>
      <c r="B3420" t="s">
        <v>1330</v>
      </c>
      <c r="C3420" t="s">
        <v>4718</v>
      </c>
      <c r="D3420" t="s">
        <v>20</v>
      </c>
      <c r="E3420" t="s">
        <v>19</v>
      </c>
      <c r="F3420">
        <v>109</v>
      </c>
      <c r="G3420" t="s">
        <v>1419</v>
      </c>
      <c r="H3420" s="89">
        <v>46254</v>
      </c>
      <c r="I3420" s="89">
        <v>46255</v>
      </c>
      <c r="J3420" t="s">
        <v>1656</v>
      </c>
      <c r="K3420" t="s">
        <v>4719</v>
      </c>
      <c r="L3420">
        <v>1</v>
      </c>
      <c r="M3420" t="s">
        <v>4720</v>
      </c>
      <c r="N3420" t="s">
        <v>4472</v>
      </c>
    </row>
    <row r="3421" spans="1:14" hidden="1" x14ac:dyDescent="0.25">
      <c r="A3421" t="s">
        <v>1317</v>
      </c>
      <c r="B3421" t="s">
        <v>1331</v>
      </c>
      <c r="C3421" t="s">
        <v>4721</v>
      </c>
      <c r="D3421" t="s">
        <v>20</v>
      </c>
      <c r="E3421" t="s">
        <v>19</v>
      </c>
      <c r="F3421">
        <v>46</v>
      </c>
      <c r="G3421" t="s">
        <v>1419</v>
      </c>
      <c r="H3421" s="89">
        <v>46254</v>
      </c>
      <c r="I3421" s="89">
        <v>46255</v>
      </c>
      <c r="J3421" t="s">
        <v>1656</v>
      </c>
      <c r="K3421" t="s">
        <v>4722</v>
      </c>
      <c r="L3421">
        <v>1</v>
      </c>
      <c r="M3421" t="s">
        <v>4723</v>
      </c>
      <c r="N3421" t="s">
        <v>4472</v>
      </c>
    </row>
    <row r="3422" spans="1:14" hidden="1" x14ac:dyDescent="0.25">
      <c r="A3422" t="s">
        <v>1318</v>
      </c>
      <c r="B3422" t="s">
        <v>1332</v>
      </c>
      <c r="C3422" t="s">
        <v>4724</v>
      </c>
      <c r="D3422" t="s">
        <v>20</v>
      </c>
      <c r="E3422" t="s">
        <v>19</v>
      </c>
      <c r="F3422">
        <v>53</v>
      </c>
      <c r="G3422" t="s">
        <v>1419</v>
      </c>
      <c r="H3422" s="89">
        <v>46254</v>
      </c>
      <c r="I3422" s="89">
        <v>46255</v>
      </c>
      <c r="J3422" t="s">
        <v>1656</v>
      </c>
      <c r="K3422" t="s">
        <v>4725</v>
      </c>
      <c r="L3422">
        <v>1</v>
      </c>
      <c r="M3422" t="s">
        <v>4726</v>
      </c>
      <c r="N3422" t="s">
        <v>4472</v>
      </c>
    </row>
    <row r="3423" spans="1:14" hidden="1" x14ac:dyDescent="0.25">
      <c r="A3423" t="s">
        <v>1313</v>
      </c>
      <c r="B3423" t="s">
        <v>1327</v>
      </c>
      <c r="C3423" t="s">
        <v>4708</v>
      </c>
      <c r="D3423" t="s">
        <v>20</v>
      </c>
      <c r="E3423" t="s">
        <v>22</v>
      </c>
      <c r="F3423">
        <v>96</v>
      </c>
      <c r="G3423">
        <v>2</v>
      </c>
      <c r="H3423" s="89">
        <v>46254</v>
      </c>
      <c r="I3423" s="89">
        <v>46259</v>
      </c>
      <c r="J3423" t="s">
        <v>4727</v>
      </c>
      <c r="K3423" t="s">
        <v>4728</v>
      </c>
      <c r="L3423">
        <v>1</v>
      </c>
      <c r="M3423" t="s">
        <v>4729</v>
      </c>
      <c r="N3423" t="s">
        <v>4472</v>
      </c>
    </row>
    <row r="3424" spans="1:14" hidden="1" x14ac:dyDescent="0.25">
      <c r="A3424" t="s">
        <v>1313</v>
      </c>
      <c r="B3424" t="s">
        <v>1327</v>
      </c>
      <c r="C3424" t="s">
        <v>4730</v>
      </c>
      <c r="D3424" t="s">
        <v>15</v>
      </c>
      <c r="E3424" t="s">
        <v>22</v>
      </c>
      <c r="F3424">
        <v>672</v>
      </c>
      <c r="G3424">
        <v>14</v>
      </c>
      <c r="H3424" s="89">
        <v>46254</v>
      </c>
      <c r="I3424" s="89">
        <v>46259</v>
      </c>
      <c r="J3424" t="s">
        <v>4727</v>
      </c>
      <c r="K3424" t="s">
        <v>4731</v>
      </c>
      <c r="L3424">
        <v>1</v>
      </c>
      <c r="M3424" t="s">
        <v>4732</v>
      </c>
      <c r="N3424" t="s">
        <v>4472</v>
      </c>
    </row>
    <row r="3425" spans="1:14" hidden="1" x14ac:dyDescent="0.25">
      <c r="A3425" t="s">
        <v>1313</v>
      </c>
      <c r="B3425" t="s">
        <v>1327</v>
      </c>
      <c r="C3425" t="s">
        <v>4730</v>
      </c>
      <c r="D3425" t="s">
        <v>15</v>
      </c>
      <c r="E3425" t="s">
        <v>17</v>
      </c>
      <c r="F3425">
        <v>36</v>
      </c>
      <c r="G3425">
        <v>0.75</v>
      </c>
      <c r="H3425" s="89">
        <v>46254</v>
      </c>
      <c r="I3425" s="89">
        <v>46260</v>
      </c>
      <c r="J3425" t="s">
        <v>4733</v>
      </c>
      <c r="K3425" t="s">
        <v>4734</v>
      </c>
      <c r="L3425">
        <v>1</v>
      </c>
      <c r="M3425" t="s">
        <v>4735</v>
      </c>
      <c r="N3425" t="s">
        <v>4472</v>
      </c>
    </row>
    <row r="3426" spans="1:14" hidden="1" x14ac:dyDescent="0.25">
      <c r="A3426" t="s">
        <v>1319</v>
      </c>
      <c r="B3426" t="s">
        <v>1333</v>
      </c>
      <c r="C3426" t="s">
        <v>4730</v>
      </c>
      <c r="D3426" t="s">
        <v>15</v>
      </c>
      <c r="E3426" t="s">
        <v>17</v>
      </c>
      <c r="F3426">
        <v>54</v>
      </c>
      <c r="G3426">
        <v>1.125</v>
      </c>
      <c r="H3426" s="89">
        <v>46254</v>
      </c>
      <c r="I3426" s="89">
        <v>46260</v>
      </c>
      <c r="J3426" t="s">
        <v>4733</v>
      </c>
      <c r="K3426" t="s">
        <v>4736</v>
      </c>
      <c r="L3426">
        <v>1</v>
      </c>
      <c r="M3426" t="s">
        <v>4737</v>
      </c>
      <c r="N3426" t="s">
        <v>4472</v>
      </c>
    </row>
    <row r="3427" spans="1:14" hidden="1" x14ac:dyDescent="0.25">
      <c r="A3427" t="s">
        <v>1314</v>
      </c>
      <c r="B3427" t="s">
        <v>1328</v>
      </c>
      <c r="C3427" t="s">
        <v>4730</v>
      </c>
      <c r="D3427" t="s">
        <v>15</v>
      </c>
      <c r="E3427" t="s">
        <v>18</v>
      </c>
      <c r="F3427">
        <v>96</v>
      </c>
      <c r="G3427">
        <v>2</v>
      </c>
      <c r="H3427" s="89">
        <v>46254</v>
      </c>
      <c r="I3427" s="89">
        <v>46258</v>
      </c>
      <c r="J3427" t="s">
        <v>4709</v>
      </c>
      <c r="K3427" t="s">
        <v>4738</v>
      </c>
      <c r="L3427">
        <v>1</v>
      </c>
      <c r="M3427" t="s">
        <v>4739</v>
      </c>
      <c r="N3427" t="s">
        <v>4472</v>
      </c>
    </row>
    <row r="3428" spans="1:14" hidden="1" x14ac:dyDescent="0.25">
      <c r="A3428" t="s">
        <v>1314</v>
      </c>
      <c r="B3428" t="s">
        <v>1328</v>
      </c>
      <c r="C3428" t="s">
        <v>4730</v>
      </c>
      <c r="D3428" t="s">
        <v>15</v>
      </c>
      <c r="E3428" t="s">
        <v>16</v>
      </c>
      <c r="F3428">
        <v>240</v>
      </c>
      <c r="G3428">
        <v>5</v>
      </c>
      <c r="H3428" s="89">
        <v>46254</v>
      </c>
      <c r="I3428" s="89">
        <v>46258</v>
      </c>
      <c r="J3428" t="s">
        <v>4740</v>
      </c>
      <c r="K3428" t="s">
        <v>4741</v>
      </c>
      <c r="L3428">
        <v>1</v>
      </c>
      <c r="M3428" t="s">
        <v>4742</v>
      </c>
      <c r="N3428" t="s">
        <v>4472</v>
      </c>
    </row>
    <row r="3429" spans="1:14" hidden="1" x14ac:dyDescent="0.25">
      <c r="A3429" t="s">
        <v>1319</v>
      </c>
      <c r="B3429" t="s">
        <v>1333</v>
      </c>
      <c r="C3429" t="s">
        <v>4730</v>
      </c>
      <c r="D3429" t="s">
        <v>15</v>
      </c>
      <c r="E3429" t="s">
        <v>19</v>
      </c>
      <c r="F3429">
        <v>6</v>
      </c>
      <c r="G3429" t="s">
        <v>1419</v>
      </c>
      <c r="H3429" s="89">
        <v>46254</v>
      </c>
      <c r="I3429" s="89">
        <v>46255</v>
      </c>
      <c r="J3429" t="s">
        <v>1656</v>
      </c>
      <c r="K3429" t="s">
        <v>4743</v>
      </c>
      <c r="L3429">
        <v>1</v>
      </c>
      <c r="M3429" t="s">
        <v>4744</v>
      </c>
      <c r="N3429" t="s">
        <v>4472</v>
      </c>
    </row>
    <row r="3430" spans="1:14" hidden="1" x14ac:dyDescent="0.25">
      <c r="A3430" t="s">
        <v>1315</v>
      </c>
      <c r="B3430" t="s">
        <v>1329</v>
      </c>
      <c r="C3430" t="s">
        <v>4730</v>
      </c>
      <c r="D3430" t="s">
        <v>15</v>
      </c>
      <c r="E3430" t="s">
        <v>19</v>
      </c>
      <c r="F3430">
        <v>3</v>
      </c>
      <c r="G3430" t="s">
        <v>1419</v>
      </c>
      <c r="H3430" s="89">
        <v>46254</v>
      </c>
      <c r="I3430" s="89">
        <v>46255</v>
      </c>
      <c r="J3430" t="s">
        <v>1656</v>
      </c>
      <c r="K3430" t="s">
        <v>4745</v>
      </c>
      <c r="L3430">
        <v>1</v>
      </c>
      <c r="M3430" t="s">
        <v>4746</v>
      </c>
      <c r="N3430" t="s">
        <v>4472</v>
      </c>
    </row>
    <row r="3431" spans="1:14" hidden="1" x14ac:dyDescent="0.25">
      <c r="A3431" t="s">
        <v>1316</v>
      </c>
      <c r="B3431" t="s">
        <v>1330</v>
      </c>
      <c r="C3431" t="s">
        <v>4747</v>
      </c>
      <c r="D3431" t="s">
        <v>15</v>
      </c>
      <c r="E3431" t="s">
        <v>19</v>
      </c>
      <c r="F3431">
        <v>38</v>
      </c>
      <c r="G3431" t="s">
        <v>1419</v>
      </c>
      <c r="H3431" s="89">
        <v>46254</v>
      </c>
      <c r="I3431" s="89">
        <v>46255</v>
      </c>
      <c r="J3431" t="s">
        <v>1656</v>
      </c>
      <c r="K3431" t="s">
        <v>4748</v>
      </c>
      <c r="L3431">
        <v>1</v>
      </c>
      <c r="M3431" t="s">
        <v>4749</v>
      </c>
      <c r="N3431" t="s">
        <v>4472</v>
      </c>
    </row>
    <row r="3432" spans="1:14" hidden="1" x14ac:dyDescent="0.25">
      <c r="A3432" t="s">
        <v>1317</v>
      </c>
      <c r="B3432" t="s">
        <v>1331</v>
      </c>
      <c r="C3432" t="s">
        <v>4750</v>
      </c>
      <c r="D3432" t="s">
        <v>15</v>
      </c>
      <c r="E3432" t="s">
        <v>19</v>
      </c>
      <c r="F3432">
        <v>66</v>
      </c>
      <c r="G3432" t="s">
        <v>1419</v>
      </c>
      <c r="H3432" s="89">
        <v>46254</v>
      </c>
      <c r="I3432" s="89">
        <v>46255</v>
      </c>
      <c r="J3432" t="s">
        <v>1656</v>
      </c>
      <c r="K3432" t="s">
        <v>4751</v>
      </c>
      <c r="L3432">
        <v>1</v>
      </c>
      <c r="M3432" t="s">
        <v>4752</v>
      </c>
      <c r="N3432" t="s">
        <v>4472</v>
      </c>
    </row>
    <row r="3433" spans="1:14" hidden="1" x14ac:dyDescent="0.25">
      <c r="A3433" t="s">
        <v>1318</v>
      </c>
      <c r="B3433" t="s">
        <v>1332</v>
      </c>
      <c r="C3433" t="s">
        <v>4753</v>
      </c>
      <c r="D3433" t="s">
        <v>15</v>
      </c>
      <c r="E3433" t="s">
        <v>19</v>
      </c>
      <c r="F3433">
        <v>21</v>
      </c>
      <c r="G3433" t="s">
        <v>1419</v>
      </c>
      <c r="H3433" s="89">
        <v>46254</v>
      </c>
      <c r="I3433" s="89">
        <v>46255</v>
      </c>
      <c r="J3433" t="s">
        <v>1656</v>
      </c>
      <c r="K3433" t="s">
        <v>4754</v>
      </c>
      <c r="L3433">
        <v>1</v>
      </c>
      <c r="M3433" t="s">
        <v>4755</v>
      </c>
      <c r="N3433" t="s">
        <v>4472</v>
      </c>
    </row>
    <row r="3434" spans="1:14" hidden="1" x14ac:dyDescent="0.25">
      <c r="A3434" t="s">
        <v>1313</v>
      </c>
      <c r="B3434" t="s">
        <v>1327</v>
      </c>
      <c r="C3434" t="s">
        <v>4756</v>
      </c>
      <c r="D3434" t="s">
        <v>150</v>
      </c>
      <c r="E3434" t="s">
        <v>22</v>
      </c>
      <c r="F3434">
        <v>384</v>
      </c>
      <c r="G3434">
        <v>8</v>
      </c>
      <c r="H3434" s="89">
        <v>46255</v>
      </c>
      <c r="I3434" s="89">
        <v>46259</v>
      </c>
      <c r="J3434" t="s">
        <v>4727</v>
      </c>
      <c r="K3434" t="s">
        <v>4757</v>
      </c>
      <c r="L3434">
        <v>1</v>
      </c>
      <c r="M3434" t="s">
        <v>4758</v>
      </c>
      <c r="N3434" t="s">
        <v>4472</v>
      </c>
    </row>
    <row r="3435" spans="1:14" hidden="1" x14ac:dyDescent="0.25">
      <c r="A3435" t="s">
        <v>1313</v>
      </c>
      <c r="B3435" t="s">
        <v>1327</v>
      </c>
      <c r="C3435" t="s">
        <v>4756</v>
      </c>
      <c r="D3435" t="s">
        <v>150</v>
      </c>
      <c r="E3435" t="s">
        <v>17</v>
      </c>
      <c r="F3435">
        <v>768</v>
      </c>
      <c r="G3435">
        <v>16</v>
      </c>
      <c r="H3435" s="89">
        <v>46255</v>
      </c>
      <c r="I3435" s="89">
        <v>46260</v>
      </c>
      <c r="J3435" t="s">
        <v>4733</v>
      </c>
      <c r="K3435" t="s">
        <v>4759</v>
      </c>
      <c r="L3435">
        <v>1</v>
      </c>
      <c r="M3435" t="s">
        <v>4760</v>
      </c>
      <c r="N3435" t="s">
        <v>4472</v>
      </c>
    </row>
    <row r="3436" spans="1:14" hidden="1" x14ac:dyDescent="0.25">
      <c r="A3436" t="s">
        <v>1313</v>
      </c>
      <c r="B3436" t="s">
        <v>1327</v>
      </c>
      <c r="C3436" t="s">
        <v>4761</v>
      </c>
      <c r="D3436" t="s">
        <v>104</v>
      </c>
      <c r="E3436" t="s">
        <v>22</v>
      </c>
      <c r="F3436">
        <v>1152</v>
      </c>
      <c r="G3436">
        <v>24</v>
      </c>
      <c r="H3436" s="89">
        <v>46255</v>
      </c>
      <c r="I3436" s="89">
        <v>46260</v>
      </c>
      <c r="J3436" t="s">
        <v>4762</v>
      </c>
      <c r="K3436" t="s">
        <v>4763</v>
      </c>
      <c r="L3436">
        <v>1</v>
      </c>
      <c r="M3436" t="s">
        <v>4764</v>
      </c>
      <c r="N3436" t="s">
        <v>4472</v>
      </c>
    </row>
    <row r="3437" spans="1:14" hidden="1" x14ac:dyDescent="0.25">
      <c r="A3437" t="s">
        <v>1324</v>
      </c>
      <c r="B3437" t="s">
        <v>1338</v>
      </c>
      <c r="C3437" t="s">
        <v>4765</v>
      </c>
      <c r="D3437" t="s">
        <v>23</v>
      </c>
      <c r="E3437" t="s">
        <v>25</v>
      </c>
      <c r="F3437">
        <v>960</v>
      </c>
      <c r="G3437">
        <v>20</v>
      </c>
      <c r="H3437" s="89">
        <v>46255</v>
      </c>
      <c r="I3437" s="89">
        <v>46260</v>
      </c>
      <c r="J3437" t="s">
        <v>4675</v>
      </c>
      <c r="K3437" t="s">
        <v>4766</v>
      </c>
      <c r="L3437">
        <v>1</v>
      </c>
      <c r="M3437" t="s">
        <v>4767</v>
      </c>
      <c r="N3437" t="s">
        <v>4472</v>
      </c>
    </row>
    <row r="3438" spans="1:14" hidden="1" x14ac:dyDescent="0.25">
      <c r="A3438" t="s">
        <v>1320</v>
      </c>
      <c r="B3438" t="s">
        <v>1334</v>
      </c>
      <c r="C3438" t="s">
        <v>4768</v>
      </c>
      <c r="D3438" t="s">
        <v>88</v>
      </c>
      <c r="E3438" t="s">
        <v>14</v>
      </c>
      <c r="F3438">
        <v>960</v>
      </c>
      <c r="G3438">
        <v>20</v>
      </c>
      <c r="H3438" s="89">
        <v>46255</v>
      </c>
      <c r="I3438" s="89">
        <v>46259</v>
      </c>
      <c r="J3438" t="s">
        <v>4769</v>
      </c>
      <c r="K3438" t="s">
        <v>4770</v>
      </c>
      <c r="L3438">
        <v>1</v>
      </c>
      <c r="M3438" t="s">
        <v>4771</v>
      </c>
      <c r="N3438" t="s">
        <v>4472</v>
      </c>
    </row>
    <row r="3439" spans="1:14" hidden="1" x14ac:dyDescent="0.25">
      <c r="A3439" t="s">
        <v>1320</v>
      </c>
      <c r="B3439" t="s">
        <v>1334</v>
      </c>
      <c r="C3439" t="s">
        <v>4772</v>
      </c>
      <c r="D3439" t="s">
        <v>30</v>
      </c>
      <c r="E3439" t="s">
        <v>14</v>
      </c>
      <c r="F3439">
        <v>480</v>
      </c>
      <c r="G3439">
        <v>10</v>
      </c>
      <c r="H3439" s="89">
        <v>46255</v>
      </c>
      <c r="I3439" s="89">
        <v>46259</v>
      </c>
      <c r="J3439" t="s">
        <v>4671</v>
      </c>
      <c r="K3439" t="s">
        <v>4773</v>
      </c>
      <c r="L3439">
        <v>1</v>
      </c>
      <c r="M3439" t="s">
        <v>4774</v>
      </c>
      <c r="N3439" t="s">
        <v>4472</v>
      </c>
    </row>
    <row r="3440" spans="1:14" hidden="1" x14ac:dyDescent="0.25">
      <c r="A3440" t="s">
        <v>1326</v>
      </c>
      <c r="B3440" t="s">
        <v>1340</v>
      </c>
      <c r="C3440" t="s">
        <v>4775</v>
      </c>
      <c r="D3440" t="s">
        <v>32</v>
      </c>
      <c r="E3440" t="s">
        <v>14</v>
      </c>
      <c r="F3440">
        <v>1008</v>
      </c>
      <c r="G3440">
        <v>24</v>
      </c>
      <c r="H3440" s="89">
        <v>46255</v>
      </c>
      <c r="I3440" s="89">
        <v>46259</v>
      </c>
      <c r="J3440" t="s">
        <v>4776</v>
      </c>
      <c r="K3440" t="s">
        <v>4777</v>
      </c>
      <c r="L3440">
        <v>1</v>
      </c>
      <c r="M3440" t="s">
        <v>4778</v>
      </c>
      <c r="N3440" t="s">
        <v>4472</v>
      </c>
    </row>
    <row r="3441" spans="1:14" hidden="1" x14ac:dyDescent="0.25">
      <c r="A3441" t="s">
        <v>1320</v>
      </c>
      <c r="B3441" t="s">
        <v>1334</v>
      </c>
      <c r="C3441" t="s">
        <v>4779</v>
      </c>
      <c r="D3441" t="s">
        <v>24</v>
      </c>
      <c r="E3441" t="s">
        <v>14</v>
      </c>
      <c r="F3441">
        <v>960</v>
      </c>
      <c r="G3441">
        <v>20</v>
      </c>
      <c r="H3441" s="89">
        <v>46255</v>
      </c>
      <c r="I3441" s="89">
        <v>46261</v>
      </c>
      <c r="J3441" t="s">
        <v>4780</v>
      </c>
      <c r="K3441" t="s">
        <v>4781</v>
      </c>
      <c r="L3441">
        <v>1</v>
      </c>
      <c r="M3441" t="s">
        <v>4782</v>
      </c>
      <c r="N3441" t="s">
        <v>4472</v>
      </c>
    </row>
    <row r="3442" spans="1:14" hidden="1" x14ac:dyDescent="0.25">
      <c r="A3442" t="s">
        <v>1320</v>
      </c>
      <c r="B3442" t="s">
        <v>1334</v>
      </c>
      <c r="C3442" t="s">
        <v>4783</v>
      </c>
      <c r="D3442" t="s">
        <v>152</v>
      </c>
      <c r="E3442" t="s">
        <v>14</v>
      </c>
      <c r="F3442">
        <v>336</v>
      </c>
      <c r="G3442">
        <v>7</v>
      </c>
      <c r="H3442" s="89">
        <v>46255</v>
      </c>
      <c r="I3442" s="89">
        <v>46262</v>
      </c>
      <c r="J3442" t="s">
        <v>4784</v>
      </c>
      <c r="K3442" t="s">
        <v>4785</v>
      </c>
      <c r="L3442">
        <v>1</v>
      </c>
      <c r="M3442" t="s">
        <v>4786</v>
      </c>
      <c r="N3442" t="s">
        <v>4472</v>
      </c>
    </row>
    <row r="3443" spans="1:14" hidden="1" x14ac:dyDescent="0.25">
      <c r="A3443" t="s">
        <v>1320</v>
      </c>
      <c r="B3443" t="s">
        <v>1334</v>
      </c>
      <c r="C3443" t="s">
        <v>4787</v>
      </c>
      <c r="D3443" t="s">
        <v>13</v>
      </c>
      <c r="E3443" t="s">
        <v>14</v>
      </c>
      <c r="F3443">
        <v>624</v>
      </c>
      <c r="G3443">
        <v>13</v>
      </c>
      <c r="H3443" s="89">
        <v>46255</v>
      </c>
      <c r="I3443" s="89">
        <v>46262</v>
      </c>
      <c r="J3443" t="s">
        <v>4784</v>
      </c>
      <c r="K3443" t="s">
        <v>4788</v>
      </c>
      <c r="L3443">
        <v>1</v>
      </c>
      <c r="M3443" t="s">
        <v>4789</v>
      </c>
      <c r="N3443" t="s">
        <v>4472</v>
      </c>
    </row>
    <row r="3444" spans="1:14" hidden="1" x14ac:dyDescent="0.25">
      <c r="A3444" t="s">
        <v>1313</v>
      </c>
      <c r="B3444" t="s">
        <v>1327</v>
      </c>
      <c r="C3444" t="s">
        <v>4787</v>
      </c>
      <c r="D3444" t="s">
        <v>13</v>
      </c>
      <c r="E3444" t="s">
        <v>31</v>
      </c>
      <c r="F3444">
        <v>144</v>
      </c>
      <c r="G3444">
        <v>3</v>
      </c>
      <c r="H3444" s="89">
        <v>46255</v>
      </c>
      <c r="I3444" s="89">
        <v>46260</v>
      </c>
      <c r="J3444" t="s">
        <v>4790</v>
      </c>
      <c r="K3444" t="s">
        <v>4791</v>
      </c>
      <c r="L3444">
        <v>1</v>
      </c>
      <c r="M3444" t="s">
        <v>4792</v>
      </c>
      <c r="N3444" t="s">
        <v>4472</v>
      </c>
    </row>
    <row r="3445" spans="1:14" hidden="1" x14ac:dyDescent="0.25">
      <c r="A3445" t="s">
        <v>1313</v>
      </c>
      <c r="B3445" t="s">
        <v>1327</v>
      </c>
      <c r="C3445" t="s">
        <v>4783</v>
      </c>
      <c r="D3445" t="s">
        <v>152</v>
      </c>
      <c r="E3445" t="s">
        <v>31</v>
      </c>
      <c r="F3445">
        <v>192</v>
      </c>
      <c r="G3445">
        <v>4</v>
      </c>
      <c r="H3445" s="89">
        <v>46255</v>
      </c>
      <c r="I3445" s="89">
        <v>46260</v>
      </c>
      <c r="J3445" t="s">
        <v>4790</v>
      </c>
      <c r="K3445" t="s">
        <v>4793</v>
      </c>
      <c r="L3445">
        <v>1</v>
      </c>
      <c r="M3445" t="s">
        <v>4794</v>
      </c>
      <c r="N3445" t="s">
        <v>4472</v>
      </c>
    </row>
    <row r="3446" spans="1:14" hidden="1" x14ac:dyDescent="0.25">
      <c r="A3446" t="s">
        <v>1324</v>
      </c>
      <c r="B3446" t="s">
        <v>1338</v>
      </c>
      <c r="C3446" t="s">
        <v>4787</v>
      </c>
      <c r="D3446" t="s">
        <v>13</v>
      </c>
      <c r="E3446" t="s">
        <v>65</v>
      </c>
      <c r="F3446">
        <v>336</v>
      </c>
      <c r="G3446">
        <v>7</v>
      </c>
      <c r="H3446" s="89">
        <v>46255</v>
      </c>
      <c r="I3446" s="89">
        <v>46262</v>
      </c>
      <c r="J3446" t="s">
        <v>4795</v>
      </c>
      <c r="K3446" t="s">
        <v>4796</v>
      </c>
      <c r="L3446">
        <v>1</v>
      </c>
      <c r="M3446" t="s">
        <v>4797</v>
      </c>
      <c r="N3446" t="s">
        <v>4472</v>
      </c>
    </row>
    <row r="3447" spans="1:14" hidden="1" x14ac:dyDescent="0.25">
      <c r="A3447" t="s">
        <v>1324</v>
      </c>
      <c r="B3447" t="s">
        <v>1338</v>
      </c>
      <c r="C3447" t="s">
        <v>4783</v>
      </c>
      <c r="D3447" t="s">
        <v>152</v>
      </c>
      <c r="E3447" t="s">
        <v>65</v>
      </c>
      <c r="F3447">
        <v>336</v>
      </c>
      <c r="G3447">
        <v>7</v>
      </c>
      <c r="H3447" s="89">
        <v>46255</v>
      </c>
      <c r="I3447" s="89">
        <v>46262</v>
      </c>
      <c r="J3447" t="s">
        <v>4795</v>
      </c>
      <c r="K3447" t="s">
        <v>4798</v>
      </c>
      <c r="L3447">
        <v>1</v>
      </c>
      <c r="M3447" t="s">
        <v>4799</v>
      </c>
      <c r="N3447" t="s">
        <v>4472</v>
      </c>
    </row>
    <row r="3448" spans="1:14" hidden="1" x14ac:dyDescent="0.25">
      <c r="A3448" t="s">
        <v>1313</v>
      </c>
      <c r="B3448" t="s">
        <v>1327</v>
      </c>
      <c r="C3448" t="s">
        <v>4800</v>
      </c>
      <c r="D3448" t="s">
        <v>21</v>
      </c>
      <c r="E3448" t="s">
        <v>18</v>
      </c>
      <c r="F3448">
        <v>912</v>
      </c>
      <c r="G3448">
        <v>19</v>
      </c>
      <c r="H3448" s="89">
        <v>46255</v>
      </c>
      <c r="I3448" s="89">
        <v>46260</v>
      </c>
      <c r="J3448" t="s">
        <v>4694</v>
      </c>
      <c r="K3448" t="s">
        <v>4801</v>
      </c>
      <c r="L3448">
        <v>1</v>
      </c>
      <c r="M3448" t="s">
        <v>4802</v>
      </c>
      <c r="N3448" t="s">
        <v>4472</v>
      </c>
    </row>
    <row r="3449" spans="1:14" hidden="1" x14ac:dyDescent="0.25">
      <c r="A3449" t="s">
        <v>1314</v>
      </c>
      <c r="B3449" t="s">
        <v>1328</v>
      </c>
      <c r="C3449" t="s">
        <v>4800</v>
      </c>
      <c r="D3449" t="s">
        <v>21</v>
      </c>
      <c r="E3449" t="s">
        <v>18</v>
      </c>
      <c r="F3449">
        <v>96</v>
      </c>
      <c r="G3449">
        <v>2</v>
      </c>
      <c r="H3449" s="89">
        <v>46255</v>
      </c>
      <c r="I3449" s="89">
        <v>46260</v>
      </c>
      <c r="J3449" t="s">
        <v>4694</v>
      </c>
      <c r="K3449" t="s">
        <v>4803</v>
      </c>
      <c r="L3449">
        <v>1</v>
      </c>
      <c r="M3449" t="s">
        <v>4804</v>
      </c>
      <c r="N3449" t="s">
        <v>4472</v>
      </c>
    </row>
    <row r="3450" spans="1:14" hidden="1" x14ac:dyDescent="0.25">
      <c r="A3450" t="s">
        <v>1313</v>
      </c>
      <c r="B3450" t="s">
        <v>1327</v>
      </c>
      <c r="C3450" t="s">
        <v>4800</v>
      </c>
      <c r="D3450" t="s">
        <v>21</v>
      </c>
      <c r="E3450" t="s">
        <v>31</v>
      </c>
      <c r="F3450">
        <v>192</v>
      </c>
      <c r="G3450">
        <v>4</v>
      </c>
      <c r="H3450" s="89">
        <v>46255</v>
      </c>
      <c r="I3450" s="89">
        <v>46260</v>
      </c>
      <c r="J3450" t="s">
        <v>4790</v>
      </c>
      <c r="K3450" t="s">
        <v>4805</v>
      </c>
      <c r="L3450">
        <v>1</v>
      </c>
      <c r="M3450" t="s">
        <v>4806</v>
      </c>
      <c r="N3450" t="s">
        <v>4472</v>
      </c>
    </row>
    <row r="3451" spans="1:14" hidden="1" x14ac:dyDescent="0.25">
      <c r="A3451" t="s">
        <v>1315</v>
      </c>
      <c r="B3451" t="s">
        <v>1329</v>
      </c>
      <c r="C3451" t="s">
        <v>4800</v>
      </c>
      <c r="D3451" t="s">
        <v>21</v>
      </c>
      <c r="E3451" t="s">
        <v>19</v>
      </c>
      <c r="F3451">
        <v>42</v>
      </c>
      <c r="G3451" t="s">
        <v>1419</v>
      </c>
      <c r="H3451" s="89">
        <v>46255</v>
      </c>
      <c r="I3451" s="89">
        <v>46255</v>
      </c>
      <c r="J3451" t="s">
        <v>1656</v>
      </c>
      <c r="K3451" t="s">
        <v>4807</v>
      </c>
      <c r="L3451">
        <v>1</v>
      </c>
      <c r="M3451" t="s">
        <v>4808</v>
      </c>
      <c r="N3451" t="s">
        <v>4472</v>
      </c>
    </row>
    <row r="3452" spans="1:14" hidden="1" x14ac:dyDescent="0.25">
      <c r="A3452" t="s">
        <v>1316</v>
      </c>
      <c r="B3452" t="s">
        <v>1330</v>
      </c>
      <c r="C3452" t="s">
        <v>4809</v>
      </c>
      <c r="D3452" t="s">
        <v>21</v>
      </c>
      <c r="E3452" t="s">
        <v>19</v>
      </c>
      <c r="F3452">
        <v>23</v>
      </c>
      <c r="G3452" t="s">
        <v>1419</v>
      </c>
      <c r="H3452" s="89">
        <v>46255</v>
      </c>
      <c r="I3452" s="89">
        <v>46255</v>
      </c>
      <c r="J3452" t="s">
        <v>1656</v>
      </c>
      <c r="K3452" t="s">
        <v>4810</v>
      </c>
      <c r="L3452">
        <v>1</v>
      </c>
      <c r="M3452" t="s">
        <v>4811</v>
      </c>
      <c r="N3452" t="s">
        <v>4472</v>
      </c>
    </row>
    <row r="3453" spans="1:14" hidden="1" x14ac:dyDescent="0.25">
      <c r="A3453" t="s">
        <v>1317</v>
      </c>
      <c r="B3453" t="s">
        <v>1331</v>
      </c>
      <c r="C3453" t="s">
        <v>4812</v>
      </c>
      <c r="D3453" t="s">
        <v>21</v>
      </c>
      <c r="E3453" t="s">
        <v>19</v>
      </c>
      <c r="F3453">
        <v>10</v>
      </c>
      <c r="G3453" t="s">
        <v>1419</v>
      </c>
      <c r="H3453" s="89">
        <v>46255</v>
      </c>
      <c r="I3453" s="89">
        <v>46255</v>
      </c>
      <c r="J3453" t="s">
        <v>1656</v>
      </c>
      <c r="K3453" t="s">
        <v>4813</v>
      </c>
      <c r="L3453">
        <v>1</v>
      </c>
      <c r="M3453" t="s">
        <v>4814</v>
      </c>
      <c r="N3453" t="s">
        <v>4472</v>
      </c>
    </row>
    <row r="3454" spans="1:14" hidden="1" x14ac:dyDescent="0.25">
      <c r="A3454" t="s">
        <v>1318</v>
      </c>
      <c r="B3454" t="s">
        <v>1332</v>
      </c>
      <c r="C3454" t="s">
        <v>4815</v>
      </c>
      <c r="D3454" t="s">
        <v>21</v>
      </c>
      <c r="E3454" t="s">
        <v>19</v>
      </c>
      <c r="F3454">
        <v>31</v>
      </c>
      <c r="G3454" t="s">
        <v>1419</v>
      </c>
      <c r="H3454" s="89">
        <v>46255</v>
      </c>
      <c r="I3454" s="89">
        <v>46255</v>
      </c>
      <c r="J3454" t="s">
        <v>1656</v>
      </c>
      <c r="K3454" t="s">
        <v>4816</v>
      </c>
      <c r="L3454">
        <v>1</v>
      </c>
      <c r="M3454" t="s">
        <v>4817</v>
      </c>
      <c r="N3454" t="s">
        <v>4472</v>
      </c>
    </row>
    <row r="3455" spans="1:14" hidden="1" x14ac:dyDescent="0.25">
      <c r="A3455" t="s">
        <v>1313</v>
      </c>
      <c r="B3455" t="s">
        <v>1327</v>
      </c>
      <c r="C3455" t="s">
        <v>4818</v>
      </c>
      <c r="D3455" t="s">
        <v>15</v>
      </c>
      <c r="E3455" t="s">
        <v>17</v>
      </c>
      <c r="F3455">
        <v>6</v>
      </c>
      <c r="G3455">
        <v>0.125</v>
      </c>
      <c r="H3455" s="89">
        <v>46255</v>
      </c>
      <c r="I3455" s="89">
        <v>46260</v>
      </c>
      <c r="J3455" t="s">
        <v>4733</v>
      </c>
      <c r="K3455" t="s">
        <v>4819</v>
      </c>
      <c r="L3455">
        <v>1</v>
      </c>
      <c r="M3455" t="s">
        <v>4820</v>
      </c>
      <c r="N3455" t="s">
        <v>4472</v>
      </c>
    </row>
    <row r="3456" spans="1:14" hidden="1" x14ac:dyDescent="0.25">
      <c r="A3456" t="s">
        <v>1315</v>
      </c>
      <c r="B3456" t="s">
        <v>1329</v>
      </c>
      <c r="C3456" t="s">
        <v>4818</v>
      </c>
      <c r="D3456" t="s">
        <v>15</v>
      </c>
      <c r="E3456" t="s">
        <v>19</v>
      </c>
      <c r="F3456">
        <v>16</v>
      </c>
      <c r="G3456" t="s">
        <v>1419</v>
      </c>
      <c r="H3456" s="89">
        <v>46255</v>
      </c>
      <c r="I3456" s="89">
        <v>46255</v>
      </c>
      <c r="J3456" t="s">
        <v>1656</v>
      </c>
      <c r="K3456" t="s">
        <v>4821</v>
      </c>
      <c r="L3456">
        <v>1</v>
      </c>
      <c r="M3456" t="s">
        <v>4822</v>
      </c>
      <c r="N3456" t="s">
        <v>4472</v>
      </c>
    </row>
    <row r="3457" spans="1:14" hidden="1" x14ac:dyDescent="0.25">
      <c r="A3457" t="s">
        <v>1316</v>
      </c>
      <c r="B3457" t="s">
        <v>1330</v>
      </c>
      <c r="C3457" t="s">
        <v>4823</v>
      </c>
      <c r="D3457" t="s">
        <v>15</v>
      </c>
      <c r="E3457" t="s">
        <v>19</v>
      </c>
      <c r="F3457">
        <v>24</v>
      </c>
      <c r="G3457" t="s">
        <v>1419</v>
      </c>
      <c r="H3457" s="89">
        <v>46255</v>
      </c>
      <c r="I3457" s="89">
        <v>46255</v>
      </c>
      <c r="J3457" t="s">
        <v>1656</v>
      </c>
      <c r="K3457" t="s">
        <v>4824</v>
      </c>
      <c r="L3457">
        <v>1</v>
      </c>
      <c r="M3457" t="s">
        <v>4825</v>
      </c>
      <c r="N3457" t="s">
        <v>4472</v>
      </c>
    </row>
    <row r="3458" spans="1:14" hidden="1" x14ac:dyDescent="0.25">
      <c r="A3458" t="s">
        <v>1317</v>
      </c>
      <c r="B3458" t="s">
        <v>1331</v>
      </c>
      <c r="C3458" t="s">
        <v>4826</v>
      </c>
      <c r="D3458" t="s">
        <v>15</v>
      </c>
      <c r="E3458" t="s">
        <v>19</v>
      </c>
      <c r="F3458">
        <v>40</v>
      </c>
      <c r="G3458" t="s">
        <v>1419</v>
      </c>
      <c r="H3458" s="89">
        <v>46255</v>
      </c>
      <c r="I3458" s="89">
        <v>46255</v>
      </c>
      <c r="J3458" t="s">
        <v>1656</v>
      </c>
      <c r="K3458" t="s">
        <v>4827</v>
      </c>
      <c r="L3458">
        <v>1</v>
      </c>
      <c r="M3458" t="s">
        <v>4828</v>
      </c>
      <c r="N3458" t="s">
        <v>4472</v>
      </c>
    </row>
    <row r="3459" spans="1:14" hidden="1" x14ac:dyDescent="0.25">
      <c r="A3459" t="s">
        <v>1318</v>
      </c>
      <c r="B3459" t="s">
        <v>1332</v>
      </c>
      <c r="C3459" t="s">
        <v>4829</v>
      </c>
      <c r="D3459" t="s">
        <v>15</v>
      </c>
      <c r="E3459" t="s">
        <v>19</v>
      </c>
      <c r="F3459">
        <v>19</v>
      </c>
      <c r="G3459" t="s">
        <v>1419</v>
      </c>
      <c r="H3459" s="89">
        <v>46255</v>
      </c>
      <c r="I3459" s="89">
        <v>46255</v>
      </c>
      <c r="J3459" t="s">
        <v>1656</v>
      </c>
      <c r="K3459" t="s">
        <v>4830</v>
      </c>
      <c r="L3459">
        <v>1</v>
      </c>
      <c r="M3459" t="s">
        <v>4831</v>
      </c>
      <c r="N3459" t="s">
        <v>4472</v>
      </c>
    </row>
    <row r="3460" spans="1:14" hidden="1" x14ac:dyDescent="0.25">
      <c r="A3460" t="s">
        <v>1313</v>
      </c>
      <c r="B3460" t="s">
        <v>1327</v>
      </c>
      <c r="C3460" t="s">
        <v>4818</v>
      </c>
      <c r="D3460" t="s">
        <v>15</v>
      </c>
      <c r="E3460" t="s">
        <v>17</v>
      </c>
      <c r="F3460">
        <v>96</v>
      </c>
      <c r="G3460">
        <v>2</v>
      </c>
      <c r="H3460" s="89">
        <v>46255</v>
      </c>
      <c r="I3460" s="89">
        <v>46260</v>
      </c>
      <c r="J3460" t="s">
        <v>4733</v>
      </c>
      <c r="K3460" t="s">
        <v>4819</v>
      </c>
      <c r="L3460">
        <v>2</v>
      </c>
      <c r="M3460" t="s">
        <v>4832</v>
      </c>
      <c r="N3460" t="s">
        <v>4472</v>
      </c>
    </row>
    <row r="3461" spans="1:14" hidden="1" x14ac:dyDescent="0.25">
      <c r="A3461" t="s">
        <v>1313</v>
      </c>
      <c r="B3461" t="s">
        <v>1327</v>
      </c>
      <c r="C3461" t="s">
        <v>4818</v>
      </c>
      <c r="D3461" t="s">
        <v>15</v>
      </c>
      <c r="E3461" t="s">
        <v>16</v>
      </c>
      <c r="F3461">
        <v>816</v>
      </c>
      <c r="G3461">
        <v>17</v>
      </c>
      <c r="H3461" s="89">
        <v>46255</v>
      </c>
      <c r="I3461" s="89">
        <v>46261</v>
      </c>
      <c r="J3461" t="s">
        <v>4833</v>
      </c>
      <c r="K3461" t="s">
        <v>4834</v>
      </c>
      <c r="L3461">
        <v>1</v>
      </c>
      <c r="M3461" t="s">
        <v>4835</v>
      </c>
      <c r="N3461" t="s">
        <v>4472</v>
      </c>
    </row>
    <row r="3462" spans="1:14" hidden="1" x14ac:dyDescent="0.25">
      <c r="A3462" t="s">
        <v>1314</v>
      </c>
      <c r="B3462" t="s">
        <v>1328</v>
      </c>
      <c r="C3462" t="s">
        <v>4818</v>
      </c>
      <c r="D3462" t="s">
        <v>15</v>
      </c>
      <c r="E3462" t="s">
        <v>16</v>
      </c>
      <c r="F3462">
        <v>96</v>
      </c>
      <c r="G3462">
        <v>2</v>
      </c>
      <c r="H3462" s="89">
        <v>46255</v>
      </c>
      <c r="I3462" s="89">
        <v>46261</v>
      </c>
      <c r="J3462" t="s">
        <v>4836</v>
      </c>
      <c r="K3462" t="s">
        <v>4837</v>
      </c>
      <c r="L3462">
        <v>1</v>
      </c>
      <c r="M3462" t="s">
        <v>4838</v>
      </c>
      <c r="N3462" t="s">
        <v>4472</v>
      </c>
    </row>
    <row r="3463" spans="1:14" hidden="1" x14ac:dyDescent="0.25">
      <c r="A3463" t="s">
        <v>1320</v>
      </c>
      <c r="B3463" t="s">
        <v>1334</v>
      </c>
      <c r="C3463" t="s">
        <v>4839</v>
      </c>
      <c r="D3463" t="s">
        <v>28</v>
      </c>
      <c r="E3463" t="s">
        <v>14</v>
      </c>
      <c r="F3463">
        <v>960</v>
      </c>
      <c r="G3463">
        <v>20</v>
      </c>
      <c r="H3463" s="89">
        <v>46255</v>
      </c>
      <c r="I3463" s="89">
        <v>46261</v>
      </c>
      <c r="J3463" t="s">
        <v>4840</v>
      </c>
      <c r="K3463" t="s">
        <v>4841</v>
      </c>
      <c r="L3463">
        <v>1</v>
      </c>
      <c r="M3463" t="s">
        <v>4842</v>
      </c>
      <c r="N3463" t="s">
        <v>4472</v>
      </c>
    </row>
    <row r="3464" spans="1:14" hidden="1" x14ac:dyDescent="0.25">
      <c r="A3464" t="s">
        <v>1315</v>
      </c>
      <c r="B3464" t="s">
        <v>1329</v>
      </c>
      <c r="C3464" t="s">
        <v>4839</v>
      </c>
      <c r="D3464" t="s">
        <v>28</v>
      </c>
      <c r="E3464" t="s">
        <v>19</v>
      </c>
      <c r="F3464">
        <v>49</v>
      </c>
      <c r="G3464" t="s">
        <v>1419</v>
      </c>
      <c r="H3464" s="89">
        <v>46255</v>
      </c>
      <c r="I3464" s="89">
        <v>46255</v>
      </c>
      <c r="J3464" t="s">
        <v>1656</v>
      </c>
      <c r="K3464" t="s">
        <v>4843</v>
      </c>
      <c r="L3464">
        <v>1</v>
      </c>
      <c r="M3464" t="s">
        <v>4844</v>
      </c>
      <c r="N3464" t="s">
        <v>4472</v>
      </c>
    </row>
    <row r="3465" spans="1:14" hidden="1" x14ac:dyDescent="0.25">
      <c r="A3465" t="s">
        <v>1315</v>
      </c>
      <c r="B3465" t="s">
        <v>1329</v>
      </c>
      <c r="C3465" t="s">
        <v>4839</v>
      </c>
      <c r="D3465" t="s">
        <v>28</v>
      </c>
      <c r="E3465" t="s">
        <v>19</v>
      </c>
      <c r="F3465">
        <v>5</v>
      </c>
      <c r="G3465" t="s">
        <v>1419</v>
      </c>
      <c r="H3465" s="89">
        <v>46255</v>
      </c>
      <c r="I3465" s="89">
        <v>46255</v>
      </c>
      <c r="J3465" t="s">
        <v>1656</v>
      </c>
      <c r="K3465" t="s">
        <v>4843</v>
      </c>
      <c r="L3465">
        <v>2</v>
      </c>
      <c r="M3465" t="s">
        <v>4845</v>
      </c>
      <c r="N3465" t="s">
        <v>4472</v>
      </c>
    </row>
    <row r="3466" spans="1:14" hidden="1" x14ac:dyDescent="0.25">
      <c r="A3466" t="s">
        <v>1316</v>
      </c>
      <c r="B3466" t="s">
        <v>1330</v>
      </c>
      <c r="C3466" t="s">
        <v>4846</v>
      </c>
      <c r="D3466" t="s">
        <v>28</v>
      </c>
      <c r="E3466" t="s">
        <v>19</v>
      </c>
      <c r="F3466">
        <v>11</v>
      </c>
      <c r="G3466" t="s">
        <v>1419</v>
      </c>
      <c r="H3466" s="89">
        <v>46255</v>
      </c>
      <c r="I3466" s="89">
        <v>46255</v>
      </c>
      <c r="J3466" t="s">
        <v>1656</v>
      </c>
      <c r="K3466" t="s">
        <v>4847</v>
      </c>
      <c r="L3466">
        <v>1</v>
      </c>
      <c r="M3466" t="s">
        <v>4848</v>
      </c>
      <c r="N3466" t="s">
        <v>4472</v>
      </c>
    </row>
    <row r="3467" spans="1:14" hidden="1" x14ac:dyDescent="0.25">
      <c r="A3467" t="s">
        <v>1317</v>
      </c>
      <c r="B3467" t="s">
        <v>1331</v>
      </c>
      <c r="C3467" t="s">
        <v>4849</v>
      </c>
      <c r="D3467" t="s">
        <v>28</v>
      </c>
      <c r="E3467" t="s">
        <v>19</v>
      </c>
      <c r="F3467">
        <v>0</v>
      </c>
      <c r="G3467" t="s">
        <v>1419</v>
      </c>
      <c r="H3467" s="89">
        <v>46255</v>
      </c>
      <c r="I3467" s="89">
        <v>46255</v>
      </c>
      <c r="J3467" t="s">
        <v>1656</v>
      </c>
      <c r="K3467" t="s">
        <v>4850</v>
      </c>
      <c r="L3467">
        <v>1</v>
      </c>
      <c r="M3467" t="s">
        <v>4851</v>
      </c>
      <c r="N3467" t="s">
        <v>4472</v>
      </c>
    </row>
    <row r="3468" spans="1:14" hidden="1" x14ac:dyDescent="0.25">
      <c r="A3468" t="s">
        <v>1318</v>
      </c>
      <c r="B3468" t="s">
        <v>1332</v>
      </c>
      <c r="C3468" t="s">
        <v>4852</v>
      </c>
      <c r="D3468" t="s">
        <v>28</v>
      </c>
      <c r="E3468" t="s">
        <v>19</v>
      </c>
      <c r="F3468">
        <v>33</v>
      </c>
      <c r="G3468" t="s">
        <v>1419</v>
      </c>
      <c r="H3468" s="89">
        <v>46255</v>
      </c>
      <c r="I3468" s="89">
        <v>46255</v>
      </c>
      <c r="J3468" t="s">
        <v>1656</v>
      </c>
      <c r="K3468" t="s">
        <v>4853</v>
      </c>
      <c r="L3468">
        <v>1</v>
      </c>
      <c r="M3468" t="s">
        <v>4854</v>
      </c>
      <c r="N3468" t="s">
        <v>4472</v>
      </c>
    </row>
    <row r="3469" spans="1:14" hidden="1" x14ac:dyDescent="0.25">
      <c r="A3469" t="s">
        <v>1324</v>
      </c>
      <c r="B3469" t="s">
        <v>1338</v>
      </c>
      <c r="C3469" t="s">
        <v>4855</v>
      </c>
      <c r="D3469" t="s">
        <v>24</v>
      </c>
      <c r="E3469" t="s">
        <v>65</v>
      </c>
      <c r="F3469">
        <v>960</v>
      </c>
      <c r="G3469">
        <v>20</v>
      </c>
      <c r="H3469" s="89">
        <v>46256</v>
      </c>
      <c r="I3469" s="89">
        <v>46262</v>
      </c>
      <c r="J3469" t="s">
        <v>4795</v>
      </c>
      <c r="K3469" t="s">
        <v>4856</v>
      </c>
      <c r="L3469">
        <v>1</v>
      </c>
      <c r="M3469" t="s">
        <v>4857</v>
      </c>
      <c r="N3469" t="s">
        <v>4472</v>
      </c>
    </row>
    <row r="3470" spans="1:14" hidden="1" x14ac:dyDescent="0.25">
      <c r="A3470" t="s">
        <v>1324</v>
      </c>
      <c r="B3470" t="s">
        <v>1338</v>
      </c>
      <c r="C3470" t="s">
        <v>4858</v>
      </c>
      <c r="D3470" t="s">
        <v>88</v>
      </c>
      <c r="E3470" t="s">
        <v>25</v>
      </c>
      <c r="F3470">
        <v>960</v>
      </c>
      <c r="G3470">
        <v>20</v>
      </c>
      <c r="H3470" s="89">
        <v>46256</v>
      </c>
      <c r="I3470" s="89">
        <v>46262</v>
      </c>
      <c r="J3470" t="s">
        <v>4859</v>
      </c>
      <c r="K3470" t="s">
        <v>4860</v>
      </c>
      <c r="L3470">
        <v>1</v>
      </c>
      <c r="M3470" t="s">
        <v>4861</v>
      </c>
      <c r="N3470" t="s">
        <v>4472</v>
      </c>
    </row>
    <row r="3471" spans="1:14" hidden="1" x14ac:dyDescent="0.25">
      <c r="A3471" t="s">
        <v>1324</v>
      </c>
      <c r="B3471" t="s">
        <v>1338</v>
      </c>
      <c r="C3471" t="s">
        <v>4862</v>
      </c>
      <c r="D3471" t="s">
        <v>13</v>
      </c>
      <c r="E3471" t="s">
        <v>65</v>
      </c>
      <c r="F3471">
        <v>144</v>
      </c>
      <c r="G3471">
        <v>3</v>
      </c>
      <c r="H3471" s="89">
        <v>46256</v>
      </c>
      <c r="I3471" s="89">
        <v>46262</v>
      </c>
      <c r="J3471" t="s">
        <v>4795</v>
      </c>
      <c r="K3471" t="s">
        <v>4863</v>
      </c>
      <c r="L3471">
        <v>1</v>
      </c>
      <c r="M3471" t="s">
        <v>4864</v>
      </c>
      <c r="N3471" t="s">
        <v>4472</v>
      </c>
    </row>
    <row r="3472" spans="1:14" hidden="1" x14ac:dyDescent="0.25">
      <c r="A3472" t="s">
        <v>1313</v>
      </c>
      <c r="B3472" t="s">
        <v>1327</v>
      </c>
      <c r="C3472" t="s">
        <v>4865</v>
      </c>
      <c r="D3472" t="s">
        <v>20</v>
      </c>
      <c r="E3472" t="s">
        <v>22</v>
      </c>
      <c r="F3472">
        <v>1152</v>
      </c>
      <c r="G3472">
        <v>24</v>
      </c>
      <c r="H3472" s="89">
        <v>46256</v>
      </c>
      <c r="I3472" s="89">
        <v>46261</v>
      </c>
      <c r="J3472" t="s">
        <v>4866</v>
      </c>
      <c r="K3472" t="s">
        <v>4867</v>
      </c>
      <c r="L3472">
        <v>1</v>
      </c>
      <c r="M3472" t="s">
        <v>4868</v>
      </c>
      <c r="N3472" t="s">
        <v>4472</v>
      </c>
    </row>
    <row r="3473" spans="1:14" hidden="1" x14ac:dyDescent="0.25">
      <c r="A3473" t="s">
        <v>1313</v>
      </c>
      <c r="B3473" t="s">
        <v>1327</v>
      </c>
      <c r="C3473" t="s">
        <v>4865</v>
      </c>
      <c r="D3473" t="s">
        <v>20</v>
      </c>
      <c r="E3473" t="s">
        <v>19</v>
      </c>
      <c r="F3473">
        <v>96</v>
      </c>
      <c r="G3473">
        <v>2</v>
      </c>
      <c r="H3473" s="89">
        <v>46256</v>
      </c>
      <c r="I3473" s="89">
        <v>46258</v>
      </c>
      <c r="J3473" t="s">
        <v>1656</v>
      </c>
      <c r="K3473" t="s">
        <v>4869</v>
      </c>
      <c r="L3473">
        <v>1</v>
      </c>
      <c r="M3473" t="s">
        <v>4870</v>
      </c>
      <c r="N3473" t="s">
        <v>4472</v>
      </c>
    </row>
    <row r="3474" spans="1:14" hidden="1" x14ac:dyDescent="0.25">
      <c r="A3474" t="s">
        <v>1315</v>
      </c>
      <c r="B3474" t="s">
        <v>1329</v>
      </c>
      <c r="C3474" t="s">
        <v>4865</v>
      </c>
      <c r="D3474" t="s">
        <v>20</v>
      </c>
      <c r="E3474" t="s">
        <v>19</v>
      </c>
      <c r="F3474">
        <v>8</v>
      </c>
      <c r="G3474" t="s">
        <v>1419</v>
      </c>
      <c r="H3474" s="89">
        <v>46256</v>
      </c>
      <c r="I3474" s="89">
        <v>46258</v>
      </c>
      <c r="J3474" t="s">
        <v>1656</v>
      </c>
      <c r="K3474" t="s">
        <v>4871</v>
      </c>
      <c r="L3474">
        <v>1</v>
      </c>
      <c r="M3474" t="s">
        <v>4872</v>
      </c>
      <c r="N3474" t="s">
        <v>4472</v>
      </c>
    </row>
    <row r="3475" spans="1:14" hidden="1" x14ac:dyDescent="0.25">
      <c r="A3475" t="s">
        <v>1316</v>
      </c>
      <c r="B3475" t="s">
        <v>1330</v>
      </c>
      <c r="C3475" t="s">
        <v>4873</v>
      </c>
      <c r="D3475" t="s">
        <v>20</v>
      </c>
      <c r="E3475" t="s">
        <v>19</v>
      </c>
      <c r="F3475">
        <v>115</v>
      </c>
      <c r="G3475" t="s">
        <v>1419</v>
      </c>
      <c r="H3475" s="89">
        <v>46256</v>
      </c>
      <c r="I3475" s="89">
        <v>46258</v>
      </c>
      <c r="J3475" t="s">
        <v>1656</v>
      </c>
      <c r="K3475" t="s">
        <v>4874</v>
      </c>
      <c r="L3475">
        <v>1</v>
      </c>
      <c r="M3475" t="s">
        <v>4875</v>
      </c>
      <c r="N3475" t="s">
        <v>4472</v>
      </c>
    </row>
    <row r="3476" spans="1:14" hidden="1" x14ac:dyDescent="0.25">
      <c r="A3476" t="s">
        <v>1317</v>
      </c>
      <c r="B3476" t="s">
        <v>1331</v>
      </c>
      <c r="C3476" t="s">
        <v>4876</v>
      </c>
      <c r="D3476" t="s">
        <v>20</v>
      </c>
      <c r="E3476" t="s">
        <v>19</v>
      </c>
      <c r="F3476">
        <v>71</v>
      </c>
      <c r="G3476" t="s">
        <v>1419</v>
      </c>
      <c r="H3476" s="89">
        <v>46256</v>
      </c>
      <c r="I3476" s="89">
        <v>46258</v>
      </c>
      <c r="J3476" t="s">
        <v>1656</v>
      </c>
      <c r="K3476" t="s">
        <v>4877</v>
      </c>
      <c r="L3476">
        <v>1</v>
      </c>
      <c r="M3476" t="s">
        <v>4878</v>
      </c>
      <c r="N3476" t="s">
        <v>4472</v>
      </c>
    </row>
    <row r="3477" spans="1:14" hidden="1" x14ac:dyDescent="0.25">
      <c r="A3477" t="s">
        <v>1318</v>
      </c>
      <c r="B3477" t="s">
        <v>1332</v>
      </c>
      <c r="C3477" t="s">
        <v>4879</v>
      </c>
      <c r="D3477" t="s">
        <v>20</v>
      </c>
      <c r="E3477" t="s">
        <v>19</v>
      </c>
      <c r="F3477">
        <v>56</v>
      </c>
      <c r="G3477" t="s">
        <v>1419</v>
      </c>
      <c r="H3477" s="89">
        <v>46256</v>
      </c>
      <c r="I3477" s="89">
        <v>46258</v>
      </c>
      <c r="J3477" t="s">
        <v>1656</v>
      </c>
      <c r="K3477" t="s">
        <v>4880</v>
      </c>
      <c r="L3477">
        <v>1</v>
      </c>
      <c r="M3477" t="s">
        <v>4881</v>
      </c>
      <c r="N3477" t="s">
        <v>4472</v>
      </c>
    </row>
    <row r="3478" spans="1:14" hidden="1" x14ac:dyDescent="0.25">
      <c r="A3478" t="s">
        <v>1324</v>
      </c>
      <c r="B3478" t="s">
        <v>1338</v>
      </c>
      <c r="C3478" t="s">
        <v>4882</v>
      </c>
      <c r="D3478" t="s">
        <v>21</v>
      </c>
      <c r="E3478" t="s">
        <v>65</v>
      </c>
      <c r="F3478">
        <v>144</v>
      </c>
      <c r="G3478">
        <v>3</v>
      </c>
      <c r="H3478" s="89">
        <v>46256</v>
      </c>
      <c r="I3478" s="89">
        <v>46262</v>
      </c>
      <c r="J3478" t="s">
        <v>4795</v>
      </c>
      <c r="K3478" t="s">
        <v>4883</v>
      </c>
      <c r="L3478">
        <v>1</v>
      </c>
      <c r="M3478" t="s">
        <v>4884</v>
      </c>
      <c r="N3478" t="s">
        <v>4472</v>
      </c>
    </row>
    <row r="3479" spans="1:14" hidden="1" x14ac:dyDescent="0.25">
      <c r="A3479" t="s">
        <v>1313</v>
      </c>
      <c r="B3479" t="s">
        <v>1327</v>
      </c>
      <c r="C3479" t="s">
        <v>4882</v>
      </c>
      <c r="D3479" t="s">
        <v>21</v>
      </c>
      <c r="E3479" t="s">
        <v>31</v>
      </c>
      <c r="F3479">
        <v>576</v>
      </c>
      <c r="G3479">
        <v>12</v>
      </c>
      <c r="H3479" s="89">
        <v>46256</v>
      </c>
      <c r="I3479" s="89">
        <v>46260</v>
      </c>
      <c r="J3479" t="s">
        <v>4790</v>
      </c>
      <c r="K3479" t="s">
        <v>4885</v>
      </c>
      <c r="L3479">
        <v>1</v>
      </c>
      <c r="M3479" t="s">
        <v>4886</v>
      </c>
      <c r="N3479" t="s">
        <v>4472</v>
      </c>
    </row>
    <row r="3480" spans="1:14" hidden="1" x14ac:dyDescent="0.25">
      <c r="A3480" t="s">
        <v>1314</v>
      </c>
      <c r="B3480" t="s">
        <v>1328</v>
      </c>
      <c r="C3480" t="s">
        <v>4882</v>
      </c>
      <c r="D3480" t="s">
        <v>21</v>
      </c>
      <c r="E3480" t="s">
        <v>31</v>
      </c>
      <c r="F3480">
        <v>48</v>
      </c>
      <c r="G3480">
        <v>1</v>
      </c>
      <c r="H3480" s="89">
        <v>46256</v>
      </c>
      <c r="I3480" s="89">
        <v>46260</v>
      </c>
      <c r="J3480" t="s">
        <v>4887</v>
      </c>
      <c r="K3480" t="s">
        <v>4888</v>
      </c>
      <c r="L3480">
        <v>1</v>
      </c>
      <c r="M3480" t="s">
        <v>4889</v>
      </c>
      <c r="N3480" t="s">
        <v>4472</v>
      </c>
    </row>
    <row r="3481" spans="1:14" hidden="1" x14ac:dyDescent="0.25">
      <c r="A3481" t="s">
        <v>1313</v>
      </c>
      <c r="B3481" t="s">
        <v>1327</v>
      </c>
      <c r="C3481" t="s">
        <v>4882</v>
      </c>
      <c r="D3481" t="s">
        <v>21</v>
      </c>
      <c r="E3481" t="s">
        <v>17</v>
      </c>
      <c r="F3481">
        <v>336</v>
      </c>
      <c r="G3481">
        <v>7</v>
      </c>
      <c r="H3481" s="89">
        <v>46256</v>
      </c>
      <c r="I3481" s="89">
        <v>46261</v>
      </c>
      <c r="J3481" t="s">
        <v>4890</v>
      </c>
      <c r="K3481" t="s">
        <v>4891</v>
      </c>
      <c r="L3481">
        <v>1</v>
      </c>
      <c r="M3481" t="s">
        <v>4892</v>
      </c>
      <c r="N3481" t="s">
        <v>4472</v>
      </c>
    </row>
    <row r="3482" spans="1:14" hidden="1" x14ac:dyDescent="0.25">
      <c r="A3482" t="s">
        <v>1315</v>
      </c>
      <c r="B3482" t="s">
        <v>1329</v>
      </c>
      <c r="C3482" t="s">
        <v>4882</v>
      </c>
      <c r="D3482" t="s">
        <v>21</v>
      </c>
      <c r="E3482" t="s">
        <v>19</v>
      </c>
      <c r="F3482">
        <v>99</v>
      </c>
      <c r="G3482" t="s">
        <v>1419</v>
      </c>
      <c r="H3482" s="89">
        <v>46256</v>
      </c>
      <c r="I3482" s="89">
        <v>46258</v>
      </c>
      <c r="J3482" t="s">
        <v>1656</v>
      </c>
      <c r="K3482" t="s">
        <v>4893</v>
      </c>
      <c r="L3482">
        <v>1</v>
      </c>
      <c r="M3482" t="s">
        <v>4894</v>
      </c>
      <c r="N3482" t="s">
        <v>4472</v>
      </c>
    </row>
    <row r="3483" spans="1:14" hidden="1" x14ac:dyDescent="0.25">
      <c r="A3483" t="s">
        <v>1316</v>
      </c>
      <c r="B3483" t="s">
        <v>1330</v>
      </c>
      <c r="C3483" t="s">
        <v>4895</v>
      </c>
      <c r="D3483" t="s">
        <v>21</v>
      </c>
      <c r="E3483" t="s">
        <v>19</v>
      </c>
      <c r="F3483">
        <v>21</v>
      </c>
      <c r="G3483" t="s">
        <v>1419</v>
      </c>
      <c r="H3483" s="89">
        <v>46256</v>
      </c>
      <c r="I3483" s="89">
        <v>46255</v>
      </c>
      <c r="J3483" t="s">
        <v>1656</v>
      </c>
      <c r="K3483" t="s">
        <v>4896</v>
      </c>
      <c r="L3483">
        <v>1</v>
      </c>
      <c r="M3483" t="s">
        <v>4897</v>
      </c>
      <c r="N3483" t="s">
        <v>4472</v>
      </c>
    </row>
    <row r="3484" spans="1:14" hidden="1" x14ac:dyDescent="0.25">
      <c r="A3484" t="s">
        <v>1317</v>
      </c>
      <c r="B3484" t="s">
        <v>1331</v>
      </c>
      <c r="C3484" t="s">
        <v>4898</v>
      </c>
      <c r="D3484" t="s">
        <v>21</v>
      </c>
      <c r="E3484" t="s">
        <v>19</v>
      </c>
      <c r="F3484">
        <v>24</v>
      </c>
      <c r="G3484" t="s">
        <v>1419</v>
      </c>
      <c r="H3484" s="89">
        <v>46256</v>
      </c>
      <c r="I3484" s="89">
        <v>46255</v>
      </c>
      <c r="J3484" t="s">
        <v>1656</v>
      </c>
      <c r="K3484" t="s">
        <v>4899</v>
      </c>
      <c r="L3484">
        <v>1</v>
      </c>
      <c r="M3484" t="s">
        <v>4900</v>
      </c>
      <c r="N3484" t="s">
        <v>4472</v>
      </c>
    </row>
    <row r="3485" spans="1:14" hidden="1" x14ac:dyDescent="0.25">
      <c r="A3485" t="s">
        <v>1318</v>
      </c>
      <c r="B3485" t="s">
        <v>1332</v>
      </c>
      <c r="C3485" t="s">
        <v>4901</v>
      </c>
      <c r="D3485" t="s">
        <v>21</v>
      </c>
      <c r="E3485" t="s">
        <v>19</v>
      </c>
      <c r="F3485">
        <v>43</v>
      </c>
      <c r="G3485" t="s">
        <v>1419</v>
      </c>
      <c r="H3485" s="89">
        <v>46256</v>
      </c>
      <c r="I3485" s="89">
        <v>46255</v>
      </c>
      <c r="J3485" t="s">
        <v>1656</v>
      </c>
      <c r="K3485" t="s">
        <v>4902</v>
      </c>
      <c r="L3485">
        <v>1</v>
      </c>
      <c r="M3485" t="s">
        <v>4903</v>
      </c>
      <c r="N3485" t="s">
        <v>4472</v>
      </c>
    </row>
    <row r="3486" spans="1:14" hidden="1" x14ac:dyDescent="0.25">
      <c r="A3486" t="s">
        <v>1324</v>
      </c>
      <c r="B3486" t="s">
        <v>1338</v>
      </c>
      <c r="C3486" t="s">
        <v>4905</v>
      </c>
      <c r="D3486" t="s">
        <v>118</v>
      </c>
      <c r="E3486" t="s">
        <v>25</v>
      </c>
      <c r="F3486">
        <v>960</v>
      </c>
      <c r="G3486">
        <v>20</v>
      </c>
      <c r="H3486" s="89">
        <v>46258</v>
      </c>
      <c r="I3486" s="89">
        <v>46262</v>
      </c>
      <c r="J3486" t="s">
        <v>4859</v>
      </c>
      <c r="K3486" t="s">
        <v>4906</v>
      </c>
      <c r="L3486">
        <v>1</v>
      </c>
      <c r="M3486" t="s">
        <v>4907</v>
      </c>
      <c r="N3486" t="s">
        <v>4908</v>
      </c>
    </row>
    <row r="3487" spans="1:14" hidden="1" x14ac:dyDescent="0.25">
      <c r="A3487" t="s">
        <v>1313</v>
      </c>
      <c r="B3487" t="s">
        <v>1327</v>
      </c>
      <c r="C3487" t="s">
        <v>4909</v>
      </c>
      <c r="D3487" t="s">
        <v>21</v>
      </c>
      <c r="E3487" t="s">
        <v>17</v>
      </c>
      <c r="F3487">
        <v>750</v>
      </c>
      <c r="G3487">
        <v>15.625</v>
      </c>
      <c r="H3487" s="89">
        <v>46258</v>
      </c>
      <c r="I3487" s="89">
        <v>46261</v>
      </c>
      <c r="J3487" t="s">
        <v>4890</v>
      </c>
      <c r="K3487" t="s">
        <v>4910</v>
      </c>
      <c r="L3487">
        <v>1</v>
      </c>
      <c r="M3487" t="s">
        <v>4911</v>
      </c>
      <c r="N3487" t="s">
        <v>4908</v>
      </c>
    </row>
    <row r="3488" spans="1:14" hidden="1" x14ac:dyDescent="0.25">
      <c r="A3488" t="s">
        <v>1319</v>
      </c>
      <c r="B3488" t="s">
        <v>1333</v>
      </c>
      <c r="C3488" t="s">
        <v>4909</v>
      </c>
      <c r="D3488" t="s">
        <v>21</v>
      </c>
      <c r="E3488" t="s">
        <v>17</v>
      </c>
      <c r="F3488">
        <v>66</v>
      </c>
      <c r="G3488">
        <v>1.375</v>
      </c>
      <c r="H3488" s="89">
        <v>46258</v>
      </c>
      <c r="I3488" s="89">
        <v>46261</v>
      </c>
      <c r="J3488" t="s">
        <v>4890</v>
      </c>
      <c r="K3488" t="s">
        <v>4912</v>
      </c>
      <c r="L3488">
        <v>1</v>
      </c>
      <c r="M3488" t="s">
        <v>4913</v>
      </c>
      <c r="N3488" t="s">
        <v>4908</v>
      </c>
    </row>
    <row r="3489" spans="1:14" hidden="1" x14ac:dyDescent="0.25">
      <c r="A3489" t="s">
        <v>1319</v>
      </c>
      <c r="B3489" t="s">
        <v>1333</v>
      </c>
      <c r="C3489" t="s">
        <v>4909</v>
      </c>
      <c r="D3489" t="s">
        <v>21</v>
      </c>
      <c r="E3489" t="s">
        <v>17</v>
      </c>
      <c r="F3489">
        <v>96</v>
      </c>
      <c r="G3489">
        <v>2</v>
      </c>
      <c r="H3489" s="89">
        <v>46258</v>
      </c>
      <c r="I3489" s="89">
        <v>46262</v>
      </c>
      <c r="J3489" t="s">
        <v>4914</v>
      </c>
      <c r="K3489" t="s">
        <v>4915</v>
      </c>
      <c r="L3489">
        <v>1</v>
      </c>
      <c r="M3489" t="s">
        <v>4916</v>
      </c>
      <c r="N3489" t="s">
        <v>4908</v>
      </c>
    </row>
    <row r="3490" spans="1:14" hidden="1" x14ac:dyDescent="0.25">
      <c r="A3490" t="s">
        <v>1313</v>
      </c>
      <c r="B3490" t="s">
        <v>1327</v>
      </c>
      <c r="C3490" t="s">
        <v>4909</v>
      </c>
      <c r="D3490" t="s">
        <v>21</v>
      </c>
      <c r="E3490" t="s">
        <v>17</v>
      </c>
      <c r="F3490">
        <v>816</v>
      </c>
      <c r="G3490">
        <v>17</v>
      </c>
      <c r="H3490" s="89">
        <v>46258</v>
      </c>
      <c r="I3490" s="89">
        <v>46262</v>
      </c>
      <c r="J3490" t="s">
        <v>4914</v>
      </c>
      <c r="K3490" t="s">
        <v>4917</v>
      </c>
      <c r="L3490">
        <v>1</v>
      </c>
      <c r="M3490" t="s">
        <v>4918</v>
      </c>
      <c r="N3490" t="s">
        <v>4908</v>
      </c>
    </row>
    <row r="3491" spans="1:14" hidden="1" x14ac:dyDescent="0.25">
      <c r="A3491" t="s">
        <v>1315</v>
      </c>
      <c r="B3491" t="s">
        <v>1329</v>
      </c>
      <c r="C3491" t="s">
        <v>4909</v>
      </c>
      <c r="D3491" t="s">
        <v>21</v>
      </c>
      <c r="E3491" t="s">
        <v>19</v>
      </c>
      <c r="F3491">
        <v>101</v>
      </c>
      <c r="G3491" t="s">
        <v>1419</v>
      </c>
      <c r="H3491" s="89">
        <v>46258</v>
      </c>
      <c r="I3491" s="89">
        <v>46262</v>
      </c>
      <c r="J3491" t="s">
        <v>1656</v>
      </c>
      <c r="K3491" t="s">
        <v>4919</v>
      </c>
      <c r="L3491">
        <v>1</v>
      </c>
      <c r="M3491" t="s">
        <v>4920</v>
      </c>
      <c r="N3491" t="s">
        <v>4908</v>
      </c>
    </row>
    <row r="3492" spans="1:14" hidden="1" x14ac:dyDescent="0.25">
      <c r="A3492" t="s">
        <v>1316</v>
      </c>
      <c r="B3492" t="s">
        <v>1330</v>
      </c>
      <c r="C3492" t="s">
        <v>4921</v>
      </c>
      <c r="D3492" t="s">
        <v>21</v>
      </c>
      <c r="E3492" t="s">
        <v>19</v>
      </c>
      <c r="F3492">
        <v>27</v>
      </c>
      <c r="G3492" t="s">
        <v>1419</v>
      </c>
      <c r="H3492" s="89">
        <v>46258</v>
      </c>
      <c r="I3492" s="89">
        <v>46260</v>
      </c>
      <c r="J3492" t="s">
        <v>1656</v>
      </c>
      <c r="K3492" t="s">
        <v>4922</v>
      </c>
      <c r="L3492">
        <v>1</v>
      </c>
      <c r="M3492" t="s">
        <v>4923</v>
      </c>
      <c r="N3492" t="s">
        <v>4908</v>
      </c>
    </row>
    <row r="3493" spans="1:14" hidden="1" x14ac:dyDescent="0.25">
      <c r="A3493" t="s">
        <v>1317</v>
      </c>
      <c r="B3493" t="s">
        <v>1331</v>
      </c>
      <c r="C3493" t="s">
        <v>4924</v>
      </c>
      <c r="D3493" t="s">
        <v>21</v>
      </c>
      <c r="E3493" t="s">
        <v>19</v>
      </c>
      <c r="F3493">
        <v>22</v>
      </c>
      <c r="G3493" t="s">
        <v>1419</v>
      </c>
      <c r="H3493" s="89">
        <v>46258</v>
      </c>
      <c r="I3493" s="89">
        <v>46260</v>
      </c>
      <c r="J3493" t="s">
        <v>1656</v>
      </c>
      <c r="K3493" t="s">
        <v>4925</v>
      </c>
      <c r="L3493">
        <v>1</v>
      </c>
      <c r="M3493" t="s">
        <v>4926</v>
      </c>
      <c r="N3493" t="s">
        <v>4908</v>
      </c>
    </row>
    <row r="3494" spans="1:14" hidden="1" x14ac:dyDescent="0.25">
      <c r="A3494" t="s">
        <v>1318</v>
      </c>
      <c r="B3494" t="s">
        <v>1332</v>
      </c>
      <c r="C3494" t="s">
        <v>4927</v>
      </c>
      <c r="D3494" t="s">
        <v>21</v>
      </c>
      <c r="E3494" t="s">
        <v>19</v>
      </c>
      <c r="F3494">
        <v>67</v>
      </c>
      <c r="G3494" t="s">
        <v>1419</v>
      </c>
      <c r="H3494" s="89">
        <v>46258</v>
      </c>
      <c r="I3494" s="89">
        <v>46260</v>
      </c>
      <c r="J3494" t="s">
        <v>1656</v>
      </c>
      <c r="K3494" t="s">
        <v>4928</v>
      </c>
      <c r="L3494">
        <v>1</v>
      </c>
      <c r="M3494" t="s">
        <v>4929</v>
      </c>
      <c r="N3494" t="s">
        <v>4908</v>
      </c>
    </row>
    <row r="3495" spans="1:14" hidden="1" x14ac:dyDescent="0.25">
      <c r="A3495" t="s">
        <v>1313</v>
      </c>
      <c r="B3495" t="s">
        <v>1327</v>
      </c>
      <c r="C3495" t="s">
        <v>4930</v>
      </c>
      <c r="D3495" t="s">
        <v>15</v>
      </c>
      <c r="E3495" t="s">
        <v>18</v>
      </c>
      <c r="F3495">
        <v>912</v>
      </c>
      <c r="G3495">
        <v>19</v>
      </c>
      <c r="H3495" s="89">
        <v>46258</v>
      </c>
      <c r="I3495" s="89">
        <v>46262</v>
      </c>
      <c r="J3495" t="s">
        <v>4931</v>
      </c>
      <c r="K3495" t="s">
        <v>4932</v>
      </c>
      <c r="L3495">
        <v>1</v>
      </c>
      <c r="M3495" t="s">
        <v>4933</v>
      </c>
      <c r="N3495" t="s">
        <v>4908</v>
      </c>
    </row>
    <row r="3496" spans="1:14" hidden="1" x14ac:dyDescent="0.25">
      <c r="A3496" t="s">
        <v>1313</v>
      </c>
      <c r="B3496" t="s">
        <v>1327</v>
      </c>
      <c r="C3496" t="s">
        <v>4930</v>
      </c>
      <c r="D3496" t="s">
        <v>15</v>
      </c>
      <c r="E3496" t="s">
        <v>16</v>
      </c>
      <c r="F3496">
        <v>96</v>
      </c>
      <c r="G3496">
        <v>2</v>
      </c>
      <c r="H3496" s="89">
        <v>46258</v>
      </c>
      <c r="I3496" s="89">
        <v>46261</v>
      </c>
      <c r="J3496" t="s">
        <v>4833</v>
      </c>
      <c r="K3496" t="s">
        <v>4934</v>
      </c>
      <c r="L3496">
        <v>1</v>
      </c>
      <c r="M3496" t="s">
        <v>4935</v>
      </c>
      <c r="N3496" t="s">
        <v>4908</v>
      </c>
    </row>
    <row r="3497" spans="1:14" hidden="1" x14ac:dyDescent="0.25">
      <c r="A3497" t="s">
        <v>1314</v>
      </c>
      <c r="B3497" t="s">
        <v>1328</v>
      </c>
      <c r="C3497" t="s">
        <v>4930</v>
      </c>
      <c r="D3497" t="s">
        <v>15</v>
      </c>
      <c r="E3497" t="s">
        <v>16</v>
      </c>
      <c r="F3497">
        <v>144</v>
      </c>
      <c r="G3497">
        <v>3</v>
      </c>
      <c r="H3497" s="89">
        <v>46258</v>
      </c>
      <c r="I3497" s="89">
        <v>46261</v>
      </c>
      <c r="J3497" t="s">
        <v>4836</v>
      </c>
      <c r="K3497" t="s">
        <v>4936</v>
      </c>
      <c r="L3497">
        <v>1</v>
      </c>
      <c r="M3497" t="s">
        <v>4937</v>
      </c>
      <c r="N3497" t="s">
        <v>4908</v>
      </c>
    </row>
    <row r="3498" spans="1:14" hidden="1" x14ac:dyDescent="0.25">
      <c r="A3498" t="s">
        <v>1316</v>
      </c>
      <c r="B3498" t="s">
        <v>1330</v>
      </c>
      <c r="C3498" t="s">
        <v>4938</v>
      </c>
      <c r="D3498" t="s">
        <v>15</v>
      </c>
      <c r="E3498" t="s">
        <v>19</v>
      </c>
      <c r="F3498">
        <v>61</v>
      </c>
      <c r="G3498" t="s">
        <v>1419</v>
      </c>
      <c r="H3498" s="89">
        <v>46258</v>
      </c>
      <c r="I3498" s="89">
        <v>46260</v>
      </c>
      <c r="J3498" t="s">
        <v>1656</v>
      </c>
      <c r="K3498" t="s">
        <v>4939</v>
      </c>
      <c r="L3498">
        <v>1</v>
      </c>
      <c r="M3498" t="s">
        <v>4940</v>
      </c>
      <c r="N3498" t="s">
        <v>4908</v>
      </c>
    </row>
    <row r="3499" spans="1:14" hidden="1" x14ac:dyDescent="0.25">
      <c r="A3499" t="s">
        <v>1317</v>
      </c>
      <c r="B3499" t="s">
        <v>1331</v>
      </c>
      <c r="C3499" t="s">
        <v>4941</v>
      </c>
      <c r="D3499" t="s">
        <v>15</v>
      </c>
      <c r="E3499" t="s">
        <v>19</v>
      </c>
      <c r="F3499">
        <v>104</v>
      </c>
      <c r="G3499" t="s">
        <v>1419</v>
      </c>
      <c r="H3499" s="89">
        <v>46258</v>
      </c>
      <c r="I3499" s="89">
        <v>46260</v>
      </c>
      <c r="J3499" t="s">
        <v>1656</v>
      </c>
      <c r="K3499" t="s">
        <v>4942</v>
      </c>
      <c r="L3499">
        <v>1</v>
      </c>
      <c r="M3499" t="s">
        <v>4943</v>
      </c>
      <c r="N3499" t="s">
        <v>4908</v>
      </c>
    </row>
    <row r="3500" spans="1:14" hidden="1" x14ac:dyDescent="0.25">
      <c r="A3500" t="s">
        <v>1318</v>
      </c>
      <c r="B3500" t="s">
        <v>1332</v>
      </c>
      <c r="C3500" t="s">
        <v>4944</v>
      </c>
      <c r="D3500" t="s">
        <v>15</v>
      </c>
      <c r="E3500" t="s">
        <v>19</v>
      </c>
      <c r="F3500">
        <v>15</v>
      </c>
      <c r="G3500" t="s">
        <v>1419</v>
      </c>
      <c r="H3500" s="89">
        <v>46258</v>
      </c>
      <c r="I3500" s="89">
        <v>46260</v>
      </c>
      <c r="J3500" t="s">
        <v>1656</v>
      </c>
      <c r="K3500" t="s">
        <v>4945</v>
      </c>
      <c r="L3500">
        <v>1</v>
      </c>
      <c r="M3500" t="s">
        <v>4946</v>
      </c>
      <c r="N3500" t="s">
        <v>4908</v>
      </c>
    </row>
    <row r="3501" spans="1:14" hidden="1" x14ac:dyDescent="0.25">
      <c r="A3501" t="s">
        <v>1320</v>
      </c>
      <c r="B3501" t="s">
        <v>1334</v>
      </c>
      <c r="C3501" t="s">
        <v>4947</v>
      </c>
      <c r="D3501" t="s">
        <v>28</v>
      </c>
      <c r="E3501" t="s">
        <v>14</v>
      </c>
      <c r="F3501">
        <v>960</v>
      </c>
      <c r="G3501">
        <v>20</v>
      </c>
      <c r="H3501" s="89">
        <v>46258</v>
      </c>
      <c r="I3501" s="89">
        <v>46262</v>
      </c>
      <c r="J3501" t="s">
        <v>4948</v>
      </c>
      <c r="K3501" t="s">
        <v>4949</v>
      </c>
      <c r="L3501">
        <v>1</v>
      </c>
      <c r="M3501" t="s">
        <v>4950</v>
      </c>
      <c r="N3501" t="s">
        <v>4908</v>
      </c>
    </row>
    <row r="3502" spans="1:14" hidden="1" x14ac:dyDescent="0.25">
      <c r="A3502" t="s">
        <v>1319</v>
      </c>
      <c r="B3502" t="s">
        <v>1333</v>
      </c>
      <c r="C3502" t="s">
        <v>4947</v>
      </c>
      <c r="D3502" t="s">
        <v>28</v>
      </c>
      <c r="E3502" t="s">
        <v>17</v>
      </c>
      <c r="F3502">
        <v>66</v>
      </c>
      <c r="G3502">
        <v>1.375</v>
      </c>
      <c r="H3502" s="89">
        <v>46258</v>
      </c>
      <c r="I3502" s="89">
        <v>46263</v>
      </c>
      <c r="J3502" t="s">
        <v>4951</v>
      </c>
      <c r="K3502" t="s">
        <v>4952</v>
      </c>
      <c r="L3502">
        <v>1</v>
      </c>
      <c r="M3502" t="s">
        <v>4953</v>
      </c>
      <c r="N3502" t="s">
        <v>4908</v>
      </c>
    </row>
    <row r="3503" spans="1:14" hidden="1" x14ac:dyDescent="0.25">
      <c r="A3503" t="s">
        <v>1319</v>
      </c>
      <c r="B3503" t="s">
        <v>1333</v>
      </c>
      <c r="C3503" t="s">
        <v>4947</v>
      </c>
      <c r="D3503" t="s">
        <v>28</v>
      </c>
      <c r="E3503" t="s">
        <v>1333</v>
      </c>
      <c r="F3503">
        <v>30</v>
      </c>
      <c r="G3503" t="s">
        <v>1419</v>
      </c>
      <c r="H3503" s="89">
        <v>46258</v>
      </c>
      <c r="I3503" s="89">
        <v>46262</v>
      </c>
      <c r="J3503" t="s">
        <v>3549</v>
      </c>
      <c r="K3503" t="s">
        <v>4954</v>
      </c>
      <c r="L3503">
        <v>1</v>
      </c>
      <c r="M3503" t="s">
        <v>4955</v>
      </c>
      <c r="N3503" t="s">
        <v>4908</v>
      </c>
    </row>
    <row r="3504" spans="1:14" hidden="1" x14ac:dyDescent="0.25">
      <c r="A3504" t="s">
        <v>1313</v>
      </c>
      <c r="B3504" t="s">
        <v>1327</v>
      </c>
      <c r="C3504" t="s">
        <v>4947</v>
      </c>
      <c r="D3504" t="s">
        <v>28</v>
      </c>
      <c r="E3504" t="s">
        <v>17</v>
      </c>
      <c r="F3504">
        <v>240</v>
      </c>
      <c r="G3504">
        <v>5</v>
      </c>
      <c r="H3504" s="89">
        <v>46258</v>
      </c>
      <c r="I3504" s="89">
        <v>46262</v>
      </c>
      <c r="J3504" t="s">
        <v>4914</v>
      </c>
      <c r="K3504" t="s">
        <v>4956</v>
      </c>
      <c r="L3504">
        <v>1</v>
      </c>
      <c r="M3504" t="s">
        <v>4957</v>
      </c>
      <c r="N3504" t="s">
        <v>4908</v>
      </c>
    </row>
    <row r="3505" spans="1:14" hidden="1" x14ac:dyDescent="0.25">
      <c r="A3505" t="s">
        <v>1313</v>
      </c>
      <c r="B3505" t="s">
        <v>1327</v>
      </c>
      <c r="C3505" t="s">
        <v>4947</v>
      </c>
      <c r="D3505" t="s">
        <v>28</v>
      </c>
      <c r="E3505" t="s">
        <v>17</v>
      </c>
      <c r="F3505">
        <v>144</v>
      </c>
      <c r="G3505">
        <v>3</v>
      </c>
      <c r="H3505" s="89">
        <v>46258</v>
      </c>
      <c r="I3505" s="89">
        <v>46263</v>
      </c>
      <c r="J3505" t="s">
        <v>4951</v>
      </c>
      <c r="K3505" t="s">
        <v>4958</v>
      </c>
      <c r="L3505">
        <v>1</v>
      </c>
      <c r="M3505" t="s">
        <v>4959</v>
      </c>
      <c r="N3505" t="s">
        <v>4908</v>
      </c>
    </row>
    <row r="3506" spans="1:14" hidden="1" x14ac:dyDescent="0.25">
      <c r="A3506" t="s">
        <v>1315</v>
      </c>
      <c r="B3506" t="s">
        <v>1329</v>
      </c>
      <c r="C3506" t="s">
        <v>4947</v>
      </c>
      <c r="D3506" t="s">
        <v>28</v>
      </c>
      <c r="E3506" t="s">
        <v>19</v>
      </c>
      <c r="F3506">
        <v>60</v>
      </c>
      <c r="G3506" t="s">
        <v>1419</v>
      </c>
      <c r="H3506" s="89">
        <v>46258</v>
      </c>
      <c r="I3506" s="89">
        <v>46262</v>
      </c>
      <c r="J3506" t="s">
        <v>1656</v>
      </c>
      <c r="K3506" t="s">
        <v>4960</v>
      </c>
      <c r="L3506">
        <v>1</v>
      </c>
      <c r="M3506" t="s">
        <v>4961</v>
      </c>
      <c r="N3506" t="s">
        <v>4908</v>
      </c>
    </row>
    <row r="3507" spans="1:14" hidden="1" x14ac:dyDescent="0.25">
      <c r="A3507" t="s">
        <v>1316</v>
      </c>
      <c r="B3507" t="s">
        <v>1330</v>
      </c>
      <c r="C3507" t="s">
        <v>4962</v>
      </c>
      <c r="D3507" t="s">
        <v>28</v>
      </c>
      <c r="E3507" t="s">
        <v>19</v>
      </c>
      <c r="F3507">
        <v>19</v>
      </c>
      <c r="G3507" t="s">
        <v>1419</v>
      </c>
      <c r="H3507" s="89">
        <v>46258</v>
      </c>
      <c r="I3507" s="89">
        <v>46260</v>
      </c>
      <c r="J3507" t="s">
        <v>1656</v>
      </c>
      <c r="K3507" t="s">
        <v>4963</v>
      </c>
      <c r="L3507">
        <v>1</v>
      </c>
      <c r="M3507" t="s">
        <v>4964</v>
      </c>
      <c r="N3507" t="s">
        <v>4908</v>
      </c>
    </row>
    <row r="3508" spans="1:14" hidden="1" x14ac:dyDescent="0.25">
      <c r="A3508" t="s">
        <v>1317</v>
      </c>
      <c r="B3508" t="s">
        <v>1331</v>
      </c>
      <c r="C3508" t="s">
        <v>4965</v>
      </c>
      <c r="D3508" t="s">
        <v>28</v>
      </c>
      <c r="E3508" t="s">
        <v>19</v>
      </c>
      <c r="F3508">
        <v>0</v>
      </c>
      <c r="G3508" t="s">
        <v>1419</v>
      </c>
      <c r="H3508" s="89">
        <v>46258</v>
      </c>
      <c r="I3508" s="89">
        <v>46260</v>
      </c>
      <c r="J3508" t="s">
        <v>1656</v>
      </c>
      <c r="K3508" t="s">
        <v>4966</v>
      </c>
      <c r="L3508">
        <v>1</v>
      </c>
      <c r="M3508" t="s">
        <v>4967</v>
      </c>
      <c r="N3508" t="s">
        <v>4908</v>
      </c>
    </row>
    <row r="3509" spans="1:14" hidden="1" x14ac:dyDescent="0.25">
      <c r="A3509" t="s">
        <v>1318</v>
      </c>
      <c r="B3509" t="s">
        <v>1332</v>
      </c>
      <c r="C3509" t="s">
        <v>4968</v>
      </c>
      <c r="D3509" t="s">
        <v>28</v>
      </c>
      <c r="E3509" t="s">
        <v>19</v>
      </c>
      <c r="F3509">
        <v>34</v>
      </c>
      <c r="G3509" t="s">
        <v>1419</v>
      </c>
      <c r="H3509" s="89">
        <v>46258</v>
      </c>
      <c r="I3509" s="89">
        <v>46260</v>
      </c>
      <c r="J3509" t="s">
        <v>1656</v>
      </c>
      <c r="K3509" t="s">
        <v>4969</v>
      </c>
      <c r="L3509">
        <v>1</v>
      </c>
      <c r="M3509" t="s">
        <v>4970</v>
      </c>
      <c r="N3509" t="s">
        <v>4908</v>
      </c>
    </row>
    <row r="3510" spans="1:14" hidden="1" x14ac:dyDescent="0.25">
      <c r="A3510" t="s">
        <v>1313</v>
      </c>
      <c r="B3510" t="s">
        <v>1327</v>
      </c>
      <c r="C3510" t="s">
        <v>4971</v>
      </c>
      <c r="D3510" t="s">
        <v>13</v>
      </c>
      <c r="E3510" t="s">
        <v>17</v>
      </c>
      <c r="F3510">
        <v>336</v>
      </c>
      <c r="G3510">
        <v>7</v>
      </c>
      <c r="H3510" s="89">
        <v>46259</v>
      </c>
      <c r="I3510" s="89">
        <v>46263</v>
      </c>
      <c r="J3510" t="s">
        <v>4951</v>
      </c>
      <c r="K3510" t="s">
        <v>4972</v>
      </c>
      <c r="L3510">
        <v>1</v>
      </c>
      <c r="M3510" t="s">
        <v>4973</v>
      </c>
      <c r="N3510" t="s">
        <v>4908</v>
      </c>
    </row>
    <row r="3511" spans="1:14" hidden="1" x14ac:dyDescent="0.25">
      <c r="A3511" t="s">
        <v>1324</v>
      </c>
      <c r="B3511" t="s">
        <v>1338</v>
      </c>
      <c r="C3511" t="s">
        <v>4971</v>
      </c>
      <c r="D3511" t="s">
        <v>13</v>
      </c>
      <c r="E3511" t="s">
        <v>65</v>
      </c>
      <c r="F3511">
        <v>960</v>
      </c>
      <c r="G3511">
        <v>20</v>
      </c>
      <c r="H3511" s="89">
        <v>46259</v>
      </c>
      <c r="I3511" s="89">
        <v>46266</v>
      </c>
      <c r="J3511" t="s">
        <v>4974</v>
      </c>
      <c r="K3511" t="s">
        <v>4975</v>
      </c>
      <c r="L3511">
        <v>1</v>
      </c>
      <c r="M3511" t="s">
        <v>4976</v>
      </c>
      <c r="N3511" t="s">
        <v>4908</v>
      </c>
    </row>
    <row r="3512" spans="1:14" hidden="1" x14ac:dyDescent="0.25">
      <c r="A3512" t="s">
        <v>1324</v>
      </c>
      <c r="B3512" t="s">
        <v>1338</v>
      </c>
      <c r="C3512" t="s">
        <v>4971</v>
      </c>
      <c r="D3512" t="s">
        <v>13</v>
      </c>
      <c r="E3512" t="s">
        <v>65</v>
      </c>
      <c r="F3512">
        <v>336</v>
      </c>
      <c r="G3512">
        <v>7</v>
      </c>
      <c r="H3512" s="89">
        <v>46259</v>
      </c>
      <c r="I3512" s="89">
        <v>46266</v>
      </c>
      <c r="J3512" t="s">
        <v>4974</v>
      </c>
      <c r="K3512" t="s">
        <v>4977</v>
      </c>
      <c r="L3512">
        <v>1</v>
      </c>
      <c r="M3512" t="s">
        <v>4978</v>
      </c>
      <c r="N3512" t="s">
        <v>4908</v>
      </c>
    </row>
    <row r="3513" spans="1:14" hidden="1" x14ac:dyDescent="0.25">
      <c r="A3513" t="s">
        <v>1324</v>
      </c>
      <c r="B3513" t="s">
        <v>1338</v>
      </c>
      <c r="C3513" t="s">
        <v>4979</v>
      </c>
      <c r="D3513" t="s">
        <v>118</v>
      </c>
      <c r="E3513" t="s">
        <v>65</v>
      </c>
      <c r="F3513">
        <v>480</v>
      </c>
      <c r="G3513">
        <v>10</v>
      </c>
      <c r="H3513" s="89">
        <v>46259</v>
      </c>
      <c r="I3513" s="89">
        <v>46266</v>
      </c>
      <c r="J3513" t="s">
        <v>4974</v>
      </c>
      <c r="K3513" t="s">
        <v>4980</v>
      </c>
      <c r="L3513">
        <v>1</v>
      </c>
      <c r="M3513" t="s">
        <v>4981</v>
      </c>
      <c r="N3513" t="s">
        <v>4908</v>
      </c>
    </row>
    <row r="3514" spans="1:14" hidden="1" x14ac:dyDescent="0.25">
      <c r="A3514" t="s">
        <v>1320</v>
      </c>
      <c r="B3514" t="s">
        <v>1334</v>
      </c>
      <c r="C3514" t="s">
        <v>4982</v>
      </c>
      <c r="D3514" t="s">
        <v>23</v>
      </c>
      <c r="E3514" t="s">
        <v>14</v>
      </c>
      <c r="F3514">
        <v>960</v>
      </c>
      <c r="G3514">
        <v>20</v>
      </c>
      <c r="H3514" s="89">
        <v>46259</v>
      </c>
      <c r="I3514" s="89">
        <v>46263</v>
      </c>
      <c r="J3514" t="s">
        <v>4983</v>
      </c>
      <c r="K3514" t="s">
        <v>4984</v>
      </c>
      <c r="L3514">
        <v>1</v>
      </c>
      <c r="M3514" t="s">
        <v>4985</v>
      </c>
      <c r="N3514" t="s">
        <v>4908</v>
      </c>
    </row>
    <row r="3515" spans="1:14" hidden="1" x14ac:dyDescent="0.25">
      <c r="A3515" t="s">
        <v>1325</v>
      </c>
      <c r="B3515" t="s">
        <v>1339</v>
      </c>
      <c r="C3515" t="s">
        <v>4986</v>
      </c>
      <c r="D3515" t="s">
        <v>32</v>
      </c>
      <c r="E3515" t="s">
        <v>19</v>
      </c>
      <c r="F3515">
        <v>144</v>
      </c>
      <c r="G3515">
        <v>3</v>
      </c>
      <c r="H3515" s="89">
        <v>46259</v>
      </c>
      <c r="I3515" s="89">
        <v>46260</v>
      </c>
      <c r="J3515" t="s">
        <v>1656</v>
      </c>
      <c r="K3515" t="s">
        <v>4987</v>
      </c>
      <c r="L3515">
        <v>1</v>
      </c>
      <c r="M3515" t="s">
        <v>4988</v>
      </c>
      <c r="N3515" t="s">
        <v>4908</v>
      </c>
    </row>
    <row r="3516" spans="1:14" hidden="1" x14ac:dyDescent="0.25">
      <c r="A3516" t="s">
        <v>1321</v>
      </c>
      <c r="B3516" t="s">
        <v>1335</v>
      </c>
      <c r="C3516" t="s">
        <v>4986</v>
      </c>
      <c r="D3516" t="s">
        <v>32</v>
      </c>
      <c r="E3516" t="s">
        <v>65</v>
      </c>
      <c r="F3516">
        <v>144</v>
      </c>
      <c r="G3516">
        <v>3</v>
      </c>
      <c r="H3516" s="89">
        <v>46259</v>
      </c>
      <c r="I3516" s="89">
        <v>46266</v>
      </c>
      <c r="J3516" t="s">
        <v>4974</v>
      </c>
      <c r="K3516" t="s">
        <v>4989</v>
      </c>
      <c r="L3516">
        <v>1</v>
      </c>
      <c r="M3516" t="s">
        <v>4990</v>
      </c>
      <c r="N3516" t="s">
        <v>4908</v>
      </c>
    </row>
    <row r="3517" spans="1:14" hidden="1" x14ac:dyDescent="0.25">
      <c r="A3517" t="s">
        <v>1320</v>
      </c>
      <c r="B3517" t="s">
        <v>1334</v>
      </c>
      <c r="C3517" t="s">
        <v>4991</v>
      </c>
      <c r="D3517" t="s">
        <v>21</v>
      </c>
      <c r="E3517" t="s">
        <v>14</v>
      </c>
      <c r="F3517">
        <v>960</v>
      </c>
      <c r="G3517">
        <v>20</v>
      </c>
      <c r="H3517" s="89">
        <v>46259</v>
      </c>
      <c r="I3517" s="89">
        <v>46263</v>
      </c>
      <c r="J3517" t="s">
        <v>4992</v>
      </c>
      <c r="K3517" t="s">
        <v>4993</v>
      </c>
      <c r="L3517">
        <v>1</v>
      </c>
      <c r="M3517" t="s">
        <v>4994</v>
      </c>
      <c r="N3517" t="s">
        <v>4908</v>
      </c>
    </row>
    <row r="3518" spans="1:14" hidden="1" x14ac:dyDescent="0.25">
      <c r="A3518" t="s">
        <v>1313</v>
      </c>
      <c r="B3518" t="s">
        <v>1327</v>
      </c>
      <c r="C3518" t="s">
        <v>4991</v>
      </c>
      <c r="D3518" t="s">
        <v>21</v>
      </c>
      <c r="E3518" t="s">
        <v>17</v>
      </c>
      <c r="F3518">
        <v>606</v>
      </c>
      <c r="G3518">
        <v>12.625</v>
      </c>
      <c r="H3518" s="89">
        <v>46259</v>
      </c>
      <c r="I3518" s="89">
        <v>46263</v>
      </c>
      <c r="J3518" t="s">
        <v>4951</v>
      </c>
      <c r="K3518" t="s">
        <v>4995</v>
      </c>
      <c r="L3518">
        <v>1</v>
      </c>
      <c r="M3518" t="s">
        <v>4996</v>
      </c>
      <c r="N3518" t="s">
        <v>4908</v>
      </c>
    </row>
    <row r="3519" spans="1:14" hidden="1" x14ac:dyDescent="0.25">
      <c r="A3519" t="s">
        <v>1313</v>
      </c>
      <c r="B3519" t="s">
        <v>1327</v>
      </c>
      <c r="C3519" t="s">
        <v>4991</v>
      </c>
      <c r="D3519" t="s">
        <v>21</v>
      </c>
      <c r="E3519" t="s">
        <v>19</v>
      </c>
      <c r="F3519">
        <v>96</v>
      </c>
      <c r="G3519">
        <v>2</v>
      </c>
      <c r="H3519" s="89">
        <v>46259</v>
      </c>
      <c r="I3519" s="89">
        <v>46261</v>
      </c>
      <c r="J3519" t="s">
        <v>1656</v>
      </c>
      <c r="K3519" t="s">
        <v>4997</v>
      </c>
      <c r="L3519">
        <v>1</v>
      </c>
      <c r="M3519" t="s">
        <v>4998</v>
      </c>
      <c r="N3519" t="s">
        <v>4908</v>
      </c>
    </row>
    <row r="3520" spans="1:14" hidden="1" x14ac:dyDescent="0.25">
      <c r="A3520" t="s">
        <v>1315</v>
      </c>
      <c r="B3520" t="s">
        <v>1329</v>
      </c>
      <c r="C3520" t="s">
        <v>4991</v>
      </c>
      <c r="D3520" t="s">
        <v>21</v>
      </c>
      <c r="E3520" t="s">
        <v>19</v>
      </c>
      <c r="F3520">
        <v>83</v>
      </c>
      <c r="G3520" t="s">
        <v>1419</v>
      </c>
      <c r="H3520" s="89">
        <v>46259</v>
      </c>
      <c r="I3520" s="89">
        <v>46262</v>
      </c>
      <c r="J3520" t="s">
        <v>1656</v>
      </c>
      <c r="K3520" t="s">
        <v>4999</v>
      </c>
      <c r="L3520">
        <v>1</v>
      </c>
      <c r="M3520" t="s">
        <v>5000</v>
      </c>
      <c r="N3520" t="s">
        <v>4908</v>
      </c>
    </row>
    <row r="3521" spans="1:14" hidden="1" x14ac:dyDescent="0.25">
      <c r="A3521" t="s">
        <v>1316</v>
      </c>
      <c r="B3521" t="s">
        <v>1330</v>
      </c>
      <c r="C3521" t="s">
        <v>5001</v>
      </c>
      <c r="D3521" t="s">
        <v>21</v>
      </c>
      <c r="E3521" t="s">
        <v>19</v>
      </c>
      <c r="F3521">
        <v>35</v>
      </c>
      <c r="G3521" t="s">
        <v>1419</v>
      </c>
      <c r="H3521" s="89">
        <v>46259</v>
      </c>
      <c r="I3521" s="89">
        <v>46261</v>
      </c>
      <c r="J3521" t="s">
        <v>1656</v>
      </c>
      <c r="K3521" t="s">
        <v>5002</v>
      </c>
      <c r="L3521">
        <v>1</v>
      </c>
      <c r="M3521" t="s">
        <v>5003</v>
      </c>
      <c r="N3521" t="s">
        <v>4908</v>
      </c>
    </row>
    <row r="3522" spans="1:14" hidden="1" x14ac:dyDescent="0.25">
      <c r="A3522" t="s">
        <v>1317</v>
      </c>
      <c r="B3522" t="s">
        <v>1331</v>
      </c>
      <c r="C3522" t="s">
        <v>5004</v>
      </c>
      <c r="D3522" t="s">
        <v>21</v>
      </c>
      <c r="E3522" t="s">
        <v>19</v>
      </c>
      <c r="F3522">
        <v>14</v>
      </c>
      <c r="G3522" t="s">
        <v>1419</v>
      </c>
      <c r="H3522" s="89">
        <v>46259</v>
      </c>
      <c r="I3522" s="89">
        <v>46261</v>
      </c>
      <c r="J3522" t="s">
        <v>1656</v>
      </c>
      <c r="K3522" t="s">
        <v>5005</v>
      </c>
      <c r="L3522">
        <v>1</v>
      </c>
      <c r="M3522" t="s">
        <v>5006</v>
      </c>
      <c r="N3522" t="s">
        <v>4908</v>
      </c>
    </row>
    <row r="3523" spans="1:14" hidden="1" x14ac:dyDescent="0.25">
      <c r="A3523" t="s">
        <v>1318</v>
      </c>
      <c r="B3523" t="s">
        <v>1332</v>
      </c>
      <c r="C3523" t="s">
        <v>5007</v>
      </c>
      <c r="D3523" t="s">
        <v>21</v>
      </c>
      <c r="E3523" t="s">
        <v>19</v>
      </c>
      <c r="F3523">
        <v>76</v>
      </c>
      <c r="G3523" t="s">
        <v>1419</v>
      </c>
      <c r="H3523" s="89">
        <v>46259</v>
      </c>
      <c r="I3523" s="89">
        <v>46261</v>
      </c>
      <c r="J3523" t="s">
        <v>1656</v>
      </c>
      <c r="K3523" t="s">
        <v>5008</v>
      </c>
      <c r="L3523">
        <v>1</v>
      </c>
      <c r="M3523" t="s">
        <v>5009</v>
      </c>
      <c r="N3523" t="s">
        <v>4908</v>
      </c>
    </row>
    <row r="3524" spans="1:14" hidden="1" x14ac:dyDescent="0.25">
      <c r="A3524" t="s">
        <v>1313</v>
      </c>
      <c r="B3524" t="s">
        <v>1327</v>
      </c>
      <c r="C3524" t="s">
        <v>5010</v>
      </c>
      <c r="D3524" t="s">
        <v>15</v>
      </c>
      <c r="E3524" t="s">
        <v>18</v>
      </c>
      <c r="F3524">
        <v>192</v>
      </c>
      <c r="G3524">
        <v>4</v>
      </c>
      <c r="H3524" s="89">
        <v>46259</v>
      </c>
      <c r="I3524" s="89">
        <v>46262</v>
      </c>
      <c r="J3524" t="s">
        <v>4931</v>
      </c>
      <c r="K3524" t="s">
        <v>5011</v>
      </c>
      <c r="L3524">
        <v>1</v>
      </c>
      <c r="M3524" t="s">
        <v>5012</v>
      </c>
      <c r="N3524" t="s">
        <v>4908</v>
      </c>
    </row>
    <row r="3525" spans="1:14" hidden="1" x14ac:dyDescent="0.25">
      <c r="A3525" t="s">
        <v>1314</v>
      </c>
      <c r="B3525" t="s">
        <v>1328</v>
      </c>
      <c r="C3525" t="s">
        <v>5010</v>
      </c>
      <c r="D3525" t="s">
        <v>15</v>
      </c>
      <c r="E3525" t="s">
        <v>18</v>
      </c>
      <c r="F3525">
        <v>48</v>
      </c>
      <c r="G3525">
        <v>1</v>
      </c>
      <c r="H3525" s="89">
        <v>46259</v>
      </c>
      <c r="I3525" s="89">
        <v>46262</v>
      </c>
      <c r="J3525" t="s">
        <v>4931</v>
      </c>
      <c r="K3525" t="s">
        <v>5013</v>
      </c>
      <c r="L3525">
        <v>1</v>
      </c>
      <c r="M3525" t="s">
        <v>5014</v>
      </c>
      <c r="N3525" t="s">
        <v>4908</v>
      </c>
    </row>
    <row r="3526" spans="1:14" hidden="1" x14ac:dyDescent="0.25">
      <c r="A3526" t="s">
        <v>1313</v>
      </c>
      <c r="B3526" t="s">
        <v>1327</v>
      </c>
      <c r="C3526" t="s">
        <v>5010</v>
      </c>
      <c r="D3526" t="s">
        <v>15</v>
      </c>
      <c r="E3526" t="s">
        <v>22</v>
      </c>
      <c r="F3526">
        <v>48</v>
      </c>
      <c r="G3526">
        <v>1</v>
      </c>
      <c r="H3526" s="89">
        <v>46259</v>
      </c>
      <c r="I3526" s="89">
        <v>46263</v>
      </c>
      <c r="J3526" t="s">
        <v>5015</v>
      </c>
      <c r="K3526" t="s">
        <v>5016</v>
      </c>
      <c r="L3526">
        <v>1</v>
      </c>
      <c r="M3526" t="s">
        <v>5017</v>
      </c>
      <c r="N3526" t="s">
        <v>4908</v>
      </c>
    </row>
    <row r="3527" spans="1:14" hidden="1" x14ac:dyDescent="0.25">
      <c r="A3527" t="s">
        <v>1313</v>
      </c>
      <c r="B3527" t="s">
        <v>1327</v>
      </c>
      <c r="C3527" t="s">
        <v>5010</v>
      </c>
      <c r="D3527" t="s">
        <v>15</v>
      </c>
      <c r="E3527" t="s">
        <v>16</v>
      </c>
      <c r="F3527">
        <v>1152</v>
      </c>
      <c r="G3527">
        <v>24</v>
      </c>
      <c r="H3527" s="89">
        <v>46259</v>
      </c>
      <c r="I3527" s="89">
        <v>46262</v>
      </c>
      <c r="J3527" t="s">
        <v>5018</v>
      </c>
      <c r="K3527" t="s">
        <v>5019</v>
      </c>
      <c r="L3527">
        <v>1</v>
      </c>
      <c r="M3527" t="s">
        <v>5020</v>
      </c>
      <c r="N3527" t="s">
        <v>4908</v>
      </c>
    </row>
    <row r="3528" spans="1:14" hidden="1" x14ac:dyDescent="0.25">
      <c r="A3528" t="s">
        <v>1315</v>
      </c>
      <c r="B3528" t="s">
        <v>1329</v>
      </c>
      <c r="C3528" t="s">
        <v>5010</v>
      </c>
      <c r="D3528" t="s">
        <v>15</v>
      </c>
      <c r="E3528" t="s">
        <v>19</v>
      </c>
      <c r="F3528">
        <v>27</v>
      </c>
      <c r="G3528" t="s">
        <v>1419</v>
      </c>
      <c r="H3528" s="89">
        <v>46259</v>
      </c>
      <c r="I3528" s="89">
        <v>46262</v>
      </c>
      <c r="J3528" t="s">
        <v>1656</v>
      </c>
      <c r="K3528" t="s">
        <v>5021</v>
      </c>
      <c r="L3528">
        <v>1</v>
      </c>
      <c r="M3528" t="s">
        <v>5022</v>
      </c>
      <c r="N3528" t="s">
        <v>4908</v>
      </c>
    </row>
    <row r="3529" spans="1:14" hidden="1" x14ac:dyDescent="0.25">
      <c r="A3529" t="s">
        <v>1316</v>
      </c>
      <c r="B3529" t="s">
        <v>1330</v>
      </c>
      <c r="C3529" t="s">
        <v>5023</v>
      </c>
      <c r="D3529" t="s">
        <v>15</v>
      </c>
      <c r="E3529" t="s">
        <v>19</v>
      </c>
      <c r="F3529">
        <v>73</v>
      </c>
      <c r="G3529" t="s">
        <v>1419</v>
      </c>
      <c r="H3529" s="89">
        <v>46259</v>
      </c>
      <c r="I3529" s="89">
        <v>46261</v>
      </c>
      <c r="J3529" t="s">
        <v>1656</v>
      </c>
      <c r="K3529" t="s">
        <v>5024</v>
      </c>
      <c r="L3529">
        <v>1</v>
      </c>
      <c r="M3529" t="s">
        <v>5025</v>
      </c>
      <c r="N3529" t="s">
        <v>4908</v>
      </c>
    </row>
    <row r="3530" spans="1:14" hidden="1" x14ac:dyDescent="0.25">
      <c r="A3530" t="s">
        <v>1317</v>
      </c>
      <c r="B3530" t="s">
        <v>1331</v>
      </c>
      <c r="C3530" t="s">
        <v>5026</v>
      </c>
      <c r="D3530" t="s">
        <v>15</v>
      </c>
      <c r="E3530" t="s">
        <v>19</v>
      </c>
      <c r="F3530">
        <v>103</v>
      </c>
      <c r="G3530" t="s">
        <v>1419</v>
      </c>
      <c r="H3530" s="89">
        <v>46259</v>
      </c>
      <c r="I3530" s="89">
        <v>46261</v>
      </c>
      <c r="J3530" t="s">
        <v>1656</v>
      </c>
      <c r="K3530" t="s">
        <v>5027</v>
      </c>
      <c r="L3530">
        <v>1</v>
      </c>
      <c r="M3530" t="s">
        <v>5028</v>
      </c>
      <c r="N3530" t="s">
        <v>4908</v>
      </c>
    </row>
    <row r="3531" spans="1:14" hidden="1" x14ac:dyDescent="0.25">
      <c r="A3531" t="s">
        <v>1318</v>
      </c>
      <c r="B3531" t="s">
        <v>1332</v>
      </c>
      <c r="C3531" t="s">
        <v>5029</v>
      </c>
      <c r="D3531" t="s">
        <v>15</v>
      </c>
      <c r="E3531" t="s">
        <v>19</v>
      </c>
      <c r="F3531">
        <v>28</v>
      </c>
      <c r="G3531" t="s">
        <v>1419</v>
      </c>
      <c r="H3531" s="89">
        <v>46259</v>
      </c>
      <c r="I3531" s="89">
        <v>46261</v>
      </c>
      <c r="J3531" t="s">
        <v>1656</v>
      </c>
      <c r="K3531" t="s">
        <v>5030</v>
      </c>
      <c r="L3531">
        <v>1</v>
      </c>
      <c r="M3531" t="s">
        <v>5031</v>
      </c>
      <c r="N3531" t="s">
        <v>4908</v>
      </c>
    </row>
    <row r="3532" spans="1:14" hidden="1" x14ac:dyDescent="0.25">
      <c r="A3532" t="s">
        <v>1323</v>
      </c>
      <c r="B3532" t="s">
        <v>1337</v>
      </c>
      <c r="C3532" t="s">
        <v>5032</v>
      </c>
      <c r="D3532" t="s">
        <v>20</v>
      </c>
      <c r="E3532" t="s">
        <v>26</v>
      </c>
      <c r="F3532">
        <v>756</v>
      </c>
      <c r="G3532">
        <v>14</v>
      </c>
      <c r="H3532" s="89">
        <v>46259</v>
      </c>
      <c r="I3532" s="89">
        <v>46263</v>
      </c>
      <c r="J3532" t="s">
        <v>5033</v>
      </c>
      <c r="K3532" t="s">
        <v>5034</v>
      </c>
      <c r="L3532">
        <v>1</v>
      </c>
      <c r="M3532" t="s">
        <v>5035</v>
      </c>
      <c r="N3532" t="s">
        <v>4908</v>
      </c>
    </row>
    <row r="3533" spans="1:14" hidden="1" x14ac:dyDescent="0.25">
      <c r="A3533" t="s">
        <v>1322</v>
      </c>
      <c r="B3533" t="s">
        <v>1336</v>
      </c>
      <c r="C3533" t="s">
        <v>5032</v>
      </c>
      <c r="D3533" t="s">
        <v>20</v>
      </c>
      <c r="E3533" t="s">
        <v>26</v>
      </c>
      <c r="F3533">
        <v>324</v>
      </c>
      <c r="G3533">
        <v>6</v>
      </c>
      <c r="H3533" s="89">
        <v>46259</v>
      </c>
      <c r="I3533" s="89">
        <v>46263</v>
      </c>
      <c r="J3533" t="s">
        <v>5033</v>
      </c>
      <c r="K3533" t="s">
        <v>5036</v>
      </c>
      <c r="L3533">
        <v>1</v>
      </c>
      <c r="M3533" t="s">
        <v>5037</v>
      </c>
      <c r="N3533" t="s">
        <v>4908</v>
      </c>
    </row>
    <row r="3534" spans="1:14" hidden="1" x14ac:dyDescent="0.25">
      <c r="A3534" t="s">
        <v>1313</v>
      </c>
      <c r="B3534" t="s">
        <v>1327</v>
      </c>
      <c r="C3534" t="s">
        <v>5032</v>
      </c>
      <c r="D3534" t="s">
        <v>20</v>
      </c>
      <c r="E3534" t="s">
        <v>19</v>
      </c>
      <c r="F3534">
        <v>144</v>
      </c>
      <c r="G3534">
        <v>3</v>
      </c>
      <c r="H3534" s="89">
        <v>46259</v>
      </c>
      <c r="I3534" s="89">
        <v>46261</v>
      </c>
      <c r="J3534" t="s">
        <v>1656</v>
      </c>
      <c r="K3534" t="s">
        <v>5038</v>
      </c>
      <c r="L3534">
        <v>1</v>
      </c>
      <c r="M3534" t="s">
        <v>5039</v>
      </c>
      <c r="N3534" t="s">
        <v>4908</v>
      </c>
    </row>
    <row r="3535" spans="1:14" hidden="1" x14ac:dyDescent="0.25">
      <c r="A3535" t="s">
        <v>1315</v>
      </c>
      <c r="B3535" t="s">
        <v>1329</v>
      </c>
      <c r="C3535" t="s">
        <v>5032</v>
      </c>
      <c r="D3535" t="s">
        <v>20</v>
      </c>
      <c r="E3535" t="s">
        <v>19</v>
      </c>
      <c r="F3535">
        <v>29</v>
      </c>
      <c r="G3535" t="s">
        <v>1419</v>
      </c>
      <c r="H3535" s="89">
        <v>46259</v>
      </c>
      <c r="I3535" s="89">
        <v>46262</v>
      </c>
      <c r="J3535" t="s">
        <v>1656</v>
      </c>
      <c r="K3535" t="s">
        <v>5040</v>
      </c>
      <c r="L3535">
        <v>1</v>
      </c>
      <c r="M3535" t="s">
        <v>5041</v>
      </c>
      <c r="N3535" t="s">
        <v>4908</v>
      </c>
    </row>
    <row r="3536" spans="1:14" hidden="1" x14ac:dyDescent="0.25">
      <c r="A3536" t="s">
        <v>1316</v>
      </c>
      <c r="B3536" t="s">
        <v>1330</v>
      </c>
      <c r="C3536" t="s">
        <v>5042</v>
      </c>
      <c r="D3536" t="s">
        <v>20</v>
      </c>
      <c r="E3536" t="s">
        <v>19</v>
      </c>
      <c r="F3536">
        <v>44</v>
      </c>
      <c r="G3536" t="s">
        <v>1419</v>
      </c>
      <c r="H3536" s="89">
        <v>46259</v>
      </c>
      <c r="I3536" s="89">
        <v>46261</v>
      </c>
      <c r="J3536" t="s">
        <v>1656</v>
      </c>
      <c r="K3536" t="s">
        <v>5043</v>
      </c>
      <c r="L3536">
        <v>1</v>
      </c>
      <c r="M3536" t="s">
        <v>5044</v>
      </c>
      <c r="N3536" t="s">
        <v>4908</v>
      </c>
    </row>
    <row r="3537" spans="1:14" hidden="1" x14ac:dyDescent="0.25">
      <c r="A3537" t="s">
        <v>1317</v>
      </c>
      <c r="B3537" t="s">
        <v>1331</v>
      </c>
      <c r="C3537" t="s">
        <v>5045</v>
      </c>
      <c r="D3537" t="s">
        <v>20</v>
      </c>
      <c r="E3537" t="s">
        <v>19</v>
      </c>
      <c r="F3537">
        <v>9</v>
      </c>
      <c r="G3537" t="s">
        <v>1419</v>
      </c>
      <c r="H3537" s="89">
        <v>46259</v>
      </c>
      <c r="I3537" s="89">
        <v>46261</v>
      </c>
      <c r="J3537" t="s">
        <v>1656</v>
      </c>
      <c r="K3537" t="s">
        <v>5046</v>
      </c>
      <c r="L3537">
        <v>1</v>
      </c>
      <c r="M3537" t="s">
        <v>5047</v>
      </c>
      <c r="N3537" t="s">
        <v>4908</v>
      </c>
    </row>
    <row r="3538" spans="1:14" hidden="1" x14ac:dyDescent="0.25">
      <c r="A3538" t="s">
        <v>1318</v>
      </c>
      <c r="B3538" t="s">
        <v>1332</v>
      </c>
      <c r="C3538" t="s">
        <v>5048</v>
      </c>
      <c r="D3538" t="s">
        <v>20</v>
      </c>
      <c r="E3538" t="s">
        <v>19</v>
      </c>
      <c r="F3538">
        <v>43</v>
      </c>
      <c r="G3538" t="s">
        <v>1419</v>
      </c>
      <c r="H3538" s="89">
        <v>46259</v>
      </c>
      <c r="I3538" s="89">
        <v>46261</v>
      </c>
      <c r="J3538" t="s">
        <v>1656</v>
      </c>
      <c r="K3538" t="s">
        <v>5049</v>
      </c>
      <c r="L3538">
        <v>1</v>
      </c>
      <c r="M3538" t="s">
        <v>5050</v>
      </c>
      <c r="N3538" t="s">
        <v>4908</v>
      </c>
    </row>
    <row r="3539" spans="1:14" hidden="1" x14ac:dyDescent="0.25">
      <c r="A3539" t="s">
        <v>1313</v>
      </c>
      <c r="B3539" t="s">
        <v>1327</v>
      </c>
      <c r="C3539" t="s">
        <v>5051</v>
      </c>
      <c r="D3539" t="s">
        <v>104</v>
      </c>
      <c r="E3539" t="s">
        <v>22</v>
      </c>
      <c r="F3539">
        <v>1152</v>
      </c>
      <c r="G3539">
        <v>24</v>
      </c>
      <c r="H3539" s="89">
        <v>46260</v>
      </c>
      <c r="I3539" s="89">
        <v>46264</v>
      </c>
      <c r="J3539" t="s">
        <v>5052</v>
      </c>
      <c r="K3539" t="s">
        <v>5053</v>
      </c>
      <c r="L3539">
        <v>1</v>
      </c>
      <c r="M3539" t="s">
        <v>5054</v>
      </c>
      <c r="N3539" t="s">
        <v>4908</v>
      </c>
    </row>
    <row r="3540" spans="1:14" hidden="1" x14ac:dyDescent="0.25">
      <c r="A3540" t="s">
        <v>1320</v>
      </c>
      <c r="B3540" t="s">
        <v>1334</v>
      </c>
      <c r="C3540" t="s">
        <v>5055</v>
      </c>
      <c r="D3540" t="s">
        <v>23</v>
      </c>
      <c r="E3540" t="s">
        <v>14</v>
      </c>
      <c r="F3540">
        <v>960</v>
      </c>
      <c r="G3540">
        <v>20</v>
      </c>
      <c r="H3540" s="89">
        <v>46260</v>
      </c>
      <c r="I3540" s="89">
        <v>46265</v>
      </c>
      <c r="J3540" t="s">
        <v>5056</v>
      </c>
      <c r="K3540" t="s">
        <v>5057</v>
      </c>
      <c r="L3540">
        <v>1</v>
      </c>
      <c r="M3540" t="s">
        <v>5058</v>
      </c>
      <c r="N3540" t="s">
        <v>4908</v>
      </c>
    </row>
    <row r="3541" spans="1:14" hidden="1" x14ac:dyDescent="0.25">
      <c r="A3541" t="s">
        <v>1314</v>
      </c>
      <c r="B3541" t="s">
        <v>1328</v>
      </c>
      <c r="C3541" t="s">
        <v>5059</v>
      </c>
      <c r="D3541" t="s">
        <v>21</v>
      </c>
      <c r="E3541" t="s">
        <v>16</v>
      </c>
      <c r="F3541">
        <v>240</v>
      </c>
      <c r="G3541">
        <v>5</v>
      </c>
      <c r="H3541" s="89">
        <v>46260</v>
      </c>
      <c r="I3541" s="89">
        <v>46263</v>
      </c>
      <c r="J3541" t="s">
        <v>5060</v>
      </c>
      <c r="K3541" t="s">
        <v>5061</v>
      </c>
      <c r="L3541">
        <v>1</v>
      </c>
      <c r="M3541" t="s">
        <v>5062</v>
      </c>
      <c r="N3541" t="s">
        <v>4908</v>
      </c>
    </row>
    <row r="3542" spans="1:14" hidden="1" x14ac:dyDescent="0.25">
      <c r="A3542" t="s">
        <v>1313</v>
      </c>
      <c r="B3542" t="s">
        <v>1327</v>
      </c>
      <c r="C3542" t="s">
        <v>5059</v>
      </c>
      <c r="D3542" t="s">
        <v>21</v>
      </c>
      <c r="E3542" t="s">
        <v>16</v>
      </c>
      <c r="F3542">
        <v>912</v>
      </c>
      <c r="G3542">
        <v>19</v>
      </c>
      <c r="H3542" s="89">
        <v>46260</v>
      </c>
      <c r="I3542" s="89">
        <v>46263</v>
      </c>
      <c r="J3542" t="s">
        <v>5063</v>
      </c>
      <c r="K3542" t="s">
        <v>5064</v>
      </c>
      <c r="L3542">
        <v>1</v>
      </c>
      <c r="M3542" t="s">
        <v>5065</v>
      </c>
      <c r="N3542" t="s">
        <v>4908</v>
      </c>
    </row>
    <row r="3543" spans="1:14" hidden="1" x14ac:dyDescent="0.25">
      <c r="A3543" t="s">
        <v>1313</v>
      </c>
      <c r="B3543" t="s">
        <v>1327</v>
      </c>
      <c r="C3543" t="s">
        <v>5059</v>
      </c>
      <c r="D3543" t="s">
        <v>21</v>
      </c>
      <c r="E3543" t="s">
        <v>17</v>
      </c>
      <c r="F3543">
        <v>444</v>
      </c>
      <c r="G3543">
        <v>9.25</v>
      </c>
      <c r="H3543" s="89">
        <v>46260</v>
      </c>
      <c r="I3543" s="89">
        <v>46265</v>
      </c>
      <c r="J3543" t="s">
        <v>5066</v>
      </c>
      <c r="K3543" t="s">
        <v>5067</v>
      </c>
      <c r="L3543">
        <v>1</v>
      </c>
      <c r="M3543" t="s">
        <v>5068</v>
      </c>
      <c r="N3543" t="s">
        <v>4908</v>
      </c>
    </row>
    <row r="3544" spans="1:14" hidden="1" x14ac:dyDescent="0.25">
      <c r="A3544" t="s">
        <v>1319</v>
      </c>
      <c r="B3544" t="s">
        <v>1333</v>
      </c>
      <c r="C3544" t="s">
        <v>5059</v>
      </c>
      <c r="D3544" t="s">
        <v>21</v>
      </c>
      <c r="E3544" t="s">
        <v>17</v>
      </c>
      <c r="F3544">
        <v>84</v>
      </c>
      <c r="G3544">
        <v>1.75</v>
      </c>
      <c r="H3544" s="89">
        <v>46260</v>
      </c>
      <c r="I3544" s="89">
        <v>46265</v>
      </c>
      <c r="J3544" t="s">
        <v>5066</v>
      </c>
      <c r="K3544" t="s">
        <v>5069</v>
      </c>
      <c r="L3544">
        <v>1</v>
      </c>
      <c r="M3544" t="s">
        <v>5070</v>
      </c>
      <c r="N3544" t="s">
        <v>4908</v>
      </c>
    </row>
    <row r="3545" spans="1:14" hidden="1" x14ac:dyDescent="0.25">
      <c r="A3545" t="s">
        <v>1315</v>
      </c>
      <c r="B3545" t="s">
        <v>1329</v>
      </c>
      <c r="C3545" t="s">
        <v>5059</v>
      </c>
      <c r="D3545" t="s">
        <v>21</v>
      </c>
      <c r="E3545" t="s">
        <v>19</v>
      </c>
      <c r="F3545">
        <v>60</v>
      </c>
      <c r="G3545" t="s">
        <v>1419</v>
      </c>
      <c r="H3545" s="89">
        <v>46260</v>
      </c>
      <c r="I3545" s="89">
        <v>46262</v>
      </c>
      <c r="J3545" t="s">
        <v>1656</v>
      </c>
      <c r="K3545" t="s">
        <v>5071</v>
      </c>
      <c r="L3545">
        <v>1</v>
      </c>
      <c r="M3545" t="s">
        <v>5072</v>
      </c>
      <c r="N3545" t="s">
        <v>4908</v>
      </c>
    </row>
    <row r="3546" spans="1:14" hidden="1" x14ac:dyDescent="0.25">
      <c r="A3546" t="s">
        <v>1316</v>
      </c>
      <c r="B3546" t="s">
        <v>1330</v>
      </c>
      <c r="C3546" t="s">
        <v>5073</v>
      </c>
      <c r="D3546" t="s">
        <v>21</v>
      </c>
      <c r="E3546" t="s">
        <v>19</v>
      </c>
      <c r="F3546">
        <v>54</v>
      </c>
      <c r="G3546" t="s">
        <v>1419</v>
      </c>
      <c r="H3546" s="89">
        <v>46260</v>
      </c>
      <c r="I3546" s="89">
        <v>46262</v>
      </c>
      <c r="J3546" t="s">
        <v>1656</v>
      </c>
      <c r="K3546" t="s">
        <v>5074</v>
      </c>
      <c r="L3546">
        <v>1</v>
      </c>
      <c r="M3546" t="s">
        <v>5075</v>
      </c>
      <c r="N3546" t="s">
        <v>4908</v>
      </c>
    </row>
    <row r="3547" spans="1:14" hidden="1" x14ac:dyDescent="0.25">
      <c r="A3547" t="s">
        <v>1317</v>
      </c>
      <c r="B3547" t="s">
        <v>1331</v>
      </c>
      <c r="C3547" t="s">
        <v>5076</v>
      </c>
      <c r="D3547" t="s">
        <v>21</v>
      </c>
      <c r="E3547" t="s">
        <v>19</v>
      </c>
      <c r="F3547">
        <v>19</v>
      </c>
      <c r="G3547" t="s">
        <v>1419</v>
      </c>
      <c r="H3547" s="89">
        <v>46260</v>
      </c>
      <c r="I3547" s="89">
        <v>46262</v>
      </c>
      <c r="J3547" t="s">
        <v>1656</v>
      </c>
      <c r="K3547" t="s">
        <v>5077</v>
      </c>
      <c r="L3547">
        <v>1</v>
      </c>
      <c r="M3547" t="s">
        <v>5078</v>
      </c>
      <c r="N3547" t="s">
        <v>4908</v>
      </c>
    </row>
    <row r="3548" spans="1:14" hidden="1" x14ac:dyDescent="0.25">
      <c r="A3548" t="s">
        <v>1318</v>
      </c>
      <c r="B3548" t="s">
        <v>1332</v>
      </c>
      <c r="C3548" t="s">
        <v>5079</v>
      </c>
      <c r="D3548" t="s">
        <v>21</v>
      </c>
      <c r="E3548" t="s">
        <v>19</v>
      </c>
      <c r="F3548">
        <v>74</v>
      </c>
      <c r="G3548" t="s">
        <v>1419</v>
      </c>
      <c r="H3548" s="89">
        <v>46260</v>
      </c>
      <c r="I3548" s="89">
        <v>46262</v>
      </c>
      <c r="J3548" t="s">
        <v>1656</v>
      </c>
      <c r="K3548" t="s">
        <v>5080</v>
      </c>
      <c r="L3548">
        <v>1</v>
      </c>
      <c r="M3548" t="s">
        <v>5081</v>
      </c>
      <c r="N3548" t="s">
        <v>4908</v>
      </c>
    </row>
    <row r="3549" spans="1:14" hidden="1" x14ac:dyDescent="0.25">
      <c r="A3549" t="s">
        <v>1313</v>
      </c>
      <c r="B3549" t="s">
        <v>1327</v>
      </c>
      <c r="C3549" t="s">
        <v>5082</v>
      </c>
      <c r="D3549" t="s">
        <v>15</v>
      </c>
      <c r="E3549" t="s">
        <v>22</v>
      </c>
      <c r="F3549">
        <v>1104</v>
      </c>
      <c r="G3549">
        <v>23</v>
      </c>
      <c r="H3549" s="89">
        <v>46260</v>
      </c>
      <c r="I3549" s="89">
        <v>46263</v>
      </c>
      <c r="J3549" t="s">
        <v>5015</v>
      </c>
      <c r="K3549" t="s">
        <v>5083</v>
      </c>
      <c r="L3549">
        <v>1</v>
      </c>
      <c r="M3549" t="s">
        <v>5084</v>
      </c>
      <c r="N3549" t="s">
        <v>4908</v>
      </c>
    </row>
    <row r="3550" spans="1:14" hidden="1" x14ac:dyDescent="0.25">
      <c r="A3550" t="s">
        <v>1315</v>
      </c>
      <c r="B3550" t="s">
        <v>1329</v>
      </c>
      <c r="C3550" t="s">
        <v>5082</v>
      </c>
      <c r="D3550" t="s">
        <v>15</v>
      </c>
      <c r="E3550" t="s">
        <v>19</v>
      </c>
      <c r="F3550">
        <v>31</v>
      </c>
      <c r="G3550" t="s">
        <v>1419</v>
      </c>
      <c r="H3550" s="89">
        <v>46260</v>
      </c>
      <c r="I3550" s="89">
        <v>46262</v>
      </c>
      <c r="J3550" t="s">
        <v>1656</v>
      </c>
      <c r="K3550" t="s">
        <v>5085</v>
      </c>
      <c r="L3550">
        <v>1</v>
      </c>
      <c r="M3550" t="s">
        <v>5086</v>
      </c>
      <c r="N3550" t="s">
        <v>4908</v>
      </c>
    </row>
    <row r="3551" spans="1:14" hidden="1" x14ac:dyDescent="0.25">
      <c r="A3551" t="s">
        <v>1316</v>
      </c>
      <c r="B3551" t="s">
        <v>1330</v>
      </c>
      <c r="C3551" t="s">
        <v>5087</v>
      </c>
      <c r="D3551" t="s">
        <v>15</v>
      </c>
      <c r="E3551" t="s">
        <v>19</v>
      </c>
      <c r="F3551">
        <v>47</v>
      </c>
      <c r="G3551" t="s">
        <v>1419</v>
      </c>
      <c r="H3551" s="89">
        <v>46260</v>
      </c>
      <c r="I3551" s="89">
        <v>46262</v>
      </c>
      <c r="J3551" t="s">
        <v>1656</v>
      </c>
      <c r="K3551" t="s">
        <v>5088</v>
      </c>
      <c r="L3551">
        <v>1</v>
      </c>
      <c r="M3551" t="s">
        <v>5089</v>
      </c>
      <c r="N3551" t="s">
        <v>4908</v>
      </c>
    </row>
    <row r="3552" spans="1:14" hidden="1" x14ac:dyDescent="0.25">
      <c r="A3552" t="s">
        <v>1317</v>
      </c>
      <c r="B3552" t="s">
        <v>1331</v>
      </c>
      <c r="C3552" t="s">
        <v>5090</v>
      </c>
      <c r="D3552" t="s">
        <v>15</v>
      </c>
      <c r="E3552" t="s">
        <v>19</v>
      </c>
      <c r="F3552">
        <v>72</v>
      </c>
      <c r="G3552" t="s">
        <v>1419</v>
      </c>
      <c r="H3552" s="89">
        <v>46260</v>
      </c>
      <c r="I3552" s="89">
        <v>46262</v>
      </c>
      <c r="J3552" t="s">
        <v>1656</v>
      </c>
      <c r="K3552" t="s">
        <v>5091</v>
      </c>
      <c r="L3552">
        <v>1</v>
      </c>
      <c r="M3552" t="s">
        <v>5092</v>
      </c>
      <c r="N3552" t="s">
        <v>4908</v>
      </c>
    </row>
    <row r="3553" spans="1:14" hidden="1" x14ac:dyDescent="0.25">
      <c r="A3553" t="s">
        <v>1318</v>
      </c>
      <c r="B3553" t="s">
        <v>1332</v>
      </c>
      <c r="C3553" t="s">
        <v>5093</v>
      </c>
      <c r="D3553" t="s">
        <v>15</v>
      </c>
      <c r="E3553" t="s">
        <v>19</v>
      </c>
      <c r="F3553">
        <v>21</v>
      </c>
      <c r="G3553" t="s">
        <v>1419</v>
      </c>
      <c r="H3553" s="89">
        <v>46260</v>
      </c>
      <c r="I3553" s="89">
        <v>46262</v>
      </c>
      <c r="J3553" t="s">
        <v>1656</v>
      </c>
      <c r="K3553" t="s">
        <v>5094</v>
      </c>
      <c r="L3553">
        <v>1</v>
      </c>
      <c r="M3553" t="s">
        <v>5095</v>
      </c>
      <c r="N3553" t="s">
        <v>4908</v>
      </c>
    </row>
    <row r="3554" spans="1:14" hidden="1" x14ac:dyDescent="0.25">
      <c r="A3554" t="s">
        <v>1319</v>
      </c>
      <c r="B3554" t="s">
        <v>1333</v>
      </c>
      <c r="C3554" t="s">
        <v>5096</v>
      </c>
      <c r="D3554" t="s">
        <v>20</v>
      </c>
      <c r="E3554" t="s">
        <v>31</v>
      </c>
      <c r="F3554">
        <v>5</v>
      </c>
      <c r="G3554">
        <v>0.10416666666666669</v>
      </c>
      <c r="H3554" s="89">
        <v>46260</v>
      </c>
      <c r="I3554" s="89">
        <v>46264</v>
      </c>
      <c r="J3554" t="s">
        <v>5097</v>
      </c>
      <c r="K3554" t="s">
        <v>5098</v>
      </c>
      <c r="L3554">
        <v>1</v>
      </c>
      <c r="M3554" t="s">
        <v>5099</v>
      </c>
      <c r="N3554" t="s">
        <v>4908</v>
      </c>
    </row>
    <row r="3555" spans="1:14" hidden="1" x14ac:dyDescent="0.25">
      <c r="A3555" t="s">
        <v>1313</v>
      </c>
      <c r="B3555" t="s">
        <v>1327</v>
      </c>
      <c r="C3555" t="s">
        <v>5096</v>
      </c>
      <c r="D3555" t="s">
        <v>20</v>
      </c>
      <c r="E3555" t="s">
        <v>31</v>
      </c>
      <c r="F3555">
        <v>1147</v>
      </c>
      <c r="G3555">
        <v>23.895833333333332</v>
      </c>
      <c r="H3555" s="89">
        <v>46260</v>
      </c>
      <c r="I3555" s="89">
        <v>46264</v>
      </c>
      <c r="J3555" t="s">
        <v>5097</v>
      </c>
      <c r="K3555" t="s">
        <v>5100</v>
      </c>
      <c r="L3555">
        <v>1</v>
      </c>
      <c r="M3555" t="s">
        <v>5101</v>
      </c>
      <c r="N3555" t="s">
        <v>4908</v>
      </c>
    </row>
    <row r="3556" spans="1:14" hidden="1" x14ac:dyDescent="0.25">
      <c r="A3556" t="s">
        <v>1313</v>
      </c>
      <c r="B3556" t="s">
        <v>1327</v>
      </c>
      <c r="C3556" t="s">
        <v>5096</v>
      </c>
      <c r="D3556" t="s">
        <v>20</v>
      </c>
      <c r="E3556" t="s">
        <v>19</v>
      </c>
      <c r="F3556">
        <v>144</v>
      </c>
      <c r="G3556">
        <v>3</v>
      </c>
      <c r="H3556" s="89">
        <v>46260</v>
      </c>
      <c r="I3556" s="89">
        <v>46260</v>
      </c>
      <c r="J3556" t="s">
        <v>1656</v>
      </c>
      <c r="K3556" t="s">
        <v>5102</v>
      </c>
      <c r="L3556">
        <v>1</v>
      </c>
      <c r="M3556" t="s">
        <v>5103</v>
      </c>
      <c r="N3556" t="s">
        <v>4908</v>
      </c>
    </row>
    <row r="3557" spans="1:14" hidden="1" x14ac:dyDescent="0.25">
      <c r="A3557" t="s">
        <v>1325</v>
      </c>
      <c r="B3557" t="s">
        <v>1339</v>
      </c>
      <c r="C3557" t="s">
        <v>5096</v>
      </c>
      <c r="D3557" t="s">
        <v>20</v>
      </c>
      <c r="E3557" t="s">
        <v>19</v>
      </c>
      <c r="F3557">
        <v>144</v>
      </c>
      <c r="G3557">
        <v>3</v>
      </c>
      <c r="H3557" s="89">
        <v>46260</v>
      </c>
      <c r="I3557" s="89">
        <v>46260</v>
      </c>
      <c r="J3557" t="s">
        <v>1656</v>
      </c>
      <c r="K3557" t="s">
        <v>5104</v>
      </c>
      <c r="L3557">
        <v>1</v>
      </c>
      <c r="M3557" t="s">
        <v>5105</v>
      </c>
      <c r="N3557" t="s">
        <v>4908</v>
      </c>
    </row>
    <row r="3558" spans="1:14" hidden="1" x14ac:dyDescent="0.25">
      <c r="A3558" t="s">
        <v>1315</v>
      </c>
      <c r="B3558" t="s">
        <v>1329</v>
      </c>
      <c r="C3558" t="s">
        <v>5096</v>
      </c>
      <c r="D3558" t="s">
        <v>20</v>
      </c>
      <c r="E3558" t="s">
        <v>19</v>
      </c>
      <c r="F3558">
        <v>30</v>
      </c>
      <c r="G3558" t="s">
        <v>1419</v>
      </c>
      <c r="H3558" s="89">
        <v>46260</v>
      </c>
      <c r="I3558" s="89">
        <v>46262</v>
      </c>
      <c r="J3558" t="s">
        <v>1656</v>
      </c>
      <c r="K3558" t="s">
        <v>5106</v>
      </c>
      <c r="L3558">
        <v>1</v>
      </c>
      <c r="M3558" t="s">
        <v>5107</v>
      </c>
      <c r="N3558" t="s">
        <v>4908</v>
      </c>
    </row>
    <row r="3559" spans="1:14" hidden="1" x14ac:dyDescent="0.25">
      <c r="A3559" t="s">
        <v>1316</v>
      </c>
      <c r="B3559" t="s">
        <v>1330</v>
      </c>
      <c r="C3559" t="s">
        <v>5108</v>
      </c>
      <c r="D3559" t="s">
        <v>20</v>
      </c>
      <c r="E3559" t="s">
        <v>19</v>
      </c>
      <c r="F3559">
        <v>121</v>
      </c>
      <c r="G3559" t="s">
        <v>1419</v>
      </c>
      <c r="H3559" s="89">
        <v>46260</v>
      </c>
      <c r="I3559" s="89">
        <v>46262</v>
      </c>
      <c r="J3559" t="s">
        <v>1656</v>
      </c>
      <c r="K3559" t="s">
        <v>5109</v>
      </c>
      <c r="L3559">
        <v>1</v>
      </c>
      <c r="M3559" t="s">
        <v>5110</v>
      </c>
      <c r="N3559" t="s">
        <v>4908</v>
      </c>
    </row>
    <row r="3560" spans="1:14" hidden="1" x14ac:dyDescent="0.25">
      <c r="A3560" t="s">
        <v>1317</v>
      </c>
      <c r="B3560" t="s">
        <v>1331</v>
      </c>
      <c r="C3560" t="s">
        <v>5111</v>
      </c>
      <c r="D3560" t="s">
        <v>20</v>
      </c>
      <c r="E3560" t="s">
        <v>19</v>
      </c>
      <c r="F3560">
        <v>32</v>
      </c>
      <c r="G3560" t="s">
        <v>1419</v>
      </c>
      <c r="H3560" s="89">
        <v>46260</v>
      </c>
      <c r="I3560" s="89">
        <v>46262</v>
      </c>
      <c r="J3560" t="s">
        <v>1656</v>
      </c>
      <c r="K3560" t="s">
        <v>5112</v>
      </c>
      <c r="L3560">
        <v>1</v>
      </c>
      <c r="M3560" t="s">
        <v>5113</v>
      </c>
      <c r="N3560" t="s">
        <v>4908</v>
      </c>
    </row>
    <row r="3561" spans="1:14" hidden="1" x14ac:dyDescent="0.25">
      <c r="A3561" t="s">
        <v>1318</v>
      </c>
      <c r="B3561" t="s">
        <v>1332</v>
      </c>
      <c r="C3561" t="s">
        <v>5114</v>
      </c>
      <c r="D3561" t="s">
        <v>20</v>
      </c>
      <c r="E3561" t="s">
        <v>19</v>
      </c>
      <c r="F3561">
        <v>52</v>
      </c>
      <c r="G3561" t="s">
        <v>1419</v>
      </c>
      <c r="H3561" s="89">
        <v>46260</v>
      </c>
      <c r="I3561" s="89">
        <v>46262</v>
      </c>
      <c r="J3561" t="s">
        <v>1656</v>
      </c>
      <c r="K3561" t="s">
        <v>5115</v>
      </c>
      <c r="L3561">
        <v>1</v>
      </c>
      <c r="M3561" t="s">
        <v>5116</v>
      </c>
      <c r="N3561" t="s">
        <v>4908</v>
      </c>
    </row>
    <row r="3562" spans="1:14" hidden="1" x14ac:dyDescent="0.25">
      <c r="A3562" t="s">
        <v>1324</v>
      </c>
      <c r="B3562" t="s">
        <v>1338</v>
      </c>
      <c r="C3562" t="s">
        <v>5117</v>
      </c>
      <c r="D3562" t="s">
        <v>119</v>
      </c>
      <c r="E3562" t="s">
        <v>25</v>
      </c>
      <c r="F3562">
        <v>960</v>
      </c>
      <c r="G3562">
        <v>20</v>
      </c>
      <c r="H3562" s="89">
        <v>46261</v>
      </c>
      <c r="I3562" s="89">
        <v>46267</v>
      </c>
      <c r="J3562" t="s">
        <v>5118</v>
      </c>
      <c r="K3562" t="s">
        <v>5119</v>
      </c>
      <c r="L3562">
        <v>1</v>
      </c>
      <c r="M3562" t="s">
        <v>5120</v>
      </c>
      <c r="N3562" t="s">
        <v>4908</v>
      </c>
    </row>
    <row r="3563" spans="1:14" hidden="1" x14ac:dyDescent="0.25">
      <c r="A3563" t="s">
        <v>1324</v>
      </c>
      <c r="B3563" t="s">
        <v>1338</v>
      </c>
      <c r="C3563" t="s">
        <v>5121</v>
      </c>
      <c r="D3563" t="s">
        <v>88</v>
      </c>
      <c r="E3563" t="s">
        <v>25</v>
      </c>
      <c r="F3563">
        <v>960</v>
      </c>
      <c r="G3563">
        <v>20</v>
      </c>
      <c r="H3563" s="89">
        <v>46261</v>
      </c>
      <c r="I3563" s="89">
        <v>46267</v>
      </c>
      <c r="J3563" t="s">
        <v>5118</v>
      </c>
      <c r="K3563" t="s">
        <v>5122</v>
      </c>
      <c r="L3563">
        <v>1</v>
      </c>
      <c r="M3563" t="s">
        <v>5123</v>
      </c>
      <c r="N3563" t="s">
        <v>4908</v>
      </c>
    </row>
    <row r="3564" spans="1:14" hidden="1" x14ac:dyDescent="0.25">
      <c r="A3564" t="s">
        <v>1320</v>
      </c>
      <c r="B3564" t="s">
        <v>1334</v>
      </c>
      <c r="C3564" t="s">
        <v>5124</v>
      </c>
      <c r="D3564" t="s">
        <v>23</v>
      </c>
      <c r="E3564" t="s">
        <v>14</v>
      </c>
      <c r="F3564">
        <v>960</v>
      </c>
      <c r="G3564">
        <v>20</v>
      </c>
      <c r="H3564" s="89">
        <v>46261</v>
      </c>
      <c r="I3564" s="89">
        <v>46265</v>
      </c>
      <c r="J3564" t="s">
        <v>5125</v>
      </c>
      <c r="K3564" t="s">
        <v>5126</v>
      </c>
      <c r="L3564">
        <v>1</v>
      </c>
      <c r="M3564" t="s">
        <v>5127</v>
      </c>
      <c r="N3564" t="s">
        <v>4908</v>
      </c>
    </row>
    <row r="3565" spans="1:14" hidden="1" x14ac:dyDescent="0.25">
      <c r="A3565" t="s">
        <v>1320</v>
      </c>
      <c r="B3565" t="s">
        <v>1334</v>
      </c>
      <c r="C3565" t="s">
        <v>5128</v>
      </c>
      <c r="D3565" t="s">
        <v>30</v>
      </c>
      <c r="E3565" t="s">
        <v>14</v>
      </c>
      <c r="F3565">
        <v>576</v>
      </c>
      <c r="G3565">
        <v>12</v>
      </c>
      <c r="H3565" s="89">
        <v>46261</v>
      </c>
      <c r="I3565" s="89">
        <v>46266</v>
      </c>
      <c r="J3565" t="s">
        <v>5129</v>
      </c>
      <c r="K3565" t="s">
        <v>5130</v>
      </c>
      <c r="L3565">
        <v>1</v>
      </c>
      <c r="M3565" t="s">
        <v>5131</v>
      </c>
      <c r="N3565" t="s">
        <v>4908</v>
      </c>
    </row>
    <row r="3566" spans="1:14" hidden="1" x14ac:dyDescent="0.25">
      <c r="A3566" t="s">
        <v>1313</v>
      </c>
      <c r="B3566" t="s">
        <v>1327</v>
      </c>
      <c r="C3566" t="s">
        <v>5132</v>
      </c>
      <c r="D3566" t="s">
        <v>103</v>
      </c>
      <c r="E3566" t="s">
        <v>18</v>
      </c>
      <c r="F3566">
        <v>960</v>
      </c>
      <c r="G3566">
        <v>20</v>
      </c>
      <c r="H3566" s="89">
        <v>46261</v>
      </c>
      <c r="I3566" s="89">
        <v>46265</v>
      </c>
      <c r="J3566" t="s">
        <v>5133</v>
      </c>
      <c r="K3566" t="s">
        <v>5134</v>
      </c>
      <c r="L3566">
        <v>1</v>
      </c>
      <c r="M3566" t="s">
        <v>5135</v>
      </c>
      <c r="N3566" t="s">
        <v>4908</v>
      </c>
    </row>
    <row r="3567" spans="1:14" hidden="1" x14ac:dyDescent="0.25">
      <c r="A3567" t="s">
        <v>1313</v>
      </c>
      <c r="B3567" t="s">
        <v>1327</v>
      </c>
      <c r="C3567" t="s">
        <v>5136</v>
      </c>
      <c r="D3567" t="s">
        <v>28</v>
      </c>
      <c r="E3567" t="s">
        <v>18</v>
      </c>
      <c r="F3567">
        <v>1056</v>
      </c>
      <c r="G3567">
        <v>22</v>
      </c>
      <c r="H3567" s="89">
        <v>46261</v>
      </c>
      <c r="I3567" s="89">
        <v>46267</v>
      </c>
      <c r="J3567" t="s">
        <v>5137</v>
      </c>
      <c r="K3567" t="s">
        <v>5138</v>
      </c>
      <c r="L3567">
        <v>1</v>
      </c>
      <c r="M3567" t="s">
        <v>5139</v>
      </c>
      <c r="N3567" t="s">
        <v>4908</v>
      </c>
    </row>
    <row r="3568" spans="1:14" hidden="1" x14ac:dyDescent="0.25">
      <c r="A3568" t="s">
        <v>1315</v>
      </c>
      <c r="B3568" t="s">
        <v>1329</v>
      </c>
      <c r="C3568" t="s">
        <v>5136</v>
      </c>
      <c r="D3568" t="s">
        <v>28</v>
      </c>
      <c r="E3568" t="s">
        <v>19</v>
      </c>
      <c r="F3568">
        <v>21</v>
      </c>
      <c r="G3568" t="s">
        <v>1419</v>
      </c>
      <c r="H3568" s="89">
        <v>46261</v>
      </c>
      <c r="I3568" s="89">
        <v>46263</v>
      </c>
      <c r="J3568" t="s">
        <v>1656</v>
      </c>
      <c r="K3568" t="s">
        <v>5140</v>
      </c>
      <c r="L3568">
        <v>1</v>
      </c>
      <c r="M3568" t="s">
        <v>5141</v>
      </c>
      <c r="N3568" t="s">
        <v>4908</v>
      </c>
    </row>
    <row r="3569" spans="1:14" hidden="1" x14ac:dyDescent="0.25">
      <c r="A3569" t="s">
        <v>1316</v>
      </c>
      <c r="B3569" t="s">
        <v>1330</v>
      </c>
      <c r="C3569" t="s">
        <v>5142</v>
      </c>
      <c r="D3569" t="s">
        <v>28</v>
      </c>
      <c r="E3569" t="s">
        <v>19</v>
      </c>
      <c r="F3569">
        <v>11</v>
      </c>
      <c r="G3569" t="s">
        <v>1419</v>
      </c>
      <c r="H3569" s="89">
        <v>46261</v>
      </c>
      <c r="I3569" s="89">
        <v>46263</v>
      </c>
      <c r="J3569" t="s">
        <v>1656</v>
      </c>
      <c r="K3569" t="s">
        <v>5143</v>
      </c>
      <c r="L3569">
        <v>1</v>
      </c>
      <c r="M3569" t="s">
        <v>5144</v>
      </c>
      <c r="N3569" t="s">
        <v>4908</v>
      </c>
    </row>
    <row r="3570" spans="1:14" hidden="1" x14ac:dyDescent="0.25">
      <c r="A3570" t="s">
        <v>1317</v>
      </c>
      <c r="B3570" t="s">
        <v>1331</v>
      </c>
      <c r="C3570" t="s">
        <v>5145</v>
      </c>
      <c r="D3570" t="s">
        <v>28</v>
      </c>
      <c r="E3570" t="s">
        <v>19</v>
      </c>
      <c r="F3570">
        <v>12</v>
      </c>
      <c r="G3570" t="s">
        <v>1419</v>
      </c>
      <c r="H3570" s="89">
        <v>46261</v>
      </c>
      <c r="I3570" s="89">
        <v>46263</v>
      </c>
      <c r="J3570" t="s">
        <v>1656</v>
      </c>
      <c r="K3570" t="s">
        <v>5146</v>
      </c>
      <c r="L3570">
        <v>1</v>
      </c>
      <c r="M3570" t="s">
        <v>5147</v>
      </c>
      <c r="N3570" t="s">
        <v>4908</v>
      </c>
    </row>
    <row r="3571" spans="1:14" hidden="1" x14ac:dyDescent="0.25">
      <c r="A3571" t="s">
        <v>1318</v>
      </c>
      <c r="B3571" t="s">
        <v>1332</v>
      </c>
      <c r="C3571" t="s">
        <v>5148</v>
      </c>
      <c r="D3571" t="s">
        <v>28</v>
      </c>
      <c r="E3571" t="s">
        <v>19</v>
      </c>
      <c r="F3571">
        <v>33</v>
      </c>
      <c r="G3571" t="s">
        <v>1419</v>
      </c>
      <c r="H3571" s="89">
        <v>46261</v>
      </c>
      <c r="I3571" s="89">
        <v>46263</v>
      </c>
      <c r="J3571" t="s">
        <v>1656</v>
      </c>
      <c r="K3571" t="s">
        <v>5149</v>
      </c>
      <c r="L3571">
        <v>1</v>
      </c>
      <c r="M3571" t="s">
        <v>5150</v>
      </c>
      <c r="N3571" t="s">
        <v>4908</v>
      </c>
    </row>
    <row r="3572" spans="1:14" hidden="1" x14ac:dyDescent="0.25">
      <c r="A3572" t="s">
        <v>1313</v>
      </c>
      <c r="B3572" t="s">
        <v>1327</v>
      </c>
      <c r="C3572" t="s">
        <v>5151</v>
      </c>
      <c r="D3572" t="s">
        <v>15</v>
      </c>
      <c r="E3572" t="s">
        <v>17</v>
      </c>
      <c r="F3572">
        <v>768</v>
      </c>
      <c r="G3572">
        <v>16</v>
      </c>
      <c r="H3572" s="89">
        <v>46261</v>
      </c>
      <c r="I3572" s="89">
        <v>46265</v>
      </c>
      <c r="J3572" t="s">
        <v>5066</v>
      </c>
      <c r="K3572" t="s">
        <v>5152</v>
      </c>
      <c r="L3572">
        <v>1</v>
      </c>
      <c r="M3572" t="s">
        <v>5153</v>
      </c>
      <c r="N3572" t="s">
        <v>4908</v>
      </c>
    </row>
    <row r="3573" spans="1:14" hidden="1" x14ac:dyDescent="0.25">
      <c r="A3573" t="s">
        <v>1314</v>
      </c>
      <c r="B3573" t="s">
        <v>1328</v>
      </c>
      <c r="C3573" t="s">
        <v>5151</v>
      </c>
      <c r="D3573" t="s">
        <v>15</v>
      </c>
      <c r="E3573" t="s">
        <v>31</v>
      </c>
      <c r="F3573">
        <v>96</v>
      </c>
      <c r="G3573">
        <v>2</v>
      </c>
      <c r="H3573" s="89">
        <v>46261</v>
      </c>
      <c r="I3573" s="89">
        <v>46265</v>
      </c>
      <c r="J3573" t="s">
        <v>5154</v>
      </c>
      <c r="K3573" t="s">
        <v>5155</v>
      </c>
      <c r="L3573">
        <v>1</v>
      </c>
      <c r="M3573" t="s">
        <v>5156</v>
      </c>
      <c r="N3573" t="s">
        <v>4908</v>
      </c>
    </row>
    <row r="3574" spans="1:14" hidden="1" x14ac:dyDescent="0.25">
      <c r="A3574" t="s">
        <v>1314</v>
      </c>
      <c r="B3574" t="s">
        <v>1328</v>
      </c>
      <c r="C3574" t="s">
        <v>5151</v>
      </c>
      <c r="D3574" t="s">
        <v>15</v>
      </c>
      <c r="E3574" t="s">
        <v>18</v>
      </c>
      <c r="F3574">
        <v>96</v>
      </c>
      <c r="G3574">
        <v>2</v>
      </c>
      <c r="H3574" s="89">
        <v>46261</v>
      </c>
      <c r="I3574" s="89">
        <v>46265</v>
      </c>
      <c r="J3574" t="s">
        <v>5133</v>
      </c>
      <c r="K3574" t="s">
        <v>5157</v>
      </c>
      <c r="L3574">
        <v>1</v>
      </c>
      <c r="M3574" t="s">
        <v>5158</v>
      </c>
      <c r="N3574" t="s">
        <v>4908</v>
      </c>
    </row>
    <row r="3575" spans="1:14" hidden="1" x14ac:dyDescent="0.25">
      <c r="A3575" t="s">
        <v>1313</v>
      </c>
      <c r="B3575" t="s">
        <v>1327</v>
      </c>
      <c r="C3575" t="s">
        <v>5151</v>
      </c>
      <c r="D3575" t="s">
        <v>15</v>
      </c>
      <c r="E3575" t="s">
        <v>17</v>
      </c>
      <c r="F3575">
        <v>144</v>
      </c>
      <c r="G3575">
        <v>3</v>
      </c>
      <c r="H3575" s="89">
        <v>46261</v>
      </c>
      <c r="I3575" s="89">
        <v>46266</v>
      </c>
      <c r="J3575" t="s">
        <v>5159</v>
      </c>
      <c r="K3575" t="s">
        <v>5160</v>
      </c>
      <c r="L3575">
        <v>1</v>
      </c>
      <c r="M3575" t="s">
        <v>5161</v>
      </c>
      <c r="N3575" t="s">
        <v>4908</v>
      </c>
    </row>
    <row r="3576" spans="1:14" hidden="1" x14ac:dyDescent="0.25">
      <c r="A3576" t="s">
        <v>1319</v>
      </c>
      <c r="B3576" t="s">
        <v>1333</v>
      </c>
      <c r="C3576" t="s">
        <v>5151</v>
      </c>
      <c r="D3576" t="s">
        <v>15</v>
      </c>
      <c r="E3576" t="s">
        <v>31</v>
      </c>
      <c r="F3576">
        <v>5</v>
      </c>
      <c r="G3576">
        <v>0.10416666666666669</v>
      </c>
      <c r="H3576" s="89">
        <v>46261</v>
      </c>
      <c r="I3576" s="89">
        <v>46265</v>
      </c>
      <c r="J3576" t="s">
        <v>5162</v>
      </c>
      <c r="K3576" t="s">
        <v>5163</v>
      </c>
      <c r="L3576">
        <v>1</v>
      </c>
      <c r="M3576" t="s">
        <v>5164</v>
      </c>
      <c r="N3576" t="s">
        <v>4908</v>
      </c>
    </row>
    <row r="3577" spans="1:14" hidden="1" x14ac:dyDescent="0.25">
      <c r="A3577" t="s">
        <v>1313</v>
      </c>
      <c r="B3577" t="s">
        <v>1327</v>
      </c>
      <c r="C3577" t="s">
        <v>5151</v>
      </c>
      <c r="D3577" t="s">
        <v>15</v>
      </c>
      <c r="E3577" t="s">
        <v>31</v>
      </c>
      <c r="F3577">
        <v>91</v>
      </c>
      <c r="G3577">
        <v>1.8958333333333333</v>
      </c>
      <c r="H3577" s="89">
        <v>46261</v>
      </c>
      <c r="I3577" s="89">
        <v>46265</v>
      </c>
      <c r="J3577" t="s">
        <v>5162</v>
      </c>
      <c r="K3577" t="s">
        <v>5165</v>
      </c>
      <c r="L3577">
        <v>1</v>
      </c>
      <c r="M3577" t="s">
        <v>5166</v>
      </c>
      <c r="N3577" t="s">
        <v>4908</v>
      </c>
    </row>
    <row r="3578" spans="1:14" hidden="1" x14ac:dyDescent="0.25">
      <c r="A3578" t="s">
        <v>1315</v>
      </c>
      <c r="B3578" t="s">
        <v>1329</v>
      </c>
      <c r="C3578" t="s">
        <v>5151</v>
      </c>
      <c r="D3578" t="s">
        <v>15</v>
      </c>
      <c r="E3578" t="s">
        <v>19</v>
      </c>
      <c r="F3578">
        <v>20</v>
      </c>
      <c r="G3578" t="s">
        <v>1419</v>
      </c>
      <c r="H3578" s="89">
        <v>46261</v>
      </c>
      <c r="I3578" s="89">
        <v>46263</v>
      </c>
      <c r="J3578" t="s">
        <v>1656</v>
      </c>
      <c r="K3578" t="s">
        <v>5167</v>
      </c>
      <c r="L3578">
        <v>1</v>
      </c>
      <c r="M3578" t="s">
        <v>5168</v>
      </c>
      <c r="N3578" t="s">
        <v>4908</v>
      </c>
    </row>
    <row r="3579" spans="1:14" hidden="1" x14ac:dyDescent="0.25">
      <c r="A3579" t="s">
        <v>1316</v>
      </c>
      <c r="B3579" t="s">
        <v>1330</v>
      </c>
      <c r="C3579" t="s">
        <v>5169</v>
      </c>
      <c r="D3579" t="s">
        <v>15</v>
      </c>
      <c r="E3579" t="s">
        <v>19</v>
      </c>
      <c r="F3579">
        <v>43</v>
      </c>
      <c r="G3579" t="s">
        <v>1419</v>
      </c>
      <c r="H3579" s="89">
        <v>46261</v>
      </c>
      <c r="I3579" s="89">
        <v>46263</v>
      </c>
      <c r="J3579" t="s">
        <v>1656</v>
      </c>
      <c r="K3579" t="s">
        <v>5170</v>
      </c>
      <c r="L3579">
        <v>1</v>
      </c>
      <c r="M3579" t="s">
        <v>5171</v>
      </c>
      <c r="N3579" t="s">
        <v>4908</v>
      </c>
    </row>
    <row r="3580" spans="1:14" hidden="1" x14ac:dyDescent="0.25">
      <c r="A3580" t="s">
        <v>1317</v>
      </c>
      <c r="B3580" t="s">
        <v>1331</v>
      </c>
      <c r="C3580" t="s">
        <v>5172</v>
      </c>
      <c r="D3580" t="s">
        <v>15</v>
      </c>
      <c r="E3580" t="s">
        <v>19</v>
      </c>
      <c r="F3580">
        <v>53</v>
      </c>
      <c r="G3580" t="s">
        <v>1419</v>
      </c>
      <c r="H3580" s="89">
        <v>46261</v>
      </c>
      <c r="I3580" s="89">
        <v>46263</v>
      </c>
      <c r="J3580" t="s">
        <v>1656</v>
      </c>
      <c r="K3580" t="s">
        <v>5173</v>
      </c>
      <c r="L3580">
        <v>1</v>
      </c>
      <c r="M3580" t="s">
        <v>5174</v>
      </c>
      <c r="N3580" t="s">
        <v>4908</v>
      </c>
    </row>
    <row r="3581" spans="1:14" hidden="1" x14ac:dyDescent="0.25">
      <c r="A3581" t="s">
        <v>1318</v>
      </c>
      <c r="B3581" t="s">
        <v>1332</v>
      </c>
      <c r="C3581" t="s">
        <v>5175</v>
      </c>
      <c r="D3581" t="s">
        <v>15</v>
      </c>
      <c r="E3581" t="s">
        <v>19</v>
      </c>
      <c r="F3581">
        <v>17</v>
      </c>
      <c r="G3581" t="s">
        <v>1419</v>
      </c>
      <c r="H3581" s="89">
        <v>46261</v>
      </c>
      <c r="I3581" s="89">
        <v>46263</v>
      </c>
      <c r="J3581" t="s">
        <v>1656</v>
      </c>
      <c r="K3581" t="s">
        <v>5176</v>
      </c>
      <c r="L3581">
        <v>1</v>
      </c>
      <c r="M3581" t="s">
        <v>5177</v>
      </c>
      <c r="N3581" t="s">
        <v>4908</v>
      </c>
    </row>
    <row r="3582" spans="1:14" hidden="1" x14ac:dyDescent="0.25">
      <c r="A3582" t="s">
        <v>1313</v>
      </c>
      <c r="B3582" t="s">
        <v>1327</v>
      </c>
      <c r="C3582" t="s">
        <v>5178</v>
      </c>
      <c r="D3582" t="s">
        <v>20</v>
      </c>
      <c r="E3582" t="s">
        <v>31</v>
      </c>
      <c r="F3582">
        <v>960</v>
      </c>
      <c r="G3582">
        <v>20</v>
      </c>
      <c r="H3582" s="89">
        <v>46261</v>
      </c>
      <c r="I3582" s="89">
        <v>46265</v>
      </c>
      <c r="J3582" t="s">
        <v>5162</v>
      </c>
      <c r="K3582" t="s">
        <v>5179</v>
      </c>
      <c r="L3582">
        <v>1</v>
      </c>
      <c r="M3582" t="s">
        <v>5180</v>
      </c>
      <c r="N3582" t="s">
        <v>4908</v>
      </c>
    </row>
    <row r="3583" spans="1:14" hidden="1" x14ac:dyDescent="0.25">
      <c r="A3583" t="s">
        <v>1313</v>
      </c>
      <c r="B3583" t="s">
        <v>1327</v>
      </c>
      <c r="C3583" t="s">
        <v>5178</v>
      </c>
      <c r="D3583" t="s">
        <v>20</v>
      </c>
      <c r="E3583" t="s">
        <v>18</v>
      </c>
      <c r="F3583">
        <v>96</v>
      </c>
      <c r="G3583">
        <v>2</v>
      </c>
      <c r="H3583" s="89">
        <v>46261</v>
      </c>
      <c r="I3583" s="89">
        <v>46265</v>
      </c>
      <c r="J3583" t="s">
        <v>5133</v>
      </c>
      <c r="K3583" t="s">
        <v>5181</v>
      </c>
      <c r="L3583">
        <v>1</v>
      </c>
      <c r="M3583" t="s">
        <v>5182</v>
      </c>
      <c r="N3583" t="s">
        <v>4908</v>
      </c>
    </row>
    <row r="3584" spans="1:14" hidden="1" x14ac:dyDescent="0.25">
      <c r="A3584" t="s">
        <v>1313</v>
      </c>
      <c r="B3584" t="s">
        <v>1327</v>
      </c>
      <c r="C3584" t="s">
        <v>5178</v>
      </c>
      <c r="D3584" t="s">
        <v>20</v>
      </c>
      <c r="E3584" t="s">
        <v>19</v>
      </c>
      <c r="F3584">
        <v>48</v>
      </c>
      <c r="G3584">
        <v>1</v>
      </c>
      <c r="H3584" s="89">
        <v>46261</v>
      </c>
      <c r="I3584" s="89">
        <v>46263</v>
      </c>
      <c r="J3584" t="s">
        <v>1656</v>
      </c>
      <c r="K3584" t="s">
        <v>5183</v>
      </c>
      <c r="L3584">
        <v>1</v>
      </c>
      <c r="M3584" t="s">
        <v>5184</v>
      </c>
      <c r="N3584" t="s">
        <v>4908</v>
      </c>
    </row>
    <row r="3585" spans="1:14" hidden="1" x14ac:dyDescent="0.25">
      <c r="A3585" t="s">
        <v>1325</v>
      </c>
      <c r="B3585" t="s">
        <v>1339</v>
      </c>
      <c r="C3585" t="s">
        <v>5178</v>
      </c>
      <c r="D3585" t="s">
        <v>20</v>
      </c>
      <c r="E3585" t="s">
        <v>19</v>
      </c>
      <c r="F3585">
        <v>96</v>
      </c>
      <c r="G3585">
        <v>2</v>
      </c>
      <c r="H3585" s="89">
        <v>46261</v>
      </c>
      <c r="I3585" s="89">
        <v>46263</v>
      </c>
      <c r="J3585" t="s">
        <v>1656</v>
      </c>
      <c r="K3585" t="s">
        <v>5185</v>
      </c>
      <c r="L3585">
        <v>1</v>
      </c>
      <c r="M3585" t="s">
        <v>5186</v>
      </c>
      <c r="N3585" t="s">
        <v>4908</v>
      </c>
    </row>
    <row r="3586" spans="1:14" hidden="1" x14ac:dyDescent="0.25">
      <c r="A3586" t="s">
        <v>1316</v>
      </c>
      <c r="B3586" t="s">
        <v>1330</v>
      </c>
      <c r="C3586" t="s">
        <v>5187</v>
      </c>
      <c r="D3586" t="s">
        <v>20</v>
      </c>
      <c r="E3586" t="s">
        <v>19</v>
      </c>
      <c r="F3586">
        <v>84</v>
      </c>
      <c r="G3586" t="s">
        <v>1419</v>
      </c>
      <c r="H3586" s="89">
        <v>46261</v>
      </c>
      <c r="I3586" s="89">
        <v>46263</v>
      </c>
      <c r="J3586" t="s">
        <v>1656</v>
      </c>
      <c r="K3586" t="s">
        <v>5188</v>
      </c>
      <c r="L3586">
        <v>1</v>
      </c>
      <c r="M3586" t="s">
        <v>5189</v>
      </c>
      <c r="N3586" t="s">
        <v>4908</v>
      </c>
    </row>
    <row r="3587" spans="1:14" hidden="1" x14ac:dyDescent="0.25">
      <c r="A3587" t="s">
        <v>1317</v>
      </c>
      <c r="B3587" t="s">
        <v>1331</v>
      </c>
      <c r="C3587" t="s">
        <v>5190</v>
      </c>
      <c r="D3587" t="s">
        <v>20</v>
      </c>
      <c r="E3587" t="s">
        <v>19</v>
      </c>
      <c r="F3587">
        <v>20</v>
      </c>
      <c r="G3587" t="s">
        <v>1419</v>
      </c>
      <c r="H3587" s="89">
        <v>46261</v>
      </c>
      <c r="I3587" s="89">
        <v>46263</v>
      </c>
      <c r="J3587" t="s">
        <v>1656</v>
      </c>
      <c r="K3587" t="s">
        <v>5191</v>
      </c>
      <c r="L3587">
        <v>1</v>
      </c>
      <c r="M3587" t="s">
        <v>5192</v>
      </c>
      <c r="N3587" t="s">
        <v>4908</v>
      </c>
    </row>
    <row r="3588" spans="1:14" hidden="1" x14ac:dyDescent="0.25">
      <c r="A3588" t="s">
        <v>1318</v>
      </c>
      <c r="B3588" t="s">
        <v>1332</v>
      </c>
      <c r="C3588" t="s">
        <v>5193</v>
      </c>
      <c r="D3588" t="s">
        <v>20</v>
      </c>
      <c r="E3588" t="s">
        <v>19</v>
      </c>
      <c r="F3588">
        <v>33</v>
      </c>
      <c r="G3588" t="s">
        <v>1419</v>
      </c>
      <c r="H3588" s="89">
        <v>46261</v>
      </c>
      <c r="I3588" s="89">
        <v>46263</v>
      </c>
      <c r="J3588" t="s">
        <v>1656</v>
      </c>
      <c r="K3588" t="s">
        <v>5194</v>
      </c>
      <c r="L3588">
        <v>1</v>
      </c>
      <c r="M3588" t="s">
        <v>5195</v>
      </c>
      <c r="N3588" t="s">
        <v>4908</v>
      </c>
    </row>
    <row r="3589" spans="1:14" hidden="1" x14ac:dyDescent="0.25">
      <c r="A3589" t="s">
        <v>1324</v>
      </c>
      <c r="B3589" t="s">
        <v>1338</v>
      </c>
      <c r="C3589" t="s">
        <v>5196</v>
      </c>
      <c r="D3589" t="s">
        <v>88</v>
      </c>
      <c r="E3589" t="s">
        <v>65</v>
      </c>
      <c r="F3589">
        <v>960</v>
      </c>
      <c r="G3589">
        <v>20</v>
      </c>
      <c r="H3589" s="89">
        <v>46262</v>
      </c>
      <c r="I3589" s="89">
        <v>46269</v>
      </c>
      <c r="J3589" t="s">
        <v>5197</v>
      </c>
      <c r="K3589" t="s">
        <v>5198</v>
      </c>
      <c r="L3589">
        <v>1</v>
      </c>
      <c r="M3589" t="s">
        <v>5199</v>
      </c>
      <c r="N3589" t="s">
        <v>4908</v>
      </c>
    </row>
    <row r="3590" spans="1:14" hidden="1" x14ac:dyDescent="0.25">
      <c r="A3590" t="s">
        <v>1320</v>
      </c>
      <c r="B3590" t="s">
        <v>1334</v>
      </c>
      <c r="C3590" t="s">
        <v>5200</v>
      </c>
      <c r="D3590" t="s">
        <v>30</v>
      </c>
      <c r="E3590" t="s">
        <v>14</v>
      </c>
      <c r="F3590">
        <v>384</v>
      </c>
      <c r="G3590">
        <v>8</v>
      </c>
      <c r="H3590" s="89">
        <v>46262</v>
      </c>
      <c r="I3590" s="89">
        <v>46266</v>
      </c>
      <c r="J3590" t="s">
        <v>5129</v>
      </c>
      <c r="K3590" t="s">
        <v>5201</v>
      </c>
      <c r="L3590">
        <v>1</v>
      </c>
      <c r="M3590" t="s">
        <v>5202</v>
      </c>
      <c r="N3590" t="s">
        <v>4908</v>
      </c>
    </row>
    <row r="3591" spans="1:14" hidden="1" x14ac:dyDescent="0.25">
      <c r="A3591" t="s">
        <v>1320</v>
      </c>
      <c r="B3591" t="s">
        <v>1334</v>
      </c>
      <c r="C3591" t="s">
        <v>5203</v>
      </c>
      <c r="D3591" t="s">
        <v>23</v>
      </c>
      <c r="E3591" t="s">
        <v>14</v>
      </c>
      <c r="F3591">
        <v>960</v>
      </c>
      <c r="G3591">
        <v>20</v>
      </c>
      <c r="H3591" s="89">
        <v>46262</v>
      </c>
      <c r="I3591" s="89">
        <v>46266</v>
      </c>
      <c r="J3591" t="s">
        <v>5204</v>
      </c>
      <c r="K3591" t="s">
        <v>5205</v>
      </c>
      <c r="L3591">
        <v>1</v>
      </c>
      <c r="M3591" t="s">
        <v>5206</v>
      </c>
      <c r="N3591" t="s">
        <v>4908</v>
      </c>
    </row>
    <row r="3592" spans="1:14" hidden="1" x14ac:dyDescent="0.25">
      <c r="A3592" t="s">
        <v>1326</v>
      </c>
      <c r="B3592" t="s">
        <v>1340</v>
      </c>
      <c r="C3592" t="s">
        <v>5207</v>
      </c>
      <c r="D3592" t="s">
        <v>32</v>
      </c>
      <c r="E3592" t="s">
        <v>14</v>
      </c>
      <c r="F3592">
        <v>1008</v>
      </c>
      <c r="G3592">
        <v>24</v>
      </c>
      <c r="H3592" s="89">
        <v>46262</v>
      </c>
      <c r="I3592" s="89">
        <v>46266</v>
      </c>
      <c r="J3592" t="s">
        <v>5208</v>
      </c>
      <c r="K3592" t="s">
        <v>5209</v>
      </c>
      <c r="L3592">
        <v>1</v>
      </c>
      <c r="M3592" t="s">
        <v>5210</v>
      </c>
      <c r="N3592" t="s">
        <v>4908</v>
      </c>
    </row>
    <row r="3593" spans="1:14" hidden="1" x14ac:dyDescent="0.25">
      <c r="A3593" t="s">
        <v>1325</v>
      </c>
      <c r="B3593" t="s">
        <v>1339</v>
      </c>
      <c r="C3593" t="s">
        <v>5211</v>
      </c>
      <c r="D3593" t="s">
        <v>27</v>
      </c>
      <c r="E3593" t="s">
        <v>19</v>
      </c>
      <c r="F3593">
        <v>480</v>
      </c>
      <c r="G3593">
        <v>10</v>
      </c>
      <c r="H3593" s="89">
        <v>46262</v>
      </c>
      <c r="I3593" s="89">
        <v>46266</v>
      </c>
      <c r="J3593" t="s">
        <v>1656</v>
      </c>
      <c r="K3593" t="s">
        <v>5212</v>
      </c>
      <c r="L3593">
        <v>1</v>
      </c>
      <c r="M3593" t="s">
        <v>5213</v>
      </c>
      <c r="N3593" t="s">
        <v>4908</v>
      </c>
    </row>
    <row r="3594" spans="1:14" hidden="1" x14ac:dyDescent="0.25">
      <c r="A3594" t="s">
        <v>1313</v>
      </c>
      <c r="B3594" t="s">
        <v>1327</v>
      </c>
      <c r="C3594" t="s">
        <v>5214</v>
      </c>
      <c r="D3594" t="s">
        <v>104</v>
      </c>
      <c r="E3594" t="s">
        <v>22</v>
      </c>
      <c r="F3594">
        <v>1152</v>
      </c>
      <c r="G3594">
        <v>24</v>
      </c>
      <c r="H3594" s="89">
        <v>46262</v>
      </c>
      <c r="I3594" s="89">
        <v>46267</v>
      </c>
      <c r="J3594" t="s">
        <v>5215</v>
      </c>
      <c r="K3594" t="s">
        <v>5216</v>
      </c>
      <c r="L3594">
        <v>1</v>
      </c>
      <c r="M3594" t="s">
        <v>5217</v>
      </c>
      <c r="N3594" t="s">
        <v>4908</v>
      </c>
    </row>
    <row r="3595" spans="1:14" hidden="1" x14ac:dyDescent="0.25">
      <c r="A3595" t="s">
        <v>1314</v>
      </c>
      <c r="B3595" t="s">
        <v>1328</v>
      </c>
      <c r="C3595" t="s">
        <v>5218</v>
      </c>
      <c r="D3595" t="s">
        <v>21</v>
      </c>
      <c r="E3595" t="s">
        <v>18</v>
      </c>
      <c r="F3595">
        <v>96</v>
      </c>
      <c r="G3595">
        <v>2</v>
      </c>
      <c r="H3595" s="89">
        <v>46262</v>
      </c>
      <c r="I3595" s="89">
        <v>46267</v>
      </c>
      <c r="J3595" t="s">
        <v>5137</v>
      </c>
      <c r="K3595" t="s">
        <v>5219</v>
      </c>
      <c r="L3595">
        <v>1</v>
      </c>
      <c r="M3595" t="s">
        <v>5220</v>
      </c>
      <c r="N3595" t="s">
        <v>4908</v>
      </c>
    </row>
    <row r="3596" spans="1:14" hidden="1" x14ac:dyDescent="0.25">
      <c r="A3596" t="s">
        <v>1313</v>
      </c>
      <c r="B3596" t="s">
        <v>1327</v>
      </c>
      <c r="C3596" t="s">
        <v>5218</v>
      </c>
      <c r="D3596" t="s">
        <v>21</v>
      </c>
      <c r="E3596" t="s">
        <v>17</v>
      </c>
      <c r="F3596">
        <v>1104</v>
      </c>
      <c r="G3596">
        <v>23</v>
      </c>
      <c r="H3596" s="89">
        <v>46262</v>
      </c>
      <c r="I3596" s="89">
        <v>46267</v>
      </c>
      <c r="J3596" t="s">
        <v>5221</v>
      </c>
      <c r="K3596" t="s">
        <v>5222</v>
      </c>
      <c r="L3596">
        <v>1</v>
      </c>
      <c r="M3596" t="s">
        <v>5223</v>
      </c>
      <c r="N3596" t="s">
        <v>4908</v>
      </c>
    </row>
    <row r="3597" spans="1:14" hidden="1" x14ac:dyDescent="0.25">
      <c r="A3597" t="s">
        <v>1319</v>
      </c>
      <c r="B3597" t="s">
        <v>1333</v>
      </c>
      <c r="C3597" t="s">
        <v>5218</v>
      </c>
      <c r="D3597" t="s">
        <v>21</v>
      </c>
      <c r="E3597" t="s">
        <v>17</v>
      </c>
      <c r="F3597">
        <v>48</v>
      </c>
      <c r="G3597">
        <v>1</v>
      </c>
      <c r="H3597" s="89">
        <v>46262</v>
      </c>
      <c r="I3597" s="89">
        <v>46267</v>
      </c>
      <c r="J3597" t="s">
        <v>5221</v>
      </c>
      <c r="K3597" t="s">
        <v>5224</v>
      </c>
      <c r="L3597">
        <v>1</v>
      </c>
      <c r="M3597" t="s">
        <v>5225</v>
      </c>
      <c r="N3597" t="s">
        <v>4908</v>
      </c>
    </row>
    <row r="3598" spans="1:14" hidden="1" x14ac:dyDescent="0.25">
      <c r="A3598" t="s">
        <v>1315</v>
      </c>
      <c r="B3598" t="s">
        <v>1329</v>
      </c>
      <c r="C3598" t="s">
        <v>5218</v>
      </c>
      <c r="D3598" t="s">
        <v>21</v>
      </c>
      <c r="E3598" t="s">
        <v>19</v>
      </c>
      <c r="F3598">
        <v>88</v>
      </c>
      <c r="G3598" t="s">
        <v>1419</v>
      </c>
      <c r="H3598" s="89">
        <v>46262</v>
      </c>
      <c r="I3598" s="89">
        <v>46264</v>
      </c>
      <c r="J3598" t="s">
        <v>1656</v>
      </c>
      <c r="K3598" t="s">
        <v>5226</v>
      </c>
      <c r="L3598">
        <v>1</v>
      </c>
      <c r="M3598" t="s">
        <v>5227</v>
      </c>
      <c r="N3598" t="s">
        <v>4908</v>
      </c>
    </row>
    <row r="3599" spans="1:14" hidden="1" x14ac:dyDescent="0.25">
      <c r="A3599" t="s">
        <v>1316</v>
      </c>
      <c r="B3599" t="s">
        <v>1330</v>
      </c>
      <c r="C3599" t="s">
        <v>5228</v>
      </c>
      <c r="D3599" t="s">
        <v>21</v>
      </c>
      <c r="E3599" t="s">
        <v>19</v>
      </c>
      <c r="F3599">
        <v>44</v>
      </c>
      <c r="G3599" t="s">
        <v>1419</v>
      </c>
      <c r="H3599" s="89">
        <v>46262</v>
      </c>
      <c r="I3599" s="89">
        <v>46264</v>
      </c>
      <c r="J3599" t="s">
        <v>1656</v>
      </c>
      <c r="K3599" t="s">
        <v>5229</v>
      </c>
      <c r="L3599">
        <v>1</v>
      </c>
      <c r="M3599" t="s">
        <v>5230</v>
      </c>
      <c r="N3599" t="s">
        <v>4908</v>
      </c>
    </row>
    <row r="3600" spans="1:14" hidden="1" x14ac:dyDescent="0.25">
      <c r="A3600" t="s">
        <v>1317</v>
      </c>
      <c r="B3600" t="s">
        <v>1331</v>
      </c>
      <c r="C3600" t="s">
        <v>5231</v>
      </c>
      <c r="D3600" t="s">
        <v>21</v>
      </c>
      <c r="E3600" t="s">
        <v>19</v>
      </c>
      <c r="F3600">
        <v>13</v>
      </c>
      <c r="G3600" t="s">
        <v>1419</v>
      </c>
      <c r="H3600" s="89">
        <v>46262</v>
      </c>
      <c r="I3600" s="89">
        <v>46264</v>
      </c>
      <c r="J3600" t="s">
        <v>1656</v>
      </c>
      <c r="K3600" t="s">
        <v>5232</v>
      </c>
      <c r="L3600">
        <v>1</v>
      </c>
      <c r="M3600" t="s">
        <v>5233</v>
      </c>
      <c r="N3600" t="s">
        <v>4908</v>
      </c>
    </row>
    <row r="3601" spans="1:14" hidden="1" x14ac:dyDescent="0.25">
      <c r="A3601" t="s">
        <v>1318</v>
      </c>
      <c r="B3601" t="s">
        <v>1332</v>
      </c>
      <c r="C3601" t="s">
        <v>5234</v>
      </c>
      <c r="D3601" t="s">
        <v>21</v>
      </c>
      <c r="E3601" t="s">
        <v>19</v>
      </c>
      <c r="F3601">
        <v>55</v>
      </c>
      <c r="G3601" t="s">
        <v>1419</v>
      </c>
      <c r="H3601" s="89">
        <v>46262</v>
      </c>
      <c r="I3601" s="89">
        <v>46264</v>
      </c>
      <c r="J3601" t="s">
        <v>1656</v>
      </c>
      <c r="K3601" t="s">
        <v>5235</v>
      </c>
      <c r="L3601">
        <v>1</v>
      </c>
      <c r="M3601" t="s">
        <v>5236</v>
      </c>
      <c r="N3601" t="s">
        <v>4908</v>
      </c>
    </row>
    <row r="3602" spans="1:14" hidden="1" x14ac:dyDescent="0.25">
      <c r="A3602" t="s">
        <v>1314</v>
      </c>
      <c r="B3602" t="s">
        <v>1328</v>
      </c>
      <c r="C3602" t="s">
        <v>5237</v>
      </c>
      <c r="D3602" t="s">
        <v>15</v>
      </c>
      <c r="E3602" t="s">
        <v>16</v>
      </c>
      <c r="F3602">
        <v>288</v>
      </c>
      <c r="G3602">
        <v>6</v>
      </c>
      <c r="H3602" s="89">
        <v>46262</v>
      </c>
      <c r="I3602" s="89">
        <v>46268</v>
      </c>
      <c r="J3602" t="s">
        <v>5238</v>
      </c>
      <c r="K3602" t="s">
        <v>5239</v>
      </c>
      <c r="L3602">
        <v>1</v>
      </c>
      <c r="M3602" t="s">
        <v>5240</v>
      </c>
      <c r="N3602" t="s">
        <v>4908</v>
      </c>
    </row>
    <row r="3603" spans="1:14" hidden="1" x14ac:dyDescent="0.25">
      <c r="A3603" t="s">
        <v>1313</v>
      </c>
      <c r="B3603" t="s">
        <v>1327</v>
      </c>
      <c r="C3603" t="s">
        <v>5237</v>
      </c>
      <c r="D3603" t="s">
        <v>15</v>
      </c>
      <c r="E3603" t="s">
        <v>16</v>
      </c>
      <c r="F3603">
        <v>864</v>
      </c>
      <c r="G3603">
        <v>18</v>
      </c>
      <c r="H3603" s="89">
        <v>46262</v>
      </c>
      <c r="I3603" s="89">
        <v>46268</v>
      </c>
      <c r="J3603" t="s">
        <v>5241</v>
      </c>
      <c r="K3603" t="s">
        <v>5242</v>
      </c>
      <c r="L3603">
        <v>1</v>
      </c>
      <c r="M3603" t="s">
        <v>5243</v>
      </c>
      <c r="N3603" t="s">
        <v>4908</v>
      </c>
    </row>
    <row r="3604" spans="1:14" hidden="1" x14ac:dyDescent="0.25">
      <c r="A3604" t="s">
        <v>1315</v>
      </c>
      <c r="B3604" t="s">
        <v>1329</v>
      </c>
      <c r="C3604" t="s">
        <v>5237</v>
      </c>
      <c r="D3604" t="s">
        <v>15</v>
      </c>
      <c r="E3604" t="s">
        <v>19</v>
      </c>
      <c r="F3604">
        <v>8</v>
      </c>
      <c r="G3604" t="s">
        <v>1419</v>
      </c>
      <c r="H3604" s="89">
        <v>46262</v>
      </c>
      <c r="I3604" s="89">
        <v>46264</v>
      </c>
      <c r="J3604" t="s">
        <v>1656</v>
      </c>
      <c r="K3604" t="s">
        <v>5244</v>
      </c>
      <c r="L3604">
        <v>1</v>
      </c>
      <c r="M3604" t="s">
        <v>5245</v>
      </c>
      <c r="N3604" t="s">
        <v>4908</v>
      </c>
    </row>
    <row r="3605" spans="1:14" hidden="1" x14ac:dyDescent="0.25">
      <c r="A3605" t="s">
        <v>1316</v>
      </c>
      <c r="B3605" t="s">
        <v>1330</v>
      </c>
      <c r="C3605" t="s">
        <v>5246</v>
      </c>
      <c r="D3605" t="s">
        <v>15</v>
      </c>
      <c r="E3605" t="s">
        <v>19</v>
      </c>
      <c r="F3605">
        <v>51</v>
      </c>
      <c r="G3605" t="s">
        <v>1419</v>
      </c>
      <c r="H3605" s="89">
        <v>46262</v>
      </c>
      <c r="I3605" s="89">
        <v>46264</v>
      </c>
      <c r="J3605" t="s">
        <v>1656</v>
      </c>
      <c r="K3605" t="s">
        <v>5247</v>
      </c>
      <c r="L3605">
        <v>1</v>
      </c>
      <c r="M3605" t="s">
        <v>5248</v>
      </c>
      <c r="N3605" t="s">
        <v>4908</v>
      </c>
    </row>
    <row r="3606" spans="1:14" hidden="1" x14ac:dyDescent="0.25">
      <c r="A3606" t="s">
        <v>1317</v>
      </c>
      <c r="B3606" t="s">
        <v>1331</v>
      </c>
      <c r="C3606" t="s">
        <v>5249</v>
      </c>
      <c r="D3606" t="s">
        <v>15</v>
      </c>
      <c r="E3606" t="s">
        <v>19</v>
      </c>
      <c r="F3606">
        <v>84</v>
      </c>
      <c r="G3606" t="s">
        <v>1419</v>
      </c>
      <c r="H3606" s="89">
        <v>46262</v>
      </c>
      <c r="I3606" s="89">
        <v>46264</v>
      </c>
      <c r="J3606" t="s">
        <v>1656</v>
      </c>
      <c r="K3606" t="s">
        <v>5250</v>
      </c>
      <c r="L3606">
        <v>1</v>
      </c>
      <c r="M3606" t="s">
        <v>5251</v>
      </c>
      <c r="N3606" t="s">
        <v>4908</v>
      </c>
    </row>
    <row r="3607" spans="1:14" hidden="1" x14ac:dyDescent="0.25">
      <c r="A3607" t="s">
        <v>1318</v>
      </c>
      <c r="B3607" t="s">
        <v>1332</v>
      </c>
      <c r="C3607" t="s">
        <v>5252</v>
      </c>
      <c r="D3607" t="s">
        <v>15</v>
      </c>
      <c r="E3607" t="s">
        <v>19</v>
      </c>
      <c r="F3607">
        <v>18</v>
      </c>
      <c r="G3607" t="s">
        <v>1419</v>
      </c>
      <c r="H3607" s="89">
        <v>46262</v>
      </c>
      <c r="I3607" s="89">
        <v>46264</v>
      </c>
      <c r="J3607" t="s">
        <v>1656</v>
      </c>
      <c r="K3607" t="s">
        <v>5253</v>
      </c>
      <c r="L3607">
        <v>1</v>
      </c>
      <c r="M3607" t="s">
        <v>5254</v>
      </c>
      <c r="N3607" t="s">
        <v>4908</v>
      </c>
    </row>
    <row r="3608" spans="1:14" hidden="1" x14ac:dyDescent="0.25">
      <c r="A3608" t="s">
        <v>1313</v>
      </c>
      <c r="B3608" t="s">
        <v>1327</v>
      </c>
      <c r="C3608" t="s">
        <v>5255</v>
      </c>
      <c r="D3608" t="s">
        <v>20</v>
      </c>
      <c r="E3608" t="s">
        <v>17</v>
      </c>
      <c r="F3608">
        <v>144</v>
      </c>
      <c r="G3608">
        <v>3</v>
      </c>
      <c r="H3608" s="89">
        <v>46262</v>
      </c>
      <c r="I3608" s="89">
        <v>46266</v>
      </c>
      <c r="J3608" t="s">
        <v>5159</v>
      </c>
      <c r="K3608" t="s">
        <v>5256</v>
      </c>
      <c r="L3608">
        <v>1</v>
      </c>
      <c r="M3608" t="s">
        <v>5257</v>
      </c>
      <c r="N3608" t="s">
        <v>4908</v>
      </c>
    </row>
    <row r="3609" spans="1:14" hidden="1" x14ac:dyDescent="0.25">
      <c r="A3609" t="s">
        <v>1313</v>
      </c>
      <c r="B3609" t="s">
        <v>1327</v>
      </c>
      <c r="C3609" t="s">
        <v>5255</v>
      </c>
      <c r="D3609" t="s">
        <v>20</v>
      </c>
      <c r="E3609" t="s">
        <v>17</v>
      </c>
      <c r="F3609">
        <v>720</v>
      </c>
      <c r="G3609">
        <v>15</v>
      </c>
      <c r="H3609" s="89">
        <v>46262</v>
      </c>
      <c r="I3609" s="89">
        <v>46266</v>
      </c>
      <c r="J3609" t="s">
        <v>5258</v>
      </c>
      <c r="K3609" t="s">
        <v>5256</v>
      </c>
      <c r="L3609">
        <v>2</v>
      </c>
      <c r="M3609" t="s">
        <v>5259</v>
      </c>
      <c r="N3609" t="s">
        <v>4908</v>
      </c>
    </row>
    <row r="3610" spans="1:14" hidden="1" x14ac:dyDescent="0.25">
      <c r="A3610" t="s">
        <v>1313</v>
      </c>
      <c r="B3610" t="s">
        <v>1327</v>
      </c>
      <c r="C3610" t="s">
        <v>5255</v>
      </c>
      <c r="D3610" t="s">
        <v>20</v>
      </c>
      <c r="E3610" t="s">
        <v>19</v>
      </c>
      <c r="F3610">
        <v>48</v>
      </c>
      <c r="G3610">
        <v>1</v>
      </c>
      <c r="H3610" s="89">
        <v>46262</v>
      </c>
      <c r="I3610" s="89">
        <v>46266</v>
      </c>
      <c r="J3610" t="s">
        <v>1656</v>
      </c>
      <c r="K3610" t="s">
        <v>5260</v>
      </c>
      <c r="L3610">
        <v>1</v>
      </c>
      <c r="M3610" t="s">
        <v>5261</v>
      </c>
      <c r="N3610" t="s">
        <v>4908</v>
      </c>
    </row>
    <row r="3611" spans="1:14" hidden="1" x14ac:dyDescent="0.25">
      <c r="A3611" t="s">
        <v>1313</v>
      </c>
      <c r="B3611" t="s">
        <v>1327</v>
      </c>
      <c r="C3611" t="s">
        <v>5255</v>
      </c>
      <c r="D3611" t="s">
        <v>20</v>
      </c>
      <c r="E3611" t="s">
        <v>17</v>
      </c>
      <c r="F3611">
        <v>144</v>
      </c>
      <c r="G3611">
        <v>3</v>
      </c>
      <c r="H3611" s="89">
        <v>46262</v>
      </c>
      <c r="I3611" s="89">
        <v>46268</v>
      </c>
      <c r="J3611" t="s">
        <v>5262</v>
      </c>
      <c r="K3611" t="s">
        <v>5263</v>
      </c>
      <c r="L3611">
        <v>1</v>
      </c>
      <c r="M3611" t="s">
        <v>5264</v>
      </c>
      <c r="N3611" t="s">
        <v>4908</v>
      </c>
    </row>
    <row r="3612" spans="1:14" hidden="1" x14ac:dyDescent="0.25">
      <c r="A3612" t="s">
        <v>1313</v>
      </c>
      <c r="B3612" t="s">
        <v>1327</v>
      </c>
      <c r="C3612" t="s">
        <v>5255</v>
      </c>
      <c r="D3612" t="s">
        <v>20</v>
      </c>
      <c r="E3612" t="s">
        <v>19</v>
      </c>
      <c r="F3612">
        <v>144</v>
      </c>
      <c r="G3612">
        <v>3</v>
      </c>
      <c r="H3612" s="89">
        <v>46262</v>
      </c>
      <c r="I3612" s="89">
        <v>46264</v>
      </c>
      <c r="J3612" t="s">
        <v>1656</v>
      </c>
      <c r="K3612" t="s">
        <v>5265</v>
      </c>
      <c r="L3612">
        <v>1</v>
      </c>
      <c r="M3612" t="s">
        <v>5266</v>
      </c>
      <c r="N3612" t="s">
        <v>4908</v>
      </c>
    </row>
    <row r="3613" spans="1:14" hidden="1" x14ac:dyDescent="0.25">
      <c r="A3613" t="s">
        <v>1315</v>
      </c>
      <c r="B3613" t="s">
        <v>1329</v>
      </c>
      <c r="C3613" t="s">
        <v>5255</v>
      </c>
      <c r="D3613" t="s">
        <v>20</v>
      </c>
      <c r="E3613" t="s">
        <v>19</v>
      </c>
      <c r="F3613">
        <v>18</v>
      </c>
      <c r="G3613" t="s">
        <v>1419</v>
      </c>
      <c r="H3613" s="89">
        <v>46262</v>
      </c>
      <c r="I3613" s="89">
        <v>46264</v>
      </c>
      <c r="J3613" t="s">
        <v>1656</v>
      </c>
      <c r="K3613" t="s">
        <v>5267</v>
      </c>
      <c r="L3613">
        <v>1</v>
      </c>
      <c r="M3613" t="s">
        <v>5268</v>
      </c>
      <c r="N3613" t="s">
        <v>4908</v>
      </c>
    </row>
    <row r="3614" spans="1:14" hidden="1" x14ac:dyDescent="0.25">
      <c r="A3614" t="s">
        <v>1316</v>
      </c>
      <c r="B3614" t="s">
        <v>1330</v>
      </c>
      <c r="C3614" t="s">
        <v>5269</v>
      </c>
      <c r="D3614" t="s">
        <v>20</v>
      </c>
      <c r="E3614" t="s">
        <v>19</v>
      </c>
      <c r="F3614">
        <v>99</v>
      </c>
      <c r="G3614" t="s">
        <v>1419</v>
      </c>
      <c r="H3614" s="89">
        <v>46262</v>
      </c>
      <c r="I3614" s="89">
        <v>46264</v>
      </c>
      <c r="J3614" t="s">
        <v>1656</v>
      </c>
      <c r="K3614" t="s">
        <v>5270</v>
      </c>
      <c r="L3614">
        <v>1</v>
      </c>
      <c r="M3614" t="s">
        <v>5271</v>
      </c>
      <c r="N3614" t="s">
        <v>4908</v>
      </c>
    </row>
    <row r="3615" spans="1:14" hidden="1" x14ac:dyDescent="0.25">
      <c r="A3615" t="s">
        <v>1317</v>
      </c>
      <c r="B3615" t="s">
        <v>1331</v>
      </c>
      <c r="C3615" t="s">
        <v>5272</v>
      </c>
      <c r="D3615" t="s">
        <v>20</v>
      </c>
      <c r="E3615" t="s">
        <v>19</v>
      </c>
      <c r="F3615">
        <v>15</v>
      </c>
      <c r="G3615" t="s">
        <v>1419</v>
      </c>
      <c r="H3615" s="89">
        <v>46262</v>
      </c>
      <c r="I3615" s="89">
        <v>46264</v>
      </c>
      <c r="J3615" t="s">
        <v>1656</v>
      </c>
      <c r="K3615" t="s">
        <v>5273</v>
      </c>
      <c r="L3615">
        <v>1</v>
      </c>
      <c r="M3615" t="s">
        <v>5274</v>
      </c>
      <c r="N3615" t="s">
        <v>4908</v>
      </c>
    </row>
    <row r="3616" spans="1:14" hidden="1" x14ac:dyDescent="0.25">
      <c r="A3616" t="s">
        <v>1318</v>
      </c>
      <c r="B3616" t="s">
        <v>1332</v>
      </c>
      <c r="C3616" t="s">
        <v>5275</v>
      </c>
      <c r="D3616" t="s">
        <v>20</v>
      </c>
      <c r="E3616" t="s">
        <v>19</v>
      </c>
      <c r="F3616">
        <v>42</v>
      </c>
      <c r="G3616" t="s">
        <v>1419</v>
      </c>
      <c r="H3616" s="89">
        <v>46262</v>
      </c>
      <c r="I3616" s="89">
        <v>46264</v>
      </c>
      <c r="J3616" t="s">
        <v>1656</v>
      </c>
      <c r="K3616" t="s">
        <v>5276</v>
      </c>
      <c r="L3616">
        <v>1</v>
      </c>
      <c r="M3616" t="s">
        <v>5277</v>
      </c>
      <c r="N3616" t="s">
        <v>4908</v>
      </c>
    </row>
    <row r="3617" spans="1:14" hidden="1" x14ac:dyDescent="0.25">
      <c r="A3617" t="s">
        <v>1324</v>
      </c>
      <c r="B3617" t="s">
        <v>1338</v>
      </c>
      <c r="C3617" t="s">
        <v>5278</v>
      </c>
      <c r="D3617" t="s">
        <v>88</v>
      </c>
      <c r="E3617" t="s">
        <v>65</v>
      </c>
      <c r="F3617">
        <v>960</v>
      </c>
      <c r="G3617">
        <v>20</v>
      </c>
      <c r="H3617" s="89">
        <v>46263</v>
      </c>
      <c r="I3617" s="89">
        <v>46269</v>
      </c>
      <c r="J3617" t="s">
        <v>5197</v>
      </c>
      <c r="K3617" t="s">
        <v>5279</v>
      </c>
      <c r="L3617">
        <v>1</v>
      </c>
      <c r="M3617" t="s">
        <v>5280</v>
      </c>
      <c r="N3617" t="s">
        <v>4908</v>
      </c>
    </row>
    <row r="3618" spans="1:14" hidden="1" x14ac:dyDescent="0.25">
      <c r="A3618" t="s">
        <v>1324</v>
      </c>
      <c r="B3618" t="s">
        <v>1338</v>
      </c>
      <c r="C3618" t="s">
        <v>5281</v>
      </c>
      <c r="D3618" t="s">
        <v>13</v>
      </c>
      <c r="E3618" t="s">
        <v>25</v>
      </c>
      <c r="F3618">
        <v>960</v>
      </c>
      <c r="G3618">
        <v>20</v>
      </c>
      <c r="H3618" s="89">
        <v>46263</v>
      </c>
      <c r="I3618" s="89">
        <v>46269</v>
      </c>
      <c r="J3618" t="s">
        <v>5282</v>
      </c>
      <c r="K3618" t="s">
        <v>5283</v>
      </c>
      <c r="L3618">
        <v>1</v>
      </c>
      <c r="M3618" t="s">
        <v>5284</v>
      </c>
      <c r="N3618" t="s">
        <v>4908</v>
      </c>
    </row>
    <row r="3619" spans="1:14" hidden="1" x14ac:dyDescent="0.25">
      <c r="A3619" t="s">
        <v>1324</v>
      </c>
      <c r="B3619" t="s">
        <v>1338</v>
      </c>
      <c r="C3619" t="s">
        <v>5285</v>
      </c>
      <c r="D3619" t="s">
        <v>24</v>
      </c>
      <c r="E3619" t="s">
        <v>25</v>
      </c>
      <c r="F3619">
        <v>960</v>
      </c>
      <c r="G3619">
        <v>20</v>
      </c>
      <c r="H3619" s="89">
        <v>46263</v>
      </c>
      <c r="I3619" s="89">
        <v>46269</v>
      </c>
      <c r="J3619" t="s">
        <v>5282</v>
      </c>
      <c r="K3619" t="s">
        <v>5286</v>
      </c>
      <c r="L3619">
        <v>1</v>
      </c>
      <c r="M3619" t="s">
        <v>5287</v>
      </c>
      <c r="N3619" t="s">
        <v>4908</v>
      </c>
    </row>
    <row r="3620" spans="1:14" hidden="1" x14ac:dyDescent="0.25">
      <c r="A3620" t="s">
        <v>1320</v>
      </c>
      <c r="B3620" t="s">
        <v>1334</v>
      </c>
      <c r="C3620" t="s">
        <v>5288</v>
      </c>
      <c r="D3620" t="s">
        <v>21</v>
      </c>
      <c r="E3620" t="s">
        <v>14</v>
      </c>
      <c r="F3620">
        <v>960</v>
      </c>
      <c r="G3620">
        <v>20</v>
      </c>
      <c r="H3620" s="89">
        <v>46263</v>
      </c>
      <c r="I3620" s="89">
        <v>46268</v>
      </c>
      <c r="J3620" t="s">
        <v>5289</v>
      </c>
      <c r="K3620" t="s">
        <v>5290</v>
      </c>
      <c r="L3620">
        <v>1</v>
      </c>
      <c r="M3620" t="s">
        <v>5291</v>
      </c>
      <c r="N3620" t="s">
        <v>4908</v>
      </c>
    </row>
    <row r="3621" spans="1:14" hidden="1" x14ac:dyDescent="0.25">
      <c r="A3621" t="s">
        <v>1313</v>
      </c>
      <c r="B3621" t="s">
        <v>1327</v>
      </c>
      <c r="C3621" t="s">
        <v>5288</v>
      </c>
      <c r="D3621" t="s">
        <v>21</v>
      </c>
      <c r="E3621" t="s">
        <v>19</v>
      </c>
      <c r="F3621">
        <v>96</v>
      </c>
      <c r="G3621">
        <v>2</v>
      </c>
      <c r="H3621" s="89">
        <v>46263</v>
      </c>
      <c r="I3621" s="89">
        <v>46265</v>
      </c>
      <c r="J3621" t="s">
        <v>1656</v>
      </c>
      <c r="K3621" t="s">
        <v>5292</v>
      </c>
      <c r="L3621">
        <v>1</v>
      </c>
      <c r="M3621" t="s">
        <v>5293</v>
      </c>
      <c r="N3621" t="s">
        <v>4908</v>
      </c>
    </row>
    <row r="3622" spans="1:14" hidden="1" x14ac:dyDescent="0.25">
      <c r="A3622" t="s">
        <v>1315</v>
      </c>
      <c r="B3622" t="s">
        <v>1329</v>
      </c>
      <c r="C3622" t="s">
        <v>5288</v>
      </c>
      <c r="D3622" t="s">
        <v>21</v>
      </c>
      <c r="E3622" t="s">
        <v>19</v>
      </c>
      <c r="F3622">
        <v>37</v>
      </c>
      <c r="G3622" t="s">
        <v>1419</v>
      </c>
      <c r="H3622" s="89">
        <v>46263</v>
      </c>
      <c r="I3622" s="89">
        <v>46265</v>
      </c>
      <c r="J3622" t="s">
        <v>1656</v>
      </c>
      <c r="K3622" t="s">
        <v>5294</v>
      </c>
      <c r="L3622">
        <v>1</v>
      </c>
      <c r="M3622" t="s">
        <v>5295</v>
      </c>
      <c r="N3622" t="s">
        <v>4908</v>
      </c>
    </row>
    <row r="3623" spans="1:14" hidden="1" x14ac:dyDescent="0.25">
      <c r="A3623" t="s">
        <v>1315</v>
      </c>
      <c r="B3623" t="s">
        <v>1329</v>
      </c>
      <c r="C3623" t="s">
        <v>5288</v>
      </c>
      <c r="D3623" t="s">
        <v>21</v>
      </c>
      <c r="E3623" t="s">
        <v>19</v>
      </c>
      <c r="F3623">
        <v>304</v>
      </c>
      <c r="G3623" t="s">
        <v>1419</v>
      </c>
      <c r="H3623" s="89">
        <v>46263</v>
      </c>
      <c r="I3623" s="89">
        <v>46265</v>
      </c>
      <c r="J3623" t="s">
        <v>1656</v>
      </c>
      <c r="K3623" t="s">
        <v>5294</v>
      </c>
      <c r="L3623">
        <v>2</v>
      </c>
      <c r="M3623" t="s">
        <v>5296</v>
      </c>
      <c r="N3623" t="s">
        <v>4908</v>
      </c>
    </row>
    <row r="3624" spans="1:14" hidden="1" x14ac:dyDescent="0.25">
      <c r="A3624" t="s">
        <v>1316</v>
      </c>
      <c r="B3624" t="s">
        <v>1330</v>
      </c>
      <c r="C3624" t="s">
        <v>5297</v>
      </c>
      <c r="D3624" t="s">
        <v>21</v>
      </c>
      <c r="E3624" t="s">
        <v>19</v>
      </c>
      <c r="F3624">
        <v>27</v>
      </c>
      <c r="G3624" t="s">
        <v>1419</v>
      </c>
      <c r="H3624" s="89">
        <v>46263</v>
      </c>
      <c r="I3624" s="89">
        <v>46265</v>
      </c>
      <c r="J3624" t="s">
        <v>1656</v>
      </c>
      <c r="K3624" t="s">
        <v>5298</v>
      </c>
      <c r="L3624">
        <v>1</v>
      </c>
      <c r="M3624" t="s">
        <v>5299</v>
      </c>
      <c r="N3624" t="s">
        <v>4908</v>
      </c>
    </row>
    <row r="3625" spans="1:14" hidden="1" x14ac:dyDescent="0.25">
      <c r="A3625" t="s">
        <v>1317</v>
      </c>
      <c r="B3625" t="s">
        <v>1331</v>
      </c>
      <c r="C3625" t="s">
        <v>5300</v>
      </c>
      <c r="D3625" t="s">
        <v>21</v>
      </c>
      <c r="E3625" t="s">
        <v>19</v>
      </c>
      <c r="F3625">
        <v>18</v>
      </c>
      <c r="G3625" t="s">
        <v>1419</v>
      </c>
      <c r="H3625" s="89">
        <v>46263</v>
      </c>
      <c r="I3625" s="89">
        <v>46265</v>
      </c>
      <c r="J3625" t="s">
        <v>1656</v>
      </c>
      <c r="K3625" t="s">
        <v>5301</v>
      </c>
      <c r="L3625">
        <v>1</v>
      </c>
      <c r="M3625" t="s">
        <v>5302</v>
      </c>
      <c r="N3625" t="s">
        <v>4908</v>
      </c>
    </row>
    <row r="3626" spans="1:14" hidden="1" x14ac:dyDescent="0.25">
      <c r="A3626" t="s">
        <v>1318</v>
      </c>
      <c r="B3626" t="s">
        <v>1332</v>
      </c>
      <c r="C3626" t="s">
        <v>5303</v>
      </c>
      <c r="D3626" t="s">
        <v>21</v>
      </c>
      <c r="E3626" t="s">
        <v>19</v>
      </c>
      <c r="F3626">
        <v>52</v>
      </c>
      <c r="G3626" t="s">
        <v>1419</v>
      </c>
      <c r="H3626" s="89">
        <v>46263</v>
      </c>
      <c r="I3626" s="89">
        <v>46265</v>
      </c>
      <c r="J3626" t="s">
        <v>1656</v>
      </c>
      <c r="K3626" t="s">
        <v>5304</v>
      </c>
      <c r="L3626">
        <v>1</v>
      </c>
      <c r="M3626" t="s">
        <v>5305</v>
      </c>
      <c r="N3626" t="s">
        <v>4908</v>
      </c>
    </row>
    <row r="3627" spans="1:14" hidden="1" x14ac:dyDescent="0.25">
      <c r="A3627" t="s">
        <v>1313</v>
      </c>
      <c r="B3627" t="s">
        <v>1327</v>
      </c>
      <c r="C3627" t="s">
        <v>5306</v>
      </c>
      <c r="D3627" t="s">
        <v>28</v>
      </c>
      <c r="E3627" t="s">
        <v>17</v>
      </c>
      <c r="F3627">
        <v>954</v>
      </c>
      <c r="G3627">
        <v>19.875</v>
      </c>
      <c r="H3627" s="89">
        <v>46263</v>
      </c>
      <c r="I3627" s="89">
        <v>46268</v>
      </c>
      <c r="J3627" t="s">
        <v>5262</v>
      </c>
      <c r="K3627" t="s">
        <v>5307</v>
      </c>
      <c r="L3627">
        <v>1</v>
      </c>
      <c r="M3627" t="s">
        <v>5308</v>
      </c>
      <c r="N3627" t="s">
        <v>4908</v>
      </c>
    </row>
    <row r="3628" spans="1:14" hidden="1" x14ac:dyDescent="0.25">
      <c r="A3628" t="s">
        <v>1319</v>
      </c>
      <c r="B3628" t="s">
        <v>1333</v>
      </c>
      <c r="C3628" t="s">
        <v>5306</v>
      </c>
      <c r="D3628" t="s">
        <v>28</v>
      </c>
      <c r="E3628" t="s">
        <v>17</v>
      </c>
      <c r="F3628">
        <v>54</v>
      </c>
      <c r="G3628">
        <v>1.125</v>
      </c>
      <c r="H3628" s="89">
        <v>46263</v>
      </c>
      <c r="I3628" s="89">
        <v>46268</v>
      </c>
      <c r="J3628" t="s">
        <v>5262</v>
      </c>
      <c r="K3628" t="s">
        <v>5309</v>
      </c>
      <c r="L3628">
        <v>1</v>
      </c>
      <c r="M3628" t="s">
        <v>5310</v>
      </c>
      <c r="N3628" t="s">
        <v>4908</v>
      </c>
    </row>
    <row r="3629" spans="1:14" hidden="1" x14ac:dyDescent="0.25">
      <c r="A3629" t="s">
        <v>1313</v>
      </c>
      <c r="B3629" t="s">
        <v>1327</v>
      </c>
      <c r="C3629" t="s">
        <v>5306</v>
      </c>
      <c r="D3629" t="s">
        <v>28</v>
      </c>
      <c r="E3629" t="s">
        <v>19</v>
      </c>
      <c r="F3629">
        <v>192</v>
      </c>
      <c r="G3629">
        <v>4</v>
      </c>
      <c r="H3629" s="89">
        <v>46263</v>
      </c>
      <c r="I3629" s="89">
        <v>46265</v>
      </c>
      <c r="J3629" t="s">
        <v>1656</v>
      </c>
      <c r="K3629" t="s">
        <v>5311</v>
      </c>
      <c r="L3629">
        <v>1</v>
      </c>
      <c r="M3629" t="s">
        <v>5312</v>
      </c>
      <c r="N3629" t="s">
        <v>4908</v>
      </c>
    </row>
    <row r="3630" spans="1:14" hidden="1" x14ac:dyDescent="0.25">
      <c r="A3630" t="s">
        <v>1315</v>
      </c>
      <c r="B3630" t="s">
        <v>1329</v>
      </c>
      <c r="C3630" t="s">
        <v>5306</v>
      </c>
      <c r="D3630" t="s">
        <v>28</v>
      </c>
      <c r="E3630" t="s">
        <v>19</v>
      </c>
      <c r="F3630">
        <v>10</v>
      </c>
      <c r="G3630" t="s">
        <v>1419</v>
      </c>
      <c r="H3630" s="89">
        <v>46263</v>
      </c>
      <c r="I3630" s="89">
        <v>46265</v>
      </c>
      <c r="J3630" t="s">
        <v>1656</v>
      </c>
      <c r="K3630" t="s">
        <v>5313</v>
      </c>
      <c r="L3630">
        <v>1</v>
      </c>
      <c r="M3630" t="s">
        <v>5314</v>
      </c>
      <c r="N3630" t="s">
        <v>4908</v>
      </c>
    </row>
    <row r="3631" spans="1:14" hidden="1" x14ac:dyDescent="0.25">
      <c r="A3631" t="s">
        <v>1316</v>
      </c>
      <c r="B3631" t="s">
        <v>1330</v>
      </c>
      <c r="C3631" t="s">
        <v>5315</v>
      </c>
      <c r="D3631" t="s">
        <v>28</v>
      </c>
      <c r="E3631" t="s">
        <v>19</v>
      </c>
      <c r="F3631">
        <v>48</v>
      </c>
      <c r="G3631" t="s">
        <v>1419</v>
      </c>
      <c r="H3631" s="89">
        <v>46263</v>
      </c>
      <c r="I3631" s="89">
        <v>46265</v>
      </c>
      <c r="J3631" t="s">
        <v>1656</v>
      </c>
      <c r="K3631" t="s">
        <v>5316</v>
      </c>
      <c r="L3631">
        <v>1</v>
      </c>
      <c r="M3631" t="s">
        <v>5317</v>
      </c>
      <c r="N3631" t="s">
        <v>4908</v>
      </c>
    </row>
    <row r="3632" spans="1:14" hidden="1" x14ac:dyDescent="0.25">
      <c r="A3632" t="s">
        <v>1317</v>
      </c>
      <c r="B3632" t="s">
        <v>1331</v>
      </c>
      <c r="C3632" t="s">
        <v>5318</v>
      </c>
      <c r="D3632" t="s">
        <v>28</v>
      </c>
      <c r="E3632" t="s">
        <v>19</v>
      </c>
      <c r="F3632">
        <v>1</v>
      </c>
      <c r="G3632" t="s">
        <v>1419</v>
      </c>
      <c r="H3632" s="89">
        <v>46263</v>
      </c>
      <c r="I3632" s="89">
        <v>46265</v>
      </c>
      <c r="J3632" t="s">
        <v>1656</v>
      </c>
      <c r="K3632" t="s">
        <v>5319</v>
      </c>
      <c r="L3632">
        <v>1</v>
      </c>
      <c r="M3632" t="s">
        <v>5320</v>
      </c>
      <c r="N3632" t="s">
        <v>4908</v>
      </c>
    </row>
    <row r="3633" spans="1:14" hidden="1" x14ac:dyDescent="0.25">
      <c r="A3633" t="s">
        <v>1318</v>
      </c>
      <c r="B3633" t="s">
        <v>1332</v>
      </c>
      <c r="C3633" t="s">
        <v>5321</v>
      </c>
      <c r="D3633" t="s">
        <v>28</v>
      </c>
      <c r="E3633" t="s">
        <v>19</v>
      </c>
      <c r="F3633">
        <v>19</v>
      </c>
      <c r="G3633" t="s">
        <v>1419</v>
      </c>
      <c r="H3633" s="89">
        <v>46263</v>
      </c>
      <c r="I3633" s="89">
        <v>46265</v>
      </c>
      <c r="J3633" t="s">
        <v>1656</v>
      </c>
      <c r="K3633" t="s">
        <v>5322</v>
      </c>
      <c r="L3633">
        <v>1</v>
      </c>
      <c r="M3633" t="s">
        <v>5323</v>
      </c>
      <c r="N3633" t="s">
        <v>4908</v>
      </c>
    </row>
    <row r="3634" spans="1:14" hidden="1" x14ac:dyDescent="0.25">
      <c r="A3634" t="s">
        <v>1313</v>
      </c>
      <c r="B3634" t="s">
        <v>1327</v>
      </c>
      <c r="C3634" t="s">
        <v>5324</v>
      </c>
      <c r="D3634" t="s">
        <v>20</v>
      </c>
      <c r="E3634" t="s">
        <v>17</v>
      </c>
      <c r="F3634">
        <v>1068</v>
      </c>
      <c r="G3634">
        <v>22.25</v>
      </c>
      <c r="H3634" s="89">
        <v>46265</v>
      </c>
      <c r="I3634" s="89">
        <v>46269</v>
      </c>
      <c r="J3634" t="s">
        <v>5325</v>
      </c>
      <c r="K3634" t="s">
        <v>5326</v>
      </c>
      <c r="L3634">
        <v>1</v>
      </c>
      <c r="M3634" t="s">
        <v>5327</v>
      </c>
      <c r="N3634" t="s">
        <v>5328</v>
      </c>
    </row>
    <row r="3635" spans="1:14" hidden="1" x14ac:dyDescent="0.25">
      <c r="A3635" t="s">
        <v>1319</v>
      </c>
      <c r="B3635" t="s">
        <v>1333</v>
      </c>
      <c r="C3635" t="s">
        <v>5324</v>
      </c>
      <c r="D3635" t="s">
        <v>20</v>
      </c>
      <c r="E3635" t="s">
        <v>17</v>
      </c>
      <c r="F3635">
        <v>84</v>
      </c>
      <c r="G3635">
        <v>1.75</v>
      </c>
      <c r="H3635" s="89">
        <v>46265</v>
      </c>
      <c r="I3635" s="89">
        <v>46269</v>
      </c>
      <c r="J3635" t="s">
        <v>5325</v>
      </c>
      <c r="K3635" t="s">
        <v>5329</v>
      </c>
      <c r="L3635">
        <v>1</v>
      </c>
      <c r="M3635" t="s">
        <v>5330</v>
      </c>
      <c r="N3635" t="s">
        <v>5328</v>
      </c>
    </row>
    <row r="3636" spans="1:14" hidden="1" x14ac:dyDescent="0.25">
      <c r="A3636" t="s">
        <v>1313</v>
      </c>
      <c r="B3636" t="s">
        <v>1327</v>
      </c>
      <c r="C3636" t="s">
        <v>5324</v>
      </c>
      <c r="D3636" t="s">
        <v>20</v>
      </c>
      <c r="E3636" t="s">
        <v>22</v>
      </c>
      <c r="F3636">
        <v>48</v>
      </c>
      <c r="G3636">
        <v>1</v>
      </c>
      <c r="H3636" s="89">
        <v>46265</v>
      </c>
      <c r="I3636" s="89">
        <v>46271</v>
      </c>
      <c r="J3636" t="s">
        <v>5331</v>
      </c>
      <c r="K3636" t="s">
        <v>5332</v>
      </c>
      <c r="L3636">
        <v>1</v>
      </c>
      <c r="M3636" t="s">
        <v>5333</v>
      </c>
      <c r="N3636" t="s">
        <v>5328</v>
      </c>
    </row>
    <row r="3637" spans="1:14" hidden="1" x14ac:dyDescent="0.25">
      <c r="A3637" t="s">
        <v>1315</v>
      </c>
      <c r="B3637" t="s">
        <v>1329</v>
      </c>
      <c r="C3637" t="s">
        <v>5324</v>
      </c>
      <c r="D3637" t="s">
        <v>20</v>
      </c>
      <c r="E3637" t="s">
        <v>19</v>
      </c>
      <c r="F3637">
        <v>38</v>
      </c>
      <c r="G3637" t="s">
        <v>1419</v>
      </c>
      <c r="H3637" s="89">
        <v>46265</v>
      </c>
      <c r="I3637" s="89">
        <v>46267</v>
      </c>
      <c r="J3637" t="s">
        <v>1656</v>
      </c>
      <c r="K3637" t="s">
        <v>5334</v>
      </c>
      <c r="L3637">
        <v>1</v>
      </c>
      <c r="M3637" t="s">
        <v>5335</v>
      </c>
      <c r="N3637" t="s">
        <v>5328</v>
      </c>
    </row>
    <row r="3638" spans="1:14" hidden="1" x14ac:dyDescent="0.25">
      <c r="A3638" t="s">
        <v>1316</v>
      </c>
      <c r="B3638" t="s">
        <v>1330</v>
      </c>
      <c r="C3638" t="s">
        <v>5336</v>
      </c>
      <c r="D3638" t="s">
        <v>20</v>
      </c>
      <c r="E3638" t="s">
        <v>19</v>
      </c>
      <c r="F3638">
        <v>82</v>
      </c>
      <c r="G3638" t="s">
        <v>1419</v>
      </c>
      <c r="H3638" s="89">
        <v>46265</v>
      </c>
      <c r="I3638" s="89">
        <v>46267</v>
      </c>
      <c r="J3638" t="s">
        <v>1656</v>
      </c>
      <c r="K3638" t="s">
        <v>5337</v>
      </c>
      <c r="L3638">
        <v>1</v>
      </c>
      <c r="M3638" t="s">
        <v>5338</v>
      </c>
      <c r="N3638" t="s">
        <v>5328</v>
      </c>
    </row>
    <row r="3639" spans="1:14" hidden="1" x14ac:dyDescent="0.25">
      <c r="A3639" t="s">
        <v>1317</v>
      </c>
      <c r="B3639" t="s">
        <v>1331</v>
      </c>
      <c r="C3639" t="s">
        <v>5339</v>
      </c>
      <c r="D3639" t="s">
        <v>20</v>
      </c>
      <c r="E3639" t="s">
        <v>19</v>
      </c>
      <c r="F3639">
        <v>28</v>
      </c>
      <c r="G3639" t="s">
        <v>1419</v>
      </c>
      <c r="H3639" s="89">
        <v>46265</v>
      </c>
      <c r="I3639" s="89">
        <v>46267</v>
      </c>
      <c r="J3639" t="s">
        <v>1656</v>
      </c>
      <c r="K3639" t="s">
        <v>5340</v>
      </c>
      <c r="L3639">
        <v>1</v>
      </c>
      <c r="M3639" t="s">
        <v>5341</v>
      </c>
      <c r="N3639" t="s">
        <v>5328</v>
      </c>
    </row>
    <row r="3640" spans="1:14" hidden="1" x14ac:dyDescent="0.25">
      <c r="A3640" t="s">
        <v>1318</v>
      </c>
      <c r="B3640" t="s">
        <v>1332</v>
      </c>
      <c r="C3640" t="s">
        <v>5342</v>
      </c>
      <c r="D3640" t="s">
        <v>20</v>
      </c>
      <c r="E3640" t="s">
        <v>19</v>
      </c>
      <c r="F3640">
        <v>59</v>
      </c>
      <c r="G3640" t="s">
        <v>1419</v>
      </c>
      <c r="H3640" s="89">
        <v>46265</v>
      </c>
      <c r="I3640" s="89">
        <v>46267</v>
      </c>
      <c r="J3640" t="s">
        <v>1656</v>
      </c>
      <c r="K3640" t="s">
        <v>5343</v>
      </c>
      <c r="L3640">
        <v>1</v>
      </c>
      <c r="M3640" t="s">
        <v>5344</v>
      </c>
      <c r="N3640" t="s">
        <v>5328</v>
      </c>
    </row>
    <row r="3641" spans="1:14" hidden="1" x14ac:dyDescent="0.25">
      <c r="A3641" t="s">
        <v>1313</v>
      </c>
      <c r="B3641" t="s">
        <v>1327</v>
      </c>
      <c r="C3641" t="s">
        <v>5345</v>
      </c>
      <c r="D3641" t="s">
        <v>15</v>
      </c>
      <c r="E3641" t="s">
        <v>18</v>
      </c>
      <c r="F3641">
        <v>1056</v>
      </c>
      <c r="G3641">
        <v>22</v>
      </c>
      <c r="H3641" s="89">
        <v>46265</v>
      </c>
      <c r="I3641" s="89">
        <v>46269</v>
      </c>
      <c r="J3641" t="s">
        <v>5346</v>
      </c>
      <c r="K3641" t="s">
        <v>5347</v>
      </c>
      <c r="L3641">
        <v>1</v>
      </c>
      <c r="M3641" t="s">
        <v>5348</v>
      </c>
      <c r="N3641" t="s">
        <v>5328</v>
      </c>
    </row>
    <row r="3642" spans="1:14" hidden="1" x14ac:dyDescent="0.25">
      <c r="A3642" t="s">
        <v>1314</v>
      </c>
      <c r="B3642" t="s">
        <v>1328</v>
      </c>
      <c r="C3642" t="s">
        <v>5345</v>
      </c>
      <c r="D3642" t="s">
        <v>15</v>
      </c>
      <c r="E3642" t="s">
        <v>18</v>
      </c>
      <c r="F3642">
        <v>96</v>
      </c>
      <c r="G3642">
        <v>2</v>
      </c>
      <c r="H3642" s="89">
        <v>46265</v>
      </c>
      <c r="I3642" s="89">
        <v>46269</v>
      </c>
      <c r="J3642" t="s">
        <v>5346</v>
      </c>
      <c r="K3642" t="s">
        <v>5349</v>
      </c>
      <c r="L3642">
        <v>1</v>
      </c>
      <c r="M3642" t="s">
        <v>5350</v>
      </c>
      <c r="N3642" t="s">
        <v>5328</v>
      </c>
    </row>
    <row r="3643" spans="1:14" hidden="1" x14ac:dyDescent="0.25">
      <c r="A3643" t="s">
        <v>1315</v>
      </c>
      <c r="B3643" t="s">
        <v>1329</v>
      </c>
      <c r="C3643" t="s">
        <v>5345</v>
      </c>
      <c r="D3643" t="s">
        <v>15</v>
      </c>
      <c r="E3643" t="s">
        <v>19</v>
      </c>
      <c r="F3643">
        <v>17</v>
      </c>
      <c r="G3643" t="s">
        <v>1419</v>
      </c>
      <c r="H3643" s="89">
        <v>46265</v>
      </c>
      <c r="I3643" s="89">
        <v>46267</v>
      </c>
      <c r="J3643" t="s">
        <v>1656</v>
      </c>
      <c r="K3643" t="s">
        <v>5351</v>
      </c>
      <c r="L3643">
        <v>1</v>
      </c>
      <c r="M3643" t="s">
        <v>5352</v>
      </c>
      <c r="N3643" t="s">
        <v>5328</v>
      </c>
    </row>
    <row r="3644" spans="1:14" hidden="1" x14ac:dyDescent="0.25">
      <c r="A3644" t="s">
        <v>1316</v>
      </c>
      <c r="B3644" t="s">
        <v>1330</v>
      </c>
      <c r="C3644" t="s">
        <v>5353</v>
      </c>
      <c r="D3644" t="s">
        <v>15</v>
      </c>
      <c r="E3644" t="s">
        <v>19</v>
      </c>
      <c r="F3644">
        <v>48</v>
      </c>
      <c r="G3644" t="s">
        <v>1419</v>
      </c>
      <c r="H3644" s="89">
        <v>46265</v>
      </c>
      <c r="I3644" s="89">
        <v>46267</v>
      </c>
      <c r="J3644" t="s">
        <v>1656</v>
      </c>
      <c r="K3644" t="s">
        <v>5354</v>
      </c>
      <c r="L3644">
        <v>1</v>
      </c>
      <c r="M3644" t="s">
        <v>5355</v>
      </c>
      <c r="N3644" t="s">
        <v>5328</v>
      </c>
    </row>
    <row r="3645" spans="1:14" hidden="1" x14ac:dyDescent="0.25">
      <c r="A3645" t="s">
        <v>1317</v>
      </c>
      <c r="B3645" t="s">
        <v>1331</v>
      </c>
      <c r="C3645" t="s">
        <v>5356</v>
      </c>
      <c r="D3645" t="s">
        <v>15</v>
      </c>
      <c r="E3645" t="s">
        <v>19</v>
      </c>
      <c r="F3645">
        <v>73</v>
      </c>
      <c r="G3645" t="s">
        <v>1419</v>
      </c>
      <c r="H3645" s="89">
        <v>46265</v>
      </c>
      <c r="I3645" s="89">
        <v>46267</v>
      </c>
      <c r="J3645" t="s">
        <v>1656</v>
      </c>
      <c r="K3645" t="s">
        <v>5357</v>
      </c>
      <c r="L3645">
        <v>1</v>
      </c>
      <c r="M3645" t="s">
        <v>5358</v>
      </c>
      <c r="N3645" t="s">
        <v>5328</v>
      </c>
    </row>
    <row r="3646" spans="1:14" hidden="1" x14ac:dyDescent="0.25">
      <c r="A3646" t="s">
        <v>1318</v>
      </c>
      <c r="B3646" t="s">
        <v>1332</v>
      </c>
      <c r="C3646" t="s">
        <v>5359</v>
      </c>
      <c r="D3646" t="s">
        <v>15</v>
      </c>
      <c r="E3646" t="s">
        <v>19</v>
      </c>
      <c r="F3646">
        <v>19</v>
      </c>
      <c r="G3646" t="s">
        <v>1419</v>
      </c>
      <c r="H3646" s="89">
        <v>46265</v>
      </c>
      <c r="I3646" s="89">
        <v>46267</v>
      </c>
      <c r="J3646" t="s">
        <v>1656</v>
      </c>
      <c r="K3646" t="s">
        <v>5360</v>
      </c>
      <c r="L3646">
        <v>1</v>
      </c>
      <c r="M3646" t="s">
        <v>5361</v>
      </c>
      <c r="N3646" t="s">
        <v>5328</v>
      </c>
    </row>
    <row r="3647" spans="1:14" hidden="1" x14ac:dyDescent="0.25">
      <c r="A3647" t="s">
        <v>1320</v>
      </c>
      <c r="B3647" t="s">
        <v>1334</v>
      </c>
      <c r="C3647" t="s">
        <v>5362</v>
      </c>
      <c r="D3647" t="s">
        <v>21</v>
      </c>
      <c r="E3647" t="s">
        <v>14</v>
      </c>
      <c r="F3647">
        <v>960</v>
      </c>
      <c r="G3647">
        <v>20</v>
      </c>
      <c r="H3647" s="89">
        <v>46265</v>
      </c>
      <c r="I3647" s="89">
        <v>46268</v>
      </c>
      <c r="J3647" t="s">
        <v>5363</v>
      </c>
      <c r="K3647" t="s">
        <v>5364</v>
      </c>
      <c r="L3647">
        <v>1</v>
      </c>
      <c r="M3647" t="s">
        <v>5365</v>
      </c>
      <c r="N3647" t="s">
        <v>5328</v>
      </c>
    </row>
    <row r="3648" spans="1:14" hidden="1" x14ac:dyDescent="0.25">
      <c r="A3648" t="s">
        <v>1313</v>
      </c>
      <c r="B3648" t="s">
        <v>1327</v>
      </c>
      <c r="C3648" t="s">
        <v>5362</v>
      </c>
      <c r="D3648" t="s">
        <v>21</v>
      </c>
      <c r="E3648" t="s">
        <v>22</v>
      </c>
      <c r="F3648">
        <v>96</v>
      </c>
      <c r="G3648">
        <v>2</v>
      </c>
      <c r="H3648" s="89">
        <v>46265</v>
      </c>
      <c r="I3648" s="89">
        <v>46270</v>
      </c>
      <c r="J3648" t="s">
        <v>5366</v>
      </c>
      <c r="K3648" t="s">
        <v>5367</v>
      </c>
      <c r="L3648">
        <v>1</v>
      </c>
      <c r="M3648" t="s">
        <v>5368</v>
      </c>
      <c r="N3648" t="s">
        <v>5328</v>
      </c>
    </row>
    <row r="3649" spans="1:14" hidden="1" x14ac:dyDescent="0.25">
      <c r="A3649" t="s">
        <v>1315</v>
      </c>
      <c r="B3649" t="s">
        <v>1329</v>
      </c>
      <c r="C3649" t="s">
        <v>5362</v>
      </c>
      <c r="D3649" t="s">
        <v>21</v>
      </c>
      <c r="E3649" t="s">
        <v>19</v>
      </c>
      <c r="F3649">
        <v>88</v>
      </c>
      <c r="G3649" t="s">
        <v>1419</v>
      </c>
      <c r="H3649" s="89">
        <v>46265</v>
      </c>
      <c r="I3649" s="89">
        <v>46267</v>
      </c>
      <c r="J3649" t="s">
        <v>1656</v>
      </c>
      <c r="K3649" t="s">
        <v>5369</v>
      </c>
      <c r="L3649">
        <v>1</v>
      </c>
      <c r="M3649" t="s">
        <v>5370</v>
      </c>
      <c r="N3649" t="s">
        <v>5328</v>
      </c>
    </row>
    <row r="3650" spans="1:14" hidden="1" x14ac:dyDescent="0.25">
      <c r="A3650" t="s">
        <v>1316</v>
      </c>
      <c r="B3650" t="s">
        <v>1330</v>
      </c>
      <c r="C3650" t="s">
        <v>5371</v>
      </c>
      <c r="D3650" t="s">
        <v>21</v>
      </c>
      <c r="E3650" t="s">
        <v>19</v>
      </c>
      <c r="F3650">
        <v>12</v>
      </c>
      <c r="G3650" t="s">
        <v>1419</v>
      </c>
      <c r="H3650" s="89">
        <v>46265</v>
      </c>
      <c r="I3650" s="89">
        <v>46267</v>
      </c>
      <c r="J3650" t="s">
        <v>1656</v>
      </c>
      <c r="K3650" t="s">
        <v>5372</v>
      </c>
      <c r="L3650">
        <v>1</v>
      </c>
      <c r="M3650" t="s">
        <v>5373</v>
      </c>
      <c r="N3650" t="s">
        <v>5328</v>
      </c>
    </row>
    <row r="3651" spans="1:14" hidden="1" x14ac:dyDescent="0.25">
      <c r="A3651" t="s">
        <v>1317</v>
      </c>
      <c r="B3651" t="s">
        <v>1331</v>
      </c>
      <c r="C3651" t="s">
        <v>5374</v>
      </c>
      <c r="D3651" t="s">
        <v>21</v>
      </c>
      <c r="E3651" t="s">
        <v>19</v>
      </c>
      <c r="F3651">
        <v>46</v>
      </c>
      <c r="G3651" t="s">
        <v>1419</v>
      </c>
      <c r="H3651" s="89">
        <v>46265</v>
      </c>
      <c r="I3651" s="89">
        <v>46267</v>
      </c>
      <c r="J3651" t="s">
        <v>1656</v>
      </c>
      <c r="K3651" t="s">
        <v>5375</v>
      </c>
      <c r="L3651">
        <v>1</v>
      </c>
      <c r="M3651" t="s">
        <v>5376</v>
      </c>
      <c r="N3651" t="s">
        <v>5328</v>
      </c>
    </row>
    <row r="3652" spans="1:14" hidden="1" x14ac:dyDescent="0.25">
      <c r="A3652" t="s">
        <v>1318</v>
      </c>
      <c r="B3652" t="s">
        <v>1332</v>
      </c>
      <c r="C3652" t="s">
        <v>5377</v>
      </c>
      <c r="D3652" t="s">
        <v>21</v>
      </c>
      <c r="E3652" t="s">
        <v>19</v>
      </c>
      <c r="F3652">
        <v>80</v>
      </c>
      <c r="G3652" t="s">
        <v>1419</v>
      </c>
      <c r="H3652" s="89">
        <v>46265</v>
      </c>
      <c r="I3652" s="89">
        <v>46267</v>
      </c>
      <c r="J3652" t="s">
        <v>1656</v>
      </c>
      <c r="K3652" t="s">
        <v>5378</v>
      </c>
      <c r="L3652">
        <v>1</v>
      </c>
      <c r="M3652" t="s">
        <v>5379</v>
      </c>
      <c r="N3652" t="s">
        <v>5328</v>
      </c>
    </row>
    <row r="3653" spans="1:14" hidden="1" x14ac:dyDescent="0.25">
      <c r="A3653" t="s">
        <v>1320</v>
      </c>
      <c r="B3653" t="s">
        <v>1334</v>
      </c>
      <c r="C3653" t="s">
        <v>5380</v>
      </c>
      <c r="D3653" t="s">
        <v>13</v>
      </c>
      <c r="E3653" t="s">
        <v>14</v>
      </c>
      <c r="F3653">
        <v>960</v>
      </c>
      <c r="G3653">
        <v>20</v>
      </c>
      <c r="H3653" s="89">
        <v>46265</v>
      </c>
      <c r="I3653" s="89">
        <v>46269</v>
      </c>
      <c r="J3653" t="s">
        <v>5381</v>
      </c>
      <c r="K3653" t="s">
        <v>5382</v>
      </c>
      <c r="L3653">
        <v>1</v>
      </c>
      <c r="M3653" t="s">
        <v>5383</v>
      </c>
      <c r="N3653" t="s">
        <v>5328</v>
      </c>
    </row>
    <row r="3654" spans="1:14" hidden="1" x14ac:dyDescent="0.25">
      <c r="A3654" t="s">
        <v>1320</v>
      </c>
      <c r="B3654" t="s">
        <v>1334</v>
      </c>
      <c r="C3654" t="s">
        <v>5380</v>
      </c>
      <c r="D3654" t="s">
        <v>13</v>
      </c>
      <c r="E3654" t="s">
        <v>14</v>
      </c>
      <c r="F3654">
        <v>384</v>
      </c>
      <c r="G3654">
        <v>8</v>
      </c>
      <c r="H3654" s="89">
        <v>46265</v>
      </c>
      <c r="I3654" s="89">
        <v>46269</v>
      </c>
      <c r="J3654" t="s">
        <v>5384</v>
      </c>
      <c r="K3654" t="s">
        <v>5385</v>
      </c>
      <c r="L3654">
        <v>1</v>
      </c>
      <c r="M3654" t="s">
        <v>5386</v>
      </c>
      <c r="N3654" t="s">
        <v>5328</v>
      </c>
    </row>
    <row r="3655" spans="1:14" hidden="1" x14ac:dyDescent="0.25">
      <c r="A3655" t="s">
        <v>1320</v>
      </c>
      <c r="B3655" t="s">
        <v>1334</v>
      </c>
      <c r="C3655" t="s">
        <v>5387</v>
      </c>
      <c r="D3655" t="s">
        <v>13</v>
      </c>
      <c r="E3655" t="s">
        <v>14</v>
      </c>
      <c r="F3655">
        <v>576</v>
      </c>
      <c r="G3655">
        <v>12</v>
      </c>
      <c r="H3655" s="89">
        <v>46266</v>
      </c>
      <c r="I3655" s="89">
        <v>46269</v>
      </c>
      <c r="J3655" t="s">
        <v>5384</v>
      </c>
      <c r="K3655" t="s">
        <v>5388</v>
      </c>
      <c r="L3655">
        <v>1</v>
      </c>
      <c r="M3655" t="s">
        <v>5389</v>
      </c>
      <c r="N3655" t="s">
        <v>5328</v>
      </c>
    </row>
    <row r="3656" spans="1:14" hidden="1" x14ac:dyDescent="0.25">
      <c r="A3656" t="s">
        <v>1320</v>
      </c>
      <c r="B3656" t="s">
        <v>1334</v>
      </c>
      <c r="C3656" t="s">
        <v>5390</v>
      </c>
      <c r="D3656" t="s">
        <v>28</v>
      </c>
      <c r="E3656" t="s">
        <v>14</v>
      </c>
      <c r="F3656">
        <v>960</v>
      </c>
      <c r="G3656">
        <v>20</v>
      </c>
      <c r="H3656" s="89">
        <v>46266</v>
      </c>
      <c r="I3656" s="89">
        <v>46270</v>
      </c>
      <c r="J3656" t="s">
        <v>5391</v>
      </c>
      <c r="K3656" t="s">
        <v>5392</v>
      </c>
      <c r="L3656">
        <v>1</v>
      </c>
      <c r="M3656" t="s">
        <v>5393</v>
      </c>
      <c r="N3656" t="s">
        <v>5328</v>
      </c>
    </row>
    <row r="3657" spans="1:14" hidden="1" x14ac:dyDescent="0.25">
      <c r="A3657" t="s">
        <v>1313</v>
      </c>
      <c r="B3657" t="s">
        <v>1327</v>
      </c>
      <c r="C3657" t="s">
        <v>5390</v>
      </c>
      <c r="D3657" t="s">
        <v>28</v>
      </c>
      <c r="E3657" t="s">
        <v>17</v>
      </c>
      <c r="F3657">
        <v>288</v>
      </c>
      <c r="G3657">
        <v>6</v>
      </c>
      <c r="H3657" s="89">
        <v>46266</v>
      </c>
      <c r="I3657" s="89">
        <v>46270</v>
      </c>
      <c r="J3657" t="s">
        <v>5394</v>
      </c>
      <c r="K3657" t="s">
        <v>5395</v>
      </c>
      <c r="L3657">
        <v>1</v>
      </c>
      <c r="M3657" t="s">
        <v>5396</v>
      </c>
      <c r="N3657" t="s">
        <v>5328</v>
      </c>
    </row>
    <row r="3658" spans="1:14" hidden="1" x14ac:dyDescent="0.25">
      <c r="A3658" t="s">
        <v>1315</v>
      </c>
      <c r="B3658" t="s">
        <v>1329</v>
      </c>
      <c r="C3658" t="s">
        <v>5390</v>
      </c>
      <c r="D3658" t="s">
        <v>28</v>
      </c>
      <c r="E3658" t="s">
        <v>19</v>
      </c>
      <c r="F3658">
        <v>15</v>
      </c>
      <c r="G3658" t="s">
        <v>1419</v>
      </c>
      <c r="H3658" s="89">
        <v>46266</v>
      </c>
      <c r="I3658" s="89">
        <v>46268</v>
      </c>
      <c r="J3658" t="s">
        <v>1656</v>
      </c>
      <c r="K3658" t="s">
        <v>5397</v>
      </c>
      <c r="L3658">
        <v>1</v>
      </c>
      <c r="M3658" t="s">
        <v>5398</v>
      </c>
      <c r="N3658" t="s">
        <v>5328</v>
      </c>
    </row>
    <row r="3659" spans="1:14" hidden="1" x14ac:dyDescent="0.25">
      <c r="A3659" t="s">
        <v>1316</v>
      </c>
      <c r="B3659" t="s">
        <v>1330</v>
      </c>
      <c r="C3659" t="s">
        <v>5399</v>
      </c>
      <c r="D3659" t="s">
        <v>28</v>
      </c>
      <c r="E3659" t="s">
        <v>19</v>
      </c>
      <c r="F3659">
        <v>63</v>
      </c>
      <c r="G3659" t="s">
        <v>1419</v>
      </c>
      <c r="H3659" s="89">
        <v>46266</v>
      </c>
      <c r="I3659" s="89">
        <v>46268</v>
      </c>
      <c r="J3659" t="s">
        <v>1656</v>
      </c>
      <c r="K3659" t="s">
        <v>5400</v>
      </c>
      <c r="L3659">
        <v>1</v>
      </c>
      <c r="M3659" t="s">
        <v>5401</v>
      </c>
      <c r="N3659" t="s">
        <v>5328</v>
      </c>
    </row>
    <row r="3660" spans="1:14" hidden="1" x14ac:dyDescent="0.25">
      <c r="A3660" t="s">
        <v>1317</v>
      </c>
      <c r="B3660" t="s">
        <v>1331</v>
      </c>
      <c r="C3660" t="s">
        <v>5402</v>
      </c>
      <c r="D3660" t="s">
        <v>28</v>
      </c>
      <c r="E3660" t="s">
        <v>19</v>
      </c>
      <c r="F3660">
        <v>1</v>
      </c>
      <c r="G3660" t="s">
        <v>1419</v>
      </c>
      <c r="H3660" s="89">
        <v>46266</v>
      </c>
      <c r="I3660" s="89">
        <v>46268</v>
      </c>
      <c r="J3660" t="s">
        <v>1656</v>
      </c>
      <c r="K3660" t="s">
        <v>5403</v>
      </c>
      <c r="L3660">
        <v>1</v>
      </c>
      <c r="M3660" t="s">
        <v>5404</v>
      </c>
      <c r="N3660" t="s">
        <v>5328</v>
      </c>
    </row>
    <row r="3661" spans="1:14" hidden="1" x14ac:dyDescent="0.25">
      <c r="A3661" t="s">
        <v>1318</v>
      </c>
      <c r="B3661" t="s">
        <v>1332</v>
      </c>
      <c r="C3661" t="s">
        <v>5405</v>
      </c>
      <c r="D3661" t="s">
        <v>28</v>
      </c>
      <c r="E3661" t="s">
        <v>19</v>
      </c>
      <c r="F3661">
        <v>27</v>
      </c>
      <c r="G3661" t="s">
        <v>1419</v>
      </c>
      <c r="H3661" s="89">
        <v>46266</v>
      </c>
      <c r="I3661" s="89">
        <v>46268</v>
      </c>
      <c r="J3661" t="s">
        <v>1656</v>
      </c>
      <c r="K3661" t="s">
        <v>5406</v>
      </c>
      <c r="L3661">
        <v>1</v>
      </c>
      <c r="M3661" t="s">
        <v>5407</v>
      </c>
      <c r="N3661" t="s">
        <v>5328</v>
      </c>
    </row>
    <row r="3662" spans="1:14" hidden="1" x14ac:dyDescent="0.25">
      <c r="A3662" t="s">
        <v>1319</v>
      </c>
      <c r="B3662" t="s">
        <v>1333</v>
      </c>
      <c r="C3662" t="s">
        <v>5408</v>
      </c>
      <c r="D3662" t="s">
        <v>21</v>
      </c>
      <c r="E3662" t="s">
        <v>17</v>
      </c>
      <c r="F3662">
        <v>66</v>
      </c>
      <c r="G3662">
        <v>1.375</v>
      </c>
      <c r="H3662" s="89">
        <v>46266</v>
      </c>
      <c r="I3662" s="89">
        <v>46270</v>
      </c>
      <c r="J3662" t="s">
        <v>5394</v>
      </c>
      <c r="K3662" t="s">
        <v>5409</v>
      </c>
      <c r="L3662">
        <v>1</v>
      </c>
      <c r="M3662" t="s">
        <v>5410</v>
      </c>
      <c r="N3662" t="s">
        <v>5328</v>
      </c>
    </row>
    <row r="3663" spans="1:14" hidden="1" x14ac:dyDescent="0.25">
      <c r="A3663" t="s">
        <v>1313</v>
      </c>
      <c r="B3663" t="s">
        <v>1327</v>
      </c>
      <c r="C3663" t="s">
        <v>5408</v>
      </c>
      <c r="D3663" t="s">
        <v>21</v>
      </c>
      <c r="E3663" t="s">
        <v>17</v>
      </c>
      <c r="F3663">
        <v>798</v>
      </c>
      <c r="G3663">
        <v>16.625</v>
      </c>
      <c r="H3663" s="89">
        <v>46266</v>
      </c>
      <c r="I3663" s="89">
        <v>46270</v>
      </c>
      <c r="J3663" t="s">
        <v>5394</v>
      </c>
      <c r="K3663" t="s">
        <v>5411</v>
      </c>
      <c r="L3663">
        <v>1</v>
      </c>
      <c r="M3663" t="s">
        <v>5412</v>
      </c>
      <c r="N3663" t="s">
        <v>5328</v>
      </c>
    </row>
    <row r="3664" spans="1:14" hidden="1" x14ac:dyDescent="0.25">
      <c r="A3664" t="s">
        <v>1313</v>
      </c>
      <c r="B3664" t="s">
        <v>1327</v>
      </c>
      <c r="C3664" t="s">
        <v>5408</v>
      </c>
      <c r="D3664" t="s">
        <v>21</v>
      </c>
      <c r="E3664" t="s">
        <v>22</v>
      </c>
      <c r="F3664">
        <v>1008</v>
      </c>
      <c r="G3664">
        <v>21</v>
      </c>
      <c r="H3664" s="89">
        <v>46266</v>
      </c>
      <c r="I3664" s="89">
        <v>46270</v>
      </c>
      <c r="J3664" t="s">
        <v>5366</v>
      </c>
      <c r="K3664" t="s">
        <v>5413</v>
      </c>
      <c r="L3664">
        <v>1</v>
      </c>
      <c r="M3664" t="s">
        <v>5414</v>
      </c>
      <c r="N3664" t="s">
        <v>5328</v>
      </c>
    </row>
    <row r="3665" spans="1:14" hidden="1" x14ac:dyDescent="0.25">
      <c r="A3665" t="s">
        <v>1315</v>
      </c>
      <c r="B3665" t="s">
        <v>1329</v>
      </c>
      <c r="C3665" t="s">
        <v>5408</v>
      </c>
      <c r="D3665" t="s">
        <v>21</v>
      </c>
      <c r="E3665" t="s">
        <v>19</v>
      </c>
      <c r="F3665">
        <v>33</v>
      </c>
      <c r="G3665" t="s">
        <v>1419</v>
      </c>
      <c r="H3665" s="89">
        <v>46266</v>
      </c>
      <c r="I3665" s="89">
        <v>46268</v>
      </c>
      <c r="J3665" t="s">
        <v>1656</v>
      </c>
      <c r="K3665" t="s">
        <v>5415</v>
      </c>
      <c r="L3665">
        <v>1</v>
      </c>
      <c r="M3665" t="s">
        <v>5416</v>
      </c>
      <c r="N3665" t="s">
        <v>5328</v>
      </c>
    </row>
    <row r="3666" spans="1:14" hidden="1" x14ac:dyDescent="0.25">
      <c r="A3666" t="s">
        <v>1316</v>
      </c>
      <c r="B3666" t="s">
        <v>1330</v>
      </c>
      <c r="C3666" t="s">
        <v>5417</v>
      </c>
      <c r="D3666" t="s">
        <v>21</v>
      </c>
      <c r="E3666" t="s">
        <v>19</v>
      </c>
      <c r="F3666">
        <v>49</v>
      </c>
      <c r="G3666" t="s">
        <v>1419</v>
      </c>
      <c r="H3666" s="89">
        <v>46266</v>
      </c>
      <c r="I3666" s="89">
        <v>46268</v>
      </c>
      <c r="J3666" t="s">
        <v>1656</v>
      </c>
      <c r="K3666" t="s">
        <v>5418</v>
      </c>
      <c r="L3666">
        <v>1</v>
      </c>
      <c r="M3666" t="s">
        <v>5419</v>
      </c>
      <c r="N3666" t="s">
        <v>5328</v>
      </c>
    </row>
    <row r="3667" spans="1:14" hidden="1" x14ac:dyDescent="0.25">
      <c r="A3667" t="s">
        <v>1317</v>
      </c>
      <c r="B3667" t="s">
        <v>1331</v>
      </c>
      <c r="C3667" t="s">
        <v>5420</v>
      </c>
      <c r="D3667" t="s">
        <v>21</v>
      </c>
      <c r="E3667" t="s">
        <v>19</v>
      </c>
      <c r="F3667">
        <v>17</v>
      </c>
      <c r="G3667" t="s">
        <v>1419</v>
      </c>
      <c r="H3667" s="89">
        <v>46266</v>
      </c>
      <c r="I3667" s="89">
        <v>46268</v>
      </c>
      <c r="J3667" t="s">
        <v>1656</v>
      </c>
      <c r="K3667" t="s">
        <v>5421</v>
      </c>
      <c r="L3667">
        <v>1</v>
      </c>
      <c r="M3667" t="s">
        <v>5422</v>
      </c>
      <c r="N3667" t="s">
        <v>5328</v>
      </c>
    </row>
    <row r="3668" spans="1:14" hidden="1" x14ac:dyDescent="0.25">
      <c r="A3668" t="s">
        <v>1318</v>
      </c>
      <c r="B3668" t="s">
        <v>1332</v>
      </c>
      <c r="C3668" t="s">
        <v>5423</v>
      </c>
      <c r="D3668" t="s">
        <v>21</v>
      </c>
      <c r="E3668" t="s">
        <v>19</v>
      </c>
      <c r="F3668">
        <v>69</v>
      </c>
      <c r="G3668" t="s">
        <v>1419</v>
      </c>
      <c r="H3668" s="89">
        <v>46266</v>
      </c>
      <c r="I3668" s="89">
        <v>46268</v>
      </c>
      <c r="J3668" t="s">
        <v>1656</v>
      </c>
      <c r="K3668" t="s">
        <v>5424</v>
      </c>
      <c r="L3668">
        <v>1</v>
      </c>
      <c r="M3668" t="s">
        <v>5425</v>
      </c>
      <c r="N3668" t="s">
        <v>5328</v>
      </c>
    </row>
    <row r="3669" spans="1:14" hidden="1" x14ac:dyDescent="0.25">
      <c r="A3669" t="s">
        <v>1324</v>
      </c>
      <c r="B3669" t="s">
        <v>1338</v>
      </c>
      <c r="C3669" t="s">
        <v>5426</v>
      </c>
      <c r="D3669" t="s">
        <v>118</v>
      </c>
      <c r="E3669" t="s">
        <v>65</v>
      </c>
      <c r="F3669">
        <v>960</v>
      </c>
      <c r="G3669">
        <v>20</v>
      </c>
      <c r="H3669" s="89">
        <v>46266</v>
      </c>
      <c r="I3669" s="89">
        <v>46273</v>
      </c>
      <c r="J3669" t="s">
        <v>5427</v>
      </c>
      <c r="K3669" t="s">
        <v>5428</v>
      </c>
      <c r="L3669">
        <v>1</v>
      </c>
      <c r="M3669" t="s">
        <v>5429</v>
      </c>
      <c r="N3669" t="s">
        <v>5328</v>
      </c>
    </row>
    <row r="3670" spans="1:14" hidden="1" x14ac:dyDescent="0.25">
      <c r="A3670" t="s">
        <v>1324</v>
      </c>
      <c r="B3670" t="s">
        <v>1338</v>
      </c>
      <c r="C3670" t="s">
        <v>5430</v>
      </c>
      <c r="D3670" t="s">
        <v>29</v>
      </c>
      <c r="E3670" t="s">
        <v>65</v>
      </c>
      <c r="F3670">
        <v>816</v>
      </c>
      <c r="G3670">
        <v>17</v>
      </c>
      <c r="H3670" s="89">
        <v>46266</v>
      </c>
      <c r="I3670" s="89">
        <v>46273</v>
      </c>
      <c r="J3670" t="s">
        <v>5427</v>
      </c>
      <c r="K3670" t="s">
        <v>5431</v>
      </c>
      <c r="L3670">
        <v>1</v>
      </c>
      <c r="M3670" t="s">
        <v>5432</v>
      </c>
      <c r="N3670" t="s">
        <v>5328</v>
      </c>
    </row>
    <row r="3671" spans="1:14" hidden="1" x14ac:dyDescent="0.25">
      <c r="A3671" t="s">
        <v>1321</v>
      </c>
      <c r="B3671" t="s">
        <v>1335</v>
      </c>
      <c r="C3671" t="s">
        <v>5433</v>
      </c>
      <c r="D3671" t="s">
        <v>32</v>
      </c>
      <c r="E3671" t="s">
        <v>65</v>
      </c>
      <c r="F3671">
        <v>144</v>
      </c>
      <c r="G3671">
        <v>3</v>
      </c>
      <c r="H3671" s="89">
        <v>46266</v>
      </c>
      <c r="I3671" s="89">
        <v>46273</v>
      </c>
      <c r="J3671" t="s">
        <v>5427</v>
      </c>
      <c r="K3671" t="s">
        <v>5434</v>
      </c>
      <c r="L3671">
        <v>1</v>
      </c>
      <c r="M3671" t="s">
        <v>5435</v>
      </c>
      <c r="N3671" t="s">
        <v>5328</v>
      </c>
    </row>
    <row r="3672" spans="1:14" hidden="1" x14ac:dyDescent="0.25">
      <c r="A3672" t="s">
        <v>1321</v>
      </c>
      <c r="B3672" t="s">
        <v>1335</v>
      </c>
      <c r="C3672" t="s">
        <v>5433</v>
      </c>
      <c r="D3672" t="s">
        <v>32</v>
      </c>
      <c r="E3672" t="s">
        <v>25</v>
      </c>
      <c r="F3672">
        <v>96</v>
      </c>
      <c r="G3672">
        <v>2</v>
      </c>
      <c r="H3672" s="89">
        <v>46266</v>
      </c>
      <c r="I3672" s="89">
        <v>46273</v>
      </c>
      <c r="J3672" t="s">
        <v>5436</v>
      </c>
      <c r="K3672" t="s">
        <v>5437</v>
      </c>
      <c r="L3672">
        <v>1</v>
      </c>
      <c r="M3672" t="s">
        <v>5438</v>
      </c>
      <c r="N3672" t="s">
        <v>5328</v>
      </c>
    </row>
    <row r="3673" spans="1:14" hidden="1" x14ac:dyDescent="0.25">
      <c r="A3673" t="s">
        <v>1323</v>
      </c>
      <c r="B3673" t="s">
        <v>1337</v>
      </c>
      <c r="C3673" t="s">
        <v>5439</v>
      </c>
      <c r="D3673" t="s">
        <v>20</v>
      </c>
      <c r="E3673" t="s">
        <v>26</v>
      </c>
      <c r="F3673">
        <v>918</v>
      </c>
      <c r="G3673">
        <v>17</v>
      </c>
      <c r="H3673" s="89">
        <v>46266</v>
      </c>
      <c r="I3673" s="89">
        <v>46271</v>
      </c>
      <c r="J3673" t="s">
        <v>5440</v>
      </c>
      <c r="K3673" t="s">
        <v>5441</v>
      </c>
      <c r="L3673">
        <v>1</v>
      </c>
      <c r="M3673" t="s">
        <v>5442</v>
      </c>
      <c r="N3673" t="s">
        <v>5328</v>
      </c>
    </row>
    <row r="3674" spans="1:14" hidden="1" x14ac:dyDescent="0.25">
      <c r="A3674" t="s">
        <v>1322</v>
      </c>
      <c r="B3674" t="s">
        <v>1336</v>
      </c>
      <c r="C3674" t="s">
        <v>5439</v>
      </c>
      <c r="D3674" t="s">
        <v>20</v>
      </c>
      <c r="E3674" t="s">
        <v>26</v>
      </c>
      <c r="F3674">
        <v>162</v>
      </c>
      <c r="G3674">
        <v>3</v>
      </c>
      <c r="H3674" s="89">
        <v>46266</v>
      </c>
      <c r="I3674" s="89">
        <v>46271</v>
      </c>
      <c r="J3674" t="s">
        <v>5440</v>
      </c>
      <c r="K3674" t="s">
        <v>5443</v>
      </c>
      <c r="L3674">
        <v>1</v>
      </c>
      <c r="M3674" t="s">
        <v>5444</v>
      </c>
      <c r="N3674" t="s">
        <v>5328</v>
      </c>
    </row>
    <row r="3675" spans="1:14" hidden="1" x14ac:dyDescent="0.25">
      <c r="A3675" t="s">
        <v>1313</v>
      </c>
      <c r="B3675" t="s">
        <v>1327</v>
      </c>
      <c r="C3675" t="s">
        <v>5439</v>
      </c>
      <c r="D3675" t="s">
        <v>20</v>
      </c>
      <c r="E3675" t="s">
        <v>22</v>
      </c>
      <c r="F3675">
        <v>336</v>
      </c>
      <c r="G3675">
        <v>7</v>
      </c>
      <c r="H3675" s="89">
        <v>46266</v>
      </c>
      <c r="I3675" s="89">
        <v>46271</v>
      </c>
      <c r="J3675" t="s">
        <v>5331</v>
      </c>
      <c r="K3675" t="s">
        <v>5445</v>
      </c>
      <c r="L3675">
        <v>1</v>
      </c>
      <c r="M3675" t="s">
        <v>5446</v>
      </c>
      <c r="N3675" t="s">
        <v>5328</v>
      </c>
    </row>
    <row r="3676" spans="1:14" hidden="1" x14ac:dyDescent="0.25">
      <c r="A3676" t="s">
        <v>1315</v>
      </c>
      <c r="B3676" t="s">
        <v>1329</v>
      </c>
      <c r="C3676" t="s">
        <v>5439</v>
      </c>
      <c r="D3676" t="s">
        <v>20</v>
      </c>
      <c r="E3676" t="s">
        <v>19</v>
      </c>
      <c r="F3676">
        <v>38</v>
      </c>
      <c r="G3676" t="s">
        <v>1419</v>
      </c>
      <c r="H3676" s="89">
        <v>46266</v>
      </c>
      <c r="I3676" s="89">
        <v>46268</v>
      </c>
      <c r="J3676" t="s">
        <v>1656</v>
      </c>
      <c r="K3676" t="s">
        <v>5447</v>
      </c>
      <c r="L3676">
        <v>1</v>
      </c>
      <c r="M3676" t="s">
        <v>5448</v>
      </c>
      <c r="N3676" t="s">
        <v>5328</v>
      </c>
    </row>
    <row r="3677" spans="1:14" hidden="1" x14ac:dyDescent="0.25">
      <c r="A3677" t="s">
        <v>1325</v>
      </c>
      <c r="B3677" t="s">
        <v>1339</v>
      </c>
      <c r="C3677" t="s">
        <v>5439</v>
      </c>
      <c r="D3677" t="s">
        <v>20</v>
      </c>
      <c r="E3677" t="s">
        <v>19</v>
      </c>
      <c r="F3677">
        <v>96</v>
      </c>
      <c r="G3677">
        <v>2</v>
      </c>
      <c r="H3677" s="89">
        <v>46266</v>
      </c>
      <c r="I3677" s="89">
        <v>46271</v>
      </c>
      <c r="J3677" t="s">
        <v>1656</v>
      </c>
      <c r="K3677" t="s">
        <v>5449</v>
      </c>
      <c r="L3677">
        <v>1</v>
      </c>
      <c r="M3677" t="s">
        <v>5450</v>
      </c>
      <c r="N3677" t="s">
        <v>5328</v>
      </c>
    </row>
    <row r="3678" spans="1:14" hidden="1" x14ac:dyDescent="0.25">
      <c r="A3678" t="s">
        <v>5451</v>
      </c>
      <c r="B3678" t="s">
        <v>5452</v>
      </c>
      <c r="C3678" t="s">
        <v>5439</v>
      </c>
      <c r="D3678" t="s">
        <v>20</v>
      </c>
      <c r="E3678" t="s">
        <v>19</v>
      </c>
      <c r="F3678">
        <v>21</v>
      </c>
      <c r="G3678" t="s">
        <v>1419</v>
      </c>
      <c r="H3678" s="89">
        <v>46266</v>
      </c>
      <c r="I3678" s="89">
        <v>46271</v>
      </c>
      <c r="J3678" t="s">
        <v>1656</v>
      </c>
      <c r="K3678" t="s">
        <v>5453</v>
      </c>
      <c r="L3678">
        <v>1</v>
      </c>
      <c r="M3678" t="s">
        <v>5454</v>
      </c>
      <c r="N3678" t="s">
        <v>5328</v>
      </c>
    </row>
    <row r="3679" spans="1:14" hidden="1" x14ac:dyDescent="0.25">
      <c r="A3679" t="s">
        <v>1316</v>
      </c>
      <c r="B3679" t="s">
        <v>1330</v>
      </c>
      <c r="C3679" t="s">
        <v>5455</v>
      </c>
      <c r="D3679" t="s">
        <v>20</v>
      </c>
      <c r="E3679" t="s">
        <v>19</v>
      </c>
      <c r="F3679">
        <v>96</v>
      </c>
      <c r="G3679" t="s">
        <v>1419</v>
      </c>
      <c r="H3679" s="89">
        <v>46266</v>
      </c>
      <c r="I3679" s="89">
        <v>46268</v>
      </c>
      <c r="J3679" t="s">
        <v>1656</v>
      </c>
      <c r="K3679" t="s">
        <v>5456</v>
      </c>
      <c r="L3679">
        <v>1</v>
      </c>
      <c r="M3679" t="s">
        <v>5457</v>
      </c>
      <c r="N3679" t="s">
        <v>5328</v>
      </c>
    </row>
    <row r="3680" spans="1:14" hidden="1" x14ac:dyDescent="0.25">
      <c r="A3680" t="s">
        <v>1317</v>
      </c>
      <c r="B3680" t="s">
        <v>1331</v>
      </c>
      <c r="C3680" t="s">
        <v>5458</v>
      </c>
      <c r="D3680" t="s">
        <v>20</v>
      </c>
      <c r="E3680" t="s">
        <v>19</v>
      </c>
      <c r="F3680">
        <v>8</v>
      </c>
      <c r="G3680" t="s">
        <v>1419</v>
      </c>
      <c r="H3680" s="89">
        <v>46266</v>
      </c>
      <c r="I3680" s="89">
        <v>46268</v>
      </c>
      <c r="J3680" t="s">
        <v>1656</v>
      </c>
      <c r="K3680" t="s">
        <v>5459</v>
      </c>
      <c r="L3680">
        <v>1</v>
      </c>
      <c r="M3680" t="s">
        <v>5460</v>
      </c>
      <c r="N3680" t="s">
        <v>5328</v>
      </c>
    </row>
    <row r="3681" spans="1:14" hidden="1" x14ac:dyDescent="0.25">
      <c r="A3681" t="s">
        <v>1318</v>
      </c>
      <c r="B3681" t="s">
        <v>1332</v>
      </c>
      <c r="C3681" t="s">
        <v>5461</v>
      </c>
      <c r="D3681" t="s">
        <v>20</v>
      </c>
      <c r="E3681" t="s">
        <v>19</v>
      </c>
      <c r="F3681">
        <v>34</v>
      </c>
      <c r="G3681" t="s">
        <v>1419</v>
      </c>
      <c r="H3681" s="89">
        <v>46266</v>
      </c>
      <c r="I3681" s="89">
        <v>46268</v>
      </c>
      <c r="J3681" t="s">
        <v>1656</v>
      </c>
      <c r="K3681" t="s">
        <v>5462</v>
      </c>
      <c r="L3681">
        <v>1</v>
      </c>
      <c r="M3681" t="s">
        <v>5463</v>
      </c>
      <c r="N3681" t="s">
        <v>5328</v>
      </c>
    </row>
    <row r="3682" spans="1:14" hidden="1" x14ac:dyDescent="0.25">
      <c r="A3682" t="s">
        <v>1320</v>
      </c>
      <c r="B3682" t="s">
        <v>1334</v>
      </c>
      <c r="C3682" t="s">
        <v>5464</v>
      </c>
      <c r="D3682" t="s">
        <v>23</v>
      </c>
      <c r="E3682" t="s">
        <v>14</v>
      </c>
      <c r="F3682">
        <v>960</v>
      </c>
      <c r="G3682">
        <v>20</v>
      </c>
      <c r="H3682" s="89">
        <v>46266</v>
      </c>
      <c r="I3682" s="89">
        <v>46270</v>
      </c>
      <c r="J3682" t="s">
        <v>5465</v>
      </c>
      <c r="K3682" t="s">
        <v>5466</v>
      </c>
      <c r="L3682">
        <v>1</v>
      </c>
      <c r="M3682" t="s">
        <v>5467</v>
      </c>
      <c r="N3682" t="s">
        <v>5328</v>
      </c>
    </row>
    <row r="3683" spans="1:14" hidden="1" x14ac:dyDescent="0.25">
      <c r="A3683" t="s">
        <v>1324</v>
      </c>
      <c r="B3683" t="s">
        <v>1338</v>
      </c>
      <c r="C3683" t="s">
        <v>5468</v>
      </c>
      <c r="D3683" t="s">
        <v>119</v>
      </c>
      <c r="E3683" t="s">
        <v>25</v>
      </c>
      <c r="F3683">
        <v>864</v>
      </c>
      <c r="G3683">
        <v>18</v>
      </c>
      <c r="H3683" s="89">
        <v>46267</v>
      </c>
      <c r="I3683" s="89">
        <v>46273</v>
      </c>
      <c r="J3683" t="s">
        <v>5436</v>
      </c>
      <c r="K3683" t="s">
        <v>5469</v>
      </c>
      <c r="L3683">
        <v>1</v>
      </c>
      <c r="M3683" t="s">
        <v>5470</v>
      </c>
      <c r="N3683" t="s">
        <v>5328</v>
      </c>
    </row>
    <row r="3684" spans="1:14" hidden="1" x14ac:dyDescent="0.25">
      <c r="A3684" t="s">
        <v>1313</v>
      </c>
      <c r="B3684" t="s">
        <v>1327</v>
      </c>
      <c r="C3684" t="s">
        <v>5468</v>
      </c>
      <c r="D3684" t="s">
        <v>119</v>
      </c>
      <c r="E3684" t="s">
        <v>16</v>
      </c>
      <c r="F3684">
        <v>288</v>
      </c>
      <c r="G3684">
        <v>6</v>
      </c>
      <c r="H3684" s="89">
        <v>46267</v>
      </c>
      <c r="I3684" s="89">
        <v>46270</v>
      </c>
      <c r="J3684" t="s">
        <v>5471</v>
      </c>
      <c r="K3684" t="s">
        <v>5472</v>
      </c>
      <c r="L3684">
        <v>1</v>
      </c>
      <c r="M3684" t="s">
        <v>5473</v>
      </c>
      <c r="N3684" t="s">
        <v>5328</v>
      </c>
    </row>
    <row r="3685" spans="1:14" hidden="1" x14ac:dyDescent="0.25">
      <c r="A3685" t="s">
        <v>1324</v>
      </c>
      <c r="B3685" t="s">
        <v>1338</v>
      </c>
      <c r="C3685" t="s">
        <v>5474</v>
      </c>
      <c r="D3685" t="s">
        <v>88</v>
      </c>
      <c r="E3685" t="s">
        <v>25</v>
      </c>
      <c r="F3685">
        <v>960</v>
      </c>
      <c r="G3685">
        <v>20</v>
      </c>
      <c r="H3685" s="89">
        <v>46267</v>
      </c>
      <c r="I3685" s="89">
        <v>46273</v>
      </c>
      <c r="J3685" t="s">
        <v>5436</v>
      </c>
      <c r="K3685" t="s">
        <v>5475</v>
      </c>
      <c r="L3685">
        <v>1</v>
      </c>
      <c r="M3685" t="s">
        <v>5476</v>
      </c>
      <c r="N3685" t="s">
        <v>5328</v>
      </c>
    </row>
    <row r="3686" spans="1:14" hidden="1" x14ac:dyDescent="0.25">
      <c r="A3686" t="s">
        <v>1320</v>
      </c>
      <c r="B3686" t="s">
        <v>1334</v>
      </c>
      <c r="C3686" t="s">
        <v>5477</v>
      </c>
      <c r="D3686" t="s">
        <v>15</v>
      </c>
      <c r="E3686" t="s">
        <v>14</v>
      </c>
      <c r="F3686">
        <v>960</v>
      </c>
      <c r="G3686">
        <v>20</v>
      </c>
      <c r="H3686" s="89">
        <v>46267</v>
      </c>
      <c r="I3686" s="89">
        <v>46270</v>
      </c>
      <c r="J3686" t="s">
        <v>5478</v>
      </c>
      <c r="K3686" t="s">
        <v>5479</v>
      </c>
      <c r="L3686">
        <v>1</v>
      </c>
      <c r="M3686" t="s">
        <v>5480</v>
      </c>
      <c r="N3686" t="s">
        <v>5328</v>
      </c>
    </row>
    <row r="3687" spans="1:14" hidden="1" x14ac:dyDescent="0.25">
      <c r="A3687" t="s">
        <v>1313</v>
      </c>
      <c r="B3687" t="s">
        <v>1327</v>
      </c>
      <c r="C3687" t="s">
        <v>5481</v>
      </c>
      <c r="D3687" t="s">
        <v>4313</v>
      </c>
      <c r="E3687" t="s">
        <v>22</v>
      </c>
      <c r="F3687">
        <v>1152</v>
      </c>
      <c r="G3687">
        <v>24</v>
      </c>
      <c r="H3687" s="89">
        <v>46267</v>
      </c>
      <c r="I3687" s="89">
        <v>46273</v>
      </c>
      <c r="J3687" t="s">
        <v>5482</v>
      </c>
      <c r="K3687" t="s">
        <v>5483</v>
      </c>
      <c r="L3687">
        <v>1</v>
      </c>
      <c r="M3687" t="s">
        <v>5484</v>
      </c>
      <c r="N3687" t="s">
        <v>5328</v>
      </c>
    </row>
    <row r="3688" spans="1:14" hidden="1" x14ac:dyDescent="0.25">
      <c r="A3688" t="s">
        <v>1313</v>
      </c>
      <c r="B3688" t="s">
        <v>1327</v>
      </c>
      <c r="C3688" t="s">
        <v>5481</v>
      </c>
      <c r="D3688" t="s">
        <v>4313</v>
      </c>
      <c r="E3688" t="s">
        <v>16</v>
      </c>
      <c r="F3688">
        <v>336</v>
      </c>
      <c r="G3688">
        <v>7</v>
      </c>
      <c r="H3688" s="89">
        <v>46267</v>
      </c>
      <c r="I3688" s="89">
        <v>46271</v>
      </c>
      <c r="J3688" t="s">
        <v>5485</v>
      </c>
      <c r="K3688" t="s">
        <v>5486</v>
      </c>
      <c r="L3688">
        <v>1</v>
      </c>
      <c r="M3688" t="s">
        <v>5487</v>
      </c>
      <c r="N3688" t="s">
        <v>5328</v>
      </c>
    </row>
    <row r="3689" spans="1:14" hidden="1" x14ac:dyDescent="0.25">
      <c r="A3689" t="s">
        <v>1313</v>
      </c>
      <c r="B3689" t="s">
        <v>1327</v>
      </c>
      <c r="C3689" t="s">
        <v>5481</v>
      </c>
      <c r="D3689" t="s">
        <v>4313</v>
      </c>
      <c r="E3689" t="s">
        <v>22</v>
      </c>
      <c r="F3689">
        <v>144</v>
      </c>
      <c r="G3689">
        <v>3</v>
      </c>
      <c r="H3689" s="89">
        <v>46267</v>
      </c>
      <c r="I3689" s="89">
        <v>46271</v>
      </c>
      <c r="J3689" t="s">
        <v>5331</v>
      </c>
      <c r="K3689" t="s">
        <v>5488</v>
      </c>
      <c r="L3689">
        <v>1</v>
      </c>
      <c r="M3689" t="s">
        <v>5489</v>
      </c>
      <c r="N3689" t="s">
        <v>5328</v>
      </c>
    </row>
    <row r="3690" spans="1:14" hidden="1" x14ac:dyDescent="0.25">
      <c r="A3690" t="s">
        <v>1313</v>
      </c>
      <c r="B3690" t="s">
        <v>1327</v>
      </c>
      <c r="C3690" t="s">
        <v>5481</v>
      </c>
      <c r="D3690" t="s">
        <v>4313</v>
      </c>
      <c r="E3690" t="s">
        <v>16</v>
      </c>
      <c r="F3690">
        <v>864</v>
      </c>
      <c r="G3690">
        <v>18</v>
      </c>
      <c r="H3690" s="89">
        <v>46267</v>
      </c>
      <c r="I3690" s="89">
        <v>46270</v>
      </c>
      <c r="J3690" t="s">
        <v>5471</v>
      </c>
      <c r="K3690" t="s">
        <v>5490</v>
      </c>
      <c r="L3690">
        <v>1</v>
      </c>
      <c r="M3690" t="s">
        <v>5491</v>
      </c>
      <c r="N3690" t="s">
        <v>5328</v>
      </c>
    </row>
    <row r="3691" spans="1:14" hidden="1" x14ac:dyDescent="0.25">
      <c r="A3691" t="s">
        <v>1320</v>
      </c>
      <c r="B3691" t="s">
        <v>1334</v>
      </c>
      <c r="C3691" t="s">
        <v>5492</v>
      </c>
      <c r="D3691" t="s">
        <v>21</v>
      </c>
      <c r="E3691" t="s">
        <v>14</v>
      </c>
      <c r="F3691">
        <v>960</v>
      </c>
      <c r="G3691">
        <v>20</v>
      </c>
      <c r="H3691" s="89">
        <v>46267</v>
      </c>
      <c r="I3691" s="89">
        <v>46270</v>
      </c>
      <c r="J3691" t="s">
        <v>5493</v>
      </c>
      <c r="K3691" t="s">
        <v>5494</v>
      </c>
      <c r="L3691">
        <v>1</v>
      </c>
      <c r="M3691" t="s">
        <v>5495</v>
      </c>
      <c r="N3691" t="s">
        <v>5328</v>
      </c>
    </row>
    <row r="3692" spans="1:14" hidden="1" x14ac:dyDescent="0.25">
      <c r="A3692" t="s">
        <v>1313</v>
      </c>
      <c r="B3692" t="s">
        <v>1327</v>
      </c>
      <c r="C3692" t="s">
        <v>5492</v>
      </c>
      <c r="D3692" t="s">
        <v>21</v>
      </c>
      <c r="E3692" t="s">
        <v>22</v>
      </c>
      <c r="F3692">
        <v>48</v>
      </c>
      <c r="G3692">
        <v>1</v>
      </c>
      <c r="H3692" s="89">
        <v>46267</v>
      </c>
      <c r="I3692" s="89">
        <v>46270</v>
      </c>
      <c r="J3692" t="s">
        <v>5366</v>
      </c>
      <c r="K3692" t="s">
        <v>5496</v>
      </c>
      <c r="L3692">
        <v>1</v>
      </c>
      <c r="M3692" t="s">
        <v>5497</v>
      </c>
      <c r="N3692" t="s">
        <v>5328</v>
      </c>
    </row>
    <row r="3693" spans="1:14" hidden="1" x14ac:dyDescent="0.25">
      <c r="A3693" t="s">
        <v>1313</v>
      </c>
      <c r="B3693" t="s">
        <v>1327</v>
      </c>
      <c r="C3693" t="s">
        <v>5492</v>
      </c>
      <c r="D3693" t="s">
        <v>21</v>
      </c>
      <c r="E3693" t="s">
        <v>22</v>
      </c>
      <c r="F3693">
        <v>528</v>
      </c>
      <c r="G3693">
        <v>11</v>
      </c>
      <c r="H3693" s="89">
        <v>46267</v>
      </c>
      <c r="I3693" s="89">
        <v>46271</v>
      </c>
      <c r="J3693" t="s">
        <v>5498</v>
      </c>
      <c r="K3693" t="s">
        <v>5499</v>
      </c>
      <c r="L3693">
        <v>1</v>
      </c>
      <c r="M3693" t="s">
        <v>5500</v>
      </c>
      <c r="N3693" t="s">
        <v>5328</v>
      </c>
    </row>
    <row r="3694" spans="1:14" hidden="1" x14ac:dyDescent="0.25">
      <c r="A3694" t="s">
        <v>1315</v>
      </c>
      <c r="B3694" t="s">
        <v>1329</v>
      </c>
      <c r="C3694" t="s">
        <v>5492</v>
      </c>
      <c r="D3694" t="s">
        <v>21</v>
      </c>
      <c r="E3694" t="s">
        <v>19</v>
      </c>
      <c r="F3694">
        <v>45</v>
      </c>
      <c r="G3694" t="s">
        <v>1419</v>
      </c>
      <c r="H3694" s="89">
        <v>46267</v>
      </c>
      <c r="I3694" s="89">
        <v>46269</v>
      </c>
      <c r="J3694" t="s">
        <v>1656</v>
      </c>
      <c r="K3694" t="s">
        <v>5501</v>
      </c>
      <c r="L3694">
        <v>1</v>
      </c>
      <c r="M3694" t="s">
        <v>5502</v>
      </c>
      <c r="N3694" t="s">
        <v>5328</v>
      </c>
    </row>
    <row r="3695" spans="1:14" hidden="1" x14ac:dyDescent="0.25">
      <c r="A3695" t="s">
        <v>1315</v>
      </c>
      <c r="B3695" t="s">
        <v>1329</v>
      </c>
      <c r="C3695" t="s">
        <v>5492</v>
      </c>
      <c r="D3695" t="s">
        <v>21</v>
      </c>
      <c r="E3695" t="s">
        <v>19</v>
      </c>
      <c r="F3695">
        <v>58</v>
      </c>
      <c r="G3695" t="s">
        <v>1419</v>
      </c>
      <c r="H3695" s="89">
        <v>46267</v>
      </c>
      <c r="I3695" s="89">
        <v>46269</v>
      </c>
      <c r="J3695" t="s">
        <v>1656</v>
      </c>
      <c r="K3695" t="s">
        <v>5501</v>
      </c>
      <c r="L3695">
        <v>2</v>
      </c>
      <c r="M3695" t="s">
        <v>5503</v>
      </c>
      <c r="N3695" t="s">
        <v>5328</v>
      </c>
    </row>
    <row r="3696" spans="1:14" hidden="1" x14ac:dyDescent="0.25">
      <c r="A3696" t="s">
        <v>1316</v>
      </c>
      <c r="B3696" t="s">
        <v>1330</v>
      </c>
      <c r="C3696" t="s">
        <v>5504</v>
      </c>
      <c r="D3696" t="s">
        <v>21</v>
      </c>
      <c r="E3696" t="s">
        <v>19</v>
      </c>
      <c r="F3696">
        <v>37</v>
      </c>
      <c r="G3696" t="s">
        <v>1419</v>
      </c>
      <c r="H3696" s="89">
        <v>46267</v>
      </c>
      <c r="I3696" s="89">
        <v>46269</v>
      </c>
      <c r="J3696" t="s">
        <v>1656</v>
      </c>
      <c r="K3696" t="s">
        <v>5505</v>
      </c>
      <c r="L3696">
        <v>1</v>
      </c>
      <c r="M3696" t="s">
        <v>5506</v>
      </c>
      <c r="N3696" t="s">
        <v>5328</v>
      </c>
    </row>
    <row r="3697" spans="1:14" hidden="1" x14ac:dyDescent="0.25">
      <c r="A3697" t="s">
        <v>1317</v>
      </c>
      <c r="B3697" t="s">
        <v>1331</v>
      </c>
      <c r="C3697" t="s">
        <v>5507</v>
      </c>
      <c r="D3697" t="s">
        <v>21</v>
      </c>
      <c r="E3697" t="s">
        <v>19</v>
      </c>
      <c r="F3697">
        <v>25</v>
      </c>
      <c r="G3697" t="s">
        <v>1419</v>
      </c>
      <c r="H3697" s="89">
        <v>46267</v>
      </c>
      <c r="I3697" s="89">
        <v>46269</v>
      </c>
      <c r="J3697" t="s">
        <v>1656</v>
      </c>
      <c r="K3697" t="s">
        <v>5508</v>
      </c>
      <c r="L3697">
        <v>1</v>
      </c>
      <c r="M3697" t="s">
        <v>5509</v>
      </c>
      <c r="N3697" t="s">
        <v>5328</v>
      </c>
    </row>
    <row r="3698" spans="1:14" hidden="1" x14ac:dyDescent="0.25">
      <c r="A3698" t="s">
        <v>1318</v>
      </c>
      <c r="B3698" t="s">
        <v>1332</v>
      </c>
      <c r="C3698" t="s">
        <v>5510</v>
      </c>
      <c r="D3698" t="s">
        <v>21</v>
      </c>
      <c r="E3698" t="s">
        <v>19</v>
      </c>
      <c r="F3698">
        <v>82</v>
      </c>
      <c r="G3698" t="s">
        <v>1419</v>
      </c>
      <c r="H3698" s="89">
        <v>46267</v>
      </c>
      <c r="I3698" s="89">
        <v>46269</v>
      </c>
      <c r="J3698" t="s">
        <v>1656</v>
      </c>
      <c r="K3698" t="s">
        <v>5511</v>
      </c>
      <c r="L3698">
        <v>1</v>
      </c>
      <c r="M3698" t="s">
        <v>5512</v>
      </c>
      <c r="N3698" t="s">
        <v>5328</v>
      </c>
    </row>
    <row r="3699" spans="1:14" hidden="1" x14ac:dyDescent="0.25">
      <c r="A3699" t="s">
        <v>1320</v>
      </c>
      <c r="B3699" t="s">
        <v>1334</v>
      </c>
      <c r="C3699" t="s">
        <v>5513</v>
      </c>
      <c r="D3699" t="s">
        <v>23</v>
      </c>
      <c r="E3699" t="s">
        <v>14</v>
      </c>
      <c r="F3699">
        <v>960</v>
      </c>
      <c r="G3699">
        <v>20</v>
      </c>
      <c r="H3699" s="89">
        <v>46267</v>
      </c>
      <c r="I3699" s="89">
        <v>46272</v>
      </c>
      <c r="J3699" t="s">
        <v>5514</v>
      </c>
      <c r="K3699" t="s">
        <v>5515</v>
      </c>
      <c r="L3699">
        <v>1</v>
      </c>
      <c r="M3699" t="s">
        <v>5516</v>
      </c>
      <c r="N3699" t="s">
        <v>5328</v>
      </c>
    </row>
    <row r="3700" spans="1:14" hidden="1" x14ac:dyDescent="0.25">
      <c r="A3700" t="s">
        <v>1313</v>
      </c>
      <c r="B3700" t="s">
        <v>1327</v>
      </c>
      <c r="C3700" t="s">
        <v>5477</v>
      </c>
      <c r="D3700" t="s">
        <v>15</v>
      </c>
      <c r="E3700" t="s">
        <v>22</v>
      </c>
      <c r="F3700">
        <v>624</v>
      </c>
      <c r="G3700">
        <v>13</v>
      </c>
      <c r="H3700" s="89">
        <v>46267</v>
      </c>
      <c r="I3700" s="89">
        <v>46271</v>
      </c>
      <c r="J3700" t="s">
        <v>5331</v>
      </c>
      <c r="K3700" t="s">
        <v>5517</v>
      </c>
      <c r="L3700">
        <v>1</v>
      </c>
      <c r="M3700" t="s">
        <v>5518</v>
      </c>
      <c r="N3700" t="s">
        <v>5328</v>
      </c>
    </row>
    <row r="3701" spans="1:14" hidden="1" x14ac:dyDescent="0.25">
      <c r="A3701" t="s">
        <v>1315</v>
      </c>
      <c r="B3701" t="s">
        <v>1329</v>
      </c>
      <c r="C3701" t="s">
        <v>5477</v>
      </c>
      <c r="D3701" t="s">
        <v>15</v>
      </c>
      <c r="E3701" t="s">
        <v>19</v>
      </c>
      <c r="F3701">
        <v>38</v>
      </c>
      <c r="G3701" t="s">
        <v>1419</v>
      </c>
      <c r="H3701" s="89">
        <v>46267</v>
      </c>
      <c r="I3701" s="89">
        <v>46269</v>
      </c>
      <c r="J3701" t="s">
        <v>1656</v>
      </c>
      <c r="K3701" t="s">
        <v>5519</v>
      </c>
      <c r="L3701">
        <v>1</v>
      </c>
      <c r="M3701" t="s">
        <v>5520</v>
      </c>
      <c r="N3701" t="s">
        <v>5328</v>
      </c>
    </row>
    <row r="3702" spans="1:14" hidden="1" x14ac:dyDescent="0.25">
      <c r="A3702" t="s">
        <v>1316</v>
      </c>
      <c r="B3702" t="s">
        <v>1330</v>
      </c>
      <c r="C3702" t="s">
        <v>5521</v>
      </c>
      <c r="D3702" t="s">
        <v>15</v>
      </c>
      <c r="E3702" t="s">
        <v>19</v>
      </c>
      <c r="F3702">
        <v>65</v>
      </c>
      <c r="G3702" t="s">
        <v>1419</v>
      </c>
      <c r="H3702" s="89">
        <v>46267</v>
      </c>
      <c r="I3702" s="89">
        <v>46269</v>
      </c>
      <c r="J3702" t="s">
        <v>1656</v>
      </c>
      <c r="K3702" t="s">
        <v>5522</v>
      </c>
      <c r="L3702">
        <v>1</v>
      </c>
      <c r="M3702" t="s">
        <v>5523</v>
      </c>
      <c r="N3702" t="s">
        <v>5328</v>
      </c>
    </row>
    <row r="3703" spans="1:14" hidden="1" x14ac:dyDescent="0.25">
      <c r="A3703" t="s">
        <v>1317</v>
      </c>
      <c r="B3703" t="s">
        <v>1331</v>
      </c>
      <c r="C3703" t="s">
        <v>5524</v>
      </c>
      <c r="D3703" t="s">
        <v>15</v>
      </c>
      <c r="E3703" t="s">
        <v>19</v>
      </c>
      <c r="F3703">
        <v>80</v>
      </c>
      <c r="G3703" t="s">
        <v>1419</v>
      </c>
      <c r="H3703" s="89">
        <v>46267</v>
      </c>
      <c r="I3703" s="89">
        <v>46269</v>
      </c>
      <c r="J3703" t="s">
        <v>1656</v>
      </c>
      <c r="K3703" t="s">
        <v>5525</v>
      </c>
      <c r="L3703">
        <v>1</v>
      </c>
      <c r="M3703" t="s">
        <v>5526</v>
      </c>
      <c r="N3703" t="s">
        <v>5328</v>
      </c>
    </row>
    <row r="3704" spans="1:14" hidden="1" x14ac:dyDescent="0.25">
      <c r="A3704" t="s">
        <v>1318</v>
      </c>
      <c r="B3704" t="s">
        <v>1332</v>
      </c>
      <c r="C3704" t="s">
        <v>5527</v>
      </c>
      <c r="D3704" t="s">
        <v>15</v>
      </c>
      <c r="E3704" t="s">
        <v>19</v>
      </c>
      <c r="F3704">
        <v>33</v>
      </c>
      <c r="G3704" t="s">
        <v>1419</v>
      </c>
      <c r="H3704" s="89">
        <v>46267</v>
      </c>
      <c r="I3704" s="89">
        <v>46269</v>
      </c>
      <c r="J3704" t="s">
        <v>1656</v>
      </c>
      <c r="K3704" t="s">
        <v>5528</v>
      </c>
      <c r="L3704">
        <v>1</v>
      </c>
      <c r="M3704" t="s">
        <v>5529</v>
      </c>
      <c r="N3704" t="s">
        <v>5328</v>
      </c>
    </row>
    <row r="3705" spans="1:14" hidden="1" x14ac:dyDescent="0.25">
      <c r="A3705" t="s">
        <v>1313</v>
      </c>
      <c r="B3705" t="s">
        <v>1327</v>
      </c>
      <c r="C3705" t="s">
        <v>5530</v>
      </c>
      <c r="D3705" t="s">
        <v>20</v>
      </c>
      <c r="E3705" t="s">
        <v>18</v>
      </c>
      <c r="F3705">
        <v>1056</v>
      </c>
      <c r="G3705">
        <v>22</v>
      </c>
      <c r="H3705" s="89">
        <v>46267</v>
      </c>
      <c r="I3705" s="89">
        <v>46272</v>
      </c>
      <c r="J3705" t="s">
        <v>5531</v>
      </c>
      <c r="K3705" t="s">
        <v>5532</v>
      </c>
      <c r="L3705">
        <v>1</v>
      </c>
      <c r="M3705" t="s">
        <v>5533</v>
      </c>
      <c r="N3705" t="s">
        <v>5328</v>
      </c>
    </row>
    <row r="3706" spans="1:14" hidden="1" x14ac:dyDescent="0.25">
      <c r="A3706" t="s">
        <v>1313</v>
      </c>
      <c r="B3706" t="s">
        <v>1327</v>
      </c>
      <c r="C3706" t="s">
        <v>5530</v>
      </c>
      <c r="D3706" t="s">
        <v>20</v>
      </c>
      <c r="E3706" t="s">
        <v>19</v>
      </c>
      <c r="F3706">
        <v>144</v>
      </c>
      <c r="G3706">
        <v>3</v>
      </c>
      <c r="H3706" s="89">
        <v>46267</v>
      </c>
      <c r="I3706" s="89">
        <v>46269</v>
      </c>
      <c r="J3706" t="s">
        <v>1656</v>
      </c>
      <c r="K3706" t="s">
        <v>5534</v>
      </c>
      <c r="L3706">
        <v>1</v>
      </c>
      <c r="M3706" t="s">
        <v>5535</v>
      </c>
      <c r="N3706" t="s">
        <v>5328</v>
      </c>
    </row>
    <row r="3707" spans="1:14" hidden="1" x14ac:dyDescent="0.25">
      <c r="A3707" t="s">
        <v>1315</v>
      </c>
      <c r="B3707" t="s">
        <v>1329</v>
      </c>
      <c r="C3707" t="s">
        <v>5530</v>
      </c>
      <c r="D3707" t="s">
        <v>20</v>
      </c>
      <c r="E3707" t="s">
        <v>19</v>
      </c>
      <c r="F3707">
        <v>4</v>
      </c>
      <c r="G3707" t="s">
        <v>1419</v>
      </c>
      <c r="H3707" s="89">
        <v>46267</v>
      </c>
      <c r="I3707" s="89">
        <v>46269</v>
      </c>
      <c r="J3707" t="s">
        <v>1656</v>
      </c>
      <c r="K3707" t="s">
        <v>5536</v>
      </c>
      <c r="L3707">
        <v>1</v>
      </c>
      <c r="M3707" t="s">
        <v>5537</v>
      </c>
      <c r="N3707" t="s">
        <v>5328</v>
      </c>
    </row>
    <row r="3708" spans="1:14" hidden="1" x14ac:dyDescent="0.25">
      <c r="A3708" t="s">
        <v>1325</v>
      </c>
      <c r="B3708" t="s">
        <v>1339</v>
      </c>
      <c r="C3708" t="s">
        <v>5530</v>
      </c>
      <c r="D3708" t="s">
        <v>20</v>
      </c>
      <c r="E3708" t="s">
        <v>19</v>
      </c>
      <c r="F3708">
        <v>48</v>
      </c>
      <c r="G3708">
        <v>1</v>
      </c>
      <c r="H3708" s="89">
        <v>46267</v>
      </c>
      <c r="I3708" s="89">
        <v>46271</v>
      </c>
      <c r="J3708" t="s">
        <v>1656</v>
      </c>
      <c r="K3708" t="s">
        <v>5538</v>
      </c>
      <c r="L3708">
        <v>1</v>
      </c>
      <c r="M3708" t="s">
        <v>5539</v>
      </c>
      <c r="N3708" t="s">
        <v>5328</v>
      </c>
    </row>
    <row r="3709" spans="1:14" hidden="1" x14ac:dyDescent="0.25">
      <c r="A3709" t="s">
        <v>5451</v>
      </c>
      <c r="B3709" t="s">
        <v>5452</v>
      </c>
      <c r="C3709" t="s">
        <v>5530</v>
      </c>
      <c r="D3709" t="s">
        <v>20</v>
      </c>
      <c r="E3709" t="s">
        <v>19</v>
      </c>
      <c r="F3709">
        <v>8</v>
      </c>
      <c r="G3709" t="s">
        <v>1419</v>
      </c>
      <c r="H3709" s="89">
        <v>46267</v>
      </c>
      <c r="I3709" s="89">
        <v>46271</v>
      </c>
      <c r="J3709" t="s">
        <v>1656</v>
      </c>
      <c r="K3709" t="s">
        <v>5540</v>
      </c>
      <c r="L3709">
        <v>1</v>
      </c>
      <c r="M3709" t="s">
        <v>5541</v>
      </c>
      <c r="N3709" t="s">
        <v>5328</v>
      </c>
    </row>
    <row r="3710" spans="1:14" hidden="1" x14ac:dyDescent="0.25">
      <c r="A3710" t="s">
        <v>1316</v>
      </c>
      <c r="B3710" t="s">
        <v>1330</v>
      </c>
      <c r="C3710" t="s">
        <v>5542</v>
      </c>
      <c r="D3710" t="s">
        <v>20</v>
      </c>
      <c r="E3710" t="s">
        <v>19</v>
      </c>
      <c r="F3710">
        <v>123</v>
      </c>
      <c r="G3710" t="s">
        <v>1419</v>
      </c>
      <c r="H3710" s="89">
        <v>46267</v>
      </c>
      <c r="I3710" s="89">
        <v>46269</v>
      </c>
      <c r="J3710" t="s">
        <v>1656</v>
      </c>
      <c r="K3710" t="s">
        <v>5543</v>
      </c>
      <c r="L3710">
        <v>1</v>
      </c>
      <c r="M3710" t="s">
        <v>5544</v>
      </c>
      <c r="N3710" t="s">
        <v>5328</v>
      </c>
    </row>
    <row r="3711" spans="1:14" hidden="1" x14ac:dyDescent="0.25">
      <c r="A3711" t="s">
        <v>1317</v>
      </c>
      <c r="B3711" t="s">
        <v>1331</v>
      </c>
      <c r="C3711" t="s">
        <v>5545</v>
      </c>
      <c r="D3711" t="s">
        <v>20</v>
      </c>
      <c r="E3711" t="s">
        <v>19</v>
      </c>
      <c r="F3711">
        <v>28</v>
      </c>
      <c r="G3711" t="s">
        <v>1419</v>
      </c>
      <c r="H3711" s="89">
        <v>46267</v>
      </c>
      <c r="I3711" s="89">
        <v>46269</v>
      </c>
      <c r="J3711" t="s">
        <v>1656</v>
      </c>
      <c r="K3711" t="s">
        <v>5546</v>
      </c>
      <c r="L3711">
        <v>1</v>
      </c>
      <c r="M3711" t="s">
        <v>5547</v>
      </c>
      <c r="N3711" t="s">
        <v>5328</v>
      </c>
    </row>
    <row r="3712" spans="1:14" hidden="1" x14ac:dyDescent="0.25">
      <c r="A3712" t="s">
        <v>1318</v>
      </c>
      <c r="B3712" t="s">
        <v>1332</v>
      </c>
      <c r="C3712" t="s">
        <v>5548</v>
      </c>
      <c r="D3712" t="s">
        <v>20</v>
      </c>
      <c r="E3712" t="s">
        <v>19</v>
      </c>
      <c r="F3712">
        <v>60</v>
      </c>
      <c r="G3712" t="s">
        <v>1419</v>
      </c>
      <c r="H3712" s="89">
        <v>46267</v>
      </c>
      <c r="I3712" s="89">
        <v>46269</v>
      </c>
      <c r="J3712" t="s">
        <v>1656</v>
      </c>
      <c r="K3712" t="s">
        <v>5549</v>
      </c>
      <c r="L3712">
        <v>1</v>
      </c>
      <c r="M3712" t="s">
        <v>5550</v>
      </c>
      <c r="N3712" t="s">
        <v>5328</v>
      </c>
    </row>
    <row r="3713" spans="1:14" hidden="1" x14ac:dyDescent="0.25">
      <c r="A3713" t="s">
        <v>1313</v>
      </c>
      <c r="B3713" t="s">
        <v>1327</v>
      </c>
      <c r="C3713" t="s">
        <v>5551</v>
      </c>
      <c r="D3713" t="s">
        <v>24</v>
      </c>
      <c r="E3713" t="s">
        <v>17</v>
      </c>
      <c r="F3713">
        <v>1104</v>
      </c>
      <c r="G3713">
        <v>23</v>
      </c>
      <c r="H3713" s="89">
        <v>46268</v>
      </c>
      <c r="I3713" s="89">
        <v>46272</v>
      </c>
      <c r="J3713" t="s">
        <v>5552</v>
      </c>
      <c r="K3713" t="s">
        <v>5553</v>
      </c>
      <c r="L3713">
        <v>1</v>
      </c>
      <c r="M3713" t="s">
        <v>5554</v>
      </c>
      <c r="N3713" t="s">
        <v>5328</v>
      </c>
    </row>
    <row r="3714" spans="1:14" hidden="1" x14ac:dyDescent="0.25">
      <c r="A3714" t="s">
        <v>1319</v>
      </c>
      <c r="B3714" t="s">
        <v>1333</v>
      </c>
      <c r="C3714" t="s">
        <v>5551</v>
      </c>
      <c r="D3714" t="s">
        <v>24</v>
      </c>
      <c r="E3714" t="s">
        <v>17</v>
      </c>
      <c r="F3714">
        <v>48</v>
      </c>
      <c r="G3714">
        <v>1</v>
      </c>
      <c r="H3714" s="89">
        <v>46268</v>
      </c>
      <c r="I3714" s="89">
        <v>46272</v>
      </c>
      <c r="J3714" t="s">
        <v>5552</v>
      </c>
      <c r="K3714" t="s">
        <v>5555</v>
      </c>
      <c r="L3714">
        <v>1</v>
      </c>
      <c r="M3714" t="s">
        <v>5556</v>
      </c>
      <c r="N3714" t="s">
        <v>5328</v>
      </c>
    </row>
    <row r="3715" spans="1:14" hidden="1" x14ac:dyDescent="0.25">
      <c r="A3715" t="s">
        <v>1320</v>
      </c>
      <c r="B3715" t="s">
        <v>1334</v>
      </c>
      <c r="C3715" t="s">
        <v>5557</v>
      </c>
      <c r="D3715" t="s">
        <v>30</v>
      </c>
      <c r="E3715" t="s">
        <v>14</v>
      </c>
      <c r="F3715">
        <v>576</v>
      </c>
      <c r="G3715">
        <v>12</v>
      </c>
      <c r="H3715" s="89">
        <v>46268</v>
      </c>
      <c r="I3715" s="89">
        <v>46274</v>
      </c>
      <c r="J3715" t="s">
        <v>5558</v>
      </c>
      <c r="K3715" t="s">
        <v>5559</v>
      </c>
      <c r="L3715">
        <v>1</v>
      </c>
      <c r="M3715" t="s">
        <v>5560</v>
      </c>
      <c r="N3715" t="s">
        <v>5328</v>
      </c>
    </row>
    <row r="3716" spans="1:14" hidden="1" x14ac:dyDescent="0.25">
      <c r="A3716" t="s">
        <v>1313</v>
      </c>
      <c r="B3716" t="s">
        <v>1327</v>
      </c>
      <c r="C3716" t="s">
        <v>5561</v>
      </c>
      <c r="D3716" t="s">
        <v>103</v>
      </c>
      <c r="E3716" t="s">
        <v>18</v>
      </c>
      <c r="F3716">
        <v>1056</v>
      </c>
      <c r="G3716">
        <v>22</v>
      </c>
      <c r="H3716" s="89">
        <v>46268</v>
      </c>
      <c r="I3716" s="89">
        <v>46274</v>
      </c>
      <c r="J3716" t="s">
        <v>5562</v>
      </c>
      <c r="K3716" t="s">
        <v>5563</v>
      </c>
      <c r="L3716">
        <v>1</v>
      </c>
      <c r="M3716" t="s">
        <v>5564</v>
      </c>
      <c r="N3716" t="s">
        <v>5328</v>
      </c>
    </row>
    <row r="3717" spans="1:14" hidden="1" x14ac:dyDescent="0.25">
      <c r="A3717" t="s">
        <v>1314</v>
      </c>
      <c r="B3717" t="s">
        <v>1328</v>
      </c>
      <c r="C3717" t="s">
        <v>5565</v>
      </c>
      <c r="D3717" t="s">
        <v>15</v>
      </c>
      <c r="E3717" t="s">
        <v>18</v>
      </c>
      <c r="F3717">
        <v>96</v>
      </c>
      <c r="G3717">
        <v>2</v>
      </c>
      <c r="H3717" s="89">
        <v>46268</v>
      </c>
      <c r="I3717" s="89">
        <v>46272</v>
      </c>
      <c r="J3717" t="s">
        <v>5531</v>
      </c>
      <c r="K3717" t="s">
        <v>5566</v>
      </c>
      <c r="L3717">
        <v>1</v>
      </c>
      <c r="M3717" t="s">
        <v>5567</v>
      </c>
      <c r="N3717" t="s">
        <v>5328</v>
      </c>
    </row>
    <row r="3718" spans="1:14" hidden="1" x14ac:dyDescent="0.25">
      <c r="A3718" t="s">
        <v>1313</v>
      </c>
      <c r="B3718" t="s">
        <v>1327</v>
      </c>
      <c r="C3718" t="s">
        <v>5565</v>
      </c>
      <c r="D3718" t="s">
        <v>15</v>
      </c>
      <c r="E3718" t="s">
        <v>16</v>
      </c>
      <c r="F3718">
        <v>528</v>
      </c>
      <c r="G3718">
        <v>11</v>
      </c>
      <c r="H3718" s="89">
        <v>46268</v>
      </c>
      <c r="I3718" s="89">
        <v>46271</v>
      </c>
      <c r="J3718" t="s">
        <v>5485</v>
      </c>
      <c r="K3718" t="s">
        <v>5568</v>
      </c>
      <c r="L3718">
        <v>1</v>
      </c>
      <c r="M3718" t="s">
        <v>5569</v>
      </c>
      <c r="N3718" t="s">
        <v>5328</v>
      </c>
    </row>
    <row r="3719" spans="1:14" hidden="1" x14ac:dyDescent="0.25">
      <c r="A3719" t="s">
        <v>1314</v>
      </c>
      <c r="B3719" t="s">
        <v>1328</v>
      </c>
      <c r="C3719" t="s">
        <v>5565</v>
      </c>
      <c r="D3719" t="s">
        <v>15</v>
      </c>
      <c r="E3719" t="s">
        <v>16</v>
      </c>
      <c r="F3719">
        <v>288</v>
      </c>
      <c r="G3719">
        <v>6</v>
      </c>
      <c r="H3719" s="89">
        <v>46268</v>
      </c>
      <c r="I3719" s="89">
        <v>46271</v>
      </c>
      <c r="J3719" t="s">
        <v>5570</v>
      </c>
      <c r="K3719" t="s">
        <v>5571</v>
      </c>
      <c r="L3719">
        <v>1</v>
      </c>
      <c r="M3719" t="s">
        <v>5572</v>
      </c>
      <c r="N3719" t="s">
        <v>5328</v>
      </c>
    </row>
    <row r="3720" spans="1:14" hidden="1" x14ac:dyDescent="0.25">
      <c r="A3720" t="s">
        <v>1313</v>
      </c>
      <c r="B3720" t="s">
        <v>1327</v>
      </c>
      <c r="C3720" t="s">
        <v>5565</v>
      </c>
      <c r="D3720" t="s">
        <v>15</v>
      </c>
      <c r="E3720" t="s">
        <v>31</v>
      </c>
      <c r="F3720">
        <v>528</v>
      </c>
      <c r="G3720">
        <v>4</v>
      </c>
      <c r="H3720" s="89">
        <v>46268</v>
      </c>
      <c r="I3720" s="89">
        <v>46274</v>
      </c>
      <c r="J3720" t="s">
        <v>5573</v>
      </c>
      <c r="K3720" t="s">
        <v>5574</v>
      </c>
      <c r="L3720">
        <v>1</v>
      </c>
      <c r="M3720" t="s">
        <v>5575</v>
      </c>
      <c r="N3720" t="s">
        <v>5328</v>
      </c>
    </row>
    <row r="3721" spans="1:14" hidden="1" x14ac:dyDescent="0.25">
      <c r="A3721" t="s">
        <v>1315</v>
      </c>
      <c r="B3721" t="s">
        <v>1329</v>
      </c>
      <c r="C3721" t="s">
        <v>5565</v>
      </c>
      <c r="D3721" t="s">
        <v>15</v>
      </c>
      <c r="E3721" t="s">
        <v>19</v>
      </c>
      <c r="F3721">
        <v>46</v>
      </c>
      <c r="G3721" t="s">
        <v>1419</v>
      </c>
      <c r="H3721" s="89">
        <v>46268</v>
      </c>
      <c r="I3721" s="89">
        <v>46270</v>
      </c>
      <c r="J3721" t="s">
        <v>1656</v>
      </c>
      <c r="K3721" t="s">
        <v>5576</v>
      </c>
      <c r="L3721">
        <v>1</v>
      </c>
      <c r="M3721" t="s">
        <v>5577</v>
      </c>
      <c r="N3721" t="s">
        <v>5328</v>
      </c>
    </row>
    <row r="3722" spans="1:14" hidden="1" x14ac:dyDescent="0.25">
      <c r="A3722" t="s">
        <v>1316</v>
      </c>
      <c r="B3722" t="s">
        <v>1330</v>
      </c>
      <c r="C3722" t="s">
        <v>5578</v>
      </c>
      <c r="D3722" t="s">
        <v>15</v>
      </c>
      <c r="E3722" t="s">
        <v>19</v>
      </c>
      <c r="F3722">
        <v>44</v>
      </c>
      <c r="G3722" t="s">
        <v>1419</v>
      </c>
      <c r="H3722" s="89">
        <v>46268</v>
      </c>
      <c r="I3722" s="89">
        <v>46270</v>
      </c>
      <c r="J3722" t="s">
        <v>1656</v>
      </c>
      <c r="K3722" t="s">
        <v>5579</v>
      </c>
      <c r="L3722">
        <v>1</v>
      </c>
      <c r="M3722" t="s">
        <v>5580</v>
      </c>
      <c r="N3722" t="s">
        <v>5328</v>
      </c>
    </row>
    <row r="3723" spans="1:14" hidden="1" x14ac:dyDescent="0.25">
      <c r="A3723" t="s">
        <v>1317</v>
      </c>
      <c r="B3723" t="s">
        <v>1331</v>
      </c>
      <c r="C3723" t="s">
        <v>5581</v>
      </c>
      <c r="D3723" t="s">
        <v>15</v>
      </c>
      <c r="E3723" t="s">
        <v>19</v>
      </c>
      <c r="F3723">
        <v>75</v>
      </c>
      <c r="G3723" t="s">
        <v>1419</v>
      </c>
      <c r="H3723" s="89">
        <v>46268</v>
      </c>
      <c r="I3723" s="89">
        <v>46270</v>
      </c>
      <c r="J3723" t="s">
        <v>1656</v>
      </c>
      <c r="K3723" t="s">
        <v>5582</v>
      </c>
      <c r="L3723">
        <v>1</v>
      </c>
      <c r="M3723" t="s">
        <v>5583</v>
      </c>
      <c r="N3723" t="s">
        <v>5328</v>
      </c>
    </row>
    <row r="3724" spans="1:14" hidden="1" x14ac:dyDescent="0.25">
      <c r="A3724" t="s">
        <v>1318</v>
      </c>
      <c r="B3724" t="s">
        <v>1332</v>
      </c>
      <c r="C3724" t="s">
        <v>5584</v>
      </c>
      <c r="D3724" t="s">
        <v>15</v>
      </c>
      <c r="E3724" t="s">
        <v>19</v>
      </c>
      <c r="F3724">
        <v>21</v>
      </c>
      <c r="G3724" t="s">
        <v>1419</v>
      </c>
      <c r="H3724" s="89">
        <v>46268</v>
      </c>
      <c r="I3724" s="89">
        <v>46270</v>
      </c>
      <c r="J3724" t="s">
        <v>1656</v>
      </c>
      <c r="K3724" t="s">
        <v>5585</v>
      </c>
      <c r="L3724">
        <v>1</v>
      </c>
      <c r="M3724" t="s">
        <v>5586</v>
      </c>
      <c r="N3724" t="s">
        <v>5328</v>
      </c>
    </row>
    <row r="3725" spans="1:14" hidden="1" x14ac:dyDescent="0.25">
      <c r="A3725" t="s">
        <v>1313</v>
      </c>
      <c r="B3725" t="s">
        <v>1327</v>
      </c>
      <c r="C3725" t="s">
        <v>5587</v>
      </c>
      <c r="D3725" t="s">
        <v>20</v>
      </c>
      <c r="E3725" t="s">
        <v>17</v>
      </c>
      <c r="F3725">
        <v>1104</v>
      </c>
      <c r="G3725">
        <v>23</v>
      </c>
      <c r="H3725" s="89">
        <v>46268</v>
      </c>
      <c r="I3725" s="89">
        <v>46273</v>
      </c>
      <c r="J3725" t="s">
        <v>5588</v>
      </c>
      <c r="K3725" t="s">
        <v>5589</v>
      </c>
      <c r="L3725">
        <v>1</v>
      </c>
      <c r="M3725" t="s">
        <v>5590</v>
      </c>
      <c r="N3725" t="s">
        <v>5328</v>
      </c>
    </row>
    <row r="3726" spans="1:14" hidden="1" x14ac:dyDescent="0.25">
      <c r="A3726" t="s">
        <v>1319</v>
      </c>
      <c r="B3726" t="s">
        <v>1333</v>
      </c>
      <c r="C3726" t="s">
        <v>5587</v>
      </c>
      <c r="D3726" t="s">
        <v>20</v>
      </c>
      <c r="E3726" t="s">
        <v>17</v>
      </c>
      <c r="F3726">
        <v>48</v>
      </c>
      <c r="G3726">
        <v>1</v>
      </c>
      <c r="H3726" s="89">
        <v>46268</v>
      </c>
      <c r="I3726" s="89">
        <v>46273</v>
      </c>
      <c r="J3726" t="s">
        <v>5588</v>
      </c>
      <c r="K3726" t="s">
        <v>5591</v>
      </c>
      <c r="L3726">
        <v>1</v>
      </c>
      <c r="M3726" t="s">
        <v>5592</v>
      </c>
      <c r="N3726" t="s">
        <v>5328</v>
      </c>
    </row>
    <row r="3727" spans="1:14" hidden="1" x14ac:dyDescent="0.25">
      <c r="A3727" t="s">
        <v>1313</v>
      </c>
      <c r="B3727" t="s">
        <v>1327</v>
      </c>
      <c r="C3727" t="s">
        <v>5587</v>
      </c>
      <c r="D3727" t="s">
        <v>20</v>
      </c>
      <c r="E3727" t="s">
        <v>19</v>
      </c>
      <c r="F3727">
        <v>144</v>
      </c>
      <c r="G3727">
        <v>3</v>
      </c>
      <c r="H3727" s="89">
        <v>46268</v>
      </c>
      <c r="I3727" s="89">
        <v>46270</v>
      </c>
      <c r="J3727" t="s">
        <v>1656</v>
      </c>
      <c r="K3727" t="s">
        <v>5593</v>
      </c>
      <c r="L3727">
        <v>1</v>
      </c>
      <c r="M3727" t="s">
        <v>5594</v>
      </c>
      <c r="N3727" t="s">
        <v>5328</v>
      </c>
    </row>
    <row r="3728" spans="1:14" hidden="1" x14ac:dyDescent="0.25">
      <c r="A3728" t="s">
        <v>1315</v>
      </c>
      <c r="B3728" t="s">
        <v>1329</v>
      </c>
      <c r="C3728" t="s">
        <v>5587</v>
      </c>
      <c r="D3728" t="s">
        <v>20</v>
      </c>
      <c r="E3728" t="s">
        <v>19</v>
      </c>
      <c r="F3728">
        <v>30</v>
      </c>
      <c r="G3728" t="s">
        <v>1419</v>
      </c>
      <c r="H3728" s="89">
        <v>46268</v>
      </c>
      <c r="I3728" s="89">
        <v>46270</v>
      </c>
      <c r="J3728" t="s">
        <v>1656</v>
      </c>
      <c r="K3728" t="s">
        <v>5595</v>
      </c>
      <c r="L3728">
        <v>1</v>
      </c>
      <c r="M3728" t="s">
        <v>5596</v>
      </c>
      <c r="N3728" t="s">
        <v>5328</v>
      </c>
    </row>
    <row r="3729" spans="1:14" hidden="1" x14ac:dyDescent="0.25">
      <c r="A3729" t="s">
        <v>1316</v>
      </c>
      <c r="B3729" t="s">
        <v>1330</v>
      </c>
      <c r="C3729" t="s">
        <v>5597</v>
      </c>
      <c r="D3729" t="s">
        <v>20</v>
      </c>
      <c r="E3729" t="s">
        <v>19</v>
      </c>
      <c r="F3729">
        <v>52</v>
      </c>
      <c r="G3729" t="s">
        <v>1419</v>
      </c>
      <c r="H3729" s="89">
        <v>46268</v>
      </c>
      <c r="I3729" s="89">
        <v>46270</v>
      </c>
      <c r="J3729" t="s">
        <v>1656</v>
      </c>
      <c r="K3729" t="s">
        <v>5598</v>
      </c>
      <c r="L3729">
        <v>1</v>
      </c>
      <c r="M3729" t="s">
        <v>5599</v>
      </c>
      <c r="N3729" t="s">
        <v>5328</v>
      </c>
    </row>
    <row r="3730" spans="1:14" hidden="1" x14ac:dyDescent="0.25">
      <c r="A3730" t="s">
        <v>1317</v>
      </c>
      <c r="B3730" t="s">
        <v>1331</v>
      </c>
      <c r="C3730" t="s">
        <v>5600</v>
      </c>
      <c r="D3730" t="s">
        <v>20</v>
      </c>
      <c r="E3730" t="s">
        <v>19</v>
      </c>
      <c r="F3730">
        <v>13</v>
      </c>
      <c r="G3730" t="s">
        <v>1419</v>
      </c>
      <c r="H3730" s="89">
        <v>46268</v>
      </c>
      <c r="I3730" s="89">
        <v>46270</v>
      </c>
      <c r="J3730" t="s">
        <v>1656</v>
      </c>
      <c r="K3730" t="s">
        <v>5601</v>
      </c>
      <c r="L3730">
        <v>1</v>
      </c>
      <c r="M3730" t="s">
        <v>5602</v>
      </c>
      <c r="N3730" t="s">
        <v>5328</v>
      </c>
    </row>
    <row r="3731" spans="1:14" hidden="1" x14ac:dyDescent="0.25">
      <c r="A3731" t="s">
        <v>1318</v>
      </c>
      <c r="B3731" t="s">
        <v>1332</v>
      </c>
      <c r="C3731" t="s">
        <v>5603</v>
      </c>
      <c r="D3731" t="s">
        <v>20</v>
      </c>
      <c r="E3731" t="s">
        <v>19</v>
      </c>
      <c r="F3731">
        <v>47</v>
      </c>
      <c r="G3731" t="s">
        <v>1419</v>
      </c>
      <c r="H3731" s="89">
        <v>46268</v>
      </c>
      <c r="I3731" s="89">
        <v>46270</v>
      </c>
      <c r="J3731" t="s">
        <v>1656</v>
      </c>
      <c r="K3731" t="s">
        <v>5604</v>
      </c>
      <c r="L3731">
        <v>1</v>
      </c>
      <c r="M3731" t="s">
        <v>5605</v>
      </c>
      <c r="N3731" t="s">
        <v>5328</v>
      </c>
    </row>
    <row r="3732" spans="1:14" hidden="1" x14ac:dyDescent="0.25">
      <c r="A3732" t="s">
        <v>1313</v>
      </c>
      <c r="B3732" t="s">
        <v>1327</v>
      </c>
      <c r="C3732" t="s">
        <v>5606</v>
      </c>
      <c r="D3732" t="s">
        <v>21</v>
      </c>
      <c r="E3732" t="s">
        <v>16</v>
      </c>
      <c r="F3732">
        <v>864</v>
      </c>
      <c r="G3732">
        <v>18</v>
      </c>
      <c r="H3732" s="89">
        <v>46268</v>
      </c>
      <c r="I3732" s="89">
        <v>46273</v>
      </c>
      <c r="J3732" t="s">
        <v>5607</v>
      </c>
      <c r="K3732" t="s">
        <v>5608</v>
      </c>
      <c r="L3732">
        <v>1</v>
      </c>
      <c r="M3732" t="s">
        <v>5609</v>
      </c>
      <c r="N3732" t="s">
        <v>5328</v>
      </c>
    </row>
    <row r="3733" spans="1:14" hidden="1" x14ac:dyDescent="0.25">
      <c r="A3733" t="s">
        <v>1313</v>
      </c>
      <c r="B3733" t="s">
        <v>1327</v>
      </c>
      <c r="C3733" t="s">
        <v>5606</v>
      </c>
      <c r="D3733" t="s">
        <v>21</v>
      </c>
      <c r="E3733" t="s">
        <v>22</v>
      </c>
      <c r="F3733">
        <v>624</v>
      </c>
      <c r="G3733">
        <v>13</v>
      </c>
      <c r="H3733" s="89">
        <v>46268</v>
      </c>
      <c r="I3733" s="89">
        <v>46271</v>
      </c>
      <c r="J3733" t="s">
        <v>5498</v>
      </c>
      <c r="K3733" t="s">
        <v>5610</v>
      </c>
      <c r="L3733">
        <v>1</v>
      </c>
      <c r="M3733" t="s">
        <v>5611</v>
      </c>
      <c r="N3733" t="s">
        <v>5328</v>
      </c>
    </row>
    <row r="3734" spans="1:14" hidden="1" x14ac:dyDescent="0.25">
      <c r="A3734" t="s">
        <v>1315</v>
      </c>
      <c r="B3734" t="s">
        <v>1329</v>
      </c>
      <c r="C3734" t="s">
        <v>5606</v>
      </c>
      <c r="D3734" t="s">
        <v>21</v>
      </c>
      <c r="E3734" t="s">
        <v>19</v>
      </c>
      <c r="F3734">
        <v>43</v>
      </c>
      <c r="G3734" t="s">
        <v>1419</v>
      </c>
      <c r="H3734" s="89">
        <v>46268</v>
      </c>
      <c r="I3734" s="89">
        <v>46270</v>
      </c>
      <c r="J3734" t="s">
        <v>1656</v>
      </c>
      <c r="K3734" t="s">
        <v>5612</v>
      </c>
      <c r="L3734">
        <v>1</v>
      </c>
      <c r="M3734" t="s">
        <v>5613</v>
      </c>
      <c r="N3734" t="s">
        <v>5328</v>
      </c>
    </row>
    <row r="3735" spans="1:14" hidden="1" x14ac:dyDescent="0.25">
      <c r="A3735" t="s">
        <v>1316</v>
      </c>
      <c r="B3735" t="s">
        <v>1330</v>
      </c>
      <c r="C3735" t="s">
        <v>5614</v>
      </c>
      <c r="D3735" t="s">
        <v>21</v>
      </c>
      <c r="E3735" t="s">
        <v>19</v>
      </c>
      <c r="F3735">
        <v>61</v>
      </c>
      <c r="G3735" t="s">
        <v>1419</v>
      </c>
      <c r="H3735" s="89">
        <v>46268</v>
      </c>
      <c r="I3735" s="89">
        <v>46270</v>
      </c>
      <c r="J3735" t="s">
        <v>1656</v>
      </c>
      <c r="K3735" t="s">
        <v>5615</v>
      </c>
      <c r="L3735">
        <v>1</v>
      </c>
      <c r="M3735" t="s">
        <v>5616</v>
      </c>
      <c r="N3735" t="s">
        <v>5328</v>
      </c>
    </row>
    <row r="3736" spans="1:14" hidden="1" x14ac:dyDescent="0.25">
      <c r="A3736" t="s">
        <v>1317</v>
      </c>
      <c r="B3736" t="s">
        <v>1331</v>
      </c>
      <c r="C3736" t="s">
        <v>5617</v>
      </c>
      <c r="D3736" t="s">
        <v>21</v>
      </c>
      <c r="E3736" t="s">
        <v>19</v>
      </c>
      <c r="F3736">
        <v>14</v>
      </c>
      <c r="G3736" t="s">
        <v>1419</v>
      </c>
      <c r="H3736" s="89">
        <v>46268</v>
      </c>
      <c r="I3736" s="89">
        <v>46270</v>
      </c>
      <c r="J3736" t="s">
        <v>1656</v>
      </c>
      <c r="K3736" t="s">
        <v>5618</v>
      </c>
      <c r="L3736">
        <v>1</v>
      </c>
      <c r="M3736" t="s">
        <v>5619</v>
      </c>
      <c r="N3736" t="s">
        <v>5328</v>
      </c>
    </row>
    <row r="3737" spans="1:14" hidden="1" x14ac:dyDescent="0.25">
      <c r="A3737" t="s">
        <v>1318</v>
      </c>
      <c r="B3737" t="s">
        <v>1332</v>
      </c>
      <c r="C3737" t="s">
        <v>5620</v>
      </c>
      <c r="D3737" t="s">
        <v>21</v>
      </c>
      <c r="E3737" t="s">
        <v>19</v>
      </c>
      <c r="F3737">
        <v>58</v>
      </c>
      <c r="G3737" t="s">
        <v>1419</v>
      </c>
      <c r="H3737" s="89">
        <v>46268</v>
      </c>
      <c r="I3737" s="89">
        <v>46270</v>
      </c>
      <c r="J3737" t="s">
        <v>1656</v>
      </c>
      <c r="K3737" t="s">
        <v>5621</v>
      </c>
      <c r="L3737">
        <v>1</v>
      </c>
      <c r="M3737" t="s">
        <v>5622</v>
      </c>
      <c r="N3737" t="s">
        <v>5328</v>
      </c>
    </row>
    <row r="3738" spans="1:14" hidden="1" x14ac:dyDescent="0.25">
      <c r="A3738" t="s">
        <v>1320</v>
      </c>
      <c r="B3738" t="s">
        <v>1334</v>
      </c>
      <c r="C3738" t="s">
        <v>5623</v>
      </c>
      <c r="D3738" t="s">
        <v>23</v>
      </c>
      <c r="E3738" t="s">
        <v>14</v>
      </c>
      <c r="F3738">
        <v>960</v>
      </c>
      <c r="G3738">
        <v>20</v>
      </c>
      <c r="H3738" s="89">
        <v>46268</v>
      </c>
      <c r="I3738" s="89">
        <v>46272</v>
      </c>
      <c r="J3738" t="s">
        <v>5624</v>
      </c>
      <c r="K3738" t="s">
        <v>5625</v>
      </c>
      <c r="L3738">
        <v>1</v>
      </c>
      <c r="M3738" t="s">
        <v>5626</v>
      </c>
      <c r="N3738" t="s">
        <v>5328</v>
      </c>
    </row>
    <row r="3739" spans="1:14" hidden="1" x14ac:dyDescent="0.25">
      <c r="A3739" t="s">
        <v>1320</v>
      </c>
      <c r="B3739" t="s">
        <v>1334</v>
      </c>
      <c r="C3739" t="s">
        <v>5627</v>
      </c>
      <c r="D3739" t="s">
        <v>30</v>
      </c>
      <c r="E3739" t="s">
        <v>14</v>
      </c>
      <c r="F3739">
        <v>384</v>
      </c>
      <c r="G3739">
        <v>8</v>
      </c>
      <c r="H3739" s="89">
        <v>46269</v>
      </c>
      <c r="I3739" s="89">
        <v>46274</v>
      </c>
      <c r="J3739" t="s">
        <v>5558</v>
      </c>
      <c r="K3739" t="s">
        <v>5628</v>
      </c>
      <c r="L3739">
        <v>1</v>
      </c>
      <c r="M3739" t="s">
        <v>5629</v>
      </c>
      <c r="N3739" t="s">
        <v>5328</v>
      </c>
    </row>
    <row r="3740" spans="1:14" hidden="1" x14ac:dyDescent="0.25">
      <c r="A3740" t="s">
        <v>1320</v>
      </c>
      <c r="B3740" t="s">
        <v>1334</v>
      </c>
      <c r="C3740" t="s">
        <v>5630</v>
      </c>
      <c r="D3740" t="s">
        <v>13</v>
      </c>
      <c r="E3740" t="s">
        <v>14</v>
      </c>
      <c r="F3740">
        <v>192</v>
      </c>
      <c r="G3740">
        <v>4</v>
      </c>
      <c r="H3740" s="89">
        <v>46269</v>
      </c>
      <c r="I3740" s="89">
        <v>46275</v>
      </c>
      <c r="J3740" t="s">
        <v>5631</v>
      </c>
      <c r="K3740" t="s">
        <v>5632</v>
      </c>
      <c r="L3740">
        <v>1</v>
      </c>
      <c r="M3740" t="s">
        <v>5633</v>
      </c>
      <c r="N3740" t="s">
        <v>5328</v>
      </c>
    </row>
    <row r="3741" spans="1:14" hidden="1" x14ac:dyDescent="0.25">
      <c r="A3741" t="s">
        <v>1320</v>
      </c>
      <c r="B3741" t="s">
        <v>1334</v>
      </c>
      <c r="C3741" t="s">
        <v>5634</v>
      </c>
      <c r="D3741" t="s">
        <v>152</v>
      </c>
      <c r="E3741" t="s">
        <v>14</v>
      </c>
      <c r="F3741">
        <v>768</v>
      </c>
      <c r="G3741">
        <v>16</v>
      </c>
      <c r="H3741" s="89">
        <v>46269</v>
      </c>
      <c r="I3741" s="89">
        <v>46275</v>
      </c>
      <c r="J3741" t="s">
        <v>5631</v>
      </c>
      <c r="K3741" t="s">
        <v>5635</v>
      </c>
      <c r="L3741">
        <v>1</v>
      </c>
      <c r="M3741" t="s">
        <v>5636</v>
      </c>
      <c r="N3741" t="s">
        <v>5328</v>
      </c>
    </row>
    <row r="3742" spans="1:14" hidden="1" x14ac:dyDescent="0.25">
      <c r="A3742" t="s">
        <v>1313</v>
      </c>
      <c r="B3742" t="s">
        <v>1327</v>
      </c>
      <c r="C3742" t="s">
        <v>5637</v>
      </c>
      <c r="D3742" t="s">
        <v>15</v>
      </c>
      <c r="E3742" t="s">
        <v>17</v>
      </c>
      <c r="F3742">
        <v>336</v>
      </c>
      <c r="G3742">
        <v>7</v>
      </c>
      <c r="H3742" s="89">
        <v>46269</v>
      </c>
      <c r="I3742" s="89">
        <v>46275</v>
      </c>
      <c r="J3742" t="s">
        <v>5638</v>
      </c>
      <c r="K3742" t="s">
        <v>5639</v>
      </c>
      <c r="L3742">
        <v>1</v>
      </c>
      <c r="M3742" t="s">
        <v>5640</v>
      </c>
      <c r="N3742" t="s">
        <v>5328</v>
      </c>
    </row>
    <row r="3743" spans="1:14" hidden="1" x14ac:dyDescent="0.25">
      <c r="A3743" t="s">
        <v>1313</v>
      </c>
      <c r="B3743" t="s">
        <v>1327</v>
      </c>
      <c r="C3743" t="s">
        <v>5637</v>
      </c>
      <c r="D3743" t="s">
        <v>15</v>
      </c>
      <c r="E3743" t="s">
        <v>31</v>
      </c>
      <c r="F3743">
        <v>528</v>
      </c>
      <c r="G3743">
        <v>18</v>
      </c>
      <c r="H3743" s="89">
        <v>46269</v>
      </c>
      <c r="I3743" s="89">
        <v>46274</v>
      </c>
      <c r="J3743" t="s">
        <v>5573</v>
      </c>
      <c r="K3743" t="s">
        <v>5641</v>
      </c>
      <c r="L3743">
        <v>1</v>
      </c>
      <c r="M3743" t="s">
        <v>5642</v>
      </c>
      <c r="N3743" t="s">
        <v>5328</v>
      </c>
    </row>
    <row r="3744" spans="1:14" hidden="1" x14ac:dyDescent="0.25">
      <c r="A3744" t="s">
        <v>1313</v>
      </c>
      <c r="B3744" t="s">
        <v>1327</v>
      </c>
      <c r="C3744" t="s">
        <v>5637</v>
      </c>
      <c r="D3744" t="s">
        <v>15</v>
      </c>
      <c r="E3744" t="s">
        <v>16</v>
      </c>
      <c r="F3744">
        <v>240</v>
      </c>
      <c r="G3744">
        <v>5</v>
      </c>
      <c r="H3744" s="89">
        <v>46269</v>
      </c>
      <c r="I3744" s="89">
        <v>46275</v>
      </c>
      <c r="J3744" t="s">
        <v>5643</v>
      </c>
      <c r="K3744" t="s">
        <v>5644</v>
      </c>
      <c r="L3744">
        <v>1</v>
      </c>
      <c r="M3744" t="s">
        <v>5645</v>
      </c>
      <c r="N3744" t="s">
        <v>5328</v>
      </c>
    </row>
    <row r="3745" spans="1:14" hidden="1" x14ac:dyDescent="0.25">
      <c r="A3745" t="s">
        <v>1314</v>
      </c>
      <c r="B3745" t="s">
        <v>1328</v>
      </c>
      <c r="C3745" t="s">
        <v>5637</v>
      </c>
      <c r="D3745" t="s">
        <v>15</v>
      </c>
      <c r="E3745" t="s">
        <v>16</v>
      </c>
      <c r="F3745">
        <v>288</v>
      </c>
      <c r="G3745">
        <v>6</v>
      </c>
      <c r="H3745" s="89">
        <v>46269</v>
      </c>
      <c r="I3745" s="89">
        <v>46273</v>
      </c>
      <c r="J3745" t="s">
        <v>5646</v>
      </c>
      <c r="K3745" t="s">
        <v>5647</v>
      </c>
      <c r="L3745">
        <v>1</v>
      </c>
      <c r="M3745" t="s">
        <v>5648</v>
      </c>
      <c r="N3745" t="s">
        <v>5328</v>
      </c>
    </row>
    <row r="3746" spans="1:14" hidden="1" x14ac:dyDescent="0.25">
      <c r="A3746" t="s">
        <v>1315</v>
      </c>
      <c r="B3746" t="s">
        <v>1329</v>
      </c>
      <c r="C3746" t="s">
        <v>5649</v>
      </c>
      <c r="D3746" t="s">
        <v>15</v>
      </c>
      <c r="E3746" t="s">
        <v>19</v>
      </c>
      <c r="F3746">
        <v>24</v>
      </c>
      <c r="G3746" t="s">
        <v>1419</v>
      </c>
      <c r="H3746" s="89">
        <v>46269</v>
      </c>
      <c r="I3746" s="89">
        <v>46271</v>
      </c>
      <c r="J3746" t="s">
        <v>1656</v>
      </c>
      <c r="K3746" t="s">
        <v>5650</v>
      </c>
      <c r="L3746">
        <v>1</v>
      </c>
      <c r="M3746" t="s">
        <v>5651</v>
      </c>
      <c r="N3746" t="s">
        <v>5328</v>
      </c>
    </row>
    <row r="3747" spans="1:14" hidden="1" x14ac:dyDescent="0.25">
      <c r="A3747" t="s">
        <v>1316</v>
      </c>
      <c r="B3747" t="s">
        <v>1330</v>
      </c>
      <c r="C3747" t="s">
        <v>5649</v>
      </c>
      <c r="D3747" t="s">
        <v>15</v>
      </c>
      <c r="E3747" t="s">
        <v>19</v>
      </c>
      <c r="F3747">
        <v>48</v>
      </c>
      <c r="G3747" t="s">
        <v>1419</v>
      </c>
      <c r="H3747" s="89">
        <v>46269</v>
      </c>
      <c r="I3747" s="89">
        <v>46271</v>
      </c>
      <c r="J3747" t="s">
        <v>1656</v>
      </c>
      <c r="K3747" t="s">
        <v>5652</v>
      </c>
      <c r="L3747">
        <v>1</v>
      </c>
      <c r="M3747" t="s">
        <v>5653</v>
      </c>
      <c r="N3747" t="s">
        <v>5328</v>
      </c>
    </row>
    <row r="3748" spans="1:14" hidden="1" x14ac:dyDescent="0.25">
      <c r="A3748" t="s">
        <v>1317</v>
      </c>
      <c r="B3748" t="s">
        <v>1331</v>
      </c>
      <c r="C3748" t="s">
        <v>5654</v>
      </c>
      <c r="D3748" t="s">
        <v>15</v>
      </c>
      <c r="E3748" t="s">
        <v>19</v>
      </c>
      <c r="F3748">
        <v>62</v>
      </c>
      <c r="G3748" t="s">
        <v>1419</v>
      </c>
      <c r="H3748" s="89">
        <v>46269</v>
      </c>
      <c r="I3748" s="89">
        <v>46271</v>
      </c>
      <c r="J3748" t="s">
        <v>1656</v>
      </c>
      <c r="K3748" t="s">
        <v>5655</v>
      </c>
      <c r="L3748">
        <v>1</v>
      </c>
      <c r="M3748" t="s">
        <v>5656</v>
      </c>
      <c r="N3748" t="s">
        <v>5328</v>
      </c>
    </row>
    <row r="3749" spans="1:14" hidden="1" x14ac:dyDescent="0.25">
      <c r="A3749" t="s">
        <v>1318</v>
      </c>
      <c r="B3749" t="s">
        <v>1332</v>
      </c>
      <c r="C3749" t="s">
        <v>5657</v>
      </c>
      <c r="D3749" t="s">
        <v>15</v>
      </c>
      <c r="E3749" t="s">
        <v>19</v>
      </c>
      <c r="F3749">
        <v>18</v>
      </c>
      <c r="G3749" t="s">
        <v>1419</v>
      </c>
      <c r="H3749" s="89">
        <v>46269</v>
      </c>
      <c r="I3749" s="89">
        <v>46271</v>
      </c>
      <c r="J3749" t="s">
        <v>1656</v>
      </c>
      <c r="K3749" t="s">
        <v>5658</v>
      </c>
      <c r="L3749">
        <v>1</v>
      </c>
      <c r="M3749" t="s">
        <v>5659</v>
      </c>
      <c r="N3749" t="s">
        <v>5328</v>
      </c>
    </row>
    <row r="3750" spans="1:14" hidden="1" x14ac:dyDescent="0.25">
      <c r="A3750" t="s">
        <v>1313</v>
      </c>
      <c r="B3750" t="s">
        <v>1327</v>
      </c>
      <c r="C3750" t="s">
        <v>5660</v>
      </c>
      <c r="D3750" t="s">
        <v>20</v>
      </c>
      <c r="E3750" t="s">
        <v>17</v>
      </c>
      <c r="F3750">
        <v>1056</v>
      </c>
      <c r="G3750">
        <v>22</v>
      </c>
      <c r="H3750" s="89">
        <v>46269</v>
      </c>
      <c r="I3750" s="89">
        <v>46274</v>
      </c>
      <c r="J3750" t="s">
        <v>5661</v>
      </c>
      <c r="K3750" t="s">
        <v>5662</v>
      </c>
      <c r="L3750">
        <v>1</v>
      </c>
      <c r="M3750" t="s">
        <v>5663</v>
      </c>
      <c r="N3750" t="s">
        <v>5328</v>
      </c>
    </row>
    <row r="3751" spans="1:14" hidden="1" x14ac:dyDescent="0.25">
      <c r="A3751" t="s">
        <v>1313</v>
      </c>
      <c r="B3751" t="s">
        <v>1327</v>
      </c>
      <c r="C3751" t="s">
        <v>5660</v>
      </c>
      <c r="D3751" t="s">
        <v>20</v>
      </c>
      <c r="E3751" t="s">
        <v>17</v>
      </c>
      <c r="F3751">
        <v>42</v>
      </c>
      <c r="G3751">
        <v>0.875</v>
      </c>
      <c r="H3751" s="89">
        <v>46269</v>
      </c>
      <c r="I3751" s="89">
        <v>46275</v>
      </c>
      <c r="J3751" t="s">
        <v>5638</v>
      </c>
      <c r="K3751" t="s">
        <v>5664</v>
      </c>
      <c r="L3751">
        <v>1</v>
      </c>
      <c r="M3751" t="s">
        <v>5665</v>
      </c>
      <c r="N3751" t="s">
        <v>5328</v>
      </c>
    </row>
    <row r="3752" spans="1:14" hidden="1" x14ac:dyDescent="0.25">
      <c r="A3752" t="s">
        <v>1319</v>
      </c>
      <c r="B3752" t="s">
        <v>1333</v>
      </c>
      <c r="C3752" t="s">
        <v>5660</v>
      </c>
      <c r="D3752" t="s">
        <v>20</v>
      </c>
      <c r="E3752" t="s">
        <v>17</v>
      </c>
      <c r="F3752">
        <v>48</v>
      </c>
      <c r="G3752">
        <v>1</v>
      </c>
      <c r="H3752" s="89">
        <v>46269</v>
      </c>
      <c r="I3752" s="89">
        <v>46274</v>
      </c>
      <c r="J3752" t="s">
        <v>5661</v>
      </c>
      <c r="K3752" t="s">
        <v>5666</v>
      </c>
      <c r="L3752">
        <v>1</v>
      </c>
      <c r="M3752" t="s">
        <v>5667</v>
      </c>
      <c r="N3752" t="s">
        <v>5328</v>
      </c>
    </row>
    <row r="3753" spans="1:14" hidden="1" x14ac:dyDescent="0.25">
      <c r="A3753" t="s">
        <v>1319</v>
      </c>
      <c r="B3753" t="s">
        <v>1333</v>
      </c>
      <c r="C3753" t="s">
        <v>5660</v>
      </c>
      <c r="D3753" t="s">
        <v>20</v>
      </c>
      <c r="E3753" t="s">
        <v>17</v>
      </c>
      <c r="F3753">
        <v>6</v>
      </c>
      <c r="G3753">
        <v>0.125</v>
      </c>
      <c r="H3753" s="89">
        <v>46269</v>
      </c>
      <c r="I3753" s="89">
        <v>46275</v>
      </c>
      <c r="J3753" t="s">
        <v>5638</v>
      </c>
      <c r="K3753" t="s">
        <v>5668</v>
      </c>
      <c r="L3753">
        <v>1</v>
      </c>
      <c r="M3753" t="s">
        <v>5669</v>
      </c>
      <c r="N3753" t="s">
        <v>5328</v>
      </c>
    </row>
    <row r="3754" spans="1:14" hidden="1" x14ac:dyDescent="0.25">
      <c r="A3754" t="s">
        <v>1313</v>
      </c>
      <c r="B3754" t="s">
        <v>1327</v>
      </c>
      <c r="C3754" t="s">
        <v>5660</v>
      </c>
      <c r="D3754" t="s">
        <v>20</v>
      </c>
      <c r="E3754" t="s">
        <v>19</v>
      </c>
      <c r="F3754">
        <v>48</v>
      </c>
      <c r="G3754">
        <v>1</v>
      </c>
      <c r="H3754" s="89">
        <v>46269</v>
      </c>
      <c r="I3754" s="89">
        <v>46271</v>
      </c>
      <c r="J3754" t="s">
        <v>1656</v>
      </c>
      <c r="K3754" t="s">
        <v>5670</v>
      </c>
      <c r="L3754">
        <v>1</v>
      </c>
      <c r="M3754" t="s">
        <v>5671</v>
      </c>
      <c r="N3754" t="s">
        <v>5328</v>
      </c>
    </row>
    <row r="3755" spans="1:14" hidden="1" x14ac:dyDescent="0.25">
      <c r="A3755" t="s">
        <v>1315</v>
      </c>
      <c r="B3755" t="s">
        <v>1329</v>
      </c>
      <c r="C3755" t="s">
        <v>5660</v>
      </c>
      <c r="D3755" t="s">
        <v>20</v>
      </c>
      <c r="E3755" t="s">
        <v>19</v>
      </c>
      <c r="F3755">
        <v>38</v>
      </c>
      <c r="G3755" t="s">
        <v>1419</v>
      </c>
      <c r="H3755" s="89">
        <v>46269</v>
      </c>
      <c r="I3755" s="89">
        <v>46271</v>
      </c>
      <c r="J3755" t="s">
        <v>1656</v>
      </c>
      <c r="K3755" t="s">
        <v>5672</v>
      </c>
      <c r="L3755">
        <v>1</v>
      </c>
      <c r="M3755" t="s">
        <v>5673</v>
      </c>
      <c r="N3755" t="s">
        <v>5328</v>
      </c>
    </row>
    <row r="3756" spans="1:14" hidden="1" x14ac:dyDescent="0.25">
      <c r="A3756" t="s">
        <v>1316</v>
      </c>
      <c r="B3756" t="s">
        <v>1330</v>
      </c>
      <c r="C3756" t="s">
        <v>5674</v>
      </c>
      <c r="D3756" t="s">
        <v>20</v>
      </c>
      <c r="E3756" t="s">
        <v>19</v>
      </c>
      <c r="F3756">
        <v>24</v>
      </c>
      <c r="G3756" t="s">
        <v>1419</v>
      </c>
      <c r="H3756" s="89">
        <v>46269</v>
      </c>
      <c r="I3756" s="89">
        <v>46271</v>
      </c>
      <c r="J3756" t="s">
        <v>1656</v>
      </c>
      <c r="K3756" t="s">
        <v>5675</v>
      </c>
      <c r="L3756">
        <v>1</v>
      </c>
      <c r="M3756" t="s">
        <v>5676</v>
      </c>
      <c r="N3756" t="s">
        <v>5328</v>
      </c>
    </row>
    <row r="3757" spans="1:14" hidden="1" x14ac:dyDescent="0.25">
      <c r="A3757" t="s">
        <v>1317</v>
      </c>
      <c r="B3757" t="s">
        <v>1331</v>
      </c>
      <c r="C3757" t="s">
        <v>5677</v>
      </c>
      <c r="D3757" t="s">
        <v>20</v>
      </c>
      <c r="E3757" t="s">
        <v>19</v>
      </c>
      <c r="F3757">
        <v>8</v>
      </c>
      <c r="G3757" t="s">
        <v>1419</v>
      </c>
      <c r="H3757" s="89">
        <v>46269</v>
      </c>
      <c r="I3757" s="89">
        <v>46271</v>
      </c>
      <c r="J3757" t="s">
        <v>1656</v>
      </c>
      <c r="K3757" t="s">
        <v>5678</v>
      </c>
      <c r="L3757">
        <v>1</v>
      </c>
      <c r="M3757" t="s">
        <v>5679</v>
      </c>
      <c r="N3757" t="s">
        <v>5328</v>
      </c>
    </row>
    <row r="3758" spans="1:14" hidden="1" x14ac:dyDescent="0.25">
      <c r="A3758" t="s">
        <v>1318</v>
      </c>
      <c r="B3758" t="s">
        <v>1332</v>
      </c>
      <c r="C3758" t="s">
        <v>5680</v>
      </c>
      <c r="D3758" t="s">
        <v>20</v>
      </c>
      <c r="E3758" t="s">
        <v>19</v>
      </c>
      <c r="F3758">
        <v>42</v>
      </c>
      <c r="G3758" t="s">
        <v>1419</v>
      </c>
      <c r="H3758" s="89">
        <v>46269</v>
      </c>
      <c r="I3758" s="89">
        <v>46271</v>
      </c>
      <c r="J3758" t="s">
        <v>1656</v>
      </c>
      <c r="K3758" t="s">
        <v>5681</v>
      </c>
      <c r="L3758">
        <v>1</v>
      </c>
      <c r="M3758" t="s">
        <v>5682</v>
      </c>
      <c r="N3758" t="s">
        <v>5328</v>
      </c>
    </row>
    <row r="3759" spans="1:14" hidden="1" x14ac:dyDescent="0.25">
      <c r="A3759" t="s">
        <v>1313</v>
      </c>
      <c r="B3759" t="s">
        <v>1327</v>
      </c>
      <c r="C3759" t="s">
        <v>5683</v>
      </c>
      <c r="D3759" t="s">
        <v>28</v>
      </c>
      <c r="E3759" t="s">
        <v>22</v>
      </c>
      <c r="F3759">
        <v>1152</v>
      </c>
      <c r="G3759">
        <v>24</v>
      </c>
      <c r="H3759" s="89">
        <v>46269</v>
      </c>
      <c r="I3759" s="89">
        <v>46274</v>
      </c>
      <c r="J3759" t="s">
        <v>5684</v>
      </c>
      <c r="K3759" t="s">
        <v>5685</v>
      </c>
      <c r="L3759">
        <v>1</v>
      </c>
      <c r="M3759" t="s">
        <v>5686</v>
      </c>
      <c r="N3759" t="s">
        <v>5328</v>
      </c>
    </row>
    <row r="3760" spans="1:14" hidden="1" x14ac:dyDescent="0.25">
      <c r="A3760" t="s">
        <v>1315</v>
      </c>
      <c r="B3760" t="s">
        <v>1329</v>
      </c>
      <c r="C3760" t="s">
        <v>5687</v>
      </c>
      <c r="D3760" t="s">
        <v>28</v>
      </c>
      <c r="E3760" t="s">
        <v>19</v>
      </c>
      <c r="F3760">
        <v>66</v>
      </c>
      <c r="G3760" t="s">
        <v>1419</v>
      </c>
      <c r="H3760" s="89">
        <v>46269</v>
      </c>
      <c r="I3760" s="89">
        <v>46271</v>
      </c>
      <c r="J3760" t="s">
        <v>1656</v>
      </c>
      <c r="K3760" t="s">
        <v>5688</v>
      </c>
      <c r="L3760">
        <v>1</v>
      </c>
      <c r="M3760" t="s">
        <v>5689</v>
      </c>
      <c r="N3760" t="s">
        <v>5328</v>
      </c>
    </row>
    <row r="3761" spans="1:14" hidden="1" x14ac:dyDescent="0.25">
      <c r="A3761" t="s">
        <v>1316</v>
      </c>
      <c r="B3761" t="s">
        <v>1330</v>
      </c>
      <c r="C3761" t="s">
        <v>5687</v>
      </c>
      <c r="D3761" t="s">
        <v>28</v>
      </c>
      <c r="E3761" t="s">
        <v>19</v>
      </c>
      <c r="F3761">
        <v>29</v>
      </c>
      <c r="G3761" t="s">
        <v>1419</v>
      </c>
      <c r="H3761" s="89">
        <v>46269</v>
      </c>
      <c r="I3761" s="89">
        <v>46271</v>
      </c>
      <c r="J3761" t="s">
        <v>1656</v>
      </c>
      <c r="K3761" t="s">
        <v>5690</v>
      </c>
      <c r="L3761">
        <v>1</v>
      </c>
      <c r="M3761" t="s">
        <v>5691</v>
      </c>
      <c r="N3761" t="s">
        <v>5328</v>
      </c>
    </row>
    <row r="3762" spans="1:14" hidden="1" x14ac:dyDescent="0.25">
      <c r="A3762" t="s">
        <v>1317</v>
      </c>
      <c r="B3762" t="s">
        <v>1331</v>
      </c>
      <c r="C3762" t="s">
        <v>5692</v>
      </c>
      <c r="D3762" t="s">
        <v>28</v>
      </c>
      <c r="E3762" t="s">
        <v>19</v>
      </c>
      <c r="F3762">
        <v>8</v>
      </c>
      <c r="G3762" t="s">
        <v>1419</v>
      </c>
      <c r="H3762" s="89">
        <v>46269</v>
      </c>
      <c r="I3762" s="89">
        <v>46271</v>
      </c>
      <c r="J3762" t="s">
        <v>1656</v>
      </c>
      <c r="K3762" t="s">
        <v>5693</v>
      </c>
      <c r="L3762">
        <v>1</v>
      </c>
      <c r="M3762" t="s">
        <v>5694</v>
      </c>
      <c r="N3762" t="s">
        <v>5328</v>
      </c>
    </row>
    <row r="3763" spans="1:14" hidden="1" x14ac:dyDescent="0.25">
      <c r="A3763" t="s">
        <v>1318</v>
      </c>
      <c r="B3763" t="s">
        <v>1332</v>
      </c>
      <c r="C3763" t="s">
        <v>5695</v>
      </c>
      <c r="D3763" t="s">
        <v>28</v>
      </c>
      <c r="E3763" t="s">
        <v>19</v>
      </c>
      <c r="F3763">
        <v>46</v>
      </c>
      <c r="G3763" t="s">
        <v>1419</v>
      </c>
      <c r="H3763" s="89">
        <v>46269</v>
      </c>
      <c r="I3763" s="89">
        <v>46271</v>
      </c>
      <c r="J3763" t="s">
        <v>1656</v>
      </c>
      <c r="K3763" t="s">
        <v>5696</v>
      </c>
      <c r="L3763">
        <v>1</v>
      </c>
      <c r="M3763" t="s">
        <v>5697</v>
      </c>
      <c r="N3763" t="s">
        <v>5328</v>
      </c>
    </row>
    <row r="3764" spans="1:14" hidden="1" x14ac:dyDescent="0.25">
      <c r="A3764" t="s">
        <v>1321</v>
      </c>
      <c r="B3764" t="s">
        <v>1335</v>
      </c>
      <c r="C3764" t="s">
        <v>5698</v>
      </c>
      <c r="D3764" t="s">
        <v>27</v>
      </c>
      <c r="E3764" t="s">
        <v>65</v>
      </c>
      <c r="F3764">
        <v>144</v>
      </c>
      <c r="G3764">
        <v>3</v>
      </c>
      <c r="H3764" s="89">
        <v>46269</v>
      </c>
      <c r="I3764" s="89">
        <v>46277</v>
      </c>
      <c r="J3764" t="s">
        <v>5699</v>
      </c>
      <c r="K3764" t="s">
        <v>5700</v>
      </c>
      <c r="L3764">
        <v>1</v>
      </c>
      <c r="M3764" t="s">
        <v>5701</v>
      </c>
      <c r="N3764" t="s">
        <v>5328</v>
      </c>
    </row>
    <row r="3765" spans="1:14" hidden="1" x14ac:dyDescent="0.25">
      <c r="A3765" t="s">
        <v>1324</v>
      </c>
      <c r="B3765" t="s">
        <v>1338</v>
      </c>
      <c r="C3765" t="s">
        <v>5702</v>
      </c>
      <c r="D3765" t="s">
        <v>5703</v>
      </c>
      <c r="E3765" t="s">
        <v>65</v>
      </c>
      <c r="F3765">
        <v>960</v>
      </c>
      <c r="G3765">
        <v>20</v>
      </c>
      <c r="H3765" s="89">
        <v>46269</v>
      </c>
      <c r="I3765" s="89">
        <v>46277</v>
      </c>
      <c r="J3765" t="s">
        <v>5699</v>
      </c>
      <c r="K3765" t="s">
        <v>5704</v>
      </c>
      <c r="L3765">
        <v>1</v>
      </c>
      <c r="M3765" t="s">
        <v>5705</v>
      </c>
      <c r="N3765" t="s">
        <v>5328</v>
      </c>
    </row>
    <row r="3766" spans="1:14" hidden="1" x14ac:dyDescent="0.25">
      <c r="A3766" t="s">
        <v>1324</v>
      </c>
      <c r="B3766" t="s">
        <v>1338</v>
      </c>
      <c r="C3766" t="s">
        <v>5706</v>
      </c>
      <c r="D3766" t="s">
        <v>88</v>
      </c>
      <c r="E3766" t="s">
        <v>25</v>
      </c>
      <c r="F3766">
        <v>960</v>
      </c>
      <c r="G3766">
        <v>20</v>
      </c>
      <c r="H3766" s="89">
        <v>46269</v>
      </c>
      <c r="I3766" s="89">
        <v>46275</v>
      </c>
      <c r="J3766" t="s">
        <v>5707</v>
      </c>
      <c r="K3766" t="s">
        <v>5708</v>
      </c>
      <c r="L3766">
        <v>1</v>
      </c>
      <c r="M3766" t="s">
        <v>5709</v>
      </c>
      <c r="N3766" t="s">
        <v>5328</v>
      </c>
    </row>
    <row r="3767" spans="1:14" hidden="1" x14ac:dyDescent="0.25">
      <c r="A3767" t="s">
        <v>1320</v>
      </c>
      <c r="B3767" t="s">
        <v>1334</v>
      </c>
      <c r="C3767" t="s">
        <v>5710</v>
      </c>
      <c r="D3767" t="s">
        <v>23</v>
      </c>
      <c r="E3767" t="s">
        <v>14</v>
      </c>
      <c r="F3767">
        <v>960</v>
      </c>
      <c r="G3767">
        <v>20</v>
      </c>
      <c r="H3767" s="89">
        <v>46269</v>
      </c>
      <c r="I3767" s="89">
        <v>46274</v>
      </c>
      <c r="J3767" t="s">
        <v>5711</v>
      </c>
      <c r="K3767" t="s">
        <v>5712</v>
      </c>
      <c r="L3767">
        <v>1</v>
      </c>
      <c r="M3767" t="s">
        <v>5713</v>
      </c>
      <c r="N3767" t="s">
        <v>5328</v>
      </c>
    </row>
    <row r="3768" spans="1:14" hidden="1" x14ac:dyDescent="0.25">
      <c r="A3768" t="s">
        <v>1326</v>
      </c>
      <c r="B3768" t="s">
        <v>1340</v>
      </c>
      <c r="C3768" t="s">
        <v>5714</v>
      </c>
      <c r="D3768" t="s">
        <v>32</v>
      </c>
      <c r="E3768" t="s">
        <v>14</v>
      </c>
      <c r="F3768">
        <v>1008</v>
      </c>
      <c r="G3768">
        <v>24</v>
      </c>
      <c r="H3768" s="89">
        <v>46269</v>
      </c>
      <c r="I3768" s="89">
        <v>46273</v>
      </c>
      <c r="J3768" t="s">
        <v>5715</v>
      </c>
      <c r="K3768" t="s">
        <v>5716</v>
      </c>
      <c r="L3768">
        <v>1</v>
      </c>
      <c r="M3768" t="s">
        <v>5717</v>
      </c>
      <c r="N3768" t="s">
        <v>5328</v>
      </c>
    </row>
    <row r="3769" spans="1:14" hidden="1" x14ac:dyDescent="0.25">
      <c r="A3769" t="s">
        <v>1325</v>
      </c>
      <c r="B3769" t="s">
        <v>1339</v>
      </c>
      <c r="C3769" t="s">
        <v>5698</v>
      </c>
      <c r="D3769" t="s">
        <v>27</v>
      </c>
      <c r="E3769" t="s">
        <v>19</v>
      </c>
      <c r="F3769">
        <v>336</v>
      </c>
      <c r="G3769">
        <v>7</v>
      </c>
      <c r="H3769" s="89">
        <v>46269</v>
      </c>
      <c r="I3769" s="89">
        <v>46271</v>
      </c>
      <c r="J3769" t="s">
        <v>1656</v>
      </c>
      <c r="K3769" t="s">
        <v>5718</v>
      </c>
      <c r="L3769">
        <v>1</v>
      </c>
      <c r="M3769" t="s">
        <v>5719</v>
      </c>
      <c r="N3769" t="s">
        <v>5328</v>
      </c>
    </row>
    <row r="3770" spans="1:14" hidden="1" x14ac:dyDescent="0.25">
      <c r="A3770" t="s">
        <v>1313</v>
      </c>
      <c r="B3770" t="s">
        <v>1327</v>
      </c>
      <c r="C3770" t="s">
        <v>5720</v>
      </c>
      <c r="D3770" t="s">
        <v>144</v>
      </c>
      <c r="E3770" t="s">
        <v>16</v>
      </c>
      <c r="F3770">
        <v>336</v>
      </c>
      <c r="G3770">
        <v>23</v>
      </c>
      <c r="H3770" s="89">
        <v>46270</v>
      </c>
      <c r="I3770" s="89">
        <v>46275</v>
      </c>
      <c r="J3770" t="s">
        <v>5643</v>
      </c>
      <c r="K3770" t="s">
        <v>5721</v>
      </c>
      <c r="L3770">
        <v>1</v>
      </c>
      <c r="M3770" t="s">
        <v>5722</v>
      </c>
      <c r="N3770" t="s">
        <v>5328</v>
      </c>
    </row>
    <row r="3771" spans="1:14" hidden="1" x14ac:dyDescent="0.25">
      <c r="A3771" t="s">
        <v>1313</v>
      </c>
      <c r="B3771" t="s">
        <v>1327</v>
      </c>
      <c r="C3771" t="s">
        <v>5720</v>
      </c>
      <c r="D3771" t="s">
        <v>144</v>
      </c>
      <c r="E3771" t="s">
        <v>17</v>
      </c>
      <c r="F3771">
        <v>48</v>
      </c>
      <c r="G3771">
        <v>1</v>
      </c>
      <c r="H3771" s="89">
        <v>46270</v>
      </c>
      <c r="I3771" s="89">
        <v>46274</v>
      </c>
      <c r="J3771" t="s">
        <v>5661</v>
      </c>
      <c r="K3771" t="s">
        <v>5723</v>
      </c>
      <c r="L3771">
        <v>1</v>
      </c>
      <c r="M3771" t="s">
        <v>5724</v>
      </c>
      <c r="N3771" t="s">
        <v>5328</v>
      </c>
    </row>
    <row r="3772" spans="1:14" hidden="1" x14ac:dyDescent="0.25">
      <c r="A3772" t="s">
        <v>1313</v>
      </c>
      <c r="B3772" t="s">
        <v>1327</v>
      </c>
      <c r="C3772" t="s">
        <v>5720</v>
      </c>
      <c r="D3772" t="s">
        <v>144</v>
      </c>
      <c r="E3772" t="s">
        <v>17</v>
      </c>
      <c r="F3772">
        <v>720</v>
      </c>
      <c r="G3772">
        <v>15</v>
      </c>
      <c r="H3772" s="89">
        <v>46270</v>
      </c>
      <c r="I3772" s="89">
        <v>46275</v>
      </c>
      <c r="J3772" t="s">
        <v>5638</v>
      </c>
      <c r="K3772" t="s">
        <v>5725</v>
      </c>
      <c r="L3772">
        <v>1</v>
      </c>
      <c r="M3772" t="s">
        <v>5726</v>
      </c>
      <c r="N3772" t="s">
        <v>5328</v>
      </c>
    </row>
    <row r="3773" spans="1:14" hidden="1" x14ac:dyDescent="0.25">
      <c r="A3773" t="s">
        <v>1319</v>
      </c>
      <c r="B3773" t="s">
        <v>1333</v>
      </c>
      <c r="C3773" t="s">
        <v>5720</v>
      </c>
      <c r="D3773" t="s">
        <v>144</v>
      </c>
      <c r="E3773" t="s">
        <v>17</v>
      </c>
      <c r="F3773">
        <v>48</v>
      </c>
      <c r="G3773">
        <v>1</v>
      </c>
      <c r="H3773" s="89">
        <v>46270</v>
      </c>
      <c r="I3773" s="89">
        <v>46275</v>
      </c>
      <c r="J3773" t="s">
        <v>5638</v>
      </c>
      <c r="K3773" t="s">
        <v>5727</v>
      </c>
      <c r="L3773">
        <v>1</v>
      </c>
      <c r="M3773" t="s">
        <v>5728</v>
      </c>
      <c r="N3773" t="s">
        <v>5328</v>
      </c>
    </row>
    <row r="3774" spans="1:14" hidden="1" x14ac:dyDescent="0.25">
      <c r="A3774" t="s">
        <v>1320</v>
      </c>
      <c r="B3774" t="s">
        <v>1334</v>
      </c>
      <c r="C3774" t="s">
        <v>5729</v>
      </c>
      <c r="D3774" t="s">
        <v>23</v>
      </c>
      <c r="E3774" t="s">
        <v>14</v>
      </c>
      <c r="F3774">
        <v>720</v>
      </c>
      <c r="G3774">
        <v>5</v>
      </c>
      <c r="H3774" s="89">
        <v>46270</v>
      </c>
      <c r="I3774" s="89">
        <v>46275</v>
      </c>
      <c r="J3774" t="s">
        <v>5730</v>
      </c>
      <c r="K3774" t="s">
        <v>5731</v>
      </c>
      <c r="L3774">
        <v>1</v>
      </c>
      <c r="M3774" t="s">
        <v>5732</v>
      </c>
      <c r="N3774" t="s">
        <v>5328</v>
      </c>
    </row>
    <row r="3775" spans="1:14" hidden="1" x14ac:dyDescent="0.25">
      <c r="A3775" t="s">
        <v>1314</v>
      </c>
      <c r="B3775" t="s">
        <v>1328</v>
      </c>
      <c r="C3775" t="s">
        <v>5733</v>
      </c>
      <c r="D3775" t="s">
        <v>15</v>
      </c>
      <c r="E3775" t="s">
        <v>31</v>
      </c>
      <c r="F3775">
        <v>96</v>
      </c>
      <c r="G3775">
        <v>2</v>
      </c>
      <c r="H3775" s="89">
        <v>46270</v>
      </c>
      <c r="I3775" s="89">
        <v>46274</v>
      </c>
      <c r="J3775" t="s">
        <v>5734</v>
      </c>
      <c r="K3775" t="s">
        <v>5735</v>
      </c>
      <c r="L3775">
        <v>1</v>
      </c>
      <c r="M3775" t="s">
        <v>5736</v>
      </c>
      <c r="N3775" t="s">
        <v>5328</v>
      </c>
    </row>
    <row r="3776" spans="1:14" hidden="1" x14ac:dyDescent="0.25">
      <c r="A3776" t="s">
        <v>1314</v>
      </c>
      <c r="B3776" t="s">
        <v>1328</v>
      </c>
      <c r="C3776" t="s">
        <v>5733</v>
      </c>
      <c r="D3776" t="s">
        <v>15</v>
      </c>
      <c r="E3776" t="s">
        <v>18</v>
      </c>
      <c r="F3776">
        <v>96</v>
      </c>
      <c r="G3776">
        <v>2</v>
      </c>
      <c r="H3776" s="89">
        <v>46270</v>
      </c>
      <c r="I3776" s="89">
        <v>46274</v>
      </c>
      <c r="J3776" t="s">
        <v>5562</v>
      </c>
      <c r="K3776" t="s">
        <v>5737</v>
      </c>
      <c r="L3776">
        <v>1</v>
      </c>
      <c r="M3776" t="s">
        <v>5738</v>
      </c>
      <c r="N3776" t="s">
        <v>5328</v>
      </c>
    </row>
    <row r="3777" spans="1:14" hidden="1" x14ac:dyDescent="0.25">
      <c r="A3777" t="s">
        <v>1314</v>
      </c>
      <c r="B3777" t="s">
        <v>1328</v>
      </c>
      <c r="C3777" t="s">
        <v>5733</v>
      </c>
      <c r="D3777" t="s">
        <v>15</v>
      </c>
      <c r="E3777" t="s">
        <v>16</v>
      </c>
      <c r="F3777">
        <v>240</v>
      </c>
      <c r="G3777">
        <v>5</v>
      </c>
      <c r="H3777" s="89">
        <v>46270</v>
      </c>
      <c r="I3777" s="89">
        <v>46275</v>
      </c>
      <c r="J3777" t="s">
        <v>5739</v>
      </c>
      <c r="K3777" t="s">
        <v>5740</v>
      </c>
      <c r="L3777">
        <v>1</v>
      </c>
      <c r="M3777" t="s">
        <v>5741</v>
      </c>
      <c r="N3777" t="s">
        <v>5328</v>
      </c>
    </row>
    <row r="3778" spans="1:14" hidden="1" x14ac:dyDescent="0.25">
      <c r="A3778" t="s">
        <v>1313</v>
      </c>
      <c r="B3778" t="s">
        <v>1327</v>
      </c>
      <c r="C3778" t="s">
        <v>5733</v>
      </c>
      <c r="D3778" t="s">
        <v>15</v>
      </c>
      <c r="E3778" t="s">
        <v>16</v>
      </c>
      <c r="F3778">
        <v>288</v>
      </c>
      <c r="G3778">
        <v>6</v>
      </c>
      <c r="H3778" s="89">
        <v>46270</v>
      </c>
      <c r="I3778" s="89">
        <v>46275</v>
      </c>
      <c r="J3778" t="s">
        <v>5643</v>
      </c>
      <c r="K3778" t="s">
        <v>5742</v>
      </c>
      <c r="L3778">
        <v>1</v>
      </c>
      <c r="M3778" t="s">
        <v>5743</v>
      </c>
      <c r="N3778" t="s">
        <v>5328</v>
      </c>
    </row>
    <row r="3779" spans="1:14" hidden="1" x14ac:dyDescent="0.25">
      <c r="A3779" t="s">
        <v>1313</v>
      </c>
      <c r="B3779" t="s">
        <v>1327</v>
      </c>
      <c r="C3779" t="s">
        <v>5733</v>
      </c>
      <c r="D3779" t="s">
        <v>15</v>
      </c>
      <c r="E3779" t="s">
        <v>17</v>
      </c>
      <c r="F3779">
        <v>624</v>
      </c>
      <c r="G3779">
        <v>13</v>
      </c>
      <c r="H3779" s="89">
        <v>46270</v>
      </c>
      <c r="I3779" s="89">
        <v>46277</v>
      </c>
      <c r="J3779" t="s">
        <v>5744</v>
      </c>
      <c r="K3779" t="s">
        <v>5745</v>
      </c>
      <c r="L3779">
        <v>1</v>
      </c>
      <c r="M3779" t="s">
        <v>5746</v>
      </c>
      <c r="N3779" t="s">
        <v>5328</v>
      </c>
    </row>
    <row r="3780" spans="1:14" hidden="1" x14ac:dyDescent="0.25">
      <c r="A3780" t="s">
        <v>1315</v>
      </c>
      <c r="B3780" t="s">
        <v>1329</v>
      </c>
      <c r="C3780" t="s">
        <v>5733</v>
      </c>
      <c r="D3780" t="s">
        <v>15</v>
      </c>
      <c r="E3780" t="s">
        <v>19</v>
      </c>
      <c r="F3780">
        <v>19</v>
      </c>
      <c r="G3780" t="s">
        <v>1419</v>
      </c>
      <c r="H3780" s="89">
        <v>46270</v>
      </c>
      <c r="I3780" s="89">
        <v>46272</v>
      </c>
      <c r="J3780" t="s">
        <v>1656</v>
      </c>
      <c r="K3780" t="s">
        <v>5747</v>
      </c>
      <c r="L3780">
        <v>1</v>
      </c>
      <c r="M3780" t="s">
        <v>5748</v>
      </c>
      <c r="N3780" t="s">
        <v>5328</v>
      </c>
    </row>
    <row r="3781" spans="1:14" hidden="1" x14ac:dyDescent="0.25">
      <c r="A3781" t="s">
        <v>1316</v>
      </c>
      <c r="B3781" t="s">
        <v>1330</v>
      </c>
      <c r="C3781" t="s">
        <v>5749</v>
      </c>
      <c r="D3781" t="s">
        <v>15</v>
      </c>
      <c r="E3781" t="s">
        <v>19</v>
      </c>
      <c r="F3781">
        <v>48</v>
      </c>
      <c r="G3781" t="s">
        <v>1419</v>
      </c>
      <c r="H3781" s="89">
        <v>46270</v>
      </c>
      <c r="I3781" s="89">
        <v>46272</v>
      </c>
      <c r="J3781" t="s">
        <v>1656</v>
      </c>
      <c r="K3781" t="s">
        <v>5750</v>
      </c>
      <c r="L3781">
        <v>1</v>
      </c>
      <c r="M3781" t="s">
        <v>5751</v>
      </c>
      <c r="N3781" t="s">
        <v>5328</v>
      </c>
    </row>
    <row r="3782" spans="1:14" hidden="1" x14ac:dyDescent="0.25">
      <c r="A3782" t="s">
        <v>1317</v>
      </c>
      <c r="B3782" t="s">
        <v>1331</v>
      </c>
      <c r="C3782" t="s">
        <v>5752</v>
      </c>
      <c r="D3782" t="s">
        <v>15</v>
      </c>
      <c r="E3782" t="s">
        <v>19</v>
      </c>
      <c r="F3782">
        <v>66</v>
      </c>
      <c r="G3782" t="s">
        <v>1419</v>
      </c>
      <c r="H3782" s="89">
        <v>46270</v>
      </c>
      <c r="I3782" s="89">
        <v>46272</v>
      </c>
      <c r="J3782" t="s">
        <v>1656</v>
      </c>
      <c r="K3782" t="s">
        <v>5753</v>
      </c>
      <c r="L3782">
        <v>1</v>
      </c>
      <c r="M3782" t="s">
        <v>5754</v>
      </c>
      <c r="N3782" t="s">
        <v>5328</v>
      </c>
    </row>
    <row r="3783" spans="1:14" hidden="1" x14ac:dyDescent="0.25">
      <c r="A3783" t="s">
        <v>1318</v>
      </c>
      <c r="B3783" t="s">
        <v>1332</v>
      </c>
      <c r="C3783" t="s">
        <v>5755</v>
      </c>
      <c r="D3783" t="s">
        <v>15</v>
      </c>
      <c r="E3783" t="s">
        <v>19</v>
      </c>
      <c r="F3783">
        <v>33</v>
      </c>
      <c r="G3783" t="s">
        <v>1419</v>
      </c>
      <c r="H3783" s="89">
        <v>46270</v>
      </c>
      <c r="I3783" s="89">
        <v>46272</v>
      </c>
      <c r="J3783" t="s">
        <v>1656</v>
      </c>
      <c r="K3783" t="s">
        <v>5756</v>
      </c>
      <c r="L3783">
        <v>1</v>
      </c>
      <c r="M3783" t="s">
        <v>5757</v>
      </c>
      <c r="N3783" t="s">
        <v>5328</v>
      </c>
    </row>
    <row r="3784" spans="1:14" hidden="1" x14ac:dyDescent="0.25">
      <c r="A3784" t="s">
        <v>1324</v>
      </c>
      <c r="B3784" t="s">
        <v>1338</v>
      </c>
      <c r="C3784" t="s">
        <v>5758</v>
      </c>
      <c r="D3784" t="s">
        <v>152</v>
      </c>
      <c r="E3784" t="s">
        <v>25</v>
      </c>
      <c r="F3784">
        <v>960</v>
      </c>
      <c r="G3784">
        <v>20</v>
      </c>
      <c r="H3784" s="89">
        <v>46270</v>
      </c>
      <c r="I3784" s="89">
        <v>46275</v>
      </c>
      <c r="J3784" t="s">
        <v>5707</v>
      </c>
      <c r="K3784" t="s">
        <v>5759</v>
      </c>
      <c r="L3784">
        <v>1</v>
      </c>
      <c r="M3784" t="s">
        <v>5760</v>
      </c>
      <c r="N3784" t="s">
        <v>5328</v>
      </c>
    </row>
    <row r="3785" spans="1:14" hidden="1" x14ac:dyDescent="0.25">
      <c r="A3785" t="s">
        <v>1324</v>
      </c>
      <c r="B3785" t="s">
        <v>1338</v>
      </c>
      <c r="C3785" t="s">
        <v>5761</v>
      </c>
      <c r="D3785" t="s">
        <v>28</v>
      </c>
      <c r="E3785" t="s">
        <v>65</v>
      </c>
      <c r="F3785">
        <v>816</v>
      </c>
      <c r="G3785">
        <v>17</v>
      </c>
      <c r="H3785" s="89">
        <v>46270</v>
      </c>
      <c r="I3785" s="89">
        <v>46277</v>
      </c>
      <c r="J3785" t="s">
        <v>5699</v>
      </c>
      <c r="K3785" t="s">
        <v>5762</v>
      </c>
      <c r="L3785">
        <v>1</v>
      </c>
      <c r="M3785" t="s">
        <v>5763</v>
      </c>
      <c r="N3785" t="s">
        <v>5328</v>
      </c>
    </row>
    <row r="3786" spans="1:14" hidden="1" x14ac:dyDescent="0.25">
      <c r="A3786" t="s">
        <v>1313</v>
      </c>
      <c r="B3786" t="s">
        <v>1327</v>
      </c>
      <c r="C3786" t="s">
        <v>5761</v>
      </c>
      <c r="D3786" t="s">
        <v>28</v>
      </c>
      <c r="E3786" t="s">
        <v>17</v>
      </c>
      <c r="F3786">
        <v>240</v>
      </c>
      <c r="G3786">
        <v>5</v>
      </c>
      <c r="H3786" s="89">
        <v>46270</v>
      </c>
      <c r="I3786" s="89">
        <v>46277</v>
      </c>
      <c r="J3786" t="s">
        <v>5744</v>
      </c>
      <c r="K3786" t="s">
        <v>5764</v>
      </c>
      <c r="L3786">
        <v>1</v>
      </c>
      <c r="M3786" t="s">
        <v>5765</v>
      </c>
      <c r="N3786" t="s">
        <v>5328</v>
      </c>
    </row>
    <row r="3787" spans="1:14" hidden="1" x14ac:dyDescent="0.25">
      <c r="A3787" t="s">
        <v>1315</v>
      </c>
      <c r="B3787" t="s">
        <v>1329</v>
      </c>
      <c r="C3787" t="s">
        <v>5766</v>
      </c>
      <c r="D3787" t="s">
        <v>28</v>
      </c>
      <c r="E3787" t="s">
        <v>19</v>
      </c>
      <c r="F3787">
        <v>66</v>
      </c>
      <c r="G3787" t="s">
        <v>1419</v>
      </c>
      <c r="H3787" s="89">
        <v>46270</v>
      </c>
      <c r="I3787" s="89">
        <v>46272</v>
      </c>
      <c r="J3787" t="s">
        <v>1656</v>
      </c>
      <c r="K3787" t="s">
        <v>5767</v>
      </c>
      <c r="L3787">
        <v>1</v>
      </c>
      <c r="M3787" t="s">
        <v>5768</v>
      </c>
      <c r="N3787" t="s">
        <v>5328</v>
      </c>
    </row>
    <row r="3788" spans="1:14" hidden="1" x14ac:dyDescent="0.25">
      <c r="A3788" t="s">
        <v>1316</v>
      </c>
      <c r="B3788" t="s">
        <v>1330</v>
      </c>
      <c r="C3788" t="s">
        <v>5766</v>
      </c>
      <c r="D3788" t="s">
        <v>28</v>
      </c>
      <c r="E3788" t="s">
        <v>19</v>
      </c>
      <c r="F3788">
        <v>16</v>
      </c>
      <c r="G3788" t="s">
        <v>1419</v>
      </c>
      <c r="H3788" s="89">
        <v>46270</v>
      </c>
      <c r="I3788" s="89">
        <v>46272</v>
      </c>
      <c r="J3788" t="s">
        <v>1656</v>
      </c>
      <c r="K3788" t="s">
        <v>5769</v>
      </c>
      <c r="L3788">
        <v>1</v>
      </c>
      <c r="M3788" t="s">
        <v>5770</v>
      </c>
      <c r="N3788" t="s">
        <v>5328</v>
      </c>
    </row>
    <row r="3789" spans="1:14" hidden="1" x14ac:dyDescent="0.25">
      <c r="A3789" t="s">
        <v>1317</v>
      </c>
      <c r="B3789" t="s">
        <v>1331</v>
      </c>
      <c r="C3789" t="s">
        <v>5771</v>
      </c>
      <c r="D3789" t="s">
        <v>28</v>
      </c>
      <c r="E3789" t="s">
        <v>19</v>
      </c>
      <c r="F3789">
        <v>11</v>
      </c>
      <c r="G3789" t="s">
        <v>1419</v>
      </c>
      <c r="H3789" s="89">
        <v>46270</v>
      </c>
      <c r="I3789" s="89">
        <v>46272</v>
      </c>
      <c r="J3789" t="s">
        <v>1656</v>
      </c>
      <c r="K3789" t="s">
        <v>5772</v>
      </c>
      <c r="L3789">
        <v>1</v>
      </c>
      <c r="M3789" t="s">
        <v>5773</v>
      </c>
      <c r="N3789" t="s">
        <v>5328</v>
      </c>
    </row>
    <row r="3790" spans="1:14" hidden="1" x14ac:dyDescent="0.25">
      <c r="A3790" t="s">
        <v>1318</v>
      </c>
      <c r="B3790" t="s">
        <v>1332</v>
      </c>
      <c r="C3790" t="s">
        <v>5774</v>
      </c>
      <c r="D3790" t="s">
        <v>28</v>
      </c>
      <c r="E3790" t="s">
        <v>19</v>
      </c>
      <c r="F3790">
        <v>57</v>
      </c>
      <c r="G3790" t="s">
        <v>1419</v>
      </c>
      <c r="H3790" s="89">
        <v>46270</v>
      </c>
      <c r="I3790" s="89">
        <v>46272</v>
      </c>
      <c r="J3790" t="s">
        <v>1656</v>
      </c>
      <c r="K3790" t="s">
        <v>5775</v>
      </c>
      <c r="L3790">
        <v>1</v>
      </c>
      <c r="M3790" t="s">
        <v>5776</v>
      </c>
      <c r="N3790" t="s">
        <v>5328</v>
      </c>
    </row>
    <row r="3791" spans="1:14" hidden="1" x14ac:dyDescent="0.25">
      <c r="A3791" t="s">
        <v>1320</v>
      </c>
      <c r="B3791" t="s">
        <v>1334</v>
      </c>
      <c r="C3791" t="s">
        <v>5777</v>
      </c>
      <c r="D3791" t="s">
        <v>13</v>
      </c>
      <c r="E3791" t="s">
        <v>14</v>
      </c>
      <c r="F3791">
        <v>960</v>
      </c>
      <c r="G3791">
        <v>20</v>
      </c>
      <c r="H3791" s="89">
        <v>46272</v>
      </c>
      <c r="I3791" s="89">
        <v>46276</v>
      </c>
      <c r="J3791" t="s">
        <v>5778</v>
      </c>
      <c r="K3791" t="s">
        <v>5779</v>
      </c>
      <c r="L3791">
        <v>1</v>
      </c>
      <c r="M3791" t="s">
        <v>5780</v>
      </c>
      <c r="N3791" t="s">
        <v>5781</v>
      </c>
    </row>
    <row r="3792" spans="1:14" hidden="1" x14ac:dyDescent="0.25">
      <c r="A3792" t="s">
        <v>1320</v>
      </c>
      <c r="B3792" t="s">
        <v>1334</v>
      </c>
      <c r="C3792" t="s">
        <v>5777</v>
      </c>
      <c r="D3792" t="s">
        <v>13</v>
      </c>
      <c r="E3792" t="s">
        <v>14</v>
      </c>
      <c r="F3792">
        <v>384</v>
      </c>
      <c r="G3792">
        <v>8</v>
      </c>
      <c r="H3792" s="89">
        <v>46272</v>
      </c>
      <c r="I3792" s="89">
        <v>46276</v>
      </c>
      <c r="J3792" t="s">
        <v>5782</v>
      </c>
      <c r="K3792" t="s">
        <v>5783</v>
      </c>
      <c r="L3792">
        <v>1</v>
      </c>
      <c r="M3792" t="s">
        <v>5784</v>
      </c>
      <c r="N3792" t="s">
        <v>5781</v>
      </c>
    </row>
    <row r="3793" spans="1:14" hidden="1" x14ac:dyDescent="0.25">
      <c r="A3793" t="s">
        <v>1320</v>
      </c>
      <c r="B3793" t="s">
        <v>1334</v>
      </c>
      <c r="C3793" t="s">
        <v>5785</v>
      </c>
      <c r="D3793" t="s">
        <v>15</v>
      </c>
      <c r="E3793" t="s">
        <v>14</v>
      </c>
      <c r="F3793">
        <v>240</v>
      </c>
      <c r="G3793">
        <v>5</v>
      </c>
      <c r="H3793" s="89">
        <v>46272</v>
      </c>
      <c r="I3793" s="89">
        <v>46275</v>
      </c>
      <c r="J3793" t="s">
        <v>5730</v>
      </c>
      <c r="K3793" t="s">
        <v>5786</v>
      </c>
      <c r="L3793">
        <v>1</v>
      </c>
      <c r="M3793" t="s">
        <v>5787</v>
      </c>
      <c r="N3793" t="s">
        <v>5781</v>
      </c>
    </row>
    <row r="3794" spans="1:14" hidden="1" x14ac:dyDescent="0.25">
      <c r="A3794" t="s">
        <v>1314</v>
      </c>
      <c r="B3794" t="s">
        <v>1328</v>
      </c>
      <c r="C3794" t="s">
        <v>5785</v>
      </c>
      <c r="D3794" t="s">
        <v>15</v>
      </c>
      <c r="E3794" t="s">
        <v>16</v>
      </c>
      <c r="F3794">
        <v>48</v>
      </c>
      <c r="G3794">
        <v>1</v>
      </c>
      <c r="H3794" s="89">
        <v>46272</v>
      </c>
      <c r="I3794" s="89">
        <v>46275</v>
      </c>
      <c r="J3794" t="s">
        <v>5739</v>
      </c>
      <c r="K3794" t="s">
        <v>5788</v>
      </c>
      <c r="L3794">
        <v>1</v>
      </c>
      <c r="M3794" t="s">
        <v>5789</v>
      </c>
      <c r="N3794" t="s">
        <v>5781</v>
      </c>
    </row>
    <row r="3795" spans="1:14" hidden="1" x14ac:dyDescent="0.25">
      <c r="A3795" t="s">
        <v>1319</v>
      </c>
      <c r="B3795" t="s">
        <v>1333</v>
      </c>
      <c r="C3795" t="s">
        <v>5785</v>
      </c>
      <c r="D3795" t="s">
        <v>15</v>
      </c>
      <c r="E3795" t="s">
        <v>17</v>
      </c>
      <c r="F3795">
        <v>66</v>
      </c>
      <c r="G3795">
        <v>1.75</v>
      </c>
      <c r="H3795" s="89">
        <v>46272</v>
      </c>
      <c r="I3795" s="89">
        <v>46277</v>
      </c>
      <c r="J3795" t="s">
        <v>5744</v>
      </c>
      <c r="K3795" t="s">
        <v>5790</v>
      </c>
      <c r="L3795">
        <v>1</v>
      </c>
      <c r="M3795" t="s">
        <v>5791</v>
      </c>
      <c r="N3795" t="s">
        <v>5781</v>
      </c>
    </row>
    <row r="3796" spans="1:14" hidden="1" x14ac:dyDescent="0.25">
      <c r="A3796" t="s">
        <v>1313</v>
      </c>
      <c r="B3796" t="s">
        <v>1327</v>
      </c>
      <c r="C3796" t="s">
        <v>5785</v>
      </c>
      <c r="D3796" t="s">
        <v>15</v>
      </c>
      <c r="E3796" t="s">
        <v>17</v>
      </c>
      <c r="F3796">
        <v>222</v>
      </c>
      <c r="G3796">
        <v>4</v>
      </c>
      <c r="H3796" s="89">
        <v>46272</v>
      </c>
      <c r="I3796" s="89">
        <v>46277</v>
      </c>
      <c r="J3796" t="s">
        <v>5744</v>
      </c>
      <c r="K3796" t="s">
        <v>5792</v>
      </c>
      <c r="L3796">
        <v>1</v>
      </c>
      <c r="M3796" t="s">
        <v>5793</v>
      </c>
      <c r="N3796" t="s">
        <v>5781</v>
      </c>
    </row>
    <row r="3797" spans="1:14" hidden="1" x14ac:dyDescent="0.25">
      <c r="A3797" t="s">
        <v>1313</v>
      </c>
      <c r="B3797" t="s">
        <v>1327</v>
      </c>
      <c r="C3797" t="s">
        <v>5785</v>
      </c>
      <c r="D3797" t="s">
        <v>15</v>
      </c>
      <c r="E3797" t="s">
        <v>18</v>
      </c>
      <c r="F3797">
        <v>480</v>
      </c>
      <c r="G3797">
        <v>10</v>
      </c>
      <c r="H3797" s="89">
        <v>46272</v>
      </c>
      <c r="I3797" s="89">
        <v>46276</v>
      </c>
      <c r="J3797" t="s">
        <v>5794</v>
      </c>
      <c r="K3797" t="s">
        <v>5795</v>
      </c>
      <c r="L3797">
        <v>1</v>
      </c>
      <c r="M3797" t="s">
        <v>5796</v>
      </c>
      <c r="N3797" t="s">
        <v>5781</v>
      </c>
    </row>
    <row r="3798" spans="1:14" hidden="1" x14ac:dyDescent="0.25">
      <c r="A3798" t="s">
        <v>1314</v>
      </c>
      <c r="B3798" t="s">
        <v>1328</v>
      </c>
      <c r="C3798" t="s">
        <v>5785</v>
      </c>
      <c r="D3798" t="s">
        <v>15</v>
      </c>
      <c r="E3798" t="s">
        <v>18</v>
      </c>
      <c r="F3798">
        <v>96</v>
      </c>
      <c r="G3798">
        <v>2</v>
      </c>
      <c r="H3798" s="89">
        <v>46272</v>
      </c>
      <c r="I3798" s="89">
        <v>46276</v>
      </c>
      <c r="J3798" t="s">
        <v>5794</v>
      </c>
      <c r="K3798" t="s">
        <v>5797</v>
      </c>
      <c r="L3798">
        <v>1</v>
      </c>
      <c r="M3798" t="s">
        <v>5798</v>
      </c>
      <c r="N3798" t="s">
        <v>5781</v>
      </c>
    </row>
    <row r="3799" spans="1:14" hidden="1" x14ac:dyDescent="0.25">
      <c r="A3799" t="s">
        <v>1313</v>
      </c>
      <c r="B3799" t="s">
        <v>1327</v>
      </c>
      <c r="C3799" t="s">
        <v>5785</v>
      </c>
      <c r="D3799" t="s">
        <v>15</v>
      </c>
      <c r="E3799" t="s">
        <v>16</v>
      </c>
      <c r="F3799">
        <v>96</v>
      </c>
      <c r="G3799">
        <v>2</v>
      </c>
      <c r="H3799" s="89">
        <v>46272</v>
      </c>
      <c r="I3799" s="89">
        <v>46277</v>
      </c>
      <c r="J3799" t="s">
        <v>5799</v>
      </c>
      <c r="K3799" t="s">
        <v>5800</v>
      </c>
      <c r="L3799">
        <v>1</v>
      </c>
      <c r="M3799" t="s">
        <v>5801</v>
      </c>
      <c r="N3799" t="s">
        <v>5781</v>
      </c>
    </row>
    <row r="3800" spans="1:14" hidden="1" x14ac:dyDescent="0.25">
      <c r="A3800" t="s">
        <v>1315</v>
      </c>
      <c r="B3800" t="s">
        <v>1329</v>
      </c>
      <c r="C3800" t="s">
        <v>5785</v>
      </c>
      <c r="D3800" t="s">
        <v>15</v>
      </c>
      <c r="E3800" t="s">
        <v>19</v>
      </c>
      <c r="F3800">
        <v>10</v>
      </c>
      <c r="G3800" t="s">
        <v>1419</v>
      </c>
      <c r="H3800" s="89">
        <v>46272</v>
      </c>
      <c r="I3800" s="89">
        <v>46276</v>
      </c>
      <c r="J3800" t="s">
        <v>1656</v>
      </c>
      <c r="K3800" t="s">
        <v>5802</v>
      </c>
      <c r="L3800">
        <v>1</v>
      </c>
      <c r="M3800" t="s">
        <v>5803</v>
      </c>
      <c r="N3800" t="s">
        <v>5781</v>
      </c>
    </row>
    <row r="3801" spans="1:14" hidden="1" x14ac:dyDescent="0.25">
      <c r="A3801" t="s">
        <v>1316</v>
      </c>
      <c r="B3801" t="s">
        <v>1330</v>
      </c>
      <c r="C3801" t="s">
        <v>5804</v>
      </c>
      <c r="D3801" t="s">
        <v>15</v>
      </c>
      <c r="E3801" t="s">
        <v>19</v>
      </c>
      <c r="F3801">
        <v>48</v>
      </c>
      <c r="G3801" t="s">
        <v>1419</v>
      </c>
      <c r="H3801" s="89">
        <v>46272</v>
      </c>
      <c r="I3801" s="89">
        <v>46276</v>
      </c>
      <c r="J3801" t="s">
        <v>1656</v>
      </c>
      <c r="K3801" t="s">
        <v>5805</v>
      </c>
      <c r="L3801">
        <v>1</v>
      </c>
      <c r="M3801" t="s">
        <v>5806</v>
      </c>
      <c r="N3801" t="s">
        <v>5781</v>
      </c>
    </row>
    <row r="3802" spans="1:14" hidden="1" x14ac:dyDescent="0.25">
      <c r="A3802" t="s">
        <v>1317</v>
      </c>
      <c r="B3802" t="s">
        <v>1331</v>
      </c>
      <c r="C3802" t="s">
        <v>5807</v>
      </c>
      <c r="D3802" t="s">
        <v>15</v>
      </c>
      <c r="E3802" t="s">
        <v>19</v>
      </c>
      <c r="F3802">
        <v>63</v>
      </c>
      <c r="G3802" t="s">
        <v>1419</v>
      </c>
      <c r="H3802" s="89">
        <v>46272</v>
      </c>
      <c r="I3802" s="89">
        <v>46276</v>
      </c>
      <c r="J3802" t="s">
        <v>1656</v>
      </c>
      <c r="K3802" t="s">
        <v>5808</v>
      </c>
      <c r="L3802">
        <v>1</v>
      </c>
      <c r="M3802" t="s">
        <v>5809</v>
      </c>
      <c r="N3802" t="s">
        <v>5781</v>
      </c>
    </row>
    <row r="3803" spans="1:14" hidden="1" x14ac:dyDescent="0.25">
      <c r="A3803" t="s">
        <v>1318</v>
      </c>
      <c r="B3803" t="s">
        <v>1332</v>
      </c>
      <c r="C3803" t="s">
        <v>5810</v>
      </c>
      <c r="D3803" t="s">
        <v>15</v>
      </c>
      <c r="E3803" t="s">
        <v>19</v>
      </c>
      <c r="F3803">
        <v>20</v>
      </c>
      <c r="G3803" t="s">
        <v>1419</v>
      </c>
      <c r="H3803" s="89">
        <v>46272</v>
      </c>
      <c r="I3803" s="89">
        <v>46276</v>
      </c>
      <c r="J3803" t="s">
        <v>1656</v>
      </c>
      <c r="K3803" t="s">
        <v>5811</v>
      </c>
      <c r="L3803">
        <v>1</v>
      </c>
      <c r="M3803" t="s">
        <v>5812</v>
      </c>
      <c r="N3803" t="s">
        <v>5781</v>
      </c>
    </row>
    <row r="3804" spans="1:14" hidden="1" x14ac:dyDescent="0.25">
      <c r="A3804" t="s">
        <v>1319</v>
      </c>
      <c r="B3804" t="s">
        <v>1333</v>
      </c>
      <c r="C3804" t="s">
        <v>5813</v>
      </c>
      <c r="D3804" t="s">
        <v>20</v>
      </c>
      <c r="E3804" t="s">
        <v>17</v>
      </c>
      <c r="F3804">
        <v>84</v>
      </c>
      <c r="G3804">
        <v>1.75</v>
      </c>
      <c r="H3804" s="89">
        <v>46272</v>
      </c>
      <c r="I3804" s="89">
        <v>46276</v>
      </c>
      <c r="J3804" t="s">
        <v>5814</v>
      </c>
      <c r="K3804" t="s">
        <v>5815</v>
      </c>
      <c r="L3804">
        <v>1</v>
      </c>
      <c r="M3804" t="s">
        <v>5816</v>
      </c>
      <c r="N3804" t="s">
        <v>5781</v>
      </c>
    </row>
    <row r="3805" spans="1:14" hidden="1" x14ac:dyDescent="0.25">
      <c r="A3805" t="s">
        <v>1313</v>
      </c>
      <c r="B3805" t="s">
        <v>1327</v>
      </c>
      <c r="C3805" t="s">
        <v>5813</v>
      </c>
      <c r="D3805" t="s">
        <v>20</v>
      </c>
      <c r="E3805" t="s">
        <v>17</v>
      </c>
      <c r="F3805">
        <v>1068</v>
      </c>
      <c r="G3805">
        <v>22.25</v>
      </c>
      <c r="H3805" s="89">
        <v>46272</v>
      </c>
      <c r="I3805" s="89">
        <v>46276</v>
      </c>
      <c r="J3805" t="s">
        <v>5814</v>
      </c>
      <c r="K3805" t="s">
        <v>5817</v>
      </c>
      <c r="L3805">
        <v>1</v>
      </c>
      <c r="M3805" t="s">
        <v>5818</v>
      </c>
      <c r="N3805" t="s">
        <v>5781</v>
      </c>
    </row>
    <row r="3806" spans="1:14" hidden="1" x14ac:dyDescent="0.25">
      <c r="A3806" t="s">
        <v>1313</v>
      </c>
      <c r="B3806" t="s">
        <v>1327</v>
      </c>
      <c r="C3806" t="s">
        <v>5813</v>
      </c>
      <c r="D3806" t="s">
        <v>20</v>
      </c>
      <c r="E3806" t="s">
        <v>16</v>
      </c>
      <c r="F3806">
        <v>96</v>
      </c>
      <c r="G3806">
        <v>2</v>
      </c>
      <c r="H3806" s="89">
        <v>46272</v>
      </c>
      <c r="I3806" s="89">
        <v>46277</v>
      </c>
      <c r="J3806" t="s">
        <v>5799</v>
      </c>
      <c r="K3806" t="s">
        <v>5819</v>
      </c>
      <c r="L3806">
        <v>1</v>
      </c>
      <c r="M3806" t="s">
        <v>5820</v>
      </c>
      <c r="N3806" t="s">
        <v>5781</v>
      </c>
    </row>
    <row r="3807" spans="1:14" hidden="1" x14ac:dyDescent="0.25">
      <c r="A3807" t="s">
        <v>1315</v>
      </c>
      <c r="B3807" t="s">
        <v>1329</v>
      </c>
      <c r="C3807" t="s">
        <v>5813</v>
      </c>
      <c r="D3807" t="s">
        <v>20</v>
      </c>
      <c r="E3807" t="s">
        <v>19</v>
      </c>
      <c r="F3807">
        <v>84</v>
      </c>
      <c r="G3807" t="s">
        <v>1419</v>
      </c>
      <c r="H3807" s="89">
        <v>46272</v>
      </c>
      <c r="I3807" s="89">
        <v>46276</v>
      </c>
      <c r="J3807" t="s">
        <v>1656</v>
      </c>
      <c r="K3807" t="s">
        <v>5821</v>
      </c>
      <c r="L3807">
        <v>1</v>
      </c>
      <c r="M3807" t="s">
        <v>5822</v>
      </c>
      <c r="N3807" t="s">
        <v>5781</v>
      </c>
    </row>
    <row r="3808" spans="1:14" hidden="1" x14ac:dyDescent="0.25">
      <c r="A3808" t="s">
        <v>1316</v>
      </c>
      <c r="B3808" t="s">
        <v>1330</v>
      </c>
      <c r="C3808" t="s">
        <v>5823</v>
      </c>
      <c r="D3808" t="s">
        <v>20</v>
      </c>
      <c r="E3808" t="s">
        <v>19</v>
      </c>
      <c r="F3808">
        <v>88</v>
      </c>
      <c r="G3808" t="s">
        <v>1419</v>
      </c>
      <c r="H3808" s="89">
        <v>46272</v>
      </c>
      <c r="I3808" s="89">
        <v>46276</v>
      </c>
      <c r="J3808" t="s">
        <v>1656</v>
      </c>
      <c r="K3808" t="s">
        <v>5824</v>
      </c>
      <c r="L3808">
        <v>1</v>
      </c>
      <c r="M3808" t="s">
        <v>5825</v>
      </c>
      <c r="N3808" t="s">
        <v>5781</v>
      </c>
    </row>
    <row r="3809" spans="1:14" hidden="1" x14ac:dyDescent="0.25">
      <c r="A3809" t="s">
        <v>1317</v>
      </c>
      <c r="B3809" t="s">
        <v>1331</v>
      </c>
      <c r="C3809" t="s">
        <v>5826</v>
      </c>
      <c r="D3809" t="s">
        <v>20</v>
      </c>
      <c r="E3809" t="s">
        <v>19</v>
      </c>
      <c r="F3809">
        <v>29</v>
      </c>
      <c r="G3809" t="s">
        <v>1419</v>
      </c>
      <c r="H3809" s="89">
        <v>46272</v>
      </c>
      <c r="I3809" s="89">
        <v>46276</v>
      </c>
      <c r="J3809" t="s">
        <v>1656</v>
      </c>
      <c r="K3809" t="s">
        <v>5827</v>
      </c>
      <c r="L3809">
        <v>1</v>
      </c>
      <c r="M3809" t="s">
        <v>5828</v>
      </c>
      <c r="N3809" t="s">
        <v>5781</v>
      </c>
    </row>
    <row r="3810" spans="1:14" hidden="1" x14ac:dyDescent="0.25">
      <c r="A3810" t="s">
        <v>1318</v>
      </c>
      <c r="B3810" t="s">
        <v>1332</v>
      </c>
      <c r="C3810" t="s">
        <v>5829</v>
      </c>
      <c r="D3810" t="s">
        <v>20</v>
      </c>
      <c r="E3810" t="s">
        <v>19</v>
      </c>
      <c r="F3810">
        <v>48</v>
      </c>
      <c r="G3810" t="s">
        <v>1419</v>
      </c>
      <c r="H3810" s="89">
        <v>46272</v>
      </c>
      <c r="I3810" s="89">
        <v>46276</v>
      </c>
      <c r="J3810" t="s">
        <v>1656</v>
      </c>
      <c r="K3810" t="s">
        <v>5830</v>
      </c>
      <c r="L3810">
        <v>1</v>
      </c>
      <c r="M3810" t="s">
        <v>5831</v>
      </c>
      <c r="N3810" t="s">
        <v>5781</v>
      </c>
    </row>
    <row r="3811" spans="1:14" hidden="1" x14ac:dyDescent="0.25">
      <c r="A3811" t="s">
        <v>1313</v>
      </c>
      <c r="B3811" t="s">
        <v>1327</v>
      </c>
      <c r="C3811" t="s">
        <v>5832</v>
      </c>
      <c r="D3811" t="s">
        <v>21</v>
      </c>
      <c r="E3811" t="s">
        <v>18</v>
      </c>
      <c r="F3811">
        <v>432</v>
      </c>
      <c r="G3811">
        <v>9</v>
      </c>
      <c r="H3811" s="89">
        <v>46272</v>
      </c>
      <c r="I3811" s="89">
        <v>46276</v>
      </c>
      <c r="J3811" t="s">
        <v>5794</v>
      </c>
      <c r="K3811" t="s">
        <v>5833</v>
      </c>
      <c r="L3811">
        <v>1</v>
      </c>
      <c r="M3811" t="s">
        <v>5834</v>
      </c>
      <c r="N3811" t="s">
        <v>5781</v>
      </c>
    </row>
    <row r="3812" spans="1:14" hidden="1" x14ac:dyDescent="0.25">
      <c r="A3812" t="s">
        <v>1320</v>
      </c>
      <c r="B3812" t="s">
        <v>1334</v>
      </c>
      <c r="C3812" t="s">
        <v>5832</v>
      </c>
      <c r="D3812" t="s">
        <v>21</v>
      </c>
      <c r="E3812" t="s">
        <v>14</v>
      </c>
      <c r="F3812">
        <v>960</v>
      </c>
      <c r="G3812">
        <v>20</v>
      </c>
      <c r="H3812" s="89">
        <v>46272</v>
      </c>
      <c r="I3812" s="89">
        <v>46277</v>
      </c>
      <c r="J3812" t="s">
        <v>5835</v>
      </c>
      <c r="K3812" t="s">
        <v>5836</v>
      </c>
      <c r="L3812">
        <v>1</v>
      </c>
      <c r="M3812" t="s">
        <v>5837</v>
      </c>
      <c r="N3812" t="s">
        <v>5781</v>
      </c>
    </row>
    <row r="3813" spans="1:14" hidden="1" x14ac:dyDescent="0.25">
      <c r="A3813" t="s">
        <v>1315</v>
      </c>
      <c r="B3813" t="s">
        <v>1329</v>
      </c>
      <c r="C3813" t="s">
        <v>5832</v>
      </c>
      <c r="D3813" t="s">
        <v>21</v>
      </c>
      <c r="E3813" t="s">
        <v>19</v>
      </c>
      <c r="F3813">
        <v>29</v>
      </c>
      <c r="G3813" t="s">
        <v>1419</v>
      </c>
      <c r="H3813" s="89">
        <v>46272</v>
      </c>
      <c r="I3813" s="89">
        <v>46276</v>
      </c>
      <c r="J3813" t="s">
        <v>1656</v>
      </c>
      <c r="K3813" t="s">
        <v>5838</v>
      </c>
      <c r="L3813">
        <v>1</v>
      </c>
      <c r="M3813" t="s">
        <v>5839</v>
      </c>
      <c r="N3813" t="s">
        <v>5781</v>
      </c>
    </row>
    <row r="3814" spans="1:14" hidden="1" x14ac:dyDescent="0.25">
      <c r="A3814" t="s">
        <v>1315</v>
      </c>
      <c r="B3814" t="s">
        <v>1329</v>
      </c>
      <c r="C3814" t="s">
        <v>5832</v>
      </c>
      <c r="D3814" t="s">
        <v>21</v>
      </c>
      <c r="E3814" t="s">
        <v>19</v>
      </c>
      <c r="F3814">
        <v>45</v>
      </c>
      <c r="G3814" t="s">
        <v>1419</v>
      </c>
      <c r="H3814" s="89">
        <v>46272</v>
      </c>
      <c r="I3814" s="89">
        <v>46276</v>
      </c>
      <c r="J3814" t="s">
        <v>1656</v>
      </c>
      <c r="K3814" t="s">
        <v>5838</v>
      </c>
      <c r="L3814">
        <v>2</v>
      </c>
      <c r="M3814" t="s">
        <v>5840</v>
      </c>
      <c r="N3814" t="s">
        <v>5781</v>
      </c>
    </row>
    <row r="3815" spans="1:14" hidden="1" x14ac:dyDescent="0.25">
      <c r="A3815" t="s">
        <v>1316</v>
      </c>
      <c r="B3815" t="s">
        <v>1330</v>
      </c>
      <c r="C3815" t="s">
        <v>5841</v>
      </c>
      <c r="D3815" t="s">
        <v>21</v>
      </c>
      <c r="E3815" t="s">
        <v>19</v>
      </c>
      <c r="F3815">
        <v>12</v>
      </c>
      <c r="G3815" t="s">
        <v>1419</v>
      </c>
      <c r="H3815" s="89">
        <v>46272</v>
      </c>
      <c r="I3815" s="89">
        <v>46276</v>
      </c>
      <c r="J3815" t="s">
        <v>1656</v>
      </c>
      <c r="K3815" t="s">
        <v>5842</v>
      </c>
      <c r="L3815">
        <v>1</v>
      </c>
      <c r="M3815" t="s">
        <v>5843</v>
      </c>
      <c r="N3815" t="s">
        <v>5781</v>
      </c>
    </row>
    <row r="3816" spans="1:14" hidden="1" x14ac:dyDescent="0.25">
      <c r="A3816" t="s">
        <v>1316</v>
      </c>
      <c r="B3816" t="s">
        <v>1330</v>
      </c>
      <c r="C3816" t="s">
        <v>5841</v>
      </c>
      <c r="D3816" t="s">
        <v>21</v>
      </c>
      <c r="E3816" t="s">
        <v>19</v>
      </c>
      <c r="F3816">
        <v>15</v>
      </c>
      <c r="G3816" t="s">
        <v>1419</v>
      </c>
      <c r="H3816" s="89">
        <v>46272</v>
      </c>
      <c r="I3816" s="89">
        <v>46276</v>
      </c>
      <c r="J3816" t="s">
        <v>1656</v>
      </c>
      <c r="K3816" t="s">
        <v>5842</v>
      </c>
      <c r="L3816">
        <v>2</v>
      </c>
      <c r="M3816" t="s">
        <v>5844</v>
      </c>
      <c r="N3816" t="s">
        <v>5781</v>
      </c>
    </row>
    <row r="3817" spans="1:14" hidden="1" x14ac:dyDescent="0.25">
      <c r="A3817" t="s">
        <v>1317</v>
      </c>
      <c r="B3817" t="s">
        <v>1331</v>
      </c>
      <c r="C3817" t="s">
        <v>5845</v>
      </c>
      <c r="D3817" t="s">
        <v>21</v>
      </c>
      <c r="E3817" t="s">
        <v>19</v>
      </c>
      <c r="F3817">
        <v>4</v>
      </c>
      <c r="G3817" t="s">
        <v>1419</v>
      </c>
      <c r="H3817" s="89">
        <v>46272</v>
      </c>
      <c r="I3817" s="89">
        <v>46276</v>
      </c>
      <c r="J3817" t="s">
        <v>1656</v>
      </c>
      <c r="K3817" t="s">
        <v>5846</v>
      </c>
      <c r="L3817">
        <v>1</v>
      </c>
      <c r="M3817" t="s">
        <v>5847</v>
      </c>
      <c r="N3817" t="s">
        <v>5781</v>
      </c>
    </row>
    <row r="3818" spans="1:14" hidden="1" x14ac:dyDescent="0.25">
      <c r="A3818" t="s">
        <v>1317</v>
      </c>
      <c r="B3818" t="s">
        <v>1331</v>
      </c>
      <c r="C3818" t="s">
        <v>5845</v>
      </c>
      <c r="D3818" t="s">
        <v>21</v>
      </c>
      <c r="E3818" t="s">
        <v>19</v>
      </c>
      <c r="F3818">
        <v>26</v>
      </c>
      <c r="G3818" t="s">
        <v>1419</v>
      </c>
      <c r="H3818" s="89">
        <v>46272</v>
      </c>
      <c r="I3818" s="89">
        <v>46276</v>
      </c>
      <c r="J3818" t="s">
        <v>1656</v>
      </c>
      <c r="K3818" t="s">
        <v>5846</v>
      </c>
      <c r="L3818">
        <v>2</v>
      </c>
      <c r="M3818" t="s">
        <v>5848</v>
      </c>
      <c r="N3818" t="s">
        <v>5781</v>
      </c>
    </row>
    <row r="3819" spans="1:14" hidden="1" x14ac:dyDescent="0.25">
      <c r="A3819" t="s">
        <v>1318</v>
      </c>
      <c r="B3819" t="s">
        <v>1332</v>
      </c>
      <c r="C3819" t="s">
        <v>5849</v>
      </c>
      <c r="D3819" t="s">
        <v>21</v>
      </c>
      <c r="E3819" t="s">
        <v>19</v>
      </c>
      <c r="F3819">
        <v>92</v>
      </c>
      <c r="G3819" t="s">
        <v>1419</v>
      </c>
      <c r="H3819" s="89">
        <v>46272</v>
      </c>
      <c r="I3819" s="89">
        <v>46276</v>
      </c>
      <c r="J3819" t="s">
        <v>1656</v>
      </c>
      <c r="K3819" t="s">
        <v>5850</v>
      </c>
      <c r="L3819">
        <v>1</v>
      </c>
      <c r="M3819" t="s">
        <v>5851</v>
      </c>
      <c r="N3819" t="s">
        <v>5781</v>
      </c>
    </row>
    <row r="3820" spans="1:14" hidden="1" x14ac:dyDescent="0.25">
      <c r="A3820" t="s">
        <v>1320</v>
      </c>
      <c r="B3820" t="s">
        <v>1334</v>
      </c>
      <c r="C3820" t="s">
        <v>5852</v>
      </c>
      <c r="D3820" t="s">
        <v>13</v>
      </c>
      <c r="E3820" t="s">
        <v>14</v>
      </c>
      <c r="F3820">
        <v>576</v>
      </c>
      <c r="G3820">
        <v>20</v>
      </c>
      <c r="H3820" s="89">
        <v>46273</v>
      </c>
      <c r="I3820" s="89">
        <v>46276</v>
      </c>
      <c r="J3820" t="s">
        <v>5782</v>
      </c>
      <c r="K3820" t="s">
        <v>5853</v>
      </c>
      <c r="L3820">
        <v>1</v>
      </c>
      <c r="M3820" t="s">
        <v>5854</v>
      </c>
      <c r="N3820" t="s">
        <v>5781</v>
      </c>
    </row>
    <row r="3821" spans="1:14" hidden="1" x14ac:dyDescent="0.25">
      <c r="A3821" t="s">
        <v>1313</v>
      </c>
      <c r="B3821" t="s">
        <v>1327</v>
      </c>
      <c r="C3821" t="s">
        <v>5852</v>
      </c>
      <c r="D3821" t="s">
        <v>13</v>
      </c>
      <c r="E3821" t="s">
        <v>22</v>
      </c>
      <c r="F3821">
        <v>624</v>
      </c>
      <c r="G3821">
        <v>13</v>
      </c>
      <c r="H3821" s="89">
        <v>46273</v>
      </c>
      <c r="I3821" s="89">
        <v>46278</v>
      </c>
      <c r="J3821" t="s">
        <v>5855</v>
      </c>
      <c r="K3821" t="s">
        <v>5856</v>
      </c>
      <c r="L3821">
        <v>1</v>
      </c>
      <c r="M3821" t="s">
        <v>5857</v>
      </c>
      <c r="N3821" t="s">
        <v>5781</v>
      </c>
    </row>
    <row r="3822" spans="1:14" hidden="1" x14ac:dyDescent="0.25">
      <c r="A3822" t="s">
        <v>1320</v>
      </c>
      <c r="B3822" t="s">
        <v>1334</v>
      </c>
      <c r="C3822" t="s">
        <v>5858</v>
      </c>
      <c r="D3822" t="s">
        <v>23</v>
      </c>
      <c r="E3822" t="s">
        <v>14</v>
      </c>
      <c r="F3822">
        <v>960</v>
      </c>
      <c r="G3822">
        <v>20</v>
      </c>
      <c r="H3822" s="89">
        <v>46273</v>
      </c>
      <c r="I3822" s="89">
        <v>46277</v>
      </c>
      <c r="J3822" t="s">
        <v>5859</v>
      </c>
      <c r="K3822" t="s">
        <v>5860</v>
      </c>
      <c r="L3822">
        <v>1</v>
      </c>
      <c r="M3822" t="s">
        <v>5861</v>
      </c>
      <c r="N3822" t="s">
        <v>5781</v>
      </c>
    </row>
    <row r="3823" spans="1:14" hidden="1" x14ac:dyDescent="0.25">
      <c r="A3823" t="s">
        <v>1320</v>
      </c>
      <c r="B3823" t="s">
        <v>1334</v>
      </c>
      <c r="C3823" t="s">
        <v>5862</v>
      </c>
      <c r="D3823" t="s">
        <v>24</v>
      </c>
      <c r="E3823" t="s">
        <v>14</v>
      </c>
      <c r="F3823">
        <v>960</v>
      </c>
      <c r="G3823">
        <v>20</v>
      </c>
      <c r="H3823" s="89">
        <v>46273</v>
      </c>
      <c r="I3823" s="89">
        <v>46279</v>
      </c>
      <c r="J3823" t="s">
        <v>5863</v>
      </c>
      <c r="K3823" t="s">
        <v>5864</v>
      </c>
      <c r="L3823">
        <v>1</v>
      </c>
      <c r="M3823" t="s">
        <v>5865</v>
      </c>
      <c r="N3823" t="s">
        <v>5781</v>
      </c>
    </row>
    <row r="3824" spans="1:14" hidden="1" x14ac:dyDescent="0.25">
      <c r="A3824" t="s">
        <v>1324</v>
      </c>
      <c r="B3824" t="s">
        <v>1338</v>
      </c>
      <c r="C3824" t="s">
        <v>5862</v>
      </c>
      <c r="D3824" t="s">
        <v>24</v>
      </c>
      <c r="E3824" t="s">
        <v>25</v>
      </c>
      <c r="F3824">
        <v>480</v>
      </c>
      <c r="G3824">
        <v>10</v>
      </c>
      <c r="H3824" s="89">
        <v>46273</v>
      </c>
      <c r="I3824" s="89">
        <v>46281</v>
      </c>
      <c r="J3824" t="s">
        <v>5866</v>
      </c>
      <c r="K3824" t="s">
        <v>5867</v>
      </c>
      <c r="L3824">
        <v>1</v>
      </c>
      <c r="M3824" t="s">
        <v>5868</v>
      </c>
      <c r="N3824" t="s">
        <v>5781</v>
      </c>
    </row>
    <row r="3825" spans="1:14" hidden="1" x14ac:dyDescent="0.25">
      <c r="A3825" t="s">
        <v>1323</v>
      </c>
      <c r="B3825" t="s">
        <v>1337</v>
      </c>
      <c r="C3825" t="s">
        <v>5869</v>
      </c>
      <c r="D3825" t="s">
        <v>20</v>
      </c>
      <c r="E3825" t="s">
        <v>26</v>
      </c>
      <c r="F3825">
        <v>810</v>
      </c>
      <c r="G3825">
        <v>15</v>
      </c>
      <c r="H3825" s="89">
        <v>46273</v>
      </c>
      <c r="I3825" s="89">
        <v>46278</v>
      </c>
      <c r="J3825" t="s">
        <v>5870</v>
      </c>
      <c r="K3825" t="s">
        <v>5871</v>
      </c>
      <c r="L3825">
        <v>1</v>
      </c>
      <c r="M3825" t="s">
        <v>5872</v>
      </c>
      <c r="N3825" t="s">
        <v>5781</v>
      </c>
    </row>
    <row r="3826" spans="1:14" hidden="1" x14ac:dyDescent="0.25">
      <c r="A3826" t="s">
        <v>1322</v>
      </c>
      <c r="B3826" t="s">
        <v>1336</v>
      </c>
      <c r="C3826" t="s">
        <v>5869</v>
      </c>
      <c r="D3826" t="s">
        <v>20</v>
      </c>
      <c r="E3826" t="s">
        <v>26</v>
      </c>
      <c r="F3826">
        <v>270</v>
      </c>
      <c r="G3826">
        <v>5</v>
      </c>
      <c r="H3826" s="89">
        <v>46273</v>
      </c>
      <c r="I3826" s="89">
        <v>46278</v>
      </c>
      <c r="J3826" t="s">
        <v>5870</v>
      </c>
      <c r="K3826" t="s">
        <v>5873</v>
      </c>
      <c r="L3826">
        <v>1</v>
      </c>
      <c r="M3826" t="s">
        <v>5874</v>
      </c>
      <c r="N3826" t="s">
        <v>5781</v>
      </c>
    </row>
    <row r="3827" spans="1:14" hidden="1" x14ac:dyDescent="0.25">
      <c r="A3827" t="s">
        <v>1313</v>
      </c>
      <c r="B3827" t="s">
        <v>1327</v>
      </c>
      <c r="C3827" t="s">
        <v>5869</v>
      </c>
      <c r="D3827" t="s">
        <v>20</v>
      </c>
      <c r="E3827" t="s">
        <v>16</v>
      </c>
      <c r="F3827">
        <v>240</v>
      </c>
      <c r="G3827">
        <v>5</v>
      </c>
      <c r="H3827" s="89">
        <v>46273</v>
      </c>
      <c r="I3827" s="89">
        <v>46277</v>
      </c>
      <c r="J3827" t="s">
        <v>3549</v>
      </c>
      <c r="K3827" t="s">
        <v>5875</v>
      </c>
      <c r="L3827">
        <v>1</v>
      </c>
      <c r="M3827" t="s">
        <v>5876</v>
      </c>
      <c r="N3827" t="s">
        <v>5781</v>
      </c>
    </row>
    <row r="3828" spans="1:14" hidden="1" x14ac:dyDescent="0.25">
      <c r="A3828" t="s">
        <v>1315</v>
      </c>
      <c r="B3828" t="s">
        <v>1329</v>
      </c>
      <c r="C3828" t="s">
        <v>5869</v>
      </c>
      <c r="D3828" t="s">
        <v>20</v>
      </c>
      <c r="E3828" t="s">
        <v>19</v>
      </c>
      <c r="F3828">
        <v>53</v>
      </c>
      <c r="G3828" t="s">
        <v>1419</v>
      </c>
      <c r="H3828" s="89">
        <v>46273</v>
      </c>
      <c r="I3828" s="89">
        <v>46275</v>
      </c>
      <c r="J3828" t="s">
        <v>3549</v>
      </c>
      <c r="K3828" t="s">
        <v>5877</v>
      </c>
      <c r="L3828">
        <v>1</v>
      </c>
      <c r="M3828" t="s">
        <v>5878</v>
      </c>
      <c r="N3828" t="s">
        <v>5781</v>
      </c>
    </row>
    <row r="3829" spans="1:14" hidden="1" x14ac:dyDescent="0.25">
      <c r="A3829" t="s">
        <v>1316</v>
      </c>
      <c r="B3829" t="s">
        <v>1330</v>
      </c>
      <c r="C3829" t="s">
        <v>5879</v>
      </c>
      <c r="D3829" t="s">
        <v>20</v>
      </c>
      <c r="E3829" t="s">
        <v>19</v>
      </c>
      <c r="F3829">
        <v>68</v>
      </c>
      <c r="G3829" t="s">
        <v>1419</v>
      </c>
      <c r="H3829" s="89">
        <v>46273</v>
      </c>
      <c r="I3829" s="89">
        <v>46275</v>
      </c>
      <c r="J3829" t="s">
        <v>3549</v>
      </c>
      <c r="K3829" t="s">
        <v>5880</v>
      </c>
      <c r="L3829">
        <v>1</v>
      </c>
      <c r="M3829" t="s">
        <v>5881</v>
      </c>
      <c r="N3829" t="s">
        <v>5781</v>
      </c>
    </row>
    <row r="3830" spans="1:14" hidden="1" x14ac:dyDescent="0.25">
      <c r="A3830" t="s">
        <v>1317</v>
      </c>
      <c r="B3830" t="s">
        <v>1331</v>
      </c>
      <c r="C3830" t="s">
        <v>5882</v>
      </c>
      <c r="D3830" t="s">
        <v>20</v>
      </c>
      <c r="E3830" t="s">
        <v>19</v>
      </c>
      <c r="F3830">
        <v>9</v>
      </c>
      <c r="G3830" t="s">
        <v>1419</v>
      </c>
      <c r="H3830" s="89">
        <v>46273</v>
      </c>
      <c r="I3830" s="89">
        <v>46275</v>
      </c>
      <c r="J3830" t="s">
        <v>3549</v>
      </c>
      <c r="K3830" t="s">
        <v>5883</v>
      </c>
      <c r="L3830">
        <v>1</v>
      </c>
      <c r="M3830" t="s">
        <v>5884</v>
      </c>
      <c r="N3830" t="s">
        <v>5781</v>
      </c>
    </row>
    <row r="3831" spans="1:14" hidden="1" x14ac:dyDescent="0.25">
      <c r="A3831" t="s">
        <v>1318</v>
      </c>
      <c r="B3831" t="s">
        <v>1332</v>
      </c>
      <c r="C3831" t="s">
        <v>5885</v>
      </c>
      <c r="D3831" t="s">
        <v>20</v>
      </c>
      <c r="E3831" t="s">
        <v>19</v>
      </c>
      <c r="F3831">
        <v>38</v>
      </c>
      <c r="G3831" t="s">
        <v>1419</v>
      </c>
      <c r="H3831" s="89">
        <v>46273</v>
      </c>
      <c r="I3831" s="89">
        <v>46275</v>
      </c>
      <c r="J3831" t="s">
        <v>3549</v>
      </c>
      <c r="K3831" t="s">
        <v>5886</v>
      </c>
      <c r="L3831">
        <v>1</v>
      </c>
      <c r="M3831" t="s">
        <v>5887</v>
      </c>
      <c r="N3831" t="s">
        <v>5781</v>
      </c>
    </row>
    <row r="3832" spans="1:14" hidden="1" x14ac:dyDescent="0.25">
      <c r="A3832" t="s">
        <v>1325</v>
      </c>
      <c r="B3832" t="s">
        <v>1339</v>
      </c>
      <c r="C3832" t="s">
        <v>5888</v>
      </c>
      <c r="D3832" t="s">
        <v>27</v>
      </c>
      <c r="E3832" t="s">
        <v>19</v>
      </c>
      <c r="F3832">
        <v>144</v>
      </c>
      <c r="G3832">
        <v>3</v>
      </c>
      <c r="H3832" s="89">
        <v>46273</v>
      </c>
      <c r="I3832" s="89">
        <v>46280</v>
      </c>
      <c r="J3832" t="s">
        <v>1656</v>
      </c>
      <c r="K3832" t="s">
        <v>5889</v>
      </c>
      <c r="L3832">
        <v>1</v>
      </c>
      <c r="M3832" t="s">
        <v>5890</v>
      </c>
      <c r="N3832" t="s">
        <v>5781</v>
      </c>
    </row>
    <row r="3833" spans="1:14" hidden="1" x14ac:dyDescent="0.25">
      <c r="A3833" t="s">
        <v>1325</v>
      </c>
      <c r="B3833" t="s">
        <v>1339</v>
      </c>
      <c r="C3833" t="s">
        <v>5888</v>
      </c>
      <c r="D3833" t="s">
        <v>27</v>
      </c>
      <c r="E3833" t="s">
        <v>19</v>
      </c>
      <c r="F3833">
        <v>336</v>
      </c>
      <c r="G3833">
        <v>7</v>
      </c>
      <c r="H3833" s="89">
        <v>46273</v>
      </c>
      <c r="I3833" s="89">
        <v>46278</v>
      </c>
      <c r="J3833" t="s">
        <v>1656</v>
      </c>
      <c r="K3833" t="s">
        <v>5891</v>
      </c>
      <c r="L3833">
        <v>1</v>
      </c>
      <c r="M3833" t="s">
        <v>5892</v>
      </c>
      <c r="N3833" t="s">
        <v>5781</v>
      </c>
    </row>
    <row r="3834" spans="1:14" hidden="1" x14ac:dyDescent="0.25">
      <c r="A3834" t="s">
        <v>1313</v>
      </c>
      <c r="B3834" t="s">
        <v>1327</v>
      </c>
      <c r="C3834" t="s">
        <v>5893</v>
      </c>
      <c r="D3834" t="s">
        <v>21</v>
      </c>
      <c r="E3834" t="s">
        <v>18</v>
      </c>
      <c r="F3834">
        <v>144</v>
      </c>
      <c r="G3834">
        <v>3</v>
      </c>
      <c r="H3834" s="89">
        <v>46273</v>
      </c>
      <c r="I3834" s="89">
        <v>46276</v>
      </c>
      <c r="J3834" t="s">
        <v>5794</v>
      </c>
      <c r="K3834" t="s">
        <v>5894</v>
      </c>
      <c r="L3834">
        <v>1</v>
      </c>
      <c r="M3834" t="s">
        <v>5895</v>
      </c>
      <c r="N3834" t="s">
        <v>5781</v>
      </c>
    </row>
    <row r="3835" spans="1:14" hidden="1" x14ac:dyDescent="0.25">
      <c r="A3835" t="s">
        <v>1313</v>
      </c>
      <c r="B3835" t="s">
        <v>1327</v>
      </c>
      <c r="C3835" t="s">
        <v>5893</v>
      </c>
      <c r="D3835" t="s">
        <v>21</v>
      </c>
      <c r="E3835" t="s">
        <v>31</v>
      </c>
      <c r="F3835">
        <v>480</v>
      </c>
      <c r="G3835">
        <v>10</v>
      </c>
      <c r="H3835" s="89">
        <v>46273</v>
      </c>
      <c r="I3835" s="89">
        <v>46279</v>
      </c>
      <c r="J3835" t="s">
        <v>3549</v>
      </c>
      <c r="K3835" t="s">
        <v>5896</v>
      </c>
      <c r="L3835">
        <v>1</v>
      </c>
      <c r="M3835" t="s">
        <v>5897</v>
      </c>
      <c r="N3835" t="s">
        <v>5781</v>
      </c>
    </row>
    <row r="3836" spans="1:14" hidden="1" x14ac:dyDescent="0.25">
      <c r="A3836" t="s">
        <v>1313</v>
      </c>
      <c r="B3836" t="s">
        <v>1327</v>
      </c>
      <c r="C3836" t="s">
        <v>5893</v>
      </c>
      <c r="D3836" t="s">
        <v>21</v>
      </c>
      <c r="E3836" t="s">
        <v>16</v>
      </c>
      <c r="F3836">
        <v>288</v>
      </c>
      <c r="G3836">
        <v>6</v>
      </c>
      <c r="H3836" s="89">
        <v>46273</v>
      </c>
      <c r="I3836" s="89">
        <v>46279</v>
      </c>
      <c r="J3836" t="s">
        <v>5898</v>
      </c>
      <c r="K3836" t="s">
        <v>5899</v>
      </c>
      <c r="L3836">
        <v>1</v>
      </c>
      <c r="M3836" t="s">
        <v>5900</v>
      </c>
      <c r="N3836" t="s">
        <v>5781</v>
      </c>
    </row>
    <row r="3837" spans="1:14" hidden="1" x14ac:dyDescent="0.25">
      <c r="A3837" t="s">
        <v>1313</v>
      </c>
      <c r="B3837" t="s">
        <v>1327</v>
      </c>
      <c r="C3837" t="s">
        <v>5893</v>
      </c>
      <c r="D3837" t="s">
        <v>21</v>
      </c>
      <c r="E3837" t="s">
        <v>22</v>
      </c>
      <c r="F3837">
        <v>528</v>
      </c>
      <c r="G3837">
        <v>11</v>
      </c>
      <c r="H3837" s="89">
        <v>46273</v>
      </c>
      <c r="I3837" s="89">
        <v>46277</v>
      </c>
      <c r="J3837" t="s">
        <v>5901</v>
      </c>
      <c r="K3837" t="s">
        <v>5902</v>
      </c>
      <c r="L3837">
        <v>1</v>
      </c>
      <c r="M3837" t="s">
        <v>5903</v>
      </c>
      <c r="N3837" t="s">
        <v>5781</v>
      </c>
    </row>
    <row r="3838" spans="1:14" hidden="1" x14ac:dyDescent="0.25">
      <c r="A3838" t="s">
        <v>1313</v>
      </c>
      <c r="B3838" t="s">
        <v>1327</v>
      </c>
      <c r="C3838" t="s">
        <v>5893</v>
      </c>
      <c r="D3838" t="s">
        <v>21</v>
      </c>
      <c r="E3838" t="s">
        <v>16</v>
      </c>
      <c r="F3838">
        <v>48</v>
      </c>
      <c r="G3838">
        <v>1</v>
      </c>
      <c r="H3838" s="89">
        <v>46273</v>
      </c>
      <c r="I3838" s="89">
        <v>46279</v>
      </c>
      <c r="J3838" t="s">
        <v>5898</v>
      </c>
      <c r="K3838" t="s">
        <v>5899</v>
      </c>
      <c r="L3838">
        <v>2</v>
      </c>
      <c r="M3838" t="s">
        <v>5904</v>
      </c>
      <c r="N3838" t="s">
        <v>5781</v>
      </c>
    </row>
    <row r="3839" spans="1:14" hidden="1" x14ac:dyDescent="0.25">
      <c r="A3839" t="s">
        <v>1315</v>
      </c>
      <c r="B3839" t="s">
        <v>1329</v>
      </c>
      <c r="C3839" t="s">
        <v>5893</v>
      </c>
      <c r="D3839" t="s">
        <v>21</v>
      </c>
      <c r="E3839" t="s">
        <v>19</v>
      </c>
      <c r="F3839">
        <v>83</v>
      </c>
      <c r="G3839" t="s">
        <v>1419</v>
      </c>
      <c r="H3839" s="89">
        <v>46273</v>
      </c>
      <c r="I3839" s="89">
        <v>46275</v>
      </c>
      <c r="J3839" t="s">
        <v>3549</v>
      </c>
      <c r="K3839" t="s">
        <v>5905</v>
      </c>
      <c r="L3839">
        <v>1</v>
      </c>
      <c r="M3839" t="s">
        <v>5906</v>
      </c>
      <c r="N3839" t="s">
        <v>5781</v>
      </c>
    </row>
    <row r="3840" spans="1:14" hidden="1" x14ac:dyDescent="0.25">
      <c r="A3840" t="s">
        <v>1316</v>
      </c>
      <c r="B3840" t="s">
        <v>1330</v>
      </c>
      <c r="C3840" t="s">
        <v>5907</v>
      </c>
      <c r="D3840" t="s">
        <v>21</v>
      </c>
      <c r="E3840" t="s">
        <v>19</v>
      </c>
      <c r="F3840">
        <v>46</v>
      </c>
      <c r="G3840" t="s">
        <v>1419</v>
      </c>
      <c r="H3840" s="89">
        <v>46273</v>
      </c>
      <c r="I3840" s="89">
        <v>46275</v>
      </c>
      <c r="J3840" t="s">
        <v>3549</v>
      </c>
      <c r="K3840" t="s">
        <v>5908</v>
      </c>
      <c r="L3840">
        <v>1</v>
      </c>
      <c r="M3840" t="s">
        <v>5909</v>
      </c>
      <c r="N3840" t="s">
        <v>5781</v>
      </c>
    </row>
    <row r="3841" spans="1:14" hidden="1" x14ac:dyDescent="0.25">
      <c r="A3841" t="s">
        <v>1317</v>
      </c>
      <c r="B3841" t="s">
        <v>1331</v>
      </c>
      <c r="C3841" t="s">
        <v>5910</v>
      </c>
      <c r="D3841" t="s">
        <v>21</v>
      </c>
      <c r="E3841" t="s">
        <v>19</v>
      </c>
      <c r="F3841">
        <v>34</v>
      </c>
      <c r="G3841" t="s">
        <v>1419</v>
      </c>
      <c r="H3841" s="89">
        <v>46273</v>
      </c>
      <c r="I3841" s="89">
        <v>46275</v>
      </c>
      <c r="J3841" t="s">
        <v>3549</v>
      </c>
      <c r="K3841" t="s">
        <v>5911</v>
      </c>
      <c r="L3841">
        <v>1</v>
      </c>
      <c r="M3841" t="s">
        <v>5912</v>
      </c>
      <c r="N3841" t="s">
        <v>5781</v>
      </c>
    </row>
    <row r="3842" spans="1:14" hidden="1" x14ac:dyDescent="0.25">
      <c r="A3842" t="s">
        <v>1318</v>
      </c>
      <c r="B3842" t="s">
        <v>1332</v>
      </c>
      <c r="C3842" t="s">
        <v>5913</v>
      </c>
      <c r="D3842" t="s">
        <v>21</v>
      </c>
      <c r="E3842" t="s">
        <v>19</v>
      </c>
      <c r="F3842">
        <v>56</v>
      </c>
      <c r="G3842" t="s">
        <v>1419</v>
      </c>
      <c r="H3842" s="89">
        <v>46273</v>
      </c>
      <c r="I3842" s="89">
        <v>46275</v>
      </c>
      <c r="J3842" t="s">
        <v>3549</v>
      </c>
      <c r="K3842" t="s">
        <v>5914</v>
      </c>
      <c r="L3842">
        <v>1</v>
      </c>
      <c r="M3842" t="s">
        <v>5915</v>
      </c>
      <c r="N3842" t="s">
        <v>5781</v>
      </c>
    </row>
    <row r="3843" spans="1:14" hidden="1" x14ac:dyDescent="0.25">
      <c r="A3843" t="s">
        <v>1313</v>
      </c>
      <c r="B3843" t="s">
        <v>1327</v>
      </c>
      <c r="C3843" t="s">
        <v>5916</v>
      </c>
      <c r="D3843" t="s">
        <v>15</v>
      </c>
      <c r="E3843" t="s">
        <v>16</v>
      </c>
      <c r="F3843">
        <v>432</v>
      </c>
      <c r="G3843">
        <v>9</v>
      </c>
      <c r="H3843" s="89">
        <v>46273</v>
      </c>
      <c r="I3843" s="89">
        <v>46277</v>
      </c>
      <c r="J3843" t="s">
        <v>5799</v>
      </c>
      <c r="K3843" t="s">
        <v>5917</v>
      </c>
      <c r="L3843">
        <v>1</v>
      </c>
      <c r="M3843" t="s">
        <v>5918</v>
      </c>
      <c r="N3843" t="s">
        <v>5781</v>
      </c>
    </row>
    <row r="3844" spans="1:14" hidden="1" x14ac:dyDescent="0.25">
      <c r="A3844" t="s">
        <v>1314</v>
      </c>
      <c r="B3844" t="s">
        <v>1328</v>
      </c>
      <c r="C3844" t="s">
        <v>5916</v>
      </c>
      <c r="D3844" t="s">
        <v>15</v>
      </c>
      <c r="E3844" t="s">
        <v>16</v>
      </c>
      <c r="F3844">
        <v>288</v>
      </c>
      <c r="G3844">
        <v>6</v>
      </c>
      <c r="H3844" s="89">
        <v>46273</v>
      </c>
      <c r="I3844" s="89">
        <v>46277</v>
      </c>
      <c r="J3844" t="s">
        <v>5919</v>
      </c>
      <c r="K3844" t="s">
        <v>5920</v>
      </c>
      <c r="L3844">
        <v>1</v>
      </c>
      <c r="M3844" t="s">
        <v>5921</v>
      </c>
      <c r="N3844" t="s">
        <v>5781</v>
      </c>
    </row>
    <row r="3845" spans="1:14" hidden="1" x14ac:dyDescent="0.25">
      <c r="A3845" t="s">
        <v>1313</v>
      </c>
      <c r="B3845" t="s">
        <v>1327</v>
      </c>
      <c r="C3845" t="s">
        <v>5916</v>
      </c>
      <c r="D3845" t="s">
        <v>15</v>
      </c>
      <c r="E3845" t="s">
        <v>22</v>
      </c>
      <c r="F3845">
        <v>624</v>
      </c>
      <c r="G3845">
        <v>13</v>
      </c>
      <c r="H3845" s="89">
        <v>46273</v>
      </c>
      <c r="I3845" s="89">
        <v>46277</v>
      </c>
      <c r="J3845" t="s">
        <v>5901</v>
      </c>
      <c r="K3845" t="s">
        <v>5922</v>
      </c>
      <c r="L3845">
        <v>1</v>
      </c>
      <c r="M3845" t="s">
        <v>5923</v>
      </c>
      <c r="N3845" t="s">
        <v>5781</v>
      </c>
    </row>
    <row r="3846" spans="1:14" hidden="1" x14ac:dyDescent="0.25">
      <c r="A3846" t="s">
        <v>1315</v>
      </c>
      <c r="B3846" t="s">
        <v>1329</v>
      </c>
      <c r="C3846" t="s">
        <v>5916</v>
      </c>
      <c r="D3846" t="s">
        <v>15</v>
      </c>
      <c r="E3846" t="s">
        <v>19</v>
      </c>
      <c r="F3846">
        <v>1</v>
      </c>
      <c r="G3846" t="s">
        <v>1419</v>
      </c>
      <c r="H3846" s="89">
        <v>46273</v>
      </c>
      <c r="I3846" s="89">
        <v>46275</v>
      </c>
      <c r="J3846" t="s">
        <v>3549</v>
      </c>
      <c r="K3846" t="s">
        <v>5924</v>
      </c>
      <c r="L3846">
        <v>1</v>
      </c>
      <c r="M3846" t="s">
        <v>5925</v>
      </c>
      <c r="N3846" t="s">
        <v>5781</v>
      </c>
    </row>
    <row r="3847" spans="1:14" hidden="1" x14ac:dyDescent="0.25">
      <c r="A3847" t="s">
        <v>1316</v>
      </c>
      <c r="B3847" t="s">
        <v>1330</v>
      </c>
      <c r="C3847" t="s">
        <v>5926</v>
      </c>
      <c r="D3847" t="s">
        <v>15</v>
      </c>
      <c r="E3847" t="s">
        <v>19</v>
      </c>
      <c r="F3847">
        <v>47</v>
      </c>
      <c r="G3847" t="s">
        <v>1419</v>
      </c>
      <c r="H3847" s="89">
        <v>46273</v>
      </c>
      <c r="I3847" s="89">
        <v>46275</v>
      </c>
      <c r="J3847" t="s">
        <v>3549</v>
      </c>
      <c r="K3847" t="s">
        <v>5927</v>
      </c>
      <c r="L3847">
        <v>1</v>
      </c>
      <c r="M3847" t="s">
        <v>5928</v>
      </c>
      <c r="N3847" t="s">
        <v>5781</v>
      </c>
    </row>
    <row r="3848" spans="1:14" hidden="1" x14ac:dyDescent="0.25">
      <c r="A3848" t="s">
        <v>1317</v>
      </c>
      <c r="B3848" t="s">
        <v>1331</v>
      </c>
      <c r="C3848" t="s">
        <v>5929</v>
      </c>
      <c r="D3848" t="s">
        <v>15</v>
      </c>
      <c r="E3848" t="s">
        <v>19</v>
      </c>
      <c r="F3848">
        <v>63</v>
      </c>
      <c r="G3848" t="s">
        <v>1419</v>
      </c>
      <c r="H3848" s="89">
        <v>46273</v>
      </c>
      <c r="I3848" s="89">
        <v>46275</v>
      </c>
      <c r="J3848" t="s">
        <v>3549</v>
      </c>
      <c r="K3848" t="s">
        <v>5930</v>
      </c>
      <c r="L3848">
        <v>1</v>
      </c>
      <c r="M3848" t="s">
        <v>5931</v>
      </c>
      <c r="N3848" t="s">
        <v>5781</v>
      </c>
    </row>
    <row r="3849" spans="1:14" hidden="1" x14ac:dyDescent="0.25">
      <c r="A3849" t="s">
        <v>1318</v>
      </c>
      <c r="B3849" t="s">
        <v>1332</v>
      </c>
      <c r="C3849" t="s">
        <v>5932</v>
      </c>
      <c r="D3849" t="s">
        <v>15</v>
      </c>
      <c r="E3849" t="s">
        <v>19</v>
      </c>
      <c r="F3849">
        <v>26</v>
      </c>
      <c r="G3849" t="s">
        <v>1419</v>
      </c>
      <c r="H3849" s="89">
        <v>46273</v>
      </c>
      <c r="I3849" s="89">
        <v>46275</v>
      </c>
      <c r="J3849" t="s">
        <v>3549</v>
      </c>
      <c r="K3849" t="s">
        <v>5933</v>
      </c>
      <c r="L3849">
        <v>1</v>
      </c>
      <c r="M3849" t="s">
        <v>5934</v>
      </c>
      <c r="N3849" t="s">
        <v>5781</v>
      </c>
    </row>
    <row r="3850" spans="1:14" hidden="1" x14ac:dyDescent="0.25">
      <c r="A3850" t="s">
        <v>1313</v>
      </c>
      <c r="B3850" t="s">
        <v>1327</v>
      </c>
      <c r="C3850" t="s">
        <v>5935</v>
      </c>
      <c r="D3850" t="s">
        <v>13</v>
      </c>
      <c r="E3850" t="s">
        <v>22</v>
      </c>
      <c r="F3850">
        <v>528</v>
      </c>
      <c r="G3850">
        <v>11</v>
      </c>
      <c r="H3850" s="89">
        <v>46274</v>
      </c>
      <c r="I3850" s="89">
        <v>46278</v>
      </c>
      <c r="J3850" t="s">
        <v>5855</v>
      </c>
      <c r="K3850" t="s">
        <v>5936</v>
      </c>
      <c r="L3850">
        <v>1</v>
      </c>
      <c r="M3850" t="s">
        <v>5937</v>
      </c>
      <c r="N3850" t="s">
        <v>5781</v>
      </c>
    </row>
    <row r="3851" spans="1:14" hidden="1" x14ac:dyDescent="0.25">
      <c r="A3851" t="s">
        <v>1320</v>
      </c>
      <c r="B3851" t="s">
        <v>1334</v>
      </c>
      <c r="C3851" t="s">
        <v>5938</v>
      </c>
      <c r="D3851" t="s">
        <v>23</v>
      </c>
      <c r="E3851" t="s">
        <v>14</v>
      </c>
      <c r="F3851">
        <v>960</v>
      </c>
      <c r="G3851">
        <v>20</v>
      </c>
      <c r="H3851" s="89">
        <v>46274</v>
      </c>
      <c r="I3851" s="89">
        <v>46281</v>
      </c>
      <c r="J3851" t="s">
        <v>3549</v>
      </c>
      <c r="K3851" t="s">
        <v>5939</v>
      </c>
      <c r="L3851">
        <v>1</v>
      </c>
      <c r="M3851" t="s">
        <v>5940</v>
      </c>
      <c r="N3851" t="s">
        <v>5781</v>
      </c>
    </row>
    <row r="3852" spans="1:14" hidden="1" x14ac:dyDescent="0.25">
      <c r="A3852" t="s">
        <v>1324</v>
      </c>
      <c r="B3852" t="s">
        <v>1338</v>
      </c>
      <c r="C3852" t="s">
        <v>5941</v>
      </c>
      <c r="D3852" t="s">
        <v>24</v>
      </c>
      <c r="E3852" t="s">
        <v>25</v>
      </c>
      <c r="F3852">
        <v>288</v>
      </c>
      <c r="G3852">
        <v>6</v>
      </c>
      <c r="H3852" s="89">
        <v>46274</v>
      </c>
      <c r="I3852" s="89">
        <v>46281</v>
      </c>
      <c r="J3852" t="s">
        <v>5866</v>
      </c>
      <c r="K3852" t="s">
        <v>5942</v>
      </c>
      <c r="L3852">
        <v>1</v>
      </c>
      <c r="M3852" t="s">
        <v>5943</v>
      </c>
      <c r="N3852" t="s">
        <v>5781</v>
      </c>
    </row>
    <row r="3853" spans="1:14" hidden="1" x14ac:dyDescent="0.25">
      <c r="A3853" t="s">
        <v>1324</v>
      </c>
      <c r="B3853" t="s">
        <v>1338</v>
      </c>
      <c r="C3853" t="s">
        <v>5941</v>
      </c>
      <c r="D3853" t="s">
        <v>24</v>
      </c>
      <c r="E3853" t="s">
        <v>25</v>
      </c>
      <c r="F3853">
        <v>192</v>
      </c>
      <c r="G3853">
        <v>4</v>
      </c>
      <c r="H3853" s="89">
        <v>46274</v>
      </c>
      <c r="I3853" s="89">
        <v>46279</v>
      </c>
      <c r="J3853" t="s">
        <v>5944</v>
      </c>
      <c r="K3853" t="s">
        <v>5945</v>
      </c>
      <c r="L3853">
        <v>1</v>
      </c>
      <c r="M3853" t="s">
        <v>5946</v>
      </c>
      <c r="N3853" t="s">
        <v>5781</v>
      </c>
    </row>
    <row r="3854" spans="1:14" hidden="1" x14ac:dyDescent="0.25">
      <c r="A3854" t="s">
        <v>1324</v>
      </c>
      <c r="B3854" t="s">
        <v>1338</v>
      </c>
      <c r="C3854" t="s">
        <v>5941</v>
      </c>
      <c r="D3854" t="s">
        <v>24</v>
      </c>
      <c r="E3854" t="s">
        <v>25</v>
      </c>
      <c r="F3854">
        <v>960</v>
      </c>
      <c r="G3854">
        <v>20</v>
      </c>
      <c r="H3854" s="89">
        <v>46274</v>
      </c>
      <c r="I3854" s="89">
        <v>46279</v>
      </c>
      <c r="J3854" t="s">
        <v>5944</v>
      </c>
      <c r="K3854" t="s">
        <v>5945</v>
      </c>
      <c r="L3854">
        <v>2</v>
      </c>
      <c r="M3854" t="s">
        <v>5947</v>
      </c>
      <c r="N3854" t="s">
        <v>5781</v>
      </c>
    </row>
    <row r="3855" spans="1:14" hidden="1" x14ac:dyDescent="0.25">
      <c r="A3855" t="s">
        <v>1313</v>
      </c>
      <c r="B3855" t="s">
        <v>1327</v>
      </c>
      <c r="C3855" t="s">
        <v>5916</v>
      </c>
      <c r="D3855" t="s">
        <v>15</v>
      </c>
      <c r="E3855" t="s">
        <v>16</v>
      </c>
      <c r="F3855">
        <v>336</v>
      </c>
      <c r="G3855">
        <v>7</v>
      </c>
      <c r="H3855" s="89">
        <v>46273</v>
      </c>
      <c r="I3855" s="89">
        <v>46279</v>
      </c>
      <c r="J3855" t="s">
        <v>5898</v>
      </c>
      <c r="K3855" t="s">
        <v>5948</v>
      </c>
      <c r="L3855">
        <v>1</v>
      </c>
      <c r="M3855" t="s">
        <v>5949</v>
      </c>
      <c r="N3855" t="s">
        <v>5781</v>
      </c>
    </row>
    <row r="3856" spans="1:14" hidden="1" x14ac:dyDescent="0.25">
      <c r="A3856" t="s">
        <v>1314</v>
      </c>
      <c r="B3856" t="s">
        <v>1328</v>
      </c>
      <c r="C3856" t="s">
        <v>5950</v>
      </c>
      <c r="D3856" t="s">
        <v>15</v>
      </c>
      <c r="E3856" t="s">
        <v>18</v>
      </c>
      <c r="F3856">
        <v>96</v>
      </c>
      <c r="G3856">
        <v>2</v>
      </c>
      <c r="H3856" s="89">
        <v>46274</v>
      </c>
      <c r="I3856" s="89">
        <v>46279</v>
      </c>
      <c r="J3856" t="s">
        <v>5951</v>
      </c>
      <c r="K3856" t="s">
        <v>5952</v>
      </c>
      <c r="L3856">
        <v>1</v>
      </c>
      <c r="M3856" t="s">
        <v>5953</v>
      </c>
      <c r="N3856" t="s">
        <v>5781</v>
      </c>
    </row>
    <row r="3857" spans="1:14" hidden="1" x14ac:dyDescent="0.25">
      <c r="A3857" t="s">
        <v>1313</v>
      </c>
      <c r="B3857" t="s">
        <v>1327</v>
      </c>
      <c r="C3857" t="s">
        <v>5950</v>
      </c>
      <c r="D3857" t="s">
        <v>15</v>
      </c>
      <c r="E3857" t="s">
        <v>22</v>
      </c>
      <c r="F3857">
        <v>768</v>
      </c>
      <c r="G3857">
        <v>16</v>
      </c>
      <c r="H3857" s="89">
        <v>46274</v>
      </c>
      <c r="I3857" s="89">
        <v>46279</v>
      </c>
      <c r="J3857" t="s">
        <v>5954</v>
      </c>
      <c r="K3857" t="s">
        <v>5955</v>
      </c>
      <c r="L3857">
        <v>1</v>
      </c>
      <c r="M3857" t="s">
        <v>5956</v>
      </c>
      <c r="N3857" t="s">
        <v>5781</v>
      </c>
    </row>
    <row r="3858" spans="1:14" hidden="1" x14ac:dyDescent="0.25">
      <c r="A3858" t="s">
        <v>1314</v>
      </c>
      <c r="B3858" t="s">
        <v>1328</v>
      </c>
      <c r="C3858" t="s">
        <v>5950</v>
      </c>
      <c r="D3858" t="s">
        <v>15</v>
      </c>
      <c r="E3858" t="s">
        <v>16</v>
      </c>
      <c r="F3858">
        <v>144</v>
      </c>
      <c r="G3858">
        <v>3</v>
      </c>
      <c r="H3858" s="89">
        <v>46274</v>
      </c>
      <c r="I3858" s="89">
        <v>46279</v>
      </c>
      <c r="J3858" t="s">
        <v>5957</v>
      </c>
      <c r="K3858" t="s">
        <v>5958</v>
      </c>
      <c r="L3858">
        <v>1</v>
      </c>
      <c r="M3858" t="s">
        <v>5959</v>
      </c>
      <c r="N3858" t="s">
        <v>5781</v>
      </c>
    </row>
    <row r="3859" spans="1:14" hidden="1" x14ac:dyDescent="0.25">
      <c r="A3859" t="s">
        <v>1315</v>
      </c>
      <c r="B3859" t="s">
        <v>1329</v>
      </c>
      <c r="C3859" t="s">
        <v>5950</v>
      </c>
      <c r="D3859" t="s">
        <v>15</v>
      </c>
      <c r="E3859" t="s">
        <v>19</v>
      </c>
      <c r="F3859">
        <v>0</v>
      </c>
      <c r="G3859" t="s">
        <v>1419</v>
      </c>
      <c r="H3859" s="89">
        <v>46274</v>
      </c>
      <c r="I3859" s="89">
        <v>46276</v>
      </c>
      <c r="J3859" t="s">
        <v>1656</v>
      </c>
      <c r="K3859" t="s">
        <v>5960</v>
      </c>
      <c r="L3859">
        <v>1</v>
      </c>
      <c r="M3859" t="s">
        <v>5961</v>
      </c>
      <c r="N3859" t="s">
        <v>5781</v>
      </c>
    </row>
    <row r="3860" spans="1:14" hidden="1" x14ac:dyDescent="0.25">
      <c r="A3860" t="s">
        <v>1316</v>
      </c>
      <c r="B3860" t="s">
        <v>1330</v>
      </c>
      <c r="C3860" t="s">
        <v>5962</v>
      </c>
      <c r="D3860" t="s">
        <v>15</v>
      </c>
      <c r="E3860" t="s">
        <v>19</v>
      </c>
      <c r="F3860">
        <v>53</v>
      </c>
      <c r="G3860" t="s">
        <v>1419</v>
      </c>
      <c r="H3860" s="89">
        <v>46274</v>
      </c>
      <c r="I3860" s="89">
        <v>46276</v>
      </c>
      <c r="J3860" t="s">
        <v>1656</v>
      </c>
      <c r="K3860" t="s">
        <v>5963</v>
      </c>
      <c r="L3860">
        <v>1</v>
      </c>
      <c r="M3860" t="s">
        <v>5964</v>
      </c>
      <c r="N3860" t="s">
        <v>5781</v>
      </c>
    </row>
    <row r="3861" spans="1:14" hidden="1" x14ac:dyDescent="0.25">
      <c r="A3861" t="s">
        <v>1317</v>
      </c>
      <c r="B3861" t="s">
        <v>1331</v>
      </c>
      <c r="C3861" t="s">
        <v>5965</v>
      </c>
      <c r="D3861" t="s">
        <v>15</v>
      </c>
      <c r="E3861" t="s">
        <v>19</v>
      </c>
      <c r="F3861">
        <v>54</v>
      </c>
      <c r="G3861" t="s">
        <v>1419</v>
      </c>
      <c r="H3861" s="89">
        <v>46274</v>
      </c>
      <c r="I3861" s="89">
        <v>46276</v>
      </c>
      <c r="J3861" t="s">
        <v>1656</v>
      </c>
      <c r="K3861" t="s">
        <v>5966</v>
      </c>
      <c r="L3861">
        <v>1</v>
      </c>
      <c r="M3861" t="s">
        <v>5967</v>
      </c>
      <c r="N3861" t="s">
        <v>5781</v>
      </c>
    </row>
    <row r="3862" spans="1:14" hidden="1" x14ac:dyDescent="0.25">
      <c r="A3862" t="s">
        <v>1318</v>
      </c>
      <c r="B3862" t="s">
        <v>1332</v>
      </c>
      <c r="C3862" t="s">
        <v>5968</v>
      </c>
      <c r="D3862" t="s">
        <v>15</v>
      </c>
      <c r="E3862" t="s">
        <v>19</v>
      </c>
      <c r="F3862">
        <v>20</v>
      </c>
      <c r="G3862" t="s">
        <v>1419</v>
      </c>
      <c r="H3862" s="89">
        <v>46274</v>
      </c>
      <c r="I3862" s="89">
        <v>46276</v>
      </c>
      <c r="J3862" t="s">
        <v>1656</v>
      </c>
      <c r="K3862" t="s">
        <v>5969</v>
      </c>
      <c r="L3862">
        <v>1</v>
      </c>
      <c r="M3862" t="s">
        <v>5970</v>
      </c>
      <c r="N3862" t="s">
        <v>5781</v>
      </c>
    </row>
    <row r="3863" spans="1:14" hidden="1" x14ac:dyDescent="0.25">
      <c r="A3863" t="s">
        <v>1313</v>
      </c>
      <c r="B3863" t="s">
        <v>1327</v>
      </c>
      <c r="C3863" t="s">
        <v>5971</v>
      </c>
      <c r="D3863" t="s">
        <v>28</v>
      </c>
      <c r="E3863" t="s">
        <v>22</v>
      </c>
      <c r="F3863">
        <v>336</v>
      </c>
      <c r="G3863">
        <v>7</v>
      </c>
      <c r="H3863" s="89">
        <v>46274</v>
      </c>
      <c r="I3863" s="89">
        <v>46279</v>
      </c>
      <c r="J3863" t="s">
        <v>5954</v>
      </c>
      <c r="K3863" t="s">
        <v>5972</v>
      </c>
      <c r="L3863">
        <v>1</v>
      </c>
      <c r="M3863" t="s">
        <v>5973</v>
      </c>
      <c r="N3863" t="s">
        <v>5781</v>
      </c>
    </row>
    <row r="3864" spans="1:14" hidden="1" x14ac:dyDescent="0.25">
      <c r="A3864" t="s">
        <v>1313</v>
      </c>
      <c r="B3864" t="s">
        <v>1327</v>
      </c>
      <c r="C3864" t="s">
        <v>5971</v>
      </c>
      <c r="D3864" t="s">
        <v>28</v>
      </c>
      <c r="E3864" t="s">
        <v>16</v>
      </c>
      <c r="F3864">
        <v>864</v>
      </c>
      <c r="G3864">
        <v>18</v>
      </c>
      <c r="H3864" s="89">
        <v>46274</v>
      </c>
      <c r="I3864" s="89">
        <v>46279</v>
      </c>
      <c r="J3864" t="s">
        <v>5974</v>
      </c>
      <c r="K3864" t="s">
        <v>5975</v>
      </c>
      <c r="L3864">
        <v>1</v>
      </c>
      <c r="M3864" t="s">
        <v>5976</v>
      </c>
      <c r="N3864" t="s">
        <v>5781</v>
      </c>
    </row>
    <row r="3865" spans="1:14" hidden="1" x14ac:dyDescent="0.25">
      <c r="A3865" t="s">
        <v>1315</v>
      </c>
      <c r="B3865" t="s">
        <v>1329</v>
      </c>
      <c r="C3865" t="s">
        <v>5971</v>
      </c>
      <c r="D3865" t="s">
        <v>28</v>
      </c>
      <c r="E3865" t="s">
        <v>19</v>
      </c>
      <c r="F3865">
        <v>21</v>
      </c>
      <c r="G3865" t="s">
        <v>1419</v>
      </c>
      <c r="H3865" s="89">
        <v>46274</v>
      </c>
      <c r="I3865" s="89">
        <v>46276</v>
      </c>
      <c r="J3865" t="s">
        <v>1656</v>
      </c>
      <c r="K3865" t="s">
        <v>5977</v>
      </c>
      <c r="L3865">
        <v>1</v>
      </c>
      <c r="M3865" t="s">
        <v>5978</v>
      </c>
      <c r="N3865" t="s">
        <v>5781</v>
      </c>
    </row>
    <row r="3866" spans="1:14" hidden="1" x14ac:dyDescent="0.25">
      <c r="A3866" t="s">
        <v>1316</v>
      </c>
      <c r="B3866" t="s">
        <v>1330</v>
      </c>
      <c r="C3866" t="s">
        <v>5979</v>
      </c>
      <c r="D3866" t="s">
        <v>28</v>
      </c>
      <c r="E3866" t="s">
        <v>19</v>
      </c>
      <c r="F3866">
        <v>22</v>
      </c>
      <c r="G3866" t="s">
        <v>1419</v>
      </c>
      <c r="H3866" s="89">
        <v>46274</v>
      </c>
      <c r="I3866" s="89">
        <v>46276</v>
      </c>
      <c r="J3866" t="s">
        <v>1656</v>
      </c>
      <c r="K3866" t="s">
        <v>5980</v>
      </c>
      <c r="L3866">
        <v>1</v>
      </c>
      <c r="M3866" t="s">
        <v>5981</v>
      </c>
      <c r="N3866" t="s">
        <v>5781</v>
      </c>
    </row>
    <row r="3867" spans="1:14" hidden="1" x14ac:dyDescent="0.25">
      <c r="A3867" t="s">
        <v>1317</v>
      </c>
      <c r="B3867" t="s">
        <v>1331</v>
      </c>
      <c r="C3867" t="s">
        <v>5982</v>
      </c>
      <c r="D3867" t="s">
        <v>28</v>
      </c>
      <c r="E3867" t="s">
        <v>19</v>
      </c>
      <c r="F3867">
        <v>20</v>
      </c>
      <c r="G3867" t="s">
        <v>1419</v>
      </c>
      <c r="H3867" s="89">
        <v>46274</v>
      </c>
      <c r="I3867" s="89">
        <v>46276</v>
      </c>
      <c r="J3867" t="s">
        <v>1656</v>
      </c>
      <c r="K3867" t="s">
        <v>5983</v>
      </c>
      <c r="L3867">
        <v>1</v>
      </c>
      <c r="M3867" t="s">
        <v>5984</v>
      </c>
      <c r="N3867" t="s">
        <v>5781</v>
      </c>
    </row>
    <row r="3868" spans="1:14" hidden="1" x14ac:dyDescent="0.25">
      <c r="A3868" t="s">
        <v>1318</v>
      </c>
      <c r="B3868" t="s">
        <v>1332</v>
      </c>
      <c r="C3868" t="s">
        <v>5985</v>
      </c>
      <c r="D3868" t="s">
        <v>28</v>
      </c>
      <c r="E3868" t="s">
        <v>19</v>
      </c>
      <c r="F3868">
        <v>45</v>
      </c>
      <c r="G3868" t="s">
        <v>1419</v>
      </c>
      <c r="H3868" s="89">
        <v>46274</v>
      </c>
      <c r="I3868" s="89">
        <v>46276</v>
      </c>
      <c r="J3868" t="s">
        <v>1656</v>
      </c>
      <c r="K3868" t="s">
        <v>5986</v>
      </c>
      <c r="L3868">
        <v>1</v>
      </c>
      <c r="M3868" t="s">
        <v>5987</v>
      </c>
      <c r="N3868" t="s">
        <v>5781</v>
      </c>
    </row>
    <row r="3869" spans="1:14" hidden="1" x14ac:dyDescent="0.25">
      <c r="A3869" t="s">
        <v>1313</v>
      </c>
      <c r="B3869" t="s">
        <v>1327</v>
      </c>
      <c r="C3869" t="s">
        <v>5988</v>
      </c>
      <c r="D3869" t="s">
        <v>20</v>
      </c>
      <c r="E3869" t="s">
        <v>17</v>
      </c>
      <c r="F3869">
        <v>1104</v>
      </c>
      <c r="G3869">
        <v>23</v>
      </c>
      <c r="H3869" s="89">
        <v>46274</v>
      </c>
      <c r="I3869" s="89">
        <v>46279</v>
      </c>
      <c r="J3869" t="s">
        <v>5989</v>
      </c>
      <c r="K3869" t="s">
        <v>5990</v>
      </c>
      <c r="L3869">
        <v>1</v>
      </c>
      <c r="M3869" t="s">
        <v>5991</v>
      </c>
      <c r="N3869" t="s">
        <v>5781</v>
      </c>
    </row>
    <row r="3870" spans="1:14" hidden="1" x14ac:dyDescent="0.25">
      <c r="A3870" t="s">
        <v>1319</v>
      </c>
      <c r="B3870" t="s">
        <v>1333</v>
      </c>
      <c r="C3870" t="s">
        <v>5988</v>
      </c>
      <c r="D3870" t="s">
        <v>20</v>
      </c>
      <c r="E3870" t="s">
        <v>17</v>
      </c>
      <c r="F3870">
        <v>48</v>
      </c>
      <c r="G3870">
        <v>1</v>
      </c>
      <c r="H3870" s="89">
        <v>46274</v>
      </c>
      <c r="I3870" s="89">
        <v>46279</v>
      </c>
      <c r="J3870" t="s">
        <v>5989</v>
      </c>
      <c r="K3870" t="s">
        <v>5992</v>
      </c>
      <c r="L3870">
        <v>1</v>
      </c>
      <c r="M3870" t="s">
        <v>5993</v>
      </c>
      <c r="N3870" t="s">
        <v>5781</v>
      </c>
    </row>
    <row r="3871" spans="1:14" hidden="1" x14ac:dyDescent="0.25">
      <c r="A3871" t="s">
        <v>1325</v>
      </c>
      <c r="B3871" t="s">
        <v>1339</v>
      </c>
      <c r="C3871" t="s">
        <v>5988</v>
      </c>
      <c r="D3871" t="s">
        <v>20</v>
      </c>
      <c r="E3871" t="s">
        <v>19</v>
      </c>
      <c r="F3871">
        <v>83</v>
      </c>
      <c r="G3871">
        <v>1.6875</v>
      </c>
      <c r="H3871" s="89">
        <v>46274</v>
      </c>
      <c r="I3871" s="89">
        <v>46276</v>
      </c>
      <c r="J3871" t="s">
        <v>3549</v>
      </c>
      <c r="K3871" t="s">
        <v>5994</v>
      </c>
      <c r="L3871">
        <v>1</v>
      </c>
      <c r="M3871" t="s">
        <v>5995</v>
      </c>
      <c r="N3871" t="s">
        <v>5781</v>
      </c>
    </row>
    <row r="3872" spans="1:14" hidden="1" x14ac:dyDescent="0.25">
      <c r="A3872" t="s">
        <v>5451</v>
      </c>
      <c r="B3872" t="s">
        <v>5452</v>
      </c>
      <c r="C3872" t="s">
        <v>5988</v>
      </c>
      <c r="D3872" t="s">
        <v>20</v>
      </c>
      <c r="E3872" t="s">
        <v>19</v>
      </c>
      <c r="F3872">
        <v>23</v>
      </c>
      <c r="G3872" t="s">
        <v>1419</v>
      </c>
      <c r="H3872" s="89">
        <v>46274</v>
      </c>
      <c r="I3872" s="89">
        <v>46276</v>
      </c>
      <c r="J3872" t="s">
        <v>3549</v>
      </c>
      <c r="K3872" t="s">
        <v>5996</v>
      </c>
      <c r="L3872">
        <v>1</v>
      </c>
      <c r="M3872" t="s">
        <v>5997</v>
      </c>
      <c r="N3872" t="s">
        <v>5781</v>
      </c>
    </row>
    <row r="3873" spans="1:14" hidden="1" x14ac:dyDescent="0.25">
      <c r="A3873" t="s">
        <v>1315</v>
      </c>
      <c r="B3873" t="s">
        <v>1329</v>
      </c>
      <c r="C3873" t="s">
        <v>5988</v>
      </c>
      <c r="D3873" t="s">
        <v>20</v>
      </c>
      <c r="E3873" t="s">
        <v>19</v>
      </c>
      <c r="F3873">
        <v>81</v>
      </c>
      <c r="G3873" t="s">
        <v>1419</v>
      </c>
      <c r="H3873" s="89">
        <v>46274</v>
      </c>
      <c r="I3873" s="89">
        <v>46276</v>
      </c>
      <c r="J3873" t="s">
        <v>1656</v>
      </c>
      <c r="K3873" t="s">
        <v>5998</v>
      </c>
      <c r="L3873">
        <v>1</v>
      </c>
      <c r="M3873" t="s">
        <v>5999</v>
      </c>
      <c r="N3873" t="s">
        <v>5781</v>
      </c>
    </row>
    <row r="3874" spans="1:14" hidden="1" x14ac:dyDescent="0.25">
      <c r="A3874" t="s">
        <v>1316</v>
      </c>
      <c r="B3874" t="s">
        <v>1330</v>
      </c>
      <c r="C3874" t="s">
        <v>6000</v>
      </c>
      <c r="D3874" t="s">
        <v>20</v>
      </c>
      <c r="E3874" t="s">
        <v>19</v>
      </c>
      <c r="F3874">
        <v>53</v>
      </c>
      <c r="G3874" t="s">
        <v>1419</v>
      </c>
      <c r="H3874" s="89">
        <v>46274</v>
      </c>
      <c r="I3874" s="89">
        <v>46276</v>
      </c>
      <c r="J3874" t="s">
        <v>1656</v>
      </c>
      <c r="K3874" t="s">
        <v>6001</v>
      </c>
      <c r="L3874">
        <v>1</v>
      </c>
      <c r="M3874" t="s">
        <v>6002</v>
      </c>
      <c r="N3874" t="s">
        <v>5781</v>
      </c>
    </row>
    <row r="3875" spans="1:14" hidden="1" x14ac:dyDescent="0.25">
      <c r="A3875" t="s">
        <v>1317</v>
      </c>
      <c r="B3875" t="s">
        <v>1331</v>
      </c>
      <c r="C3875" t="s">
        <v>6003</v>
      </c>
      <c r="D3875" t="s">
        <v>20</v>
      </c>
      <c r="E3875" t="s">
        <v>19</v>
      </c>
      <c r="F3875">
        <v>14</v>
      </c>
      <c r="G3875" t="s">
        <v>1419</v>
      </c>
      <c r="H3875" s="89">
        <v>46274</v>
      </c>
      <c r="I3875" s="89">
        <v>46276</v>
      </c>
      <c r="J3875" t="s">
        <v>1656</v>
      </c>
      <c r="K3875" t="s">
        <v>6004</v>
      </c>
      <c r="L3875">
        <v>1</v>
      </c>
      <c r="M3875" t="s">
        <v>6005</v>
      </c>
      <c r="N3875" t="s">
        <v>5781</v>
      </c>
    </row>
    <row r="3876" spans="1:14" hidden="1" x14ac:dyDescent="0.25">
      <c r="A3876" t="s">
        <v>1318</v>
      </c>
      <c r="B3876" t="s">
        <v>1332</v>
      </c>
      <c r="C3876" t="s">
        <v>6006</v>
      </c>
      <c r="D3876" t="s">
        <v>20</v>
      </c>
      <c r="E3876" t="s">
        <v>19</v>
      </c>
      <c r="F3876">
        <v>48</v>
      </c>
      <c r="G3876" t="s">
        <v>1419</v>
      </c>
      <c r="H3876" s="89">
        <v>46274</v>
      </c>
      <c r="I3876" s="89">
        <v>46276</v>
      </c>
      <c r="J3876" t="s">
        <v>1656</v>
      </c>
      <c r="K3876" t="s">
        <v>6007</v>
      </c>
      <c r="L3876">
        <v>1</v>
      </c>
      <c r="M3876" t="s">
        <v>6008</v>
      </c>
      <c r="N3876" t="s">
        <v>5781</v>
      </c>
    </row>
    <row r="3877" spans="1:14" hidden="1" x14ac:dyDescent="0.25">
      <c r="A3877" t="s">
        <v>1320</v>
      </c>
      <c r="B3877" t="s">
        <v>1334</v>
      </c>
      <c r="C3877" t="s">
        <v>6009</v>
      </c>
      <c r="D3877" t="s">
        <v>23</v>
      </c>
      <c r="E3877" t="s">
        <v>14</v>
      </c>
      <c r="F3877">
        <v>528</v>
      </c>
      <c r="G3877">
        <v>11</v>
      </c>
      <c r="H3877" s="89">
        <v>46275</v>
      </c>
      <c r="I3877" s="89">
        <v>46280</v>
      </c>
      <c r="J3877" t="s">
        <v>6010</v>
      </c>
      <c r="K3877" t="s">
        <v>6011</v>
      </c>
      <c r="L3877">
        <v>1</v>
      </c>
      <c r="M3877" t="s">
        <v>6012</v>
      </c>
      <c r="N3877" t="s">
        <v>5781</v>
      </c>
    </row>
    <row r="3878" spans="1:14" hidden="1" x14ac:dyDescent="0.25">
      <c r="A3878" t="s">
        <v>1320</v>
      </c>
      <c r="B3878" t="s">
        <v>1334</v>
      </c>
      <c r="C3878" t="s">
        <v>6013</v>
      </c>
      <c r="D3878" t="s">
        <v>24</v>
      </c>
      <c r="E3878" t="s">
        <v>14</v>
      </c>
      <c r="F3878">
        <v>960</v>
      </c>
      <c r="G3878">
        <v>20</v>
      </c>
      <c r="H3878" s="89">
        <v>46275</v>
      </c>
      <c r="I3878" s="89">
        <v>46280</v>
      </c>
      <c r="J3878" t="s">
        <v>6014</v>
      </c>
      <c r="K3878" t="s">
        <v>6015</v>
      </c>
      <c r="L3878">
        <v>1</v>
      </c>
      <c r="M3878" t="s">
        <v>6016</v>
      </c>
      <c r="N3878" t="s">
        <v>5781</v>
      </c>
    </row>
    <row r="3879" spans="1:14" hidden="1" x14ac:dyDescent="0.25">
      <c r="A3879" t="s">
        <v>1313</v>
      </c>
      <c r="B3879" t="s">
        <v>1327</v>
      </c>
      <c r="C3879" t="s">
        <v>6017</v>
      </c>
      <c r="D3879" t="s">
        <v>29</v>
      </c>
      <c r="E3879" t="s">
        <v>18</v>
      </c>
      <c r="F3879">
        <v>1056</v>
      </c>
      <c r="G3879">
        <v>22</v>
      </c>
      <c r="H3879" s="89">
        <v>46275</v>
      </c>
      <c r="I3879" s="89">
        <v>46279</v>
      </c>
      <c r="J3879" t="s">
        <v>5951</v>
      </c>
      <c r="K3879" t="s">
        <v>6018</v>
      </c>
      <c r="L3879">
        <v>1</v>
      </c>
      <c r="M3879" t="s">
        <v>6019</v>
      </c>
      <c r="N3879" t="s">
        <v>5781</v>
      </c>
    </row>
    <row r="3880" spans="1:14" hidden="1" x14ac:dyDescent="0.25">
      <c r="A3880" t="s">
        <v>1320</v>
      </c>
      <c r="B3880" t="s">
        <v>1334</v>
      </c>
      <c r="C3880" t="s">
        <v>6020</v>
      </c>
      <c r="D3880" t="s">
        <v>30</v>
      </c>
      <c r="E3880" t="s">
        <v>14</v>
      </c>
      <c r="F3880">
        <v>576</v>
      </c>
      <c r="G3880">
        <v>12</v>
      </c>
      <c r="H3880" s="89">
        <v>46275</v>
      </c>
      <c r="I3880" s="89">
        <v>46279</v>
      </c>
      <c r="J3880" t="s">
        <v>3549</v>
      </c>
      <c r="K3880" t="s">
        <v>6021</v>
      </c>
      <c r="L3880">
        <v>1</v>
      </c>
      <c r="M3880" t="s">
        <v>6022</v>
      </c>
      <c r="N3880" t="s">
        <v>5781</v>
      </c>
    </row>
    <row r="3881" spans="1:14" hidden="1" x14ac:dyDescent="0.25">
      <c r="A3881" t="s">
        <v>1324</v>
      </c>
      <c r="B3881" t="s">
        <v>1338</v>
      </c>
      <c r="C3881" t="s">
        <v>6023</v>
      </c>
      <c r="D3881" t="s">
        <v>21</v>
      </c>
      <c r="E3881" t="s">
        <v>25</v>
      </c>
      <c r="F3881">
        <v>192</v>
      </c>
      <c r="G3881">
        <v>4</v>
      </c>
      <c r="H3881" s="89">
        <v>46275</v>
      </c>
      <c r="I3881" s="89">
        <v>46281</v>
      </c>
      <c r="J3881" t="s">
        <v>5866</v>
      </c>
      <c r="K3881" t="s">
        <v>6024</v>
      </c>
      <c r="L3881">
        <v>1</v>
      </c>
      <c r="M3881" t="s">
        <v>6025</v>
      </c>
      <c r="N3881" t="s">
        <v>5781</v>
      </c>
    </row>
    <row r="3882" spans="1:14" hidden="1" x14ac:dyDescent="0.25">
      <c r="A3882" t="s">
        <v>1324</v>
      </c>
      <c r="B3882" t="s">
        <v>1338</v>
      </c>
      <c r="C3882" t="s">
        <v>6023</v>
      </c>
      <c r="D3882" t="s">
        <v>21</v>
      </c>
      <c r="E3882" t="s">
        <v>25</v>
      </c>
      <c r="F3882">
        <v>960</v>
      </c>
      <c r="G3882">
        <v>20</v>
      </c>
      <c r="H3882" s="89">
        <v>46275</v>
      </c>
      <c r="I3882" s="89">
        <v>46281</v>
      </c>
      <c r="J3882" t="s">
        <v>5866</v>
      </c>
      <c r="K3882" t="s">
        <v>6026</v>
      </c>
      <c r="L3882">
        <v>1</v>
      </c>
      <c r="M3882" t="s">
        <v>6027</v>
      </c>
      <c r="N3882" t="s">
        <v>5781</v>
      </c>
    </row>
    <row r="3883" spans="1:14" hidden="1" x14ac:dyDescent="0.25">
      <c r="A3883" t="s">
        <v>1313</v>
      </c>
      <c r="B3883" t="s">
        <v>1327</v>
      </c>
      <c r="C3883" t="s">
        <v>6023</v>
      </c>
      <c r="D3883" t="s">
        <v>21</v>
      </c>
      <c r="E3883" t="s">
        <v>16</v>
      </c>
      <c r="F3883">
        <v>288</v>
      </c>
      <c r="G3883">
        <v>6</v>
      </c>
      <c r="H3883" s="89">
        <v>46275</v>
      </c>
      <c r="I3883" s="89">
        <v>46279</v>
      </c>
      <c r="J3883" t="s">
        <v>3549</v>
      </c>
      <c r="K3883" t="s">
        <v>6028</v>
      </c>
      <c r="L3883">
        <v>1</v>
      </c>
      <c r="M3883" t="s">
        <v>6029</v>
      </c>
      <c r="N3883" t="s">
        <v>5781</v>
      </c>
    </row>
    <row r="3884" spans="1:14" hidden="1" x14ac:dyDescent="0.25">
      <c r="A3884" t="s">
        <v>1315</v>
      </c>
      <c r="B3884" t="s">
        <v>1329</v>
      </c>
      <c r="C3884" t="s">
        <v>6023</v>
      </c>
      <c r="D3884" t="s">
        <v>21</v>
      </c>
      <c r="E3884" t="s">
        <v>19</v>
      </c>
      <c r="F3884">
        <v>88</v>
      </c>
      <c r="G3884" t="s">
        <v>1419</v>
      </c>
      <c r="H3884" s="89">
        <v>46275</v>
      </c>
      <c r="I3884" s="89">
        <v>46277</v>
      </c>
      <c r="J3884" t="s">
        <v>3549</v>
      </c>
      <c r="K3884" t="s">
        <v>6030</v>
      </c>
      <c r="L3884">
        <v>1</v>
      </c>
      <c r="M3884" t="s">
        <v>6031</v>
      </c>
      <c r="N3884" t="s">
        <v>5781</v>
      </c>
    </row>
    <row r="3885" spans="1:14" hidden="1" x14ac:dyDescent="0.25">
      <c r="A3885" t="s">
        <v>1316</v>
      </c>
      <c r="B3885" t="s">
        <v>1330</v>
      </c>
      <c r="C3885" t="s">
        <v>6032</v>
      </c>
      <c r="D3885" t="s">
        <v>21</v>
      </c>
      <c r="E3885" t="s">
        <v>19</v>
      </c>
      <c r="F3885">
        <v>25</v>
      </c>
      <c r="G3885" t="s">
        <v>1419</v>
      </c>
      <c r="H3885" s="89">
        <v>46275</v>
      </c>
      <c r="I3885" s="89">
        <v>46277</v>
      </c>
      <c r="J3885" t="s">
        <v>3549</v>
      </c>
      <c r="K3885" t="s">
        <v>6033</v>
      </c>
      <c r="L3885">
        <v>1</v>
      </c>
      <c r="M3885" t="s">
        <v>6034</v>
      </c>
      <c r="N3885" t="s">
        <v>5781</v>
      </c>
    </row>
    <row r="3886" spans="1:14" hidden="1" x14ac:dyDescent="0.25">
      <c r="A3886" t="s">
        <v>1317</v>
      </c>
      <c r="B3886" t="s">
        <v>1331</v>
      </c>
      <c r="C3886" t="s">
        <v>6035</v>
      </c>
      <c r="D3886" t="s">
        <v>21</v>
      </c>
      <c r="E3886" t="s">
        <v>19</v>
      </c>
      <c r="F3886">
        <v>22</v>
      </c>
      <c r="G3886" t="s">
        <v>1419</v>
      </c>
      <c r="H3886" s="89">
        <v>46275</v>
      </c>
      <c r="I3886" s="89">
        <v>46277</v>
      </c>
      <c r="J3886" t="s">
        <v>3549</v>
      </c>
      <c r="K3886" t="s">
        <v>6036</v>
      </c>
      <c r="L3886">
        <v>1</v>
      </c>
      <c r="M3886" t="s">
        <v>6037</v>
      </c>
      <c r="N3886" t="s">
        <v>5781</v>
      </c>
    </row>
    <row r="3887" spans="1:14" hidden="1" x14ac:dyDescent="0.25">
      <c r="A3887" t="s">
        <v>1318</v>
      </c>
      <c r="B3887" t="s">
        <v>1332</v>
      </c>
      <c r="C3887" t="s">
        <v>6038</v>
      </c>
      <c r="D3887" t="s">
        <v>21</v>
      </c>
      <c r="E3887" t="s">
        <v>19</v>
      </c>
      <c r="F3887">
        <v>88</v>
      </c>
      <c r="G3887" t="s">
        <v>1419</v>
      </c>
      <c r="H3887" s="89">
        <v>46275</v>
      </c>
      <c r="I3887" s="89">
        <v>46277</v>
      </c>
      <c r="J3887" t="s">
        <v>3549</v>
      </c>
      <c r="K3887" t="s">
        <v>6039</v>
      </c>
      <c r="L3887">
        <v>1</v>
      </c>
      <c r="M3887" t="s">
        <v>6040</v>
      </c>
      <c r="N3887" t="s">
        <v>5781</v>
      </c>
    </row>
    <row r="3888" spans="1:14" hidden="1" x14ac:dyDescent="0.25">
      <c r="A3888" t="s">
        <v>1313</v>
      </c>
      <c r="B3888" t="s">
        <v>1327</v>
      </c>
      <c r="C3888" t="s">
        <v>6041</v>
      </c>
      <c r="D3888" t="s">
        <v>20</v>
      </c>
      <c r="E3888" t="s">
        <v>17</v>
      </c>
      <c r="F3888">
        <v>1104</v>
      </c>
      <c r="G3888">
        <v>23</v>
      </c>
      <c r="H3888" s="89">
        <v>46275</v>
      </c>
      <c r="I3888" s="89">
        <v>46280</v>
      </c>
      <c r="J3888" t="s">
        <v>6042</v>
      </c>
      <c r="K3888" t="s">
        <v>6043</v>
      </c>
      <c r="L3888">
        <v>1</v>
      </c>
      <c r="M3888" t="s">
        <v>6044</v>
      </c>
      <c r="N3888" t="s">
        <v>5781</v>
      </c>
    </row>
    <row r="3889" spans="1:14" hidden="1" x14ac:dyDescent="0.25">
      <c r="A3889" t="s">
        <v>1315</v>
      </c>
      <c r="B3889" t="s">
        <v>1329</v>
      </c>
      <c r="C3889" t="s">
        <v>6041</v>
      </c>
      <c r="D3889" t="s">
        <v>20</v>
      </c>
      <c r="E3889" t="s">
        <v>19</v>
      </c>
      <c r="F3889">
        <v>149</v>
      </c>
      <c r="G3889" t="s">
        <v>1419</v>
      </c>
      <c r="H3889" s="89">
        <v>46275</v>
      </c>
      <c r="I3889" s="89">
        <v>46277</v>
      </c>
      <c r="J3889" t="s">
        <v>3549</v>
      </c>
      <c r="K3889" t="s">
        <v>6045</v>
      </c>
      <c r="L3889">
        <v>1</v>
      </c>
      <c r="M3889" t="s">
        <v>6046</v>
      </c>
      <c r="N3889" t="s">
        <v>5781</v>
      </c>
    </row>
    <row r="3890" spans="1:14" hidden="1" x14ac:dyDescent="0.25">
      <c r="A3890" t="s">
        <v>1316</v>
      </c>
      <c r="B3890" t="s">
        <v>1330</v>
      </c>
      <c r="C3890" t="s">
        <v>6047</v>
      </c>
      <c r="D3890" t="s">
        <v>20</v>
      </c>
      <c r="E3890" t="s">
        <v>19</v>
      </c>
      <c r="F3890">
        <v>49</v>
      </c>
      <c r="G3890" t="s">
        <v>1419</v>
      </c>
      <c r="H3890" s="89">
        <v>46275</v>
      </c>
      <c r="I3890" s="89">
        <v>46277</v>
      </c>
      <c r="J3890" t="s">
        <v>3549</v>
      </c>
      <c r="K3890" t="s">
        <v>6048</v>
      </c>
      <c r="L3890">
        <v>1</v>
      </c>
      <c r="M3890" t="s">
        <v>6049</v>
      </c>
      <c r="N3890" t="s">
        <v>5781</v>
      </c>
    </row>
    <row r="3891" spans="1:14" hidden="1" x14ac:dyDescent="0.25">
      <c r="A3891" t="s">
        <v>1317</v>
      </c>
      <c r="B3891" t="s">
        <v>1331</v>
      </c>
      <c r="C3891" t="s">
        <v>6050</v>
      </c>
      <c r="D3891" t="s">
        <v>20</v>
      </c>
      <c r="E3891" t="s">
        <v>19</v>
      </c>
      <c r="F3891">
        <v>39</v>
      </c>
      <c r="G3891" t="s">
        <v>1419</v>
      </c>
      <c r="H3891" s="89">
        <v>46275</v>
      </c>
      <c r="I3891" s="89">
        <v>46277</v>
      </c>
      <c r="J3891" t="s">
        <v>3549</v>
      </c>
      <c r="K3891" t="s">
        <v>6051</v>
      </c>
      <c r="L3891">
        <v>1</v>
      </c>
      <c r="M3891" t="s">
        <v>6052</v>
      </c>
      <c r="N3891" t="s">
        <v>5781</v>
      </c>
    </row>
    <row r="3892" spans="1:14" hidden="1" x14ac:dyDescent="0.25">
      <c r="A3892" t="s">
        <v>1318</v>
      </c>
      <c r="B3892" t="s">
        <v>1332</v>
      </c>
      <c r="C3892" t="s">
        <v>6053</v>
      </c>
      <c r="D3892" t="s">
        <v>20</v>
      </c>
      <c r="E3892" t="s">
        <v>19</v>
      </c>
      <c r="F3892">
        <v>42</v>
      </c>
      <c r="G3892" t="s">
        <v>1419</v>
      </c>
      <c r="H3892" s="89">
        <v>46275</v>
      </c>
      <c r="I3892" s="89">
        <v>46277</v>
      </c>
      <c r="J3892" t="s">
        <v>3549</v>
      </c>
      <c r="K3892" t="s">
        <v>6054</v>
      </c>
      <c r="L3892">
        <v>1</v>
      </c>
      <c r="M3892" t="s">
        <v>6055</v>
      </c>
      <c r="N3892" t="s">
        <v>5781</v>
      </c>
    </row>
    <row r="3893" spans="1:14" hidden="1" x14ac:dyDescent="0.25">
      <c r="A3893" t="s">
        <v>1319</v>
      </c>
      <c r="B3893" t="s">
        <v>1333</v>
      </c>
      <c r="C3893" t="s">
        <v>6056</v>
      </c>
      <c r="D3893" t="s">
        <v>15</v>
      </c>
      <c r="E3893" t="s">
        <v>17</v>
      </c>
      <c r="F3893">
        <v>48</v>
      </c>
      <c r="G3893">
        <v>1</v>
      </c>
      <c r="H3893" s="89">
        <v>46275</v>
      </c>
      <c r="I3893" s="89">
        <v>46280</v>
      </c>
      <c r="J3893" t="s">
        <v>6042</v>
      </c>
      <c r="K3893" t="s">
        <v>6057</v>
      </c>
      <c r="L3893">
        <v>1</v>
      </c>
      <c r="M3893" t="s">
        <v>6058</v>
      </c>
      <c r="N3893" t="s">
        <v>5781</v>
      </c>
    </row>
    <row r="3894" spans="1:14" hidden="1" x14ac:dyDescent="0.25">
      <c r="A3894" t="s">
        <v>1314</v>
      </c>
      <c r="B3894" t="s">
        <v>1328</v>
      </c>
      <c r="C3894" t="s">
        <v>6056</v>
      </c>
      <c r="D3894" t="s">
        <v>15</v>
      </c>
      <c r="E3894" t="s">
        <v>16</v>
      </c>
      <c r="F3894">
        <v>144</v>
      </c>
      <c r="G3894">
        <v>3</v>
      </c>
      <c r="H3894" s="89">
        <v>46275</v>
      </c>
      <c r="I3894" s="89">
        <v>46279</v>
      </c>
      <c r="J3894" t="s">
        <v>5957</v>
      </c>
      <c r="K3894" t="s">
        <v>6059</v>
      </c>
      <c r="L3894">
        <v>1</v>
      </c>
      <c r="M3894" t="s">
        <v>6060</v>
      </c>
      <c r="N3894" t="s">
        <v>5781</v>
      </c>
    </row>
    <row r="3895" spans="1:14" hidden="1" x14ac:dyDescent="0.25">
      <c r="A3895" t="s">
        <v>1319</v>
      </c>
      <c r="B3895" t="s">
        <v>1333</v>
      </c>
      <c r="C3895" t="s">
        <v>6056</v>
      </c>
      <c r="D3895" t="s">
        <v>15</v>
      </c>
      <c r="E3895" t="s">
        <v>31</v>
      </c>
      <c r="F3895">
        <v>5</v>
      </c>
      <c r="G3895">
        <v>0.10416666666666669</v>
      </c>
      <c r="H3895" s="89">
        <v>46275</v>
      </c>
      <c r="I3895" s="89">
        <v>46279</v>
      </c>
      <c r="J3895" t="s">
        <v>6061</v>
      </c>
      <c r="K3895" t="s">
        <v>6062</v>
      </c>
      <c r="L3895">
        <v>1</v>
      </c>
      <c r="M3895" t="s">
        <v>6063</v>
      </c>
      <c r="N3895" t="s">
        <v>5781</v>
      </c>
    </row>
    <row r="3896" spans="1:14" hidden="1" x14ac:dyDescent="0.25">
      <c r="A3896" t="s">
        <v>1324</v>
      </c>
      <c r="B3896" t="s">
        <v>1338</v>
      </c>
      <c r="C3896" t="s">
        <v>6056</v>
      </c>
      <c r="D3896" t="s">
        <v>15</v>
      </c>
      <c r="E3896" t="s">
        <v>25</v>
      </c>
      <c r="F3896">
        <v>480</v>
      </c>
      <c r="G3896">
        <v>10</v>
      </c>
      <c r="H3896" s="89">
        <v>46275</v>
      </c>
      <c r="I3896" s="89">
        <v>46283</v>
      </c>
      <c r="J3896" t="s">
        <v>6064</v>
      </c>
      <c r="K3896" t="s">
        <v>6065</v>
      </c>
      <c r="L3896">
        <v>1</v>
      </c>
      <c r="M3896" t="s">
        <v>6066</v>
      </c>
      <c r="N3896" t="s">
        <v>5781</v>
      </c>
    </row>
    <row r="3897" spans="1:14" hidden="1" x14ac:dyDescent="0.25">
      <c r="A3897" t="s">
        <v>1313</v>
      </c>
      <c r="B3897" t="s">
        <v>1327</v>
      </c>
      <c r="C3897" t="s">
        <v>6056</v>
      </c>
      <c r="D3897" t="s">
        <v>15</v>
      </c>
      <c r="E3897" t="s">
        <v>31</v>
      </c>
      <c r="F3897">
        <v>571</v>
      </c>
      <c r="G3897">
        <v>11.895833333333334</v>
      </c>
      <c r="H3897" s="89">
        <v>46275</v>
      </c>
      <c r="I3897" s="89">
        <v>46279</v>
      </c>
      <c r="J3897" t="s">
        <v>6061</v>
      </c>
      <c r="K3897" t="s">
        <v>6067</v>
      </c>
      <c r="L3897">
        <v>1</v>
      </c>
      <c r="M3897" t="s">
        <v>6068</v>
      </c>
      <c r="N3897" t="s">
        <v>5781</v>
      </c>
    </row>
    <row r="3898" spans="1:14" hidden="1" x14ac:dyDescent="0.25">
      <c r="A3898" t="s">
        <v>1314</v>
      </c>
      <c r="B3898" t="s">
        <v>1328</v>
      </c>
      <c r="C3898" t="s">
        <v>6056</v>
      </c>
      <c r="D3898" t="s">
        <v>15</v>
      </c>
      <c r="E3898" t="s">
        <v>31</v>
      </c>
      <c r="F3898">
        <v>96</v>
      </c>
      <c r="G3898">
        <v>2</v>
      </c>
      <c r="H3898" s="89">
        <v>46275</v>
      </c>
      <c r="I3898" s="89">
        <v>46279</v>
      </c>
      <c r="J3898" t="s">
        <v>6069</v>
      </c>
      <c r="K3898" t="s">
        <v>6070</v>
      </c>
      <c r="L3898">
        <v>1</v>
      </c>
      <c r="M3898" t="s">
        <v>6071</v>
      </c>
      <c r="N3898" t="s">
        <v>5781</v>
      </c>
    </row>
    <row r="3899" spans="1:14" hidden="1" x14ac:dyDescent="0.25">
      <c r="A3899" t="s">
        <v>1313</v>
      </c>
      <c r="B3899" t="s">
        <v>1327</v>
      </c>
      <c r="C3899" t="s">
        <v>6056</v>
      </c>
      <c r="D3899" t="s">
        <v>15</v>
      </c>
      <c r="E3899" t="s">
        <v>22</v>
      </c>
      <c r="F3899">
        <v>48</v>
      </c>
      <c r="G3899">
        <v>1</v>
      </c>
      <c r="H3899" s="89">
        <v>46275</v>
      </c>
      <c r="I3899" s="89">
        <v>46279</v>
      </c>
      <c r="J3899" t="s">
        <v>5954</v>
      </c>
      <c r="K3899" t="s">
        <v>6072</v>
      </c>
      <c r="L3899">
        <v>1</v>
      </c>
      <c r="M3899" t="s">
        <v>6073</v>
      </c>
      <c r="N3899" t="s">
        <v>5781</v>
      </c>
    </row>
    <row r="3900" spans="1:14" hidden="1" x14ac:dyDescent="0.25">
      <c r="A3900" t="s">
        <v>1313</v>
      </c>
      <c r="B3900" t="s">
        <v>1327</v>
      </c>
      <c r="C3900" t="s">
        <v>6056</v>
      </c>
      <c r="D3900" t="s">
        <v>15</v>
      </c>
      <c r="E3900" t="s">
        <v>22</v>
      </c>
      <c r="F3900">
        <v>96</v>
      </c>
      <c r="G3900">
        <v>2</v>
      </c>
      <c r="H3900" s="89">
        <v>46275</v>
      </c>
      <c r="I3900" s="89">
        <v>46281</v>
      </c>
      <c r="J3900" t="s">
        <v>6074</v>
      </c>
      <c r="K3900" t="s">
        <v>6075</v>
      </c>
      <c r="L3900">
        <v>1</v>
      </c>
      <c r="M3900" t="s">
        <v>6076</v>
      </c>
      <c r="N3900" t="s">
        <v>5781</v>
      </c>
    </row>
    <row r="3901" spans="1:14" hidden="1" x14ac:dyDescent="0.25">
      <c r="A3901" t="s">
        <v>1315</v>
      </c>
      <c r="B3901" t="s">
        <v>1329</v>
      </c>
      <c r="C3901" t="s">
        <v>6056</v>
      </c>
      <c r="D3901" t="s">
        <v>15</v>
      </c>
      <c r="E3901" t="s">
        <v>19</v>
      </c>
      <c r="F3901">
        <v>13</v>
      </c>
      <c r="G3901" t="s">
        <v>1419</v>
      </c>
      <c r="H3901" s="89">
        <v>46275</v>
      </c>
      <c r="I3901" s="89">
        <v>46277</v>
      </c>
      <c r="J3901" t="s">
        <v>3549</v>
      </c>
      <c r="K3901" t="s">
        <v>6077</v>
      </c>
      <c r="L3901">
        <v>1</v>
      </c>
      <c r="M3901" t="s">
        <v>6078</v>
      </c>
      <c r="N3901" t="s">
        <v>5781</v>
      </c>
    </row>
    <row r="3902" spans="1:14" hidden="1" x14ac:dyDescent="0.25">
      <c r="A3902" t="s">
        <v>1316</v>
      </c>
      <c r="B3902" t="s">
        <v>1330</v>
      </c>
      <c r="C3902" t="s">
        <v>6079</v>
      </c>
      <c r="D3902" t="s">
        <v>15</v>
      </c>
      <c r="E3902" t="s">
        <v>19</v>
      </c>
      <c r="F3902">
        <v>52</v>
      </c>
      <c r="G3902" t="s">
        <v>1419</v>
      </c>
      <c r="H3902" s="89">
        <v>46275</v>
      </c>
      <c r="I3902" s="89">
        <v>46277</v>
      </c>
      <c r="J3902" t="s">
        <v>3549</v>
      </c>
      <c r="K3902" t="s">
        <v>6080</v>
      </c>
      <c r="L3902">
        <v>1</v>
      </c>
      <c r="M3902" t="s">
        <v>6081</v>
      </c>
      <c r="N3902" t="s">
        <v>5781</v>
      </c>
    </row>
    <row r="3903" spans="1:14" hidden="1" x14ac:dyDescent="0.25">
      <c r="A3903" t="s">
        <v>1317</v>
      </c>
      <c r="B3903" t="s">
        <v>1331</v>
      </c>
      <c r="C3903" t="s">
        <v>6082</v>
      </c>
      <c r="D3903" t="s">
        <v>15</v>
      </c>
      <c r="E3903" t="s">
        <v>19</v>
      </c>
      <c r="F3903">
        <v>62</v>
      </c>
      <c r="G3903" t="s">
        <v>1419</v>
      </c>
      <c r="H3903" s="89">
        <v>46275</v>
      </c>
      <c r="I3903" s="89">
        <v>46277</v>
      </c>
      <c r="J3903" t="s">
        <v>3549</v>
      </c>
      <c r="K3903" t="s">
        <v>6083</v>
      </c>
      <c r="L3903">
        <v>1</v>
      </c>
      <c r="M3903" t="s">
        <v>6084</v>
      </c>
      <c r="N3903" t="s">
        <v>5781</v>
      </c>
    </row>
    <row r="3904" spans="1:14" hidden="1" x14ac:dyDescent="0.25">
      <c r="A3904" t="s">
        <v>1318</v>
      </c>
      <c r="B3904" t="s">
        <v>1332</v>
      </c>
      <c r="C3904" t="s">
        <v>6085</v>
      </c>
      <c r="D3904" t="s">
        <v>15</v>
      </c>
      <c r="E3904" t="s">
        <v>19</v>
      </c>
      <c r="F3904">
        <v>26</v>
      </c>
      <c r="G3904" t="s">
        <v>1419</v>
      </c>
      <c r="H3904" s="89">
        <v>46275</v>
      </c>
      <c r="I3904" s="89">
        <v>46277</v>
      </c>
      <c r="J3904" t="s">
        <v>3549</v>
      </c>
      <c r="K3904" t="s">
        <v>6086</v>
      </c>
      <c r="L3904">
        <v>1</v>
      </c>
      <c r="M3904" t="s">
        <v>6087</v>
      </c>
      <c r="N3904" t="s">
        <v>5781</v>
      </c>
    </row>
    <row r="3905" spans="1:14" hidden="1" x14ac:dyDescent="0.25">
      <c r="A3905" t="s">
        <v>1320</v>
      </c>
      <c r="B3905" t="s">
        <v>1334</v>
      </c>
      <c r="C3905" t="s">
        <v>6088</v>
      </c>
      <c r="D3905" t="s">
        <v>23</v>
      </c>
      <c r="E3905" t="s">
        <v>14</v>
      </c>
      <c r="F3905">
        <v>432</v>
      </c>
      <c r="G3905">
        <v>9</v>
      </c>
      <c r="H3905" s="89">
        <v>46276</v>
      </c>
      <c r="I3905" s="89">
        <v>46280</v>
      </c>
      <c r="J3905" t="s">
        <v>6010</v>
      </c>
      <c r="K3905" t="s">
        <v>6089</v>
      </c>
      <c r="L3905">
        <v>1</v>
      </c>
      <c r="M3905" t="s">
        <v>6090</v>
      </c>
      <c r="N3905" t="s">
        <v>5781</v>
      </c>
    </row>
    <row r="3906" spans="1:14" hidden="1" x14ac:dyDescent="0.25">
      <c r="A3906" t="s">
        <v>1320</v>
      </c>
      <c r="B3906" t="s">
        <v>1334</v>
      </c>
      <c r="C3906" t="s">
        <v>6091</v>
      </c>
      <c r="D3906" t="s">
        <v>30</v>
      </c>
      <c r="E3906" t="s">
        <v>14</v>
      </c>
      <c r="F3906">
        <v>384</v>
      </c>
      <c r="G3906">
        <v>8</v>
      </c>
      <c r="H3906" s="89">
        <v>46276</v>
      </c>
      <c r="I3906" s="89">
        <v>46279</v>
      </c>
      <c r="J3906" t="s">
        <v>3549</v>
      </c>
      <c r="K3906" t="s">
        <v>6092</v>
      </c>
      <c r="L3906">
        <v>1</v>
      </c>
      <c r="M3906" t="s">
        <v>6093</v>
      </c>
      <c r="N3906" t="s">
        <v>5781</v>
      </c>
    </row>
    <row r="3907" spans="1:14" hidden="1" x14ac:dyDescent="0.25">
      <c r="A3907" t="s">
        <v>1326</v>
      </c>
      <c r="B3907" t="s">
        <v>1340</v>
      </c>
      <c r="C3907" t="s">
        <v>6094</v>
      </c>
      <c r="D3907" t="s">
        <v>32</v>
      </c>
      <c r="E3907" t="s">
        <v>14</v>
      </c>
      <c r="F3907">
        <v>882</v>
      </c>
      <c r="G3907">
        <v>18.375</v>
      </c>
      <c r="H3907" s="89">
        <v>46276</v>
      </c>
      <c r="I3907" s="89">
        <v>46280</v>
      </c>
      <c r="J3907" t="s">
        <v>6095</v>
      </c>
      <c r="K3907" t="s">
        <v>6096</v>
      </c>
      <c r="L3907">
        <v>1</v>
      </c>
      <c r="M3907" t="s">
        <v>6097</v>
      </c>
      <c r="N3907" t="s">
        <v>5781</v>
      </c>
    </row>
    <row r="3908" spans="1:14" hidden="1" x14ac:dyDescent="0.25">
      <c r="A3908" t="s">
        <v>1320</v>
      </c>
      <c r="B3908" t="s">
        <v>1334</v>
      </c>
      <c r="C3908" t="s">
        <v>6098</v>
      </c>
      <c r="D3908" t="s">
        <v>104</v>
      </c>
      <c r="E3908" t="s">
        <v>14</v>
      </c>
      <c r="F3908">
        <v>960</v>
      </c>
      <c r="G3908">
        <v>20</v>
      </c>
      <c r="H3908" s="89">
        <v>46276</v>
      </c>
      <c r="I3908" s="89">
        <v>46281</v>
      </c>
      <c r="J3908" t="s">
        <v>6099</v>
      </c>
      <c r="K3908" t="s">
        <v>6100</v>
      </c>
      <c r="L3908">
        <v>1</v>
      </c>
      <c r="M3908" t="s">
        <v>6101</v>
      </c>
      <c r="N3908" t="s">
        <v>5781</v>
      </c>
    </row>
    <row r="3909" spans="1:14" hidden="1" x14ac:dyDescent="0.25">
      <c r="A3909" t="s">
        <v>1313</v>
      </c>
      <c r="B3909" t="s">
        <v>1327</v>
      </c>
      <c r="C3909" t="s">
        <v>6102</v>
      </c>
      <c r="D3909" t="s">
        <v>21</v>
      </c>
      <c r="E3909" t="s">
        <v>22</v>
      </c>
      <c r="F3909">
        <v>720</v>
      </c>
      <c r="G3909">
        <v>15</v>
      </c>
      <c r="H3909" s="89">
        <v>46276</v>
      </c>
      <c r="I3909" s="89">
        <v>46281</v>
      </c>
      <c r="J3909" t="s">
        <v>6074</v>
      </c>
      <c r="K3909" t="s">
        <v>6103</v>
      </c>
      <c r="L3909">
        <v>1</v>
      </c>
      <c r="M3909" t="s">
        <v>6104</v>
      </c>
      <c r="N3909" t="s">
        <v>5781</v>
      </c>
    </row>
    <row r="3910" spans="1:14" hidden="1" x14ac:dyDescent="0.25">
      <c r="A3910" t="s">
        <v>1324</v>
      </c>
      <c r="B3910" t="s">
        <v>1338</v>
      </c>
      <c r="C3910" t="s">
        <v>6102</v>
      </c>
      <c r="D3910" t="s">
        <v>21</v>
      </c>
      <c r="E3910" t="s">
        <v>25</v>
      </c>
      <c r="F3910">
        <v>480</v>
      </c>
      <c r="G3910">
        <v>10</v>
      </c>
      <c r="H3910" s="89">
        <v>46276</v>
      </c>
      <c r="I3910" s="89">
        <v>46283</v>
      </c>
      <c r="J3910" t="s">
        <v>6064</v>
      </c>
      <c r="K3910" t="s">
        <v>6105</v>
      </c>
      <c r="L3910">
        <v>1</v>
      </c>
      <c r="M3910" t="s">
        <v>6106</v>
      </c>
      <c r="N3910" t="s">
        <v>5781</v>
      </c>
    </row>
    <row r="3911" spans="1:14" hidden="1" x14ac:dyDescent="0.25">
      <c r="A3911" t="s">
        <v>1313</v>
      </c>
      <c r="B3911" t="s">
        <v>1327</v>
      </c>
      <c r="C3911" t="s">
        <v>6102</v>
      </c>
      <c r="D3911" t="s">
        <v>21</v>
      </c>
      <c r="E3911" t="s">
        <v>16</v>
      </c>
      <c r="F3911">
        <v>192</v>
      </c>
      <c r="G3911">
        <v>4</v>
      </c>
      <c r="H3911" s="89">
        <v>46276</v>
      </c>
      <c r="I3911" s="89">
        <v>46279</v>
      </c>
      <c r="J3911" t="s">
        <v>3549</v>
      </c>
      <c r="K3911" t="s">
        <v>6107</v>
      </c>
      <c r="L3911">
        <v>1</v>
      </c>
      <c r="M3911" t="s">
        <v>6108</v>
      </c>
      <c r="N3911" t="s">
        <v>5781</v>
      </c>
    </row>
    <row r="3912" spans="1:14" hidden="1" x14ac:dyDescent="0.25">
      <c r="A3912" t="s">
        <v>1313</v>
      </c>
      <c r="B3912" t="s">
        <v>1327</v>
      </c>
      <c r="C3912" t="s">
        <v>6102</v>
      </c>
      <c r="D3912" t="s">
        <v>21</v>
      </c>
      <c r="E3912" t="s">
        <v>19</v>
      </c>
      <c r="F3912">
        <v>384</v>
      </c>
      <c r="G3912">
        <v>8</v>
      </c>
      <c r="H3912" s="89">
        <v>46276</v>
      </c>
      <c r="I3912" s="89">
        <v>46283</v>
      </c>
      <c r="J3912" t="s">
        <v>1656</v>
      </c>
      <c r="K3912" t="s">
        <v>6109</v>
      </c>
      <c r="L3912">
        <v>1</v>
      </c>
      <c r="M3912" t="s">
        <v>6110</v>
      </c>
      <c r="N3912" t="s">
        <v>5781</v>
      </c>
    </row>
    <row r="3913" spans="1:14" hidden="1" x14ac:dyDescent="0.25">
      <c r="A3913" t="s">
        <v>1313</v>
      </c>
      <c r="B3913" t="s">
        <v>1327</v>
      </c>
      <c r="C3913" t="s">
        <v>6102</v>
      </c>
      <c r="D3913" t="s">
        <v>21</v>
      </c>
      <c r="E3913" t="s">
        <v>19</v>
      </c>
      <c r="F3913">
        <v>192</v>
      </c>
      <c r="G3913">
        <v>4</v>
      </c>
      <c r="H3913" s="89">
        <v>46276</v>
      </c>
      <c r="I3913" s="89">
        <v>46283</v>
      </c>
      <c r="J3913" t="s">
        <v>3549</v>
      </c>
      <c r="K3913" t="s">
        <v>6109</v>
      </c>
      <c r="L3913">
        <v>2</v>
      </c>
      <c r="M3913" t="s">
        <v>6111</v>
      </c>
      <c r="N3913" t="s">
        <v>5781</v>
      </c>
    </row>
    <row r="3914" spans="1:14" hidden="1" x14ac:dyDescent="0.25">
      <c r="A3914" t="s">
        <v>1315</v>
      </c>
      <c r="B3914" t="s">
        <v>1329</v>
      </c>
      <c r="C3914" t="s">
        <v>6102</v>
      </c>
      <c r="D3914" t="s">
        <v>21</v>
      </c>
      <c r="E3914" t="s">
        <v>19</v>
      </c>
      <c r="F3914">
        <v>38</v>
      </c>
      <c r="G3914" t="s">
        <v>1419</v>
      </c>
      <c r="H3914" s="89">
        <v>46276</v>
      </c>
      <c r="I3914" s="89">
        <v>46278</v>
      </c>
      <c r="J3914" t="s">
        <v>3549</v>
      </c>
      <c r="K3914" t="s">
        <v>6112</v>
      </c>
      <c r="L3914">
        <v>1</v>
      </c>
      <c r="M3914" t="s">
        <v>6113</v>
      </c>
      <c r="N3914" t="s">
        <v>5781</v>
      </c>
    </row>
    <row r="3915" spans="1:14" hidden="1" x14ac:dyDescent="0.25">
      <c r="A3915" t="s">
        <v>1316</v>
      </c>
      <c r="B3915" t="s">
        <v>1330</v>
      </c>
      <c r="C3915" t="s">
        <v>6114</v>
      </c>
      <c r="D3915" t="s">
        <v>21</v>
      </c>
      <c r="E3915" t="s">
        <v>19</v>
      </c>
      <c r="F3915">
        <v>56</v>
      </c>
      <c r="G3915" t="s">
        <v>1419</v>
      </c>
      <c r="H3915" s="89">
        <v>46276</v>
      </c>
      <c r="I3915" s="89">
        <v>46278</v>
      </c>
      <c r="J3915" t="s">
        <v>3549</v>
      </c>
      <c r="K3915" t="s">
        <v>6115</v>
      </c>
      <c r="L3915">
        <v>1</v>
      </c>
      <c r="M3915" t="s">
        <v>6116</v>
      </c>
      <c r="N3915" t="s">
        <v>5781</v>
      </c>
    </row>
    <row r="3916" spans="1:14" hidden="1" x14ac:dyDescent="0.25">
      <c r="A3916" t="s">
        <v>1317</v>
      </c>
      <c r="B3916" t="s">
        <v>1331</v>
      </c>
      <c r="C3916" t="s">
        <v>6117</v>
      </c>
      <c r="D3916" t="s">
        <v>21</v>
      </c>
      <c r="E3916" t="s">
        <v>19</v>
      </c>
      <c r="F3916">
        <v>33</v>
      </c>
      <c r="G3916" t="s">
        <v>1419</v>
      </c>
      <c r="H3916" s="89">
        <v>46276</v>
      </c>
      <c r="I3916" s="89">
        <v>46278</v>
      </c>
      <c r="J3916" t="s">
        <v>3549</v>
      </c>
      <c r="K3916" t="s">
        <v>6118</v>
      </c>
      <c r="L3916">
        <v>1</v>
      </c>
      <c r="M3916" t="s">
        <v>6119</v>
      </c>
      <c r="N3916" t="s">
        <v>5781</v>
      </c>
    </row>
    <row r="3917" spans="1:14" hidden="1" x14ac:dyDescent="0.25">
      <c r="A3917" t="s">
        <v>1318</v>
      </c>
      <c r="B3917" t="s">
        <v>1332</v>
      </c>
      <c r="C3917" t="s">
        <v>6120</v>
      </c>
      <c r="D3917" t="s">
        <v>21</v>
      </c>
      <c r="E3917" t="s">
        <v>19</v>
      </c>
      <c r="F3917">
        <v>84</v>
      </c>
      <c r="G3917" t="s">
        <v>1419</v>
      </c>
      <c r="H3917" s="89">
        <v>46276</v>
      </c>
      <c r="I3917" s="89">
        <v>46278</v>
      </c>
      <c r="J3917" t="s">
        <v>3549</v>
      </c>
      <c r="K3917" t="s">
        <v>6121</v>
      </c>
      <c r="L3917">
        <v>1</v>
      </c>
      <c r="M3917" t="s">
        <v>6122</v>
      </c>
      <c r="N3917" t="s">
        <v>5781</v>
      </c>
    </row>
    <row r="3918" spans="1:14" hidden="1" x14ac:dyDescent="0.25">
      <c r="A3918" t="s">
        <v>1313</v>
      </c>
      <c r="B3918" t="s">
        <v>1327</v>
      </c>
      <c r="C3918" t="s">
        <v>6123</v>
      </c>
      <c r="D3918" t="s">
        <v>20</v>
      </c>
      <c r="E3918" t="s">
        <v>22</v>
      </c>
      <c r="F3918">
        <v>192</v>
      </c>
      <c r="G3918">
        <v>4</v>
      </c>
      <c r="H3918" s="89">
        <v>46276</v>
      </c>
      <c r="I3918" s="89">
        <v>46281</v>
      </c>
      <c r="J3918" t="s">
        <v>6074</v>
      </c>
      <c r="K3918" t="s">
        <v>6124</v>
      </c>
      <c r="L3918">
        <v>1</v>
      </c>
      <c r="M3918" t="s">
        <v>6125</v>
      </c>
      <c r="N3918" t="s">
        <v>5781</v>
      </c>
    </row>
    <row r="3919" spans="1:14" hidden="1" x14ac:dyDescent="0.25">
      <c r="A3919" t="s">
        <v>1313</v>
      </c>
      <c r="B3919" t="s">
        <v>1327</v>
      </c>
      <c r="C3919" t="s">
        <v>6123</v>
      </c>
      <c r="D3919" t="s">
        <v>20</v>
      </c>
      <c r="E3919" t="s">
        <v>17</v>
      </c>
      <c r="F3919">
        <v>1152</v>
      </c>
      <c r="G3919">
        <v>24</v>
      </c>
      <c r="H3919" s="89">
        <v>46276</v>
      </c>
      <c r="I3919" s="89">
        <v>46281</v>
      </c>
      <c r="J3919" t="s">
        <v>6126</v>
      </c>
      <c r="K3919" t="s">
        <v>6127</v>
      </c>
      <c r="L3919">
        <v>1</v>
      </c>
      <c r="M3919" t="s">
        <v>6128</v>
      </c>
      <c r="N3919" t="s">
        <v>5781</v>
      </c>
    </row>
    <row r="3920" spans="1:14" hidden="1" x14ac:dyDescent="0.25">
      <c r="A3920" t="s">
        <v>1315</v>
      </c>
      <c r="B3920" t="s">
        <v>1329</v>
      </c>
      <c r="C3920" t="s">
        <v>6123</v>
      </c>
      <c r="D3920" t="s">
        <v>20</v>
      </c>
      <c r="E3920" t="s">
        <v>19</v>
      </c>
      <c r="F3920">
        <v>46</v>
      </c>
      <c r="G3920" t="s">
        <v>1419</v>
      </c>
      <c r="H3920" s="89">
        <v>46276</v>
      </c>
      <c r="I3920" s="89">
        <v>46278</v>
      </c>
      <c r="J3920" t="s">
        <v>3549</v>
      </c>
      <c r="K3920" t="s">
        <v>6129</v>
      </c>
      <c r="L3920">
        <v>1</v>
      </c>
      <c r="M3920" t="s">
        <v>6130</v>
      </c>
      <c r="N3920" t="s">
        <v>5781</v>
      </c>
    </row>
    <row r="3921" spans="1:14" hidden="1" x14ac:dyDescent="0.25">
      <c r="A3921" t="s">
        <v>1316</v>
      </c>
      <c r="B3921" t="s">
        <v>1330</v>
      </c>
      <c r="C3921" t="s">
        <v>6131</v>
      </c>
      <c r="D3921" t="s">
        <v>20</v>
      </c>
      <c r="E3921" t="s">
        <v>19</v>
      </c>
      <c r="F3921">
        <v>55</v>
      </c>
      <c r="G3921" t="s">
        <v>1419</v>
      </c>
      <c r="H3921" s="89">
        <v>46276</v>
      </c>
      <c r="I3921" s="89">
        <v>46278</v>
      </c>
      <c r="J3921" t="s">
        <v>3549</v>
      </c>
      <c r="K3921" t="s">
        <v>6132</v>
      </c>
      <c r="L3921">
        <v>1</v>
      </c>
      <c r="M3921" t="s">
        <v>6133</v>
      </c>
      <c r="N3921" t="s">
        <v>5781</v>
      </c>
    </row>
    <row r="3922" spans="1:14" hidden="1" x14ac:dyDescent="0.25">
      <c r="A3922" t="s">
        <v>1317</v>
      </c>
      <c r="B3922" t="s">
        <v>1331</v>
      </c>
      <c r="C3922" t="s">
        <v>6134</v>
      </c>
      <c r="D3922" t="s">
        <v>20</v>
      </c>
      <c r="E3922" t="s">
        <v>19</v>
      </c>
      <c r="F3922">
        <v>14</v>
      </c>
      <c r="G3922" t="s">
        <v>1419</v>
      </c>
      <c r="H3922" s="89">
        <v>46276</v>
      </c>
      <c r="I3922" s="89">
        <v>46278</v>
      </c>
      <c r="J3922" t="s">
        <v>3549</v>
      </c>
      <c r="K3922" t="s">
        <v>6135</v>
      </c>
      <c r="L3922">
        <v>1</v>
      </c>
      <c r="M3922" t="s">
        <v>6136</v>
      </c>
      <c r="N3922" t="s">
        <v>5781</v>
      </c>
    </row>
    <row r="3923" spans="1:14" hidden="1" x14ac:dyDescent="0.25">
      <c r="A3923" t="s">
        <v>1318</v>
      </c>
      <c r="B3923" t="s">
        <v>1332</v>
      </c>
      <c r="C3923" t="s">
        <v>6137</v>
      </c>
      <c r="D3923" t="s">
        <v>20</v>
      </c>
      <c r="E3923" t="s">
        <v>19</v>
      </c>
      <c r="F3923">
        <v>54</v>
      </c>
      <c r="G3923" t="s">
        <v>1419</v>
      </c>
      <c r="H3923" s="89">
        <v>46276</v>
      </c>
      <c r="I3923" s="89">
        <v>46278</v>
      </c>
      <c r="J3923" t="s">
        <v>3549</v>
      </c>
      <c r="K3923" t="s">
        <v>6138</v>
      </c>
      <c r="L3923">
        <v>1</v>
      </c>
      <c r="M3923" t="s">
        <v>6139</v>
      </c>
      <c r="N3923" t="s">
        <v>5781</v>
      </c>
    </row>
    <row r="3924" spans="1:14" hidden="1" x14ac:dyDescent="0.25">
      <c r="A3924" t="s">
        <v>1313</v>
      </c>
      <c r="B3924" t="s">
        <v>1327</v>
      </c>
      <c r="C3924" t="s">
        <v>6140</v>
      </c>
      <c r="D3924" t="s">
        <v>15</v>
      </c>
      <c r="E3924" t="s">
        <v>22</v>
      </c>
      <c r="F3924">
        <v>144</v>
      </c>
      <c r="G3924">
        <v>3</v>
      </c>
      <c r="H3924" s="89">
        <v>46276</v>
      </c>
      <c r="I3924" s="89">
        <v>46281</v>
      </c>
      <c r="J3924" t="s">
        <v>6074</v>
      </c>
      <c r="K3924" t="s">
        <v>6141</v>
      </c>
      <c r="L3924">
        <v>1</v>
      </c>
      <c r="M3924" t="s">
        <v>6142</v>
      </c>
      <c r="N3924" t="s">
        <v>5781</v>
      </c>
    </row>
    <row r="3925" spans="1:14" hidden="1" x14ac:dyDescent="0.25">
      <c r="A3925" t="s">
        <v>1313</v>
      </c>
      <c r="B3925" t="s">
        <v>1327</v>
      </c>
      <c r="C3925" t="s">
        <v>6140</v>
      </c>
      <c r="D3925" t="s">
        <v>15</v>
      </c>
      <c r="E3925" t="s">
        <v>18</v>
      </c>
      <c r="F3925">
        <v>1056</v>
      </c>
      <c r="G3925">
        <v>22</v>
      </c>
      <c r="H3925" s="89">
        <v>46276</v>
      </c>
      <c r="I3925" s="89">
        <v>46281</v>
      </c>
      <c r="J3925" t="s">
        <v>6143</v>
      </c>
      <c r="K3925" t="s">
        <v>6144</v>
      </c>
      <c r="L3925">
        <v>1</v>
      </c>
      <c r="M3925" t="s">
        <v>6145</v>
      </c>
      <c r="N3925" t="s">
        <v>5781</v>
      </c>
    </row>
    <row r="3926" spans="1:14" hidden="1" x14ac:dyDescent="0.25">
      <c r="A3926" t="s">
        <v>1314</v>
      </c>
      <c r="B3926" t="s">
        <v>1328</v>
      </c>
      <c r="C3926" t="s">
        <v>6140</v>
      </c>
      <c r="D3926" t="s">
        <v>15</v>
      </c>
      <c r="E3926" t="s">
        <v>18</v>
      </c>
      <c r="F3926">
        <v>96</v>
      </c>
      <c r="G3926">
        <v>2</v>
      </c>
      <c r="H3926" s="89">
        <v>46276</v>
      </c>
      <c r="I3926" s="89">
        <v>46281</v>
      </c>
      <c r="J3926" t="s">
        <v>6143</v>
      </c>
      <c r="K3926" t="s">
        <v>6146</v>
      </c>
      <c r="L3926">
        <v>1</v>
      </c>
      <c r="M3926" t="s">
        <v>6147</v>
      </c>
      <c r="N3926" t="s">
        <v>5781</v>
      </c>
    </row>
    <row r="3927" spans="1:14" hidden="1" x14ac:dyDescent="0.25">
      <c r="A3927" t="s">
        <v>1313</v>
      </c>
      <c r="B3927" t="s">
        <v>1327</v>
      </c>
      <c r="C3927" t="s">
        <v>6140</v>
      </c>
      <c r="D3927" t="s">
        <v>15</v>
      </c>
      <c r="E3927" t="s">
        <v>18</v>
      </c>
      <c r="F3927">
        <v>144</v>
      </c>
      <c r="G3927">
        <v>3</v>
      </c>
      <c r="H3927" s="89">
        <v>46276</v>
      </c>
      <c r="I3927" s="89">
        <v>46283</v>
      </c>
      <c r="J3927" t="s">
        <v>3549</v>
      </c>
      <c r="K3927" t="s">
        <v>6148</v>
      </c>
      <c r="L3927">
        <v>1</v>
      </c>
      <c r="M3927" t="s">
        <v>6149</v>
      </c>
      <c r="N3927" t="s">
        <v>5781</v>
      </c>
    </row>
    <row r="3928" spans="1:14" hidden="1" x14ac:dyDescent="0.25">
      <c r="A3928" t="s">
        <v>1315</v>
      </c>
      <c r="B3928" t="s">
        <v>1329</v>
      </c>
      <c r="C3928" t="s">
        <v>6140</v>
      </c>
      <c r="D3928" t="s">
        <v>15</v>
      </c>
      <c r="E3928" t="s">
        <v>19</v>
      </c>
      <c r="F3928">
        <v>8</v>
      </c>
      <c r="G3928" t="s">
        <v>1419</v>
      </c>
      <c r="H3928" s="89">
        <v>46276</v>
      </c>
      <c r="I3928" s="89">
        <v>46278</v>
      </c>
      <c r="J3928" t="s">
        <v>3549</v>
      </c>
      <c r="K3928" t="s">
        <v>6150</v>
      </c>
      <c r="L3928">
        <v>1</v>
      </c>
      <c r="M3928" t="s">
        <v>6151</v>
      </c>
      <c r="N3928" t="s">
        <v>5781</v>
      </c>
    </row>
    <row r="3929" spans="1:14" hidden="1" x14ac:dyDescent="0.25">
      <c r="A3929" t="s">
        <v>1316</v>
      </c>
      <c r="B3929" t="s">
        <v>1330</v>
      </c>
      <c r="C3929" t="s">
        <v>6152</v>
      </c>
      <c r="D3929" t="s">
        <v>15</v>
      </c>
      <c r="E3929" t="s">
        <v>19</v>
      </c>
      <c r="F3929">
        <v>46</v>
      </c>
      <c r="G3929" t="s">
        <v>1419</v>
      </c>
      <c r="H3929" s="89">
        <v>46276</v>
      </c>
      <c r="I3929" s="89">
        <v>46278</v>
      </c>
      <c r="J3929" t="s">
        <v>3549</v>
      </c>
      <c r="K3929" t="s">
        <v>6153</v>
      </c>
      <c r="L3929">
        <v>1</v>
      </c>
      <c r="M3929" t="s">
        <v>6154</v>
      </c>
      <c r="N3929" t="s">
        <v>5781</v>
      </c>
    </row>
    <row r="3930" spans="1:14" hidden="1" x14ac:dyDescent="0.25">
      <c r="A3930" t="s">
        <v>1317</v>
      </c>
      <c r="B3930" t="s">
        <v>1331</v>
      </c>
      <c r="C3930" t="s">
        <v>6155</v>
      </c>
      <c r="D3930" t="s">
        <v>15</v>
      </c>
      <c r="E3930" t="s">
        <v>19</v>
      </c>
      <c r="F3930">
        <v>57</v>
      </c>
      <c r="G3930" t="s">
        <v>1419</v>
      </c>
      <c r="H3930" s="89">
        <v>46276</v>
      </c>
      <c r="I3930" s="89">
        <v>46278</v>
      </c>
      <c r="J3930" t="s">
        <v>3549</v>
      </c>
      <c r="K3930" t="s">
        <v>6156</v>
      </c>
      <c r="L3930">
        <v>1</v>
      </c>
      <c r="M3930" t="s">
        <v>6157</v>
      </c>
      <c r="N3930" t="s">
        <v>5781</v>
      </c>
    </row>
    <row r="3931" spans="1:14" hidden="1" x14ac:dyDescent="0.25">
      <c r="A3931" t="s">
        <v>1318</v>
      </c>
      <c r="B3931" t="s">
        <v>1332</v>
      </c>
      <c r="C3931" t="s">
        <v>6158</v>
      </c>
      <c r="D3931" t="s">
        <v>15</v>
      </c>
      <c r="E3931" t="s">
        <v>19</v>
      </c>
      <c r="F3931">
        <v>22</v>
      </c>
      <c r="G3931" t="s">
        <v>1419</v>
      </c>
      <c r="H3931" s="89">
        <v>46276</v>
      </c>
      <c r="I3931" s="89">
        <v>46278</v>
      </c>
      <c r="J3931" t="s">
        <v>3549</v>
      </c>
      <c r="K3931" t="s">
        <v>6159</v>
      </c>
      <c r="L3931">
        <v>1</v>
      </c>
      <c r="M3931" t="s">
        <v>6160</v>
      </c>
      <c r="N3931" t="s">
        <v>5781</v>
      </c>
    </row>
    <row r="3932" spans="1:14" hidden="1" x14ac:dyDescent="0.25">
      <c r="A3932" t="s">
        <v>1326</v>
      </c>
      <c r="B3932" t="s">
        <v>1340</v>
      </c>
      <c r="C3932" t="s">
        <v>6094</v>
      </c>
      <c r="D3932" t="s">
        <v>32</v>
      </c>
      <c r="E3932" t="s">
        <v>14</v>
      </c>
      <c r="F3932">
        <v>126</v>
      </c>
      <c r="G3932">
        <v>2.625</v>
      </c>
      <c r="H3932" s="89">
        <v>46276</v>
      </c>
      <c r="I3932" s="89">
        <v>46280</v>
      </c>
      <c r="J3932" t="s">
        <v>3549</v>
      </c>
      <c r="K3932" t="s">
        <v>6096</v>
      </c>
      <c r="L3932">
        <v>2</v>
      </c>
      <c r="M3932" t="s">
        <v>6161</v>
      </c>
      <c r="N3932" t="s">
        <v>5781</v>
      </c>
    </row>
    <row r="3933" spans="1:14" hidden="1" x14ac:dyDescent="0.25">
      <c r="A3933" t="s">
        <v>1320</v>
      </c>
      <c r="B3933" t="s">
        <v>1334</v>
      </c>
      <c r="C3933" t="s">
        <v>6162</v>
      </c>
      <c r="D3933" t="s">
        <v>29</v>
      </c>
      <c r="E3933" t="s">
        <v>14</v>
      </c>
      <c r="F3933">
        <v>720</v>
      </c>
      <c r="G3933">
        <v>15</v>
      </c>
      <c r="H3933" s="89">
        <v>46277</v>
      </c>
      <c r="I3933" s="89">
        <v>46282</v>
      </c>
      <c r="J3933" t="s">
        <v>6163</v>
      </c>
      <c r="K3933" t="s">
        <v>6164</v>
      </c>
      <c r="L3933">
        <v>1</v>
      </c>
      <c r="M3933" t="s">
        <v>6165</v>
      </c>
      <c r="N3933" t="s">
        <v>5781</v>
      </c>
    </row>
    <row r="3934" spans="1:14" hidden="1" x14ac:dyDescent="0.25">
      <c r="A3934" t="s">
        <v>1320</v>
      </c>
      <c r="B3934" t="s">
        <v>1334</v>
      </c>
      <c r="C3934" t="s">
        <v>6166</v>
      </c>
      <c r="D3934" t="s">
        <v>24</v>
      </c>
      <c r="E3934" t="s">
        <v>14</v>
      </c>
      <c r="F3934">
        <v>240</v>
      </c>
      <c r="G3934">
        <v>5</v>
      </c>
      <c r="H3934" s="89">
        <v>46277</v>
      </c>
      <c r="I3934" s="89">
        <v>46282</v>
      </c>
      <c r="J3934" t="s">
        <v>3549</v>
      </c>
      <c r="K3934" t="s">
        <v>6167</v>
      </c>
      <c r="L3934">
        <v>1</v>
      </c>
      <c r="M3934" t="s">
        <v>6168</v>
      </c>
      <c r="N3934" t="s">
        <v>5781</v>
      </c>
    </row>
    <row r="3935" spans="1:14" hidden="1" x14ac:dyDescent="0.25">
      <c r="A3935" t="s">
        <v>1320</v>
      </c>
      <c r="B3935" t="s">
        <v>1334</v>
      </c>
      <c r="C3935" t="s">
        <v>6169</v>
      </c>
      <c r="D3935" t="s">
        <v>144</v>
      </c>
      <c r="E3935" t="s">
        <v>14</v>
      </c>
      <c r="F3935">
        <v>960</v>
      </c>
      <c r="G3935">
        <v>20</v>
      </c>
      <c r="H3935" s="89">
        <v>46277</v>
      </c>
      <c r="I3935" s="89">
        <v>46282</v>
      </c>
      <c r="J3935" t="s">
        <v>6170</v>
      </c>
      <c r="K3935" t="s">
        <v>6171</v>
      </c>
      <c r="L3935">
        <v>1</v>
      </c>
      <c r="M3935" t="s">
        <v>6172</v>
      </c>
      <c r="N3935" t="s">
        <v>5781</v>
      </c>
    </row>
    <row r="3936" spans="1:14" hidden="1" x14ac:dyDescent="0.25">
      <c r="A3936" t="s">
        <v>1320</v>
      </c>
      <c r="B3936" t="s">
        <v>1334</v>
      </c>
      <c r="C3936" t="s">
        <v>6173</v>
      </c>
      <c r="D3936" t="s">
        <v>13</v>
      </c>
      <c r="E3936" t="s">
        <v>14</v>
      </c>
      <c r="F3936">
        <v>960</v>
      </c>
      <c r="G3936">
        <v>20</v>
      </c>
      <c r="H3936" s="89">
        <v>46277</v>
      </c>
      <c r="I3936" s="89">
        <v>46283</v>
      </c>
      <c r="J3936" t="s">
        <v>6174</v>
      </c>
      <c r="K3936" t="s">
        <v>6175</v>
      </c>
      <c r="L3936">
        <v>1</v>
      </c>
      <c r="M3936" t="s">
        <v>6176</v>
      </c>
      <c r="N3936" t="s">
        <v>5781</v>
      </c>
    </row>
    <row r="3937" spans="1:14" hidden="1" x14ac:dyDescent="0.25">
      <c r="A3937" t="s">
        <v>1324</v>
      </c>
      <c r="B3937" t="s">
        <v>1338</v>
      </c>
      <c r="C3937" t="s">
        <v>6177</v>
      </c>
      <c r="D3937" t="s">
        <v>147</v>
      </c>
      <c r="E3937" t="s">
        <v>25</v>
      </c>
      <c r="F3937">
        <v>960</v>
      </c>
      <c r="G3937">
        <v>20</v>
      </c>
      <c r="H3937" s="89">
        <v>46277</v>
      </c>
      <c r="I3937" s="89">
        <v>46283</v>
      </c>
      <c r="J3937" t="s">
        <v>6064</v>
      </c>
      <c r="K3937" t="s">
        <v>6178</v>
      </c>
      <c r="L3937">
        <v>1</v>
      </c>
      <c r="M3937" t="s">
        <v>6179</v>
      </c>
      <c r="N3937" t="s">
        <v>5781</v>
      </c>
    </row>
    <row r="3938" spans="1:14" hidden="1" x14ac:dyDescent="0.25">
      <c r="A3938" t="s">
        <v>1325</v>
      </c>
      <c r="B3938" t="s">
        <v>1339</v>
      </c>
      <c r="C3938" t="s">
        <v>6180</v>
      </c>
      <c r="D3938" t="s">
        <v>27</v>
      </c>
      <c r="E3938" t="s">
        <v>19</v>
      </c>
      <c r="F3938">
        <v>384</v>
      </c>
      <c r="G3938">
        <v>8</v>
      </c>
      <c r="H3938" s="89">
        <v>46277</v>
      </c>
      <c r="I3938" s="89">
        <v>46280</v>
      </c>
      <c r="J3938" t="s">
        <v>1656</v>
      </c>
      <c r="K3938" t="s">
        <v>6181</v>
      </c>
      <c r="L3938">
        <v>1</v>
      </c>
      <c r="M3938" t="s">
        <v>6182</v>
      </c>
      <c r="N3938" t="s">
        <v>5781</v>
      </c>
    </row>
    <row r="3939" spans="1:14" hidden="1" x14ac:dyDescent="0.25">
      <c r="A3939" t="s">
        <v>1313</v>
      </c>
      <c r="B3939" t="s">
        <v>1327</v>
      </c>
      <c r="C3939" t="s">
        <v>6183</v>
      </c>
      <c r="D3939" t="s">
        <v>20</v>
      </c>
      <c r="E3939" t="s">
        <v>17</v>
      </c>
      <c r="F3939">
        <v>1056</v>
      </c>
      <c r="G3939">
        <v>22</v>
      </c>
      <c r="H3939" s="89">
        <v>46277</v>
      </c>
      <c r="I3939" s="89">
        <v>46282</v>
      </c>
      <c r="J3939" t="s">
        <v>3549</v>
      </c>
      <c r="K3939" t="s">
        <v>6184</v>
      </c>
      <c r="L3939">
        <v>1</v>
      </c>
      <c r="M3939" t="s">
        <v>6185</v>
      </c>
      <c r="N3939" t="s">
        <v>5781</v>
      </c>
    </row>
    <row r="3940" spans="1:14" hidden="1" x14ac:dyDescent="0.25">
      <c r="A3940" t="s">
        <v>1319</v>
      </c>
      <c r="B3940" t="s">
        <v>1333</v>
      </c>
      <c r="C3940" t="s">
        <v>6183</v>
      </c>
      <c r="D3940" t="s">
        <v>20</v>
      </c>
      <c r="E3940" t="s">
        <v>17</v>
      </c>
      <c r="F3940">
        <v>96</v>
      </c>
      <c r="G3940">
        <v>2</v>
      </c>
      <c r="H3940" s="89">
        <v>46277</v>
      </c>
      <c r="I3940" s="89">
        <v>46282</v>
      </c>
      <c r="J3940" t="s">
        <v>3549</v>
      </c>
      <c r="K3940" t="s">
        <v>6186</v>
      </c>
      <c r="L3940">
        <v>1</v>
      </c>
      <c r="M3940" t="s">
        <v>6187</v>
      </c>
      <c r="N3940" t="s">
        <v>5781</v>
      </c>
    </row>
    <row r="3941" spans="1:14" hidden="1" x14ac:dyDescent="0.25">
      <c r="A3941" t="s">
        <v>1315</v>
      </c>
      <c r="B3941" t="s">
        <v>1329</v>
      </c>
      <c r="C3941" t="s">
        <v>6183</v>
      </c>
      <c r="D3941" t="s">
        <v>20</v>
      </c>
      <c r="E3941" t="s">
        <v>19</v>
      </c>
      <c r="F3941">
        <v>78</v>
      </c>
      <c r="G3941" t="s">
        <v>1419</v>
      </c>
      <c r="H3941" s="89">
        <v>46277</v>
      </c>
      <c r="I3941" s="89">
        <v>46279</v>
      </c>
      <c r="J3941" t="s">
        <v>3549</v>
      </c>
      <c r="K3941" t="s">
        <v>6188</v>
      </c>
      <c r="L3941">
        <v>1</v>
      </c>
      <c r="M3941" t="s">
        <v>6189</v>
      </c>
      <c r="N3941" t="s">
        <v>5781</v>
      </c>
    </row>
    <row r="3942" spans="1:14" hidden="1" x14ac:dyDescent="0.25">
      <c r="A3942" t="s">
        <v>1316</v>
      </c>
      <c r="B3942" t="s">
        <v>1330</v>
      </c>
      <c r="C3942" t="s">
        <v>6190</v>
      </c>
      <c r="D3942" t="s">
        <v>20</v>
      </c>
      <c r="E3942" t="s">
        <v>19</v>
      </c>
      <c r="F3942">
        <v>52</v>
      </c>
      <c r="G3942" t="s">
        <v>1419</v>
      </c>
      <c r="H3942" s="89">
        <v>46277</v>
      </c>
      <c r="I3942" s="89">
        <v>46279</v>
      </c>
      <c r="J3942" t="s">
        <v>3549</v>
      </c>
      <c r="K3942" t="s">
        <v>6191</v>
      </c>
      <c r="L3942">
        <v>1</v>
      </c>
      <c r="M3942" t="s">
        <v>6192</v>
      </c>
      <c r="N3942" t="s">
        <v>5781</v>
      </c>
    </row>
    <row r="3943" spans="1:14" hidden="1" x14ac:dyDescent="0.25">
      <c r="A3943" t="s">
        <v>1317</v>
      </c>
      <c r="B3943" t="s">
        <v>1331</v>
      </c>
      <c r="C3943" t="s">
        <v>6193</v>
      </c>
      <c r="D3943" t="s">
        <v>20</v>
      </c>
      <c r="E3943" t="s">
        <v>19</v>
      </c>
      <c r="F3943">
        <v>26</v>
      </c>
      <c r="G3943" t="s">
        <v>1419</v>
      </c>
      <c r="H3943" s="89">
        <v>46277</v>
      </c>
      <c r="I3943" s="89">
        <v>46279</v>
      </c>
      <c r="J3943" t="s">
        <v>3549</v>
      </c>
      <c r="K3943" t="s">
        <v>6194</v>
      </c>
      <c r="L3943">
        <v>1</v>
      </c>
      <c r="M3943" t="s">
        <v>6195</v>
      </c>
      <c r="N3943" t="s">
        <v>5781</v>
      </c>
    </row>
    <row r="3944" spans="1:14" hidden="1" x14ac:dyDescent="0.25">
      <c r="A3944" t="s">
        <v>1318</v>
      </c>
      <c r="B3944" t="s">
        <v>1332</v>
      </c>
      <c r="C3944" t="s">
        <v>6196</v>
      </c>
      <c r="D3944" t="s">
        <v>20</v>
      </c>
      <c r="E3944" t="s">
        <v>19</v>
      </c>
      <c r="F3944">
        <v>46</v>
      </c>
      <c r="G3944" t="s">
        <v>1419</v>
      </c>
      <c r="H3944" s="89">
        <v>46277</v>
      </c>
      <c r="I3944" s="89">
        <v>46279</v>
      </c>
      <c r="J3944" t="s">
        <v>3549</v>
      </c>
      <c r="K3944" t="s">
        <v>6197</v>
      </c>
      <c r="L3944">
        <v>1</v>
      </c>
      <c r="M3944" t="s">
        <v>6198</v>
      </c>
      <c r="N3944" t="s">
        <v>5781</v>
      </c>
    </row>
    <row r="3945" spans="1:14" hidden="1" x14ac:dyDescent="0.25">
      <c r="A3945" t="s">
        <v>1320</v>
      </c>
      <c r="B3945" t="s">
        <v>1334</v>
      </c>
      <c r="C3945" t="s">
        <v>6199</v>
      </c>
      <c r="D3945" t="s">
        <v>28</v>
      </c>
      <c r="E3945" t="s">
        <v>14</v>
      </c>
      <c r="F3945">
        <v>960</v>
      </c>
      <c r="G3945">
        <v>20</v>
      </c>
      <c r="H3945" s="89">
        <v>46277</v>
      </c>
      <c r="I3945" s="89">
        <v>46283</v>
      </c>
      <c r="J3945" t="s">
        <v>6200</v>
      </c>
      <c r="K3945" t="s">
        <v>6201</v>
      </c>
      <c r="L3945">
        <v>1</v>
      </c>
      <c r="M3945" t="s">
        <v>6202</v>
      </c>
      <c r="N3945" t="s">
        <v>5781</v>
      </c>
    </row>
    <row r="3946" spans="1:14" hidden="1" x14ac:dyDescent="0.25">
      <c r="A3946" t="s">
        <v>1315</v>
      </c>
      <c r="B3946" t="s">
        <v>1329</v>
      </c>
      <c r="C3946" t="s">
        <v>6199</v>
      </c>
      <c r="D3946" t="s">
        <v>28</v>
      </c>
      <c r="E3946" t="s">
        <v>19</v>
      </c>
      <c r="F3946">
        <v>130</v>
      </c>
      <c r="G3946" t="s">
        <v>1419</v>
      </c>
      <c r="H3946" s="89">
        <v>46277</v>
      </c>
      <c r="I3946" s="89">
        <v>46279</v>
      </c>
      <c r="J3946" t="s">
        <v>1656</v>
      </c>
      <c r="K3946" t="s">
        <v>6203</v>
      </c>
      <c r="L3946">
        <v>1</v>
      </c>
      <c r="M3946" t="s">
        <v>6204</v>
      </c>
      <c r="N3946" t="s">
        <v>5781</v>
      </c>
    </row>
    <row r="3947" spans="1:14" hidden="1" x14ac:dyDescent="0.25">
      <c r="A3947" t="s">
        <v>1316</v>
      </c>
      <c r="B3947" t="s">
        <v>1330</v>
      </c>
      <c r="C3947" t="s">
        <v>6205</v>
      </c>
      <c r="D3947" t="s">
        <v>28</v>
      </c>
      <c r="E3947" t="s">
        <v>19</v>
      </c>
      <c r="F3947">
        <v>28</v>
      </c>
      <c r="G3947" t="s">
        <v>1419</v>
      </c>
      <c r="H3947" s="89">
        <v>46277</v>
      </c>
      <c r="I3947" s="89">
        <v>46279</v>
      </c>
      <c r="J3947" t="s">
        <v>1656</v>
      </c>
      <c r="K3947" t="s">
        <v>6206</v>
      </c>
      <c r="L3947">
        <v>1</v>
      </c>
      <c r="M3947" t="s">
        <v>6207</v>
      </c>
      <c r="N3947" t="s">
        <v>5781</v>
      </c>
    </row>
    <row r="3948" spans="1:14" hidden="1" x14ac:dyDescent="0.25">
      <c r="A3948" t="s">
        <v>1317</v>
      </c>
      <c r="B3948" t="s">
        <v>1331</v>
      </c>
      <c r="C3948" t="s">
        <v>6208</v>
      </c>
      <c r="D3948" t="s">
        <v>28</v>
      </c>
      <c r="E3948" t="s">
        <v>19</v>
      </c>
      <c r="F3948">
        <v>23</v>
      </c>
      <c r="G3948" t="s">
        <v>1419</v>
      </c>
      <c r="H3948" s="89">
        <v>46277</v>
      </c>
      <c r="I3948" s="89">
        <v>46279</v>
      </c>
      <c r="J3948" t="s">
        <v>1656</v>
      </c>
      <c r="K3948" t="s">
        <v>6209</v>
      </c>
      <c r="L3948">
        <v>1</v>
      </c>
      <c r="M3948" t="s">
        <v>6210</v>
      </c>
      <c r="N3948" t="s">
        <v>5781</v>
      </c>
    </row>
    <row r="3949" spans="1:14" hidden="1" x14ac:dyDescent="0.25">
      <c r="A3949" t="s">
        <v>1318</v>
      </c>
      <c r="B3949" t="s">
        <v>1332</v>
      </c>
      <c r="C3949" t="s">
        <v>6211</v>
      </c>
      <c r="D3949" t="s">
        <v>28</v>
      </c>
      <c r="E3949" t="s">
        <v>19</v>
      </c>
      <c r="F3949">
        <v>37</v>
      </c>
      <c r="G3949" t="s">
        <v>1419</v>
      </c>
      <c r="H3949" s="89">
        <v>46277</v>
      </c>
      <c r="I3949" s="89">
        <v>46279</v>
      </c>
      <c r="J3949" t="s">
        <v>1656</v>
      </c>
      <c r="K3949" t="s">
        <v>6212</v>
      </c>
      <c r="L3949">
        <v>1</v>
      </c>
      <c r="M3949" t="s">
        <v>6213</v>
      </c>
      <c r="N3949" t="s">
        <v>5781</v>
      </c>
    </row>
    <row r="3950" spans="1:14" hidden="1" x14ac:dyDescent="0.25">
      <c r="A3950" t="s">
        <v>1314</v>
      </c>
      <c r="B3950" t="s">
        <v>1328</v>
      </c>
      <c r="C3950" t="s">
        <v>6214</v>
      </c>
      <c r="D3950" t="s">
        <v>15</v>
      </c>
      <c r="E3950" t="s">
        <v>16</v>
      </c>
      <c r="F3950">
        <v>288</v>
      </c>
      <c r="G3950">
        <v>6</v>
      </c>
      <c r="H3950" s="89">
        <v>46277</v>
      </c>
      <c r="I3950" s="89">
        <v>46282</v>
      </c>
      <c r="J3950" t="s">
        <v>6215</v>
      </c>
      <c r="K3950" t="s">
        <v>6216</v>
      </c>
      <c r="L3950">
        <v>1</v>
      </c>
      <c r="M3950" t="s">
        <v>6217</v>
      </c>
      <c r="N3950" t="s">
        <v>5781</v>
      </c>
    </row>
    <row r="3951" spans="1:14" hidden="1" x14ac:dyDescent="0.25">
      <c r="A3951" t="s">
        <v>1313</v>
      </c>
      <c r="B3951" t="s">
        <v>1327</v>
      </c>
      <c r="C3951" t="s">
        <v>6214</v>
      </c>
      <c r="D3951" t="s">
        <v>15</v>
      </c>
      <c r="E3951" t="s">
        <v>16</v>
      </c>
      <c r="F3951">
        <v>864</v>
      </c>
      <c r="G3951">
        <v>18</v>
      </c>
      <c r="H3951" s="89">
        <v>46277</v>
      </c>
      <c r="I3951" s="89">
        <v>46282</v>
      </c>
      <c r="J3951" t="s">
        <v>6218</v>
      </c>
      <c r="K3951" t="s">
        <v>6219</v>
      </c>
      <c r="L3951">
        <v>1</v>
      </c>
      <c r="M3951" t="s">
        <v>6220</v>
      </c>
      <c r="N3951" t="s">
        <v>5781</v>
      </c>
    </row>
    <row r="3952" spans="1:14" hidden="1" x14ac:dyDescent="0.25">
      <c r="A3952" t="s">
        <v>1313</v>
      </c>
      <c r="B3952" t="s">
        <v>1327</v>
      </c>
      <c r="C3952" t="s">
        <v>6214</v>
      </c>
      <c r="D3952" t="s">
        <v>15</v>
      </c>
      <c r="E3952" t="s">
        <v>18</v>
      </c>
      <c r="F3952">
        <v>48</v>
      </c>
      <c r="G3952">
        <v>1</v>
      </c>
      <c r="H3952" s="89">
        <v>46277</v>
      </c>
      <c r="I3952" s="89">
        <v>46283</v>
      </c>
      <c r="J3952" t="s">
        <v>3549</v>
      </c>
      <c r="K3952" t="s">
        <v>6221</v>
      </c>
      <c r="L3952">
        <v>1</v>
      </c>
      <c r="M3952" t="s">
        <v>6222</v>
      </c>
      <c r="N3952" t="s">
        <v>5781</v>
      </c>
    </row>
    <row r="3953" spans="1:14" hidden="1" x14ac:dyDescent="0.25">
      <c r="A3953" t="s">
        <v>1315</v>
      </c>
      <c r="B3953" t="s">
        <v>1329</v>
      </c>
      <c r="C3953" t="s">
        <v>6214</v>
      </c>
      <c r="D3953" t="s">
        <v>15</v>
      </c>
      <c r="E3953" t="s">
        <v>19</v>
      </c>
      <c r="F3953">
        <v>3</v>
      </c>
      <c r="G3953" t="s">
        <v>1419</v>
      </c>
      <c r="H3953" s="89">
        <v>46277</v>
      </c>
      <c r="I3953" s="89">
        <v>46279</v>
      </c>
      <c r="J3953" t="s">
        <v>1656</v>
      </c>
      <c r="K3953" t="s">
        <v>6223</v>
      </c>
      <c r="L3953">
        <v>1</v>
      </c>
      <c r="M3953" t="s">
        <v>6224</v>
      </c>
      <c r="N3953" t="s">
        <v>5781</v>
      </c>
    </row>
    <row r="3954" spans="1:14" hidden="1" x14ac:dyDescent="0.25">
      <c r="A3954" t="s">
        <v>1316</v>
      </c>
      <c r="B3954" t="s">
        <v>1330</v>
      </c>
      <c r="C3954" t="s">
        <v>6225</v>
      </c>
      <c r="D3954" t="s">
        <v>15</v>
      </c>
      <c r="E3954" t="s">
        <v>19</v>
      </c>
      <c r="F3954">
        <v>44</v>
      </c>
      <c r="G3954" t="s">
        <v>1419</v>
      </c>
      <c r="H3954" s="89">
        <v>46277</v>
      </c>
      <c r="I3954" s="89">
        <v>46279</v>
      </c>
      <c r="J3954" t="s">
        <v>1656</v>
      </c>
      <c r="K3954" t="s">
        <v>6226</v>
      </c>
      <c r="L3954">
        <v>1</v>
      </c>
      <c r="M3954" t="s">
        <v>6227</v>
      </c>
      <c r="N3954" t="s">
        <v>5781</v>
      </c>
    </row>
    <row r="3955" spans="1:14" hidden="1" x14ac:dyDescent="0.25">
      <c r="A3955" t="s">
        <v>1317</v>
      </c>
      <c r="B3955" t="s">
        <v>1331</v>
      </c>
      <c r="C3955" t="s">
        <v>6228</v>
      </c>
      <c r="D3955" t="s">
        <v>15</v>
      </c>
      <c r="E3955" t="s">
        <v>19</v>
      </c>
      <c r="F3955">
        <v>25</v>
      </c>
      <c r="G3955" t="s">
        <v>1419</v>
      </c>
      <c r="H3955" s="89">
        <v>46277</v>
      </c>
      <c r="I3955" s="89">
        <v>46279</v>
      </c>
      <c r="J3955" t="s">
        <v>1656</v>
      </c>
      <c r="K3955" t="s">
        <v>6229</v>
      </c>
      <c r="L3955">
        <v>1</v>
      </c>
      <c r="M3955" t="s">
        <v>6230</v>
      </c>
      <c r="N3955" t="s">
        <v>5781</v>
      </c>
    </row>
    <row r="3956" spans="1:14" hidden="1" x14ac:dyDescent="0.25">
      <c r="A3956" t="s">
        <v>1318</v>
      </c>
      <c r="B3956" t="s">
        <v>1332</v>
      </c>
      <c r="C3956" t="s">
        <v>6231</v>
      </c>
      <c r="D3956" t="s">
        <v>15</v>
      </c>
      <c r="E3956" t="s">
        <v>19</v>
      </c>
      <c r="F3956">
        <v>18</v>
      </c>
      <c r="G3956" t="s">
        <v>1419</v>
      </c>
      <c r="H3956" s="89">
        <v>46277</v>
      </c>
      <c r="I3956" s="89">
        <v>46279</v>
      </c>
      <c r="J3956" t="s">
        <v>1656</v>
      </c>
      <c r="K3956" t="s">
        <v>6232</v>
      </c>
      <c r="L3956">
        <v>1</v>
      </c>
      <c r="M3956" t="s">
        <v>6233</v>
      </c>
      <c r="N3956" t="s">
        <v>5781</v>
      </c>
    </row>
    <row r="3957" spans="1:14" hidden="1" x14ac:dyDescent="0.25">
      <c r="A3957" t="s">
        <v>1313</v>
      </c>
      <c r="B3957" t="s">
        <v>1327</v>
      </c>
      <c r="C3957" t="s">
        <v>1341</v>
      </c>
      <c r="D3957" t="s">
        <v>15</v>
      </c>
      <c r="E3957" t="s">
        <v>18</v>
      </c>
      <c r="F3957">
        <v>912</v>
      </c>
      <c r="G3957">
        <v>19</v>
      </c>
      <c r="H3957" s="89">
        <v>46279</v>
      </c>
      <c r="I3957" s="89">
        <v>46283</v>
      </c>
      <c r="J3957" t="s">
        <v>6234</v>
      </c>
      <c r="K3957" t="s">
        <v>6235</v>
      </c>
      <c r="L3957">
        <v>1</v>
      </c>
      <c r="M3957" t="s">
        <v>6236</v>
      </c>
      <c r="N3957" t="s">
        <v>6237</v>
      </c>
    </row>
    <row r="3958" spans="1:14" hidden="1" x14ac:dyDescent="0.25">
      <c r="A3958" t="s">
        <v>1314</v>
      </c>
      <c r="B3958" t="s">
        <v>1328</v>
      </c>
      <c r="C3958" t="s">
        <v>1341</v>
      </c>
      <c r="D3958" t="s">
        <v>15</v>
      </c>
      <c r="E3958" t="s">
        <v>18</v>
      </c>
      <c r="F3958">
        <v>48</v>
      </c>
      <c r="G3958">
        <v>1</v>
      </c>
      <c r="H3958" s="89">
        <v>46279</v>
      </c>
      <c r="I3958" s="89">
        <v>46283</v>
      </c>
      <c r="J3958" t="s">
        <v>6234</v>
      </c>
      <c r="K3958" t="s">
        <v>6238</v>
      </c>
      <c r="L3958">
        <v>1</v>
      </c>
      <c r="M3958" t="s">
        <v>6239</v>
      </c>
      <c r="N3958" t="s">
        <v>6237</v>
      </c>
    </row>
    <row r="3959" spans="1:14" hidden="1" x14ac:dyDescent="0.25">
      <c r="A3959" t="s">
        <v>1313</v>
      </c>
      <c r="B3959" t="s">
        <v>1327</v>
      </c>
      <c r="C3959" t="s">
        <v>1341</v>
      </c>
      <c r="D3959" t="s">
        <v>15</v>
      </c>
      <c r="E3959" t="s">
        <v>22</v>
      </c>
      <c r="F3959">
        <v>288</v>
      </c>
      <c r="G3959">
        <v>6</v>
      </c>
      <c r="H3959" s="89">
        <v>46279</v>
      </c>
      <c r="I3959" s="89">
        <v>46284</v>
      </c>
      <c r="J3959" t="s">
        <v>6240</v>
      </c>
      <c r="K3959" t="s">
        <v>6241</v>
      </c>
      <c r="L3959">
        <v>1</v>
      </c>
      <c r="M3959" t="s">
        <v>6242</v>
      </c>
      <c r="N3959" t="s">
        <v>6237</v>
      </c>
    </row>
    <row r="3960" spans="1:14" hidden="1" x14ac:dyDescent="0.25">
      <c r="A3960" t="s">
        <v>1313</v>
      </c>
      <c r="B3960" t="s">
        <v>1327</v>
      </c>
      <c r="C3960" t="s">
        <v>1341</v>
      </c>
      <c r="D3960" t="s">
        <v>15</v>
      </c>
      <c r="E3960" t="s">
        <v>16</v>
      </c>
      <c r="F3960">
        <v>240</v>
      </c>
      <c r="G3960">
        <v>5</v>
      </c>
      <c r="H3960" s="89">
        <v>46279</v>
      </c>
      <c r="I3960" s="89">
        <v>46284</v>
      </c>
      <c r="J3960" t="s">
        <v>6243</v>
      </c>
      <c r="K3960" t="s">
        <v>6244</v>
      </c>
      <c r="L3960">
        <v>1</v>
      </c>
      <c r="M3960" t="s">
        <v>6245</v>
      </c>
      <c r="N3960" t="s">
        <v>6237</v>
      </c>
    </row>
    <row r="3961" spans="1:14" hidden="1" x14ac:dyDescent="0.25">
      <c r="A3961" t="s">
        <v>1315</v>
      </c>
      <c r="B3961" t="s">
        <v>1329</v>
      </c>
      <c r="C3961" t="s">
        <v>1341</v>
      </c>
      <c r="D3961" t="s">
        <v>15</v>
      </c>
      <c r="E3961" t="s">
        <v>19</v>
      </c>
      <c r="F3961">
        <v>26</v>
      </c>
      <c r="G3961" t="s">
        <v>1419</v>
      </c>
      <c r="H3961" s="89">
        <v>46279</v>
      </c>
      <c r="I3961" s="89">
        <v>46281</v>
      </c>
      <c r="J3961" t="s">
        <v>1656</v>
      </c>
      <c r="K3961" t="s">
        <v>6246</v>
      </c>
      <c r="L3961">
        <v>1</v>
      </c>
      <c r="M3961" t="s">
        <v>6247</v>
      </c>
      <c r="N3961" t="s">
        <v>6237</v>
      </c>
    </row>
    <row r="3962" spans="1:14" hidden="1" x14ac:dyDescent="0.25">
      <c r="A3962" t="s">
        <v>1316</v>
      </c>
      <c r="B3962" t="s">
        <v>1330</v>
      </c>
      <c r="C3962" t="s">
        <v>1342</v>
      </c>
      <c r="D3962" t="s">
        <v>15</v>
      </c>
      <c r="E3962" t="s">
        <v>19</v>
      </c>
      <c r="F3962">
        <v>40</v>
      </c>
      <c r="G3962" t="s">
        <v>1419</v>
      </c>
      <c r="H3962" s="89">
        <v>46279</v>
      </c>
      <c r="I3962" s="89">
        <v>46281</v>
      </c>
      <c r="J3962" t="s">
        <v>1656</v>
      </c>
      <c r="K3962" t="s">
        <v>6248</v>
      </c>
      <c r="L3962">
        <v>1</v>
      </c>
      <c r="M3962" t="s">
        <v>6249</v>
      </c>
      <c r="N3962" t="s">
        <v>6237</v>
      </c>
    </row>
    <row r="3963" spans="1:14" hidden="1" x14ac:dyDescent="0.25">
      <c r="A3963" t="s">
        <v>1317</v>
      </c>
      <c r="B3963" t="s">
        <v>1331</v>
      </c>
      <c r="C3963" t="s">
        <v>1343</v>
      </c>
      <c r="D3963" t="s">
        <v>15</v>
      </c>
      <c r="E3963" t="s">
        <v>19</v>
      </c>
      <c r="F3963">
        <v>28</v>
      </c>
      <c r="G3963" t="s">
        <v>1419</v>
      </c>
      <c r="H3963" s="89">
        <v>46279</v>
      </c>
      <c r="I3963" s="89">
        <v>46281</v>
      </c>
      <c r="J3963" t="s">
        <v>1656</v>
      </c>
      <c r="K3963" t="s">
        <v>6250</v>
      </c>
      <c r="L3963">
        <v>1</v>
      </c>
      <c r="M3963" t="s">
        <v>6251</v>
      </c>
      <c r="N3963" t="s">
        <v>6237</v>
      </c>
    </row>
    <row r="3964" spans="1:14" hidden="1" x14ac:dyDescent="0.25">
      <c r="A3964" t="s">
        <v>1318</v>
      </c>
      <c r="B3964" t="s">
        <v>1332</v>
      </c>
      <c r="C3964" t="s">
        <v>1344</v>
      </c>
      <c r="D3964" t="s">
        <v>15</v>
      </c>
      <c r="E3964" t="s">
        <v>19</v>
      </c>
      <c r="F3964">
        <v>29</v>
      </c>
      <c r="G3964" t="s">
        <v>1419</v>
      </c>
      <c r="H3964" s="89">
        <v>46279</v>
      </c>
      <c r="I3964" s="89">
        <v>46281</v>
      </c>
      <c r="J3964" t="s">
        <v>1656</v>
      </c>
      <c r="K3964" t="s">
        <v>6252</v>
      </c>
      <c r="L3964">
        <v>1</v>
      </c>
      <c r="M3964" t="s">
        <v>6253</v>
      </c>
      <c r="N3964" t="s">
        <v>6237</v>
      </c>
    </row>
    <row r="3965" spans="1:14" hidden="1" x14ac:dyDescent="0.25">
      <c r="A3965" t="s">
        <v>1313</v>
      </c>
      <c r="B3965" t="s">
        <v>1327</v>
      </c>
      <c r="C3965" t="s">
        <v>1345</v>
      </c>
      <c r="D3965" t="s">
        <v>20</v>
      </c>
      <c r="E3965" t="s">
        <v>17</v>
      </c>
      <c r="F3965">
        <v>1104</v>
      </c>
      <c r="G3965">
        <v>23</v>
      </c>
      <c r="H3965" s="89">
        <v>46279</v>
      </c>
      <c r="I3965" s="89">
        <v>46284</v>
      </c>
      <c r="J3965" t="s">
        <v>6254</v>
      </c>
      <c r="K3965" t="s">
        <v>6255</v>
      </c>
      <c r="L3965">
        <v>1</v>
      </c>
      <c r="M3965" t="s">
        <v>6256</v>
      </c>
      <c r="N3965" t="s">
        <v>6237</v>
      </c>
    </row>
    <row r="3966" spans="1:14" hidden="1" x14ac:dyDescent="0.25">
      <c r="A3966" t="s">
        <v>1319</v>
      </c>
      <c r="B3966" t="s">
        <v>1333</v>
      </c>
      <c r="C3966" t="s">
        <v>1345</v>
      </c>
      <c r="D3966" t="s">
        <v>20</v>
      </c>
      <c r="E3966" t="s">
        <v>17</v>
      </c>
      <c r="F3966">
        <v>48</v>
      </c>
      <c r="G3966">
        <v>1</v>
      </c>
      <c r="H3966" s="89">
        <v>46279</v>
      </c>
      <c r="I3966" s="89">
        <v>46284</v>
      </c>
      <c r="J3966" t="s">
        <v>6254</v>
      </c>
      <c r="K3966" t="s">
        <v>6257</v>
      </c>
      <c r="L3966">
        <v>1</v>
      </c>
      <c r="M3966" t="s">
        <v>6258</v>
      </c>
      <c r="N3966" t="s">
        <v>6237</v>
      </c>
    </row>
    <row r="3967" spans="1:14" hidden="1" x14ac:dyDescent="0.25">
      <c r="A3967" t="s">
        <v>1313</v>
      </c>
      <c r="B3967" t="s">
        <v>1327</v>
      </c>
      <c r="C3967" t="s">
        <v>1345</v>
      </c>
      <c r="D3967" t="s">
        <v>20</v>
      </c>
      <c r="E3967" t="s">
        <v>16</v>
      </c>
      <c r="F3967">
        <v>288</v>
      </c>
      <c r="G3967">
        <v>6</v>
      </c>
      <c r="H3967" s="89">
        <v>46279</v>
      </c>
      <c r="I3967" s="89">
        <v>46284</v>
      </c>
      <c r="J3967" t="s">
        <v>6243</v>
      </c>
      <c r="K3967" t="s">
        <v>6259</v>
      </c>
      <c r="L3967">
        <v>1</v>
      </c>
      <c r="M3967" t="s">
        <v>6260</v>
      </c>
      <c r="N3967" t="s">
        <v>6237</v>
      </c>
    </row>
    <row r="3968" spans="1:14" hidden="1" x14ac:dyDescent="0.25">
      <c r="A3968" t="s">
        <v>1315</v>
      </c>
      <c r="B3968" t="s">
        <v>1329</v>
      </c>
      <c r="C3968" t="s">
        <v>1345</v>
      </c>
      <c r="D3968" t="s">
        <v>20</v>
      </c>
      <c r="E3968" t="s">
        <v>19</v>
      </c>
      <c r="F3968">
        <v>85</v>
      </c>
      <c r="G3968" t="s">
        <v>1419</v>
      </c>
      <c r="H3968" s="89">
        <v>46279</v>
      </c>
      <c r="I3968" s="89">
        <v>46281</v>
      </c>
      <c r="J3968" t="s">
        <v>1656</v>
      </c>
      <c r="K3968" t="s">
        <v>6261</v>
      </c>
      <c r="L3968">
        <v>1</v>
      </c>
      <c r="M3968" t="s">
        <v>6262</v>
      </c>
      <c r="N3968" t="s">
        <v>6237</v>
      </c>
    </row>
    <row r="3969" spans="1:14" hidden="1" x14ac:dyDescent="0.25">
      <c r="A3969" t="s">
        <v>1316</v>
      </c>
      <c r="B3969" t="s">
        <v>1330</v>
      </c>
      <c r="C3969" t="s">
        <v>1346</v>
      </c>
      <c r="D3969" t="s">
        <v>20</v>
      </c>
      <c r="E3969" t="s">
        <v>19</v>
      </c>
      <c r="F3969">
        <v>63</v>
      </c>
      <c r="G3969" t="s">
        <v>1419</v>
      </c>
      <c r="H3969" s="89">
        <v>46279</v>
      </c>
      <c r="I3969" s="89">
        <v>46281</v>
      </c>
      <c r="J3969" t="s">
        <v>1656</v>
      </c>
      <c r="K3969" t="s">
        <v>6263</v>
      </c>
      <c r="L3969">
        <v>1</v>
      </c>
      <c r="M3969" t="s">
        <v>6264</v>
      </c>
      <c r="N3969" t="s">
        <v>6237</v>
      </c>
    </row>
    <row r="3970" spans="1:14" hidden="1" x14ac:dyDescent="0.25">
      <c r="A3970" t="s">
        <v>1317</v>
      </c>
      <c r="B3970" t="s">
        <v>1331</v>
      </c>
      <c r="C3970" t="s">
        <v>1347</v>
      </c>
      <c r="D3970" t="s">
        <v>20</v>
      </c>
      <c r="E3970" t="s">
        <v>19</v>
      </c>
      <c r="F3970">
        <v>35</v>
      </c>
      <c r="G3970" t="s">
        <v>1419</v>
      </c>
      <c r="H3970" s="89">
        <v>46279</v>
      </c>
      <c r="I3970" s="89">
        <v>46281</v>
      </c>
      <c r="J3970" t="s">
        <v>1656</v>
      </c>
      <c r="K3970" t="s">
        <v>6265</v>
      </c>
      <c r="L3970">
        <v>1</v>
      </c>
      <c r="M3970" t="s">
        <v>6266</v>
      </c>
      <c r="N3970" t="s">
        <v>6237</v>
      </c>
    </row>
    <row r="3971" spans="1:14" hidden="1" x14ac:dyDescent="0.25">
      <c r="A3971" t="s">
        <v>1318</v>
      </c>
      <c r="B3971" t="s">
        <v>1332</v>
      </c>
      <c r="C3971" t="s">
        <v>1348</v>
      </c>
      <c r="D3971" t="s">
        <v>20</v>
      </c>
      <c r="E3971" t="s">
        <v>19</v>
      </c>
      <c r="F3971">
        <v>68</v>
      </c>
      <c r="G3971" t="s">
        <v>1419</v>
      </c>
      <c r="H3971" s="89">
        <v>46279</v>
      </c>
      <c r="I3971" s="89">
        <v>46281</v>
      </c>
      <c r="J3971" t="s">
        <v>1656</v>
      </c>
      <c r="K3971" t="s">
        <v>6267</v>
      </c>
      <c r="L3971">
        <v>1</v>
      </c>
      <c r="M3971" t="s">
        <v>6268</v>
      </c>
      <c r="N3971" t="s">
        <v>6237</v>
      </c>
    </row>
    <row r="3972" spans="1:14" hidden="1" x14ac:dyDescent="0.25">
      <c r="A3972" t="s">
        <v>1313</v>
      </c>
      <c r="B3972" t="s">
        <v>1327</v>
      </c>
      <c r="C3972" t="s">
        <v>1349</v>
      </c>
      <c r="D3972" t="s">
        <v>21</v>
      </c>
      <c r="E3972" t="s">
        <v>31</v>
      </c>
      <c r="F3972">
        <v>1099</v>
      </c>
      <c r="G3972">
        <v>22.895833333333332</v>
      </c>
      <c r="H3972" s="89">
        <v>46279</v>
      </c>
      <c r="I3972" s="89">
        <v>46283</v>
      </c>
      <c r="J3972" t="s">
        <v>6269</v>
      </c>
      <c r="K3972" t="s">
        <v>6270</v>
      </c>
      <c r="L3972">
        <v>1</v>
      </c>
      <c r="M3972" t="s">
        <v>6271</v>
      </c>
      <c r="N3972" t="s">
        <v>6237</v>
      </c>
    </row>
    <row r="3973" spans="1:14" hidden="1" x14ac:dyDescent="0.25">
      <c r="A3973" t="s">
        <v>1319</v>
      </c>
      <c r="B3973" t="s">
        <v>1333</v>
      </c>
      <c r="C3973" t="s">
        <v>1349</v>
      </c>
      <c r="D3973" t="s">
        <v>21</v>
      </c>
      <c r="E3973" t="s">
        <v>31</v>
      </c>
      <c r="F3973">
        <v>5</v>
      </c>
      <c r="G3973">
        <v>0.10416666666666669</v>
      </c>
      <c r="H3973" s="89">
        <v>46279</v>
      </c>
      <c r="I3973" s="89">
        <v>46283</v>
      </c>
      <c r="J3973" t="s">
        <v>6269</v>
      </c>
      <c r="K3973" t="s">
        <v>6272</v>
      </c>
      <c r="L3973">
        <v>1</v>
      </c>
      <c r="M3973" t="s">
        <v>6273</v>
      </c>
      <c r="N3973" t="s">
        <v>6237</v>
      </c>
    </row>
    <row r="3974" spans="1:14" hidden="1" x14ac:dyDescent="0.25">
      <c r="A3974" t="s">
        <v>1314</v>
      </c>
      <c r="B3974" t="s">
        <v>1328</v>
      </c>
      <c r="C3974" t="s">
        <v>1349</v>
      </c>
      <c r="D3974" t="s">
        <v>21</v>
      </c>
      <c r="E3974" t="s">
        <v>31</v>
      </c>
      <c r="F3974">
        <v>48</v>
      </c>
      <c r="G3974">
        <v>1</v>
      </c>
      <c r="H3974" s="89">
        <v>46279</v>
      </c>
      <c r="I3974" s="89">
        <v>46283</v>
      </c>
      <c r="J3974" t="s">
        <v>6274</v>
      </c>
      <c r="K3974" t="s">
        <v>6275</v>
      </c>
      <c r="L3974">
        <v>1</v>
      </c>
      <c r="M3974" t="s">
        <v>6276</v>
      </c>
      <c r="N3974" t="s">
        <v>6237</v>
      </c>
    </row>
    <row r="3975" spans="1:14" hidden="1" x14ac:dyDescent="0.25">
      <c r="A3975" t="s">
        <v>1313</v>
      </c>
      <c r="B3975" t="s">
        <v>1327</v>
      </c>
      <c r="C3975" t="s">
        <v>1349</v>
      </c>
      <c r="D3975" t="s">
        <v>21</v>
      </c>
      <c r="E3975" t="s">
        <v>22</v>
      </c>
      <c r="F3975">
        <v>192</v>
      </c>
      <c r="G3975">
        <v>4</v>
      </c>
      <c r="H3975" s="89">
        <v>46279</v>
      </c>
      <c r="I3975" s="89">
        <v>46284</v>
      </c>
      <c r="J3975" t="s">
        <v>6240</v>
      </c>
      <c r="K3975" t="s">
        <v>6277</v>
      </c>
      <c r="L3975">
        <v>1</v>
      </c>
      <c r="M3975" t="s">
        <v>6278</v>
      </c>
      <c r="N3975" t="s">
        <v>6237</v>
      </c>
    </row>
    <row r="3976" spans="1:14" hidden="1" x14ac:dyDescent="0.25">
      <c r="A3976" t="s">
        <v>1315</v>
      </c>
      <c r="B3976" t="s">
        <v>1329</v>
      </c>
      <c r="C3976" t="s">
        <v>1349</v>
      </c>
      <c r="D3976" t="s">
        <v>21</v>
      </c>
      <c r="E3976" t="s">
        <v>19</v>
      </c>
      <c r="F3976">
        <v>91</v>
      </c>
      <c r="G3976" t="s">
        <v>1419</v>
      </c>
      <c r="H3976" s="89">
        <v>46279</v>
      </c>
      <c r="I3976" s="89">
        <v>46281</v>
      </c>
      <c r="J3976" t="s">
        <v>1656</v>
      </c>
      <c r="K3976" t="s">
        <v>6279</v>
      </c>
      <c r="L3976">
        <v>1</v>
      </c>
      <c r="M3976" t="s">
        <v>6280</v>
      </c>
      <c r="N3976" t="s">
        <v>6237</v>
      </c>
    </row>
    <row r="3977" spans="1:14" hidden="1" x14ac:dyDescent="0.25">
      <c r="A3977" t="s">
        <v>1316</v>
      </c>
      <c r="B3977" t="s">
        <v>1330</v>
      </c>
      <c r="C3977" t="s">
        <v>1350</v>
      </c>
      <c r="D3977" t="s">
        <v>21</v>
      </c>
      <c r="E3977" t="s">
        <v>19</v>
      </c>
      <c r="F3977">
        <v>23</v>
      </c>
      <c r="G3977" t="s">
        <v>1419</v>
      </c>
      <c r="H3977" s="89">
        <v>46279</v>
      </c>
      <c r="I3977" s="89">
        <v>46281</v>
      </c>
      <c r="J3977" t="s">
        <v>1656</v>
      </c>
      <c r="K3977" t="s">
        <v>6281</v>
      </c>
      <c r="L3977">
        <v>1</v>
      </c>
      <c r="M3977" t="s">
        <v>6282</v>
      </c>
      <c r="N3977" t="s">
        <v>6237</v>
      </c>
    </row>
    <row r="3978" spans="1:14" hidden="1" x14ac:dyDescent="0.25">
      <c r="A3978" t="s">
        <v>1317</v>
      </c>
      <c r="B3978" t="s">
        <v>1331</v>
      </c>
      <c r="C3978" t="s">
        <v>1351</v>
      </c>
      <c r="D3978" t="s">
        <v>21</v>
      </c>
      <c r="E3978" t="s">
        <v>19</v>
      </c>
      <c r="F3978">
        <v>12</v>
      </c>
      <c r="G3978" t="s">
        <v>1419</v>
      </c>
      <c r="H3978" s="89">
        <v>46279</v>
      </c>
      <c r="I3978" s="89">
        <v>46281</v>
      </c>
      <c r="J3978" t="s">
        <v>1656</v>
      </c>
      <c r="K3978" t="s">
        <v>6283</v>
      </c>
      <c r="L3978">
        <v>1</v>
      </c>
      <c r="M3978" t="s">
        <v>6284</v>
      </c>
      <c r="N3978" t="s">
        <v>6237</v>
      </c>
    </row>
    <row r="3979" spans="1:14" hidden="1" x14ac:dyDescent="0.25">
      <c r="A3979" t="s">
        <v>1318</v>
      </c>
      <c r="B3979" t="s">
        <v>1332</v>
      </c>
      <c r="C3979" t="s">
        <v>1352</v>
      </c>
      <c r="D3979" t="s">
        <v>21</v>
      </c>
      <c r="E3979" t="s">
        <v>19</v>
      </c>
      <c r="F3979">
        <v>56</v>
      </c>
      <c r="G3979" t="s">
        <v>1419</v>
      </c>
      <c r="H3979" s="89">
        <v>46279</v>
      </c>
      <c r="I3979" s="89">
        <v>46281</v>
      </c>
      <c r="J3979" t="s">
        <v>1656</v>
      </c>
      <c r="K3979" t="s">
        <v>6285</v>
      </c>
      <c r="L3979">
        <v>1</v>
      </c>
      <c r="M3979" t="s">
        <v>6286</v>
      </c>
      <c r="N3979" t="s">
        <v>6237</v>
      </c>
    </row>
    <row r="3980" spans="1:14" hidden="1" x14ac:dyDescent="0.25">
      <c r="A3980" t="s">
        <v>1320</v>
      </c>
      <c r="B3980" t="s">
        <v>1334</v>
      </c>
      <c r="C3980" t="s">
        <v>1353</v>
      </c>
      <c r="D3980" t="s">
        <v>13</v>
      </c>
      <c r="E3980" t="s">
        <v>14</v>
      </c>
      <c r="F3980">
        <v>480</v>
      </c>
      <c r="G3980">
        <v>10</v>
      </c>
      <c r="H3980" s="89">
        <v>46279</v>
      </c>
      <c r="I3980" s="89">
        <v>46284</v>
      </c>
      <c r="J3980" t="s">
        <v>6287</v>
      </c>
      <c r="K3980" t="s">
        <v>6288</v>
      </c>
      <c r="L3980">
        <v>1</v>
      </c>
      <c r="M3980" t="s">
        <v>6289</v>
      </c>
      <c r="N3980" t="s">
        <v>6237</v>
      </c>
    </row>
    <row r="3981" spans="1:14" hidden="1" x14ac:dyDescent="0.25">
      <c r="A3981" t="s">
        <v>1320</v>
      </c>
      <c r="B3981" t="s">
        <v>1334</v>
      </c>
      <c r="C3981" t="s">
        <v>1354</v>
      </c>
      <c r="D3981" t="s">
        <v>118</v>
      </c>
      <c r="E3981" t="s">
        <v>14</v>
      </c>
      <c r="F3981">
        <v>480</v>
      </c>
      <c r="G3981">
        <v>10</v>
      </c>
      <c r="H3981" s="89">
        <v>46279</v>
      </c>
      <c r="I3981" s="89">
        <v>46284</v>
      </c>
      <c r="J3981" t="s">
        <v>6287</v>
      </c>
      <c r="K3981" t="s">
        <v>6290</v>
      </c>
      <c r="L3981">
        <v>1</v>
      </c>
      <c r="M3981" t="s">
        <v>6291</v>
      </c>
      <c r="N3981" t="s">
        <v>6237</v>
      </c>
    </row>
    <row r="3982" spans="1:14" hidden="1" x14ac:dyDescent="0.25">
      <c r="A3982" t="s">
        <v>1320</v>
      </c>
      <c r="B3982" t="s">
        <v>1334</v>
      </c>
      <c r="C3982" t="s">
        <v>1354</v>
      </c>
      <c r="D3982" t="s">
        <v>118</v>
      </c>
      <c r="E3982" t="s">
        <v>14</v>
      </c>
      <c r="F3982">
        <v>480</v>
      </c>
      <c r="G3982">
        <v>10</v>
      </c>
      <c r="H3982" s="89">
        <v>46279</v>
      </c>
      <c r="I3982" s="89">
        <v>46284</v>
      </c>
      <c r="J3982" t="s">
        <v>6292</v>
      </c>
      <c r="K3982" t="s">
        <v>6293</v>
      </c>
      <c r="L3982">
        <v>1</v>
      </c>
      <c r="M3982" t="s">
        <v>6294</v>
      </c>
      <c r="N3982" t="s">
        <v>6237</v>
      </c>
    </row>
    <row r="3983" spans="1:14" hidden="1" x14ac:dyDescent="0.25">
      <c r="A3983" t="s">
        <v>1320</v>
      </c>
      <c r="B3983" t="s">
        <v>1334</v>
      </c>
      <c r="C3983" t="s">
        <v>1355</v>
      </c>
      <c r="D3983" t="s">
        <v>13</v>
      </c>
      <c r="E3983" t="s">
        <v>14</v>
      </c>
      <c r="F3983">
        <v>480</v>
      </c>
      <c r="G3983">
        <v>10</v>
      </c>
      <c r="H3983" s="89">
        <v>46280</v>
      </c>
      <c r="I3983" s="89">
        <v>46284</v>
      </c>
      <c r="J3983" t="s">
        <v>6292</v>
      </c>
      <c r="K3983" t="s">
        <v>6295</v>
      </c>
      <c r="L3983">
        <v>1</v>
      </c>
      <c r="M3983" t="s">
        <v>6296</v>
      </c>
      <c r="N3983" t="s">
        <v>6237</v>
      </c>
    </row>
    <row r="3984" spans="1:14" hidden="1" x14ac:dyDescent="0.25">
      <c r="A3984" t="s">
        <v>1320</v>
      </c>
      <c r="B3984" t="s">
        <v>1334</v>
      </c>
      <c r="C3984" t="s">
        <v>1356</v>
      </c>
      <c r="D3984" t="s">
        <v>23</v>
      </c>
      <c r="E3984" t="s">
        <v>14</v>
      </c>
      <c r="F3984">
        <v>528</v>
      </c>
      <c r="G3984">
        <v>11</v>
      </c>
      <c r="H3984" s="89">
        <v>46280</v>
      </c>
      <c r="I3984" s="89">
        <v>46286</v>
      </c>
      <c r="J3984" t="s">
        <v>6297</v>
      </c>
      <c r="K3984" t="s">
        <v>6298</v>
      </c>
      <c r="L3984">
        <v>1</v>
      </c>
      <c r="M3984" t="s">
        <v>6299</v>
      </c>
      <c r="N3984" t="s">
        <v>6237</v>
      </c>
    </row>
    <row r="3985" spans="1:14" hidden="1" x14ac:dyDescent="0.25">
      <c r="A3985" t="s">
        <v>1321</v>
      </c>
      <c r="B3985" t="s">
        <v>1335</v>
      </c>
      <c r="C3985" t="s">
        <v>1357</v>
      </c>
      <c r="D3985" t="s">
        <v>27</v>
      </c>
      <c r="E3985" t="s">
        <v>65</v>
      </c>
      <c r="F3985">
        <v>144</v>
      </c>
      <c r="G3985">
        <v>3</v>
      </c>
      <c r="H3985" s="89">
        <v>46280</v>
      </c>
      <c r="I3985" s="89">
        <v>46287</v>
      </c>
      <c r="J3985" t="s">
        <v>6300</v>
      </c>
      <c r="K3985" t="s">
        <v>6301</v>
      </c>
      <c r="L3985">
        <v>1</v>
      </c>
      <c r="M3985" t="s">
        <v>6302</v>
      </c>
      <c r="N3985" t="s">
        <v>6237</v>
      </c>
    </row>
    <row r="3986" spans="1:14" hidden="1" x14ac:dyDescent="0.25">
      <c r="A3986" t="s">
        <v>1322</v>
      </c>
      <c r="B3986" t="s">
        <v>1336</v>
      </c>
      <c r="C3986" t="s">
        <v>1358</v>
      </c>
      <c r="D3986" t="s">
        <v>20</v>
      </c>
      <c r="E3986" t="s">
        <v>26</v>
      </c>
      <c r="F3986">
        <v>270</v>
      </c>
      <c r="G3986">
        <v>5</v>
      </c>
      <c r="H3986" s="89">
        <v>46280</v>
      </c>
      <c r="I3986" s="89">
        <v>46284</v>
      </c>
      <c r="J3986" t="s">
        <v>6303</v>
      </c>
      <c r="K3986" t="s">
        <v>6304</v>
      </c>
      <c r="L3986">
        <v>1</v>
      </c>
      <c r="M3986" t="s">
        <v>6305</v>
      </c>
      <c r="N3986" t="s">
        <v>6237</v>
      </c>
    </row>
    <row r="3987" spans="1:14" hidden="1" x14ac:dyDescent="0.25">
      <c r="A3987" t="s">
        <v>1323</v>
      </c>
      <c r="B3987" t="s">
        <v>1337</v>
      </c>
      <c r="C3987" t="s">
        <v>1358</v>
      </c>
      <c r="D3987" t="s">
        <v>20</v>
      </c>
      <c r="E3987" t="s">
        <v>26</v>
      </c>
      <c r="F3987">
        <v>810</v>
      </c>
      <c r="G3987">
        <v>15</v>
      </c>
      <c r="H3987" s="89">
        <v>46280</v>
      </c>
      <c r="I3987" s="89">
        <v>46284</v>
      </c>
      <c r="J3987" t="s">
        <v>6303</v>
      </c>
      <c r="K3987" t="s">
        <v>6306</v>
      </c>
      <c r="L3987">
        <v>1</v>
      </c>
      <c r="M3987" t="s">
        <v>6307</v>
      </c>
      <c r="N3987" t="s">
        <v>6237</v>
      </c>
    </row>
    <row r="3988" spans="1:14" hidden="1" x14ac:dyDescent="0.25">
      <c r="A3988" t="s">
        <v>1313</v>
      </c>
      <c r="B3988" t="s">
        <v>1327</v>
      </c>
      <c r="C3988" t="s">
        <v>1358</v>
      </c>
      <c r="D3988" t="s">
        <v>20</v>
      </c>
      <c r="E3988" t="s">
        <v>22</v>
      </c>
      <c r="F3988">
        <v>288</v>
      </c>
      <c r="G3988">
        <v>6</v>
      </c>
      <c r="H3988" s="89">
        <v>46280</v>
      </c>
      <c r="I3988" s="89">
        <v>46286</v>
      </c>
      <c r="J3988" t="s">
        <v>6308</v>
      </c>
      <c r="K3988" t="s">
        <v>6309</v>
      </c>
      <c r="L3988">
        <v>1</v>
      </c>
      <c r="M3988" t="s">
        <v>6310</v>
      </c>
      <c r="N3988" t="s">
        <v>6237</v>
      </c>
    </row>
    <row r="3989" spans="1:14" hidden="1" x14ac:dyDescent="0.25">
      <c r="A3989" t="s">
        <v>1313</v>
      </c>
      <c r="B3989" t="s">
        <v>1327</v>
      </c>
      <c r="C3989" t="s">
        <v>1358</v>
      </c>
      <c r="D3989" t="s">
        <v>20</v>
      </c>
      <c r="E3989" t="s">
        <v>22</v>
      </c>
      <c r="F3989">
        <v>96</v>
      </c>
      <c r="G3989">
        <v>2</v>
      </c>
      <c r="H3989" s="89">
        <v>46280</v>
      </c>
      <c r="I3989" s="89">
        <v>46285</v>
      </c>
      <c r="J3989" t="s">
        <v>6311</v>
      </c>
      <c r="K3989" t="s">
        <v>6312</v>
      </c>
      <c r="L3989">
        <v>1</v>
      </c>
      <c r="M3989" t="s">
        <v>6313</v>
      </c>
      <c r="N3989" t="s">
        <v>6237</v>
      </c>
    </row>
    <row r="3990" spans="1:14" hidden="1" x14ac:dyDescent="0.25">
      <c r="A3990" t="s">
        <v>1315</v>
      </c>
      <c r="B3990" t="s">
        <v>1329</v>
      </c>
      <c r="C3990" t="s">
        <v>1358</v>
      </c>
      <c r="D3990" t="s">
        <v>20</v>
      </c>
      <c r="E3990" t="s">
        <v>19</v>
      </c>
      <c r="F3990">
        <v>29</v>
      </c>
      <c r="G3990" t="s">
        <v>1419</v>
      </c>
      <c r="H3990" s="89">
        <v>46280</v>
      </c>
      <c r="I3990" s="89">
        <v>46282</v>
      </c>
      <c r="J3990" t="s">
        <v>1656</v>
      </c>
      <c r="K3990" t="s">
        <v>6314</v>
      </c>
      <c r="L3990">
        <v>1</v>
      </c>
      <c r="M3990" t="s">
        <v>6315</v>
      </c>
      <c r="N3990" t="s">
        <v>6237</v>
      </c>
    </row>
    <row r="3991" spans="1:14" hidden="1" x14ac:dyDescent="0.25">
      <c r="A3991" t="s">
        <v>1316</v>
      </c>
      <c r="B3991" t="s">
        <v>1330</v>
      </c>
      <c r="C3991" t="s">
        <v>1359</v>
      </c>
      <c r="D3991" t="s">
        <v>20</v>
      </c>
      <c r="E3991" t="s">
        <v>19</v>
      </c>
      <c r="F3991">
        <v>58</v>
      </c>
      <c r="G3991" t="s">
        <v>1419</v>
      </c>
      <c r="H3991" s="89">
        <v>46280</v>
      </c>
      <c r="I3991" s="89">
        <v>46282</v>
      </c>
      <c r="J3991" t="s">
        <v>1656</v>
      </c>
      <c r="K3991" t="s">
        <v>6316</v>
      </c>
      <c r="L3991">
        <v>1</v>
      </c>
      <c r="M3991" t="s">
        <v>6317</v>
      </c>
      <c r="N3991" t="s">
        <v>6237</v>
      </c>
    </row>
    <row r="3992" spans="1:14" hidden="1" x14ac:dyDescent="0.25">
      <c r="A3992" t="s">
        <v>1317</v>
      </c>
      <c r="B3992" t="s">
        <v>1331</v>
      </c>
      <c r="C3992" t="s">
        <v>1360</v>
      </c>
      <c r="D3992" t="s">
        <v>20</v>
      </c>
      <c r="E3992" t="s">
        <v>19</v>
      </c>
      <c r="F3992">
        <v>32</v>
      </c>
      <c r="G3992" t="s">
        <v>1419</v>
      </c>
      <c r="H3992" s="89">
        <v>46280</v>
      </c>
      <c r="I3992" s="89">
        <v>46282</v>
      </c>
      <c r="J3992" t="s">
        <v>1656</v>
      </c>
      <c r="K3992" t="s">
        <v>6318</v>
      </c>
      <c r="L3992">
        <v>1</v>
      </c>
      <c r="M3992" t="s">
        <v>6319</v>
      </c>
      <c r="N3992" t="s">
        <v>6237</v>
      </c>
    </row>
    <row r="3993" spans="1:14" hidden="1" x14ac:dyDescent="0.25">
      <c r="A3993" t="s">
        <v>1318</v>
      </c>
      <c r="B3993" t="s">
        <v>1332</v>
      </c>
      <c r="C3993" t="s">
        <v>1361</v>
      </c>
      <c r="D3993" t="s">
        <v>20</v>
      </c>
      <c r="E3993" t="s">
        <v>19</v>
      </c>
      <c r="F3993">
        <v>49</v>
      </c>
      <c r="G3993" t="s">
        <v>1419</v>
      </c>
      <c r="H3993" s="89">
        <v>46280</v>
      </c>
      <c r="I3993" s="89">
        <v>46282</v>
      </c>
      <c r="J3993" t="s">
        <v>1656</v>
      </c>
      <c r="K3993" t="s">
        <v>6320</v>
      </c>
      <c r="L3993">
        <v>1</v>
      </c>
      <c r="M3993" t="s">
        <v>6321</v>
      </c>
      <c r="N3993" t="s">
        <v>6237</v>
      </c>
    </row>
    <row r="3994" spans="1:14" hidden="1" x14ac:dyDescent="0.25">
      <c r="A3994" t="s">
        <v>1324</v>
      </c>
      <c r="B3994" t="s">
        <v>1338</v>
      </c>
      <c r="C3994" t="s">
        <v>1362</v>
      </c>
      <c r="D3994" t="s">
        <v>21</v>
      </c>
      <c r="E3994" t="s">
        <v>65</v>
      </c>
      <c r="F3994">
        <v>816</v>
      </c>
      <c r="G3994">
        <v>17</v>
      </c>
      <c r="H3994" s="89">
        <v>46280</v>
      </c>
      <c r="I3994" s="89">
        <v>46287</v>
      </c>
      <c r="J3994" t="s">
        <v>6300</v>
      </c>
      <c r="K3994" t="s">
        <v>6322</v>
      </c>
      <c r="L3994">
        <v>1</v>
      </c>
      <c r="M3994" t="s">
        <v>6323</v>
      </c>
      <c r="N3994" t="s">
        <v>6237</v>
      </c>
    </row>
    <row r="3995" spans="1:14" hidden="1" x14ac:dyDescent="0.25">
      <c r="A3995" t="s">
        <v>1313</v>
      </c>
      <c r="B3995" t="s">
        <v>1327</v>
      </c>
      <c r="C3995" t="s">
        <v>1362</v>
      </c>
      <c r="D3995" t="s">
        <v>21</v>
      </c>
      <c r="E3995" t="s">
        <v>22</v>
      </c>
      <c r="F3995">
        <v>672</v>
      </c>
      <c r="G3995">
        <v>14</v>
      </c>
      <c r="H3995" s="89">
        <v>46280</v>
      </c>
      <c r="I3995" s="89">
        <v>46284</v>
      </c>
      <c r="J3995" t="s">
        <v>6240</v>
      </c>
      <c r="K3995" t="s">
        <v>6324</v>
      </c>
      <c r="L3995">
        <v>1</v>
      </c>
      <c r="M3995" t="s">
        <v>6325</v>
      </c>
      <c r="N3995" t="s">
        <v>6237</v>
      </c>
    </row>
    <row r="3996" spans="1:14" hidden="1" x14ac:dyDescent="0.25">
      <c r="A3996" t="s">
        <v>1315</v>
      </c>
      <c r="B3996" t="s">
        <v>1329</v>
      </c>
      <c r="C3996" t="s">
        <v>1362</v>
      </c>
      <c r="D3996" t="s">
        <v>21</v>
      </c>
      <c r="E3996" t="s">
        <v>19</v>
      </c>
      <c r="F3996">
        <v>104</v>
      </c>
      <c r="G3996" t="s">
        <v>1419</v>
      </c>
      <c r="H3996" s="89">
        <v>46280</v>
      </c>
      <c r="I3996" s="89">
        <v>46282</v>
      </c>
      <c r="J3996" t="s">
        <v>1656</v>
      </c>
      <c r="K3996" t="s">
        <v>6326</v>
      </c>
      <c r="L3996">
        <v>1</v>
      </c>
      <c r="M3996" t="s">
        <v>6327</v>
      </c>
      <c r="N3996" t="s">
        <v>6237</v>
      </c>
    </row>
    <row r="3997" spans="1:14" hidden="1" x14ac:dyDescent="0.25">
      <c r="A3997" t="s">
        <v>1316</v>
      </c>
      <c r="B3997" t="s">
        <v>1330</v>
      </c>
      <c r="C3997" t="s">
        <v>1363</v>
      </c>
      <c r="D3997" t="s">
        <v>21</v>
      </c>
      <c r="E3997" t="s">
        <v>19</v>
      </c>
      <c r="F3997">
        <v>28</v>
      </c>
      <c r="G3997" t="s">
        <v>1419</v>
      </c>
      <c r="H3997" s="89">
        <v>46280</v>
      </c>
      <c r="I3997" s="89">
        <v>46282</v>
      </c>
      <c r="J3997" t="s">
        <v>1656</v>
      </c>
      <c r="K3997" t="s">
        <v>6328</v>
      </c>
      <c r="L3997">
        <v>1</v>
      </c>
      <c r="M3997" t="s">
        <v>6329</v>
      </c>
      <c r="N3997" t="s">
        <v>6237</v>
      </c>
    </row>
    <row r="3998" spans="1:14" hidden="1" x14ac:dyDescent="0.25">
      <c r="A3998" t="s">
        <v>1317</v>
      </c>
      <c r="B3998" t="s">
        <v>1331</v>
      </c>
      <c r="C3998" t="s">
        <v>1364</v>
      </c>
      <c r="D3998" t="s">
        <v>21</v>
      </c>
      <c r="E3998" t="s">
        <v>19</v>
      </c>
      <c r="F3998">
        <v>24</v>
      </c>
      <c r="G3998" t="s">
        <v>1419</v>
      </c>
      <c r="H3998" s="89">
        <v>46280</v>
      </c>
      <c r="I3998" s="89">
        <v>46282</v>
      </c>
      <c r="J3998" t="s">
        <v>1656</v>
      </c>
      <c r="K3998" t="s">
        <v>6330</v>
      </c>
      <c r="L3998">
        <v>1</v>
      </c>
      <c r="M3998" t="s">
        <v>6331</v>
      </c>
      <c r="N3998" t="s">
        <v>6237</v>
      </c>
    </row>
    <row r="3999" spans="1:14" hidden="1" x14ac:dyDescent="0.25">
      <c r="A3999" t="s">
        <v>1318</v>
      </c>
      <c r="B3999" t="s">
        <v>1332</v>
      </c>
      <c r="C3999" t="s">
        <v>1365</v>
      </c>
      <c r="D3999" t="s">
        <v>21</v>
      </c>
      <c r="E3999" t="s">
        <v>19</v>
      </c>
      <c r="F3999">
        <v>67</v>
      </c>
      <c r="G3999" t="s">
        <v>1419</v>
      </c>
      <c r="H3999" s="89">
        <v>46280</v>
      </c>
      <c r="I3999" s="89">
        <v>46282</v>
      </c>
      <c r="J3999" t="s">
        <v>1656</v>
      </c>
      <c r="K3999" t="s">
        <v>6332</v>
      </c>
      <c r="L3999">
        <v>1</v>
      </c>
      <c r="M3999" t="s">
        <v>6333</v>
      </c>
      <c r="N3999" t="s">
        <v>6237</v>
      </c>
    </row>
    <row r="4000" spans="1:14" hidden="1" x14ac:dyDescent="0.25">
      <c r="A4000" t="s">
        <v>1314</v>
      </c>
      <c r="B4000" t="s">
        <v>1328</v>
      </c>
      <c r="C4000" t="s">
        <v>1366</v>
      </c>
      <c r="D4000" t="s">
        <v>15</v>
      </c>
      <c r="E4000" t="s">
        <v>16</v>
      </c>
      <c r="F4000">
        <v>288</v>
      </c>
      <c r="G4000">
        <v>6</v>
      </c>
      <c r="H4000" s="89">
        <v>46280</v>
      </c>
      <c r="I4000" s="89">
        <v>46284</v>
      </c>
      <c r="J4000" t="s">
        <v>6334</v>
      </c>
      <c r="K4000" t="s">
        <v>6335</v>
      </c>
      <c r="L4000">
        <v>1</v>
      </c>
      <c r="M4000" t="s">
        <v>6336</v>
      </c>
      <c r="N4000" t="s">
        <v>6237</v>
      </c>
    </row>
    <row r="4001" spans="1:14" hidden="1" x14ac:dyDescent="0.25">
      <c r="A4001" t="s">
        <v>1313</v>
      </c>
      <c r="B4001" t="s">
        <v>1327</v>
      </c>
      <c r="C4001" t="s">
        <v>1366</v>
      </c>
      <c r="D4001" t="s">
        <v>15</v>
      </c>
      <c r="E4001" t="s">
        <v>16</v>
      </c>
      <c r="F4001">
        <v>336</v>
      </c>
      <c r="G4001">
        <v>7</v>
      </c>
      <c r="H4001" s="89">
        <v>46280</v>
      </c>
      <c r="I4001" s="89">
        <v>46284</v>
      </c>
      <c r="J4001" t="s">
        <v>6243</v>
      </c>
      <c r="K4001" t="s">
        <v>6337</v>
      </c>
      <c r="L4001">
        <v>1</v>
      </c>
      <c r="M4001" t="s">
        <v>6338</v>
      </c>
      <c r="N4001" t="s">
        <v>6237</v>
      </c>
    </row>
    <row r="4002" spans="1:14" hidden="1" x14ac:dyDescent="0.25">
      <c r="A4002" t="s">
        <v>1313</v>
      </c>
      <c r="B4002" t="s">
        <v>1327</v>
      </c>
      <c r="C4002" t="s">
        <v>1366</v>
      </c>
      <c r="D4002" t="s">
        <v>15</v>
      </c>
      <c r="E4002" t="s">
        <v>22</v>
      </c>
      <c r="F4002">
        <v>624</v>
      </c>
      <c r="G4002">
        <v>13</v>
      </c>
      <c r="H4002" s="89">
        <v>46280</v>
      </c>
      <c r="I4002" s="89">
        <v>46285</v>
      </c>
      <c r="J4002" t="s">
        <v>6311</v>
      </c>
      <c r="K4002" t="s">
        <v>6339</v>
      </c>
      <c r="L4002">
        <v>1</v>
      </c>
      <c r="M4002" t="s">
        <v>6340</v>
      </c>
      <c r="N4002" t="s">
        <v>6237</v>
      </c>
    </row>
    <row r="4003" spans="1:14" hidden="1" x14ac:dyDescent="0.25">
      <c r="A4003" t="s">
        <v>1313</v>
      </c>
      <c r="B4003" t="s">
        <v>1327</v>
      </c>
      <c r="C4003" t="s">
        <v>1366</v>
      </c>
      <c r="D4003" t="s">
        <v>15</v>
      </c>
      <c r="E4003" t="s">
        <v>22</v>
      </c>
      <c r="F4003">
        <v>432</v>
      </c>
      <c r="G4003">
        <v>9</v>
      </c>
      <c r="H4003" s="89">
        <v>46280</v>
      </c>
      <c r="I4003" s="89">
        <v>46285</v>
      </c>
      <c r="J4003" t="s">
        <v>6311</v>
      </c>
      <c r="K4003" t="s">
        <v>6339</v>
      </c>
      <c r="L4003">
        <v>2</v>
      </c>
      <c r="M4003" t="s">
        <v>6341</v>
      </c>
      <c r="N4003" t="s">
        <v>6237</v>
      </c>
    </row>
    <row r="4004" spans="1:14" hidden="1" x14ac:dyDescent="0.25">
      <c r="A4004" t="s">
        <v>1313</v>
      </c>
      <c r="B4004" t="s">
        <v>1327</v>
      </c>
      <c r="C4004" t="s">
        <v>1366</v>
      </c>
      <c r="D4004" t="s">
        <v>15</v>
      </c>
      <c r="E4004" t="s">
        <v>18</v>
      </c>
      <c r="F4004">
        <v>48</v>
      </c>
      <c r="G4004">
        <v>1</v>
      </c>
      <c r="H4004" s="89">
        <v>46280</v>
      </c>
      <c r="I4004" s="89">
        <v>46286</v>
      </c>
      <c r="J4004" t="s">
        <v>6342</v>
      </c>
      <c r="K4004" t="s">
        <v>6343</v>
      </c>
      <c r="L4004">
        <v>1</v>
      </c>
      <c r="M4004" t="s">
        <v>6344</v>
      </c>
      <c r="N4004" t="s">
        <v>6237</v>
      </c>
    </row>
    <row r="4005" spans="1:14" hidden="1" x14ac:dyDescent="0.25">
      <c r="A4005" t="s">
        <v>1315</v>
      </c>
      <c r="B4005" t="s">
        <v>1329</v>
      </c>
      <c r="C4005" t="s">
        <v>1366</v>
      </c>
      <c r="D4005" t="s">
        <v>15</v>
      </c>
      <c r="E4005" t="s">
        <v>19</v>
      </c>
      <c r="F4005">
        <v>42</v>
      </c>
      <c r="G4005" t="s">
        <v>1419</v>
      </c>
      <c r="H4005" s="89">
        <v>46280</v>
      </c>
      <c r="I4005" s="89">
        <v>46282</v>
      </c>
      <c r="J4005" t="s">
        <v>1656</v>
      </c>
      <c r="K4005" t="s">
        <v>6345</v>
      </c>
      <c r="L4005">
        <v>1</v>
      </c>
      <c r="M4005" t="s">
        <v>6346</v>
      </c>
      <c r="N4005" t="s">
        <v>6237</v>
      </c>
    </row>
    <row r="4006" spans="1:14" hidden="1" x14ac:dyDescent="0.25">
      <c r="A4006" t="s">
        <v>1316</v>
      </c>
      <c r="B4006" t="s">
        <v>1330</v>
      </c>
      <c r="C4006" t="s">
        <v>1367</v>
      </c>
      <c r="D4006" t="s">
        <v>15</v>
      </c>
      <c r="E4006" t="s">
        <v>19</v>
      </c>
      <c r="F4006">
        <v>55</v>
      </c>
      <c r="G4006" t="s">
        <v>1419</v>
      </c>
      <c r="H4006" s="89">
        <v>46280</v>
      </c>
      <c r="I4006" s="89">
        <v>46282</v>
      </c>
      <c r="J4006" t="s">
        <v>1656</v>
      </c>
      <c r="K4006" t="s">
        <v>6347</v>
      </c>
      <c r="L4006">
        <v>1</v>
      </c>
      <c r="M4006" t="s">
        <v>6348</v>
      </c>
      <c r="N4006" t="s">
        <v>6237</v>
      </c>
    </row>
    <row r="4007" spans="1:14" hidden="1" x14ac:dyDescent="0.25">
      <c r="A4007" t="s">
        <v>1317</v>
      </c>
      <c r="B4007" t="s">
        <v>1331</v>
      </c>
      <c r="C4007" t="s">
        <v>1368</v>
      </c>
      <c r="D4007" t="s">
        <v>15</v>
      </c>
      <c r="E4007" t="s">
        <v>19</v>
      </c>
      <c r="F4007">
        <v>68</v>
      </c>
      <c r="G4007" t="s">
        <v>1419</v>
      </c>
      <c r="H4007" s="89">
        <v>46280</v>
      </c>
      <c r="I4007" s="89">
        <v>46282</v>
      </c>
      <c r="J4007" t="s">
        <v>1656</v>
      </c>
      <c r="K4007" t="s">
        <v>6349</v>
      </c>
      <c r="L4007">
        <v>1</v>
      </c>
      <c r="M4007" t="s">
        <v>6350</v>
      </c>
      <c r="N4007" t="s">
        <v>6237</v>
      </c>
    </row>
    <row r="4008" spans="1:14" hidden="1" x14ac:dyDescent="0.25">
      <c r="A4008" t="s">
        <v>1318</v>
      </c>
      <c r="B4008" t="s">
        <v>1332</v>
      </c>
      <c r="C4008" t="s">
        <v>1369</v>
      </c>
      <c r="D4008" t="s">
        <v>15</v>
      </c>
      <c r="E4008" t="s">
        <v>19</v>
      </c>
      <c r="F4008">
        <v>25</v>
      </c>
      <c r="G4008" t="s">
        <v>1419</v>
      </c>
      <c r="H4008" s="89">
        <v>46280</v>
      </c>
      <c r="I4008" s="89">
        <v>46282</v>
      </c>
      <c r="J4008" t="s">
        <v>1656</v>
      </c>
      <c r="K4008" t="s">
        <v>6351</v>
      </c>
      <c r="L4008">
        <v>1</v>
      </c>
      <c r="M4008" t="s">
        <v>6352</v>
      </c>
      <c r="N4008" t="s">
        <v>6237</v>
      </c>
    </row>
    <row r="4009" spans="1:14" hidden="1" x14ac:dyDescent="0.25">
      <c r="A4009" t="s">
        <v>1324</v>
      </c>
      <c r="B4009" t="s">
        <v>1338</v>
      </c>
      <c r="C4009" t="s">
        <v>1370</v>
      </c>
      <c r="D4009" t="s">
        <v>24</v>
      </c>
      <c r="E4009" t="s">
        <v>25</v>
      </c>
      <c r="F4009">
        <v>768</v>
      </c>
      <c r="G4009">
        <v>16</v>
      </c>
      <c r="H4009" s="89">
        <v>46281</v>
      </c>
      <c r="I4009" s="89">
        <v>46288</v>
      </c>
      <c r="J4009" t="s">
        <v>6353</v>
      </c>
      <c r="K4009" t="s">
        <v>6354</v>
      </c>
      <c r="L4009">
        <v>1</v>
      </c>
      <c r="M4009" t="s">
        <v>6355</v>
      </c>
      <c r="N4009" t="s">
        <v>6237</v>
      </c>
    </row>
    <row r="4010" spans="1:14" hidden="1" x14ac:dyDescent="0.25">
      <c r="A4010" t="s">
        <v>1320</v>
      </c>
      <c r="B4010" t="s">
        <v>1334</v>
      </c>
      <c r="C4010" t="s">
        <v>1371</v>
      </c>
      <c r="D4010" t="s">
        <v>23</v>
      </c>
      <c r="E4010" t="s">
        <v>14</v>
      </c>
      <c r="F4010">
        <v>432</v>
      </c>
      <c r="G4010">
        <v>9</v>
      </c>
      <c r="H4010" s="89">
        <v>46281</v>
      </c>
      <c r="I4010" s="89">
        <v>46286</v>
      </c>
      <c r="J4010" t="s">
        <v>6297</v>
      </c>
      <c r="K4010" t="s">
        <v>6356</v>
      </c>
      <c r="L4010">
        <v>1</v>
      </c>
      <c r="M4010" t="s">
        <v>6357</v>
      </c>
      <c r="N4010" t="s">
        <v>6237</v>
      </c>
    </row>
    <row r="4011" spans="1:14" hidden="1" x14ac:dyDescent="0.25">
      <c r="A4011" t="s">
        <v>1313</v>
      </c>
      <c r="B4011" t="s">
        <v>1327</v>
      </c>
      <c r="C4011" t="s">
        <v>1371</v>
      </c>
      <c r="D4011" t="s">
        <v>23</v>
      </c>
      <c r="E4011" t="s">
        <v>22</v>
      </c>
      <c r="F4011">
        <v>480</v>
      </c>
      <c r="G4011">
        <v>10</v>
      </c>
      <c r="H4011" s="89">
        <v>46281</v>
      </c>
      <c r="I4011" s="89">
        <v>46286</v>
      </c>
      <c r="J4011" t="s">
        <v>6308</v>
      </c>
      <c r="K4011" t="s">
        <v>6358</v>
      </c>
      <c r="L4011">
        <v>1</v>
      </c>
      <c r="M4011" t="s">
        <v>6359</v>
      </c>
      <c r="N4011" t="s">
        <v>6237</v>
      </c>
    </row>
    <row r="4012" spans="1:14" hidden="1" x14ac:dyDescent="0.25">
      <c r="A4012" t="s">
        <v>1325</v>
      </c>
      <c r="B4012" t="s">
        <v>1339</v>
      </c>
      <c r="C4012" t="s">
        <v>1372</v>
      </c>
      <c r="D4012" t="s">
        <v>27</v>
      </c>
      <c r="E4012" t="s">
        <v>19</v>
      </c>
      <c r="F4012">
        <v>384</v>
      </c>
      <c r="G4012">
        <v>8</v>
      </c>
      <c r="H4012" s="89">
        <v>46282</v>
      </c>
      <c r="I4012" s="89">
        <v>46284</v>
      </c>
      <c r="J4012" t="s">
        <v>1656</v>
      </c>
      <c r="K4012" t="s">
        <v>6360</v>
      </c>
      <c r="L4012">
        <v>1</v>
      </c>
      <c r="M4012" t="s">
        <v>6361</v>
      </c>
      <c r="N4012" t="s">
        <v>6237</v>
      </c>
    </row>
    <row r="4013" spans="1:14" hidden="1" x14ac:dyDescent="0.25">
      <c r="A4013" t="s">
        <v>1320</v>
      </c>
      <c r="B4013" t="s">
        <v>1334</v>
      </c>
      <c r="C4013" t="s">
        <v>1373</v>
      </c>
      <c r="D4013" t="s">
        <v>30</v>
      </c>
      <c r="E4013" t="s">
        <v>14</v>
      </c>
      <c r="F4013">
        <v>480</v>
      </c>
      <c r="G4013">
        <v>10</v>
      </c>
      <c r="H4013" s="89">
        <v>46282</v>
      </c>
      <c r="I4013" s="89">
        <v>46289</v>
      </c>
      <c r="J4013" t="s">
        <v>6362</v>
      </c>
      <c r="K4013" t="s">
        <v>6363</v>
      </c>
      <c r="L4013">
        <v>1</v>
      </c>
      <c r="M4013" t="s">
        <v>6364</v>
      </c>
      <c r="N4013" t="s">
        <v>6237</v>
      </c>
    </row>
    <row r="4014" spans="1:14" hidden="1" x14ac:dyDescent="0.25">
      <c r="A4014" t="s">
        <v>1324</v>
      </c>
      <c r="B4014" t="s">
        <v>1338</v>
      </c>
      <c r="C4014" t="s">
        <v>1374</v>
      </c>
      <c r="D4014" t="s">
        <v>24</v>
      </c>
      <c r="E4014" t="s">
        <v>25</v>
      </c>
      <c r="F4014">
        <v>192</v>
      </c>
      <c r="G4014">
        <v>4</v>
      </c>
      <c r="H4014" s="89">
        <v>46282</v>
      </c>
      <c r="I4014" s="89">
        <v>46288</v>
      </c>
      <c r="J4014" t="s">
        <v>6353</v>
      </c>
      <c r="K4014" t="s">
        <v>6365</v>
      </c>
      <c r="L4014">
        <v>1</v>
      </c>
      <c r="M4014" t="s">
        <v>6366</v>
      </c>
      <c r="N4014" t="s">
        <v>6237</v>
      </c>
    </row>
    <row r="4015" spans="1:14" hidden="1" x14ac:dyDescent="0.25">
      <c r="A4015" t="s">
        <v>1324</v>
      </c>
      <c r="B4015" t="s">
        <v>1338</v>
      </c>
      <c r="C4015" t="s">
        <v>1374</v>
      </c>
      <c r="D4015" t="s">
        <v>24</v>
      </c>
      <c r="E4015" t="s">
        <v>25</v>
      </c>
      <c r="F4015">
        <v>960</v>
      </c>
      <c r="G4015">
        <v>20</v>
      </c>
      <c r="H4015" s="89">
        <v>46282</v>
      </c>
      <c r="I4015" s="89">
        <v>46288</v>
      </c>
      <c r="J4015" t="s">
        <v>6353</v>
      </c>
      <c r="K4015" t="s">
        <v>6367</v>
      </c>
      <c r="L4015">
        <v>1</v>
      </c>
      <c r="M4015" t="s">
        <v>6368</v>
      </c>
      <c r="N4015" t="s">
        <v>6237</v>
      </c>
    </row>
    <row r="4016" spans="1:14" hidden="1" x14ac:dyDescent="0.25">
      <c r="A4016" t="s">
        <v>1313</v>
      </c>
      <c r="B4016" t="s">
        <v>1327</v>
      </c>
      <c r="C4016" t="s">
        <v>1375</v>
      </c>
      <c r="D4016" t="s">
        <v>23</v>
      </c>
      <c r="E4016" t="s">
        <v>22</v>
      </c>
      <c r="F4016">
        <v>192</v>
      </c>
      <c r="G4016">
        <v>4</v>
      </c>
      <c r="H4016" s="89">
        <v>46282</v>
      </c>
      <c r="I4016" s="89">
        <v>46286</v>
      </c>
      <c r="J4016" t="s">
        <v>6308</v>
      </c>
      <c r="K4016" t="s">
        <v>6369</v>
      </c>
      <c r="L4016">
        <v>1</v>
      </c>
      <c r="M4016" t="s">
        <v>6370</v>
      </c>
      <c r="N4016" t="s">
        <v>6237</v>
      </c>
    </row>
    <row r="4017" spans="1:14" hidden="1" x14ac:dyDescent="0.25">
      <c r="A4017" t="s">
        <v>1313</v>
      </c>
      <c r="B4017" t="s">
        <v>1327</v>
      </c>
      <c r="C4017" t="s">
        <v>1376</v>
      </c>
      <c r="D4017" t="s">
        <v>24</v>
      </c>
      <c r="E4017" t="s">
        <v>22</v>
      </c>
      <c r="F4017">
        <v>192</v>
      </c>
      <c r="G4017">
        <v>4</v>
      </c>
      <c r="H4017" s="89">
        <v>46283</v>
      </c>
      <c r="I4017" s="89">
        <v>46289</v>
      </c>
      <c r="J4017" t="s">
        <v>6371</v>
      </c>
      <c r="K4017" t="s">
        <v>6372</v>
      </c>
      <c r="L4017">
        <v>1</v>
      </c>
      <c r="M4017" t="s">
        <v>6373</v>
      </c>
      <c r="N4017" t="s">
        <v>6237</v>
      </c>
    </row>
    <row r="4018" spans="1:14" hidden="1" x14ac:dyDescent="0.25">
      <c r="A4018" t="s">
        <v>1320</v>
      </c>
      <c r="B4018" t="s">
        <v>1334</v>
      </c>
      <c r="C4018" t="s">
        <v>1375</v>
      </c>
      <c r="D4018" t="s">
        <v>23</v>
      </c>
      <c r="E4018" t="s">
        <v>14</v>
      </c>
      <c r="F4018">
        <v>624</v>
      </c>
      <c r="G4018">
        <v>13</v>
      </c>
      <c r="H4018" s="89">
        <v>46282</v>
      </c>
      <c r="I4018" s="89">
        <v>46286</v>
      </c>
      <c r="J4018" t="s">
        <v>6374</v>
      </c>
      <c r="K4018" t="s">
        <v>6375</v>
      </c>
      <c r="L4018">
        <v>1</v>
      </c>
      <c r="M4018" t="s">
        <v>6376</v>
      </c>
      <c r="N4018" t="s">
        <v>6237</v>
      </c>
    </row>
    <row r="4019" spans="1:14" hidden="1" x14ac:dyDescent="0.25">
      <c r="A4019" t="s">
        <v>1313</v>
      </c>
      <c r="B4019" t="s">
        <v>1327</v>
      </c>
      <c r="C4019" t="s">
        <v>1377</v>
      </c>
      <c r="D4019" t="s">
        <v>15</v>
      </c>
      <c r="E4019" t="s">
        <v>18</v>
      </c>
      <c r="F4019">
        <v>1008</v>
      </c>
      <c r="G4019">
        <v>21</v>
      </c>
      <c r="H4019" s="89">
        <v>46282</v>
      </c>
      <c r="I4019" s="89">
        <v>46286</v>
      </c>
      <c r="J4019" t="s">
        <v>6342</v>
      </c>
      <c r="K4019" t="s">
        <v>6377</v>
      </c>
      <c r="L4019">
        <v>1</v>
      </c>
      <c r="M4019" t="s">
        <v>6378</v>
      </c>
      <c r="N4019" t="s">
        <v>6237</v>
      </c>
    </row>
    <row r="4020" spans="1:14" hidden="1" x14ac:dyDescent="0.25">
      <c r="A4020" t="s">
        <v>1314</v>
      </c>
      <c r="B4020" t="s">
        <v>1328</v>
      </c>
      <c r="C4020" t="s">
        <v>1377</v>
      </c>
      <c r="D4020" t="s">
        <v>15</v>
      </c>
      <c r="E4020" t="s">
        <v>18</v>
      </c>
      <c r="F4020">
        <v>96</v>
      </c>
      <c r="G4020">
        <v>2</v>
      </c>
      <c r="H4020" s="89">
        <v>46282</v>
      </c>
      <c r="I4020" s="89">
        <v>46286</v>
      </c>
      <c r="J4020" t="s">
        <v>6342</v>
      </c>
      <c r="K4020" t="s">
        <v>6379</v>
      </c>
      <c r="L4020">
        <v>1</v>
      </c>
      <c r="M4020" t="s">
        <v>6380</v>
      </c>
      <c r="N4020" t="s">
        <v>6237</v>
      </c>
    </row>
    <row r="4021" spans="1:14" hidden="1" x14ac:dyDescent="0.25">
      <c r="A4021" t="s">
        <v>1314</v>
      </c>
      <c r="B4021" t="s">
        <v>1328</v>
      </c>
      <c r="C4021" t="s">
        <v>1377</v>
      </c>
      <c r="D4021" t="s">
        <v>15</v>
      </c>
      <c r="E4021" t="s">
        <v>16</v>
      </c>
      <c r="F4021">
        <v>288</v>
      </c>
      <c r="G4021">
        <v>6</v>
      </c>
      <c r="H4021" s="89">
        <v>46282</v>
      </c>
      <c r="I4021" s="89">
        <v>46286</v>
      </c>
      <c r="J4021" t="s">
        <v>6381</v>
      </c>
      <c r="K4021" t="s">
        <v>6382</v>
      </c>
      <c r="L4021">
        <v>1</v>
      </c>
      <c r="M4021" t="s">
        <v>6383</v>
      </c>
      <c r="N4021" t="s">
        <v>6237</v>
      </c>
    </row>
    <row r="4022" spans="1:14" hidden="1" x14ac:dyDescent="0.25">
      <c r="A4022" t="s">
        <v>1313</v>
      </c>
      <c r="B4022" t="s">
        <v>1327</v>
      </c>
      <c r="C4022" t="s">
        <v>1377</v>
      </c>
      <c r="D4022" t="s">
        <v>15</v>
      </c>
      <c r="E4022" t="s">
        <v>22</v>
      </c>
      <c r="F4022">
        <v>192</v>
      </c>
      <c r="G4022">
        <v>4</v>
      </c>
      <c r="H4022" s="89">
        <v>46282</v>
      </c>
      <c r="I4022" s="89">
        <v>46286</v>
      </c>
      <c r="J4022" t="s">
        <v>6308</v>
      </c>
      <c r="K4022" t="s">
        <v>6384</v>
      </c>
      <c r="L4022">
        <v>1</v>
      </c>
      <c r="M4022" t="s">
        <v>6385</v>
      </c>
      <c r="N4022" t="s">
        <v>6237</v>
      </c>
    </row>
    <row r="4023" spans="1:14" hidden="1" x14ac:dyDescent="0.25">
      <c r="A4023" t="s">
        <v>1313</v>
      </c>
      <c r="B4023" t="s">
        <v>1327</v>
      </c>
      <c r="C4023" t="s">
        <v>1377</v>
      </c>
      <c r="D4023" t="s">
        <v>15</v>
      </c>
      <c r="E4023" t="s">
        <v>18</v>
      </c>
      <c r="F4023">
        <v>48</v>
      </c>
      <c r="G4023">
        <v>1</v>
      </c>
      <c r="H4023" s="89">
        <v>46282</v>
      </c>
      <c r="I4023" s="89">
        <v>46288</v>
      </c>
      <c r="J4023" t="s">
        <v>6386</v>
      </c>
      <c r="K4023" t="s">
        <v>6387</v>
      </c>
      <c r="L4023">
        <v>1</v>
      </c>
      <c r="M4023" t="s">
        <v>6388</v>
      </c>
      <c r="N4023" t="s">
        <v>6237</v>
      </c>
    </row>
    <row r="4024" spans="1:14" hidden="1" x14ac:dyDescent="0.25">
      <c r="A4024" t="s">
        <v>1315</v>
      </c>
      <c r="B4024" t="s">
        <v>1329</v>
      </c>
      <c r="C4024" t="s">
        <v>1377</v>
      </c>
      <c r="D4024" t="s">
        <v>15</v>
      </c>
      <c r="E4024" t="s">
        <v>19</v>
      </c>
      <c r="F4024">
        <v>23</v>
      </c>
      <c r="G4024" t="s">
        <v>1419</v>
      </c>
      <c r="H4024" s="89">
        <v>46282</v>
      </c>
      <c r="I4024" s="89">
        <v>46284</v>
      </c>
      <c r="J4024" t="s">
        <v>1656</v>
      </c>
      <c r="K4024" t="s">
        <v>6389</v>
      </c>
      <c r="L4024">
        <v>1</v>
      </c>
      <c r="M4024" t="s">
        <v>6390</v>
      </c>
      <c r="N4024" t="s">
        <v>6237</v>
      </c>
    </row>
    <row r="4025" spans="1:14" hidden="1" x14ac:dyDescent="0.25">
      <c r="A4025" t="s">
        <v>1316</v>
      </c>
      <c r="B4025" t="s">
        <v>1330</v>
      </c>
      <c r="C4025" t="s">
        <v>1378</v>
      </c>
      <c r="D4025" t="s">
        <v>15</v>
      </c>
      <c r="E4025" t="s">
        <v>19</v>
      </c>
      <c r="F4025">
        <v>49</v>
      </c>
      <c r="G4025" t="s">
        <v>1419</v>
      </c>
      <c r="H4025" s="89">
        <v>46282</v>
      </c>
      <c r="I4025" s="89">
        <v>46284</v>
      </c>
      <c r="J4025" t="s">
        <v>1656</v>
      </c>
      <c r="K4025" t="s">
        <v>6391</v>
      </c>
      <c r="L4025">
        <v>1</v>
      </c>
      <c r="M4025" t="s">
        <v>6392</v>
      </c>
      <c r="N4025" t="s">
        <v>6237</v>
      </c>
    </row>
    <row r="4026" spans="1:14" hidden="1" x14ac:dyDescent="0.25">
      <c r="A4026" t="s">
        <v>1317</v>
      </c>
      <c r="B4026" t="s">
        <v>1331</v>
      </c>
      <c r="C4026" t="s">
        <v>1379</v>
      </c>
      <c r="D4026" t="s">
        <v>15</v>
      </c>
      <c r="E4026" t="s">
        <v>19</v>
      </c>
      <c r="F4026">
        <v>45</v>
      </c>
      <c r="G4026" t="s">
        <v>1419</v>
      </c>
      <c r="H4026" s="89">
        <v>46282</v>
      </c>
      <c r="I4026" s="89">
        <v>46284</v>
      </c>
      <c r="J4026" t="s">
        <v>1656</v>
      </c>
      <c r="K4026" t="s">
        <v>6393</v>
      </c>
      <c r="L4026">
        <v>1</v>
      </c>
      <c r="M4026" t="s">
        <v>6394</v>
      </c>
      <c r="N4026" t="s">
        <v>6237</v>
      </c>
    </row>
    <row r="4027" spans="1:14" hidden="1" x14ac:dyDescent="0.25">
      <c r="A4027" t="s">
        <v>1318</v>
      </c>
      <c r="B4027" t="s">
        <v>1332</v>
      </c>
      <c r="C4027" t="s">
        <v>1380</v>
      </c>
      <c r="D4027" t="s">
        <v>15</v>
      </c>
      <c r="E4027" t="s">
        <v>19</v>
      </c>
      <c r="F4027">
        <v>35</v>
      </c>
      <c r="G4027" t="s">
        <v>1419</v>
      </c>
      <c r="H4027" s="89">
        <v>46282</v>
      </c>
      <c r="I4027" s="89">
        <v>46284</v>
      </c>
      <c r="J4027" t="s">
        <v>1656</v>
      </c>
      <c r="K4027" t="s">
        <v>6395</v>
      </c>
      <c r="L4027">
        <v>1</v>
      </c>
      <c r="M4027" t="s">
        <v>6396</v>
      </c>
      <c r="N4027" t="s">
        <v>6237</v>
      </c>
    </row>
    <row r="4028" spans="1:14" hidden="1" x14ac:dyDescent="0.25">
      <c r="A4028" t="s">
        <v>1313</v>
      </c>
      <c r="B4028" t="s">
        <v>1327</v>
      </c>
      <c r="C4028" t="s">
        <v>1381</v>
      </c>
      <c r="D4028" t="s">
        <v>20</v>
      </c>
      <c r="E4028" t="s">
        <v>17</v>
      </c>
      <c r="F4028">
        <v>1104</v>
      </c>
      <c r="G4028">
        <v>23</v>
      </c>
      <c r="H4028" s="89">
        <v>46282</v>
      </c>
      <c r="I4028" s="89">
        <v>46286</v>
      </c>
      <c r="J4028" t="s">
        <v>6397</v>
      </c>
      <c r="K4028" t="s">
        <v>6398</v>
      </c>
      <c r="L4028">
        <v>1</v>
      </c>
      <c r="M4028" t="s">
        <v>6399</v>
      </c>
      <c r="N4028" t="s">
        <v>6237</v>
      </c>
    </row>
    <row r="4029" spans="1:14" hidden="1" x14ac:dyDescent="0.25">
      <c r="A4029" t="s">
        <v>1319</v>
      </c>
      <c r="B4029" t="s">
        <v>1333</v>
      </c>
      <c r="C4029" t="s">
        <v>1381</v>
      </c>
      <c r="D4029" t="s">
        <v>20</v>
      </c>
      <c r="E4029" t="s">
        <v>17</v>
      </c>
      <c r="F4029">
        <v>48</v>
      </c>
      <c r="G4029">
        <v>1</v>
      </c>
      <c r="H4029" s="89">
        <v>46282</v>
      </c>
      <c r="I4029" s="89">
        <v>46286</v>
      </c>
      <c r="J4029" t="s">
        <v>6397</v>
      </c>
      <c r="K4029" t="s">
        <v>6400</v>
      </c>
      <c r="L4029">
        <v>1</v>
      </c>
      <c r="M4029" t="s">
        <v>6401</v>
      </c>
      <c r="N4029" t="s">
        <v>6237</v>
      </c>
    </row>
    <row r="4030" spans="1:14" hidden="1" x14ac:dyDescent="0.25">
      <c r="A4030" t="s">
        <v>1313</v>
      </c>
      <c r="B4030" t="s">
        <v>1327</v>
      </c>
      <c r="C4030" t="s">
        <v>1381</v>
      </c>
      <c r="D4030" t="s">
        <v>20</v>
      </c>
      <c r="E4030" t="s">
        <v>19</v>
      </c>
      <c r="F4030">
        <v>288</v>
      </c>
      <c r="G4030">
        <v>6</v>
      </c>
      <c r="H4030" s="89">
        <v>46282</v>
      </c>
      <c r="I4030" s="89">
        <v>46287</v>
      </c>
      <c r="J4030" t="s">
        <v>1656</v>
      </c>
      <c r="K4030" t="s">
        <v>6402</v>
      </c>
      <c r="L4030">
        <v>1</v>
      </c>
      <c r="M4030" t="s">
        <v>6403</v>
      </c>
      <c r="N4030" t="s">
        <v>6237</v>
      </c>
    </row>
    <row r="4031" spans="1:14" hidden="1" x14ac:dyDescent="0.25">
      <c r="A4031" t="s">
        <v>1315</v>
      </c>
      <c r="B4031" t="s">
        <v>1329</v>
      </c>
      <c r="C4031" t="s">
        <v>1381</v>
      </c>
      <c r="D4031" t="s">
        <v>20</v>
      </c>
      <c r="E4031" t="s">
        <v>19</v>
      </c>
      <c r="F4031">
        <v>95</v>
      </c>
      <c r="G4031" t="s">
        <v>1419</v>
      </c>
      <c r="H4031" s="89">
        <v>46282</v>
      </c>
      <c r="I4031" s="89">
        <v>46284</v>
      </c>
      <c r="J4031" t="s">
        <v>1656</v>
      </c>
      <c r="K4031" t="s">
        <v>6404</v>
      </c>
      <c r="L4031">
        <v>1</v>
      </c>
      <c r="M4031" t="s">
        <v>6405</v>
      </c>
      <c r="N4031" t="s">
        <v>6237</v>
      </c>
    </row>
    <row r="4032" spans="1:14" hidden="1" x14ac:dyDescent="0.25">
      <c r="A4032" t="s">
        <v>1316</v>
      </c>
      <c r="B4032" t="s">
        <v>1330</v>
      </c>
      <c r="C4032" t="s">
        <v>1382</v>
      </c>
      <c r="D4032" t="s">
        <v>20</v>
      </c>
      <c r="E4032" t="s">
        <v>19</v>
      </c>
      <c r="F4032">
        <v>78</v>
      </c>
      <c r="G4032" t="s">
        <v>1419</v>
      </c>
      <c r="H4032" s="89">
        <v>46282</v>
      </c>
      <c r="I4032" s="89">
        <v>46284</v>
      </c>
      <c r="J4032" t="s">
        <v>1656</v>
      </c>
      <c r="K4032" t="s">
        <v>6406</v>
      </c>
      <c r="L4032">
        <v>1</v>
      </c>
      <c r="M4032" t="s">
        <v>6407</v>
      </c>
      <c r="N4032" t="s">
        <v>6237</v>
      </c>
    </row>
    <row r="4033" spans="1:14" hidden="1" x14ac:dyDescent="0.25">
      <c r="A4033" t="s">
        <v>1317</v>
      </c>
      <c r="B4033" t="s">
        <v>1331</v>
      </c>
      <c r="C4033" t="s">
        <v>1383</v>
      </c>
      <c r="D4033" t="s">
        <v>20</v>
      </c>
      <c r="E4033" t="s">
        <v>19</v>
      </c>
      <c r="F4033">
        <v>47</v>
      </c>
      <c r="G4033" t="s">
        <v>1419</v>
      </c>
      <c r="H4033" s="89">
        <v>46282</v>
      </c>
      <c r="I4033" s="89">
        <v>46284</v>
      </c>
      <c r="J4033" t="s">
        <v>1656</v>
      </c>
      <c r="K4033" t="s">
        <v>6408</v>
      </c>
      <c r="L4033">
        <v>1</v>
      </c>
      <c r="M4033" t="s">
        <v>6409</v>
      </c>
      <c r="N4033" t="s">
        <v>6237</v>
      </c>
    </row>
    <row r="4034" spans="1:14" hidden="1" x14ac:dyDescent="0.25">
      <c r="A4034" t="s">
        <v>1318</v>
      </c>
      <c r="B4034" t="s">
        <v>1332</v>
      </c>
      <c r="C4034" t="s">
        <v>1384</v>
      </c>
      <c r="D4034" t="s">
        <v>20</v>
      </c>
      <c r="E4034" t="s">
        <v>19</v>
      </c>
      <c r="F4034">
        <v>62</v>
      </c>
      <c r="G4034" t="s">
        <v>1419</v>
      </c>
      <c r="H4034" s="89">
        <v>46282</v>
      </c>
      <c r="I4034" s="89">
        <v>46284</v>
      </c>
      <c r="J4034" t="s">
        <v>1656</v>
      </c>
      <c r="K4034" t="s">
        <v>6410</v>
      </c>
      <c r="L4034">
        <v>1</v>
      </c>
      <c r="M4034" t="s">
        <v>6411</v>
      </c>
      <c r="N4034" t="s">
        <v>6237</v>
      </c>
    </row>
    <row r="4035" spans="1:14" hidden="1" x14ac:dyDescent="0.25">
      <c r="A4035" t="s">
        <v>1313</v>
      </c>
      <c r="B4035" t="s">
        <v>1327</v>
      </c>
      <c r="C4035" t="s">
        <v>1385</v>
      </c>
      <c r="D4035" t="s">
        <v>21</v>
      </c>
      <c r="E4035" t="s">
        <v>16</v>
      </c>
      <c r="F4035">
        <v>576</v>
      </c>
      <c r="G4035">
        <v>12</v>
      </c>
      <c r="H4035" s="89">
        <v>46282</v>
      </c>
      <c r="I4035" s="89">
        <v>46286</v>
      </c>
      <c r="J4035" t="s">
        <v>6412</v>
      </c>
      <c r="K4035" t="s">
        <v>6413</v>
      </c>
      <c r="L4035">
        <v>1</v>
      </c>
      <c r="M4035" t="s">
        <v>6414</v>
      </c>
      <c r="N4035" t="s">
        <v>6237</v>
      </c>
    </row>
    <row r="4036" spans="1:14" hidden="1" x14ac:dyDescent="0.25">
      <c r="A4036" t="s">
        <v>1324</v>
      </c>
      <c r="B4036" t="s">
        <v>1338</v>
      </c>
      <c r="C4036" t="s">
        <v>1385</v>
      </c>
      <c r="D4036" t="s">
        <v>21</v>
      </c>
      <c r="E4036" t="s">
        <v>65</v>
      </c>
      <c r="F4036">
        <v>960</v>
      </c>
      <c r="G4036">
        <v>20</v>
      </c>
      <c r="H4036" s="89">
        <v>46282</v>
      </c>
      <c r="I4036" s="89">
        <v>46287</v>
      </c>
      <c r="J4036" t="s">
        <v>6300</v>
      </c>
      <c r="K4036" t="s">
        <v>6415</v>
      </c>
      <c r="L4036">
        <v>1</v>
      </c>
      <c r="M4036" t="s">
        <v>6416</v>
      </c>
      <c r="N4036" t="s">
        <v>6237</v>
      </c>
    </row>
    <row r="4037" spans="1:14" hidden="1" x14ac:dyDescent="0.25">
      <c r="A4037" t="s">
        <v>1315</v>
      </c>
      <c r="B4037" t="s">
        <v>1329</v>
      </c>
      <c r="C4037" t="s">
        <v>1385</v>
      </c>
      <c r="D4037" t="s">
        <v>21</v>
      </c>
      <c r="E4037" t="s">
        <v>19</v>
      </c>
      <c r="F4037">
        <v>92</v>
      </c>
      <c r="G4037" t="s">
        <v>1419</v>
      </c>
      <c r="H4037" s="89">
        <v>46282</v>
      </c>
      <c r="I4037" s="89">
        <v>46284</v>
      </c>
      <c r="J4037" t="s">
        <v>1656</v>
      </c>
      <c r="K4037" t="s">
        <v>6417</v>
      </c>
      <c r="L4037">
        <v>1</v>
      </c>
      <c r="M4037" t="s">
        <v>6418</v>
      </c>
      <c r="N4037" t="s">
        <v>6237</v>
      </c>
    </row>
    <row r="4038" spans="1:14" hidden="1" x14ac:dyDescent="0.25">
      <c r="A4038" t="s">
        <v>1316</v>
      </c>
      <c r="B4038" t="s">
        <v>1330</v>
      </c>
      <c r="C4038" t="s">
        <v>1386</v>
      </c>
      <c r="D4038" t="s">
        <v>21</v>
      </c>
      <c r="E4038" t="s">
        <v>19</v>
      </c>
      <c r="F4038">
        <v>34</v>
      </c>
      <c r="G4038" t="s">
        <v>1419</v>
      </c>
      <c r="H4038" s="89">
        <v>46282</v>
      </c>
      <c r="I4038" s="89">
        <v>46284</v>
      </c>
      <c r="J4038" t="s">
        <v>1656</v>
      </c>
      <c r="K4038" t="s">
        <v>6419</v>
      </c>
      <c r="L4038">
        <v>1</v>
      </c>
      <c r="M4038" t="s">
        <v>6420</v>
      </c>
      <c r="N4038" t="s">
        <v>6237</v>
      </c>
    </row>
    <row r="4039" spans="1:14" hidden="1" x14ac:dyDescent="0.25">
      <c r="A4039" t="s">
        <v>1317</v>
      </c>
      <c r="B4039" t="s">
        <v>1331</v>
      </c>
      <c r="C4039" t="s">
        <v>1387</v>
      </c>
      <c r="D4039" t="s">
        <v>21</v>
      </c>
      <c r="E4039" t="s">
        <v>19</v>
      </c>
      <c r="F4039">
        <v>20</v>
      </c>
      <c r="G4039" t="s">
        <v>1419</v>
      </c>
      <c r="H4039" s="89">
        <v>46282</v>
      </c>
      <c r="I4039" s="89">
        <v>46284</v>
      </c>
      <c r="J4039" t="s">
        <v>1656</v>
      </c>
      <c r="K4039" t="s">
        <v>6421</v>
      </c>
      <c r="L4039">
        <v>1</v>
      </c>
      <c r="M4039" t="s">
        <v>6422</v>
      </c>
      <c r="N4039" t="s">
        <v>6237</v>
      </c>
    </row>
    <row r="4040" spans="1:14" hidden="1" x14ac:dyDescent="0.25">
      <c r="A4040" t="s">
        <v>1318</v>
      </c>
      <c r="B4040" t="s">
        <v>1332</v>
      </c>
      <c r="C4040" t="s">
        <v>1388</v>
      </c>
      <c r="D4040" t="s">
        <v>21</v>
      </c>
      <c r="E4040" t="s">
        <v>19</v>
      </c>
      <c r="F4040">
        <v>66</v>
      </c>
      <c r="G4040" t="s">
        <v>1419</v>
      </c>
      <c r="H4040" s="89">
        <v>46282</v>
      </c>
      <c r="I4040" s="89">
        <v>46284</v>
      </c>
      <c r="J4040" t="s">
        <v>1656</v>
      </c>
      <c r="K4040" t="s">
        <v>6423</v>
      </c>
      <c r="L4040">
        <v>1</v>
      </c>
      <c r="M4040" t="s">
        <v>6424</v>
      </c>
      <c r="N4040" t="s">
        <v>6237</v>
      </c>
    </row>
    <row r="4041" spans="1:14" hidden="1" x14ac:dyDescent="0.25">
      <c r="A4041" t="s">
        <v>1320</v>
      </c>
      <c r="B4041" t="s">
        <v>1334</v>
      </c>
      <c r="C4041" t="s">
        <v>1389</v>
      </c>
      <c r="D4041" t="s">
        <v>30</v>
      </c>
      <c r="E4041" t="s">
        <v>14</v>
      </c>
      <c r="F4041">
        <v>480</v>
      </c>
      <c r="G4041">
        <v>10</v>
      </c>
      <c r="H4041" s="89">
        <v>46283</v>
      </c>
      <c r="I4041" s="89">
        <v>46289</v>
      </c>
      <c r="J4041" t="s">
        <v>6362</v>
      </c>
      <c r="K4041" t="s">
        <v>6425</v>
      </c>
      <c r="L4041">
        <v>1</v>
      </c>
      <c r="M4041" t="s">
        <v>6426</v>
      </c>
      <c r="N4041" t="s">
        <v>6237</v>
      </c>
    </row>
    <row r="4042" spans="1:14" hidden="1" x14ac:dyDescent="0.25">
      <c r="A4042" t="s">
        <v>1320</v>
      </c>
      <c r="B4042" t="s">
        <v>1334</v>
      </c>
      <c r="C4042" t="s">
        <v>1390</v>
      </c>
      <c r="D4042" t="s">
        <v>23</v>
      </c>
      <c r="E4042" t="s">
        <v>14</v>
      </c>
      <c r="F4042">
        <v>336</v>
      </c>
      <c r="G4042">
        <v>7</v>
      </c>
      <c r="H4042" s="89">
        <v>46283</v>
      </c>
      <c r="I4042" s="89">
        <v>46286</v>
      </c>
      <c r="J4042" t="s">
        <v>6374</v>
      </c>
      <c r="K4042" t="s">
        <v>6427</v>
      </c>
      <c r="L4042">
        <v>1</v>
      </c>
      <c r="M4042" t="s">
        <v>6428</v>
      </c>
      <c r="N4042" t="s">
        <v>6237</v>
      </c>
    </row>
    <row r="4043" spans="1:14" hidden="1" x14ac:dyDescent="0.25">
      <c r="A4043" t="s">
        <v>1313</v>
      </c>
      <c r="B4043" t="s">
        <v>1327</v>
      </c>
      <c r="C4043" t="s">
        <v>1391</v>
      </c>
      <c r="D4043" t="s">
        <v>20</v>
      </c>
      <c r="E4043" t="s">
        <v>16</v>
      </c>
      <c r="F4043">
        <v>288</v>
      </c>
      <c r="G4043">
        <v>6</v>
      </c>
      <c r="H4043" s="89">
        <v>46283</v>
      </c>
      <c r="I4043" s="89">
        <v>46286</v>
      </c>
      <c r="J4043" t="s">
        <v>6412</v>
      </c>
      <c r="K4043" t="s">
        <v>6429</v>
      </c>
      <c r="L4043">
        <v>1</v>
      </c>
      <c r="M4043" t="s">
        <v>6430</v>
      </c>
      <c r="N4043" t="s">
        <v>6237</v>
      </c>
    </row>
    <row r="4044" spans="1:14" hidden="1" x14ac:dyDescent="0.25">
      <c r="A4044" t="s">
        <v>1313</v>
      </c>
      <c r="B4044" t="s">
        <v>1327</v>
      </c>
      <c r="C4044" t="s">
        <v>1391</v>
      </c>
      <c r="D4044" t="s">
        <v>20</v>
      </c>
      <c r="E4044" t="s">
        <v>16</v>
      </c>
      <c r="F4044">
        <v>576</v>
      </c>
      <c r="G4044">
        <v>12</v>
      </c>
      <c r="H4044" s="89">
        <v>46283</v>
      </c>
      <c r="I4044" s="89">
        <v>46289</v>
      </c>
      <c r="J4044" t="s">
        <v>6431</v>
      </c>
      <c r="K4044" t="s">
        <v>6432</v>
      </c>
      <c r="L4044">
        <v>1</v>
      </c>
      <c r="M4044" t="s">
        <v>6433</v>
      </c>
      <c r="N4044" t="s">
        <v>6237</v>
      </c>
    </row>
    <row r="4045" spans="1:14" hidden="1" x14ac:dyDescent="0.25">
      <c r="A4045" t="s">
        <v>1313</v>
      </c>
      <c r="B4045" t="s">
        <v>1327</v>
      </c>
      <c r="C4045" t="s">
        <v>1391</v>
      </c>
      <c r="D4045" t="s">
        <v>20</v>
      </c>
      <c r="E4045" t="s">
        <v>22</v>
      </c>
      <c r="F4045">
        <v>96</v>
      </c>
      <c r="G4045">
        <v>2</v>
      </c>
      <c r="H4045" s="89">
        <v>46283</v>
      </c>
      <c r="I4045" s="89">
        <v>46289</v>
      </c>
      <c r="J4045" t="s">
        <v>6371</v>
      </c>
      <c r="K4045" t="s">
        <v>6434</v>
      </c>
      <c r="L4045">
        <v>1</v>
      </c>
      <c r="M4045" t="s">
        <v>6435</v>
      </c>
      <c r="N4045" t="s">
        <v>6237</v>
      </c>
    </row>
    <row r="4046" spans="1:14" hidden="1" x14ac:dyDescent="0.25">
      <c r="A4046" t="s">
        <v>1313</v>
      </c>
      <c r="B4046" t="s">
        <v>1327</v>
      </c>
      <c r="C4046" t="s">
        <v>1391</v>
      </c>
      <c r="D4046" t="s">
        <v>20</v>
      </c>
      <c r="E4046" t="s">
        <v>19</v>
      </c>
      <c r="F4046">
        <v>48</v>
      </c>
      <c r="G4046">
        <v>1</v>
      </c>
      <c r="H4046" s="89">
        <v>46283</v>
      </c>
      <c r="I4046" s="89">
        <v>46285</v>
      </c>
      <c r="J4046" t="s">
        <v>1656</v>
      </c>
      <c r="K4046" t="s">
        <v>6436</v>
      </c>
      <c r="L4046">
        <v>1</v>
      </c>
      <c r="M4046" t="s">
        <v>6437</v>
      </c>
      <c r="N4046" t="s">
        <v>6237</v>
      </c>
    </row>
    <row r="4047" spans="1:14" hidden="1" x14ac:dyDescent="0.25">
      <c r="A4047" t="s">
        <v>1313</v>
      </c>
      <c r="B4047" t="s">
        <v>1327</v>
      </c>
      <c r="C4047" t="s">
        <v>1391</v>
      </c>
      <c r="D4047" t="s">
        <v>20</v>
      </c>
      <c r="E4047" t="s">
        <v>19</v>
      </c>
      <c r="F4047">
        <v>432</v>
      </c>
      <c r="G4047">
        <v>9</v>
      </c>
      <c r="H4047" s="89">
        <v>46283</v>
      </c>
      <c r="I4047" s="89">
        <v>46285</v>
      </c>
      <c r="J4047" t="s">
        <v>1656</v>
      </c>
      <c r="K4047" t="s">
        <v>6436</v>
      </c>
      <c r="L4047">
        <v>2</v>
      </c>
      <c r="M4047" t="s">
        <v>6438</v>
      </c>
      <c r="N4047" t="s">
        <v>6237</v>
      </c>
    </row>
    <row r="4048" spans="1:14" hidden="1" x14ac:dyDescent="0.25">
      <c r="A4048" t="s">
        <v>1315</v>
      </c>
      <c r="B4048" t="s">
        <v>1329</v>
      </c>
      <c r="C4048" t="s">
        <v>1391</v>
      </c>
      <c r="D4048" t="s">
        <v>20</v>
      </c>
      <c r="E4048" t="s">
        <v>19</v>
      </c>
      <c r="F4048">
        <v>52</v>
      </c>
      <c r="G4048" t="s">
        <v>1419</v>
      </c>
      <c r="H4048" s="89">
        <v>46283</v>
      </c>
      <c r="I4048" s="89">
        <v>46285</v>
      </c>
      <c r="J4048" t="s">
        <v>1656</v>
      </c>
      <c r="K4048" t="s">
        <v>6439</v>
      </c>
      <c r="L4048">
        <v>1</v>
      </c>
      <c r="M4048" t="s">
        <v>6440</v>
      </c>
      <c r="N4048" t="s">
        <v>6237</v>
      </c>
    </row>
    <row r="4049" spans="1:14" hidden="1" x14ac:dyDescent="0.25">
      <c r="A4049" t="s">
        <v>1316</v>
      </c>
      <c r="B4049" t="s">
        <v>1330</v>
      </c>
      <c r="C4049" t="s">
        <v>1392</v>
      </c>
      <c r="D4049" t="s">
        <v>20</v>
      </c>
      <c r="E4049" t="s">
        <v>19</v>
      </c>
      <c r="F4049">
        <v>56</v>
      </c>
      <c r="G4049" t="s">
        <v>1419</v>
      </c>
      <c r="H4049" s="89">
        <v>46283</v>
      </c>
      <c r="I4049" s="89">
        <v>46285</v>
      </c>
      <c r="J4049" t="s">
        <v>1656</v>
      </c>
      <c r="K4049" t="s">
        <v>6441</v>
      </c>
      <c r="L4049">
        <v>1</v>
      </c>
      <c r="M4049" t="s">
        <v>6442</v>
      </c>
      <c r="N4049" t="s">
        <v>6237</v>
      </c>
    </row>
    <row r="4050" spans="1:14" hidden="1" x14ac:dyDescent="0.25">
      <c r="A4050" t="s">
        <v>1317</v>
      </c>
      <c r="B4050" t="s">
        <v>1331</v>
      </c>
      <c r="C4050" t="s">
        <v>1393</v>
      </c>
      <c r="D4050" t="s">
        <v>20</v>
      </c>
      <c r="E4050" t="s">
        <v>19</v>
      </c>
      <c r="F4050">
        <v>34</v>
      </c>
      <c r="G4050" t="s">
        <v>1419</v>
      </c>
      <c r="H4050" s="89">
        <v>46283</v>
      </c>
      <c r="I4050" s="89">
        <v>46285</v>
      </c>
      <c r="J4050" t="s">
        <v>1656</v>
      </c>
      <c r="K4050" t="s">
        <v>6443</v>
      </c>
      <c r="L4050">
        <v>1</v>
      </c>
      <c r="M4050" t="s">
        <v>6444</v>
      </c>
      <c r="N4050" t="s">
        <v>6237</v>
      </c>
    </row>
    <row r="4051" spans="1:14" hidden="1" x14ac:dyDescent="0.25">
      <c r="A4051" t="s">
        <v>1318</v>
      </c>
      <c r="B4051" t="s">
        <v>1332</v>
      </c>
      <c r="C4051" t="s">
        <v>1394</v>
      </c>
      <c r="D4051" t="s">
        <v>20</v>
      </c>
      <c r="E4051" t="s">
        <v>19</v>
      </c>
      <c r="F4051">
        <v>51</v>
      </c>
      <c r="G4051" t="s">
        <v>1419</v>
      </c>
      <c r="H4051" s="89">
        <v>46283</v>
      </c>
      <c r="I4051" s="89">
        <v>46285</v>
      </c>
      <c r="J4051" t="s">
        <v>1656</v>
      </c>
      <c r="K4051" t="s">
        <v>6445</v>
      </c>
      <c r="L4051">
        <v>1</v>
      </c>
      <c r="M4051" t="s">
        <v>6446</v>
      </c>
      <c r="N4051" t="s">
        <v>6237</v>
      </c>
    </row>
    <row r="4052" spans="1:14" hidden="1" x14ac:dyDescent="0.25">
      <c r="A4052" t="s">
        <v>1314</v>
      </c>
      <c r="B4052" t="s">
        <v>1328</v>
      </c>
      <c r="C4052" t="s">
        <v>1395</v>
      </c>
      <c r="D4052" t="s">
        <v>15</v>
      </c>
      <c r="E4052" t="s">
        <v>18</v>
      </c>
      <c r="F4052">
        <v>96</v>
      </c>
      <c r="G4052">
        <v>2</v>
      </c>
      <c r="H4052" s="89">
        <v>46283</v>
      </c>
      <c r="I4052" s="89">
        <v>46288</v>
      </c>
      <c r="J4052" t="s">
        <v>6386</v>
      </c>
      <c r="K4052" t="s">
        <v>6447</v>
      </c>
      <c r="L4052">
        <v>1</v>
      </c>
      <c r="M4052" t="s">
        <v>6448</v>
      </c>
      <c r="N4052" t="s">
        <v>6237</v>
      </c>
    </row>
    <row r="4053" spans="1:14" hidden="1" x14ac:dyDescent="0.25">
      <c r="A4053" t="s">
        <v>1313</v>
      </c>
      <c r="B4053" t="s">
        <v>1327</v>
      </c>
      <c r="C4053" t="s">
        <v>1395</v>
      </c>
      <c r="D4053" t="s">
        <v>15</v>
      </c>
      <c r="E4053" t="s">
        <v>18</v>
      </c>
      <c r="F4053">
        <v>1008</v>
      </c>
      <c r="G4053">
        <v>21</v>
      </c>
      <c r="H4053" s="89">
        <v>46283</v>
      </c>
      <c r="I4053" s="89">
        <v>46288</v>
      </c>
      <c r="J4053" t="s">
        <v>6386</v>
      </c>
      <c r="K4053" t="s">
        <v>6449</v>
      </c>
      <c r="L4053">
        <v>1</v>
      </c>
      <c r="M4053" t="s">
        <v>6450</v>
      </c>
      <c r="N4053" t="s">
        <v>6237</v>
      </c>
    </row>
    <row r="4054" spans="1:14" hidden="1" x14ac:dyDescent="0.25">
      <c r="A4054" t="s">
        <v>1314</v>
      </c>
      <c r="B4054" t="s">
        <v>1328</v>
      </c>
      <c r="C4054" t="s">
        <v>1395</v>
      </c>
      <c r="D4054" t="s">
        <v>15</v>
      </c>
      <c r="E4054" t="s">
        <v>16</v>
      </c>
      <c r="F4054">
        <v>240</v>
      </c>
      <c r="G4054">
        <v>5</v>
      </c>
      <c r="H4054" s="89">
        <v>46283</v>
      </c>
      <c r="I4054" s="89">
        <v>46289</v>
      </c>
      <c r="J4054" t="s">
        <v>6451</v>
      </c>
      <c r="K4054" t="s">
        <v>6452</v>
      </c>
      <c r="L4054">
        <v>1</v>
      </c>
      <c r="M4054" t="s">
        <v>6453</v>
      </c>
      <c r="N4054" t="s">
        <v>6237</v>
      </c>
    </row>
    <row r="4055" spans="1:14" hidden="1" x14ac:dyDescent="0.25">
      <c r="A4055" t="s">
        <v>1313</v>
      </c>
      <c r="B4055" t="s">
        <v>1327</v>
      </c>
      <c r="C4055" t="s">
        <v>1395</v>
      </c>
      <c r="D4055" t="s">
        <v>15</v>
      </c>
      <c r="E4055" t="s">
        <v>22</v>
      </c>
      <c r="F4055">
        <v>288</v>
      </c>
      <c r="G4055">
        <v>6</v>
      </c>
      <c r="H4055" s="89">
        <v>46283</v>
      </c>
      <c r="I4055" s="89">
        <v>46289</v>
      </c>
      <c r="J4055" t="s">
        <v>6371</v>
      </c>
      <c r="K4055" t="s">
        <v>6454</v>
      </c>
      <c r="L4055">
        <v>1</v>
      </c>
      <c r="M4055" t="s">
        <v>6455</v>
      </c>
      <c r="N4055" t="s">
        <v>6237</v>
      </c>
    </row>
    <row r="4056" spans="1:14" hidden="1" x14ac:dyDescent="0.25">
      <c r="A4056" t="s">
        <v>1315</v>
      </c>
      <c r="B4056" t="s">
        <v>1329</v>
      </c>
      <c r="C4056" t="s">
        <v>1395</v>
      </c>
      <c r="D4056" t="s">
        <v>15</v>
      </c>
      <c r="E4056" t="s">
        <v>19</v>
      </c>
      <c r="F4056">
        <v>18</v>
      </c>
      <c r="G4056" t="s">
        <v>1419</v>
      </c>
      <c r="H4056" s="89">
        <v>46283</v>
      </c>
      <c r="I4056" s="89">
        <v>46285</v>
      </c>
      <c r="J4056" t="s">
        <v>1656</v>
      </c>
      <c r="K4056" t="s">
        <v>6456</v>
      </c>
      <c r="L4056">
        <v>1</v>
      </c>
      <c r="M4056" t="s">
        <v>6457</v>
      </c>
      <c r="N4056" t="s">
        <v>6237</v>
      </c>
    </row>
    <row r="4057" spans="1:14" hidden="1" x14ac:dyDescent="0.25">
      <c r="A4057" t="s">
        <v>1316</v>
      </c>
      <c r="B4057" t="s">
        <v>1330</v>
      </c>
      <c r="C4057" t="s">
        <v>1396</v>
      </c>
      <c r="D4057" t="s">
        <v>15</v>
      </c>
      <c r="E4057" t="s">
        <v>19</v>
      </c>
      <c r="F4057">
        <v>47</v>
      </c>
      <c r="G4057" t="s">
        <v>1419</v>
      </c>
      <c r="H4057" s="89">
        <v>46283</v>
      </c>
      <c r="I4057" s="89">
        <v>46285</v>
      </c>
      <c r="J4057" t="s">
        <v>1656</v>
      </c>
      <c r="K4057" t="s">
        <v>6458</v>
      </c>
      <c r="L4057">
        <v>1</v>
      </c>
      <c r="M4057" t="s">
        <v>6459</v>
      </c>
      <c r="N4057" t="s">
        <v>6237</v>
      </c>
    </row>
    <row r="4058" spans="1:14" hidden="1" x14ac:dyDescent="0.25">
      <c r="A4058" t="s">
        <v>1317</v>
      </c>
      <c r="B4058" t="s">
        <v>1331</v>
      </c>
      <c r="C4058" t="s">
        <v>1397</v>
      </c>
      <c r="D4058" t="s">
        <v>15</v>
      </c>
      <c r="E4058" t="s">
        <v>19</v>
      </c>
      <c r="F4058">
        <v>63</v>
      </c>
      <c r="G4058" t="s">
        <v>1419</v>
      </c>
      <c r="H4058" s="89">
        <v>46283</v>
      </c>
      <c r="I4058" s="89">
        <v>46285</v>
      </c>
      <c r="J4058" t="s">
        <v>1656</v>
      </c>
      <c r="K4058" t="s">
        <v>6460</v>
      </c>
      <c r="L4058">
        <v>1</v>
      </c>
      <c r="M4058" t="s">
        <v>6461</v>
      </c>
      <c r="N4058" t="s">
        <v>6237</v>
      </c>
    </row>
    <row r="4059" spans="1:14" hidden="1" x14ac:dyDescent="0.25">
      <c r="A4059" t="s">
        <v>1318</v>
      </c>
      <c r="B4059" t="s">
        <v>1332</v>
      </c>
      <c r="C4059" t="s">
        <v>1398</v>
      </c>
      <c r="D4059" t="s">
        <v>15</v>
      </c>
      <c r="E4059" t="s">
        <v>19</v>
      </c>
      <c r="F4059">
        <v>36</v>
      </c>
      <c r="G4059" t="s">
        <v>1419</v>
      </c>
      <c r="H4059" s="89">
        <v>46283</v>
      </c>
      <c r="I4059" s="89">
        <v>46285</v>
      </c>
      <c r="J4059" t="s">
        <v>1656</v>
      </c>
      <c r="K4059" t="s">
        <v>6462</v>
      </c>
      <c r="L4059">
        <v>1</v>
      </c>
      <c r="M4059" t="s">
        <v>6463</v>
      </c>
      <c r="N4059" t="s">
        <v>6237</v>
      </c>
    </row>
    <row r="4060" spans="1:14" hidden="1" x14ac:dyDescent="0.25">
      <c r="A4060" t="s">
        <v>1320</v>
      </c>
      <c r="B4060" t="s">
        <v>1334</v>
      </c>
      <c r="C4060" t="s">
        <v>1399</v>
      </c>
      <c r="D4060" t="s">
        <v>28</v>
      </c>
      <c r="E4060" t="s">
        <v>14</v>
      </c>
      <c r="F4060">
        <v>960</v>
      </c>
      <c r="G4060">
        <v>20</v>
      </c>
      <c r="H4060" s="89">
        <v>46283</v>
      </c>
      <c r="I4060" s="89">
        <v>46288</v>
      </c>
      <c r="J4060" t="s">
        <v>6464</v>
      </c>
      <c r="K4060" t="s">
        <v>6465</v>
      </c>
      <c r="L4060">
        <v>1</v>
      </c>
      <c r="M4060" t="s">
        <v>6466</v>
      </c>
      <c r="N4060" t="s">
        <v>6237</v>
      </c>
    </row>
    <row r="4061" spans="1:14" hidden="1" x14ac:dyDescent="0.25">
      <c r="A4061" t="s">
        <v>1313</v>
      </c>
      <c r="B4061" t="s">
        <v>1327</v>
      </c>
      <c r="C4061" t="s">
        <v>1399</v>
      </c>
      <c r="D4061" t="s">
        <v>28</v>
      </c>
      <c r="E4061" t="s">
        <v>19</v>
      </c>
      <c r="F4061">
        <v>480</v>
      </c>
      <c r="G4061">
        <v>10</v>
      </c>
      <c r="H4061" s="89">
        <v>46283</v>
      </c>
      <c r="I4061" s="89">
        <v>46288</v>
      </c>
      <c r="J4061" t="s">
        <v>1656</v>
      </c>
      <c r="K4061" t="s">
        <v>6467</v>
      </c>
      <c r="L4061">
        <v>1</v>
      </c>
      <c r="M4061" t="s">
        <v>6468</v>
      </c>
      <c r="N4061" t="s">
        <v>6237</v>
      </c>
    </row>
    <row r="4062" spans="1:14" hidden="1" x14ac:dyDescent="0.25">
      <c r="A4062" t="s">
        <v>1315</v>
      </c>
      <c r="B4062" t="s">
        <v>1329</v>
      </c>
      <c r="C4062" t="s">
        <v>1399</v>
      </c>
      <c r="D4062" t="s">
        <v>28</v>
      </c>
      <c r="E4062" t="s">
        <v>19</v>
      </c>
      <c r="F4062">
        <v>78</v>
      </c>
      <c r="G4062" t="s">
        <v>1419</v>
      </c>
      <c r="H4062" s="89">
        <v>46283</v>
      </c>
      <c r="I4062" s="89">
        <v>46285</v>
      </c>
      <c r="J4062" t="s">
        <v>1656</v>
      </c>
      <c r="K4062" t="s">
        <v>6469</v>
      </c>
      <c r="L4062">
        <v>1</v>
      </c>
      <c r="M4062" t="s">
        <v>6470</v>
      </c>
      <c r="N4062" t="s">
        <v>6237</v>
      </c>
    </row>
    <row r="4063" spans="1:14" hidden="1" x14ac:dyDescent="0.25">
      <c r="A4063" t="s">
        <v>1316</v>
      </c>
      <c r="B4063" t="s">
        <v>1330</v>
      </c>
      <c r="C4063" t="s">
        <v>1400</v>
      </c>
      <c r="D4063" t="s">
        <v>28</v>
      </c>
      <c r="E4063" t="s">
        <v>19</v>
      </c>
      <c r="F4063">
        <v>17</v>
      </c>
      <c r="G4063" t="s">
        <v>1419</v>
      </c>
      <c r="H4063" s="89">
        <v>46283</v>
      </c>
      <c r="I4063" s="89">
        <v>46285</v>
      </c>
      <c r="J4063" t="s">
        <v>1656</v>
      </c>
      <c r="K4063" t="s">
        <v>6471</v>
      </c>
      <c r="L4063">
        <v>1</v>
      </c>
      <c r="M4063" t="s">
        <v>6472</v>
      </c>
      <c r="N4063" t="s">
        <v>6237</v>
      </c>
    </row>
    <row r="4064" spans="1:14" hidden="1" x14ac:dyDescent="0.25">
      <c r="A4064" t="s">
        <v>1317</v>
      </c>
      <c r="B4064" t="s">
        <v>1331</v>
      </c>
      <c r="C4064" t="s">
        <v>1401</v>
      </c>
      <c r="D4064" t="s">
        <v>28</v>
      </c>
      <c r="E4064" t="s">
        <v>19</v>
      </c>
      <c r="F4064">
        <v>8</v>
      </c>
      <c r="G4064" t="s">
        <v>1419</v>
      </c>
      <c r="H4064" s="89">
        <v>46283</v>
      </c>
      <c r="I4064" s="89">
        <v>46285</v>
      </c>
      <c r="J4064" t="s">
        <v>1656</v>
      </c>
      <c r="K4064" t="s">
        <v>6473</v>
      </c>
      <c r="L4064">
        <v>1</v>
      </c>
      <c r="M4064" t="s">
        <v>6474</v>
      </c>
      <c r="N4064" t="s">
        <v>6237</v>
      </c>
    </row>
    <row r="4065" spans="1:14" hidden="1" x14ac:dyDescent="0.25">
      <c r="A4065" t="s">
        <v>1318</v>
      </c>
      <c r="B4065" t="s">
        <v>1332</v>
      </c>
      <c r="C4065" t="s">
        <v>1402</v>
      </c>
      <c r="D4065" t="s">
        <v>28</v>
      </c>
      <c r="E4065" t="s">
        <v>19</v>
      </c>
      <c r="F4065">
        <v>45</v>
      </c>
      <c r="G4065" t="s">
        <v>1419</v>
      </c>
      <c r="H4065" s="89">
        <v>46283</v>
      </c>
      <c r="I4065" s="89">
        <v>46285</v>
      </c>
      <c r="J4065" t="s">
        <v>1656</v>
      </c>
      <c r="K4065" t="s">
        <v>6475</v>
      </c>
      <c r="L4065">
        <v>1</v>
      </c>
      <c r="M4065" t="s">
        <v>6476</v>
      </c>
      <c r="N4065" t="s">
        <v>6237</v>
      </c>
    </row>
    <row r="4066" spans="1:14" hidden="1" x14ac:dyDescent="0.25">
      <c r="A4066" t="s">
        <v>1313</v>
      </c>
      <c r="B4066" t="s">
        <v>1327</v>
      </c>
      <c r="C4066" t="s">
        <v>1376</v>
      </c>
      <c r="D4066" t="s">
        <v>24</v>
      </c>
      <c r="E4066" t="s">
        <v>22</v>
      </c>
      <c r="F4066">
        <v>1152</v>
      </c>
      <c r="G4066">
        <v>24</v>
      </c>
      <c r="H4066" s="89">
        <v>46283</v>
      </c>
      <c r="I4066" s="89">
        <v>46287</v>
      </c>
      <c r="J4066" t="s">
        <v>6477</v>
      </c>
      <c r="K4066" t="s">
        <v>6478</v>
      </c>
      <c r="L4066">
        <v>1</v>
      </c>
      <c r="M4066" t="s">
        <v>6479</v>
      </c>
      <c r="N4066" t="s">
        <v>6237</v>
      </c>
    </row>
    <row r="4067" spans="1:14" hidden="1" x14ac:dyDescent="0.25">
      <c r="A4067" t="s">
        <v>1324</v>
      </c>
      <c r="B4067" t="s">
        <v>1338</v>
      </c>
      <c r="C4067" t="s">
        <v>1376</v>
      </c>
      <c r="D4067" t="s">
        <v>24</v>
      </c>
      <c r="E4067" t="s">
        <v>25</v>
      </c>
      <c r="F4067">
        <v>288</v>
      </c>
      <c r="G4067">
        <v>6</v>
      </c>
      <c r="H4067" s="89">
        <v>46283</v>
      </c>
      <c r="I4067" s="89">
        <v>46290</v>
      </c>
      <c r="J4067" t="s">
        <v>6480</v>
      </c>
      <c r="K4067" t="s">
        <v>6481</v>
      </c>
      <c r="L4067">
        <v>1</v>
      </c>
      <c r="M4067" t="s">
        <v>6482</v>
      </c>
      <c r="N4067" t="s">
        <v>6237</v>
      </c>
    </row>
    <row r="4068" spans="1:14" hidden="1" x14ac:dyDescent="0.25">
      <c r="A4068" t="s">
        <v>1326</v>
      </c>
      <c r="B4068" t="s">
        <v>1340</v>
      </c>
      <c r="C4068" t="s">
        <v>1403</v>
      </c>
      <c r="D4068" t="s">
        <v>32</v>
      </c>
      <c r="E4068" t="s">
        <v>14</v>
      </c>
      <c r="F4068">
        <v>504</v>
      </c>
      <c r="G4068">
        <v>12</v>
      </c>
      <c r="H4068" s="89">
        <v>46283</v>
      </c>
      <c r="I4068" s="89">
        <v>46287</v>
      </c>
      <c r="J4068" t="s">
        <v>6483</v>
      </c>
      <c r="K4068" t="s">
        <v>6484</v>
      </c>
      <c r="L4068">
        <v>1</v>
      </c>
      <c r="M4068" t="s">
        <v>6485</v>
      </c>
      <c r="N4068" t="s">
        <v>6237</v>
      </c>
    </row>
    <row r="4069" spans="1:14" hidden="1" x14ac:dyDescent="0.25">
      <c r="A4069" t="s">
        <v>1326</v>
      </c>
      <c r="B4069" t="s">
        <v>1340</v>
      </c>
      <c r="C4069" t="s">
        <v>1404</v>
      </c>
      <c r="D4069" t="s">
        <v>27</v>
      </c>
      <c r="E4069" t="s">
        <v>14</v>
      </c>
      <c r="F4069">
        <v>504</v>
      </c>
      <c r="G4069">
        <v>12</v>
      </c>
      <c r="H4069" s="89">
        <v>46283</v>
      </c>
      <c r="I4069" s="89">
        <v>46287</v>
      </c>
      <c r="J4069" t="s">
        <v>6483</v>
      </c>
      <c r="K4069" t="s">
        <v>6486</v>
      </c>
      <c r="L4069">
        <v>1</v>
      </c>
      <c r="M4069" t="s">
        <v>6487</v>
      </c>
      <c r="N4069" t="s">
        <v>6237</v>
      </c>
    </row>
    <row r="4070" spans="1:14" hidden="1" x14ac:dyDescent="0.25">
      <c r="A4070" t="s">
        <v>1313</v>
      </c>
      <c r="B4070" t="s">
        <v>1327</v>
      </c>
      <c r="C4070" t="s">
        <v>1405</v>
      </c>
      <c r="D4070" t="s">
        <v>15</v>
      </c>
      <c r="E4070" t="s">
        <v>16</v>
      </c>
      <c r="F4070">
        <v>336</v>
      </c>
      <c r="G4070">
        <v>7</v>
      </c>
      <c r="H4070" s="89">
        <v>46284</v>
      </c>
      <c r="I4070" s="89">
        <v>46289</v>
      </c>
      <c r="J4070" t="s">
        <v>6431</v>
      </c>
      <c r="K4070" t="s">
        <v>6488</v>
      </c>
      <c r="L4070">
        <v>1</v>
      </c>
      <c r="M4070" t="s">
        <v>6489</v>
      </c>
      <c r="N4070" t="s">
        <v>6237</v>
      </c>
    </row>
    <row r="4071" spans="1:14" hidden="1" x14ac:dyDescent="0.25">
      <c r="A4071" t="s">
        <v>1313</v>
      </c>
      <c r="B4071" t="s">
        <v>1327</v>
      </c>
      <c r="C4071" t="s">
        <v>1405</v>
      </c>
      <c r="D4071" t="s">
        <v>15</v>
      </c>
      <c r="E4071" t="s">
        <v>17</v>
      </c>
      <c r="F4071">
        <v>810</v>
      </c>
      <c r="G4071">
        <v>16.875</v>
      </c>
      <c r="H4071" s="89">
        <v>46284</v>
      </c>
      <c r="I4071" s="89">
        <v>46288</v>
      </c>
      <c r="J4071" t="s">
        <v>6490</v>
      </c>
      <c r="K4071" t="s">
        <v>6491</v>
      </c>
      <c r="L4071">
        <v>1</v>
      </c>
      <c r="M4071" t="s">
        <v>6492</v>
      </c>
      <c r="N4071" t="s">
        <v>6237</v>
      </c>
    </row>
    <row r="4072" spans="1:14" hidden="1" x14ac:dyDescent="0.25">
      <c r="A4072" t="s">
        <v>1319</v>
      </c>
      <c r="B4072" t="s">
        <v>1333</v>
      </c>
      <c r="C4072" t="s">
        <v>1405</v>
      </c>
      <c r="D4072" t="s">
        <v>15</v>
      </c>
      <c r="E4072" t="s">
        <v>17</v>
      </c>
      <c r="F4072">
        <v>54</v>
      </c>
      <c r="G4072">
        <v>1.125</v>
      </c>
      <c r="H4072" s="89">
        <v>46284</v>
      </c>
      <c r="I4072" s="89">
        <v>46288</v>
      </c>
      <c r="J4072" t="s">
        <v>6490</v>
      </c>
      <c r="K4072" t="s">
        <v>6493</v>
      </c>
      <c r="L4072">
        <v>1</v>
      </c>
      <c r="M4072" t="s">
        <v>6494</v>
      </c>
      <c r="N4072" t="s">
        <v>6237</v>
      </c>
    </row>
    <row r="4073" spans="1:14" hidden="1" x14ac:dyDescent="0.25">
      <c r="A4073" t="s">
        <v>1313</v>
      </c>
      <c r="B4073" t="s">
        <v>1327</v>
      </c>
      <c r="C4073" t="s">
        <v>1405</v>
      </c>
      <c r="D4073" t="s">
        <v>15</v>
      </c>
      <c r="E4073" t="s">
        <v>22</v>
      </c>
      <c r="F4073">
        <v>48</v>
      </c>
      <c r="G4073">
        <v>1</v>
      </c>
      <c r="H4073" s="89">
        <v>46284</v>
      </c>
      <c r="I4073" s="89">
        <v>46289</v>
      </c>
      <c r="J4073" t="s">
        <v>6371</v>
      </c>
      <c r="K4073" t="s">
        <v>6495</v>
      </c>
      <c r="L4073">
        <v>1</v>
      </c>
      <c r="M4073" t="s">
        <v>6496</v>
      </c>
      <c r="N4073" t="s">
        <v>6237</v>
      </c>
    </row>
    <row r="4074" spans="1:14" hidden="1" x14ac:dyDescent="0.25">
      <c r="A4074" t="s">
        <v>1315</v>
      </c>
      <c r="B4074" t="s">
        <v>1329</v>
      </c>
      <c r="C4074" t="s">
        <v>1405</v>
      </c>
      <c r="D4074" t="s">
        <v>15</v>
      </c>
      <c r="E4074" t="s">
        <v>19</v>
      </c>
      <c r="F4074">
        <v>33</v>
      </c>
      <c r="G4074" t="s">
        <v>1419</v>
      </c>
      <c r="H4074" s="89">
        <v>46284</v>
      </c>
      <c r="I4074" s="89">
        <v>46286</v>
      </c>
      <c r="J4074" t="s">
        <v>1656</v>
      </c>
      <c r="K4074" t="s">
        <v>6497</v>
      </c>
      <c r="L4074">
        <v>1</v>
      </c>
      <c r="M4074" t="s">
        <v>6498</v>
      </c>
      <c r="N4074" t="s">
        <v>6237</v>
      </c>
    </row>
    <row r="4075" spans="1:14" hidden="1" x14ac:dyDescent="0.25">
      <c r="A4075" t="s">
        <v>1316</v>
      </c>
      <c r="B4075" t="s">
        <v>1330</v>
      </c>
      <c r="C4075" t="s">
        <v>1406</v>
      </c>
      <c r="D4075" t="s">
        <v>15</v>
      </c>
      <c r="E4075" t="s">
        <v>19</v>
      </c>
      <c r="F4075">
        <v>44</v>
      </c>
      <c r="G4075" t="s">
        <v>1419</v>
      </c>
      <c r="H4075" s="89">
        <v>46284</v>
      </c>
      <c r="I4075" s="89">
        <v>46286</v>
      </c>
      <c r="J4075" t="s">
        <v>1656</v>
      </c>
      <c r="K4075" t="s">
        <v>6499</v>
      </c>
      <c r="L4075">
        <v>1</v>
      </c>
      <c r="M4075" t="s">
        <v>6500</v>
      </c>
      <c r="N4075" t="s">
        <v>6237</v>
      </c>
    </row>
    <row r="4076" spans="1:14" hidden="1" x14ac:dyDescent="0.25">
      <c r="A4076" t="s">
        <v>1317</v>
      </c>
      <c r="B4076" t="s">
        <v>1331</v>
      </c>
      <c r="C4076" t="s">
        <v>1407</v>
      </c>
      <c r="D4076" t="s">
        <v>15</v>
      </c>
      <c r="E4076" t="s">
        <v>19</v>
      </c>
      <c r="F4076">
        <v>49</v>
      </c>
      <c r="G4076" t="s">
        <v>1419</v>
      </c>
      <c r="H4076" s="89">
        <v>46284</v>
      </c>
      <c r="I4076" s="89">
        <v>46286</v>
      </c>
      <c r="J4076" t="s">
        <v>1656</v>
      </c>
      <c r="K4076" t="s">
        <v>6501</v>
      </c>
      <c r="L4076">
        <v>1</v>
      </c>
      <c r="M4076" t="s">
        <v>6502</v>
      </c>
      <c r="N4076" t="s">
        <v>6237</v>
      </c>
    </row>
    <row r="4077" spans="1:14" hidden="1" x14ac:dyDescent="0.25">
      <c r="A4077" t="s">
        <v>1318</v>
      </c>
      <c r="B4077" t="s">
        <v>1332</v>
      </c>
      <c r="C4077" t="s">
        <v>1408</v>
      </c>
      <c r="D4077" t="s">
        <v>15</v>
      </c>
      <c r="E4077" t="s">
        <v>19</v>
      </c>
      <c r="F4077">
        <v>28</v>
      </c>
      <c r="G4077" t="s">
        <v>1419</v>
      </c>
      <c r="H4077" s="89">
        <v>46284</v>
      </c>
      <c r="I4077" s="89">
        <v>46286</v>
      </c>
      <c r="J4077" t="s">
        <v>1656</v>
      </c>
      <c r="K4077" t="s">
        <v>6503</v>
      </c>
      <c r="L4077">
        <v>1</v>
      </c>
      <c r="M4077" t="s">
        <v>6504</v>
      </c>
      <c r="N4077" t="s">
        <v>6237</v>
      </c>
    </row>
    <row r="4078" spans="1:14" hidden="1" x14ac:dyDescent="0.25">
      <c r="A4078" t="s">
        <v>1324</v>
      </c>
      <c r="B4078" t="s">
        <v>1338</v>
      </c>
      <c r="C4078" t="s">
        <v>1409</v>
      </c>
      <c r="D4078" t="s">
        <v>21</v>
      </c>
      <c r="E4078" t="s">
        <v>25</v>
      </c>
      <c r="F4078">
        <v>384</v>
      </c>
      <c r="G4078">
        <v>8</v>
      </c>
      <c r="H4078" s="89">
        <v>46284</v>
      </c>
      <c r="I4078" s="89">
        <v>46290</v>
      </c>
      <c r="J4078" t="s">
        <v>6480</v>
      </c>
      <c r="K4078" t="s">
        <v>6505</v>
      </c>
      <c r="L4078">
        <v>1</v>
      </c>
      <c r="M4078" t="s">
        <v>6506</v>
      </c>
      <c r="N4078" t="s">
        <v>6237</v>
      </c>
    </row>
    <row r="4079" spans="1:14" hidden="1" x14ac:dyDescent="0.25">
      <c r="A4079" t="s">
        <v>1313</v>
      </c>
      <c r="B4079" t="s">
        <v>1327</v>
      </c>
      <c r="C4079" t="s">
        <v>1409</v>
      </c>
      <c r="D4079" t="s">
        <v>21</v>
      </c>
      <c r="E4079" t="s">
        <v>17</v>
      </c>
      <c r="F4079">
        <v>288</v>
      </c>
      <c r="G4079">
        <v>6</v>
      </c>
      <c r="H4079" s="89">
        <v>46284</v>
      </c>
      <c r="I4079" s="89">
        <v>46288</v>
      </c>
      <c r="J4079" t="s">
        <v>6490</v>
      </c>
      <c r="K4079" t="s">
        <v>6507</v>
      </c>
      <c r="L4079">
        <v>1</v>
      </c>
      <c r="M4079" t="s">
        <v>6508</v>
      </c>
      <c r="N4079" t="s">
        <v>6237</v>
      </c>
    </row>
    <row r="4080" spans="1:14" hidden="1" x14ac:dyDescent="0.25">
      <c r="A4080" t="s">
        <v>1313</v>
      </c>
      <c r="B4080" t="s">
        <v>1327</v>
      </c>
      <c r="C4080" t="s">
        <v>1409</v>
      </c>
      <c r="D4080" t="s">
        <v>21</v>
      </c>
      <c r="E4080" t="s">
        <v>22</v>
      </c>
      <c r="F4080">
        <v>384</v>
      </c>
      <c r="G4080">
        <v>8</v>
      </c>
      <c r="H4080" s="89">
        <v>46284</v>
      </c>
      <c r="I4080" s="89">
        <v>46289</v>
      </c>
      <c r="J4080" t="s">
        <v>6371</v>
      </c>
      <c r="K4080" t="s">
        <v>6509</v>
      </c>
      <c r="L4080">
        <v>1</v>
      </c>
      <c r="M4080" t="s">
        <v>6510</v>
      </c>
      <c r="N4080" t="s">
        <v>6237</v>
      </c>
    </row>
    <row r="4081" spans="1:14" hidden="1" x14ac:dyDescent="0.25">
      <c r="A4081" t="s">
        <v>1315</v>
      </c>
      <c r="B4081" t="s">
        <v>1329</v>
      </c>
      <c r="C4081" t="s">
        <v>1409</v>
      </c>
      <c r="D4081" t="s">
        <v>21</v>
      </c>
      <c r="E4081" t="s">
        <v>19</v>
      </c>
      <c r="F4081">
        <v>94</v>
      </c>
      <c r="G4081" t="s">
        <v>1419</v>
      </c>
      <c r="H4081" s="89">
        <v>46284</v>
      </c>
      <c r="I4081" s="89">
        <v>46286</v>
      </c>
      <c r="J4081" t="s">
        <v>1656</v>
      </c>
      <c r="K4081" t="s">
        <v>6511</v>
      </c>
      <c r="L4081">
        <v>1</v>
      </c>
      <c r="M4081" t="s">
        <v>6512</v>
      </c>
      <c r="N4081" t="s">
        <v>6237</v>
      </c>
    </row>
    <row r="4082" spans="1:14" hidden="1" x14ac:dyDescent="0.25">
      <c r="A4082" t="s">
        <v>1316</v>
      </c>
      <c r="B4082" t="s">
        <v>1330</v>
      </c>
      <c r="C4082" t="s">
        <v>1410</v>
      </c>
      <c r="D4082" t="s">
        <v>21</v>
      </c>
      <c r="E4082" t="s">
        <v>19</v>
      </c>
      <c r="F4082">
        <v>23</v>
      </c>
      <c r="G4082" t="s">
        <v>1419</v>
      </c>
      <c r="H4082" s="89">
        <v>46284</v>
      </c>
      <c r="I4082" s="89">
        <v>46286</v>
      </c>
      <c r="J4082" t="s">
        <v>1656</v>
      </c>
      <c r="K4082" t="s">
        <v>6513</v>
      </c>
      <c r="L4082">
        <v>1</v>
      </c>
      <c r="M4082" t="s">
        <v>6514</v>
      </c>
      <c r="N4082" t="s">
        <v>6237</v>
      </c>
    </row>
    <row r="4083" spans="1:14" hidden="1" x14ac:dyDescent="0.25">
      <c r="A4083" t="s">
        <v>1317</v>
      </c>
      <c r="B4083" t="s">
        <v>1331</v>
      </c>
      <c r="C4083" t="s">
        <v>1411</v>
      </c>
      <c r="D4083" t="s">
        <v>21</v>
      </c>
      <c r="E4083" t="s">
        <v>19</v>
      </c>
      <c r="F4083">
        <v>16</v>
      </c>
      <c r="G4083" t="s">
        <v>1419</v>
      </c>
      <c r="H4083" s="89">
        <v>46284</v>
      </c>
      <c r="I4083" s="89">
        <v>46286</v>
      </c>
      <c r="J4083" t="s">
        <v>1656</v>
      </c>
      <c r="K4083" t="s">
        <v>6515</v>
      </c>
      <c r="L4083">
        <v>1</v>
      </c>
      <c r="M4083" t="s">
        <v>6516</v>
      </c>
      <c r="N4083" t="s">
        <v>6237</v>
      </c>
    </row>
    <row r="4084" spans="1:14" hidden="1" x14ac:dyDescent="0.25">
      <c r="A4084" t="s">
        <v>1318</v>
      </c>
      <c r="B4084" t="s">
        <v>1332</v>
      </c>
      <c r="C4084" t="s">
        <v>1412</v>
      </c>
      <c r="D4084" t="s">
        <v>21</v>
      </c>
      <c r="E4084" t="s">
        <v>19</v>
      </c>
      <c r="F4084">
        <v>34</v>
      </c>
      <c r="G4084" t="s">
        <v>1419</v>
      </c>
      <c r="H4084" s="89">
        <v>46284</v>
      </c>
      <c r="I4084" s="89">
        <v>46286</v>
      </c>
      <c r="J4084" t="s">
        <v>1656</v>
      </c>
      <c r="K4084" t="s">
        <v>6517</v>
      </c>
      <c r="L4084">
        <v>1</v>
      </c>
      <c r="M4084" t="s">
        <v>6518</v>
      </c>
      <c r="N4084" t="s">
        <v>6237</v>
      </c>
    </row>
    <row r="4085" spans="1:14" hidden="1" x14ac:dyDescent="0.25">
      <c r="A4085" t="s">
        <v>1320</v>
      </c>
      <c r="B4085" t="s">
        <v>1334</v>
      </c>
      <c r="C4085" t="s">
        <v>1413</v>
      </c>
      <c r="D4085" t="s">
        <v>20</v>
      </c>
      <c r="E4085" t="s">
        <v>14</v>
      </c>
      <c r="F4085">
        <v>960</v>
      </c>
      <c r="G4085">
        <v>20</v>
      </c>
      <c r="H4085" s="89">
        <v>46284</v>
      </c>
      <c r="I4085" s="89">
        <v>46289</v>
      </c>
      <c r="J4085" t="s">
        <v>6519</v>
      </c>
      <c r="K4085" t="s">
        <v>6520</v>
      </c>
      <c r="L4085">
        <v>1</v>
      </c>
      <c r="M4085" t="s">
        <v>6521</v>
      </c>
      <c r="N4085" t="s">
        <v>6237</v>
      </c>
    </row>
    <row r="4086" spans="1:14" hidden="1" x14ac:dyDescent="0.25">
      <c r="A4086" t="s">
        <v>1313</v>
      </c>
      <c r="B4086" t="s">
        <v>1327</v>
      </c>
      <c r="C4086" t="s">
        <v>1413</v>
      </c>
      <c r="D4086" t="s">
        <v>20</v>
      </c>
      <c r="E4086" t="s">
        <v>19</v>
      </c>
      <c r="F4086">
        <v>96</v>
      </c>
      <c r="G4086">
        <v>2</v>
      </c>
      <c r="H4086" s="89">
        <v>46284</v>
      </c>
      <c r="I4086" s="89">
        <v>46289</v>
      </c>
      <c r="J4086" t="s">
        <v>1656</v>
      </c>
      <c r="K4086" t="s">
        <v>6522</v>
      </c>
      <c r="L4086">
        <v>1</v>
      </c>
      <c r="M4086" t="s">
        <v>6523</v>
      </c>
      <c r="N4086" t="s">
        <v>6237</v>
      </c>
    </row>
    <row r="4087" spans="1:14" hidden="1" x14ac:dyDescent="0.25">
      <c r="A4087" t="s">
        <v>1315</v>
      </c>
      <c r="B4087" t="s">
        <v>1329</v>
      </c>
      <c r="C4087" t="s">
        <v>1413</v>
      </c>
      <c r="D4087" t="s">
        <v>20</v>
      </c>
      <c r="E4087" t="s">
        <v>19</v>
      </c>
      <c r="F4087">
        <v>232</v>
      </c>
      <c r="G4087" t="s">
        <v>1419</v>
      </c>
      <c r="H4087" s="89">
        <v>46284</v>
      </c>
      <c r="I4087" s="89">
        <v>46286</v>
      </c>
      <c r="J4087" t="s">
        <v>1656</v>
      </c>
      <c r="K4087" t="s">
        <v>6524</v>
      </c>
      <c r="L4087">
        <v>1</v>
      </c>
      <c r="M4087" t="s">
        <v>6525</v>
      </c>
      <c r="N4087" t="s">
        <v>6237</v>
      </c>
    </row>
    <row r="4088" spans="1:14" hidden="1" x14ac:dyDescent="0.25">
      <c r="A4088" t="s">
        <v>1316</v>
      </c>
      <c r="B4088" t="s">
        <v>1330</v>
      </c>
      <c r="C4088" t="s">
        <v>1414</v>
      </c>
      <c r="D4088" t="s">
        <v>20</v>
      </c>
      <c r="E4088" t="s">
        <v>19</v>
      </c>
      <c r="F4088">
        <v>71</v>
      </c>
      <c r="G4088" t="s">
        <v>1419</v>
      </c>
      <c r="H4088" s="89">
        <v>46284</v>
      </c>
      <c r="I4088" s="89">
        <v>46286</v>
      </c>
      <c r="J4088" t="s">
        <v>1656</v>
      </c>
      <c r="K4088" t="s">
        <v>6526</v>
      </c>
      <c r="L4088">
        <v>1</v>
      </c>
      <c r="M4088" t="s">
        <v>6527</v>
      </c>
      <c r="N4088" t="s">
        <v>6237</v>
      </c>
    </row>
    <row r="4089" spans="1:14" hidden="1" x14ac:dyDescent="0.25">
      <c r="A4089" t="s">
        <v>1317</v>
      </c>
      <c r="B4089" t="s">
        <v>1331</v>
      </c>
      <c r="C4089" t="s">
        <v>1415</v>
      </c>
      <c r="D4089" t="s">
        <v>20</v>
      </c>
      <c r="E4089" t="s">
        <v>19</v>
      </c>
      <c r="F4089">
        <v>33</v>
      </c>
      <c r="G4089" t="s">
        <v>1419</v>
      </c>
      <c r="H4089" s="89">
        <v>46284</v>
      </c>
      <c r="I4089" s="89">
        <v>46286</v>
      </c>
      <c r="J4089" t="s">
        <v>1656</v>
      </c>
      <c r="K4089" t="s">
        <v>6528</v>
      </c>
      <c r="L4089">
        <v>1</v>
      </c>
      <c r="M4089" t="s">
        <v>6529</v>
      </c>
      <c r="N4089" t="s">
        <v>6237</v>
      </c>
    </row>
    <row r="4090" spans="1:14" hidden="1" x14ac:dyDescent="0.25">
      <c r="A4090" t="s">
        <v>1318</v>
      </c>
      <c r="B4090" t="s">
        <v>1332</v>
      </c>
      <c r="C4090" t="s">
        <v>1416</v>
      </c>
      <c r="D4090" t="s">
        <v>20</v>
      </c>
      <c r="E4090" t="s">
        <v>19</v>
      </c>
      <c r="F4090">
        <v>37</v>
      </c>
      <c r="G4090" t="s">
        <v>1419</v>
      </c>
      <c r="H4090" s="89">
        <v>46284</v>
      </c>
      <c r="I4090" s="89">
        <v>46286</v>
      </c>
      <c r="J4090" t="s">
        <v>1656</v>
      </c>
      <c r="K4090" t="s">
        <v>6530</v>
      </c>
      <c r="L4090">
        <v>1</v>
      </c>
      <c r="M4090" t="s">
        <v>6531</v>
      </c>
      <c r="N4090" t="s">
        <v>6237</v>
      </c>
    </row>
    <row r="4091" spans="1:14" hidden="1" x14ac:dyDescent="0.25">
      <c r="A4091" t="s">
        <v>1324</v>
      </c>
      <c r="B4091" t="s">
        <v>1338</v>
      </c>
      <c r="C4091" t="s">
        <v>1417</v>
      </c>
      <c r="D4091" t="s">
        <v>24</v>
      </c>
      <c r="E4091" t="s">
        <v>25</v>
      </c>
      <c r="F4091">
        <v>288</v>
      </c>
      <c r="G4091">
        <v>6</v>
      </c>
      <c r="H4091" s="89">
        <v>46284</v>
      </c>
      <c r="I4091" s="89">
        <v>46290</v>
      </c>
      <c r="J4091" t="s">
        <v>6480</v>
      </c>
      <c r="K4091" t="s">
        <v>6532</v>
      </c>
      <c r="L4091">
        <v>1</v>
      </c>
      <c r="M4091" t="s">
        <v>6533</v>
      </c>
      <c r="N4091" t="s">
        <v>6237</v>
      </c>
    </row>
    <row r="4092" spans="1:14" hidden="1" x14ac:dyDescent="0.25">
      <c r="A4092" t="s">
        <v>1324</v>
      </c>
      <c r="B4092" t="s">
        <v>1338</v>
      </c>
      <c r="C4092" t="s">
        <v>1417</v>
      </c>
      <c r="D4092" t="s">
        <v>24</v>
      </c>
      <c r="E4092" t="s">
        <v>25</v>
      </c>
      <c r="F4092">
        <v>480</v>
      </c>
      <c r="G4092">
        <v>10</v>
      </c>
      <c r="H4092" s="89">
        <v>46284</v>
      </c>
      <c r="I4092" s="89">
        <v>46290</v>
      </c>
      <c r="J4092" t="s">
        <v>6480</v>
      </c>
      <c r="K4092" t="s">
        <v>6534</v>
      </c>
      <c r="L4092">
        <v>1</v>
      </c>
      <c r="M4092" t="s">
        <v>6535</v>
      </c>
      <c r="N4092" t="s">
        <v>6237</v>
      </c>
    </row>
    <row r="4093" spans="1:14" hidden="1" x14ac:dyDescent="0.25">
      <c r="A4093" t="s">
        <v>1320</v>
      </c>
      <c r="B4093" t="s">
        <v>1334</v>
      </c>
      <c r="C4093" t="s">
        <v>1418</v>
      </c>
      <c r="D4093" t="s">
        <v>144</v>
      </c>
      <c r="E4093" t="s">
        <v>14</v>
      </c>
      <c r="F4093">
        <v>960</v>
      </c>
      <c r="G4093">
        <v>20</v>
      </c>
      <c r="H4093" s="89">
        <v>46284</v>
      </c>
      <c r="I4093" s="89">
        <v>46288</v>
      </c>
      <c r="J4093" t="s">
        <v>6536</v>
      </c>
      <c r="K4093" t="s">
        <v>6537</v>
      </c>
      <c r="L4093">
        <v>1</v>
      </c>
      <c r="M4093" t="s">
        <v>6538</v>
      </c>
      <c r="N4093" t="s">
        <v>6237</v>
      </c>
    </row>
    <row r="4094" spans="1:14" x14ac:dyDescent="0.25">
      <c r="A4094" t="s">
        <v>1320</v>
      </c>
      <c r="B4094" t="s">
        <v>1334</v>
      </c>
      <c r="C4094" t="s">
        <v>6539</v>
      </c>
      <c r="D4094" t="s">
        <v>23</v>
      </c>
      <c r="E4094" t="s">
        <v>14</v>
      </c>
      <c r="F4094" s="90">
        <v>480</v>
      </c>
      <c r="G4094">
        <v>10</v>
      </c>
      <c r="H4094" s="89">
        <v>46286</v>
      </c>
      <c r="I4094" s="89">
        <v>46290</v>
      </c>
      <c r="J4094" t="s">
        <v>6607</v>
      </c>
      <c r="K4094" t="s">
        <v>6541</v>
      </c>
      <c r="L4094">
        <v>1</v>
      </c>
      <c r="M4094" t="s">
        <v>6542</v>
      </c>
      <c r="N4094" t="s">
        <v>6543</v>
      </c>
    </row>
    <row r="4095" spans="1:14" x14ac:dyDescent="0.25">
      <c r="A4095" t="s">
        <v>1320</v>
      </c>
      <c r="B4095" t="s">
        <v>1334</v>
      </c>
      <c r="C4095" t="s">
        <v>6539</v>
      </c>
      <c r="D4095" t="s">
        <v>23</v>
      </c>
      <c r="E4095" t="s">
        <v>14</v>
      </c>
      <c r="F4095" s="90">
        <v>240</v>
      </c>
      <c r="G4095">
        <v>5</v>
      </c>
      <c r="H4095" s="89">
        <v>46286</v>
      </c>
      <c r="I4095" s="89">
        <v>46290</v>
      </c>
      <c r="J4095" t="s">
        <v>3549</v>
      </c>
      <c r="K4095" t="s">
        <v>6541</v>
      </c>
      <c r="L4095">
        <v>2</v>
      </c>
      <c r="M4095" t="s">
        <v>6818</v>
      </c>
      <c r="N4095" t="s">
        <v>6543</v>
      </c>
    </row>
    <row r="4096" spans="1:14" x14ac:dyDescent="0.25">
      <c r="A4096" t="s">
        <v>1313</v>
      </c>
      <c r="B4096" t="s">
        <v>1327</v>
      </c>
      <c r="C4096" t="s">
        <v>6545</v>
      </c>
      <c r="D4096" t="s">
        <v>20</v>
      </c>
      <c r="E4096" t="s">
        <v>18</v>
      </c>
      <c r="F4096" s="90">
        <v>1104</v>
      </c>
      <c r="G4096">
        <v>23</v>
      </c>
      <c r="H4096" s="89">
        <v>46286</v>
      </c>
      <c r="I4096" s="89">
        <v>46290</v>
      </c>
      <c r="J4096" t="s">
        <v>6546</v>
      </c>
      <c r="K4096" t="s">
        <v>6547</v>
      </c>
      <c r="L4096">
        <v>1</v>
      </c>
      <c r="M4096" t="s">
        <v>6548</v>
      </c>
      <c r="N4096" t="s">
        <v>6543</v>
      </c>
    </row>
    <row r="4097" spans="1:14" x14ac:dyDescent="0.25">
      <c r="A4097" t="s">
        <v>1313</v>
      </c>
      <c r="B4097" t="s">
        <v>1327</v>
      </c>
      <c r="C4097" t="s">
        <v>6545</v>
      </c>
      <c r="D4097" t="s">
        <v>20</v>
      </c>
      <c r="E4097" t="s">
        <v>19</v>
      </c>
      <c r="F4097" s="90">
        <v>144</v>
      </c>
      <c r="G4097">
        <v>3</v>
      </c>
      <c r="H4097" s="89">
        <v>46286</v>
      </c>
      <c r="I4097" s="89">
        <v>46288</v>
      </c>
      <c r="J4097" t="s">
        <v>1656</v>
      </c>
      <c r="K4097" t="s">
        <v>6549</v>
      </c>
      <c r="L4097">
        <v>1</v>
      </c>
      <c r="M4097" t="s">
        <v>6550</v>
      </c>
      <c r="N4097" t="s">
        <v>6543</v>
      </c>
    </row>
    <row r="4098" spans="1:14" x14ac:dyDescent="0.25">
      <c r="A4098" t="s">
        <v>1315</v>
      </c>
      <c r="B4098" t="s">
        <v>1329</v>
      </c>
      <c r="C4098" t="s">
        <v>6545</v>
      </c>
      <c r="D4098" t="s">
        <v>20</v>
      </c>
      <c r="E4098" t="s">
        <v>19</v>
      </c>
      <c r="F4098" s="90">
        <v>225</v>
      </c>
      <c r="G4098" t="s">
        <v>1419</v>
      </c>
      <c r="H4098" s="89">
        <v>46286</v>
      </c>
      <c r="I4098" s="89">
        <v>46288</v>
      </c>
      <c r="J4098" t="s">
        <v>1656</v>
      </c>
      <c r="K4098" t="s">
        <v>6551</v>
      </c>
      <c r="L4098">
        <v>1</v>
      </c>
      <c r="M4098" t="s">
        <v>6552</v>
      </c>
      <c r="N4098" t="s">
        <v>6543</v>
      </c>
    </row>
    <row r="4099" spans="1:14" x14ac:dyDescent="0.25">
      <c r="A4099" t="s">
        <v>1316</v>
      </c>
      <c r="B4099" t="s">
        <v>1330</v>
      </c>
      <c r="C4099" t="s">
        <v>6553</v>
      </c>
      <c r="D4099" t="s">
        <v>20</v>
      </c>
      <c r="E4099" t="s">
        <v>19</v>
      </c>
      <c r="F4099" s="90">
        <v>60</v>
      </c>
      <c r="G4099" t="s">
        <v>1419</v>
      </c>
      <c r="H4099" s="89">
        <v>46286</v>
      </c>
      <c r="I4099" s="89">
        <v>46288</v>
      </c>
      <c r="J4099" t="s">
        <v>1656</v>
      </c>
      <c r="K4099" t="s">
        <v>6554</v>
      </c>
      <c r="L4099">
        <v>1</v>
      </c>
      <c r="M4099" t="s">
        <v>6555</v>
      </c>
      <c r="N4099" t="s">
        <v>6543</v>
      </c>
    </row>
    <row r="4100" spans="1:14" x14ac:dyDescent="0.25">
      <c r="A4100" t="s">
        <v>1317</v>
      </c>
      <c r="B4100" t="s">
        <v>1331</v>
      </c>
      <c r="C4100" t="s">
        <v>6556</v>
      </c>
      <c r="D4100" t="s">
        <v>20</v>
      </c>
      <c r="E4100" t="s">
        <v>19</v>
      </c>
      <c r="F4100" s="90">
        <v>29</v>
      </c>
      <c r="G4100" t="s">
        <v>1419</v>
      </c>
      <c r="H4100" s="89">
        <v>46286</v>
      </c>
      <c r="I4100" s="89">
        <v>46288</v>
      </c>
      <c r="J4100" t="s">
        <v>1656</v>
      </c>
      <c r="K4100" t="s">
        <v>6557</v>
      </c>
      <c r="L4100">
        <v>1</v>
      </c>
      <c r="M4100" t="s">
        <v>6558</v>
      </c>
      <c r="N4100" t="s">
        <v>6543</v>
      </c>
    </row>
    <row r="4101" spans="1:14" x14ac:dyDescent="0.25">
      <c r="A4101" t="s">
        <v>1318</v>
      </c>
      <c r="B4101" t="s">
        <v>1332</v>
      </c>
      <c r="C4101" t="s">
        <v>6545</v>
      </c>
      <c r="D4101" t="s">
        <v>20</v>
      </c>
      <c r="E4101" t="s">
        <v>19</v>
      </c>
      <c r="F4101" s="90">
        <v>70</v>
      </c>
      <c r="G4101" t="s">
        <v>1419</v>
      </c>
      <c r="H4101" s="89">
        <v>46286</v>
      </c>
      <c r="I4101" s="89">
        <v>46288</v>
      </c>
      <c r="J4101" t="s">
        <v>1656</v>
      </c>
      <c r="K4101" t="s">
        <v>6559</v>
      </c>
      <c r="L4101">
        <v>1</v>
      </c>
      <c r="M4101" t="s">
        <v>6560</v>
      </c>
      <c r="N4101" t="s">
        <v>6543</v>
      </c>
    </row>
    <row r="4102" spans="1:14" x14ac:dyDescent="0.25">
      <c r="A4102" t="s">
        <v>1313</v>
      </c>
      <c r="B4102" t="s">
        <v>1327</v>
      </c>
      <c r="C4102" t="s">
        <v>6561</v>
      </c>
      <c r="D4102" t="s">
        <v>15</v>
      </c>
      <c r="E4102" t="s">
        <v>22</v>
      </c>
      <c r="F4102" s="90">
        <v>144</v>
      </c>
      <c r="G4102">
        <v>3</v>
      </c>
      <c r="H4102" s="89">
        <v>46286</v>
      </c>
      <c r="I4102" s="89">
        <v>46289</v>
      </c>
      <c r="J4102" t="s">
        <v>4904</v>
      </c>
      <c r="K4102" t="s">
        <v>6562</v>
      </c>
      <c r="L4102">
        <v>1</v>
      </c>
      <c r="M4102" t="s">
        <v>6563</v>
      </c>
      <c r="N4102" t="s">
        <v>6543</v>
      </c>
    </row>
    <row r="4103" spans="1:14" x14ac:dyDescent="0.25">
      <c r="A4103" t="s">
        <v>1313</v>
      </c>
      <c r="B4103" t="s">
        <v>1327</v>
      </c>
      <c r="C4103" t="s">
        <v>6561</v>
      </c>
      <c r="D4103" t="s">
        <v>15</v>
      </c>
      <c r="E4103" t="s">
        <v>22</v>
      </c>
      <c r="F4103" s="90">
        <v>96</v>
      </c>
      <c r="G4103">
        <v>2</v>
      </c>
      <c r="H4103" s="89">
        <v>46286</v>
      </c>
      <c r="I4103" s="89">
        <v>46291</v>
      </c>
      <c r="J4103" t="s">
        <v>6564</v>
      </c>
      <c r="K4103" t="s">
        <v>6565</v>
      </c>
      <c r="L4103">
        <v>1</v>
      </c>
      <c r="M4103" t="s">
        <v>6566</v>
      </c>
      <c r="N4103" t="s">
        <v>6543</v>
      </c>
    </row>
    <row r="4104" spans="1:14" x14ac:dyDescent="0.25">
      <c r="A4104" t="s">
        <v>1314</v>
      </c>
      <c r="B4104" t="s">
        <v>1328</v>
      </c>
      <c r="C4104" t="s">
        <v>6561</v>
      </c>
      <c r="D4104" t="s">
        <v>15</v>
      </c>
      <c r="E4104" t="s">
        <v>18</v>
      </c>
      <c r="F4104" s="90">
        <v>48</v>
      </c>
      <c r="G4104">
        <v>1</v>
      </c>
      <c r="H4104" s="89">
        <v>46286</v>
      </c>
      <c r="I4104" s="89">
        <v>46290</v>
      </c>
      <c r="J4104" t="s">
        <v>6546</v>
      </c>
      <c r="K4104" t="s">
        <v>6567</v>
      </c>
      <c r="L4104">
        <v>1</v>
      </c>
      <c r="M4104" t="s">
        <v>6568</v>
      </c>
      <c r="N4104" t="s">
        <v>6543</v>
      </c>
    </row>
    <row r="4105" spans="1:14" x14ac:dyDescent="0.25">
      <c r="A4105" t="s">
        <v>1314</v>
      </c>
      <c r="B4105" t="s">
        <v>1328</v>
      </c>
      <c r="C4105" t="s">
        <v>6561</v>
      </c>
      <c r="D4105" t="s">
        <v>15</v>
      </c>
      <c r="E4105" t="s">
        <v>31</v>
      </c>
      <c r="F4105" s="90">
        <v>48</v>
      </c>
      <c r="G4105">
        <v>1</v>
      </c>
      <c r="H4105" s="89">
        <v>46286</v>
      </c>
      <c r="I4105" s="89">
        <v>46290</v>
      </c>
      <c r="J4105" t="s">
        <v>6569</v>
      </c>
      <c r="K4105" t="s">
        <v>6570</v>
      </c>
      <c r="L4105">
        <v>1</v>
      </c>
      <c r="M4105" t="s">
        <v>6571</v>
      </c>
      <c r="N4105" t="s">
        <v>6543</v>
      </c>
    </row>
    <row r="4106" spans="1:14" x14ac:dyDescent="0.25">
      <c r="A4106" t="s">
        <v>1319</v>
      </c>
      <c r="B4106" t="s">
        <v>1333</v>
      </c>
      <c r="C4106" t="s">
        <v>6561</v>
      </c>
      <c r="D4106" t="s">
        <v>15</v>
      </c>
      <c r="E4106" t="s">
        <v>31</v>
      </c>
      <c r="F4106" s="90">
        <v>5</v>
      </c>
      <c r="G4106">
        <v>0.10416666666666669</v>
      </c>
      <c r="H4106" s="89">
        <v>46286</v>
      </c>
      <c r="I4106" s="89">
        <v>46290</v>
      </c>
      <c r="J4106" t="s">
        <v>6572</v>
      </c>
      <c r="K4106" t="s">
        <v>6573</v>
      </c>
      <c r="L4106">
        <v>1</v>
      </c>
      <c r="M4106" t="s">
        <v>6574</v>
      </c>
      <c r="N4106" t="s">
        <v>6543</v>
      </c>
    </row>
    <row r="4107" spans="1:14" x14ac:dyDescent="0.25">
      <c r="A4107" t="s">
        <v>1313</v>
      </c>
      <c r="B4107" t="s">
        <v>1327</v>
      </c>
      <c r="C4107" t="s">
        <v>6561</v>
      </c>
      <c r="D4107" t="s">
        <v>15</v>
      </c>
      <c r="E4107" t="s">
        <v>31</v>
      </c>
      <c r="F4107" s="90">
        <v>859</v>
      </c>
      <c r="G4107">
        <v>17.895833333333332</v>
      </c>
      <c r="H4107" s="89">
        <v>46286</v>
      </c>
      <c r="I4107" s="89">
        <v>46290</v>
      </c>
      <c r="J4107" t="s">
        <v>6572</v>
      </c>
      <c r="K4107" t="s">
        <v>6575</v>
      </c>
      <c r="L4107">
        <v>1</v>
      </c>
      <c r="M4107" t="s">
        <v>6576</v>
      </c>
      <c r="N4107" t="s">
        <v>6543</v>
      </c>
    </row>
    <row r="4108" spans="1:14" x14ac:dyDescent="0.25">
      <c r="A4108" t="s">
        <v>1313</v>
      </c>
      <c r="B4108" t="s">
        <v>1327</v>
      </c>
      <c r="C4108" t="s">
        <v>6561</v>
      </c>
      <c r="D4108" t="s">
        <v>15</v>
      </c>
      <c r="E4108" t="s">
        <v>19</v>
      </c>
      <c r="F4108" s="90">
        <v>192</v>
      </c>
      <c r="G4108">
        <v>4</v>
      </c>
      <c r="H4108" s="89">
        <v>46286</v>
      </c>
      <c r="I4108" s="89">
        <v>46288</v>
      </c>
      <c r="J4108" t="s">
        <v>1656</v>
      </c>
      <c r="K4108" t="s">
        <v>6577</v>
      </c>
      <c r="L4108">
        <v>1</v>
      </c>
      <c r="M4108" t="s">
        <v>6578</v>
      </c>
      <c r="N4108" t="s">
        <v>6543</v>
      </c>
    </row>
    <row r="4109" spans="1:14" x14ac:dyDescent="0.25">
      <c r="A4109" t="s">
        <v>1315</v>
      </c>
      <c r="B4109" t="s">
        <v>1329</v>
      </c>
      <c r="C4109" t="s">
        <v>6561</v>
      </c>
      <c r="D4109" t="s">
        <v>15</v>
      </c>
      <c r="E4109" t="s">
        <v>19</v>
      </c>
      <c r="F4109" s="90">
        <v>8</v>
      </c>
      <c r="G4109" t="s">
        <v>1419</v>
      </c>
      <c r="H4109" s="89">
        <v>46286</v>
      </c>
      <c r="I4109" s="89">
        <v>46288</v>
      </c>
      <c r="J4109" t="s">
        <v>1656</v>
      </c>
      <c r="K4109" t="s">
        <v>6579</v>
      </c>
      <c r="L4109">
        <v>1</v>
      </c>
      <c r="M4109" t="s">
        <v>6580</v>
      </c>
      <c r="N4109" t="s">
        <v>6543</v>
      </c>
    </row>
    <row r="4110" spans="1:14" x14ac:dyDescent="0.25">
      <c r="A4110" t="s">
        <v>1316</v>
      </c>
      <c r="B4110" t="s">
        <v>1330</v>
      </c>
      <c r="C4110" t="s">
        <v>6581</v>
      </c>
      <c r="D4110" t="s">
        <v>15</v>
      </c>
      <c r="E4110" t="s">
        <v>19</v>
      </c>
      <c r="F4110" s="90">
        <v>43</v>
      </c>
      <c r="G4110" t="s">
        <v>1419</v>
      </c>
      <c r="H4110" s="89">
        <v>46286</v>
      </c>
      <c r="I4110" s="89">
        <v>46288</v>
      </c>
      <c r="J4110" t="s">
        <v>1656</v>
      </c>
      <c r="K4110" t="s">
        <v>6582</v>
      </c>
      <c r="L4110">
        <v>1</v>
      </c>
      <c r="M4110" t="s">
        <v>6583</v>
      </c>
      <c r="N4110" t="s">
        <v>6543</v>
      </c>
    </row>
    <row r="4111" spans="1:14" x14ac:dyDescent="0.25">
      <c r="A4111" t="s">
        <v>1317</v>
      </c>
      <c r="B4111" t="s">
        <v>1331</v>
      </c>
      <c r="C4111" t="s">
        <v>6584</v>
      </c>
      <c r="D4111" t="s">
        <v>15</v>
      </c>
      <c r="E4111" t="s">
        <v>19</v>
      </c>
      <c r="F4111" s="90">
        <v>10</v>
      </c>
      <c r="G4111" t="s">
        <v>1419</v>
      </c>
      <c r="H4111" s="89">
        <v>46286</v>
      </c>
      <c r="I4111" s="89">
        <v>46288</v>
      </c>
      <c r="J4111" t="s">
        <v>1656</v>
      </c>
      <c r="K4111" t="s">
        <v>6585</v>
      </c>
      <c r="L4111">
        <v>1</v>
      </c>
      <c r="M4111" t="s">
        <v>6586</v>
      </c>
      <c r="N4111" t="s">
        <v>6543</v>
      </c>
    </row>
    <row r="4112" spans="1:14" x14ac:dyDescent="0.25">
      <c r="A4112" t="s">
        <v>1317</v>
      </c>
      <c r="B4112" t="s">
        <v>1331</v>
      </c>
      <c r="C4112" t="s">
        <v>6584</v>
      </c>
      <c r="D4112" t="s">
        <v>15</v>
      </c>
      <c r="E4112" t="s">
        <v>19</v>
      </c>
      <c r="F4112" s="90">
        <v>25</v>
      </c>
      <c r="G4112" t="s">
        <v>1419</v>
      </c>
      <c r="H4112" s="89">
        <v>46286</v>
      </c>
      <c r="I4112" s="89">
        <v>46288</v>
      </c>
      <c r="J4112" t="s">
        <v>1656</v>
      </c>
      <c r="K4112" t="s">
        <v>6585</v>
      </c>
      <c r="L4112">
        <v>2</v>
      </c>
      <c r="M4112" t="s">
        <v>6771</v>
      </c>
      <c r="N4112" t="s">
        <v>6543</v>
      </c>
    </row>
    <row r="4113" spans="1:14" x14ac:dyDescent="0.25">
      <c r="A4113" t="s">
        <v>1318</v>
      </c>
      <c r="B4113" t="s">
        <v>1332</v>
      </c>
      <c r="C4113" t="s">
        <v>6587</v>
      </c>
      <c r="D4113" t="s">
        <v>15</v>
      </c>
      <c r="E4113" t="s">
        <v>19</v>
      </c>
      <c r="F4113" s="90">
        <v>24</v>
      </c>
      <c r="G4113" t="s">
        <v>1419</v>
      </c>
      <c r="H4113" s="89">
        <v>46286</v>
      </c>
      <c r="I4113" s="89">
        <v>46288</v>
      </c>
      <c r="J4113" t="s">
        <v>1656</v>
      </c>
      <c r="K4113" t="s">
        <v>6588</v>
      </c>
      <c r="L4113">
        <v>1</v>
      </c>
      <c r="M4113" t="s">
        <v>6589</v>
      </c>
      <c r="N4113" t="s">
        <v>6543</v>
      </c>
    </row>
    <row r="4114" spans="1:14" x14ac:dyDescent="0.25">
      <c r="A4114" t="s">
        <v>1324</v>
      </c>
      <c r="B4114" t="s">
        <v>1338</v>
      </c>
      <c r="C4114" t="s">
        <v>6590</v>
      </c>
      <c r="D4114" t="s">
        <v>28</v>
      </c>
      <c r="E4114" t="s">
        <v>25</v>
      </c>
      <c r="F4114" s="90">
        <v>480</v>
      </c>
      <c r="G4114">
        <v>10</v>
      </c>
      <c r="H4114" s="89">
        <v>46286</v>
      </c>
      <c r="I4114" s="89">
        <v>46290</v>
      </c>
      <c r="J4114" t="s">
        <v>6480</v>
      </c>
      <c r="K4114" t="s">
        <v>6591</v>
      </c>
      <c r="L4114">
        <v>1</v>
      </c>
      <c r="M4114" t="s">
        <v>6592</v>
      </c>
      <c r="N4114" t="s">
        <v>6543</v>
      </c>
    </row>
    <row r="4115" spans="1:14" x14ac:dyDescent="0.25">
      <c r="A4115" t="s">
        <v>1313</v>
      </c>
      <c r="B4115" t="s">
        <v>1327</v>
      </c>
      <c r="C4115" t="s">
        <v>6590</v>
      </c>
      <c r="D4115" t="s">
        <v>28</v>
      </c>
      <c r="E4115" t="s">
        <v>31</v>
      </c>
      <c r="F4115" s="90">
        <v>240</v>
      </c>
      <c r="G4115">
        <v>5</v>
      </c>
      <c r="H4115" s="89">
        <v>46286</v>
      </c>
      <c r="I4115" s="89">
        <v>46290</v>
      </c>
      <c r="J4115" t="s">
        <v>6572</v>
      </c>
      <c r="K4115" t="s">
        <v>6593</v>
      </c>
      <c r="L4115">
        <v>1</v>
      </c>
      <c r="M4115" t="s">
        <v>6594</v>
      </c>
      <c r="N4115" t="s">
        <v>6543</v>
      </c>
    </row>
    <row r="4116" spans="1:14" x14ac:dyDescent="0.25">
      <c r="A4116" t="s">
        <v>1320</v>
      </c>
      <c r="B4116" t="s">
        <v>1334</v>
      </c>
      <c r="C4116" t="s">
        <v>6590</v>
      </c>
      <c r="D4116" t="s">
        <v>28</v>
      </c>
      <c r="E4116" t="s">
        <v>14</v>
      </c>
      <c r="F4116" s="90">
        <v>480</v>
      </c>
      <c r="G4116">
        <v>10</v>
      </c>
      <c r="H4116" s="89">
        <v>46286</v>
      </c>
      <c r="I4116" s="89">
        <v>46290</v>
      </c>
      <c r="J4116" t="s">
        <v>3549</v>
      </c>
      <c r="K4116" t="s">
        <v>6819</v>
      </c>
      <c r="L4116">
        <v>1</v>
      </c>
      <c r="M4116" t="s">
        <v>6820</v>
      </c>
      <c r="N4116" t="s">
        <v>6543</v>
      </c>
    </row>
    <row r="4117" spans="1:14" x14ac:dyDescent="0.25">
      <c r="A4117" t="s">
        <v>1315</v>
      </c>
      <c r="B4117" t="s">
        <v>1329</v>
      </c>
      <c r="C4117" t="s">
        <v>6590</v>
      </c>
      <c r="D4117" t="s">
        <v>28</v>
      </c>
      <c r="E4117" t="s">
        <v>19</v>
      </c>
      <c r="F4117" s="90">
        <v>70</v>
      </c>
      <c r="G4117" t="s">
        <v>1419</v>
      </c>
      <c r="H4117" s="89">
        <v>46286</v>
      </c>
      <c r="I4117" s="89">
        <v>46288</v>
      </c>
      <c r="J4117" t="s">
        <v>1656</v>
      </c>
      <c r="K4117" t="s">
        <v>6595</v>
      </c>
      <c r="L4117">
        <v>1</v>
      </c>
      <c r="M4117" t="s">
        <v>6596</v>
      </c>
      <c r="N4117" t="s">
        <v>6543</v>
      </c>
    </row>
    <row r="4118" spans="1:14" x14ac:dyDescent="0.25">
      <c r="A4118" t="s">
        <v>1316</v>
      </c>
      <c r="B4118" t="s">
        <v>1330</v>
      </c>
      <c r="C4118" t="s">
        <v>6597</v>
      </c>
      <c r="D4118" t="s">
        <v>28</v>
      </c>
      <c r="E4118" t="s">
        <v>19</v>
      </c>
      <c r="F4118" s="90">
        <v>18</v>
      </c>
      <c r="G4118" t="s">
        <v>1419</v>
      </c>
      <c r="H4118" s="89">
        <v>46286</v>
      </c>
      <c r="I4118" s="89">
        <v>46288</v>
      </c>
      <c r="J4118" t="s">
        <v>1656</v>
      </c>
      <c r="K4118" t="s">
        <v>6598</v>
      </c>
      <c r="L4118">
        <v>1</v>
      </c>
      <c r="M4118" t="s">
        <v>6599</v>
      </c>
      <c r="N4118" t="s">
        <v>6543</v>
      </c>
    </row>
    <row r="4119" spans="1:14" x14ac:dyDescent="0.25">
      <c r="A4119" t="s">
        <v>1317</v>
      </c>
      <c r="B4119" t="s">
        <v>1331</v>
      </c>
      <c r="C4119" t="s">
        <v>6600</v>
      </c>
      <c r="D4119" t="s">
        <v>28</v>
      </c>
      <c r="E4119" t="s">
        <v>19</v>
      </c>
      <c r="F4119" s="90">
        <v>6</v>
      </c>
      <c r="G4119" t="s">
        <v>1419</v>
      </c>
      <c r="H4119" s="89">
        <v>46286</v>
      </c>
      <c r="I4119" s="89">
        <v>46288</v>
      </c>
      <c r="J4119" t="s">
        <v>1656</v>
      </c>
      <c r="K4119" t="s">
        <v>6601</v>
      </c>
      <c r="L4119">
        <v>1</v>
      </c>
      <c r="M4119" t="s">
        <v>6602</v>
      </c>
      <c r="N4119" t="s">
        <v>6543</v>
      </c>
    </row>
    <row r="4120" spans="1:14" x14ac:dyDescent="0.25">
      <c r="A4120" t="s">
        <v>1318</v>
      </c>
      <c r="B4120" t="s">
        <v>1332</v>
      </c>
      <c r="C4120" t="s">
        <v>6603</v>
      </c>
      <c r="D4120" t="s">
        <v>28</v>
      </c>
      <c r="E4120" t="s">
        <v>19</v>
      </c>
      <c r="F4120" s="90">
        <v>48</v>
      </c>
      <c r="G4120" t="s">
        <v>1419</v>
      </c>
      <c r="H4120" s="89">
        <v>46286</v>
      </c>
      <c r="I4120" s="89">
        <v>46288</v>
      </c>
      <c r="J4120" t="s">
        <v>1656</v>
      </c>
      <c r="K4120" t="s">
        <v>6604</v>
      </c>
      <c r="L4120">
        <v>1</v>
      </c>
      <c r="M4120" t="s">
        <v>6605</v>
      </c>
      <c r="N4120" t="s">
        <v>6543</v>
      </c>
    </row>
    <row r="4121" spans="1:14" x14ac:dyDescent="0.25">
      <c r="A4121" t="s">
        <v>1320</v>
      </c>
      <c r="B4121" t="s">
        <v>1334</v>
      </c>
      <c r="C4121" t="s">
        <v>6606</v>
      </c>
      <c r="D4121" t="s">
        <v>21</v>
      </c>
      <c r="E4121" t="s">
        <v>14</v>
      </c>
      <c r="F4121" s="90">
        <v>480</v>
      </c>
      <c r="G4121">
        <v>10</v>
      </c>
      <c r="H4121" s="89">
        <v>46287</v>
      </c>
      <c r="I4121" s="89">
        <v>46290</v>
      </c>
      <c r="J4121" t="s">
        <v>6540</v>
      </c>
      <c r="K4121" t="s">
        <v>6608</v>
      </c>
      <c r="L4121">
        <v>1</v>
      </c>
      <c r="M4121" t="s">
        <v>6609</v>
      </c>
      <c r="N4121" t="s">
        <v>6543</v>
      </c>
    </row>
    <row r="4122" spans="1:14" x14ac:dyDescent="0.25">
      <c r="A4122" t="s">
        <v>1320</v>
      </c>
      <c r="B4122" t="s">
        <v>1334</v>
      </c>
      <c r="C4122" t="s">
        <v>6606</v>
      </c>
      <c r="D4122" t="s">
        <v>21</v>
      </c>
      <c r="E4122" t="s">
        <v>14</v>
      </c>
      <c r="F4122" s="90">
        <v>480</v>
      </c>
      <c r="G4122">
        <v>10</v>
      </c>
      <c r="H4122" s="89">
        <v>46287</v>
      </c>
      <c r="I4122" s="89">
        <v>46291</v>
      </c>
      <c r="J4122" t="s">
        <v>3549</v>
      </c>
      <c r="K4122" t="s">
        <v>6821</v>
      </c>
      <c r="L4122">
        <v>1</v>
      </c>
      <c r="M4122" t="s">
        <v>6822</v>
      </c>
      <c r="N4122" t="s">
        <v>6543</v>
      </c>
    </row>
    <row r="4123" spans="1:14" x14ac:dyDescent="0.25">
      <c r="A4123" t="s">
        <v>1313</v>
      </c>
      <c r="B4123" t="s">
        <v>1327</v>
      </c>
      <c r="C4123" t="s">
        <v>6606</v>
      </c>
      <c r="D4123" t="s">
        <v>21</v>
      </c>
      <c r="E4123" t="s">
        <v>22</v>
      </c>
      <c r="F4123" s="90">
        <v>672</v>
      </c>
      <c r="G4123">
        <v>14</v>
      </c>
      <c r="H4123" s="89">
        <v>46287</v>
      </c>
      <c r="I4123" s="89">
        <v>46291</v>
      </c>
      <c r="J4123" t="s">
        <v>6564</v>
      </c>
      <c r="K4123" t="s">
        <v>6610</v>
      </c>
      <c r="L4123">
        <v>1</v>
      </c>
      <c r="M4123" t="s">
        <v>6611</v>
      </c>
      <c r="N4123" t="s">
        <v>6543</v>
      </c>
    </row>
    <row r="4124" spans="1:14" x14ac:dyDescent="0.25">
      <c r="A4124" t="s">
        <v>1313</v>
      </c>
      <c r="B4124" t="s">
        <v>1327</v>
      </c>
      <c r="C4124" t="s">
        <v>6606</v>
      </c>
      <c r="D4124" t="s">
        <v>21</v>
      </c>
      <c r="E4124" t="s">
        <v>19</v>
      </c>
      <c r="F4124" s="90">
        <v>192</v>
      </c>
      <c r="G4124">
        <v>4</v>
      </c>
      <c r="H4124" s="89">
        <v>46287</v>
      </c>
      <c r="I4124" s="89">
        <v>46291</v>
      </c>
      <c r="J4124" t="s">
        <v>1656</v>
      </c>
      <c r="K4124" t="s">
        <v>6612</v>
      </c>
      <c r="L4124">
        <v>1</v>
      </c>
      <c r="M4124" t="s">
        <v>6613</v>
      </c>
      <c r="N4124" t="s">
        <v>6543</v>
      </c>
    </row>
    <row r="4125" spans="1:14" x14ac:dyDescent="0.25">
      <c r="A4125" t="s">
        <v>1315</v>
      </c>
      <c r="B4125" t="s">
        <v>1329</v>
      </c>
      <c r="C4125" t="s">
        <v>6606</v>
      </c>
      <c r="D4125" t="s">
        <v>21</v>
      </c>
      <c r="E4125" t="s">
        <v>19</v>
      </c>
      <c r="F4125" s="90">
        <v>65</v>
      </c>
      <c r="G4125" t="s">
        <v>1419</v>
      </c>
      <c r="H4125" s="89">
        <v>46287</v>
      </c>
      <c r="I4125" s="89">
        <v>46288</v>
      </c>
      <c r="J4125" t="s">
        <v>1656</v>
      </c>
      <c r="K4125" t="s">
        <v>6614</v>
      </c>
      <c r="L4125">
        <v>1</v>
      </c>
      <c r="M4125" t="s">
        <v>6615</v>
      </c>
      <c r="N4125" t="s">
        <v>6543</v>
      </c>
    </row>
    <row r="4126" spans="1:14" x14ac:dyDescent="0.25">
      <c r="A4126" t="s">
        <v>1316</v>
      </c>
      <c r="B4126" t="s">
        <v>1330</v>
      </c>
      <c r="C4126" t="s">
        <v>6616</v>
      </c>
      <c r="D4126" t="s">
        <v>21</v>
      </c>
      <c r="E4126" t="s">
        <v>19</v>
      </c>
      <c r="F4126" s="90">
        <v>20</v>
      </c>
      <c r="G4126" t="s">
        <v>1419</v>
      </c>
      <c r="H4126" s="89">
        <v>46287</v>
      </c>
      <c r="I4126" s="89">
        <v>46289</v>
      </c>
      <c r="J4126" t="s">
        <v>1656</v>
      </c>
      <c r="K4126" t="s">
        <v>6617</v>
      </c>
      <c r="L4126">
        <v>1</v>
      </c>
      <c r="M4126" t="s">
        <v>6618</v>
      </c>
      <c r="N4126" t="s">
        <v>6543</v>
      </c>
    </row>
    <row r="4127" spans="1:14" x14ac:dyDescent="0.25">
      <c r="A4127" t="s">
        <v>1317</v>
      </c>
      <c r="B4127" t="s">
        <v>1331</v>
      </c>
      <c r="C4127" t="s">
        <v>6619</v>
      </c>
      <c r="D4127" t="s">
        <v>21</v>
      </c>
      <c r="E4127" t="s">
        <v>19</v>
      </c>
      <c r="F4127" s="90">
        <v>27</v>
      </c>
      <c r="G4127" t="s">
        <v>1419</v>
      </c>
      <c r="H4127" s="89">
        <v>46287</v>
      </c>
      <c r="I4127" s="89">
        <v>46289</v>
      </c>
      <c r="J4127" t="s">
        <v>1656</v>
      </c>
      <c r="K4127" t="s">
        <v>6620</v>
      </c>
      <c r="L4127">
        <v>1</v>
      </c>
      <c r="M4127" t="s">
        <v>6621</v>
      </c>
      <c r="N4127" t="s">
        <v>6543</v>
      </c>
    </row>
    <row r="4128" spans="1:14" x14ac:dyDescent="0.25">
      <c r="A4128" t="s">
        <v>1318</v>
      </c>
      <c r="B4128" t="s">
        <v>1332</v>
      </c>
      <c r="C4128" t="s">
        <v>6622</v>
      </c>
      <c r="D4128" t="s">
        <v>21</v>
      </c>
      <c r="E4128" t="s">
        <v>19</v>
      </c>
      <c r="F4128" s="90">
        <v>69</v>
      </c>
      <c r="G4128" t="s">
        <v>1419</v>
      </c>
      <c r="H4128" s="89">
        <v>46287</v>
      </c>
      <c r="I4128" s="89">
        <v>46289</v>
      </c>
      <c r="J4128" t="s">
        <v>1656</v>
      </c>
      <c r="K4128" t="s">
        <v>6623</v>
      </c>
      <c r="L4128">
        <v>1</v>
      </c>
      <c r="M4128" t="s">
        <v>6624</v>
      </c>
      <c r="N4128" t="s">
        <v>6543</v>
      </c>
    </row>
    <row r="4129" spans="1:14" x14ac:dyDescent="0.25">
      <c r="A4129" t="s">
        <v>1313</v>
      </c>
      <c r="B4129" t="s">
        <v>1327</v>
      </c>
      <c r="C4129" t="s">
        <v>6625</v>
      </c>
      <c r="D4129" t="s">
        <v>15</v>
      </c>
      <c r="E4129" t="s">
        <v>22</v>
      </c>
      <c r="F4129" s="90">
        <v>384</v>
      </c>
      <c r="G4129">
        <v>8</v>
      </c>
      <c r="H4129" s="89">
        <v>46287</v>
      </c>
      <c r="I4129" s="89">
        <v>46291</v>
      </c>
      <c r="J4129" t="s">
        <v>6564</v>
      </c>
      <c r="K4129" t="s">
        <v>6626</v>
      </c>
      <c r="L4129">
        <v>1</v>
      </c>
      <c r="M4129" t="s">
        <v>6627</v>
      </c>
      <c r="N4129" t="s">
        <v>6543</v>
      </c>
    </row>
    <row r="4130" spans="1:14" x14ac:dyDescent="0.25">
      <c r="A4130" t="s">
        <v>1313</v>
      </c>
      <c r="B4130" t="s">
        <v>1327</v>
      </c>
      <c r="C4130" t="s">
        <v>6625</v>
      </c>
      <c r="D4130" t="s">
        <v>15</v>
      </c>
      <c r="E4130" t="s">
        <v>22</v>
      </c>
      <c r="F4130" s="90">
        <v>48</v>
      </c>
      <c r="G4130">
        <v>1</v>
      </c>
      <c r="H4130" s="89">
        <v>46287</v>
      </c>
      <c r="I4130" s="89">
        <v>46291</v>
      </c>
      <c r="J4130" t="s">
        <v>6705</v>
      </c>
      <c r="K4130" t="s">
        <v>6626</v>
      </c>
      <c r="L4130">
        <v>2</v>
      </c>
      <c r="M4130" t="s">
        <v>6772</v>
      </c>
      <c r="N4130" t="s">
        <v>6543</v>
      </c>
    </row>
    <row r="4131" spans="1:14" x14ac:dyDescent="0.25">
      <c r="A4131" t="s">
        <v>1313</v>
      </c>
      <c r="B4131" t="s">
        <v>1327</v>
      </c>
      <c r="C4131" t="s">
        <v>6625</v>
      </c>
      <c r="D4131" t="s">
        <v>15</v>
      </c>
      <c r="E4131" t="s">
        <v>16</v>
      </c>
      <c r="F4131" s="90">
        <v>912</v>
      </c>
      <c r="G4131">
        <v>19</v>
      </c>
      <c r="H4131" s="89">
        <v>46287</v>
      </c>
      <c r="I4131" s="89">
        <v>46291</v>
      </c>
      <c r="J4131" t="s">
        <v>6628</v>
      </c>
      <c r="K4131" t="s">
        <v>6629</v>
      </c>
      <c r="L4131">
        <v>1</v>
      </c>
      <c r="M4131" t="s">
        <v>6630</v>
      </c>
      <c r="N4131" t="s">
        <v>6543</v>
      </c>
    </row>
    <row r="4132" spans="1:14" x14ac:dyDescent="0.25">
      <c r="A4132" t="s">
        <v>1314</v>
      </c>
      <c r="B4132" t="s">
        <v>1328</v>
      </c>
      <c r="C4132" t="s">
        <v>6625</v>
      </c>
      <c r="D4132" t="s">
        <v>15</v>
      </c>
      <c r="E4132" t="s">
        <v>16</v>
      </c>
      <c r="F4132" s="90">
        <v>240</v>
      </c>
      <c r="G4132">
        <v>5</v>
      </c>
      <c r="H4132" s="89">
        <v>46287</v>
      </c>
      <c r="I4132" s="89">
        <v>46291</v>
      </c>
      <c r="J4132" t="s">
        <v>6631</v>
      </c>
      <c r="K4132" t="s">
        <v>6632</v>
      </c>
      <c r="L4132">
        <v>1</v>
      </c>
      <c r="M4132" t="s">
        <v>6633</v>
      </c>
      <c r="N4132" t="s">
        <v>6543</v>
      </c>
    </row>
    <row r="4133" spans="1:14" x14ac:dyDescent="0.25">
      <c r="A4133" t="s">
        <v>1316</v>
      </c>
      <c r="B4133" t="s">
        <v>1330</v>
      </c>
      <c r="C4133" t="s">
        <v>6634</v>
      </c>
      <c r="D4133" t="s">
        <v>15</v>
      </c>
      <c r="E4133" t="s">
        <v>19</v>
      </c>
      <c r="F4133" s="90">
        <v>44</v>
      </c>
      <c r="G4133" t="s">
        <v>1419</v>
      </c>
      <c r="H4133" s="89">
        <v>46287</v>
      </c>
      <c r="I4133" s="89">
        <v>46289</v>
      </c>
      <c r="J4133" t="s">
        <v>1656</v>
      </c>
      <c r="K4133" t="s">
        <v>6635</v>
      </c>
      <c r="L4133">
        <v>1</v>
      </c>
      <c r="M4133" t="s">
        <v>6636</v>
      </c>
      <c r="N4133" t="s">
        <v>6543</v>
      </c>
    </row>
    <row r="4134" spans="1:14" x14ac:dyDescent="0.25">
      <c r="A4134" t="s">
        <v>1317</v>
      </c>
      <c r="B4134" t="s">
        <v>1331</v>
      </c>
      <c r="C4134" t="s">
        <v>6637</v>
      </c>
      <c r="D4134" t="s">
        <v>15</v>
      </c>
      <c r="E4134" t="s">
        <v>19</v>
      </c>
      <c r="F4134" s="90">
        <v>42</v>
      </c>
      <c r="G4134" t="s">
        <v>1419</v>
      </c>
      <c r="H4134" s="89">
        <v>46287</v>
      </c>
      <c r="I4134" s="89">
        <v>46289</v>
      </c>
      <c r="J4134" t="s">
        <v>1656</v>
      </c>
      <c r="K4134" t="s">
        <v>6638</v>
      </c>
      <c r="L4134">
        <v>1</v>
      </c>
      <c r="M4134" t="s">
        <v>6639</v>
      </c>
      <c r="N4134" t="s">
        <v>6543</v>
      </c>
    </row>
    <row r="4135" spans="1:14" x14ac:dyDescent="0.25">
      <c r="A4135" t="s">
        <v>1318</v>
      </c>
      <c r="B4135" t="s">
        <v>1332</v>
      </c>
      <c r="C4135" t="s">
        <v>6640</v>
      </c>
      <c r="D4135" t="s">
        <v>15</v>
      </c>
      <c r="E4135" t="s">
        <v>19</v>
      </c>
      <c r="F4135" s="90">
        <v>35</v>
      </c>
      <c r="G4135" t="s">
        <v>1419</v>
      </c>
      <c r="H4135" s="89">
        <v>46287</v>
      </c>
      <c r="I4135" s="89">
        <v>46289</v>
      </c>
      <c r="J4135" t="s">
        <v>1656</v>
      </c>
      <c r="K4135" t="s">
        <v>6641</v>
      </c>
      <c r="L4135">
        <v>1</v>
      </c>
      <c r="M4135" t="s">
        <v>6642</v>
      </c>
      <c r="N4135" t="s">
        <v>6543</v>
      </c>
    </row>
    <row r="4136" spans="1:14" x14ac:dyDescent="0.25">
      <c r="A4136" t="s">
        <v>1322</v>
      </c>
      <c r="B4136" t="s">
        <v>1336</v>
      </c>
      <c r="C4136" t="s">
        <v>6643</v>
      </c>
      <c r="D4136" t="s">
        <v>20</v>
      </c>
      <c r="E4136" t="s">
        <v>26</v>
      </c>
      <c r="F4136" s="90">
        <v>324</v>
      </c>
      <c r="G4136">
        <v>6</v>
      </c>
      <c r="H4136" s="89">
        <v>46287</v>
      </c>
      <c r="I4136" s="89">
        <v>46290</v>
      </c>
      <c r="J4136" t="s">
        <v>6644</v>
      </c>
      <c r="K4136" t="s">
        <v>6645</v>
      </c>
      <c r="L4136">
        <v>1</v>
      </c>
      <c r="M4136" t="s">
        <v>6646</v>
      </c>
      <c r="N4136" t="s">
        <v>6543</v>
      </c>
    </row>
    <row r="4137" spans="1:14" x14ac:dyDescent="0.25">
      <c r="A4137" t="s">
        <v>1323</v>
      </c>
      <c r="B4137" t="s">
        <v>1337</v>
      </c>
      <c r="C4137" t="s">
        <v>6643</v>
      </c>
      <c r="D4137" t="s">
        <v>20</v>
      </c>
      <c r="E4137" t="s">
        <v>26</v>
      </c>
      <c r="F4137" s="90">
        <v>756</v>
      </c>
      <c r="G4137">
        <v>14</v>
      </c>
      <c r="H4137" s="89">
        <v>46287</v>
      </c>
      <c r="I4137" s="89">
        <v>46290</v>
      </c>
      <c r="J4137" t="s">
        <v>6644</v>
      </c>
      <c r="K4137" t="s">
        <v>6647</v>
      </c>
      <c r="L4137">
        <v>1</v>
      </c>
      <c r="M4137" t="s">
        <v>6648</v>
      </c>
      <c r="N4137" t="s">
        <v>6543</v>
      </c>
    </row>
    <row r="4138" spans="1:14" x14ac:dyDescent="0.25">
      <c r="A4138" t="s">
        <v>1313</v>
      </c>
      <c r="B4138" t="s">
        <v>1327</v>
      </c>
      <c r="C4138" t="s">
        <v>6643</v>
      </c>
      <c r="D4138" t="s">
        <v>20</v>
      </c>
      <c r="E4138" t="s">
        <v>16</v>
      </c>
      <c r="F4138" s="90">
        <v>48</v>
      </c>
      <c r="G4138">
        <v>1</v>
      </c>
      <c r="H4138" s="89">
        <v>46287</v>
      </c>
      <c r="I4138" s="89">
        <v>46292</v>
      </c>
      <c r="J4138" t="s">
        <v>6712</v>
      </c>
      <c r="K4138" t="s">
        <v>6649</v>
      </c>
      <c r="L4138">
        <v>1</v>
      </c>
      <c r="M4138" t="s">
        <v>6650</v>
      </c>
      <c r="N4138" t="s">
        <v>6543</v>
      </c>
    </row>
    <row r="4139" spans="1:14" x14ac:dyDescent="0.25">
      <c r="A4139" t="s">
        <v>1313</v>
      </c>
      <c r="B4139" t="s">
        <v>1327</v>
      </c>
      <c r="C4139" t="s">
        <v>6643</v>
      </c>
      <c r="D4139" t="s">
        <v>20</v>
      </c>
      <c r="E4139" t="s">
        <v>19</v>
      </c>
      <c r="F4139" s="90">
        <v>144</v>
      </c>
      <c r="G4139">
        <v>3</v>
      </c>
      <c r="H4139" s="89">
        <v>46287</v>
      </c>
      <c r="I4139" s="89">
        <v>46288</v>
      </c>
      <c r="J4139" t="s">
        <v>1656</v>
      </c>
      <c r="K4139" t="s">
        <v>6651</v>
      </c>
      <c r="L4139">
        <v>1</v>
      </c>
      <c r="M4139" t="s">
        <v>6652</v>
      </c>
      <c r="N4139" t="s">
        <v>6543</v>
      </c>
    </row>
    <row r="4140" spans="1:14" x14ac:dyDescent="0.25">
      <c r="A4140" t="s">
        <v>1315</v>
      </c>
      <c r="B4140" t="s">
        <v>1329</v>
      </c>
      <c r="C4140" t="s">
        <v>6643</v>
      </c>
      <c r="D4140" t="s">
        <v>20</v>
      </c>
      <c r="E4140" t="s">
        <v>19</v>
      </c>
      <c r="F4140" s="90">
        <v>112</v>
      </c>
      <c r="G4140" t="s">
        <v>1419</v>
      </c>
      <c r="H4140" s="89">
        <v>46287</v>
      </c>
      <c r="I4140" s="89">
        <v>46288</v>
      </c>
      <c r="J4140" t="s">
        <v>1656</v>
      </c>
      <c r="K4140" t="s">
        <v>6653</v>
      </c>
      <c r="L4140">
        <v>1</v>
      </c>
      <c r="M4140" t="s">
        <v>6654</v>
      </c>
      <c r="N4140" t="s">
        <v>6543</v>
      </c>
    </row>
    <row r="4141" spans="1:14" x14ac:dyDescent="0.25">
      <c r="A4141" t="s">
        <v>1316</v>
      </c>
      <c r="B4141" t="s">
        <v>1330</v>
      </c>
      <c r="C4141" t="s">
        <v>6655</v>
      </c>
      <c r="D4141" t="s">
        <v>20</v>
      </c>
      <c r="E4141" t="s">
        <v>19</v>
      </c>
      <c r="F4141" s="90">
        <v>46</v>
      </c>
      <c r="G4141" t="s">
        <v>1419</v>
      </c>
      <c r="H4141" s="89">
        <v>46287</v>
      </c>
      <c r="I4141" s="89">
        <v>46289</v>
      </c>
      <c r="J4141" t="s">
        <v>1656</v>
      </c>
      <c r="K4141" t="s">
        <v>6656</v>
      </c>
      <c r="L4141">
        <v>1</v>
      </c>
      <c r="M4141" t="s">
        <v>6657</v>
      </c>
      <c r="N4141" t="s">
        <v>6543</v>
      </c>
    </row>
    <row r="4142" spans="1:14" x14ac:dyDescent="0.25">
      <c r="A4142" t="s">
        <v>1317</v>
      </c>
      <c r="B4142" t="s">
        <v>1331</v>
      </c>
      <c r="C4142" t="s">
        <v>6658</v>
      </c>
      <c r="D4142" t="s">
        <v>20</v>
      </c>
      <c r="E4142" t="s">
        <v>19</v>
      </c>
      <c r="F4142" s="90">
        <v>9</v>
      </c>
      <c r="G4142" t="s">
        <v>1419</v>
      </c>
      <c r="H4142" s="89">
        <v>46287</v>
      </c>
      <c r="I4142" s="89">
        <v>46289</v>
      </c>
      <c r="J4142" t="s">
        <v>1656</v>
      </c>
      <c r="K4142" t="s">
        <v>6659</v>
      </c>
      <c r="L4142">
        <v>1</v>
      </c>
      <c r="M4142" t="s">
        <v>6660</v>
      </c>
      <c r="N4142" t="s">
        <v>6543</v>
      </c>
    </row>
    <row r="4143" spans="1:14" x14ac:dyDescent="0.25">
      <c r="A4143" t="s">
        <v>1318</v>
      </c>
      <c r="B4143" t="s">
        <v>1332</v>
      </c>
      <c r="C4143" t="s">
        <v>6661</v>
      </c>
      <c r="D4143" t="s">
        <v>20</v>
      </c>
      <c r="E4143" t="s">
        <v>19</v>
      </c>
      <c r="F4143" s="90">
        <v>30</v>
      </c>
      <c r="G4143" t="s">
        <v>1419</v>
      </c>
      <c r="H4143" s="89">
        <v>46287</v>
      </c>
      <c r="I4143" s="89">
        <v>46289</v>
      </c>
      <c r="J4143" t="s">
        <v>1656</v>
      </c>
      <c r="K4143" t="s">
        <v>6662</v>
      </c>
      <c r="L4143">
        <v>1</v>
      </c>
      <c r="M4143" t="s">
        <v>6663</v>
      </c>
      <c r="N4143" t="s">
        <v>6543</v>
      </c>
    </row>
    <row r="4144" spans="1:14" x14ac:dyDescent="0.25">
      <c r="A4144" t="s">
        <v>1324</v>
      </c>
      <c r="B4144" t="s">
        <v>1338</v>
      </c>
      <c r="C4144" t="s">
        <v>6664</v>
      </c>
      <c r="D4144" t="s">
        <v>13</v>
      </c>
      <c r="E4144" t="s">
        <v>25</v>
      </c>
      <c r="F4144" s="90">
        <v>960</v>
      </c>
      <c r="G4144">
        <v>20</v>
      </c>
      <c r="H4144" s="89">
        <v>46287</v>
      </c>
      <c r="I4144" s="89">
        <v>46291</v>
      </c>
      <c r="J4144" t="s">
        <v>6665</v>
      </c>
      <c r="K4144" t="s">
        <v>6666</v>
      </c>
      <c r="L4144">
        <v>1</v>
      </c>
      <c r="M4144" t="s">
        <v>6667</v>
      </c>
      <c r="N4144" t="s">
        <v>6543</v>
      </c>
    </row>
    <row r="4145" spans="1:14" x14ac:dyDescent="0.25">
      <c r="A4145" t="s">
        <v>1324</v>
      </c>
      <c r="B4145" t="s">
        <v>1338</v>
      </c>
      <c r="C4145" t="s">
        <v>6664</v>
      </c>
      <c r="D4145" t="s">
        <v>13</v>
      </c>
      <c r="E4145" t="s">
        <v>65</v>
      </c>
      <c r="F4145" s="90">
        <v>288</v>
      </c>
      <c r="G4145">
        <v>6</v>
      </c>
      <c r="H4145" s="89">
        <v>46287</v>
      </c>
      <c r="I4145" s="89">
        <v>46294</v>
      </c>
      <c r="J4145" t="s">
        <v>6673</v>
      </c>
      <c r="K4145" t="s">
        <v>6823</v>
      </c>
      <c r="L4145">
        <v>1</v>
      </c>
      <c r="M4145" t="s">
        <v>6824</v>
      </c>
      <c r="N4145" t="s">
        <v>6543</v>
      </c>
    </row>
    <row r="4146" spans="1:14" x14ac:dyDescent="0.25">
      <c r="A4146" t="s">
        <v>1321</v>
      </c>
      <c r="B4146" t="s">
        <v>1335</v>
      </c>
      <c r="C4146" t="s">
        <v>6669</v>
      </c>
      <c r="D4146" t="s">
        <v>6670</v>
      </c>
      <c r="E4146" t="s">
        <v>25</v>
      </c>
      <c r="F4146" s="90">
        <v>96</v>
      </c>
      <c r="G4146">
        <v>2</v>
      </c>
      <c r="H4146" s="89">
        <v>46287</v>
      </c>
      <c r="I4146" s="89">
        <v>46293</v>
      </c>
      <c r="J4146" t="s">
        <v>6668</v>
      </c>
      <c r="K4146" t="s">
        <v>6671</v>
      </c>
      <c r="L4146">
        <v>1</v>
      </c>
      <c r="M4146" t="s">
        <v>6672</v>
      </c>
      <c r="N4146" t="s">
        <v>6543</v>
      </c>
    </row>
    <row r="4147" spans="1:14" x14ac:dyDescent="0.25">
      <c r="A4147" t="s">
        <v>1321</v>
      </c>
      <c r="B4147" t="s">
        <v>1335</v>
      </c>
      <c r="C4147" t="s">
        <v>6669</v>
      </c>
      <c r="D4147" t="s">
        <v>6670</v>
      </c>
      <c r="E4147" t="s">
        <v>65</v>
      </c>
      <c r="F4147" s="90">
        <v>144</v>
      </c>
      <c r="G4147">
        <v>3</v>
      </c>
      <c r="H4147" s="89">
        <v>46287</v>
      </c>
      <c r="I4147" s="89">
        <v>46294</v>
      </c>
      <c r="J4147" t="s">
        <v>6673</v>
      </c>
      <c r="K4147" t="s">
        <v>6674</v>
      </c>
      <c r="L4147">
        <v>1</v>
      </c>
      <c r="M4147" t="s">
        <v>6675</v>
      </c>
      <c r="N4147" t="s">
        <v>6543</v>
      </c>
    </row>
    <row r="4148" spans="1:14" x14ac:dyDescent="0.25">
      <c r="A4148" t="s">
        <v>1325</v>
      </c>
      <c r="B4148" t="s">
        <v>1339</v>
      </c>
      <c r="C4148" t="s">
        <v>6669</v>
      </c>
      <c r="D4148" t="s">
        <v>6670</v>
      </c>
      <c r="E4148" t="s">
        <v>19</v>
      </c>
      <c r="F4148" s="90">
        <v>240</v>
      </c>
      <c r="G4148">
        <v>5</v>
      </c>
      <c r="H4148" s="89">
        <v>46287</v>
      </c>
      <c r="I4148" s="89">
        <v>46288</v>
      </c>
      <c r="J4148" t="s">
        <v>1656</v>
      </c>
      <c r="K4148" t="s">
        <v>6773</v>
      </c>
      <c r="L4148">
        <v>1</v>
      </c>
      <c r="M4148" t="s">
        <v>6774</v>
      </c>
      <c r="N4148" t="s">
        <v>6543</v>
      </c>
    </row>
    <row r="4149" spans="1:14" x14ac:dyDescent="0.25">
      <c r="A4149" t="s">
        <v>1320</v>
      </c>
      <c r="B4149" t="s">
        <v>1334</v>
      </c>
      <c r="C4149" t="s">
        <v>6676</v>
      </c>
      <c r="D4149" t="s">
        <v>23</v>
      </c>
      <c r="E4149" t="s">
        <v>14</v>
      </c>
      <c r="F4149" s="90">
        <v>240</v>
      </c>
      <c r="G4149">
        <v>5</v>
      </c>
      <c r="H4149" s="89">
        <v>46287</v>
      </c>
      <c r="I4149" s="89">
        <v>46290</v>
      </c>
      <c r="J4149" t="s">
        <v>3549</v>
      </c>
      <c r="K4149" t="s">
        <v>6825</v>
      </c>
      <c r="L4149">
        <v>1</v>
      </c>
      <c r="M4149" t="s">
        <v>6826</v>
      </c>
      <c r="N4149" t="s">
        <v>6543</v>
      </c>
    </row>
    <row r="4150" spans="1:14" x14ac:dyDescent="0.25">
      <c r="A4150" t="s">
        <v>1320</v>
      </c>
      <c r="B4150" t="s">
        <v>1334</v>
      </c>
      <c r="C4150" t="s">
        <v>6676</v>
      </c>
      <c r="D4150" t="s">
        <v>23</v>
      </c>
      <c r="E4150" t="s">
        <v>14</v>
      </c>
      <c r="F4150" s="90">
        <v>480</v>
      </c>
      <c r="G4150">
        <v>10</v>
      </c>
      <c r="H4150" s="89">
        <v>46287</v>
      </c>
      <c r="I4150" s="89">
        <v>46291</v>
      </c>
      <c r="J4150" t="s">
        <v>6544</v>
      </c>
      <c r="K4150" t="s">
        <v>6677</v>
      </c>
      <c r="L4150">
        <v>1</v>
      </c>
      <c r="M4150" t="s">
        <v>6678</v>
      </c>
      <c r="N4150" t="s">
        <v>6543</v>
      </c>
    </row>
    <row r="4151" spans="1:14" x14ac:dyDescent="0.25">
      <c r="A4151" t="s">
        <v>1320</v>
      </c>
      <c r="B4151" t="s">
        <v>1334</v>
      </c>
      <c r="C4151" t="s">
        <v>6676</v>
      </c>
      <c r="D4151" t="s">
        <v>23</v>
      </c>
      <c r="E4151" t="s">
        <v>14</v>
      </c>
      <c r="F4151" s="90">
        <v>288</v>
      </c>
      <c r="G4151">
        <v>6</v>
      </c>
      <c r="H4151" s="89">
        <v>46287</v>
      </c>
      <c r="I4151" s="89">
        <v>46294</v>
      </c>
      <c r="J4151" t="s">
        <v>6689</v>
      </c>
      <c r="K4151" t="s">
        <v>6679</v>
      </c>
      <c r="L4151">
        <v>1</v>
      </c>
      <c r="M4151" t="s">
        <v>6680</v>
      </c>
      <c r="N4151" t="s">
        <v>6543</v>
      </c>
    </row>
    <row r="4152" spans="1:14" x14ac:dyDescent="0.25">
      <c r="A4152" t="s">
        <v>1324</v>
      </c>
      <c r="B4152" t="s">
        <v>1338</v>
      </c>
      <c r="C4152" t="s">
        <v>6681</v>
      </c>
      <c r="D4152" t="s">
        <v>24</v>
      </c>
      <c r="E4152" t="s">
        <v>25</v>
      </c>
      <c r="F4152" s="90">
        <v>960</v>
      </c>
      <c r="G4152">
        <v>20</v>
      </c>
      <c r="H4152" s="89">
        <v>46287</v>
      </c>
      <c r="I4152" s="89">
        <v>46291</v>
      </c>
      <c r="J4152" t="s">
        <v>6665</v>
      </c>
      <c r="K4152" t="s">
        <v>6682</v>
      </c>
      <c r="L4152">
        <v>1</v>
      </c>
      <c r="M4152" t="s">
        <v>6683</v>
      </c>
      <c r="N4152" t="s">
        <v>6543</v>
      </c>
    </row>
    <row r="4153" spans="1:14" x14ac:dyDescent="0.25">
      <c r="A4153" t="s">
        <v>1324</v>
      </c>
      <c r="B4153" t="s">
        <v>1338</v>
      </c>
      <c r="C4153" t="s">
        <v>6681</v>
      </c>
      <c r="D4153" t="s">
        <v>24</v>
      </c>
      <c r="E4153" t="s">
        <v>25</v>
      </c>
      <c r="F4153" s="90">
        <v>144</v>
      </c>
      <c r="G4153">
        <v>3</v>
      </c>
      <c r="H4153" s="89">
        <v>46287</v>
      </c>
      <c r="I4153" s="89">
        <v>46293</v>
      </c>
      <c r="J4153" t="s">
        <v>6668</v>
      </c>
      <c r="K4153" t="s">
        <v>6827</v>
      </c>
      <c r="L4153">
        <v>1</v>
      </c>
      <c r="M4153" t="s">
        <v>6828</v>
      </c>
      <c r="N4153" t="s">
        <v>6543</v>
      </c>
    </row>
    <row r="4154" spans="1:14" x14ac:dyDescent="0.25">
      <c r="A4154" t="s">
        <v>1320</v>
      </c>
      <c r="B4154" t="s">
        <v>1334</v>
      </c>
      <c r="C4154" t="s">
        <v>6684</v>
      </c>
      <c r="D4154" t="s">
        <v>103</v>
      </c>
      <c r="E4154" t="s">
        <v>14</v>
      </c>
      <c r="F4154" s="90">
        <v>960</v>
      </c>
      <c r="G4154">
        <v>20</v>
      </c>
      <c r="H4154" s="89">
        <v>46288</v>
      </c>
      <c r="I4154" s="89">
        <v>46291</v>
      </c>
      <c r="J4154" t="s">
        <v>6685</v>
      </c>
      <c r="K4154" t="s">
        <v>6686</v>
      </c>
      <c r="L4154">
        <v>1</v>
      </c>
      <c r="M4154" t="s">
        <v>6687</v>
      </c>
      <c r="N4154" t="s">
        <v>6543</v>
      </c>
    </row>
    <row r="4155" spans="1:14" x14ac:dyDescent="0.25">
      <c r="A4155" t="s">
        <v>1320</v>
      </c>
      <c r="B4155" t="s">
        <v>1334</v>
      </c>
      <c r="C4155" t="s">
        <v>6688</v>
      </c>
      <c r="D4155" t="s">
        <v>23</v>
      </c>
      <c r="E4155" t="s">
        <v>14</v>
      </c>
      <c r="F4155" s="90">
        <v>192</v>
      </c>
      <c r="G4155">
        <v>4</v>
      </c>
      <c r="H4155" s="89">
        <v>46288</v>
      </c>
      <c r="I4155" s="89">
        <v>46294</v>
      </c>
      <c r="J4155" t="s">
        <v>6689</v>
      </c>
      <c r="K4155" t="s">
        <v>6690</v>
      </c>
      <c r="L4155">
        <v>1</v>
      </c>
      <c r="M4155" t="s">
        <v>6691</v>
      </c>
      <c r="N4155" t="s">
        <v>6543</v>
      </c>
    </row>
    <row r="4156" spans="1:14" x14ac:dyDescent="0.25">
      <c r="A4156" t="s">
        <v>1320</v>
      </c>
      <c r="B4156" t="s">
        <v>1334</v>
      </c>
      <c r="C4156" t="s">
        <v>6688</v>
      </c>
      <c r="D4156" t="s">
        <v>23</v>
      </c>
      <c r="E4156" t="s">
        <v>14</v>
      </c>
      <c r="F4156" s="90">
        <v>480</v>
      </c>
      <c r="G4156">
        <v>10</v>
      </c>
      <c r="H4156" s="89">
        <v>46288</v>
      </c>
      <c r="I4156" s="89">
        <v>46295</v>
      </c>
      <c r="J4156" t="s">
        <v>3549</v>
      </c>
      <c r="K4156" t="s">
        <v>6829</v>
      </c>
      <c r="L4156">
        <v>1</v>
      </c>
      <c r="M4156" t="s">
        <v>6830</v>
      </c>
      <c r="N4156" t="s">
        <v>6543</v>
      </c>
    </row>
    <row r="4157" spans="1:14" x14ac:dyDescent="0.25">
      <c r="A4157" t="s">
        <v>1324</v>
      </c>
      <c r="B4157" t="s">
        <v>1338</v>
      </c>
      <c r="C4157" t="s">
        <v>6692</v>
      </c>
      <c r="D4157" t="s">
        <v>147</v>
      </c>
      <c r="E4157" t="s">
        <v>65</v>
      </c>
      <c r="F4157" s="90">
        <v>192</v>
      </c>
      <c r="G4157">
        <v>4</v>
      </c>
      <c r="H4157" s="89">
        <v>46288</v>
      </c>
      <c r="I4157" s="89">
        <v>46294</v>
      </c>
      <c r="J4157" t="s">
        <v>6673</v>
      </c>
      <c r="K4157" t="s">
        <v>6831</v>
      </c>
      <c r="L4157">
        <v>1</v>
      </c>
      <c r="M4157" t="s">
        <v>6832</v>
      </c>
      <c r="N4157" t="s">
        <v>6543</v>
      </c>
    </row>
    <row r="4158" spans="1:14" x14ac:dyDescent="0.25">
      <c r="A4158" t="s">
        <v>1324</v>
      </c>
      <c r="B4158" t="s">
        <v>1338</v>
      </c>
      <c r="C4158" t="s">
        <v>6693</v>
      </c>
      <c r="D4158" t="s">
        <v>13</v>
      </c>
      <c r="E4158" t="s">
        <v>25</v>
      </c>
      <c r="F4158" s="90">
        <v>480</v>
      </c>
      <c r="G4158">
        <v>10</v>
      </c>
      <c r="H4158" s="89">
        <v>46288</v>
      </c>
      <c r="I4158" s="89">
        <v>46293</v>
      </c>
      <c r="J4158" t="s">
        <v>6668</v>
      </c>
      <c r="K4158" t="s">
        <v>6694</v>
      </c>
      <c r="L4158">
        <v>1</v>
      </c>
      <c r="M4158" t="s">
        <v>6695</v>
      </c>
      <c r="N4158" t="s">
        <v>6543</v>
      </c>
    </row>
    <row r="4159" spans="1:14" x14ac:dyDescent="0.25">
      <c r="A4159" t="s">
        <v>1325</v>
      </c>
      <c r="B4159" t="s">
        <v>1339</v>
      </c>
      <c r="C4159" t="s">
        <v>6696</v>
      </c>
      <c r="D4159" t="s">
        <v>6670</v>
      </c>
      <c r="E4159" t="s">
        <v>19</v>
      </c>
      <c r="F4159" s="90">
        <v>240</v>
      </c>
      <c r="G4159">
        <v>5</v>
      </c>
      <c r="H4159" s="89">
        <v>46288</v>
      </c>
      <c r="I4159" s="89">
        <v>46288</v>
      </c>
      <c r="J4159" t="s">
        <v>1656</v>
      </c>
      <c r="K4159" t="s">
        <v>6775</v>
      </c>
      <c r="L4159">
        <v>1</v>
      </c>
      <c r="M4159" t="s">
        <v>6776</v>
      </c>
      <c r="N4159" t="s">
        <v>6543</v>
      </c>
    </row>
    <row r="4160" spans="1:14" x14ac:dyDescent="0.25">
      <c r="A4160" t="s">
        <v>1324</v>
      </c>
      <c r="B4160" t="s">
        <v>1338</v>
      </c>
      <c r="C4160" t="s">
        <v>6700</v>
      </c>
      <c r="D4160" t="s">
        <v>24</v>
      </c>
      <c r="E4160" t="s">
        <v>25</v>
      </c>
      <c r="F4160" s="90">
        <v>240</v>
      </c>
      <c r="G4160">
        <v>5</v>
      </c>
      <c r="H4160" s="89">
        <v>46288</v>
      </c>
      <c r="I4160" s="89">
        <v>46293</v>
      </c>
      <c r="J4160" t="s">
        <v>6668</v>
      </c>
      <c r="K4160" t="s">
        <v>6833</v>
      </c>
      <c r="L4160">
        <v>1</v>
      </c>
      <c r="M4160" t="s">
        <v>6834</v>
      </c>
      <c r="N4160" t="s">
        <v>6543</v>
      </c>
    </row>
    <row r="4161" spans="1:14" x14ac:dyDescent="0.25">
      <c r="A4161" t="s">
        <v>1324</v>
      </c>
      <c r="B4161" t="s">
        <v>1338</v>
      </c>
      <c r="C4161" t="s">
        <v>6700</v>
      </c>
      <c r="D4161" t="s">
        <v>24</v>
      </c>
      <c r="F4161" s="90">
        <v>96</v>
      </c>
      <c r="G4161">
        <v>2</v>
      </c>
      <c r="H4161" s="89">
        <v>46288</v>
      </c>
      <c r="I4161" s="89">
        <v>46295</v>
      </c>
      <c r="J4161" t="s">
        <v>6835</v>
      </c>
      <c r="K4161" t="s">
        <v>6836</v>
      </c>
      <c r="L4161">
        <v>1</v>
      </c>
      <c r="M4161" t="s">
        <v>6837</v>
      </c>
      <c r="N4161" t="s">
        <v>6543</v>
      </c>
    </row>
    <row r="4162" spans="1:14" x14ac:dyDescent="0.25">
      <c r="A4162" t="s">
        <v>1324</v>
      </c>
      <c r="B4162" t="s">
        <v>1338</v>
      </c>
      <c r="C4162" t="s">
        <v>6700</v>
      </c>
      <c r="D4162" t="s">
        <v>24</v>
      </c>
      <c r="E4162" t="s">
        <v>25</v>
      </c>
      <c r="F4162" s="90">
        <v>960</v>
      </c>
      <c r="G4162">
        <v>20</v>
      </c>
      <c r="H4162" s="89">
        <v>46288</v>
      </c>
      <c r="I4162" s="89">
        <v>46293</v>
      </c>
      <c r="J4162" t="s">
        <v>6668</v>
      </c>
      <c r="K4162" t="s">
        <v>6838</v>
      </c>
      <c r="L4162">
        <v>1</v>
      </c>
      <c r="M4162" t="s">
        <v>6839</v>
      </c>
      <c r="N4162" t="s">
        <v>6543</v>
      </c>
    </row>
    <row r="4163" spans="1:14" x14ac:dyDescent="0.25">
      <c r="A4163" t="s">
        <v>1324</v>
      </c>
      <c r="B4163" t="s">
        <v>1338</v>
      </c>
      <c r="C4163" t="s">
        <v>6700</v>
      </c>
      <c r="D4163" t="s">
        <v>24</v>
      </c>
      <c r="E4163" t="s">
        <v>25</v>
      </c>
      <c r="F4163" s="90">
        <v>144</v>
      </c>
      <c r="G4163">
        <v>3</v>
      </c>
      <c r="H4163" s="89">
        <v>46288</v>
      </c>
      <c r="I4163" s="89">
        <v>46295</v>
      </c>
      <c r="J4163" t="s">
        <v>6738</v>
      </c>
      <c r="K4163" t="s">
        <v>6840</v>
      </c>
      <c r="L4163">
        <v>1</v>
      </c>
      <c r="M4163" t="s">
        <v>6841</v>
      </c>
      <c r="N4163" t="s">
        <v>6543</v>
      </c>
    </row>
    <row r="4164" spans="1:14" x14ac:dyDescent="0.25">
      <c r="A4164" t="s">
        <v>1324</v>
      </c>
      <c r="B4164" t="s">
        <v>1338</v>
      </c>
      <c r="C4164" t="s">
        <v>6697</v>
      </c>
      <c r="D4164" t="s">
        <v>21</v>
      </c>
      <c r="E4164" t="s">
        <v>65</v>
      </c>
      <c r="F4164" s="90">
        <v>336</v>
      </c>
      <c r="G4164">
        <v>7</v>
      </c>
      <c r="H4164" s="89">
        <v>46288</v>
      </c>
      <c r="I4164" s="89">
        <v>46294</v>
      </c>
      <c r="J4164" t="s">
        <v>6673</v>
      </c>
      <c r="K4164" t="s">
        <v>6698</v>
      </c>
      <c r="L4164">
        <v>1</v>
      </c>
      <c r="M4164" t="s">
        <v>6699</v>
      </c>
      <c r="N4164" t="s">
        <v>6543</v>
      </c>
    </row>
    <row r="4165" spans="1:14" x14ac:dyDescent="0.25">
      <c r="A4165" t="s">
        <v>1324</v>
      </c>
      <c r="B4165" t="s">
        <v>1338</v>
      </c>
      <c r="C4165" t="s">
        <v>6697</v>
      </c>
      <c r="D4165" t="s">
        <v>21</v>
      </c>
      <c r="E4165" t="s">
        <v>65</v>
      </c>
      <c r="F4165" s="90">
        <v>960</v>
      </c>
      <c r="G4165">
        <v>20</v>
      </c>
      <c r="H4165" s="89">
        <v>46288</v>
      </c>
      <c r="I4165" s="89">
        <v>46294</v>
      </c>
      <c r="J4165" t="s">
        <v>6673</v>
      </c>
      <c r="K4165" t="s">
        <v>6842</v>
      </c>
      <c r="L4165">
        <v>1</v>
      </c>
      <c r="M4165" t="s">
        <v>6843</v>
      </c>
      <c r="N4165" t="s">
        <v>6543</v>
      </c>
    </row>
    <row r="4166" spans="1:14" x14ac:dyDescent="0.25">
      <c r="A4166" t="s">
        <v>1313</v>
      </c>
      <c r="B4166" t="s">
        <v>1327</v>
      </c>
      <c r="C4166" t="s">
        <v>6697</v>
      </c>
      <c r="D4166" t="s">
        <v>21</v>
      </c>
      <c r="E4166" t="s">
        <v>22</v>
      </c>
      <c r="F4166" s="90">
        <v>480</v>
      </c>
      <c r="G4166">
        <v>10</v>
      </c>
      <c r="H4166" s="89">
        <v>46288</v>
      </c>
      <c r="I4166" s="89">
        <v>46293</v>
      </c>
      <c r="J4166" t="s">
        <v>6701</v>
      </c>
      <c r="K4166" t="s">
        <v>6702</v>
      </c>
      <c r="L4166">
        <v>1</v>
      </c>
      <c r="M4166" t="s">
        <v>6703</v>
      </c>
      <c r="N4166" t="s">
        <v>6543</v>
      </c>
    </row>
    <row r="4167" spans="1:14" x14ac:dyDescent="0.25">
      <c r="A4167" t="s">
        <v>1315</v>
      </c>
      <c r="B4167" t="s">
        <v>1329</v>
      </c>
      <c r="C4167" t="s">
        <v>6697</v>
      </c>
      <c r="D4167" t="s">
        <v>21</v>
      </c>
      <c r="E4167" t="s">
        <v>19</v>
      </c>
      <c r="F4167" s="90">
        <v>54</v>
      </c>
      <c r="G4167" t="s">
        <v>1419</v>
      </c>
      <c r="H4167" s="89">
        <v>46288</v>
      </c>
      <c r="I4167" s="89">
        <v>46292</v>
      </c>
      <c r="J4167" t="s">
        <v>1656</v>
      </c>
      <c r="K4167" t="s">
        <v>6777</v>
      </c>
      <c r="L4167">
        <v>1</v>
      </c>
      <c r="M4167" t="s">
        <v>6778</v>
      </c>
      <c r="N4167" t="s">
        <v>6543</v>
      </c>
    </row>
    <row r="4168" spans="1:14" x14ac:dyDescent="0.25">
      <c r="A4168" t="s">
        <v>1313</v>
      </c>
      <c r="B4168" t="s">
        <v>1327</v>
      </c>
      <c r="C4168" t="s">
        <v>6704</v>
      </c>
      <c r="D4168" t="s">
        <v>15</v>
      </c>
      <c r="E4168" t="s">
        <v>22</v>
      </c>
      <c r="F4168" s="90">
        <v>1104</v>
      </c>
      <c r="G4168">
        <v>23</v>
      </c>
      <c r="H4168" s="89">
        <v>46288</v>
      </c>
      <c r="I4168" s="89">
        <v>46291</v>
      </c>
      <c r="J4168" t="s">
        <v>6705</v>
      </c>
      <c r="K4168" t="s">
        <v>6779</v>
      </c>
      <c r="L4168">
        <v>1</v>
      </c>
      <c r="M4168" t="s">
        <v>6780</v>
      </c>
      <c r="N4168" t="s">
        <v>6543</v>
      </c>
    </row>
    <row r="4169" spans="1:14" x14ac:dyDescent="0.25">
      <c r="A4169" t="s">
        <v>1313</v>
      </c>
      <c r="B4169" t="s">
        <v>1327</v>
      </c>
      <c r="C4169" t="s">
        <v>6704</v>
      </c>
      <c r="D4169" t="s">
        <v>15</v>
      </c>
      <c r="E4169" t="s">
        <v>17</v>
      </c>
      <c r="F4169" s="90">
        <v>354</v>
      </c>
      <c r="G4169">
        <v>7.375</v>
      </c>
      <c r="H4169" s="89">
        <v>46288</v>
      </c>
      <c r="I4169" s="89">
        <v>46293</v>
      </c>
      <c r="J4169" t="s">
        <v>6706</v>
      </c>
      <c r="K4169" t="s">
        <v>6707</v>
      </c>
      <c r="L4169">
        <v>1</v>
      </c>
      <c r="M4169" t="s">
        <v>6708</v>
      </c>
      <c r="N4169" t="s">
        <v>6543</v>
      </c>
    </row>
    <row r="4170" spans="1:14" x14ac:dyDescent="0.25">
      <c r="A4170" t="s">
        <v>1319</v>
      </c>
      <c r="B4170" t="s">
        <v>1333</v>
      </c>
      <c r="C4170" t="s">
        <v>6704</v>
      </c>
      <c r="D4170" t="s">
        <v>15</v>
      </c>
      <c r="E4170" t="s">
        <v>17</v>
      </c>
      <c r="F4170" s="90">
        <v>78</v>
      </c>
      <c r="G4170">
        <v>1.625</v>
      </c>
      <c r="H4170" s="89">
        <v>46288</v>
      </c>
      <c r="I4170" s="89">
        <v>46293</v>
      </c>
      <c r="J4170" t="s">
        <v>6706</v>
      </c>
      <c r="K4170" t="s">
        <v>6709</v>
      </c>
      <c r="L4170">
        <v>1</v>
      </c>
      <c r="M4170" t="s">
        <v>6710</v>
      </c>
      <c r="N4170" t="s">
        <v>6543</v>
      </c>
    </row>
    <row r="4171" spans="1:14" x14ac:dyDescent="0.25">
      <c r="A4171" t="s">
        <v>1313</v>
      </c>
      <c r="B4171" t="s">
        <v>1327</v>
      </c>
      <c r="C4171" t="s">
        <v>6704</v>
      </c>
      <c r="D4171" t="s">
        <v>15</v>
      </c>
      <c r="E4171" t="s">
        <v>19</v>
      </c>
      <c r="F4171" s="90">
        <v>48</v>
      </c>
      <c r="G4171">
        <v>1</v>
      </c>
      <c r="H4171" s="89">
        <v>46288</v>
      </c>
      <c r="I4171" s="89">
        <v>46292</v>
      </c>
      <c r="J4171" t="s">
        <v>1656</v>
      </c>
      <c r="K4171" t="s">
        <v>6781</v>
      </c>
      <c r="L4171">
        <v>1</v>
      </c>
      <c r="M4171" t="s">
        <v>6782</v>
      </c>
      <c r="N4171" t="s">
        <v>6543</v>
      </c>
    </row>
    <row r="4172" spans="1:14" x14ac:dyDescent="0.25">
      <c r="A4172" t="s">
        <v>1315</v>
      </c>
      <c r="B4172" t="s">
        <v>1329</v>
      </c>
      <c r="C4172" t="s">
        <v>6704</v>
      </c>
      <c r="D4172" t="s">
        <v>15</v>
      </c>
      <c r="E4172" t="s">
        <v>19</v>
      </c>
      <c r="F4172" s="90">
        <v>41</v>
      </c>
      <c r="G4172" t="s">
        <v>1419</v>
      </c>
      <c r="H4172" s="89">
        <v>46288</v>
      </c>
      <c r="I4172" s="89">
        <v>46292</v>
      </c>
      <c r="J4172" t="s">
        <v>1656</v>
      </c>
      <c r="K4172" t="s">
        <v>6783</v>
      </c>
      <c r="L4172">
        <v>1</v>
      </c>
      <c r="M4172" t="s">
        <v>6784</v>
      </c>
      <c r="N4172" t="s">
        <v>6543</v>
      </c>
    </row>
    <row r="4173" spans="1:14" x14ac:dyDescent="0.25">
      <c r="A4173" t="s">
        <v>1313</v>
      </c>
      <c r="B4173" t="s">
        <v>1327</v>
      </c>
      <c r="C4173" t="s">
        <v>6711</v>
      </c>
      <c r="D4173" t="s">
        <v>20</v>
      </c>
      <c r="E4173" t="s">
        <v>16</v>
      </c>
      <c r="F4173" s="90">
        <v>1104</v>
      </c>
      <c r="G4173">
        <v>23</v>
      </c>
      <c r="H4173" s="89">
        <v>46288</v>
      </c>
      <c r="I4173" s="89">
        <v>46292</v>
      </c>
      <c r="J4173" t="s">
        <v>6712</v>
      </c>
      <c r="K4173" t="s">
        <v>6713</v>
      </c>
      <c r="L4173">
        <v>1</v>
      </c>
      <c r="M4173" t="s">
        <v>6714</v>
      </c>
      <c r="N4173" t="s">
        <v>6543</v>
      </c>
    </row>
    <row r="4174" spans="1:14" x14ac:dyDescent="0.25">
      <c r="A4174" t="s">
        <v>1313</v>
      </c>
      <c r="B4174" t="s">
        <v>1327</v>
      </c>
      <c r="C4174" t="s">
        <v>6711</v>
      </c>
      <c r="D4174" t="s">
        <v>20</v>
      </c>
      <c r="E4174" t="s">
        <v>19</v>
      </c>
      <c r="F4174" s="90">
        <v>96</v>
      </c>
      <c r="G4174">
        <v>2</v>
      </c>
      <c r="H4174" s="89">
        <v>46288</v>
      </c>
      <c r="I4174" s="89">
        <v>46292</v>
      </c>
      <c r="J4174" t="s">
        <v>1656</v>
      </c>
      <c r="K4174" t="s">
        <v>6785</v>
      </c>
      <c r="L4174">
        <v>1</v>
      </c>
      <c r="M4174" t="s">
        <v>6786</v>
      </c>
      <c r="N4174" t="s">
        <v>6543</v>
      </c>
    </row>
    <row r="4175" spans="1:14" x14ac:dyDescent="0.25">
      <c r="A4175" t="s">
        <v>1315</v>
      </c>
      <c r="B4175" t="s">
        <v>1329</v>
      </c>
      <c r="C4175" t="s">
        <v>6711</v>
      </c>
      <c r="D4175" t="s">
        <v>20</v>
      </c>
      <c r="E4175" t="s">
        <v>19</v>
      </c>
      <c r="F4175" s="90">
        <v>61</v>
      </c>
      <c r="G4175" t="s">
        <v>1419</v>
      </c>
      <c r="H4175" s="89">
        <v>46288</v>
      </c>
      <c r="I4175" s="89">
        <v>46292</v>
      </c>
      <c r="J4175" t="s">
        <v>1656</v>
      </c>
      <c r="K4175" t="s">
        <v>6787</v>
      </c>
      <c r="L4175">
        <v>1</v>
      </c>
      <c r="M4175" t="s">
        <v>6788</v>
      </c>
      <c r="N4175" t="s">
        <v>6543</v>
      </c>
    </row>
    <row r="4176" spans="1:14" x14ac:dyDescent="0.25">
      <c r="A4176" t="s">
        <v>1313</v>
      </c>
      <c r="B4176" t="s">
        <v>1327</v>
      </c>
      <c r="C4176" t="s">
        <v>6715</v>
      </c>
      <c r="D4176" t="s">
        <v>20</v>
      </c>
      <c r="E4176" t="s">
        <v>18</v>
      </c>
      <c r="F4176" s="90">
        <v>1056</v>
      </c>
      <c r="G4176">
        <v>22</v>
      </c>
      <c r="H4176" s="89">
        <v>46289</v>
      </c>
      <c r="I4176" s="89">
        <v>46293</v>
      </c>
      <c r="J4176" t="s">
        <v>6716</v>
      </c>
      <c r="K4176" t="s">
        <v>6717</v>
      </c>
      <c r="L4176">
        <v>1</v>
      </c>
      <c r="M4176" t="s">
        <v>6718</v>
      </c>
      <c r="N4176" t="s">
        <v>6543</v>
      </c>
    </row>
    <row r="4177" spans="1:14" x14ac:dyDescent="0.25">
      <c r="A4177" t="s">
        <v>1313</v>
      </c>
      <c r="B4177" t="s">
        <v>1327</v>
      </c>
      <c r="C4177" t="s">
        <v>6715</v>
      </c>
      <c r="D4177" t="s">
        <v>20</v>
      </c>
      <c r="E4177" t="s">
        <v>19</v>
      </c>
      <c r="F4177" s="90">
        <v>192</v>
      </c>
      <c r="G4177">
        <v>4</v>
      </c>
      <c r="H4177" s="89">
        <v>46289</v>
      </c>
      <c r="I4177" s="89">
        <v>46293</v>
      </c>
      <c r="J4177" t="s">
        <v>1656</v>
      </c>
      <c r="K4177" t="s">
        <v>6789</v>
      </c>
      <c r="L4177">
        <v>1</v>
      </c>
      <c r="M4177" t="s">
        <v>6790</v>
      </c>
      <c r="N4177" t="s">
        <v>6543</v>
      </c>
    </row>
    <row r="4178" spans="1:14" x14ac:dyDescent="0.25">
      <c r="A4178" t="s">
        <v>1315</v>
      </c>
      <c r="B4178" t="s">
        <v>1329</v>
      </c>
      <c r="C4178" t="s">
        <v>6715</v>
      </c>
      <c r="D4178" t="s">
        <v>20</v>
      </c>
      <c r="E4178" t="s">
        <v>19</v>
      </c>
      <c r="F4178" s="90">
        <v>99</v>
      </c>
      <c r="G4178" t="s">
        <v>1419</v>
      </c>
      <c r="H4178" s="89">
        <v>46289</v>
      </c>
      <c r="I4178" s="89">
        <v>46293</v>
      </c>
      <c r="J4178" t="s">
        <v>1656</v>
      </c>
      <c r="K4178" t="s">
        <v>6796</v>
      </c>
      <c r="L4178">
        <v>1</v>
      </c>
      <c r="M4178" t="s">
        <v>6797</v>
      </c>
      <c r="N4178" t="s">
        <v>6543</v>
      </c>
    </row>
    <row r="4179" spans="1:14" x14ac:dyDescent="0.25">
      <c r="A4179" t="s">
        <v>1313</v>
      </c>
      <c r="B4179" t="s">
        <v>1327</v>
      </c>
      <c r="C4179" t="s">
        <v>6719</v>
      </c>
      <c r="D4179" t="s">
        <v>15</v>
      </c>
      <c r="E4179" t="s">
        <v>17</v>
      </c>
      <c r="F4179" s="90">
        <v>720</v>
      </c>
      <c r="G4179">
        <v>15</v>
      </c>
      <c r="H4179" s="89">
        <v>46289</v>
      </c>
      <c r="I4179" s="89">
        <v>46293</v>
      </c>
      <c r="J4179" t="s">
        <v>6706</v>
      </c>
      <c r="K4179" t="s">
        <v>6720</v>
      </c>
      <c r="L4179">
        <v>1</v>
      </c>
      <c r="M4179" t="s">
        <v>6721</v>
      </c>
      <c r="N4179" t="s">
        <v>6543</v>
      </c>
    </row>
    <row r="4180" spans="1:14" x14ac:dyDescent="0.25">
      <c r="A4180" t="s">
        <v>1314</v>
      </c>
      <c r="B4180" t="s">
        <v>1328</v>
      </c>
      <c r="C4180" t="s">
        <v>6719</v>
      </c>
      <c r="D4180" t="s">
        <v>15</v>
      </c>
      <c r="E4180" t="s">
        <v>18</v>
      </c>
      <c r="F4180" s="90">
        <v>96</v>
      </c>
      <c r="G4180">
        <v>2</v>
      </c>
      <c r="H4180" s="89">
        <v>46289</v>
      </c>
      <c r="I4180" s="89">
        <v>46293</v>
      </c>
      <c r="J4180" t="s">
        <v>6716</v>
      </c>
      <c r="K4180" t="s">
        <v>6722</v>
      </c>
      <c r="L4180">
        <v>1</v>
      </c>
      <c r="M4180" t="s">
        <v>6723</v>
      </c>
      <c r="N4180" t="s">
        <v>6543</v>
      </c>
    </row>
    <row r="4181" spans="1:14" x14ac:dyDescent="0.25">
      <c r="A4181" t="s">
        <v>1314</v>
      </c>
      <c r="B4181" t="s">
        <v>1328</v>
      </c>
      <c r="C4181" t="s">
        <v>6719</v>
      </c>
      <c r="D4181" t="s">
        <v>15</v>
      </c>
      <c r="E4181" t="s">
        <v>16</v>
      </c>
      <c r="F4181" s="90">
        <v>288</v>
      </c>
      <c r="G4181">
        <v>6</v>
      </c>
      <c r="H4181" s="89">
        <v>46289</v>
      </c>
      <c r="I4181" s="89">
        <v>46293</v>
      </c>
      <c r="J4181" t="s">
        <v>6724</v>
      </c>
      <c r="K4181" t="s">
        <v>6725</v>
      </c>
      <c r="L4181">
        <v>1</v>
      </c>
      <c r="M4181" t="s">
        <v>6726</v>
      </c>
      <c r="N4181" t="s">
        <v>6543</v>
      </c>
    </row>
    <row r="4182" spans="1:14" x14ac:dyDescent="0.25">
      <c r="A4182" t="s">
        <v>1313</v>
      </c>
      <c r="B4182" t="s">
        <v>1327</v>
      </c>
      <c r="C4182" t="s">
        <v>6719</v>
      </c>
      <c r="D4182" t="s">
        <v>15</v>
      </c>
      <c r="E4182" t="s">
        <v>16</v>
      </c>
      <c r="F4182" s="90">
        <v>480</v>
      </c>
      <c r="G4182">
        <v>10</v>
      </c>
      <c r="H4182" s="89">
        <v>46289</v>
      </c>
      <c r="I4182" s="89">
        <v>46293</v>
      </c>
      <c r="J4182" t="s">
        <v>6727</v>
      </c>
      <c r="K4182" t="s">
        <v>6728</v>
      </c>
      <c r="L4182">
        <v>1</v>
      </c>
      <c r="M4182" t="s">
        <v>6729</v>
      </c>
      <c r="N4182" t="s">
        <v>6543</v>
      </c>
    </row>
    <row r="4183" spans="1:14" x14ac:dyDescent="0.25">
      <c r="A4183" t="s">
        <v>1315</v>
      </c>
      <c r="B4183" t="s">
        <v>1329</v>
      </c>
      <c r="C4183" t="s">
        <v>6719</v>
      </c>
      <c r="D4183" t="s">
        <v>15</v>
      </c>
      <c r="E4183" t="s">
        <v>19</v>
      </c>
      <c r="F4183" s="90">
        <v>34</v>
      </c>
      <c r="G4183" t="s">
        <v>1419</v>
      </c>
      <c r="H4183" s="89">
        <v>46289</v>
      </c>
      <c r="I4183" s="89">
        <v>46293</v>
      </c>
      <c r="J4183" t="s">
        <v>1656</v>
      </c>
      <c r="K4183" t="s">
        <v>6798</v>
      </c>
      <c r="L4183">
        <v>1</v>
      </c>
      <c r="M4183" t="s">
        <v>6799</v>
      </c>
      <c r="N4183" t="s">
        <v>6543</v>
      </c>
    </row>
    <row r="4184" spans="1:14" x14ac:dyDescent="0.25">
      <c r="A4184" t="s">
        <v>1313</v>
      </c>
      <c r="B4184" t="s">
        <v>1327</v>
      </c>
      <c r="C4184" t="s">
        <v>6730</v>
      </c>
      <c r="D4184" t="s">
        <v>21</v>
      </c>
      <c r="E4184" t="s">
        <v>22</v>
      </c>
      <c r="F4184" s="90">
        <v>672</v>
      </c>
      <c r="G4184">
        <v>14</v>
      </c>
      <c r="H4184" s="89">
        <v>46289</v>
      </c>
      <c r="I4184" s="89">
        <v>46293</v>
      </c>
      <c r="J4184" t="s">
        <v>6701</v>
      </c>
      <c r="K4184" t="s">
        <v>6731</v>
      </c>
      <c r="L4184">
        <v>1</v>
      </c>
      <c r="M4184" t="s">
        <v>6732</v>
      </c>
      <c r="N4184" t="s">
        <v>6543</v>
      </c>
    </row>
    <row r="4185" spans="1:14" x14ac:dyDescent="0.25">
      <c r="A4185" t="s">
        <v>1320</v>
      </c>
      <c r="B4185" t="s">
        <v>1334</v>
      </c>
      <c r="C4185" t="s">
        <v>6730</v>
      </c>
      <c r="D4185" t="s">
        <v>21</v>
      </c>
      <c r="E4185" t="s">
        <v>14</v>
      </c>
      <c r="F4185" s="90">
        <v>960</v>
      </c>
      <c r="G4185">
        <v>20</v>
      </c>
      <c r="H4185" s="89">
        <v>46289</v>
      </c>
      <c r="I4185" s="89">
        <v>46294</v>
      </c>
      <c r="J4185" t="s">
        <v>6733</v>
      </c>
      <c r="K4185" t="s">
        <v>6734</v>
      </c>
      <c r="L4185">
        <v>1</v>
      </c>
      <c r="M4185" t="s">
        <v>6735</v>
      </c>
      <c r="N4185" t="s">
        <v>6543</v>
      </c>
    </row>
    <row r="4186" spans="1:14" x14ac:dyDescent="0.25">
      <c r="A4186" t="s">
        <v>1313</v>
      </c>
      <c r="B4186" t="s">
        <v>1327</v>
      </c>
      <c r="C4186" t="s">
        <v>6730</v>
      </c>
      <c r="D4186" t="s">
        <v>21</v>
      </c>
      <c r="E4186" t="s">
        <v>19</v>
      </c>
      <c r="F4186" s="90">
        <v>192</v>
      </c>
      <c r="G4186">
        <v>4</v>
      </c>
      <c r="H4186" s="89">
        <v>46289</v>
      </c>
      <c r="I4186" s="89">
        <v>46293</v>
      </c>
      <c r="J4186" t="s">
        <v>1656</v>
      </c>
      <c r="K4186" t="s">
        <v>6791</v>
      </c>
      <c r="L4186">
        <v>1</v>
      </c>
      <c r="M4186" t="s">
        <v>6792</v>
      </c>
      <c r="N4186" t="s">
        <v>6543</v>
      </c>
    </row>
    <row r="4187" spans="1:14" x14ac:dyDescent="0.25">
      <c r="A4187" t="s">
        <v>1315</v>
      </c>
      <c r="B4187" t="s">
        <v>1329</v>
      </c>
      <c r="C4187" t="s">
        <v>6730</v>
      </c>
      <c r="D4187" t="s">
        <v>21</v>
      </c>
      <c r="E4187" t="s">
        <v>19</v>
      </c>
      <c r="F4187" s="90">
        <v>64</v>
      </c>
      <c r="G4187" t="s">
        <v>1419</v>
      </c>
      <c r="H4187" s="89">
        <v>46289</v>
      </c>
      <c r="I4187" s="89">
        <v>46293</v>
      </c>
      <c r="J4187" t="s">
        <v>1656</v>
      </c>
      <c r="K4187" t="s">
        <v>6800</v>
      </c>
      <c r="L4187">
        <v>1</v>
      </c>
      <c r="M4187" t="s">
        <v>6801</v>
      </c>
      <c r="N4187" t="s">
        <v>6543</v>
      </c>
    </row>
    <row r="4188" spans="1:14" x14ac:dyDescent="0.25">
      <c r="A4188" t="s">
        <v>1320</v>
      </c>
      <c r="B4188" t="s">
        <v>1334</v>
      </c>
      <c r="C4188" t="s">
        <v>6736</v>
      </c>
      <c r="D4188" t="s">
        <v>30</v>
      </c>
      <c r="E4188" t="s">
        <v>14</v>
      </c>
      <c r="F4188" s="90">
        <v>480</v>
      </c>
      <c r="G4188">
        <v>10</v>
      </c>
      <c r="H4188" s="89">
        <v>46289</v>
      </c>
      <c r="I4188" s="89">
        <v>46294</v>
      </c>
      <c r="J4188" t="s">
        <v>3549</v>
      </c>
      <c r="K4188" t="s">
        <v>6844</v>
      </c>
      <c r="L4188">
        <v>1</v>
      </c>
      <c r="M4188" t="s">
        <v>6845</v>
      </c>
      <c r="N4188" t="s">
        <v>6543</v>
      </c>
    </row>
    <row r="4189" spans="1:14" x14ac:dyDescent="0.25">
      <c r="A4189" t="s">
        <v>1320</v>
      </c>
      <c r="B4189" t="s">
        <v>1334</v>
      </c>
      <c r="C4189" t="s">
        <v>6736</v>
      </c>
      <c r="D4189" t="s">
        <v>30</v>
      </c>
      <c r="E4189" t="s">
        <v>14</v>
      </c>
      <c r="F4189" s="90">
        <v>96</v>
      </c>
      <c r="G4189">
        <v>2</v>
      </c>
      <c r="H4189" s="89">
        <v>46289</v>
      </c>
      <c r="I4189" s="89">
        <v>46296</v>
      </c>
      <c r="J4189" t="s">
        <v>6769</v>
      </c>
      <c r="K4189" t="s">
        <v>6802</v>
      </c>
      <c r="L4189">
        <v>1</v>
      </c>
      <c r="M4189" t="s">
        <v>6803</v>
      </c>
      <c r="N4189" t="s">
        <v>6543</v>
      </c>
    </row>
    <row r="4190" spans="1:14" x14ac:dyDescent="0.25">
      <c r="A4190" t="s">
        <v>1324</v>
      </c>
      <c r="B4190" t="s">
        <v>1338</v>
      </c>
      <c r="C4190" t="s">
        <v>6737</v>
      </c>
      <c r="D4190" t="s">
        <v>24</v>
      </c>
      <c r="E4190" t="s">
        <v>25</v>
      </c>
      <c r="F4190">
        <v>816</v>
      </c>
      <c r="G4190">
        <v>17</v>
      </c>
      <c r="H4190" s="89">
        <v>46289</v>
      </c>
      <c r="I4190" s="89">
        <v>46295</v>
      </c>
      <c r="J4190" t="s">
        <v>6738</v>
      </c>
      <c r="K4190" t="s">
        <v>6739</v>
      </c>
      <c r="L4190">
        <v>1</v>
      </c>
      <c r="M4190" t="s">
        <v>6740</v>
      </c>
      <c r="N4190" t="s">
        <v>6543</v>
      </c>
    </row>
    <row r="4191" spans="1:14" x14ac:dyDescent="0.25">
      <c r="A4191" t="s">
        <v>1324</v>
      </c>
      <c r="B4191" t="s">
        <v>1338</v>
      </c>
      <c r="C4191" t="s">
        <v>6737</v>
      </c>
      <c r="D4191" t="s">
        <v>24</v>
      </c>
      <c r="E4191" t="s">
        <v>25</v>
      </c>
      <c r="F4191">
        <v>288</v>
      </c>
      <c r="G4191">
        <v>6</v>
      </c>
      <c r="H4191" s="89">
        <v>46289</v>
      </c>
      <c r="I4191" s="89">
        <v>46295</v>
      </c>
      <c r="J4191" t="s">
        <v>6738</v>
      </c>
      <c r="K4191" t="s">
        <v>6846</v>
      </c>
      <c r="L4191">
        <v>1</v>
      </c>
      <c r="M4191" t="s">
        <v>6847</v>
      </c>
      <c r="N4191" t="s">
        <v>6543</v>
      </c>
    </row>
    <row r="4192" spans="1:14" x14ac:dyDescent="0.25">
      <c r="A4192" t="s">
        <v>1320</v>
      </c>
      <c r="B4192" t="s">
        <v>1334</v>
      </c>
      <c r="C4192" t="s">
        <v>6741</v>
      </c>
      <c r="D4192" t="s">
        <v>23</v>
      </c>
      <c r="E4192" t="s">
        <v>14</v>
      </c>
      <c r="F4192">
        <v>480</v>
      </c>
      <c r="G4192">
        <v>10</v>
      </c>
      <c r="H4192" s="89">
        <v>46289</v>
      </c>
      <c r="I4192" s="89">
        <v>46295</v>
      </c>
      <c r="J4192" t="s">
        <v>6770</v>
      </c>
      <c r="K4192" t="s">
        <v>6742</v>
      </c>
      <c r="L4192">
        <v>1</v>
      </c>
      <c r="M4192" t="s">
        <v>6743</v>
      </c>
      <c r="N4192" t="s">
        <v>6543</v>
      </c>
    </row>
    <row r="4193" spans="1:14" x14ac:dyDescent="0.25">
      <c r="A4193" t="s">
        <v>1321</v>
      </c>
      <c r="B4193" t="s">
        <v>1335</v>
      </c>
      <c r="C4193" t="s">
        <v>6744</v>
      </c>
      <c r="D4193" t="s">
        <v>27</v>
      </c>
      <c r="E4193" t="s">
        <v>19</v>
      </c>
      <c r="F4193">
        <v>480</v>
      </c>
      <c r="G4193">
        <v>10</v>
      </c>
      <c r="H4193" s="89">
        <v>46289</v>
      </c>
      <c r="I4193" s="89">
        <v>46292</v>
      </c>
      <c r="J4193" t="s">
        <v>1656</v>
      </c>
      <c r="K4193" t="s">
        <v>6745</v>
      </c>
      <c r="L4193">
        <v>1</v>
      </c>
      <c r="M4193" t="s">
        <v>6746</v>
      </c>
      <c r="N4193" t="s">
        <v>6543</v>
      </c>
    </row>
    <row r="4194" spans="1:14" x14ac:dyDescent="0.25">
      <c r="A4194" t="s">
        <v>1324</v>
      </c>
      <c r="B4194" t="s">
        <v>1338</v>
      </c>
      <c r="C4194" t="s">
        <v>6747</v>
      </c>
      <c r="D4194" t="s">
        <v>24</v>
      </c>
      <c r="E4194" t="s">
        <v>25</v>
      </c>
      <c r="F4194">
        <v>672</v>
      </c>
      <c r="G4194">
        <v>14</v>
      </c>
      <c r="H4194" s="89">
        <v>46290</v>
      </c>
      <c r="I4194" s="89">
        <v>46295</v>
      </c>
      <c r="J4194" t="s">
        <v>6738</v>
      </c>
      <c r="K4194" t="s">
        <v>6848</v>
      </c>
      <c r="L4194">
        <v>1</v>
      </c>
      <c r="M4194" t="s">
        <v>6849</v>
      </c>
      <c r="N4194" t="s">
        <v>6543</v>
      </c>
    </row>
    <row r="4195" spans="1:14" x14ac:dyDescent="0.25">
      <c r="A4195" t="s">
        <v>1326</v>
      </c>
      <c r="B4195" t="s">
        <v>1340</v>
      </c>
      <c r="C4195" t="s">
        <v>6748</v>
      </c>
      <c r="D4195" t="s">
        <v>32</v>
      </c>
      <c r="E4195" t="s">
        <v>14</v>
      </c>
      <c r="F4195">
        <v>840</v>
      </c>
      <c r="G4195">
        <v>20</v>
      </c>
      <c r="H4195" s="89">
        <v>46290</v>
      </c>
      <c r="I4195" s="89">
        <v>46294</v>
      </c>
      <c r="J4195" t="s">
        <v>6749</v>
      </c>
      <c r="K4195" t="s">
        <v>6750</v>
      </c>
      <c r="L4195">
        <v>1</v>
      </c>
      <c r="M4195" t="s">
        <v>6751</v>
      </c>
      <c r="N4195" t="s">
        <v>6543</v>
      </c>
    </row>
    <row r="4196" spans="1:14" x14ac:dyDescent="0.25">
      <c r="A4196" t="s">
        <v>1320</v>
      </c>
      <c r="B4196" t="s">
        <v>1334</v>
      </c>
      <c r="C4196" t="s">
        <v>6752</v>
      </c>
      <c r="D4196" t="s">
        <v>30</v>
      </c>
      <c r="E4196" t="s">
        <v>14</v>
      </c>
      <c r="F4196">
        <v>384</v>
      </c>
      <c r="G4196">
        <v>8</v>
      </c>
      <c r="H4196" s="89">
        <v>46290</v>
      </c>
      <c r="I4196" s="89">
        <v>46296</v>
      </c>
      <c r="J4196" t="s">
        <v>6769</v>
      </c>
      <c r="K4196" t="s">
        <v>6804</v>
      </c>
      <c r="L4196">
        <v>1</v>
      </c>
      <c r="M4196" t="s">
        <v>6805</v>
      </c>
      <c r="N4196" t="s">
        <v>6543</v>
      </c>
    </row>
    <row r="4197" spans="1:14" x14ac:dyDescent="0.25">
      <c r="A4197" t="s">
        <v>1313</v>
      </c>
      <c r="B4197" t="s">
        <v>1327</v>
      </c>
      <c r="C4197" t="s">
        <v>6793</v>
      </c>
      <c r="D4197" t="s">
        <v>20</v>
      </c>
      <c r="E4197" t="s">
        <v>22</v>
      </c>
      <c r="F4197">
        <v>1152</v>
      </c>
      <c r="G4197">
        <v>24</v>
      </c>
      <c r="H4197" s="89">
        <v>46290</v>
      </c>
      <c r="I4197" s="89">
        <v>46294</v>
      </c>
      <c r="J4197" t="s">
        <v>6806</v>
      </c>
      <c r="K4197" t="s">
        <v>6794</v>
      </c>
      <c r="L4197">
        <v>1</v>
      </c>
      <c r="M4197" t="s">
        <v>6795</v>
      </c>
      <c r="N4197" t="s">
        <v>6543</v>
      </c>
    </row>
    <row r="4198" spans="1:14" x14ac:dyDescent="0.25">
      <c r="A4198" t="s">
        <v>1315</v>
      </c>
      <c r="B4198" t="s">
        <v>1329</v>
      </c>
      <c r="C4198" t="s">
        <v>6793</v>
      </c>
      <c r="D4198" t="s">
        <v>20</v>
      </c>
      <c r="E4198" t="s">
        <v>19</v>
      </c>
      <c r="F4198">
        <v>239</v>
      </c>
      <c r="G4198" t="s">
        <v>1419</v>
      </c>
      <c r="H4198" s="89">
        <v>46290</v>
      </c>
      <c r="I4198" s="89">
        <v>46293</v>
      </c>
      <c r="J4198" t="s">
        <v>1656</v>
      </c>
      <c r="K4198" t="s">
        <v>6850</v>
      </c>
      <c r="L4198">
        <v>1</v>
      </c>
      <c r="M4198" t="s">
        <v>6851</v>
      </c>
      <c r="N4198" t="s">
        <v>6543</v>
      </c>
    </row>
    <row r="4199" spans="1:14" x14ac:dyDescent="0.25">
      <c r="A4199" t="s">
        <v>1313</v>
      </c>
      <c r="B4199" t="s">
        <v>1327</v>
      </c>
      <c r="C4199" t="s">
        <v>6807</v>
      </c>
      <c r="D4199" t="s">
        <v>28</v>
      </c>
      <c r="E4199" t="s">
        <v>22</v>
      </c>
      <c r="F4199">
        <v>1152</v>
      </c>
      <c r="G4199">
        <v>24</v>
      </c>
      <c r="H4199" s="89">
        <v>46290</v>
      </c>
      <c r="I4199" s="89">
        <v>46295</v>
      </c>
      <c r="J4199" t="s">
        <v>6768</v>
      </c>
      <c r="K4199" t="s">
        <v>6808</v>
      </c>
      <c r="L4199">
        <v>1</v>
      </c>
      <c r="M4199" t="s">
        <v>6809</v>
      </c>
      <c r="N4199" t="s">
        <v>6543</v>
      </c>
    </row>
    <row r="4200" spans="1:14" x14ac:dyDescent="0.25">
      <c r="A4200" t="s">
        <v>1313</v>
      </c>
      <c r="B4200" t="s">
        <v>1327</v>
      </c>
      <c r="C4200" t="s">
        <v>6807</v>
      </c>
      <c r="D4200" t="s">
        <v>28</v>
      </c>
      <c r="E4200" t="s">
        <v>17</v>
      </c>
      <c r="F4200">
        <v>288</v>
      </c>
      <c r="G4200">
        <v>6</v>
      </c>
      <c r="H4200" s="89">
        <v>46290</v>
      </c>
      <c r="I4200" s="89">
        <v>46296</v>
      </c>
      <c r="J4200" t="s">
        <v>6810</v>
      </c>
      <c r="K4200" t="s">
        <v>6852</v>
      </c>
      <c r="L4200">
        <v>1</v>
      </c>
      <c r="M4200" t="s">
        <v>6853</v>
      </c>
      <c r="N4200" t="s">
        <v>6543</v>
      </c>
    </row>
    <row r="4201" spans="1:14" x14ac:dyDescent="0.25">
      <c r="A4201" t="s">
        <v>1315</v>
      </c>
      <c r="B4201" t="s">
        <v>1329</v>
      </c>
      <c r="C4201" t="s">
        <v>6807</v>
      </c>
      <c r="D4201" t="s">
        <v>28</v>
      </c>
      <c r="E4201" t="s">
        <v>19</v>
      </c>
      <c r="F4201">
        <v>13</v>
      </c>
      <c r="G4201" t="s">
        <v>1419</v>
      </c>
      <c r="H4201" s="89">
        <v>46290</v>
      </c>
      <c r="I4201" s="89">
        <v>46293</v>
      </c>
      <c r="J4201" t="s">
        <v>1656</v>
      </c>
      <c r="K4201" t="s">
        <v>6854</v>
      </c>
      <c r="L4201">
        <v>1</v>
      </c>
      <c r="M4201" t="s">
        <v>6855</v>
      </c>
      <c r="N4201" t="s">
        <v>6543</v>
      </c>
    </row>
    <row r="4202" spans="1:14" x14ac:dyDescent="0.25">
      <c r="A4202" t="s">
        <v>1313</v>
      </c>
      <c r="B4202" t="s">
        <v>1327</v>
      </c>
      <c r="C4202" t="s">
        <v>6753</v>
      </c>
      <c r="D4202" t="s">
        <v>15</v>
      </c>
      <c r="E4202" t="s">
        <v>18</v>
      </c>
      <c r="F4202">
        <v>720</v>
      </c>
      <c r="G4202">
        <v>15</v>
      </c>
      <c r="H4202" s="89">
        <v>46290</v>
      </c>
      <c r="I4202" s="89">
        <v>46295</v>
      </c>
      <c r="J4202" t="s">
        <v>6754</v>
      </c>
      <c r="K4202" t="s">
        <v>6755</v>
      </c>
      <c r="L4202">
        <v>1</v>
      </c>
      <c r="M4202" t="s">
        <v>6756</v>
      </c>
      <c r="N4202" t="s">
        <v>6543</v>
      </c>
    </row>
    <row r="4203" spans="1:14" x14ac:dyDescent="0.25">
      <c r="A4203" t="s">
        <v>1314</v>
      </c>
      <c r="B4203" t="s">
        <v>1328</v>
      </c>
      <c r="C4203" t="s">
        <v>6753</v>
      </c>
      <c r="D4203" t="s">
        <v>15</v>
      </c>
      <c r="E4203" t="s">
        <v>18</v>
      </c>
      <c r="F4203">
        <v>96</v>
      </c>
      <c r="G4203">
        <v>2</v>
      </c>
      <c r="H4203" s="89">
        <v>46290</v>
      </c>
      <c r="I4203" s="89">
        <v>46295</v>
      </c>
      <c r="J4203" t="s">
        <v>6754</v>
      </c>
      <c r="K4203" t="s">
        <v>6757</v>
      </c>
      <c r="L4203">
        <v>1</v>
      </c>
      <c r="M4203" t="s">
        <v>6758</v>
      </c>
      <c r="N4203" t="s">
        <v>6543</v>
      </c>
    </row>
    <row r="4204" spans="1:14" x14ac:dyDescent="0.25">
      <c r="A4204" t="s">
        <v>1313</v>
      </c>
      <c r="B4204" t="s">
        <v>1327</v>
      </c>
      <c r="C4204" t="s">
        <v>6753</v>
      </c>
      <c r="D4204" t="s">
        <v>15</v>
      </c>
      <c r="E4204" t="s">
        <v>16</v>
      </c>
      <c r="F4204">
        <v>384</v>
      </c>
      <c r="G4204">
        <v>8</v>
      </c>
      <c r="H4204" s="89">
        <v>46290</v>
      </c>
      <c r="I4204" s="89">
        <v>46293</v>
      </c>
      <c r="J4204" t="s">
        <v>6727</v>
      </c>
      <c r="K4204" t="s">
        <v>6759</v>
      </c>
      <c r="L4204">
        <v>1</v>
      </c>
      <c r="M4204" t="s">
        <v>6760</v>
      </c>
      <c r="N4204" t="s">
        <v>6543</v>
      </c>
    </row>
    <row r="4205" spans="1:14" x14ac:dyDescent="0.25">
      <c r="A4205" t="s">
        <v>1315</v>
      </c>
      <c r="B4205" t="s">
        <v>1329</v>
      </c>
      <c r="C4205" t="s">
        <v>6753</v>
      </c>
      <c r="D4205" t="s">
        <v>15</v>
      </c>
      <c r="E4205" t="s">
        <v>19</v>
      </c>
      <c r="F4205">
        <v>37</v>
      </c>
      <c r="G4205" t="s">
        <v>1419</v>
      </c>
      <c r="H4205" s="89">
        <v>46290</v>
      </c>
      <c r="I4205" s="89">
        <v>46293</v>
      </c>
      <c r="J4205" t="s">
        <v>1656</v>
      </c>
      <c r="K4205" t="s">
        <v>6856</v>
      </c>
      <c r="L4205">
        <v>1</v>
      </c>
      <c r="M4205" t="s">
        <v>6857</v>
      </c>
      <c r="N4205" t="s">
        <v>6543</v>
      </c>
    </row>
    <row r="4206" spans="1:14" x14ac:dyDescent="0.25">
      <c r="A4206" t="s">
        <v>1313</v>
      </c>
      <c r="B4206" t="s">
        <v>1327</v>
      </c>
      <c r="C4206" t="s">
        <v>6761</v>
      </c>
      <c r="D4206" t="s">
        <v>20</v>
      </c>
      <c r="E4206" t="s">
        <v>17</v>
      </c>
      <c r="F4206">
        <v>1098</v>
      </c>
      <c r="G4206">
        <v>22.875</v>
      </c>
      <c r="H4206" s="89">
        <v>46291</v>
      </c>
      <c r="I4206" s="89">
        <v>46295</v>
      </c>
      <c r="J4206" t="s">
        <v>6762</v>
      </c>
      <c r="K4206" t="s">
        <v>6763</v>
      </c>
      <c r="L4206">
        <v>1</v>
      </c>
      <c r="M4206" t="s">
        <v>6764</v>
      </c>
      <c r="N4206" t="s">
        <v>6543</v>
      </c>
    </row>
    <row r="4207" spans="1:14" x14ac:dyDescent="0.25">
      <c r="A4207" t="s">
        <v>1319</v>
      </c>
      <c r="B4207" t="s">
        <v>1333</v>
      </c>
      <c r="C4207" t="s">
        <v>6761</v>
      </c>
      <c r="D4207" t="s">
        <v>20</v>
      </c>
      <c r="E4207" t="s">
        <v>17</v>
      </c>
      <c r="F4207">
        <v>54</v>
      </c>
      <c r="G4207">
        <v>1.125</v>
      </c>
      <c r="H4207" s="89">
        <v>46291</v>
      </c>
      <c r="I4207" s="89">
        <v>46295</v>
      </c>
      <c r="J4207" t="s">
        <v>6762</v>
      </c>
      <c r="K4207" t="s">
        <v>6765</v>
      </c>
      <c r="L4207">
        <v>1</v>
      </c>
      <c r="M4207" t="s">
        <v>6766</v>
      </c>
      <c r="N4207" t="s">
        <v>6543</v>
      </c>
    </row>
    <row r="4208" spans="1:14" x14ac:dyDescent="0.25">
      <c r="A4208" t="s">
        <v>1313</v>
      </c>
      <c r="B4208" t="s">
        <v>1327</v>
      </c>
      <c r="C4208" t="s">
        <v>6811</v>
      </c>
      <c r="D4208" t="s">
        <v>21</v>
      </c>
      <c r="E4208" t="s">
        <v>17</v>
      </c>
      <c r="F4208">
        <v>336</v>
      </c>
      <c r="G4208">
        <v>7</v>
      </c>
      <c r="H4208" s="89">
        <v>46291</v>
      </c>
      <c r="I4208" s="89">
        <v>46296</v>
      </c>
      <c r="J4208" t="s">
        <v>6810</v>
      </c>
      <c r="K4208" t="s">
        <v>6858</v>
      </c>
      <c r="L4208">
        <v>1</v>
      </c>
      <c r="M4208" t="s">
        <v>6859</v>
      </c>
      <c r="N4208" t="s">
        <v>6543</v>
      </c>
    </row>
    <row r="4209" spans="1:14" x14ac:dyDescent="0.25">
      <c r="A4209" t="s">
        <v>1324</v>
      </c>
      <c r="B4209" t="s">
        <v>1338</v>
      </c>
      <c r="C4209" t="s">
        <v>6811</v>
      </c>
      <c r="D4209" t="s">
        <v>21</v>
      </c>
      <c r="E4209" t="s">
        <v>65</v>
      </c>
      <c r="F4209">
        <v>960</v>
      </c>
      <c r="G4209">
        <v>20</v>
      </c>
      <c r="H4209" s="89">
        <v>46291</v>
      </c>
      <c r="I4209" s="89">
        <v>46297</v>
      </c>
      <c r="J4209" t="s">
        <v>6812</v>
      </c>
      <c r="K4209" t="s">
        <v>6860</v>
      </c>
      <c r="L4209">
        <v>1</v>
      </c>
      <c r="M4209" t="s">
        <v>6861</v>
      </c>
      <c r="N4209" t="s">
        <v>6543</v>
      </c>
    </row>
    <row r="4210" spans="1:14" x14ac:dyDescent="0.25">
      <c r="A4210" t="s">
        <v>1313</v>
      </c>
      <c r="B4210" t="s">
        <v>1327</v>
      </c>
      <c r="C4210" t="s">
        <v>6767</v>
      </c>
      <c r="D4210" t="s">
        <v>15</v>
      </c>
      <c r="E4210" t="s">
        <v>18</v>
      </c>
      <c r="F4210">
        <v>336</v>
      </c>
      <c r="G4210">
        <v>7</v>
      </c>
      <c r="H4210" s="89">
        <v>46291</v>
      </c>
      <c r="I4210" s="89">
        <v>46295</v>
      </c>
      <c r="J4210" t="s">
        <v>6754</v>
      </c>
      <c r="K4210" t="s">
        <v>6862</v>
      </c>
      <c r="L4210">
        <v>1</v>
      </c>
      <c r="M4210" t="s">
        <v>6863</v>
      </c>
      <c r="N4210" t="s">
        <v>6543</v>
      </c>
    </row>
    <row r="4211" spans="1:14" x14ac:dyDescent="0.25">
      <c r="A4211" t="s">
        <v>1324</v>
      </c>
      <c r="B4211" t="s">
        <v>1338</v>
      </c>
      <c r="C4211" t="s">
        <v>6767</v>
      </c>
      <c r="D4211" t="s">
        <v>15</v>
      </c>
      <c r="E4211" t="s">
        <v>65</v>
      </c>
      <c r="F4211">
        <v>960</v>
      </c>
      <c r="G4211">
        <v>20</v>
      </c>
      <c r="H4211" s="89">
        <v>46291</v>
      </c>
      <c r="I4211" s="89">
        <v>46297</v>
      </c>
      <c r="J4211" t="s">
        <v>6812</v>
      </c>
      <c r="K4211" t="s">
        <v>6864</v>
      </c>
      <c r="L4211">
        <v>1</v>
      </c>
      <c r="M4211" t="s">
        <v>6865</v>
      </c>
      <c r="N4211" t="s">
        <v>6543</v>
      </c>
    </row>
    <row r="4212" spans="1:14" x14ac:dyDescent="0.25">
      <c r="A4212" t="s">
        <v>1313</v>
      </c>
      <c r="B4212" t="s">
        <v>1327</v>
      </c>
      <c r="C4212" t="s">
        <v>6767</v>
      </c>
      <c r="D4212" t="s">
        <v>15</v>
      </c>
      <c r="E4212" t="s">
        <v>17</v>
      </c>
      <c r="F4212">
        <v>48</v>
      </c>
      <c r="G4212">
        <v>1</v>
      </c>
      <c r="H4212" s="89">
        <v>46291</v>
      </c>
      <c r="I4212" s="89">
        <v>46296</v>
      </c>
      <c r="J4212" t="s">
        <v>6810</v>
      </c>
      <c r="K4212" t="s">
        <v>6866</v>
      </c>
      <c r="L4212">
        <v>1</v>
      </c>
      <c r="M4212" t="s">
        <v>6867</v>
      </c>
      <c r="N4212" t="s">
        <v>6543</v>
      </c>
    </row>
    <row r="4213" spans="1:14" x14ac:dyDescent="0.25">
      <c r="A4213" t="s">
        <v>1321</v>
      </c>
      <c r="B4213" t="s">
        <v>1335</v>
      </c>
      <c r="C4213" t="s">
        <v>6814</v>
      </c>
      <c r="D4213" t="s">
        <v>143</v>
      </c>
      <c r="E4213" t="s">
        <v>65</v>
      </c>
      <c r="H4213" s="89">
        <v>46291</v>
      </c>
      <c r="I4213" s="89">
        <v>46298</v>
      </c>
      <c r="J4213" t="s">
        <v>1656</v>
      </c>
      <c r="K4213" t="s">
        <v>6815</v>
      </c>
      <c r="L4213">
        <v>1</v>
      </c>
      <c r="M4213" t="s">
        <v>6816</v>
      </c>
      <c r="N4213" t="s">
        <v>6543</v>
      </c>
    </row>
    <row r="4214" spans="1:14" x14ac:dyDescent="0.25">
      <c r="A4214" t="s">
        <v>1324</v>
      </c>
      <c r="B4214" t="s">
        <v>1338</v>
      </c>
      <c r="C4214" t="s">
        <v>6868</v>
      </c>
      <c r="D4214" t="s">
        <v>144</v>
      </c>
      <c r="E4214" t="s">
        <v>25</v>
      </c>
      <c r="H4214" s="89">
        <v>46291</v>
      </c>
      <c r="I4214" s="89">
        <v>46296</v>
      </c>
      <c r="J4214" t="s">
        <v>1656</v>
      </c>
      <c r="K4214" t="s">
        <v>6869</v>
      </c>
      <c r="L4214">
        <v>1</v>
      </c>
      <c r="M4214" t="s">
        <v>6870</v>
      </c>
      <c r="N4214" t="s">
        <v>6543</v>
      </c>
    </row>
    <row r="4215" spans="1:14" x14ac:dyDescent="0.25">
      <c r="A4215" t="s">
        <v>1324</v>
      </c>
      <c r="B4215" t="s">
        <v>1338</v>
      </c>
      <c r="C4215" t="s">
        <v>6813</v>
      </c>
      <c r="D4215" t="s">
        <v>119</v>
      </c>
      <c r="E4215" t="s">
        <v>25</v>
      </c>
      <c r="F4215">
        <v>960</v>
      </c>
      <c r="G4215">
        <v>20</v>
      </c>
      <c r="H4215" s="89">
        <v>46291</v>
      </c>
      <c r="I4215" s="89">
        <v>46296</v>
      </c>
      <c r="J4215" t="s">
        <v>6817</v>
      </c>
      <c r="K4215" t="s">
        <v>6871</v>
      </c>
      <c r="L4215">
        <v>1</v>
      </c>
      <c r="M4215" t="s">
        <v>6872</v>
      </c>
      <c r="N4215" t="s">
        <v>6543</v>
      </c>
    </row>
    <row r="4216" spans="1:14" x14ac:dyDescent="0.25">
      <c r="A4216" t="s">
        <v>1324</v>
      </c>
      <c r="B4216" t="s">
        <v>1338</v>
      </c>
      <c r="C4216" t="s">
        <v>6873</v>
      </c>
      <c r="D4216" t="s">
        <v>144</v>
      </c>
      <c r="E4216" t="s">
        <v>25</v>
      </c>
      <c r="F4216">
        <v>960</v>
      </c>
      <c r="G4216">
        <v>20</v>
      </c>
      <c r="H4216" s="89">
        <v>46293</v>
      </c>
      <c r="I4216" s="89">
        <v>46296</v>
      </c>
      <c r="J4216" t="s">
        <v>3549</v>
      </c>
      <c r="K4216" t="s">
        <v>6899</v>
      </c>
      <c r="L4216">
        <v>1</v>
      </c>
      <c r="M4216" t="s">
        <v>6900</v>
      </c>
      <c r="N4216" t="s">
        <v>6874</v>
      </c>
    </row>
    <row r="4217" spans="1:14" x14ac:dyDescent="0.25">
      <c r="A4217" t="s">
        <v>1324</v>
      </c>
      <c r="B4217" t="s">
        <v>1338</v>
      </c>
      <c r="C4217" t="s">
        <v>6877</v>
      </c>
      <c r="D4217" t="s">
        <v>15</v>
      </c>
      <c r="E4217" t="s">
        <v>25</v>
      </c>
      <c r="F4217">
        <v>144</v>
      </c>
      <c r="G4217">
        <v>3</v>
      </c>
      <c r="H4217" s="89">
        <v>46293</v>
      </c>
      <c r="I4217" s="89">
        <v>46296</v>
      </c>
      <c r="J4217" t="s">
        <v>3549</v>
      </c>
      <c r="K4217" t="s">
        <v>6901</v>
      </c>
      <c r="L4217">
        <v>1</v>
      </c>
      <c r="M4217" t="s">
        <v>6902</v>
      </c>
      <c r="N4217" t="s">
        <v>6874</v>
      </c>
    </row>
    <row r="4218" spans="1:14" x14ac:dyDescent="0.25">
      <c r="A4218" t="s">
        <v>1320</v>
      </c>
      <c r="B4218" t="s">
        <v>1334</v>
      </c>
      <c r="C4218" t="s">
        <v>6875</v>
      </c>
      <c r="D4218" t="s">
        <v>23</v>
      </c>
      <c r="E4218" t="s">
        <v>14</v>
      </c>
      <c r="F4218">
        <v>576</v>
      </c>
      <c r="G4218">
        <v>12</v>
      </c>
      <c r="H4218" s="89">
        <v>46293</v>
      </c>
      <c r="I4218" s="89">
        <v>46296</v>
      </c>
      <c r="J4218" t="s">
        <v>3549</v>
      </c>
      <c r="K4218" t="s">
        <v>6903</v>
      </c>
      <c r="L4218">
        <v>1</v>
      </c>
      <c r="M4218" t="s">
        <v>6904</v>
      </c>
      <c r="N4218" t="s">
        <v>6874</v>
      </c>
    </row>
    <row r="4219" spans="1:14" x14ac:dyDescent="0.25">
      <c r="A4219" t="s">
        <v>1324</v>
      </c>
      <c r="B4219" t="s">
        <v>1338</v>
      </c>
      <c r="C4219" t="s">
        <v>6876</v>
      </c>
      <c r="D4219" t="s">
        <v>21</v>
      </c>
      <c r="E4219" t="s">
        <v>65</v>
      </c>
      <c r="F4219">
        <v>960</v>
      </c>
      <c r="G4219">
        <v>20</v>
      </c>
      <c r="H4219" s="89">
        <v>46293</v>
      </c>
      <c r="I4219" s="89">
        <v>46298</v>
      </c>
      <c r="J4219" t="s">
        <v>3549</v>
      </c>
      <c r="K4219" t="s">
        <v>6905</v>
      </c>
      <c r="L4219">
        <v>1</v>
      </c>
      <c r="M4219" t="s">
        <v>6906</v>
      </c>
      <c r="N4219" t="s">
        <v>6874</v>
      </c>
    </row>
    <row r="4220" spans="1:14" x14ac:dyDescent="0.25">
      <c r="A4220" t="s">
        <v>1313</v>
      </c>
      <c r="B4220" t="s">
        <v>1327</v>
      </c>
      <c r="C4220" t="s">
        <v>6876</v>
      </c>
      <c r="D4220" t="s">
        <v>21</v>
      </c>
      <c r="E4220" t="s">
        <v>16</v>
      </c>
      <c r="F4220">
        <v>480</v>
      </c>
      <c r="G4220">
        <v>10</v>
      </c>
      <c r="H4220" s="89">
        <v>46293</v>
      </c>
      <c r="I4220" s="89">
        <v>46296</v>
      </c>
      <c r="J4220" t="s">
        <v>3549</v>
      </c>
      <c r="K4220" t="s">
        <v>6907</v>
      </c>
      <c r="L4220">
        <v>1</v>
      </c>
      <c r="M4220" t="s">
        <v>6908</v>
      </c>
      <c r="N4220" t="s">
        <v>6874</v>
      </c>
    </row>
    <row r="4221" spans="1:14" x14ac:dyDescent="0.25">
      <c r="A4221" t="s">
        <v>1321</v>
      </c>
      <c r="B4221" t="s">
        <v>1335</v>
      </c>
      <c r="C4221" t="s">
        <v>6888</v>
      </c>
      <c r="D4221" t="s">
        <v>143</v>
      </c>
      <c r="E4221" t="s">
        <v>65</v>
      </c>
      <c r="F4221">
        <v>144</v>
      </c>
      <c r="G4221">
        <v>3</v>
      </c>
      <c r="H4221" s="89">
        <v>46293</v>
      </c>
      <c r="I4221" s="89">
        <v>46298</v>
      </c>
      <c r="J4221" t="s">
        <v>3549</v>
      </c>
      <c r="K4221" t="s">
        <v>6909</v>
      </c>
      <c r="L4221">
        <v>1</v>
      </c>
      <c r="M4221" t="s">
        <v>6910</v>
      </c>
      <c r="N4221" t="s">
        <v>6874</v>
      </c>
    </row>
    <row r="4222" spans="1:14" x14ac:dyDescent="0.25">
      <c r="A4222" t="s">
        <v>1325</v>
      </c>
      <c r="B4222" t="s">
        <v>1339</v>
      </c>
      <c r="C4222" t="s">
        <v>6888</v>
      </c>
      <c r="D4222" t="s">
        <v>143</v>
      </c>
      <c r="E4222" t="s">
        <v>19</v>
      </c>
      <c r="F4222">
        <v>480</v>
      </c>
      <c r="G4222">
        <v>10</v>
      </c>
      <c r="H4222" s="89">
        <v>46293</v>
      </c>
      <c r="I4222" s="89">
        <v>46296</v>
      </c>
      <c r="J4222" t="s">
        <v>3549</v>
      </c>
      <c r="K4222" t="s">
        <v>6911</v>
      </c>
      <c r="L4222">
        <v>1</v>
      </c>
      <c r="M4222" t="s">
        <v>6912</v>
      </c>
      <c r="N4222" t="s">
        <v>6874</v>
      </c>
    </row>
    <row r="4223" spans="1:14" x14ac:dyDescent="0.25">
      <c r="A4223" t="s">
        <v>56</v>
      </c>
      <c r="B4223" t="s">
        <v>6889</v>
      </c>
      <c r="C4223" t="s">
        <v>6890</v>
      </c>
      <c r="D4223" t="s">
        <v>20</v>
      </c>
      <c r="E4223" t="s">
        <v>56</v>
      </c>
      <c r="F4223">
        <v>960</v>
      </c>
      <c r="G4223">
        <v>20</v>
      </c>
      <c r="H4223" s="89">
        <v>46293</v>
      </c>
      <c r="I4223" s="89">
        <v>46296</v>
      </c>
      <c r="J4223" t="s">
        <v>3549</v>
      </c>
      <c r="K4223" t="s">
        <v>6913</v>
      </c>
      <c r="L4223">
        <v>1</v>
      </c>
      <c r="M4223" t="s">
        <v>6914</v>
      </c>
      <c r="N4223" t="s">
        <v>6874</v>
      </c>
    </row>
    <row r="4224" spans="1:14" x14ac:dyDescent="0.25">
      <c r="A4224" t="s">
        <v>1315</v>
      </c>
      <c r="B4224" t="s">
        <v>1329</v>
      </c>
      <c r="C4224" t="s">
        <v>6890</v>
      </c>
      <c r="D4224" t="s">
        <v>20</v>
      </c>
      <c r="E4224" t="s">
        <v>19</v>
      </c>
      <c r="F4224">
        <v>96</v>
      </c>
      <c r="G4224" t="s">
        <v>1419</v>
      </c>
      <c r="H4224" s="89">
        <v>46293</v>
      </c>
      <c r="I4224" s="89">
        <v>46296</v>
      </c>
      <c r="J4224" t="s">
        <v>3549</v>
      </c>
      <c r="K4224" t="s">
        <v>6915</v>
      </c>
      <c r="L4224">
        <v>1</v>
      </c>
      <c r="M4224" t="s">
        <v>6916</v>
      </c>
      <c r="N4224" t="s">
        <v>6874</v>
      </c>
    </row>
    <row r="4225" spans="1:14" x14ac:dyDescent="0.25">
      <c r="A4225" t="s">
        <v>1324</v>
      </c>
      <c r="B4225" t="s">
        <v>1338</v>
      </c>
      <c r="C4225" t="s">
        <v>6877</v>
      </c>
      <c r="D4225" t="s">
        <v>15</v>
      </c>
      <c r="E4225" t="s">
        <v>65</v>
      </c>
      <c r="F4225">
        <v>816</v>
      </c>
      <c r="G4225">
        <v>17</v>
      </c>
      <c r="H4225" s="89">
        <v>46293</v>
      </c>
      <c r="I4225" s="89">
        <v>46298</v>
      </c>
      <c r="J4225" t="s">
        <v>3549</v>
      </c>
      <c r="K4225" t="s">
        <v>6917</v>
      </c>
      <c r="L4225">
        <v>1</v>
      </c>
      <c r="M4225" t="s">
        <v>6918</v>
      </c>
      <c r="N4225" t="s">
        <v>6874</v>
      </c>
    </row>
    <row r="4226" spans="1:14" x14ac:dyDescent="0.25">
      <c r="A4226" t="s">
        <v>1313</v>
      </c>
      <c r="B4226" t="s">
        <v>1327</v>
      </c>
      <c r="C4226" t="s">
        <v>6877</v>
      </c>
      <c r="D4226" t="s">
        <v>15</v>
      </c>
      <c r="E4226" t="s">
        <v>17</v>
      </c>
      <c r="F4226">
        <v>420</v>
      </c>
      <c r="G4226">
        <v>8.75</v>
      </c>
      <c r="H4226" s="89">
        <v>46293</v>
      </c>
      <c r="I4226" s="89">
        <v>46296</v>
      </c>
      <c r="J4226" t="s">
        <v>3549</v>
      </c>
      <c r="K4226" t="s">
        <v>6919</v>
      </c>
      <c r="L4226">
        <v>1</v>
      </c>
      <c r="M4226" t="s">
        <v>6920</v>
      </c>
      <c r="N4226" t="s">
        <v>6874</v>
      </c>
    </row>
    <row r="4227" spans="1:14" x14ac:dyDescent="0.25">
      <c r="A4227" t="s">
        <v>1319</v>
      </c>
      <c r="B4227" t="s">
        <v>1333</v>
      </c>
      <c r="C4227" t="s">
        <v>6877</v>
      </c>
      <c r="D4227" t="s">
        <v>15</v>
      </c>
      <c r="E4227" t="s">
        <v>17</v>
      </c>
      <c r="F4227">
        <v>60</v>
      </c>
      <c r="G4227">
        <v>1.25</v>
      </c>
      <c r="H4227" s="89">
        <v>46293</v>
      </c>
      <c r="I4227" s="89">
        <v>46296</v>
      </c>
      <c r="J4227" t="s">
        <v>3549</v>
      </c>
      <c r="K4227" t="s">
        <v>6921</v>
      </c>
      <c r="L4227">
        <v>1</v>
      </c>
      <c r="M4227" t="s">
        <v>6922</v>
      </c>
      <c r="N4227" t="s">
        <v>6874</v>
      </c>
    </row>
    <row r="4228" spans="1:14" x14ac:dyDescent="0.25">
      <c r="A4228" t="s">
        <v>1313</v>
      </c>
      <c r="B4228" t="s">
        <v>1327</v>
      </c>
      <c r="C4228" t="s">
        <v>6878</v>
      </c>
      <c r="D4228" t="s">
        <v>21</v>
      </c>
      <c r="E4228" t="s">
        <v>16</v>
      </c>
      <c r="F4228">
        <v>432</v>
      </c>
      <c r="G4228">
        <v>9</v>
      </c>
      <c r="H4228" s="89">
        <v>46294</v>
      </c>
      <c r="I4228" s="89">
        <v>46296</v>
      </c>
      <c r="J4228" t="s">
        <v>3549</v>
      </c>
      <c r="K4228" t="s">
        <v>6923</v>
      </c>
      <c r="L4228">
        <v>1</v>
      </c>
      <c r="M4228" t="s">
        <v>6924</v>
      </c>
      <c r="N4228" t="s">
        <v>6874</v>
      </c>
    </row>
    <row r="4229" spans="1:14" x14ac:dyDescent="0.25">
      <c r="A4229" t="s">
        <v>1320</v>
      </c>
      <c r="B4229" t="s">
        <v>1334</v>
      </c>
      <c r="C4229" t="s">
        <v>6878</v>
      </c>
      <c r="D4229" t="s">
        <v>21</v>
      </c>
      <c r="E4229" t="s">
        <v>14</v>
      </c>
      <c r="F4229">
        <v>960</v>
      </c>
      <c r="G4229">
        <v>20</v>
      </c>
      <c r="H4229" s="89">
        <v>46294</v>
      </c>
      <c r="I4229" s="89">
        <v>46297</v>
      </c>
      <c r="J4229" t="s">
        <v>3549</v>
      </c>
      <c r="K4229" t="s">
        <v>6925</v>
      </c>
      <c r="L4229">
        <v>1</v>
      </c>
      <c r="M4229" t="s">
        <v>6926</v>
      </c>
      <c r="N4229" t="s">
        <v>6874</v>
      </c>
    </row>
    <row r="4230" spans="1:14" x14ac:dyDescent="0.25">
      <c r="A4230" t="s">
        <v>1313</v>
      </c>
      <c r="B4230" t="s">
        <v>1327</v>
      </c>
      <c r="C4230" t="s">
        <v>6878</v>
      </c>
      <c r="D4230" t="s">
        <v>21</v>
      </c>
      <c r="E4230" t="s">
        <v>19</v>
      </c>
      <c r="F4230">
        <v>432</v>
      </c>
      <c r="G4230" t="s">
        <v>1419</v>
      </c>
      <c r="H4230" s="89">
        <v>46294</v>
      </c>
      <c r="I4230" s="89">
        <v>46296</v>
      </c>
      <c r="J4230" t="s">
        <v>3549</v>
      </c>
      <c r="K4230" t="s">
        <v>6927</v>
      </c>
      <c r="L4230">
        <v>1</v>
      </c>
      <c r="M4230" t="s">
        <v>6928</v>
      </c>
      <c r="N4230" t="s">
        <v>6874</v>
      </c>
    </row>
    <row r="4231" spans="1:14" x14ac:dyDescent="0.25">
      <c r="A4231" t="s">
        <v>1314</v>
      </c>
      <c r="B4231" t="s">
        <v>1328</v>
      </c>
      <c r="C4231" t="s">
        <v>6879</v>
      </c>
      <c r="D4231" t="s">
        <v>15</v>
      </c>
      <c r="E4231" t="s">
        <v>16</v>
      </c>
      <c r="F4231">
        <v>240</v>
      </c>
      <c r="G4231">
        <v>5</v>
      </c>
      <c r="H4231" s="89">
        <v>46294</v>
      </c>
      <c r="I4231" s="89">
        <v>46296</v>
      </c>
      <c r="J4231" t="s">
        <v>3549</v>
      </c>
      <c r="K4231" t="s">
        <v>6929</v>
      </c>
      <c r="L4231">
        <v>1</v>
      </c>
      <c r="M4231" t="s">
        <v>6930</v>
      </c>
      <c r="N4231" t="s">
        <v>6874</v>
      </c>
    </row>
    <row r="4232" spans="1:14" x14ac:dyDescent="0.25">
      <c r="A4232" t="s">
        <v>1313</v>
      </c>
      <c r="B4232" t="s">
        <v>1327</v>
      </c>
      <c r="C4232" t="s">
        <v>6879</v>
      </c>
      <c r="D4232" t="s">
        <v>15</v>
      </c>
      <c r="E4232" t="s">
        <v>19</v>
      </c>
      <c r="F4232">
        <v>96</v>
      </c>
      <c r="G4232" t="s">
        <v>1419</v>
      </c>
      <c r="H4232" s="89">
        <v>46294</v>
      </c>
      <c r="I4232" s="89">
        <v>46296</v>
      </c>
      <c r="J4232" t="s">
        <v>3549</v>
      </c>
      <c r="K4232" t="s">
        <v>6931</v>
      </c>
      <c r="L4232">
        <v>1</v>
      </c>
      <c r="M4232" t="s">
        <v>6932</v>
      </c>
      <c r="N4232" t="s">
        <v>6874</v>
      </c>
    </row>
    <row r="4233" spans="1:14" x14ac:dyDescent="0.25">
      <c r="A4233" t="s">
        <v>1320</v>
      </c>
      <c r="B4233" t="s">
        <v>1334</v>
      </c>
      <c r="C4233" t="s">
        <v>6880</v>
      </c>
      <c r="D4233" t="s">
        <v>23</v>
      </c>
      <c r="E4233" t="s">
        <v>14</v>
      </c>
      <c r="F4233">
        <v>720</v>
      </c>
      <c r="G4233">
        <v>15</v>
      </c>
      <c r="H4233" s="89">
        <v>46294</v>
      </c>
      <c r="I4233" s="89">
        <v>46298</v>
      </c>
      <c r="J4233" t="s">
        <v>3549</v>
      </c>
      <c r="K4233" t="s">
        <v>6933</v>
      </c>
      <c r="L4233">
        <v>1</v>
      </c>
      <c r="M4233" t="s">
        <v>6934</v>
      </c>
      <c r="N4233" t="s">
        <v>6874</v>
      </c>
    </row>
    <row r="4234" spans="1:14" x14ac:dyDescent="0.25">
      <c r="A4234" t="s">
        <v>1322</v>
      </c>
      <c r="B4234" t="s">
        <v>1336</v>
      </c>
      <c r="C4234" t="s">
        <v>6881</v>
      </c>
      <c r="D4234" t="s">
        <v>20</v>
      </c>
      <c r="E4234" t="s">
        <v>26</v>
      </c>
      <c r="F4234">
        <v>324</v>
      </c>
      <c r="G4234">
        <v>6</v>
      </c>
      <c r="H4234" s="89">
        <v>46294</v>
      </c>
      <c r="I4234" s="89">
        <v>46298</v>
      </c>
      <c r="J4234" t="s">
        <v>3549</v>
      </c>
      <c r="K4234" t="s">
        <v>6935</v>
      </c>
      <c r="L4234">
        <v>1</v>
      </c>
      <c r="M4234" t="s">
        <v>6936</v>
      </c>
      <c r="N4234" t="s">
        <v>6874</v>
      </c>
    </row>
    <row r="4235" spans="1:14" x14ac:dyDescent="0.25">
      <c r="A4235" t="s">
        <v>1323</v>
      </c>
      <c r="B4235" t="s">
        <v>1337</v>
      </c>
      <c r="C4235" t="s">
        <v>6881</v>
      </c>
      <c r="D4235" t="s">
        <v>20</v>
      </c>
      <c r="E4235" t="s">
        <v>26</v>
      </c>
      <c r="F4235">
        <v>756</v>
      </c>
      <c r="G4235">
        <v>14</v>
      </c>
      <c r="H4235" s="89">
        <v>46294</v>
      </c>
      <c r="I4235" s="89">
        <v>46298</v>
      </c>
      <c r="J4235" t="s">
        <v>3549</v>
      </c>
      <c r="K4235" t="s">
        <v>6937</v>
      </c>
      <c r="L4235">
        <v>1</v>
      </c>
      <c r="M4235" t="s">
        <v>6938</v>
      </c>
      <c r="N4235" t="s">
        <v>6874</v>
      </c>
    </row>
    <row r="4236" spans="1:14" x14ac:dyDescent="0.25">
      <c r="A4236" t="s">
        <v>1315</v>
      </c>
      <c r="B4236" t="s">
        <v>1329</v>
      </c>
      <c r="C4236" t="s">
        <v>6881</v>
      </c>
      <c r="D4236" t="s">
        <v>20</v>
      </c>
      <c r="E4236" t="s">
        <v>19</v>
      </c>
      <c r="F4236">
        <v>48</v>
      </c>
      <c r="G4236" t="s">
        <v>1419</v>
      </c>
      <c r="H4236" s="89">
        <v>46294</v>
      </c>
      <c r="I4236" s="89">
        <v>46296</v>
      </c>
      <c r="J4236" t="s">
        <v>3549</v>
      </c>
      <c r="K4236" t="s">
        <v>6939</v>
      </c>
      <c r="L4236">
        <v>1</v>
      </c>
      <c r="M4236" t="s">
        <v>6940</v>
      </c>
      <c r="N4236" t="s">
        <v>6874</v>
      </c>
    </row>
    <row r="4237" spans="1:14" x14ac:dyDescent="0.25">
      <c r="A4237" t="s">
        <v>1324</v>
      </c>
      <c r="B4237" t="s">
        <v>1338</v>
      </c>
      <c r="C4237" t="s">
        <v>6882</v>
      </c>
      <c r="D4237" t="s">
        <v>119</v>
      </c>
      <c r="E4237" t="s">
        <v>65</v>
      </c>
      <c r="F4237">
        <v>960</v>
      </c>
      <c r="G4237">
        <v>24</v>
      </c>
      <c r="H4237" s="89">
        <v>46294</v>
      </c>
      <c r="I4237" s="89">
        <v>46300</v>
      </c>
      <c r="J4237" t="s">
        <v>3549</v>
      </c>
      <c r="K4237" t="s">
        <v>6941</v>
      </c>
      <c r="L4237">
        <v>1</v>
      </c>
      <c r="M4237" t="s">
        <v>6942</v>
      </c>
      <c r="N4237" t="s">
        <v>6874</v>
      </c>
    </row>
    <row r="4238" spans="1:14" x14ac:dyDescent="0.25">
      <c r="A4238" t="s">
        <v>1324</v>
      </c>
      <c r="B4238" t="s">
        <v>1338</v>
      </c>
      <c r="C4238" t="s">
        <v>6883</v>
      </c>
      <c r="D4238" t="s">
        <v>24</v>
      </c>
      <c r="E4238" t="s">
        <v>65</v>
      </c>
      <c r="F4238">
        <v>1152</v>
      </c>
      <c r="G4238">
        <v>24</v>
      </c>
      <c r="H4238" s="89">
        <v>46294</v>
      </c>
      <c r="I4238" s="89">
        <v>46300</v>
      </c>
      <c r="J4238" t="s">
        <v>3549</v>
      </c>
      <c r="K4238" t="s">
        <v>6943</v>
      </c>
      <c r="L4238">
        <v>1</v>
      </c>
      <c r="M4238" t="s">
        <v>6944</v>
      </c>
      <c r="N4238" t="s">
        <v>6874</v>
      </c>
    </row>
    <row r="4239" spans="1:14" x14ac:dyDescent="0.25">
      <c r="A4239" t="s">
        <v>1320</v>
      </c>
      <c r="B4239" t="s">
        <v>1334</v>
      </c>
      <c r="C4239" t="s">
        <v>6884</v>
      </c>
      <c r="D4239" t="s">
        <v>23</v>
      </c>
      <c r="E4239" t="s">
        <v>14</v>
      </c>
      <c r="F4239">
        <v>240</v>
      </c>
      <c r="G4239">
        <v>5</v>
      </c>
      <c r="H4239" s="89">
        <v>46295</v>
      </c>
      <c r="I4239" s="89">
        <v>46298</v>
      </c>
      <c r="J4239" t="s">
        <v>3549</v>
      </c>
      <c r="K4239" t="s">
        <v>6945</v>
      </c>
      <c r="L4239">
        <v>1</v>
      </c>
      <c r="M4239" t="s">
        <v>6946</v>
      </c>
      <c r="N4239" t="s">
        <v>6874</v>
      </c>
    </row>
    <row r="4240" spans="1:14" x14ac:dyDescent="0.25">
      <c r="A4240" t="s">
        <v>1313</v>
      </c>
      <c r="B4240" t="s">
        <v>1327</v>
      </c>
      <c r="C4240" t="s">
        <v>6884</v>
      </c>
      <c r="D4240" t="s">
        <v>23</v>
      </c>
      <c r="E4240" t="s">
        <v>16</v>
      </c>
      <c r="F4240">
        <v>480</v>
      </c>
      <c r="G4240">
        <v>10</v>
      </c>
      <c r="H4240" s="89">
        <v>46295</v>
      </c>
      <c r="I4240" s="89">
        <v>46298</v>
      </c>
      <c r="J4240" t="s">
        <v>3549</v>
      </c>
      <c r="K4240" t="s">
        <v>6947</v>
      </c>
      <c r="L4240">
        <v>1</v>
      </c>
      <c r="M4240" t="s">
        <v>6948</v>
      </c>
      <c r="N4240" t="s">
        <v>6874</v>
      </c>
    </row>
    <row r="4241" spans="1:14" x14ac:dyDescent="0.25">
      <c r="A4241" t="s">
        <v>1324</v>
      </c>
      <c r="B4241" t="s">
        <v>1338</v>
      </c>
      <c r="C4241" t="s">
        <v>6891</v>
      </c>
      <c r="D4241" t="s">
        <v>24</v>
      </c>
      <c r="E4241" t="s">
        <v>65</v>
      </c>
      <c r="F4241">
        <v>960</v>
      </c>
      <c r="G4241">
        <v>20</v>
      </c>
      <c r="H4241" s="89">
        <v>46295</v>
      </c>
      <c r="I4241" s="89">
        <v>46302</v>
      </c>
      <c r="J4241" t="s">
        <v>3549</v>
      </c>
      <c r="K4241" t="s">
        <v>6949</v>
      </c>
      <c r="L4241">
        <v>1</v>
      </c>
      <c r="M4241" t="s">
        <v>6950</v>
      </c>
      <c r="N4241" t="s">
        <v>6874</v>
      </c>
    </row>
    <row r="4242" spans="1:14" x14ac:dyDescent="0.25">
      <c r="A4242" t="s">
        <v>1320</v>
      </c>
      <c r="B4242" t="s">
        <v>1334</v>
      </c>
      <c r="C4242" t="s">
        <v>6891</v>
      </c>
      <c r="D4242" t="s">
        <v>24</v>
      </c>
      <c r="E4242" t="s">
        <v>14</v>
      </c>
      <c r="F4242">
        <v>480</v>
      </c>
      <c r="G4242">
        <v>10</v>
      </c>
      <c r="H4242" s="89">
        <v>46295</v>
      </c>
      <c r="I4242" s="89">
        <v>46300</v>
      </c>
      <c r="J4242" t="s">
        <v>3549</v>
      </c>
      <c r="K4242" t="s">
        <v>6951</v>
      </c>
      <c r="L4242">
        <v>1</v>
      </c>
      <c r="M4242" t="s">
        <v>6952</v>
      </c>
      <c r="N4242" t="s">
        <v>6874</v>
      </c>
    </row>
    <row r="4243" spans="1:14" x14ac:dyDescent="0.25">
      <c r="A4243" t="s">
        <v>1313</v>
      </c>
      <c r="B4243" t="s">
        <v>1327</v>
      </c>
      <c r="C4243" t="s">
        <v>6892</v>
      </c>
      <c r="D4243" t="s">
        <v>20</v>
      </c>
      <c r="E4243" t="s">
        <v>16</v>
      </c>
      <c r="F4243">
        <v>432</v>
      </c>
      <c r="G4243">
        <v>9</v>
      </c>
      <c r="H4243" s="89">
        <v>46295</v>
      </c>
      <c r="I4243" s="89">
        <v>46298</v>
      </c>
      <c r="J4243" t="s">
        <v>3549</v>
      </c>
      <c r="K4243" t="s">
        <v>6953</v>
      </c>
      <c r="L4243">
        <v>1</v>
      </c>
      <c r="M4243" t="s">
        <v>6954</v>
      </c>
      <c r="N4243" t="s">
        <v>6874</v>
      </c>
    </row>
    <row r="4244" spans="1:14" x14ac:dyDescent="0.25">
      <c r="A4244" t="s">
        <v>1320</v>
      </c>
      <c r="B4244" t="s">
        <v>1334</v>
      </c>
      <c r="C4244" t="s">
        <v>6892</v>
      </c>
      <c r="D4244" t="s">
        <v>20</v>
      </c>
      <c r="E4244" t="s">
        <v>14</v>
      </c>
      <c r="F4244">
        <v>960</v>
      </c>
      <c r="G4244">
        <v>20</v>
      </c>
      <c r="H4244" s="89">
        <v>46295</v>
      </c>
      <c r="I4244" s="89">
        <v>46300</v>
      </c>
      <c r="J4244" t="s">
        <v>3549</v>
      </c>
      <c r="K4244" t="s">
        <v>6955</v>
      </c>
      <c r="L4244">
        <v>1</v>
      </c>
      <c r="M4244" t="s">
        <v>6956</v>
      </c>
      <c r="N4244" t="s">
        <v>6874</v>
      </c>
    </row>
    <row r="4245" spans="1:14" x14ac:dyDescent="0.25">
      <c r="A4245" t="s">
        <v>1314</v>
      </c>
      <c r="B4245" t="s">
        <v>1328</v>
      </c>
      <c r="C4245" t="s">
        <v>6885</v>
      </c>
      <c r="D4245" t="s">
        <v>15</v>
      </c>
      <c r="E4245" t="s">
        <v>16</v>
      </c>
      <c r="F4245">
        <v>240</v>
      </c>
      <c r="G4245">
        <v>5</v>
      </c>
      <c r="H4245" s="89">
        <v>46295</v>
      </c>
      <c r="I4245" s="89">
        <v>46298</v>
      </c>
      <c r="J4245" t="s">
        <v>3549</v>
      </c>
      <c r="K4245" t="s">
        <v>6957</v>
      </c>
      <c r="L4245">
        <v>1</v>
      </c>
      <c r="M4245" t="s">
        <v>6958</v>
      </c>
      <c r="N4245" t="s">
        <v>6874</v>
      </c>
    </row>
    <row r="4246" spans="1:14" x14ac:dyDescent="0.25">
      <c r="A4246" t="s">
        <v>1325</v>
      </c>
      <c r="B4246" t="s">
        <v>1339</v>
      </c>
      <c r="C4246" t="s">
        <v>6893</v>
      </c>
      <c r="D4246" t="s">
        <v>27</v>
      </c>
      <c r="E4246" t="s">
        <v>19</v>
      </c>
      <c r="F4246">
        <v>480</v>
      </c>
      <c r="G4246">
        <v>10</v>
      </c>
      <c r="H4246" s="89">
        <v>46296</v>
      </c>
      <c r="I4246" s="89">
        <v>46298</v>
      </c>
      <c r="J4246" t="s">
        <v>3549</v>
      </c>
      <c r="K4246" t="s">
        <v>6959</v>
      </c>
      <c r="L4246">
        <v>1</v>
      </c>
      <c r="M4246" t="s">
        <v>6960</v>
      </c>
      <c r="N4246" t="s">
        <v>6874</v>
      </c>
    </row>
    <row r="4247" spans="1:14" x14ac:dyDescent="0.25">
      <c r="A4247" t="s">
        <v>1320</v>
      </c>
      <c r="B4247" t="s">
        <v>1334</v>
      </c>
      <c r="C4247" t="s">
        <v>6894</v>
      </c>
      <c r="D4247" t="s">
        <v>24</v>
      </c>
      <c r="E4247" t="s">
        <v>14</v>
      </c>
      <c r="F4247">
        <v>480</v>
      </c>
      <c r="G4247">
        <v>10</v>
      </c>
      <c r="H4247" s="89">
        <v>46296</v>
      </c>
      <c r="I4247" s="89">
        <v>46300</v>
      </c>
      <c r="J4247" t="s">
        <v>3549</v>
      </c>
      <c r="K4247" t="s">
        <v>6961</v>
      </c>
      <c r="L4247">
        <v>1</v>
      </c>
      <c r="M4247" t="s">
        <v>6962</v>
      </c>
      <c r="N4247" t="s">
        <v>6874</v>
      </c>
    </row>
    <row r="4248" spans="1:14" x14ac:dyDescent="0.25">
      <c r="A4248" t="s">
        <v>1321</v>
      </c>
      <c r="B4248" t="s">
        <v>1335</v>
      </c>
      <c r="C4248" t="s">
        <v>6893</v>
      </c>
      <c r="D4248" t="s">
        <v>27</v>
      </c>
      <c r="E4248" t="s">
        <v>65</v>
      </c>
      <c r="F4248">
        <v>144</v>
      </c>
      <c r="G4248">
        <v>3</v>
      </c>
      <c r="H4248" s="89">
        <v>46296</v>
      </c>
      <c r="I4248" s="89">
        <v>46302</v>
      </c>
      <c r="J4248" t="s">
        <v>3549</v>
      </c>
      <c r="K4248" t="s">
        <v>6963</v>
      </c>
      <c r="L4248">
        <v>1</v>
      </c>
      <c r="M4248" t="s">
        <v>6964</v>
      </c>
      <c r="N4248" t="s">
        <v>6874</v>
      </c>
    </row>
    <row r="4249" spans="1:14" x14ac:dyDescent="0.25">
      <c r="A4249" t="s">
        <v>1320</v>
      </c>
      <c r="B4249" t="s">
        <v>1334</v>
      </c>
      <c r="C4249" t="s">
        <v>6894</v>
      </c>
      <c r="D4249" t="s">
        <v>24</v>
      </c>
      <c r="E4249" t="s">
        <v>14</v>
      </c>
      <c r="F4249">
        <v>960</v>
      </c>
      <c r="G4249">
        <v>20</v>
      </c>
      <c r="H4249" s="89">
        <v>46296</v>
      </c>
      <c r="I4249" s="89">
        <v>46301</v>
      </c>
      <c r="J4249" t="s">
        <v>3549</v>
      </c>
      <c r="K4249" t="s">
        <v>6965</v>
      </c>
      <c r="L4249">
        <v>1</v>
      </c>
      <c r="M4249" t="s">
        <v>6966</v>
      </c>
      <c r="N4249" t="s">
        <v>6874</v>
      </c>
    </row>
    <row r="4250" spans="1:14" x14ac:dyDescent="0.25">
      <c r="A4250" t="s">
        <v>1319</v>
      </c>
      <c r="B4250" t="s">
        <v>1333</v>
      </c>
      <c r="C4250" t="s">
        <v>6886</v>
      </c>
      <c r="D4250" t="s">
        <v>15</v>
      </c>
      <c r="E4250" t="s">
        <v>17</v>
      </c>
      <c r="F4250">
        <v>96</v>
      </c>
      <c r="G4250">
        <v>2</v>
      </c>
      <c r="H4250" s="89">
        <v>46296</v>
      </c>
      <c r="I4250" s="89">
        <v>46300</v>
      </c>
      <c r="J4250" t="s">
        <v>3549</v>
      </c>
      <c r="K4250" t="s">
        <v>6967</v>
      </c>
      <c r="L4250">
        <v>1</v>
      </c>
      <c r="M4250" t="s">
        <v>6968</v>
      </c>
      <c r="N4250" t="s">
        <v>6874</v>
      </c>
    </row>
    <row r="4251" spans="1:14" x14ac:dyDescent="0.25">
      <c r="A4251" t="s">
        <v>1313</v>
      </c>
      <c r="B4251" t="s">
        <v>1327</v>
      </c>
      <c r="C4251" t="s">
        <v>6886</v>
      </c>
      <c r="D4251" t="s">
        <v>15</v>
      </c>
      <c r="E4251" t="s">
        <v>18</v>
      </c>
      <c r="F4251">
        <v>1056</v>
      </c>
      <c r="G4251">
        <v>22</v>
      </c>
      <c r="H4251" s="89">
        <v>46296</v>
      </c>
      <c r="I4251" s="89">
        <v>46300</v>
      </c>
      <c r="J4251" t="s">
        <v>3549</v>
      </c>
      <c r="K4251" t="s">
        <v>6969</v>
      </c>
      <c r="L4251">
        <v>1</v>
      </c>
      <c r="M4251" t="s">
        <v>6970</v>
      </c>
      <c r="N4251" t="s">
        <v>6874</v>
      </c>
    </row>
    <row r="4252" spans="1:14" x14ac:dyDescent="0.25">
      <c r="A4252" t="s">
        <v>1314</v>
      </c>
      <c r="B4252" t="s">
        <v>1328</v>
      </c>
      <c r="C4252" t="s">
        <v>6886</v>
      </c>
      <c r="D4252" t="s">
        <v>15</v>
      </c>
      <c r="E4252" t="s">
        <v>18</v>
      </c>
      <c r="F4252">
        <v>96</v>
      </c>
      <c r="G4252">
        <v>2</v>
      </c>
      <c r="H4252" s="89">
        <v>46296</v>
      </c>
      <c r="I4252" s="89">
        <v>46300</v>
      </c>
      <c r="J4252" t="s">
        <v>3549</v>
      </c>
      <c r="K4252" t="s">
        <v>6971</v>
      </c>
      <c r="L4252">
        <v>1</v>
      </c>
      <c r="M4252" t="s">
        <v>6972</v>
      </c>
      <c r="N4252" t="s">
        <v>6874</v>
      </c>
    </row>
    <row r="4253" spans="1:14" x14ac:dyDescent="0.25">
      <c r="A4253" t="s">
        <v>1314</v>
      </c>
      <c r="B4253" t="s">
        <v>1328</v>
      </c>
      <c r="C4253" t="s">
        <v>6886</v>
      </c>
      <c r="D4253" t="s">
        <v>15</v>
      </c>
      <c r="E4253" t="s">
        <v>16</v>
      </c>
      <c r="F4253">
        <v>288</v>
      </c>
      <c r="G4253">
        <v>6</v>
      </c>
      <c r="H4253" s="89">
        <v>46296</v>
      </c>
      <c r="I4253" s="89">
        <v>46300</v>
      </c>
      <c r="J4253" t="s">
        <v>3549</v>
      </c>
      <c r="K4253" t="s">
        <v>6973</v>
      </c>
      <c r="L4253">
        <v>1</v>
      </c>
      <c r="M4253" t="s">
        <v>6974</v>
      </c>
      <c r="N4253" t="s">
        <v>6874</v>
      </c>
    </row>
    <row r="4254" spans="1:14" x14ac:dyDescent="0.25">
      <c r="A4254" t="s">
        <v>1320</v>
      </c>
      <c r="B4254" t="s">
        <v>1334</v>
      </c>
      <c r="C4254" t="s">
        <v>6895</v>
      </c>
      <c r="D4254" t="s">
        <v>23</v>
      </c>
      <c r="E4254" t="s">
        <v>14</v>
      </c>
      <c r="F4254">
        <v>960</v>
      </c>
      <c r="G4254">
        <v>20</v>
      </c>
      <c r="H4254" s="89">
        <v>46297</v>
      </c>
      <c r="I4254" s="89">
        <v>46301</v>
      </c>
      <c r="J4254" t="s">
        <v>3549</v>
      </c>
      <c r="K4254" t="s">
        <v>6975</v>
      </c>
      <c r="L4254">
        <v>1</v>
      </c>
      <c r="M4254" t="s">
        <v>6976</v>
      </c>
      <c r="N4254" t="s">
        <v>6874</v>
      </c>
    </row>
    <row r="4255" spans="1:14" x14ac:dyDescent="0.25">
      <c r="A4255" t="s">
        <v>1326</v>
      </c>
      <c r="B4255" t="s">
        <v>1340</v>
      </c>
      <c r="C4255" t="s">
        <v>6896</v>
      </c>
      <c r="D4255" t="s">
        <v>32</v>
      </c>
      <c r="E4255" t="s">
        <v>14</v>
      </c>
      <c r="F4255">
        <v>840</v>
      </c>
      <c r="G4255">
        <v>20</v>
      </c>
      <c r="H4255" s="89">
        <v>46297</v>
      </c>
      <c r="I4255" s="89">
        <v>46301</v>
      </c>
      <c r="J4255" t="s">
        <v>3549</v>
      </c>
      <c r="K4255" t="s">
        <v>6977</v>
      </c>
      <c r="L4255">
        <v>1</v>
      </c>
      <c r="M4255" t="s">
        <v>6978</v>
      </c>
      <c r="N4255" t="s">
        <v>6874</v>
      </c>
    </row>
    <row r="4256" spans="1:14" x14ac:dyDescent="0.25">
      <c r="A4256" t="s">
        <v>1313</v>
      </c>
      <c r="B4256" t="s">
        <v>1327</v>
      </c>
      <c r="C4256" t="s">
        <v>6897</v>
      </c>
      <c r="D4256" t="s">
        <v>15</v>
      </c>
      <c r="E4256" t="s">
        <v>17</v>
      </c>
      <c r="F4256">
        <v>912</v>
      </c>
      <c r="G4256">
        <v>19</v>
      </c>
      <c r="H4256" s="89">
        <v>46297</v>
      </c>
      <c r="I4256" s="89">
        <v>46301</v>
      </c>
      <c r="J4256" t="s">
        <v>3549</v>
      </c>
      <c r="K4256" t="s">
        <v>6979</v>
      </c>
      <c r="L4256">
        <v>1</v>
      </c>
      <c r="M4256" t="s">
        <v>6980</v>
      </c>
      <c r="N4256" t="s">
        <v>6874</v>
      </c>
    </row>
    <row r="4257" spans="1:14" x14ac:dyDescent="0.25">
      <c r="A4257" t="s">
        <v>1320</v>
      </c>
      <c r="B4257" t="s">
        <v>1334</v>
      </c>
      <c r="C4257" t="s">
        <v>6898</v>
      </c>
      <c r="D4257" t="s">
        <v>20</v>
      </c>
      <c r="E4257" t="s">
        <v>14</v>
      </c>
      <c r="F4257">
        <v>960</v>
      </c>
      <c r="G4257">
        <v>20</v>
      </c>
      <c r="H4257" s="89">
        <v>46298</v>
      </c>
      <c r="I4257" s="89">
        <v>46302</v>
      </c>
      <c r="J4257" t="s">
        <v>3549</v>
      </c>
      <c r="K4257" t="s">
        <v>6981</v>
      </c>
      <c r="L4257">
        <v>1</v>
      </c>
      <c r="M4257" t="s">
        <v>6982</v>
      </c>
      <c r="N4257" t="s">
        <v>6874</v>
      </c>
    </row>
    <row r="4258" spans="1:14" x14ac:dyDescent="0.25">
      <c r="A4258" t="s">
        <v>1313</v>
      </c>
      <c r="B4258" t="s">
        <v>1327</v>
      </c>
      <c r="C4258" t="s">
        <v>6887</v>
      </c>
      <c r="D4258" t="s">
        <v>15</v>
      </c>
      <c r="E4258" t="s">
        <v>16</v>
      </c>
      <c r="F4258">
        <v>912</v>
      </c>
      <c r="G4258">
        <v>19</v>
      </c>
      <c r="H4258" s="89">
        <v>46298</v>
      </c>
      <c r="I4258" s="89">
        <v>46303</v>
      </c>
      <c r="J4258" t="s">
        <v>3549</v>
      </c>
      <c r="K4258" t="s">
        <v>6983</v>
      </c>
      <c r="L4258">
        <v>1</v>
      </c>
      <c r="M4258" t="s">
        <v>6984</v>
      </c>
      <c r="N4258" t="s">
        <v>6874</v>
      </c>
    </row>
    <row r="4259" spans="1:14" x14ac:dyDescent="0.25">
      <c r="A4259" t="s">
        <v>1314</v>
      </c>
      <c r="B4259" t="s">
        <v>1328</v>
      </c>
      <c r="C4259" t="s">
        <v>6887</v>
      </c>
      <c r="D4259" t="s">
        <v>15</v>
      </c>
      <c r="E4259" t="s">
        <v>16</v>
      </c>
      <c r="F4259">
        <v>240</v>
      </c>
      <c r="G4259">
        <v>5</v>
      </c>
      <c r="H4259" s="89">
        <v>46298</v>
      </c>
      <c r="I4259" s="89">
        <v>46303</v>
      </c>
      <c r="J4259" t="s">
        <v>3549</v>
      </c>
      <c r="K4259" t="s">
        <v>6985</v>
      </c>
      <c r="L4259">
        <v>1</v>
      </c>
      <c r="M4259" t="s">
        <v>6986</v>
      </c>
      <c r="N4259" t="s">
        <v>6874</v>
      </c>
    </row>
    <row r="4260" spans="1:14" x14ac:dyDescent="0.25">
      <c r="A4260" t="s">
        <v>1314</v>
      </c>
      <c r="B4260" t="s">
        <v>1328</v>
      </c>
      <c r="C4260" t="s">
        <v>6887</v>
      </c>
      <c r="D4260" t="s">
        <v>15</v>
      </c>
      <c r="E4260" t="s">
        <v>18</v>
      </c>
      <c r="F4260">
        <v>96</v>
      </c>
      <c r="G4260">
        <v>2</v>
      </c>
      <c r="H4260" s="89">
        <v>46298</v>
      </c>
      <c r="I4260" s="89">
        <v>46302</v>
      </c>
      <c r="J4260" t="s">
        <v>3549</v>
      </c>
      <c r="K4260" t="s">
        <v>6987</v>
      </c>
      <c r="L4260">
        <v>1</v>
      </c>
      <c r="M4260" t="s">
        <v>6988</v>
      </c>
      <c r="N4260" t="s">
        <v>6874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6081-BF6C-483A-B6B1-9AA4B669E9A1}">
  <dimension ref="A1:H468"/>
  <sheetViews>
    <sheetView workbookViewId="0">
      <pane ySplit="1" topLeftCell="A2" activePane="bottomLeft" state="frozen"/>
      <selection pane="bottomLeft" activeCell="A4" sqref="A4"/>
    </sheetView>
  </sheetViews>
  <sheetFormatPr baseColWidth="10" defaultRowHeight="15" x14ac:dyDescent="0.25"/>
  <cols>
    <col min="1" max="1" width="55.28515625" bestFit="1" customWidth="1"/>
    <col min="2" max="2" width="35.42578125" customWidth="1"/>
    <col min="3" max="3" width="11.28515625" bestFit="1" customWidth="1"/>
    <col min="4" max="4" width="31.140625" bestFit="1" customWidth="1"/>
    <col min="5" max="5" width="20.5703125" bestFit="1" customWidth="1"/>
    <col min="6" max="6" width="35.42578125" bestFit="1" customWidth="1"/>
    <col min="7" max="7" width="32.85546875" customWidth="1"/>
    <col min="8" max="8" width="9.140625" bestFit="1" customWidth="1"/>
  </cols>
  <sheetData>
    <row r="1" spans="1:8" x14ac:dyDescent="0.25">
      <c r="A1" s="12" t="s">
        <v>69</v>
      </c>
      <c r="B1" s="21" t="s">
        <v>522</v>
      </c>
      <c r="C1" s="21" t="s">
        <v>523</v>
      </c>
      <c r="D1" s="22" t="s">
        <v>524</v>
      </c>
      <c r="E1" s="23" t="s">
        <v>525</v>
      </c>
      <c r="F1" s="24" t="s">
        <v>526</v>
      </c>
      <c r="G1" s="24" t="s">
        <v>527</v>
      </c>
      <c r="H1" s="21" t="s">
        <v>528</v>
      </c>
    </row>
    <row r="2" spans="1:8" x14ac:dyDescent="0.25">
      <c r="A2" t="s">
        <v>33</v>
      </c>
      <c r="B2" s="25" t="s">
        <v>540</v>
      </c>
      <c r="C2" s="25" t="s">
        <v>530</v>
      </c>
      <c r="D2" s="26" t="s">
        <v>541</v>
      </c>
      <c r="E2" s="27">
        <v>30670</v>
      </c>
      <c r="F2" s="27" t="s">
        <v>542</v>
      </c>
      <c r="G2" s="27" t="s">
        <v>543</v>
      </c>
      <c r="H2" s="25"/>
    </row>
    <row r="3" spans="1:8" x14ac:dyDescent="0.25">
      <c r="A3" t="s">
        <v>43</v>
      </c>
      <c r="B3" s="25" t="s">
        <v>535</v>
      </c>
      <c r="C3" s="25" t="s">
        <v>536</v>
      </c>
      <c r="D3" s="26" t="s">
        <v>537</v>
      </c>
      <c r="E3" s="27">
        <v>30650</v>
      </c>
      <c r="F3" s="27" t="s">
        <v>538</v>
      </c>
      <c r="G3" s="27" t="s">
        <v>539</v>
      </c>
      <c r="H3" s="25"/>
    </row>
    <row r="4" spans="1:8" x14ac:dyDescent="0.25">
      <c r="A4" t="s">
        <v>20</v>
      </c>
      <c r="B4" s="25" t="s">
        <v>529</v>
      </c>
      <c r="C4" s="25" t="s">
        <v>530</v>
      </c>
      <c r="D4" s="26" t="s">
        <v>531</v>
      </c>
      <c r="E4" s="27">
        <v>30846</v>
      </c>
      <c r="F4" s="27" t="s">
        <v>532</v>
      </c>
      <c r="G4" s="27" t="s">
        <v>533</v>
      </c>
      <c r="H4" s="28" t="s">
        <v>534</v>
      </c>
    </row>
    <row r="5" spans="1:8" x14ac:dyDescent="0.25">
      <c r="A5" t="s">
        <v>15</v>
      </c>
      <c r="B5" s="25" t="s">
        <v>535</v>
      </c>
      <c r="C5" s="25" t="s">
        <v>536</v>
      </c>
      <c r="D5" s="26" t="s">
        <v>537</v>
      </c>
      <c r="E5" s="27">
        <v>30650</v>
      </c>
      <c r="F5" s="27" t="s">
        <v>538</v>
      </c>
      <c r="G5" s="27" t="s">
        <v>539</v>
      </c>
      <c r="H5" s="25"/>
    </row>
    <row r="6" spans="1:8" x14ac:dyDescent="0.25">
      <c r="A6" t="s">
        <v>21</v>
      </c>
      <c r="B6" s="25" t="s">
        <v>540</v>
      </c>
      <c r="C6" s="25" t="s">
        <v>530</v>
      </c>
      <c r="D6" s="26" t="s">
        <v>541</v>
      </c>
      <c r="E6" s="27">
        <v>30670</v>
      </c>
      <c r="F6" s="27" t="s">
        <v>542</v>
      </c>
      <c r="G6" s="27" t="s">
        <v>543</v>
      </c>
      <c r="H6" s="25"/>
    </row>
    <row r="7" spans="1:8" x14ac:dyDescent="0.25">
      <c r="A7" t="s">
        <v>28</v>
      </c>
      <c r="B7" s="25" t="s">
        <v>544</v>
      </c>
      <c r="C7" s="25" t="s">
        <v>530</v>
      </c>
      <c r="D7" s="26" t="s">
        <v>541</v>
      </c>
      <c r="E7" s="27">
        <v>30673</v>
      </c>
      <c r="F7" s="27" t="s">
        <v>545</v>
      </c>
      <c r="G7" s="27" t="s">
        <v>546</v>
      </c>
      <c r="H7" s="25"/>
    </row>
    <row r="8" spans="1:8" x14ac:dyDescent="0.25">
      <c r="A8" t="s">
        <v>71</v>
      </c>
      <c r="B8" s="25" t="s">
        <v>547</v>
      </c>
      <c r="C8" s="25" t="s">
        <v>536</v>
      </c>
      <c r="D8" s="26" t="s">
        <v>548</v>
      </c>
      <c r="E8" s="27">
        <v>30837</v>
      </c>
      <c r="F8" s="27" t="s">
        <v>549</v>
      </c>
      <c r="G8" s="27" t="s">
        <v>550</v>
      </c>
      <c r="H8" s="25"/>
    </row>
    <row r="9" spans="1:8" x14ac:dyDescent="0.25">
      <c r="A9" t="s">
        <v>72</v>
      </c>
      <c r="B9" s="25" t="s">
        <v>551</v>
      </c>
      <c r="C9" s="25" t="s">
        <v>530</v>
      </c>
      <c r="D9" s="26" t="s">
        <v>548</v>
      </c>
      <c r="E9" s="27">
        <v>30847</v>
      </c>
      <c r="F9" s="27" t="s">
        <v>552</v>
      </c>
      <c r="G9" s="27" t="s">
        <v>553</v>
      </c>
      <c r="H9" s="25"/>
    </row>
    <row r="10" spans="1:8" x14ac:dyDescent="0.25">
      <c r="A10" t="s">
        <v>73</v>
      </c>
      <c r="B10" s="25" t="s">
        <v>535</v>
      </c>
      <c r="C10" s="25" t="s">
        <v>536</v>
      </c>
      <c r="D10" s="26" t="s">
        <v>537</v>
      </c>
      <c r="E10" s="27">
        <v>30650</v>
      </c>
      <c r="F10" s="27" t="s">
        <v>554</v>
      </c>
      <c r="G10" s="27" t="s">
        <v>555</v>
      </c>
      <c r="H10" s="25"/>
    </row>
    <row r="11" spans="1:8" x14ac:dyDescent="0.25">
      <c r="A11" t="s">
        <v>74</v>
      </c>
      <c r="B11" s="25" t="s">
        <v>556</v>
      </c>
      <c r="C11" s="25" t="s">
        <v>536</v>
      </c>
      <c r="D11" s="26" t="s">
        <v>557</v>
      </c>
      <c r="E11" s="27">
        <v>30583</v>
      </c>
      <c r="F11" s="27" t="s">
        <v>558</v>
      </c>
      <c r="G11" s="27" t="s">
        <v>559</v>
      </c>
      <c r="H11" s="25"/>
    </row>
    <row r="12" spans="1:8" x14ac:dyDescent="0.25">
      <c r="A12" t="s">
        <v>75</v>
      </c>
      <c r="B12" s="25" t="s">
        <v>560</v>
      </c>
      <c r="C12" s="25" t="s">
        <v>530</v>
      </c>
      <c r="D12" s="26" t="s">
        <v>557</v>
      </c>
      <c r="E12" s="27">
        <v>30583</v>
      </c>
      <c r="F12" s="27" t="s">
        <v>561</v>
      </c>
      <c r="G12" s="27" t="s">
        <v>562</v>
      </c>
      <c r="H12" s="25"/>
    </row>
    <row r="13" spans="1:8" x14ac:dyDescent="0.25">
      <c r="A13" t="s">
        <v>76</v>
      </c>
      <c r="B13" s="25" t="s">
        <v>548</v>
      </c>
      <c r="C13" s="25" t="s">
        <v>530</v>
      </c>
      <c r="D13" s="26" t="s">
        <v>548</v>
      </c>
      <c r="E13" s="27">
        <v>30840</v>
      </c>
      <c r="F13" s="27" t="s">
        <v>563</v>
      </c>
      <c r="G13" s="27" t="s">
        <v>564</v>
      </c>
      <c r="H13" s="25"/>
    </row>
    <row r="14" spans="1:8" x14ac:dyDescent="0.25">
      <c r="A14" t="s">
        <v>77</v>
      </c>
      <c r="B14" s="25" t="s">
        <v>565</v>
      </c>
      <c r="C14" s="25" t="s">
        <v>530</v>
      </c>
      <c r="D14" s="26" t="s">
        <v>537</v>
      </c>
      <c r="E14" s="27">
        <v>30820</v>
      </c>
      <c r="F14" s="27" t="s">
        <v>566</v>
      </c>
      <c r="G14" s="27" t="s">
        <v>567</v>
      </c>
      <c r="H14" s="25"/>
    </row>
    <row r="15" spans="1:8" x14ac:dyDescent="0.25">
      <c r="A15" t="s">
        <v>78</v>
      </c>
      <c r="B15" s="25" t="s">
        <v>568</v>
      </c>
      <c r="C15" s="25" t="s">
        <v>530</v>
      </c>
      <c r="D15" s="26" t="s">
        <v>548</v>
      </c>
      <c r="E15" s="27">
        <v>30800</v>
      </c>
      <c r="F15" s="27" t="s">
        <v>569</v>
      </c>
      <c r="G15" s="27" t="s">
        <v>570</v>
      </c>
      <c r="H15" s="25"/>
    </row>
    <row r="16" spans="1:8" x14ac:dyDescent="0.25">
      <c r="A16" t="s">
        <v>79</v>
      </c>
      <c r="B16" s="25" t="s">
        <v>571</v>
      </c>
      <c r="C16" s="25" t="s">
        <v>530</v>
      </c>
      <c r="D16" s="26" t="s">
        <v>548</v>
      </c>
      <c r="E16" s="27">
        <v>30844</v>
      </c>
      <c r="F16" s="27" t="s">
        <v>572</v>
      </c>
      <c r="G16" s="27" t="s">
        <v>573</v>
      </c>
      <c r="H16" s="25"/>
    </row>
    <row r="17" spans="1:8" x14ac:dyDescent="0.25">
      <c r="A17" t="s">
        <v>80</v>
      </c>
      <c r="B17" s="25" t="s">
        <v>574</v>
      </c>
      <c r="C17" s="25" t="s">
        <v>530</v>
      </c>
      <c r="D17" s="26" t="s">
        <v>537</v>
      </c>
      <c r="E17" s="27">
        <v>30655</v>
      </c>
      <c r="F17" s="27" t="s">
        <v>575</v>
      </c>
      <c r="G17" s="27" t="s">
        <v>576</v>
      </c>
      <c r="H17" s="25"/>
    </row>
    <row r="18" spans="1:8" x14ac:dyDescent="0.25">
      <c r="A18" t="s">
        <v>81</v>
      </c>
      <c r="B18" s="25" t="s">
        <v>535</v>
      </c>
      <c r="C18" s="25" t="s">
        <v>530</v>
      </c>
      <c r="D18" s="26" t="s">
        <v>537</v>
      </c>
      <c r="E18" s="27">
        <v>30650</v>
      </c>
      <c r="F18" s="27" t="s">
        <v>577</v>
      </c>
      <c r="G18" s="27" t="s">
        <v>578</v>
      </c>
      <c r="H18" s="25"/>
    </row>
    <row r="19" spans="1:8" x14ac:dyDescent="0.25">
      <c r="A19" t="s">
        <v>82</v>
      </c>
      <c r="B19" s="25" t="s">
        <v>579</v>
      </c>
      <c r="C19" s="25" t="s">
        <v>536</v>
      </c>
      <c r="D19" s="26" t="s">
        <v>548</v>
      </c>
      <c r="E19" s="27">
        <v>30844</v>
      </c>
      <c r="F19" s="27" t="s">
        <v>580</v>
      </c>
      <c r="G19" s="27" t="s">
        <v>581</v>
      </c>
      <c r="H19" s="25"/>
    </row>
    <row r="20" spans="1:8" x14ac:dyDescent="0.25">
      <c r="A20" t="s">
        <v>83</v>
      </c>
      <c r="B20" s="25" t="s">
        <v>582</v>
      </c>
      <c r="C20" s="25" t="s">
        <v>530</v>
      </c>
      <c r="D20" s="26" t="s">
        <v>548</v>
      </c>
      <c r="E20" s="27">
        <v>30847</v>
      </c>
      <c r="F20" s="27" t="s">
        <v>583</v>
      </c>
      <c r="G20" s="27" t="s">
        <v>584</v>
      </c>
      <c r="H20" s="25"/>
    </row>
    <row r="21" spans="1:8" x14ac:dyDescent="0.25">
      <c r="A21" t="s">
        <v>84</v>
      </c>
      <c r="B21" s="25" t="s">
        <v>571</v>
      </c>
      <c r="C21" s="25" t="s">
        <v>536</v>
      </c>
      <c r="D21" s="26" t="s">
        <v>548</v>
      </c>
      <c r="E21" s="27">
        <v>30844</v>
      </c>
      <c r="F21" s="27" t="s">
        <v>585</v>
      </c>
      <c r="G21" s="27" t="s">
        <v>586</v>
      </c>
      <c r="H21" s="25"/>
    </row>
    <row r="22" spans="1:8" x14ac:dyDescent="0.25">
      <c r="A22" t="s">
        <v>85</v>
      </c>
      <c r="B22" s="25" t="s">
        <v>535</v>
      </c>
      <c r="C22" s="25" t="s">
        <v>530</v>
      </c>
      <c r="D22" s="26" t="s">
        <v>537</v>
      </c>
      <c r="E22" s="27">
        <v>30650</v>
      </c>
      <c r="F22" s="27" t="s">
        <v>587</v>
      </c>
      <c r="G22" s="27" t="s">
        <v>588</v>
      </c>
      <c r="H22" s="25"/>
    </row>
    <row r="23" spans="1:8" x14ac:dyDescent="0.25">
      <c r="A23" t="s">
        <v>86</v>
      </c>
      <c r="B23" s="25" t="s">
        <v>568</v>
      </c>
      <c r="C23" s="25" t="s">
        <v>530</v>
      </c>
      <c r="D23" s="26" t="s">
        <v>548</v>
      </c>
      <c r="E23" s="27">
        <v>30800</v>
      </c>
      <c r="F23" s="27" t="s">
        <v>589</v>
      </c>
      <c r="G23" s="27" t="s">
        <v>590</v>
      </c>
      <c r="H23" s="25"/>
    </row>
    <row r="24" spans="1:8" x14ac:dyDescent="0.25">
      <c r="A24" t="s">
        <v>87</v>
      </c>
      <c r="B24" s="25" t="s">
        <v>591</v>
      </c>
      <c r="C24" s="25" t="s">
        <v>536</v>
      </c>
      <c r="D24" s="26" t="s">
        <v>537</v>
      </c>
      <c r="E24" s="27">
        <v>30657</v>
      </c>
      <c r="F24" s="27" t="s">
        <v>592</v>
      </c>
      <c r="G24" s="27" t="s">
        <v>593</v>
      </c>
      <c r="H24" s="25"/>
    </row>
    <row r="25" spans="1:8" x14ac:dyDescent="0.25">
      <c r="A25" t="s">
        <v>88</v>
      </c>
      <c r="B25" s="25" t="s">
        <v>574</v>
      </c>
      <c r="C25" s="25" t="s">
        <v>530</v>
      </c>
      <c r="D25" s="26" t="s">
        <v>537</v>
      </c>
      <c r="E25" s="27">
        <v>30655</v>
      </c>
      <c r="F25" s="27" t="s">
        <v>594</v>
      </c>
      <c r="G25" s="27" t="s">
        <v>595</v>
      </c>
      <c r="H25" s="25"/>
    </row>
    <row r="26" spans="1:8" x14ac:dyDescent="0.25">
      <c r="A26" t="s">
        <v>89</v>
      </c>
      <c r="B26" s="25" t="s">
        <v>596</v>
      </c>
      <c r="C26" s="25" t="s">
        <v>530</v>
      </c>
      <c r="D26" s="26" t="s">
        <v>531</v>
      </c>
      <c r="E26" s="27">
        <v>30832</v>
      </c>
      <c r="F26" s="27" t="s">
        <v>597</v>
      </c>
      <c r="G26" s="27" t="s">
        <v>598</v>
      </c>
      <c r="H26" s="25"/>
    </row>
    <row r="27" spans="1:8" x14ac:dyDescent="0.25">
      <c r="A27" t="s">
        <v>90</v>
      </c>
      <c r="B27" s="25"/>
      <c r="C27" s="25" t="s">
        <v>530</v>
      </c>
      <c r="D27" s="26" t="s">
        <v>531</v>
      </c>
      <c r="E27" s="27"/>
      <c r="F27" s="29"/>
      <c r="G27" s="29"/>
      <c r="H27" s="30"/>
    </row>
    <row r="28" spans="1:8" x14ac:dyDescent="0.25">
      <c r="A28" t="s">
        <v>91</v>
      </c>
      <c r="B28" s="25" t="s">
        <v>599</v>
      </c>
      <c r="C28" s="25" t="s">
        <v>530</v>
      </c>
      <c r="D28" s="26" t="s">
        <v>531</v>
      </c>
      <c r="E28" s="27">
        <v>30814</v>
      </c>
      <c r="F28" s="27" t="s">
        <v>600</v>
      </c>
      <c r="G28" s="27" t="s">
        <v>601</v>
      </c>
      <c r="H28" s="25"/>
    </row>
    <row r="29" spans="1:8" x14ac:dyDescent="0.25">
      <c r="A29" t="s">
        <v>92</v>
      </c>
      <c r="B29" s="25" t="s">
        <v>602</v>
      </c>
      <c r="C29" s="25" t="s">
        <v>530</v>
      </c>
      <c r="D29" s="26" t="s">
        <v>548</v>
      </c>
      <c r="E29" s="27">
        <v>30844</v>
      </c>
      <c r="F29" s="27" t="s">
        <v>603</v>
      </c>
      <c r="G29" s="27" t="s">
        <v>604</v>
      </c>
      <c r="H29" s="25"/>
    </row>
    <row r="30" spans="1:8" x14ac:dyDescent="0.25">
      <c r="A30" t="s">
        <v>93</v>
      </c>
      <c r="B30" s="25" t="s">
        <v>605</v>
      </c>
      <c r="C30" s="25" t="s">
        <v>530</v>
      </c>
      <c r="D30" s="26" t="s">
        <v>531</v>
      </c>
      <c r="E30" s="27">
        <v>30838</v>
      </c>
      <c r="F30" s="27" t="s">
        <v>606</v>
      </c>
      <c r="G30" s="27" t="s">
        <v>607</v>
      </c>
      <c r="H30" s="25"/>
    </row>
    <row r="31" spans="1:8" x14ac:dyDescent="0.25">
      <c r="A31" t="s">
        <v>94</v>
      </c>
      <c r="B31" s="25" t="s">
        <v>608</v>
      </c>
      <c r="C31" s="25" t="s">
        <v>536</v>
      </c>
      <c r="D31" s="26" t="s">
        <v>531</v>
      </c>
      <c r="E31" s="27">
        <v>30790</v>
      </c>
      <c r="F31" s="27" t="s">
        <v>609</v>
      </c>
      <c r="G31" s="27" t="s">
        <v>610</v>
      </c>
      <c r="H31" s="25"/>
    </row>
    <row r="32" spans="1:8" x14ac:dyDescent="0.25">
      <c r="A32" t="s">
        <v>95</v>
      </c>
      <c r="B32" s="25" t="s">
        <v>611</v>
      </c>
      <c r="C32" s="25" t="s">
        <v>530</v>
      </c>
      <c r="D32" s="26" t="s">
        <v>548</v>
      </c>
      <c r="E32" s="27">
        <v>30844</v>
      </c>
      <c r="F32" s="27" t="s">
        <v>612</v>
      </c>
      <c r="G32" s="27" t="s">
        <v>613</v>
      </c>
      <c r="H32" s="25"/>
    </row>
    <row r="33" spans="1:8" x14ac:dyDescent="0.25">
      <c r="A33" t="s">
        <v>96</v>
      </c>
      <c r="B33" s="25" t="s">
        <v>614</v>
      </c>
      <c r="C33" s="25" t="s">
        <v>530</v>
      </c>
      <c r="D33" s="26" t="s">
        <v>531</v>
      </c>
      <c r="E33" s="27">
        <v>30828</v>
      </c>
      <c r="F33" s="27" t="s">
        <v>615</v>
      </c>
      <c r="G33" s="27" t="s">
        <v>616</v>
      </c>
      <c r="H33" s="25"/>
    </row>
    <row r="34" spans="1:8" x14ac:dyDescent="0.25">
      <c r="A34" t="s">
        <v>97</v>
      </c>
      <c r="B34" s="25" t="s">
        <v>617</v>
      </c>
      <c r="C34" s="25" t="s">
        <v>530</v>
      </c>
      <c r="D34" s="26" t="s">
        <v>548</v>
      </c>
      <c r="E34" s="27">
        <v>30844</v>
      </c>
      <c r="F34" s="27" t="s">
        <v>618</v>
      </c>
      <c r="G34" s="27" t="s">
        <v>619</v>
      </c>
      <c r="H34" s="25"/>
    </row>
    <row r="35" spans="1:8" x14ac:dyDescent="0.25">
      <c r="A35" t="s">
        <v>98</v>
      </c>
      <c r="B35" s="25" t="s">
        <v>620</v>
      </c>
      <c r="C35" s="25" t="s">
        <v>530</v>
      </c>
      <c r="D35" s="26" t="s">
        <v>537</v>
      </c>
      <c r="E35" s="27">
        <v>30650</v>
      </c>
      <c r="F35" s="27" t="s">
        <v>621</v>
      </c>
      <c r="G35" s="27" t="s">
        <v>622</v>
      </c>
      <c r="H35" s="25"/>
    </row>
    <row r="36" spans="1:8" x14ac:dyDescent="0.25">
      <c r="A36" t="s">
        <v>99</v>
      </c>
      <c r="B36" s="25" t="s">
        <v>623</v>
      </c>
      <c r="C36" s="25" t="s">
        <v>536</v>
      </c>
      <c r="D36" s="26" t="s">
        <v>531</v>
      </c>
      <c r="E36" s="27">
        <v>30807</v>
      </c>
      <c r="F36" s="27" t="s">
        <v>624</v>
      </c>
      <c r="G36" s="27" t="s">
        <v>625</v>
      </c>
      <c r="H36" s="25"/>
    </row>
    <row r="37" spans="1:8" x14ac:dyDescent="0.25">
      <c r="A37" t="s">
        <v>100</v>
      </c>
      <c r="B37" s="25" t="s">
        <v>626</v>
      </c>
      <c r="C37" s="25" t="s">
        <v>530</v>
      </c>
      <c r="D37" s="26" t="s">
        <v>531</v>
      </c>
      <c r="E37" s="27">
        <v>30833</v>
      </c>
      <c r="F37" s="27" t="s">
        <v>627</v>
      </c>
      <c r="G37" s="27" t="s">
        <v>628</v>
      </c>
      <c r="H37" s="25"/>
    </row>
    <row r="38" spans="1:8" x14ac:dyDescent="0.25">
      <c r="A38" t="s">
        <v>101</v>
      </c>
      <c r="B38" s="25" t="s">
        <v>629</v>
      </c>
      <c r="C38" s="25" t="s">
        <v>530</v>
      </c>
      <c r="D38" s="26" t="s">
        <v>548</v>
      </c>
      <c r="E38" s="27">
        <v>30840</v>
      </c>
      <c r="F38" s="27" t="s">
        <v>630</v>
      </c>
      <c r="G38" s="27" t="s">
        <v>631</v>
      </c>
      <c r="H38" s="25"/>
    </row>
    <row r="39" spans="1:8" x14ac:dyDescent="0.25">
      <c r="A39" t="s">
        <v>102</v>
      </c>
      <c r="B39" s="25" t="s">
        <v>632</v>
      </c>
      <c r="C39" s="25" t="s">
        <v>530</v>
      </c>
      <c r="D39" s="26" t="s">
        <v>531</v>
      </c>
      <c r="E39" s="27">
        <v>30832</v>
      </c>
      <c r="F39" s="27" t="s">
        <v>633</v>
      </c>
      <c r="G39" s="27" t="s">
        <v>634</v>
      </c>
      <c r="H39" s="25"/>
    </row>
    <row r="40" spans="1:8" x14ac:dyDescent="0.25">
      <c r="A40" t="s">
        <v>29</v>
      </c>
      <c r="B40" s="25" t="s">
        <v>635</v>
      </c>
      <c r="C40" s="25" t="s">
        <v>530</v>
      </c>
      <c r="D40" s="26" t="s">
        <v>548</v>
      </c>
      <c r="E40" s="27">
        <v>30844</v>
      </c>
      <c r="F40" s="27" t="s">
        <v>636</v>
      </c>
      <c r="G40" s="27" t="s">
        <v>637</v>
      </c>
      <c r="H40" s="25"/>
    </row>
    <row r="41" spans="1:8" x14ac:dyDescent="0.25">
      <c r="A41" t="s">
        <v>103</v>
      </c>
      <c r="B41" s="25" t="s">
        <v>638</v>
      </c>
      <c r="C41" s="25" t="s">
        <v>530</v>
      </c>
      <c r="D41" s="26" t="s">
        <v>548</v>
      </c>
      <c r="E41" s="27">
        <v>30844</v>
      </c>
      <c r="F41" s="27" t="s">
        <v>639</v>
      </c>
      <c r="G41" s="27" t="s">
        <v>640</v>
      </c>
      <c r="H41" s="25"/>
    </row>
    <row r="42" spans="1:8" x14ac:dyDescent="0.25">
      <c r="A42" t="s">
        <v>24</v>
      </c>
      <c r="B42" s="25" t="s">
        <v>602</v>
      </c>
      <c r="C42" s="25" t="s">
        <v>530</v>
      </c>
      <c r="D42" s="26" t="s">
        <v>548</v>
      </c>
      <c r="E42" s="27">
        <v>30844</v>
      </c>
      <c r="F42" s="27" t="s">
        <v>641</v>
      </c>
      <c r="G42" s="27" t="s">
        <v>642</v>
      </c>
      <c r="H42" s="25"/>
    </row>
    <row r="43" spans="1:8" x14ac:dyDescent="0.25">
      <c r="A43" t="s">
        <v>104</v>
      </c>
      <c r="B43" s="25" t="s">
        <v>638</v>
      </c>
      <c r="C43" s="25" t="s">
        <v>530</v>
      </c>
      <c r="D43" s="26" t="s">
        <v>548</v>
      </c>
      <c r="E43" s="27">
        <v>30844</v>
      </c>
      <c r="F43" s="27" t="s">
        <v>643</v>
      </c>
      <c r="G43" s="31" t="s">
        <v>644</v>
      </c>
      <c r="H43" s="25"/>
    </row>
    <row r="44" spans="1:8" x14ac:dyDescent="0.25">
      <c r="A44" t="s">
        <v>105</v>
      </c>
      <c r="B44" s="25" t="s">
        <v>645</v>
      </c>
      <c r="C44" s="25" t="s">
        <v>530</v>
      </c>
      <c r="D44" s="26" t="s">
        <v>548</v>
      </c>
      <c r="E44" s="27">
        <v>30844</v>
      </c>
      <c r="F44" s="27" t="s">
        <v>646</v>
      </c>
      <c r="G44" s="27" t="s">
        <v>647</v>
      </c>
      <c r="H44" s="25"/>
    </row>
    <row r="45" spans="1:8" x14ac:dyDescent="0.25">
      <c r="A45" t="s">
        <v>106</v>
      </c>
      <c r="B45" s="25" t="s">
        <v>548</v>
      </c>
      <c r="C45" s="25" t="s">
        <v>530</v>
      </c>
      <c r="D45" s="26" t="s">
        <v>548</v>
      </c>
      <c r="E45" s="27">
        <v>30843</v>
      </c>
      <c r="F45" s="27" t="s">
        <v>648</v>
      </c>
      <c r="G45" s="27" t="s">
        <v>649</v>
      </c>
      <c r="H45" s="25"/>
    </row>
    <row r="46" spans="1:8" x14ac:dyDescent="0.25">
      <c r="A46" t="s">
        <v>30</v>
      </c>
      <c r="B46" s="25" t="s">
        <v>620</v>
      </c>
      <c r="C46" s="25" t="s">
        <v>530</v>
      </c>
      <c r="D46" s="26" t="s">
        <v>537</v>
      </c>
      <c r="E46" s="27">
        <v>30650</v>
      </c>
      <c r="F46" s="27" t="s">
        <v>650</v>
      </c>
      <c r="G46" s="27" t="s">
        <v>651</v>
      </c>
      <c r="H46" s="25"/>
    </row>
    <row r="47" spans="1:8" x14ac:dyDescent="0.25">
      <c r="A47" t="s">
        <v>107</v>
      </c>
      <c r="B47" s="25" t="s">
        <v>620</v>
      </c>
      <c r="C47" s="25" t="s">
        <v>530</v>
      </c>
      <c r="D47" s="26" t="s">
        <v>537</v>
      </c>
      <c r="E47" s="27">
        <v>30650</v>
      </c>
      <c r="F47" s="27" t="s">
        <v>652</v>
      </c>
      <c r="G47" s="27" t="s">
        <v>653</v>
      </c>
      <c r="H47" s="25"/>
    </row>
    <row r="48" spans="1:8" x14ac:dyDescent="0.25">
      <c r="A48" t="s">
        <v>13</v>
      </c>
      <c r="B48" s="25" t="s">
        <v>654</v>
      </c>
      <c r="C48" s="25" t="s">
        <v>530</v>
      </c>
      <c r="D48" s="26" t="s">
        <v>537</v>
      </c>
      <c r="E48" s="27">
        <v>30650</v>
      </c>
      <c r="F48" s="27" t="s">
        <v>655</v>
      </c>
      <c r="G48" s="27" t="s">
        <v>656</v>
      </c>
      <c r="H48" s="25"/>
    </row>
    <row r="49" spans="1:8" x14ac:dyDescent="0.25">
      <c r="A49" t="s">
        <v>108</v>
      </c>
      <c r="B49" s="25" t="s">
        <v>605</v>
      </c>
      <c r="C49" s="25" t="s">
        <v>530</v>
      </c>
      <c r="D49" s="26" t="s">
        <v>531</v>
      </c>
      <c r="E49" s="27">
        <v>30838</v>
      </c>
      <c r="F49" s="27" t="s">
        <v>657</v>
      </c>
      <c r="G49" s="27" t="s">
        <v>658</v>
      </c>
      <c r="H49" s="25"/>
    </row>
    <row r="50" spans="1:8" x14ac:dyDescent="0.25">
      <c r="A50" t="s">
        <v>109</v>
      </c>
      <c r="B50" s="25" t="s">
        <v>547</v>
      </c>
      <c r="C50" s="25" t="s">
        <v>530</v>
      </c>
      <c r="D50" s="26" t="s">
        <v>531</v>
      </c>
      <c r="E50" s="27">
        <v>30837</v>
      </c>
      <c r="F50" s="27" t="s">
        <v>659</v>
      </c>
      <c r="G50" s="27" t="s">
        <v>660</v>
      </c>
      <c r="H50" s="25"/>
    </row>
    <row r="51" spans="1:8" x14ac:dyDescent="0.25">
      <c r="A51" t="s">
        <v>110</v>
      </c>
      <c r="B51" s="25" t="s">
        <v>632</v>
      </c>
      <c r="C51" s="25" t="s">
        <v>530</v>
      </c>
      <c r="D51" s="26" t="s">
        <v>531</v>
      </c>
      <c r="E51" s="27">
        <v>30832</v>
      </c>
      <c r="F51" s="27" t="s">
        <v>661</v>
      </c>
      <c r="G51" s="27" t="s">
        <v>662</v>
      </c>
      <c r="H51" s="25"/>
    </row>
    <row r="52" spans="1:8" x14ac:dyDescent="0.25">
      <c r="A52" t="s">
        <v>111</v>
      </c>
      <c r="B52" s="25" t="s">
        <v>663</v>
      </c>
      <c r="C52" s="25" t="s">
        <v>530</v>
      </c>
      <c r="D52" s="26" t="s">
        <v>531</v>
      </c>
      <c r="E52" s="27">
        <v>30835</v>
      </c>
      <c r="F52" s="27" t="s">
        <v>664</v>
      </c>
      <c r="G52" s="27" t="s">
        <v>665</v>
      </c>
      <c r="H52" s="25"/>
    </row>
    <row r="53" spans="1:8" x14ac:dyDescent="0.25">
      <c r="A53" t="s">
        <v>112</v>
      </c>
      <c r="B53" s="25" t="s">
        <v>666</v>
      </c>
      <c r="C53" s="25" t="s">
        <v>530</v>
      </c>
      <c r="D53" s="26" t="s">
        <v>548</v>
      </c>
      <c r="E53" s="27">
        <v>30845</v>
      </c>
      <c r="F53" s="27" t="s">
        <v>667</v>
      </c>
      <c r="G53" s="27" t="s">
        <v>668</v>
      </c>
      <c r="H53" s="25"/>
    </row>
    <row r="54" spans="1:8" x14ac:dyDescent="0.25">
      <c r="A54" t="s">
        <v>113</v>
      </c>
      <c r="B54" s="25" t="s">
        <v>669</v>
      </c>
      <c r="C54" s="25" t="s">
        <v>530</v>
      </c>
      <c r="D54" s="26" t="s">
        <v>548</v>
      </c>
      <c r="E54" s="27">
        <v>30844</v>
      </c>
      <c r="F54" s="27" t="s">
        <v>670</v>
      </c>
      <c r="G54" s="27" t="s">
        <v>671</v>
      </c>
      <c r="H54" s="25"/>
    </row>
    <row r="55" spans="1:8" x14ac:dyDescent="0.25">
      <c r="A55" t="s">
        <v>114</v>
      </c>
      <c r="B55" s="25" t="s">
        <v>669</v>
      </c>
      <c r="C55" s="25" t="s">
        <v>530</v>
      </c>
      <c r="D55" s="26" t="s">
        <v>548</v>
      </c>
      <c r="E55" s="27">
        <v>30844</v>
      </c>
      <c r="F55" s="27" t="s">
        <v>672</v>
      </c>
      <c r="G55" s="27" t="s">
        <v>673</v>
      </c>
      <c r="H55" s="25"/>
    </row>
    <row r="56" spans="1:8" x14ac:dyDescent="0.25">
      <c r="A56" t="s">
        <v>115</v>
      </c>
      <c r="B56" s="25" t="s">
        <v>674</v>
      </c>
      <c r="C56" s="25" t="s">
        <v>530</v>
      </c>
      <c r="D56" s="26" t="s">
        <v>548</v>
      </c>
      <c r="E56" s="27">
        <v>30845</v>
      </c>
      <c r="F56" s="27" t="s">
        <v>675</v>
      </c>
      <c r="G56" s="27" t="s">
        <v>676</v>
      </c>
      <c r="H56" s="25"/>
    </row>
    <row r="57" spans="1:8" x14ac:dyDescent="0.25">
      <c r="A57" t="s">
        <v>116</v>
      </c>
      <c r="B57" s="25" t="s">
        <v>677</v>
      </c>
      <c r="C57" s="25" t="s">
        <v>530</v>
      </c>
      <c r="D57" s="26" t="s">
        <v>548</v>
      </c>
      <c r="E57" s="27">
        <v>30845</v>
      </c>
      <c r="F57" s="27" t="s">
        <v>678</v>
      </c>
      <c r="G57" s="27" t="s">
        <v>679</v>
      </c>
      <c r="H57" s="25"/>
    </row>
    <row r="58" spans="1:8" x14ac:dyDescent="0.25">
      <c r="A58" t="s">
        <v>117</v>
      </c>
      <c r="B58" s="25" t="s">
        <v>654</v>
      </c>
      <c r="C58" s="25" t="s">
        <v>530</v>
      </c>
      <c r="D58" s="26" t="s">
        <v>537</v>
      </c>
      <c r="E58" s="27">
        <v>30650</v>
      </c>
      <c r="F58" s="27" t="s">
        <v>680</v>
      </c>
      <c r="G58" s="27" t="s">
        <v>681</v>
      </c>
      <c r="H58" s="25"/>
    </row>
    <row r="59" spans="1:8" x14ac:dyDescent="0.25">
      <c r="A59" t="s">
        <v>118</v>
      </c>
      <c r="B59" s="25" t="s">
        <v>682</v>
      </c>
      <c r="C59" s="25" t="s">
        <v>530</v>
      </c>
      <c r="D59" s="26" t="s">
        <v>537</v>
      </c>
      <c r="E59" s="27">
        <v>30837</v>
      </c>
      <c r="F59" s="27" t="s">
        <v>683</v>
      </c>
      <c r="G59" s="27" t="s">
        <v>684</v>
      </c>
      <c r="H59" s="25"/>
    </row>
    <row r="60" spans="1:8" x14ac:dyDescent="0.25">
      <c r="A60" t="s">
        <v>119</v>
      </c>
      <c r="B60" s="25" t="s">
        <v>685</v>
      </c>
      <c r="C60" s="25" t="s">
        <v>530</v>
      </c>
      <c r="D60" s="26" t="s">
        <v>537</v>
      </c>
      <c r="E60" s="27">
        <v>30656</v>
      </c>
      <c r="F60" s="27" t="s">
        <v>686</v>
      </c>
      <c r="G60" s="27" t="s">
        <v>687</v>
      </c>
      <c r="H60" s="25"/>
    </row>
    <row r="61" spans="1:8" x14ac:dyDescent="0.25">
      <c r="A61" t="s">
        <v>120</v>
      </c>
      <c r="B61" s="25" t="s">
        <v>688</v>
      </c>
      <c r="C61" s="25" t="s">
        <v>530</v>
      </c>
      <c r="D61" s="26" t="s">
        <v>537</v>
      </c>
      <c r="E61" s="27">
        <v>30837</v>
      </c>
      <c r="F61" s="27" t="s">
        <v>689</v>
      </c>
      <c r="G61" s="27" t="s">
        <v>690</v>
      </c>
      <c r="H61" s="25"/>
    </row>
    <row r="62" spans="1:8" x14ac:dyDescent="0.25">
      <c r="A62" t="s">
        <v>121</v>
      </c>
      <c r="B62" s="25"/>
      <c r="C62" s="25"/>
      <c r="D62" s="26" t="s">
        <v>537</v>
      </c>
      <c r="E62" s="27"/>
      <c r="F62" s="29"/>
      <c r="G62" s="29"/>
      <c r="H62" s="25"/>
    </row>
    <row r="63" spans="1:8" x14ac:dyDescent="0.25">
      <c r="A63" t="s">
        <v>122</v>
      </c>
      <c r="B63" s="25"/>
      <c r="C63" s="25"/>
      <c r="D63" s="26" t="s">
        <v>537</v>
      </c>
      <c r="E63" s="27"/>
      <c r="F63" s="29"/>
      <c r="G63" s="29"/>
      <c r="H63" s="25"/>
    </row>
    <row r="64" spans="1:8" x14ac:dyDescent="0.25">
      <c r="A64" t="s">
        <v>123</v>
      </c>
      <c r="B64" s="25" t="s">
        <v>691</v>
      </c>
      <c r="C64" s="25" t="s">
        <v>530</v>
      </c>
      <c r="D64" s="26" t="s">
        <v>541</v>
      </c>
      <c r="E64" s="27">
        <v>30656</v>
      </c>
      <c r="F64" s="27" t="s">
        <v>692</v>
      </c>
      <c r="G64" s="27" t="s">
        <v>693</v>
      </c>
      <c r="H64" s="25"/>
    </row>
    <row r="65" spans="1:8" x14ac:dyDescent="0.25">
      <c r="A65" t="s">
        <v>124</v>
      </c>
      <c r="B65" s="25" t="s">
        <v>674</v>
      </c>
      <c r="C65" s="25" t="s">
        <v>530</v>
      </c>
      <c r="D65" s="26" t="s">
        <v>548</v>
      </c>
      <c r="E65" s="27">
        <v>30845</v>
      </c>
      <c r="F65" s="27" t="s">
        <v>694</v>
      </c>
      <c r="G65" s="27" t="s">
        <v>695</v>
      </c>
      <c r="H65" s="25"/>
    </row>
    <row r="66" spans="1:8" x14ac:dyDescent="0.25">
      <c r="A66" t="s">
        <v>125</v>
      </c>
      <c r="B66" s="25" t="s">
        <v>696</v>
      </c>
      <c r="C66" s="25" t="s">
        <v>530</v>
      </c>
      <c r="D66" s="26" t="s">
        <v>548</v>
      </c>
      <c r="E66" s="27">
        <v>30845</v>
      </c>
      <c r="F66" s="27" t="s">
        <v>697</v>
      </c>
      <c r="G66" s="27" t="s">
        <v>698</v>
      </c>
      <c r="H66" s="25"/>
    </row>
    <row r="67" spans="1:8" x14ac:dyDescent="0.25">
      <c r="A67" t="s">
        <v>126</v>
      </c>
      <c r="B67" s="25" t="s">
        <v>699</v>
      </c>
      <c r="C67" s="25" t="s">
        <v>530</v>
      </c>
      <c r="D67" s="26" t="s">
        <v>537</v>
      </c>
      <c r="E67" s="27">
        <v>30656</v>
      </c>
      <c r="F67" s="27" t="s">
        <v>700</v>
      </c>
      <c r="G67" s="27" t="s">
        <v>701</v>
      </c>
      <c r="H67" s="25"/>
    </row>
    <row r="68" spans="1:8" x14ac:dyDescent="0.25">
      <c r="A68" t="s">
        <v>127</v>
      </c>
      <c r="B68" s="25"/>
      <c r="C68" s="25"/>
      <c r="D68" s="26" t="s">
        <v>541</v>
      </c>
      <c r="E68" s="27"/>
      <c r="F68" s="29"/>
      <c r="G68" s="29"/>
      <c r="H68" s="25"/>
    </row>
    <row r="69" spans="1:8" x14ac:dyDescent="0.25">
      <c r="A69" t="s">
        <v>128</v>
      </c>
      <c r="B69" s="25" t="s">
        <v>702</v>
      </c>
      <c r="C69" s="25" t="s">
        <v>530</v>
      </c>
      <c r="D69" s="26" t="s">
        <v>548</v>
      </c>
      <c r="E69" s="27">
        <v>30845</v>
      </c>
      <c r="F69" s="27" t="s">
        <v>703</v>
      </c>
      <c r="G69" s="27" t="s">
        <v>704</v>
      </c>
      <c r="H69" s="25"/>
    </row>
    <row r="70" spans="1:8" x14ac:dyDescent="0.25">
      <c r="A70" t="s">
        <v>129</v>
      </c>
      <c r="B70" s="25" t="s">
        <v>705</v>
      </c>
      <c r="C70" s="25" t="s">
        <v>530</v>
      </c>
      <c r="D70" s="26" t="s">
        <v>531</v>
      </c>
      <c r="E70" s="27">
        <v>30827</v>
      </c>
      <c r="F70" s="27" t="s">
        <v>706</v>
      </c>
      <c r="G70" s="27" t="s">
        <v>707</v>
      </c>
      <c r="H70" s="25"/>
    </row>
    <row r="71" spans="1:8" x14ac:dyDescent="0.25">
      <c r="A71" t="s">
        <v>130</v>
      </c>
      <c r="B71" s="25" t="s">
        <v>708</v>
      </c>
      <c r="C71" s="25" t="s">
        <v>530</v>
      </c>
      <c r="D71" s="26" t="s">
        <v>537</v>
      </c>
      <c r="E71" s="27">
        <v>30656</v>
      </c>
      <c r="F71" s="27" t="s">
        <v>709</v>
      </c>
      <c r="G71" s="27" t="s">
        <v>710</v>
      </c>
      <c r="H71" s="25"/>
    </row>
    <row r="72" spans="1:8" x14ac:dyDescent="0.25">
      <c r="A72" t="s">
        <v>131</v>
      </c>
      <c r="B72" s="25" t="s">
        <v>711</v>
      </c>
      <c r="C72" s="25" t="s">
        <v>530</v>
      </c>
      <c r="D72" s="26" t="s">
        <v>548</v>
      </c>
      <c r="E72" s="27">
        <v>30844</v>
      </c>
      <c r="F72" s="27" t="s">
        <v>712</v>
      </c>
      <c r="G72" s="27" t="s">
        <v>713</v>
      </c>
      <c r="H72" s="25"/>
    </row>
    <row r="73" spans="1:8" x14ac:dyDescent="0.25">
      <c r="A73" t="s">
        <v>132</v>
      </c>
      <c r="B73" s="25" t="s">
        <v>714</v>
      </c>
      <c r="C73" s="25" t="s">
        <v>530</v>
      </c>
      <c r="D73" s="26" t="s">
        <v>537</v>
      </c>
      <c r="E73" s="27">
        <v>30650</v>
      </c>
      <c r="F73" s="27" t="s">
        <v>715</v>
      </c>
      <c r="G73" s="27" t="s">
        <v>716</v>
      </c>
      <c r="H73" s="25"/>
    </row>
    <row r="74" spans="1:8" x14ac:dyDescent="0.25">
      <c r="A74" t="s">
        <v>133</v>
      </c>
      <c r="B74" s="25" t="s">
        <v>717</v>
      </c>
      <c r="C74" s="25" t="s">
        <v>530</v>
      </c>
      <c r="D74" s="26" t="s">
        <v>548</v>
      </c>
      <c r="E74" s="27">
        <v>30847</v>
      </c>
      <c r="F74" s="27" t="s">
        <v>718</v>
      </c>
      <c r="G74" s="27" t="s">
        <v>719</v>
      </c>
      <c r="H74" s="25"/>
    </row>
    <row r="75" spans="1:8" x14ac:dyDescent="0.25">
      <c r="A75" s="13" t="s">
        <v>134</v>
      </c>
      <c r="B75" s="32" t="s">
        <v>720</v>
      </c>
      <c r="C75" s="32" t="s">
        <v>530</v>
      </c>
      <c r="D75" s="33" t="s">
        <v>548</v>
      </c>
      <c r="E75" s="34">
        <v>30843</v>
      </c>
      <c r="F75" s="34" t="s">
        <v>721</v>
      </c>
      <c r="G75" s="34" t="s">
        <v>722</v>
      </c>
      <c r="H75" s="32"/>
    </row>
    <row r="76" spans="1:8" x14ac:dyDescent="0.25">
      <c r="A76" t="s">
        <v>32</v>
      </c>
      <c r="B76" s="25" t="s">
        <v>548</v>
      </c>
      <c r="C76" s="25" t="s">
        <v>530</v>
      </c>
      <c r="D76" s="26" t="s">
        <v>548</v>
      </c>
      <c r="E76" s="27">
        <v>30843</v>
      </c>
      <c r="F76" s="27" t="s">
        <v>723</v>
      </c>
      <c r="G76" s="27" t="s">
        <v>724</v>
      </c>
      <c r="H76" s="25" t="s">
        <v>725</v>
      </c>
    </row>
    <row r="77" spans="1:8" x14ac:dyDescent="0.25">
      <c r="A77" t="s">
        <v>135</v>
      </c>
      <c r="B77" s="25" t="s">
        <v>726</v>
      </c>
      <c r="C77" s="25" t="s">
        <v>530</v>
      </c>
      <c r="D77" s="26" t="s">
        <v>537</v>
      </c>
      <c r="E77" s="27">
        <v>30843</v>
      </c>
      <c r="F77" s="27" t="s">
        <v>727</v>
      </c>
      <c r="G77" s="27" t="s">
        <v>728</v>
      </c>
      <c r="H77" s="25" t="s">
        <v>725</v>
      </c>
    </row>
    <row r="78" spans="1:8" x14ac:dyDescent="0.25">
      <c r="A78" t="s">
        <v>136</v>
      </c>
      <c r="B78" s="25" t="s">
        <v>608</v>
      </c>
      <c r="C78" s="25" t="s">
        <v>530</v>
      </c>
      <c r="D78" s="26" t="s">
        <v>548</v>
      </c>
      <c r="E78" s="27">
        <v>30843</v>
      </c>
      <c r="F78" s="27" t="s">
        <v>729</v>
      </c>
      <c r="G78" s="27" t="s">
        <v>730</v>
      </c>
      <c r="H78" s="25" t="s">
        <v>725</v>
      </c>
    </row>
    <row r="79" spans="1:8" x14ac:dyDescent="0.25">
      <c r="A79" t="s">
        <v>137</v>
      </c>
      <c r="B79" s="25"/>
      <c r="C79" s="25"/>
      <c r="D79" s="26" t="s">
        <v>548</v>
      </c>
      <c r="E79" s="27"/>
      <c r="F79" s="29"/>
      <c r="G79" s="29"/>
      <c r="H79" s="30"/>
    </row>
    <row r="80" spans="1:8" x14ac:dyDescent="0.25">
      <c r="A80" t="s">
        <v>138</v>
      </c>
      <c r="B80" s="25" t="s">
        <v>731</v>
      </c>
      <c r="C80" s="25" t="s">
        <v>530</v>
      </c>
      <c r="D80" s="26" t="s">
        <v>548</v>
      </c>
      <c r="E80" s="27">
        <v>30845</v>
      </c>
      <c r="F80" s="27" t="s">
        <v>732</v>
      </c>
      <c r="G80" s="27" t="s">
        <v>733</v>
      </c>
      <c r="H80" s="25" t="s">
        <v>725</v>
      </c>
    </row>
    <row r="81" spans="1:8" x14ac:dyDescent="0.25">
      <c r="A81" t="s">
        <v>139</v>
      </c>
      <c r="B81" s="25" t="s">
        <v>734</v>
      </c>
      <c r="C81" s="25" t="s">
        <v>530</v>
      </c>
      <c r="D81" s="26" t="s">
        <v>537</v>
      </c>
      <c r="E81" s="27">
        <v>30820</v>
      </c>
      <c r="F81" s="27" t="s">
        <v>735</v>
      </c>
      <c r="G81" s="27" t="s">
        <v>736</v>
      </c>
      <c r="H81" s="25" t="s">
        <v>725</v>
      </c>
    </row>
    <row r="82" spans="1:8" x14ac:dyDescent="0.25">
      <c r="A82" t="s">
        <v>140</v>
      </c>
      <c r="B82" s="25" t="s">
        <v>737</v>
      </c>
      <c r="C82" s="25" t="s">
        <v>530</v>
      </c>
      <c r="D82" s="26" t="s">
        <v>531</v>
      </c>
      <c r="E82" s="27">
        <v>30810</v>
      </c>
      <c r="F82" s="27" t="s">
        <v>738</v>
      </c>
      <c r="G82" s="27" t="s">
        <v>739</v>
      </c>
      <c r="H82" s="25"/>
    </row>
    <row r="83" spans="1:8" x14ac:dyDescent="0.25">
      <c r="A83" t="s">
        <v>141</v>
      </c>
      <c r="B83" s="25" t="s">
        <v>599</v>
      </c>
      <c r="C83" s="25" t="s">
        <v>530</v>
      </c>
      <c r="D83" s="26" t="s">
        <v>531</v>
      </c>
      <c r="E83" s="27">
        <v>30814</v>
      </c>
      <c r="F83" s="27" t="s">
        <v>740</v>
      </c>
      <c r="G83" s="27" t="s">
        <v>741</v>
      </c>
      <c r="H83" s="25" t="s">
        <v>725</v>
      </c>
    </row>
    <row r="84" spans="1:8" x14ac:dyDescent="0.25">
      <c r="A84" t="s">
        <v>142</v>
      </c>
      <c r="B84" s="25"/>
      <c r="C84" s="25"/>
      <c r="D84" s="26" t="s">
        <v>531</v>
      </c>
      <c r="E84" s="27"/>
      <c r="F84" s="29"/>
      <c r="G84" s="29"/>
      <c r="H84" s="30" t="s">
        <v>725</v>
      </c>
    </row>
    <row r="85" spans="1:8" x14ac:dyDescent="0.25">
      <c r="A85" t="s">
        <v>143</v>
      </c>
      <c r="B85" s="25" t="s">
        <v>742</v>
      </c>
      <c r="C85" s="25" t="s">
        <v>530</v>
      </c>
      <c r="D85" s="26" t="s">
        <v>548</v>
      </c>
      <c r="E85" s="27">
        <v>30844</v>
      </c>
      <c r="F85" s="27" t="s">
        <v>743</v>
      </c>
      <c r="G85" s="27" t="s">
        <v>744</v>
      </c>
      <c r="H85" s="25" t="s">
        <v>725</v>
      </c>
    </row>
    <row r="86" spans="1:8" x14ac:dyDescent="0.25">
      <c r="A86" t="s">
        <v>144</v>
      </c>
      <c r="B86" s="25" t="s">
        <v>737</v>
      </c>
      <c r="C86" s="25" t="s">
        <v>530</v>
      </c>
      <c r="D86" s="26" t="s">
        <v>531</v>
      </c>
      <c r="E86" s="27">
        <v>30810</v>
      </c>
      <c r="F86" s="27" t="s">
        <v>745</v>
      </c>
      <c r="G86" s="27" t="s">
        <v>746</v>
      </c>
      <c r="H86" s="25"/>
    </row>
    <row r="87" spans="1:8" x14ac:dyDescent="0.25">
      <c r="A87" t="s">
        <v>23</v>
      </c>
      <c r="B87" s="25" t="s">
        <v>632</v>
      </c>
      <c r="C87" s="25" t="s">
        <v>530</v>
      </c>
      <c r="D87" s="26" t="s">
        <v>531</v>
      </c>
      <c r="E87" s="27">
        <v>30832</v>
      </c>
      <c r="F87" s="27" t="s">
        <v>747</v>
      </c>
      <c r="G87" s="31" t="s">
        <v>748</v>
      </c>
      <c r="H87" s="25"/>
    </row>
    <row r="88" spans="1:8" x14ac:dyDescent="0.25">
      <c r="A88" t="s">
        <v>145</v>
      </c>
      <c r="B88" s="19"/>
      <c r="C88" s="25" t="s">
        <v>530</v>
      </c>
      <c r="D88" s="26" t="s">
        <v>557</v>
      </c>
      <c r="E88" s="27"/>
      <c r="F88" s="29"/>
      <c r="G88" s="29"/>
      <c r="H88" s="30"/>
    </row>
    <row r="89" spans="1:8" x14ac:dyDescent="0.25">
      <c r="A89" t="s">
        <v>146</v>
      </c>
      <c r="B89" s="25" t="s">
        <v>632</v>
      </c>
      <c r="C89" s="25" t="s">
        <v>530</v>
      </c>
      <c r="D89" s="26" t="s">
        <v>531</v>
      </c>
      <c r="E89" s="27">
        <v>30832</v>
      </c>
      <c r="F89" s="27" t="s">
        <v>749</v>
      </c>
      <c r="G89" s="27" t="s">
        <v>750</v>
      </c>
      <c r="H89" s="25"/>
    </row>
    <row r="90" spans="1:8" x14ac:dyDescent="0.25">
      <c r="A90" t="s">
        <v>147</v>
      </c>
      <c r="B90" s="25" t="s">
        <v>751</v>
      </c>
      <c r="C90" s="25" t="s">
        <v>530</v>
      </c>
      <c r="D90" s="26" t="s">
        <v>537</v>
      </c>
      <c r="E90" s="27">
        <v>30656</v>
      </c>
      <c r="F90" s="27" t="s">
        <v>752</v>
      </c>
      <c r="G90" s="35" t="s">
        <v>753</v>
      </c>
      <c r="H90" s="25"/>
    </row>
    <row r="91" spans="1:8" x14ac:dyDescent="0.25">
      <c r="A91" t="s">
        <v>148</v>
      </c>
      <c r="B91" s="25" t="s">
        <v>751</v>
      </c>
      <c r="C91" s="25" t="s">
        <v>530</v>
      </c>
      <c r="D91" s="26" t="s">
        <v>548</v>
      </c>
      <c r="E91" s="27">
        <v>30656</v>
      </c>
      <c r="F91" s="27" t="s">
        <v>752</v>
      </c>
      <c r="G91" s="35" t="s">
        <v>753</v>
      </c>
      <c r="H91" s="25"/>
    </row>
    <row r="92" spans="1:8" x14ac:dyDescent="0.25">
      <c r="A92" t="s">
        <v>149</v>
      </c>
      <c r="B92" s="25" t="s">
        <v>751</v>
      </c>
      <c r="C92" s="25" t="s">
        <v>530</v>
      </c>
      <c r="D92" s="26" t="s">
        <v>548</v>
      </c>
      <c r="E92" s="27">
        <v>30656</v>
      </c>
      <c r="F92" s="27" t="s">
        <v>752</v>
      </c>
      <c r="G92" s="35" t="s">
        <v>753</v>
      </c>
      <c r="H92" s="25"/>
    </row>
    <row r="93" spans="1:8" x14ac:dyDescent="0.25">
      <c r="A93" t="s">
        <v>150</v>
      </c>
      <c r="B93" s="25" t="s">
        <v>714</v>
      </c>
      <c r="C93" s="25" t="s">
        <v>530</v>
      </c>
      <c r="D93" s="26" t="s">
        <v>537</v>
      </c>
      <c r="E93" s="27">
        <v>30650</v>
      </c>
      <c r="F93" s="27" t="s">
        <v>754</v>
      </c>
      <c r="G93" s="35" t="s">
        <v>755</v>
      </c>
      <c r="H93" s="25"/>
    </row>
    <row r="94" spans="1:8" x14ac:dyDescent="0.25">
      <c r="A94" t="s">
        <v>151</v>
      </c>
      <c r="B94" s="25" t="s">
        <v>756</v>
      </c>
      <c r="C94" s="25" t="s">
        <v>530</v>
      </c>
      <c r="D94" s="26" t="s">
        <v>531</v>
      </c>
      <c r="E94" s="27">
        <v>30805</v>
      </c>
      <c r="F94" s="27" t="s">
        <v>757</v>
      </c>
      <c r="G94" s="27" t="s">
        <v>758</v>
      </c>
      <c r="H94" s="25"/>
    </row>
    <row r="95" spans="1:8" x14ac:dyDescent="0.25">
      <c r="A95" t="s">
        <v>152</v>
      </c>
      <c r="B95" s="25" t="s">
        <v>654</v>
      </c>
      <c r="C95" s="25" t="s">
        <v>530</v>
      </c>
      <c r="D95" s="26" t="s">
        <v>537</v>
      </c>
      <c r="E95" s="27">
        <v>30650</v>
      </c>
      <c r="F95" s="27" t="s">
        <v>759</v>
      </c>
      <c r="G95" s="35" t="s">
        <v>760</v>
      </c>
      <c r="H95" s="25"/>
    </row>
    <row r="96" spans="1:8" x14ac:dyDescent="0.25">
      <c r="A96" t="s">
        <v>153</v>
      </c>
      <c r="B96" s="25" t="s">
        <v>761</v>
      </c>
      <c r="C96" s="25" t="s">
        <v>530</v>
      </c>
      <c r="D96" s="26" t="s">
        <v>548</v>
      </c>
      <c r="E96" s="27">
        <v>30847</v>
      </c>
      <c r="F96" s="27" t="s">
        <v>762</v>
      </c>
      <c r="G96" s="35"/>
      <c r="H96" s="25" t="s">
        <v>725</v>
      </c>
    </row>
    <row r="97" spans="1:8" x14ac:dyDescent="0.25">
      <c r="A97" t="s">
        <v>154</v>
      </c>
      <c r="B97" s="25" t="s">
        <v>763</v>
      </c>
      <c r="C97" s="25" t="s">
        <v>530</v>
      </c>
      <c r="D97" s="26" t="s">
        <v>531</v>
      </c>
      <c r="E97" s="27">
        <v>30828</v>
      </c>
      <c r="F97" s="27" t="s">
        <v>764</v>
      </c>
      <c r="G97" s="35" t="s">
        <v>765</v>
      </c>
      <c r="H97" s="25" t="s">
        <v>725</v>
      </c>
    </row>
    <row r="98" spans="1:8" x14ac:dyDescent="0.25">
      <c r="A98" t="s">
        <v>155</v>
      </c>
      <c r="B98" s="25" t="s">
        <v>766</v>
      </c>
      <c r="C98" s="25" t="s">
        <v>530</v>
      </c>
      <c r="D98" s="26" t="s">
        <v>537</v>
      </c>
      <c r="E98" s="27">
        <v>30827</v>
      </c>
      <c r="F98" s="27" t="s">
        <v>767</v>
      </c>
      <c r="G98" s="35" t="s">
        <v>768</v>
      </c>
      <c r="H98" s="25" t="s">
        <v>725</v>
      </c>
    </row>
    <row r="99" spans="1:8" x14ac:dyDescent="0.25">
      <c r="A99" t="s">
        <v>156</v>
      </c>
      <c r="B99" s="36" t="s">
        <v>611</v>
      </c>
      <c r="C99" s="25" t="s">
        <v>530</v>
      </c>
      <c r="D99" s="26" t="s">
        <v>548</v>
      </c>
      <c r="E99" s="27">
        <v>30844</v>
      </c>
      <c r="F99" s="27" t="s">
        <v>769</v>
      </c>
      <c r="G99" s="35" t="s">
        <v>770</v>
      </c>
      <c r="H99" s="25" t="s">
        <v>725</v>
      </c>
    </row>
    <row r="100" spans="1:8" x14ac:dyDescent="0.25">
      <c r="A100" t="s">
        <v>157</v>
      </c>
      <c r="B100" s="25"/>
      <c r="C100" s="25" t="s">
        <v>530</v>
      </c>
      <c r="D100" s="26" t="s">
        <v>541</v>
      </c>
      <c r="E100" s="27"/>
      <c r="F100" s="27"/>
      <c r="G100" s="35"/>
      <c r="H100" s="25" t="s">
        <v>725</v>
      </c>
    </row>
    <row r="101" spans="1:8" x14ac:dyDescent="0.25">
      <c r="A101" t="s">
        <v>158</v>
      </c>
      <c r="B101" s="25" t="s">
        <v>771</v>
      </c>
      <c r="C101" s="25" t="s">
        <v>530</v>
      </c>
      <c r="D101" s="26" t="s">
        <v>531</v>
      </c>
      <c r="E101" s="27">
        <v>30820</v>
      </c>
      <c r="F101" s="27" t="s">
        <v>772</v>
      </c>
      <c r="G101" s="35" t="s">
        <v>773</v>
      </c>
      <c r="H101" s="25" t="s">
        <v>774</v>
      </c>
    </row>
    <row r="102" spans="1:8" x14ac:dyDescent="0.25">
      <c r="A102" t="s">
        <v>159</v>
      </c>
      <c r="B102" s="25" t="s">
        <v>775</v>
      </c>
      <c r="C102" s="25" t="s">
        <v>530</v>
      </c>
      <c r="D102" s="26" t="s">
        <v>548</v>
      </c>
      <c r="E102" s="27"/>
      <c r="F102" s="27" t="s">
        <v>776</v>
      </c>
      <c r="G102" s="35" t="s">
        <v>777</v>
      </c>
      <c r="H102" s="25" t="s">
        <v>725</v>
      </c>
    </row>
    <row r="103" spans="1:8" ht="15.75" thickBot="1" x14ac:dyDescent="0.3">
      <c r="A103" s="14" t="s">
        <v>27</v>
      </c>
      <c r="B103" s="37"/>
      <c r="C103" s="37" t="s">
        <v>530</v>
      </c>
      <c r="D103" s="38" t="s">
        <v>531</v>
      </c>
      <c r="E103" s="39"/>
      <c r="F103" s="39" t="s">
        <v>778</v>
      </c>
      <c r="G103" s="40" t="s">
        <v>779</v>
      </c>
      <c r="H103" s="37" t="s">
        <v>725</v>
      </c>
    </row>
    <row r="104" spans="1:8" ht="15.75" thickTop="1" x14ac:dyDescent="0.25">
      <c r="A104" t="s">
        <v>160</v>
      </c>
      <c r="B104" s="41" t="s">
        <v>780</v>
      </c>
      <c r="C104" s="42" t="s">
        <v>781</v>
      </c>
      <c r="D104" s="26" t="s">
        <v>782</v>
      </c>
      <c r="E104" s="27"/>
      <c r="F104" s="27" t="s">
        <v>783</v>
      </c>
      <c r="G104" s="27"/>
      <c r="H104" s="25"/>
    </row>
    <row r="105" spans="1:8" x14ac:dyDescent="0.25">
      <c r="A105" t="s">
        <v>161</v>
      </c>
      <c r="B105" s="43" t="s">
        <v>784</v>
      </c>
      <c r="C105" s="42"/>
      <c r="D105" s="26" t="s">
        <v>782</v>
      </c>
      <c r="E105" s="27"/>
      <c r="F105" s="27" t="s">
        <v>785</v>
      </c>
      <c r="G105" s="27" t="s">
        <v>786</v>
      </c>
      <c r="H105" s="25"/>
    </row>
    <row r="106" spans="1:8" x14ac:dyDescent="0.25">
      <c r="A106" t="s">
        <v>162</v>
      </c>
      <c r="B106" s="42" t="s">
        <v>787</v>
      </c>
      <c r="C106" s="42" t="s">
        <v>781</v>
      </c>
      <c r="D106" s="26" t="s">
        <v>782</v>
      </c>
      <c r="E106" s="27">
        <v>60805</v>
      </c>
      <c r="F106" s="27" t="s">
        <v>788</v>
      </c>
      <c r="G106" s="27" t="s">
        <v>789</v>
      </c>
      <c r="H106" s="25"/>
    </row>
    <row r="107" spans="1:8" x14ac:dyDescent="0.25">
      <c r="A107" t="s">
        <v>163</v>
      </c>
      <c r="B107" s="42" t="s">
        <v>790</v>
      </c>
      <c r="C107" s="42" t="s">
        <v>781</v>
      </c>
      <c r="D107" s="26" t="s">
        <v>791</v>
      </c>
      <c r="E107" s="27">
        <v>60804</v>
      </c>
      <c r="F107" s="27" t="s">
        <v>792</v>
      </c>
      <c r="G107" s="27" t="s">
        <v>793</v>
      </c>
      <c r="H107" s="25"/>
    </row>
    <row r="108" spans="1:8" x14ac:dyDescent="0.25">
      <c r="A108" t="s">
        <v>164</v>
      </c>
      <c r="B108" s="30"/>
      <c r="C108" s="44"/>
      <c r="D108" s="45"/>
      <c r="E108" s="29"/>
      <c r="F108" s="29"/>
      <c r="G108" s="29"/>
      <c r="H108" s="30"/>
    </row>
    <row r="109" spans="1:8" x14ac:dyDescent="0.25">
      <c r="A109" t="s">
        <v>165</v>
      </c>
      <c r="B109" s="42" t="s">
        <v>794</v>
      </c>
      <c r="C109" s="42" t="s">
        <v>781</v>
      </c>
      <c r="D109" s="26" t="s">
        <v>782</v>
      </c>
      <c r="E109" s="27">
        <v>60800</v>
      </c>
      <c r="F109" s="27" t="s">
        <v>795</v>
      </c>
      <c r="G109" s="27" t="s">
        <v>796</v>
      </c>
      <c r="H109" s="25"/>
    </row>
    <row r="110" spans="1:8" x14ac:dyDescent="0.25">
      <c r="A110" t="s">
        <v>166</v>
      </c>
      <c r="B110" s="26" t="s">
        <v>782</v>
      </c>
      <c r="C110" s="42" t="s">
        <v>781</v>
      </c>
      <c r="D110" s="26" t="s">
        <v>782</v>
      </c>
      <c r="E110" s="27">
        <v>60800</v>
      </c>
      <c r="F110" s="27" t="s">
        <v>797</v>
      </c>
      <c r="G110" s="31" t="s">
        <v>798</v>
      </c>
      <c r="H110" s="25"/>
    </row>
    <row r="111" spans="1:8" x14ac:dyDescent="0.25">
      <c r="A111" t="s">
        <v>167</v>
      </c>
      <c r="B111" s="30"/>
      <c r="C111" s="44"/>
      <c r="D111" s="45" t="s">
        <v>782</v>
      </c>
      <c r="E111" s="29"/>
      <c r="F111" s="29"/>
      <c r="G111" s="29"/>
      <c r="H111" s="30"/>
    </row>
    <row r="112" spans="1:8" x14ac:dyDescent="0.25">
      <c r="A112" t="s">
        <v>168</v>
      </c>
      <c r="B112" s="25"/>
      <c r="C112" s="42"/>
      <c r="D112" s="26" t="s">
        <v>782</v>
      </c>
      <c r="E112" s="27"/>
      <c r="F112" s="27"/>
      <c r="G112" s="27"/>
      <c r="H112" s="25"/>
    </row>
    <row r="113" spans="1:8" x14ac:dyDescent="0.25">
      <c r="A113" t="s">
        <v>169</v>
      </c>
      <c r="B113" s="30"/>
      <c r="C113" s="30"/>
      <c r="D113" s="45"/>
      <c r="E113" s="29"/>
      <c r="F113" s="29"/>
      <c r="G113" s="29"/>
      <c r="H113" s="30"/>
    </row>
    <row r="114" spans="1:8" x14ac:dyDescent="0.25">
      <c r="A114" t="s">
        <v>170</v>
      </c>
      <c r="B114" s="30"/>
      <c r="C114" s="30"/>
      <c r="D114" s="45"/>
      <c r="E114" s="29"/>
      <c r="F114" s="29"/>
      <c r="G114" s="29"/>
      <c r="H114" s="30"/>
    </row>
    <row r="115" spans="1:8" x14ac:dyDescent="0.25">
      <c r="A115" t="s">
        <v>171</v>
      </c>
      <c r="B115" s="30"/>
      <c r="C115" s="30"/>
      <c r="D115" s="45"/>
      <c r="E115" s="29"/>
      <c r="F115" s="29"/>
      <c r="G115" s="29"/>
      <c r="H115" s="30"/>
    </row>
    <row r="116" spans="1:8" x14ac:dyDescent="0.25">
      <c r="A116" t="s">
        <v>172</v>
      </c>
      <c r="B116" s="30"/>
      <c r="C116" s="30"/>
      <c r="D116" s="45"/>
      <c r="E116" s="29"/>
      <c r="F116" s="29"/>
      <c r="G116" s="29"/>
      <c r="H116" s="30"/>
    </row>
    <row r="117" spans="1:8" x14ac:dyDescent="0.25">
      <c r="A117" t="s">
        <v>173</v>
      </c>
      <c r="B117" s="25" t="s">
        <v>799</v>
      </c>
      <c r="C117" s="25" t="s">
        <v>781</v>
      </c>
      <c r="D117" s="26" t="s">
        <v>782</v>
      </c>
      <c r="E117" s="27">
        <v>60800</v>
      </c>
      <c r="F117" s="27" t="s">
        <v>800</v>
      </c>
      <c r="G117" s="27" t="s">
        <v>801</v>
      </c>
      <c r="H117" s="25"/>
    </row>
    <row r="118" spans="1:8" x14ac:dyDescent="0.25">
      <c r="A118" t="s">
        <v>174</v>
      </c>
      <c r="B118" s="25" t="s">
        <v>802</v>
      </c>
      <c r="C118" s="25" t="s">
        <v>58</v>
      </c>
      <c r="D118" s="26" t="s">
        <v>803</v>
      </c>
      <c r="E118" s="27">
        <v>28048</v>
      </c>
      <c r="F118" s="27" t="s">
        <v>804</v>
      </c>
      <c r="G118" s="27" t="s">
        <v>805</v>
      </c>
      <c r="H118" s="25"/>
    </row>
    <row r="119" spans="1:8" x14ac:dyDescent="0.25">
      <c r="A119" t="s">
        <v>175</v>
      </c>
      <c r="B119" s="25" t="s">
        <v>806</v>
      </c>
      <c r="C119" s="25" t="s">
        <v>781</v>
      </c>
      <c r="D119" s="26" t="s">
        <v>782</v>
      </c>
      <c r="E119" s="27">
        <v>60807</v>
      </c>
      <c r="F119" s="27" t="s">
        <v>807</v>
      </c>
      <c r="G119" s="27" t="s">
        <v>808</v>
      </c>
      <c r="H119" s="25"/>
    </row>
    <row r="120" spans="1:8" x14ac:dyDescent="0.25">
      <c r="A120" t="s">
        <v>176</v>
      </c>
      <c r="B120" s="25"/>
      <c r="C120" s="25"/>
      <c r="D120" s="26" t="s">
        <v>809</v>
      </c>
      <c r="E120" s="27"/>
      <c r="F120" s="27"/>
      <c r="G120" s="27"/>
      <c r="H120" s="25"/>
    </row>
    <row r="121" spans="1:8" x14ac:dyDescent="0.25">
      <c r="A121" t="s">
        <v>177</v>
      </c>
      <c r="B121" s="25"/>
      <c r="C121" s="25"/>
      <c r="D121" s="26" t="s">
        <v>782</v>
      </c>
      <c r="E121" s="27"/>
      <c r="F121" s="27"/>
      <c r="G121" s="27"/>
      <c r="H121" s="25"/>
    </row>
    <row r="122" spans="1:8" x14ac:dyDescent="0.25">
      <c r="A122" t="s">
        <v>178</v>
      </c>
      <c r="B122" t="s">
        <v>810</v>
      </c>
      <c r="C122" s="25" t="s">
        <v>811</v>
      </c>
      <c r="D122" s="26" t="s">
        <v>782</v>
      </c>
      <c r="E122" s="27">
        <v>60805</v>
      </c>
      <c r="F122" t="s">
        <v>812</v>
      </c>
      <c r="G122" s="27"/>
      <c r="H122" s="25"/>
    </row>
    <row r="123" spans="1:8" x14ac:dyDescent="0.25">
      <c r="A123" t="s">
        <v>179</v>
      </c>
      <c r="B123" s="25" t="s">
        <v>813</v>
      </c>
      <c r="C123" s="25" t="s">
        <v>811</v>
      </c>
      <c r="D123" s="26" t="s">
        <v>782</v>
      </c>
      <c r="E123" s="27"/>
      <c r="F123" s="27" t="s">
        <v>814</v>
      </c>
      <c r="G123" s="27"/>
      <c r="H123" s="25"/>
    </row>
    <row r="124" spans="1:8" x14ac:dyDescent="0.25">
      <c r="A124" t="s">
        <v>180</v>
      </c>
      <c r="B124" s="30"/>
      <c r="C124" s="30"/>
      <c r="D124" s="45"/>
      <c r="E124" s="29"/>
      <c r="F124" s="29"/>
      <c r="G124" s="29"/>
      <c r="H124" s="30"/>
    </row>
    <row r="125" spans="1:8" x14ac:dyDescent="0.25">
      <c r="A125" t="s">
        <v>181</v>
      </c>
      <c r="B125" s="25" t="s">
        <v>815</v>
      </c>
      <c r="C125" s="25" t="s">
        <v>816</v>
      </c>
      <c r="D125" s="26" t="s">
        <v>782</v>
      </c>
      <c r="E125" s="27"/>
      <c r="F125" s="27" t="s">
        <v>817</v>
      </c>
      <c r="G125" s="27" t="s">
        <v>818</v>
      </c>
      <c r="H125" s="25"/>
    </row>
    <row r="126" spans="1:8" x14ac:dyDescent="0.25">
      <c r="A126" s="15" t="s">
        <v>182</v>
      </c>
      <c r="B126" s="30"/>
      <c r="C126" s="30"/>
      <c r="D126" s="45" t="s">
        <v>782</v>
      </c>
      <c r="E126" s="29"/>
      <c r="F126" s="29"/>
      <c r="G126" s="29"/>
      <c r="H126" s="30"/>
    </row>
    <row r="127" spans="1:8" x14ac:dyDescent="0.25">
      <c r="A127" s="16" t="s">
        <v>183</v>
      </c>
      <c r="B127" s="46"/>
      <c r="C127" s="46"/>
      <c r="D127" s="47"/>
      <c r="E127" s="48"/>
      <c r="F127" s="48"/>
      <c r="G127" s="48"/>
      <c r="H127" s="46"/>
    </row>
    <row r="128" spans="1:8" x14ac:dyDescent="0.25">
      <c r="A128" t="s">
        <v>184</v>
      </c>
      <c r="B128" s="25" t="s">
        <v>819</v>
      </c>
      <c r="C128" s="25" t="s">
        <v>58</v>
      </c>
      <c r="D128" s="26" t="s">
        <v>803</v>
      </c>
      <c r="E128" s="27">
        <v>28904</v>
      </c>
      <c r="F128" s="27" t="s">
        <v>820</v>
      </c>
      <c r="G128" s="27" t="s">
        <v>821</v>
      </c>
      <c r="H128" s="25"/>
    </row>
    <row r="129" spans="1:8" x14ac:dyDescent="0.25">
      <c r="A129" t="s">
        <v>185</v>
      </c>
      <c r="B129" s="25" t="s">
        <v>822</v>
      </c>
      <c r="C129" s="25" t="s">
        <v>781</v>
      </c>
      <c r="D129" s="26" t="s">
        <v>782</v>
      </c>
      <c r="E129" s="27">
        <v>60804</v>
      </c>
      <c r="F129" s="27" t="s">
        <v>823</v>
      </c>
      <c r="G129" s="49" t="s">
        <v>824</v>
      </c>
      <c r="H129" s="25"/>
    </row>
    <row r="130" spans="1:8" x14ac:dyDescent="0.25">
      <c r="A130" t="s">
        <v>186</v>
      </c>
      <c r="B130" s="25" t="s">
        <v>825</v>
      </c>
      <c r="C130" s="25" t="s">
        <v>58</v>
      </c>
      <c r="D130" s="26" t="s">
        <v>826</v>
      </c>
      <c r="E130" s="27">
        <v>28900</v>
      </c>
      <c r="F130" s="27" t="s">
        <v>827</v>
      </c>
      <c r="G130" s="27" t="s">
        <v>828</v>
      </c>
      <c r="H130" s="25"/>
    </row>
    <row r="131" spans="1:8" x14ac:dyDescent="0.25">
      <c r="A131" t="s">
        <v>187</v>
      </c>
      <c r="B131" s="25"/>
      <c r="C131" s="25"/>
      <c r="D131" s="26" t="s">
        <v>782</v>
      </c>
      <c r="E131" s="27"/>
      <c r="F131" s="27"/>
      <c r="G131" s="27"/>
      <c r="H131" s="25"/>
    </row>
    <row r="132" spans="1:8" x14ac:dyDescent="0.25">
      <c r="A132" t="s">
        <v>188</v>
      </c>
      <c r="B132" s="30"/>
      <c r="C132" s="30"/>
      <c r="D132" s="45"/>
      <c r="E132" s="29"/>
      <c r="F132" s="29"/>
      <c r="G132" s="29"/>
      <c r="H132" s="30"/>
    </row>
    <row r="133" spans="1:8" x14ac:dyDescent="0.25">
      <c r="A133" t="s">
        <v>189</v>
      </c>
      <c r="B133" s="25" t="s">
        <v>829</v>
      </c>
      <c r="C133" s="25" t="s">
        <v>58</v>
      </c>
      <c r="D133" s="26" t="s">
        <v>58</v>
      </c>
      <c r="E133" s="50">
        <v>28900</v>
      </c>
      <c r="F133" s="27" t="s">
        <v>830</v>
      </c>
      <c r="G133" s="27" t="s">
        <v>831</v>
      </c>
      <c r="H133" s="25"/>
    </row>
    <row r="134" spans="1:8" x14ac:dyDescent="0.25">
      <c r="A134" t="s">
        <v>190</v>
      </c>
      <c r="B134" s="30"/>
      <c r="C134" s="30"/>
      <c r="D134" s="45"/>
      <c r="E134" s="29"/>
      <c r="F134" s="29"/>
      <c r="G134" s="29"/>
      <c r="H134" s="30"/>
    </row>
    <row r="135" spans="1:8" x14ac:dyDescent="0.25">
      <c r="A135" t="s">
        <v>191</v>
      </c>
      <c r="B135" s="25" t="s">
        <v>822</v>
      </c>
      <c r="C135" s="25" t="s">
        <v>781</v>
      </c>
      <c r="D135" s="26" t="s">
        <v>782</v>
      </c>
      <c r="E135" s="27">
        <v>60804</v>
      </c>
      <c r="F135" s="27" t="s">
        <v>832</v>
      </c>
      <c r="G135" s="27" t="s">
        <v>833</v>
      </c>
      <c r="H135" s="25"/>
    </row>
    <row r="136" spans="1:8" x14ac:dyDescent="0.25">
      <c r="A136" t="s">
        <v>192</v>
      </c>
      <c r="B136" s="25" t="s">
        <v>819</v>
      </c>
      <c r="C136" s="25" t="s">
        <v>58</v>
      </c>
      <c r="D136" s="26" t="s">
        <v>826</v>
      </c>
      <c r="E136" s="27">
        <v>28904</v>
      </c>
      <c r="F136" s="27" t="s">
        <v>834</v>
      </c>
      <c r="G136" s="27" t="s">
        <v>835</v>
      </c>
      <c r="H136" s="25"/>
    </row>
    <row r="137" spans="1:8" x14ac:dyDescent="0.25">
      <c r="A137" t="s">
        <v>193</v>
      </c>
      <c r="B137" s="25" t="s">
        <v>825</v>
      </c>
      <c r="C137" s="25" t="s">
        <v>58</v>
      </c>
      <c r="D137" s="26" t="s">
        <v>826</v>
      </c>
      <c r="E137" s="27">
        <v>28900</v>
      </c>
      <c r="F137" s="27" t="s">
        <v>836</v>
      </c>
      <c r="G137" s="27" t="s">
        <v>837</v>
      </c>
      <c r="H137" s="25"/>
    </row>
    <row r="138" spans="1:8" x14ac:dyDescent="0.25">
      <c r="A138" t="s">
        <v>194</v>
      </c>
      <c r="B138" s="30"/>
      <c r="C138" s="30"/>
      <c r="D138" s="45"/>
      <c r="E138" s="29"/>
      <c r="F138" s="29"/>
      <c r="G138" s="29"/>
      <c r="H138" s="30"/>
    </row>
    <row r="139" spans="1:8" x14ac:dyDescent="0.25">
      <c r="A139" t="s">
        <v>195</v>
      </c>
      <c r="B139" s="25" t="s">
        <v>838</v>
      </c>
      <c r="C139" s="25" t="s">
        <v>781</v>
      </c>
      <c r="D139" s="26" t="s">
        <v>782</v>
      </c>
      <c r="E139" s="27">
        <v>60804</v>
      </c>
      <c r="F139" s="27" t="s">
        <v>839</v>
      </c>
      <c r="G139" s="27" t="s">
        <v>840</v>
      </c>
      <c r="H139" s="25"/>
    </row>
    <row r="140" spans="1:8" x14ac:dyDescent="0.25">
      <c r="A140" t="s">
        <v>196</v>
      </c>
      <c r="B140" s="51" t="s">
        <v>841</v>
      </c>
      <c r="C140" s="51" t="s">
        <v>58</v>
      </c>
      <c r="D140" s="26" t="s">
        <v>826</v>
      </c>
      <c r="E140" s="27"/>
      <c r="F140" s="27" t="s">
        <v>842</v>
      </c>
      <c r="G140" s="31" t="s">
        <v>843</v>
      </c>
      <c r="H140" s="25"/>
    </row>
    <row r="141" spans="1:8" x14ac:dyDescent="0.25">
      <c r="A141" t="s">
        <v>197</v>
      </c>
      <c r="B141" s="25" t="s">
        <v>844</v>
      </c>
      <c r="C141" s="25" t="s">
        <v>58</v>
      </c>
      <c r="D141" s="26" t="s">
        <v>826</v>
      </c>
      <c r="E141" s="27">
        <v>28900</v>
      </c>
      <c r="F141" s="27" t="s">
        <v>845</v>
      </c>
      <c r="G141" s="27" t="s">
        <v>846</v>
      </c>
      <c r="H141" s="25"/>
    </row>
    <row r="142" spans="1:8" x14ac:dyDescent="0.25">
      <c r="A142" t="s">
        <v>198</v>
      </c>
      <c r="B142" s="25" t="s">
        <v>847</v>
      </c>
      <c r="C142" s="25" t="s">
        <v>58</v>
      </c>
      <c r="D142" s="26" t="s">
        <v>803</v>
      </c>
      <c r="E142" s="27">
        <v>28935</v>
      </c>
      <c r="F142" s="27" t="s">
        <v>848</v>
      </c>
      <c r="G142" s="27" t="s">
        <v>849</v>
      </c>
      <c r="H142" s="25"/>
    </row>
    <row r="143" spans="1:8" x14ac:dyDescent="0.25">
      <c r="A143" t="s">
        <v>199</v>
      </c>
      <c r="B143" s="51" t="s">
        <v>850</v>
      </c>
      <c r="C143" s="51" t="s">
        <v>816</v>
      </c>
      <c r="D143" s="27" t="s">
        <v>851</v>
      </c>
      <c r="E143" s="27"/>
      <c r="F143" s="27" t="s">
        <v>852</v>
      </c>
      <c r="G143" s="27" t="s">
        <v>853</v>
      </c>
      <c r="H143" s="25"/>
    </row>
    <row r="144" spans="1:8" x14ac:dyDescent="0.25">
      <c r="A144" t="s">
        <v>200</v>
      </c>
      <c r="B144" s="25" t="s">
        <v>854</v>
      </c>
      <c r="C144" s="25" t="s">
        <v>58</v>
      </c>
      <c r="D144" s="26" t="s">
        <v>803</v>
      </c>
      <c r="E144" s="27">
        <v>28944</v>
      </c>
      <c r="F144" s="27" t="s">
        <v>855</v>
      </c>
      <c r="G144" s="27" t="s">
        <v>856</v>
      </c>
      <c r="H144" s="25"/>
    </row>
    <row r="145" spans="1:8" x14ac:dyDescent="0.25">
      <c r="A145" t="s">
        <v>201</v>
      </c>
      <c r="B145" s="25" t="s">
        <v>854</v>
      </c>
      <c r="C145" s="25" t="s">
        <v>58</v>
      </c>
      <c r="D145" s="26" t="s">
        <v>803</v>
      </c>
      <c r="E145" s="27">
        <v>28944</v>
      </c>
      <c r="F145" s="27" t="s">
        <v>857</v>
      </c>
      <c r="G145" s="27" t="s">
        <v>858</v>
      </c>
      <c r="H145" s="25"/>
    </row>
    <row r="146" spans="1:8" x14ac:dyDescent="0.25">
      <c r="A146" t="s">
        <v>202</v>
      </c>
      <c r="B146" s="25" t="s">
        <v>854</v>
      </c>
      <c r="C146" s="25" t="s">
        <v>58</v>
      </c>
      <c r="D146" s="26" t="s">
        <v>803</v>
      </c>
      <c r="E146" s="27">
        <v>28944</v>
      </c>
      <c r="F146" s="27" t="s">
        <v>859</v>
      </c>
      <c r="G146" s="27" t="s">
        <v>860</v>
      </c>
      <c r="H146" s="25"/>
    </row>
    <row r="147" spans="1:8" x14ac:dyDescent="0.25">
      <c r="A147" t="s">
        <v>203</v>
      </c>
      <c r="B147" s="51" t="s">
        <v>854</v>
      </c>
      <c r="C147" s="51" t="s">
        <v>58</v>
      </c>
      <c r="D147" s="27" t="s">
        <v>803</v>
      </c>
      <c r="E147" s="27"/>
      <c r="F147" s="27" t="s">
        <v>861</v>
      </c>
      <c r="G147" s="27" t="s">
        <v>862</v>
      </c>
      <c r="H147" s="25"/>
    </row>
    <row r="148" spans="1:8" x14ac:dyDescent="0.25">
      <c r="A148" t="s">
        <v>204</v>
      </c>
      <c r="B148" s="25" t="s">
        <v>863</v>
      </c>
      <c r="C148" s="25" t="s">
        <v>58</v>
      </c>
      <c r="D148" s="26" t="s">
        <v>803</v>
      </c>
      <c r="E148" s="27">
        <v>28900</v>
      </c>
      <c r="F148" s="27" t="s">
        <v>864</v>
      </c>
      <c r="G148" s="27" t="s">
        <v>865</v>
      </c>
      <c r="H148" s="25"/>
    </row>
    <row r="149" spans="1:8" x14ac:dyDescent="0.25">
      <c r="A149" t="s">
        <v>205</v>
      </c>
      <c r="B149" s="25" t="s">
        <v>863</v>
      </c>
      <c r="C149" s="25" t="s">
        <v>58</v>
      </c>
      <c r="D149" s="26" t="s">
        <v>803</v>
      </c>
      <c r="E149" s="27">
        <v>28900</v>
      </c>
      <c r="F149" s="27" t="s">
        <v>866</v>
      </c>
      <c r="G149" s="27" t="s">
        <v>867</v>
      </c>
      <c r="H149" s="25"/>
    </row>
    <row r="150" spans="1:8" x14ac:dyDescent="0.25">
      <c r="A150" t="s">
        <v>206</v>
      </c>
      <c r="B150" s="25" t="s">
        <v>868</v>
      </c>
      <c r="C150" s="25" t="s">
        <v>58</v>
      </c>
      <c r="D150" s="26" t="s">
        <v>803</v>
      </c>
      <c r="E150" s="27">
        <v>28300</v>
      </c>
      <c r="F150" s="27" t="s">
        <v>869</v>
      </c>
      <c r="G150" s="27" t="s">
        <v>870</v>
      </c>
      <c r="H150" s="25"/>
    </row>
    <row r="151" spans="1:8" x14ac:dyDescent="0.25">
      <c r="A151" t="s">
        <v>207</v>
      </c>
      <c r="B151" s="51" t="s">
        <v>871</v>
      </c>
      <c r="C151" s="51" t="s">
        <v>58</v>
      </c>
      <c r="D151" s="27" t="s">
        <v>803</v>
      </c>
      <c r="E151" s="27"/>
      <c r="F151" s="27" t="s">
        <v>872</v>
      </c>
      <c r="G151" s="27" t="s">
        <v>873</v>
      </c>
      <c r="H151" s="25"/>
    </row>
    <row r="152" spans="1:8" x14ac:dyDescent="0.25">
      <c r="A152" t="s">
        <v>208</v>
      </c>
      <c r="B152" s="30"/>
      <c r="C152" s="30"/>
      <c r="D152" s="45"/>
      <c r="E152" s="29"/>
      <c r="F152" s="29"/>
      <c r="G152" s="29"/>
      <c r="H152" s="30"/>
    </row>
    <row r="153" spans="1:8" x14ac:dyDescent="0.25">
      <c r="A153" t="s">
        <v>209</v>
      </c>
      <c r="B153" s="30"/>
      <c r="C153" s="30"/>
      <c r="D153" s="45"/>
      <c r="E153" s="29"/>
      <c r="F153" s="29"/>
      <c r="G153" s="29"/>
      <c r="H153" s="30"/>
    </row>
    <row r="154" spans="1:8" x14ac:dyDescent="0.25">
      <c r="A154" t="s">
        <v>210</v>
      </c>
      <c r="B154" s="25" t="s">
        <v>874</v>
      </c>
      <c r="C154" s="25" t="s">
        <v>781</v>
      </c>
      <c r="D154" s="26" t="s">
        <v>875</v>
      </c>
      <c r="E154" s="27">
        <v>60800</v>
      </c>
      <c r="F154" s="27" t="s">
        <v>876</v>
      </c>
      <c r="G154" s="27" t="s">
        <v>877</v>
      </c>
      <c r="H154" s="25"/>
    </row>
    <row r="155" spans="1:8" x14ac:dyDescent="0.25">
      <c r="A155" t="s">
        <v>211</v>
      </c>
      <c r="B155" s="42" t="s">
        <v>787</v>
      </c>
      <c r="C155" s="25" t="s">
        <v>781</v>
      </c>
      <c r="D155" s="26" t="s">
        <v>782</v>
      </c>
      <c r="E155" s="27">
        <v>60805</v>
      </c>
      <c r="F155" s="27" t="s">
        <v>878</v>
      </c>
      <c r="G155" s="27" t="s">
        <v>879</v>
      </c>
      <c r="H155" s="25"/>
    </row>
    <row r="156" spans="1:8" x14ac:dyDescent="0.25">
      <c r="A156" t="s">
        <v>212</v>
      </c>
      <c r="B156" s="42" t="s">
        <v>787</v>
      </c>
      <c r="C156" s="25" t="s">
        <v>781</v>
      </c>
      <c r="D156" s="26" t="s">
        <v>803</v>
      </c>
      <c r="E156" s="27">
        <v>60805</v>
      </c>
      <c r="F156" s="27" t="s">
        <v>880</v>
      </c>
      <c r="G156" s="27" t="s">
        <v>881</v>
      </c>
      <c r="H156" s="28"/>
    </row>
    <row r="157" spans="1:8" x14ac:dyDescent="0.25">
      <c r="A157" t="s">
        <v>213</v>
      </c>
      <c r="B157" s="30"/>
      <c r="C157" s="30"/>
      <c r="D157" s="45"/>
      <c r="E157" s="29"/>
      <c r="F157" s="29"/>
      <c r="G157" s="29"/>
      <c r="H157" s="30"/>
    </row>
    <row r="158" spans="1:8" x14ac:dyDescent="0.25">
      <c r="A158" t="s">
        <v>214</v>
      </c>
      <c r="B158" s="25" t="s">
        <v>882</v>
      </c>
      <c r="C158" s="25" t="s">
        <v>58</v>
      </c>
      <c r="D158" s="26" t="s">
        <v>803</v>
      </c>
      <c r="E158" s="27">
        <v>28930</v>
      </c>
      <c r="F158" s="27" t="s">
        <v>883</v>
      </c>
      <c r="G158" s="27" t="s">
        <v>884</v>
      </c>
      <c r="H158" s="28"/>
    </row>
    <row r="159" spans="1:8" x14ac:dyDescent="0.25">
      <c r="A159" t="s">
        <v>215</v>
      </c>
      <c r="B159" s="25"/>
      <c r="C159" s="25"/>
      <c r="D159" s="26" t="s">
        <v>885</v>
      </c>
      <c r="E159" s="27"/>
      <c r="F159" s="27"/>
      <c r="G159" s="27"/>
      <c r="H159" s="25"/>
    </row>
    <row r="160" spans="1:8" x14ac:dyDescent="0.25">
      <c r="A160" t="s">
        <v>216</v>
      </c>
      <c r="B160" s="25" t="s">
        <v>886</v>
      </c>
      <c r="C160" s="25" t="s">
        <v>58</v>
      </c>
      <c r="D160" s="26" t="s">
        <v>885</v>
      </c>
      <c r="E160" s="27">
        <v>28803</v>
      </c>
      <c r="F160" s="27" t="s">
        <v>887</v>
      </c>
      <c r="G160" s="31" t="s">
        <v>888</v>
      </c>
      <c r="H160" s="25"/>
    </row>
    <row r="161" spans="1:8" x14ac:dyDescent="0.25">
      <c r="A161" t="s">
        <v>217</v>
      </c>
      <c r="B161" s="25" t="s">
        <v>889</v>
      </c>
      <c r="C161" s="25" t="s">
        <v>58</v>
      </c>
      <c r="D161" s="26" t="s">
        <v>890</v>
      </c>
      <c r="E161" s="27">
        <v>28834</v>
      </c>
      <c r="F161" s="27" t="s">
        <v>891</v>
      </c>
      <c r="G161" s="27" t="s">
        <v>892</v>
      </c>
      <c r="H161" s="25"/>
    </row>
    <row r="162" spans="1:8" x14ac:dyDescent="0.25">
      <c r="A162" t="s">
        <v>218</v>
      </c>
      <c r="B162" s="25"/>
      <c r="C162" s="25"/>
      <c r="D162" s="26" t="s">
        <v>890</v>
      </c>
      <c r="E162" s="27"/>
      <c r="F162" s="27"/>
      <c r="G162" s="27"/>
      <c r="H162" s="25"/>
    </row>
    <row r="163" spans="1:8" x14ac:dyDescent="0.25">
      <c r="A163" t="s">
        <v>219</v>
      </c>
      <c r="B163" s="25"/>
      <c r="C163" s="25"/>
      <c r="D163" s="26" t="s">
        <v>885</v>
      </c>
      <c r="E163" s="27"/>
      <c r="F163" s="27"/>
      <c r="G163" s="27"/>
      <c r="H163" s="25"/>
    </row>
    <row r="164" spans="1:8" ht="24.75" x14ac:dyDescent="0.25">
      <c r="A164" t="s">
        <v>220</v>
      </c>
      <c r="B164" s="52" t="s">
        <v>893</v>
      </c>
      <c r="C164" s="25" t="s">
        <v>58</v>
      </c>
      <c r="D164" s="26" t="s">
        <v>890</v>
      </c>
      <c r="E164" s="27">
        <v>28838</v>
      </c>
      <c r="F164" t="s">
        <v>894</v>
      </c>
      <c r="G164" s="27"/>
      <c r="H164" s="25"/>
    </row>
    <row r="165" spans="1:8" x14ac:dyDescent="0.25">
      <c r="A165" t="s">
        <v>221</v>
      </c>
      <c r="B165" s="25" t="s">
        <v>886</v>
      </c>
      <c r="C165" s="25" t="s">
        <v>58</v>
      </c>
      <c r="D165" s="26" t="s">
        <v>885</v>
      </c>
      <c r="E165" s="27">
        <v>28803</v>
      </c>
      <c r="F165" s="27" t="s">
        <v>895</v>
      </c>
      <c r="G165" s="27" t="s">
        <v>896</v>
      </c>
      <c r="H165" s="25"/>
    </row>
    <row r="166" spans="1:8" x14ac:dyDescent="0.25">
      <c r="A166" t="s">
        <v>222</v>
      </c>
      <c r="B166" s="25" t="s">
        <v>897</v>
      </c>
      <c r="C166" s="25" t="s">
        <v>898</v>
      </c>
      <c r="D166" s="26" t="s">
        <v>890</v>
      </c>
      <c r="E166" s="27">
        <v>48995</v>
      </c>
      <c r="F166" s="27" t="s">
        <v>899</v>
      </c>
      <c r="G166" s="27" t="s">
        <v>900</v>
      </c>
      <c r="H166" s="25"/>
    </row>
    <row r="167" spans="1:8" x14ac:dyDescent="0.25">
      <c r="A167" t="s">
        <v>223</v>
      </c>
      <c r="B167" s="25"/>
      <c r="C167" s="25"/>
      <c r="D167" s="26"/>
      <c r="E167" s="27"/>
      <c r="F167" s="27"/>
      <c r="G167" s="27"/>
      <c r="H167" s="25"/>
    </row>
    <row r="168" spans="1:8" x14ac:dyDescent="0.25">
      <c r="A168" t="s">
        <v>224</v>
      </c>
      <c r="B168" s="25" t="s">
        <v>897</v>
      </c>
      <c r="C168" s="25" t="s">
        <v>898</v>
      </c>
      <c r="D168" s="26" t="s">
        <v>890</v>
      </c>
      <c r="E168" s="27">
        <v>48995</v>
      </c>
      <c r="F168" s="27" t="s">
        <v>901</v>
      </c>
      <c r="G168" s="27" t="s">
        <v>902</v>
      </c>
      <c r="H168" s="25"/>
    </row>
    <row r="169" spans="1:8" x14ac:dyDescent="0.25">
      <c r="A169" t="s">
        <v>225</v>
      </c>
      <c r="B169" s="30"/>
      <c r="C169" s="30"/>
      <c r="D169" s="45"/>
      <c r="E169" s="29"/>
      <c r="F169" s="29"/>
      <c r="G169" s="29"/>
      <c r="H169" s="30"/>
    </row>
    <row r="170" spans="1:8" x14ac:dyDescent="0.25">
      <c r="A170" t="s">
        <v>226</v>
      </c>
      <c r="B170" s="30" t="s">
        <v>903</v>
      </c>
      <c r="C170" s="30"/>
      <c r="D170" s="45"/>
      <c r="E170" s="29"/>
      <c r="F170" s="29"/>
      <c r="G170" s="29"/>
      <c r="H170" s="30"/>
    </row>
    <row r="171" spans="1:8" x14ac:dyDescent="0.25">
      <c r="A171" t="s">
        <v>227</v>
      </c>
      <c r="B171" s="30"/>
      <c r="C171" s="30"/>
      <c r="D171" s="45"/>
      <c r="E171" s="29"/>
      <c r="F171" s="29"/>
      <c r="G171" s="29"/>
      <c r="H171" s="30"/>
    </row>
    <row r="172" spans="1:8" x14ac:dyDescent="0.25">
      <c r="A172" t="s">
        <v>228</v>
      </c>
      <c r="B172" s="42" t="s">
        <v>787</v>
      </c>
      <c r="C172" s="25" t="s">
        <v>781</v>
      </c>
      <c r="D172" s="26" t="s">
        <v>782</v>
      </c>
      <c r="E172" s="27">
        <v>60806</v>
      </c>
      <c r="F172" s="27" t="s">
        <v>880</v>
      </c>
      <c r="G172" s="27" t="s">
        <v>904</v>
      </c>
      <c r="H172" s="25"/>
    </row>
    <row r="173" spans="1:8" x14ac:dyDescent="0.25">
      <c r="A173" t="s">
        <v>229</v>
      </c>
      <c r="B173" s="42" t="s">
        <v>787</v>
      </c>
      <c r="C173" s="25" t="s">
        <v>781</v>
      </c>
      <c r="D173" s="26" t="s">
        <v>782</v>
      </c>
      <c r="E173" s="53">
        <v>60805</v>
      </c>
      <c r="F173" s="27" t="s">
        <v>905</v>
      </c>
      <c r="G173" s="31" t="s">
        <v>906</v>
      </c>
      <c r="H173" s="25"/>
    </row>
    <row r="174" spans="1:8" x14ac:dyDescent="0.25">
      <c r="A174" t="s">
        <v>230</v>
      </c>
      <c r="B174" s="25" t="s">
        <v>907</v>
      </c>
      <c r="C174" s="25" t="s">
        <v>58</v>
      </c>
      <c r="D174" s="26" t="s">
        <v>907</v>
      </c>
      <c r="E174" s="27">
        <v>28834</v>
      </c>
      <c r="F174" s="27" t="s">
        <v>908</v>
      </c>
      <c r="G174" s="31" t="s">
        <v>909</v>
      </c>
      <c r="H174" s="54"/>
    </row>
    <row r="175" spans="1:8" x14ac:dyDescent="0.25">
      <c r="A175" t="s">
        <v>231</v>
      </c>
      <c r="B175" s="30"/>
      <c r="C175" s="30"/>
      <c r="D175" s="45"/>
      <c r="E175" s="29"/>
      <c r="F175" s="29"/>
      <c r="G175" s="29"/>
      <c r="H175" s="30"/>
    </row>
    <row r="176" spans="1:8" x14ac:dyDescent="0.25">
      <c r="A176" t="s">
        <v>232</v>
      </c>
      <c r="B176" s="25"/>
      <c r="C176" s="25"/>
      <c r="D176" s="26" t="s">
        <v>826</v>
      </c>
      <c r="E176" s="27"/>
      <c r="F176" s="27"/>
      <c r="G176" s="27"/>
      <c r="H176" s="25"/>
    </row>
    <row r="177" spans="1:8" x14ac:dyDescent="0.25">
      <c r="A177" t="s">
        <v>233</v>
      </c>
      <c r="B177" s="25" t="s">
        <v>910</v>
      </c>
      <c r="C177" s="25" t="s">
        <v>58</v>
      </c>
      <c r="D177" s="26" t="s">
        <v>826</v>
      </c>
      <c r="E177" s="27">
        <v>28940</v>
      </c>
      <c r="F177" s="27" t="s">
        <v>911</v>
      </c>
      <c r="G177" s="27" t="s">
        <v>912</v>
      </c>
      <c r="H177" s="25"/>
    </row>
    <row r="178" spans="1:8" x14ac:dyDescent="0.25">
      <c r="A178" s="17" t="s">
        <v>234</v>
      </c>
      <c r="B178" s="30" t="s">
        <v>910</v>
      </c>
      <c r="C178" s="30" t="s">
        <v>58</v>
      </c>
      <c r="D178" s="45" t="s">
        <v>826</v>
      </c>
      <c r="E178" s="29">
        <v>28940</v>
      </c>
      <c r="F178" s="29" t="s">
        <v>913</v>
      </c>
      <c r="G178" s="29" t="s">
        <v>914</v>
      </c>
      <c r="H178" s="30"/>
    </row>
    <row r="179" spans="1:8" x14ac:dyDescent="0.25">
      <c r="A179" t="s">
        <v>235</v>
      </c>
      <c r="B179" s="51" t="s">
        <v>915</v>
      </c>
      <c r="C179" s="51" t="s">
        <v>816</v>
      </c>
      <c r="D179" s="27" t="s">
        <v>916</v>
      </c>
      <c r="E179" s="27"/>
      <c r="F179" s="27" t="s">
        <v>917</v>
      </c>
      <c r="G179" s="27" t="s">
        <v>918</v>
      </c>
      <c r="H179" s="25"/>
    </row>
    <row r="180" spans="1:8" x14ac:dyDescent="0.25">
      <c r="A180" t="s">
        <v>236</v>
      </c>
      <c r="B180" s="25" t="s">
        <v>919</v>
      </c>
      <c r="C180" s="25" t="s">
        <v>816</v>
      </c>
      <c r="D180" s="26" t="s">
        <v>782</v>
      </c>
      <c r="E180" s="27"/>
      <c r="F180" s="27" t="s">
        <v>920</v>
      </c>
      <c r="G180" s="27"/>
      <c r="H180" s="25"/>
    </row>
    <row r="181" spans="1:8" x14ac:dyDescent="0.25">
      <c r="A181" t="s">
        <v>237</v>
      </c>
      <c r="B181" s="25" t="s">
        <v>822</v>
      </c>
      <c r="C181" s="25" t="s">
        <v>781</v>
      </c>
      <c r="D181" s="26" t="s">
        <v>782</v>
      </c>
      <c r="E181" s="27">
        <v>60804</v>
      </c>
      <c r="F181" s="27" t="s">
        <v>921</v>
      </c>
      <c r="G181" s="27" t="s">
        <v>922</v>
      </c>
      <c r="H181" s="25"/>
    </row>
    <row r="182" spans="1:8" x14ac:dyDescent="0.25">
      <c r="A182" t="s">
        <v>238</v>
      </c>
      <c r="B182" s="25" t="s">
        <v>923</v>
      </c>
      <c r="C182" s="25" t="s">
        <v>781</v>
      </c>
      <c r="D182" s="26" t="s">
        <v>782</v>
      </c>
      <c r="E182" s="27">
        <v>60800</v>
      </c>
      <c r="F182" s="27" t="s">
        <v>924</v>
      </c>
      <c r="G182" s="27" t="s">
        <v>925</v>
      </c>
      <c r="H182" s="25"/>
    </row>
    <row r="183" spans="1:8" x14ac:dyDescent="0.25">
      <c r="A183" t="s">
        <v>239</v>
      </c>
      <c r="B183" s="25" t="s">
        <v>926</v>
      </c>
      <c r="C183" s="25" t="s">
        <v>781</v>
      </c>
      <c r="D183" s="26" t="s">
        <v>927</v>
      </c>
      <c r="E183" s="27">
        <v>60807</v>
      </c>
      <c r="F183" s="27" t="s">
        <v>928</v>
      </c>
      <c r="G183" s="27" t="s">
        <v>929</v>
      </c>
      <c r="H183" s="25"/>
    </row>
    <row r="184" spans="1:8" x14ac:dyDescent="0.25">
      <c r="A184" t="s">
        <v>240</v>
      </c>
      <c r="B184" s="25" t="s">
        <v>930</v>
      </c>
      <c r="C184" s="25" t="s">
        <v>781</v>
      </c>
      <c r="D184" s="26" t="s">
        <v>927</v>
      </c>
      <c r="E184" s="27">
        <v>60807</v>
      </c>
      <c r="F184" s="27" t="s">
        <v>931</v>
      </c>
      <c r="G184" s="27" t="s">
        <v>932</v>
      </c>
      <c r="H184" s="25"/>
    </row>
    <row r="185" spans="1:8" x14ac:dyDescent="0.25">
      <c r="A185" t="s">
        <v>241</v>
      </c>
      <c r="B185" s="25" t="s">
        <v>923</v>
      </c>
      <c r="C185" s="25" t="s">
        <v>781</v>
      </c>
      <c r="D185" s="26" t="s">
        <v>782</v>
      </c>
      <c r="E185" s="27">
        <v>60800</v>
      </c>
      <c r="F185" s="27" t="s">
        <v>933</v>
      </c>
      <c r="G185" s="27" t="s">
        <v>934</v>
      </c>
      <c r="H185" s="25"/>
    </row>
    <row r="186" spans="1:8" x14ac:dyDescent="0.25">
      <c r="A186" t="s">
        <v>242</v>
      </c>
      <c r="B186" s="25" t="s">
        <v>923</v>
      </c>
      <c r="C186" s="25" t="s">
        <v>781</v>
      </c>
      <c r="D186" s="26" t="s">
        <v>782</v>
      </c>
      <c r="E186" s="27">
        <v>60800</v>
      </c>
      <c r="F186" s="27" t="s">
        <v>935</v>
      </c>
      <c r="G186" s="27" t="s">
        <v>936</v>
      </c>
      <c r="H186" s="25"/>
    </row>
    <row r="187" spans="1:8" x14ac:dyDescent="0.25">
      <c r="A187" t="s">
        <v>243</v>
      </c>
      <c r="B187" s="42" t="s">
        <v>787</v>
      </c>
      <c r="C187" s="25" t="s">
        <v>781</v>
      </c>
      <c r="D187" s="26" t="s">
        <v>782</v>
      </c>
      <c r="E187" s="27">
        <v>60380</v>
      </c>
      <c r="F187" s="27" t="s">
        <v>937</v>
      </c>
      <c r="G187" s="31" t="s">
        <v>938</v>
      </c>
      <c r="H187" s="25"/>
    </row>
    <row r="188" spans="1:8" x14ac:dyDescent="0.25">
      <c r="A188" t="s">
        <v>244</v>
      </c>
      <c r="B188" s="30"/>
      <c r="C188" s="30"/>
      <c r="D188" s="45"/>
      <c r="E188" s="29"/>
      <c r="F188" s="29"/>
      <c r="G188" s="29"/>
      <c r="H188" s="30"/>
    </row>
    <row r="189" spans="1:8" x14ac:dyDescent="0.25">
      <c r="A189" t="s">
        <v>245</v>
      </c>
      <c r="B189" s="25" t="s">
        <v>939</v>
      </c>
      <c r="C189" s="25"/>
      <c r="D189" s="26" t="s">
        <v>782</v>
      </c>
      <c r="E189" s="53">
        <v>60805</v>
      </c>
      <c r="F189" s="27" t="s">
        <v>940</v>
      </c>
      <c r="G189" s="27"/>
      <c r="H189" s="25"/>
    </row>
    <row r="190" spans="1:8" x14ac:dyDescent="0.25">
      <c r="A190" t="s">
        <v>246</v>
      </c>
      <c r="B190" s="30"/>
      <c r="C190" s="30"/>
      <c r="D190" s="45"/>
      <c r="E190" s="29"/>
      <c r="F190" s="29"/>
      <c r="G190" s="29"/>
      <c r="H190" s="30"/>
    </row>
    <row r="191" spans="1:8" x14ac:dyDescent="0.25">
      <c r="A191" t="s">
        <v>247</v>
      </c>
      <c r="B191" s="30"/>
      <c r="C191" s="30"/>
      <c r="D191" s="45"/>
      <c r="E191" s="29"/>
      <c r="F191" s="29"/>
      <c r="G191" s="29"/>
      <c r="H191" s="30"/>
    </row>
    <row r="192" spans="1:8" x14ac:dyDescent="0.25">
      <c r="A192" t="s">
        <v>248</v>
      </c>
      <c r="B192" s="55" t="s">
        <v>841</v>
      </c>
      <c r="C192" s="55" t="s">
        <v>58</v>
      </c>
      <c r="D192" s="26" t="s">
        <v>826</v>
      </c>
      <c r="E192" s="27">
        <v>28900</v>
      </c>
      <c r="F192" s="27" t="s">
        <v>941</v>
      </c>
      <c r="G192" s="27" t="s">
        <v>942</v>
      </c>
      <c r="H192" s="25"/>
    </row>
    <row r="193" spans="1:8" x14ac:dyDescent="0.25">
      <c r="A193" t="s">
        <v>249</v>
      </c>
      <c r="B193" s="19" t="s">
        <v>844</v>
      </c>
      <c r="C193" s="25" t="s">
        <v>58</v>
      </c>
      <c r="D193" s="26" t="s">
        <v>826</v>
      </c>
      <c r="E193" s="27">
        <v>28900</v>
      </c>
      <c r="F193" s="27"/>
      <c r="G193" s="27"/>
      <c r="H193" s="25"/>
    </row>
    <row r="194" spans="1:8" x14ac:dyDescent="0.25">
      <c r="A194" s="17" t="s">
        <v>250</v>
      </c>
      <c r="B194" s="32"/>
      <c r="C194" s="32"/>
      <c r="D194" s="33" t="s">
        <v>782</v>
      </c>
      <c r="E194" s="34"/>
      <c r="F194" s="34"/>
      <c r="G194" s="34"/>
      <c r="H194" s="32"/>
    </row>
    <row r="195" spans="1:8" x14ac:dyDescent="0.25">
      <c r="A195" t="s">
        <v>251</v>
      </c>
      <c r="B195" s="30"/>
      <c r="C195" s="30"/>
      <c r="D195" s="45"/>
      <c r="E195" s="29"/>
      <c r="F195" s="29"/>
      <c r="G195" s="29"/>
      <c r="H195" s="30"/>
    </row>
    <row r="196" spans="1:8" ht="36.75" x14ac:dyDescent="0.25">
      <c r="A196" t="s">
        <v>252</v>
      </c>
      <c r="B196" s="52" t="s">
        <v>943</v>
      </c>
      <c r="C196" s="25" t="s">
        <v>781</v>
      </c>
      <c r="D196" s="26" t="s">
        <v>782</v>
      </c>
      <c r="E196" s="27"/>
      <c r="F196" t="s">
        <v>944</v>
      </c>
      <c r="G196" s="27"/>
      <c r="H196" s="25"/>
    </row>
    <row r="197" spans="1:8" x14ac:dyDescent="0.25">
      <c r="A197" t="s">
        <v>253</v>
      </c>
      <c r="B197" s="25"/>
      <c r="C197" s="25"/>
      <c r="D197" s="26" t="s">
        <v>927</v>
      </c>
      <c r="E197" s="27"/>
      <c r="F197" s="27"/>
      <c r="G197" s="27"/>
      <c r="H197" s="25"/>
    </row>
    <row r="198" spans="1:8" x14ac:dyDescent="0.25">
      <c r="A198" t="s">
        <v>254</v>
      </c>
      <c r="B198" s="25"/>
      <c r="C198" s="25"/>
      <c r="D198" s="26" t="s">
        <v>782</v>
      </c>
      <c r="E198" s="27"/>
      <c r="F198" s="27"/>
      <c r="G198" s="27"/>
      <c r="H198" s="25"/>
    </row>
    <row r="199" spans="1:8" x14ac:dyDescent="0.25">
      <c r="A199" t="s">
        <v>255</v>
      </c>
      <c r="B199" s="25" t="s">
        <v>923</v>
      </c>
      <c r="C199" s="25" t="s">
        <v>781</v>
      </c>
      <c r="D199" s="26" t="s">
        <v>945</v>
      </c>
      <c r="E199" s="27">
        <v>61800</v>
      </c>
      <c r="F199" s="27" t="s">
        <v>946</v>
      </c>
      <c r="G199" s="27" t="s">
        <v>947</v>
      </c>
      <c r="H199" s="25"/>
    </row>
    <row r="200" spans="1:8" x14ac:dyDescent="0.25">
      <c r="A200" t="s">
        <v>256</v>
      </c>
      <c r="B200" s="25" t="s">
        <v>815</v>
      </c>
      <c r="C200" s="25" t="s">
        <v>816</v>
      </c>
      <c r="D200" s="26" t="s">
        <v>782</v>
      </c>
      <c r="E200" s="27"/>
      <c r="F200" s="27" t="s">
        <v>948</v>
      </c>
      <c r="G200" s="27"/>
      <c r="H200" s="25"/>
    </row>
    <row r="201" spans="1:8" x14ac:dyDescent="0.25">
      <c r="A201" t="s">
        <v>257</v>
      </c>
      <c r="B201" s="25" t="s">
        <v>949</v>
      </c>
      <c r="C201" s="25" t="s">
        <v>781</v>
      </c>
      <c r="D201" s="26" t="s">
        <v>851</v>
      </c>
      <c r="E201" s="27">
        <v>60727</v>
      </c>
      <c r="F201" s="27" t="s">
        <v>950</v>
      </c>
      <c r="G201" s="27" t="s">
        <v>951</v>
      </c>
      <c r="H201" s="25"/>
    </row>
    <row r="202" spans="1:8" ht="15.75" thickBot="1" x14ac:dyDescent="0.3">
      <c r="A202" t="s">
        <v>258</v>
      </c>
      <c r="B202" s="56"/>
      <c r="C202" s="25"/>
      <c r="D202" s="26" t="s">
        <v>782</v>
      </c>
      <c r="E202" s="27"/>
      <c r="F202" s="27"/>
      <c r="G202" s="27"/>
      <c r="H202" s="25"/>
    </row>
    <row r="203" spans="1:8" x14ac:dyDescent="0.25">
      <c r="A203" t="s">
        <v>259</v>
      </c>
      <c r="B203" s="25" t="s">
        <v>841</v>
      </c>
      <c r="C203" s="25" t="s">
        <v>58</v>
      </c>
      <c r="D203" s="26" t="s">
        <v>826</v>
      </c>
      <c r="E203" s="27">
        <v>28900</v>
      </c>
      <c r="F203" s="27" t="s">
        <v>952</v>
      </c>
      <c r="G203" s="27" t="s">
        <v>953</v>
      </c>
      <c r="H203" s="25"/>
    </row>
    <row r="204" spans="1:8" x14ac:dyDescent="0.25">
      <c r="A204" t="s">
        <v>260</v>
      </c>
      <c r="B204" s="30" t="s">
        <v>954</v>
      </c>
      <c r="C204" s="30" t="s">
        <v>58</v>
      </c>
      <c r="D204" s="45" t="s">
        <v>955</v>
      </c>
      <c r="E204" s="29">
        <v>28936</v>
      </c>
      <c r="F204" s="29" t="s">
        <v>956</v>
      </c>
      <c r="G204" s="29" t="s">
        <v>957</v>
      </c>
      <c r="H204" s="30"/>
    </row>
    <row r="205" spans="1:8" x14ac:dyDescent="0.25">
      <c r="A205" t="s">
        <v>261</v>
      </c>
      <c r="B205" s="43" t="s">
        <v>958</v>
      </c>
      <c r="C205" s="25" t="s">
        <v>816</v>
      </c>
      <c r="D205" s="26" t="s">
        <v>782</v>
      </c>
      <c r="E205" s="27"/>
      <c r="F205" s="27" t="s">
        <v>959</v>
      </c>
      <c r="G205" s="27"/>
      <c r="H205" s="25"/>
    </row>
    <row r="206" spans="1:8" x14ac:dyDescent="0.25">
      <c r="A206" s="17" t="s">
        <v>262</v>
      </c>
      <c r="B206" s="30"/>
      <c r="C206" s="30"/>
      <c r="D206" s="45" t="s">
        <v>782</v>
      </c>
      <c r="E206" s="29"/>
      <c r="F206" s="29"/>
      <c r="G206" s="29"/>
      <c r="H206" s="30"/>
    </row>
    <row r="207" spans="1:8" x14ac:dyDescent="0.25">
      <c r="A207" t="s">
        <v>263</v>
      </c>
      <c r="B207" s="30"/>
      <c r="C207" s="25"/>
      <c r="D207" s="26" t="s">
        <v>782</v>
      </c>
      <c r="E207" s="27"/>
      <c r="F207" s="27" t="s">
        <v>960</v>
      </c>
      <c r="G207" s="27"/>
      <c r="H207" s="25"/>
    </row>
    <row r="208" spans="1:8" x14ac:dyDescent="0.25">
      <c r="A208" t="s">
        <v>264</v>
      </c>
      <c r="B208" s="57" t="s">
        <v>813</v>
      </c>
      <c r="C208" s="25" t="s">
        <v>781</v>
      </c>
      <c r="D208" s="26" t="s">
        <v>782</v>
      </c>
      <c r="E208" s="27"/>
      <c r="F208" s="27" t="s">
        <v>961</v>
      </c>
      <c r="G208" s="27"/>
      <c r="H208" s="25"/>
    </row>
    <row r="209" spans="1:8" x14ac:dyDescent="0.25">
      <c r="A209" t="s">
        <v>265</v>
      </c>
      <c r="B209" s="42" t="s">
        <v>787</v>
      </c>
      <c r="C209" s="25" t="s">
        <v>781</v>
      </c>
      <c r="D209" s="26" t="s">
        <v>782</v>
      </c>
      <c r="E209" s="27">
        <v>60805</v>
      </c>
      <c r="F209" s="27" t="s">
        <v>962</v>
      </c>
      <c r="G209" s="27" t="s">
        <v>963</v>
      </c>
      <c r="H209" s="25"/>
    </row>
    <row r="210" spans="1:8" x14ac:dyDescent="0.25">
      <c r="A210" t="s">
        <v>266</v>
      </c>
      <c r="B210" s="42" t="s">
        <v>787</v>
      </c>
      <c r="C210" s="25" t="s">
        <v>781</v>
      </c>
      <c r="D210" s="26" t="s">
        <v>782</v>
      </c>
      <c r="E210" s="27">
        <v>60805</v>
      </c>
      <c r="F210" s="27" t="s">
        <v>964</v>
      </c>
      <c r="G210" s="27" t="s">
        <v>965</v>
      </c>
      <c r="H210" s="25"/>
    </row>
    <row r="211" spans="1:8" x14ac:dyDescent="0.25">
      <c r="A211" t="s">
        <v>267</v>
      </c>
      <c r="B211" s="25"/>
      <c r="C211" s="25"/>
      <c r="D211" s="26" t="s">
        <v>782</v>
      </c>
      <c r="E211" s="27"/>
      <c r="F211" s="27"/>
      <c r="G211" s="27"/>
      <c r="H211" s="25"/>
    </row>
    <row r="212" spans="1:8" x14ac:dyDescent="0.25">
      <c r="A212" t="s">
        <v>268</v>
      </c>
      <c r="B212" s="30"/>
      <c r="C212" s="30"/>
      <c r="D212" s="45" t="s">
        <v>966</v>
      </c>
      <c r="E212" s="29"/>
      <c r="F212" s="29"/>
      <c r="G212" s="29"/>
      <c r="H212" s="30"/>
    </row>
    <row r="213" spans="1:8" x14ac:dyDescent="0.25">
      <c r="A213" t="s">
        <v>269</v>
      </c>
      <c r="B213" s="25" t="s">
        <v>967</v>
      </c>
      <c r="C213" s="25" t="s">
        <v>58</v>
      </c>
      <c r="D213" s="26" t="s">
        <v>803</v>
      </c>
      <c r="E213" s="27">
        <v>28130</v>
      </c>
      <c r="F213" s="27" t="s">
        <v>968</v>
      </c>
      <c r="G213" s="27" t="s">
        <v>969</v>
      </c>
      <c r="H213" s="28"/>
    </row>
    <row r="214" spans="1:8" x14ac:dyDescent="0.25">
      <c r="A214" t="s">
        <v>270</v>
      </c>
      <c r="B214" s="25" t="s">
        <v>970</v>
      </c>
      <c r="C214" s="25" t="s">
        <v>816</v>
      </c>
      <c r="D214" s="26" t="s">
        <v>782</v>
      </c>
      <c r="E214" s="53">
        <v>60805</v>
      </c>
      <c r="F214" s="27" t="s">
        <v>971</v>
      </c>
      <c r="G214" s="27"/>
      <c r="H214" s="25"/>
    </row>
    <row r="215" spans="1:8" x14ac:dyDescent="0.25">
      <c r="A215" t="s">
        <v>271</v>
      </c>
      <c r="B215" s="25" t="s">
        <v>871</v>
      </c>
      <c r="C215" s="25" t="s">
        <v>58</v>
      </c>
      <c r="D215" s="26" t="s">
        <v>803</v>
      </c>
      <c r="E215" s="50">
        <v>28930</v>
      </c>
      <c r="F215" s="27" t="s">
        <v>972</v>
      </c>
      <c r="G215" s="27" t="s">
        <v>973</v>
      </c>
      <c r="H215" s="25"/>
    </row>
    <row r="216" spans="1:8" x14ac:dyDescent="0.25">
      <c r="A216" t="s">
        <v>272</v>
      </c>
      <c r="B216" s="30"/>
      <c r="C216" s="30"/>
      <c r="D216" s="45"/>
      <c r="E216" s="29"/>
      <c r="F216" s="29"/>
      <c r="G216" s="29"/>
      <c r="H216" s="30"/>
    </row>
    <row r="217" spans="1:8" x14ac:dyDescent="0.25">
      <c r="A217" t="s">
        <v>273</v>
      </c>
      <c r="B217" s="25" t="s">
        <v>974</v>
      </c>
      <c r="C217" s="25" t="s">
        <v>816</v>
      </c>
      <c r="D217" s="26" t="s">
        <v>782</v>
      </c>
      <c r="E217" s="27"/>
      <c r="F217" s="27" t="s">
        <v>975</v>
      </c>
      <c r="G217" s="27" t="s">
        <v>976</v>
      </c>
      <c r="H217" s="25"/>
    </row>
    <row r="218" spans="1:8" x14ac:dyDescent="0.25">
      <c r="A218" t="s">
        <v>274</v>
      </c>
      <c r="B218" s="25" t="s">
        <v>977</v>
      </c>
      <c r="C218" s="25" t="s">
        <v>58</v>
      </c>
      <c r="D218" s="26" t="s">
        <v>803</v>
      </c>
      <c r="E218" s="27"/>
      <c r="F218" s="27" t="s">
        <v>978</v>
      </c>
      <c r="G218" s="27" t="s">
        <v>979</v>
      </c>
      <c r="H218" s="28"/>
    </row>
    <row r="219" spans="1:8" x14ac:dyDescent="0.25">
      <c r="A219" t="s">
        <v>275</v>
      </c>
      <c r="B219" s="25"/>
      <c r="C219" s="25"/>
      <c r="D219" s="26" t="s">
        <v>826</v>
      </c>
      <c r="E219" s="27"/>
      <c r="F219" s="27"/>
      <c r="G219" s="27"/>
      <c r="H219" s="25"/>
    </row>
    <row r="220" spans="1:8" x14ac:dyDescent="0.25">
      <c r="A220" t="s">
        <v>276</v>
      </c>
      <c r="B220" s="25"/>
      <c r="C220" s="25"/>
      <c r="D220" s="26" t="s">
        <v>782</v>
      </c>
      <c r="E220" s="27"/>
      <c r="F220" s="27"/>
      <c r="G220" s="27"/>
      <c r="H220" s="25"/>
    </row>
    <row r="221" spans="1:8" x14ac:dyDescent="0.25">
      <c r="A221" s="17" t="s">
        <v>277</v>
      </c>
      <c r="B221" s="30"/>
      <c r="C221" s="30"/>
      <c r="D221" s="45" t="s">
        <v>782</v>
      </c>
      <c r="E221" s="29"/>
      <c r="F221" s="29"/>
      <c r="G221" s="29"/>
      <c r="H221" s="30"/>
    </row>
    <row r="222" spans="1:8" x14ac:dyDescent="0.25">
      <c r="A222" t="s">
        <v>278</v>
      </c>
      <c r="B222" s="25" t="s">
        <v>980</v>
      </c>
      <c r="C222" s="25" t="s">
        <v>781</v>
      </c>
      <c r="D222" s="26" t="s">
        <v>875</v>
      </c>
      <c r="E222" s="27">
        <v>58000</v>
      </c>
      <c r="F222" s="27" t="s">
        <v>981</v>
      </c>
      <c r="G222" s="31" t="s">
        <v>982</v>
      </c>
      <c r="H222" s="25"/>
    </row>
    <row r="223" spans="1:8" x14ac:dyDescent="0.25">
      <c r="A223" t="s">
        <v>279</v>
      </c>
      <c r="B223" s="51" t="s">
        <v>841</v>
      </c>
      <c r="C223" s="51" t="s">
        <v>58</v>
      </c>
      <c r="D223" s="26" t="s">
        <v>826</v>
      </c>
      <c r="E223" s="27"/>
      <c r="F223" s="27" t="s">
        <v>983</v>
      </c>
      <c r="G223" s="27" t="s">
        <v>984</v>
      </c>
      <c r="H223" s="25"/>
    </row>
    <row r="224" spans="1:8" x14ac:dyDescent="0.25">
      <c r="A224" t="s">
        <v>280</v>
      </c>
      <c r="B224" s="25"/>
      <c r="C224" s="25"/>
      <c r="D224" s="26" t="s">
        <v>826</v>
      </c>
      <c r="E224" s="50">
        <v>28930</v>
      </c>
      <c r="F224" s="27"/>
      <c r="G224" s="27"/>
      <c r="H224" s="25"/>
    </row>
    <row r="225" spans="1:8" x14ac:dyDescent="0.25">
      <c r="A225" t="s">
        <v>281</v>
      </c>
      <c r="B225" s="30"/>
      <c r="C225" s="30"/>
      <c r="D225" s="45"/>
      <c r="E225" s="29"/>
      <c r="F225" s="29"/>
      <c r="G225" s="29"/>
      <c r="H225" s="30"/>
    </row>
    <row r="226" spans="1:8" x14ac:dyDescent="0.25">
      <c r="A226" t="s">
        <v>282</v>
      </c>
      <c r="B226" s="27" t="s">
        <v>985</v>
      </c>
      <c r="C226" s="25" t="s">
        <v>781</v>
      </c>
      <c r="D226" s="26" t="s">
        <v>782</v>
      </c>
      <c r="E226" s="27">
        <v>60804</v>
      </c>
      <c r="F226" s="27" t="s">
        <v>986</v>
      </c>
      <c r="G226" s="27" t="s">
        <v>987</v>
      </c>
      <c r="H226" s="25"/>
    </row>
    <row r="227" spans="1:8" x14ac:dyDescent="0.25">
      <c r="A227" t="s">
        <v>283</v>
      </c>
      <c r="B227" s="25"/>
      <c r="C227" s="25"/>
      <c r="D227" s="58"/>
      <c r="E227" s="59"/>
      <c r="F227" s="27"/>
      <c r="G227" s="27"/>
      <c r="H227" s="25"/>
    </row>
    <row r="228" spans="1:8" ht="15.75" thickBot="1" x14ac:dyDescent="0.3">
      <c r="A228" t="s">
        <v>284</v>
      </c>
      <c r="B228" s="56" t="s">
        <v>988</v>
      </c>
      <c r="C228" s="25" t="s">
        <v>816</v>
      </c>
      <c r="D228" s="26" t="s">
        <v>875</v>
      </c>
      <c r="E228" s="27"/>
      <c r="F228" s="27" t="s">
        <v>989</v>
      </c>
      <c r="G228" s="27" t="s">
        <v>990</v>
      </c>
      <c r="H228" s="25"/>
    </row>
    <row r="229" spans="1:8" x14ac:dyDescent="0.25">
      <c r="A229" t="s">
        <v>285</v>
      </c>
      <c r="B229" s="25"/>
      <c r="C229" s="25"/>
      <c r="D229" s="26" t="s">
        <v>875</v>
      </c>
      <c r="E229" s="27"/>
      <c r="F229" s="27"/>
      <c r="G229" s="27"/>
      <c r="H229" s="25"/>
    </row>
    <row r="230" spans="1:8" x14ac:dyDescent="0.25">
      <c r="A230" t="s">
        <v>286</v>
      </c>
      <c r="B230" s="30"/>
      <c r="C230" s="30"/>
      <c r="D230" s="45"/>
      <c r="E230" s="29"/>
      <c r="F230" s="29"/>
      <c r="G230" s="29"/>
      <c r="H230" s="30"/>
    </row>
    <row r="231" spans="1:8" x14ac:dyDescent="0.25">
      <c r="A231" t="s">
        <v>287</v>
      </c>
      <c r="B231" s="30"/>
      <c r="C231" s="30"/>
      <c r="D231" s="45"/>
      <c r="E231" s="29"/>
      <c r="F231" s="29"/>
      <c r="G231" s="29"/>
      <c r="H231" s="30"/>
    </row>
    <row r="232" spans="1:8" x14ac:dyDescent="0.25">
      <c r="A232" t="s">
        <v>288</v>
      </c>
      <c r="B232" s="19"/>
      <c r="C232" s="19"/>
      <c r="D232" s="26" t="s">
        <v>782</v>
      </c>
      <c r="E232" s="27"/>
      <c r="F232" s="27"/>
      <c r="G232" s="27"/>
      <c r="H232" s="25"/>
    </row>
    <row r="233" spans="1:8" x14ac:dyDescent="0.25">
      <c r="A233" t="s">
        <v>289</v>
      </c>
      <c r="B233" s="19"/>
      <c r="C233" s="19"/>
      <c r="D233" s="26" t="s">
        <v>782</v>
      </c>
      <c r="E233" s="27"/>
      <c r="F233" s="27"/>
      <c r="G233" s="27"/>
      <c r="H233" s="25"/>
    </row>
    <row r="234" spans="1:8" x14ac:dyDescent="0.25">
      <c r="A234" t="s">
        <v>290</v>
      </c>
      <c r="B234" s="25" t="s">
        <v>991</v>
      </c>
      <c r="C234" s="25" t="s">
        <v>898</v>
      </c>
      <c r="D234" s="26" t="s">
        <v>890</v>
      </c>
      <c r="E234" s="27">
        <v>48983</v>
      </c>
      <c r="F234" s="27" t="s">
        <v>992</v>
      </c>
      <c r="G234" s="27" t="s">
        <v>993</v>
      </c>
      <c r="H234" s="25"/>
    </row>
    <row r="235" spans="1:8" x14ac:dyDescent="0.25">
      <c r="A235" t="s">
        <v>291</v>
      </c>
      <c r="B235" s="19"/>
      <c r="C235" s="19"/>
      <c r="D235" s="26" t="s">
        <v>875</v>
      </c>
      <c r="E235" s="27"/>
      <c r="F235" s="27"/>
      <c r="G235" s="27"/>
      <c r="H235" s="25"/>
    </row>
    <row r="236" spans="1:8" x14ac:dyDescent="0.25">
      <c r="A236" t="s">
        <v>292</v>
      </c>
      <c r="B236" s="19"/>
      <c r="C236" s="19"/>
      <c r="D236" s="58" t="s">
        <v>994</v>
      </c>
      <c r="E236" s="59"/>
      <c r="F236" s="27"/>
      <c r="G236" s="27"/>
      <c r="H236" s="25"/>
    </row>
    <row r="237" spans="1:8" x14ac:dyDescent="0.25">
      <c r="A237" t="s">
        <v>293</v>
      </c>
      <c r="B237" s="19"/>
      <c r="C237" s="19"/>
      <c r="D237" s="26" t="s">
        <v>782</v>
      </c>
      <c r="E237" s="27"/>
      <c r="F237" s="27"/>
      <c r="G237" s="27"/>
      <c r="H237" s="25"/>
    </row>
    <row r="238" spans="1:8" x14ac:dyDescent="0.25">
      <c r="A238" t="s">
        <v>294</v>
      </c>
      <c r="B238" s="60" t="s">
        <v>995</v>
      </c>
      <c r="C238" s="60" t="s">
        <v>781</v>
      </c>
      <c r="D238" s="33" t="s">
        <v>994</v>
      </c>
      <c r="E238" s="34">
        <v>60806</v>
      </c>
      <c r="F238" s="34" t="s">
        <v>989</v>
      </c>
      <c r="G238" s="61" t="s">
        <v>996</v>
      </c>
      <c r="H238" s="32"/>
    </row>
    <row r="239" spans="1:8" x14ac:dyDescent="0.25">
      <c r="A239" t="s">
        <v>295</v>
      </c>
      <c r="B239" s="19"/>
      <c r="C239" s="19"/>
      <c r="D239" s="58"/>
      <c r="E239" s="59"/>
      <c r="F239" s="27"/>
      <c r="G239" s="27"/>
      <c r="H239" s="25"/>
    </row>
    <row r="240" spans="1:8" x14ac:dyDescent="0.25">
      <c r="A240" t="s">
        <v>296</v>
      </c>
      <c r="B240" s="19"/>
      <c r="C240" s="19"/>
      <c r="D240" s="58"/>
      <c r="E240" s="59"/>
      <c r="F240" s="27"/>
      <c r="G240" s="27"/>
      <c r="H240" s="25"/>
    </row>
    <row r="241" spans="1:8" x14ac:dyDescent="0.25">
      <c r="A241" t="s">
        <v>297</v>
      </c>
      <c r="B241" s="43" t="s">
        <v>997</v>
      </c>
      <c r="C241" s="19" t="s">
        <v>816</v>
      </c>
      <c r="D241" s="26" t="s">
        <v>875</v>
      </c>
      <c r="E241" s="27">
        <v>60806</v>
      </c>
      <c r="F241" s="27" t="s">
        <v>998</v>
      </c>
      <c r="G241" s="27"/>
      <c r="H241" s="25"/>
    </row>
    <row r="242" spans="1:8" x14ac:dyDescent="0.25">
      <c r="A242" t="s">
        <v>298</v>
      </c>
      <c r="B242" s="19"/>
      <c r="C242" s="19"/>
      <c r="D242" s="26" t="s">
        <v>803</v>
      </c>
      <c r="E242" s="27"/>
      <c r="F242" s="27"/>
      <c r="G242" s="27"/>
      <c r="H242" s="28"/>
    </row>
    <row r="243" spans="1:8" x14ac:dyDescent="0.25">
      <c r="A243" t="s">
        <v>299</v>
      </c>
      <c r="B243" s="25" t="s">
        <v>954</v>
      </c>
      <c r="C243" s="25" t="s">
        <v>58</v>
      </c>
      <c r="D243" s="26" t="s">
        <v>803</v>
      </c>
      <c r="E243" s="27">
        <v>28936</v>
      </c>
      <c r="F243" s="27" t="s">
        <v>956</v>
      </c>
      <c r="G243" s="27" t="s">
        <v>957</v>
      </c>
      <c r="H243" s="25"/>
    </row>
    <row r="244" spans="1:8" x14ac:dyDescent="0.25">
      <c r="A244" t="s">
        <v>300</v>
      </c>
      <c r="B244" s="19"/>
      <c r="C244" s="19"/>
      <c r="D244" s="26" t="s">
        <v>782</v>
      </c>
      <c r="E244" s="27"/>
      <c r="F244" s="27"/>
      <c r="G244" s="27"/>
      <c r="H244" s="25"/>
    </row>
    <row r="245" spans="1:8" x14ac:dyDescent="0.25">
      <c r="A245" t="s">
        <v>301</v>
      </c>
      <c r="B245" s="42" t="s">
        <v>787</v>
      </c>
      <c r="C245" s="19" t="s">
        <v>781</v>
      </c>
      <c r="D245" s="26" t="s">
        <v>782</v>
      </c>
      <c r="E245" s="27">
        <v>60805</v>
      </c>
      <c r="F245" s="27" t="s">
        <v>999</v>
      </c>
      <c r="G245" s="31" t="s">
        <v>1000</v>
      </c>
      <c r="H245" s="25"/>
    </row>
    <row r="246" spans="1:8" x14ac:dyDescent="0.25">
      <c r="A246" t="s">
        <v>302</v>
      </c>
      <c r="B246" s="19"/>
      <c r="C246" s="19"/>
      <c r="D246" s="26" t="s">
        <v>826</v>
      </c>
      <c r="E246" s="27"/>
      <c r="F246" s="27"/>
      <c r="G246" s="27"/>
      <c r="H246" s="25"/>
    </row>
    <row r="247" spans="1:8" x14ac:dyDescent="0.25">
      <c r="A247" t="s">
        <v>303</v>
      </c>
      <c r="B247" s="19"/>
      <c r="C247" s="19"/>
      <c r="D247" s="26" t="s">
        <v>803</v>
      </c>
      <c r="E247" s="27"/>
      <c r="F247" s="27"/>
      <c r="G247" s="27"/>
      <c r="H247" s="25"/>
    </row>
    <row r="248" spans="1:8" x14ac:dyDescent="0.25">
      <c r="A248" t="s">
        <v>304</v>
      </c>
      <c r="B248" s="19"/>
      <c r="C248" s="19"/>
      <c r="D248" s="26" t="s">
        <v>875</v>
      </c>
      <c r="E248" s="27"/>
      <c r="F248" s="27"/>
      <c r="G248" s="27"/>
      <c r="H248" s="25"/>
    </row>
    <row r="249" spans="1:8" x14ac:dyDescent="0.25">
      <c r="A249" t="s">
        <v>305</v>
      </c>
      <c r="B249" s="19"/>
      <c r="C249" s="19"/>
      <c r="D249" s="26" t="s">
        <v>782</v>
      </c>
      <c r="E249" s="27"/>
      <c r="F249" s="27"/>
      <c r="G249" s="27"/>
      <c r="H249" s="25"/>
    </row>
    <row r="250" spans="1:8" x14ac:dyDescent="0.25">
      <c r="A250" t="s">
        <v>306</v>
      </c>
      <c r="B250" s="42" t="s">
        <v>787</v>
      </c>
      <c r="C250" s="19" t="s">
        <v>781</v>
      </c>
      <c r="D250" s="26" t="s">
        <v>782</v>
      </c>
      <c r="E250" s="27">
        <v>60805</v>
      </c>
      <c r="F250" s="27" t="s">
        <v>1001</v>
      </c>
      <c r="G250" s="31" t="s">
        <v>1002</v>
      </c>
      <c r="H250" s="25"/>
    </row>
    <row r="251" spans="1:8" x14ac:dyDescent="0.25">
      <c r="A251" t="s">
        <v>307</v>
      </c>
      <c r="B251" s="19"/>
      <c r="C251" s="19"/>
      <c r="D251" s="26" t="s">
        <v>782</v>
      </c>
      <c r="E251" s="27"/>
      <c r="F251" s="27"/>
      <c r="G251" s="27"/>
      <c r="H251" s="25"/>
    </row>
    <row r="252" spans="1:8" x14ac:dyDescent="0.25">
      <c r="A252" t="s">
        <v>308</v>
      </c>
      <c r="B252" s="60"/>
      <c r="C252" s="60"/>
      <c r="D252" s="33" t="s">
        <v>803</v>
      </c>
      <c r="E252" s="34"/>
      <c r="F252" s="34"/>
      <c r="G252" s="34"/>
      <c r="H252" s="32"/>
    </row>
    <row r="253" spans="1:8" x14ac:dyDescent="0.25">
      <c r="A253" t="s">
        <v>309</v>
      </c>
      <c r="B253" s="43" t="s">
        <v>1003</v>
      </c>
      <c r="C253" s="19" t="s">
        <v>58</v>
      </c>
      <c r="D253" s="26" t="s">
        <v>803</v>
      </c>
      <c r="E253" s="27"/>
      <c r="F253" s="27" t="s">
        <v>1004</v>
      </c>
      <c r="G253" s="27" t="s">
        <v>1005</v>
      </c>
      <c r="H253" s="28"/>
    </row>
    <row r="254" spans="1:8" x14ac:dyDescent="0.25">
      <c r="A254" t="s">
        <v>310</v>
      </c>
      <c r="B254" s="19" t="s">
        <v>1006</v>
      </c>
      <c r="C254" s="19" t="s">
        <v>58</v>
      </c>
      <c r="D254" s="26" t="s">
        <v>803</v>
      </c>
      <c r="E254" s="27">
        <v>28906</v>
      </c>
      <c r="F254" s="27" t="s">
        <v>1007</v>
      </c>
      <c r="G254" s="27" t="s">
        <v>1008</v>
      </c>
      <c r="H254" s="25"/>
    </row>
    <row r="255" spans="1:8" x14ac:dyDescent="0.25">
      <c r="A255" t="s">
        <v>311</v>
      </c>
      <c r="B255" s="19" t="s">
        <v>790</v>
      </c>
      <c r="C255" s="19" t="s">
        <v>781</v>
      </c>
      <c r="D255" s="26" t="s">
        <v>791</v>
      </c>
      <c r="E255" s="27">
        <v>60804</v>
      </c>
      <c r="F255" s="27" t="s">
        <v>1009</v>
      </c>
      <c r="G255" s="27" t="s">
        <v>1010</v>
      </c>
      <c r="H255" s="25"/>
    </row>
    <row r="256" spans="1:8" x14ac:dyDescent="0.25">
      <c r="A256" t="s">
        <v>312</v>
      </c>
      <c r="B256" s="19" t="s">
        <v>1011</v>
      </c>
      <c r="C256" s="19" t="s">
        <v>816</v>
      </c>
      <c r="D256" s="26" t="s">
        <v>782</v>
      </c>
      <c r="E256" s="27"/>
      <c r="F256" s="27" t="s">
        <v>1012</v>
      </c>
      <c r="G256" s="27"/>
      <c r="H256" s="25"/>
    </row>
    <row r="257" spans="1:8" x14ac:dyDescent="0.25">
      <c r="A257" t="s">
        <v>313</v>
      </c>
      <c r="B257" s="19"/>
      <c r="C257" s="19"/>
      <c r="D257" s="26" t="s">
        <v>782</v>
      </c>
      <c r="E257" s="27"/>
      <c r="F257" s="27"/>
      <c r="G257" s="27"/>
      <c r="H257" s="25"/>
    </row>
    <row r="258" spans="1:8" x14ac:dyDescent="0.25">
      <c r="A258" t="s">
        <v>314</v>
      </c>
      <c r="B258" s="19"/>
      <c r="C258" s="19"/>
      <c r="D258" s="26" t="s">
        <v>782</v>
      </c>
      <c r="E258" s="27"/>
      <c r="F258" s="27"/>
      <c r="G258" s="27"/>
      <c r="H258" s="25"/>
    </row>
    <row r="259" spans="1:8" x14ac:dyDescent="0.25">
      <c r="A259" t="s">
        <v>315</v>
      </c>
      <c r="B259" s="19"/>
      <c r="C259" s="19"/>
      <c r="D259" s="26" t="s">
        <v>1013</v>
      </c>
      <c r="E259" s="27"/>
      <c r="F259" s="27"/>
      <c r="G259" s="27"/>
      <c r="H259" s="25"/>
    </row>
    <row r="260" spans="1:8" x14ac:dyDescent="0.25">
      <c r="A260" t="s">
        <v>316</v>
      </c>
      <c r="B260" s="19"/>
      <c r="C260" s="19"/>
      <c r="D260" s="62"/>
      <c r="E260" s="19"/>
      <c r="F260" s="19"/>
      <c r="G260" s="19"/>
      <c r="H260" s="28"/>
    </row>
    <row r="261" spans="1:8" x14ac:dyDescent="0.25">
      <c r="A261" t="s">
        <v>317</v>
      </c>
      <c r="B261" s="63"/>
      <c r="C261" s="63"/>
      <c r="D261" s="64"/>
      <c r="E261" s="63"/>
      <c r="F261" s="63"/>
      <c r="G261" s="63"/>
      <c r="H261" s="25"/>
    </row>
    <row r="262" spans="1:8" x14ac:dyDescent="0.25">
      <c r="A262" t="s">
        <v>318</v>
      </c>
      <c r="B262" s="19"/>
      <c r="C262" s="19"/>
      <c r="D262" s="26" t="s">
        <v>782</v>
      </c>
      <c r="E262" s="27"/>
      <c r="F262" s="27"/>
      <c r="G262" s="27"/>
      <c r="H262" s="25"/>
    </row>
    <row r="263" spans="1:8" x14ac:dyDescent="0.25">
      <c r="A263" t="s">
        <v>319</v>
      </c>
      <c r="B263" s="43" t="s">
        <v>1014</v>
      </c>
      <c r="C263" s="19" t="s">
        <v>898</v>
      </c>
      <c r="D263" s="26" t="s">
        <v>890</v>
      </c>
      <c r="E263" s="27"/>
      <c r="F263" s="27" t="s">
        <v>1015</v>
      </c>
      <c r="G263" s="27"/>
      <c r="H263" s="25"/>
    </row>
    <row r="264" spans="1:8" ht="24.75" x14ac:dyDescent="0.25">
      <c r="A264" t="s">
        <v>320</v>
      </c>
      <c r="B264" s="63" t="s">
        <v>1016</v>
      </c>
      <c r="C264" s="19" t="s">
        <v>816</v>
      </c>
      <c r="D264" s="26" t="s">
        <v>1013</v>
      </c>
      <c r="E264" s="27">
        <v>60804</v>
      </c>
      <c r="F264" s="27" t="s">
        <v>1017</v>
      </c>
      <c r="G264" s="27"/>
      <c r="H264" s="25"/>
    </row>
    <row r="265" spans="1:8" ht="24.75" x14ac:dyDescent="0.25">
      <c r="A265" s="17" t="s">
        <v>321</v>
      </c>
      <c r="B265" s="52" t="s">
        <v>1018</v>
      </c>
      <c r="C265" s="65" t="s">
        <v>58</v>
      </c>
      <c r="D265" s="45" t="s">
        <v>803</v>
      </c>
      <c r="E265" s="29"/>
      <c r="F265" s="29"/>
      <c r="G265" s="29"/>
      <c r="H265" s="30"/>
    </row>
    <row r="266" spans="1:8" x14ac:dyDescent="0.25">
      <c r="A266" t="s">
        <v>322</v>
      </c>
      <c r="B266" s="19"/>
      <c r="C266" s="19"/>
      <c r="D266" s="26" t="s">
        <v>782</v>
      </c>
      <c r="E266" s="27"/>
      <c r="F266" s="27"/>
      <c r="G266" s="27"/>
      <c r="H266" s="54"/>
    </row>
    <row r="267" spans="1:8" x14ac:dyDescent="0.25">
      <c r="A267" s="17" t="s">
        <v>323</v>
      </c>
      <c r="B267" s="65"/>
      <c r="C267" s="65"/>
      <c r="D267" s="45" t="s">
        <v>1019</v>
      </c>
      <c r="E267" s="29"/>
      <c r="F267" s="29"/>
      <c r="G267" s="29"/>
      <c r="H267" s="30"/>
    </row>
    <row r="268" spans="1:8" x14ac:dyDescent="0.25">
      <c r="A268" t="s">
        <v>324</v>
      </c>
      <c r="B268" s="19" t="s">
        <v>1020</v>
      </c>
      <c r="C268" s="19" t="s">
        <v>58</v>
      </c>
      <c r="D268" s="26" t="s">
        <v>803</v>
      </c>
      <c r="E268" s="27">
        <v>28944</v>
      </c>
      <c r="F268" s="27" t="s">
        <v>1021</v>
      </c>
      <c r="G268" s="27" t="s">
        <v>1022</v>
      </c>
      <c r="H268" s="25"/>
    </row>
    <row r="269" spans="1:8" x14ac:dyDescent="0.25">
      <c r="A269" t="s">
        <v>325</v>
      </c>
      <c r="B269" s="19"/>
      <c r="C269" s="19"/>
      <c r="D269" s="26" t="s">
        <v>826</v>
      </c>
      <c r="E269" s="27"/>
      <c r="F269" s="27"/>
      <c r="G269" s="27"/>
      <c r="H269" s="25"/>
    </row>
    <row r="270" spans="1:8" x14ac:dyDescent="0.25">
      <c r="A270" t="s">
        <v>326</v>
      </c>
      <c r="B270" s="19" t="s">
        <v>1023</v>
      </c>
      <c r="C270" s="19" t="s">
        <v>58</v>
      </c>
      <c r="D270" s="26" t="s">
        <v>826</v>
      </c>
      <c r="E270" s="27">
        <v>28129</v>
      </c>
      <c r="F270" s="66" t="s">
        <v>1024</v>
      </c>
      <c r="G270" s="31" t="s">
        <v>1025</v>
      </c>
      <c r="H270" s="25"/>
    </row>
    <row r="271" spans="1:8" x14ac:dyDescent="0.25">
      <c r="A271" t="s">
        <v>327</v>
      </c>
      <c r="B271" s="65"/>
      <c r="C271" s="65"/>
      <c r="D271" s="45" t="s">
        <v>782</v>
      </c>
      <c r="E271" s="29"/>
      <c r="F271" s="29"/>
      <c r="G271" s="29"/>
      <c r="H271" s="30"/>
    </row>
    <row r="272" spans="1:8" x14ac:dyDescent="0.25">
      <c r="A272" t="s">
        <v>328</v>
      </c>
      <c r="B272" s="19" t="s">
        <v>1026</v>
      </c>
      <c r="C272" s="19" t="s">
        <v>58</v>
      </c>
      <c r="D272" s="26" t="s">
        <v>826</v>
      </c>
      <c r="E272" s="27">
        <v>28209</v>
      </c>
      <c r="F272" s="66" t="s">
        <v>1027</v>
      </c>
      <c r="G272" s="31" t="s">
        <v>1028</v>
      </c>
      <c r="H272" s="25"/>
    </row>
    <row r="273" spans="1:8" x14ac:dyDescent="0.25">
      <c r="A273" t="s">
        <v>329</v>
      </c>
      <c r="B273" s="67" t="s">
        <v>854</v>
      </c>
      <c r="C273" s="67" t="s">
        <v>58</v>
      </c>
      <c r="D273" s="27" t="s">
        <v>803</v>
      </c>
      <c r="E273" s="27"/>
      <c r="F273" s="27" t="s">
        <v>1029</v>
      </c>
      <c r="G273" s="27" t="s">
        <v>1030</v>
      </c>
      <c r="H273" s="25"/>
    </row>
    <row r="274" spans="1:8" x14ac:dyDescent="0.25">
      <c r="A274" t="s">
        <v>330</v>
      </c>
      <c r="B274" s="19" t="s">
        <v>1031</v>
      </c>
      <c r="C274" s="19" t="s">
        <v>781</v>
      </c>
      <c r="D274" s="26" t="s">
        <v>782</v>
      </c>
      <c r="E274" s="27">
        <v>60810</v>
      </c>
      <c r="F274" s="27" t="s">
        <v>1032</v>
      </c>
      <c r="G274" s="27" t="s">
        <v>1033</v>
      </c>
      <c r="H274" s="25"/>
    </row>
    <row r="275" spans="1:8" x14ac:dyDescent="0.25">
      <c r="A275" t="s">
        <v>331</v>
      </c>
      <c r="B275" s="19" t="s">
        <v>1034</v>
      </c>
      <c r="C275" s="19" t="s">
        <v>58</v>
      </c>
      <c r="D275" s="26" t="s">
        <v>1035</v>
      </c>
      <c r="E275" s="27">
        <v>28906</v>
      </c>
      <c r="F275" s="27" t="s">
        <v>1036</v>
      </c>
      <c r="G275" s="27" t="s">
        <v>1037</v>
      </c>
      <c r="H275" s="25"/>
    </row>
    <row r="276" spans="1:8" x14ac:dyDescent="0.25">
      <c r="A276" t="s">
        <v>332</v>
      </c>
      <c r="B276" s="19" t="s">
        <v>1038</v>
      </c>
      <c r="C276" s="19" t="s">
        <v>58</v>
      </c>
      <c r="D276" s="26" t="s">
        <v>1039</v>
      </c>
      <c r="E276" s="50">
        <v>28930</v>
      </c>
      <c r="F276" s="27" t="s">
        <v>1040</v>
      </c>
      <c r="G276" s="27"/>
      <c r="H276" s="25"/>
    </row>
    <row r="277" spans="1:8" x14ac:dyDescent="0.25">
      <c r="A277" t="s">
        <v>333</v>
      </c>
      <c r="B277" s="19" t="s">
        <v>1041</v>
      </c>
      <c r="C277" s="19" t="s">
        <v>58</v>
      </c>
      <c r="D277" s="26" t="s">
        <v>1042</v>
      </c>
      <c r="E277" s="27"/>
      <c r="F277" s="27" t="s">
        <v>1043</v>
      </c>
      <c r="G277" s="31" t="s">
        <v>1044</v>
      </c>
      <c r="H277" s="25"/>
    </row>
    <row r="278" spans="1:8" x14ac:dyDescent="0.25">
      <c r="A278" t="s">
        <v>334</v>
      </c>
      <c r="B278" s="19" t="s">
        <v>1045</v>
      </c>
      <c r="C278" s="19" t="s">
        <v>58</v>
      </c>
      <c r="D278" s="26" t="s">
        <v>1046</v>
      </c>
      <c r="E278" s="27">
        <v>28915</v>
      </c>
      <c r="F278" s="27" t="s">
        <v>1047</v>
      </c>
      <c r="G278" s="27" t="s">
        <v>1048</v>
      </c>
      <c r="H278" s="25"/>
    </row>
    <row r="279" spans="1:8" x14ac:dyDescent="0.25">
      <c r="A279" t="s">
        <v>335</v>
      </c>
      <c r="B279" s="19"/>
      <c r="C279" s="19"/>
      <c r="D279" s="26" t="s">
        <v>890</v>
      </c>
      <c r="E279" s="27"/>
      <c r="F279" s="27"/>
      <c r="G279" s="27"/>
      <c r="H279" s="25"/>
    </row>
    <row r="280" spans="1:8" x14ac:dyDescent="0.25">
      <c r="A280" t="s">
        <v>336</v>
      </c>
      <c r="B280" s="19" t="s">
        <v>1049</v>
      </c>
      <c r="C280" s="19" t="s">
        <v>781</v>
      </c>
      <c r="D280" s="26" t="s">
        <v>782</v>
      </c>
      <c r="E280" s="27">
        <v>60805</v>
      </c>
      <c r="F280" s="27" t="s">
        <v>1050</v>
      </c>
      <c r="G280" s="27"/>
      <c r="H280" s="25"/>
    </row>
    <row r="281" spans="1:8" x14ac:dyDescent="0.25">
      <c r="A281" t="s">
        <v>337</v>
      </c>
      <c r="B281" s="42" t="s">
        <v>787</v>
      </c>
      <c r="C281" s="67" t="s">
        <v>816</v>
      </c>
      <c r="D281" s="26" t="s">
        <v>782</v>
      </c>
      <c r="E281" s="27">
        <v>60970</v>
      </c>
      <c r="F281" s="27" t="s">
        <v>1051</v>
      </c>
      <c r="G281" s="31" t="s">
        <v>1052</v>
      </c>
      <c r="H281" s="25"/>
    </row>
    <row r="282" spans="1:8" x14ac:dyDescent="0.25">
      <c r="A282" t="s">
        <v>338</v>
      </c>
      <c r="B282" s="19"/>
      <c r="C282" s="19"/>
      <c r="D282" s="26" t="s">
        <v>1053</v>
      </c>
      <c r="E282" s="27"/>
      <c r="F282" s="27"/>
      <c r="G282" s="27"/>
      <c r="H282" s="25"/>
    </row>
    <row r="283" spans="1:8" x14ac:dyDescent="0.25">
      <c r="A283" t="s">
        <v>339</v>
      </c>
      <c r="B283" s="19" t="s">
        <v>844</v>
      </c>
      <c r="C283" s="25" t="s">
        <v>58</v>
      </c>
      <c r="D283" s="26" t="s">
        <v>826</v>
      </c>
      <c r="E283" s="27">
        <v>28900</v>
      </c>
      <c r="F283" s="27"/>
      <c r="G283" s="27"/>
      <c r="H283" s="25"/>
    </row>
    <row r="284" spans="1:8" x14ac:dyDescent="0.25">
      <c r="A284" t="s">
        <v>340</v>
      </c>
      <c r="B284" t="s">
        <v>810</v>
      </c>
      <c r="C284" s="67" t="s">
        <v>816</v>
      </c>
      <c r="D284" s="26" t="s">
        <v>782</v>
      </c>
      <c r="E284" s="27"/>
      <c r="F284" s="27"/>
      <c r="G284" s="27"/>
      <c r="H284" s="25"/>
    </row>
    <row r="285" spans="1:8" x14ac:dyDescent="0.25">
      <c r="A285" s="17" t="s">
        <v>341</v>
      </c>
      <c r="B285" s="65"/>
      <c r="C285" s="65"/>
      <c r="D285" s="45" t="s">
        <v>1054</v>
      </c>
      <c r="E285" s="29"/>
      <c r="F285" s="29"/>
      <c r="G285" s="29"/>
      <c r="H285" s="30"/>
    </row>
    <row r="286" spans="1:8" x14ac:dyDescent="0.25">
      <c r="A286" t="s">
        <v>342</v>
      </c>
      <c r="B286" s="67" t="s">
        <v>841</v>
      </c>
      <c r="C286" s="67" t="s">
        <v>58</v>
      </c>
      <c r="D286" s="26" t="s">
        <v>826</v>
      </c>
      <c r="E286" s="27"/>
      <c r="F286" s="27" t="s">
        <v>1055</v>
      </c>
      <c r="G286" s="27" t="s">
        <v>1056</v>
      </c>
      <c r="H286" s="25"/>
    </row>
    <row r="287" spans="1:8" x14ac:dyDescent="0.25">
      <c r="A287" t="s">
        <v>343</v>
      </c>
      <c r="B287" s="19"/>
      <c r="C287" s="19"/>
      <c r="D287" s="26" t="s">
        <v>1042</v>
      </c>
      <c r="E287" s="27"/>
      <c r="F287" s="27"/>
      <c r="G287" s="27"/>
      <c r="H287" s="25"/>
    </row>
    <row r="288" spans="1:8" x14ac:dyDescent="0.25">
      <c r="A288" t="s">
        <v>344</v>
      </c>
      <c r="B288" s="19" t="s">
        <v>1057</v>
      </c>
      <c r="C288" s="19" t="s">
        <v>58</v>
      </c>
      <c r="D288" s="26" t="s">
        <v>803</v>
      </c>
      <c r="E288" s="50">
        <v>28940</v>
      </c>
      <c r="F288" s="27" t="s">
        <v>1058</v>
      </c>
      <c r="G288" s="27"/>
      <c r="H288" s="25"/>
    </row>
    <row r="289" spans="1:8" x14ac:dyDescent="0.25">
      <c r="A289" t="s">
        <v>345</v>
      </c>
      <c r="B289" s="43" t="s">
        <v>813</v>
      </c>
      <c r="C289" s="19" t="s">
        <v>816</v>
      </c>
      <c r="D289" s="26" t="s">
        <v>782</v>
      </c>
      <c r="E289" s="27"/>
      <c r="F289" s="27" t="s">
        <v>1059</v>
      </c>
      <c r="G289" s="27"/>
      <c r="H289" s="25"/>
    </row>
    <row r="290" spans="1:8" x14ac:dyDescent="0.25">
      <c r="A290" t="s">
        <v>346</v>
      </c>
      <c r="B290" s="67" t="s">
        <v>874</v>
      </c>
      <c r="C290" s="67" t="s">
        <v>816</v>
      </c>
      <c r="D290" s="27" t="s">
        <v>1060</v>
      </c>
      <c r="E290" s="27"/>
      <c r="F290" s="27" t="s">
        <v>1061</v>
      </c>
      <c r="G290" s="27" t="s">
        <v>1062</v>
      </c>
      <c r="H290" s="25"/>
    </row>
    <row r="291" spans="1:8" x14ac:dyDescent="0.25">
      <c r="A291" t="s">
        <v>347</v>
      </c>
      <c r="B291" s="19" t="s">
        <v>871</v>
      </c>
      <c r="C291" s="19" t="s">
        <v>58</v>
      </c>
      <c r="D291" s="26" t="s">
        <v>1042</v>
      </c>
      <c r="E291" s="27">
        <v>28930</v>
      </c>
      <c r="F291" s="27" t="s">
        <v>972</v>
      </c>
      <c r="G291" s="31" t="s">
        <v>1063</v>
      </c>
      <c r="H291" s="25"/>
    </row>
    <row r="292" spans="1:8" x14ac:dyDescent="0.25">
      <c r="A292" s="18" t="s">
        <v>348</v>
      </c>
      <c r="B292" s="19" t="s">
        <v>1064</v>
      </c>
      <c r="C292" s="19" t="s">
        <v>781</v>
      </c>
      <c r="D292" s="26" t="s">
        <v>782</v>
      </c>
      <c r="E292" s="27"/>
      <c r="F292" s="19" t="s">
        <v>1065</v>
      </c>
      <c r="G292" s="27"/>
      <c r="H292" s="25"/>
    </row>
    <row r="293" spans="1:8" x14ac:dyDescent="0.25">
      <c r="A293" t="s">
        <v>349</v>
      </c>
      <c r="B293" s="19"/>
      <c r="C293" s="19"/>
      <c r="D293" s="26" t="s">
        <v>782</v>
      </c>
      <c r="E293" s="27"/>
      <c r="F293" s="27"/>
      <c r="G293" s="27"/>
      <c r="H293" s="25"/>
    </row>
    <row r="294" spans="1:8" x14ac:dyDescent="0.25">
      <c r="A294" t="s">
        <v>350</v>
      </c>
      <c r="B294" s="42" t="s">
        <v>787</v>
      </c>
      <c r="C294" s="67" t="s">
        <v>816</v>
      </c>
      <c r="D294" s="27" t="s">
        <v>782</v>
      </c>
      <c r="E294" s="27">
        <v>60805</v>
      </c>
      <c r="F294" s="27" t="s">
        <v>1066</v>
      </c>
      <c r="G294" s="31" t="s">
        <v>1067</v>
      </c>
      <c r="H294" s="25"/>
    </row>
    <row r="295" spans="1:8" x14ac:dyDescent="0.25">
      <c r="A295" t="s">
        <v>351</v>
      </c>
      <c r="B295" s="19"/>
      <c r="C295" s="19"/>
      <c r="D295" s="26" t="s">
        <v>875</v>
      </c>
      <c r="E295" s="27"/>
      <c r="F295" s="27"/>
      <c r="G295" s="27"/>
      <c r="H295" s="25"/>
    </row>
    <row r="296" spans="1:8" x14ac:dyDescent="0.25">
      <c r="A296" t="s">
        <v>352</v>
      </c>
      <c r="B296" s="19" t="s">
        <v>790</v>
      </c>
      <c r="C296" s="19" t="s">
        <v>781</v>
      </c>
      <c r="D296" s="26" t="s">
        <v>782</v>
      </c>
      <c r="E296" s="53">
        <v>60958</v>
      </c>
      <c r="F296" s="27" t="s">
        <v>1068</v>
      </c>
      <c r="G296" s="31" t="s">
        <v>1069</v>
      </c>
      <c r="H296" s="25"/>
    </row>
    <row r="297" spans="1:8" x14ac:dyDescent="0.25">
      <c r="A297" t="s">
        <v>353</v>
      </c>
      <c r="B297" s="19" t="s">
        <v>1070</v>
      </c>
      <c r="C297" s="19" t="s">
        <v>58</v>
      </c>
      <c r="D297" s="26" t="s">
        <v>907</v>
      </c>
      <c r="E297" s="27">
        <v>28834</v>
      </c>
      <c r="F297" s="27" t="s">
        <v>1071</v>
      </c>
      <c r="G297" s="27" t="s">
        <v>1072</v>
      </c>
      <c r="H297" s="25"/>
    </row>
    <row r="298" spans="1:8" x14ac:dyDescent="0.25">
      <c r="A298" t="s">
        <v>354</v>
      </c>
      <c r="B298" s="19"/>
      <c r="C298" s="19"/>
      <c r="D298" s="26" t="s">
        <v>890</v>
      </c>
      <c r="E298" s="27"/>
      <c r="F298" s="27"/>
      <c r="G298" s="27"/>
      <c r="H298" s="25"/>
    </row>
    <row r="299" spans="1:8" x14ac:dyDescent="0.25">
      <c r="A299" t="s">
        <v>355</v>
      </c>
      <c r="B299" t="s">
        <v>1073</v>
      </c>
      <c r="C299" s="19" t="s">
        <v>781</v>
      </c>
      <c r="D299" s="26" t="s">
        <v>782</v>
      </c>
      <c r="E299" s="27">
        <v>60805</v>
      </c>
      <c r="F299" t="s">
        <v>1074</v>
      </c>
      <c r="G299" s="27"/>
      <c r="H299" s="25"/>
    </row>
    <row r="300" spans="1:8" x14ac:dyDescent="0.25">
      <c r="A300" t="s">
        <v>356</v>
      </c>
      <c r="B300" s="67" t="s">
        <v>1075</v>
      </c>
      <c r="C300" s="67" t="s">
        <v>58</v>
      </c>
      <c r="D300" s="26" t="s">
        <v>826</v>
      </c>
      <c r="E300" s="27"/>
      <c r="F300" s="27" t="s">
        <v>1076</v>
      </c>
      <c r="G300" s="31" t="s">
        <v>1077</v>
      </c>
      <c r="H300" s="25"/>
    </row>
    <row r="301" spans="1:8" x14ac:dyDescent="0.25">
      <c r="A301" t="s">
        <v>357</v>
      </c>
      <c r="B301" s="19" t="s">
        <v>844</v>
      </c>
      <c r="C301" s="19" t="s">
        <v>58</v>
      </c>
      <c r="D301" s="26" t="s">
        <v>826</v>
      </c>
      <c r="E301" s="27">
        <v>28900</v>
      </c>
      <c r="F301" s="27" t="s">
        <v>1078</v>
      </c>
      <c r="G301" s="27"/>
      <c r="H301" s="25"/>
    </row>
    <row r="302" spans="1:8" ht="24.75" x14ac:dyDescent="0.25">
      <c r="A302" t="s">
        <v>358</v>
      </c>
      <c r="B302" s="52" t="s">
        <v>1079</v>
      </c>
      <c r="C302" s="19" t="s">
        <v>58</v>
      </c>
      <c r="D302" s="26" t="s">
        <v>1039</v>
      </c>
      <c r="E302" s="50">
        <v>28930</v>
      </c>
      <c r="F302" t="s">
        <v>1080</v>
      </c>
      <c r="G302" s="27"/>
      <c r="H302" s="25"/>
    </row>
    <row r="303" spans="1:8" x14ac:dyDescent="0.25">
      <c r="A303" t="s">
        <v>359</v>
      </c>
      <c r="B303" s="19"/>
      <c r="C303" s="19"/>
      <c r="D303" s="26" t="s">
        <v>1039</v>
      </c>
      <c r="E303" s="27"/>
      <c r="F303" s="27"/>
      <c r="G303" s="27"/>
      <c r="H303" s="25"/>
    </row>
    <row r="304" spans="1:8" x14ac:dyDescent="0.25">
      <c r="A304" t="s">
        <v>360</v>
      </c>
      <c r="B304" s="19" t="s">
        <v>910</v>
      </c>
      <c r="C304" s="19" t="s">
        <v>58</v>
      </c>
      <c r="D304" s="27" t="s">
        <v>1039</v>
      </c>
      <c r="E304" s="27">
        <v>28940</v>
      </c>
      <c r="F304" s="27" t="s">
        <v>1081</v>
      </c>
      <c r="G304" s="27" t="s">
        <v>1082</v>
      </c>
      <c r="H304" s="25"/>
    </row>
    <row r="305" spans="1:8" x14ac:dyDescent="0.25">
      <c r="A305" s="17" t="s">
        <v>361</v>
      </c>
      <c r="B305" s="65" t="s">
        <v>844</v>
      </c>
      <c r="C305" s="65" t="s">
        <v>58</v>
      </c>
      <c r="D305" s="45" t="s">
        <v>826</v>
      </c>
      <c r="E305" s="29">
        <v>28900</v>
      </c>
      <c r="F305" s="68" t="s">
        <v>1078</v>
      </c>
      <c r="G305" s="69" t="s">
        <v>1083</v>
      </c>
      <c r="H305" s="30"/>
    </row>
    <row r="306" spans="1:8" x14ac:dyDescent="0.25">
      <c r="A306" s="17" t="s">
        <v>362</v>
      </c>
      <c r="B306" s="65"/>
      <c r="C306" s="65"/>
      <c r="D306" s="45" t="s">
        <v>1042</v>
      </c>
      <c r="E306" s="29"/>
      <c r="F306" s="29"/>
      <c r="G306" s="29"/>
      <c r="H306" s="30"/>
    </row>
    <row r="307" spans="1:8" x14ac:dyDescent="0.25">
      <c r="A307" s="17" t="s">
        <v>363</v>
      </c>
      <c r="B307" s="65"/>
      <c r="C307" s="65"/>
      <c r="D307" s="45" t="s">
        <v>1039</v>
      </c>
      <c r="E307" s="29"/>
      <c r="F307" s="29"/>
      <c r="G307" s="29"/>
      <c r="H307" s="30"/>
    </row>
    <row r="308" spans="1:8" x14ac:dyDescent="0.25">
      <c r="A308" t="s">
        <v>364</v>
      </c>
      <c r="B308" s="19" t="s">
        <v>1084</v>
      </c>
      <c r="C308" s="19" t="s">
        <v>58</v>
      </c>
      <c r="D308" s="26" t="s">
        <v>1085</v>
      </c>
      <c r="E308" s="27">
        <v>28903</v>
      </c>
      <c r="F308" s="27" t="s">
        <v>1086</v>
      </c>
      <c r="G308" s="31" t="s">
        <v>1087</v>
      </c>
      <c r="H308" s="25"/>
    </row>
    <row r="309" spans="1:8" x14ac:dyDescent="0.25">
      <c r="A309" s="19">
        <v>206</v>
      </c>
      <c r="B309" s="19" t="s">
        <v>784</v>
      </c>
      <c r="C309" s="19" t="s">
        <v>816</v>
      </c>
      <c r="D309" s="26" t="s">
        <v>782</v>
      </c>
      <c r="E309" s="27" t="s">
        <v>1088</v>
      </c>
      <c r="F309" s="27" t="s">
        <v>1089</v>
      </c>
      <c r="G309" s="25"/>
    </row>
    <row r="310" spans="1:8" x14ac:dyDescent="0.25">
      <c r="A310" t="s">
        <v>365</v>
      </c>
      <c r="B310" s="19" t="s">
        <v>1090</v>
      </c>
      <c r="C310" s="19" t="s">
        <v>58</v>
      </c>
      <c r="D310" s="26" t="s">
        <v>803</v>
      </c>
      <c r="E310" s="27">
        <v>28930</v>
      </c>
      <c r="F310" s="27" t="s">
        <v>1091</v>
      </c>
      <c r="G310" s="27" t="s">
        <v>1092</v>
      </c>
      <c r="H310" s="25"/>
    </row>
    <row r="311" spans="1:8" x14ac:dyDescent="0.25">
      <c r="A311" t="s">
        <v>366</v>
      </c>
      <c r="B311" s="19"/>
      <c r="C311" s="19"/>
      <c r="D311" s="26" t="s">
        <v>782</v>
      </c>
      <c r="E311" s="27"/>
      <c r="F311" s="27"/>
      <c r="G311" s="27"/>
      <c r="H311" s="25"/>
    </row>
    <row r="312" spans="1:8" x14ac:dyDescent="0.25">
      <c r="A312" t="s">
        <v>367</v>
      </c>
      <c r="B312" s="19" t="s">
        <v>1093</v>
      </c>
      <c r="C312" s="19" t="s">
        <v>816</v>
      </c>
      <c r="D312" s="26" t="s">
        <v>851</v>
      </c>
      <c r="E312" s="27">
        <v>60804</v>
      </c>
      <c r="F312" t="s">
        <v>1094</v>
      </c>
      <c r="G312" s="27"/>
      <c r="H312" s="25"/>
    </row>
    <row r="313" spans="1:8" x14ac:dyDescent="0.25">
      <c r="A313" t="s">
        <v>368</v>
      </c>
      <c r="B313" s="42" t="s">
        <v>787</v>
      </c>
      <c r="C313" s="19" t="s">
        <v>781</v>
      </c>
      <c r="D313" s="26" t="s">
        <v>782</v>
      </c>
      <c r="E313" s="27"/>
      <c r="F313" s="27" t="s">
        <v>1095</v>
      </c>
      <c r="G313" s="27"/>
      <c r="H313" s="25"/>
    </row>
    <row r="314" spans="1:8" x14ac:dyDescent="0.25">
      <c r="A314" t="s">
        <v>369</v>
      </c>
      <c r="B314" s="27" t="s">
        <v>844</v>
      </c>
      <c r="C314" s="27" t="s">
        <v>58</v>
      </c>
      <c r="D314" s="26" t="s">
        <v>826</v>
      </c>
      <c r="E314" s="27">
        <v>28900</v>
      </c>
      <c r="F314" s="27" t="s">
        <v>1096</v>
      </c>
      <c r="G314" s="27" t="s">
        <v>1097</v>
      </c>
      <c r="H314" s="25"/>
    </row>
    <row r="315" spans="1:8" x14ac:dyDescent="0.25">
      <c r="A315" t="s">
        <v>370</v>
      </c>
      <c r="B315" s="65"/>
      <c r="C315" s="65"/>
      <c r="D315" s="26" t="s">
        <v>826</v>
      </c>
      <c r="E315" s="29"/>
      <c r="F315" s="29"/>
      <c r="G315" s="29"/>
      <c r="H315" s="30"/>
    </row>
    <row r="316" spans="1:8" x14ac:dyDescent="0.25">
      <c r="A316" t="s">
        <v>371</v>
      </c>
      <c r="B316" s="65"/>
      <c r="C316" s="65"/>
      <c r="D316" s="45" t="s">
        <v>782</v>
      </c>
      <c r="E316" s="29"/>
      <c r="F316" s="29"/>
      <c r="G316" s="29"/>
      <c r="H316" s="30"/>
    </row>
    <row r="317" spans="1:8" x14ac:dyDescent="0.25">
      <c r="A317" t="s">
        <v>372</v>
      </c>
      <c r="B317" s="19" t="s">
        <v>1064</v>
      </c>
      <c r="C317" s="19" t="s">
        <v>816</v>
      </c>
      <c r="D317" s="26" t="s">
        <v>782</v>
      </c>
      <c r="E317" s="27"/>
      <c r="F317" s="27" t="s">
        <v>1098</v>
      </c>
      <c r="G317" s="27"/>
      <c r="H317" s="25"/>
    </row>
    <row r="318" spans="1:8" x14ac:dyDescent="0.25">
      <c r="A318" t="s">
        <v>373</v>
      </c>
      <c r="B318" s="19"/>
      <c r="C318" s="19"/>
      <c r="D318" s="26" t="s">
        <v>875</v>
      </c>
      <c r="E318" s="27"/>
      <c r="F318" s="27"/>
      <c r="G318" s="27"/>
      <c r="H318" s="25"/>
    </row>
    <row r="319" spans="1:8" x14ac:dyDescent="0.25">
      <c r="A319" t="s">
        <v>374</v>
      </c>
      <c r="B319" s="43" t="s">
        <v>1099</v>
      </c>
      <c r="C319" s="19" t="s">
        <v>58</v>
      </c>
      <c r="D319" s="26" t="s">
        <v>826</v>
      </c>
      <c r="E319" s="27"/>
      <c r="F319" s="27" t="s">
        <v>1100</v>
      </c>
      <c r="G319" s="27"/>
      <c r="H319" s="25"/>
    </row>
    <row r="320" spans="1:8" x14ac:dyDescent="0.25">
      <c r="A320" t="s">
        <v>375</v>
      </c>
      <c r="B320" s="19" t="s">
        <v>844</v>
      </c>
      <c r="C320" s="19" t="s">
        <v>58</v>
      </c>
      <c r="D320" s="26" t="s">
        <v>826</v>
      </c>
      <c r="E320" s="27">
        <v>28900</v>
      </c>
      <c r="F320" s="27" t="s">
        <v>1101</v>
      </c>
      <c r="G320" s="31" t="s">
        <v>1102</v>
      </c>
      <c r="H320" s="25"/>
    </row>
    <row r="321" spans="1:8" x14ac:dyDescent="0.25">
      <c r="A321" t="s">
        <v>376</v>
      </c>
      <c r="B321" s="19" t="s">
        <v>1310</v>
      </c>
      <c r="C321" s="19" t="s">
        <v>816</v>
      </c>
      <c r="D321" s="26" t="s">
        <v>782</v>
      </c>
      <c r="E321" s="27">
        <v>60805</v>
      </c>
      <c r="F321" t="s">
        <v>1103</v>
      </c>
      <c r="G321" s="27"/>
      <c r="H321" s="25"/>
    </row>
    <row r="322" spans="1:8" x14ac:dyDescent="0.25">
      <c r="A322" t="s">
        <v>377</v>
      </c>
      <c r="B322" s="19"/>
      <c r="C322" s="19"/>
      <c r="D322" s="26" t="s">
        <v>782</v>
      </c>
      <c r="E322" s="27"/>
      <c r="F322" s="27"/>
      <c r="G322" s="27"/>
      <c r="H322" s="25"/>
    </row>
    <row r="323" spans="1:8" x14ac:dyDescent="0.25">
      <c r="A323" t="s">
        <v>378</v>
      </c>
      <c r="B323" s="19"/>
      <c r="C323" s="19"/>
      <c r="D323" s="26" t="s">
        <v>782</v>
      </c>
      <c r="E323" s="27"/>
      <c r="F323" s="27"/>
      <c r="G323" s="27"/>
      <c r="H323" s="25"/>
    </row>
    <row r="324" spans="1:8" x14ac:dyDescent="0.25">
      <c r="A324" t="s">
        <v>379</v>
      </c>
      <c r="B324" s="19" t="s">
        <v>844</v>
      </c>
      <c r="C324" s="19" t="s">
        <v>58</v>
      </c>
      <c r="D324" s="26" t="s">
        <v>826</v>
      </c>
      <c r="E324" s="27">
        <v>28900</v>
      </c>
      <c r="F324" s="27"/>
      <c r="G324" s="27"/>
      <c r="H324" s="25"/>
    </row>
    <row r="325" spans="1:8" x14ac:dyDescent="0.25">
      <c r="A325" t="s">
        <v>380</v>
      </c>
      <c r="B325" s="52" t="s">
        <v>1104</v>
      </c>
      <c r="C325" s="19" t="s">
        <v>816</v>
      </c>
      <c r="D325" s="26" t="s">
        <v>782</v>
      </c>
      <c r="E325" s="70">
        <v>60807</v>
      </c>
      <c r="F325" t="s">
        <v>1105</v>
      </c>
      <c r="G325" s="27"/>
      <c r="H325" s="25"/>
    </row>
    <row r="326" spans="1:8" x14ac:dyDescent="0.25">
      <c r="A326" t="s">
        <v>381</v>
      </c>
      <c r="B326" s="52" t="s">
        <v>1106</v>
      </c>
      <c r="C326" s="27" t="s">
        <v>58</v>
      </c>
      <c r="D326" s="26" t="s">
        <v>803</v>
      </c>
      <c r="E326" s="27">
        <v>28900</v>
      </c>
      <c r="F326" t="s">
        <v>1107</v>
      </c>
      <c r="G326" s="27"/>
      <c r="H326" s="25"/>
    </row>
    <row r="327" spans="1:8" x14ac:dyDescent="0.25">
      <c r="A327" t="s">
        <v>382</v>
      </c>
      <c r="B327" s="19"/>
      <c r="C327" s="27"/>
      <c r="D327" s="26"/>
      <c r="E327" s="27"/>
      <c r="F327" s="27"/>
      <c r="G327" s="27"/>
      <c r="H327" s="25"/>
    </row>
    <row r="328" spans="1:8" x14ac:dyDescent="0.25">
      <c r="A328" t="s">
        <v>383</v>
      </c>
      <c r="B328" s="19" t="s">
        <v>1090</v>
      </c>
      <c r="C328" s="19" t="s">
        <v>58</v>
      </c>
      <c r="D328" s="26" t="s">
        <v>1108</v>
      </c>
      <c r="E328" s="27">
        <v>28930</v>
      </c>
      <c r="F328" s="27" t="s">
        <v>1109</v>
      </c>
      <c r="G328" s="31" t="s">
        <v>1110</v>
      </c>
      <c r="H328" s="25"/>
    </row>
    <row r="329" spans="1:8" x14ac:dyDescent="0.25">
      <c r="A329" t="s">
        <v>384</v>
      </c>
      <c r="B329" s="19" t="s">
        <v>1111</v>
      </c>
      <c r="C329" s="19" t="s">
        <v>781</v>
      </c>
      <c r="D329" s="26" t="s">
        <v>994</v>
      </c>
      <c r="E329" s="27">
        <v>60806</v>
      </c>
      <c r="F329" s="27" t="s">
        <v>1112</v>
      </c>
      <c r="G329" s="27" t="s">
        <v>1113</v>
      </c>
      <c r="H329" s="25"/>
    </row>
    <row r="330" spans="1:8" x14ac:dyDescent="0.25">
      <c r="A330" t="s">
        <v>385</v>
      </c>
      <c r="B330" s="19" t="s">
        <v>910</v>
      </c>
      <c r="C330" s="25" t="s">
        <v>58</v>
      </c>
      <c r="D330" s="27" t="s">
        <v>1039</v>
      </c>
      <c r="E330" s="27">
        <v>28940</v>
      </c>
      <c r="F330" s="27"/>
      <c r="G330" s="27"/>
      <c r="H330" s="25"/>
    </row>
    <row r="331" spans="1:8" x14ac:dyDescent="0.25">
      <c r="A331" t="s">
        <v>386</v>
      </c>
      <c r="B331" t="s">
        <v>1114</v>
      </c>
      <c r="C331" s="27" t="s">
        <v>816</v>
      </c>
      <c r="D331" s="26" t="s">
        <v>782</v>
      </c>
      <c r="E331" s="27">
        <v>60804</v>
      </c>
      <c r="F331" t="s">
        <v>1115</v>
      </c>
      <c r="G331" s="27"/>
      <c r="H331" s="25"/>
    </row>
    <row r="332" spans="1:8" x14ac:dyDescent="0.25">
      <c r="A332" t="s">
        <v>387</v>
      </c>
      <c r="B332" s="19" t="s">
        <v>1116</v>
      </c>
      <c r="C332" s="27"/>
      <c r="D332" s="26"/>
      <c r="E332" s="27"/>
      <c r="F332" s="27"/>
      <c r="G332" s="27"/>
      <c r="H332" s="25"/>
    </row>
    <row r="333" spans="1:8" x14ac:dyDescent="0.25">
      <c r="A333" s="17" t="s">
        <v>388</v>
      </c>
      <c r="B333" s="71" t="s">
        <v>1117</v>
      </c>
      <c r="C333" s="29"/>
      <c r="D333" s="45" t="s">
        <v>782</v>
      </c>
      <c r="E333" s="29"/>
      <c r="F333" s="29"/>
      <c r="G333" s="29"/>
      <c r="H333" s="30"/>
    </row>
    <row r="334" spans="1:8" x14ac:dyDescent="0.25">
      <c r="A334" t="s">
        <v>389</v>
      </c>
      <c r="B334" s="19" t="s">
        <v>822</v>
      </c>
      <c r="C334" s="19" t="s">
        <v>781</v>
      </c>
      <c r="D334" s="58" t="s">
        <v>1019</v>
      </c>
      <c r="E334" s="27">
        <v>60804</v>
      </c>
      <c r="F334" s="27" t="s">
        <v>1118</v>
      </c>
      <c r="G334" s="31" t="s">
        <v>1119</v>
      </c>
      <c r="H334" s="25"/>
    </row>
    <row r="335" spans="1:8" x14ac:dyDescent="0.25">
      <c r="A335" t="s">
        <v>390</v>
      </c>
      <c r="B335" s="25" t="s">
        <v>838</v>
      </c>
      <c r="C335" s="72" t="s">
        <v>781</v>
      </c>
      <c r="D335" s="26" t="s">
        <v>782</v>
      </c>
      <c r="E335" s="27">
        <v>60804</v>
      </c>
      <c r="F335" s="27" t="s">
        <v>1120</v>
      </c>
      <c r="G335" s="31" t="s">
        <v>1121</v>
      </c>
      <c r="H335" s="25"/>
    </row>
    <row r="336" spans="1:8" x14ac:dyDescent="0.25">
      <c r="A336" t="s">
        <v>391</v>
      </c>
      <c r="B336" s="19" t="s">
        <v>1122</v>
      </c>
      <c r="C336" s="27" t="s">
        <v>58</v>
      </c>
      <c r="D336" s="26" t="s">
        <v>803</v>
      </c>
      <c r="E336" s="27">
        <v>28865</v>
      </c>
      <c r="F336" s="27" t="s">
        <v>1123</v>
      </c>
      <c r="G336" s="31" t="s">
        <v>1124</v>
      </c>
      <c r="H336" s="25"/>
    </row>
    <row r="337" spans="1:8" x14ac:dyDescent="0.25">
      <c r="A337" t="s">
        <v>392</v>
      </c>
      <c r="B337" s="19" t="s">
        <v>1125</v>
      </c>
      <c r="C337" s="27" t="s">
        <v>58</v>
      </c>
      <c r="D337" s="26" t="s">
        <v>826</v>
      </c>
      <c r="E337" s="27">
        <v>28935</v>
      </c>
      <c r="F337" s="27" t="s">
        <v>1126</v>
      </c>
      <c r="G337" s="31" t="s">
        <v>1127</v>
      </c>
      <c r="H337" s="25"/>
    </row>
    <row r="338" spans="1:8" x14ac:dyDescent="0.25">
      <c r="A338" t="s">
        <v>393</v>
      </c>
      <c r="B338" s="19" t="s">
        <v>1084</v>
      </c>
      <c r="C338" s="27" t="s">
        <v>58</v>
      </c>
      <c r="D338" s="26" t="s">
        <v>803</v>
      </c>
      <c r="E338" s="50">
        <v>28903</v>
      </c>
      <c r="F338" s="27" t="s">
        <v>1128</v>
      </c>
      <c r="G338" s="31" t="s">
        <v>1129</v>
      </c>
      <c r="H338" s="25"/>
    </row>
    <row r="339" spans="1:8" x14ac:dyDescent="0.25">
      <c r="A339" t="s">
        <v>394</v>
      </c>
      <c r="B339" s="27" t="s">
        <v>985</v>
      </c>
      <c r="C339" s="27" t="s">
        <v>781</v>
      </c>
      <c r="D339" s="26" t="s">
        <v>782</v>
      </c>
      <c r="E339" s="27">
        <v>60804</v>
      </c>
      <c r="F339" s="27" t="s">
        <v>1130</v>
      </c>
      <c r="G339" s="31" t="s">
        <v>1131</v>
      </c>
      <c r="H339" s="25"/>
    </row>
    <row r="340" spans="1:8" x14ac:dyDescent="0.25">
      <c r="A340" t="s">
        <v>395</v>
      </c>
      <c r="B340" s="27" t="s">
        <v>1132</v>
      </c>
      <c r="C340" s="27" t="s">
        <v>816</v>
      </c>
      <c r="D340" s="26" t="s">
        <v>782</v>
      </c>
      <c r="E340" s="27"/>
      <c r="F340" s="27" t="s">
        <v>1133</v>
      </c>
      <c r="G340" s="27" t="s">
        <v>1134</v>
      </c>
      <c r="H340" s="25"/>
    </row>
    <row r="341" spans="1:8" ht="30" x14ac:dyDescent="0.25">
      <c r="A341" t="s">
        <v>396</v>
      </c>
      <c r="B341" s="73" t="s">
        <v>1135</v>
      </c>
      <c r="C341" s="27" t="s">
        <v>816</v>
      </c>
      <c r="D341" s="26" t="s">
        <v>875</v>
      </c>
      <c r="E341" s="27"/>
      <c r="F341" t="s">
        <v>1136</v>
      </c>
      <c r="G341" s="27"/>
      <c r="H341" s="25"/>
    </row>
    <row r="342" spans="1:8" x14ac:dyDescent="0.25">
      <c r="A342" t="s">
        <v>397</v>
      </c>
      <c r="B342" s="27"/>
      <c r="C342" s="27"/>
      <c r="D342" s="26" t="s">
        <v>782</v>
      </c>
      <c r="E342" s="27"/>
      <c r="F342" s="27" t="s">
        <v>1137</v>
      </c>
      <c r="G342" s="31" t="s">
        <v>1138</v>
      </c>
      <c r="H342" s="25"/>
    </row>
    <row r="343" spans="1:8" x14ac:dyDescent="0.25">
      <c r="A343" t="s">
        <v>398</v>
      </c>
      <c r="B343" s="26" t="s">
        <v>875</v>
      </c>
      <c r="C343" s="27" t="s">
        <v>816</v>
      </c>
      <c r="D343" s="26" t="s">
        <v>875</v>
      </c>
      <c r="E343" s="27">
        <v>58110</v>
      </c>
      <c r="F343" s="27" t="s">
        <v>1139</v>
      </c>
      <c r="G343" s="31" t="s">
        <v>1140</v>
      </c>
      <c r="H343" s="25"/>
    </row>
    <row r="344" spans="1:8" x14ac:dyDescent="0.25">
      <c r="A344" t="s">
        <v>399</v>
      </c>
      <c r="B344" s="27"/>
      <c r="C344" s="27" t="s">
        <v>58</v>
      </c>
      <c r="D344" s="26" t="s">
        <v>826</v>
      </c>
      <c r="E344" s="50">
        <v>28903</v>
      </c>
      <c r="F344" s="27"/>
      <c r="G344" s="27"/>
      <c r="H344" s="25"/>
    </row>
    <row r="345" spans="1:8" x14ac:dyDescent="0.25">
      <c r="A345" t="s">
        <v>400</v>
      </c>
      <c r="B345" s="27" t="s">
        <v>1141</v>
      </c>
      <c r="C345" s="27" t="s">
        <v>58</v>
      </c>
      <c r="D345" s="26"/>
      <c r="E345" s="27">
        <v>28944</v>
      </c>
      <c r="F345" s="27"/>
      <c r="G345" s="27"/>
      <c r="H345" s="25"/>
    </row>
    <row r="346" spans="1:8" ht="36.75" x14ac:dyDescent="0.25">
      <c r="A346" t="s">
        <v>401</v>
      </c>
      <c r="B346" s="52" t="s">
        <v>1142</v>
      </c>
      <c r="C346" s="27" t="s">
        <v>58</v>
      </c>
      <c r="D346" s="26" t="s">
        <v>803</v>
      </c>
      <c r="E346" s="27"/>
      <c r="F346" t="s">
        <v>1143</v>
      </c>
      <c r="G346" s="27"/>
      <c r="H346" s="25"/>
    </row>
    <row r="347" spans="1:8" ht="36.75" x14ac:dyDescent="0.25">
      <c r="A347" t="s">
        <v>402</v>
      </c>
      <c r="B347" s="74" t="s">
        <v>1142</v>
      </c>
      <c r="C347" s="27" t="s">
        <v>58</v>
      </c>
      <c r="D347" s="26" t="s">
        <v>803</v>
      </c>
      <c r="E347" s="27"/>
      <c r="F347" t="s">
        <v>1144</v>
      </c>
      <c r="G347" s="27"/>
      <c r="H347" s="25"/>
    </row>
    <row r="348" spans="1:8" ht="36.75" x14ac:dyDescent="0.25">
      <c r="A348" t="s">
        <v>403</v>
      </c>
      <c r="B348" s="74" t="s">
        <v>1142</v>
      </c>
      <c r="C348" s="27" t="s">
        <v>58</v>
      </c>
      <c r="D348" s="26" t="s">
        <v>803</v>
      </c>
      <c r="E348" s="27"/>
      <c r="F348" t="s">
        <v>1145</v>
      </c>
      <c r="G348" s="27"/>
      <c r="H348" s="25"/>
    </row>
    <row r="349" spans="1:8" x14ac:dyDescent="0.25">
      <c r="A349" t="s">
        <v>404</v>
      </c>
      <c r="B349" s="27"/>
      <c r="C349" s="27"/>
      <c r="D349" s="26"/>
      <c r="E349" s="27"/>
      <c r="F349" s="27"/>
      <c r="G349" s="27"/>
      <c r="H349" s="25"/>
    </row>
    <row r="350" spans="1:8" x14ac:dyDescent="0.25">
      <c r="A350" t="s">
        <v>405</v>
      </c>
      <c r="B350" s="27" t="s">
        <v>1026</v>
      </c>
      <c r="C350" s="27" t="s">
        <v>58</v>
      </c>
      <c r="D350" s="62" t="s">
        <v>1039</v>
      </c>
      <c r="E350" s="27"/>
      <c r="F350" s="27" t="s">
        <v>1146</v>
      </c>
      <c r="G350" s="27"/>
      <c r="H350" s="25"/>
    </row>
    <row r="351" spans="1:8" x14ac:dyDescent="0.25">
      <c r="A351" t="s">
        <v>406</v>
      </c>
      <c r="B351" t="s">
        <v>1147</v>
      </c>
      <c r="C351" s="27" t="s">
        <v>1148</v>
      </c>
      <c r="D351" s="26" t="s">
        <v>782</v>
      </c>
      <c r="E351" s="27"/>
      <c r="F351" t="s">
        <v>1149</v>
      </c>
      <c r="G351" s="27"/>
      <c r="H351" s="25"/>
    </row>
    <row r="352" spans="1:8" x14ac:dyDescent="0.25">
      <c r="A352" t="s">
        <v>407</v>
      </c>
      <c r="B352" s="27" t="s">
        <v>1026</v>
      </c>
      <c r="C352" s="27" t="s">
        <v>58</v>
      </c>
      <c r="D352" s="26" t="s">
        <v>803</v>
      </c>
      <c r="E352" s="27">
        <v>28219</v>
      </c>
      <c r="F352" s="27" t="s">
        <v>1150</v>
      </c>
      <c r="G352" s="27" t="s">
        <v>1151</v>
      </c>
      <c r="H352" s="25"/>
    </row>
    <row r="353" spans="1:8" x14ac:dyDescent="0.25">
      <c r="A353" t="s">
        <v>408</v>
      </c>
      <c r="B353" s="73" t="s">
        <v>1152</v>
      </c>
      <c r="C353" s="27" t="s">
        <v>58</v>
      </c>
      <c r="D353" s="26" t="s">
        <v>803</v>
      </c>
      <c r="E353" s="27">
        <v>28189</v>
      </c>
      <c r="F353" t="s">
        <v>1153</v>
      </c>
      <c r="G353" s="27"/>
      <c r="H353" s="25"/>
    </row>
    <row r="354" spans="1:8" x14ac:dyDescent="0.25">
      <c r="A354" t="s">
        <v>409</v>
      </c>
      <c r="B354" s="27" t="s">
        <v>923</v>
      </c>
      <c r="C354" s="27" t="s">
        <v>816</v>
      </c>
      <c r="D354" s="26" t="s">
        <v>782</v>
      </c>
      <c r="E354" s="27">
        <v>60805</v>
      </c>
      <c r="F354" s="19" t="s">
        <v>1154</v>
      </c>
      <c r="G354" s="27"/>
      <c r="H354" s="25"/>
    </row>
    <row r="355" spans="1:8" x14ac:dyDescent="0.25">
      <c r="A355" t="s">
        <v>410</v>
      </c>
      <c r="B355" s="27"/>
      <c r="C355" s="27"/>
      <c r="D355" s="26"/>
      <c r="E355" s="27"/>
      <c r="F355" s="27"/>
      <c r="G355" s="27"/>
      <c r="H355" s="25"/>
    </row>
    <row r="356" spans="1:8" ht="36.75" x14ac:dyDescent="0.25">
      <c r="A356" t="s">
        <v>411</v>
      </c>
      <c r="B356" s="52" t="s">
        <v>1155</v>
      </c>
      <c r="C356" s="27" t="s">
        <v>58</v>
      </c>
      <c r="D356" s="26" t="s">
        <v>803</v>
      </c>
      <c r="E356" s="27"/>
      <c r="F356" t="s">
        <v>1156</v>
      </c>
      <c r="G356" s="27"/>
      <c r="H356" s="25"/>
    </row>
    <row r="357" spans="1:8" x14ac:dyDescent="0.25">
      <c r="A357" t="s">
        <v>412</v>
      </c>
      <c r="B357" s="52" t="s">
        <v>1157</v>
      </c>
      <c r="C357" s="27" t="s">
        <v>816</v>
      </c>
      <c r="D357" s="26" t="s">
        <v>1158</v>
      </c>
      <c r="E357" s="27">
        <v>60807</v>
      </c>
      <c r="F357" t="s">
        <v>1159</v>
      </c>
      <c r="G357" s="27"/>
      <c r="H357" s="25"/>
    </row>
    <row r="358" spans="1:8" x14ac:dyDescent="0.25">
      <c r="A358" t="s">
        <v>413</v>
      </c>
      <c r="B358" s="27"/>
      <c r="C358" s="27"/>
      <c r="D358" s="26"/>
      <c r="E358" s="27"/>
      <c r="F358" s="27"/>
      <c r="G358" s="27"/>
      <c r="H358" s="25"/>
    </row>
    <row r="359" spans="1:8" ht="36.75" x14ac:dyDescent="0.25">
      <c r="A359" t="s">
        <v>414</v>
      </c>
      <c r="B359" s="52" t="s">
        <v>1160</v>
      </c>
      <c r="C359" s="27" t="s">
        <v>898</v>
      </c>
      <c r="D359" s="26" t="s">
        <v>890</v>
      </c>
      <c r="E359" s="27">
        <v>48995</v>
      </c>
      <c r="F359" t="s">
        <v>1161</v>
      </c>
      <c r="G359" s="27"/>
      <c r="H359" s="25"/>
    </row>
    <row r="360" spans="1:8" x14ac:dyDescent="0.25">
      <c r="A360" t="s">
        <v>415</v>
      </c>
      <c r="B360" s="27" t="s">
        <v>1162</v>
      </c>
      <c r="C360" s="27" t="s">
        <v>58</v>
      </c>
      <c r="D360" s="26" t="s">
        <v>1163</v>
      </c>
      <c r="E360" s="27">
        <v>28943</v>
      </c>
      <c r="F360" s="27" t="s">
        <v>1164</v>
      </c>
      <c r="G360" s="27" t="s">
        <v>1165</v>
      </c>
      <c r="H360" s="25"/>
    </row>
    <row r="361" spans="1:8" x14ac:dyDescent="0.25">
      <c r="A361" t="s">
        <v>416</v>
      </c>
      <c r="B361" s="27" t="s">
        <v>1166</v>
      </c>
      <c r="C361" s="27" t="s">
        <v>58</v>
      </c>
      <c r="D361" s="26" t="s">
        <v>1167</v>
      </c>
      <c r="E361" s="27">
        <v>28906</v>
      </c>
      <c r="F361" s="27" t="s">
        <v>1168</v>
      </c>
      <c r="G361" s="27"/>
      <c r="H361" s="25"/>
    </row>
    <row r="362" spans="1:8" x14ac:dyDescent="0.25">
      <c r="A362" t="s">
        <v>417</v>
      </c>
      <c r="B362" s="27"/>
      <c r="C362" s="27"/>
      <c r="D362" s="26"/>
      <c r="E362" s="27"/>
      <c r="F362" s="27"/>
      <c r="G362" s="27"/>
      <c r="H362" s="25"/>
    </row>
    <row r="363" spans="1:8" x14ac:dyDescent="0.25">
      <c r="A363" t="s">
        <v>418</v>
      </c>
      <c r="B363" s="27" t="s">
        <v>1049</v>
      </c>
      <c r="C363" s="27"/>
      <c r="D363" s="26" t="s">
        <v>782</v>
      </c>
      <c r="E363" s="27">
        <v>60805</v>
      </c>
      <c r="F363" s="27" t="s">
        <v>1169</v>
      </c>
      <c r="G363" s="27"/>
      <c r="H363" s="25"/>
    </row>
    <row r="364" spans="1:8" x14ac:dyDescent="0.25">
      <c r="A364" t="s">
        <v>419</v>
      </c>
      <c r="B364" s="27" t="s">
        <v>1170</v>
      </c>
      <c r="C364" s="27" t="s">
        <v>816</v>
      </c>
      <c r="D364" s="26" t="s">
        <v>782</v>
      </c>
      <c r="E364" s="27"/>
      <c r="F364" s="27" t="s">
        <v>1171</v>
      </c>
      <c r="G364" s="27"/>
      <c r="H364" s="25"/>
    </row>
    <row r="365" spans="1:8" x14ac:dyDescent="0.25">
      <c r="A365" t="s">
        <v>420</v>
      </c>
      <c r="B365" s="27" t="s">
        <v>1166</v>
      </c>
      <c r="C365" s="27" t="s">
        <v>58</v>
      </c>
      <c r="D365" s="26" t="s">
        <v>826</v>
      </c>
      <c r="E365" s="27">
        <v>28900</v>
      </c>
      <c r="F365" s="27" t="s">
        <v>1172</v>
      </c>
      <c r="G365" s="27" t="s">
        <v>1173</v>
      </c>
      <c r="H365" s="25"/>
    </row>
    <row r="366" spans="1:8" x14ac:dyDescent="0.25">
      <c r="A366" t="s">
        <v>421</v>
      </c>
      <c r="B366" s="27" t="s">
        <v>1174</v>
      </c>
      <c r="C366" s="27" t="s">
        <v>58</v>
      </c>
      <c r="D366" s="26" t="s">
        <v>826</v>
      </c>
      <c r="E366" s="27">
        <v>28900</v>
      </c>
      <c r="F366" s="27" t="s">
        <v>1175</v>
      </c>
      <c r="G366" s="27" t="s">
        <v>1173</v>
      </c>
      <c r="H366" s="25"/>
    </row>
    <row r="367" spans="1:8" x14ac:dyDescent="0.25">
      <c r="A367" t="s">
        <v>422</v>
      </c>
      <c r="B367" s="27" t="s">
        <v>1031</v>
      </c>
      <c r="C367" s="27" t="s">
        <v>816</v>
      </c>
      <c r="D367" s="26" t="s">
        <v>782</v>
      </c>
      <c r="E367" s="27">
        <v>60990</v>
      </c>
      <c r="F367" s="27" t="s">
        <v>1176</v>
      </c>
      <c r="G367" s="27" t="s">
        <v>1177</v>
      </c>
      <c r="H367" s="25"/>
    </row>
    <row r="368" spans="1:8" x14ac:dyDescent="0.25">
      <c r="A368" t="s">
        <v>423</v>
      </c>
      <c r="B368" s="27" t="s">
        <v>1178</v>
      </c>
      <c r="C368" s="27" t="s">
        <v>58</v>
      </c>
      <c r="D368" s="26" t="s">
        <v>803</v>
      </c>
      <c r="E368" s="27">
        <v>28110</v>
      </c>
      <c r="F368" s="27" t="s">
        <v>1179</v>
      </c>
      <c r="G368" s="27" t="s">
        <v>1180</v>
      </c>
      <c r="H368" s="25"/>
    </row>
    <row r="369" spans="1:8" x14ac:dyDescent="0.25">
      <c r="A369" t="s">
        <v>424</v>
      </c>
      <c r="B369" s="27" t="s">
        <v>1181</v>
      </c>
      <c r="C369" s="27" t="s">
        <v>898</v>
      </c>
      <c r="D369" s="26" t="s">
        <v>890</v>
      </c>
      <c r="E369" s="27">
        <v>48990</v>
      </c>
      <c r="F369" s="27" t="s">
        <v>1182</v>
      </c>
      <c r="G369" s="27"/>
      <c r="H369" s="25"/>
    </row>
    <row r="370" spans="1:8" x14ac:dyDescent="0.25">
      <c r="A370" t="s">
        <v>425</v>
      </c>
      <c r="B370" s="27" t="s">
        <v>1183</v>
      </c>
      <c r="C370" s="27" t="s">
        <v>816</v>
      </c>
      <c r="D370" s="26" t="s">
        <v>782</v>
      </c>
      <c r="E370" s="27">
        <v>60806</v>
      </c>
      <c r="F370" s="27" t="s">
        <v>1184</v>
      </c>
      <c r="G370" s="27"/>
      <c r="H370" s="25"/>
    </row>
    <row r="371" spans="1:8" x14ac:dyDescent="0.25">
      <c r="A371" t="s">
        <v>426</v>
      </c>
      <c r="B371" s="27"/>
      <c r="C371" s="27"/>
      <c r="D371" s="26"/>
      <c r="E371" s="27"/>
      <c r="F371" s="27"/>
      <c r="G371" s="27"/>
      <c r="H371" s="25"/>
    </row>
    <row r="372" spans="1:8" x14ac:dyDescent="0.25">
      <c r="A372" t="s">
        <v>427</v>
      </c>
      <c r="B372" s="27" t="s">
        <v>1170</v>
      </c>
      <c r="C372" s="27" t="s">
        <v>816</v>
      </c>
      <c r="D372" s="26" t="s">
        <v>782</v>
      </c>
      <c r="E372" s="27"/>
      <c r="F372" s="27" t="s">
        <v>1185</v>
      </c>
      <c r="G372" s="27"/>
      <c r="H372" s="25"/>
    </row>
    <row r="373" spans="1:8" x14ac:dyDescent="0.25">
      <c r="A373" t="s">
        <v>428</v>
      </c>
      <c r="B373" s="27" t="s">
        <v>1186</v>
      </c>
      <c r="C373" s="27" t="s">
        <v>58</v>
      </c>
      <c r="D373" s="26" t="s">
        <v>803</v>
      </c>
      <c r="E373" s="27"/>
      <c r="F373" s="27" t="s">
        <v>1187</v>
      </c>
      <c r="G373" s="27"/>
      <c r="H373" s="25"/>
    </row>
    <row r="374" spans="1:8" x14ac:dyDescent="0.25">
      <c r="A374" t="s">
        <v>429</v>
      </c>
      <c r="B374" s="43" t="s">
        <v>1188</v>
      </c>
      <c r="C374" s="27" t="s">
        <v>58</v>
      </c>
      <c r="D374" s="26" t="s">
        <v>803</v>
      </c>
      <c r="E374" s="27"/>
      <c r="F374" s="27" t="s">
        <v>1189</v>
      </c>
      <c r="G374" s="27"/>
      <c r="H374" s="25"/>
    </row>
    <row r="375" spans="1:8" x14ac:dyDescent="0.25">
      <c r="A375" t="s">
        <v>430</v>
      </c>
      <c r="B375" s="43" t="s">
        <v>1099</v>
      </c>
      <c r="C375" s="27" t="s">
        <v>816</v>
      </c>
      <c r="D375" s="26" t="s">
        <v>826</v>
      </c>
      <c r="E375" s="27">
        <v>28900</v>
      </c>
      <c r="F375" s="27" t="s">
        <v>1190</v>
      </c>
      <c r="G375" s="27" t="s">
        <v>1191</v>
      </c>
      <c r="H375" s="25"/>
    </row>
    <row r="376" spans="1:8" x14ac:dyDescent="0.25">
      <c r="A376" t="s">
        <v>431</v>
      </c>
      <c r="B376" s="43" t="s">
        <v>1192</v>
      </c>
      <c r="C376" s="27"/>
      <c r="D376" s="26" t="s">
        <v>58</v>
      </c>
      <c r="E376" s="27">
        <v>28110</v>
      </c>
      <c r="F376" s="27" t="s">
        <v>1193</v>
      </c>
      <c r="G376" s="27" t="s">
        <v>1194</v>
      </c>
      <c r="H376" s="25"/>
    </row>
    <row r="377" spans="1:8" x14ac:dyDescent="0.25">
      <c r="A377" t="s">
        <v>70</v>
      </c>
      <c r="B377" s="43" t="s">
        <v>1195</v>
      </c>
      <c r="C377" s="27" t="s">
        <v>816</v>
      </c>
      <c r="D377" s="26" t="s">
        <v>782</v>
      </c>
      <c r="E377" s="27"/>
      <c r="F377" s="27" t="s">
        <v>1196</v>
      </c>
      <c r="G377" s="27"/>
      <c r="H377" s="25"/>
    </row>
    <row r="378" spans="1:8" x14ac:dyDescent="0.25">
      <c r="A378" t="s">
        <v>432</v>
      </c>
      <c r="B378" s="27" t="s">
        <v>1197</v>
      </c>
      <c r="C378" s="27" t="s">
        <v>816</v>
      </c>
      <c r="D378" s="26" t="s">
        <v>782</v>
      </c>
      <c r="E378" s="27"/>
      <c r="F378" s="27" t="s">
        <v>1198</v>
      </c>
      <c r="G378" s="27"/>
      <c r="H378" s="25"/>
    </row>
    <row r="379" spans="1:8" x14ac:dyDescent="0.25">
      <c r="A379" t="s">
        <v>433</v>
      </c>
      <c r="B379" s="43" t="s">
        <v>784</v>
      </c>
      <c r="C379" s="27" t="s">
        <v>816</v>
      </c>
      <c r="D379" s="26" t="s">
        <v>782</v>
      </c>
      <c r="E379" s="27"/>
      <c r="F379" s="27" t="s">
        <v>1199</v>
      </c>
      <c r="G379" s="27"/>
      <c r="H379" s="25"/>
    </row>
    <row r="380" spans="1:8" x14ac:dyDescent="0.25">
      <c r="A380" t="s">
        <v>434</v>
      </c>
      <c r="B380" s="43" t="s">
        <v>1200</v>
      </c>
      <c r="C380" s="27" t="s">
        <v>58</v>
      </c>
      <c r="D380" s="26" t="s">
        <v>1039</v>
      </c>
      <c r="E380" s="27"/>
      <c r="F380" s="27" t="s">
        <v>1201</v>
      </c>
      <c r="G380" s="27"/>
      <c r="H380" s="25"/>
    </row>
    <row r="381" spans="1:8" x14ac:dyDescent="0.25">
      <c r="A381" t="s">
        <v>435</v>
      </c>
      <c r="B381" s="43" t="s">
        <v>1197</v>
      </c>
      <c r="C381" s="27" t="s">
        <v>816</v>
      </c>
      <c r="D381" s="26" t="s">
        <v>1019</v>
      </c>
      <c r="E381" s="27">
        <v>60804</v>
      </c>
      <c r="F381" s="27" t="s">
        <v>1202</v>
      </c>
      <c r="G381" s="27"/>
      <c r="H381" s="25"/>
    </row>
    <row r="382" spans="1:8" x14ac:dyDescent="0.25">
      <c r="A382" t="s">
        <v>436</v>
      </c>
      <c r="B382" s="43" t="s">
        <v>974</v>
      </c>
      <c r="C382" s="27" t="s">
        <v>816</v>
      </c>
      <c r="D382" s="26" t="s">
        <v>1203</v>
      </c>
      <c r="E382" s="27"/>
      <c r="F382" s="27" t="s">
        <v>1204</v>
      </c>
      <c r="G382" s="27"/>
      <c r="H382" s="25"/>
    </row>
    <row r="383" spans="1:8" x14ac:dyDescent="0.25">
      <c r="A383" t="s">
        <v>437</v>
      </c>
      <c r="B383" s="43" t="s">
        <v>1205</v>
      </c>
      <c r="C383" s="27" t="s">
        <v>58</v>
      </c>
      <c r="D383" s="26" t="s">
        <v>826</v>
      </c>
      <c r="E383" s="27"/>
      <c r="F383" s="27" t="s">
        <v>1206</v>
      </c>
      <c r="G383" s="27"/>
      <c r="H383" s="25"/>
    </row>
    <row r="384" spans="1:8" x14ac:dyDescent="0.25">
      <c r="A384" t="s">
        <v>438</v>
      </c>
      <c r="B384" s="43" t="s">
        <v>1207</v>
      </c>
      <c r="C384" s="27" t="s">
        <v>816</v>
      </c>
      <c r="D384" s="26" t="s">
        <v>851</v>
      </c>
      <c r="E384" s="27"/>
      <c r="F384" s="27" t="s">
        <v>1208</v>
      </c>
      <c r="G384" s="27" t="s">
        <v>1209</v>
      </c>
      <c r="H384" s="25"/>
    </row>
    <row r="385" spans="1:8" x14ac:dyDescent="0.25">
      <c r="A385" t="s">
        <v>439</v>
      </c>
      <c r="B385" s="27"/>
      <c r="C385" s="27"/>
      <c r="D385" s="26"/>
      <c r="E385" s="27"/>
      <c r="F385" s="27"/>
      <c r="G385" s="27"/>
      <c r="H385" s="25"/>
    </row>
    <row r="386" spans="1:8" x14ac:dyDescent="0.25">
      <c r="A386" t="s">
        <v>440</v>
      </c>
      <c r="B386" s="27" t="s">
        <v>1210</v>
      </c>
      <c r="C386" s="27" t="s">
        <v>58</v>
      </c>
      <c r="D386" s="26" t="s">
        <v>1042</v>
      </c>
      <c r="E386" s="27">
        <v>28945</v>
      </c>
      <c r="F386" s="27" t="s">
        <v>1211</v>
      </c>
      <c r="G386" s="27"/>
      <c r="H386" s="25"/>
    </row>
    <row r="387" spans="1:8" x14ac:dyDescent="0.25">
      <c r="A387" t="s">
        <v>441</v>
      </c>
      <c r="B387" s="25" t="s">
        <v>813</v>
      </c>
      <c r="C387" s="25" t="s">
        <v>816</v>
      </c>
      <c r="D387" s="26" t="s">
        <v>782</v>
      </c>
      <c r="E387" s="27"/>
      <c r="F387" s="27" t="s">
        <v>1212</v>
      </c>
      <c r="G387" s="35"/>
      <c r="H387" s="25"/>
    </row>
    <row r="388" spans="1:8" x14ac:dyDescent="0.25">
      <c r="A388" t="s">
        <v>442</v>
      </c>
      <c r="B388" s="25" t="s">
        <v>1132</v>
      </c>
      <c r="C388" s="25" t="s">
        <v>816</v>
      </c>
      <c r="D388" s="26" t="s">
        <v>782</v>
      </c>
      <c r="E388" s="27"/>
      <c r="F388" s="27" t="s">
        <v>1213</v>
      </c>
      <c r="G388" s="35"/>
      <c r="H388" s="25"/>
    </row>
    <row r="389" spans="1:8" x14ac:dyDescent="0.25">
      <c r="A389" t="s">
        <v>443</v>
      </c>
      <c r="B389" s="25" t="s">
        <v>813</v>
      </c>
      <c r="C389" s="25" t="s">
        <v>816</v>
      </c>
      <c r="D389" s="26" t="s">
        <v>782</v>
      </c>
      <c r="E389" s="27"/>
      <c r="F389" s="25" t="s">
        <v>1214</v>
      </c>
      <c r="G389" s="35" t="s">
        <v>1215</v>
      </c>
      <c r="H389" s="25"/>
    </row>
    <row r="390" spans="1:8" x14ac:dyDescent="0.25">
      <c r="A390" t="s">
        <v>444</v>
      </c>
      <c r="B390" s="25" t="s">
        <v>1216</v>
      </c>
      <c r="C390" s="25" t="s">
        <v>58</v>
      </c>
      <c r="D390" s="26" t="s">
        <v>1217</v>
      </c>
      <c r="E390" s="27"/>
      <c r="F390" s="27" t="s">
        <v>1218</v>
      </c>
      <c r="G390" s="35" t="s">
        <v>1219</v>
      </c>
      <c r="H390" s="25"/>
    </row>
    <row r="391" spans="1:8" x14ac:dyDescent="0.25">
      <c r="A391" t="s">
        <v>445</v>
      </c>
      <c r="B391" s="25" t="s">
        <v>1125</v>
      </c>
      <c r="C391" s="25" t="s">
        <v>58</v>
      </c>
      <c r="D391" s="26" t="s">
        <v>803</v>
      </c>
      <c r="E391" s="27"/>
      <c r="F391" s="27" t="s">
        <v>1220</v>
      </c>
      <c r="G391" s="35" t="s">
        <v>1221</v>
      </c>
      <c r="H391" s="25"/>
    </row>
    <row r="392" spans="1:8" x14ac:dyDescent="0.25">
      <c r="A392" t="s">
        <v>446</v>
      </c>
      <c r="B392" s="25" t="s">
        <v>1222</v>
      </c>
      <c r="C392" s="27" t="s">
        <v>816</v>
      </c>
      <c r="D392" s="26" t="s">
        <v>782</v>
      </c>
      <c r="E392" s="27"/>
      <c r="F392" s="27" t="s">
        <v>1223</v>
      </c>
      <c r="G392" s="27" t="s">
        <v>1224</v>
      </c>
      <c r="H392" s="25"/>
    </row>
    <row r="393" spans="1:8" x14ac:dyDescent="0.25">
      <c r="A393" t="s">
        <v>447</v>
      </c>
      <c r="B393" s="25" t="s">
        <v>1225</v>
      </c>
      <c r="C393" s="27" t="s">
        <v>816</v>
      </c>
      <c r="D393" s="26" t="s">
        <v>782</v>
      </c>
      <c r="E393" s="27"/>
      <c r="F393" s="27" t="s">
        <v>1226</v>
      </c>
      <c r="G393" s="27" t="s">
        <v>1227</v>
      </c>
      <c r="H393" s="25"/>
    </row>
    <row r="394" spans="1:8" x14ac:dyDescent="0.25">
      <c r="A394" t="s">
        <v>448</v>
      </c>
      <c r="B394" s="25" t="s">
        <v>1228</v>
      </c>
      <c r="C394" s="27" t="s">
        <v>816</v>
      </c>
      <c r="D394" s="26" t="s">
        <v>782</v>
      </c>
      <c r="E394" s="27"/>
      <c r="F394" s="27" t="s">
        <v>1229</v>
      </c>
      <c r="G394" s="35" t="s">
        <v>1230</v>
      </c>
      <c r="H394" s="25"/>
    </row>
    <row r="395" spans="1:8" x14ac:dyDescent="0.25">
      <c r="A395" t="s">
        <v>449</v>
      </c>
      <c r="B395" s="43" t="s">
        <v>958</v>
      </c>
      <c r="C395" s="27" t="s">
        <v>816</v>
      </c>
      <c r="D395" s="26" t="s">
        <v>782</v>
      </c>
      <c r="E395" s="27"/>
      <c r="F395" s="27" t="s">
        <v>1231</v>
      </c>
      <c r="G395" s="27" t="s">
        <v>1232</v>
      </c>
      <c r="H395" s="25"/>
    </row>
    <row r="396" spans="1:8" x14ac:dyDescent="0.25">
      <c r="A396" t="s">
        <v>450</v>
      </c>
      <c r="B396" s="43"/>
      <c r="C396" s="27" t="s">
        <v>58</v>
      </c>
      <c r="D396" s="26" t="s">
        <v>803</v>
      </c>
      <c r="E396" s="27"/>
      <c r="F396" s="75" t="s">
        <v>1233</v>
      </c>
      <c r="G396" s="27" t="s">
        <v>1234</v>
      </c>
      <c r="H396" s="25"/>
    </row>
    <row r="397" spans="1:8" x14ac:dyDescent="0.25">
      <c r="A397" t="s">
        <v>451</v>
      </c>
      <c r="B397" s="25" t="s">
        <v>813</v>
      </c>
      <c r="C397" s="27" t="s">
        <v>816</v>
      </c>
      <c r="D397" s="76" t="s">
        <v>782</v>
      </c>
      <c r="E397" s="25"/>
      <c r="F397" s="27" t="s">
        <v>1235</v>
      </c>
      <c r="G397" s="31" t="s">
        <v>1236</v>
      </c>
    </row>
    <row r="398" spans="1:8" x14ac:dyDescent="0.25">
      <c r="A398" t="s">
        <v>452</v>
      </c>
      <c r="B398" s="25" t="s">
        <v>1237</v>
      </c>
      <c r="C398" s="25" t="s">
        <v>816</v>
      </c>
      <c r="D398" s="26" t="s">
        <v>994</v>
      </c>
      <c r="E398" s="27"/>
      <c r="F398" s="27" t="s">
        <v>1238</v>
      </c>
      <c r="G398" s="35" t="s">
        <v>1239</v>
      </c>
      <c r="H398" s="25"/>
    </row>
    <row r="399" spans="1:8" x14ac:dyDescent="0.25">
      <c r="A399" t="s">
        <v>453</v>
      </c>
      <c r="B399" s="25" t="s">
        <v>826</v>
      </c>
      <c r="C399" s="25" t="s">
        <v>58</v>
      </c>
      <c r="D399" s="76" t="s">
        <v>826</v>
      </c>
      <c r="E399" s="27"/>
      <c r="F399" s="25" t="s">
        <v>1240</v>
      </c>
      <c r="G399" s="77" t="s">
        <v>1241</v>
      </c>
      <c r="H399" s="25"/>
    </row>
    <row r="400" spans="1:8" x14ac:dyDescent="0.25">
      <c r="A400" t="s">
        <v>454</v>
      </c>
      <c r="B400" s="43" t="s">
        <v>1197</v>
      </c>
      <c r="C400" s="27" t="s">
        <v>1148</v>
      </c>
      <c r="D400" s="26" t="s">
        <v>1242</v>
      </c>
      <c r="E400" s="27"/>
      <c r="F400" s="25" t="s">
        <v>1243</v>
      </c>
      <c r="G400" s="77" t="s">
        <v>1244</v>
      </c>
      <c r="H400" s="25"/>
    </row>
    <row r="401" spans="1:8" x14ac:dyDescent="0.25">
      <c r="A401" t="s">
        <v>455</v>
      </c>
      <c r="B401" s="43" t="s">
        <v>1245</v>
      </c>
      <c r="C401" s="27" t="s">
        <v>1148</v>
      </c>
      <c r="D401" s="76" t="s">
        <v>1245</v>
      </c>
      <c r="E401" s="27"/>
      <c r="F401" s="25" t="s">
        <v>1246</v>
      </c>
      <c r="G401" s="25" t="s">
        <v>1247</v>
      </c>
      <c r="H401" s="25"/>
    </row>
    <row r="402" spans="1:8" x14ac:dyDescent="0.25">
      <c r="A402" t="s">
        <v>456</v>
      </c>
      <c r="B402" s="43" t="s">
        <v>1248</v>
      </c>
      <c r="C402" s="27" t="s">
        <v>816</v>
      </c>
      <c r="D402" s="76" t="s">
        <v>1013</v>
      </c>
      <c r="E402" s="27"/>
      <c r="F402" s="25" t="s">
        <v>1249</v>
      </c>
      <c r="G402" s="25" t="s">
        <v>1250</v>
      </c>
      <c r="H402" s="25"/>
    </row>
    <row r="403" spans="1:8" x14ac:dyDescent="0.25">
      <c r="A403" t="s">
        <v>457</v>
      </c>
      <c r="B403" s="25" t="s">
        <v>826</v>
      </c>
      <c r="C403" s="27" t="s">
        <v>58</v>
      </c>
      <c r="D403" s="26" t="s">
        <v>826</v>
      </c>
      <c r="E403" s="27"/>
      <c r="F403" s="27" t="s">
        <v>1100</v>
      </c>
      <c r="G403" s="77" t="s">
        <v>1251</v>
      </c>
      <c r="H403" s="25"/>
    </row>
    <row r="404" spans="1:8" x14ac:dyDescent="0.25">
      <c r="A404" t="s">
        <v>458</v>
      </c>
      <c r="B404" s="25" t="s">
        <v>1252</v>
      </c>
      <c r="C404" s="27" t="s">
        <v>816</v>
      </c>
      <c r="D404" s="26" t="s">
        <v>1203</v>
      </c>
      <c r="E404" s="27"/>
      <c r="F404" s="27" t="s">
        <v>1253</v>
      </c>
      <c r="G404" s="77" t="s">
        <v>1254</v>
      </c>
      <c r="H404" s="25"/>
    </row>
    <row r="405" spans="1:8" ht="30" x14ac:dyDescent="0.25">
      <c r="A405" t="s">
        <v>459</v>
      </c>
      <c r="B405" s="19" t="s">
        <v>1255</v>
      </c>
      <c r="C405" s="19" t="s">
        <v>530</v>
      </c>
      <c r="D405" s="76" t="s">
        <v>1256</v>
      </c>
      <c r="E405" s="25"/>
      <c r="F405" s="25"/>
      <c r="G405" s="25"/>
      <c r="H405" s="73" t="s">
        <v>1257</v>
      </c>
    </row>
    <row r="406" spans="1:8" ht="30" x14ac:dyDescent="0.25">
      <c r="A406" t="s">
        <v>460</v>
      </c>
      <c r="B406" s="19" t="s">
        <v>1255</v>
      </c>
      <c r="C406" s="19" t="s">
        <v>530</v>
      </c>
      <c r="D406" s="76" t="s">
        <v>1256</v>
      </c>
      <c r="E406" s="25">
        <v>30827</v>
      </c>
      <c r="F406" s="25" t="s">
        <v>1258</v>
      </c>
      <c r="G406" s="25" t="s">
        <v>1259</v>
      </c>
      <c r="H406" s="73" t="s">
        <v>1260</v>
      </c>
    </row>
    <row r="407" spans="1:8" ht="30" x14ac:dyDescent="0.25">
      <c r="A407" t="s">
        <v>461</v>
      </c>
      <c r="B407" s="19" t="s">
        <v>1255</v>
      </c>
      <c r="C407" s="19" t="s">
        <v>530</v>
      </c>
      <c r="D407" s="76" t="s">
        <v>1256</v>
      </c>
      <c r="E407" s="25">
        <v>29526</v>
      </c>
      <c r="F407" s="25" t="s">
        <v>1261</v>
      </c>
      <c r="G407" s="25" t="s">
        <v>1262</v>
      </c>
      <c r="H407" s="73" t="s">
        <v>1263</v>
      </c>
    </row>
    <row r="408" spans="1:8" ht="30" x14ac:dyDescent="0.25">
      <c r="A408" t="s">
        <v>462</v>
      </c>
      <c r="B408" s="19" t="s">
        <v>1255</v>
      </c>
      <c r="C408" s="19" t="s">
        <v>530</v>
      </c>
      <c r="D408" s="76" t="s">
        <v>1256</v>
      </c>
      <c r="E408" s="25">
        <v>29526</v>
      </c>
      <c r="F408" s="25" t="s">
        <v>1261</v>
      </c>
      <c r="G408" s="25" t="s">
        <v>1262</v>
      </c>
      <c r="H408" s="73" t="s">
        <v>1264</v>
      </c>
    </row>
    <row r="409" spans="1:8" x14ac:dyDescent="0.25">
      <c r="A409" t="s">
        <v>463</v>
      </c>
      <c r="B409" t="s">
        <v>1265</v>
      </c>
      <c r="C409" t="s">
        <v>67</v>
      </c>
      <c r="D409" s="76" t="s">
        <v>1266</v>
      </c>
      <c r="E409" s="25">
        <v>86823</v>
      </c>
      <c r="F409" s="27" t="s">
        <v>1267</v>
      </c>
      <c r="G409" s="27" t="s">
        <v>1268</v>
      </c>
    </row>
    <row r="410" spans="1:8" x14ac:dyDescent="0.25">
      <c r="A410" t="s">
        <v>464</v>
      </c>
      <c r="B410" s="19" t="s">
        <v>1269</v>
      </c>
      <c r="C410" t="s">
        <v>67</v>
      </c>
      <c r="D410" s="76" t="s">
        <v>1266</v>
      </c>
      <c r="E410" s="25">
        <v>86824</v>
      </c>
      <c r="F410" s="27" t="s">
        <v>1270</v>
      </c>
      <c r="G410" s="31" t="s">
        <v>1271</v>
      </c>
    </row>
    <row r="411" spans="1:8" x14ac:dyDescent="0.25">
      <c r="A411" t="s">
        <v>465</v>
      </c>
      <c r="D411" s="76" t="s">
        <v>1266</v>
      </c>
      <c r="E411" s="25"/>
      <c r="F411" s="25"/>
      <c r="G411" s="25"/>
    </row>
    <row r="412" spans="1:8" x14ac:dyDescent="0.25">
      <c r="A412" t="s">
        <v>466</v>
      </c>
      <c r="B412" s="19" t="s">
        <v>1272</v>
      </c>
      <c r="C412" t="s">
        <v>67</v>
      </c>
      <c r="D412" s="76" t="s">
        <v>1266</v>
      </c>
      <c r="E412" s="25">
        <v>86757</v>
      </c>
      <c r="F412" s="27" t="s">
        <v>1273</v>
      </c>
      <c r="G412" s="27" t="s">
        <v>1274</v>
      </c>
    </row>
    <row r="413" spans="1:8" x14ac:dyDescent="0.25">
      <c r="A413" t="s">
        <v>467</v>
      </c>
      <c r="D413" s="76" t="s">
        <v>1266</v>
      </c>
      <c r="E413" s="25"/>
      <c r="F413" s="25"/>
      <c r="G413" s="25"/>
    </row>
    <row r="414" spans="1:8" x14ac:dyDescent="0.25">
      <c r="A414" t="s">
        <v>468</v>
      </c>
      <c r="D414" s="76" t="s">
        <v>1266</v>
      </c>
      <c r="E414" s="25"/>
      <c r="F414" s="25"/>
      <c r="G414" s="25"/>
    </row>
    <row r="415" spans="1:8" x14ac:dyDescent="0.25">
      <c r="A415" t="s">
        <v>469</v>
      </c>
      <c r="D415" s="76" t="s">
        <v>1266</v>
      </c>
      <c r="E415" s="25"/>
      <c r="F415" s="25"/>
      <c r="G415" s="25"/>
    </row>
    <row r="416" spans="1:8" x14ac:dyDescent="0.25">
      <c r="A416" t="s">
        <v>470</v>
      </c>
      <c r="D416" s="76" t="s">
        <v>1266</v>
      </c>
      <c r="E416" s="42"/>
      <c r="F416" s="25"/>
      <c r="G416" s="25"/>
    </row>
    <row r="417" spans="1:8" x14ac:dyDescent="0.25">
      <c r="A417" t="s">
        <v>471</v>
      </c>
      <c r="D417" s="76" t="s">
        <v>1266</v>
      </c>
      <c r="E417" s="25"/>
      <c r="F417" s="25"/>
      <c r="G417" s="25"/>
    </row>
    <row r="418" spans="1:8" x14ac:dyDescent="0.25">
      <c r="A418" t="s">
        <v>472</v>
      </c>
      <c r="D418" s="76" t="s">
        <v>1266</v>
      </c>
      <c r="E418" s="25"/>
      <c r="F418" s="25"/>
      <c r="G418" s="25"/>
    </row>
    <row r="419" spans="1:8" x14ac:dyDescent="0.25">
      <c r="A419" t="s">
        <v>473</v>
      </c>
      <c r="D419" s="76" t="s">
        <v>1266</v>
      </c>
      <c r="E419" s="25"/>
      <c r="F419" s="25"/>
      <c r="G419" s="25"/>
    </row>
    <row r="420" spans="1:8" x14ac:dyDescent="0.25">
      <c r="A420" t="s">
        <v>474</v>
      </c>
      <c r="D420" s="76" t="s">
        <v>1266</v>
      </c>
      <c r="E420" s="25"/>
      <c r="F420" s="25"/>
      <c r="G420" s="25"/>
    </row>
    <row r="421" spans="1:8" x14ac:dyDescent="0.25">
      <c r="A421" t="s">
        <v>475</v>
      </c>
      <c r="D421" s="76" t="s">
        <v>1266</v>
      </c>
      <c r="E421" s="25"/>
      <c r="F421" s="25"/>
      <c r="G421" s="25"/>
    </row>
    <row r="422" spans="1:8" x14ac:dyDescent="0.25">
      <c r="A422" t="s">
        <v>476</v>
      </c>
      <c r="D422" s="76" t="s">
        <v>1266</v>
      </c>
      <c r="E422" s="25"/>
      <c r="F422" s="25"/>
      <c r="G422" s="25"/>
    </row>
    <row r="423" spans="1:8" x14ac:dyDescent="0.25">
      <c r="A423" t="s">
        <v>477</v>
      </c>
      <c r="D423" s="76" t="s">
        <v>1266</v>
      </c>
      <c r="E423" s="25"/>
      <c r="F423" s="25"/>
      <c r="G423" s="25"/>
    </row>
    <row r="424" spans="1:8" x14ac:dyDescent="0.25">
      <c r="A424" t="s">
        <v>478</v>
      </c>
      <c r="C424" t="s">
        <v>67</v>
      </c>
      <c r="D424" s="76" t="s">
        <v>1266</v>
      </c>
      <c r="E424" s="25"/>
      <c r="F424" s="25" t="s">
        <v>1275</v>
      </c>
      <c r="G424" s="78" t="s">
        <v>1276</v>
      </c>
    </row>
    <row r="425" spans="1:8" x14ac:dyDescent="0.25">
      <c r="A425" t="s">
        <v>479</v>
      </c>
      <c r="D425" s="76" t="s">
        <v>1266</v>
      </c>
      <c r="E425" s="25"/>
      <c r="F425" s="25"/>
      <c r="G425" s="25"/>
    </row>
    <row r="426" spans="1:8" x14ac:dyDescent="0.25">
      <c r="A426" t="s">
        <v>480</v>
      </c>
      <c r="D426" s="76" t="s">
        <v>1266</v>
      </c>
      <c r="E426" s="25"/>
      <c r="F426" s="25"/>
      <c r="G426" s="25"/>
    </row>
    <row r="427" spans="1:8" ht="30" x14ac:dyDescent="0.25">
      <c r="A427" t="s">
        <v>481</v>
      </c>
      <c r="B427" t="s">
        <v>1277</v>
      </c>
      <c r="C427" t="s">
        <v>67</v>
      </c>
      <c r="D427" s="76" t="s">
        <v>1278</v>
      </c>
      <c r="E427" s="25">
        <v>86947</v>
      </c>
      <c r="F427" s="27" t="s">
        <v>1279</v>
      </c>
      <c r="G427" s="27" t="s">
        <v>1280</v>
      </c>
      <c r="H427" s="73" t="s">
        <v>1281</v>
      </c>
    </row>
    <row r="428" spans="1:8" ht="30" x14ac:dyDescent="0.25">
      <c r="A428" t="s">
        <v>482</v>
      </c>
      <c r="B428" t="s">
        <v>1282</v>
      </c>
      <c r="C428" t="s">
        <v>67</v>
      </c>
      <c r="D428" s="76" t="s">
        <v>1283</v>
      </c>
      <c r="E428" s="25">
        <v>86443</v>
      </c>
      <c r="F428" s="27" t="s">
        <v>1284</v>
      </c>
      <c r="G428" s="27" t="s">
        <v>1285</v>
      </c>
      <c r="H428" s="73" t="s">
        <v>1286</v>
      </c>
    </row>
    <row r="429" spans="1:8" x14ac:dyDescent="0.25">
      <c r="A429" t="s">
        <v>483</v>
      </c>
      <c r="B429" t="s">
        <v>1287</v>
      </c>
      <c r="C429" t="s">
        <v>67</v>
      </c>
      <c r="D429" s="76" t="s">
        <v>1266</v>
      </c>
      <c r="E429" s="25"/>
      <c r="F429" s="25" t="s">
        <v>1288</v>
      </c>
      <c r="G429" s="25" t="s">
        <v>1289</v>
      </c>
    </row>
    <row r="430" spans="1:8" x14ac:dyDescent="0.25">
      <c r="A430" t="s">
        <v>484</v>
      </c>
      <c r="D430" s="76" t="s">
        <v>1266</v>
      </c>
      <c r="E430" s="25"/>
      <c r="F430" s="25"/>
      <c r="G430" s="25"/>
    </row>
    <row r="431" spans="1:8" x14ac:dyDescent="0.25">
      <c r="A431" t="s">
        <v>485</v>
      </c>
      <c r="D431" s="76" t="s">
        <v>1266</v>
      </c>
      <c r="E431" s="25"/>
      <c r="F431" s="25"/>
      <c r="G431" s="25"/>
    </row>
    <row r="432" spans="1:8" x14ac:dyDescent="0.25">
      <c r="A432" t="s">
        <v>486</v>
      </c>
      <c r="B432" t="s">
        <v>1290</v>
      </c>
      <c r="C432" t="s">
        <v>67</v>
      </c>
      <c r="D432" s="76" t="s">
        <v>1266</v>
      </c>
      <c r="E432" s="25"/>
      <c r="F432" s="75" t="s">
        <v>1291</v>
      </c>
      <c r="G432" s="78" t="s">
        <v>1292</v>
      </c>
    </row>
    <row r="433" spans="1:8" x14ac:dyDescent="0.25">
      <c r="A433" t="s">
        <v>487</v>
      </c>
      <c r="D433" s="76" t="s">
        <v>1266</v>
      </c>
      <c r="E433" s="25"/>
      <c r="F433" s="25"/>
      <c r="G433" s="25"/>
    </row>
    <row r="434" spans="1:8" x14ac:dyDescent="0.25">
      <c r="A434" t="s">
        <v>488</v>
      </c>
      <c r="D434" s="76" t="s">
        <v>1266</v>
      </c>
      <c r="E434" s="25"/>
      <c r="F434" s="25"/>
      <c r="G434" s="25"/>
    </row>
    <row r="435" spans="1:8" x14ac:dyDescent="0.25">
      <c r="A435" t="s">
        <v>489</v>
      </c>
      <c r="B435" t="s">
        <v>1293</v>
      </c>
      <c r="C435" t="s">
        <v>530</v>
      </c>
      <c r="D435" s="76" t="s">
        <v>1256</v>
      </c>
      <c r="E435" s="25">
        <v>29526</v>
      </c>
      <c r="F435" s="27" t="s">
        <v>1294</v>
      </c>
      <c r="G435" s="27"/>
    </row>
    <row r="436" spans="1:8" x14ac:dyDescent="0.25">
      <c r="A436" t="s">
        <v>490</v>
      </c>
      <c r="D436" s="76" t="s">
        <v>1266</v>
      </c>
      <c r="E436" s="25"/>
      <c r="F436" s="25"/>
      <c r="G436" s="25"/>
    </row>
    <row r="437" spans="1:8" x14ac:dyDescent="0.25">
      <c r="A437" t="s">
        <v>491</v>
      </c>
      <c r="B437" t="s">
        <v>1295</v>
      </c>
      <c r="C437" t="s">
        <v>67</v>
      </c>
      <c r="D437" s="76" t="s">
        <v>1266</v>
      </c>
      <c r="E437" s="25">
        <v>86826</v>
      </c>
      <c r="F437" s="25" t="s">
        <v>1296</v>
      </c>
      <c r="G437" s="78" t="s">
        <v>1297</v>
      </c>
    </row>
    <row r="438" spans="1:8" x14ac:dyDescent="0.25">
      <c r="A438" t="s">
        <v>492</v>
      </c>
      <c r="B438" t="s">
        <v>1293</v>
      </c>
      <c r="C438" t="s">
        <v>530</v>
      </c>
      <c r="D438" s="76" t="s">
        <v>1256</v>
      </c>
      <c r="E438" s="25">
        <v>29526</v>
      </c>
      <c r="F438" s="25" t="s">
        <v>1298</v>
      </c>
      <c r="G438" s="78"/>
    </row>
    <row r="439" spans="1:8" x14ac:dyDescent="0.25">
      <c r="A439" t="s">
        <v>493</v>
      </c>
      <c r="D439" s="76" t="s">
        <v>1266</v>
      </c>
      <c r="E439" s="25"/>
      <c r="F439" s="25"/>
      <c r="G439" s="25"/>
    </row>
    <row r="440" spans="1:8" x14ac:dyDescent="0.25">
      <c r="A440" t="s">
        <v>494</v>
      </c>
      <c r="D440" s="76" t="s">
        <v>1266</v>
      </c>
      <c r="E440" s="25"/>
      <c r="F440" s="25"/>
      <c r="G440" s="25"/>
    </row>
    <row r="441" spans="1:8" x14ac:dyDescent="0.25">
      <c r="A441" t="s">
        <v>495</v>
      </c>
      <c r="D441" s="76" t="s">
        <v>1266</v>
      </c>
      <c r="E441" s="25"/>
      <c r="F441" s="25"/>
      <c r="G441" s="25"/>
    </row>
    <row r="442" spans="1:8" x14ac:dyDescent="0.25">
      <c r="A442" t="s">
        <v>496</v>
      </c>
      <c r="D442" s="76" t="s">
        <v>1266</v>
      </c>
      <c r="E442" s="25"/>
      <c r="F442" s="25"/>
      <c r="G442" s="25"/>
    </row>
    <row r="443" spans="1:8" x14ac:dyDescent="0.25">
      <c r="A443" t="s">
        <v>497</v>
      </c>
      <c r="D443" s="76" t="s">
        <v>1266</v>
      </c>
      <c r="E443" s="25"/>
      <c r="F443" s="25"/>
      <c r="G443" s="25"/>
    </row>
    <row r="444" spans="1:8" x14ac:dyDescent="0.25">
      <c r="A444" t="s">
        <v>498</v>
      </c>
      <c r="D444" s="76" t="s">
        <v>1266</v>
      </c>
      <c r="E444" s="25"/>
      <c r="F444" s="25"/>
      <c r="G444" s="25"/>
    </row>
    <row r="445" spans="1:8" x14ac:dyDescent="0.25">
      <c r="A445" t="s">
        <v>499</v>
      </c>
      <c r="D445" s="76" t="s">
        <v>1266</v>
      </c>
      <c r="E445" s="25"/>
      <c r="F445" s="25"/>
      <c r="G445" s="25"/>
    </row>
    <row r="446" spans="1:8" x14ac:dyDescent="0.25">
      <c r="A446" t="s">
        <v>500</v>
      </c>
      <c r="D446" s="76" t="s">
        <v>1266</v>
      </c>
      <c r="E446" s="25"/>
      <c r="F446" s="25"/>
      <c r="G446" s="25"/>
    </row>
    <row r="447" spans="1:8" x14ac:dyDescent="0.25">
      <c r="A447" t="s">
        <v>501</v>
      </c>
      <c r="B447" s="27"/>
      <c r="C447" s="27"/>
      <c r="D447" s="26" t="s">
        <v>1299</v>
      </c>
      <c r="E447" s="27"/>
      <c r="F447" s="27"/>
      <c r="G447" s="27"/>
      <c r="H447" s="25"/>
    </row>
    <row r="448" spans="1:8" x14ac:dyDescent="0.25">
      <c r="A448" t="s">
        <v>502</v>
      </c>
      <c r="B448" s="27"/>
      <c r="C448" s="27"/>
      <c r="D448" s="26" t="s">
        <v>1266</v>
      </c>
      <c r="E448" s="27"/>
      <c r="F448" s="27"/>
      <c r="G448" s="27"/>
      <c r="H448" s="25"/>
    </row>
    <row r="449" spans="1:8" x14ac:dyDescent="0.25">
      <c r="A449" t="s">
        <v>503</v>
      </c>
      <c r="B449" s="27"/>
      <c r="C449" s="27"/>
      <c r="D449" s="26" t="s">
        <v>1266</v>
      </c>
      <c r="E449" s="27"/>
      <c r="F449" s="27"/>
      <c r="G449" s="27"/>
      <c r="H449" s="25"/>
    </row>
    <row r="450" spans="1:8" x14ac:dyDescent="0.25">
      <c r="A450" t="s">
        <v>504</v>
      </c>
      <c r="B450" s="27"/>
      <c r="C450" s="27"/>
      <c r="D450" s="26" t="s">
        <v>1266</v>
      </c>
      <c r="E450" s="27"/>
      <c r="F450" s="27"/>
      <c r="G450" s="27"/>
      <c r="H450" s="25"/>
    </row>
    <row r="451" spans="1:8" x14ac:dyDescent="0.25">
      <c r="A451" t="s">
        <v>505</v>
      </c>
      <c r="B451" s="27" t="s">
        <v>1300</v>
      </c>
      <c r="C451" s="27" t="s">
        <v>67</v>
      </c>
      <c r="D451" s="26" t="s">
        <v>1301</v>
      </c>
      <c r="E451" s="27"/>
      <c r="F451" s="27" t="s">
        <v>1302</v>
      </c>
      <c r="G451" s="27" t="s">
        <v>1303</v>
      </c>
      <c r="H451" s="25"/>
    </row>
    <row r="452" spans="1:8" x14ac:dyDescent="0.25">
      <c r="A452" t="s">
        <v>506</v>
      </c>
      <c r="B452" s="27"/>
      <c r="C452" s="27" t="s">
        <v>67</v>
      </c>
      <c r="D452" s="26"/>
      <c r="E452" s="27"/>
      <c r="F452" s="27"/>
      <c r="G452" s="27"/>
      <c r="H452" s="25"/>
    </row>
    <row r="453" spans="1:8" x14ac:dyDescent="0.25">
      <c r="A453" t="s">
        <v>507</v>
      </c>
      <c r="B453" s="27" t="s">
        <v>1300</v>
      </c>
      <c r="C453" s="27" t="s">
        <v>67</v>
      </c>
      <c r="D453" s="26" t="s">
        <v>1301</v>
      </c>
      <c r="E453" s="27"/>
      <c r="F453" s="27" t="s">
        <v>1304</v>
      </c>
      <c r="G453" s="35" t="s">
        <v>1305</v>
      </c>
      <c r="H453" s="25"/>
    </row>
    <row r="454" spans="1:8" x14ac:dyDescent="0.25">
      <c r="A454" t="s">
        <v>508</v>
      </c>
      <c r="C454" s="27" t="s">
        <v>67</v>
      </c>
      <c r="D454" s="76"/>
      <c r="E454" s="25"/>
      <c r="F454" s="25"/>
      <c r="G454" s="25"/>
    </row>
    <row r="455" spans="1:8" ht="15.75" thickBot="1" x14ac:dyDescent="0.3">
      <c r="A455" s="20" t="s">
        <v>509</v>
      </c>
      <c r="B455" s="79"/>
      <c r="C455" s="79" t="s">
        <v>67</v>
      </c>
      <c r="D455" s="80" t="s">
        <v>1266</v>
      </c>
      <c r="E455" s="79"/>
      <c r="F455" s="79" t="s">
        <v>1306</v>
      </c>
      <c r="G455" s="79" t="s">
        <v>1307</v>
      </c>
      <c r="H455" s="81"/>
    </row>
    <row r="456" spans="1:8" ht="16.5" thickTop="1" thickBot="1" x14ac:dyDescent="0.3">
      <c r="A456" t="s">
        <v>510</v>
      </c>
      <c r="B456" s="79"/>
      <c r="C456" s="79"/>
      <c r="D456" s="80" t="s">
        <v>1308</v>
      </c>
      <c r="E456" s="79"/>
      <c r="F456" s="79"/>
      <c r="G456" s="79"/>
      <c r="H456" s="81"/>
    </row>
    <row r="457" spans="1:8" ht="15.75" thickTop="1" x14ac:dyDescent="0.25">
      <c r="A457" t="s">
        <v>511</v>
      </c>
      <c r="B457" s="27"/>
      <c r="C457" s="27"/>
      <c r="D457" s="26" t="s">
        <v>1309</v>
      </c>
      <c r="E457" s="27"/>
      <c r="F457" s="27"/>
      <c r="G457" s="27"/>
      <c r="H457" s="25"/>
    </row>
    <row r="458" spans="1:8" x14ac:dyDescent="0.25">
      <c r="A458" t="s">
        <v>512</v>
      </c>
      <c r="D458" s="26" t="s">
        <v>1309</v>
      </c>
      <c r="E458" s="25"/>
      <c r="F458" s="25"/>
      <c r="G458" s="25"/>
    </row>
    <row r="459" spans="1:8" x14ac:dyDescent="0.25">
      <c r="A459" t="s">
        <v>513</v>
      </c>
      <c r="D459" s="26" t="s">
        <v>1309</v>
      </c>
      <c r="E459" s="25"/>
      <c r="F459" s="25"/>
      <c r="G459" s="25"/>
    </row>
    <row r="460" spans="1:8" x14ac:dyDescent="0.25">
      <c r="A460" t="s">
        <v>514</v>
      </c>
      <c r="D460" s="26" t="s">
        <v>1309</v>
      </c>
      <c r="E460" s="25"/>
      <c r="F460" s="25"/>
      <c r="G460" s="25"/>
    </row>
    <row r="461" spans="1:8" x14ac:dyDescent="0.25">
      <c r="A461" t="s">
        <v>515</v>
      </c>
      <c r="D461" s="26" t="s">
        <v>1309</v>
      </c>
      <c r="E461" s="25"/>
      <c r="F461" s="25"/>
      <c r="G461" s="25"/>
    </row>
    <row r="462" spans="1:8" x14ac:dyDescent="0.25">
      <c r="A462" t="s">
        <v>516</v>
      </c>
      <c r="D462" s="26" t="s">
        <v>1266</v>
      </c>
      <c r="E462" s="25"/>
      <c r="F462" s="25"/>
      <c r="G462" s="25"/>
    </row>
    <row r="463" spans="1:8" x14ac:dyDescent="0.25">
      <c r="A463" t="s">
        <v>517</v>
      </c>
      <c r="D463" s="26" t="s">
        <v>1309</v>
      </c>
      <c r="E463" s="25"/>
      <c r="F463" s="25"/>
      <c r="G463" s="25"/>
    </row>
    <row r="464" spans="1:8" x14ac:dyDescent="0.25">
      <c r="A464" t="s">
        <v>518</v>
      </c>
      <c r="D464" s="26" t="s">
        <v>1309</v>
      </c>
      <c r="E464" s="25"/>
      <c r="F464" s="25"/>
      <c r="G464" s="25"/>
    </row>
    <row r="465" spans="1:7" x14ac:dyDescent="0.25">
      <c r="A465" t="s">
        <v>519</v>
      </c>
      <c r="D465" s="26" t="s">
        <v>1309</v>
      </c>
      <c r="E465" s="25"/>
      <c r="F465" s="25"/>
      <c r="G465" s="25"/>
    </row>
    <row r="466" spans="1:7" x14ac:dyDescent="0.25">
      <c r="A466" t="s">
        <v>520</v>
      </c>
      <c r="D466" s="26" t="s">
        <v>1266</v>
      </c>
      <c r="E466" s="25"/>
      <c r="F466" s="25"/>
      <c r="G466" s="25"/>
    </row>
    <row r="467" spans="1:7" x14ac:dyDescent="0.25">
      <c r="A467" t="s">
        <v>521</v>
      </c>
      <c r="D467" s="26" t="s">
        <v>1309</v>
      </c>
      <c r="E467" s="25"/>
      <c r="F467" s="25"/>
      <c r="G467" s="25"/>
    </row>
    <row r="468" spans="1:7" x14ac:dyDescent="0.25">
      <c r="A468" t="s">
        <v>70</v>
      </c>
    </row>
  </sheetData>
  <conditionalFormatting sqref="B351">
    <cfRule type="containsBlanks" dxfId="2" priority="1">
      <formula>LEN(TRIM(B351))=0</formula>
    </cfRule>
  </conditionalFormatting>
  <hyperlinks>
    <hyperlink ref="G11" r:id="rId1" xr:uid="{04598115-6631-4C7C-930F-FA7E5E53759D}"/>
    <hyperlink ref="G12" r:id="rId2" xr:uid="{52A6F8F1-A9F1-489E-8A8E-E2475A607991}"/>
    <hyperlink ref="G6" r:id="rId3" xr:uid="{7F567192-7A1A-44E6-A7D2-6171B16F5A16}"/>
    <hyperlink ref="G7" r:id="rId4" xr:uid="{E8C45F3E-5FB8-45BA-856B-FAB3AC0B15A7}"/>
    <hyperlink ref="G64" r:id="rId5" display="https://goo.gl/maps/FRyoYUTxMLVmWMFq8" xr:uid="{DDF26CFB-D690-46BC-B1CA-07D77C226BEE}"/>
    <hyperlink ref="G5" r:id="rId6" xr:uid="{77BF66B0-0123-4EB6-8248-32558FC6CFBF}"/>
    <hyperlink ref="G60" r:id="rId7" xr:uid="{56D15CD3-0C4C-4595-B0C5-214FFFA9B8E4}"/>
    <hyperlink ref="G46" r:id="rId8" xr:uid="{C4B3E14D-9B3F-4390-939C-98C8135D4B9D}"/>
    <hyperlink ref="G59" r:id="rId9" xr:uid="{DB2447F0-DF28-4D79-9A4F-04EACC87F4E3}"/>
    <hyperlink ref="G10" r:id="rId10" xr:uid="{4C454ECD-B53D-40ED-8B3D-8B822BB13B24}"/>
    <hyperlink ref="G67" r:id="rId11" xr:uid="{F0B63927-4B7F-43E6-8CAA-25C1B56A890E}"/>
    <hyperlink ref="G14" r:id="rId12" xr:uid="{8719DF24-8190-408B-8386-4524275DF0AA}"/>
    <hyperlink ref="G17" r:id="rId13" xr:uid="{3DC64273-6A73-463A-8868-0F0645424FA8}"/>
    <hyperlink ref="G18" r:id="rId14" xr:uid="{5ABA209B-7317-4444-AA45-40FA0B65939C}"/>
    <hyperlink ref="G47" r:id="rId15" xr:uid="{33A1EA01-DC06-42AA-928C-DDA478FB1614}"/>
    <hyperlink ref="G71" r:id="rId16" xr:uid="{D1C2C263-EA60-4A75-AB7E-2D5D4DFE395C}"/>
    <hyperlink ref="G77" r:id="rId17" xr:uid="{E771E3F3-EB57-44B1-A291-B800932388AA}"/>
    <hyperlink ref="G22" r:id="rId18" xr:uid="{7C41F49E-DCF3-4E8F-866A-3CBDB1610520}"/>
    <hyperlink ref="G24" r:id="rId19" xr:uid="{C2E91D71-3471-437C-BF04-4A99430A3A2E}"/>
    <hyperlink ref="G25" r:id="rId20" xr:uid="{BCEC963D-604C-4EA9-A4F2-B97C6D6F4077}"/>
    <hyperlink ref="G61" r:id="rId21" xr:uid="{9CCB6296-DD99-41DD-B2BD-EE8A34EF2B27}"/>
    <hyperlink ref="G73" r:id="rId22" xr:uid="{6F2D7159-2B28-4F85-9E59-82318811FA55}"/>
    <hyperlink ref="G35" r:id="rId23" xr:uid="{3CE5B283-9738-4043-8F19-E58AF99F0E9F}"/>
    <hyperlink ref="G54" r:id="rId24" xr:uid="{D9D5974C-63E0-4629-B5FC-A368451EAF03}"/>
    <hyperlink ref="G55" r:id="rId25" xr:uid="{50C3E864-3C1F-4C8B-B790-2669BB5DA0AD}"/>
    <hyperlink ref="G43" r:id="rId26" xr:uid="{43CD7EA2-CFFF-4F56-9174-2A974B4F3B4C}"/>
    <hyperlink ref="G44" r:id="rId27" xr:uid="{F1B3AFCA-4636-421C-8D90-9B637913EEDC}"/>
    <hyperlink ref="G9" r:id="rId28" xr:uid="{A164CD92-8F04-46F1-8D87-7B39637B0718}"/>
    <hyperlink ref="G56" r:id="rId29" xr:uid="{A40DBEB1-D00A-4187-BCA6-662324F8B49C}"/>
    <hyperlink ref="G66" r:id="rId30" xr:uid="{FA5FDC1D-909D-4D76-A578-6F9CCFDD35A3}"/>
    <hyperlink ref="G29" r:id="rId31" xr:uid="{D8DCD26F-DA8E-4257-8BD9-2024701D9C77}"/>
    <hyperlink ref="G69" r:id="rId32" xr:uid="{DC7A99BE-88C6-4B0E-98C1-E1C468BE6EA2}"/>
    <hyperlink ref="G13" r:id="rId33" xr:uid="{54559A05-5D86-4752-97C4-6582415A4E5D}"/>
    <hyperlink ref="G75" r:id="rId34" xr:uid="{17ADA980-27B7-41A6-A5C7-C82E4A26E784}"/>
    <hyperlink ref="G38" r:id="rId35" xr:uid="{CFD8D182-6896-4469-8003-ED39FE362073}"/>
    <hyperlink ref="G15" r:id="rId36" xr:uid="{F177CF5F-BC4A-44C7-8734-11492312DC2A}"/>
    <hyperlink ref="G16" r:id="rId37" xr:uid="{2352C9B0-337B-4237-8C94-DDD201AC4A21}"/>
    <hyperlink ref="G57" r:id="rId38" xr:uid="{B799DECC-E368-44F7-BAD8-A85AF7D8E239}"/>
    <hyperlink ref="G19" r:id="rId39" xr:uid="{D32AF995-F2FB-40E2-9061-EDD92C9742D5}"/>
    <hyperlink ref="G20" r:id="rId40" xr:uid="{93E74FE8-EECC-49E0-AFA6-8D3F517B27B6}"/>
    <hyperlink ref="G40" r:id="rId41" xr:uid="{C1F3B301-ADA1-4089-BD05-36C8D21C7029}"/>
    <hyperlink ref="G41" r:id="rId42" xr:uid="{A5134B15-D6BB-4357-8840-BA500352FB76}"/>
    <hyperlink ref="G21" r:id="rId43" xr:uid="{CE11CA6E-F3D6-4C08-ACC6-D657A3418CB8}"/>
    <hyperlink ref="G32" r:id="rId44" xr:uid="{6EE67373-277F-411F-91CE-60F4C779D21F}"/>
    <hyperlink ref="G23" r:id="rId45" xr:uid="{BE1201B2-BAC4-454D-A3CA-27224E1F307A}"/>
    <hyperlink ref="G42" r:id="rId46" xr:uid="{24B3C451-380F-4FF3-8222-62244171C354}"/>
    <hyperlink ref="G34" r:id="rId47" xr:uid="{5980295C-6C48-42A7-B5D3-5A2938DE04DA}"/>
    <hyperlink ref="G72" r:id="rId48" xr:uid="{0450C5E2-059C-4D10-99C4-7BAB0015CFDA}"/>
    <hyperlink ref="G76" r:id="rId49" xr:uid="{49884687-8DD1-42B4-86A3-05280173516E}"/>
    <hyperlink ref="G65" r:id="rId50" display="https://goo.gl/maps/VqyewcdFagBqvL6U8" xr:uid="{78275F1B-5CFB-4F8B-AAF6-67D8FF98B700}"/>
    <hyperlink ref="G74" r:id="rId51" xr:uid="{F9510470-0E19-460A-AF94-51A9C027C23C}"/>
    <hyperlink ref="G45" r:id="rId52" xr:uid="{010CE6E8-B916-4EB7-9ACE-569BD74D1494}"/>
    <hyperlink ref="G53" r:id="rId53" xr:uid="{F80A3BC2-3F47-4B59-A272-FAF90DB6266D}"/>
    <hyperlink ref="G80" r:id="rId54" xr:uid="{1117F60F-978F-4552-B09C-4B1E21FA75B7}"/>
    <hyperlink ref="G4" r:id="rId55" xr:uid="{58C59B79-BB67-44ED-AEC9-A68C5FB4184B}"/>
    <hyperlink ref="G36" r:id="rId56" xr:uid="{8DB84FD5-34A8-42CB-A417-910719137539}"/>
    <hyperlink ref="G52" r:id="rId57" xr:uid="{735EEEA3-DA3C-4FDB-9ACF-3E516DD6A536}"/>
    <hyperlink ref="G8" r:id="rId58" xr:uid="{14B36FCC-E1EA-4B75-8BA2-9B4BFBA3A526}"/>
    <hyperlink ref="G28" r:id="rId59" xr:uid="{84A131CA-FB3A-4920-A3F0-28A53702095B}"/>
    <hyperlink ref="G37" r:id="rId60" xr:uid="{59C1F455-F22B-4166-B24D-079C8B973326}"/>
    <hyperlink ref="G70" r:id="rId61" xr:uid="{908D7B01-7BF6-4376-A905-579CC69FC4D6}"/>
    <hyperlink ref="G30" r:id="rId62" xr:uid="{167C4DF2-C19C-40C8-AA5B-4D6BE3133DB4}"/>
    <hyperlink ref="G39" r:id="rId63" xr:uid="{BDAB6621-96EE-4E49-BDA0-D03644A005C1}"/>
    <hyperlink ref="G31" r:id="rId64" xr:uid="{C118AEDD-AED0-465D-A365-91FD11D51F0E}"/>
    <hyperlink ref="G33" r:id="rId65" xr:uid="{CECAA86C-73F5-4C9B-B5C6-44E7D71EBB79}"/>
    <hyperlink ref="G49" r:id="rId66" xr:uid="{0831DA97-1736-4915-81B1-3F0B98628B43}"/>
    <hyperlink ref="G50" r:id="rId67" xr:uid="{D8403756-6E69-4D7B-A656-A45C38C7AB97}"/>
    <hyperlink ref="G51" r:id="rId68" xr:uid="{F10E41AE-6933-4F59-9EEC-631816271D81}"/>
    <hyperlink ref="G78" r:id="rId69" xr:uid="{47705884-F324-4571-BF86-332DB233596A}"/>
    <hyperlink ref="G86" r:id="rId70" xr:uid="{A014C7C5-9FD8-4F3F-AAB3-04EA89F84A06}"/>
    <hyperlink ref="G90" r:id="rId71" xr:uid="{CE554ECF-B3F1-4896-B068-6A99D7013801}"/>
    <hyperlink ref="G91" r:id="rId72" xr:uid="{222F3C2B-025D-4AAA-BFE9-E14E62BF36F5}"/>
    <hyperlink ref="G92" r:id="rId73" xr:uid="{58CE946B-26E0-4072-BC8C-07B9BCD5F91F}"/>
    <hyperlink ref="G161" r:id="rId74" xr:uid="{01E63DB6-06E2-4F58-94DF-53A47A9908B3}"/>
    <hyperlink ref="G274" r:id="rId75" xr:uid="{A138760B-C83A-4548-9AC1-AF6EDE58FB1E}"/>
    <hyperlink ref="G184" r:id="rId76" xr:uid="{4D358785-AA87-43BF-AFE9-21AC5507DB32}"/>
    <hyperlink ref="G142" r:id="rId77" xr:uid="{9B0D222C-3317-4681-8DA0-E5FF30E68881}"/>
    <hyperlink ref="G186" r:id="rId78" xr:uid="{1A91B71D-C47B-488F-9447-5452AEF0E6CE}"/>
    <hyperlink ref="G185" r:id="rId79" xr:uid="{C508FD54-14CB-401B-843A-4ADE53C79F34}"/>
    <hyperlink ref="G172" r:id="rId80" xr:uid="{6B30485A-41DD-4501-AE49-3B48225599EA}"/>
    <hyperlink ref="G308" r:id="rId81" xr:uid="{C01DCD2C-0539-4901-B6FF-B9D4C1294C7F}"/>
    <hyperlink ref="G268" r:id="rId82" xr:uid="{8B88D0C0-070C-44C2-BFBF-03EE9615533C}"/>
    <hyperlink ref="G291" r:id="rId83" xr:uid="{2D39BB39-F0F5-4859-B878-D08F857A6A7E}"/>
    <hyperlink ref="G329" r:id="rId84" xr:uid="{6CD9CEBA-C2A5-492D-8D3F-2C252347DDAC}"/>
    <hyperlink ref="G328" r:id="rId85" xr:uid="{98250B00-5CDD-4E30-BA0A-F22D657A2E73}"/>
    <hyperlink ref="G320" r:id="rId86" xr:uid="{481E91CA-90D4-4149-BD04-53E07933C46F}"/>
    <hyperlink ref="G234" r:id="rId87" xr:uid="{1B249C28-D38D-45C4-8D65-1BADD7CD56D7}"/>
    <hyperlink ref="G238" r:id="rId88" xr:uid="{8BA8DF0B-D607-477A-AF1C-88A1D1B71A5C}"/>
    <hyperlink ref="G305" r:id="rId89" xr:uid="{3997639E-1421-40DC-8BA5-E989B7E53050}"/>
    <hyperlink ref="G228" r:id="rId90" xr:uid="{A66199A6-774E-4432-AF22-505D2DA28091}"/>
    <hyperlink ref="G272" r:id="rId91" xr:uid="{FED8546B-89D9-4FC4-9793-55D415FDAD4B}"/>
    <hyperlink ref="G270" r:id="rId92" xr:uid="{8ABE7C37-819C-4553-8212-EBF4C546EEA8}"/>
    <hyperlink ref="G222" r:id="rId93" xr:uid="{2101DF4C-DC51-44E4-A158-4547F080175C}"/>
    <hyperlink ref="G160" r:id="rId94" xr:uid="{909101EA-FC86-40A5-9963-036280B30730}"/>
    <hyperlink ref="G296" r:id="rId95" xr:uid="{50D3B219-3EE8-412A-AA08-C49E6D101EED}"/>
    <hyperlink ref="G173" r:id="rId96" xr:uid="{225E0CC9-93AF-4E34-A8E8-7377471159F2}"/>
    <hyperlink ref="G336" r:id="rId97" xr:uid="{7CDDAF12-18F1-4F03-8D6A-30C6CDCE12D6}"/>
    <hyperlink ref="G337" r:id="rId98" xr:uid="{4D970A31-57A5-47A8-9069-FB67525A2ABF}"/>
    <hyperlink ref="G338" r:id="rId99" xr:uid="{94E57831-F64B-43A0-9689-038D9DA9038B}"/>
    <hyperlink ref="G174" r:id="rId100" xr:uid="{7E033773-860C-4293-A34F-022C0BE56699}"/>
    <hyperlink ref="G250" r:id="rId101" xr:uid="{6BEC5992-A49C-456C-AD25-4290B9C84015}"/>
    <hyperlink ref="G339" r:id="rId102" xr:uid="{F493682B-FA09-4166-BA47-7343209A69A3}"/>
    <hyperlink ref="G129" r:id="rId103" xr:uid="{352402C2-240F-404C-AA22-A74E75EF652B}"/>
    <hyperlink ref="G277" r:id="rId104" xr:uid="{5C5ED2E8-18FC-442E-ADD0-BE4AA2E55293}"/>
    <hyperlink ref="G294" r:id="rId105" xr:uid="{E7EEE693-6F2C-4724-92D0-B30364FB16EB}"/>
    <hyperlink ref="G334" r:id="rId106" xr:uid="{C99D071B-CD6D-43EF-90F6-F0AD29B3E5EF}"/>
    <hyperlink ref="G87" r:id="rId107" xr:uid="{FF31A182-2E60-4235-AD7F-3EBB49042914}"/>
    <hyperlink ref="G335" r:id="rId108" xr:uid="{34D7B2AD-7901-429B-A25B-3932C70D32D8}"/>
    <hyperlink ref="G343" r:id="rId109" xr:uid="{35FC8CB7-B712-45E1-9D70-922862D77D9A}"/>
    <hyperlink ref="G110" r:id="rId110" xr:uid="{B0D9E848-5509-466A-B71E-A78A71698D25}"/>
    <hyperlink ref="G281" r:id="rId111" xr:uid="{D3295F04-512D-4E22-8386-AC2C6CA482AB}"/>
    <hyperlink ref="G437" r:id="rId112" xr:uid="{48C1C120-54AE-4839-9231-2438DC87D122}"/>
    <hyperlink ref="G187" r:id="rId113" xr:uid="{7C95C2FC-00CC-4AFB-9E29-226DB45A3A65}"/>
    <hyperlink ref="G95" r:id="rId114" xr:uid="{1CF93E7D-BA37-4AB1-8690-C412FA649A9A}"/>
    <hyperlink ref="G300" r:id="rId115" xr:uid="{38EC98DF-A1CB-44EF-BABF-AEF56B2C0DAE}"/>
    <hyperlink ref="G93" r:id="rId116" xr:uid="{AC2090A6-0017-4AB6-94B1-DAA2C3BF2E70}"/>
    <hyperlink ref="G97" r:id="rId117" xr:uid="{D772C4FD-4994-4715-B3BC-6A408EA62B34}"/>
    <hyperlink ref="G98" r:id="rId118" xr:uid="{AEFC736E-A0B2-4C5D-965F-A63E649F1536}"/>
    <hyperlink ref="G99" r:id="rId119" xr:uid="{D1724F20-F06C-4563-91D2-C0B62EDB75A4}"/>
    <hyperlink ref="G140" r:id="rId120" xr:uid="{242219AF-4BF9-4401-8205-D9196D2EE316}"/>
    <hyperlink ref="G410" r:id="rId121" xr:uid="{D7458523-7D9C-4BA0-AB50-BFAC95170D8F}"/>
    <hyperlink ref="G432" r:id="rId122" xr:uid="{FE6F43A6-B3FA-4BD0-ACB4-566183A1A5D6}"/>
    <hyperlink ref="G424" r:id="rId123" xr:uid="{AAE09AA8-D023-4ECE-8027-68DA3046CFAD}"/>
    <hyperlink ref="G245" r:id="rId124" xr:uid="{EA1A78FA-7A55-4BF0-94AE-F1523D100AD7}"/>
    <hyperlink ref="G101" r:id="rId125" xr:uid="{74A728A8-1807-408D-807A-472720110125}"/>
    <hyperlink ref="G453" r:id="rId126" xr:uid="{36540164-6D56-446D-A1CB-7739F1E6F320}"/>
    <hyperlink ref="G399" r:id="rId127" xr:uid="{2BE88C67-0871-423B-B643-FE1DE2BBB704}"/>
    <hyperlink ref="G342" r:id="rId128" xr:uid="{CB0DA6E5-40AF-47D0-82B4-FBC674EFEDF0}"/>
    <hyperlink ref="G403" r:id="rId129" xr:uid="{B676B2B3-ECA3-44A8-89AE-17831E6E8D33}"/>
    <hyperlink ref="G102" r:id="rId130" xr:uid="{68FA261A-E2C3-44D0-8759-A94EF60834FE}"/>
    <hyperlink ref="G2" r:id="rId131" xr:uid="{EA919C3C-C4D0-4A66-9426-2FA0135330E9}"/>
    <hyperlink ref="G3" r:id="rId132" xr:uid="{01090958-6092-47F7-BA6E-FEF5C58A0A0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C03B-4C49-4281-8ADD-CB73C51402B1}">
  <dimension ref="A1:N19"/>
  <sheetViews>
    <sheetView workbookViewId="0">
      <selection activeCell="J8" sqref="J8"/>
    </sheetView>
  </sheetViews>
  <sheetFormatPr baseColWidth="10" defaultColWidth="11.42578125" defaultRowHeight="15" x14ac:dyDescent="0.25"/>
  <cols>
    <col min="1" max="1" width="27.85546875" customWidth="1"/>
    <col min="2" max="2" width="14.85546875" customWidth="1"/>
    <col min="3" max="3" width="33" bestFit="1" customWidth="1"/>
    <col min="8" max="8" width="15.5703125" bestFit="1" customWidth="1"/>
    <col min="9" max="9" width="15" bestFit="1" customWidth="1"/>
    <col min="10" max="10" width="23" bestFit="1" customWidth="1"/>
    <col min="11" max="11" width="18.28515625" bestFit="1" customWidth="1"/>
  </cols>
  <sheetData>
    <row r="1" spans="1:14" x14ac:dyDescent="0.25">
      <c r="A1" t="s">
        <v>33</v>
      </c>
      <c r="B1" t="s">
        <v>34</v>
      </c>
      <c r="C1" t="s">
        <v>35</v>
      </c>
      <c r="F1" s="8" t="s">
        <v>36</v>
      </c>
      <c r="G1" s="8" t="s">
        <v>37</v>
      </c>
      <c r="H1" s="8" t="s">
        <v>38</v>
      </c>
      <c r="I1" s="8" t="s">
        <v>39</v>
      </c>
      <c r="J1" s="8" t="s">
        <v>40</v>
      </c>
      <c r="K1" s="8" t="s">
        <v>41</v>
      </c>
      <c r="L1" s="8" t="s">
        <v>42</v>
      </c>
    </row>
    <row r="2" spans="1:14" x14ac:dyDescent="0.25">
      <c r="A2" t="s">
        <v>43</v>
      </c>
      <c r="B2" t="s">
        <v>44</v>
      </c>
      <c r="C2" t="s">
        <v>45</v>
      </c>
      <c r="F2" s="9" t="s">
        <v>46</v>
      </c>
      <c r="G2" s="9" t="s">
        <v>47</v>
      </c>
      <c r="H2" s="9">
        <v>4</v>
      </c>
      <c r="I2" s="9">
        <v>96</v>
      </c>
      <c r="J2" s="10">
        <v>0.25</v>
      </c>
      <c r="K2" s="10">
        <v>0.21875</v>
      </c>
      <c r="L2" s="9">
        <v>1</v>
      </c>
      <c r="N2" s="7"/>
    </row>
    <row r="3" spans="1:14" x14ac:dyDescent="0.25">
      <c r="A3" t="s">
        <v>48</v>
      </c>
      <c r="B3" t="s">
        <v>49</v>
      </c>
      <c r="C3" t="s">
        <v>50</v>
      </c>
      <c r="F3" s="9" t="s">
        <v>51</v>
      </c>
      <c r="G3" s="9" t="s">
        <v>19</v>
      </c>
      <c r="H3" s="9">
        <v>1.5</v>
      </c>
      <c r="I3" s="9">
        <v>36</v>
      </c>
      <c r="J3" s="9">
        <v>0</v>
      </c>
      <c r="K3" s="9">
        <v>0</v>
      </c>
      <c r="L3" s="9"/>
      <c r="N3" s="7"/>
    </row>
    <row r="4" spans="1:14" x14ac:dyDescent="0.25">
      <c r="C4" t="s">
        <v>52</v>
      </c>
      <c r="F4" s="9" t="s">
        <v>51</v>
      </c>
      <c r="G4" s="9" t="s">
        <v>53</v>
      </c>
      <c r="H4" s="9">
        <v>3.5</v>
      </c>
      <c r="I4" s="9">
        <v>84</v>
      </c>
      <c r="J4" s="10">
        <v>0.3125</v>
      </c>
      <c r="K4" s="10">
        <v>0.3125</v>
      </c>
      <c r="L4" s="9">
        <v>9</v>
      </c>
      <c r="N4" s="7"/>
    </row>
    <row r="5" spans="1:14" x14ac:dyDescent="0.25">
      <c r="C5" t="s">
        <v>54</v>
      </c>
      <c r="F5" s="9" t="s">
        <v>55</v>
      </c>
      <c r="G5" s="9" t="s">
        <v>56</v>
      </c>
      <c r="H5" s="9">
        <v>1</v>
      </c>
      <c r="I5" s="9">
        <v>24</v>
      </c>
      <c r="J5" s="9">
        <v>0</v>
      </c>
      <c r="K5" s="9">
        <v>0</v>
      </c>
      <c r="L5" s="9"/>
      <c r="N5" s="7"/>
    </row>
    <row r="6" spans="1:14" x14ac:dyDescent="0.25">
      <c r="C6" t="s">
        <v>57</v>
      </c>
      <c r="F6" s="9" t="s">
        <v>51</v>
      </c>
      <c r="G6" s="9" t="s">
        <v>58</v>
      </c>
      <c r="H6" s="9">
        <v>2</v>
      </c>
      <c r="I6" s="9">
        <v>48</v>
      </c>
      <c r="J6" s="9">
        <v>0</v>
      </c>
      <c r="K6" s="9">
        <v>0</v>
      </c>
      <c r="L6" s="9"/>
      <c r="N6" s="7"/>
    </row>
    <row r="7" spans="1:14" x14ac:dyDescent="0.25">
      <c r="F7" s="9" t="s">
        <v>59</v>
      </c>
      <c r="G7" s="9" t="s">
        <v>26</v>
      </c>
      <c r="H7" s="9">
        <v>2</v>
      </c>
      <c r="I7" s="9">
        <v>48</v>
      </c>
      <c r="J7" s="9">
        <v>0</v>
      </c>
      <c r="K7" s="9">
        <v>0</v>
      </c>
      <c r="L7" s="9"/>
      <c r="N7" s="7"/>
    </row>
    <row r="8" spans="1:14" x14ac:dyDescent="0.25">
      <c r="A8" s="8" t="s">
        <v>60</v>
      </c>
      <c r="B8" s="8" t="s">
        <v>61</v>
      </c>
      <c r="F8" s="9" t="s">
        <v>51</v>
      </c>
      <c r="G8" s="9" t="s">
        <v>14</v>
      </c>
      <c r="H8" s="9">
        <v>3</v>
      </c>
      <c r="I8" s="9">
        <v>72</v>
      </c>
      <c r="J8" s="10">
        <v>0.20833333333333334</v>
      </c>
      <c r="K8" s="10">
        <v>0.17708333333333334</v>
      </c>
      <c r="L8" s="9">
        <v>8</v>
      </c>
      <c r="N8" s="7"/>
    </row>
    <row r="9" spans="1:14" x14ac:dyDescent="0.25">
      <c r="A9" s="9" t="s">
        <v>62</v>
      </c>
      <c r="B9" s="9">
        <v>12</v>
      </c>
      <c r="F9" s="9" t="s">
        <v>63</v>
      </c>
      <c r="G9" s="9" t="s">
        <v>31</v>
      </c>
      <c r="H9" s="9">
        <v>2.5</v>
      </c>
      <c r="I9" s="9">
        <v>60</v>
      </c>
      <c r="J9" s="10">
        <v>0.20833333333333334</v>
      </c>
      <c r="K9" s="10">
        <v>0.17708333333333334</v>
      </c>
      <c r="L9" s="9">
        <v>2</v>
      </c>
      <c r="N9" s="7"/>
    </row>
    <row r="10" spans="1:14" x14ac:dyDescent="0.25">
      <c r="A10" s="9" t="s">
        <v>64</v>
      </c>
      <c r="B10" s="9">
        <v>10</v>
      </c>
      <c r="F10" s="9" t="s">
        <v>46</v>
      </c>
      <c r="G10" s="11" t="s">
        <v>65</v>
      </c>
      <c r="H10" s="9">
        <v>4</v>
      </c>
      <c r="I10" s="9">
        <v>96</v>
      </c>
      <c r="J10" s="10">
        <v>0.25</v>
      </c>
      <c r="K10" s="10">
        <v>0.21875</v>
      </c>
      <c r="L10" s="9">
        <v>1</v>
      </c>
      <c r="N10" s="7"/>
    </row>
    <row r="11" spans="1:14" x14ac:dyDescent="0.25">
      <c r="F11" s="9" t="s">
        <v>63</v>
      </c>
      <c r="G11" s="9" t="s">
        <v>22</v>
      </c>
      <c r="H11" s="9">
        <v>1.5</v>
      </c>
      <c r="I11" s="9">
        <v>36</v>
      </c>
      <c r="J11" s="10">
        <v>0.20833333333333334</v>
      </c>
      <c r="K11" s="10">
        <v>0.17708333333333334</v>
      </c>
      <c r="L11" s="9">
        <v>4</v>
      </c>
      <c r="N11" s="7"/>
    </row>
    <row r="12" spans="1:14" x14ac:dyDescent="0.25">
      <c r="F12" s="9" t="s">
        <v>46</v>
      </c>
      <c r="G12" s="9" t="s">
        <v>25</v>
      </c>
      <c r="H12" s="9">
        <v>3</v>
      </c>
      <c r="I12" s="9">
        <v>72</v>
      </c>
      <c r="J12" s="10">
        <v>0.25</v>
      </c>
      <c r="K12" s="10">
        <v>0.21875</v>
      </c>
      <c r="L12" s="9">
        <v>1</v>
      </c>
      <c r="N12" s="7"/>
    </row>
    <row r="13" spans="1:14" x14ac:dyDescent="0.25">
      <c r="F13" s="9" t="s">
        <v>51</v>
      </c>
      <c r="G13" s="9" t="s">
        <v>1311</v>
      </c>
      <c r="H13" s="9">
        <v>1.5</v>
      </c>
      <c r="I13" s="9">
        <v>36</v>
      </c>
      <c r="J13" s="9">
        <v>0</v>
      </c>
      <c r="K13" s="9">
        <v>0</v>
      </c>
      <c r="L13" s="9"/>
      <c r="N13" s="7"/>
    </row>
    <row r="14" spans="1:14" x14ac:dyDescent="0.25">
      <c r="F14" s="9" t="s">
        <v>51</v>
      </c>
      <c r="G14" s="9" t="s">
        <v>66</v>
      </c>
      <c r="H14" s="9">
        <v>1.5</v>
      </c>
      <c r="I14" s="9">
        <v>36</v>
      </c>
      <c r="J14" s="9">
        <v>0</v>
      </c>
      <c r="K14" s="9">
        <v>0</v>
      </c>
      <c r="L14" s="9"/>
      <c r="N14" s="7"/>
    </row>
    <row r="15" spans="1:14" x14ac:dyDescent="0.25">
      <c r="F15" s="9" t="s">
        <v>51</v>
      </c>
      <c r="G15" s="9" t="s">
        <v>67</v>
      </c>
      <c r="H15" s="9">
        <v>1</v>
      </c>
      <c r="I15" s="9">
        <v>24</v>
      </c>
      <c r="J15" s="9">
        <v>0</v>
      </c>
      <c r="K15" s="9">
        <v>0</v>
      </c>
      <c r="L15" s="9"/>
      <c r="N15" s="7"/>
    </row>
    <row r="16" spans="1:14" x14ac:dyDescent="0.25">
      <c r="F16" s="9" t="s">
        <v>63</v>
      </c>
      <c r="G16" s="9" t="s">
        <v>17</v>
      </c>
      <c r="H16" s="9">
        <v>1</v>
      </c>
      <c r="I16" s="9">
        <v>24</v>
      </c>
      <c r="J16" s="10">
        <v>0.20833333333333334</v>
      </c>
      <c r="K16" s="10">
        <v>0.17708333333333334</v>
      </c>
      <c r="L16" s="9">
        <v>5</v>
      </c>
      <c r="N16" s="7"/>
    </row>
    <row r="17" spans="6:14" x14ac:dyDescent="0.25">
      <c r="F17" s="9" t="s">
        <v>63</v>
      </c>
      <c r="G17" s="9" t="s">
        <v>16</v>
      </c>
      <c r="H17" s="9">
        <v>1</v>
      </c>
      <c r="I17" s="9">
        <v>24</v>
      </c>
      <c r="J17" s="10">
        <v>0.20833333333333334</v>
      </c>
      <c r="K17" s="10">
        <v>0.17708333333333334</v>
      </c>
      <c r="L17" s="9">
        <v>6</v>
      </c>
      <c r="N17" s="7"/>
    </row>
    <row r="18" spans="6:14" x14ac:dyDescent="0.25">
      <c r="F18" s="9" t="s">
        <v>63</v>
      </c>
      <c r="G18" s="9" t="s">
        <v>18</v>
      </c>
      <c r="H18" s="9">
        <v>1.5</v>
      </c>
      <c r="I18" s="9">
        <v>36</v>
      </c>
      <c r="J18" s="10">
        <v>0.20833333333333334</v>
      </c>
      <c r="K18" s="10">
        <v>0.17708333333333334</v>
      </c>
      <c r="L18" s="9">
        <v>3</v>
      </c>
      <c r="N18" s="7"/>
    </row>
    <row r="19" spans="6:14" x14ac:dyDescent="0.25">
      <c r="F19" s="9" t="s">
        <v>63</v>
      </c>
      <c r="G19" s="9" t="s">
        <v>68</v>
      </c>
      <c r="H19" s="9">
        <v>1.5</v>
      </c>
      <c r="I19" s="9">
        <v>36</v>
      </c>
      <c r="J19" s="10">
        <v>0.20833333333333334</v>
      </c>
      <c r="K19" s="10">
        <v>0.17708333333333334</v>
      </c>
      <c r="L19" s="9">
        <v>7</v>
      </c>
      <c r="N19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3d83bf51-5c87-4fb0-ba13-134b9ccf2aac" xsi:nil="true"/>
    <TaxCatchAll xmlns="9ec7a165-d323-4302-8043-ea580ce1e37b" xsi:nil="true"/>
    <_ModernAudienceTargetUserField xmlns="3d83bf51-5c87-4fb0-ba13-134b9ccf2aac">
      <UserInfo>
        <DisplayName/>
        <AccountId xsi:nil="true"/>
        <AccountType/>
      </UserInfo>
    </_ModernAudienceTargetUserField>
    <Audiencias_x0020_de_x0020_destino xmlns="3d83bf51-5c87-4fb0-ba13-134b9ccf2aac" xsi:nil="true"/>
    <lcf76f155ced4ddcb4097134ff3c332f xmlns="3d83bf51-5c87-4fb0-ba13-134b9ccf2a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528D2613016E4F8BB018856F73371D" ma:contentTypeVersion="17" ma:contentTypeDescription="Crear nuevo documento." ma:contentTypeScope="" ma:versionID="5c3609afe6843af7a81bebb55ab3705b">
  <xsd:schema xmlns:xsd="http://www.w3.org/2001/XMLSchema" xmlns:xs="http://www.w3.org/2001/XMLSchema" xmlns:p="http://schemas.microsoft.com/office/2006/metadata/properties" xmlns:ns2="3d83bf51-5c87-4fb0-ba13-134b9ccf2aac" xmlns:ns3="9ec7a165-d323-4302-8043-ea580ce1e37b" targetNamespace="http://schemas.microsoft.com/office/2006/metadata/properties" ma:root="true" ma:fieldsID="e700fe5959ff58d73b586561e52d5093" ns2:_="" ns3:_="">
    <xsd:import namespace="3d83bf51-5c87-4fb0-ba13-134b9ccf2aac"/>
    <xsd:import namespace="9ec7a165-d323-4302-8043-ea580ce1e3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Audiencias_x0020_de_x0020_destino" minOccurs="0"/>
                <xsd:element ref="ns2:_ModernAudienceTargetUserField" minOccurs="0"/>
                <xsd:element ref="ns2:_ModernAudienceAadObjectId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3bf51-5c87-4fb0-ba13-134b9ccf2a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d34168f3-22f8-4908-aed3-ef41011333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udiencias_x0020_de_x0020_destino" ma:index="20" nillable="true" ma:displayName="Audiencias de destino" ma:internalName="Audiencias_x0020_de_x0020_destino">
      <xsd:simpleType>
        <xsd:restriction base="dms:Unknown"/>
      </xsd:simpleType>
    </xsd:element>
    <xsd:element name="_ModernAudienceTargetUserField" ma:index="21" nillable="true" ma:displayName="Público" ma:list="UserInfo" ma:SharePointGroup="0" ma:internalName="_ModernAudienceTargetUserField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ModernAudienceAadObjectIds" ma:index="22" nillable="true" ma:displayName="AudienceIds" ma:list="{48885df9-4947-417b-bb3f-162086221ce0}" ma:internalName="_ModernAudienceAadObjectIds" ma:readOnly="true" ma:showField="_AadObjectIdForUser" ma:web="9ec7a165-d323-4302-8043-ea580ce1e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Flow_SignoffStatus" ma:index="23" nillable="true" ma:displayName="Estado de aprobación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c7a165-d323-4302-8043-ea580ce1e37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95e3f6b-173e-45cd-8444-10c683f9bcc8}" ma:internalName="TaxCatchAll" ma:showField="CatchAllData" ma:web="9ec7a165-d323-4302-8043-ea580ce1e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AE2DB07-E1EE-4AEB-80E7-74D3285DBE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9869F1-282E-4391-9BF8-BCB60A0A8B6F}">
  <ds:schemaRefs>
    <ds:schemaRef ds:uri="http://schemas.microsoft.com/office/2006/metadata/properties"/>
    <ds:schemaRef ds:uri="http://schemas.microsoft.com/office/infopath/2007/PartnerControls"/>
    <ds:schemaRef ds:uri="3d83bf51-5c87-4fb0-ba13-134b9ccf2aac"/>
    <ds:schemaRef ds:uri="9ec7a165-d323-4302-8043-ea580ce1e37b"/>
  </ds:schemaRefs>
</ds:datastoreItem>
</file>

<file path=customXml/itemProps3.xml><?xml version="1.0" encoding="utf-8"?>
<ds:datastoreItem xmlns:ds="http://schemas.openxmlformats.org/officeDocument/2006/customXml" ds:itemID="{3D82F03D-D48B-4420-853D-E4A8C58AE5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83bf51-5c87-4fb0-ba13-134b9ccf2aac"/>
    <ds:schemaRef ds:uri="9ec7a165-d323-4302-8043-ea580ce1e3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B4B4D5F-BE8C-4B77-A273-16F5E504FC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PLANEACION</vt:lpstr>
      <vt:lpstr>Consulta1</vt:lpstr>
      <vt:lpstr>UBICACIONES</vt:lpstr>
      <vt:lpstr>CATALOGO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Bernardo Escobedo</dc:creator>
  <cp:keywords/>
  <dc:description/>
  <cp:lastModifiedBy>Bernardo Escobedo</cp:lastModifiedBy>
  <cp:revision/>
  <dcterms:created xsi:type="dcterms:W3CDTF">2026-09-03T18:30:38Z</dcterms:created>
  <dcterms:modified xsi:type="dcterms:W3CDTF">2026-09-28T16:25:21Z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0x010100A8528D2613016E4F8BB018856F73371D</vt:lpwstr>
  </property>
  <property fmtid="{D5CDD505-2E9C-101B-9397-08002B2CF9AE}" pid="3" name="MediaServiceImageTags">
    <vt:lpwstr/>
  </property>
</Properties>
</file>